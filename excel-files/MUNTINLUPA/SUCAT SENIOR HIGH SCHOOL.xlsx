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32" documentId="13_ncr:1_{BFB59F67-F0DC-4675-A682-EB0734A8026A}" xr6:coauthVersionLast="47" xr6:coauthVersionMax="47" xr10:uidLastSave="{A1DCC52E-70B3-4F10-BC49-FAE257E93075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" i="5" l="1"/>
  <c r="AA10" i="5" s="1"/>
  <c r="P10" i="5"/>
  <c r="T10" i="5" s="1"/>
  <c r="J10" i="5"/>
  <c r="O10" i="5" s="1"/>
  <c r="D10" i="5"/>
  <c r="I10" i="5" s="1"/>
  <c r="V9" i="5"/>
  <c r="Z9" i="5" s="1"/>
  <c r="P9" i="5"/>
  <c r="J9" i="5"/>
  <c r="N9" i="5" s="1"/>
  <c r="D9" i="5"/>
  <c r="I9" i="5" s="1"/>
  <c r="V8" i="5"/>
  <c r="AA8" i="5" s="1"/>
  <c r="P8" i="5"/>
  <c r="U8" i="5" s="1"/>
  <c r="J8" i="5"/>
  <c r="O8" i="5" s="1"/>
  <c r="D8" i="5"/>
  <c r="I8" i="5" s="1"/>
  <c r="V7" i="5"/>
  <c r="Z7" i="5" s="1"/>
  <c r="P7" i="5"/>
  <c r="J7" i="5"/>
  <c r="N7" i="5" s="1"/>
  <c r="D7" i="5"/>
  <c r="I7" i="5" s="1"/>
  <c r="V6" i="5"/>
  <c r="AA6" i="5" s="1"/>
  <c r="P6" i="5"/>
  <c r="U6" i="5" s="1"/>
  <c r="J6" i="5"/>
  <c r="O6" i="5" s="1"/>
  <c r="D6" i="5"/>
  <c r="I6" i="5" s="1"/>
  <c r="V5" i="5"/>
  <c r="Z5" i="5" s="1"/>
  <c r="P5" i="5"/>
  <c r="J5" i="5"/>
  <c r="N5" i="5" s="1"/>
  <c r="D5" i="5"/>
  <c r="I5" i="5" s="1"/>
  <c r="V4" i="5"/>
  <c r="AA4" i="5" s="1"/>
  <c r="P4" i="5"/>
  <c r="U4" i="5" s="1"/>
  <c r="J4" i="5"/>
  <c r="O4" i="5" s="1"/>
  <c r="D4" i="5"/>
  <c r="I4" i="5" s="1"/>
  <c r="V3" i="5"/>
  <c r="Z3" i="5" s="1"/>
  <c r="P3" i="5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P3" i="4"/>
  <c r="P4" i="4"/>
  <c r="U4" i="4" s="1"/>
  <c r="P5" i="4"/>
  <c r="T5" i="4" s="1"/>
  <c r="P6" i="4"/>
  <c r="T6" i="4" s="1"/>
  <c r="P7" i="4"/>
  <c r="P8" i="4"/>
  <c r="U8" i="4" s="1"/>
  <c r="P9" i="4"/>
  <c r="T9" i="4" s="1"/>
  <c r="P10" i="4"/>
  <c r="T10" i="4" s="1"/>
  <c r="J3" i="4"/>
  <c r="N3" i="4" s="1"/>
  <c r="J4" i="4"/>
  <c r="N4" i="4" s="1"/>
  <c r="J5" i="4"/>
  <c r="O5" i="4" s="1"/>
  <c r="J6" i="4"/>
  <c r="N6" i="4" s="1"/>
  <c r="J7" i="4"/>
  <c r="N7" i="4" s="1"/>
  <c r="J8" i="4"/>
  <c r="O8" i="4" s="1"/>
  <c r="J9" i="4"/>
  <c r="O9" i="4" s="1"/>
  <c r="J10" i="4"/>
  <c r="N10" i="4" s="1"/>
  <c r="D3" i="4"/>
  <c r="I3" i="4" s="1"/>
  <c r="D4" i="4"/>
  <c r="I4" i="4" s="1"/>
  <c r="D5" i="4"/>
  <c r="H5" i="4" s="1"/>
  <c r="D6" i="4"/>
  <c r="H6" i="4" s="1"/>
  <c r="D7" i="4"/>
  <c r="I7" i="4" s="1"/>
  <c r="D8" i="4"/>
  <c r="H8" i="4" s="1"/>
  <c r="D9" i="4"/>
  <c r="I9" i="4" s="1"/>
  <c r="D10" i="4"/>
  <c r="I10" i="4" s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T4" i="4" l="1"/>
  <c r="AA3" i="4"/>
  <c r="AA5" i="5"/>
  <c r="AA7" i="5"/>
  <c r="H8" i="5"/>
  <c r="U10" i="5"/>
  <c r="O6" i="4"/>
  <c r="T8" i="4"/>
  <c r="O10" i="4"/>
  <c r="N5" i="4"/>
  <c r="Z9" i="4"/>
  <c r="U5" i="4"/>
  <c r="AA7" i="4"/>
  <c r="N8" i="4"/>
  <c r="U9" i="4"/>
  <c r="Z5" i="4"/>
  <c r="N9" i="4"/>
  <c r="T3" i="4"/>
  <c r="U3" i="4"/>
  <c r="T7" i="4"/>
  <c r="U7" i="4"/>
  <c r="Z10" i="4"/>
  <c r="AA10" i="4"/>
  <c r="O7" i="4"/>
  <c r="U6" i="4"/>
  <c r="AA6" i="4"/>
  <c r="O4" i="4"/>
  <c r="O3" i="4"/>
  <c r="U10" i="4"/>
  <c r="AA8" i="4"/>
  <c r="AA4" i="4"/>
  <c r="AA3" i="5"/>
  <c r="H4" i="5"/>
  <c r="T8" i="5"/>
  <c r="O5" i="5"/>
  <c r="AA9" i="5"/>
  <c r="O3" i="5"/>
  <c r="T6" i="5"/>
  <c r="T4" i="5"/>
  <c r="Z8" i="5"/>
  <c r="H10" i="5"/>
  <c r="Z4" i="5"/>
  <c r="H6" i="5"/>
  <c r="O9" i="5"/>
  <c r="O7" i="5"/>
  <c r="Z6" i="5"/>
  <c r="U9" i="5"/>
  <c r="T9" i="5"/>
  <c r="U7" i="5"/>
  <c r="T7" i="5"/>
  <c r="U5" i="5"/>
  <c r="T5" i="5"/>
  <c r="U3" i="5"/>
  <c r="T3" i="5"/>
  <c r="Z10" i="5"/>
  <c r="N4" i="5"/>
  <c r="N6" i="5"/>
  <c r="N8" i="5"/>
  <c r="N10" i="5"/>
  <c r="H3" i="5"/>
  <c r="H5" i="5"/>
  <c r="H7" i="5"/>
  <c r="H9" i="5"/>
  <c r="I6" i="4"/>
  <c r="I5" i="4"/>
  <c r="H7" i="4"/>
  <c r="H4" i="4"/>
  <c r="H3" i="4"/>
  <c r="H10" i="4"/>
  <c r="H9" i="4"/>
  <c r="I8" i="4"/>
</calcChain>
</file>

<file path=xl/sharedStrings.xml><?xml version="1.0" encoding="utf-8"?>
<sst xmlns="http://schemas.openxmlformats.org/spreadsheetml/2006/main" count="118" uniqueCount="69">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</sst>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2" fillId="7" borderId="1" xfId="0" applyFont="1" applyFill="1" applyBorder="1" applyAlignment="1">
      <alignment vertical="center" wrapText="1"/>
    </xf>
    <xf numFmtId="0" fontId="6" fillId="0" borderId="0" xfId="0" applyFont="1"/>
    <xf numFmtId="0" fontId="3" fillId="0" borderId="5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5" xfId="0" applyFont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8" fillId="10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" totalsRowShown="0" headerRowDxfId="62" headerRowBorderDxfId="60" tableBorderDxfId="61">
  <autoFilter ref="A1:H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0" totalsRowShown="0" dataDxfId="59" headerRowBorderDxfId="57" tableBorderDxfId="58">
  <autoFilter ref="A2:AA1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0" totalsRowShown="0" dataDxfId="29" headerRowBorderDxfId="27" tableBorderDxfId="28">
  <autoFilter ref="A2:AA1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zoomScale="85" zoomScaleNormal="85" workbookViewId="0">
      <pane xSplit="2" topLeftCell="C1" activePane="topRight" state="frozen"/>
      <selection pane="topRight" activeCell="A2" sqref="A2:XFD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7" customFormat="1" ht="64.900000000000006" customHeight="1">
      <c r="A1" s="8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1" t="s">
        <v>6</v>
      </c>
      <c r="H1" s="12" t="s">
        <v>7</v>
      </c>
    </row>
    <row r="2" spans="1:8" ht="36.75" customHeight="1">
      <c r="A2" s="1" t="s">
        <v>8</v>
      </c>
      <c r="B2" s="6" t="s">
        <v>9</v>
      </c>
      <c r="C2" s="1">
        <v>550</v>
      </c>
      <c r="D2" s="1">
        <v>0</v>
      </c>
      <c r="E2" s="1"/>
      <c r="F2" s="4"/>
      <c r="G2" s="2">
        <f t="shared" ref="G2:G9" si="0">IF((C2-D2)&lt;0,0,C2-D2)</f>
        <v>550</v>
      </c>
      <c r="H2" s="3">
        <f t="shared" ref="H2:H9" si="1">IF((D2-C2)&lt;0,0,D2-C2)</f>
        <v>0</v>
      </c>
    </row>
    <row r="3" spans="1:8" ht="21" customHeight="1">
      <c r="A3" s="1" t="s">
        <v>8</v>
      </c>
      <c r="B3" s="6" t="s">
        <v>10</v>
      </c>
      <c r="C3" s="1">
        <v>550</v>
      </c>
      <c r="D3" s="1">
        <v>0</v>
      </c>
      <c r="E3" s="1"/>
      <c r="F3" s="4"/>
      <c r="G3" s="2">
        <f t="shared" si="0"/>
        <v>550</v>
      </c>
      <c r="H3" s="3">
        <f t="shared" si="1"/>
        <v>0</v>
      </c>
    </row>
    <row r="4" spans="1:8" ht="25.5" customHeight="1">
      <c r="A4" s="1" t="s">
        <v>8</v>
      </c>
      <c r="B4" s="6" t="s">
        <v>11</v>
      </c>
      <c r="C4" s="1">
        <v>550</v>
      </c>
      <c r="D4" s="1">
        <v>0</v>
      </c>
      <c r="E4" s="1"/>
      <c r="F4" s="4"/>
      <c r="G4" s="2">
        <f t="shared" si="0"/>
        <v>550</v>
      </c>
      <c r="H4" s="3">
        <f t="shared" si="1"/>
        <v>0</v>
      </c>
    </row>
    <row r="5" spans="1:8" ht="19.5">
      <c r="A5" s="1" t="s">
        <v>8</v>
      </c>
      <c r="B5" s="6" t="s">
        <v>12</v>
      </c>
      <c r="C5" s="1">
        <v>550</v>
      </c>
      <c r="D5" s="1">
        <v>0</v>
      </c>
      <c r="E5" s="1"/>
      <c r="F5" s="4"/>
      <c r="G5" s="2">
        <f t="shared" si="0"/>
        <v>550</v>
      </c>
      <c r="H5" s="3">
        <f t="shared" si="1"/>
        <v>0</v>
      </c>
    </row>
    <row r="6" spans="1:8" ht="38.25">
      <c r="A6" s="1" t="s">
        <v>8</v>
      </c>
      <c r="B6" s="6" t="s">
        <v>13</v>
      </c>
      <c r="C6" s="1">
        <v>550</v>
      </c>
      <c r="D6" s="1">
        <v>0</v>
      </c>
      <c r="E6" s="1"/>
      <c r="F6" s="4"/>
      <c r="G6" s="2">
        <f t="shared" si="0"/>
        <v>550</v>
      </c>
      <c r="H6" s="3">
        <f t="shared" si="1"/>
        <v>0</v>
      </c>
    </row>
    <row r="7" spans="1:8" ht="39.75" customHeight="1">
      <c r="A7" s="1" t="s">
        <v>8</v>
      </c>
      <c r="B7" s="6" t="s">
        <v>14</v>
      </c>
      <c r="C7" s="1">
        <v>550</v>
      </c>
      <c r="D7" s="1">
        <v>0</v>
      </c>
      <c r="E7" s="1"/>
      <c r="F7" s="4"/>
      <c r="G7" s="2">
        <f t="shared" si="0"/>
        <v>550</v>
      </c>
      <c r="H7" s="3">
        <f t="shared" si="1"/>
        <v>0</v>
      </c>
    </row>
    <row r="8" spans="1:8" ht="29.25" customHeight="1">
      <c r="A8" s="1" t="s">
        <v>8</v>
      </c>
      <c r="B8" s="6" t="s">
        <v>15</v>
      </c>
      <c r="C8" s="1">
        <v>550</v>
      </c>
      <c r="D8" s="1">
        <v>0</v>
      </c>
      <c r="E8" s="1"/>
      <c r="F8" s="4"/>
      <c r="G8" s="2">
        <f t="shared" si="0"/>
        <v>550</v>
      </c>
      <c r="H8" s="3">
        <f t="shared" si="1"/>
        <v>0</v>
      </c>
    </row>
    <row r="9" spans="1:8" ht="41.25" customHeight="1">
      <c r="A9" s="1" t="s">
        <v>8</v>
      </c>
      <c r="B9" s="6" t="s">
        <v>16</v>
      </c>
      <c r="C9" s="1">
        <v>550</v>
      </c>
      <c r="D9" s="1">
        <v>0</v>
      </c>
      <c r="E9" s="1"/>
      <c r="F9" s="4"/>
      <c r="G9" s="2">
        <f t="shared" si="0"/>
        <v>550</v>
      </c>
      <c r="H9" s="3">
        <f t="shared" si="1"/>
        <v>0</v>
      </c>
    </row>
    <row r="10" spans="1:8" ht="24" customHeight="1"/>
    <row r="11" spans="1:8" ht="15"/>
    <row r="12" spans="1:8" ht="15"/>
    <row r="13" spans="1:8" ht="49.5" customHeight="1"/>
    <row r="14" spans="1:8" ht="29.25" customHeight="1"/>
    <row r="15" spans="1:8" ht="27" customHeight="1"/>
    <row r="16" spans="1:8" ht="23.25" customHeight="1"/>
    <row r="17" ht="21" customHeight="1"/>
    <row r="18" ht="15"/>
    <row r="19" ht="15"/>
    <row r="20" ht="28.5" customHeight="1"/>
    <row r="21" ht="24" customHeight="1"/>
    <row r="22" ht="15"/>
    <row r="23" ht="27" customHeight="1"/>
    <row r="24" ht="33.75" customHeight="1"/>
    <row r="25" ht="33.75" customHeight="1"/>
    <row r="26" ht="33.75" customHeight="1"/>
    <row r="27" ht="27.75" customHeight="1"/>
    <row r="28" ht="27.75" customHeight="1"/>
    <row r="29" ht="27.75" customHeight="1"/>
    <row r="30" ht="27.75" customHeight="1"/>
    <row r="31" ht="27.75" customHeight="1"/>
    <row r="32" ht="27.75" customHeight="1"/>
    <row r="33" ht="27.75" customHeight="1"/>
    <row r="34" ht="39" customHeight="1"/>
    <row r="35" ht="27.75" customHeight="1"/>
    <row r="36" ht="27.75" customHeight="1"/>
    <row r="37" ht="27.75" customHeight="1"/>
    <row r="38" ht="27.75" customHeight="1"/>
    <row r="39" ht="27.75" customHeight="1"/>
    <row r="40" ht="27.75" customHeight="1"/>
    <row r="41" ht="27.75" customHeight="1"/>
    <row r="42" ht="27.75" customHeight="1"/>
    <row r="43" ht="27.75" customHeight="1"/>
    <row r="44" ht="36.75" customHeight="1"/>
    <row r="45" ht="27.75" customHeight="1"/>
    <row r="46" ht="27.75" customHeight="1"/>
    <row r="47" ht="27.75" customHeight="1"/>
    <row r="48" ht="27.75" customHeight="1"/>
    <row r="49" ht="27.75" customHeight="1"/>
    <row r="50" ht="27.75" customHeight="1"/>
    <row r="51" ht="27.75" customHeight="1"/>
    <row r="52" ht="27.75" customHeight="1"/>
    <row r="53" ht="27.75" customHeight="1"/>
    <row r="54" ht="39" customHeight="1"/>
    <row r="55" ht="27.75" customHeight="1"/>
    <row r="56" ht="27.75" customHeight="1"/>
    <row r="57" ht="27.75" customHeight="1"/>
    <row r="58" ht="27.75" customHeight="1"/>
    <row r="59" ht="27.75" customHeight="1"/>
    <row r="60" ht="27.75" customHeight="1"/>
    <row r="61" ht="27.75" customHeight="1"/>
    <row r="62" ht="27.75" customHeight="1"/>
    <row r="63" ht="27.75" customHeight="1"/>
    <row r="64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39.75" customHeight="1"/>
    <row r="91" ht="27.75" customHeight="1"/>
    <row r="92" ht="27.75" customHeight="1"/>
    <row r="93" ht="27.75" customHeight="1"/>
    <row r="94" ht="40.5" customHeight="1"/>
    <row r="95" ht="38.25" customHeight="1"/>
    <row r="96" ht="27.75" customHeight="1"/>
    <row r="97" ht="47.25" customHeight="1"/>
  </sheetData>
  <protectedRanges>
    <protectedRange sqref="C1:E9" name="Textbooks"/>
    <protectedRange sqref="F1:F9" name="SOURCE"/>
  </protectedRanges>
  <phoneticPr fontId="7" type="noConversion"/>
  <dataValidations count="2">
    <dataValidation type="list" allowBlank="1" showInputMessage="1" showErrorMessage="1" sqref="E2:E9" xr:uid="{B46E7B13-721E-4D49-837E-C02BF9777D48}">
      <formula1>"2024,2025  ,2026"</formula1>
    </dataValidation>
    <dataValidation type="list" allowBlank="1" showInputMessage="1" showErrorMessage="1" sqref="F2:F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6"/>
  <sheetViews>
    <sheetView zoomScale="70" zoomScaleNormal="70" workbookViewId="0">
      <pane xSplit="2" ySplit="2" topLeftCell="W9" activePane="bottomRight" state="frozen"/>
      <selection pane="bottomRight" activeCell="AB34" sqref="AB34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1" customFormat="1" ht="34.15" customHeight="1">
      <c r="D1" s="26" t="s">
        <v>17</v>
      </c>
      <c r="E1" s="26"/>
      <c r="F1" s="26"/>
      <c r="G1" s="26"/>
      <c r="H1" s="26"/>
      <c r="I1" s="26"/>
      <c r="J1" s="27" t="s">
        <v>18</v>
      </c>
      <c r="K1" s="27"/>
      <c r="L1" s="27"/>
      <c r="M1" s="27"/>
      <c r="N1" s="27"/>
      <c r="O1" s="27"/>
      <c r="P1" s="28" t="s">
        <v>19</v>
      </c>
      <c r="Q1" s="28"/>
      <c r="R1" s="28"/>
      <c r="S1" s="28"/>
      <c r="T1" s="28"/>
      <c r="U1" s="28"/>
      <c r="V1" s="29" t="s">
        <v>20</v>
      </c>
      <c r="W1" s="29"/>
      <c r="X1" s="29"/>
      <c r="Y1" s="29"/>
      <c r="Z1" s="29"/>
      <c r="AA1" s="29"/>
    </row>
    <row r="2" spans="1:27" ht="69.599999999999994" customHeight="1">
      <c r="A2" s="8" t="s">
        <v>0</v>
      </c>
      <c r="B2" s="8" t="s">
        <v>1</v>
      </c>
      <c r="C2" s="9" t="s">
        <v>2</v>
      </c>
      <c r="D2" s="13" t="s">
        <v>21</v>
      </c>
      <c r="E2" s="13" t="s">
        <v>22</v>
      </c>
      <c r="F2" s="14" t="s">
        <v>23</v>
      </c>
      <c r="G2" s="17" t="s">
        <v>24</v>
      </c>
      <c r="H2" s="10" t="s">
        <v>25</v>
      </c>
      <c r="I2" s="17" t="s">
        <v>26</v>
      </c>
      <c r="J2" s="15" t="s">
        <v>27</v>
      </c>
      <c r="K2" s="15" t="s">
        <v>28</v>
      </c>
      <c r="L2" s="16" t="s">
        <v>29</v>
      </c>
      <c r="M2" s="24" t="s">
        <v>30</v>
      </c>
      <c r="N2" s="24" t="s">
        <v>31</v>
      </c>
      <c r="O2" s="15" t="s">
        <v>32</v>
      </c>
      <c r="P2" s="17" t="s">
        <v>33</v>
      </c>
      <c r="Q2" s="17" t="s">
        <v>34</v>
      </c>
      <c r="R2" s="18" t="s">
        <v>35</v>
      </c>
      <c r="S2" s="10" t="s">
        <v>36</v>
      </c>
      <c r="T2" s="10" t="s">
        <v>37</v>
      </c>
      <c r="U2" s="17" t="s">
        <v>38</v>
      </c>
      <c r="V2" s="19" t="s">
        <v>39</v>
      </c>
      <c r="W2" s="19" t="s">
        <v>40</v>
      </c>
      <c r="X2" s="20" t="s">
        <v>41</v>
      </c>
      <c r="Y2" s="25" t="s">
        <v>42</v>
      </c>
      <c r="Z2" s="25" t="s">
        <v>43</v>
      </c>
      <c r="AA2" s="19" t="s">
        <v>44</v>
      </c>
    </row>
    <row r="3" spans="1:27" s="5" customFormat="1" ht="38.25">
      <c r="A3" s="1" t="s">
        <v>8</v>
      </c>
      <c r="B3" s="6" t="s">
        <v>9</v>
      </c>
      <c r="C3" s="1">
        <v>550</v>
      </c>
      <c r="D3" s="4">
        <f>Table1[[#This Row],[Enrolment S.Y. 2025-2026 ]]*8</f>
        <v>4400</v>
      </c>
      <c r="E3" s="4">
        <v>0</v>
      </c>
      <c r="F3" s="1"/>
      <c r="G3" s="4"/>
      <c r="H3" s="4">
        <f t="shared" ref="H3:H10" si="0">IF((D3-E3)&lt;0,0,(D3-E3))</f>
        <v>4400</v>
      </c>
      <c r="I3" s="4">
        <f t="shared" ref="I3:I10" si="1">IF((E3-D3)&lt;0,0,(E3-D3))</f>
        <v>0</v>
      </c>
      <c r="J3" s="4">
        <f>Table1[[#This Row],[Enrolment S.Y. 2025-2026 ]]*8</f>
        <v>4400</v>
      </c>
      <c r="K3" s="4">
        <v>0</v>
      </c>
      <c r="L3" s="1"/>
      <c r="M3" s="4"/>
      <c r="N3" s="4">
        <f t="shared" ref="N3:N10" si="2">IF((J3-K3)&lt;0,0,(J3-K3))</f>
        <v>4400</v>
      </c>
      <c r="O3" s="4">
        <f t="shared" ref="O3:O10" si="3">IF((K3-J3)&lt;0,0,(K3-J3))</f>
        <v>0</v>
      </c>
      <c r="P3" s="4">
        <f>Table1[[#This Row],[Enrolment S.Y. 2025-2026 ]]*8</f>
        <v>4400</v>
      </c>
      <c r="Q3" s="4">
        <v>0</v>
      </c>
      <c r="R3" s="1"/>
      <c r="S3" s="4"/>
      <c r="T3" s="4">
        <f t="shared" ref="T3:T10" si="4">IF((P3-Q3)&lt;0,0,(P3-Q3))</f>
        <v>4400</v>
      </c>
      <c r="U3" s="4">
        <f t="shared" ref="U3:U10" si="5">IF((Q3-P3)&lt;0,0,(Q3-P3))</f>
        <v>0</v>
      </c>
      <c r="V3" s="4">
        <f>Table1[[#This Row],[Enrolment S.Y. 2025-2026 ]]*8</f>
        <v>4400</v>
      </c>
      <c r="W3" s="4">
        <v>0</v>
      </c>
      <c r="X3" s="1"/>
      <c r="Y3" s="4"/>
      <c r="Z3" s="4">
        <f t="shared" ref="Z3:Z10" si="6">IF((V3-W3)&lt;0,0,(V3-W3))</f>
        <v>4400</v>
      </c>
      <c r="AA3" s="4">
        <f t="shared" ref="AA3:AA10" si="7">IF((W3-V3)&lt;0,0,(W3-V3))</f>
        <v>0</v>
      </c>
    </row>
    <row r="4" spans="1:27" ht="19.5">
      <c r="A4" s="1" t="s">
        <v>8</v>
      </c>
      <c r="B4" s="6" t="s">
        <v>10</v>
      </c>
      <c r="C4" s="1">
        <v>550</v>
      </c>
      <c r="D4" s="4">
        <f>Table1[[#This Row],[Enrolment S.Y. 2025-2026 ]]*8</f>
        <v>4400</v>
      </c>
      <c r="E4" s="4">
        <v>0</v>
      </c>
      <c r="F4" s="1"/>
      <c r="G4" s="4"/>
      <c r="H4" s="4">
        <f t="shared" si="0"/>
        <v>4400</v>
      </c>
      <c r="I4" s="4">
        <f t="shared" si="1"/>
        <v>0</v>
      </c>
      <c r="J4" s="4">
        <f>Table1[[#This Row],[Enrolment S.Y. 2025-2026 ]]*8</f>
        <v>4400</v>
      </c>
      <c r="K4" s="4">
        <v>0</v>
      </c>
      <c r="L4" s="1"/>
      <c r="M4" s="4"/>
      <c r="N4" s="4">
        <f t="shared" si="2"/>
        <v>4400</v>
      </c>
      <c r="O4" s="4">
        <f t="shared" si="3"/>
        <v>0</v>
      </c>
      <c r="P4" s="4">
        <f>Table1[[#This Row],[Enrolment S.Y. 2025-2026 ]]*8</f>
        <v>4400</v>
      </c>
      <c r="Q4" s="4">
        <v>0</v>
      </c>
      <c r="R4" s="1"/>
      <c r="S4" s="4"/>
      <c r="T4" s="4">
        <f t="shared" si="4"/>
        <v>4400</v>
      </c>
      <c r="U4" s="4">
        <f t="shared" si="5"/>
        <v>0</v>
      </c>
      <c r="V4" s="4">
        <f>Table1[[#This Row],[Enrolment S.Y. 2025-2026 ]]*8</f>
        <v>4400</v>
      </c>
      <c r="W4" s="4">
        <v>0</v>
      </c>
      <c r="X4" s="1"/>
      <c r="Y4" s="4"/>
      <c r="Z4" s="4">
        <f t="shared" si="6"/>
        <v>4400</v>
      </c>
      <c r="AA4" s="4">
        <f t="shared" si="7"/>
        <v>0</v>
      </c>
    </row>
    <row r="5" spans="1:27" ht="19.5">
      <c r="A5" s="1" t="s">
        <v>8</v>
      </c>
      <c r="B5" s="6" t="s">
        <v>11</v>
      </c>
      <c r="C5" s="1">
        <v>550</v>
      </c>
      <c r="D5" s="4">
        <f>Table1[[#This Row],[Enrolment S.Y. 2025-2026 ]]*8</f>
        <v>4400</v>
      </c>
      <c r="E5" s="4">
        <v>0</v>
      </c>
      <c r="F5" s="1"/>
      <c r="G5" s="4"/>
      <c r="H5" s="4">
        <f t="shared" si="0"/>
        <v>4400</v>
      </c>
      <c r="I5" s="4">
        <f t="shared" si="1"/>
        <v>0</v>
      </c>
      <c r="J5" s="4">
        <f>Table1[[#This Row],[Enrolment S.Y. 2025-2026 ]]*8</f>
        <v>4400</v>
      </c>
      <c r="K5" s="4">
        <v>0</v>
      </c>
      <c r="L5" s="1"/>
      <c r="M5" s="4"/>
      <c r="N5" s="4">
        <f t="shared" si="2"/>
        <v>4400</v>
      </c>
      <c r="O5" s="4">
        <f t="shared" si="3"/>
        <v>0</v>
      </c>
      <c r="P5" s="4">
        <f>Table1[[#This Row],[Enrolment S.Y. 2025-2026 ]]*8</f>
        <v>4400</v>
      </c>
      <c r="Q5" s="4">
        <v>0</v>
      </c>
      <c r="R5" s="1"/>
      <c r="S5" s="4"/>
      <c r="T5" s="4">
        <f t="shared" si="4"/>
        <v>4400</v>
      </c>
      <c r="U5" s="4">
        <f t="shared" si="5"/>
        <v>0</v>
      </c>
      <c r="V5" s="4">
        <f>Table1[[#This Row],[Enrolment S.Y. 2025-2026 ]]*8</f>
        <v>4400</v>
      </c>
      <c r="W5" s="4">
        <v>0</v>
      </c>
      <c r="X5" s="1"/>
      <c r="Y5" s="4"/>
      <c r="Z5" s="4">
        <f t="shared" si="6"/>
        <v>4400</v>
      </c>
      <c r="AA5" s="4">
        <f t="shared" si="7"/>
        <v>0</v>
      </c>
    </row>
    <row r="6" spans="1:27" ht="19.5">
      <c r="A6" s="1" t="s">
        <v>8</v>
      </c>
      <c r="B6" s="6" t="s">
        <v>12</v>
      </c>
      <c r="C6" s="1">
        <v>550</v>
      </c>
      <c r="D6" s="4">
        <f>Table1[[#This Row],[Enrolment S.Y. 2025-2026 ]]*8</f>
        <v>4400</v>
      </c>
      <c r="E6" s="4">
        <v>0</v>
      </c>
      <c r="F6" s="1"/>
      <c r="G6" s="4"/>
      <c r="H6" s="4">
        <f t="shared" si="0"/>
        <v>4400</v>
      </c>
      <c r="I6" s="4">
        <f t="shared" si="1"/>
        <v>0</v>
      </c>
      <c r="J6" s="4">
        <f>Table1[[#This Row],[Enrolment S.Y. 2025-2026 ]]*8</f>
        <v>4400</v>
      </c>
      <c r="K6" s="4">
        <v>0</v>
      </c>
      <c r="L6" s="1"/>
      <c r="M6" s="4"/>
      <c r="N6" s="4">
        <f t="shared" si="2"/>
        <v>4400</v>
      </c>
      <c r="O6" s="4">
        <f t="shared" si="3"/>
        <v>0</v>
      </c>
      <c r="P6" s="4">
        <f>Table1[[#This Row],[Enrolment S.Y. 2025-2026 ]]*8</f>
        <v>4400</v>
      </c>
      <c r="Q6" s="4">
        <v>0</v>
      </c>
      <c r="R6" s="1"/>
      <c r="S6" s="4"/>
      <c r="T6" s="4">
        <f t="shared" si="4"/>
        <v>4400</v>
      </c>
      <c r="U6" s="4">
        <f t="shared" si="5"/>
        <v>0</v>
      </c>
      <c r="V6" s="4">
        <f>Table1[[#This Row],[Enrolment S.Y. 2025-2026 ]]*8</f>
        <v>4400</v>
      </c>
      <c r="W6" s="4">
        <v>0</v>
      </c>
      <c r="X6" s="1"/>
      <c r="Y6" s="4"/>
      <c r="Z6" s="4">
        <f t="shared" si="6"/>
        <v>4400</v>
      </c>
      <c r="AA6" s="4">
        <f t="shared" si="7"/>
        <v>0</v>
      </c>
    </row>
    <row r="7" spans="1:27" ht="38.25">
      <c r="A7" s="1" t="s">
        <v>8</v>
      </c>
      <c r="B7" s="6" t="s">
        <v>13</v>
      </c>
      <c r="C7" s="1">
        <v>550</v>
      </c>
      <c r="D7" s="4">
        <f>Table1[[#This Row],[Enrolment S.Y. 2025-2026 ]]*8</f>
        <v>4400</v>
      </c>
      <c r="E7" s="4">
        <v>0</v>
      </c>
      <c r="F7" s="1"/>
      <c r="G7" s="4"/>
      <c r="H7" s="4">
        <f t="shared" si="0"/>
        <v>4400</v>
      </c>
      <c r="I7" s="4">
        <f t="shared" si="1"/>
        <v>0</v>
      </c>
      <c r="J7" s="4">
        <f>Table1[[#This Row],[Enrolment S.Y. 2025-2026 ]]*8</f>
        <v>4400</v>
      </c>
      <c r="K7" s="4">
        <v>0</v>
      </c>
      <c r="L7" s="1"/>
      <c r="M7" s="4"/>
      <c r="N7" s="4">
        <f t="shared" si="2"/>
        <v>4400</v>
      </c>
      <c r="O7" s="4">
        <f t="shared" si="3"/>
        <v>0</v>
      </c>
      <c r="P7" s="4">
        <f>Table1[[#This Row],[Enrolment S.Y. 2025-2026 ]]*8</f>
        <v>4400</v>
      </c>
      <c r="Q7" s="4">
        <v>0</v>
      </c>
      <c r="R7" s="1"/>
      <c r="S7" s="4"/>
      <c r="T7" s="4">
        <f t="shared" si="4"/>
        <v>4400</v>
      </c>
      <c r="U7" s="4">
        <f t="shared" si="5"/>
        <v>0</v>
      </c>
      <c r="V7" s="4">
        <f>Table1[[#This Row],[Enrolment S.Y. 2025-2026 ]]*8</f>
        <v>4400</v>
      </c>
      <c r="W7" s="4">
        <v>0</v>
      </c>
      <c r="X7" s="1"/>
      <c r="Y7" s="4"/>
      <c r="Z7" s="4">
        <f t="shared" si="6"/>
        <v>4400</v>
      </c>
      <c r="AA7" s="4">
        <f t="shared" si="7"/>
        <v>0</v>
      </c>
    </row>
    <row r="8" spans="1:27" ht="38.25">
      <c r="A8" s="1" t="s">
        <v>8</v>
      </c>
      <c r="B8" s="6" t="s">
        <v>14</v>
      </c>
      <c r="C8" s="1">
        <v>550</v>
      </c>
      <c r="D8" s="4">
        <f>Table1[[#This Row],[Enrolment S.Y. 2025-2026 ]]*8</f>
        <v>4400</v>
      </c>
      <c r="E8" s="4">
        <v>0</v>
      </c>
      <c r="F8" s="1"/>
      <c r="G8" s="4"/>
      <c r="H8" s="4">
        <f t="shared" si="0"/>
        <v>4400</v>
      </c>
      <c r="I8" s="4">
        <f t="shared" si="1"/>
        <v>0</v>
      </c>
      <c r="J8" s="4">
        <f>Table1[[#This Row],[Enrolment S.Y. 2025-2026 ]]*8</f>
        <v>4400</v>
      </c>
      <c r="K8" s="4">
        <v>0</v>
      </c>
      <c r="L8" s="1"/>
      <c r="M8" s="4"/>
      <c r="N8" s="4">
        <f t="shared" si="2"/>
        <v>4400</v>
      </c>
      <c r="O8" s="4">
        <f t="shared" si="3"/>
        <v>0</v>
      </c>
      <c r="P8" s="4">
        <f>Table1[[#This Row],[Enrolment S.Y. 2025-2026 ]]*8</f>
        <v>4400</v>
      </c>
      <c r="Q8" s="4">
        <v>0</v>
      </c>
      <c r="R8" s="1"/>
      <c r="S8" s="4"/>
      <c r="T8" s="4">
        <f t="shared" si="4"/>
        <v>4400</v>
      </c>
      <c r="U8" s="4">
        <f t="shared" si="5"/>
        <v>0</v>
      </c>
      <c r="V8" s="4">
        <f>Table1[[#This Row],[Enrolment S.Y. 2025-2026 ]]*8</f>
        <v>4400</v>
      </c>
      <c r="W8" s="4">
        <v>0</v>
      </c>
      <c r="X8" s="1"/>
      <c r="Y8" s="4"/>
      <c r="Z8" s="4">
        <f t="shared" si="6"/>
        <v>4400</v>
      </c>
      <c r="AA8" s="4">
        <f t="shared" si="7"/>
        <v>0</v>
      </c>
    </row>
    <row r="9" spans="1:27" ht="57.75">
      <c r="A9" s="1" t="s">
        <v>8</v>
      </c>
      <c r="B9" s="6" t="s">
        <v>15</v>
      </c>
      <c r="C9" s="1">
        <v>550</v>
      </c>
      <c r="D9" s="4">
        <f>Table1[[#This Row],[Enrolment S.Y. 2025-2026 ]]*8</f>
        <v>4400</v>
      </c>
      <c r="E9" s="4">
        <v>0</v>
      </c>
      <c r="F9" s="1"/>
      <c r="G9" s="4"/>
      <c r="H9" s="4">
        <f t="shared" si="0"/>
        <v>4400</v>
      </c>
      <c r="I9" s="4">
        <f t="shared" si="1"/>
        <v>0</v>
      </c>
      <c r="J9" s="4">
        <f>Table1[[#This Row],[Enrolment S.Y. 2025-2026 ]]*8</f>
        <v>4400</v>
      </c>
      <c r="K9" s="4">
        <v>0</v>
      </c>
      <c r="L9" s="1"/>
      <c r="M9" s="4"/>
      <c r="N9" s="4">
        <f t="shared" si="2"/>
        <v>4400</v>
      </c>
      <c r="O9" s="4">
        <f t="shared" si="3"/>
        <v>0</v>
      </c>
      <c r="P9" s="4">
        <f>Table1[[#This Row],[Enrolment S.Y. 2025-2026 ]]*8</f>
        <v>4400</v>
      </c>
      <c r="Q9" s="4">
        <v>0</v>
      </c>
      <c r="R9" s="1"/>
      <c r="S9" s="4"/>
      <c r="T9" s="4">
        <f t="shared" si="4"/>
        <v>4400</v>
      </c>
      <c r="U9" s="4">
        <f t="shared" si="5"/>
        <v>0</v>
      </c>
      <c r="V9" s="4">
        <f>Table1[[#This Row],[Enrolment S.Y. 2025-2026 ]]*8</f>
        <v>4400</v>
      </c>
      <c r="W9" s="4">
        <v>0</v>
      </c>
      <c r="X9" s="1"/>
      <c r="Y9" s="4"/>
      <c r="Z9" s="4">
        <f t="shared" si="6"/>
        <v>4400</v>
      </c>
      <c r="AA9" s="4">
        <f t="shared" si="7"/>
        <v>0</v>
      </c>
    </row>
    <row r="10" spans="1:27" ht="38.25">
      <c r="A10" s="1" t="s">
        <v>8</v>
      </c>
      <c r="B10" s="6" t="s">
        <v>16</v>
      </c>
      <c r="C10" s="1">
        <v>550</v>
      </c>
      <c r="D10" s="4">
        <f>Table1[[#This Row],[Enrolment S.Y. 2025-2026 ]]*8</f>
        <v>4400</v>
      </c>
      <c r="E10" s="4">
        <v>0</v>
      </c>
      <c r="F10" s="1"/>
      <c r="G10" s="4"/>
      <c r="H10" s="4">
        <f t="shared" si="0"/>
        <v>4400</v>
      </c>
      <c r="I10" s="4">
        <f t="shared" si="1"/>
        <v>0</v>
      </c>
      <c r="J10" s="4">
        <f>Table1[[#This Row],[Enrolment S.Y. 2025-2026 ]]*8</f>
        <v>4400</v>
      </c>
      <c r="K10" s="4">
        <v>0</v>
      </c>
      <c r="L10" s="1"/>
      <c r="M10" s="4"/>
      <c r="N10" s="4">
        <f t="shared" si="2"/>
        <v>4400</v>
      </c>
      <c r="O10" s="4">
        <f t="shared" si="3"/>
        <v>0</v>
      </c>
      <c r="P10" s="4">
        <f>Table1[[#This Row],[Enrolment S.Y. 2025-2026 ]]*8</f>
        <v>4400</v>
      </c>
      <c r="Q10" s="4">
        <v>0</v>
      </c>
      <c r="R10" s="1"/>
      <c r="S10" s="4"/>
      <c r="T10" s="4">
        <f t="shared" si="4"/>
        <v>4400</v>
      </c>
      <c r="U10" s="4">
        <f t="shared" si="5"/>
        <v>0</v>
      </c>
      <c r="V10" s="4">
        <f>Table1[[#This Row],[Enrolment S.Y. 2025-2026 ]]*8</f>
        <v>4400</v>
      </c>
      <c r="W10" s="4">
        <v>0</v>
      </c>
      <c r="X10" s="1"/>
      <c r="Y10" s="4"/>
      <c r="Z10" s="4">
        <f t="shared" si="6"/>
        <v>4400</v>
      </c>
      <c r="AA10" s="4">
        <f t="shared" si="7"/>
        <v>0</v>
      </c>
    </row>
    <row r="11" spans="1:27" ht="15"/>
    <row r="12" spans="1:27" s="5" customFormat="1" ht="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</row>
    <row r="13" spans="1:27" ht="15"/>
    <row r="14" spans="1:27" ht="15"/>
    <row r="15" spans="1:27" ht="15"/>
    <row r="16" spans="1:27" ht="15"/>
    <row r="17" spans="1:27" ht="15"/>
    <row r="18" spans="1:27" ht="15"/>
    <row r="19" spans="1:27" ht="15"/>
    <row r="20" spans="1:27" ht="15"/>
    <row r="21" spans="1:27" s="5" customFormat="1" ht="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</row>
    <row r="22" spans="1:27" ht="15"/>
    <row r="23" spans="1:27" ht="15"/>
    <row r="24" spans="1:27" ht="15"/>
    <row r="25" spans="1:27" ht="15"/>
    <row r="26" spans="1:27" ht="15"/>
    <row r="27" spans="1:27" ht="15"/>
    <row r="28" spans="1:27" ht="15"/>
    <row r="29" spans="1:27" ht="15"/>
    <row r="30" spans="1:27" ht="15"/>
    <row r="31" spans="1:27" s="5" customFormat="1" ht="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</row>
    <row r="32" spans="1:27" ht="15"/>
    <row r="33" spans="1:27" ht="15"/>
    <row r="34" spans="1:27" ht="15"/>
    <row r="35" spans="1:27" ht="15"/>
    <row r="36" spans="1:27" ht="15"/>
    <row r="37" spans="1:27" ht="15"/>
    <row r="38" spans="1:27" ht="15"/>
    <row r="39" spans="1:27" ht="15"/>
    <row r="40" spans="1:27" ht="15"/>
    <row r="41" spans="1:27" s="5" customFormat="1" ht="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</row>
    <row r="42" spans="1:27" ht="15"/>
    <row r="43" spans="1:27" ht="15"/>
    <row r="44" spans="1:27" ht="15"/>
    <row r="45" spans="1:27" ht="15"/>
    <row r="46" spans="1:27" ht="15"/>
    <row r="47" spans="1:27" ht="15"/>
    <row r="48" spans="1:27" ht="15"/>
    <row r="49" spans="1:27" ht="15"/>
    <row r="50" spans="1:27" ht="15"/>
    <row r="51" spans="1:27" s="5" customFormat="1" ht="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</row>
    <row r="52" spans="1:27" ht="15"/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s="5" customFormat="1" ht="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pans="1:27" ht="15"/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s="5" customFormat="1" ht="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72" spans="1:27" ht="15"/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s="5" customFormat="1" ht="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s="5" customFormat="1" ht="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s="5" customFormat="1" ht="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ht="15"/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s="5" customFormat="1" ht="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1:27" ht="15"/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</sheetData>
  <protectedRanges>
    <protectedRange sqref="C2" name="Textbooks"/>
    <protectedRange sqref="P2:R2 V2:X2 H3:I10 D2:F10 T3:X10 J2:L10 N3:R10 Z3:AA10" name="LAS"/>
    <protectedRange sqref="S2:U2 M2:O2 Y2:AA2 G3:G10 Y3:Y10 M3:M10 S3:S10 G2:I2" name="SOURCE"/>
    <protectedRange sqref="C3:C10" name="Textbooks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3:F10 L3:L10 R3:R10 X3:X10" xr:uid="{4ECCD083-8EC4-42EE-B46C-B614411F330D}">
      <formula1>"2024,2025  ,2026"</formula1>
    </dataValidation>
    <dataValidation type="list" allowBlank="1" showInputMessage="1" showErrorMessage="1" sqref="G3:G10 M3:M10 Y3:Y10 S3:S1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39"/>
  <sheetViews>
    <sheetView tabSelected="1" zoomScale="55" zoomScaleNormal="55" workbookViewId="0">
      <pane xSplit="2" ySplit="2" topLeftCell="R3" activePane="bottomRight" state="frozen"/>
      <selection pane="bottomRight" activeCell="Z33" sqref="Z33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1" customFormat="1" ht="34.15" customHeight="1">
      <c r="B1" s="22"/>
      <c r="D1" s="26" t="s">
        <v>17</v>
      </c>
      <c r="E1" s="26"/>
      <c r="F1" s="26"/>
      <c r="G1" s="26"/>
      <c r="H1" s="26"/>
      <c r="I1" s="26"/>
      <c r="J1" s="27" t="s">
        <v>18</v>
      </c>
      <c r="K1" s="27"/>
      <c r="L1" s="27"/>
      <c r="M1" s="27"/>
      <c r="N1" s="27"/>
      <c r="O1" s="27"/>
      <c r="P1" s="28" t="s">
        <v>19</v>
      </c>
      <c r="Q1" s="28"/>
      <c r="R1" s="28"/>
      <c r="S1" s="28"/>
      <c r="T1" s="28"/>
      <c r="U1" s="28"/>
      <c r="V1" s="29" t="s">
        <v>20</v>
      </c>
      <c r="W1" s="29"/>
      <c r="X1" s="29"/>
      <c r="Y1" s="29"/>
      <c r="Z1" s="29"/>
      <c r="AA1" s="29"/>
    </row>
    <row r="2" spans="1:27" ht="69.599999999999994" customHeight="1">
      <c r="A2" s="8" t="s">
        <v>0</v>
      </c>
      <c r="B2" s="23" t="s">
        <v>1</v>
      </c>
      <c r="C2" s="9" t="s">
        <v>2</v>
      </c>
      <c r="D2" s="13" t="s">
        <v>45</v>
      </c>
      <c r="E2" s="13" t="s">
        <v>46</v>
      </c>
      <c r="F2" s="14" t="s">
        <v>47</v>
      </c>
      <c r="G2" s="17" t="s">
        <v>48</v>
      </c>
      <c r="H2" s="10" t="s">
        <v>49</v>
      </c>
      <c r="I2" s="17" t="s">
        <v>50</v>
      </c>
      <c r="J2" s="15" t="s">
        <v>51</v>
      </c>
      <c r="K2" s="15" t="s">
        <v>52</v>
      </c>
      <c r="L2" s="16" t="s">
        <v>53</v>
      </c>
      <c r="M2" s="24" t="s">
        <v>54</v>
      </c>
      <c r="N2" s="24" t="s">
        <v>55</v>
      </c>
      <c r="O2" s="15" t="s">
        <v>56</v>
      </c>
      <c r="P2" s="17" t="s">
        <v>57</v>
      </c>
      <c r="Q2" s="17" t="s">
        <v>58</v>
      </c>
      <c r="R2" s="18" t="s">
        <v>59</v>
      </c>
      <c r="S2" s="10" t="s">
        <v>60</v>
      </c>
      <c r="T2" s="10" t="s">
        <v>61</v>
      </c>
      <c r="U2" s="17" t="s">
        <v>62</v>
      </c>
      <c r="V2" s="19" t="s">
        <v>63</v>
      </c>
      <c r="W2" s="19" t="s">
        <v>64</v>
      </c>
      <c r="X2" s="20" t="s">
        <v>65</v>
      </c>
      <c r="Y2" s="25" t="s">
        <v>66</v>
      </c>
      <c r="Z2" s="25" t="s">
        <v>67</v>
      </c>
      <c r="AA2" s="19" t="s">
        <v>68</v>
      </c>
    </row>
    <row r="3" spans="1:27" ht="38.25">
      <c r="A3" s="1" t="s">
        <v>8</v>
      </c>
      <c r="B3" s="6" t="s">
        <v>9</v>
      </c>
      <c r="C3" s="1">
        <v>550</v>
      </c>
      <c r="D3" s="4">
        <f>Table14[[#This Row],[Enrolment S.Y. 2025-2026 ]]*8</f>
        <v>4400</v>
      </c>
      <c r="E3" s="4">
        <v>0</v>
      </c>
      <c r="F3" s="1"/>
      <c r="G3" s="4"/>
      <c r="H3" s="4">
        <f t="shared" ref="H3:H10" si="0">IF((D3-E3)&lt;0,0,(D3-E3))</f>
        <v>4400</v>
      </c>
      <c r="I3" s="4">
        <f t="shared" ref="I3:I10" si="1">IF((E3-D3)&lt;0,0,(E3-D3))</f>
        <v>0</v>
      </c>
      <c r="J3" s="4">
        <f>Table14[[#This Row],[Enrolment S.Y. 2025-2026 ]]*8</f>
        <v>4400</v>
      </c>
      <c r="K3" s="4">
        <v>0</v>
      </c>
      <c r="L3" s="1"/>
      <c r="M3" s="4"/>
      <c r="N3" s="4">
        <f t="shared" ref="N3:N10" si="2">IF((J3-K3)&lt;0,0,(J3-K3))</f>
        <v>4400</v>
      </c>
      <c r="O3" s="4">
        <f t="shared" ref="O3:O10" si="3">IF((K3-J3)&lt;0,0,(K3-J3))</f>
        <v>0</v>
      </c>
      <c r="P3" s="4">
        <f>Table14[[#This Row],[Enrolment S.Y. 2025-2026 ]]*8</f>
        <v>4400</v>
      </c>
      <c r="Q3" s="4">
        <v>0</v>
      </c>
      <c r="R3" s="1"/>
      <c r="S3" s="4"/>
      <c r="T3" s="4">
        <f t="shared" ref="T3:T10" si="4">IF((P3-Q3)&lt;0,0,(P3-Q3))</f>
        <v>4400</v>
      </c>
      <c r="U3" s="4">
        <f t="shared" ref="U3:U10" si="5">IF((Q3-P3)&lt;0,0,(Q3-P3))</f>
        <v>0</v>
      </c>
      <c r="V3" s="4">
        <f>Table14[[#This Row],[Enrolment S.Y. 2025-2026 ]]*8</f>
        <v>4400</v>
      </c>
      <c r="W3" s="4">
        <v>0</v>
      </c>
      <c r="X3" s="1"/>
      <c r="Y3" s="4"/>
      <c r="Z3" s="4">
        <f t="shared" ref="Z3:Z10" si="6">IF((V3-W3)&lt;0,0,(V3-W3))</f>
        <v>4400</v>
      </c>
      <c r="AA3" s="4">
        <f t="shared" ref="AA3:AA10" si="7">IF((W3-V3)&lt;0,0,(W3-V3))</f>
        <v>0</v>
      </c>
    </row>
    <row r="4" spans="1:27" ht="19.5">
      <c r="A4" s="1" t="s">
        <v>8</v>
      </c>
      <c r="B4" s="6" t="s">
        <v>10</v>
      </c>
      <c r="C4" s="1">
        <v>550</v>
      </c>
      <c r="D4" s="4">
        <f>Table14[[#This Row],[Enrolment S.Y. 2025-2026 ]]*8</f>
        <v>4400</v>
      </c>
      <c r="E4" s="4">
        <v>0</v>
      </c>
      <c r="F4" s="1"/>
      <c r="G4" s="4"/>
      <c r="H4" s="4">
        <f t="shared" si="0"/>
        <v>4400</v>
      </c>
      <c r="I4" s="4">
        <f t="shared" si="1"/>
        <v>0</v>
      </c>
      <c r="J4" s="4">
        <f>Table14[[#This Row],[Enrolment S.Y. 2025-2026 ]]*8</f>
        <v>4400</v>
      </c>
      <c r="K4" s="4">
        <v>0</v>
      </c>
      <c r="L4" s="1"/>
      <c r="M4" s="4"/>
      <c r="N4" s="4">
        <f t="shared" si="2"/>
        <v>4400</v>
      </c>
      <c r="O4" s="4">
        <f t="shared" si="3"/>
        <v>0</v>
      </c>
      <c r="P4" s="4">
        <f>Table14[[#This Row],[Enrolment S.Y. 2025-2026 ]]*8</f>
        <v>4400</v>
      </c>
      <c r="Q4" s="4">
        <v>0</v>
      </c>
      <c r="R4" s="1"/>
      <c r="S4" s="4"/>
      <c r="T4" s="4">
        <f t="shared" si="4"/>
        <v>4400</v>
      </c>
      <c r="U4" s="4">
        <f t="shared" si="5"/>
        <v>0</v>
      </c>
      <c r="V4" s="4">
        <f>Table14[[#This Row],[Enrolment S.Y. 2025-2026 ]]*8</f>
        <v>4400</v>
      </c>
      <c r="W4" s="4">
        <v>0</v>
      </c>
      <c r="X4" s="1"/>
      <c r="Y4" s="4"/>
      <c r="Z4" s="4">
        <f t="shared" si="6"/>
        <v>4400</v>
      </c>
      <c r="AA4" s="4">
        <f t="shared" si="7"/>
        <v>0</v>
      </c>
    </row>
    <row r="5" spans="1:27" ht="19.5">
      <c r="A5" s="1" t="s">
        <v>8</v>
      </c>
      <c r="B5" s="6" t="s">
        <v>11</v>
      </c>
      <c r="C5" s="1">
        <v>550</v>
      </c>
      <c r="D5" s="4">
        <f>Table14[[#This Row],[Enrolment S.Y. 2025-2026 ]]*8</f>
        <v>4400</v>
      </c>
      <c r="E5" s="4">
        <v>0</v>
      </c>
      <c r="F5" s="1"/>
      <c r="G5" s="4"/>
      <c r="H5" s="4">
        <f t="shared" si="0"/>
        <v>4400</v>
      </c>
      <c r="I5" s="4">
        <f t="shared" si="1"/>
        <v>0</v>
      </c>
      <c r="J5" s="4">
        <f>Table14[[#This Row],[Enrolment S.Y. 2025-2026 ]]*8</f>
        <v>4400</v>
      </c>
      <c r="K5" s="4">
        <v>0</v>
      </c>
      <c r="L5" s="1"/>
      <c r="M5" s="4"/>
      <c r="N5" s="4">
        <f t="shared" si="2"/>
        <v>4400</v>
      </c>
      <c r="O5" s="4">
        <f t="shared" si="3"/>
        <v>0</v>
      </c>
      <c r="P5" s="4">
        <f>Table14[[#This Row],[Enrolment S.Y. 2025-2026 ]]*8</f>
        <v>4400</v>
      </c>
      <c r="Q5" s="4">
        <v>0</v>
      </c>
      <c r="R5" s="1"/>
      <c r="S5" s="4"/>
      <c r="T5" s="4">
        <f t="shared" si="4"/>
        <v>4400</v>
      </c>
      <c r="U5" s="4">
        <f t="shared" si="5"/>
        <v>0</v>
      </c>
      <c r="V5" s="4">
        <f>Table14[[#This Row],[Enrolment S.Y. 2025-2026 ]]*8</f>
        <v>4400</v>
      </c>
      <c r="W5" s="4">
        <v>0</v>
      </c>
      <c r="X5" s="1"/>
      <c r="Y5" s="4"/>
      <c r="Z5" s="4">
        <f t="shared" si="6"/>
        <v>4400</v>
      </c>
      <c r="AA5" s="4">
        <f t="shared" si="7"/>
        <v>0</v>
      </c>
    </row>
    <row r="6" spans="1:27" ht="19.5">
      <c r="A6" s="1" t="s">
        <v>8</v>
      </c>
      <c r="B6" s="6" t="s">
        <v>12</v>
      </c>
      <c r="C6" s="1">
        <v>550</v>
      </c>
      <c r="D6" s="4">
        <f>Table14[[#This Row],[Enrolment S.Y. 2025-2026 ]]*8</f>
        <v>4400</v>
      </c>
      <c r="E6" s="4">
        <v>0</v>
      </c>
      <c r="F6" s="1"/>
      <c r="G6" s="4"/>
      <c r="H6" s="4">
        <f t="shared" si="0"/>
        <v>4400</v>
      </c>
      <c r="I6" s="4">
        <f t="shared" si="1"/>
        <v>0</v>
      </c>
      <c r="J6" s="4">
        <f>Table14[[#This Row],[Enrolment S.Y. 2025-2026 ]]*8</f>
        <v>4400</v>
      </c>
      <c r="K6" s="4">
        <v>0</v>
      </c>
      <c r="L6" s="1"/>
      <c r="M6" s="4"/>
      <c r="N6" s="4">
        <f t="shared" si="2"/>
        <v>4400</v>
      </c>
      <c r="O6" s="4">
        <f t="shared" si="3"/>
        <v>0</v>
      </c>
      <c r="P6" s="4">
        <f>Table14[[#This Row],[Enrolment S.Y. 2025-2026 ]]*8</f>
        <v>4400</v>
      </c>
      <c r="Q6" s="4">
        <v>0</v>
      </c>
      <c r="R6" s="1"/>
      <c r="S6" s="4"/>
      <c r="T6" s="4">
        <f t="shared" si="4"/>
        <v>4400</v>
      </c>
      <c r="U6" s="4">
        <f t="shared" si="5"/>
        <v>0</v>
      </c>
      <c r="V6" s="4">
        <f>Table14[[#This Row],[Enrolment S.Y. 2025-2026 ]]*8</f>
        <v>4400</v>
      </c>
      <c r="W6" s="4">
        <v>0</v>
      </c>
      <c r="X6" s="1"/>
      <c r="Y6" s="4"/>
      <c r="Z6" s="4">
        <f t="shared" si="6"/>
        <v>4400</v>
      </c>
      <c r="AA6" s="4">
        <f t="shared" si="7"/>
        <v>0</v>
      </c>
    </row>
    <row r="7" spans="1:27" ht="38.25">
      <c r="A7" s="1" t="s">
        <v>8</v>
      </c>
      <c r="B7" s="6" t="s">
        <v>13</v>
      </c>
      <c r="C7" s="1">
        <v>550</v>
      </c>
      <c r="D7" s="4">
        <f>Table14[[#This Row],[Enrolment S.Y. 2025-2026 ]]*8</f>
        <v>4400</v>
      </c>
      <c r="E7" s="4">
        <v>0</v>
      </c>
      <c r="F7" s="1"/>
      <c r="G7" s="4"/>
      <c r="H7" s="4">
        <f t="shared" si="0"/>
        <v>4400</v>
      </c>
      <c r="I7" s="4">
        <f t="shared" si="1"/>
        <v>0</v>
      </c>
      <c r="J7" s="4">
        <f>Table14[[#This Row],[Enrolment S.Y. 2025-2026 ]]*8</f>
        <v>4400</v>
      </c>
      <c r="K7" s="4">
        <v>0</v>
      </c>
      <c r="L7" s="1"/>
      <c r="M7" s="4"/>
      <c r="N7" s="4">
        <f t="shared" si="2"/>
        <v>4400</v>
      </c>
      <c r="O7" s="4">
        <f t="shared" si="3"/>
        <v>0</v>
      </c>
      <c r="P7" s="4">
        <f>Table14[[#This Row],[Enrolment S.Y. 2025-2026 ]]*8</f>
        <v>4400</v>
      </c>
      <c r="Q7" s="4">
        <v>0</v>
      </c>
      <c r="R7" s="1"/>
      <c r="S7" s="4"/>
      <c r="T7" s="4">
        <f t="shared" si="4"/>
        <v>4400</v>
      </c>
      <c r="U7" s="4">
        <f t="shared" si="5"/>
        <v>0</v>
      </c>
      <c r="V7" s="4">
        <f>Table14[[#This Row],[Enrolment S.Y. 2025-2026 ]]*8</f>
        <v>4400</v>
      </c>
      <c r="W7" s="4">
        <v>0</v>
      </c>
      <c r="X7" s="1"/>
      <c r="Y7" s="4"/>
      <c r="Z7" s="4">
        <f t="shared" si="6"/>
        <v>4400</v>
      </c>
      <c r="AA7" s="4">
        <f t="shared" si="7"/>
        <v>0</v>
      </c>
    </row>
    <row r="8" spans="1:27" ht="38.25">
      <c r="A8" s="1" t="s">
        <v>8</v>
      </c>
      <c r="B8" s="6" t="s">
        <v>14</v>
      </c>
      <c r="C8" s="1">
        <v>550</v>
      </c>
      <c r="D8" s="4">
        <f>Table14[[#This Row],[Enrolment S.Y. 2025-2026 ]]*8</f>
        <v>4400</v>
      </c>
      <c r="E8" s="4">
        <v>0</v>
      </c>
      <c r="F8" s="1"/>
      <c r="G8" s="4"/>
      <c r="H8" s="4">
        <f t="shared" si="0"/>
        <v>4400</v>
      </c>
      <c r="I8" s="4">
        <f t="shared" si="1"/>
        <v>0</v>
      </c>
      <c r="J8" s="4">
        <f>Table14[[#This Row],[Enrolment S.Y. 2025-2026 ]]*8</f>
        <v>4400</v>
      </c>
      <c r="K8" s="4">
        <v>0</v>
      </c>
      <c r="L8" s="1"/>
      <c r="M8" s="4"/>
      <c r="N8" s="4">
        <f t="shared" si="2"/>
        <v>4400</v>
      </c>
      <c r="O8" s="4">
        <f t="shared" si="3"/>
        <v>0</v>
      </c>
      <c r="P8" s="4">
        <f>Table14[[#This Row],[Enrolment S.Y. 2025-2026 ]]*8</f>
        <v>4400</v>
      </c>
      <c r="Q8" s="4">
        <v>0</v>
      </c>
      <c r="R8" s="1"/>
      <c r="S8" s="4"/>
      <c r="T8" s="4">
        <f t="shared" si="4"/>
        <v>4400</v>
      </c>
      <c r="U8" s="4">
        <f t="shared" si="5"/>
        <v>0</v>
      </c>
      <c r="V8" s="4">
        <f>Table14[[#This Row],[Enrolment S.Y. 2025-2026 ]]*8</f>
        <v>4400</v>
      </c>
      <c r="W8" s="4">
        <v>0</v>
      </c>
      <c r="X8" s="1"/>
      <c r="Y8" s="4"/>
      <c r="Z8" s="4">
        <f t="shared" si="6"/>
        <v>4400</v>
      </c>
      <c r="AA8" s="4">
        <f t="shared" si="7"/>
        <v>0</v>
      </c>
    </row>
    <row r="9" spans="1:27" ht="57.75">
      <c r="A9" s="1" t="s">
        <v>8</v>
      </c>
      <c r="B9" s="6" t="s">
        <v>15</v>
      </c>
      <c r="C9" s="1">
        <v>550</v>
      </c>
      <c r="D9" s="4">
        <f>Table14[[#This Row],[Enrolment S.Y. 2025-2026 ]]*8</f>
        <v>4400</v>
      </c>
      <c r="E9" s="4">
        <v>0</v>
      </c>
      <c r="F9" s="1"/>
      <c r="G9" s="4"/>
      <c r="H9" s="4">
        <f t="shared" si="0"/>
        <v>4400</v>
      </c>
      <c r="I9" s="4">
        <f t="shared" si="1"/>
        <v>0</v>
      </c>
      <c r="J9" s="4">
        <f>Table14[[#This Row],[Enrolment S.Y. 2025-2026 ]]*8</f>
        <v>4400</v>
      </c>
      <c r="K9" s="4">
        <v>0</v>
      </c>
      <c r="L9" s="1"/>
      <c r="M9" s="4"/>
      <c r="N9" s="4">
        <f t="shared" si="2"/>
        <v>4400</v>
      </c>
      <c r="O9" s="4">
        <f t="shared" si="3"/>
        <v>0</v>
      </c>
      <c r="P9" s="4">
        <f>Table14[[#This Row],[Enrolment S.Y. 2025-2026 ]]*8</f>
        <v>4400</v>
      </c>
      <c r="Q9" s="4">
        <v>0</v>
      </c>
      <c r="R9" s="1"/>
      <c r="S9" s="4"/>
      <c r="T9" s="4">
        <f t="shared" si="4"/>
        <v>4400</v>
      </c>
      <c r="U9" s="4">
        <f t="shared" si="5"/>
        <v>0</v>
      </c>
      <c r="V9" s="4">
        <f>Table14[[#This Row],[Enrolment S.Y. 2025-2026 ]]*8</f>
        <v>4400</v>
      </c>
      <c r="W9" s="4">
        <v>0</v>
      </c>
      <c r="X9" s="1"/>
      <c r="Y9" s="4"/>
      <c r="Z9" s="4">
        <f t="shared" si="6"/>
        <v>4400</v>
      </c>
      <c r="AA9" s="4">
        <f t="shared" si="7"/>
        <v>0</v>
      </c>
    </row>
    <row r="10" spans="1:27" s="5" customFormat="1" ht="38.25">
      <c r="A10" s="1" t="s">
        <v>8</v>
      </c>
      <c r="B10" s="6" t="s">
        <v>16</v>
      </c>
      <c r="C10" s="1">
        <v>550</v>
      </c>
      <c r="D10" s="4">
        <f>Table14[[#This Row],[Enrolment S.Y. 2025-2026 ]]*8</f>
        <v>4400</v>
      </c>
      <c r="E10" s="4">
        <v>0</v>
      </c>
      <c r="F10" s="1"/>
      <c r="G10" s="4"/>
      <c r="H10" s="4">
        <f t="shared" si="0"/>
        <v>4400</v>
      </c>
      <c r="I10" s="4">
        <f t="shared" si="1"/>
        <v>0</v>
      </c>
      <c r="J10" s="4">
        <f>Table14[[#This Row],[Enrolment S.Y. 2025-2026 ]]*8</f>
        <v>4400</v>
      </c>
      <c r="K10" s="4">
        <v>0</v>
      </c>
      <c r="L10" s="1"/>
      <c r="M10" s="4"/>
      <c r="N10" s="4">
        <f t="shared" si="2"/>
        <v>4400</v>
      </c>
      <c r="O10" s="4">
        <f t="shared" si="3"/>
        <v>0</v>
      </c>
      <c r="P10" s="4">
        <f>Table14[[#This Row],[Enrolment S.Y. 2025-2026 ]]*8</f>
        <v>4400</v>
      </c>
      <c r="Q10" s="4">
        <v>0</v>
      </c>
      <c r="R10" s="1"/>
      <c r="S10" s="4"/>
      <c r="T10" s="4">
        <f t="shared" si="4"/>
        <v>4400</v>
      </c>
      <c r="U10" s="4">
        <f t="shared" si="5"/>
        <v>0</v>
      </c>
      <c r="V10" s="4">
        <f>Table14[[#This Row],[Enrolment S.Y. 2025-2026 ]]*8</f>
        <v>4400</v>
      </c>
      <c r="W10" s="4">
        <v>0</v>
      </c>
      <c r="X10" s="1"/>
      <c r="Y10" s="4"/>
      <c r="Z10" s="4">
        <f t="shared" si="6"/>
        <v>4400</v>
      </c>
      <c r="AA10" s="4">
        <f t="shared" si="7"/>
        <v>0</v>
      </c>
    </row>
    <row r="11" spans="1:27" ht="15"/>
    <row r="12" spans="1:27" ht="15"/>
    <row r="13" spans="1:27" ht="15"/>
    <row r="14" spans="1:27" ht="15"/>
    <row r="15" spans="1:27" ht="15"/>
    <row r="16" spans="1:27" ht="15"/>
    <row r="17" spans="1:27" ht="15"/>
    <row r="18" spans="1:27" ht="15"/>
    <row r="19" spans="1:27" s="5" customFormat="1" ht="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</row>
    <row r="20" spans="1:27" ht="15"/>
    <row r="21" spans="1:27" ht="15"/>
    <row r="22" spans="1:27" ht="15"/>
    <row r="23" spans="1:27" ht="15"/>
    <row r="24" spans="1:27" ht="15"/>
    <row r="25" spans="1:27" ht="15"/>
    <row r="26" spans="1:27" ht="15"/>
    <row r="27" spans="1:27" ht="15"/>
    <row r="28" spans="1:27" ht="15"/>
    <row r="29" spans="1:27" s="5" customFormat="1" ht="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</row>
    <row r="30" spans="1:27" ht="15"/>
    <row r="31" spans="1:27" ht="15"/>
    <row r="32" spans="1:27" ht="15"/>
    <row r="33" spans="1:27" ht="15"/>
    <row r="34" spans="1:27" ht="15"/>
    <row r="35" spans="1:27" ht="15"/>
    <row r="36" spans="1:27" ht="15"/>
    <row r="37" spans="1:27" ht="15"/>
    <row r="38" spans="1:27" ht="15"/>
    <row r="39" spans="1:27" ht="15"/>
    <row r="40" spans="1:27" ht="15"/>
    <row r="41" spans="1:27" s="5" customFormat="1" ht="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</row>
    <row r="42" spans="1:27" ht="15"/>
    <row r="43" spans="1:27" ht="15"/>
    <row r="44" spans="1:27" ht="15"/>
    <row r="45" spans="1:27" ht="15"/>
    <row r="46" spans="1:27" ht="15"/>
    <row r="47" spans="1:27" ht="15"/>
    <row r="48" spans="1:27" ht="15"/>
    <row r="49" spans="1:27" ht="15"/>
    <row r="50" spans="1:27" ht="15"/>
    <row r="51" spans="1:27" ht="15"/>
    <row r="52" spans="1:27" ht="15"/>
    <row r="53" spans="1:27" s="5" customFormat="1" ht="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</row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ht="15"/>
    <row r="63" spans="1:27" ht="15"/>
    <row r="64" spans="1:27" ht="15"/>
    <row r="65" spans="1:27" s="5" customFormat="1" ht="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</row>
    <row r="66" spans="1:27" ht="15"/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s="5" customFormat="1" ht="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</row>
    <row r="78" spans="1:27" ht="15"/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s="5" customFormat="1" ht="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1:27" ht="15"/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s="5" customFormat="1" ht="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ht="15"/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s="5" customFormat="1" ht="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1:28" ht="15"/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s="5" customFormat="1" ht="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1:28">
      <c r="AB123" s="5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</sheetData>
  <protectedRanges>
    <protectedRange sqref="C2" name="Textbooks"/>
    <protectedRange sqref="J2:L2 P2:R2 Z3:AA10 V2:X2 D2:F2 D3:F10 H3:L10 N3:R10 T3:X10" name="LAS"/>
    <protectedRange sqref="G2:I2 M2:O2 S2:U2 Y2:AA2 Y3:Y10 G3:G10 M3:M10 S3:S10" name="SOURCE"/>
    <protectedRange sqref="C3:C10" name="Textbooks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3:S10 Y3:Y10 G3:G10 M3:M10" xr:uid="{CBD486C7-A5DB-48F1-B496-5027CC51E830}">
      <formula1>"CO,RO,SDO,LGU,SCHOOL"</formula1>
    </dataValidation>
    <dataValidation type="list" allowBlank="1" showInputMessage="1" showErrorMessage="1" sqref="X3:X10 F3:F10 L3:L10 R3:R10" xr:uid="{77F72D89-8371-4D0C-A323-BD25723C617C}">
      <formula1>"2024,2025 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2026-04-13T07:37:36Z</dcterms:modified>
  <cp:category/>
  <cp:contentStatus/>
</cp:coreProperties>
</file>