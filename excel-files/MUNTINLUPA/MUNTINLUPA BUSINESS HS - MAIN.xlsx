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3" documentId="13_ncr:1_{BFB59F67-F0DC-4675-A682-EB0734A8026A}" xr6:coauthVersionLast="47" xr6:coauthVersionMax="47" xr10:uidLastSave="{19F959E0-2C38-4B5D-80DC-1446899F96C6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<sst xmlns="http://schemas.openxmlformats.org/spreadsheetml/2006/main" count="286" uniqueCount="85">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</sst>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33" sqref="C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4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1026</v>
      </c>
      <c r="D3" s="8">
        <v>858</v>
      </c>
      <c r="E3" s="8">
        <v>2025</v>
      </c>
      <c r="F3" s="10" t="s">
        <v>9</v>
      </c>
      <c r="G3" s="2">
        <f t="shared" ref="G3:G11" si="0">IF((C3-D3)&lt;0,0,C3-D3)</f>
        <v>168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10</v>
      </c>
      <c r="C4" s="8">
        <v>1026</v>
      </c>
      <c r="D4" s="8">
        <v>0</v>
      </c>
      <c r="E4" s="8"/>
      <c r="F4" s="10"/>
      <c r="G4" s="2">
        <f t="shared" si="0"/>
        <v>1026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1026</v>
      </c>
      <c r="D5" s="8">
        <v>858</v>
      </c>
      <c r="E5" s="8">
        <v>2024</v>
      </c>
      <c r="F5" s="10" t="s">
        <v>9</v>
      </c>
      <c r="G5" s="2">
        <f t="shared" si="0"/>
        <v>168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1026</v>
      </c>
      <c r="D6" s="8">
        <v>0</v>
      </c>
      <c r="E6" s="8"/>
      <c r="F6" s="10"/>
      <c r="G6" s="2">
        <f t="shared" si="0"/>
        <v>1026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1026</v>
      </c>
      <c r="D7" s="8">
        <v>858</v>
      </c>
      <c r="E7" s="8">
        <v>2025</v>
      </c>
      <c r="F7" s="10" t="s">
        <v>9</v>
      </c>
      <c r="G7" s="2">
        <f>IF((C7-D7)&lt;0,0,C7-D7)</f>
        <v>168</v>
      </c>
      <c r="H7" s="3">
        <f>IF((D7-C7)&lt;0,0,D7-C7)</f>
        <v>0</v>
      </c>
    </row>
    <row r="8" spans="1:8" ht="39.75" customHeight="1">
      <c r="A8" s="8">
        <v>7</v>
      </c>
      <c r="B8" s="9" t="s">
        <v>14</v>
      </c>
      <c r="C8" s="8">
        <v>1026</v>
      </c>
      <c r="D8" s="8">
        <v>858</v>
      </c>
      <c r="E8" s="8">
        <v>2026</v>
      </c>
      <c r="F8" s="10" t="s">
        <v>9</v>
      </c>
      <c r="G8" s="2">
        <f>IF((C8-D8)&lt;0,0,C8-D8)</f>
        <v>168</v>
      </c>
      <c r="H8" s="3">
        <f>IF((D8-C8)&lt;0,0,D8-C8)</f>
        <v>0</v>
      </c>
    </row>
    <row r="9" spans="1:8" ht="29.25" customHeight="1">
      <c r="A9" s="8">
        <v>7</v>
      </c>
      <c r="B9" s="9" t="s">
        <v>15</v>
      </c>
      <c r="C9" s="8">
        <v>1026</v>
      </c>
      <c r="D9" s="8">
        <v>858</v>
      </c>
      <c r="E9" s="8">
        <v>2025</v>
      </c>
      <c r="F9" s="10" t="s">
        <v>9</v>
      </c>
      <c r="G9" s="2">
        <f t="shared" si="0"/>
        <v>168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1026</v>
      </c>
      <c r="D10" s="8">
        <v>858</v>
      </c>
      <c r="E10" s="8">
        <v>2025</v>
      </c>
      <c r="F10" s="10" t="s">
        <v>9</v>
      </c>
      <c r="G10" s="2">
        <f t="shared" si="0"/>
        <v>168</v>
      </c>
      <c r="H10" s="3">
        <f t="shared" si="1"/>
        <v>0</v>
      </c>
    </row>
    <row r="11" spans="1:8" ht="24" customHeight="1">
      <c r="A11" s="8">
        <v>7</v>
      </c>
      <c r="B11" s="9" t="s">
        <v>17</v>
      </c>
      <c r="C11" s="8">
        <v>1026</v>
      </c>
      <c r="D11" s="8">
        <v>858</v>
      </c>
      <c r="E11" s="8">
        <v>2025</v>
      </c>
      <c r="F11" s="10" t="s">
        <v>9</v>
      </c>
      <c r="G11" s="2">
        <f t="shared" si="0"/>
        <v>168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861</v>
      </c>
      <c r="D13" s="8">
        <v>0</v>
      </c>
      <c r="E13" s="8"/>
      <c r="F13" s="10"/>
      <c r="G13" s="2">
        <f t="shared" ref="G13:G21" si="2">IF((C13-D13)&lt;0,0,C13-D13)</f>
        <v>861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861</v>
      </c>
      <c r="D14" s="8">
        <v>0</v>
      </c>
      <c r="E14" s="8"/>
      <c r="F14" s="10"/>
      <c r="G14" s="2">
        <f t="shared" si="2"/>
        <v>861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861</v>
      </c>
      <c r="D15" s="8">
        <v>682</v>
      </c>
      <c r="E15" s="8">
        <v>2025</v>
      </c>
      <c r="F15" s="10" t="s">
        <v>9</v>
      </c>
      <c r="G15" s="2">
        <f t="shared" si="2"/>
        <v>179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861</v>
      </c>
      <c r="D16" s="8">
        <v>682</v>
      </c>
      <c r="E16" s="8">
        <v>2025</v>
      </c>
      <c r="F16" s="10" t="s">
        <v>9</v>
      </c>
      <c r="G16" s="2">
        <f t="shared" si="2"/>
        <v>179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861</v>
      </c>
      <c r="D17" s="8">
        <v>0</v>
      </c>
      <c r="E17" s="8"/>
      <c r="F17" s="10"/>
      <c r="G17" s="2">
        <f t="shared" si="2"/>
        <v>861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861</v>
      </c>
      <c r="D18" s="8">
        <v>0</v>
      </c>
      <c r="E18" s="8"/>
      <c r="F18" s="10"/>
      <c r="G18" s="2">
        <f t="shared" si="2"/>
        <v>861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861</v>
      </c>
      <c r="D19" s="8">
        <v>0</v>
      </c>
      <c r="E19" s="8"/>
      <c r="F19" s="10"/>
      <c r="G19" s="2">
        <f t="shared" si="2"/>
        <v>861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861</v>
      </c>
      <c r="D20" s="8">
        <v>0</v>
      </c>
      <c r="E20" s="8"/>
      <c r="F20" s="10"/>
      <c r="G20" s="2">
        <f t="shared" si="2"/>
        <v>861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861</v>
      </c>
      <c r="D21" s="8">
        <v>0</v>
      </c>
      <c r="E21" s="8"/>
      <c r="F21" s="10"/>
      <c r="G21" s="2">
        <f t="shared" si="2"/>
        <v>861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688</v>
      </c>
      <c r="D23" s="8">
        <v>0</v>
      </c>
      <c r="E23" s="8"/>
      <c r="F23" s="10"/>
      <c r="G23" s="2">
        <f t="shared" ref="G23:G31" si="4">IF((C23-D23)&lt;0,0,C23-D23)</f>
        <v>688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688</v>
      </c>
      <c r="D24" s="8">
        <v>0</v>
      </c>
      <c r="E24" s="8"/>
      <c r="F24" s="10"/>
      <c r="G24" s="2">
        <f t="shared" si="4"/>
        <v>688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688</v>
      </c>
      <c r="D25" s="8">
        <v>0</v>
      </c>
      <c r="E25" s="8"/>
      <c r="F25" s="10"/>
      <c r="G25" s="2">
        <f t="shared" si="4"/>
        <v>688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688</v>
      </c>
      <c r="D26" s="8">
        <v>0</v>
      </c>
      <c r="E26" s="8"/>
      <c r="F26" s="10"/>
      <c r="G26" s="2">
        <f t="shared" si="4"/>
        <v>688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688</v>
      </c>
      <c r="D27" s="8">
        <v>0</v>
      </c>
      <c r="E27" s="8"/>
      <c r="F27" s="10"/>
      <c r="G27" s="2">
        <f t="shared" si="4"/>
        <v>688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688</v>
      </c>
      <c r="D28" s="8">
        <v>0</v>
      </c>
      <c r="E28" s="8"/>
      <c r="F28" s="10"/>
      <c r="G28" s="2">
        <f t="shared" si="4"/>
        <v>688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688</v>
      </c>
      <c r="D29" s="8">
        <v>0</v>
      </c>
      <c r="E29" s="8"/>
      <c r="F29" s="10"/>
      <c r="G29" s="2">
        <f t="shared" si="4"/>
        <v>688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688</v>
      </c>
      <c r="D30" s="8">
        <v>0</v>
      </c>
      <c r="E30" s="8"/>
      <c r="F30" s="10"/>
      <c r="G30" s="2">
        <f t="shared" si="4"/>
        <v>688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688</v>
      </c>
      <c r="D31" s="8">
        <v>0</v>
      </c>
      <c r="E31" s="8"/>
      <c r="F31" s="10"/>
      <c r="G31" s="2">
        <f t="shared" si="4"/>
        <v>688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552</v>
      </c>
      <c r="D33" s="8">
        <v>0</v>
      </c>
      <c r="E33" s="8"/>
      <c r="F33" s="10"/>
      <c r="G33" s="2">
        <f t="shared" ref="G33:G41" si="6">IF((C33-D33)&lt;0,0,C33-D33)</f>
        <v>552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552</v>
      </c>
      <c r="D34" s="8">
        <v>0</v>
      </c>
      <c r="E34" s="8"/>
      <c r="F34" s="10"/>
      <c r="G34" s="2">
        <f t="shared" si="6"/>
        <v>552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552</v>
      </c>
      <c r="D35" s="8">
        <v>0</v>
      </c>
      <c r="E35" s="8"/>
      <c r="F35" s="10"/>
      <c r="G35" s="2">
        <f t="shared" si="6"/>
        <v>552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552</v>
      </c>
      <c r="D36" s="8">
        <v>0</v>
      </c>
      <c r="E36" s="8"/>
      <c r="F36" s="10"/>
      <c r="G36" s="2">
        <f t="shared" si="6"/>
        <v>552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552</v>
      </c>
      <c r="D37" s="8">
        <v>0</v>
      </c>
      <c r="E37" s="8"/>
      <c r="F37" s="10"/>
      <c r="G37" s="2">
        <f t="shared" si="6"/>
        <v>552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552</v>
      </c>
      <c r="D38" s="8">
        <v>0</v>
      </c>
      <c r="E38" s="8"/>
      <c r="F38" s="10"/>
      <c r="G38" s="2">
        <f t="shared" si="6"/>
        <v>552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552</v>
      </c>
      <c r="D39" s="8">
        <v>0</v>
      </c>
      <c r="E39" s="8"/>
      <c r="F39" s="10"/>
      <c r="G39" s="2">
        <f t="shared" si="6"/>
        <v>552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552</v>
      </c>
      <c r="D40" s="8">
        <v>0</v>
      </c>
      <c r="E40" s="8"/>
      <c r="F40" s="10"/>
      <c r="G40" s="2">
        <f t="shared" si="6"/>
        <v>552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552</v>
      </c>
      <c r="D41" s="8">
        <v>0</v>
      </c>
      <c r="E41" s="8"/>
      <c r="F41" s="10"/>
      <c r="G41" s="2">
        <f t="shared" si="6"/>
        <v>552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23:E31 E33:E41 E13:E21" xr:uid="{B46E7B13-721E-4D49-837E-C02BF9777D48}">
      <formula1>"2024,2025"</formula1>
    </dataValidation>
    <dataValidation type="list" allowBlank="1" showInputMessage="1" showErrorMessage="1" sqref="F43:F50 F3:F11 F23:F31 F33:F41 F13:F2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C3" activePane="bottomRight" state="frozen"/>
      <selection pane="bottomRight" activeCell="U37" sqref="U3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1026</v>
      </c>
      <c r="D4" s="10">
        <f>Table1[[#This Row],[Enrolment S.Y. 2025-2026 ]]*8</f>
        <v>8208</v>
      </c>
      <c r="E4" s="10">
        <v>0</v>
      </c>
      <c r="F4" s="8"/>
      <c r="G4" s="10"/>
      <c r="H4" s="10">
        <f t="shared" ref="H4:H18" si="0">IF((D4-E4)&lt;0,0,(D4-E4))</f>
        <v>8208</v>
      </c>
      <c r="I4" s="10">
        <f t="shared" ref="I4:I18" si="1">IF((E4-D4)&lt;0,0,(E4-D4))</f>
        <v>0</v>
      </c>
      <c r="J4" s="10">
        <f>Table1[[#This Row],[Enrolment S.Y. 2025-2026 ]]*8</f>
        <v>8208</v>
      </c>
      <c r="K4" s="10"/>
      <c r="L4" s="8"/>
      <c r="M4" s="10"/>
      <c r="N4" s="10">
        <f t="shared" ref="N4:N10" si="2">IF((J4-K4)&lt;0,0,(J4-K4))</f>
        <v>8208</v>
      </c>
      <c r="O4" s="10">
        <f t="shared" ref="O4:O10" si="3">IF((K4-J4)&lt;0,0,(K4-J4))</f>
        <v>0</v>
      </c>
      <c r="P4" s="10">
        <f>Table1[[#This Row],[Enrolment S.Y. 2025-2026 ]]*8</f>
        <v>8208</v>
      </c>
      <c r="Q4" s="10"/>
      <c r="R4" s="8"/>
      <c r="S4" s="10"/>
      <c r="T4" s="10">
        <f t="shared" ref="T4:T10" si="4">IF((P4-Q4)&lt;0,0,(P4-Q4))</f>
        <v>8208</v>
      </c>
      <c r="U4" s="10">
        <f t="shared" ref="U4:U10" si="5">IF((Q4-P4)&lt;0,0,(Q4-P4))</f>
        <v>0</v>
      </c>
      <c r="V4" s="10">
        <f>Table1[[#This Row],[Enrolment S.Y. 2025-2026 ]]*8</f>
        <v>8208</v>
      </c>
      <c r="W4" s="10"/>
      <c r="X4" s="8"/>
      <c r="Y4" s="10"/>
      <c r="Z4" s="10">
        <f t="shared" ref="Z4:Z10" si="6">IF((V4-W4)&lt;0,0,(V4-W4))</f>
        <v>8208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1026</v>
      </c>
      <c r="D5" s="10">
        <f>Table1[[#This Row],[Enrolment S.Y. 2025-2026 ]]*8</f>
        <v>8208</v>
      </c>
      <c r="E5" s="10">
        <v>0</v>
      </c>
      <c r="F5" s="8"/>
      <c r="G5" s="10"/>
      <c r="H5" s="10">
        <f t="shared" si="0"/>
        <v>8208</v>
      </c>
      <c r="I5" s="10">
        <f t="shared" si="1"/>
        <v>0</v>
      </c>
      <c r="J5" s="10">
        <f>Table1[[#This Row],[Enrolment S.Y. 2025-2026 ]]*8</f>
        <v>8208</v>
      </c>
      <c r="K5" s="10"/>
      <c r="L5" s="8"/>
      <c r="M5" s="10"/>
      <c r="N5" s="10">
        <f t="shared" si="2"/>
        <v>8208</v>
      </c>
      <c r="O5" s="10">
        <f t="shared" si="3"/>
        <v>0</v>
      </c>
      <c r="P5" s="10">
        <f>Table1[[#This Row],[Enrolment S.Y. 2025-2026 ]]*8</f>
        <v>8208</v>
      </c>
      <c r="Q5" s="10"/>
      <c r="R5" s="8"/>
      <c r="S5" s="10"/>
      <c r="T5" s="10">
        <f t="shared" si="4"/>
        <v>8208</v>
      </c>
      <c r="U5" s="10">
        <f t="shared" si="5"/>
        <v>0</v>
      </c>
      <c r="V5" s="10">
        <f>Table1[[#This Row],[Enrolment S.Y. 2025-2026 ]]*8</f>
        <v>8208</v>
      </c>
      <c r="W5" s="10"/>
      <c r="X5" s="8"/>
      <c r="Y5" s="10"/>
      <c r="Z5" s="10">
        <f t="shared" si="6"/>
        <v>8208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1026</v>
      </c>
      <c r="D6" s="10">
        <f>Table1[[#This Row],[Enrolment S.Y. 2025-2026 ]]*8</f>
        <v>8208</v>
      </c>
      <c r="E6" s="10">
        <v>0</v>
      </c>
      <c r="F6" s="8"/>
      <c r="G6" s="10"/>
      <c r="H6" s="10">
        <f t="shared" si="0"/>
        <v>8208</v>
      </c>
      <c r="I6" s="10">
        <f t="shared" si="1"/>
        <v>0</v>
      </c>
      <c r="J6" s="10">
        <f>Table1[[#This Row],[Enrolment S.Y. 2025-2026 ]]*8</f>
        <v>8208</v>
      </c>
      <c r="K6" s="10"/>
      <c r="L6" s="8"/>
      <c r="M6" s="10"/>
      <c r="N6" s="10">
        <f t="shared" si="2"/>
        <v>8208</v>
      </c>
      <c r="O6" s="10">
        <f t="shared" si="3"/>
        <v>0</v>
      </c>
      <c r="P6" s="10">
        <f>Table1[[#This Row],[Enrolment S.Y. 2025-2026 ]]*8</f>
        <v>8208</v>
      </c>
      <c r="Q6" s="10"/>
      <c r="R6" s="8"/>
      <c r="S6" s="10"/>
      <c r="T6" s="10">
        <f t="shared" si="4"/>
        <v>8208</v>
      </c>
      <c r="U6" s="10">
        <f t="shared" si="5"/>
        <v>0</v>
      </c>
      <c r="V6" s="10">
        <f>Table1[[#This Row],[Enrolment S.Y. 2025-2026 ]]*8</f>
        <v>8208</v>
      </c>
      <c r="W6" s="10"/>
      <c r="X6" s="8"/>
      <c r="Y6" s="10"/>
      <c r="Z6" s="10">
        <f t="shared" si="6"/>
        <v>8208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1026</v>
      </c>
      <c r="D7" s="10">
        <f>Table1[[#This Row],[Enrolment S.Y. 2025-2026 ]]*8</f>
        <v>8208</v>
      </c>
      <c r="E7" s="10">
        <v>0</v>
      </c>
      <c r="F7" s="8"/>
      <c r="G7" s="10"/>
      <c r="H7" s="10">
        <f t="shared" si="0"/>
        <v>8208</v>
      </c>
      <c r="I7" s="10">
        <f t="shared" si="1"/>
        <v>0</v>
      </c>
      <c r="J7" s="10">
        <f>Table1[[#This Row],[Enrolment S.Y. 2025-2026 ]]*8</f>
        <v>8208</v>
      </c>
      <c r="K7" s="10"/>
      <c r="L7" s="8"/>
      <c r="M7" s="10"/>
      <c r="N7" s="10">
        <f t="shared" si="2"/>
        <v>8208</v>
      </c>
      <c r="O7" s="10">
        <f t="shared" si="3"/>
        <v>0</v>
      </c>
      <c r="P7" s="10">
        <f>Table1[[#This Row],[Enrolment S.Y. 2025-2026 ]]*8</f>
        <v>8208</v>
      </c>
      <c r="Q7" s="10"/>
      <c r="R7" s="8"/>
      <c r="S7" s="10"/>
      <c r="T7" s="10">
        <f t="shared" si="4"/>
        <v>8208</v>
      </c>
      <c r="U7" s="10">
        <f t="shared" si="5"/>
        <v>0</v>
      </c>
      <c r="V7" s="10">
        <f>Table1[[#This Row],[Enrolment S.Y. 2025-2026 ]]*8</f>
        <v>8208</v>
      </c>
      <c r="W7" s="10"/>
      <c r="X7" s="8"/>
      <c r="Y7" s="10"/>
      <c r="Z7" s="10">
        <f t="shared" si="6"/>
        <v>8208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1026</v>
      </c>
      <c r="D8" s="10">
        <f>Table1[[#This Row],[Enrolment S.Y. 2025-2026 ]]*8</f>
        <v>8208</v>
      </c>
      <c r="E8" s="10">
        <v>0</v>
      </c>
      <c r="F8" s="8"/>
      <c r="G8" s="10"/>
      <c r="H8" s="10">
        <f t="shared" si="0"/>
        <v>8208</v>
      </c>
      <c r="I8" s="10">
        <f t="shared" si="1"/>
        <v>0</v>
      </c>
      <c r="J8" s="10">
        <f>Table1[[#This Row],[Enrolment S.Y. 2025-2026 ]]*8</f>
        <v>8208</v>
      </c>
      <c r="K8" s="10"/>
      <c r="L8" s="8"/>
      <c r="M8" s="10"/>
      <c r="N8" s="10">
        <f t="shared" si="2"/>
        <v>8208</v>
      </c>
      <c r="O8" s="10">
        <f t="shared" si="3"/>
        <v>0</v>
      </c>
      <c r="P8" s="10">
        <f>Table1[[#This Row],[Enrolment S.Y. 2025-2026 ]]*8</f>
        <v>8208</v>
      </c>
      <c r="Q8" s="10"/>
      <c r="R8" s="8"/>
      <c r="S8" s="10"/>
      <c r="T8" s="10">
        <f t="shared" si="4"/>
        <v>8208</v>
      </c>
      <c r="U8" s="10">
        <f t="shared" si="5"/>
        <v>0</v>
      </c>
      <c r="V8" s="10">
        <f>Table1[[#This Row],[Enrolment S.Y. 2025-2026 ]]*8</f>
        <v>8208</v>
      </c>
      <c r="W8" s="10"/>
      <c r="X8" s="8"/>
      <c r="Y8" s="10"/>
      <c r="Z8" s="10">
        <f t="shared" si="6"/>
        <v>8208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1026</v>
      </c>
      <c r="D9" s="10">
        <f>Table1[[#This Row],[Enrolment S.Y. 2025-2026 ]]*8</f>
        <v>8208</v>
      </c>
      <c r="E9" s="10">
        <v>0</v>
      </c>
      <c r="F9" s="8"/>
      <c r="G9" s="10"/>
      <c r="H9" s="10">
        <f t="shared" si="0"/>
        <v>8208</v>
      </c>
      <c r="I9" s="10">
        <f t="shared" si="1"/>
        <v>0</v>
      </c>
      <c r="J9" s="10">
        <f>Table1[[#This Row],[Enrolment S.Y. 2025-2026 ]]*8</f>
        <v>8208</v>
      </c>
      <c r="K9" s="10"/>
      <c r="L9" s="8"/>
      <c r="M9" s="10"/>
      <c r="N9" s="10">
        <f t="shared" si="2"/>
        <v>8208</v>
      </c>
      <c r="O9" s="10">
        <f t="shared" si="3"/>
        <v>0</v>
      </c>
      <c r="P9" s="10">
        <f>Table1[[#This Row],[Enrolment S.Y. 2025-2026 ]]*8</f>
        <v>8208</v>
      </c>
      <c r="Q9" s="10"/>
      <c r="R9" s="8"/>
      <c r="S9" s="10"/>
      <c r="T9" s="10">
        <f t="shared" si="4"/>
        <v>8208</v>
      </c>
      <c r="U9" s="10">
        <f t="shared" si="5"/>
        <v>0</v>
      </c>
      <c r="V9" s="10">
        <f>Table1[[#This Row],[Enrolment S.Y. 2025-2026 ]]*8</f>
        <v>8208</v>
      </c>
      <c r="W9" s="10"/>
      <c r="X9" s="8"/>
      <c r="Y9" s="10"/>
      <c r="Z9" s="10">
        <f t="shared" si="6"/>
        <v>8208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1026</v>
      </c>
      <c r="D10" s="10">
        <f>Table1[[#This Row],[Enrolment S.Y. 2025-2026 ]]*8</f>
        <v>8208</v>
      </c>
      <c r="E10" s="10">
        <v>0</v>
      </c>
      <c r="F10" s="8"/>
      <c r="G10" s="10"/>
      <c r="H10" s="10">
        <f t="shared" si="0"/>
        <v>8208</v>
      </c>
      <c r="I10" s="10">
        <f t="shared" si="1"/>
        <v>0</v>
      </c>
      <c r="J10" s="10">
        <f>Table1[[#This Row],[Enrolment S.Y. 2025-2026 ]]*8</f>
        <v>8208</v>
      </c>
      <c r="K10" s="10"/>
      <c r="L10" s="8"/>
      <c r="M10" s="10"/>
      <c r="N10" s="10">
        <f t="shared" si="2"/>
        <v>8208</v>
      </c>
      <c r="O10" s="10">
        <f t="shared" si="3"/>
        <v>0</v>
      </c>
      <c r="P10" s="10">
        <f>Table1[[#This Row],[Enrolment S.Y. 2025-2026 ]]*8</f>
        <v>8208</v>
      </c>
      <c r="Q10" s="10"/>
      <c r="R10" s="8"/>
      <c r="S10" s="10"/>
      <c r="T10" s="10">
        <f t="shared" si="4"/>
        <v>8208</v>
      </c>
      <c r="U10" s="10">
        <f t="shared" si="5"/>
        <v>0</v>
      </c>
      <c r="V10" s="10">
        <f>Table1[[#This Row],[Enrolment S.Y. 2025-2026 ]]*8</f>
        <v>8208</v>
      </c>
      <c r="W10" s="10"/>
      <c r="X10" s="8"/>
      <c r="Y10" s="10"/>
      <c r="Z10" s="10">
        <f t="shared" si="6"/>
        <v>8208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1026</v>
      </c>
      <c r="D11" s="10">
        <f>Table1[[#This Row],[Enrolment S.Y. 2025-2026 ]]*8</f>
        <v>8208</v>
      </c>
      <c r="E11" s="10">
        <v>0</v>
      </c>
      <c r="F11" s="8"/>
      <c r="G11" s="10"/>
      <c r="H11" s="10">
        <f t="shared" si="0"/>
        <v>8208</v>
      </c>
      <c r="I11" s="10">
        <f t="shared" si="1"/>
        <v>0</v>
      </c>
      <c r="J11" s="10">
        <f>Table1[[#This Row],[Enrolment S.Y. 2025-2026 ]]*8</f>
        <v>8208</v>
      </c>
      <c r="K11" s="10"/>
      <c r="L11" s="8"/>
      <c r="M11" s="10"/>
      <c r="N11" s="10">
        <f t="shared" ref="N11:N67" si="8">IF((J11-K11)&lt;0,0,(J11-K11))</f>
        <v>8208</v>
      </c>
      <c r="O11" s="10">
        <f t="shared" ref="O11:O67" si="9">IF((K11-J11)&lt;0,0,(K11-J11))</f>
        <v>0</v>
      </c>
      <c r="P11" s="10">
        <f>Table1[[#This Row],[Enrolment S.Y. 2025-2026 ]]*8</f>
        <v>8208</v>
      </c>
      <c r="Q11" s="10"/>
      <c r="R11" s="8"/>
      <c r="S11" s="10"/>
      <c r="T11" s="10">
        <f t="shared" ref="T11:T68" si="10">IF((P11-Q11)&lt;0,0,(P11-Q11))</f>
        <v>8208</v>
      </c>
      <c r="U11" s="10">
        <f t="shared" ref="U11:U68" si="11">IF((Q11-P11)&lt;0,0,(Q11-P11))</f>
        <v>0</v>
      </c>
      <c r="V11" s="10">
        <f>Table1[[#This Row],[Enrolment S.Y. 2025-2026 ]]*8</f>
        <v>8208</v>
      </c>
      <c r="W11" s="10"/>
      <c r="X11" s="8"/>
      <c r="Y11" s="10"/>
      <c r="Z11" s="10">
        <f t="shared" ref="Z11:Z68" si="12">IF((V11-W11)&lt;0,0,(V11-W11))</f>
        <v>8208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1026</v>
      </c>
      <c r="D12" s="10">
        <f>Table1[[#This Row],[Enrolment S.Y. 2025-2026 ]]*8</f>
        <v>8208</v>
      </c>
      <c r="E12" s="10">
        <v>0</v>
      </c>
      <c r="F12" s="8"/>
      <c r="G12" s="10"/>
      <c r="H12" s="10">
        <f t="shared" si="0"/>
        <v>8208</v>
      </c>
      <c r="I12" s="10">
        <f t="shared" si="1"/>
        <v>0</v>
      </c>
      <c r="J12" s="10">
        <f>Table1[[#This Row],[Enrolment S.Y. 2025-2026 ]]*8</f>
        <v>8208</v>
      </c>
      <c r="K12" s="10"/>
      <c r="L12" s="8"/>
      <c r="M12" s="10"/>
      <c r="N12" s="10">
        <f t="shared" si="8"/>
        <v>8208</v>
      </c>
      <c r="O12" s="10">
        <f t="shared" si="9"/>
        <v>0</v>
      </c>
      <c r="P12" s="10">
        <f>Table1[[#This Row],[Enrolment S.Y. 2025-2026 ]]*8</f>
        <v>8208</v>
      </c>
      <c r="Q12" s="10"/>
      <c r="R12" s="8"/>
      <c r="S12" s="10"/>
      <c r="T12" s="10">
        <f t="shared" si="10"/>
        <v>8208</v>
      </c>
      <c r="U12" s="10">
        <f t="shared" si="11"/>
        <v>0</v>
      </c>
      <c r="V12" s="10">
        <f>Table1[[#This Row],[Enrolment S.Y. 2025-2026 ]]*8</f>
        <v>8208</v>
      </c>
      <c r="W12" s="10"/>
      <c r="X12" s="8"/>
      <c r="Y12" s="10"/>
      <c r="Z12" s="10">
        <f t="shared" si="12"/>
        <v>8208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861</v>
      </c>
      <c r="D14" s="10">
        <f>Table1[[#This Row],[Enrolment S.Y. 2025-2026 ]]*8</f>
        <v>6888</v>
      </c>
      <c r="E14" s="10">
        <v>124</v>
      </c>
      <c r="F14" s="8">
        <v>2025</v>
      </c>
      <c r="G14" s="10" t="s">
        <v>56</v>
      </c>
      <c r="H14" s="10">
        <f t="shared" si="0"/>
        <v>6764</v>
      </c>
      <c r="I14" s="10">
        <f t="shared" si="1"/>
        <v>0</v>
      </c>
      <c r="J14" s="10">
        <f>Table1[[#This Row],[Enrolment S.Y. 2025-2026 ]]*8</f>
        <v>6888</v>
      </c>
      <c r="K14" s="10"/>
      <c r="L14" s="8"/>
      <c r="M14" s="10"/>
      <c r="N14" s="10">
        <f t="shared" si="8"/>
        <v>6888</v>
      </c>
      <c r="O14" s="10">
        <f t="shared" si="9"/>
        <v>0</v>
      </c>
      <c r="P14" s="10">
        <f>Table1[[#This Row],[Enrolment S.Y. 2025-2026 ]]*8</f>
        <v>6888</v>
      </c>
      <c r="Q14" s="10"/>
      <c r="R14" s="8"/>
      <c r="S14" s="10"/>
      <c r="T14" s="10">
        <f t="shared" si="10"/>
        <v>6888</v>
      </c>
      <c r="U14" s="10">
        <f t="shared" si="11"/>
        <v>0</v>
      </c>
      <c r="V14" s="10">
        <f>Table1[[#This Row],[Enrolment S.Y. 2025-2026 ]]*8</f>
        <v>6888</v>
      </c>
      <c r="W14" s="10"/>
      <c r="X14" s="8"/>
      <c r="Y14" s="10"/>
      <c r="Z14" s="10">
        <f t="shared" si="12"/>
        <v>6888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861</v>
      </c>
      <c r="D15" s="10">
        <f>Table1[[#This Row],[Enrolment S.Y. 2025-2026 ]]*8</f>
        <v>6888</v>
      </c>
      <c r="E15" s="10">
        <v>124</v>
      </c>
      <c r="F15" s="8">
        <v>2025</v>
      </c>
      <c r="G15" s="10" t="s">
        <v>56</v>
      </c>
      <c r="H15" s="10">
        <f t="shared" si="0"/>
        <v>6764</v>
      </c>
      <c r="I15" s="10">
        <f t="shared" si="1"/>
        <v>0</v>
      </c>
      <c r="J15" s="10">
        <f>Table1[[#This Row],[Enrolment S.Y. 2025-2026 ]]*8</f>
        <v>6888</v>
      </c>
      <c r="K15" s="10"/>
      <c r="L15" s="8"/>
      <c r="M15" s="10"/>
      <c r="N15" s="10">
        <f t="shared" si="8"/>
        <v>6888</v>
      </c>
      <c r="O15" s="10">
        <f t="shared" si="9"/>
        <v>0</v>
      </c>
      <c r="P15" s="10">
        <f>Table1[[#This Row],[Enrolment S.Y. 2025-2026 ]]*8</f>
        <v>6888</v>
      </c>
      <c r="Q15" s="10"/>
      <c r="R15" s="8"/>
      <c r="S15" s="10"/>
      <c r="T15" s="10">
        <f t="shared" si="10"/>
        <v>6888</v>
      </c>
      <c r="U15" s="10">
        <f t="shared" si="11"/>
        <v>0</v>
      </c>
      <c r="V15" s="10">
        <f>Table1[[#This Row],[Enrolment S.Y. 2025-2026 ]]*8</f>
        <v>6888</v>
      </c>
      <c r="W15" s="10"/>
      <c r="X15" s="8"/>
      <c r="Y15" s="10"/>
      <c r="Z15" s="10">
        <f t="shared" si="12"/>
        <v>6888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861</v>
      </c>
      <c r="D16" s="10">
        <f>Table1[[#This Row],[Enrolment S.Y. 2025-2026 ]]*8</f>
        <v>6888</v>
      </c>
      <c r="E16" s="10">
        <v>124</v>
      </c>
      <c r="F16" s="8">
        <v>2025</v>
      </c>
      <c r="G16" s="10" t="s">
        <v>56</v>
      </c>
      <c r="H16" s="10">
        <f t="shared" si="0"/>
        <v>6764</v>
      </c>
      <c r="I16" s="10">
        <f t="shared" si="1"/>
        <v>0</v>
      </c>
      <c r="J16" s="10">
        <f>Table1[[#This Row],[Enrolment S.Y. 2025-2026 ]]*8</f>
        <v>6888</v>
      </c>
      <c r="K16" s="10"/>
      <c r="L16" s="8"/>
      <c r="M16" s="10"/>
      <c r="N16" s="10">
        <f t="shared" si="8"/>
        <v>6888</v>
      </c>
      <c r="O16" s="10">
        <f t="shared" si="9"/>
        <v>0</v>
      </c>
      <c r="P16" s="10">
        <f>Table1[[#This Row],[Enrolment S.Y. 2025-2026 ]]*8</f>
        <v>6888</v>
      </c>
      <c r="Q16" s="10"/>
      <c r="R16" s="8"/>
      <c r="S16" s="10"/>
      <c r="T16" s="10">
        <f t="shared" si="10"/>
        <v>6888</v>
      </c>
      <c r="U16" s="10">
        <f t="shared" si="11"/>
        <v>0</v>
      </c>
      <c r="V16" s="10">
        <f>Table1[[#This Row],[Enrolment S.Y. 2025-2026 ]]*8</f>
        <v>6888</v>
      </c>
      <c r="W16" s="10"/>
      <c r="X16" s="8"/>
      <c r="Y16" s="10"/>
      <c r="Z16" s="10">
        <f t="shared" si="12"/>
        <v>6888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861</v>
      </c>
      <c r="D17" s="10">
        <f>Table1[[#This Row],[Enrolment S.Y. 2025-2026 ]]*8</f>
        <v>6888</v>
      </c>
      <c r="E17" s="10">
        <v>124</v>
      </c>
      <c r="F17" s="8">
        <v>2025</v>
      </c>
      <c r="G17" s="10" t="s">
        <v>56</v>
      </c>
      <c r="H17" s="10">
        <f t="shared" si="0"/>
        <v>6764</v>
      </c>
      <c r="I17" s="10">
        <f t="shared" si="1"/>
        <v>0</v>
      </c>
      <c r="J17" s="10">
        <f>Table1[[#This Row],[Enrolment S.Y. 2025-2026 ]]*8</f>
        <v>6888</v>
      </c>
      <c r="K17" s="10"/>
      <c r="L17" s="8"/>
      <c r="M17" s="10"/>
      <c r="N17" s="10">
        <f t="shared" si="8"/>
        <v>6888</v>
      </c>
      <c r="O17" s="10">
        <f t="shared" si="9"/>
        <v>0</v>
      </c>
      <c r="P17" s="10">
        <f>Table1[[#This Row],[Enrolment S.Y. 2025-2026 ]]*8</f>
        <v>6888</v>
      </c>
      <c r="Q17" s="10"/>
      <c r="R17" s="8"/>
      <c r="S17" s="10"/>
      <c r="T17" s="10">
        <f t="shared" si="10"/>
        <v>6888</v>
      </c>
      <c r="U17" s="10">
        <f t="shared" si="11"/>
        <v>0</v>
      </c>
      <c r="V17" s="10">
        <f>Table1[[#This Row],[Enrolment S.Y. 2025-2026 ]]*8</f>
        <v>6888</v>
      </c>
      <c r="W17" s="10"/>
      <c r="X17" s="8"/>
      <c r="Y17" s="10"/>
      <c r="Z17" s="10">
        <f t="shared" si="12"/>
        <v>6888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861</v>
      </c>
      <c r="D18" s="10">
        <f>Table1[[#This Row],[Enrolment S.Y. 2025-2026 ]]*8</f>
        <v>6888</v>
      </c>
      <c r="E18" s="10">
        <v>124</v>
      </c>
      <c r="F18" s="8">
        <v>2025</v>
      </c>
      <c r="G18" s="10" t="s">
        <v>56</v>
      </c>
      <c r="H18" s="10">
        <f t="shared" si="0"/>
        <v>6764</v>
      </c>
      <c r="I18" s="10">
        <f t="shared" si="1"/>
        <v>0</v>
      </c>
      <c r="J18" s="10">
        <f>Table1[[#This Row],[Enrolment S.Y. 2025-2026 ]]*8</f>
        <v>6888</v>
      </c>
      <c r="K18" s="10"/>
      <c r="L18" s="8"/>
      <c r="M18" s="10"/>
      <c r="N18" s="10">
        <f t="shared" si="8"/>
        <v>6888</v>
      </c>
      <c r="O18" s="10">
        <f t="shared" si="9"/>
        <v>0</v>
      </c>
      <c r="P18" s="10">
        <f>Table1[[#This Row],[Enrolment S.Y. 2025-2026 ]]*8</f>
        <v>6888</v>
      </c>
      <c r="Q18" s="10"/>
      <c r="R18" s="8"/>
      <c r="S18" s="10"/>
      <c r="T18" s="10">
        <f t="shared" si="10"/>
        <v>6888</v>
      </c>
      <c r="U18" s="10">
        <f t="shared" si="11"/>
        <v>0</v>
      </c>
      <c r="V18" s="10">
        <f>Table1[[#This Row],[Enrolment S.Y. 2025-2026 ]]*8</f>
        <v>6888</v>
      </c>
      <c r="W18" s="10"/>
      <c r="X18" s="8"/>
      <c r="Y18" s="10"/>
      <c r="Z18" s="10">
        <f t="shared" si="12"/>
        <v>6888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861</v>
      </c>
      <c r="D19" s="10">
        <f>Table1[[#This Row],[Enrolment S.Y. 2025-2026 ]]*8</f>
        <v>6888</v>
      </c>
      <c r="E19" s="10">
        <v>124</v>
      </c>
      <c r="F19" s="8">
        <v>2025</v>
      </c>
      <c r="G19" s="10" t="s">
        <v>56</v>
      </c>
      <c r="H19" s="10">
        <f t="shared" ref="H19:H68" si="14">IF((D19-E19)&lt;0,0,(D19-E19))</f>
        <v>6764</v>
      </c>
      <c r="I19" s="10">
        <f t="shared" ref="I19:I68" si="15">IF((E19-D19)&lt;0,0,(E19-D19))</f>
        <v>0</v>
      </c>
      <c r="J19" s="10">
        <f>Table1[[#This Row],[Enrolment S.Y. 2025-2026 ]]*8</f>
        <v>6888</v>
      </c>
      <c r="K19" s="10"/>
      <c r="L19" s="8"/>
      <c r="M19" s="10"/>
      <c r="N19" s="10">
        <f t="shared" si="8"/>
        <v>6888</v>
      </c>
      <c r="O19" s="10">
        <f t="shared" si="9"/>
        <v>0</v>
      </c>
      <c r="P19" s="10">
        <f>Table1[[#This Row],[Enrolment S.Y. 2025-2026 ]]*8</f>
        <v>6888</v>
      </c>
      <c r="Q19" s="10"/>
      <c r="R19" s="8"/>
      <c r="S19" s="10"/>
      <c r="T19" s="10">
        <f t="shared" si="10"/>
        <v>6888</v>
      </c>
      <c r="U19" s="10">
        <f t="shared" si="11"/>
        <v>0</v>
      </c>
      <c r="V19" s="10">
        <f>Table1[[#This Row],[Enrolment S.Y. 2025-2026 ]]*8</f>
        <v>6888</v>
      </c>
      <c r="W19" s="10"/>
      <c r="X19" s="8"/>
      <c r="Y19" s="10"/>
      <c r="Z19" s="10">
        <f t="shared" si="12"/>
        <v>6888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861</v>
      </c>
      <c r="D20" s="10">
        <f>Table1[[#This Row],[Enrolment S.Y. 2025-2026 ]]*8</f>
        <v>6888</v>
      </c>
      <c r="E20" s="10">
        <v>124</v>
      </c>
      <c r="F20" s="8">
        <v>2025</v>
      </c>
      <c r="G20" s="10" t="s">
        <v>56</v>
      </c>
      <c r="H20" s="10">
        <f t="shared" si="14"/>
        <v>6764</v>
      </c>
      <c r="I20" s="10">
        <f t="shared" si="15"/>
        <v>0</v>
      </c>
      <c r="J20" s="10">
        <f>Table1[[#This Row],[Enrolment S.Y. 2025-2026 ]]*8</f>
        <v>6888</v>
      </c>
      <c r="K20" s="10"/>
      <c r="L20" s="8"/>
      <c r="M20" s="10"/>
      <c r="N20" s="10">
        <f t="shared" si="8"/>
        <v>6888</v>
      </c>
      <c r="O20" s="10">
        <f t="shared" si="9"/>
        <v>0</v>
      </c>
      <c r="P20" s="10">
        <f>Table1[[#This Row],[Enrolment S.Y. 2025-2026 ]]*8</f>
        <v>6888</v>
      </c>
      <c r="Q20" s="10"/>
      <c r="R20" s="8"/>
      <c r="S20" s="10"/>
      <c r="T20" s="10">
        <f t="shared" si="10"/>
        <v>6888</v>
      </c>
      <c r="U20" s="10">
        <f t="shared" si="11"/>
        <v>0</v>
      </c>
      <c r="V20" s="10">
        <f>Table1[[#This Row],[Enrolment S.Y. 2025-2026 ]]*8</f>
        <v>6888</v>
      </c>
      <c r="W20" s="10"/>
      <c r="X20" s="8"/>
      <c r="Y20" s="10"/>
      <c r="Z20" s="10">
        <f t="shared" si="12"/>
        <v>6888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861</v>
      </c>
      <c r="D21" s="10">
        <f>Table1[[#This Row],[Enrolment S.Y. 2025-2026 ]]*8</f>
        <v>6888</v>
      </c>
      <c r="E21" s="10">
        <v>124</v>
      </c>
      <c r="F21" s="8">
        <v>2025</v>
      </c>
      <c r="G21" s="10" t="s">
        <v>56</v>
      </c>
      <c r="H21" s="10">
        <f t="shared" si="14"/>
        <v>6764</v>
      </c>
      <c r="I21" s="10">
        <f t="shared" si="15"/>
        <v>0</v>
      </c>
      <c r="J21" s="10">
        <f>Table1[[#This Row],[Enrolment S.Y. 2025-2026 ]]*8</f>
        <v>6888</v>
      </c>
      <c r="K21" s="10"/>
      <c r="L21" s="8"/>
      <c r="M21" s="10"/>
      <c r="N21" s="10">
        <f t="shared" si="8"/>
        <v>6888</v>
      </c>
      <c r="O21" s="10">
        <f t="shared" si="9"/>
        <v>0</v>
      </c>
      <c r="P21" s="10">
        <f>Table1[[#This Row],[Enrolment S.Y. 2025-2026 ]]*8</f>
        <v>6888</v>
      </c>
      <c r="Q21" s="10"/>
      <c r="R21" s="8"/>
      <c r="S21" s="10"/>
      <c r="T21" s="10">
        <f t="shared" si="10"/>
        <v>6888</v>
      </c>
      <c r="U21" s="10">
        <f t="shared" si="11"/>
        <v>0</v>
      </c>
      <c r="V21" s="10">
        <f>Table1[[#This Row],[Enrolment S.Y. 2025-2026 ]]*8</f>
        <v>6888</v>
      </c>
      <c r="W21" s="10"/>
      <c r="X21" s="8"/>
      <c r="Y21" s="10"/>
      <c r="Z21" s="10">
        <f t="shared" si="12"/>
        <v>6888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861</v>
      </c>
      <c r="D22" s="10">
        <f>Table1[[#This Row],[Enrolment S.Y. 2025-2026 ]]*8</f>
        <v>6888</v>
      </c>
      <c r="E22" s="10">
        <v>124</v>
      </c>
      <c r="F22" s="8">
        <v>2025</v>
      </c>
      <c r="G22" s="10" t="s">
        <v>56</v>
      </c>
      <c r="H22" s="10">
        <f t="shared" si="14"/>
        <v>6764</v>
      </c>
      <c r="I22" s="10">
        <f t="shared" si="15"/>
        <v>0</v>
      </c>
      <c r="J22" s="10">
        <f>Table1[[#This Row],[Enrolment S.Y. 2025-2026 ]]*8</f>
        <v>6888</v>
      </c>
      <c r="K22" s="10"/>
      <c r="L22" s="8"/>
      <c r="M22" s="10"/>
      <c r="N22" s="10">
        <f t="shared" si="8"/>
        <v>6888</v>
      </c>
      <c r="O22" s="10">
        <f t="shared" si="9"/>
        <v>0</v>
      </c>
      <c r="P22" s="10">
        <f>Table1[[#This Row],[Enrolment S.Y. 2025-2026 ]]*8</f>
        <v>6888</v>
      </c>
      <c r="Q22" s="10"/>
      <c r="R22" s="8"/>
      <c r="S22" s="10"/>
      <c r="T22" s="10">
        <f t="shared" si="10"/>
        <v>6888</v>
      </c>
      <c r="U22" s="10">
        <f t="shared" si="11"/>
        <v>0</v>
      </c>
      <c r="V22" s="10">
        <f>Table1[[#This Row],[Enrolment S.Y. 2025-2026 ]]*8</f>
        <v>6888</v>
      </c>
      <c r="W22" s="10"/>
      <c r="X22" s="8"/>
      <c r="Y22" s="10"/>
      <c r="Z22" s="10">
        <f t="shared" si="12"/>
        <v>6888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688</v>
      </c>
      <c r="D24" s="10">
        <f>Table1[[#This Row],[Enrolment S.Y. 2025-2026 ]]*8</f>
        <v>5504</v>
      </c>
      <c r="E24" s="10">
        <v>0</v>
      </c>
      <c r="F24" s="8"/>
      <c r="G24" s="10"/>
      <c r="H24" s="10">
        <f t="shared" si="14"/>
        <v>5504</v>
      </c>
      <c r="I24" s="10">
        <f t="shared" si="15"/>
        <v>0</v>
      </c>
      <c r="J24" s="10">
        <f>Table1[[#This Row],[Enrolment S.Y. 2025-2026 ]]*8</f>
        <v>5504</v>
      </c>
      <c r="K24" s="10">
        <v>114</v>
      </c>
      <c r="L24" s="8">
        <v>2025</v>
      </c>
      <c r="M24" s="10" t="s">
        <v>56</v>
      </c>
      <c r="N24" s="10">
        <f t="shared" si="8"/>
        <v>5390</v>
      </c>
      <c r="O24" s="10">
        <f t="shared" si="9"/>
        <v>0</v>
      </c>
      <c r="P24" s="10">
        <f>Table1[[#This Row],[Enrolment S.Y. 2025-2026 ]]*8</f>
        <v>5504</v>
      </c>
      <c r="Q24" s="10">
        <v>132</v>
      </c>
      <c r="R24" s="8">
        <v>2025</v>
      </c>
      <c r="S24" s="10" t="s">
        <v>56</v>
      </c>
      <c r="T24" s="10">
        <f t="shared" si="10"/>
        <v>5372</v>
      </c>
      <c r="U24" s="10">
        <f t="shared" si="11"/>
        <v>0</v>
      </c>
      <c r="V24" s="10">
        <f>Table1[[#This Row],[Enrolment S.Y. 2025-2026 ]]*8</f>
        <v>5504</v>
      </c>
      <c r="W24" s="10">
        <v>132</v>
      </c>
      <c r="X24" s="8">
        <v>2025</v>
      </c>
      <c r="Y24" s="10" t="s">
        <v>56</v>
      </c>
      <c r="Z24" s="10">
        <f t="shared" si="12"/>
        <v>5372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688</v>
      </c>
      <c r="D25" s="10">
        <f>Table1[[#This Row],[Enrolment S.Y. 2025-2026 ]]*8</f>
        <v>5504</v>
      </c>
      <c r="E25" s="10">
        <v>0</v>
      </c>
      <c r="F25" s="8"/>
      <c r="G25" s="10"/>
      <c r="H25" s="10">
        <f t="shared" si="14"/>
        <v>5504</v>
      </c>
      <c r="I25" s="10">
        <f t="shared" si="15"/>
        <v>0</v>
      </c>
      <c r="J25" s="10">
        <f>Table1[[#This Row],[Enrolment S.Y. 2025-2026 ]]*8</f>
        <v>5504</v>
      </c>
      <c r="K25" s="10">
        <v>0</v>
      </c>
      <c r="L25" s="8"/>
      <c r="M25" s="10"/>
      <c r="N25" s="10">
        <f t="shared" si="8"/>
        <v>5504</v>
      </c>
      <c r="O25" s="10">
        <f t="shared" si="9"/>
        <v>0</v>
      </c>
      <c r="P25" s="10">
        <f>Table1[[#This Row],[Enrolment S.Y. 2025-2026 ]]*8</f>
        <v>5504</v>
      </c>
      <c r="Q25" s="10">
        <v>0</v>
      </c>
      <c r="R25" s="8"/>
      <c r="S25" s="10"/>
      <c r="T25" s="10">
        <f t="shared" si="10"/>
        <v>5504</v>
      </c>
      <c r="U25" s="10">
        <f t="shared" si="11"/>
        <v>0</v>
      </c>
      <c r="V25" s="10">
        <f>Table1[[#This Row],[Enrolment S.Y. 2025-2026 ]]*8</f>
        <v>5504</v>
      </c>
      <c r="W25" s="10">
        <v>132</v>
      </c>
      <c r="X25" s="8">
        <v>2025</v>
      </c>
      <c r="Y25" s="10" t="s">
        <v>56</v>
      </c>
      <c r="Z25" s="10">
        <f t="shared" si="12"/>
        <v>5372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688</v>
      </c>
      <c r="D26" s="10">
        <f>Table1[[#This Row],[Enrolment S.Y. 2025-2026 ]]*8</f>
        <v>5504</v>
      </c>
      <c r="E26" s="10">
        <v>0</v>
      </c>
      <c r="F26" s="8"/>
      <c r="G26" s="10"/>
      <c r="H26" s="10">
        <f t="shared" si="14"/>
        <v>5504</v>
      </c>
      <c r="I26" s="10">
        <f t="shared" si="15"/>
        <v>0</v>
      </c>
      <c r="J26" s="10">
        <f>Table1[[#This Row],[Enrolment S.Y. 2025-2026 ]]*8</f>
        <v>5504</v>
      </c>
      <c r="K26" s="10">
        <v>114</v>
      </c>
      <c r="L26" s="8">
        <v>2025</v>
      </c>
      <c r="M26" s="10" t="s">
        <v>56</v>
      </c>
      <c r="N26" s="10">
        <f t="shared" si="8"/>
        <v>5390</v>
      </c>
      <c r="O26" s="10">
        <f t="shared" si="9"/>
        <v>0</v>
      </c>
      <c r="P26" s="10">
        <f>Table1[[#This Row],[Enrolment S.Y. 2025-2026 ]]*8</f>
        <v>5504</v>
      </c>
      <c r="Q26" s="10">
        <v>0</v>
      </c>
      <c r="R26" s="8"/>
      <c r="S26" s="10"/>
      <c r="T26" s="10">
        <f t="shared" si="10"/>
        <v>5504</v>
      </c>
      <c r="U26" s="10">
        <f t="shared" si="11"/>
        <v>0</v>
      </c>
      <c r="V26" s="10">
        <f>Table1[[#This Row],[Enrolment S.Y. 2025-2026 ]]*8</f>
        <v>5504</v>
      </c>
      <c r="W26" s="10">
        <v>132</v>
      </c>
      <c r="X26" s="8">
        <v>2025</v>
      </c>
      <c r="Y26" s="10" t="s">
        <v>56</v>
      </c>
      <c r="Z26" s="10">
        <f t="shared" si="12"/>
        <v>5372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688</v>
      </c>
      <c r="D27" s="10">
        <f>Table1[[#This Row],[Enrolment S.Y. 2025-2026 ]]*8</f>
        <v>5504</v>
      </c>
      <c r="E27" s="10">
        <v>0</v>
      </c>
      <c r="F27" s="8"/>
      <c r="G27" s="10"/>
      <c r="H27" s="10">
        <f t="shared" si="14"/>
        <v>5504</v>
      </c>
      <c r="I27" s="10">
        <f t="shared" si="15"/>
        <v>0</v>
      </c>
      <c r="J27" s="10">
        <f>Table1[[#This Row],[Enrolment S.Y. 2025-2026 ]]*8</f>
        <v>5504</v>
      </c>
      <c r="K27" s="10">
        <v>0</v>
      </c>
      <c r="L27" s="8"/>
      <c r="M27" s="10"/>
      <c r="N27" s="10">
        <f t="shared" si="8"/>
        <v>5504</v>
      </c>
      <c r="O27" s="10">
        <f t="shared" si="9"/>
        <v>0</v>
      </c>
      <c r="P27" s="10">
        <f>Table1[[#This Row],[Enrolment S.Y. 2025-2026 ]]*8</f>
        <v>5504</v>
      </c>
      <c r="Q27" s="10">
        <v>132</v>
      </c>
      <c r="R27" s="8">
        <v>2025</v>
      </c>
      <c r="S27" s="10" t="s">
        <v>56</v>
      </c>
      <c r="T27" s="10">
        <f t="shared" si="10"/>
        <v>5372</v>
      </c>
      <c r="U27" s="10">
        <f t="shared" si="11"/>
        <v>0</v>
      </c>
      <c r="V27" s="10">
        <f>Table1[[#This Row],[Enrolment S.Y. 2025-2026 ]]*8</f>
        <v>5504</v>
      </c>
      <c r="W27" s="10">
        <v>132</v>
      </c>
      <c r="X27" s="8">
        <v>2025</v>
      </c>
      <c r="Y27" s="10" t="s">
        <v>56</v>
      </c>
      <c r="Z27" s="10">
        <f t="shared" si="12"/>
        <v>5372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688</v>
      </c>
      <c r="D28" s="10">
        <f>Table1[[#This Row],[Enrolment S.Y. 2025-2026 ]]*8</f>
        <v>5504</v>
      </c>
      <c r="E28" s="10">
        <v>0</v>
      </c>
      <c r="F28" s="8"/>
      <c r="G28" s="10"/>
      <c r="H28" s="10">
        <f t="shared" si="14"/>
        <v>5504</v>
      </c>
      <c r="I28" s="10">
        <f t="shared" si="15"/>
        <v>0</v>
      </c>
      <c r="J28" s="10">
        <f>Table1[[#This Row],[Enrolment S.Y. 2025-2026 ]]*8</f>
        <v>5504</v>
      </c>
      <c r="K28" s="10">
        <v>0</v>
      </c>
      <c r="L28" s="8"/>
      <c r="M28" s="10"/>
      <c r="N28" s="10">
        <f t="shared" si="8"/>
        <v>5504</v>
      </c>
      <c r="O28" s="10">
        <f t="shared" si="9"/>
        <v>0</v>
      </c>
      <c r="P28" s="10">
        <f>Table1[[#This Row],[Enrolment S.Y. 2025-2026 ]]*8</f>
        <v>5504</v>
      </c>
      <c r="Q28" s="10">
        <v>132</v>
      </c>
      <c r="R28" s="8">
        <v>2025</v>
      </c>
      <c r="S28" s="10" t="s">
        <v>56</v>
      </c>
      <c r="T28" s="10">
        <f t="shared" si="10"/>
        <v>5372</v>
      </c>
      <c r="U28" s="10">
        <f t="shared" si="11"/>
        <v>0</v>
      </c>
      <c r="V28" s="10">
        <f>Table1[[#This Row],[Enrolment S.Y. 2025-2026 ]]*8</f>
        <v>5504</v>
      </c>
      <c r="W28" s="10">
        <v>132</v>
      </c>
      <c r="X28" s="8">
        <v>2025</v>
      </c>
      <c r="Y28" s="10" t="s">
        <v>56</v>
      </c>
      <c r="Z28" s="10">
        <f t="shared" si="12"/>
        <v>5372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688</v>
      </c>
      <c r="D29" s="10">
        <f>Table1[[#This Row],[Enrolment S.Y. 2025-2026 ]]*8</f>
        <v>5504</v>
      </c>
      <c r="E29" s="10">
        <v>0</v>
      </c>
      <c r="F29" s="8"/>
      <c r="G29" s="10"/>
      <c r="H29" s="10">
        <f t="shared" si="14"/>
        <v>5504</v>
      </c>
      <c r="I29" s="10">
        <f t="shared" si="15"/>
        <v>0</v>
      </c>
      <c r="J29" s="10">
        <f>Table1[[#This Row],[Enrolment S.Y. 2025-2026 ]]*8</f>
        <v>5504</v>
      </c>
      <c r="K29" s="10">
        <v>0</v>
      </c>
      <c r="L29" s="8"/>
      <c r="M29" s="10"/>
      <c r="N29" s="10">
        <f t="shared" si="8"/>
        <v>5504</v>
      </c>
      <c r="O29" s="10">
        <f t="shared" si="9"/>
        <v>0</v>
      </c>
      <c r="P29" s="10">
        <f>Table1[[#This Row],[Enrolment S.Y. 2025-2026 ]]*8</f>
        <v>5504</v>
      </c>
      <c r="Q29" s="10">
        <v>132</v>
      </c>
      <c r="R29" s="8">
        <v>2025</v>
      </c>
      <c r="S29" s="10" t="s">
        <v>56</v>
      </c>
      <c r="T29" s="10">
        <f t="shared" si="10"/>
        <v>5372</v>
      </c>
      <c r="U29" s="10">
        <f t="shared" si="11"/>
        <v>0</v>
      </c>
      <c r="V29" s="10">
        <f>Table1[[#This Row],[Enrolment S.Y. 2025-2026 ]]*8</f>
        <v>5504</v>
      </c>
      <c r="W29" s="10">
        <v>132</v>
      </c>
      <c r="X29" s="8">
        <v>2025</v>
      </c>
      <c r="Y29" s="10" t="s">
        <v>56</v>
      </c>
      <c r="Z29" s="10">
        <f t="shared" si="12"/>
        <v>5372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688</v>
      </c>
      <c r="D30" s="10">
        <f>Table1[[#This Row],[Enrolment S.Y. 2025-2026 ]]*8</f>
        <v>5504</v>
      </c>
      <c r="E30" s="10">
        <v>0</v>
      </c>
      <c r="F30" s="8"/>
      <c r="G30" s="10"/>
      <c r="H30" s="10">
        <f t="shared" si="14"/>
        <v>5504</v>
      </c>
      <c r="I30" s="10">
        <f t="shared" si="15"/>
        <v>0</v>
      </c>
      <c r="J30" s="10">
        <f>Table1[[#This Row],[Enrolment S.Y. 2025-2026 ]]*8</f>
        <v>5504</v>
      </c>
      <c r="K30" s="10">
        <v>0</v>
      </c>
      <c r="L30" s="8"/>
      <c r="M30" s="10"/>
      <c r="N30" s="10">
        <f t="shared" si="8"/>
        <v>5504</v>
      </c>
      <c r="O30" s="10">
        <f t="shared" si="9"/>
        <v>0</v>
      </c>
      <c r="P30" s="10">
        <f>Table1[[#This Row],[Enrolment S.Y. 2025-2026 ]]*8</f>
        <v>5504</v>
      </c>
      <c r="Q30" s="10">
        <v>0</v>
      </c>
      <c r="R30" s="8"/>
      <c r="S30" s="10"/>
      <c r="T30" s="10">
        <f t="shared" si="10"/>
        <v>5504</v>
      </c>
      <c r="U30" s="10">
        <f t="shared" si="11"/>
        <v>0</v>
      </c>
      <c r="V30" s="10">
        <f>Table1[[#This Row],[Enrolment S.Y. 2025-2026 ]]*8</f>
        <v>5504</v>
      </c>
      <c r="W30" s="10">
        <v>132</v>
      </c>
      <c r="X30" s="8">
        <v>2025</v>
      </c>
      <c r="Y30" s="10" t="s">
        <v>56</v>
      </c>
      <c r="Z30" s="10">
        <f t="shared" si="12"/>
        <v>5372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688</v>
      </c>
      <c r="D31" s="10">
        <f>Table1[[#This Row],[Enrolment S.Y. 2025-2026 ]]*8</f>
        <v>5504</v>
      </c>
      <c r="E31" s="10">
        <v>0</v>
      </c>
      <c r="F31" s="8"/>
      <c r="G31" s="10"/>
      <c r="H31" s="10">
        <f t="shared" si="14"/>
        <v>5504</v>
      </c>
      <c r="I31" s="10">
        <f t="shared" si="15"/>
        <v>0</v>
      </c>
      <c r="J31" s="10">
        <f>Table1[[#This Row],[Enrolment S.Y. 2025-2026 ]]*8</f>
        <v>5504</v>
      </c>
      <c r="K31" s="10">
        <v>0</v>
      </c>
      <c r="L31" s="8"/>
      <c r="M31" s="10"/>
      <c r="N31" s="10">
        <f t="shared" si="8"/>
        <v>5504</v>
      </c>
      <c r="O31" s="10">
        <f t="shared" si="9"/>
        <v>0</v>
      </c>
      <c r="P31" s="10">
        <f>Table1[[#This Row],[Enrolment S.Y. 2025-2026 ]]*8</f>
        <v>5504</v>
      </c>
      <c r="Q31" s="10">
        <v>0</v>
      </c>
      <c r="R31" s="8"/>
      <c r="S31" s="10"/>
      <c r="T31" s="10">
        <f t="shared" si="10"/>
        <v>5504</v>
      </c>
      <c r="U31" s="10">
        <f t="shared" si="11"/>
        <v>0</v>
      </c>
      <c r="V31" s="10">
        <f>Table1[[#This Row],[Enrolment S.Y. 2025-2026 ]]*8</f>
        <v>5504</v>
      </c>
      <c r="W31" s="10">
        <v>0</v>
      </c>
      <c r="X31" s="8"/>
      <c r="Y31" s="10"/>
      <c r="Z31" s="10">
        <f t="shared" si="12"/>
        <v>5504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688</v>
      </c>
      <c r="D32" s="10">
        <f>Table1[[#This Row],[Enrolment S.Y. 2025-2026 ]]*8</f>
        <v>5504</v>
      </c>
      <c r="E32" s="10">
        <v>0</v>
      </c>
      <c r="F32" s="8"/>
      <c r="G32" s="10"/>
      <c r="H32" s="10">
        <f t="shared" si="14"/>
        <v>5504</v>
      </c>
      <c r="I32" s="10">
        <f t="shared" si="15"/>
        <v>0</v>
      </c>
      <c r="J32" s="10">
        <f>Table1[[#This Row],[Enrolment S.Y. 2025-2026 ]]*8</f>
        <v>5504</v>
      </c>
      <c r="K32" s="10">
        <v>0</v>
      </c>
      <c r="L32" s="8"/>
      <c r="M32" s="10"/>
      <c r="N32" s="10">
        <f t="shared" si="8"/>
        <v>5504</v>
      </c>
      <c r="O32" s="10">
        <f t="shared" si="9"/>
        <v>0</v>
      </c>
      <c r="P32" s="10">
        <f>Table1[[#This Row],[Enrolment S.Y. 2025-2026 ]]*8</f>
        <v>5504</v>
      </c>
      <c r="Q32" s="10">
        <v>132</v>
      </c>
      <c r="R32" s="8">
        <v>2025</v>
      </c>
      <c r="S32" s="10" t="s">
        <v>56</v>
      </c>
      <c r="T32" s="10">
        <f t="shared" si="10"/>
        <v>5372</v>
      </c>
      <c r="U32" s="10">
        <f t="shared" si="11"/>
        <v>0</v>
      </c>
      <c r="V32" s="10">
        <f>Table1[[#This Row],[Enrolment S.Y. 2025-2026 ]]*8</f>
        <v>5504</v>
      </c>
      <c r="W32" s="10">
        <v>132</v>
      </c>
      <c r="X32" s="8">
        <v>2025</v>
      </c>
      <c r="Y32" s="10" t="s">
        <v>56</v>
      </c>
      <c r="Z32" s="10">
        <f t="shared" si="12"/>
        <v>5372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552</v>
      </c>
      <c r="D34" s="10">
        <f>Table1[[#This Row],[Enrolment S.Y. 2025-2026 ]]*8</f>
        <v>4416</v>
      </c>
      <c r="E34" s="10">
        <v>0</v>
      </c>
      <c r="F34" s="8"/>
      <c r="G34" s="10"/>
      <c r="H34" s="10">
        <f>IF((D34-E34)&lt;0,0,(D34-E34))</f>
        <v>4416</v>
      </c>
      <c r="I34" s="10">
        <f>IF((E34-D34)&lt;0,0,(E34-D34))</f>
        <v>0</v>
      </c>
      <c r="J34" s="10">
        <f>Table1[[#This Row],[Enrolment S.Y. 2025-2026 ]]*8</f>
        <v>4416</v>
      </c>
      <c r="K34" s="10">
        <v>113</v>
      </c>
      <c r="L34" s="8">
        <v>2025</v>
      </c>
      <c r="M34" s="10" t="s">
        <v>56</v>
      </c>
      <c r="N34" s="10">
        <f>IF((J34-K34)&lt;0,0,(J34-K34))</f>
        <v>4303</v>
      </c>
      <c r="O34" s="10">
        <f>IF((K34-J34)&lt;0,0,(K34-J34))</f>
        <v>0</v>
      </c>
      <c r="P34" s="10">
        <f>Table1[[#This Row],[Enrolment S.Y. 2025-2026 ]]*8</f>
        <v>4416</v>
      </c>
      <c r="Q34" s="10">
        <v>113</v>
      </c>
      <c r="R34" s="8">
        <v>2025</v>
      </c>
      <c r="S34" s="10" t="s">
        <v>56</v>
      </c>
      <c r="T34" s="10">
        <f>IF((P34-Q34)&lt;0,0,(P34-Q34))</f>
        <v>4303</v>
      </c>
      <c r="U34" s="10">
        <f>IF((Q34-P34)&lt;0,0,(Q34-P34))</f>
        <v>0</v>
      </c>
      <c r="V34" s="10">
        <f>Table1[[#This Row],[Enrolment S.Y. 2025-2026 ]]*8</f>
        <v>4416</v>
      </c>
      <c r="W34" s="10">
        <v>113</v>
      </c>
      <c r="X34" s="8">
        <v>2025</v>
      </c>
      <c r="Y34" s="10" t="s">
        <v>56</v>
      </c>
      <c r="Z34" s="10">
        <f>IF((V34-W34)&lt;0,0,(V34-W34))</f>
        <v>4303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552</v>
      </c>
      <c r="D35" s="10">
        <f>Table1[[#This Row],[Enrolment S.Y. 2025-2026 ]]*8</f>
        <v>4416</v>
      </c>
      <c r="E35" s="10">
        <v>0</v>
      </c>
      <c r="F35" s="8"/>
      <c r="G35" s="10"/>
      <c r="H35" s="10">
        <f>IF((D35-E35)&lt;0,0,(D35-E35))</f>
        <v>4416</v>
      </c>
      <c r="I35" s="10">
        <f>IF((E35-D35)&lt;0,0,(E35-D35))</f>
        <v>0</v>
      </c>
      <c r="J35" s="10">
        <f>Table1[[#This Row],[Enrolment S.Y. 2025-2026 ]]*8</f>
        <v>4416</v>
      </c>
      <c r="K35" s="10">
        <v>0</v>
      </c>
      <c r="L35" s="8"/>
      <c r="M35" s="10"/>
      <c r="N35" s="10">
        <f>IF((J35-K35)&lt;0,0,(J35-K35))</f>
        <v>4416</v>
      </c>
      <c r="O35" s="10">
        <f>IF((K35-J35)&lt;0,0,(K35-J35))</f>
        <v>0</v>
      </c>
      <c r="P35" s="10">
        <f>Table1[[#This Row],[Enrolment S.Y. 2025-2026 ]]*8</f>
        <v>4416</v>
      </c>
      <c r="Q35" s="10">
        <v>113</v>
      </c>
      <c r="R35" s="8">
        <v>2025</v>
      </c>
      <c r="S35" s="10" t="s">
        <v>56</v>
      </c>
      <c r="T35" s="10">
        <f>IF((P35-Q35)&lt;0,0,(P35-Q35))</f>
        <v>4303</v>
      </c>
      <c r="U35" s="10">
        <f>IF((Q35-P35)&lt;0,0,(Q35-P35))</f>
        <v>0</v>
      </c>
      <c r="V35" s="10">
        <f>Table1[[#This Row],[Enrolment S.Y. 2025-2026 ]]*8</f>
        <v>4416</v>
      </c>
      <c r="W35" s="10">
        <v>113</v>
      </c>
      <c r="X35" s="8">
        <v>2025</v>
      </c>
      <c r="Y35" s="10" t="s">
        <v>56</v>
      </c>
      <c r="Z35" s="10">
        <f>IF((V35-W35)&lt;0,0,(V35-W35))</f>
        <v>4303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552</v>
      </c>
      <c r="D36" s="10">
        <f>Table1[[#This Row],[Enrolment S.Y. 2025-2026 ]]*8</f>
        <v>4416</v>
      </c>
      <c r="E36" s="10">
        <v>215</v>
      </c>
      <c r="F36" s="8">
        <v>2025</v>
      </c>
      <c r="G36" s="10" t="s">
        <v>56</v>
      </c>
      <c r="H36" s="10">
        <f>IF((D36-E36)&lt;0,0,(D36-E36))</f>
        <v>4201</v>
      </c>
      <c r="I36" s="10">
        <f>IF((E36-D36)&lt;0,0,(E36-D36))</f>
        <v>0</v>
      </c>
      <c r="J36" s="10">
        <f>Table1[[#This Row],[Enrolment S.Y. 2025-2026 ]]*8</f>
        <v>4416</v>
      </c>
      <c r="K36" s="10">
        <v>113</v>
      </c>
      <c r="L36" s="8">
        <v>2025</v>
      </c>
      <c r="M36" s="10" t="s">
        <v>56</v>
      </c>
      <c r="N36" s="10">
        <f>IF((J36-K36)&lt;0,0,(J36-K36))</f>
        <v>4303</v>
      </c>
      <c r="O36" s="10">
        <f>IF((K36-J36)&lt;0,0,(K36-J36))</f>
        <v>0</v>
      </c>
      <c r="P36" s="10">
        <f>Table1[[#This Row],[Enrolment S.Y. 2025-2026 ]]*8</f>
        <v>4416</v>
      </c>
      <c r="Q36" s="10">
        <v>113</v>
      </c>
      <c r="R36" s="8">
        <v>2025</v>
      </c>
      <c r="S36" s="10" t="s">
        <v>56</v>
      </c>
      <c r="T36" s="10">
        <f>IF((P36-Q36)&lt;0,0,(P36-Q36))</f>
        <v>4303</v>
      </c>
      <c r="U36" s="10">
        <f>IF((Q36-P36)&lt;0,0,(Q36-P36))</f>
        <v>0</v>
      </c>
      <c r="V36" s="10">
        <f>Table1[[#This Row],[Enrolment S.Y. 2025-2026 ]]*8</f>
        <v>4416</v>
      </c>
      <c r="W36" s="10">
        <v>113</v>
      </c>
      <c r="X36" s="8">
        <v>2025</v>
      </c>
      <c r="Y36" s="10" t="s">
        <v>56</v>
      </c>
      <c r="Z36" s="10">
        <f>IF((V36-W36)&lt;0,0,(V36-W36))</f>
        <v>4303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552</v>
      </c>
      <c r="D37" s="10">
        <f>Table1[[#This Row],[Enrolment S.Y. 2025-2026 ]]*8</f>
        <v>4416</v>
      </c>
      <c r="E37" s="10">
        <v>0</v>
      </c>
      <c r="F37" s="8"/>
      <c r="G37" s="10"/>
      <c r="H37" s="10">
        <f>IF((D37-E37)&lt;0,0,(D37-E37))</f>
        <v>4416</v>
      </c>
      <c r="I37" s="10">
        <f>IF((E37-D37)&lt;0,0,(E37-D37))</f>
        <v>0</v>
      </c>
      <c r="J37" s="10">
        <f>Table1[[#This Row],[Enrolment S.Y. 2025-2026 ]]*8</f>
        <v>4416</v>
      </c>
      <c r="K37" s="10">
        <v>0</v>
      </c>
      <c r="L37" s="8"/>
      <c r="M37" s="10"/>
      <c r="N37" s="10">
        <f>IF((J37-K37)&lt;0,0,(J37-K37))</f>
        <v>4416</v>
      </c>
      <c r="O37" s="10">
        <f>IF((K37-J37)&lt;0,0,(K37-J37))</f>
        <v>0</v>
      </c>
      <c r="P37" s="10">
        <f>Table1[[#This Row],[Enrolment S.Y. 2025-2026 ]]*8</f>
        <v>4416</v>
      </c>
      <c r="Q37" s="10">
        <v>113</v>
      </c>
      <c r="R37" s="8">
        <v>2025</v>
      </c>
      <c r="S37" s="10" t="s">
        <v>56</v>
      </c>
      <c r="T37" s="10">
        <f>IF((P37-Q37)&lt;0,0,(P37-Q37))</f>
        <v>4303</v>
      </c>
      <c r="U37" s="10">
        <f>IF((Q37-P37)&lt;0,0,(Q37-P37))</f>
        <v>0</v>
      </c>
      <c r="V37" s="10">
        <f>Table1[[#This Row],[Enrolment S.Y. 2025-2026 ]]*8</f>
        <v>4416</v>
      </c>
      <c r="W37" s="10">
        <v>113</v>
      </c>
      <c r="X37" s="8">
        <v>2025</v>
      </c>
      <c r="Y37" s="10" t="s">
        <v>56</v>
      </c>
      <c r="Z37" s="10">
        <f>IF((V37-W37)&lt;0,0,(V37-W37))</f>
        <v>4303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552</v>
      </c>
      <c r="D38" s="10">
        <f>Table1[[#This Row],[Enrolment S.Y. 2025-2026 ]]*8</f>
        <v>4416</v>
      </c>
      <c r="E38" s="10">
        <v>0</v>
      </c>
      <c r="F38" s="8"/>
      <c r="G38" s="10"/>
      <c r="H38" s="10">
        <f>IF((D38-E38)&lt;0,0,(D38-E38))</f>
        <v>4416</v>
      </c>
      <c r="I38" s="10">
        <f>IF((E38-D38)&lt;0,0,(E38-D38))</f>
        <v>0</v>
      </c>
      <c r="J38" s="10">
        <f>Table1[[#This Row],[Enrolment S.Y. 2025-2026 ]]*8</f>
        <v>4416</v>
      </c>
      <c r="K38" s="10">
        <v>0</v>
      </c>
      <c r="L38" s="8"/>
      <c r="M38" s="10"/>
      <c r="N38" s="10">
        <f>IF((J38-K38)&lt;0,0,(J38-K38))</f>
        <v>4416</v>
      </c>
      <c r="O38" s="10">
        <f>IF((K38-J38)&lt;0,0,(K38-J38))</f>
        <v>0</v>
      </c>
      <c r="P38" s="10">
        <f>Table1[[#This Row],[Enrolment S.Y. 2025-2026 ]]*8</f>
        <v>4416</v>
      </c>
      <c r="Q38" s="10">
        <v>113</v>
      </c>
      <c r="R38" s="8">
        <v>2025</v>
      </c>
      <c r="S38" s="10" t="s">
        <v>56</v>
      </c>
      <c r="T38" s="10">
        <f>IF((P38-Q38)&lt;0,0,(P38-Q38))</f>
        <v>4303</v>
      </c>
      <c r="U38" s="10">
        <f>IF((Q38-P38)&lt;0,0,(Q38-P38))</f>
        <v>0</v>
      </c>
      <c r="V38" s="10">
        <f>Table1[[#This Row],[Enrolment S.Y. 2025-2026 ]]*8</f>
        <v>4416</v>
      </c>
      <c r="W38" s="10">
        <v>113</v>
      </c>
      <c r="X38" s="8">
        <v>2025</v>
      </c>
      <c r="Y38" s="10" t="s">
        <v>56</v>
      </c>
      <c r="Z38" s="10">
        <f>IF((V38-W38)&lt;0,0,(V38-W38))</f>
        <v>4303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552</v>
      </c>
      <c r="D39" s="10">
        <f>Table1[[#This Row],[Enrolment S.Y. 2025-2026 ]]*8</f>
        <v>4416</v>
      </c>
      <c r="E39" s="10">
        <v>0</v>
      </c>
      <c r="F39" s="8"/>
      <c r="G39" s="10"/>
      <c r="H39" s="10">
        <f>IF((D39-E39)&lt;0,0,(D39-E39))</f>
        <v>4416</v>
      </c>
      <c r="I39" s="10">
        <f>IF((E39-D39)&lt;0,0,(E39-D39))</f>
        <v>0</v>
      </c>
      <c r="J39" s="10">
        <f>Table1[[#This Row],[Enrolment S.Y. 2025-2026 ]]*8</f>
        <v>4416</v>
      </c>
      <c r="K39" s="10">
        <v>0</v>
      </c>
      <c r="L39" s="8"/>
      <c r="M39" s="10"/>
      <c r="N39" s="10">
        <f>IF((J39-K39)&lt;0,0,(J39-K39))</f>
        <v>4416</v>
      </c>
      <c r="O39" s="10">
        <f>IF((K39-J39)&lt;0,0,(K39-J39))</f>
        <v>0</v>
      </c>
      <c r="P39" s="10">
        <f>Table1[[#This Row],[Enrolment S.Y. 2025-2026 ]]*8</f>
        <v>4416</v>
      </c>
      <c r="Q39" s="10">
        <v>113</v>
      </c>
      <c r="R39" s="8">
        <v>2025</v>
      </c>
      <c r="S39" s="10" t="s">
        <v>56</v>
      </c>
      <c r="T39" s="10">
        <f>IF((P39-Q39)&lt;0,0,(P39-Q39))</f>
        <v>4303</v>
      </c>
      <c r="U39" s="10">
        <f>IF((Q39-P39)&lt;0,0,(Q39-P39))</f>
        <v>0</v>
      </c>
      <c r="V39" s="10">
        <f>Table1[[#This Row],[Enrolment S.Y. 2025-2026 ]]*8</f>
        <v>4416</v>
      </c>
      <c r="W39" s="10">
        <v>113</v>
      </c>
      <c r="X39" s="8">
        <v>2025</v>
      </c>
      <c r="Y39" s="10" t="s">
        <v>56</v>
      </c>
      <c r="Z39" s="10">
        <f>IF((V39-W39)&lt;0,0,(V39-W39))</f>
        <v>4303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552</v>
      </c>
      <c r="D40" s="10">
        <f>Table1[[#This Row],[Enrolment S.Y. 2025-2026 ]]*8</f>
        <v>4416</v>
      </c>
      <c r="E40" s="10">
        <v>0</v>
      </c>
      <c r="F40" s="8"/>
      <c r="G40" s="10"/>
      <c r="H40" s="10">
        <f>IF((D40-E40)&lt;0,0,(D40-E40))</f>
        <v>4416</v>
      </c>
      <c r="I40" s="10">
        <f>IF((E40-D40)&lt;0,0,(E40-D40))</f>
        <v>0</v>
      </c>
      <c r="J40" s="10">
        <f>Table1[[#This Row],[Enrolment S.Y. 2025-2026 ]]*8</f>
        <v>4416</v>
      </c>
      <c r="K40" s="10">
        <v>0</v>
      </c>
      <c r="L40" s="8"/>
      <c r="M40" s="10"/>
      <c r="N40" s="10">
        <f>IF((J40-K40)&lt;0,0,(J40-K40))</f>
        <v>4416</v>
      </c>
      <c r="O40" s="10">
        <f>IF((K40-J40)&lt;0,0,(K40-J40))</f>
        <v>0</v>
      </c>
      <c r="P40" s="10">
        <f>Table1[[#This Row],[Enrolment S.Y. 2025-2026 ]]*8</f>
        <v>4416</v>
      </c>
      <c r="Q40" s="10">
        <v>113</v>
      </c>
      <c r="R40" s="8">
        <v>2025</v>
      </c>
      <c r="S40" s="10" t="s">
        <v>56</v>
      </c>
      <c r="T40" s="10">
        <f>IF((P40-Q40)&lt;0,0,(P40-Q40))</f>
        <v>4303</v>
      </c>
      <c r="U40" s="10">
        <f>IF((Q40-P40)&lt;0,0,(Q40-P40))</f>
        <v>0</v>
      </c>
      <c r="V40" s="10">
        <f>Table1[[#This Row],[Enrolment S.Y. 2025-2026 ]]*8</f>
        <v>4416</v>
      </c>
      <c r="W40" s="10">
        <v>113</v>
      </c>
      <c r="X40" s="8">
        <v>2025</v>
      </c>
      <c r="Y40" s="10" t="s">
        <v>56</v>
      </c>
      <c r="Z40" s="10">
        <f>IF((V40-W40)&lt;0,0,(V40-W40))</f>
        <v>4303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552</v>
      </c>
      <c r="D41" s="10">
        <f>Table1[[#This Row],[Enrolment S.Y. 2025-2026 ]]*8</f>
        <v>4416</v>
      </c>
      <c r="E41" s="10">
        <v>0</v>
      </c>
      <c r="F41" s="8"/>
      <c r="G41" s="10"/>
      <c r="H41" s="10">
        <f>IF((D41-E41)&lt;0,0,(D41-E41))</f>
        <v>4416</v>
      </c>
      <c r="I41" s="10">
        <f>IF((E41-D41)&lt;0,0,(E41-D41))</f>
        <v>0</v>
      </c>
      <c r="J41" s="10">
        <f>Table1[[#This Row],[Enrolment S.Y. 2025-2026 ]]*8</f>
        <v>4416</v>
      </c>
      <c r="K41" s="10">
        <v>0</v>
      </c>
      <c r="L41" s="8"/>
      <c r="M41" s="10"/>
      <c r="N41" s="10">
        <f>IF((J41-K41)&lt;0,0,(J41-K41))</f>
        <v>4416</v>
      </c>
      <c r="O41" s="10">
        <f>IF((K41-J41)&lt;0,0,(K41-J41))</f>
        <v>0</v>
      </c>
      <c r="P41" s="10">
        <f>Table1[[#This Row],[Enrolment S.Y. 2025-2026 ]]*8</f>
        <v>4416</v>
      </c>
      <c r="Q41" s="10">
        <v>0</v>
      </c>
      <c r="R41" s="8"/>
      <c r="S41" s="10"/>
      <c r="T41" s="10">
        <f>IF((P41-Q41)&lt;0,0,(P41-Q41))</f>
        <v>4416</v>
      </c>
      <c r="U41" s="10">
        <f>IF((Q41-P41)&lt;0,0,(Q41-P41))</f>
        <v>0</v>
      </c>
      <c r="V41" s="10">
        <f>Table1[[#This Row],[Enrolment S.Y. 2025-2026 ]]*8</f>
        <v>4416</v>
      </c>
      <c r="W41" s="10">
        <v>0</v>
      </c>
      <c r="X41" s="8"/>
      <c r="Y41" s="10"/>
      <c r="Z41" s="10">
        <f>IF((V41-W41)&lt;0,0,(V41-W41))</f>
        <v>4416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552</v>
      </c>
      <c r="D42" s="10">
        <f>Table1[[#This Row],[Enrolment S.Y. 2025-2026 ]]*8</f>
        <v>4416</v>
      </c>
      <c r="E42" s="10">
        <v>0</v>
      </c>
      <c r="F42" s="8"/>
      <c r="G42" s="10"/>
      <c r="H42" s="10">
        <f>IF((D42-E42)&lt;0,0,(D42-E42))</f>
        <v>4416</v>
      </c>
      <c r="I42" s="10">
        <f>IF((E42-D42)&lt;0,0,(E42-D42))</f>
        <v>0</v>
      </c>
      <c r="J42" s="10">
        <f>Table1[[#This Row],[Enrolment S.Y. 2025-2026 ]]*8</f>
        <v>4416</v>
      </c>
      <c r="K42" s="10">
        <v>0</v>
      </c>
      <c r="L42" s="8"/>
      <c r="M42" s="10"/>
      <c r="N42" s="10">
        <f>IF((J42-K42)&lt;0,0,(J42-K42))</f>
        <v>4416</v>
      </c>
      <c r="O42" s="10">
        <f>IF((K42-J42)&lt;0,0,(K42-J42))</f>
        <v>0</v>
      </c>
      <c r="P42" s="10">
        <f>Table1[[#This Row],[Enrolment S.Y. 2025-2026 ]]*8</f>
        <v>4416</v>
      </c>
      <c r="Q42" s="10">
        <v>113</v>
      </c>
      <c r="R42" s="8">
        <v>2025</v>
      </c>
      <c r="S42" s="10" t="s">
        <v>56</v>
      </c>
      <c r="T42" s="10">
        <f>IF((P42-Q42)&lt;0,0,(P42-Q42))</f>
        <v>4303</v>
      </c>
      <c r="U42" s="10">
        <f>IF((Q42-P42)&lt;0,0,(Q42-P42))</f>
        <v>0</v>
      </c>
      <c r="V42" s="10">
        <f>Table1[[#This Row],[Enrolment S.Y. 2025-2026 ]]*8</f>
        <v>4416</v>
      </c>
      <c r="W42" s="10">
        <v>113</v>
      </c>
      <c r="X42" s="8">
        <v>2025</v>
      </c>
      <c r="Y42" s="10" t="s">
        <v>56</v>
      </c>
      <c r="Z42" s="10">
        <f>IF((V42-W42)&lt;0,0,(V42-W42))</f>
        <v>4303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44:L51 K53:L68 H4:I12 Q4:R12 W4:X12 H14:I22 Q14:R22 W14:X22 H24:I32 H34:I42 D44:F51 J2:L2 D4:F12 D14:F22 D24:F32 K24:L32 Q24:R32 W24:X32 D34:F42 K34:L42 Q34:R42 W34:X42" name="LAS"/>
    <protectedRange sqref="S2:U2 M2:O2 Y2:AA2 G53:G68 M53:M68 S53:S68 Y53:Y68 G24:G32 G34:G42 G44:G51 G4:G12 G2:I2 G14:G22 M3:M51 S3:S51 Y3:Y51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R24:R32 R34:R42 L4:L12 L14:L22 R53:R68 F14:F22 X24:X32 R4:R12 R14:R22 F53:F68 L24:L32 L34:L42 F4:F12 X53:X68 F24:F32 F34:F42 F44:F51 R44:R51 L44:L51 X44:X51 X34:X42" xr:uid="{4ECCD083-8EC4-42EE-B46C-B614411F330D}">
      <formula1>"2024,2025"</formula1>
    </dataValidation>
    <dataValidation type="list" allowBlank="1" showInputMessage="1" showErrorMessage="1" sqref="G4:G12 G14:G22 G24:G32 G34:G42 G44:G51 S3:S51 M3:M51 Y3:Y51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28" zoomScale="55" zoomScaleNormal="55" workbookViewId="0">
      <selection activeCell="C40" sqref="C40:C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1026</v>
      </c>
      <c r="D4" s="10">
        <f>Table14[[#This Row],[Enrolment S.Y. 2025-2026 ]]*8</f>
        <v>8208</v>
      </c>
      <c r="E4" s="10"/>
      <c r="F4" s="8"/>
      <c r="G4" s="10"/>
      <c r="H4" s="10">
        <f t="shared" ref="H4:H20" si="0">IF((D4-E4)&lt;0,0,(D4-E4))</f>
        <v>8208</v>
      </c>
      <c r="I4" s="10">
        <f t="shared" ref="I4:I20" si="1">IF((E4-D4)&lt;0,0,(E4-D4))</f>
        <v>0</v>
      </c>
      <c r="J4" s="10">
        <f>Table14[[#This Row],[Enrolment S.Y. 2025-2026 ]]*8</f>
        <v>8208</v>
      </c>
      <c r="K4" s="10"/>
      <c r="L4" s="8"/>
      <c r="M4" s="10"/>
      <c r="N4" s="10">
        <f t="shared" ref="N4:N7" si="2">IF((J4-K4)&lt;0,0,(J4-K4))</f>
        <v>8208</v>
      </c>
      <c r="O4" s="10">
        <f t="shared" ref="O4:O7" si="3">IF((K4-J4)&lt;0,0,(K4-J4))</f>
        <v>0</v>
      </c>
      <c r="P4" s="10">
        <f>Table14[[#This Row],[Enrolment S.Y. 2025-2026 ]]*8</f>
        <v>8208</v>
      </c>
      <c r="Q4" s="10"/>
      <c r="R4" s="8"/>
      <c r="S4" s="10"/>
      <c r="T4" s="10">
        <f t="shared" ref="T4:T9" si="4">IF((P4-Q4)&lt;0,0,(P4-Q4))</f>
        <v>8208</v>
      </c>
      <c r="U4" s="10">
        <f t="shared" ref="U4:U9" si="5">IF((Q4-P4)&lt;0,0,(Q4-P4))</f>
        <v>0</v>
      </c>
      <c r="V4" s="10">
        <f>Table14[[#This Row],[Enrolment S.Y. 2025-2026 ]]*8</f>
        <v>8208</v>
      </c>
      <c r="W4" s="10"/>
      <c r="X4" s="8"/>
      <c r="Y4" s="10"/>
      <c r="Z4" s="10">
        <f t="shared" ref="Z4:Z9" si="6">IF((V4-W4)&lt;0,0,(V4-W4))</f>
        <v>8208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1026</v>
      </c>
      <c r="D5" s="10">
        <f>Table14[[#This Row],[Enrolment S.Y. 2025-2026 ]]*8</f>
        <v>8208</v>
      </c>
      <c r="E5" s="10"/>
      <c r="F5" s="8"/>
      <c r="G5" s="10"/>
      <c r="H5" s="10">
        <f t="shared" si="0"/>
        <v>8208</v>
      </c>
      <c r="I5" s="10">
        <f t="shared" si="1"/>
        <v>0</v>
      </c>
      <c r="J5" s="10">
        <f>Table14[[#This Row],[Enrolment S.Y. 2025-2026 ]]*8</f>
        <v>8208</v>
      </c>
      <c r="K5" s="10"/>
      <c r="L5" s="8"/>
      <c r="M5" s="10"/>
      <c r="N5" s="10">
        <f t="shared" si="2"/>
        <v>8208</v>
      </c>
      <c r="O5" s="10">
        <f t="shared" si="3"/>
        <v>0</v>
      </c>
      <c r="P5" s="10">
        <f>Table14[[#This Row],[Enrolment S.Y. 2025-2026 ]]*8</f>
        <v>8208</v>
      </c>
      <c r="Q5" s="10"/>
      <c r="R5" s="8"/>
      <c r="S5" s="10"/>
      <c r="T5" s="10">
        <f t="shared" si="4"/>
        <v>8208</v>
      </c>
      <c r="U5" s="10">
        <f t="shared" si="5"/>
        <v>0</v>
      </c>
      <c r="V5" s="10">
        <f>Table14[[#This Row],[Enrolment S.Y. 2025-2026 ]]*8</f>
        <v>8208</v>
      </c>
      <c r="W5" s="10"/>
      <c r="X5" s="8"/>
      <c r="Y5" s="10"/>
      <c r="Z5" s="10">
        <f t="shared" si="6"/>
        <v>8208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1026</v>
      </c>
      <c r="D6" s="10">
        <f>Table14[[#This Row],[Enrolment S.Y. 2025-2026 ]]*8</f>
        <v>8208</v>
      </c>
      <c r="E6" s="10"/>
      <c r="F6" s="8"/>
      <c r="G6" s="10"/>
      <c r="H6" s="10">
        <f t="shared" si="0"/>
        <v>8208</v>
      </c>
      <c r="I6" s="10">
        <f t="shared" si="1"/>
        <v>0</v>
      </c>
      <c r="J6" s="10">
        <f>Table14[[#This Row],[Enrolment S.Y. 2025-2026 ]]*8</f>
        <v>8208</v>
      </c>
      <c r="K6" s="10"/>
      <c r="L6" s="8"/>
      <c r="M6" s="10"/>
      <c r="N6" s="10">
        <f t="shared" si="2"/>
        <v>8208</v>
      </c>
      <c r="O6" s="10">
        <f t="shared" si="3"/>
        <v>0</v>
      </c>
      <c r="P6" s="10">
        <f>Table14[[#This Row],[Enrolment S.Y. 2025-2026 ]]*8</f>
        <v>8208</v>
      </c>
      <c r="Q6" s="10"/>
      <c r="R6" s="8"/>
      <c r="S6" s="10"/>
      <c r="T6" s="10">
        <f t="shared" si="4"/>
        <v>8208</v>
      </c>
      <c r="U6" s="10">
        <f t="shared" si="5"/>
        <v>0</v>
      </c>
      <c r="V6" s="10">
        <f>Table14[[#This Row],[Enrolment S.Y. 2025-2026 ]]*8</f>
        <v>8208</v>
      </c>
      <c r="W6" s="10"/>
      <c r="X6" s="8"/>
      <c r="Y6" s="10"/>
      <c r="Z6" s="10">
        <f t="shared" si="6"/>
        <v>8208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1026</v>
      </c>
      <c r="D7" s="10">
        <f>Table14[[#This Row],[Enrolment S.Y. 2025-2026 ]]*8</f>
        <v>8208</v>
      </c>
      <c r="E7" s="10"/>
      <c r="F7" s="8"/>
      <c r="G7" s="10"/>
      <c r="H7" s="10">
        <f t="shared" si="0"/>
        <v>8208</v>
      </c>
      <c r="I7" s="10">
        <f t="shared" si="1"/>
        <v>0</v>
      </c>
      <c r="J7" s="10">
        <f>Table14[[#This Row],[Enrolment S.Y. 2025-2026 ]]*8</f>
        <v>8208</v>
      </c>
      <c r="K7" s="10"/>
      <c r="L7" s="8"/>
      <c r="M7" s="10"/>
      <c r="N7" s="10">
        <f t="shared" si="2"/>
        <v>8208</v>
      </c>
      <c r="O7" s="10">
        <f t="shared" si="3"/>
        <v>0</v>
      </c>
      <c r="P7" s="10">
        <f>Table14[[#This Row],[Enrolment S.Y. 2025-2026 ]]*8</f>
        <v>8208</v>
      </c>
      <c r="Q7" s="10"/>
      <c r="R7" s="8"/>
      <c r="S7" s="10"/>
      <c r="T7" s="10">
        <f t="shared" si="4"/>
        <v>8208</v>
      </c>
      <c r="U7" s="10">
        <f t="shared" si="5"/>
        <v>0</v>
      </c>
      <c r="V7" s="10">
        <f>Table14[[#This Row],[Enrolment S.Y. 2025-2026 ]]*8</f>
        <v>8208</v>
      </c>
      <c r="W7" s="10"/>
      <c r="X7" s="8"/>
      <c r="Y7" s="10"/>
      <c r="Z7" s="10">
        <f t="shared" si="6"/>
        <v>8208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1026</v>
      </c>
      <c r="D8" s="10">
        <f>Table14[[#This Row],[Enrolment S.Y. 2025-2026 ]]*8</f>
        <v>8208</v>
      </c>
      <c r="E8" s="10"/>
      <c r="F8" s="8"/>
      <c r="G8" s="10"/>
      <c r="H8" s="10">
        <f t="shared" si="0"/>
        <v>8208</v>
      </c>
      <c r="I8" s="10">
        <f t="shared" si="1"/>
        <v>0</v>
      </c>
      <c r="J8" s="10">
        <f>Table14[[#This Row],[Enrolment S.Y. 2025-2026 ]]*8</f>
        <v>8208</v>
      </c>
      <c r="K8" s="10"/>
      <c r="L8" s="8"/>
      <c r="M8" s="10"/>
      <c r="N8" s="10">
        <f t="shared" ref="N8:N14" si="8">IF((J8-K8)&lt;0,0,(J8-K8))</f>
        <v>8208</v>
      </c>
      <c r="O8" s="10">
        <f t="shared" ref="O8:O14" si="9">IF((K8-J8)&lt;0,0,(K8-J8))</f>
        <v>0</v>
      </c>
      <c r="P8" s="10">
        <f>Table14[[#This Row],[Enrolment S.Y. 2025-2026 ]]*8</f>
        <v>8208</v>
      </c>
      <c r="Q8" s="10"/>
      <c r="R8" s="8"/>
      <c r="S8" s="10"/>
      <c r="T8" s="10">
        <f t="shared" si="4"/>
        <v>8208</v>
      </c>
      <c r="U8" s="10">
        <f t="shared" si="5"/>
        <v>0</v>
      </c>
      <c r="V8" s="10">
        <f>Table14[[#This Row],[Enrolment S.Y. 2025-2026 ]]*8</f>
        <v>8208</v>
      </c>
      <c r="W8" s="10"/>
      <c r="X8" s="8"/>
      <c r="Y8" s="10"/>
      <c r="Z8" s="10">
        <f t="shared" si="6"/>
        <v>8208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1026</v>
      </c>
      <c r="D9" s="10">
        <f>Table14[[#This Row],[Enrolment S.Y. 2025-2026 ]]*8</f>
        <v>8208</v>
      </c>
      <c r="E9" s="10"/>
      <c r="F9" s="8"/>
      <c r="G9" s="10"/>
      <c r="H9" s="10">
        <f t="shared" si="0"/>
        <v>8208</v>
      </c>
      <c r="I9" s="10">
        <f t="shared" si="1"/>
        <v>0</v>
      </c>
      <c r="J9" s="10">
        <f>Table14[[#This Row],[Enrolment S.Y. 2025-2026 ]]*8</f>
        <v>8208</v>
      </c>
      <c r="K9" s="10"/>
      <c r="L9" s="8"/>
      <c r="M9" s="10"/>
      <c r="N9" s="10">
        <f t="shared" si="8"/>
        <v>8208</v>
      </c>
      <c r="O9" s="10">
        <f t="shared" si="9"/>
        <v>0</v>
      </c>
      <c r="P9" s="10">
        <f>Table14[[#This Row],[Enrolment S.Y. 2025-2026 ]]*8</f>
        <v>8208</v>
      </c>
      <c r="Q9" s="10"/>
      <c r="R9" s="8"/>
      <c r="S9" s="10"/>
      <c r="T9" s="10">
        <f t="shared" si="4"/>
        <v>8208</v>
      </c>
      <c r="U9" s="10">
        <f t="shared" si="5"/>
        <v>0</v>
      </c>
      <c r="V9" s="10">
        <f>Table14[[#This Row],[Enrolment S.Y. 2025-2026 ]]*8</f>
        <v>8208</v>
      </c>
      <c r="W9" s="10"/>
      <c r="X9" s="8"/>
      <c r="Y9" s="10"/>
      <c r="Z9" s="10">
        <f t="shared" si="6"/>
        <v>8208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1026</v>
      </c>
      <c r="D10" s="10">
        <f>Table14[[#This Row],[Enrolment S.Y. 2025-2026 ]]*8</f>
        <v>8208</v>
      </c>
      <c r="E10" s="10"/>
      <c r="F10" s="8"/>
      <c r="G10" s="10"/>
      <c r="H10" s="10">
        <f>IF((D10-E10)&lt;0,0,(D10-E10))</f>
        <v>8208</v>
      </c>
      <c r="I10" s="10">
        <f>IF((E10-D10)&lt;0,0,(E10-D10))</f>
        <v>0</v>
      </c>
      <c r="J10" s="10">
        <f>Table14[[#This Row],[Enrolment S.Y. 2025-2026 ]]*8</f>
        <v>8208</v>
      </c>
      <c r="K10" s="10"/>
      <c r="L10" s="8"/>
      <c r="M10" s="10"/>
      <c r="N10" s="10">
        <f t="shared" si="8"/>
        <v>8208</v>
      </c>
      <c r="O10" s="10">
        <f t="shared" si="9"/>
        <v>0</v>
      </c>
      <c r="P10" s="10">
        <f>Table14[[#This Row],[Enrolment S.Y. 2025-2026 ]]*8</f>
        <v>8208</v>
      </c>
      <c r="Q10" s="10"/>
      <c r="R10" s="8"/>
      <c r="S10" s="10"/>
      <c r="T10" s="10">
        <f>IF((P10-Q10)&lt;0,0,(P10-Q10))</f>
        <v>8208</v>
      </c>
      <c r="U10" s="10">
        <f>IF((Q10-P10)&lt;0,0,(Q10-P10))</f>
        <v>0</v>
      </c>
      <c r="V10" s="10">
        <f>Table14[[#This Row],[Enrolment S.Y. 2025-2026 ]]*8</f>
        <v>8208</v>
      </c>
      <c r="W10" s="10"/>
      <c r="X10" s="8"/>
      <c r="Y10" s="10"/>
      <c r="Z10" s="10">
        <f>IF((V10-W10)&lt;0,0,(V10-W10))</f>
        <v>8208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1026</v>
      </c>
      <c r="D11" s="10">
        <f>Table14[[#This Row],[Enrolment S.Y. 2025-2026 ]]*8</f>
        <v>8208</v>
      </c>
      <c r="E11" s="10"/>
      <c r="F11" s="8"/>
      <c r="G11" s="10"/>
      <c r="H11" s="10">
        <f t="shared" si="0"/>
        <v>8208</v>
      </c>
      <c r="I11" s="10">
        <f t="shared" si="1"/>
        <v>0</v>
      </c>
      <c r="J11" s="10">
        <f>Table14[[#This Row],[Enrolment S.Y. 2025-2026 ]]*8</f>
        <v>8208</v>
      </c>
      <c r="K11" s="10"/>
      <c r="L11" s="8"/>
      <c r="M11" s="10"/>
      <c r="N11" s="10">
        <f t="shared" si="8"/>
        <v>8208</v>
      </c>
      <c r="O11" s="10">
        <f t="shared" si="9"/>
        <v>0</v>
      </c>
      <c r="P11" s="10">
        <f>Table14[[#This Row],[Enrolment S.Y. 2025-2026 ]]*8</f>
        <v>8208</v>
      </c>
      <c r="Q11" s="10"/>
      <c r="R11" s="8"/>
      <c r="S11" s="10"/>
      <c r="T11" s="10">
        <f t="shared" ref="T11:T59" si="10">IF((P11-Q11)&lt;0,0,(P11-Q11))</f>
        <v>8208</v>
      </c>
      <c r="U11" s="10">
        <f t="shared" ref="U11:U59" si="11">IF((Q11-P11)&lt;0,0,(Q11-P11))</f>
        <v>0</v>
      </c>
      <c r="V11" s="10">
        <f>Table14[[#This Row],[Enrolment S.Y. 2025-2026 ]]*8</f>
        <v>8208</v>
      </c>
      <c r="W11" s="10"/>
      <c r="X11" s="8"/>
      <c r="Y11" s="10"/>
      <c r="Z11" s="10">
        <f t="shared" ref="Z11:Z59" si="12">IF((V11-W11)&lt;0,0,(V11-W11))</f>
        <v>8208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1026</v>
      </c>
      <c r="D12" s="10">
        <f>Table14[[#This Row],[Enrolment S.Y. 2025-2026 ]]*8</f>
        <v>8208</v>
      </c>
      <c r="E12" s="10"/>
      <c r="F12" s="8"/>
      <c r="G12" s="10"/>
      <c r="H12" s="10">
        <f t="shared" si="0"/>
        <v>8208</v>
      </c>
      <c r="I12" s="10">
        <f t="shared" si="1"/>
        <v>0</v>
      </c>
      <c r="J12" s="10">
        <f>Table14[[#This Row],[Enrolment S.Y. 2025-2026 ]]*8</f>
        <v>8208</v>
      </c>
      <c r="K12" s="10"/>
      <c r="L12" s="8"/>
      <c r="M12" s="10"/>
      <c r="N12" s="10">
        <f t="shared" si="8"/>
        <v>8208</v>
      </c>
      <c r="O12" s="10">
        <f t="shared" si="9"/>
        <v>0</v>
      </c>
      <c r="P12" s="10">
        <f>Table14[[#This Row],[Enrolment S.Y. 2025-2026 ]]*8</f>
        <v>8208</v>
      </c>
      <c r="Q12" s="10"/>
      <c r="R12" s="8"/>
      <c r="S12" s="10"/>
      <c r="T12" s="10">
        <f t="shared" si="10"/>
        <v>8208</v>
      </c>
      <c r="U12" s="10">
        <f t="shared" si="11"/>
        <v>0</v>
      </c>
      <c r="V12" s="10">
        <f>Table14[[#This Row],[Enrolment S.Y. 2025-2026 ]]*8</f>
        <v>8208</v>
      </c>
      <c r="W12" s="10"/>
      <c r="X12" s="8"/>
      <c r="Y12" s="10"/>
      <c r="Z12" s="10">
        <f t="shared" si="12"/>
        <v>8208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1026</v>
      </c>
      <c r="D13" s="10">
        <f>Table14[[#This Row],[Enrolment S.Y. 2025-2026 ]]*8</f>
        <v>8208</v>
      </c>
      <c r="E13" s="10"/>
      <c r="F13" s="8"/>
      <c r="G13" s="10"/>
      <c r="H13" s="10">
        <f>IF((D13-E13)&lt;0,0,(D13-E13))</f>
        <v>8208</v>
      </c>
      <c r="I13" s="10">
        <f>IF((E13-D13)&lt;0,0,(E13-D13))</f>
        <v>0</v>
      </c>
      <c r="J13" s="10">
        <f>Table14[[#This Row],[Enrolment S.Y. 2025-2026 ]]*8</f>
        <v>8208</v>
      </c>
      <c r="K13" s="10"/>
      <c r="L13" s="8"/>
      <c r="M13" s="10"/>
      <c r="N13" s="10">
        <f t="shared" si="8"/>
        <v>8208</v>
      </c>
      <c r="O13" s="10">
        <f t="shared" si="9"/>
        <v>0</v>
      </c>
      <c r="P13" s="10">
        <f>Table14[[#This Row],[Enrolment S.Y. 2025-2026 ]]*8</f>
        <v>8208</v>
      </c>
      <c r="Q13" s="10"/>
      <c r="R13" s="8"/>
      <c r="S13" s="10"/>
      <c r="T13" s="10">
        <f>IF((P13-Q13)&lt;0,0,(P13-Q13))</f>
        <v>8208</v>
      </c>
      <c r="U13" s="10">
        <f>IF((Q13-P13)&lt;0,0,(Q13-P13))</f>
        <v>0</v>
      </c>
      <c r="V13" s="10">
        <f>Table14[[#This Row],[Enrolment S.Y. 2025-2026 ]]*8</f>
        <v>8208</v>
      </c>
      <c r="W13" s="10"/>
      <c r="X13" s="8"/>
      <c r="Y13" s="10"/>
      <c r="Z13" s="10">
        <f>IF((V13-W13)&lt;0,0,(V13-W13))</f>
        <v>8208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1026</v>
      </c>
      <c r="D14" s="10">
        <f>Table14[[#This Row],[Enrolment S.Y. 2025-2026 ]]*8</f>
        <v>8208</v>
      </c>
      <c r="E14" s="10"/>
      <c r="F14" s="8"/>
      <c r="G14" s="10"/>
      <c r="H14" s="10">
        <f t="shared" si="0"/>
        <v>8208</v>
      </c>
      <c r="I14" s="10">
        <f t="shared" si="1"/>
        <v>0</v>
      </c>
      <c r="J14" s="10">
        <f>Table14[[#This Row],[Enrolment S.Y. 2025-2026 ]]*8</f>
        <v>8208</v>
      </c>
      <c r="K14" s="10"/>
      <c r="L14" s="8"/>
      <c r="M14" s="10"/>
      <c r="N14" s="10">
        <f t="shared" si="8"/>
        <v>8208</v>
      </c>
      <c r="O14" s="10">
        <f t="shared" si="9"/>
        <v>0</v>
      </c>
      <c r="P14" s="10">
        <f>Table14[[#This Row],[Enrolment S.Y. 2025-2026 ]]*8</f>
        <v>8208</v>
      </c>
      <c r="Q14" s="10"/>
      <c r="R14" s="8"/>
      <c r="S14" s="10"/>
      <c r="T14" s="10">
        <f t="shared" si="10"/>
        <v>8208</v>
      </c>
      <c r="U14" s="10">
        <f t="shared" si="11"/>
        <v>0</v>
      </c>
      <c r="V14" s="10">
        <f>Table14[[#This Row],[Enrolment S.Y. 2025-2026 ]]*8</f>
        <v>8208</v>
      </c>
      <c r="W14" s="10"/>
      <c r="X14" s="8"/>
      <c r="Y14" s="10"/>
      <c r="Z14" s="10">
        <f t="shared" si="12"/>
        <v>8208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861</v>
      </c>
      <c r="D16" s="10">
        <f>Table14[[#This Row],[Enrolment S.Y. 2025-2026 ]]*8</f>
        <v>6888</v>
      </c>
      <c r="E16" s="10"/>
      <c r="F16" s="8"/>
      <c r="G16" s="10"/>
      <c r="H16" s="10">
        <f t="shared" si="0"/>
        <v>6888</v>
      </c>
      <c r="I16" s="10">
        <f t="shared" si="1"/>
        <v>0</v>
      </c>
      <c r="J16" s="10">
        <f>Table14[[#This Row],[Enrolment S.Y. 2025-2026 ]]*8</f>
        <v>6888</v>
      </c>
      <c r="K16" s="10"/>
      <c r="L16" s="8"/>
      <c r="M16" s="10"/>
      <c r="N16" s="10">
        <f t="shared" ref="N11:N59" si="14">IF((J16-K16)&lt;0,0,(J16-K16))</f>
        <v>6888</v>
      </c>
      <c r="O16" s="10">
        <f t="shared" ref="O11:O59" si="15">IF((K16-J16)&lt;0,0,(K16-J16))</f>
        <v>0</v>
      </c>
      <c r="P16" s="10">
        <f>Table14[[#This Row],[Enrolment S.Y. 2025-2026 ]]*8</f>
        <v>6888</v>
      </c>
      <c r="Q16" s="10"/>
      <c r="R16" s="8"/>
      <c r="S16" s="10"/>
      <c r="T16" s="10">
        <f t="shared" si="10"/>
        <v>6888</v>
      </c>
      <c r="U16" s="10">
        <f t="shared" si="11"/>
        <v>0</v>
      </c>
      <c r="V16" s="10">
        <f>Table14[[#This Row],[Enrolment S.Y. 2025-2026 ]]*8</f>
        <v>6888</v>
      </c>
      <c r="W16" s="10"/>
      <c r="X16" s="8"/>
      <c r="Y16" s="10"/>
      <c r="Z16" s="10">
        <f t="shared" si="12"/>
        <v>6888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861</v>
      </c>
      <c r="D17" s="10">
        <f>Table14[[#This Row],[Enrolment S.Y. 2025-2026 ]]*8</f>
        <v>6888</v>
      </c>
      <c r="E17" s="10"/>
      <c r="F17" s="8"/>
      <c r="G17" s="10"/>
      <c r="H17" s="10">
        <f t="shared" si="0"/>
        <v>6888</v>
      </c>
      <c r="I17" s="10">
        <f t="shared" si="1"/>
        <v>0</v>
      </c>
      <c r="J17" s="10">
        <f>Table14[[#This Row],[Enrolment S.Y. 2025-2026 ]]*8</f>
        <v>6888</v>
      </c>
      <c r="K17" s="10"/>
      <c r="L17" s="8"/>
      <c r="M17" s="10"/>
      <c r="N17" s="10">
        <f t="shared" si="14"/>
        <v>6888</v>
      </c>
      <c r="O17" s="10">
        <f t="shared" si="15"/>
        <v>0</v>
      </c>
      <c r="P17" s="10">
        <f>Table14[[#This Row],[Enrolment S.Y. 2025-2026 ]]*8</f>
        <v>6888</v>
      </c>
      <c r="Q17" s="10"/>
      <c r="R17" s="8"/>
      <c r="S17" s="10"/>
      <c r="T17" s="10">
        <f t="shared" si="10"/>
        <v>6888</v>
      </c>
      <c r="U17" s="10">
        <f t="shared" si="11"/>
        <v>0</v>
      </c>
      <c r="V17" s="10">
        <f>Table14[[#This Row],[Enrolment S.Y. 2025-2026 ]]*8</f>
        <v>6888</v>
      </c>
      <c r="W17" s="10"/>
      <c r="X17" s="8"/>
      <c r="Y17" s="10"/>
      <c r="Z17" s="10">
        <f t="shared" si="12"/>
        <v>6888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861</v>
      </c>
      <c r="D18" s="10">
        <f>Table14[[#This Row],[Enrolment S.Y. 2025-2026 ]]*8</f>
        <v>6888</v>
      </c>
      <c r="E18" s="10"/>
      <c r="F18" s="8"/>
      <c r="G18" s="10"/>
      <c r="H18" s="10">
        <f t="shared" si="0"/>
        <v>6888</v>
      </c>
      <c r="I18" s="10">
        <f t="shared" si="1"/>
        <v>0</v>
      </c>
      <c r="J18" s="10">
        <f>Table14[[#This Row],[Enrolment S.Y. 2025-2026 ]]*8</f>
        <v>6888</v>
      </c>
      <c r="K18" s="10"/>
      <c r="L18" s="8"/>
      <c r="M18" s="10"/>
      <c r="N18" s="10">
        <f t="shared" si="14"/>
        <v>6888</v>
      </c>
      <c r="O18" s="10">
        <f t="shared" si="15"/>
        <v>0</v>
      </c>
      <c r="P18" s="10">
        <f>Table14[[#This Row],[Enrolment S.Y. 2025-2026 ]]*8</f>
        <v>6888</v>
      </c>
      <c r="Q18" s="10"/>
      <c r="R18" s="8"/>
      <c r="S18" s="10"/>
      <c r="T18" s="10">
        <f t="shared" si="10"/>
        <v>6888</v>
      </c>
      <c r="U18" s="10">
        <f t="shared" si="11"/>
        <v>0</v>
      </c>
      <c r="V18" s="10">
        <f>Table14[[#This Row],[Enrolment S.Y. 2025-2026 ]]*8</f>
        <v>6888</v>
      </c>
      <c r="W18" s="10"/>
      <c r="X18" s="8"/>
      <c r="Y18" s="10"/>
      <c r="Z18" s="10">
        <f t="shared" si="12"/>
        <v>6888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861</v>
      </c>
      <c r="D19" s="10">
        <f>Table14[[#This Row],[Enrolment S.Y. 2025-2026 ]]*8</f>
        <v>6888</v>
      </c>
      <c r="E19" s="10"/>
      <c r="F19" s="8"/>
      <c r="G19" s="10"/>
      <c r="H19" s="10">
        <f t="shared" si="0"/>
        <v>6888</v>
      </c>
      <c r="I19" s="10">
        <f t="shared" si="1"/>
        <v>0</v>
      </c>
      <c r="J19" s="10">
        <f>Table14[[#This Row],[Enrolment S.Y. 2025-2026 ]]*8</f>
        <v>6888</v>
      </c>
      <c r="K19" s="10"/>
      <c r="L19" s="8"/>
      <c r="M19" s="10"/>
      <c r="N19" s="10">
        <f t="shared" si="14"/>
        <v>6888</v>
      </c>
      <c r="O19" s="10">
        <f t="shared" si="15"/>
        <v>0</v>
      </c>
      <c r="P19" s="10">
        <f>Table14[[#This Row],[Enrolment S.Y. 2025-2026 ]]*8</f>
        <v>6888</v>
      </c>
      <c r="Q19" s="10"/>
      <c r="R19" s="8"/>
      <c r="S19" s="10"/>
      <c r="T19" s="10">
        <f t="shared" si="10"/>
        <v>6888</v>
      </c>
      <c r="U19" s="10">
        <f t="shared" si="11"/>
        <v>0</v>
      </c>
      <c r="V19" s="10">
        <f>Table14[[#This Row],[Enrolment S.Y. 2025-2026 ]]*8</f>
        <v>6888</v>
      </c>
      <c r="W19" s="10"/>
      <c r="X19" s="8"/>
      <c r="Y19" s="10"/>
      <c r="Z19" s="10">
        <f t="shared" si="12"/>
        <v>6888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861</v>
      </c>
      <c r="D20" s="10">
        <f>Table14[[#This Row],[Enrolment S.Y. 2025-2026 ]]*8</f>
        <v>6888</v>
      </c>
      <c r="E20" s="10"/>
      <c r="F20" s="8"/>
      <c r="G20" s="10"/>
      <c r="H20" s="10">
        <f t="shared" si="0"/>
        <v>6888</v>
      </c>
      <c r="I20" s="10">
        <f t="shared" si="1"/>
        <v>0</v>
      </c>
      <c r="J20" s="10">
        <f>Table14[[#This Row],[Enrolment S.Y. 2025-2026 ]]*8</f>
        <v>6888</v>
      </c>
      <c r="K20" s="10"/>
      <c r="L20" s="8"/>
      <c r="M20" s="10"/>
      <c r="N20" s="10">
        <f t="shared" si="14"/>
        <v>6888</v>
      </c>
      <c r="O20" s="10">
        <f t="shared" si="15"/>
        <v>0</v>
      </c>
      <c r="P20" s="10">
        <f>Table14[[#This Row],[Enrolment S.Y. 2025-2026 ]]*8</f>
        <v>6888</v>
      </c>
      <c r="Q20" s="10"/>
      <c r="R20" s="8"/>
      <c r="S20" s="10"/>
      <c r="T20" s="10">
        <f t="shared" si="10"/>
        <v>6888</v>
      </c>
      <c r="U20" s="10">
        <f t="shared" si="11"/>
        <v>0</v>
      </c>
      <c r="V20" s="10">
        <f>Table14[[#This Row],[Enrolment S.Y. 2025-2026 ]]*8</f>
        <v>6888</v>
      </c>
      <c r="W20" s="10"/>
      <c r="X20" s="8"/>
      <c r="Y20" s="10"/>
      <c r="Z20" s="10">
        <f t="shared" si="12"/>
        <v>6888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861</v>
      </c>
      <c r="D21" s="10">
        <f>Table14[[#This Row],[Enrolment S.Y. 2025-2026 ]]*8</f>
        <v>6888</v>
      </c>
      <c r="E21" s="10"/>
      <c r="F21" s="8"/>
      <c r="G21" s="10"/>
      <c r="H21" s="10">
        <f t="shared" ref="H21:H59" si="16">IF((D21-E21)&lt;0,0,(D21-E21))</f>
        <v>6888</v>
      </c>
      <c r="I21" s="10">
        <f t="shared" ref="I21:I59" si="17">IF((E21-D21)&lt;0,0,(E21-D21))</f>
        <v>0</v>
      </c>
      <c r="J21" s="10">
        <f>Table14[[#This Row],[Enrolment S.Y. 2025-2026 ]]*8</f>
        <v>6888</v>
      </c>
      <c r="K21" s="10"/>
      <c r="L21" s="8"/>
      <c r="M21" s="10"/>
      <c r="N21" s="10">
        <f t="shared" ref="N21:N26" si="18">IF((J21-K21)&lt;0,0,(J21-K21))</f>
        <v>6888</v>
      </c>
      <c r="O21" s="10">
        <f t="shared" ref="O21:O26" si="19">IF((K21-J21)&lt;0,0,(K21-J21))</f>
        <v>0</v>
      </c>
      <c r="P21" s="10">
        <f>Table14[[#This Row],[Enrolment S.Y. 2025-2026 ]]*8</f>
        <v>6888</v>
      </c>
      <c r="Q21" s="10"/>
      <c r="R21" s="8"/>
      <c r="S21" s="10"/>
      <c r="T21" s="10">
        <f t="shared" si="10"/>
        <v>6888</v>
      </c>
      <c r="U21" s="10">
        <f t="shared" si="11"/>
        <v>0</v>
      </c>
      <c r="V21" s="10">
        <f>Table14[[#This Row],[Enrolment S.Y. 2025-2026 ]]*8</f>
        <v>6888</v>
      </c>
      <c r="W21" s="10"/>
      <c r="X21" s="8"/>
      <c r="Y21" s="10"/>
      <c r="Z21" s="10">
        <f t="shared" si="12"/>
        <v>6888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861</v>
      </c>
      <c r="D22" s="10">
        <f>Table14[[#This Row],[Enrolment S.Y. 2025-2026 ]]*8</f>
        <v>6888</v>
      </c>
      <c r="E22" s="10"/>
      <c r="F22" s="8"/>
      <c r="G22" s="10"/>
      <c r="H22" s="10">
        <f>IF((D22-E22)&lt;0,0,(D22-E22))</f>
        <v>6888</v>
      </c>
      <c r="I22" s="10">
        <f>IF((E22-D22)&lt;0,0,(E22-D22))</f>
        <v>0</v>
      </c>
      <c r="J22" s="10">
        <f>Table14[[#This Row],[Enrolment S.Y. 2025-2026 ]]*8</f>
        <v>6888</v>
      </c>
      <c r="K22" s="10"/>
      <c r="L22" s="8"/>
      <c r="M22" s="10"/>
      <c r="N22" s="10">
        <f t="shared" si="18"/>
        <v>6888</v>
      </c>
      <c r="O22" s="10">
        <f t="shared" si="19"/>
        <v>0</v>
      </c>
      <c r="P22" s="10">
        <f>Table14[[#This Row],[Enrolment S.Y. 2025-2026 ]]*8</f>
        <v>6888</v>
      </c>
      <c r="Q22" s="10"/>
      <c r="R22" s="8"/>
      <c r="S22" s="10"/>
      <c r="T22" s="10">
        <f>IF((P22-Q22)&lt;0,0,(P22-Q22))</f>
        <v>6888</v>
      </c>
      <c r="U22" s="10">
        <f>IF((Q22-P22)&lt;0,0,(Q22-P22))</f>
        <v>0</v>
      </c>
      <c r="V22" s="10">
        <f>Table14[[#This Row],[Enrolment S.Y. 2025-2026 ]]*8</f>
        <v>6888</v>
      </c>
      <c r="W22" s="10"/>
      <c r="X22" s="8"/>
      <c r="Y22" s="10"/>
      <c r="Z22" s="10">
        <f>IF((V22-W22)&lt;0,0,(V22-W22))</f>
        <v>6888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861</v>
      </c>
      <c r="D23" s="10">
        <f>Table14[[#This Row],[Enrolment S.Y. 2025-2026 ]]*8</f>
        <v>6888</v>
      </c>
      <c r="E23" s="10"/>
      <c r="F23" s="8"/>
      <c r="G23" s="10"/>
      <c r="H23" s="10">
        <f t="shared" si="16"/>
        <v>6888</v>
      </c>
      <c r="I23" s="10">
        <f t="shared" si="17"/>
        <v>0</v>
      </c>
      <c r="J23" s="10">
        <f>Table14[[#This Row],[Enrolment S.Y. 2025-2026 ]]*8</f>
        <v>6888</v>
      </c>
      <c r="K23" s="10"/>
      <c r="L23" s="8"/>
      <c r="M23" s="10"/>
      <c r="N23" s="10">
        <f t="shared" si="18"/>
        <v>6888</v>
      </c>
      <c r="O23" s="10">
        <f t="shared" si="19"/>
        <v>0</v>
      </c>
      <c r="P23" s="10">
        <f>Table14[[#This Row],[Enrolment S.Y. 2025-2026 ]]*8</f>
        <v>6888</v>
      </c>
      <c r="Q23" s="10"/>
      <c r="R23" s="8"/>
      <c r="S23" s="10"/>
      <c r="T23" s="10">
        <f t="shared" si="10"/>
        <v>6888</v>
      </c>
      <c r="U23" s="10">
        <f t="shared" si="11"/>
        <v>0</v>
      </c>
      <c r="V23" s="10">
        <f>Table14[[#This Row],[Enrolment S.Y. 2025-2026 ]]*8</f>
        <v>6888</v>
      </c>
      <c r="W23" s="10"/>
      <c r="X23" s="8"/>
      <c r="Y23" s="10"/>
      <c r="Z23" s="10">
        <f t="shared" si="12"/>
        <v>6888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861</v>
      </c>
      <c r="D24" s="10">
        <f>Table14[[#This Row],[Enrolment S.Y. 2025-2026 ]]*8</f>
        <v>6888</v>
      </c>
      <c r="E24" s="10"/>
      <c r="F24" s="8"/>
      <c r="G24" s="10"/>
      <c r="H24" s="10">
        <f t="shared" si="16"/>
        <v>6888</v>
      </c>
      <c r="I24" s="10">
        <f t="shared" si="17"/>
        <v>0</v>
      </c>
      <c r="J24" s="10">
        <f>Table14[[#This Row],[Enrolment S.Y. 2025-2026 ]]*8</f>
        <v>6888</v>
      </c>
      <c r="K24" s="10"/>
      <c r="L24" s="8"/>
      <c r="M24" s="10"/>
      <c r="N24" s="10">
        <f t="shared" si="18"/>
        <v>6888</v>
      </c>
      <c r="O24" s="10">
        <f t="shared" si="19"/>
        <v>0</v>
      </c>
      <c r="P24" s="10">
        <f>Table14[[#This Row],[Enrolment S.Y. 2025-2026 ]]*8</f>
        <v>6888</v>
      </c>
      <c r="Q24" s="10"/>
      <c r="R24" s="8"/>
      <c r="S24" s="10"/>
      <c r="T24" s="10">
        <f t="shared" si="10"/>
        <v>6888</v>
      </c>
      <c r="U24" s="10">
        <f t="shared" si="11"/>
        <v>0</v>
      </c>
      <c r="V24" s="10">
        <f>Table14[[#This Row],[Enrolment S.Y. 2025-2026 ]]*8</f>
        <v>6888</v>
      </c>
      <c r="W24" s="10"/>
      <c r="X24" s="8"/>
      <c r="Y24" s="10"/>
      <c r="Z24" s="10">
        <f t="shared" si="12"/>
        <v>6888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861</v>
      </c>
      <c r="D25" s="10">
        <f>Table14[[#This Row],[Enrolment S.Y. 2025-2026 ]]*8</f>
        <v>6888</v>
      </c>
      <c r="E25" s="10"/>
      <c r="F25" s="8"/>
      <c r="G25" s="10"/>
      <c r="H25" s="10">
        <f>IF((D25-E25)&lt;0,0,(D25-E25))</f>
        <v>6888</v>
      </c>
      <c r="I25" s="10">
        <f>IF((E25-D25)&lt;0,0,(E25-D25))</f>
        <v>0</v>
      </c>
      <c r="J25" s="10">
        <f>Table14[[#This Row],[Enrolment S.Y. 2025-2026 ]]*8</f>
        <v>6888</v>
      </c>
      <c r="K25" s="10"/>
      <c r="L25" s="8"/>
      <c r="M25" s="10"/>
      <c r="N25" s="10">
        <f t="shared" si="18"/>
        <v>6888</v>
      </c>
      <c r="O25" s="10">
        <f t="shared" si="19"/>
        <v>0</v>
      </c>
      <c r="P25" s="10">
        <f>Table14[[#This Row],[Enrolment S.Y. 2025-2026 ]]*8</f>
        <v>6888</v>
      </c>
      <c r="Q25" s="10"/>
      <c r="R25" s="8"/>
      <c r="S25" s="10"/>
      <c r="T25" s="10">
        <f>IF((P25-Q25)&lt;0,0,(P25-Q25))</f>
        <v>6888</v>
      </c>
      <c r="U25" s="10">
        <f>IF((Q25-P25)&lt;0,0,(Q25-P25))</f>
        <v>0</v>
      </c>
      <c r="V25" s="10">
        <f>Table14[[#This Row],[Enrolment S.Y. 2025-2026 ]]*8</f>
        <v>6888</v>
      </c>
      <c r="W25" s="10"/>
      <c r="X25" s="8"/>
      <c r="Y25" s="10"/>
      <c r="Z25" s="10">
        <f>IF((V25-W25)&lt;0,0,(V25-W25))</f>
        <v>6888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861</v>
      </c>
      <c r="D26" s="10">
        <f>Table14[[#This Row],[Enrolment S.Y. 2025-2026 ]]*8</f>
        <v>6888</v>
      </c>
      <c r="E26" s="10"/>
      <c r="F26" s="8"/>
      <c r="G26" s="10"/>
      <c r="H26" s="10">
        <f t="shared" si="16"/>
        <v>6888</v>
      </c>
      <c r="I26" s="10">
        <f t="shared" si="17"/>
        <v>0</v>
      </c>
      <c r="J26" s="10">
        <f>Table14[[#This Row],[Enrolment S.Y. 2025-2026 ]]*8</f>
        <v>6888</v>
      </c>
      <c r="K26" s="10"/>
      <c r="L26" s="8"/>
      <c r="M26" s="10"/>
      <c r="N26" s="10">
        <f t="shared" si="18"/>
        <v>6888</v>
      </c>
      <c r="O26" s="10">
        <f t="shared" si="19"/>
        <v>0</v>
      </c>
      <c r="P26" s="10">
        <f>Table14[[#This Row],[Enrolment S.Y. 2025-2026 ]]*8</f>
        <v>6888</v>
      </c>
      <c r="Q26" s="10"/>
      <c r="R26" s="8"/>
      <c r="S26" s="10"/>
      <c r="T26" s="10">
        <f t="shared" si="10"/>
        <v>6888</v>
      </c>
      <c r="U26" s="10">
        <f t="shared" si="11"/>
        <v>0</v>
      </c>
      <c r="V26" s="10">
        <f>Table14[[#This Row],[Enrolment S.Y. 2025-2026 ]]*8</f>
        <v>6888</v>
      </c>
      <c r="W26" s="10"/>
      <c r="X26" s="8"/>
      <c r="Y26" s="10"/>
      <c r="Z26" s="10">
        <f t="shared" si="12"/>
        <v>6888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688</v>
      </c>
      <c r="D28" s="10">
        <f>Table14[[#This Row],[Enrolment S.Y. 2025-2026 ]]*8</f>
        <v>5504</v>
      </c>
      <c r="E28" s="10"/>
      <c r="F28" s="8"/>
      <c r="G28" s="10"/>
      <c r="H28" s="10">
        <f t="shared" si="16"/>
        <v>5504</v>
      </c>
      <c r="I28" s="10">
        <f t="shared" si="17"/>
        <v>0</v>
      </c>
      <c r="J28" s="10">
        <f>Table14[[#This Row],[Enrolment S.Y. 2025-2026 ]]*8</f>
        <v>5504</v>
      </c>
      <c r="K28" s="10"/>
      <c r="L28" s="8"/>
      <c r="M28" s="10"/>
      <c r="N28" s="10">
        <f t="shared" si="14"/>
        <v>5504</v>
      </c>
      <c r="O28" s="10">
        <f t="shared" si="15"/>
        <v>0</v>
      </c>
      <c r="P28" s="10">
        <f>Table14[[#This Row],[Enrolment S.Y. 2025-2026 ]]*8</f>
        <v>5504</v>
      </c>
      <c r="Q28" s="10"/>
      <c r="R28" s="8"/>
      <c r="S28" s="10"/>
      <c r="T28" s="10">
        <f t="shared" si="10"/>
        <v>5504</v>
      </c>
      <c r="U28" s="10">
        <f t="shared" si="11"/>
        <v>0</v>
      </c>
      <c r="V28" s="10">
        <f>Table14[[#This Row],[Enrolment S.Y. 2025-2026 ]]*8</f>
        <v>5504</v>
      </c>
      <c r="W28" s="10"/>
      <c r="X28" s="8"/>
      <c r="Y28" s="10"/>
      <c r="Z28" s="10">
        <f t="shared" si="12"/>
        <v>5504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688</v>
      </c>
      <c r="D29" s="10">
        <f>Table14[[#This Row],[Enrolment S.Y. 2025-2026 ]]*8</f>
        <v>5504</v>
      </c>
      <c r="E29" s="10"/>
      <c r="F29" s="8"/>
      <c r="G29" s="10"/>
      <c r="H29" s="10">
        <f t="shared" si="16"/>
        <v>5504</v>
      </c>
      <c r="I29" s="10">
        <f t="shared" si="17"/>
        <v>0</v>
      </c>
      <c r="J29" s="10">
        <f>Table14[[#This Row],[Enrolment S.Y. 2025-2026 ]]*8</f>
        <v>5504</v>
      </c>
      <c r="K29" s="10"/>
      <c r="L29" s="8"/>
      <c r="M29" s="10"/>
      <c r="N29" s="10">
        <f t="shared" si="14"/>
        <v>5504</v>
      </c>
      <c r="O29" s="10">
        <f t="shared" si="15"/>
        <v>0</v>
      </c>
      <c r="P29" s="10">
        <f>Table14[[#This Row],[Enrolment S.Y. 2025-2026 ]]*8</f>
        <v>5504</v>
      </c>
      <c r="Q29" s="10"/>
      <c r="R29" s="8"/>
      <c r="S29" s="10"/>
      <c r="T29" s="10">
        <f t="shared" si="10"/>
        <v>5504</v>
      </c>
      <c r="U29" s="10">
        <f t="shared" si="11"/>
        <v>0</v>
      </c>
      <c r="V29" s="10">
        <f>Table14[[#This Row],[Enrolment S.Y. 2025-2026 ]]*8</f>
        <v>5504</v>
      </c>
      <c r="W29" s="10"/>
      <c r="X29" s="8"/>
      <c r="Y29" s="10"/>
      <c r="Z29" s="10">
        <f t="shared" si="12"/>
        <v>5504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688</v>
      </c>
      <c r="D30" s="10">
        <f>Table14[[#This Row],[Enrolment S.Y. 2025-2026 ]]*8</f>
        <v>5504</v>
      </c>
      <c r="E30" s="10"/>
      <c r="F30" s="8"/>
      <c r="G30" s="10"/>
      <c r="H30" s="10">
        <f t="shared" si="16"/>
        <v>5504</v>
      </c>
      <c r="I30" s="10">
        <f t="shared" si="17"/>
        <v>0</v>
      </c>
      <c r="J30" s="10">
        <f>Table14[[#This Row],[Enrolment S.Y. 2025-2026 ]]*8</f>
        <v>5504</v>
      </c>
      <c r="K30" s="10"/>
      <c r="L30" s="8"/>
      <c r="M30" s="10"/>
      <c r="N30" s="10">
        <f t="shared" si="14"/>
        <v>5504</v>
      </c>
      <c r="O30" s="10">
        <f t="shared" si="15"/>
        <v>0</v>
      </c>
      <c r="P30" s="10">
        <f>Table14[[#This Row],[Enrolment S.Y. 2025-2026 ]]*8</f>
        <v>5504</v>
      </c>
      <c r="Q30" s="10"/>
      <c r="R30" s="8"/>
      <c r="S30" s="10"/>
      <c r="T30" s="10">
        <f t="shared" si="10"/>
        <v>5504</v>
      </c>
      <c r="U30" s="10">
        <f t="shared" si="11"/>
        <v>0</v>
      </c>
      <c r="V30" s="10">
        <f>Table14[[#This Row],[Enrolment S.Y. 2025-2026 ]]*8</f>
        <v>5504</v>
      </c>
      <c r="W30" s="10"/>
      <c r="X30" s="8"/>
      <c r="Y30" s="10"/>
      <c r="Z30" s="10">
        <f t="shared" si="12"/>
        <v>5504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688</v>
      </c>
      <c r="D31" s="10">
        <f>Table14[[#This Row],[Enrolment S.Y. 2025-2026 ]]*8</f>
        <v>5504</v>
      </c>
      <c r="E31" s="10"/>
      <c r="F31" s="8"/>
      <c r="G31" s="10"/>
      <c r="H31" s="10">
        <f t="shared" si="16"/>
        <v>5504</v>
      </c>
      <c r="I31" s="10">
        <f t="shared" si="17"/>
        <v>0</v>
      </c>
      <c r="J31" s="10">
        <f>Table14[[#This Row],[Enrolment S.Y. 2025-2026 ]]*8</f>
        <v>5504</v>
      </c>
      <c r="K31" s="10"/>
      <c r="L31" s="8"/>
      <c r="M31" s="10"/>
      <c r="N31" s="10">
        <f t="shared" si="14"/>
        <v>5504</v>
      </c>
      <c r="O31" s="10">
        <f t="shared" si="15"/>
        <v>0</v>
      </c>
      <c r="P31" s="10">
        <f>Table14[[#This Row],[Enrolment S.Y. 2025-2026 ]]*8</f>
        <v>5504</v>
      </c>
      <c r="Q31" s="10"/>
      <c r="R31" s="8"/>
      <c r="S31" s="10"/>
      <c r="T31" s="10">
        <f t="shared" si="10"/>
        <v>5504</v>
      </c>
      <c r="U31" s="10">
        <f t="shared" si="11"/>
        <v>0</v>
      </c>
      <c r="V31" s="10">
        <f>Table14[[#This Row],[Enrolment S.Y. 2025-2026 ]]*8</f>
        <v>5504</v>
      </c>
      <c r="W31" s="10"/>
      <c r="X31" s="8"/>
      <c r="Y31" s="10"/>
      <c r="Z31" s="10">
        <f t="shared" si="12"/>
        <v>5504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688</v>
      </c>
      <c r="D32" s="10">
        <f>Table14[[#This Row],[Enrolment S.Y. 2025-2026 ]]*8</f>
        <v>5504</v>
      </c>
      <c r="E32" s="10"/>
      <c r="F32" s="8"/>
      <c r="G32" s="10"/>
      <c r="H32" s="10">
        <f t="shared" si="16"/>
        <v>5504</v>
      </c>
      <c r="I32" s="10">
        <f t="shared" si="17"/>
        <v>0</v>
      </c>
      <c r="J32" s="10">
        <f>Table14[[#This Row],[Enrolment S.Y. 2025-2026 ]]*8</f>
        <v>5504</v>
      </c>
      <c r="K32" s="10"/>
      <c r="L32" s="8"/>
      <c r="M32" s="10"/>
      <c r="N32" s="10">
        <f t="shared" si="14"/>
        <v>5504</v>
      </c>
      <c r="O32" s="10">
        <f t="shared" si="15"/>
        <v>0</v>
      </c>
      <c r="P32" s="10">
        <f>Table14[[#This Row],[Enrolment S.Y. 2025-2026 ]]*8</f>
        <v>5504</v>
      </c>
      <c r="Q32" s="10"/>
      <c r="R32" s="8"/>
      <c r="S32" s="10"/>
      <c r="T32" s="10">
        <f t="shared" si="10"/>
        <v>5504</v>
      </c>
      <c r="U32" s="10">
        <f t="shared" si="11"/>
        <v>0</v>
      </c>
      <c r="V32" s="10">
        <f>Table14[[#This Row],[Enrolment S.Y. 2025-2026 ]]*8</f>
        <v>5504</v>
      </c>
      <c r="W32" s="10"/>
      <c r="X32" s="8"/>
      <c r="Y32" s="10"/>
      <c r="Z32" s="10">
        <f t="shared" si="12"/>
        <v>5504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688</v>
      </c>
      <c r="D33" s="10">
        <f>Table14[[#This Row],[Enrolment S.Y. 2025-2026 ]]*8</f>
        <v>5504</v>
      </c>
      <c r="E33" s="10"/>
      <c r="F33" s="8"/>
      <c r="G33" s="10"/>
      <c r="H33" s="10">
        <f t="shared" si="16"/>
        <v>5504</v>
      </c>
      <c r="I33" s="10">
        <f t="shared" si="17"/>
        <v>0</v>
      </c>
      <c r="J33" s="10">
        <f>Table14[[#This Row],[Enrolment S.Y. 2025-2026 ]]*8</f>
        <v>5504</v>
      </c>
      <c r="K33" s="10"/>
      <c r="L33" s="8"/>
      <c r="M33" s="10"/>
      <c r="N33" s="10">
        <f t="shared" si="14"/>
        <v>5504</v>
      </c>
      <c r="O33" s="10">
        <f t="shared" si="15"/>
        <v>0</v>
      </c>
      <c r="P33" s="10">
        <f>Table14[[#This Row],[Enrolment S.Y. 2025-2026 ]]*8</f>
        <v>5504</v>
      </c>
      <c r="Q33" s="10"/>
      <c r="R33" s="8"/>
      <c r="S33" s="10"/>
      <c r="T33" s="10">
        <f t="shared" si="10"/>
        <v>5504</v>
      </c>
      <c r="U33" s="10">
        <f t="shared" si="11"/>
        <v>0</v>
      </c>
      <c r="V33" s="10">
        <f>Table14[[#This Row],[Enrolment S.Y. 2025-2026 ]]*8</f>
        <v>5504</v>
      </c>
      <c r="W33" s="10"/>
      <c r="X33" s="8"/>
      <c r="Y33" s="10"/>
      <c r="Z33" s="10">
        <f t="shared" si="12"/>
        <v>5504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688</v>
      </c>
      <c r="D34" s="10">
        <f>Table14[[#This Row],[Enrolment S.Y. 2025-2026 ]]*8</f>
        <v>5504</v>
      </c>
      <c r="E34" s="10"/>
      <c r="F34" s="8"/>
      <c r="G34" s="10"/>
      <c r="H34" s="10">
        <f>IF((D34-E34)&lt;0,0,(D34-E34))</f>
        <v>5504</v>
      </c>
      <c r="I34" s="10">
        <f>IF((E34-D34)&lt;0,0,(E34-D34))</f>
        <v>0</v>
      </c>
      <c r="J34" s="10">
        <f>Table14[[#This Row],[Enrolment S.Y. 2025-2026 ]]*8</f>
        <v>5504</v>
      </c>
      <c r="K34" s="10"/>
      <c r="L34" s="8"/>
      <c r="M34" s="10"/>
      <c r="N34" s="10">
        <f t="shared" ref="N34:N38" si="20">IF((J34-K34)&lt;0,0,(J34-K34))</f>
        <v>5504</v>
      </c>
      <c r="O34" s="10">
        <f t="shared" ref="O34:O38" si="21">IF((K34-J34)&lt;0,0,(K34-J34))</f>
        <v>0</v>
      </c>
      <c r="P34" s="10">
        <f>Table14[[#This Row],[Enrolment S.Y. 2025-2026 ]]*8</f>
        <v>5504</v>
      </c>
      <c r="Q34" s="10"/>
      <c r="R34" s="8"/>
      <c r="S34" s="10"/>
      <c r="T34" s="10">
        <f>IF((P34-Q34)&lt;0,0,(P34-Q34))</f>
        <v>5504</v>
      </c>
      <c r="U34" s="10">
        <f>IF((Q34-P34)&lt;0,0,(Q34-P34))</f>
        <v>0</v>
      </c>
      <c r="V34" s="10">
        <f>Table14[[#This Row],[Enrolment S.Y. 2025-2026 ]]*8</f>
        <v>5504</v>
      </c>
      <c r="W34" s="10"/>
      <c r="X34" s="8"/>
      <c r="Y34" s="10"/>
      <c r="Z34" s="10">
        <f>IF((V34-W34)&lt;0,0,(V34-W34))</f>
        <v>5504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688</v>
      </c>
      <c r="D35" s="10">
        <f>Table14[[#This Row],[Enrolment S.Y. 2025-2026 ]]*8</f>
        <v>5504</v>
      </c>
      <c r="E35" s="10"/>
      <c r="F35" s="8"/>
      <c r="G35" s="10"/>
      <c r="H35" s="10">
        <f t="shared" si="16"/>
        <v>5504</v>
      </c>
      <c r="I35" s="10">
        <f t="shared" si="17"/>
        <v>0</v>
      </c>
      <c r="J35" s="10">
        <f>Table14[[#This Row],[Enrolment S.Y. 2025-2026 ]]*8</f>
        <v>5504</v>
      </c>
      <c r="K35" s="10"/>
      <c r="L35" s="8"/>
      <c r="M35" s="10"/>
      <c r="N35" s="10">
        <f t="shared" si="20"/>
        <v>5504</v>
      </c>
      <c r="O35" s="10">
        <f t="shared" si="21"/>
        <v>0</v>
      </c>
      <c r="P35" s="10">
        <f>Table14[[#This Row],[Enrolment S.Y. 2025-2026 ]]*8</f>
        <v>5504</v>
      </c>
      <c r="Q35" s="10"/>
      <c r="R35" s="8"/>
      <c r="S35" s="10"/>
      <c r="T35" s="10">
        <f t="shared" si="10"/>
        <v>5504</v>
      </c>
      <c r="U35" s="10">
        <f t="shared" si="11"/>
        <v>0</v>
      </c>
      <c r="V35" s="10">
        <f>Table14[[#This Row],[Enrolment S.Y. 2025-2026 ]]*8</f>
        <v>5504</v>
      </c>
      <c r="W35" s="10"/>
      <c r="X35" s="8"/>
      <c r="Y35" s="10"/>
      <c r="Z35" s="10">
        <f t="shared" si="12"/>
        <v>5504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688</v>
      </c>
      <c r="D36" s="10">
        <f>Table14[[#This Row],[Enrolment S.Y. 2025-2026 ]]*8</f>
        <v>5504</v>
      </c>
      <c r="E36" s="10"/>
      <c r="F36" s="8"/>
      <c r="G36" s="10"/>
      <c r="H36" s="10">
        <f t="shared" si="16"/>
        <v>5504</v>
      </c>
      <c r="I36" s="10">
        <f t="shared" si="17"/>
        <v>0</v>
      </c>
      <c r="J36" s="10">
        <f>Table14[[#This Row],[Enrolment S.Y. 2025-2026 ]]*8</f>
        <v>5504</v>
      </c>
      <c r="K36" s="10"/>
      <c r="L36" s="8"/>
      <c r="M36" s="10"/>
      <c r="N36" s="10">
        <f t="shared" si="20"/>
        <v>5504</v>
      </c>
      <c r="O36" s="10">
        <f t="shared" si="21"/>
        <v>0</v>
      </c>
      <c r="P36" s="10">
        <f>Table14[[#This Row],[Enrolment S.Y. 2025-2026 ]]*8</f>
        <v>5504</v>
      </c>
      <c r="Q36" s="10"/>
      <c r="R36" s="8"/>
      <c r="S36" s="10"/>
      <c r="T36" s="10">
        <f t="shared" si="10"/>
        <v>5504</v>
      </c>
      <c r="U36" s="10">
        <f t="shared" si="11"/>
        <v>0</v>
      </c>
      <c r="V36" s="10">
        <f>Table14[[#This Row],[Enrolment S.Y. 2025-2026 ]]*8</f>
        <v>5504</v>
      </c>
      <c r="W36" s="10"/>
      <c r="X36" s="8"/>
      <c r="Y36" s="10"/>
      <c r="Z36" s="10">
        <f t="shared" si="12"/>
        <v>5504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688</v>
      </c>
      <c r="D37" s="10">
        <f>Table14[[#This Row],[Enrolment S.Y. 2025-2026 ]]*8</f>
        <v>5504</v>
      </c>
      <c r="E37" s="10"/>
      <c r="F37" s="8"/>
      <c r="G37" s="10"/>
      <c r="H37" s="10">
        <f>IF((D37-E37)&lt;0,0,(D37-E37))</f>
        <v>5504</v>
      </c>
      <c r="I37" s="10">
        <f>IF((E37-D37)&lt;0,0,(E37-D37))</f>
        <v>0</v>
      </c>
      <c r="J37" s="10">
        <f>Table14[[#This Row],[Enrolment S.Y. 2025-2026 ]]*8</f>
        <v>5504</v>
      </c>
      <c r="K37" s="10"/>
      <c r="L37" s="8"/>
      <c r="M37" s="10"/>
      <c r="N37" s="10">
        <f t="shared" si="20"/>
        <v>5504</v>
      </c>
      <c r="O37" s="10">
        <f t="shared" si="21"/>
        <v>0</v>
      </c>
      <c r="P37" s="10">
        <f>Table14[[#This Row],[Enrolment S.Y. 2025-2026 ]]*8</f>
        <v>5504</v>
      </c>
      <c r="Q37" s="10"/>
      <c r="R37" s="8"/>
      <c r="S37" s="10"/>
      <c r="T37" s="10">
        <f>IF((P37-Q37)&lt;0,0,(P37-Q37))</f>
        <v>5504</v>
      </c>
      <c r="U37" s="10">
        <f>IF((Q37-P37)&lt;0,0,(Q37-P37))</f>
        <v>0</v>
      </c>
      <c r="V37" s="10">
        <f>Table14[[#This Row],[Enrolment S.Y. 2025-2026 ]]*8</f>
        <v>5504</v>
      </c>
      <c r="W37" s="10"/>
      <c r="X37" s="8"/>
      <c r="Y37" s="10"/>
      <c r="Z37" s="10">
        <f>IF((V37-W37)&lt;0,0,(V37-W37))</f>
        <v>5504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688</v>
      </c>
      <c r="D38" s="10">
        <f>Table14[[#This Row],[Enrolment S.Y. 2025-2026 ]]*8</f>
        <v>5504</v>
      </c>
      <c r="E38" s="10"/>
      <c r="F38" s="8"/>
      <c r="G38" s="10"/>
      <c r="H38" s="10">
        <f t="shared" si="16"/>
        <v>5504</v>
      </c>
      <c r="I38" s="10">
        <f t="shared" si="17"/>
        <v>0</v>
      </c>
      <c r="J38" s="10">
        <f>Table14[[#This Row],[Enrolment S.Y. 2025-2026 ]]*8</f>
        <v>5504</v>
      </c>
      <c r="K38" s="10"/>
      <c r="L38" s="8"/>
      <c r="M38" s="10"/>
      <c r="N38" s="10">
        <f t="shared" si="20"/>
        <v>5504</v>
      </c>
      <c r="O38" s="10">
        <f t="shared" si="21"/>
        <v>0</v>
      </c>
      <c r="P38" s="10">
        <f>Table14[[#This Row],[Enrolment S.Y. 2025-2026 ]]*8</f>
        <v>5504</v>
      </c>
      <c r="Q38" s="10"/>
      <c r="R38" s="8"/>
      <c r="S38" s="10"/>
      <c r="T38" s="10">
        <f t="shared" si="10"/>
        <v>5504</v>
      </c>
      <c r="U38" s="10">
        <f t="shared" si="11"/>
        <v>0</v>
      </c>
      <c r="V38" s="10">
        <f>Table14[[#This Row],[Enrolment S.Y. 2025-2026 ]]*8</f>
        <v>5504</v>
      </c>
      <c r="W38" s="10"/>
      <c r="X38" s="8"/>
      <c r="Y38" s="10"/>
      <c r="Z38" s="10">
        <f t="shared" si="12"/>
        <v>5504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552</v>
      </c>
      <c r="D40" s="10">
        <f>Table14[[#This Row],[Enrolment S.Y. 2025-2026 ]]*8</f>
        <v>4416</v>
      </c>
      <c r="E40" s="10"/>
      <c r="F40" s="8"/>
      <c r="G40" s="10"/>
      <c r="H40" s="10">
        <f t="shared" si="16"/>
        <v>4416</v>
      </c>
      <c r="I40" s="10">
        <f t="shared" si="17"/>
        <v>0</v>
      </c>
      <c r="J40" s="10">
        <f>Table14[[#This Row],[Enrolment S.Y. 2025-2026 ]]*8</f>
        <v>4416</v>
      </c>
      <c r="K40" s="10"/>
      <c r="L40" s="8"/>
      <c r="M40" s="10"/>
      <c r="N40" s="10">
        <f t="shared" si="14"/>
        <v>4416</v>
      </c>
      <c r="O40" s="10">
        <f t="shared" si="15"/>
        <v>0</v>
      </c>
      <c r="P40" s="10">
        <f>Table14[[#This Row],[Enrolment S.Y. 2025-2026 ]]*8</f>
        <v>4416</v>
      </c>
      <c r="Q40" s="10"/>
      <c r="R40" s="8"/>
      <c r="S40" s="10"/>
      <c r="T40" s="10">
        <f t="shared" si="10"/>
        <v>4416</v>
      </c>
      <c r="U40" s="10">
        <f t="shared" si="11"/>
        <v>0</v>
      </c>
      <c r="V40" s="10">
        <f>Table14[[#This Row],[Enrolment S.Y. 2025-2026 ]]*8</f>
        <v>4416</v>
      </c>
      <c r="W40" s="10"/>
      <c r="X40" s="8"/>
      <c r="Y40" s="10"/>
      <c r="Z40" s="10">
        <f t="shared" si="12"/>
        <v>4416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552</v>
      </c>
      <c r="D41" s="10">
        <f>Table14[[#This Row],[Enrolment S.Y. 2025-2026 ]]*8</f>
        <v>4416</v>
      </c>
      <c r="E41" s="10"/>
      <c r="F41" s="8"/>
      <c r="G41" s="10"/>
      <c r="H41" s="10">
        <f t="shared" si="16"/>
        <v>4416</v>
      </c>
      <c r="I41" s="10">
        <f t="shared" si="17"/>
        <v>0</v>
      </c>
      <c r="J41" s="10">
        <f>Table14[[#This Row],[Enrolment S.Y. 2025-2026 ]]*8</f>
        <v>4416</v>
      </c>
      <c r="K41" s="10"/>
      <c r="L41" s="8"/>
      <c r="M41" s="10"/>
      <c r="N41" s="10">
        <f t="shared" si="14"/>
        <v>4416</v>
      </c>
      <c r="O41" s="10">
        <f t="shared" si="15"/>
        <v>0</v>
      </c>
      <c r="P41" s="10">
        <f>Table14[[#This Row],[Enrolment S.Y. 2025-2026 ]]*8</f>
        <v>4416</v>
      </c>
      <c r="Q41" s="10"/>
      <c r="R41" s="8"/>
      <c r="S41" s="10"/>
      <c r="T41" s="10">
        <f t="shared" si="10"/>
        <v>4416</v>
      </c>
      <c r="U41" s="10">
        <f t="shared" si="11"/>
        <v>0</v>
      </c>
      <c r="V41" s="10">
        <f>Table14[[#This Row],[Enrolment S.Y. 2025-2026 ]]*8</f>
        <v>4416</v>
      </c>
      <c r="W41" s="10"/>
      <c r="X41" s="8"/>
      <c r="Y41" s="10"/>
      <c r="Z41" s="10">
        <f t="shared" si="12"/>
        <v>4416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552</v>
      </c>
      <c r="D42" s="10">
        <f>Table14[[#This Row],[Enrolment S.Y. 2025-2026 ]]*8</f>
        <v>4416</v>
      </c>
      <c r="E42" s="10"/>
      <c r="F42" s="8"/>
      <c r="G42" s="10"/>
      <c r="H42" s="10">
        <f t="shared" si="16"/>
        <v>4416</v>
      </c>
      <c r="I42" s="10">
        <f t="shared" si="17"/>
        <v>0</v>
      </c>
      <c r="J42" s="10">
        <f>Table14[[#This Row],[Enrolment S.Y. 2025-2026 ]]*8</f>
        <v>4416</v>
      </c>
      <c r="K42" s="10"/>
      <c r="L42" s="8"/>
      <c r="M42" s="10"/>
      <c r="N42" s="10">
        <f t="shared" si="14"/>
        <v>4416</v>
      </c>
      <c r="O42" s="10">
        <f t="shared" si="15"/>
        <v>0</v>
      </c>
      <c r="P42" s="10">
        <f>Table14[[#This Row],[Enrolment S.Y. 2025-2026 ]]*8</f>
        <v>4416</v>
      </c>
      <c r="Q42" s="10"/>
      <c r="R42" s="8"/>
      <c r="S42" s="10"/>
      <c r="T42" s="10">
        <f t="shared" si="10"/>
        <v>4416</v>
      </c>
      <c r="U42" s="10">
        <f t="shared" si="11"/>
        <v>0</v>
      </c>
      <c r="V42" s="10">
        <f>Table14[[#This Row],[Enrolment S.Y. 2025-2026 ]]*8</f>
        <v>4416</v>
      </c>
      <c r="W42" s="10"/>
      <c r="X42" s="8"/>
      <c r="Y42" s="10"/>
      <c r="Z42" s="10">
        <f t="shared" si="12"/>
        <v>4416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552</v>
      </c>
      <c r="D43" s="10">
        <f>Table14[[#This Row],[Enrolment S.Y. 2025-2026 ]]*8</f>
        <v>4416</v>
      </c>
      <c r="E43" s="10"/>
      <c r="F43" s="8"/>
      <c r="G43" s="10"/>
      <c r="H43" s="10">
        <f t="shared" si="16"/>
        <v>4416</v>
      </c>
      <c r="I43" s="10">
        <f t="shared" si="17"/>
        <v>0</v>
      </c>
      <c r="J43" s="10">
        <f>Table14[[#This Row],[Enrolment S.Y. 2025-2026 ]]*8</f>
        <v>4416</v>
      </c>
      <c r="K43" s="10"/>
      <c r="L43" s="8"/>
      <c r="M43" s="10"/>
      <c r="N43" s="10">
        <f t="shared" si="14"/>
        <v>4416</v>
      </c>
      <c r="O43" s="10">
        <f t="shared" si="15"/>
        <v>0</v>
      </c>
      <c r="P43" s="10">
        <f>Table14[[#This Row],[Enrolment S.Y. 2025-2026 ]]*8</f>
        <v>4416</v>
      </c>
      <c r="Q43" s="10"/>
      <c r="R43" s="8"/>
      <c r="S43" s="10"/>
      <c r="T43" s="10">
        <f t="shared" si="10"/>
        <v>4416</v>
      </c>
      <c r="U43" s="10">
        <f t="shared" si="11"/>
        <v>0</v>
      </c>
      <c r="V43" s="10">
        <f>Table14[[#This Row],[Enrolment S.Y. 2025-2026 ]]*8</f>
        <v>4416</v>
      </c>
      <c r="W43" s="10"/>
      <c r="X43" s="8"/>
      <c r="Y43" s="10"/>
      <c r="Z43" s="10">
        <f t="shared" si="12"/>
        <v>4416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552</v>
      </c>
      <c r="D44" s="10">
        <f>Table14[[#This Row],[Enrolment S.Y. 2025-2026 ]]*8</f>
        <v>4416</v>
      </c>
      <c r="E44" s="10"/>
      <c r="F44" s="8"/>
      <c r="G44" s="10"/>
      <c r="H44" s="10">
        <f t="shared" si="16"/>
        <v>4416</v>
      </c>
      <c r="I44" s="10">
        <f t="shared" si="17"/>
        <v>0</v>
      </c>
      <c r="J44" s="10">
        <f>Table14[[#This Row],[Enrolment S.Y. 2025-2026 ]]*8</f>
        <v>4416</v>
      </c>
      <c r="K44" s="10"/>
      <c r="L44" s="8"/>
      <c r="M44" s="10"/>
      <c r="N44" s="10">
        <f t="shared" si="14"/>
        <v>4416</v>
      </c>
      <c r="O44" s="10">
        <f t="shared" si="15"/>
        <v>0</v>
      </c>
      <c r="P44" s="10">
        <f>Table14[[#This Row],[Enrolment S.Y. 2025-2026 ]]*8</f>
        <v>4416</v>
      </c>
      <c r="Q44" s="10"/>
      <c r="R44" s="8"/>
      <c r="S44" s="10"/>
      <c r="T44" s="10">
        <f t="shared" si="10"/>
        <v>4416</v>
      </c>
      <c r="U44" s="10">
        <f t="shared" si="11"/>
        <v>0</v>
      </c>
      <c r="V44" s="10">
        <f>Table14[[#This Row],[Enrolment S.Y. 2025-2026 ]]*8</f>
        <v>4416</v>
      </c>
      <c r="W44" s="10"/>
      <c r="X44" s="8"/>
      <c r="Y44" s="10"/>
      <c r="Z44" s="10">
        <f t="shared" si="12"/>
        <v>4416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552</v>
      </c>
      <c r="D45" s="10">
        <f>Table14[[#This Row],[Enrolment S.Y. 2025-2026 ]]*8</f>
        <v>4416</v>
      </c>
      <c r="E45" s="10"/>
      <c r="F45" s="8"/>
      <c r="G45" s="10"/>
      <c r="H45" s="10">
        <f t="shared" si="16"/>
        <v>4416</v>
      </c>
      <c r="I45" s="10">
        <f t="shared" si="17"/>
        <v>0</v>
      </c>
      <c r="J45" s="10">
        <f>Table14[[#This Row],[Enrolment S.Y. 2025-2026 ]]*8</f>
        <v>4416</v>
      </c>
      <c r="K45" s="10"/>
      <c r="L45" s="8"/>
      <c r="M45" s="10"/>
      <c r="N45" s="10">
        <f t="shared" si="14"/>
        <v>4416</v>
      </c>
      <c r="O45" s="10">
        <f t="shared" si="15"/>
        <v>0</v>
      </c>
      <c r="P45" s="10">
        <f>Table14[[#This Row],[Enrolment S.Y. 2025-2026 ]]*8</f>
        <v>4416</v>
      </c>
      <c r="Q45" s="10"/>
      <c r="R45" s="8"/>
      <c r="S45" s="10"/>
      <c r="T45" s="10">
        <f t="shared" si="10"/>
        <v>4416</v>
      </c>
      <c r="U45" s="10">
        <f t="shared" si="11"/>
        <v>0</v>
      </c>
      <c r="V45" s="10">
        <f>Table14[[#This Row],[Enrolment S.Y. 2025-2026 ]]*8</f>
        <v>4416</v>
      </c>
      <c r="W45" s="10"/>
      <c r="X45" s="8"/>
      <c r="Y45" s="10"/>
      <c r="Z45" s="10">
        <f t="shared" si="12"/>
        <v>4416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552</v>
      </c>
      <c r="D46" s="10">
        <f>Table14[[#This Row],[Enrolment S.Y. 2025-2026 ]]*8</f>
        <v>4416</v>
      </c>
      <c r="E46" s="10"/>
      <c r="F46" s="8"/>
      <c r="G46" s="10"/>
      <c r="H46" s="10">
        <f>IF((D46-E46)&lt;0,0,(D46-E46))</f>
        <v>4416</v>
      </c>
      <c r="I46" s="10">
        <f>IF((E46-D46)&lt;0,0,(E46-D46))</f>
        <v>0</v>
      </c>
      <c r="J46" s="10">
        <f>Table14[[#This Row],[Enrolment S.Y. 2025-2026 ]]*8</f>
        <v>4416</v>
      </c>
      <c r="K46" s="10"/>
      <c r="L46" s="8"/>
      <c r="M46" s="10"/>
      <c r="N46" s="10">
        <f t="shared" ref="N46:N50" si="22">IF((J46-K46)&lt;0,0,(J46-K46))</f>
        <v>4416</v>
      </c>
      <c r="O46" s="10">
        <f t="shared" ref="O46:O50" si="23">IF((K46-J46)&lt;0,0,(K46-J46))</f>
        <v>0</v>
      </c>
      <c r="P46" s="10">
        <f>Table14[[#This Row],[Enrolment S.Y. 2025-2026 ]]*8</f>
        <v>4416</v>
      </c>
      <c r="Q46" s="10"/>
      <c r="R46" s="8"/>
      <c r="S46" s="10"/>
      <c r="T46" s="10">
        <f>IF((P46-Q46)&lt;0,0,(P46-Q46))</f>
        <v>4416</v>
      </c>
      <c r="U46" s="10">
        <f>IF((Q46-P46)&lt;0,0,(Q46-P46))</f>
        <v>0</v>
      </c>
      <c r="V46" s="10">
        <f>Table14[[#This Row],[Enrolment S.Y. 2025-2026 ]]*8</f>
        <v>4416</v>
      </c>
      <c r="W46" s="10"/>
      <c r="X46" s="8"/>
      <c r="Y46" s="10"/>
      <c r="Z46" s="10">
        <f>IF((V46-W46)&lt;0,0,(V46-W46))</f>
        <v>4416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552</v>
      </c>
      <c r="D47" s="10">
        <f>Table14[[#This Row],[Enrolment S.Y. 2025-2026 ]]*8</f>
        <v>4416</v>
      </c>
      <c r="E47" s="10"/>
      <c r="F47" s="8"/>
      <c r="G47" s="10"/>
      <c r="H47" s="10">
        <f t="shared" si="16"/>
        <v>4416</v>
      </c>
      <c r="I47" s="10">
        <f t="shared" si="17"/>
        <v>0</v>
      </c>
      <c r="J47" s="10">
        <f>Table14[[#This Row],[Enrolment S.Y. 2025-2026 ]]*8</f>
        <v>4416</v>
      </c>
      <c r="K47" s="10"/>
      <c r="L47" s="8"/>
      <c r="M47" s="10"/>
      <c r="N47" s="10">
        <f t="shared" si="22"/>
        <v>4416</v>
      </c>
      <c r="O47" s="10">
        <f t="shared" si="23"/>
        <v>0</v>
      </c>
      <c r="P47" s="10">
        <f>Table14[[#This Row],[Enrolment S.Y. 2025-2026 ]]*8</f>
        <v>4416</v>
      </c>
      <c r="Q47" s="10"/>
      <c r="R47" s="8"/>
      <c r="S47" s="10"/>
      <c r="T47" s="10">
        <f t="shared" si="10"/>
        <v>4416</v>
      </c>
      <c r="U47" s="10">
        <f t="shared" si="11"/>
        <v>0</v>
      </c>
      <c r="V47" s="10">
        <f>Table14[[#This Row],[Enrolment S.Y. 2025-2026 ]]*8</f>
        <v>4416</v>
      </c>
      <c r="W47" s="10"/>
      <c r="X47" s="8"/>
      <c r="Y47" s="10"/>
      <c r="Z47" s="10">
        <f t="shared" si="12"/>
        <v>4416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552</v>
      </c>
      <c r="D48" s="10">
        <f>Table14[[#This Row],[Enrolment S.Y. 2025-2026 ]]*8</f>
        <v>4416</v>
      </c>
      <c r="E48" s="10"/>
      <c r="F48" s="8"/>
      <c r="G48" s="10"/>
      <c r="H48" s="10">
        <f t="shared" si="16"/>
        <v>4416</v>
      </c>
      <c r="I48" s="10">
        <f t="shared" si="17"/>
        <v>0</v>
      </c>
      <c r="J48" s="10">
        <f>Table14[[#This Row],[Enrolment S.Y. 2025-2026 ]]*8</f>
        <v>4416</v>
      </c>
      <c r="K48" s="10"/>
      <c r="L48" s="8"/>
      <c r="M48" s="10"/>
      <c r="N48" s="10">
        <f t="shared" si="22"/>
        <v>4416</v>
      </c>
      <c r="O48" s="10">
        <f t="shared" si="23"/>
        <v>0</v>
      </c>
      <c r="P48" s="10">
        <f>Table14[[#This Row],[Enrolment S.Y. 2025-2026 ]]*8</f>
        <v>4416</v>
      </c>
      <c r="Q48" s="10"/>
      <c r="R48" s="8"/>
      <c r="S48" s="10"/>
      <c r="T48" s="10">
        <f t="shared" si="10"/>
        <v>4416</v>
      </c>
      <c r="U48" s="10">
        <f t="shared" si="11"/>
        <v>0</v>
      </c>
      <c r="V48" s="10">
        <f>Table14[[#This Row],[Enrolment S.Y. 2025-2026 ]]*8</f>
        <v>4416</v>
      </c>
      <c r="W48" s="10"/>
      <c r="X48" s="8"/>
      <c r="Y48" s="10"/>
      <c r="Z48" s="10">
        <f t="shared" si="12"/>
        <v>4416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552</v>
      </c>
      <c r="D49" s="10">
        <f>Table14[[#This Row],[Enrolment S.Y. 2025-2026 ]]*8</f>
        <v>4416</v>
      </c>
      <c r="E49" s="10"/>
      <c r="F49" s="8"/>
      <c r="G49" s="10"/>
      <c r="H49" s="10">
        <f>IF((D49-E49)&lt;0,0,(D49-E49))</f>
        <v>4416</v>
      </c>
      <c r="I49" s="10">
        <f>IF((E49-D49)&lt;0,0,(E49-D49))</f>
        <v>0</v>
      </c>
      <c r="J49" s="10">
        <f>Table14[[#This Row],[Enrolment S.Y. 2025-2026 ]]*8</f>
        <v>4416</v>
      </c>
      <c r="K49" s="10"/>
      <c r="L49" s="8"/>
      <c r="M49" s="10"/>
      <c r="N49" s="10">
        <f t="shared" si="22"/>
        <v>4416</v>
      </c>
      <c r="O49" s="10">
        <f t="shared" si="23"/>
        <v>0</v>
      </c>
      <c r="P49" s="10">
        <f>Table14[[#This Row],[Enrolment S.Y. 2025-2026 ]]*8</f>
        <v>4416</v>
      </c>
      <c r="Q49" s="10"/>
      <c r="R49" s="8"/>
      <c r="S49" s="10"/>
      <c r="T49" s="10">
        <f>IF((P49-Q49)&lt;0,0,(P49-Q49))</f>
        <v>4416</v>
      </c>
      <c r="U49" s="10">
        <f>IF((Q49-P49)&lt;0,0,(Q49-P49))</f>
        <v>0</v>
      </c>
      <c r="V49" s="10">
        <f>Table14[[#This Row],[Enrolment S.Y. 2025-2026 ]]*8</f>
        <v>4416</v>
      </c>
      <c r="W49" s="10"/>
      <c r="X49" s="8"/>
      <c r="Y49" s="10"/>
      <c r="Z49" s="10">
        <f>IF((V49-W49)&lt;0,0,(V49-W49))</f>
        <v>4416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552</v>
      </c>
      <c r="D50" s="10">
        <f>Table14[[#This Row],[Enrolment S.Y. 2025-2026 ]]*8</f>
        <v>4416</v>
      </c>
      <c r="E50" s="10"/>
      <c r="F50" s="8"/>
      <c r="G50" s="10"/>
      <c r="H50" s="10">
        <f t="shared" si="16"/>
        <v>4416</v>
      </c>
      <c r="I50" s="10">
        <f t="shared" si="17"/>
        <v>0</v>
      </c>
      <c r="J50" s="10">
        <f>Table14[[#This Row],[Enrolment S.Y. 2025-2026 ]]*8</f>
        <v>4416</v>
      </c>
      <c r="K50" s="10"/>
      <c r="L50" s="8"/>
      <c r="M50" s="10"/>
      <c r="N50" s="10">
        <f t="shared" si="22"/>
        <v>4416</v>
      </c>
      <c r="O50" s="10">
        <f t="shared" si="23"/>
        <v>0</v>
      </c>
      <c r="P50" s="10">
        <f>Table14[[#This Row],[Enrolment S.Y. 2025-2026 ]]*8</f>
        <v>4416</v>
      </c>
      <c r="Q50" s="10"/>
      <c r="R50" s="8"/>
      <c r="S50" s="10"/>
      <c r="T50" s="10">
        <f t="shared" si="10"/>
        <v>4416</v>
      </c>
      <c r="U50" s="10">
        <f t="shared" si="11"/>
        <v>0</v>
      </c>
      <c r="V50" s="10">
        <f>Table14[[#This Row],[Enrolment S.Y. 2025-2026 ]]*8</f>
        <v>4416</v>
      </c>
      <c r="W50" s="10"/>
      <c r="X50" s="8"/>
      <c r="Y50" s="10"/>
      <c r="Z50" s="10">
        <f t="shared" si="12"/>
        <v>4416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  <protectedRange sqref="C16:C26" name="Textbooks_1"/>
    <protectedRange sqref="C4:C14" name="Textbooks_1_1"/>
    <protectedRange sqref="C28:C38" name="Textbooks_2"/>
    <protectedRange sqref="C40:C50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4:X14 X16:X26 X28:X38 X40:X50 L4:L14 L16:L26 L28:L38 L40:L50 R4:R14 R16:R26 R28:R38 R40:R50 F4:F14 F16:F26 F28:F38 X52:X59 F52:F59 R52:R59 L52:L59 F40:F5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2026-02-18T07:07:40Z</dcterms:modified>
  <cp:category/>
  <cp:contentStatus/>
</cp:coreProperties>
</file>