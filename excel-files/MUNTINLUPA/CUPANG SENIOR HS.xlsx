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5" documentId="13_ncr:1_{BFB59F67-F0DC-4675-A682-EB0734A8026A}" xr6:coauthVersionLast="47" xr6:coauthVersionMax="47" xr10:uidLastSave="{A7AC0DF1-D304-4CA3-9D20-4F93BF3ADDA9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5" l="1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V11" i="5"/>
  <c r="AA11" i="5" s="1"/>
  <c r="P11" i="5"/>
  <c r="T11" i="5" s="1"/>
  <c r="J11" i="5"/>
  <c r="O11" i="5" s="1"/>
  <c r="D11" i="5"/>
  <c r="I11" i="5" s="1"/>
  <c r="V10" i="5"/>
  <c r="Z10" i="5" s="1"/>
  <c r="P10" i="5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Z8" i="5" s="1"/>
  <c r="P8" i="5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Z6" i="5" s="1"/>
  <c r="P6" i="5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Z4" i="5" s="1"/>
  <c r="P4" i="5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V13" i="4"/>
  <c r="Z13" i="4" s="1"/>
  <c r="V14" i="4"/>
  <c r="Z14" i="4" s="1"/>
  <c r="V15" i="4"/>
  <c r="AA15" i="4" s="1"/>
  <c r="V16" i="4"/>
  <c r="Z16" i="4" s="1"/>
  <c r="V17" i="4"/>
  <c r="AA17" i="4" s="1"/>
  <c r="V18" i="4"/>
  <c r="Z18" i="4" s="1"/>
  <c r="V19" i="4"/>
  <c r="AA19" i="4" s="1"/>
  <c r="V20" i="4"/>
  <c r="V21" i="4"/>
  <c r="Z21" i="4" s="1"/>
  <c r="V22" i="4"/>
  <c r="Z22" i="4" s="1"/>
  <c r="V23" i="4"/>
  <c r="AA23" i="4" s="1"/>
  <c r="V24" i="4"/>
  <c r="Z24" i="4" s="1"/>
  <c r="V25" i="4"/>
  <c r="Z25" i="4" s="1"/>
  <c r="V26" i="4"/>
  <c r="Z26" i="4" s="1"/>
  <c r="V27" i="4"/>
  <c r="AA27" i="4" s="1"/>
  <c r="T28" i="4"/>
  <c r="U28" i="4"/>
  <c r="V28" i="4"/>
  <c r="P4" i="4"/>
  <c r="P5" i="4"/>
  <c r="U5" i="4" s="1"/>
  <c r="P6" i="4"/>
  <c r="T6" i="4" s="1"/>
  <c r="P7" i="4"/>
  <c r="T7" i="4" s="1"/>
  <c r="P8" i="4"/>
  <c r="P9" i="4"/>
  <c r="U9" i="4" s="1"/>
  <c r="P10" i="4"/>
  <c r="T10" i="4" s="1"/>
  <c r="P11" i="4"/>
  <c r="T11" i="4" s="1"/>
  <c r="P13" i="4"/>
  <c r="P14" i="4"/>
  <c r="T14" i="4" s="1"/>
  <c r="P15" i="4"/>
  <c r="T15" i="4" s="1"/>
  <c r="P16" i="4"/>
  <c r="T16" i="4" s="1"/>
  <c r="P17" i="4"/>
  <c r="P18" i="4"/>
  <c r="U18" i="4" s="1"/>
  <c r="P19" i="4"/>
  <c r="T19" i="4" s="1"/>
  <c r="P20" i="4"/>
  <c r="T20" i="4" s="1"/>
  <c r="P21" i="4"/>
  <c r="P22" i="4"/>
  <c r="T22" i="4" s="1"/>
  <c r="P23" i="4"/>
  <c r="T23" i="4" s="1"/>
  <c r="P24" i="4"/>
  <c r="T24" i="4" s="1"/>
  <c r="P25" i="4"/>
  <c r="P26" i="4"/>
  <c r="U26" i="4" s="1"/>
  <c r="P27" i="4"/>
  <c r="T27" i="4" s="1"/>
  <c r="J4" i="4"/>
  <c r="N4" i="4" s="1"/>
  <c r="J5" i="4"/>
  <c r="N5" i="4" s="1"/>
  <c r="J6" i="4"/>
  <c r="O6" i="4" s="1"/>
  <c r="J7" i="4"/>
  <c r="N7" i="4" s="1"/>
  <c r="J8" i="4"/>
  <c r="N8" i="4" s="1"/>
  <c r="J9" i="4"/>
  <c r="O9" i="4" s="1"/>
  <c r="J10" i="4"/>
  <c r="O10" i="4" s="1"/>
  <c r="J11" i="4"/>
  <c r="N11" i="4" s="1"/>
  <c r="J13" i="4"/>
  <c r="N13" i="4" s="1"/>
  <c r="J14" i="4"/>
  <c r="N14" i="4" s="1"/>
  <c r="J15" i="4"/>
  <c r="O15" i="4" s="1"/>
  <c r="J16" i="4"/>
  <c r="N16" i="4" s="1"/>
  <c r="J17" i="4"/>
  <c r="N17" i="4" s="1"/>
  <c r="J18" i="4"/>
  <c r="O18" i="4" s="1"/>
  <c r="J19" i="4"/>
  <c r="O19" i="4" s="1"/>
  <c r="J20" i="4"/>
  <c r="N20" i="4" s="1"/>
  <c r="J21" i="4"/>
  <c r="N21" i="4" s="1"/>
  <c r="J22" i="4"/>
  <c r="N22" i="4" s="1"/>
  <c r="J23" i="4"/>
  <c r="O23" i="4" s="1"/>
  <c r="J24" i="4"/>
  <c r="N24" i="4" s="1"/>
  <c r="J25" i="4"/>
  <c r="N25" i="4" s="1"/>
  <c r="J26" i="4"/>
  <c r="O26" i="4" s="1"/>
  <c r="J27" i="4"/>
  <c r="O27" i="4" s="1"/>
  <c r="J28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D4" i="4"/>
  <c r="I4" i="4" s="1"/>
  <c r="D5" i="4"/>
  <c r="I5" i="4" s="1"/>
  <c r="D6" i="4"/>
  <c r="H6" i="4" s="1"/>
  <c r="D7" i="4"/>
  <c r="H7" i="4" s="1"/>
  <c r="D8" i="4"/>
  <c r="I8" i="4" s="1"/>
  <c r="D9" i="4"/>
  <c r="H9" i="4" s="1"/>
  <c r="D10" i="4"/>
  <c r="I10" i="4" s="1"/>
  <c r="D11" i="4"/>
  <c r="I11" i="4" s="1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T5" i="4" l="1"/>
  <c r="Z27" i="4"/>
  <c r="Z17" i="4"/>
  <c r="U15" i="4"/>
  <c r="AA4" i="4"/>
  <c r="O20" i="4"/>
  <c r="AA6" i="5"/>
  <c r="AA8" i="5"/>
  <c r="H9" i="5"/>
  <c r="U11" i="5"/>
  <c r="O7" i="4"/>
  <c r="T9" i="4"/>
  <c r="AA25" i="4"/>
  <c r="Z15" i="4"/>
  <c r="N26" i="4"/>
  <c r="U19" i="4"/>
  <c r="U14" i="4"/>
  <c r="AA13" i="4"/>
  <c r="O24" i="4"/>
  <c r="N18" i="4"/>
  <c r="O11" i="4"/>
  <c r="N6" i="4"/>
  <c r="U23" i="4"/>
  <c r="Z23" i="4"/>
  <c r="T18" i="4"/>
  <c r="AA21" i="4"/>
  <c r="Z10" i="4"/>
  <c r="U27" i="4"/>
  <c r="U22" i="4"/>
  <c r="U6" i="4"/>
  <c r="AA8" i="4"/>
  <c r="N27" i="4"/>
  <c r="O16" i="4"/>
  <c r="N9" i="4"/>
  <c r="Z19" i="4"/>
  <c r="T26" i="4"/>
  <c r="U10" i="4"/>
  <c r="Z6" i="4"/>
  <c r="T13" i="4"/>
  <c r="U13" i="4"/>
  <c r="Z28" i="4"/>
  <c r="AA28" i="4"/>
  <c r="N23" i="4"/>
  <c r="N10" i="4"/>
  <c r="T17" i="4"/>
  <c r="U17" i="4"/>
  <c r="T21" i="4"/>
  <c r="U21" i="4"/>
  <c r="T25" i="4"/>
  <c r="U25" i="4"/>
  <c r="T4" i="4"/>
  <c r="U4" i="4"/>
  <c r="Z20" i="4"/>
  <c r="AA20" i="4"/>
  <c r="N15" i="4"/>
  <c r="N19" i="4"/>
  <c r="T8" i="4"/>
  <c r="U8" i="4"/>
  <c r="Z11" i="4"/>
  <c r="AA11" i="4"/>
  <c r="O25" i="4"/>
  <c r="O17" i="4"/>
  <c r="O8" i="4"/>
  <c r="U24" i="4"/>
  <c r="U16" i="4"/>
  <c r="U7" i="4"/>
  <c r="AA24" i="4"/>
  <c r="AA16" i="4"/>
  <c r="AA7" i="4"/>
  <c r="O22" i="4"/>
  <c r="O14" i="4"/>
  <c r="O5" i="4"/>
  <c r="O21" i="4"/>
  <c r="O13" i="4"/>
  <c r="O4" i="4"/>
  <c r="U20" i="4"/>
  <c r="U11" i="4"/>
  <c r="AA26" i="4"/>
  <c r="AA22" i="4"/>
  <c r="AA18" i="4"/>
  <c r="AA14" i="4"/>
  <c r="AA9" i="4"/>
  <c r="AA5" i="4"/>
  <c r="AA4" i="5"/>
  <c r="H5" i="5"/>
  <c r="T9" i="5"/>
  <c r="O6" i="5"/>
  <c r="AA10" i="5"/>
  <c r="O4" i="5"/>
  <c r="T7" i="5"/>
  <c r="T5" i="5"/>
  <c r="Z9" i="5"/>
  <c r="H11" i="5"/>
  <c r="Z5" i="5"/>
  <c r="H7" i="5"/>
  <c r="O10" i="5"/>
  <c r="O8" i="5"/>
  <c r="Z7" i="5"/>
  <c r="U10" i="5"/>
  <c r="T10" i="5"/>
  <c r="U8" i="5"/>
  <c r="T8" i="5"/>
  <c r="U6" i="5"/>
  <c r="T6" i="5"/>
  <c r="U4" i="5"/>
  <c r="T4" i="5"/>
  <c r="Z11" i="5"/>
  <c r="N5" i="5"/>
  <c r="N7" i="5"/>
  <c r="N9" i="5"/>
  <c r="N11" i="5"/>
  <c r="H4" i="5"/>
  <c r="H6" i="5"/>
  <c r="H8" i="5"/>
  <c r="H10" i="5"/>
  <c r="I7" i="4"/>
  <c r="I6" i="4"/>
  <c r="H8" i="4"/>
  <c r="O28" i="4"/>
  <c r="N28" i="4"/>
  <c r="H5" i="4"/>
  <c r="H4" i="4"/>
  <c r="H11" i="4"/>
  <c r="H10" i="4"/>
  <c r="I9" i="4"/>
</calcChain>
</file>

<file path=xl/sharedStrings.xml><?xml version="1.0" encoding="utf-8"?>
<sst xmlns="http://schemas.openxmlformats.org/spreadsheetml/2006/main" count="125" uniqueCount="70">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</sst>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7" totalsRowShown="0" headerRowDxfId="62" headerRowBorderDxfId="60" tableBorderDxfId="61">
  <autoFilter ref="A1:H5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28" totalsRowShown="0" dataDxfId="59" headerRowBorderDxfId="57" tableBorderDxfId="58">
  <autoFilter ref="A2:AA2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29" totalsRowShown="0" dataDxfId="29" headerRowBorderDxfId="27" tableBorderDxfId="28">
  <autoFilter ref="A2:AA29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C3" sqref="C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9" customFormat="1" ht="64.900000000000006" customHeight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3" t="s">
        <v>6</v>
      </c>
      <c r="H1" s="14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41.25" customHeight="1">
      <c r="A3" s="1" t="s">
        <v>8</v>
      </c>
      <c r="B3" s="7" t="s">
        <v>9</v>
      </c>
      <c r="C3" s="1">
        <v>1293</v>
      </c>
      <c r="D3" s="1">
        <v>914</v>
      </c>
      <c r="E3" s="1">
        <v>2024</v>
      </c>
      <c r="F3" s="4" t="s">
        <v>10</v>
      </c>
      <c r="G3" s="2">
        <f t="shared" ref="G3:G10" si="0">IF((C3-D3)&lt;0,0,C3-D3)</f>
        <v>379</v>
      </c>
      <c r="H3" s="3">
        <f t="shared" ref="H3:H10" si="1">IF((D3-C3)&lt;0,0,D3-C3)</f>
        <v>0</v>
      </c>
    </row>
    <row r="4" spans="1:8" ht="21" customHeight="1">
      <c r="A4" s="1" t="s">
        <v>8</v>
      </c>
      <c r="B4" s="7" t="s">
        <v>11</v>
      </c>
      <c r="C4" s="1">
        <v>1293</v>
      </c>
      <c r="D4" s="1">
        <v>0</v>
      </c>
      <c r="E4" s="1"/>
      <c r="F4" s="4"/>
      <c r="G4" s="2">
        <f t="shared" si="0"/>
        <v>1293</v>
      </c>
      <c r="H4" s="3">
        <f t="shared" si="1"/>
        <v>0</v>
      </c>
    </row>
    <row r="5" spans="1:8" ht="25.5" customHeight="1">
      <c r="A5" s="1" t="s">
        <v>8</v>
      </c>
      <c r="B5" s="7" t="s">
        <v>12</v>
      </c>
      <c r="C5" s="1">
        <v>1293</v>
      </c>
      <c r="D5" s="1">
        <v>914</v>
      </c>
      <c r="E5" s="1">
        <v>2024</v>
      </c>
      <c r="F5" s="4" t="s">
        <v>10</v>
      </c>
      <c r="G5" s="2">
        <f t="shared" si="0"/>
        <v>379</v>
      </c>
      <c r="H5" s="3">
        <f t="shared" si="1"/>
        <v>0</v>
      </c>
    </row>
    <row r="6" spans="1:8" ht="19.5">
      <c r="A6" s="1" t="s">
        <v>8</v>
      </c>
      <c r="B6" s="7" t="s">
        <v>13</v>
      </c>
      <c r="C6" s="1">
        <v>1293</v>
      </c>
      <c r="D6" s="1">
        <v>914</v>
      </c>
      <c r="E6" s="1">
        <v>2025</v>
      </c>
      <c r="F6" s="4" t="s">
        <v>10</v>
      </c>
      <c r="G6" s="2">
        <f t="shared" si="0"/>
        <v>379</v>
      </c>
      <c r="H6" s="3">
        <f t="shared" si="1"/>
        <v>0</v>
      </c>
    </row>
    <row r="7" spans="1:8" ht="38.25">
      <c r="A7" s="1" t="s">
        <v>8</v>
      </c>
      <c r="B7" s="7" t="s">
        <v>14</v>
      </c>
      <c r="C7" s="1">
        <v>1293</v>
      </c>
      <c r="D7" s="1">
        <v>914</v>
      </c>
      <c r="E7" s="1">
        <v>2025</v>
      </c>
      <c r="F7" s="4" t="s">
        <v>10</v>
      </c>
      <c r="G7" s="2">
        <f t="shared" si="0"/>
        <v>379</v>
      </c>
      <c r="H7" s="3">
        <f t="shared" si="1"/>
        <v>0</v>
      </c>
    </row>
    <row r="8" spans="1:8" ht="39.75" customHeight="1">
      <c r="A8" s="1" t="s">
        <v>8</v>
      </c>
      <c r="B8" s="7" t="s">
        <v>15</v>
      </c>
      <c r="C8" s="1">
        <v>1293</v>
      </c>
      <c r="D8" s="1">
        <v>914</v>
      </c>
      <c r="E8" s="1">
        <v>2025</v>
      </c>
      <c r="F8" s="4" t="s">
        <v>10</v>
      </c>
      <c r="G8" s="2">
        <f t="shared" si="0"/>
        <v>379</v>
      </c>
      <c r="H8" s="3">
        <f t="shared" si="1"/>
        <v>0</v>
      </c>
    </row>
    <row r="9" spans="1:8" ht="29.25" customHeight="1">
      <c r="A9" s="1" t="s">
        <v>8</v>
      </c>
      <c r="B9" s="31" t="s">
        <v>16</v>
      </c>
      <c r="C9" s="1">
        <v>1293</v>
      </c>
      <c r="D9" s="1">
        <v>914</v>
      </c>
      <c r="E9" s="1">
        <v>2025</v>
      </c>
      <c r="F9" s="4" t="s">
        <v>10</v>
      </c>
      <c r="G9" s="2">
        <f t="shared" si="0"/>
        <v>379</v>
      </c>
      <c r="H9" s="3">
        <f t="shared" si="1"/>
        <v>0</v>
      </c>
    </row>
    <row r="10" spans="1:8" ht="30.75" customHeight="1">
      <c r="A10" s="1" t="s">
        <v>8</v>
      </c>
      <c r="B10" s="7" t="s">
        <v>17</v>
      </c>
      <c r="C10" s="1">
        <v>1293</v>
      </c>
      <c r="D10" s="1">
        <v>914</v>
      </c>
      <c r="E10" s="1">
        <v>2025</v>
      </c>
      <c r="F10" s="4" t="s">
        <v>10</v>
      </c>
      <c r="G10" s="2">
        <f t="shared" si="0"/>
        <v>379</v>
      </c>
      <c r="H10" s="3">
        <f t="shared" si="1"/>
        <v>0</v>
      </c>
    </row>
    <row r="11" spans="1:8" ht="24" customHeight="1"/>
    <row r="12" spans="1:8" ht="15"/>
    <row r="13" spans="1:8" ht="15"/>
    <row r="14" spans="1:8" ht="49.5" customHeight="1"/>
    <row r="15" spans="1:8" ht="29.25" customHeight="1"/>
    <row r="16" spans="1:8" ht="27" customHeight="1"/>
    <row r="17" ht="23.25" customHeight="1"/>
    <row r="18" ht="21" customHeight="1"/>
    <row r="19" ht="15"/>
    <row r="20" ht="15"/>
    <row r="21" ht="28.5" customHeight="1"/>
    <row r="22" ht="24" customHeight="1"/>
    <row r="23" ht="15"/>
    <row r="24" ht="27" customHeight="1"/>
    <row r="25" ht="33.75" customHeight="1"/>
    <row r="26" ht="33.75" customHeight="1"/>
    <row r="27" ht="33.75" customHeight="1"/>
    <row r="28" ht="27.75" customHeight="1"/>
    <row r="29" ht="27.75" customHeight="1"/>
    <row r="30" ht="27.75" customHeight="1"/>
    <row r="31" ht="27.75" customHeight="1"/>
    <row r="32" ht="27.75" customHeight="1"/>
    <row r="33" ht="27.75" customHeight="1"/>
    <row r="34" ht="27.75" customHeight="1"/>
    <row r="35" ht="39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36.75" customHeight="1"/>
    <row r="46" ht="27.75" customHeight="1"/>
    <row r="47" ht="27.75" customHeight="1"/>
    <row r="48" ht="27.75" customHeight="1"/>
    <row r="49" ht="27.75" customHeight="1"/>
    <row r="50" ht="27.75" customHeight="1"/>
    <row r="51" ht="27.75" customHeight="1"/>
    <row r="52" ht="27.75" customHeight="1"/>
    <row r="53" ht="27.75" customHeight="1"/>
    <row r="54" ht="27.75" customHeight="1"/>
    <row r="55" ht="39" customHeight="1"/>
    <row r="56" ht="27.75" customHeight="1"/>
    <row r="57" ht="27.75" customHeight="1"/>
    <row r="58" ht="27.75" customHeight="1"/>
    <row r="59" ht="27.75" customHeight="1"/>
    <row r="60" ht="27.75" customHeight="1"/>
    <row r="61" ht="27.75" customHeight="1"/>
    <row r="62" ht="27.75" customHeight="1"/>
    <row r="63" ht="27.75" customHeight="1"/>
    <row r="64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42" customHeight="1"/>
    <row r="98" ht="47.25" customHeight="1"/>
  </sheetData>
  <protectedRanges>
    <protectedRange sqref="C1:E10" name="Textbooks"/>
    <protectedRange sqref="F1:F10" name="SOURCE"/>
  </protectedRanges>
  <phoneticPr fontId="8" type="noConversion"/>
  <dataValidations count="2">
    <dataValidation type="list" allowBlank="1" showInputMessage="1" showErrorMessage="1" sqref="E3:E10" xr:uid="{B46E7B13-721E-4D49-837E-C02BF9777D48}">
      <formula1>"2024,2025"</formula1>
    </dataValidation>
    <dataValidation type="list" allowBlank="1" showInputMessage="1" showErrorMessage="1" sqref="F3:F1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E1" zoomScale="70" zoomScaleNormal="70" workbookViewId="0">
      <selection activeCell="K4" sqref="K4:K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3" customFormat="1" ht="34.15" customHeight="1">
      <c r="D1" s="32" t="s">
        <v>18</v>
      </c>
      <c r="E1" s="32"/>
      <c r="F1" s="32"/>
      <c r="G1" s="32"/>
      <c r="H1" s="32"/>
      <c r="I1" s="32"/>
      <c r="J1" s="33" t="s">
        <v>19</v>
      </c>
      <c r="K1" s="33"/>
      <c r="L1" s="33"/>
      <c r="M1" s="33"/>
      <c r="N1" s="33"/>
      <c r="O1" s="33"/>
      <c r="P1" s="34" t="s">
        <v>20</v>
      </c>
      <c r="Q1" s="34"/>
      <c r="R1" s="34"/>
      <c r="S1" s="34"/>
      <c r="T1" s="34"/>
      <c r="U1" s="34"/>
      <c r="V1" s="35" t="s">
        <v>21</v>
      </c>
      <c r="W1" s="35"/>
      <c r="X1" s="35"/>
      <c r="Y1" s="35"/>
      <c r="Z1" s="35"/>
      <c r="AA1" s="35"/>
    </row>
    <row r="2" spans="1:27" ht="69.599999999999994" customHeight="1">
      <c r="A2" s="10" t="s">
        <v>0</v>
      </c>
      <c r="B2" s="10" t="s">
        <v>1</v>
      </c>
      <c r="C2" s="11" t="s">
        <v>2</v>
      </c>
      <c r="D2" s="15" t="s">
        <v>22</v>
      </c>
      <c r="E2" s="15" t="s">
        <v>23</v>
      </c>
      <c r="F2" s="16" t="s">
        <v>24</v>
      </c>
      <c r="G2" s="19" t="s">
        <v>25</v>
      </c>
      <c r="H2" s="12" t="s">
        <v>26</v>
      </c>
      <c r="I2" s="19" t="s">
        <v>27</v>
      </c>
      <c r="J2" s="17" t="s">
        <v>28</v>
      </c>
      <c r="K2" s="17" t="s">
        <v>29</v>
      </c>
      <c r="L2" s="18" t="s">
        <v>30</v>
      </c>
      <c r="M2" s="29" t="s">
        <v>31</v>
      </c>
      <c r="N2" s="29" t="s">
        <v>32</v>
      </c>
      <c r="O2" s="17" t="s">
        <v>33</v>
      </c>
      <c r="P2" s="19" t="s">
        <v>34</v>
      </c>
      <c r="Q2" s="19" t="s">
        <v>35</v>
      </c>
      <c r="R2" s="20" t="s">
        <v>36</v>
      </c>
      <c r="S2" s="12" t="s">
        <v>37</v>
      </c>
      <c r="T2" s="12" t="s">
        <v>38</v>
      </c>
      <c r="U2" s="19" t="s">
        <v>39</v>
      </c>
      <c r="V2" s="21" t="s">
        <v>40</v>
      </c>
      <c r="W2" s="21" t="s">
        <v>41</v>
      </c>
      <c r="X2" s="22" t="s">
        <v>42</v>
      </c>
      <c r="Y2" s="30" t="s">
        <v>43</v>
      </c>
      <c r="Z2" s="30" t="s">
        <v>44</v>
      </c>
      <c r="AA2" s="21" t="s">
        <v>45</v>
      </c>
    </row>
    <row r="3" spans="1:27" ht="30.6" customHeight="1">
      <c r="A3" s="5"/>
      <c r="B3" s="5"/>
      <c r="C3" s="5"/>
      <c r="D3" s="5"/>
      <c r="E3" s="5"/>
      <c r="F3" s="5"/>
      <c r="G3" s="5"/>
      <c r="H3" s="5"/>
      <c r="I3" s="5"/>
      <c r="J3" s="8"/>
      <c r="K3" s="5"/>
      <c r="L3" s="5"/>
      <c r="M3" s="4"/>
      <c r="N3" s="8"/>
      <c r="O3" s="8"/>
      <c r="P3" s="8"/>
      <c r="Q3" s="5"/>
      <c r="R3" s="5"/>
      <c r="S3" s="4"/>
      <c r="T3" s="8"/>
      <c r="U3" s="8"/>
      <c r="V3" s="8"/>
      <c r="W3" s="5"/>
      <c r="X3" s="5"/>
      <c r="Y3" s="4"/>
      <c r="Z3" s="8"/>
      <c r="AA3" s="8"/>
    </row>
    <row r="4" spans="1:27" s="5" customFormat="1" ht="38.25">
      <c r="A4" s="1" t="s">
        <v>8</v>
      </c>
      <c r="B4" s="7" t="s">
        <v>9</v>
      </c>
      <c r="C4" s="1">
        <v>1293</v>
      </c>
      <c r="D4" s="4">
        <f>Table1[[#This Row],[Enrolment S.Y. 2025-2026 ]]*8</f>
        <v>10344</v>
      </c>
      <c r="E4" s="4">
        <v>0</v>
      </c>
      <c r="F4" s="1"/>
      <c r="G4" s="4"/>
      <c r="H4" s="4">
        <f t="shared" ref="H4:H28" si="0">IF((D4-E4)&lt;0,0,(D4-E4))</f>
        <v>10344</v>
      </c>
      <c r="I4" s="4">
        <f t="shared" ref="I4:I28" si="1">IF((E4-D4)&lt;0,0,(E4-D4))</f>
        <v>0</v>
      </c>
      <c r="J4" s="4">
        <f>Table1[[#This Row],[Enrolment S.Y. 2025-2026 ]]*8</f>
        <v>10344</v>
      </c>
      <c r="K4" s="4">
        <v>0</v>
      </c>
      <c r="L4" s="1"/>
      <c r="M4" s="4"/>
      <c r="N4" s="4">
        <f t="shared" ref="N4:N27" si="2">IF((J4-K4)&lt;0,0,(J4-K4))</f>
        <v>10344</v>
      </c>
      <c r="O4" s="4">
        <f t="shared" ref="O4:O27" si="3">IF((K4-J4)&lt;0,0,(K4-J4))</f>
        <v>0</v>
      </c>
      <c r="P4" s="4">
        <f>Table1[[#This Row],[Enrolment S.Y. 2025-2026 ]]*8</f>
        <v>10344</v>
      </c>
      <c r="Q4" s="4"/>
      <c r="R4" s="1"/>
      <c r="S4" s="4"/>
      <c r="T4" s="4">
        <f t="shared" ref="T4:T28" si="4">IF((P4-Q4)&lt;0,0,(P4-Q4))</f>
        <v>10344</v>
      </c>
      <c r="U4" s="4">
        <f t="shared" ref="U4:U28" si="5">IF((Q4-P4)&lt;0,0,(Q4-P4))</f>
        <v>0</v>
      </c>
      <c r="V4" s="4">
        <f>Table1[[#This Row],[Enrolment S.Y. 2025-2026 ]]*8</f>
        <v>10344</v>
      </c>
      <c r="W4" s="4"/>
      <c r="X4" s="1"/>
      <c r="Y4" s="4"/>
      <c r="Z4" s="4">
        <f t="shared" ref="Z4:Z28" si="6">IF((V4-W4)&lt;0,0,(V4-W4))</f>
        <v>10344</v>
      </c>
      <c r="AA4" s="4">
        <f t="shared" ref="AA4:AA28" si="7">IF((W4-V4)&lt;0,0,(W4-V4))</f>
        <v>0</v>
      </c>
    </row>
    <row r="5" spans="1:27" ht="19.5">
      <c r="A5" s="1" t="s">
        <v>8</v>
      </c>
      <c r="B5" s="7" t="s">
        <v>11</v>
      </c>
      <c r="C5" s="1">
        <v>1293</v>
      </c>
      <c r="D5" s="4">
        <f>Table1[[#This Row],[Enrolment S.Y. 2025-2026 ]]*8</f>
        <v>10344</v>
      </c>
      <c r="E5" s="4">
        <v>0</v>
      </c>
      <c r="F5" s="1"/>
      <c r="G5" s="4"/>
      <c r="H5" s="4">
        <f t="shared" si="0"/>
        <v>10344</v>
      </c>
      <c r="I5" s="4">
        <f t="shared" si="1"/>
        <v>0</v>
      </c>
      <c r="J5" s="4">
        <f>Table1[[#This Row],[Enrolment S.Y. 2025-2026 ]]*8</f>
        <v>10344</v>
      </c>
      <c r="K5" s="4">
        <v>0</v>
      </c>
      <c r="L5" s="1"/>
      <c r="M5" s="4"/>
      <c r="N5" s="4">
        <f t="shared" si="2"/>
        <v>10344</v>
      </c>
      <c r="O5" s="4">
        <f t="shared" si="3"/>
        <v>0</v>
      </c>
      <c r="P5" s="4">
        <f>Table1[[#This Row],[Enrolment S.Y. 2025-2026 ]]*8</f>
        <v>10344</v>
      </c>
      <c r="Q5" s="4"/>
      <c r="R5" s="1"/>
      <c r="S5" s="4"/>
      <c r="T5" s="4">
        <f t="shared" si="4"/>
        <v>10344</v>
      </c>
      <c r="U5" s="4">
        <f t="shared" si="5"/>
        <v>0</v>
      </c>
      <c r="V5" s="4">
        <f>Table1[[#This Row],[Enrolment S.Y. 2025-2026 ]]*8</f>
        <v>10344</v>
      </c>
      <c r="W5" s="4"/>
      <c r="X5" s="1"/>
      <c r="Y5" s="4"/>
      <c r="Z5" s="4">
        <f t="shared" si="6"/>
        <v>10344</v>
      </c>
      <c r="AA5" s="4">
        <f t="shared" si="7"/>
        <v>0</v>
      </c>
    </row>
    <row r="6" spans="1:27" ht="19.5">
      <c r="A6" s="1" t="s">
        <v>8</v>
      </c>
      <c r="B6" s="7" t="s">
        <v>12</v>
      </c>
      <c r="C6" s="1">
        <v>1293</v>
      </c>
      <c r="D6" s="4">
        <f>Table1[[#This Row],[Enrolment S.Y. 2025-2026 ]]*8</f>
        <v>10344</v>
      </c>
      <c r="E6" s="4">
        <v>0</v>
      </c>
      <c r="F6" s="1"/>
      <c r="G6" s="4"/>
      <c r="H6" s="4">
        <f t="shared" si="0"/>
        <v>10344</v>
      </c>
      <c r="I6" s="4">
        <f t="shared" si="1"/>
        <v>0</v>
      </c>
      <c r="J6" s="4">
        <f>Table1[[#This Row],[Enrolment S.Y. 2025-2026 ]]*8</f>
        <v>10344</v>
      </c>
      <c r="K6" s="4">
        <v>0</v>
      </c>
      <c r="L6" s="1"/>
      <c r="M6" s="4"/>
      <c r="N6" s="4">
        <f t="shared" si="2"/>
        <v>10344</v>
      </c>
      <c r="O6" s="4">
        <f t="shared" si="3"/>
        <v>0</v>
      </c>
      <c r="P6" s="4">
        <f>Table1[[#This Row],[Enrolment S.Y. 2025-2026 ]]*8</f>
        <v>10344</v>
      </c>
      <c r="Q6" s="4"/>
      <c r="R6" s="1"/>
      <c r="S6" s="4"/>
      <c r="T6" s="4">
        <f t="shared" si="4"/>
        <v>10344</v>
      </c>
      <c r="U6" s="4">
        <f t="shared" si="5"/>
        <v>0</v>
      </c>
      <c r="V6" s="4">
        <f>Table1[[#This Row],[Enrolment S.Y. 2025-2026 ]]*8</f>
        <v>10344</v>
      </c>
      <c r="W6" s="4"/>
      <c r="X6" s="1"/>
      <c r="Y6" s="4"/>
      <c r="Z6" s="4">
        <f t="shared" si="6"/>
        <v>10344</v>
      </c>
      <c r="AA6" s="4">
        <f t="shared" si="7"/>
        <v>0</v>
      </c>
    </row>
    <row r="7" spans="1:27" ht="19.5">
      <c r="A7" s="1" t="s">
        <v>8</v>
      </c>
      <c r="B7" s="7" t="s">
        <v>13</v>
      </c>
      <c r="C7" s="1">
        <v>1293</v>
      </c>
      <c r="D7" s="4">
        <f>Table1[[#This Row],[Enrolment S.Y. 2025-2026 ]]*8</f>
        <v>10344</v>
      </c>
      <c r="E7" s="4">
        <v>0</v>
      </c>
      <c r="F7" s="1"/>
      <c r="G7" s="4"/>
      <c r="H7" s="4">
        <f t="shared" si="0"/>
        <v>10344</v>
      </c>
      <c r="I7" s="4">
        <f t="shared" si="1"/>
        <v>0</v>
      </c>
      <c r="J7" s="4">
        <f>Table1[[#This Row],[Enrolment S.Y. 2025-2026 ]]*8</f>
        <v>10344</v>
      </c>
      <c r="K7" s="4">
        <v>0</v>
      </c>
      <c r="L7" s="1"/>
      <c r="M7" s="4"/>
      <c r="N7" s="4">
        <f t="shared" si="2"/>
        <v>10344</v>
      </c>
      <c r="O7" s="4">
        <f t="shared" si="3"/>
        <v>0</v>
      </c>
      <c r="P7" s="4">
        <f>Table1[[#This Row],[Enrolment S.Y. 2025-2026 ]]*8</f>
        <v>10344</v>
      </c>
      <c r="Q7" s="4"/>
      <c r="R7" s="1"/>
      <c r="S7" s="4"/>
      <c r="T7" s="4">
        <f t="shared" si="4"/>
        <v>10344</v>
      </c>
      <c r="U7" s="4">
        <f t="shared" si="5"/>
        <v>0</v>
      </c>
      <c r="V7" s="4">
        <f>Table1[[#This Row],[Enrolment S.Y. 2025-2026 ]]*8</f>
        <v>10344</v>
      </c>
      <c r="W7" s="4"/>
      <c r="X7" s="1"/>
      <c r="Y7" s="4"/>
      <c r="Z7" s="4">
        <f t="shared" si="6"/>
        <v>10344</v>
      </c>
      <c r="AA7" s="4">
        <f t="shared" si="7"/>
        <v>0</v>
      </c>
    </row>
    <row r="8" spans="1:27" ht="38.25">
      <c r="A8" s="1" t="s">
        <v>8</v>
      </c>
      <c r="B8" s="7" t="s">
        <v>14</v>
      </c>
      <c r="C8" s="1">
        <v>1293</v>
      </c>
      <c r="D8" s="4">
        <f>Table1[[#This Row],[Enrolment S.Y. 2025-2026 ]]*8</f>
        <v>10344</v>
      </c>
      <c r="E8" s="4">
        <v>0</v>
      </c>
      <c r="F8" s="1"/>
      <c r="G8" s="4"/>
      <c r="H8" s="4">
        <f t="shared" si="0"/>
        <v>10344</v>
      </c>
      <c r="I8" s="4">
        <f t="shared" si="1"/>
        <v>0</v>
      </c>
      <c r="J8" s="4">
        <f>Table1[[#This Row],[Enrolment S.Y. 2025-2026 ]]*8</f>
        <v>10344</v>
      </c>
      <c r="K8" s="4">
        <v>0</v>
      </c>
      <c r="L8" s="1"/>
      <c r="M8" s="4"/>
      <c r="N8" s="4">
        <f t="shared" si="2"/>
        <v>10344</v>
      </c>
      <c r="O8" s="4">
        <f t="shared" si="3"/>
        <v>0</v>
      </c>
      <c r="P8" s="4">
        <f>Table1[[#This Row],[Enrolment S.Y. 2025-2026 ]]*8</f>
        <v>10344</v>
      </c>
      <c r="Q8" s="4"/>
      <c r="R8" s="1"/>
      <c r="S8" s="4"/>
      <c r="T8" s="4">
        <f t="shared" si="4"/>
        <v>10344</v>
      </c>
      <c r="U8" s="4">
        <f t="shared" si="5"/>
        <v>0</v>
      </c>
      <c r="V8" s="4">
        <f>Table1[[#This Row],[Enrolment S.Y. 2025-2026 ]]*8</f>
        <v>10344</v>
      </c>
      <c r="W8" s="4"/>
      <c r="X8" s="1"/>
      <c r="Y8" s="4"/>
      <c r="Z8" s="4">
        <f t="shared" si="6"/>
        <v>10344</v>
      </c>
      <c r="AA8" s="4">
        <f t="shared" si="7"/>
        <v>0</v>
      </c>
    </row>
    <row r="9" spans="1:27" ht="38.25">
      <c r="A9" s="1" t="s">
        <v>8</v>
      </c>
      <c r="B9" s="7" t="s">
        <v>15</v>
      </c>
      <c r="C9" s="1">
        <v>1293</v>
      </c>
      <c r="D9" s="4">
        <f>Table1[[#This Row],[Enrolment S.Y. 2025-2026 ]]*8</f>
        <v>10344</v>
      </c>
      <c r="E9" s="4">
        <v>0</v>
      </c>
      <c r="F9" s="1"/>
      <c r="G9" s="4"/>
      <c r="H9" s="4">
        <f t="shared" si="0"/>
        <v>10344</v>
      </c>
      <c r="I9" s="4">
        <f t="shared" si="1"/>
        <v>0</v>
      </c>
      <c r="J9" s="4">
        <f>Table1[[#This Row],[Enrolment S.Y. 2025-2026 ]]*8</f>
        <v>10344</v>
      </c>
      <c r="K9" s="4">
        <v>0</v>
      </c>
      <c r="L9" s="1"/>
      <c r="M9" s="4"/>
      <c r="N9" s="4">
        <f t="shared" si="2"/>
        <v>10344</v>
      </c>
      <c r="O9" s="4">
        <f t="shared" si="3"/>
        <v>0</v>
      </c>
      <c r="P9" s="4">
        <f>Table1[[#This Row],[Enrolment S.Y. 2025-2026 ]]*8</f>
        <v>10344</v>
      </c>
      <c r="Q9" s="4"/>
      <c r="R9" s="1"/>
      <c r="S9" s="4"/>
      <c r="T9" s="4">
        <f t="shared" si="4"/>
        <v>10344</v>
      </c>
      <c r="U9" s="4">
        <f t="shared" si="5"/>
        <v>0</v>
      </c>
      <c r="V9" s="4">
        <f>Table1[[#This Row],[Enrolment S.Y. 2025-2026 ]]*8</f>
        <v>10344</v>
      </c>
      <c r="W9" s="4"/>
      <c r="X9" s="1"/>
      <c r="Y9" s="4"/>
      <c r="Z9" s="4">
        <f t="shared" si="6"/>
        <v>10344</v>
      </c>
      <c r="AA9" s="4">
        <f t="shared" si="7"/>
        <v>0</v>
      </c>
    </row>
    <row r="10" spans="1:27" ht="57.75">
      <c r="A10" s="1" t="s">
        <v>8</v>
      </c>
      <c r="B10" s="7" t="s">
        <v>16</v>
      </c>
      <c r="C10" s="1">
        <v>1293</v>
      </c>
      <c r="D10" s="4">
        <f>Table1[[#This Row],[Enrolment S.Y. 2025-2026 ]]*8</f>
        <v>10344</v>
      </c>
      <c r="E10" s="4">
        <v>0</v>
      </c>
      <c r="F10" s="1"/>
      <c r="G10" s="4"/>
      <c r="H10" s="4">
        <f t="shared" si="0"/>
        <v>10344</v>
      </c>
      <c r="I10" s="4">
        <f t="shared" si="1"/>
        <v>0</v>
      </c>
      <c r="J10" s="4">
        <f>Table1[[#This Row],[Enrolment S.Y. 2025-2026 ]]*8</f>
        <v>10344</v>
      </c>
      <c r="K10" s="4">
        <v>0</v>
      </c>
      <c r="L10" s="1"/>
      <c r="M10" s="4"/>
      <c r="N10" s="4">
        <f t="shared" si="2"/>
        <v>10344</v>
      </c>
      <c r="O10" s="4">
        <f t="shared" si="3"/>
        <v>0</v>
      </c>
      <c r="P10" s="4">
        <f>Table1[[#This Row],[Enrolment S.Y. 2025-2026 ]]*8</f>
        <v>10344</v>
      </c>
      <c r="Q10" s="4"/>
      <c r="R10" s="1"/>
      <c r="S10" s="4"/>
      <c r="T10" s="4">
        <f t="shared" si="4"/>
        <v>10344</v>
      </c>
      <c r="U10" s="4">
        <f t="shared" si="5"/>
        <v>0</v>
      </c>
      <c r="V10" s="4">
        <f>Table1[[#This Row],[Enrolment S.Y. 2025-2026 ]]*8</f>
        <v>10344</v>
      </c>
      <c r="W10" s="4"/>
      <c r="X10" s="1"/>
      <c r="Y10" s="4"/>
      <c r="Z10" s="4">
        <f t="shared" si="6"/>
        <v>10344</v>
      </c>
      <c r="AA10" s="4">
        <f t="shared" si="7"/>
        <v>0</v>
      </c>
    </row>
    <row r="11" spans="1:27" ht="38.25">
      <c r="A11" s="1" t="s">
        <v>8</v>
      </c>
      <c r="B11" s="7" t="s">
        <v>17</v>
      </c>
      <c r="C11" s="1">
        <v>1293</v>
      </c>
      <c r="D11" s="4">
        <f>Table1[[#This Row],[Enrolment S.Y. 2025-2026 ]]*8</f>
        <v>10344</v>
      </c>
      <c r="E11" s="4">
        <v>0</v>
      </c>
      <c r="F11" s="1"/>
      <c r="G11" s="4"/>
      <c r="H11" s="4">
        <f t="shared" si="0"/>
        <v>10344</v>
      </c>
      <c r="I11" s="4">
        <f t="shared" si="1"/>
        <v>0</v>
      </c>
      <c r="J11" s="4">
        <f>Table1[[#This Row],[Enrolment S.Y. 2025-2026 ]]*8</f>
        <v>10344</v>
      </c>
      <c r="K11" s="4">
        <v>0</v>
      </c>
      <c r="L11" s="1"/>
      <c r="M11" s="4"/>
      <c r="N11" s="4">
        <f t="shared" si="2"/>
        <v>10344</v>
      </c>
      <c r="O11" s="4">
        <f t="shared" si="3"/>
        <v>0</v>
      </c>
      <c r="P11" s="4">
        <f>Table1[[#This Row],[Enrolment S.Y. 2025-2026 ]]*8</f>
        <v>10344</v>
      </c>
      <c r="Q11" s="4"/>
      <c r="R11" s="1"/>
      <c r="S11" s="4"/>
      <c r="T11" s="4">
        <f t="shared" si="4"/>
        <v>10344</v>
      </c>
      <c r="U11" s="4">
        <f t="shared" si="5"/>
        <v>0</v>
      </c>
      <c r="V11" s="4">
        <f>Table1[[#This Row],[Enrolment S.Y. 2025-2026 ]]*8</f>
        <v>10344</v>
      </c>
      <c r="W11" s="4"/>
      <c r="X11" s="1"/>
      <c r="Y11" s="4"/>
      <c r="Z11" s="4">
        <f t="shared" si="6"/>
        <v>10344</v>
      </c>
      <c r="AA11" s="4">
        <f t="shared" si="7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8"/>
      <c r="K12" s="5"/>
      <c r="L12" s="5"/>
      <c r="M12" s="5"/>
      <c r="N12" s="8"/>
      <c r="O12" s="8"/>
      <c r="P12" s="8"/>
      <c r="Q12" s="5"/>
      <c r="R12" s="5"/>
      <c r="S12" s="5"/>
      <c r="T12" s="8"/>
      <c r="U12" s="8"/>
      <c r="V12" s="8"/>
      <c r="W12" s="5"/>
      <c r="X12" s="5"/>
      <c r="Y12" s="5"/>
      <c r="Z12" s="8"/>
      <c r="AA12" s="8"/>
    </row>
    <row r="13" spans="1:27" s="5" customFormat="1" ht="19.5">
      <c r="A13" s="1"/>
      <c r="B13" s="7"/>
      <c r="C13" s="1"/>
      <c r="D13" s="4"/>
      <c r="E13" s="4"/>
      <c r="F13" s="1"/>
      <c r="G13" s="4"/>
      <c r="H13" s="4">
        <f t="shared" si="0"/>
        <v>0</v>
      </c>
      <c r="I13" s="4">
        <f t="shared" si="1"/>
        <v>0</v>
      </c>
      <c r="J13" s="4">
        <f>Table1[[#This Row],[Enrolment S.Y. 2025-2026 ]]*8</f>
        <v>0</v>
      </c>
      <c r="K13" s="4"/>
      <c r="L13" s="1"/>
      <c r="M13" s="4"/>
      <c r="N13" s="4">
        <f t="shared" si="2"/>
        <v>0</v>
      </c>
      <c r="O13" s="4">
        <f t="shared" si="3"/>
        <v>0</v>
      </c>
      <c r="P13" s="4">
        <f>Table1[[#This Row],[Enrolment S.Y. 2025-2026 ]]*8</f>
        <v>0</v>
      </c>
      <c r="Q13" s="4"/>
      <c r="R13" s="1"/>
      <c r="S13" s="4"/>
      <c r="T13" s="4">
        <f t="shared" si="4"/>
        <v>0</v>
      </c>
      <c r="U13" s="4">
        <f t="shared" si="5"/>
        <v>0</v>
      </c>
      <c r="V13" s="4">
        <f>Table1[[#This Row],[Enrolment S.Y. 2025-2026 ]]*8</f>
        <v>0</v>
      </c>
      <c r="W13" s="4"/>
      <c r="X13" s="1"/>
      <c r="Y13" s="4"/>
      <c r="Z13" s="4">
        <f t="shared" si="6"/>
        <v>0</v>
      </c>
      <c r="AA13" s="4">
        <f t="shared" si="7"/>
        <v>0</v>
      </c>
    </row>
    <row r="14" spans="1:27" ht="19.5">
      <c r="A14" s="1"/>
      <c r="B14" s="7"/>
      <c r="C14" s="1"/>
      <c r="D14" s="4"/>
      <c r="E14" s="4"/>
      <c r="F14" s="1"/>
      <c r="G14" s="4"/>
      <c r="H14" s="4">
        <f t="shared" si="0"/>
        <v>0</v>
      </c>
      <c r="I14" s="4">
        <f t="shared" si="1"/>
        <v>0</v>
      </c>
      <c r="J14" s="4">
        <f>Table1[[#This Row],[Enrolment S.Y. 2025-2026 ]]*8</f>
        <v>0</v>
      </c>
      <c r="K14" s="4"/>
      <c r="L14" s="1"/>
      <c r="M14" s="4"/>
      <c r="N14" s="4">
        <f t="shared" si="2"/>
        <v>0</v>
      </c>
      <c r="O14" s="4">
        <f t="shared" si="3"/>
        <v>0</v>
      </c>
      <c r="P14" s="4">
        <f>Table1[[#This Row],[Enrolment S.Y. 2025-2026 ]]*8</f>
        <v>0</v>
      </c>
      <c r="Q14" s="4"/>
      <c r="R14" s="1"/>
      <c r="S14" s="4"/>
      <c r="T14" s="4">
        <f t="shared" si="4"/>
        <v>0</v>
      </c>
      <c r="U14" s="4">
        <f t="shared" si="5"/>
        <v>0</v>
      </c>
      <c r="V14" s="4">
        <f>Table1[[#This Row],[Enrolment S.Y. 2025-2026 ]]*8</f>
        <v>0</v>
      </c>
      <c r="W14" s="4"/>
      <c r="X14" s="1"/>
      <c r="Y14" s="4"/>
      <c r="Z14" s="4">
        <f t="shared" si="6"/>
        <v>0</v>
      </c>
      <c r="AA14" s="4">
        <f t="shared" si="7"/>
        <v>0</v>
      </c>
    </row>
    <row r="15" spans="1:27" ht="19.5">
      <c r="A15" s="1"/>
      <c r="B15" s="7"/>
      <c r="C15" s="1"/>
      <c r="D15" s="4"/>
      <c r="E15" s="4"/>
      <c r="F15" s="1"/>
      <c r="G15" s="4"/>
      <c r="H15" s="4">
        <f t="shared" si="0"/>
        <v>0</v>
      </c>
      <c r="I15" s="4">
        <f t="shared" si="1"/>
        <v>0</v>
      </c>
      <c r="J15" s="4">
        <f>Table1[[#This Row],[Enrolment S.Y. 2025-2026 ]]*8</f>
        <v>0</v>
      </c>
      <c r="K15" s="4"/>
      <c r="L15" s="1"/>
      <c r="M15" s="4"/>
      <c r="N15" s="4">
        <f t="shared" si="2"/>
        <v>0</v>
      </c>
      <c r="O15" s="4">
        <f t="shared" si="3"/>
        <v>0</v>
      </c>
      <c r="P15" s="4">
        <f>Table1[[#This Row],[Enrolment S.Y. 2025-2026 ]]*8</f>
        <v>0</v>
      </c>
      <c r="Q15" s="4"/>
      <c r="R15" s="1"/>
      <c r="S15" s="4"/>
      <c r="T15" s="4">
        <f t="shared" si="4"/>
        <v>0</v>
      </c>
      <c r="U15" s="4">
        <f t="shared" si="5"/>
        <v>0</v>
      </c>
      <c r="V15" s="4">
        <f>Table1[[#This Row],[Enrolment S.Y. 2025-2026 ]]*8</f>
        <v>0</v>
      </c>
      <c r="W15" s="4"/>
      <c r="X15" s="1"/>
      <c r="Y15" s="4"/>
      <c r="Z15" s="4">
        <f t="shared" si="6"/>
        <v>0</v>
      </c>
      <c r="AA15" s="4">
        <f t="shared" si="7"/>
        <v>0</v>
      </c>
    </row>
    <row r="16" spans="1:27" ht="19.5">
      <c r="A16" s="1"/>
      <c r="B16" s="7"/>
      <c r="C16" s="1"/>
      <c r="D16" s="4"/>
      <c r="E16" s="4"/>
      <c r="F16" s="1"/>
      <c r="G16" s="4"/>
      <c r="H16" s="4">
        <f t="shared" si="0"/>
        <v>0</v>
      </c>
      <c r="I16" s="4">
        <f t="shared" si="1"/>
        <v>0</v>
      </c>
      <c r="J16" s="4">
        <f>Table1[[#This Row],[Enrolment S.Y. 2025-2026 ]]*8</f>
        <v>0</v>
      </c>
      <c r="K16" s="4"/>
      <c r="L16" s="1"/>
      <c r="M16" s="4"/>
      <c r="N16" s="4">
        <f t="shared" si="2"/>
        <v>0</v>
      </c>
      <c r="O16" s="4">
        <f t="shared" si="3"/>
        <v>0</v>
      </c>
      <c r="P16" s="4">
        <f>Table1[[#This Row],[Enrolment S.Y. 2025-2026 ]]*8</f>
        <v>0</v>
      </c>
      <c r="Q16" s="4"/>
      <c r="R16" s="1"/>
      <c r="S16" s="4"/>
      <c r="T16" s="4">
        <f t="shared" si="4"/>
        <v>0</v>
      </c>
      <c r="U16" s="4">
        <f t="shared" si="5"/>
        <v>0</v>
      </c>
      <c r="V16" s="4">
        <f>Table1[[#This Row],[Enrolment S.Y. 2025-2026 ]]*8</f>
        <v>0</v>
      </c>
      <c r="W16" s="4"/>
      <c r="X16" s="1"/>
      <c r="Y16" s="4"/>
      <c r="Z16" s="4">
        <f t="shared" si="6"/>
        <v>0</v>
      </c>
      <c r="AA16" s="4">
        <f t="shared" si="7"/>
        <v>0</v>
      </c>
    </row>
    <row r="17" spans="1:27" ht="19.5">
      <c r="A17" s="1"/>
      <c r="B17" s="7"/>
      <c r="C17" s="1"/>
      <c r="D17" s="4"/>
      <c r="E17" s="4"/>
      <c r="F17" s="1"/>
      <c r="G17" s="4"/>
      <c r="H17" s="4">
        <f t="shared" si="0"/>
        <v>0</v>
      </c>
      <c r="I17" s="4">
        <f t="shared" si="1"/>
        <v>0</v>
      </c>
      <c r="J17" s="4">
        <f>Table1[[#This Row],[Enrolment S.Y. 2025-2026 ]]*8</f>
        <v>0</v>
      </c>
      <c r="K17" s="4"/>
      <c r="L17" s="1"/>
      <c r="M17" s="4"/>
      <c r="N17" s="4">
        <f t="shared" si="2"/>
        <v>0</v>
      </c>
      <c r="O17" s="4">
        <f t="shared" si="3"/>
        <v>0</v>
      </c>
      <c r="P17" s="4">
        <f>Table1[[#This Row],[Enrolment S.Y. 2025-2026 ]]*8</f>
        <v>0</v>
      </c>
      <c r="Q17" s="4"/>
      <c r="R17" s="1"/>
      <c r="S17" s="4"/>
      <c r="T17" s="4">
        <f t="shared" si="4"/>
        <v>0</v>
      </c>
      <c r="U17" s="4">
        <f t="shared" si="5"/>
        <v>0</v>
      </c>
      <c r="V17" s="4">
        <f>Table1[[#This Row],[Enrolment S.Y. 2025-2026 ]]*8</f>
        <v>0</v>
      </c>
      <c r="W17" s="4"/>
      <c r="X17" s="1"/>
      <c r="Y17" s="4"/>
      <c r="Z17" s="4">
        <f t="shared" si="6"/>
        <v>0</v>
      </c>
      <c r="AA17" s="4">
        <f t="shared" si="7"/>
        <v>0</v>
      </c>
    </row>
    <row r="18" spans="1:27" ht="19.5">
      <c r="A18" s="1"/>
      <c r="B18" s="7"/>
      <c r="C18" s="1"/>
      <c r="D18" s="4"/>
      <c r="E18" s="4"/>
      <c r="F18" s="1"/>
      <c r="G18" s="4"/>
      <c r="H18" s="4">
        <f t="shared" si="0"/>
        <v>0</v>
      </c>
      <c r="I18" s="4">
        <f t="shared" si="1"/>
        <v>0</v>
      </c>
      <c r="J18" s="4">
        <f>Table1[[#This Row],[Enrolment S.Y. 2025-2026 ]]*8</f>
        <v>0</v>
      </c>
      <c r="K18" s="4"/>
      <c r="L18" s="1"/>
      <c r="M18" s="4"/>
      <c r="N18" s="4">
        <f t="shared" si="2"/>
        <v>0</v>
      </c>
      <c r="O18" s="4">
        <f t="shared" si="3"/>
        <v>0</v>
      </c>
      <c r="P18" s="4">
        <f>Table1[[#This Row],[Enrolment S.Y. 2025-2026 ]]*8</f>
        <v>0</v>
      </c>
      <c r="Q18" s="4"/>
      <c r="R18" s="1"/>
      <c r="S18" s="4"/>
      <c r="T18" s="4">
        <f t="shared" si="4"/>
        <v>0</v>
      </c>
      <c r="U18" s="4">
        <f t="shared" si="5"/>
        <v>0</v>
      </c>
      <c r="V18" s="4">
        <f>Table1[[#This Row],[Enrolment S.Y. 2025-2026 ]]*8</f>
        <v>0</v>
      </c>
      <c r="W18" s="4"/>
      <c r="X18" s="1"/>
      <c r="Y18" s="4"/>
      <c r="Z18" s="4">
        <f t="shared" si="6"/>
        <v>0</v>
      </c>
      <c r="AA18" s="4">
        <f t="shared" si="7"/>
        <v>0</v>
      </c>
    </row>
    <row r="19" spans="1:27" ht="19.5">
      <c r="A19" s="1"/>
      <c r="B19" s="7"/>
      <c r="C19" s="1"/>
      <c r="D19" s="4"/>
      <c r="E19" s="4"/>
      <c r="F19" s="1"/>
      <c r="G19" s="4"/>
      <c r="H19" s="4">
        <f t="shared" si="0"/>
        <v>0</v>
      </c>
      <c r="I19" s="4">
        <f t="shared" si="1"/>
        <v>0</v>
      </c>
      <c r="J19" s="4">
        <f>Table1[[#This Row],[Enrolment S.Y. 2025-2026 ]]*8</f>
        <v>0</v>
      </c>
      <c r="K19" s="4"/>
      <c r="L19" s="1"/>
      <c r="M19" s="4"/>
      <c r="N19" s="4">
        <f t="shared" si="2"/>
        <v>0</v>
      </c>
      <c r="O19" s="4">
        <f t="shared" si="3"/>
        <v>0</v>
      </c>
      <c r="P19" s="4">
        <f>Table1[[#This Row],[Enrolment S.Y. 2025-2026 ]]*8</f>
        <v>0</v>
      </c>
      <c r="Q19" s="4"/>
      <c r="R19" s="1"/>
      <c r="S19" s="4"/>
      <c r="T19" s="4">
        <f t="shared" si="4"/>
        <v>0</v>
      </c>
      <c r="U19" s="4">
        <f t="shared" si="5"/>
        <v>0</v>
      </c>
      <c r="V19" s="4">
        <f>Table1[[#This Row],[Enrolment S.Y. 2025-2026 ]]*8</f>
        <v>0</v>
      </c>
      <c r="W19" s="4"/>
      <c r="X19" s="1"/>
      <c r="Y19" s="4"/>
      <c r="Z19" s="4">
        <f t="shared" si="6"/>
        <v>0</v>
      </c>
      <c r="AA19" s="4">
        <f t="shared" si="7"/>
        <v>0</v>
      </c>
    </row>
    <row r="20" spans="1:27" ht="19.5">
      <c r="A20" s="1"/>
      <c r="B20" s="7"/>
      <c r="C20" s="1"/>
      <c r="D20" s="4"/>
      <c r="E20" s="4"/>
      <c r="F20" s="1"/>
      <c r="G20" s="4"/>
      <c r="H20" s="4">
        <f t="shared" si="0"/>
        <v>0</v>
      </c>
      <c r="I20" s="4">
        <f t="shared" si="1"/>
        <v>0</v>
      </c>
      <c r="J20" s="4">
        <f>Table1[[#This Row],[Enrolment S.Y. 2025-2026 ]]*8</f>
        <v>0</v>
      </c>
      <c r="K20" s="4"/>
      <c r="L20" s="1"/>
      <c r="M20" s="4"/>
      <c r="N20" s="4">
        <f t="shared" si="2"/>
        <v>0</v>
      </c>
      <c r="O20" s="4">
        <f t="shared" si="3"/>
        <v>0</v>
      </c>
      <c r="P20" s="4">
        <f>Table1[[#This Row],[Enrolment S.Y. 2025-2026 ]]*8</f>
        <v>0</v>
      </c>
      <c r="Q20" s="4"/>
      <c r="R20" s="1"/>
      <c r="S20" s="4"/>
      <c r="T20" s="4">
        <f t="shared" si="4"/>
        <v>0</v>
      </c>
      <c r="U20" s="4">
        <f t="shared" si="5"/>
        <v>0</v>
      </c>
      <c r="V20" s="4">
        <f>Table1[[#This Row],[Enrolment S.Y. 2025-2026 ]]*8</f>
        <v>0</v>
      </c>
      <c r="W20" s="4"/>
      <c r="X20" s="1"/>
      <c r="Y20" s="4"/>
      <c r="Z20" s="4">
        <f t="shared" si="6"/>
        <v>0</v>
      </c>
      <c r="AA20" s="4">
        <f t="shared" si="7"/>
        <v>0</v>
      </c>
    </row>
    <row r="21" spans="1:27" ht="19.5">
      <c r="A21" s="1"/>
      <c r="B21" s="7"/>
      <c r="C21" s="1"/>
      <c r="D21" s="4"/>
      <c r="E21" s="4"/>
      <c r="F21" s="1"/>
      <c r="G21" s="4"/>
      <c r="H21" s="4">
        <f t="shared" si="0"/>
        <v>0</v>
      </c>
      <c r="I21" s="4">
        <f t="shared" si="1"/>
        <v>0</v>
      </c>
      <c r="J21" s="4">
        <f>Table1[[#This Row],[Enrolment S.Y. 2025-2026 ]]*8</f>
        <v>0</v>
      </c>
      <c r="K21" s="4"/>
      <c r="L21" s="1"/>
      <c r="M21" s="4"/>
      <c r="N21" s="4">
        <f t="shared" si="2"/>
        <v>0</v>
      </c>
      <c r="O21" s="4">
        <f t="shared" si="3"/>
        <v>0</v>
      </c>
      <c r="P21" s="4">
        <f>Table1[[#This Row],[Enrolment S.Y. 2025-2026 ]]*8</f>
        <v>0</v>
      </c>
      <c r="Q21" s="4"/>
      <c r="R21" s="1"/>
      <c r="S21" s="4"/>
      <c r="T21" s="4">
        <f t="shared" si="4"/>
        <v>0</v>
      </c>
      <c r="U21" s="4">
        <f t="shared" si="5"/>
        <v>0</v>
      </c>
      <c r="V21" s="4">
        <f>Table1[[#This Row],[Enrolment S.Y. 2025-2026 ]]*8</f>
        <v>0</v>
      </c>
      <c r="W21" s="4"/>
      <c r="X21" s="1"/>
      <c r="Y21" s="4"/>
      <c r="Z21" s="4">
        <f t="shared" si="6"/>
        <v>0</v>
      </c>
      <c r="AA21" s="4">
        <f t="shared" si="7"/>
        <v>0</v>
      </c>
    </row>
    <row r="22" spans="1:27" s="5" customFormat="1" ht="19.5">
      <c r="A22" s="1"/>
      <c r="B22" s="7"/>
      <c r="C22" s="1"/>
      <c r="D22" s="4"/>
      <c r="E22" s="4"/>
      <c r="F22" s="1"/>
      <c r="G22" s="4"/>
      <c r="H22" s="4">
        <f t="shared" si="0"/>
        <v>0</v>
      </c>
      <c r="I22" s="4">
        <f t="shared" si="1"/>
        <v>0</v>
      </c>
      <c r="J22" s="4">
        <f>Table1[[#This Row],[Enrolment S.Y. 2025-2026 ]]*8</f>
        <v>0</v>
      </c>
      <c r="K22" s="4"/>
      <c r="L22" s="1"/>
      <c r="M22" s="4"/>
      <c r="N22" s="4">
        <f t="shared" si="2"/>
        <v>0</v>
      </c>
      <c r="O22" s="4">
        <f t="shared" si="3"/>
        <v>0</v>
      </c>
      <c r="P22" s="4">
        <f>Table1[[#This Row],[Enrolment S.Y. 2025-2026 ]]*8</f>
        <v>0</v>
      </c>
      <c r="Q22" s="4"/>
      <c r="R22" s="1"/>
      <c r="S22" s="4"/>
      <c r="T22" s="4">
        <f t="shared" si="4"/>
        <v>0</v>
      </c>
      <c r="U22" s="4">
        <f t="shared" si="5"/>
        <v>0</v>
      </c>
      <c r="V22" s="4">
        <f>Table1[[#This Row],[Enrolment S.Y. 2025-2026 ]]*8</f>
        <v>0</v>
      </c>
      <c r="W22" s="4"/>
      <c r="X22" s="1"/>
      <c r="Y22" s="4"/>
      <c r="Z22" s="4">
        <f t="shared" si="6"/>
        <v>0</v>
      </c>
      <c r="AA22" s="4">
        <f t="shared" si="7"/>
        <v>0</v>
      </c>
    </row>
    <row r="23" spans="1:27" ht="19.5">
      <c r="A23" s="1"/>
      <c r="B23" s="7"/>
      <c r="C23" s="1"/>
      <c r="D23" s="4"/>
      <c r="E23" s="4"/>
      <c r="F23" s="1"/>
      <c r="G23" s="4"/>
      <c r="H23" s="4">
        <f t="shared" si="0"/>
        <v>0</v>
      </c>
      <c r="I23" s="4">
        <f t="shared" si="1"/>
        <v>0</v>
      </c>
      <c r="J23" s="4">
        <f>Table1[[#This Row],[Enrolment S.Y. 2025-2026 ]]*8</f>
        <v>0</v>
      </c>
      <c r="K23" s="4"/>
      <c r="L23" s="1"/>
      <c r="M23" s="4"/>
      <c r="N23" s="4">
        <f t="shared" si="2"/>
        <v>0</v>
      </c>
      <c r="O23" s="4">
        <f t="shared" si="3"/>
        <v>0</v>
      </c>
      <c r="P23" s="4">
        <f>Table1[[#This Row],[Enrolment S.Y. 2025-2026 ]]*8</f>
        <v>0</v>
      </c>
      <c r="Q23" s="4"/>
      <c r="R23" s="1"/>
      <c r="S23" s="4"/>
      <c r="T23" s="4">
        <f t="shared" si="4"/>
        <v>0</v>
      </c>
      <c r="U23" s="4">
        <f t="shared" si="5"/>
        <v>0</v>
      </c>
      <c r="V23" s="4">
        <f>Table1[[#This Row],[Enrolment S.Y. 2025-2026 ]]*8</f>
        <v>0</v>
      </c>
      <c r="W23" s="4"/>
      <c r="X23" s="1"/>
      <c r="Y23" s="4"/>
      <c r="Z23" s="4">
        <f t="shared" si="6"/>
        <v>0</v>
      </c>
      <c r="AA23" s="4">
        <f t="shared" si="7"/>
        <v>0</v>
      </c>
    </row>
    <row r="24" spans="1:27" ht="19.5">
      <c r="A24" s="1"/>
      <c r="B24" s="7"/>
      <c r="C24" s="1"/>
      <c r="D24" s="4"/>
      <c r="E24" s="4"/>
      <c r="F24" s="1"/>
      <c r="G24" s="4"/>
      <c r="H24" s="4">
        <f t="shared" si="0"/>
        <v>0</v>
      </c>
      <c r="I24" s="4">
        <f t="shared" si="1"/>
        <v>0</v>
      </c>
      <c r="J24" s="4">
        <f>Table1[[#This Row],[Enrolment S.Y. 2025-2026 ]]*8</f>
        <v>0</v>
      </c>
      <c r="K24" s="4"/>
      <c r="L24" s="1"/>
      <c r="M24" s="4"/>
      <c r="N24" s="4">
        <f t="shared" si="2"/>
        <v>0</v>
      </c>
      <c r="O24" s="4">
        <f t="shared" si="3"/>
        <v>0</v>
      </c>
      <c r="P24" s="4">
        <f>Table1[[#This Row],[Enrolment S.Y. 2025-2026 ]]*8</f>
        <v>0</v>
      </c>
      <c r="Q24" s="4"/>
      <c r="R24" s="1"/>
      <c r="S24" s="4"/>
      <c r="T24" s="4">
        <f t="shared" si="4"/>
        <v>0</v>
      </c>
      <c r="U24" s="4">
        <f t="shared" si="5"/>
        <v>0</v>
      </c>
      <c r="V24" s="4">
        <f>Table1[[#This Row],[Enrolment S.Y. 2025-2026 ]]*8</f>
        <v>0</v>
      </c>
      <c r="W24" s="4"/>
      <c r="X24" s="1"/>
      <c r="Y24" s="4"/>
      <c r="Z24" s="4">
        <f t="shared" si="6"/>
        <v>0</v>
      </c>
      <c r="AA24" s="4">
        <f t="shared" si="7"/>
        <v>0</v>
      </c>
    </row>
    <row r="25" spans="1:27" ht="19.5">
      <c r="A25" s="1"/>
      <c r="B25" s="7"/>
      <c r="C25" s="1"/>
      <c r="D25" s="4"/>
      <c r="E25" s="4"/>
      <c r="F25" s="1"/>
      <c r="G25" s="4"/>
      <c r="H25" s="4">
        <f t="shared" si="0"/>
        <v>0</v>
      </c>
      <c r="I25" s="4">
        <f t="shared" si="1"/>
        <v>0</v>
      </c>
      <c r="J25" s="4">
        <f>Table1[[#This Row],[Enrolment S.Y. 2025-2026 ]]*8</f>
        <v>0</v>
      </c>
      <c r="K25" s="4"/>
      <c r="L25" s="1"/>
      <c r="M25" s="4"/>
      <c r="N25" s="4">
        <f t="shared" si="2"/>
        <v>0</v>
      </c>
      <c r="O25" s="4">
        <f t="shared" si="3"/>
        <v>0</v>
      </c>
      <c r="P25" s="4">
        <f>Table1[[#This Row],[Enrolment S.Y. 2025-2026 ]]*8</f>
        <v>0</v>
      </c>
      <c r="Q25" s="4"/>
      <c r="R25" s="1"/>
      <c r="S25" s="4"/>
      <c r="T25" s="4">
        <f t="shared" si="4"/>
        <v>0</v>
      </c>
      <c r="U25" s="4">
        <f t="shared" si="5"/>
        <v>0</v>
      </c>
      <c r="V25" s="4">
        <f>Table1[[#This Row],[Enrolment S.Y. 2025-2026 ]]*8</f>
        <v>0</v>
      </c>
      <c r="W25" s="4"/>
      <c r="X25" s="1"/>
      <c r="Y25" s="4"/>
      <c r="Z25" s="4">
        <f t="shared" si="6"/>
        <v>0</v>
      </c>
      <c r="AA25" s="4">
        <f t="shared" si="7"/>
        <v>0</v>
      </c>
    </row>
    <row r="26" spans="1:27" ht="19.5">
      <c r="A26" s="1"/>
      <c r="B26" s="7"/>
      <c r="C26" s="1"/>
      <c r="D26" s="4"/>
      <c r="E26" s="4"/>
      <c r="F26" s="1"/>
      <c r="G26" s="4"/>
      <c r="H26" s="4">
        <f t="shared" si="0"/>
        <v>0</v>
      </c>
      <c r="I26" s="4">
        <f t="shared" si="1"/>
        <v>0</v>
      </c>
      <c r="J26" s="4">
        <f>Table1[[#This Row],[Enrolment S.Y. 2025-2026 ]]*8</f>
        <v>0</v>
      </c>
      <c r="K26" s="4"/>
      <c r="L26" s="1"/>
      <c r="M26" s="4"/>
      <c r="N26" s="4">
        <f t="shared" si="2"/>
        <v>0</v>
      </c>
      <c r="O26" s="4">
        <f t="shared" si="3"/>
        <v>0</v>
      </c>
      <c r="P26" s="4">
        <f>Table1[[#This Row],[Enrolment S.Y. 2025-2026 ]]*8</f>
        <v>0</v>
      </c>
      <c r="Q26" s="4"/>
      <c r="R26" s="1"/>
      <c r="S26" s="4"/>
      <c r="T26" s="4">
        <f t="shared" si="4"/>
        <v>0</v>
      </c>
      <c r="U26" s="4">
        <f t="shared" si="5"/>
        <v>0</v>
      </c>
      <c r="V26" s="4">
        <f>Table1[[#This Row],[Enrolment S.Y. 2025-2026 ]]*8</f>
        <v>0</v>
      </c>
      <c r="W26" s="4"/>
      <c r="X26" s="1"/>
      <c r="Y26" s="4"/>
      <c r="Z26" s="4">
        <f t="shared" si="6"/>
        <v>0</v>
      </c>
      <c r="AA26" s="4">
        <f t="shared" si="7"/>
        <v>0</v>
      </c>
    </row>
    <row r="27" spans="1:27" ht="19.5">
      <c r="A27" s="1"/>
      <c r="B27" s="7"/>
      <c r="C27" s="1"/>
      <c r="D27" s="4"/>
      <c r="E27" s="4"/>
      <c r="F27" s="1"/>
      <c r="G27" s="4"/>
      <c r="H27" s="4">
        <f t="shared" si="0"/>
        <v>0</v>
      </c>
      <c r="I27" s="4">
        <f t="shared" si="1"/>
        <v>0</v>
      </c>
      <c r="J27" s="4">
        <f>Table1[[#This Row],[Enrolment S.Y. 2025-2026 ]]*8</f>
        <v>0</v>
      </c>
      <c r="K27" s="4"/>
      <c r="L27" s="1"/>
      <c r="M27" s="4"/>
      <c r="N27" s="4">
        <f t="shared" si="2"/>
        <v>0</v>
      </c>
      <c r="O27" s="4">
        <f t="shared" si="3"/>
        <v>0</v>
      </c>
      <c r="P27" s="4">
        <f>Table1[[#This Row],[Enrolment S.Y. 2025-2026 ]]*8</f>
        <v>0</v>
      </c>
      <c r="Q27" s="4"/>
      <c r="R27" s="1"/>
      <c r="S27" s="4"/>
      <c r="T27" s="4">
        <f t="shared" si="4"/>
        <v>0</v>
      </c>
      <c r="U27" s="4">
        <f t="shared" si="5"/>
        <v>0</v>
      </c>
      <c r="V27" s="4">
        <f>Table1[[#This Row],[Enrolment S.Y. 2025-2026 ]]*8</f>
        <v>0</v>
      </c>
      <c r="W27" s="4"/>
      <c r="X27" s="1"/>
      <c r="Y27" s="4"/>
      <c r="Z27" s="4">
        <f t="shared" si="6"/>
        <v>0</v>
      </c>
      <c r="AA27" s="4">
        <f t="shared" si="7"/>
        <v>0</v>
      </c>
    </row>
    <row r="28" spans="1:27" ht="19.5">
      <c r="A28" s="24"/>
      <c r="B28" s="25"/>
      <c r="C28" s="24"/>
      <c r="D28" s="4"/>
      <c r="E28" s="26"/>
      <c r="F28" s="24"/>
      <c r="G28" s="26"/>
      <c r="H28" s="4">
        <f t="shared" si="0"/>
        <v>0</v>
      </c>
      <c r="I28" s="4">
        <f t="shared" si="1"/>
        <v>0</v>
      </c>
      <c r="J28" s="4">
        <f>Table1[[#This Row],[Enrolment S.Y. 2025-2026 ]]*8</f>
        <v>0</v>
      </c>
      <c r="K28" s="26"/>
      <c r="L28" s="24"/>
      <c r="M28" s="26"/>
      <c r="N28" s="4">
        <f t="shared" ref="N28" si="8">IF((J28-K28)&lt;0,0,(J28-K28))</f>
        <v>0</v>
      </c>
      <c r="O28" s="4">
        <f t="shared" ref="O28" si="9">IF((K28-J28)&lt;0,0,(K28-J28))</f>
        <v>0</v>
      </c>
      <c r="P28" s="4"/>
      <c r="Q28" s="26"/>
      <c r="R28" s="24"/>
      <c r="S28" s="26"/>
      <c r="T28" s="4">
        <f t="shared" si="4"/>
        <v>0</v>
      </c>
      <c r="U28" s="4">
        <f t="shared" si="5"/>
        <v>0</v>
      </c>
      <c r="V28" s="4">
        <f>Table1[[#This Row],[Enrolment S.Y. 2025-2026 ]]*8</f>
        <v>0</v>
      </c>
      <c r="W28" s="26"/>
      <c r="X28" s="24"/>
      <c r="Y28" s="26"/>
      <c r="Z28" s="4">
        <f t="shared" si="6"/>
        <v>0</v>
      </c>
      <c r="AA28" s="4">
        <f t="shared" si="7"/>
        <v>0</v>
      </c>
    </row>
    <row r="29" spans="1:27" ht="15">
      <c r="J29" t="e">
        <f>#REF!*8</f>
        <v>#REF!</v>
      </c>
    </row>
    <row r="30" spans="1:27" ht="15">
      <c r="J30" t="e">
        <f>#REF!*8</f>
        <v>#REF!</v>
      </c>
    </row>
    <row r="31" spans="1:27" ht="15">
      <c r="J31" t="e">
        <f>#REF!*8</f>
        <v>#REF!</v>
      </c>
    </row>
    <row r="32" spans="1:27" s="5" customFormat="1" ht="15">
      <c r="A32"/>
      <c r="B32"/>
      <c r="C32"/>
      <c r="D32"/>
      <c r="E32"/>
      <c r="F32"/>
      <c r="G32"/>
      <c r="H32"/>
      <c r="I32"/>
      <c r="J32" t="e">
        <f>#REF!*8</f>
        <v>#REF!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1:27" ht="15">
      <c r="J33" t="e">
        <f>#REF!*8</f>
        <v>#REF!</v>
      </c>
    </row>
    <row r="34" spans="1:27" ht="15">
      <c r="J34" t="e">
        <f>#REF!*8</f>
        <v>#REF!</v>
      </c>
    </row>
    <row r="35" spans="1:27" ht="15">
      <c r="J35" t="e">
        <f>#REF!*8</f>
        <v>#REF!</v>
      </c>
    </row>
    <row r="36" spans="1:27" ht="15">
      <c r="J36" t="e">
        <f>#REF!*8</f>
        <v>#REF!</v>
      </c>
    </row>
    <row r="37" spans="1:27" ht="15">
      <c r="J37" t="e">
        <f>#REF!*8</f>
        <v>#REF!</v>
      </c>
    </row>
    <row r="38" spans="1:27" ht="15">
      <c r="J38" t="e">
        <f>#REF!*8</f>
        <v>#REF!</v>
      </c>
    </row>
    <row r="39" spans="1:27" ht="15">
      <c r="J39" t="e">
        <f>#REF!*8</f>
        <v>#REF!</v>
      </c>
    </row>
    <row r="40" spans="1:27" ht="15">
      <c r="J40" t="e">
        <f>#REF!*8</f>
        <v>#REF!</v>
      </c>
    </row>
    <row r="41" spans="1:27" ht="15">
      <c r="J41" t="e">
        <f>#REF!*8</f>
        <v>#REF!</v>
      </c>
    </row>
    <row r="42" spans="1:27" s="5" customFormat="1" ht="15">
      <c r="A42"/>
      <c r="B42"/>
      <c r="C42"/>
      <c r="D42"/>
      <c r="E42"/>
      <c r="F42"/>
      <c r="G42"/>
      <c r="H42"/>
      <c r="I42"/>
      <c r="J42" t="e">
        <f>#REF!*8</f>
        <v>#REF!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1:27" ht="15">
      <c r="J43" t="e">
        <f>#REF!*8</f>
        <v>#REF!</v>
      </c>
    </row>
    <row r="44" spans="1:27" ht="15">
      <c r="J44" t="e">
        <f>#REF!*8</f>
        <v>#REF!</v>
      </c>
    </row>
    <row r="45" spans="1:27" ht="15">
      <c r="J45" t="e">
        <f>#REF!*8</f>
        <v>#REF!</v>
      </c>
    </row>
    <row r="46" spans="1:27" ht="15">
      <c r="J46" t="e">
        <f>#REF!*8</f>
        <v>#REF!</v>
      </c>
    </row>
    <row r="47" spans="1:27" ht="15">
      <c r="J47" t="e">
        <f>#REF!*8</f>
        <v>#REF!</v>
      </c>
    </row>
    <row r="48" spans="1:27" ht="15">
      <c r="J48" t="e">
        <f>#REF!*8</f>
        <v>#REF!</v>
      </c>
    </row>
    <row r="49" spans="1:27" ht="15">
      <c r="J49" t="e">
        <f>#REF!*8</f>
        <v>#REF!</v>
      </c>
    </row>
    <row r="50" spans="1:27" ht="15">
      <c r="J50" t="e">
        <f>#REF!*8</f>
        <v>#REF!</v>
      </c>
    </row>
    <row r="51" spans="1:27" ht="15">
      <c r="J51" t="e">
        <f>#REF!*8</f>
        <v>#REF!</v>
      </c>
    </row>
    <row r="52" spans="1:27" s="5" customFormat="1" ht="15">
      <c r="A52"/>
      <c r="B52"/>
      <c r="C52"/>
      <c r="D52"/>
      <c r="E52"/>
      <c r="F52"/>
      <c r="G52"/>
      <c r="H52"/>
      <c r="I52"/>
      <c r="J52" t="e">
        <f>#REF!*8</f>
        <v>#REF!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>
      <c r="J53" t="e">
        <f>#REF!*8</f>
        <v>#REF!</v>
      </c>
    </row>
    <row r="54" spans="1:27" ht="15">
      <c r="J54" t="e">
        <f>#REF!*8</f>
        <v>#REF!</v>
      </c>
    </row>
    <row r="55" spans="1:27" ht="15">
      <c r="J55" t="e">
        <f>#REF!*8</f>
        <v>#REF!</v>
      </c>
    </row>
    <row r="56" spans="1:27" ht="15">
      <c r="J56" t="e">
        <f>#REF!*8</f>
        <v>#REF!</v>
      </c>
    </row>
    <row r="57" spans="1:27" ht="15">
      <c r="J57" t="e">
        <f>#REF!*8</f>
        <v>#REF!</v>
      </c>
    </row>
    <row r="58" spans="1:27" ht="15">
      <c r="J58" t="e">
        <f>#REF!*8</f>
        <v>#REF!</v>
      </c>
    </row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8 C2" name="Textbooks"/>
    <protectedRange sqref="D2:F2 P2:R2 Z3:AA28 H4:I11 Q4:R11 W4:X11 D13:F28 H13:I28 N28:R28 W13:X28 N3:P27 T3:V28 K13:L28 J3:J28 V2:X2 Q13:R27 J2:L2 D4:F11 K4:L11" name="LAS"/>
    <protectedRange sqref="S2:U2 M2:O2 Y2:AA2 G4:G11 G13:G28 M13:M28 S13:S28 Y13:Y28 Y3:Y11 M3:M11 S3:S11 G2:I2" name="SOURCE"/>
    <protectedRange sqref="C4:C11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3:S28 M13:M28 Y13:Y28 G13:G28" xr:uid="{8289B4A9-982E-4C7E-A8E2-4BF3404561DB}">
      <formula1>"CO,RO,SDO"</formula1>
    </dataValidation>
    <dataValidation type="list" allowBlank="1" showInputMessage="1" showErrorMessage="1" sqref="L13:L28 R13:R28 F13:F28 F4:F11 R4:R11 L4:L11 X4:X11 X13:X28" xr:uid="{4ECCD083-8EC4-42EE-B46C-B614411F330D}">
      <formula1>"2024,2025"</formula1>
    </dataValidation>
    <dataValidation type="list" allowBlank="1" showInputMessage="1" showErrorMessage="1" sqref="G4:G11 S3:S11 Y3:Y11 M3:M11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E8" sqref="E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3" customFormat="1" ht="34.15" customHeight="1">
      <c r="B1" s="27"/>
      <c r="D1" s="32" t="s">
        <v>18</v>
      </c>
      <c r="E1" s="32"/>
      <c r="F1" s="32"/>
      <c r="G1" s="32"/>
      <c r="H1" s="32"/>
      <c r="I1" s="32"/>
      <c r="J1" s="33" t="s">
        <v>19</v>
      </c>
      <c r="K1" s="33"/>
      <c r="L1" s="33"/>
      <c r="M1" s="33"/>
      <c r="N1" s="33"/>
      <c r="O1" s="33"/>
      <c r="P1" s="34" t="s">
        <v>20</v>
      </c>
      <c r="Q1" s="34"/>
      <c r="R1" s="34"/>
      <c r="S1" s="34"/>
      <c r="T1" s="34"/>
      <c r="U1" s="34"/>
      <c r="V1" s="35" t="s">
        <v>21</v>
      </c>
      <c r="W1" s="35"/>
      <c r="X1" s="35"/>
      <c r="Y1" s="35"/>
      <c r="Z1" s="35"/>
      <c r="AA1" s="35"/>
    </row>
    <row r="2" spans="1:27" ht="69.599999999999994" customHeight="1">
      <c r="A2" s="10" t="s">
        <v>0</v>
      </c>
      <c r="B2" s="28" t="s">
        <v>1</v>
      </c>
      <c r="C2" s="11" t="s">
        <v>2</v>
      </c>
      <c r="D2" s="15" t="s">
        <v>46</v>
      </c>
      <c r="E2" s="15" t="s">
        <v>47</v>
      </c>
      <c r="F2" s="16" t="s">
        <v>48</v>
      </c>
      <c r="G2" s="19" t="s">
        <v>49</v>
      </c>
      <c r="H2" s="12" t="s">
        <v>50</v>
      </c>
      <c r="I2" s="19" t="s">
        <v>51</v>
      </c>
      <c r="J2" s="17" t="s">
        <v>52</v>
      </c>
      <c r="K2" s="17" t="s">
        <v>53</v>
      </c>
      <c r="L2" s="18" t="s">
        <v>54</v>
      </c>
      <c r="M2" s="29" t="s">
        <v>55</v>
      </c>
      <c r="N2" s="29" t="s">
        <v>56</v>
      </c>
      <c r="O2" s="17" t="s">
        <v>57</v>
      </c>
      <c r="P2" s="19" t="s">
        <v>58</v>
      </c>
      <c r="Q2" s="19" t="s">
        <v>59</v>
      </c>
      <c r="R2" s="20" t="s">
        <v>60</v>
      </c>
      <c r="S2" s="12" t="s">
        <v>61</v>
      </c>
      <c r="T2" s="12" t="s">
        <v>62</v>
      </c>
      <c r="U2" s="19" t="s">
        <v>63</v>
      </c>
      <c r="V2" s="21" t="s">
        <v>64</v>
      </c>
      <c r="W2" s="21" t="s">
        <v>65</v>
      </c>
      <c r="X2" s="22" t="s">
        <v>66</v>
      </c>
      <c r="Y2" s="30" t="s">
        <v>67</v>
      </c>
      <c r="Z2" s="30" t="s">
        <v>68</v>
      </c>
      <c r="AA2" s="21" t="s">
        <v>69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38.25">
      <c r="A4" s="1" t="s">
        <v>8</v>
      </c>
      <c r="B4" s="7" t="s">
        <v>9</v>
      </c>
      <c r="C4" s="1"/>
      <c r="D4" s="4">
        <f>Table14[[#This Row],[Enrolment S.Y. 2025-2026 ]]*8</f>
        <v>0</v>
      </c>
      <c r="E4" s="4"/>
      <c r="F4" s="1"/>
      <c r="G4" s="4"/>
      <c r="H4" s="4">
        <f t="shared" ref="H4:H11" si="0">IF((D4-E4)&lt;0,0,(D4-E4))</f>
        <v>0</v>
      </c>
      <c r="I4" s="4">
        <f t="shared" ref="I4:I11" si="1">IF((E4-D4)&lt;0,0,(E4-D4))</f>
        <v>0</v>
      </c>
      <c r="J4" s="4">
        <f>Table14[[#This Row],[Enrolment S.Y. 2025-2026 ]]*8</f>
        <v>0</v>
      </c>
      <c r="K4" s="4"/>
      <c r="L4" s="1"/>
      <c r="M4" s="4"/>
      <c r="N4" s="4">
        <f t="shared" ref="N4:N11" si="2">IF((J4-K4)&lt;0,0,(J4-K4))</f>
        <v>0</v>
      </c>
      <c r="O4" s="4">
        <f t="shared" ref="O4:O11" si="3">IF((K4-J4)&lt;0,0,(K4-J4))</f>
        <v>0</v>
      </c>
      <c r="P4" s="4">
        <f>Table14[[#This Row],[Enrolment S.Y. 2025-2026 ]]*8</f>
        <v>0</v>
      </c>
      <c r="Q4" s="4"/>
      <c r="R4" s="1"/>
      <c r="S4" s="4"/>
      <c r="T4" s="4">
        <f t="shared" ref="T4:T11" si="4">IF((P4-Q4)&lt;0,0,(P4-Q4))</f>
        <v>0</v>
      </c>
      <c r="U4" s="4">
        <f t="shared" ref="U4:U11" si="5">IF((Q4-P4)&lt;0,0,(Q4-P4))</f>
        <v>0</v>
      </c>
      <c r="V4" s="4">
        <f>Table14[[#This Row],[Enrolment S.Y. 2025-2026 ]]*8</f>
        <v>0</v>
      </c>
      <c r="W4" s="4"/>
      <c r="X4" s="1"/>
      <c r="Y4" s="4"/>
      <c r="Z4" s="4">
        <f t="shared" ref="Z4:Z11" si="6">IF((V4-W4)&lt;0,0,(V4-W4))</f>
        <v>0</v>
      </c>
      <c r="AA4" s="4">
        <f t="shared" ref="AA4:AA11" si="7">IF((W4-V4)&lt;0,0,(W4-V4))</f>
        <v>0</v>
      </c>
    </row>
    <row r="5" spans="1:27" ht="19.5">
      <c r="A5" s="1" t="s">
        <v>8</v>
      </c>
      <c r="B5" s="7" t="s">
        <v>11</v>
      </c>
      <c r="C5" s="1"/>
      <c r="D5" s="4">
        <f>Table14[[#This Row],[Enrolment S.Y. 2025-2026 ]]*8</f>
        <v>0</v>
      </c>
      <c r="E5" s="4"/>
      <c r="F5" s="1"/>
      <c r="G5" s="4"/>
      <c r="H5" s="4">
        <f t="shared" si="0"/>
        <v>0</v>
      </c>
      <c r="I5" s="4">
        <f t="shared" si="1"/>
        <v>0</v>
      </c>
      <c r="J5" s="4">
        <f>Table14[[#This Row],[Enrolment S.Y. 2025-2026 ]]*8</f>
        <v>0</v>
      </c>
      <c r="K5" s="4"/>
      <c r="L5" s="1"/>
      <c r="M5" s="4"/>
      <c r="N5" s="4">
        <f t="shared" si="2"/>
        <v>0</v>
      </c>
      <c r="O5" s="4">
        <f t="shared" si="3"/>
        <v>0</v>
      </c>
      <c r="P5" s="4">
        <f>Table14[[#This Row],[Enrolment S.Y. 2025-2026 ]]*8</f>
        <v>0</v>
      </c>
      <c r="Q5" s="4"/>
      <c r="R5" s="1"/>
      <c r="S5" s="4"/>
      <c r="T5" s="4">
        <f t="shared" si="4"/>
        <v>0</v>
      </c>
      <c r="U5" s="4">
        <f t="shared" si="5"/>
        <v>0</v>
      </c>
      <c r="V5" s="4">
        <f>Table14[[#This Row],[Enrolment S.Y. 2025-2026 ]]*8</f>
        <v>0</v>
      </c>
      <c r="W5" s="4"/>
      <c r="X5" s="1"/>
      <c r="Y5" s="4"/>
      <c r="Z5" s="4">
        <f t="shared" si="6"/>
        <v>0</v>
      </c>
      <c r="AA5" s="4">
        <f t="shared" si="7"/>
        <v>0</v>
      </c>
    </row>
    <row r="6" spans="1:27" ht="19.5">
      <c r="A6" s="1" t="s">
        <v>8</v>
      </c>
      <c r="B6" s="7" t="s">
        <v>12</v>
      </c>
      <c r="C6" s="1"/>
      <c r="D6" s="4">
        <f>Table14[[#This Row],[Enrolment S.Y. 2025-2026 ]]*8</f>
        <v>0</v>
      </c>
      <c r="E6" s="4"/>
      <c r="F6" s="1"/>
      <c r="G6" s="4"/>
      <c r="H6" s="4">
        <f t="shared" si="0"/>
        <v>0</v>
      </c>
      <c r="I6" s="4">
        <f t="shared" si="1"/>
        <v>0</v>
      </c>
      <c r="J6" s="4">
        <f>Table14[[#This Row],[Enrolment S.Y. 2025-2026 ]]*8</f>
        <v>0</v>
      </c>
      <c r="K6" s="4"/>
      <c r="L6" s="1"/>
      <c r="M6" s="4"/>
      <c r="N6" s="4">
        <f t="shared" si="2"/>
        <v>0</v>
      </c>
      <c r="O6" s="4">
        <f t="shared" si="3"/>
        <v>0</v>
      </c>
      <c r="P6" s="4">
        <f>Table14[[#This Row],[Enrolment S.Y. 2025-2026 ]]*8</f>
        <v>0</v>
      </c>
      <c r="Q6" s="4"/>
      <c r="R6" s="1"/>
      <c r="S6" s="4"/>
      <c r="T6" s="4">
        <f t="shared" si="4"/>
        <v>0</v>
      </c>
      <c r="U6" s="4">
        <f t="shared" si="5"/>
        <v>0</v>
      </c>
      <c r="V6" s="4">
        <f>Table14[[#This Row],[Enrolment S.Y. 2025-2026 ]]*8</f>
        <v>0</v>
      </c>
      <c r="W6" s="4"/>
      <c r="X6" s="1"/>
      <c r="Y6" s="4"/>
      <c r="Z6" s="4">
        <f t="shared" si="6"/>
        <v>0</v>
      </c>
      <c r="AA6" s="4">
        <f t="shared" si="7"/>
        <v>0</v>
      </c>
    </row>
    <row r="7" spans="1:27" ht="19.5">
      <c r="A7" s="1" t="s">
        <v>8</v>
      </c>
      <c r="B7" s="7" t="s">
        <v>13</v>
      </c>
      <c r="C7" s="1"/>
      <c r="D7" s="4">
        <f>Table14[[#This Row],[Enrolment S.Y. 2025-2026 ]]*8</f>
        <v>0</v>
      </c>
      <c r="E7" s="4"/>
      <c r="F7" s="1"/>
      <c r="G7" s="4"/>
      <c r="H7" s="4">
        <f t="shared" si="0"/>
        <v>0</v>
      </c>
      <c r="I7" s="4">
        <f t="shared" si="1"/>
        <v>0</v>
      </c>
      <c r="J7" s="4">
        <f>Table14[[#This Row],[Enrolment S.Y. 2025-2026 ]]*8</f>
        <v>0</v>
      </c>
      <c r="K7" s="4"/>
      <c r="L7" s="1"/>
      <c r="M7" s="4"/>
      <c r="N7" s="4">
        <f t="shared" si="2"/>
        <v>0</v>
      </c>
      <c r="O7" s="4">
        <f t="shared" si="3"/>
        <v>0</v>
      </c>
      <c r="P7" s="4">
        <f>Table14[[#This Row],[Enrolment S.Y. 2025-2026 ]]*8</f>
        <v>0</v>
      </c>
      <c r="Q7" s="4"/>
      <c r="R7" s="1"/>
      <c r="S7" s="4"/>
      <c r="T7" s="4">
        <f t="shared" si="4"/>
        <v>0</v>
      </c>
      <c r="U7" s="4">
        <f t="shared" si="5"/>
        <v>0</v>
      </c>
      <c r="V7" s="4">
        <f>Table14[[#This Row],[Enrolment S.Y. 2025-2026 ]]*8</f>
        <v>0</v>
      </c>
      <c r="W7" s="4"/>
      <c r="X7" s="1"/>
      <c r="Y7" s="4"/>
      <c r="Z7" s="4">
        <f t="shared" si="6"/>
        <v>0</v>
      </c>
      <c r="AA7" s="4">
        <f t="shared" si="7"/>
        <v>0</v>
      </c>
    </row>
    <row r="8" spans="1:27" ht="38.25">
      <c r="A8" s="1" t="s">
        <v>8</v>
      </c>
      <c r="B8" s="7" t="s">
        <v>14</v>
      </c>
      <c r="C8" s="1"/>
      <c r="D8" s="4">
        <f>Table14[[#This Row],[Enrolment S.Y. 2025-2026 ]]*8</f>
        <v>0</v>
      </c>
      <c r="E8" s="4"/>
      <c r="F8" s="1"/>
      <c r="G8" s="4"/>
      <c r="H8" s="4">
        <f t="shared" si="0"/>
        <v>0</v>
      </c>
      <c r="I8" s="4">
        <f t="shared" si="1"/>
        <v>0</v>
      </c>
      <c r="J8" s="4">
        <f>Table14[[#This Row],[Enrolment S.Y. 2025-2026 ]]*8</f>
        <v>0</v>
      </c>
      <c r="K8" s="4"/>
      <c r="L8" s="1"/>
      <c r="M8" s="4"/>
      <c r="N8" s="4">
        <f t="shared" si="2"/>
        <v>0</v>
      </c>
      <c r="O8" s="4">
        <f t="shared" si="3"/>
        <v>0</v>
      </c>
      <c r="P8" s="4">
        <f>Table14[[#This Row],[Enrolment S.Y. 2025-2026 ]]*8</f>
        <v>0</v>
      </c>
      <c r="Q8" s="4"/>
      <c r="R8" s="1"/>
      <c r="S8" s="4"/>
      <c r="T8" s="4">
        <f t="shared" si="4"/>
        <v>0</v>
      </c>
      <c r="U8" s="4">
        <f t="shared" si="5"/>
        <v>0</v>
      </c>
      <c r="V8" s="4">
        <f>Table14[[#This Row],[Enrolment S.Y. 2025-2026 ]]*8</f>
        <v>0</v>
      </c>
      <c r="W8" s="4"/>
      <c r="X8" s="1"/>
      <c r="Y8" s="4"/>
      <c r="Z8" s="4">
        <f t="shared" si="6"/>
        <v>0</v>
      </c>
      <c r="AA8" s="4">
        <f t="shared" si="7"/>
        <v>0</v>
      </c>
    </row>
    <row r="9" spans="1:27" ht="38.25">
      <c r="A9" s="1" t="s">
        <v>8</v>
      </c>
      <c r="B9" s="7" t="s">
        <v>15</v>
      </c>
      <c r="C9" s="1"/>
      <c r="D9" s="4">
        <f>Table14[[#This Row],[Enrolment S.Y. 2025-2026 ]]*8</f>
        <v>0</v>
      </c>
      <c r="E9" s="4"/>
      <c r="F9" s="1"/>
      <c r="G9" s="4"/>
      <c r="H9" s="4">
        <f t="shared" si="0"/>
        <v>0</v>
      </c>
      <c r="I9" s="4">
        <f t="shared" si="1"/>
        <v>0</v>
      </c>
      <c r="J9" s="4">
        <f>Table14[[#This Row],[Enrolment S.Y. 2025-2026 ]]*8</f>
        <v>0</v>
      </c>
      <c r="K9" s="4"/>
      <c r="L9" s="1"/>
      <c r="M9" s="4"/>
      <c r="N9" s="4">
        <f t="shared" si="2"/>
        <v>0</v>
      </c>
      <c r="O9" s="4">
        <f t="shared" si="3"/>
        <v>0</v>
      </c>
      <c r="P9" s="4">
        <f>Table14[[#This Row],[Enrolment S.Y. 2025-2026 ]]*8</f>
        <v>0</v>
      </c>
      <c r="Q9" s="4"/>
      <c r="R9" s="1"/>
      <c r="S9" s="4"/>
      <c r="T9" s="4">
        <f t="shared" si="4"/>
        <v>0</v>
      </c>
      <c r="U9" s="4">
        <f t="shared" si="5"/>
        <v>0</v>
      </c>
      <c r="V9" s="4">
        <f>Table14[[#This Row],[Enrolment S.Y. 2025-2026 ]]*8</f>
        <v>0</v>
      </c>
      <c r="W9" s="4"/>
      <c r="X9" s="1"/>
      <c r="Y9" s="4"/>
      <c r="Z9" s="4">
        <f t="shared" si="6"/>
        <v>0</v>
      </c>
      <c r="AA9" s="4">
        <f t="shared" si="7"/>
        <v>0</v>
      </c>
    </row>
    <row r="10" spans="1:27" ht="57.75">
      <c r="A10" s="1" t="s">
        <v>8</v>
      </c>
      <c r="B10" s="7" t="s">
        <v>16</v>
      </c>
      <c r="C10" s="1"/>
      <c r="D10" s="4">
        <f>Table14[[#This Row],[Enrolment S.Y. 2025-2026 ]]*8</f>
        <v>0</v>
      </c>
      <c r="E10" s="4"/>
      <c r="F10" s="1"/>
      <c r="G10" s="4"/>
      <c r="H10" s="4">
        <f t="shared" si="0"/>
        <v>0</v>
      </c>
      <c r="I10" s="4">
        <f t="shared" si="1"/>
        <v>0</v>
      </c>
      <c r="J10" s="4">
        <f>Table14[[#This Row],[Enrolment S.Y. 2025-2026 ]]*8</f>
        <v>0</v>
      </c>
      <c r="K10" s="4"/>
      <c r="L10" s="1"/>
      <c r="M10" s="4"/>
      <c r="N10" s="4">
        <f t="shared" si="2"/>
        <v>0</v>
      </c>
      <c r="O10" s="4">
        <f t="shared" si="3"/>
        <v>0</v>
      </c>
      <c r="P10" s="4">
        <f>Table14[[#This Row],[Enrolment S.Y. 2025-2026 ]]*8</f>
        <v>0</v>
      </c>
      <c r="Q10" s="4"/>
      <c r="R10" s="1"/>
      <c r="S10" s="4"/>
      <c r="T10" s="4">
        <f t="shared" si="4"/>
        <v>0</v>
      </c>
      <c r="U10" s="4">
        <f t="shared" si="5"/>
        <v>0</v>
      </c>
      <c r="V10" s="4">
        <f>Table14[[#This Row],[Enrolment S.Y. 2025-2026 ]]*8</f>
        <v>0</v>
      </c>
      <c r="W10" s="4"/>
      <c r="X10" s="1"/>
      <c r="Y10" s="4"/>
      <c r="Z10" s="4">
        <f t="shared" si="6"/>
        <v>0</v>
      </c>
      <c r="AA10" s="4">
        <f t="shared" si="7"/>
        <v>0</v>
      </c>
    </row>
    <row r="11" spans="1:27" s="5" customFormat="1" ht="38.25">
      <c r="A11" s="1" t="s">
        <v>8</v>
      </c>
      <c r="B11" s="7" t="s">
        <v>17</v>
      </c>
      <c r="C11" s="1"/>
      <c r="D11" s="4">
        <f>Table14[[#This Row],[Enrolment S.Y. 2025-2026 ]]*8</f>
        <v>0</v>
      </c>
      <c r="E11" s="4"/>
      <c r="F11" s="1"/>
      <c r="G11" s="4"/>
      <c r="H11" s="4">
        <f t="shared" si="0"/>
        <v>0</v>
      </c>
      <c r="I11" s="4">
        <f t="shared" si="1"/>
        <v>0</v>
      </c>
      <c r="J11" s="4">
        <f>Table14[[#This Row],[Enrolment S.Y. 2025-2026 ]]*8</f>
        <v>0</v>
      </c>
      <c r="K11" s="4"/>
      <c r="L11" s="1"/>
      <c r="M11" s="4"/>
      <c r="N11" s="4">
        <f t="shared" si="2"/>
        <v>0</v>
      </c>
      <c r="O11" s="4">
        <f t="shared" si="3"/>
        <v>0</v>
      </c>
      <c r="P11" s="4">
        <f>Table14[[#This Row],[Enrolment S.Y. 2025-2026 ]]*8</f>
        <v>0</v>
      </c>
      <c r="Q11" s="4"/>
      <c r="R11" s="1"/>
      <c r="S11" s="4"/>
      <c r="T11" s="4">
        <f t="shared" si="4"/>
        <v>0</v>
      </c>
      <c r="U11" s="4">
        <f t="shared" si="5"/>
        <v>0</v>
      </c>
      <c r="V11" s="4">
        <f>Table14[[#This Row],[Enrolment S.Y. 2025-2026 ]]*8</f>
        <v>0</v>
      </c>
      <c r="W11" s="4"/>
      <c r="X11" s="1"/>
      <c r="Y11" s="4"/>
      <c r="Z11" s="4">
        <f t="shared" si="6"/>
        <v>0</v>
      </c>
      <c r="AA11" s="4">
        <f t="shared" si="7"/>
        <v>0</v>
      </c>
    </row>
    <row r="12" spans="1:27" ht="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s="5" customFormat="1" ht="15"/>
    <row r="21" spans="1:27" ht="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s="5" customFormat="1" ht="15">
      <c r="A30"/>
      <c r="B30"/>
      <c r="C30"/>
      <c r="D30"/>
      <c r="E30"/>
      <c r="F30"/>
      <c r="G30"/>
      <c r="H30"/>
      <c r="I30"/>
      <c r="J30" t="e">
        <f>#REF!*8</f>
        <v>#REF!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1:27" ht="15">
      <c r="J31" t="e">
        <f>#REF!*8</f>
        <v>#REF!</v>
      </c>
    </row>
    <row r="32" spans="1:27" ht="15">
      <c r="J32" t="e">
        <f>#REF!*8</f>
        <v>#REF!</v>
      </c>
    </row>
    <row r="33" spans="1:27" ht="15">
      <c r="J33" t="e">
        <f>#REF!*8</f>
        <v>#REF!</v>
      </c>
    </row>
    <row r="34" spans="1:27" ht="15">
      <c r="J34" t="e">
        <f>#REF!*8</f>
        <v>#REF!</v>
      </c>
    </row>
    <row r="35" spans="1:27" ht="15">
      <c r="J35" t="e">
        <f>#REF!*8</f>
        <v>#REF!</v>
      </c>
    </row>
    <row r="36" spans="1:27" ht="15">
      <c r="J36" t="e">
        <f>#REF!*8</f>
        <v>#REF!</v>
      </c>
    </row>
    <row r="37" spans="1:27" ht="15">
      <c r="J37" t="e">
        <f>#REF!*8</f>
        <v>#REF!</v>
      </c>
    </row>
    <row r="38" spans="1:27" ht="15">
      <c r="J38" t="e">
        <f>#REF!*8</f>
        <v>#REF!</v>
      </c>
    </row>
    <row r="39" spans="1:27" ht="15">
      <c r="J39" t="e">
        <f>#REF!*8</f>
        <v>#REF!</v>
      </c>
    </row>
    <row r="40" spans="1:27" ht="15">
      <c r="J40" t="e">
        <f>#REF!*8</f>
        <v>#REF!</v>
      </c>
    </row>
    <row r="41" spans="1:27" ht="15">
      <c r="J41" t="e">
        <f>#REF!*8</f>
        <v>#REF!</v>
      </c>
    </row>
    <row r="42" spans="1:27" s="5" customFormat="1" ht="15">
      <c r="A42"/>
      <c r="B42"/>
      <c r="C42"/>
      <c r="D42"/>
      <c r="E42"/>
      <c r="F42"/>
      <c r="G42"/>
      <c r="H42"/>
      <c r="I42"/>
      <c r="J42" t="e">
        <f>#REF!*8</f>
        <v>#REF!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1:27" ht="15">
      <c r="J43" t="e">
        <f>#REF!*8</f>
        <v>#REF!</v>
      </c>
    </row>
    <row r="44" spans="1:27" ht="15">
      <c r="J44" t="e">
        <f>#REF!*8</f>
        <v>#REF!</v>
      </c>
    </row>
    <row r="45" spans="1:27" ht="15">
      <c r="J45" t="e">
        <f>#REF!*8</f>
        <v>#REF!</v>
      </c>
    </row>
    <row r="46" spans="1:27" ht="15">
      <c r="J46" t="e">
        <f>#REF!*8</f>
        <v>#REF!</v>
      </c>
    </row>
    <row r="47" spans="1:27" ht="15">
      <c r="J47" t="e">
        <f>#REF!*8</f>
        <v>#REF!</v>
      </c>
    </row>
    <row r="48" spans="1:27" ht="15">
      <c r="J48" t="e">
        <f>#REF!*8</f>
        <v>#REF!</v>
      </c>
    </row>
    <row r="49" spans="1:27" ht="15">
      <c r="J49" t="e">
        <f>#REF!*8</f>
        <v>#REF!</v>
      </c>
    </row>
    <row r="50" spans="1:27" ht="15">
      <c r="J50" t="e">
        <f>#REF!*8</f>
        <v>#REF!</v>
      </c>
    </row>
    <row r="51" spans="1:27" ht="15">
      <c r="J51" t="e">
        <f>#REF!*8</f>
        <v>#REF!</v>
      </c>
    </row>
    <row r="52" spans="1:27" ht="15">
      <c r="J52" t="e">
        <f>#REF!*8</f>
        <v>#REF!</v>
      </c>
    </row>
    <row r="53" spans="1:27" ht="15">
      <c r="J53" t="e">
        <f>#REF!*8</f>
        <v>#REF!</v>
      </c>
    </row>
    <row r="54" spans="1:27" s="5" customFormat="1" ht="15">
      <c r="A54"/>
      <c r="B54"/>
      <c r="C54"/>
      <c r="D54"/>
      <c r="E54"/>
      <c r="F54"/>
      <c r="G54"/>
      <c r="H54"/>
      <c r="I54"/>
      <c r="J54" t="e">
        <f>#REF!*8</f>
        <v>#REF!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</row>
    <row r="55" spans="1:27" ht="15">
      <c r="J55" t="e">
        <f>#REF!*8</f>
        <v>#REF!</v>
      </c>
    </row>
    <row r="56" spans="1:27" ht="15">
      <c r="J56" t="e">
        <f>#REF!*8</f>
        <v>#REF!</v>
      </c>
    </row>
    <row r="57" spans="1:27" ht="15">
      <c r="J57" t="e">
        <f>#REF!*8</f>
        <v>#REF!</v>
      </c>
    </row>
    <row r="58" spans="1:27" ht="15">
      <c r="J58" t="e">
        <f>#REF!*8</f>
        <v>#REF!</v>
      </c>
    </row>
    <row r="59" spans="1:27" ht="15">
      <c r="J59" t="e">
        <f>#REF!*8</f>
        <v>#REF!</v>
      </c>
    </row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</sheetData>
  <protectedRanges>
    <protectedRange sqref="C4:C11 C2" name="Textbooks"/>
    <protectedRange sqref="J2:L2 T4:X11 P2:R2 D4:F11 Z4:AA11 V2:X2 H4:L11 N4:R11 D2:F2" name="LAS"/>
    <protectedRange sqref="G2:I2 M2:O2 S2:U2 Y2:AA2 Y4:Y11 G4:G11 M4:M11 S4:S1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4:S11 Y4:Y11 G4:G11 M4:M11" xr:uid="{CBD486C7-A5DB-48F1-B496-5027CC51E830}">
      <formula1>"CO,RO,SDO,LGU,SCHOOL"</formula1>
    </dataValidation>
    <dataValidation type="list" allowBlank="1" showInputMessage="1" showErrorMessage="1" sqref="X4:X11 F4:F11 R4:R11 L4:L11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2026-01-26T03:57:50Z</dcterms:modified>
  <cp:category/>
  <cp:contentStatus/>
</cp:coreProperties>
</file>