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9" documentId="13_ncr:1_{BFB59F67-F0DC-4675-A682-EB0734A8026A}" xr6:coauthVersionLast="47" xr6:coauthVersionMax="47" xr10:uidLastSave="{15465646-0A30-420F-8DB9-206E3E13661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5" l="1"/>
  <c r="H66" i="5"/>
  <c r="I66" i="5"/>
  <c r="J66" i="5"/>
  <c r="P66" i="5"/>
  <c r="T66" i="5"/>
  <c r="U66" i="5"/>
  <c r="V66" i="5"/>
  <c r="Z66" i="5"/>
  <c r="AA66" i="5"/>
  <c r="P110" i="5"/>
  <c r="T110" i="5" s="1"/>
  <c r="P111" i="5"/>
  <c r="U111" i="5" s="1"/>
  <c r="P112" i="5"/>
  <c r="P113" i="5"/>
  <c r="P114" i="5"/>
  <c r="P98" i="5"/>
  <c r="T98" i="5" s="1"/>
  <c r="P99" i="5"/>
  <c r="P100" i="5"/>
  <c r="P101" i="5"/>
  <c r="P102" i="5"/>
  <c r="P85" i="5"/>
  <c r="P86" i="5"/>
  <c r="P87" i="5"/>
  <c r="P88" i="5"/>
  <c r="P89" i="5"/>
  <c r="P90" i="5"/>
  <c r="P72" i="5"/>
  <c r="P73" i="5"/>
  <c r="P74" i="5"/>
  <c r="P75" i="5"/>
  <c r="P76" i="5"/>
  <c r="P77" i="5"/>
  <c r="P78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3" i="5"/>
  <c r="H113" i="5" s="1"/>
  <c r="J113" i="5"/>
  <c r="U113" i="5"/>
  <c r="T113" i="5"/>
  <c r="V113" i="5"/>
  <c r="Z113" i="5" s="1"/>
  <c r="D110" i="5"/>
  <c r="H110" i="5" s="1"/>
  <c r="J110" i="5"/>
  <c r="U110" i="5"/>
  <c r="V110" i="5"/>
  <c r="Z110" i="5" s="1"/>
  <c r="D89" i="5"/>
  <c r="H89" i="5" s="1"/>
  <c r="J89" i="5"/>
  <c r="T89" i="5"/>
  <c r="V89" i="5"/>
  <c r="Z89" i="5" s="1"/>
  <c r="D101" i="5"/>
  <c r="H101" i="5" s="1"/>
  <c r="J101" i="5"/>
  <c r="T101" i="5"/>
  <c r="V101" i="5"/>
  <c r="Z101" i="5" s="1"/>
  <c r="D98" i="5"/>
  <c r="H98" i="5" s="1"/>
  <c r="J98" i="5"/>
  <c r="V98" i="5"/>
  <c r="Z98" i="5" s="1"/>
  <c r="D86" i="5"/>
  <c r="H86" i="5" s="1"/>
  <c r="J86" i="5"/>
  <c r="T86" i="5"/>
  <c r="V86" i="5"/>
  <c r="Z86" i="5" s="1"/>
  <c r="D77" i="5"/>
  <c r="H77" i="5" s="1"/>
  <c r="J77" i="5"/>
  <c r="T77" i="5"/>
  <c r="V77" i="5"/>
  <c r="Z77" i="5" s="1"/>
  <c r="D74" i="5"/>
  <c r="H74" i="5" s="1"/>
  <c r="J74" i="5"/>
  <c r="T74" i="5"/>
  <c r="V74" i="5"/>
  <c r="Z74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3" i="5"/>
  <c r="AA123" i="5" s="1"/>
  <c r="P123" i="5"/>
  <c r="T123" i="5" s="1"/>
  <c r="J123" i="5"/>
  <c r="O123" i="5" s="1"/>
  <c r="D123" i="5"/>
  <c r="I123" i="5" s="1"/>
  <c r="V122" i="5"/>
  <c r="Z122" i="5" s="1"/>
  <c r="P122" i="5"/>
  <c r="J122" i="5"/>
  <c r="N122" i="5" s="1"/>
  <c r="D122" i="5"/>
  <c r="I122" i="5" s="1"/>
  <c r="V121" i="5"/>
  <c r="AA121" i="5" s="1"/>
  <c r="P121" i="5"/>
  <c r="U121" i="5" s="1"/>
  <c r="J121" i="5"/>
  <c r="O121" i="5" s="1"/>
  <c r="D121" i="5"/>
  <c r="I121" i="5" s="1"/>
  <c r="V120" i="5"/>
  <c r="Z120" i="5" s="1"/>
  <c r="P120" i="5"/>
  <c r="J120" i="5"/>
  <c r="N120" i="5" s="1"/>
  <c r="D120" i="5"/>
  <c r="I120" i="5" s="1"/>
  <c r="V119" i="5"/>
  <c r="AA119" i="5" s="1"/>
  <c r="P119" i="5"/>
  <c r="U119" i="5" s="1"/>
  <c r="J119" i="5"/>
  <c r="O119" i="5" s="1"/>
  <c r="D119" i="5"/>
  <c r="I119" i="5" s="1"/>
  <c r="V118" i="5"/>
  <c r="Z118" i="5" s="1"/>
  <c r="P118" i="5"/>
  <c r="J118" i="5"/>
  <c r="N118" i="5" s="1"/>
  <c r="D118" i="5"/>
  <c r="I118" i="5" s="1"/>
  <c r="V117" i="5"/>
  <c r="AA117" i="5" s="1"/>
  <c r="P117" i="5"/>
  <c r="U117" i="5" s="1"/>
  <c r="J117" i="5"/>
  <c r="O117" i="5" s="1"/>
  <c r="D117" i="5"/>
  <c r="I117" i="5" s="1"/>
  <c r="V116" i="5"/>
  <c r="Z116" i="5" s="1"/>
  <c r="P116" i="5"/>
  <c r="J116" i="5"/>
  <c r="N116" i="5" s="1"/>
  <c r="D116" i="5"/>
  <c r="I116" i="5" s="1"/>
  <c r="V114" i="5"/>
  <c r="AA114" i="5" s="1"/>
  <c r="U114" i="5"/>
  <c r="J114" i="5"/>
  <c r="D114" i="5"/>
  <c r="I114" i="5" s="1"/>
  <c r="V112" i="5"/>
  <c r="Z112" i="5" s="1"/>
  <c r="J112" i="5"/>
  <c r="D112" i="5"/>
  <c r="I112" i="5" s="1"/>
  <c r="V111" i="5"/>
  <c r="AA111" i="5" s="1"/>
  <c r="J111" i="5"/>
  <c r="D111" i="5"/>
  <c r="I111" i="5" s="1"/>
  <c r="V109" i="5"/>
  <c r="Z109" i="5" s="1"/>
  <c r="P109" i="5"/>
  <c r="J109" i="5"/>
  <c r="N109" i="5" s="1"/>
  <c r="D109" i="5"/>
  <c r="I109" i="5" s="1"/>
  <c r="V108" i="5"/>
  <c r="AA108" i="5" s="1"/>
  <c r="P108" i="5"/>
  <c r="U108" i="5" s="1"/>
  <c r="J108" i="5"/>
  <c r="O108" i="5" s="1"/>
  <c r="D108" i="5"/>
  <c r="I108" i="5" s="1"/>
  <c r="V107" i="5"/>
  <c r="Z107" i="5" s="1"/>
  <c r="P107" i="5"/>
  <c r="J107" i="5"/>
  <c r="N107" i="5" s="1"/>
  <c r="D107" i="5"/>
  <c r="I107" i="5" s="1"/>
  <c r="V106" i="5"/>
  <c r="AA106" i="5" s="1"/>
  <c r="P106" i="5"/>
  <c r="U106" i="5" s="1"/>
  <c r="J106" i="5"/>
  <c r="O106" i="5" s="1"/>
  <c r="D106" i="5"/>
  <c r="I106" i="5" s="1"/>
  <c r="V105" i="5"/>
  <c r="AA105" i="5" s="1"/>
  <c r="P105" i="5"/>
  <c r="J105" i="5"/>
  <c r="N105" i="5" s="1"/>
  <c r="D105" i="5"/>
  <c r="I105" i="5" s="1"/>
  <c r="V104" i="5"/>
  <c r="AA104" i="5" s="1"/>
  <c r="P104" i="5"/>
  <c r="U104" i="5" s="1"/>
  <c r="J104" i="5"/>
  <c r="O104" i="5" s="1"/>
  <c r="D104" i="5"/>
  <c r="I104" i="5" s="1"/>
  <c r="V102" i="5"/>
  <c r="AA102" i="5" s="1"/>
  <c r="J102" i="5"/>
  <c r="D102" i="5"/>
  <c r="I102" i="5" s="1"/>
  <c r="V100" i="5"/>
  <c r="AA100" i="5" s="1"/>
  <c r="U100" i="5"/>
  <c r="J100" i="5"/>
  <c r="D100" i="5"/>
  <c r="I100" i="5" s="1"/>
  <c r="V99" i="5"/>
  <c r="AA99" i="5" s="1"/>
  <c r="J99" i="5"/>
  <c r="D99" i="5"/>
  <c r="I99" i="5" s="1"/>
  <c r="V97" i="5"/>
  <c r="AA97" i="5" s="1"/>
  <c r="P97" i="5"/>
  <c r="U97" i="5" s="1"/>
  <c r="J97" i="5"/>
  <c r="O97" i="5" s="1"/>
  <c r="D97" i="5"/>
  <c r="I97" i="5" s="1"/>
  <c r="V96" i="5"/>
  <c r="AA96" i="5" s="1"/>
  <c r="P96" i="5"/>
  <c r="J96" i="5"/>
  <c r="N96" i="5" s="1"/>
  <c r="D96" i="5"/>
  <c r="H96" i="5" s="1"/>
  <c r="V95" i="5"/>
  <c r="AA95" i="5" s="1"/>
  <c r="P95" i="5"/>
  <c r="U95" i="5" s="1"/>
  <c r="J95" i="5"/>
  <c r="O95" i="5" s="1"/>
  <c r="D95" i="5"/>
  <c r="H95" i="5" s="1"/>
  <c r="V94" i="5"/>
  <c r="AA94" i="5" s="1"/>
  <c r="P94" i="5"/>
  <c r="J94" i="5"/>
  <c r="N94" i="5" s="1"/>
  <c r="D94" i="5"/>
  <c r="I94" i="5" s="1"/>
  <c r="V93" i="5"/>
  <c r="AA93" i="5" s="1"/>
  <c r="P93" i="5"/>
  <c r="U93" i="5" s="1"/>
  <c r="J93" i="5"/>
  <c r="O93" i="5" s="1"/>
  <c r="D93" i="5"/>
  <c r="I93" i="5" s="1"/>
  <c r="V92" i="5"/>
  <c r="AA92" i="5" s="1"/>
  <c r="P92" i="5"/>
  <c r="J92" i="5"/>
  <c r="N92" i="5" s="1"/>
  <c r="D92" i="5"/>
  <c r="I92" i="5" s="1"/>
  <c r="V90" i="5"/>
  <c r="AA90" i="5" s="1"/>
  <c r="U90" i="5"/>
  <c r="J90" i="5"/>
  <c r="D90" i="5"/>
  <c r="I90" i="5" s="1"/>
  <c r="V88" i="5"/>
  <c r="AA88" i="5" s="1"/>
  <c r="J88" i="5"/>
  <c r="D88" i="5"/>
  <c r="I88" i="5" s="1"/>
  <c r="V87" i="5"/>
  <c r="AA87" i="5" s="1"/>
  <c r="U87" i="5"/>
  <c r="J87" i="5"/>
  <c r="D87" i="5"/>
  <c r="I87" i="5" s="1"/>
  <c r="V85" i="5"/>
  <c r="AA85" i="5" s="1"/>
  <c r="J85" i="5"/>
  <c r="D85" i="5"/>
  <c r="I85" i="5" s="1"/>
  <c r="V84" i="5"/>
  <c r="AA84" i="5" s="1"/>
  <c r="P84" i="5"/>
  <c r="U84" i="5" s="1"/>
  <c r="J84" i="5"/>
  <c r="O84" i="5" s="1"/>
  <c r="D84" i="5"/>
  <c r="I84" i="5" s="1"/>
  <c r="V83" i="5"/>
  <c r="Z83" i="5" s="1"/>
  <c r="P83" i="5"/>
  <c r="J83" i="5"/>
  <c r="N83" i="5" s="1"/>
  <c r="D83" i="5"/>
  <c r="I83" i="5" s="1"/>
  <c r="V82" i="5"/>
  <c r="AA82" i="5" s="1"/>
  <c r="P82" i="5"/>
  <c r="U82" i="5" s="1"/>
  <c r="J82" i="5"/>
  <c r="O82" i="5" s="1"/>
  <c r="D82" i="5"/>
  <c r="I82" i="5" s="1"/>
  <c r="V81" i="5"/>
  <c r="AA81" i="5" s="1"/>
  <c r="P81" i="5"/>
  <c r="U81" i="5" s="1"/>
  <c r="J81" i="5"/>
  <c r="N81" i="5" s="1"/>
  <c r="D81" i="5"/>
  <c r="I81" i="5" s="1"/>
  <c r="V80" i="5"/>
  <c r="AA80" i="5" s="1"/>
  <c r="P80" i="5"/>
  <c r="U80" i="5" s="1"/>
  <c r="J80" i="5"/>
  <c r="D80" i="5"/>
  <c r="I80" i="5" s="1"/>
  <c r="V78" i="5"/>
  <c r="AA78" i="5" s="1"/>
  <c r="U78" i="5"/>
  <c r="J78" i="5"/>
  <c r="D78" i="5"/>
  <c r="I78" i="5" s="1"/>
  <c r="V76" i="5"/>
  <c r="AA76" i="5" s="1"/>
  <c r="U76" i="5"/>
  <c r="J76" i="5"/>
  <c r="D76" i="5"/>
  <c r="H76" i="5" s="1"/>
  <c r="V75" i="5"/>
  <c r="Z75" i="5" s="1"/>
  <c r="U75" i="5"/>
  <c r="J75" i="5"/>
  <c r="D75" i="5"/>
  <c r="I75" i="5" s="1"/>
  <c r="V73" i="5"/>
  <c r="Z73" i="5" s="1"/>
  <c r="U73" i="5"/>
  <c r="J73" i="5"/>
  <c r="D73" i="5"/>
  <c r="I73" i="5" s="1"/>
  <c r="V72" i="5"/>
  <c r="AA72" i="5" s="1"/>
  <c r="U72" i="5"/>
  <c r="J72" i="5"/>
  <c r="D72" i="5"/>
  <c r="H72" i="5" s="1"/>
  <c r="V71" i="5"/>
  <c r="AA71" i="5" s="1"/>
  <c r="P71" i="5"/>
  <c r="U71" i="5" s="1"/>
  <c r="J71" i="5"/>
  <c r="D71" i="5"/>
  <c r="H71" i="5" s="1"/>
  <c r="V70" i="5"/>
  <c r="AA70" i="5" s="1"/>
  <c r="P70" i="5"/>
  <c r="U70" i="5" s="1"/>
  <c r="J70" i="5"/>
  <c r="N70" i="5" s="1"/>
  <c r="D70" i="5"/>
  <c r="I70" i="5" s="1"/>
  <c r="V69" i="5"/>
  <c r="AA69" i="5" s="1"/>
  <c r="P69" i="5"/>
  <c r="U69" i="5" s="1"/>
  <c r="J69" i="5"/>
  <c r="D69" i="5"/>
  <c r="I69" i="5" s="1"/>
  <c r="V68" i="5"/>
  <c r="AA68" i="5" s="1"/>
  <c r="P68" i="5"/>
  <c r="U68" i="5" s="1"/>
  <c r="J68" i="5"/>
  <c r="N68" i="5" s="1"/>
  <c r="D68" i="5"/>
  <c r="I68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2" i="5"/>
  <c r="O72" i="5"/>
  <c r="N73" i="5"/>
  <c r="O73" i="5"/>
  <c r="N75" i="5"/>
  <c r="O75" i="5"/>
  <c r="N76" i="5"/>
  <c r="O76" i="5"/>
  <c r="N78" i="5"/>
  <c r="O78" i="5"/>
  <c r="N85" i="5"/>
  <c r="O85" i="5"/>
  <c r="N87" i="5"/>
  <c r="O87" i="5"/>
  <c r="N88" i="5"/>
  <c r="O88" i="5"/>
  <c r="N90" i="5"/>
  <c r="O90" i="5"/>
  <c r="N99" i="5"/>
  <c r="O99" i="5"/>
  <c r="N100" i="5"/>
  <c r="O100" i="5"/>
  <c r="N102" i="5"/>
  <c r="O102" i="5"/>
  <c r="N111" i="5"/>
  <c r="O111" i="5"/>
  <c r="N112" i="5"/>
  <c r="O112" i="5"/>
  <c r="N114" i="5"/>
  <c r="O114" i="5"/>
  <c r="N37" i="5"/>
  <c r="O37" i="5"/>
  <c r="N40" i="5"/>
  <c r="O40" i="5"/>
  <c r="N49" i="5"/>
  <c r="O49" i="5"/>
  <c r="N52" i="5"/>
  <c r="O52" i="5"/>
  <c r="N61" i="5"/>
  <c r="O61" i="5"/>
  <c r="N64" i="5"/>
  <c r="O64" i="5"/>
  <c r="N74" i="5"/>
  <c r="O74" i="5"/>
  <c r="N77" i="5"/>
  <c r="O77" i="5"/>
  <c r="N86" i="5"/>
  <c r="O86" i="5"/>
  <c r="N98" i="5"/>
  <c r="O98" i="5"/>
  <c r="N101" i="5"/>
  <c r="O101" i="5"/>
  <c r="N89" i="5"/>
  <c r="O89" i="5"/>
  <c r="N110" i="5"/>
  <c r="O110" i="5"/>
  <c r="N113" i="5"/>
  <c r="O113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9" i="5"/>
  <c r="I113" i="5"/>
  <c r="AA113" i="5"/>
  <c r="U98" i="5"/>
  <c r="U86" i="5"/>
  <c r="I110" i="5"/>
  <c r="AA110" i="5"/>
  <c r="U101" i="5"/>
  <c r="I89" i="5"/>
  <c r="AA89" i="5"/>
  <c r="I101" i="5"/>
  <c r="AA101" i="5"/>
  <c r="U77" i="5"/>
  <c r="I98" i="5"/>
  <c r="AA98" i="5"/>
  <c r="U61" i="5"/>
  <c r="I86" i="5"/>
  <c r="AA86" i="5"/>
  <c r="U74" i="5"/>
  <c r="I77" i="5"/>
  <c r="AA77" i="5"/>
  <c r="U64" i="5"/>
  <c r="I74" i="5"/>
  <c r="T52" i="5"/>
  <c r="AA74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8" i="5"/>
  <c r="I37" i="5"/>
  <c r="AA37" i="5"/>
  <c r="H104" i="5"/>
  <c r="AA112" i="5"/>
  <c r="I76" i="5"/>
  <c r="T93" i="5"/>
  <c r="Z72" i="5"/>
  <c r="AA75" i="5"/>
  <c r="H60" i="5"/>
  <c r="H80" i="5"/>
  <c r="T75" i="5"/>
  <c r="H84" i="5"/>
  <c r="T71" i="5"/>
  <c r="H78" i="5"/>
  <c r="I44" i="5"/>
  <c r="N27" i="5"/>
  <c r="Z60" i="5"/>
  <c r="O70" i="5"/>
  <c r="H62" i="5"/>
  <c r="Z78" i="5"/>
  <c r="O13" i="5"/>
  <c r="AA36" i="5"/>
  <c r="T39" i="5"/>
  <c r="O43" i="5"/>
  <c r="N9" i="5"/>
  <c r="H12" i="5"/>
  <c r="U19" i="5"/>
  <c r="AA34" i="5"/>
  <c r="H46" i="5"/>
  <c r="Z70" i="5"/>
  <c r="I72" i="5"/>
  <c r="H73" i="5"/>
  <c r="Z81" i="5"/>
  <c r="Z88" i="5"/>
  <c r="H102" i="5"/>
  <c r="AA120" i="5"/>
  <c r="T22" i="5"/>
  <c r="O32" i="5"/>
  <c r="AA33" i="5"/>
  <c r="Z47" i="5"/>
  <c r="T53" i="5"/>
  <c r="I71" i="5"/>
  <c r="H121" i="5"/>
  <c r="H21" i="5"/>
  <c r="Z29" i="5"/>
  <c r="I45" i="5"/>
  <c r="T72" i="5"/>
  <c r="H82" i="5"/>
  <c r="AA83" i="5"/>
  <c r="H88" i="5"/>
  <c r="H97" i="5"/>
  <c r="T28" i="5"/>
  <c r="AA32" i="5"/>
  <c r="O34" i="5"/>
  <c r="Z46" i="5"/>
  <c r="U123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8" i="5"/>
  <c r="AA73" i="5"/>
  <c r="H92" i="5"/>
  <c r="I95" i="5"/>
  <c r="O96" i="5"/>
  <c r="O105" i="5"/>
  <c r="T108" i="5"/>
  <c r="AA109" i="5"/>
  <c r="H3" i="5"/>
  <c r="T4" i="5"/>
  <c r="T10" i="5"/>
  <c r="N12" i="5"/>
  <c r="O22" i="5"/>
  <c r="AA27" i="5"/>
  <c r="N29" i="5"/>
  <c r="H31" i="5"/>
  <c r="H48" i="5"/>
  <c r="I57" i="5"/>
  <c r="H68" i="5"/>
  <c r="H69" i="5"/>
  <c r="T78" i="5"/>
  <c r="Z87" i="5"/>
  <c r="O92" i="5"/>
  <c r="T104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3" i="5"/>
  <c r="Z85" i="5"/>
  <c r="T95" i="5"/>
  <c r="Z96" i="5"/>
  <c r="H99" i="5"/>
  <c r="T100" i="5"/>
  <c r="Z105" i="5"/>
  <c r="AA116" i="5"/>
  <c r="H5" i="5"/>
  <c r="O6" i="5"/>
  <c r="Z10" i="5"/>
  <c r="H16" i="5"/>
  <c r="T17" i="5"/>
  <c r="T29" i="5"/>
  <c r="Z35" i="5"/>
  <c r="T46" i="5"/>
  <c r="T47" i="5"/>
  <c r="T50" i="5"/>
  <c r="O68" i="5"/>
  <c r="T69" i="5"/>
  <c r="T90" i="5"/>
  <c r="Z92" i="5"/>
  <c r="Z100" i="5"/>
  <c r="Z102" i="5"/>
  <c r="Z104" i="5"/>
  <c r="O109" i="5"/>
  <c r="T114" i="5"/>
  <c r="H117" i="5"/>
  <c r="T121" i="5"/>
  <c r="O81" i="5"/>
  <c r="H87" i="5"/>
  <c r="I96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70" i="5"/>
  <c r="Z71" i="5"/>
  <c r="T73" i="5"/>
  <c r="H81" i="5"/>
  <c r="H83" i="5"/>
  <c r="H85" i="5"/>
  <c r="Z93" i="5"/>
  <c r="Z94" i="5"/>
  <c r="T97" i="5"/>
  <c r="H105" i="5"/>
  <c r="Z106" i="5"/>
  <c r="AA107" i="5"/>
  <c r="Z111" i="5"/>
  <c r="H114" i="5"/>
  <c r="O118" i="5"/>
  <c r="AA122" i="5"/>
  <c r="H106" i="5"/>
  <c r="Z108" i="5"/>
  <c r="H111" i="5"/>
  <c r="O116" i="5"/>
  <c r="T119" i="5"/>
  <c r="N3" i="5"/>
  <c r="Z8" i="5"/>
  <c r="O15" i="5"/>
  <c r="N21" i="5"/>
  <c r="Z26" i="5"/>
  <c r="Z28" i="5"/>
  <c r="I43" i="5"/>
  <c r="T48" i="5"/>
  <c r="T62" i="5"/>
  <c r="T65" i="5"/>
  <c r="T76" i="5"/>
  <c r="H90" i="5"/>
  <c r="H93" i="5"/>
  <c r="H94" i="5"/>
  <c r="Z99" i="5"/>
  <c r="H107" i="5"/>
  <c r="H108" i="5"/>
  <c r="T117" i="5"/>
  <c r="Z121" i="5"/>
  <c r="H123" i="5"/>
  <c r="Z4" i="5"/>
  <c r="H9" i="5"/>
  <c r="O10" i="5"/>
  <c r="T15" i="5"/>
  <c r="N16" i="5"/>
  <c r="Z22" i="5"/>
  <c r="H27" i="5"/>
  <c r="I29" i="5"/>
  <c r="I32" i="5"/>
  <c r="H47" i="5"/>
  <c r="Z48" i="5"/>
  <c r="Z76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9" i="5"/>
  <c r="T70" i="5"/>
  <c r="H75" i="5"/>
  <c r="T80" i="5"/>
  <c r="T82" i="5"/>
  <c r="T84" i="5"/>
  <c r="T87" i="5"/>
  <c r="O94" i="5"/>
  <c r="H100" i="5"/>
  <c r="T106" i="5"/>
  <c r="O107" i="5"/>
  <c r="T111" i="5"/>
  <c r="Z117" i="5"/>
  <c r="H119" i="5"/>
  <c r="O122" i="5"/>
  <c r="O120" i="5"/>
  <c r="U94" i="5"/>
  <c r="T94" i="5"/>
  <c r="U105" i="5"/>
  <c r="T105" i="5"/>
  <c r="U112" i="5"/>
  <c r="T112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90" i="5"/>
  <c r="U109" i="5"/>
  <c r="T109" i="5"/>
  <c r="Z119" i="5"/>
  <c r="U107" i="5"/>
  <c r="T107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9" i="5"/>
  <c r="N69" i="5"/>
  <c r="Z80" i="5"/>
  <c r="T81" i="5"/>
  <c r="Z114" i="5"/>
  <c r="O59" i="5"/>
  <c r="N59" i="5"/>
  <c r="U96" i="5"/>
  <c r="T96" i="5"/>
  <c r="T34" i="5"/>
  <c r="T45" i="5"/>
  <c r="O55" i="5"/>
  <c r="N55" i="5"/>
  <c r="T59" i="5"/>
  <c r="O60" i="5"/>
  <c r="T68" i="5"/>
  <c r="U83" i="5"/>
  <c r="T83" i="5"/>
  <c r="Z95" i="5"/>
  <c r="U99" i="5"/>
  <c r="T99" i="5"/>
  <c r="U122" i="5"/>
  <c r="T122" i="5"/>
  <c r="U85" i="5"/>
  <c r="T85" i="5"/>
  <c r="U120" i="5"/>
  <c r="T12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1" i="5"/>
  <c r="N71" i="5"/>
  <c r="Z82" i="5"/>
  <c r="U88" i="5"/>
  <c r="T88" i="5"/>
  <c r="Z97" i="5"/>
  <c r="U102" i="5"/>
  <c r="T102" i="5"/>
  <c r="U118" i="5"/>
  <c r="T118" i="5"/>
  <c r="O31" i="5"/>
  <c r="N31" i="5"/>
  <c r="O57" i="5"/>
  <c r="N57" i="5"/>
  <c r="O80" i="5"/>
  <c r="N80" i="5"/>
  <c r="Z84" i="5"/>
  <c r="U92" i="5"/>
  <c r="T92" i="5"/>
  <c r="U116" i="5"/>
  <c r="T116" i="5"/>
  <c r="Z123" i="5"/>
  <c r="N82" i="5"/>
  <c r="N84" i="5"/>
  <c r="N93" i="5"/>
  <c r="N95" i="5"/>
  <c r="N97" i="5"/>
  <c r="N104" i="5"/>
  <c r="N106" i="5"/>
  <c r="N108" i="5"/>
  <c r="N117" i="5"/>
  <c r="N119" i="5"/>
  <c r="N121" i="5"/>
  <c r="N123" i="5"/>
  <c r="H109" i="5"/>
  <c r="H112" i="5"/>
  <c r="H116" i="5"/>
  <c r="H118" i="5"/>
  <c r="H120" i="5"/>
  <c r="H122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<sst xmlns="http://schemas.openxmlformats.org/spreadsheetml/2006/main" count="388" uniqueCount="90">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</sst>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1" totalsRowShown="0" dataDxfId="29" headerRowBorderDxfId="27" tableBorderDxfId="28">
  <autoFilter ref="A2:AA141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M31" sqref="M3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59</v>
      </c>
      <c r="D2" s="1">
        <v>120</v>
      </c>
      <c r="E2" s="1">
        <v>2024</v>
      </c>
      <c r="F2" s="5"/>
      <c r="G2" s="3">
        <f>IF((C2-D2)&lt;0,0,C2-D2)</f>
        <v>0</v>
      </c>
      <c r="H2" s="4">
        <f>IF((D2-C2)&lt;0,0,D2-C2)</f>
        <v>61</v>
      </c>
    </row>
    <row r="3" spans="1:8" ht="29.25" customHeight="1">
      <c r="A3" s="1">
        <v>1</v>
      </c>
      <c r="B3" s="2" t="s">
        <v>9</v>
      </c>
      <c r="C3" s="1">
        <v>59</v>
      </c>
      <c r="D3" s="1"/>
      <c r="E3" s="1"/>
      <c r="F3" s="5"/>
      <c r="G3" s="3">
        <f>IF((C3-D3)&lt;0,0,C3-D3)</f>
        <v>59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59</v>
      </c>
      <c r="D4" s="1">
        <v>120</v>
      </c>
      <c r="E4" s="1">
        <v>2024</v>
      </c>
      <c r="F4" s="5"/>
      <c r="G4" s="3">
        <f>IF((C4-D4)&lt;0,0,C4-D4)</f>
        <v>0</v>
      </c>
      <c r="H4" s="4">
        <f>IF((D4-C4)&lt;0,0,D4-C4)</f>
        <v>61</v>
      </c>
    </row>
    <row r="5" spans="1:8" ht="25.5" customHeight="1">
      <c r="A5" s="1">
        <v>1</v>
      </c>
      <c r="B5" s="2" t="s">
        <v>11</v>
      </c>
      <c r="C5" s="1">
        <v>59</v>
      </c>
      <c r="D5" s="1">
        <v>120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61</v>
      </c>
    </row>
    <row r="6" spans="1:8" ht="19.5">
      <c r="A6" s="1">
        <v>1</v>
      </c>
      <c r="B6" s="2" t="s">
        <v>12</v>
      </c>
      <c r="C6" s="1">
        <v>59</v>
      </c>
      <c r="D6" s="1"/>
      <c r="E6" s="1"/>
      <c r="F6" s="5"/>
      <c r="G6" s="3">
        <f t="shared" si="0"/>
        <v>59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61</v>
      </c>
      <c r="D8" s="1"/>
      <c r="E8" s="1"/>
      <c r="F8" s="5"/>
      <c r="G8" s="3">
        <f>IF((C8-D8)&lt;0,0,C8-D8)</f>
        <v>61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61</v>
      </c>
      <c r="D9" s="1"/>
      <c r="E9" s="1"/>
      <c r="F9" s="5"/>
      <c r="G9" s="3">
        <f>IF((C9-D9)&lt;0,0,C9-D9)</f>
        <v>61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61</v>
      </c>
      <c r="D10" s="1"/>
      <c r="E10" s="1"/>
      <c r="F10" s="5"/>
      <c r="G10" s="3">
        <f>IF((C10-D10)&lt;0,0,C10-D10)</f>
        <v>61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61</v>
      </c>
      <c r="D11" s="1"/>
      <c r="E11" s="1"/>
      <c r="F11" s="5"/>
      <c r="G11" s="3">
        <f>IF((C11-D11)&lt;0,0,C11-D11)</f>
        <v>61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61</v>
      </c>
      <c r="D12" s="1"/>
      <c r="E12" s="1"/>
      <c r="F12" s="5"/>
      <c r="G12" s="3">
        <f>IF((C12-D12)&lt;0,0,C12-D12)</f>
        <v>61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87</v>
      </c>
      <c r="D14" s="1"/>
      <c r="E14" s="1"/>
      <c r="F14" s="5"/>
      <c r="G14" s="3">
        <f t="shared" ref="G14:G19" si="2">IF((C14-D14)&lt;0,0,C14-D14)</f>
        <v>87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87</v>
      </c>
      <c r="D15" s="1"/>
      <c r="E15" s="1"/>
      <c r="F15" s="5"/>
      <c r="G15" s="3">
        <f t="shared" si="2"/>
        <v>87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87</v>
      </c>
      <c r="D16" s="1"/>
      <c r="E16" s="1"/>
      <c r="F16" s="5"/>
      <c r="G16" s="3">
        <f t="shared" si="2"/>
        <v>87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87</v>
      </c>
      <c r="D17" s="1"/>
      <c r="E17" s="1"/>
      <c r="F17" s="5"/>
      <c r="G17" s="3">
        <f t="shared" si="2"/>
        <v>87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87</v>
      </c>
      <c r="D18" s="1"/>
      <c r="E18" s="1"/>
      <c r="F18" s="5"/>
      <c r="G18" s="3">
        <f t="shared" si="2"/>
        <v>87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87</v>
      </c>
      <c r="D19" s="1"/>
      <c r="E19" s="1"/>
      <c r="F19" s="5"/>
      <c r="G19" s="3">
        <f t="shared" si="2"/>
        <v>87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67</v>
      </c>
      <c r="D21" s="1">
        <v>139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72</v>
      </c>
    </row>
    <row r="22" spans="1:8" ht="24" customHeight="1">
      <c r="A22" s="1">
        <v>4</v>
      </c>
      <c r="B22" s="9" t="s">
        <v>15</v>
      </c>
      <c r="C22" s="1">
        <v>67</v>
      </c>
      <c r="D22" s="1">
        <v>139</v>
      </c>
      <c r="E22" s="1">
        <v>2024</v>
      </c>
      <c r="F22" s="5"/>
      <c r="G22" s="3">
        <f t="shared" si="4"/>
        <v>0</v>
      </c>
      <c r="H22" s="4">
        <f t="shared" si="5"/>
        <v>72</v>
      </c>
    </row>
    <row r="23" spans="1:8" ht="19.5">
      <c r="A23" s="1">
        <v>4</v>
      </c>
      <c r="B23" s="9" t="s">
        <v>12</v>
      </c>
      <c r="C23" s="1">
        <v>67</v>
      </c>
      <c r="D23" s="1">
        <v>139</v>
      </c>
      <c r="E23" s="1">
        <v>2025</v>
      </c>
      <c r="F23" s="5"/>
      <c r="G23" s="3">
        <f t="shared" si="4"/>
        <v>0</v>
      </c>
      <c r="H23" s="4">
        <f t="shared" si="5"/>
        <v>72</v>
      </c>
    </row>
    <row r="24" spans="1:8" ht="27" customHeight="1">
      <c r="A24" s="1">
        <v>4</v>
      </c>
      <c r="B24" s="9" t="s">
        <v>10</v>
      </c>
      <c r="C24" s="1">
        <v>67</v>
      </c>
      <c r="D24" s="1">
        <v>139</v>
      </c>
      <c r="E24" s="1">
        <v>2024</v>
      </c>
      <c r="F24" s="5"/>
      <c r="G24" s="3">
        <f t="shared" si="4"/>
        <v>0</v>
      </c>
      <c r="H24" s="4">
        <f t="shared" si="5"/>
        <v>72</v>
      </c>
    </row>
    <row r="25" spans="1:8" ht="33.75" customHeight="1">
      <c r="A25" s="1">
        <v>4</v>
      </c>
      <c r="B25" s="9" t="s">
        <v>16</v>
      </c>
      <c r="C25" s="1">
        <v>67</v>
      </c>
      <c r="D25" s="1">
        <v>139</v>
      </c>
      <c r="E25" s="1">
        <v>2024</v>
      </c>
      <c r="F25" s="5"/>
      <c r="G25" s="3">
        <f t="shared" si="4"/>
        <v>0</v>
      </c>
      <c r="H25" s="4">
        <f t="shared" si="5"/>
        <v>72</v>
      </c>
    </row>
    <row r="26" spans="1:8" ht="33.75" customHeight="1">
      <c r="A26" s="1">
        <v>4</v>
      </c>
      <c r="B26" s="9" t="s">
        <v>13</v>
      </c>
      <c r="C26" s="1">
        <v>67</v>
      </c>
      <c r="D26" s="1">
        <v>139</v>
      </c>
      <c r="E26" s="1">
        <v>2024</v>
      </c>
      <c r="F26" s="5"/>
      <c r="G26" s="3">
        <f t="shared" si="4"/>
        <v>0</v>
      </c>
      <c r="H26" s="4">
        <f t="shared" si="5"/>
        <v>72</v>
      </c>
    </row>
    <row r="27" spans="1:8" ht="33.75" customHeight="1">
      <c r="A27" s="1">
        <v>4</v>
      </c>
      <c r="B27" s="9" t="s">
        <v>17</v>
      </c>
      <c r="C27" s="1">
        <v>67</v>
      </c>
      <c r="D27" s="1">
        <v>139</v>
      </c>
      <c r="E27" s="1">
        <v>2024</v>
      </c>
      <c r="F27" s="5"/>
      <c r="G27" s="3">
        <f t="shared" si="4"/>
        <v>0</v>
      </c>
      <c r="H27" s="4">
        <f t="shared" si="5"/>
        <v>72</v>
      </c>
    </row>
    <row r="28" spans="1:8" ht="27.75" customHeight="1">
      <c r="A28" s="1">
        <v>4</v>
      </c>
      <c r="B28" s="9" t="s">
        <v>18</v>
      </c>
      <c r="C28" s="1">
        <v>67</v>
      </c>
      <c r="D28" s="1"/>
      <c r="E28" s="1"/>
      <c r="F28" s="5"/>
      <c r="G28" s="3">
        <f t="shared" si="4"/>
        <v>67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67</v>
      </c>
      <c r="D29" s="1"/>
      <c r="E29" s="1"/>
      <c r="F29" s="5"/>
      <c r="G29" s="3">
        <f t="shared" si="4"/>
        <v>67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89</v>
      </c>
      <c r="D31" s="1">
        <v>119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30</v>
      </c>
    </row>
    <row r="32" spans="1:8" ht="27.75" customHeight="1">
      <c r="A32" s="1">
        <v>5</v>
      </c>
      <c r="B32" s="9" t="s">
        <v>15</v>
      </c>
      <c r="C32" s="1">
        <v>89</v>
      </c>
      <c r="D32" s="1"/>
      <c r="E32" s="1"/>
      <c r="F32" s="5"/>
      <c r="G32" s="3">
        <f t="shared" si="6"/>
        <v>89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89</v>
      </c>
      <c r="D33" s="1"/>
      <c r="E33" s="1"/>
      <c r="F33" s="5"/>
      <c r="G33" s="3">
        <f t="shared" si="6"/>
        <v>89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89</v>
      </c>
      <c r="D34" s="1"/>
      <c r="E34" s="1"/>
      <c r="F34" s="5"/>
      <c r="G34" s="3">
        <f t="shared" si="6"/>
        <v>89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89</v>
      </c>
      <c r="D35" s="1">
        <v>119</v>
      </c>
      <c r="E35" s="1">
        <v>2025</v>
      </c>
      <c r="F35" s="5"/>
      <c r="G35" s="3">
        <f t="shared" si="6"/>
        <v>0</v>
      </c>
      <c r="H35" s="4">
        <f t="shared" si="7"/>
        <v>30</v>
      </c>
    </row>
    <row r="36" spans="1:8" ht="27.75" customHeight="1">
      <c r="A36" s="1">
        <v>5</v>
      </c>
      <c r="B36" s="9" t="s">
        <v>13</v>
      </c>
      <c r="C36" s="1">
        <v>89</v>
      </c>
      <c r="D36" s="1">
        <v>119</v>
      </c>
      <c r="E36" s="1">
        <v>2025</v>
      </c>
      <c r="F36" s="5"/>
      <c r="G36" s="3">
        <f t="shared" si="6"/>
        <v>0</v>
      </c>
      <c r="H36" s="4">
        <f t="shared" si="7"/>
        <v>30</v>
      </c>
    </row>
    <row r="37" spans="1:8" ht="27.75" customHeight="1">
      <c r="A37" s="1">
        <v>5</v>
      </c>
      <c r="B37" s="9" t="s">
        <v>17</v>
      </c>
      <c r="C37" s="1">
        <v>89</v>
      </c>
      <c r="D37" s="1">
        <v>119</v>
      </c>
      <c r="E37" s="1">
        <v>2025</v>
      </c>
      <c r="F37" s="5"/>
      <c r="G37" s="3">
        <f t="shared" si="6"/>
        <v>0</v>
      </c>
      <c r="H37" s="4">
        <f t="shared" si="7"/>
        <v>30</v>
      </c>
    </row>
    <row r="38" spans="1:8" ht="27.75" customHeight="1">
      <c r="A38" s="1">
        <v>5</v>
      </c>
      <c r="B38" s="9" t="s">
        <v>18</v>
      </c>
      <c r="C38" s="1">
        <v>89</v>
      </c>
      <c r="D38" s="1">
        <v>119</v>
      </c>
      <c r="E38" s="1">
        <v>2025</v>
      </c>
      <c r="F38" s="5"/>
      <c r="G38" s="3">
        <f t="shared" si="6"/>
        <v>0</v>
      </c>
      <c r="H38" s="4">
        <f t="shared" si="7"/>
        <v>30</v>
      </c>
    </row>
    <row r="39" spans="1:8" ht="27.75" customHeight="1">
      <c r="A39" s="1">
        <v>5</v>
      </c>
      <c r="B39" s="9" t="s">
        <v>19</v>
      </c>
      <c r="C39" s="1">
        <v>89</v>
      </c>
      <c r="D39" s="1"/>
      <c r="E39" s="1"/>
      <c r="F39" s="5"/>
      <c r="G39" s="3">
        <f t="shared" si="6"/>
        <v>89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65</v>
      </c>
      <c r="D41" s="1"/>
      <c r="E41" s="1"/>
      <c r="F41" s="5"/>
      <c r="G41" s="3">
        <f t="shared" ref="G41:G49" si="8">IF((C41-D41)&lt;0,0,C41-D41)</f>
        <v>65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65</v>
      </c>
      <c r="D42" s="1"/>
      <c r="E42" s="1"/>
      <c r="F42" s="5"/>
      <c r="G42" s="3">
        <f t="shared" si="8"/>
        <v>65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65</v>
      </c>
      <c r="D43" s="1"/>
      <c r="E43" s="1"/>
      <c r="F43" s="5"/>
      <c r="G43" s="3">
        <f t="shared" si="8"/>
        <v>65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65</v>
      </c>
      <c r="D44" s="1"/>
      <c r="E44" s="1"/>
      <c r="F44" s="5"/>
      <c r="G44" s="3">
        <f t="shared" si="8"/>
        <v>65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65</v>
      </c>
      <c r="D45" s="1"/>
      <c r="E45" s="1"/>
      <c r="F45" s="5"/>
      <c r="G45" s="3">
        <f t="shared" si="8"/>
        <v>65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65</v>
      </c>
      <c r="D46" s="1"/>
      <c r="E46" s="1"/>
      <c r="F46" s="5"/>
      <c r="G46" s="3">
        <f t="shared" si="8"/>
        <v>65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65</v>
      </c>
      <c r="D47" s="1"/>
      <c r="E47" s="1"/>
      <c r="F47" s="5"/>
      <c r="G47" s="3">
        <f t="shared" si="8"/>
        <v>65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65</v>
      </c>
      <c r="D48" s="1"/>
      <c r="E48" s="1"/>
      <c r="F48" s="5"/>
      <c r="G48" s="3">
        <f t="shared" si="8"/>
        <v>65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65</v>
      </c>
      <c r="D49" s="1"/>
      <c r="E49" s="1"/>
      <c r="F49" s="5"/>
      <c r="G49" s="3">
        <f t="shared" si="8"/>
        <v>65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:E6 E14:E19 E8:E12 E21:E2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26" zoomScale="70" zoomScaleNormal="70" workbookViewId="0">
      <selection activeCell="K138" sqref="K13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1" t="s">
        <v>45</v>
      </c>
      <c r="N2" s="41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2" t="s">
        <v>57</v>
      </c>
      <c r="Z2" s="42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1"/>
  <sheetViews>
    <sheetView tabSelected="1" zoomScale="55" zoomScaleNormal="55" workbookViewId="0">
      <selection activeCell="J142" sqref="J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32</v>
      </c>
      <c r="E1" s="43"/>
      <c r="F1" s="43"/>
      <c r="G1" s="43"/>
      <c r="H1" s="43"/>
      <c r="I1" s="43"/>
      <c r="J1" s="44" t="s">
        <v>33</v>
      </c>
      <c r="K1" s="44"/>
      <c r="L1" s="44"/>
      <c r="M1" s="44"/>
      <c r="N1" s="44"/>
      <c r="O1" s="44"/>
      <c r="P1" s="45" t="s">
        <v>34</v>
      </c>
      <c r="Q1" s="45"/>
      <c r="R1" s="45"/>
      <c r="S1" s="45"/>
      <c r="T1" s="45"/>
      <c r="U1" s="45"/>
      <c r="V1" s="46" t="s">
        <v>35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1" t="s">
        <v>71</v>
      </c>
      <c r="N2" s="41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2" t="s">
        <v>83</v>
      </c>
      <c r="Z2" s="42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4" si="0">IF((D3-E3)&lt;0,0,(D3-E3))</f>
        <v>0</v>
      </c>
      <c r="I3" s="5">
        <f t="shared" ref="I3:I84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3" si="2">IF((J3-K3)&lt;0,0,(J3-K3))</f>
        <v>0</v>
      </c>
      <c r="O3" s="5">
        <f t="shared" ref="O3:O73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3" si="4">IF((P3-Q3)&lt;0,0,(P3-Q3))</f>
        <v>0</v>
      </c>
      <c r="U3" s="5">
        <f t="shared" ref="U3:U73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3" si="6">IF((V3-W3)&lt;0,0,(V3-W3))</f>
        <v>0</v>
      </c>
      <c r="AA3" s="5">
        <f t="shared" ref="AA3:AA73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ht="18">
      <c r="A66" s="40"/>
      <c r="B66" s="33"/>
      <c r="C66" s="34"/>
      <c r="D66" s="34">
        <f>Table14[[#This Row],[Enrolment S.Y. 2025-2026 ]]*8</f>
        <v>0</v>
      </c>
      <c r="E66" s="34"/>
      <c r="F66" s="32"/>
      <c r="G66" s="34"/>
      <c r="H66" s="34">
        <f>IF((D66-E66)&lt;0,0,(D66-E66))</f>
        <v>0</v>
      </c>
      <c r="I66" s="34">
        <f>IF((E66-D66)&lt;0,0,(E66-D66))</f>
        <v>0</v>
      </c>
      <c r="J66" s="34">
        <f>Table14[[#This Row],[Enrolment S.Y. 2025-2026 ]]*8</f>
        <v>0</v>
      </c>
      <c r="K66" s="34"/>
      <c r="L66" s="32"/>
      <c r="M66" s="34"/>
      <c r="N66" s="34"/>
      <c r="O66" s="34"/>
      <c r="P66" s="34" t="e">
        <f>#REF!*8</f>
        <v>#REF!</v>
      </c>
      <c r="Q66" s="34"/>
      <c r="R66" s="32"/>
      <c r="S66" s="34"/>
      <c r="T66" s="34" t="e">
        <f>IF((P66-Q66)&lt;0,0,(P66-Q66))</f>
        <v>#REF!</v>
      </c>
      <c r="U66" s="34" t="e">
        <f>IF((Q66-P66)&lt;0,0,(Q66-P66))</f>
        <v>#REF!</v>
      </c>
      <c r="V66" s="34">
        <f>Table14[[#This Row],[Enrolment S.Y. 2025-2026 ]]*8</f>
        <v>0</v>
      </c>
      <c r="W66" s="34"/>
      <c r="X66" s="32"/>
      <c r="Y66" s="34"/>
      <c r="Z66" s="34">
        <f>IF((V66-W66)&lt;0,0,(V66-W66))</f>
        <v>0</v>
      </c>
      <c r="AA66" s="34">
        <f>IF((W66-V66)&lt;0,0,(W66-V66))</f>
        <v>0</v>
      </c>
    </row>
    <row r="67" spans="1:27" s="7" customFormat="1"/>
    <row r="68" spans="1:27" ht="19.149999999999999">
      <c r="A68" s="10">
        <v>7</v>
      </c>
      <c r="B68" s="11" t="s">
        <v>14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15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12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20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si="2"/>
        <v>0</v>
      </c>
      <c r="O71" s="12">
        <f t="shared" si="3"/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ref="N72:N78" si="14">IF((J72-K72)&lt;0,0,(J72-K72))</f>
        <v>0</v>
      </c>
      <c r="O72" s="12">
        <f t="shared" ref="O72:O78" si="15">IF((K72-J72)&lt;0,0,(K72-J72))</f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10">
        <v>7</v>
      </c>
      <c r="B73" s="11" t="s">
        <v>13</v>
      </c>
      <c r="C73" s="10"/>
      <c r="D73" s="12">
        <f>Table14[[#This Row],[Enrolment S.Y. 2025-2026 ]]*8</f>
        <v>0</v>
      </c>
      <c r="E73" s="12"/>
      <c r="F73" s="10"/>
      <c r="G73" s="12"/>
      <c r="H73" s="12">
        <f t="shared" si="0"/>
        <v>0</v>
      </c>
      <c r="I73" s="12">
        <f t="shared" si="1"/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 t="shared" si="4"/>
        <v>0</v>
      </c>
      <c r="U73" s="12">
        <f t="shared" si="5"/>
        <v>0</v>
      </c>
      <c r="V73" s="12">
        <f>Table14[[#This Row],[Enrolment S.Y. 2025-2026 ]]*8</f>
        <v>0</v>
      </c>
      <c r="W73" s="12"/>
      <c r="X73" s="10"/>
      <c r="Y73" s="12"/>
      <c r="Z73" s="12">
        <f t="shared" si="6"/>
        <v>0</v>
      </c>
      <c r="AA73" s="12">
        <f t="shared" si="7"/>
        <v>0</v>
      </c>
    </row>
    <row r="74" spans="1:27" ht="19.149999999999999">
      <c r="A74" s="38">
        <v>7</v>
      </c>
      <c r="B74" s="11" t="s">
        <v>86</v>
      </c>
      <c r="C74" s="12"/>
      <c r="D74" s="12">
        <f>Table14[[#This Row],[Enrolment S.Y. 2025-2026 ]]*8</f>
        <v>0</v>
      </c>
      <c r="E74" s="12"/>
      <c r="F74" s="10"/>
      <c r="G74" s="12"/>
      <c r="H74" s="12">
        <f>IF((D74-E74)&lt;0,0,(D74-E74))</f>
        <v>0</v>
      </c>
      <c r="I74" s="12">
        <f>IF((E74-D74)&lt;0,0,(E74-D74))</f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>IF((P74-Q74)&lt;0,0,(P74-Q74))</f>
        <v>0</v>
      </c>
      <c r="U74" s="12">
        <f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>IF((V74-W74)&lt;0,0,(V74-W74))</f>
        <v>0</v>
      </c>
      <c r="AA74" s="12">
        <f>IF((W74-V74)&lt;0,0,(W74-V74))</f>
        <v>0</v>
      </c>
    </row>
    <row r="75" spans="1:27" ht="19.149999999999999">
      <c r="A75" s="10">
        <v>7</v>
      </c>
      <c r="B75" s="11" t="s">
        <v>87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ref="T75:T123" si="16">IF((P75-Q75)&lt;0,0,(P75-Q75))</f>
        <v>0</v>
      </c>
      <c r="U75" s="12">
        <f t="shared" ref="U75:U123" si="17">IF((Q75-P75)&lt;0,0,(Q75-P75))</f>
        <v>0</v>
      </c>
      <c r="V75" s="12">
        <f>Table14[[#This Row],[Enrolment S.Y. 2025-2026 ]]*8</f>
        <v>0</v>
      </c>
      <c r="W75" s="12"/>
      <c r="X75" s="10"/>
      <c r="Y75" s="12"/>
      <c r="Z75" s="12">
        <f t="shared" ref="Z75:Z123" si="18">IF((V75-W75)&lt;0,0,(V75-W75))</f>
        <v>0</v>
      </c>
      <c r="AA75" s="12">
        <f t="shared" ref="AA75:AA123" si="19">IF((W75-V75)&lt;0,0,(W75-V75))</f>
        <v>0</v>
      </c>
    </row>
    <row r="76" spans="1:27" ht="19.149999999999999">
      <c r="A76" s="10">
        <v>7</v>
      </c>
      <c r="B76" s="11" t="s">
        <v>21</v>
      </c>
      <c r="C76" s="10"/>
      <c r="D76" s="12">
        <f>Table14[[#This Row],[Enrolment S.Y. 2025-2026 ]]*8</f>
        <v>0</v>
      </c>
      <c r="E76" s="12"/>
      <c r="F76" s="10"/>
      <c r="G76" s="12"/>
      <c r="H76" s="12">
        <f t="shared" si="0"/>
        <v>0</v>
      </c>
      <c r="I76" s="12">
        <f t="shared" si="1"/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 t="shared" si="16"/>
        <v>0</v>
      </c>
      <c r="U76" s="12">
        <f t="shared" si="17"/>
        <v>0</v>
      </c>
      <c r="V76" s="12">
        <f>Table14[[#This Row],[Enrolment S.Y. 2025-2026 ]]*8</f>
        <v>0</v>
      </c>
      <c r="W76" s="12"/>
      <c r="X76" s="10"/>
      <c r="Y76" s="12"/>
      <c r="Z76" s="12">
        <f t="shared" si="18"/>
        <v>0</v>
      </c>
      <c r="AA76" s="12">
        <f t="shared" si="19"/>
        <v>0</v>
      </c>
    </row>
    <row r="77" spans="1:27" ht="19.149999999999999">
      <c r="A77" s="38">
        <v>7</v>
      </c>
      <c r="B77" s="11" t="s">
        <v>88</v>
      </c>
      <c r="C77" s="12"/>
      <c r="D77" s="12">
        <f>Table14[[#This Row],[Enrolment S.Y. 2025-2026 ]]*8</f>
        <v>0</v>
      </c>
      <c r="E77" s="12"/>
      <c r="F77" s="10"/>
      <c r="G77" s="12"/>
      <c r="H77" s="12">
        <f>IF((D77-E77)&lt;0,0,(D77-E77))</f>
        <v>0</v>
      </c>
      <c r="I77" s="12">
        <f>IF((E77-D77)&lt;0,0,(E77-D77))</f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>IF((P77-Q77)&lt;0,0,(P77-Q77))</f>
        <v>0</v>
      </c>
      <c r="U77" s="12">
        <f>IF((Q77-P77)&lt;0,0,(Q77-P77))</f>
        <v>0</v>
      </c>
      <c r="V77" s="12">
        <f>Table14[[#This Row],[Enrolment S.Y. 2025-2026 ]]*8</f>
        <v>0</v>
      </c>
      <c r="W77" s="12"/>
      <c r="X77" s="10"/>
      <c r="Y77" s="12"/>
      <c r="Z77" s="12">
        <f>IF((V77-W77)&lt;0,0,(V77-W77))</f>
        <v>0</v>
      </c>
      <c r="AA77" s="12">
        <f>IF((W77-V77)&lt;0,0,(W77-V77))</f>
        <v>0</v>
      </c>
    </row>
    <row r="78" spans="1:27" ht="19.149999999999999">
      <c r="A78" s="10">
        <v>7</v>
      </c>
      <c r="B78" s="11" t="s">
        <v>89</v>
      </c>
      <c r="C78" s="10"/>
      <c r="D78" s="12">
        <f>Table14[[#This Row],[Enrolment S.Y. 2025-2026 ]]*8</f>
        <v>0</v>
      </c>
      <c r="E78" s="12"/>
      <c r="F78" s="10"/>
      <c r="G78" s="12"/>
      <c r="H78" s="12">
        <f t="shared" si="0"/>
        <v>0</v>
      </c>
      <c r="I78" s="12">
        <f t="shared" si="1"/>
        <v>0</v>
      </c>
      <c r="J78" s="12">
        <f>Table14[[#This Row],[Enrolment S.Y. 2025-2026 ]]*8</f>
        <v>0</v>
      </c>
      <c r="K78" s="12"/>
      <c r="L78" s="10"/>
      <c r="M78" s="12"/>
      <c r="N78" s="12">
        <f t="shared" si="14"/>
        <v>0</v>
      </c>
      <c r="O78" s="12">
        <f t="shared" si="15"/>
        <v>0</v>
      </c>
      <c r="P78" s="12">
        <f>Table14[[#This Row],[Enrolment S.Y. 2025-2026 ]]*8</f>
        <v>0</v>
      </c>
      <c r="Q78" s="12"/>
      <c r="R78" s="10"/>
      <c r="S78" s="12"/>
      <c r="T78" s="12">
        <f t="shared" si="16"/>
        <v>0</v>
      </c>
      <c r="U78" s="12">
        <f t="shared" si="17"/>
        <v>0</v>
      </c>
      <c r="V78" s="12">
        <f>Table14[[#This Row],[Enrolment S.Y. 2025-2026 ]]*8</f>
        <v>0</v>
      </c>
      <c r="W78" s="12"/>
      <c r="X78" s="10"/>
      <c r="Y78" s="12"/>
      <c r="Z78" s="12">
        <f t="shared" si="18"/>
        <v>0</v>
      </c>
      <c r="AA78" s="12">
        <f t="shared" si="19"/>
        <v>0</v>
      </c>
    </row>
    <row r="79" spans="1:27" s="7" customFormat="1"/>
    <row r="80" spans="1:27" ht="19.149999999999999">
      <c r="A80" s="10">
        <v>8</v>
      </c>
      <c r="B80" s="11" t="s">
        <v>14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ref="N75:N123" si="20">IF((J80-K80)&lt;0,0,(J80-K80))</f>
        <v>0</v>
      </c>
      <c r="O80" s="12">
        <f t="shared" ref="O75:O123" si="21">IF((K80-J80)&lt;0,0,(K80-J80))</f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15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12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20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22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si="0"/>
        <v>0</v>
      </c>
      <c r="I84" s="12">
        <f t="shared" si="1"/>
        <v>0</v>
      </c>
      <c r="J84" s="12">
        <f>Table14[[#This Row],[Enrolment S.Y. 2025-2026 ]]*8</f>
        <v>0</v>
      </c>
      <c r="K84" s="12"/>
      <c r="L84" s="10"/>
      <c r="M84" s="12"/>
      <c r="N84" s="12">
        <f t="shared" si="20"/>
        <v>0</v>
      </c>
      <c r="O84" s="12">
        <f t="shared" si="21"/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10">
        <v>8</v>
      </c>
      <c r="B85" s="11" t="s">
        <v>13</v>
      </c>
      <c r="C85" s="10"/>
      <c r="D85" s="12">
        <f>Table14[[#This Row],[Enrolment S.Y. 2025-2026 ]]*8</f>
        <v>0</v>
      </c>
      <c r="E85" s="12"/>
      <c r="F85" s="10"/>
      <c r="G85" s="12"/>
      <c r="H85" s="12">
        <f t="shared" ref="H85:H123" si="22">IF((D85-E85)&lt;0,0,(D85-E85))</f>
        <v>0</v>
      </c>
      <c r="I85" s="12">
        <f t="shared" ref="I85:I123" si="23"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ref="N85:N90" si="24">IF((J85-K85)&lt;0,0,(J85-K85))</f>
        <v>0</v>
      </c>
      <c r="O85" s="12">
        <f t="shared" ref="O85:O90" si="25">IF((K85-J85)&lt;0,0,(K85-J85))</f>
        <v>0</v>
      </c>
      <c r="P85" s="12">
        <f>Table14[[#This Row],[Enrolment S.Y. 2025-2026 ]]*8</f>
        <v>0</v>
      </c>
      <c r="Q85" s="12"/>
      <c r="R85" s="10"/>
      <c r="S85" s="12"/>
      <c r="T85" s="12">
        <f t="shared" si="16"/>
        <v>0</v>
      </c>
      <c r="U85" s="12">
        <f t="shared" si="17"/>
        <v>0</v>
      </c>
      <c r="V85" s="12">
        <f>Table14[[#This Row],[Enrolment S.Y. 2025-2026 ]]*8</f>
        <v>0</v>
      </c>
      <c r="W85" s="12"/>
      <c r="X85" s="10"/>
      <c r="Y85" s="12"/>
      <c r="Z85" s="12">
        <f t="shared" si="18"/>
        <v>0</v>
      </c>
      <c r="AA85" s="12">
        <f t="shared" si="19"/>
        <v>0</v>
      </c>
    </row>
    <row r="86" spans="1:27" ht="19.149999999999999">
      <c r="A86" s="38">
        <v>8</v>
      </c>
      <c r="B86" s="11" t="s">
        <v>86</v>
      </c>
      <c r="C86" s="12"/>
      <c r="D86" s="12">
        <f>Table14[[#This Row],[Enrolment S.Y. 2025-2026 ]]*8</f>
        <v>0</v>
      </c>
      <c r="E86" s="12"/>
      <c r="F86" s="10"/>
      <c r="G86" s="12"/>
      <c r="H86" s="12">
        <f>IF((D86-E86)&lt;0,0,(D86-E86))</f>
        <v>0</v>
      </c>
      <c r="I86" s="12">
        <f>IF((E86-D86)&lt;0,0,(E86-D86))</f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>IF((P86-Q86)&lt;0,0,(P86-Q86))</f>
        <v>0</v>
      </c>
      <c r="U86" s="12">
        <f>IF((Q86-P86)&lt;0,0,(Q86-P86))</f>
        <v>0</v>
      </c>
      <c r="V86" s="12">
        <f>Table14[[#This Row],[Enrolment S.Y. 2025-2026 ]]*8</f>
        <v>0</v>
      </c>
      <c r="W86" s="12"/>
      <c r="X86" s="10"/>
      <c r="Y86" s="12"/>
      <c r="Z86" s="12">
        <f>IF((V86-W86)&lt;0,0,(V86-W86))</f>
        <v>0</v>
      </c>
      <c r="AA86" s="12">
        <f>IF((W86-V86)&lt;0,0,(W86-V86))</f>
        <v>0</v>
      </c>
    </row>
    <row r="87" spans="1:27" ht="19.149999999999999">
      <c r="A87" s="10">
        <v>8</v>
      </c>
      <c r="B87" s="11" t="s">
        <v>87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10">
        <v>8</v>
      </c>
      <c r="B88" s="11" t="s">
        <v>21</v>
      </c>
      <c r="C88" s="10"/>
      <c r="D88" s="12">
        <f>Table14[[#This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 t="shared" si="16"/>
        <v>0</v>
      </c>
      <c r="U88" s="12">
        <f t="shared" si="17"/>
        <v>0</v>
      </c>
      <c r="V88" s="12">
        <f>Table14[[#This Row],[Enrolment S.Y. 2025-2026 ]]*8</f>
        <v>0</v>
      </c>
      <c r="W88" s="12"/>
      <c r="X88" s="10"/>
      <c r="Y88" s="12"/>
      <c r="Z88" s="12">
        <f t="shared" si="18"/>
        <v>0</v>
      </c>
      <c r="AA88" s="12">
        <f t="shared" si="19"/>
        <v>0</v>
      </c>
    </row>
    <row r="89" spans="1:27" ht="19.149999999999999">
      <c r="A89" s="38">
        <v>8</v>
      </c>
      <c r="B89" s="11" t="s">
        <v>88</v>
      </c>
      <c r="C89" s="12"/>
      <c r="D89" s="12">
        <f>Table14[[#This Row],[Enrolment S.Y. 2025-2026 ]]*8</f>
        <v>0</v>
      </c>
      <c r="E89" s="12"/>
      <c r="F89" s="10"/>
      <c r="G89" s="12"/>
      <c r="H89" s="12">
        <f>IF((D89-E89)&lt;0,0,(D89-E89))</f>
        <v>0</v>
      </c>
      <c r="I89" s="12">
        <f>IF((E89-D89)&lt;0,0,(E89-D89))</f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>IF((P89-Q89)&lt;0,0,(P89-Q89))</f>
        <v>0</v>
      </c>
      <c r="U89" s="12">
        <f>IF((Q89-P89)&lt;0,0,(Q89-P89))</f>
        <v>0</v>
      </c>
      <c r="V89" s="12">
        <f>Table14[[#This Row],[Enrolment S.Y. 2025-2026 ]]*8</f>
        <v>0</v>
      </c>
      <c r="W89" s="12"/>
      <c r="X89" s="10"/>
      <c r="Y89" s="12"/>
      <c r="Z89" s="12">
        <f>IF((V89-W89)&lt;0,0,(V89-W89))</f>
        <v>0</v>
      </c>
      <c r="AA89" s="12">
        <f>IF((W89-V89)&lt;0,0,(W89-V89))</f>
        <v>0</v>
      </c>
    </row>
    <row r="90" spans="1:27" ht="19.149999999999999">
      <c r="A90" s="10">
        <v>8</v>
      </c>
      <c r="B90" s="11" t="s">
        <v>89</v>
      </c>
      <c r="C90" s="10"/>
      <c r="D90" s="12">
        <f>Table14[[#This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Table14[[#This Row],[Enrolment S.Y. 2025-2026 ]]*8</f>
        <v>0</v>
      </c>
      <c r="K90" s="12"/>
      <c r="L90" s="10"/>
      <c r="M90" s="12"/>
      <c r="N90" s="12">
        <f t="shared" si="24"/>
        <v>0</v>
      </c>
      <c r="O90" s="12">
        <f t="shared" si="25"/>
        <v>0</v>
      </c>
      <c r="P90" s="12">
        <f>Table14[[#This Row],[Enrolment S.Y. 2025-2026 ]]*8</f>
        <v>0</v>
      </c>
      <c r="Q90" s="12"/>
      <c r="R90" s="10"/>
      <c r="S90" s="12"/>
      <c r="T90" s="12">
        <f t="shared" si="16"/>
        <v>0</v>
      </c>
      <c r="U90" s="12">
        <f t="shared" si="17"/>
        <v>0</v>
      </c>
      <c r="V90" s="12">
        <f>Table14[[#This Row],[Enrolment S.Y. 2025-2026 ]]*8</f>
        <v>0</v>
      </c>
      <c r="W90" s="12"/>
      <c r="X90" s="10"/>
      <c r="Y90" s="12"/>
      <c r="Z90" s="12">
        <f t="shared" si="18"/>
        <v>0</v>
      </c>
      <c r="AA90" s="12">
        <f t="shared" si="19"/>
        <v>0</v>
      </c>
    </row>
    <row r="91" spans="1:27" s="7" customFormat="1"/>
    <row r="92" spans="1:27" ht="19.149999999999999">
      <c r="A92" s="10">
        <v>9</v>
      </c>
      <c r="B92" s="11" t="s">
        <v>14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15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12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20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22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10">
        <v>9</v>
      </c>
      <c r="B97" s="11" t="s">
        <v>13</v>
      </c>
      <c r="C97" s="10"/>
      <c r="D97" s="12">
        <f>Table14[[#This Row],[Enrolment S.Y. 2025-2026 ]]*8</f>
        <v>0</v>
      </c>
      <c r="E97" s="12"/>
      <c r="F97" s="10"/>
      <c r="G97" s="12"/>
      <c r="H97" s="12">
        <f t="shared" si="22"/>
        <v>0</v>
      </c>
      <c r="I97" s="12">
        <f t="shared" si="23"/>
        <v>0</v>
      </c>
      <c r="J97" s="12">
        <f>Table14[[#This Row],[Enrolment S.Y. 2025-2026 ]]*8</f>
        <v>0</v>
      </c>
      <c r="K97" s="12"/>
      <c r="L97" s="10"/>
      <c r="M97" s="12"/>
      <c r="N97" s="12">
        <f t="shared" si="20"/>
        <v>0</v>
      </c>
      <c r="O97" s="12">
        <f t="shared" si="21"/>
        <v>0</v>
      </c>
      <c r="P97" s="12">
        <f>Table14[[#This Row],[Enrolment S.Y. 2025-2026 ]]*8</f>
        <v>0</v>
      </c>
      <c r="Q97" s="12"/>
      <c r="R97" s="10"/>
      <c r="S97" s="12"/>
      <c r="T97" s="12">
        <f t="shared" si="16"/>
        <v>0</v>
      </c>
      <c r="U97" s="12">
        <f t="shared" si="17"/>
        <v>0</v>
      </c>
      <c r="V97" s="12">
        <f>Table14[[#This Row],[Enrolment S.Y. 2025-2026 ]]*8</f>
        <v>0</v>
      </c>
      <c r="W97" s="12"/>
      <c r="X97" s="10"/>
      <c r="Y97" s="12"/>
      <c r="Z97" s="12">
        <f t="shared" si="18"/>
        <v>0</v>
      </c>
      <c r="AA97" s="12">
        <f t="shared" si="19"/>
        <v>0</v>
      </c>
    </row>
    <row r="98" spans="1:27" ht="19.149999999999999">
      <c r="A98" s="38">
        <v>9</v>
      </c>
      <c r="B98" s="11" t="s">
        <v>86</v>
      </c>
      <c r="C98" s="10"/>
      <c r="D98" s="12">
        <f>Table14[[#This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Table14[[#This Row],[Enrolment S.Y. 2025-2026 ]]*8</f>
        <v>0</v>
      </c>
      <c r="K98" s="12"/>
      <c r="L98" s="10"/>
      <c r="M98" s="12"/>
      <c r="N98" s="12">
        <f t="shared" ref="N98:N102" si="26">IF((J98-K98)&lt;0,0,(J98-K98))</f>
        <v>0</v>
      </c>
      <c r="O98" s="12">
        <f t="shared" ref="O98:O102" si="27">IF((K98-J98)&lt;0,0,(K98-J98))</f>
        <v>0</v>
      </c>
      <c r="P98" s="12">
        <f>Table14[[#This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Table14[[#This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9</v>
      </c>
      <c r="B99" s="11" t="s">
        <v>87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10">
        <v>9</v>
      </c>
      <c r="B100" s="11" t="s">
        <v>21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 t="shared" si="22"/>
        <v>0</v>
      </c>
      <c r="I100" s="12">
        <f t="shared" si="23"/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 t="shared" si="16"/>
        <v>0</v>
      </c>
      <c r="U100" s="12">
        <f t="shared" si="17"/>
        <v>0</v>
      </c>
      <c r="V100" s="12">
        <f>Table14[[#This Row],[Enrolment S.Y. 2025-2026 ]]*8</f>
        <v>0</v>
      </c>
      <c r="W100" s="12"/>
      <c r="X100" s="10"/>
      <c r="Y100" s="12"/>
      <c r="Z100" s="12">
        <f t="shared" si="18"/>
        <v>0</v>
      </c>
      <c r="AA100" s="12">
        <f t="shared" si="19"/>
        <v>0</v>
      </c>
    </row>
    <row r="101" spans="1:27" ht="19.149999999999999">
      <c r="A101" s="38">
        <v>9</v>
      </c>
      <c r="B101" s="11" t="s">
        <v>88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Table14[[#This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ht="19.149999999999999">
      <c r="A102" s="10">
        <v>9</v>
      </c>
      <c r="B102" s="11" t="s">
        <v>89</v>
      </c>
      <c r="C102" s="10"/>
      <c r="D102" s="12">
        <f>Table14[[#This Row],[Enrolment S.Y. 2025-2026 ]]*8</f>
        <v>0</v>
      </c>
      <c r="E102" s="12"/>
      <c r="F102" s="10"/>
      <c r="G102" s="12"/>
      <c r="H102" s="12">
        <f t="shared" si="22"/>
        <v>0</v>
      </c>
      <c r="I102" s="12">
        <f t="shared" si="23"/>
        <v>0</v>
      </c>
      <c r="J102" s="12">
        <f>Table14[[#This Row],[Enrolment S.Y. 2025-2026 ]]*8</f>
        <v>0</v>
      </c>
      <c r="K102" s="12"/>
      <c r="L102" s="10"/>
      <c r="M102" s="12"/>
      <c r="N102" s="12">
        <f t="shared" si="26"/>
        <v>0</v>
      </c>
      <c r="O102" s="12">
        <f t="shared" si="27"/>
        <v>0</v>
      </c>
      <c r="P102" s="12">
        <f>Table14[[#This Row],[Enrolment S.Y. 2025-2026 ]]*8</f>
        <v>0</v>
      </c>
      <c r="Q102" s="12"/>
      <c r="R102" s="10"/>
      <c r="S102" s="12"/>
      <c r="T102" s="12">
        <f t="shared" si="16"/>
        <v>0</v>
      </c>
      <c r="U102" s="12">
        <f t="shared" si="17"/>
        <v>0</v>
      </c>
      <c r="V102" s="12">
        <f>Table14[[#This Row],[Enrolment S.Y. 2025-2026 ]]*8</f>
        <v>0</v>
      </c>
      <c r="W102" s="12"/>
      <c r="X102" s="10"/>
      <c r="Y102" s="12"/>
      <c r="Z102" s="12">
        <f t="shared" si="18"/>
        <v>0</v>
      </c>
      <c r="AA102" s="12">
        <f t="shared" si="19"/>
        <v>0</v>
      </c>
    </row>
    <row r="103" spans="1:27" s="7" customFormat="1"/>
    <row r="104" spans="1:27" ht="19.149999999999999">
      <c r="A104" s="10">
        <v>10</v>
      </c>
      <c r="B104" s="11" t="s">
        <v>14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15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12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20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22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10">
        <v>10</v>
      </c>
      <c r="B109" s="11" t="s">
        <v>13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 t="shared" si="22"/>
        <v>0</v>
      </c>
      <c r="I109" s="12">
        <f t="shared" si="23"/>
        <v>0</v>
      </c>
      <c r="J109" s="12">
        <f>Table14[[#This Row],[Enrolment S.Y. 2025-2026 ]]*8</f>
        <v>0</v>
      </c>
      <c r="K109" s="12"/>
      <c r="L109" s="10"/>
      <c r="M109" s="12"/>
      <c r="N109" s="12">
        <f t="shared" si="20"/>
        <v>0</v>
      </c>
      <c r="O109" s="12">
        <f t="shared" si="21"/>
        <v>0</v>
      </c>
      <c r="P109" s="12">
        <f>Table14[[#This Row],[Enrolment S.Y. 2025-2026 ]]*8</f>
        <v>0</v>
      </c>
      <c r="Q109" s="12"/>
      <c r="R109" s="10"/>
      <c r="S109" s="12"/>
      <c r="T109" s="12">
        <f t="shared" si="16"/>
        <v>0</v>
      </c>
      <c r="U109" s="12">
        <f t="shared" si="17"/>
        <v>0</v>
      </c>
      <c r="V109" s="12">
        <f>Table14[[#This Row],[Enrolment S.Y. 2025-2026 ]]*8</f>
        <v>0</v>
      </c>
      <c r="W109" s="12"/>
      <c r="X109" s="10"/>
      <c r="Y109" s="12"/>
      <c r="Z109" s="12">
        <f t="shared" si="18"/>
        <v>0</v>
      </c>
      <c r="AA109" s="12">
        <f t="shared" si="19"/>
        <v>0</v>
      </c>
    </row>
    <row r="110" spans="1:27" ht="19.149999999999999">
      <c r="A110" s="38">
        <v>10</v>
      </c>
      <c r="B110" s="11" t="s">
        <v>86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>IF((D110-E110)&lt;0,0,(D110-E110))</f>
        <v>0</v>
      </c>
      <c r="I110" s="12">
        <f>IF((E110-D110)&lt;0,0,(E110-D110))</f>
        <v>0</v>
      </c>
      <c r="J110" s="12">
        <f>Table14[[#This Row],[Enrolment S.Y. 2025-2026 ]]*8</f>
        <v>0</v>
      </c>
      <c r="K110" s="12"/>
      <c r="L110" s="10"/>
      <c r="M110" s="12"/>
      <c r="N110" s="12">
        <f t="shared" ref="N110:N114" si="28">IF((J110-K110)&lt;0,0,(J110-K110))</f>
        <v>0</v>
      </c>
      <c r="O110" s="12">
        <f t="shared" ref="O110:O114" si="29">IF((K110-J110)&lt;0,0,(K110-J110))</f>
        <v>0</v>
      </c>
      <c r="P110" s="12">
        <f>Table14[[#This Row],[Enrolment S.Y. 2025-2026 ]]*8</f>
        <v>0</v>
      </c>
      <c r="Q110" s="12"/>
      <c r="R110" s="10"/>
      <c r="S110" s="12"/>
      <c r="T110" s="12">
        <f>IF((P110-Q110)&lt;0,0,(P110-Q110))</f>
        <v>0</v>
      </c>
      <c r="U110" s="12">
        <f>IF((Q110-P110)&lt;0,0,(Q110-P110))</f>
        <v>0</v>
      </c>
      <c r="V110" s="12">
        <f>Table14[[#This Row],[Enrolment S.Y. 2025-2026 ]]*8</f>
        <v>0</v>
      </c>
      <c r="W110" s="12"/>
      <c r="X110" s="10"/>
      <c r="Y110" s="12"/>
      <c r="Z110" s="12">
        <f>IF((V110-W110)&lt;0,0,(V110-W110))</f>
        <v>0</v>
      </c>
      <c r="AA110" s="12">
        <f>IF((W110-V110)&lt;0,0,(W110-V110))</f>
        <v>0</v>
      </c>
    </row>
    <row r="111" spans="1:27" ht="19.149999999999999">
      <c r="A111" s="10">
        <v>10</v>
      </c>
      <c r="B111" s="11" t="s">
        <v>87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10">
        <v>10</v>
      </c>
      <c r="B112" s="11" t="s">
        <v>21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 t="shared" si="22"/>
        <v>0</v>
      </c>
      <c r="I112" s="12">
        <f t="shared" si="23"/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 t="shared" si="16"/>
        <v>0</v>
      </c>
      <c r="U112" s="12">
        <f t="shared" si="17"/>
        <v>0</v>
      </c>
      <c r="V112" s="12">
        <f>Table14[[#This Row],[Enrolment S.Y. 2025-2026 ]]*8</f>
        <v>0</v>
      </c>
      <c r="W112" s="12"/>
      <c r="X112" s="10"/>
      <c r="Y112" s="12"/>
      <c r="Z112" s="12">
        <f t="shared" si="18"/>
        <v>0</v>
      </c>
      <c r="AA112" s="12">
        <f t="shared" si="19"/>
        <v>0</v>
      </c>
    </row>
    <row r="113" spans="1:28" ht="19.149999999999999">
      <c r="A113" s="38">
        <v>10</v>
      </c>
      <c r="B113" s="11" t="s">
        <v>88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>IF((D113-E113)&lt;0,0,(D113-E113))</f>
        <v>0</v>
      </c>
      <c r="I113" s="12">
        <f>IF((E113-D113)&lt;0,0,(E113-D113))</f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>IF((P113-Q113)&lt;0,0,(P113-Q113))</f>
        <v>0</v>
      </c>
      <c r="U113" s="12">
        <f>IF((Q113-P113)&lt;0,0,(Q113-P113))</f>
        <v>0</v>
      </c>
      <c r="V113" s="12">
        <f>Table14[[#This Row],[Enrolment S.Y. 2025-2026 ]]*8</f>
        <v>0</v>
      </c>
      <c r="W113" s="12"/>
      <c r="X113" s="10"/>
      <c r="Y113" s="12"/>
      <c r="Z113" s="12">
        <f>IF((V113-W113)&lt;0,0,(V113-W113))</f>
        <v>0</v>
      </c>
      <c r="AA113" s="12">
        <f>IF((W113-V113)&lt;0,0,(W113-V113))</f>
        <v>0</v>
      </c>
    </row>
    <row r="114" spans="1:28" ht="19.149999999999999">
      <c r="A114" s="10">
        <v>10</v>
      </c>
      <c r="B114" s="11" t="s">
        <v>89</v>
      </c>
      <c r="C114" s="10"/>
      <c r="D114" s="12">
        <f>Table14[[#This Row],[Enrolment S.Y. 2025-2026 ]]*8</f>
        <v>0</v>
      </c>
      <c r="E114" s="12"/>
      <c r="F114" s="10"/>
      <c r="G114" s="12"/>
      <c r="H114" s="12">
        <f t="shared" si="22"/>
        <v>0</v>
      </c>
      <c r="I114" s="12">
        <f t="shared" si="23"/>
        <v>0</v>
      </c>
      <c r="J114" s="12">
        <f>Table14[[#This Row],[Enrolment S.Y. 2025-2026 ]]*8</f>
        <v>0</v>
      </c>
      <c r="K114" s="12"/>
      <c r="L114" s="10"/>
      <c r="M114" s="12"/>
      <c r="N114" s="12">
        <f t="shared" si="28"/>
        <v>0</v>
      </c>
      <c r="O114" s="12">
        <f t="shared" si="29"/>
        <v>0</v>
      </c>
      <c r="P114" s="12">
        <f>Table14[[#This Row],[Enrolment S.Y. 2025-2026 ]]*8</f>
        <v>0</v>
      </c>
      <c r="Q114" s="12"/>
      <c r="R114" s="10"/>
      <c r="S114" s="12"/>
      <c r="T114" s="12">
        <f t="shared" si="16"/>
        <v>0</v>
      </c>
      <c r="U114" s="12">
        <f t="shared" si="17"/>
        <v>0</v>
      </c>
      <c r="V114" s="12">
        <f>Table14[[#This Row],[Enrolment S.Y. 2025-2026 ]]*8</f>
        <v>0</v>
      </c>
      <c r="W114" s="12"/>
      <c r="X114" s="10"/>
      <c r="Y114" s="12"/>
      <c r="Z114" s="12">
        <f t="shared" si="18"/>
        <v>0</v>
      </c>
      <c r="AA114" s="12">
        <f t="shared" si="19"/>
        <v>0</v>
      </c>
    </row>
    <row r="115" spans="1:28" s="7" customFormat="1"/>
    <row r="116" spans="1:28" ht="38.450000000000003">
      <c r="A116" s="1" t="s">
        <v>23</v>
      </c>
      <c r="B116" s="9" t="s">
        <v>24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25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26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19.149999999999999">
      <c r="A119" s="1" t="s">
        <v>23</v>
      </c>
      <c r="B119" s="9" t="s">
        <v>27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450000000000003">
      <c r="A120" s="1" t="s">
        <v>23</v>
      </c>
      <c r="B120" s="9" t="s">
        <v>28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19.149999999999999">
      <c r="A121" s="1" t="s">
        <v>23</v>
      </c>
      <c r="B121" s="9" t="s">
        <v>29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30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ht="38.450000000000003">
      <c r="A123" s="1" t="s">
        <v>23</v>
      </c>
      <c r="B123" s="9" t="s">
        <v>31</v>
      </c>
      <c r="C123" s="1"/>
      <c r="D123" s="5">
        <f>Table14[[#This Row],[Enrolment S.Y. 2025-2026 ]]*8</f>
        <v>0</v>
      </c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Table14[[#This Row],[Enrolment S.Y. 2025-2026 ]]*8</f>
        <v>0</v>
      </c>
      <c r="K123" s="5"/>
      <c r="L123" s="1"/>
      <c r="M123" s="5"/>
      <c r="N123" s="5">
        <f t="shared" si="20"/>
        <v>0</v>
      </c>
      <c r="O123" s="5">
        <f t="shared" si="21"/>
        <v>0</v>
      </c>
      <c r="P123" s="5">
        <f>Table14[[#This Row],[Enrolment S.Y. 2025-2026 ]]*8</f>
        <v>0</v>
      </c>
      <c r="Q123" s="5"/>
      <c r="R123" s="1"/>
      <c r="S123" s="5"/>
      <c r="T123" s="5">
        <f t="shared" si="16"/>
        <v>0</v>
      </c>
      <c r="U123" s="5">
        <f t="shared" si="17"/>
        <v>0</v>
      </c>
      <c r="V123" s="5">
        <f>Table14[[#This Row],[Enrolment S.Y. 2025-2026 ]]*8</f>
        <v>0</v>
      </c>
      <c r="W123" s="5"/>
      <c r="X123" s="1"/>
      <c r="Y123" s="5"/>
      <c r="Z123" s="5">
        <f t="shared" si="18"/>
        <v>0</v>
      </c>
      <c r="AA123" s="5">
        <f t="shared" si="19"/>
        <v>0</v>
      </c>
    </row>
    <row r="124" spans="1:28" s="7" customFormat="1"/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</sheetData>
  <protectedRanges>
    <protectedRange sqref="C2:C10 C12:C19 C21:C29 C31:C41 C43:C53 C55:C66 C68:C78 C80:C90 C116:C123 C104:C114 C92:C102" name="Textbooks"/>
    <protectedRange sqref="J2:L2 D2:F10 D12:F19 D21:F29 D31:F41 D43:F53 D55:F66 D68:F78 D80:F90 D92:F102 D116:F123 P2:R10 N3:O10 V2:X10 T3:U10 N12:R19 T12:X19 H3:L10 Z3:AA10 Z12:AA19 H12:L19 N21:R29 T21:X29 Z21:AA29 H21:L29 T31:X41 Z31:AA41 H31:L41 T43:X53 Z43:AA53 H43:L53 T55:X66 Z55:AA66 H55:L66 T68:X78 Z68:AA78 H68:L78 T80:X90 Z80:AA90 H80:L90 T92:X102 Z92:AA102 H92:L102 T104:X114 Z104:AA114 H104:L114 N116:R123 T116:X123 Z116:AA123 H116:L123 D104:F114 N31:R41 N43:R53 N55:R66 N68:R78 N80:R90 N92:R102 N104:R114" name="LAS"/>
    <protectedRange sqref="G2:I2 M2:O2 S2:U2 Y2:AA2 G3:G10 M3:M10 S3:S10 Y3:Y10 Y12:Y19 G12:G19 M12:M19 S12:S19 Y21:Y29 G21:G29 M21:M29 S21:S29 Y31:Y41 G31:G41 M31:M41 S31:S41 Y43:Y53 G43:G53 M43:M53 S43:S53 Y55:Y66 G55:G66 M55:M66 S55:S66 Y68:Y78 G68:G78 M68:M78 S68:S78 Y80:Y90 G80:G90 M80:M90 S80:S90 Y92:Y102 G92:G102 M92:M102 S92:S102 Y104:Y114 G104:G114 M104:M114 S104:S114 Y116:Y123 G116:G123 M116:M123 S116:S12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6:S123 Y116:Y123 G116:G123 Y3:Y10 S3:S10 M3:M10 G3:G10 G12:G19 Y12:Y19 S12:S19 M12:M19 M21:M29 G21:G29 Y21:Y29 S21:S29 S31:S41 M31:M41 G31:G41 Y31:Y41 Y43:Y53 S43:S53 M43:M53 G43:G53 G55:G66 Y55:Y66 S55:S66 M55:M66 M68:M78 G68:G78 Y68:Y78 S68:S78 S80:S90 M80:M90 G80:G90 Y80:Y90 Y92:Y102 S92:S102 M92:M102 G92:G102 G104:G114 Y104:Y114 S104:S114 M104:M114 M116:M123" xr:uid="{CBD486C7-A5DB-48F1-B496-5027CC51E830}">
      <formula1>"CO,RO,SDO,LGU,SCHOOL"</formula1>
    </dataValidation>
    <dataValidation type="list" allowBlank="1" showInputMessage="1" showErrorMessage="1" sqref="N51 X116:X123 X104:X114 X92:X102 X68:X90 X55:X66 X43:X53 X31:X41 X21:X29 X12:X19 X3:X10 R116:R123 R104:R114 R92:R102 R68:R90 R55:R66 R43:R53 R31:R41 R21:R29 R12:R19 R3:R10 L116:L123 L104:L114 L92:L102 L68:L90 L55:L66 L43:L53 L31:L41 L21:L29 L12:L19 L3:L10 F116:F123 F104:F114 F92:F102 F68:F90 F55:F66 F43:F53 F31:F41 F21:F29 F12:F19 F3:F10" xr:uid="{ED513585-E303-40C5-99A6-FAE5621A85A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LOYD ADRIAN DOROTEO</cp:lastModifiedBy>
  <cp:revision/>
  <dcterms:created xsi:type="dcterms:W3CDTF">2025-11-19T20:48:15Z</dcterms:created>
  <dcterms:modified xsi:type="dcterms:W3CDTF">2026-03-12T09:16:46Z</dcterms:modified>
  <cp:category/>
  <cp:contentStatus/>
</cp:coreProperties>
</file>