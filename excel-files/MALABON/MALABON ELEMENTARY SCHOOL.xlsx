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4" documentId="13_ncr:1_{BFB59F67-F0DC-4675-A682-EB0734A8026A}" xr6:coauthVersionLast="47" xr6:coauthVersionMax="47" xr10:uidLastSave="{3B99C067-A9B3-41FC-83B6-A0323592B4A7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<sst xmlns="http://schemas.openxmlformats.org/spreadsheetml/2006/main" count="455" uniqueCount="92">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</sst>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5" activePane="topRight" state="frozen"/>
      <selection pane="topRight" activeCell="F11" sqref="F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430</v>
      </c>
      <c r="D2" s="1">
        <v>628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198</v>
      </c>
    </row>
    <row r="3" spans="1:8" ht="29.25" customHeight="1">
      <c r="A3" s="1">
        <v>1</v>
      </c>
      <c r="B3" s="2" t="s">
        <v>10</v>
      </c>
      <c r="C3" s="1">
        <v>430</v>
      </c>
      <c r="D3" s="1">
        <v>628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198</v>
      </c>
    </row>
    <row r="4" spans="1:8" ht="21" customHeight="1">
      <c r="A4" s="1">
        <v>1</v>
      </c>
      <c r="B4" s="2" t="s">
        <v>11</v>
      </c>
      <c r="C4" s="1">
        <v>430</v>
      </c>
      <c r="D4" s="1">
        <v>628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198</v>
      </c>
    </row>
    <row r="5" spans="1:8" ht="25.5" customHeight="1">
      <c r="A5" s="1">
        <v>1</v>
      </c>
      <c r="B5" s="2" t="s">
        <v>12</v>
      </c>
      <c r="C5" s="1">
        <v>430</v>
      </c>
      <c r="D5" s="1">
        <v>628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198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511</v>
      </c>
      <c r="D11" s="1">
        <v>638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127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495</v>
      </c>
      <c r="D21" s="1">
        <v>547</v>
      </c>
      <c r="E21" s="1">
        <v>2024</v>
      </c>
      <c r="F21" s="5" t="s">
        <v>14</v>
      </c>
      <c r="G21" s="3">
        <f t="shared" ref="G21:G29" si="4">IF((C21-D21)&lt;0,0,C21-D21)</f>
        <v>0</v>
      </c>
      <c r="H21" s="4">
        <f>IF((D21-C21)&lt;0,0,D21-C21)</f>
        <v>52</v>
      </c>
    </row>
    <row r="22" spans="1:8" ht="24" customHeight="1">
      <c r="A22" s="1">
        <v>4</v>
      </c>
      <c r="B22" s="9" t="s">
        <v>17</v>
      </c>
      <c r="C22" s="1">
        <v>495</v>
      </c>
      <c r="D22" s="1">
        <v>547</v>
      </c>
      <c r="E22" s="1">
        <v>2024</v>
      </c>
      <c r="F22" s="5" t="s">
        <v>14</v>
      </c>
      <c r="G22" s="3">
        <f t="shared" si="4"/>
        <v>0</v>
      </c>
      <c r="H22" s="4">
        <f t="shared" ref="H21:H29" si="5">IF((D22-C22)&lt;0,0,D22-C22)</f>
        <v>52</v>
      </c>
    </row>
    <row r="23" spans="1:8" ht="19.5">
      <c r="A23" s="1">
        <v>4</v>
      </c>
      <c r="B23" s="9" t="s">
        <v>13</v>
      </c>
      <c r="C23" s="1">
        <v>495</v>
      </c>
      <c r="D23" s="1">
        <v>547</v>
      </c>
      <c r="E23" s="1">
        <v>2024</v>
      </c>
      <c r="F23" s="5" t="s">
        <v>14</v>
      </c>
      <c r="G23" s="3">
        <f t="shared" si="4"/>
        <v>0</v>
      </c>
      <c r="H23" s="4">
        <f t="shared" si="5"/>
        <v>52</v>
      </c>
    </row>
    <row r="24" spans="1:8" ht="27" customHeight="1">
      <c r="A24" s="1">
        <v>4</v>
      </c>
      <c r="B24" s="9" t="s">
        <v>11</v>
      </c>
      <c r="C24" s="1">
        <v>495</v>
      </c>
      <c r="D24" s="1">
        <v>502</v>
      </c>
      <c r="E24" s="1">
        <v>2025</v>
      </c>
      <c r="F24" s="5" t="s">
        <v>14</v>
      </c>
      <c r="G24" s="3">
        <f t="shared" si="4"/>
        <v>0</v>
      </c>
      <c r="H24" s="4">
        <f t="shared" si="5"/>
        <v>7</v>
      </c>
    </row>
    <row r="25" spans="1:8" ht="33.75" customHeight="1">
      <c r="A25" s="1">
        <v>4</v>
      </c>
      <c r="B25" s="9" t="s">
        <v>18</v>
      </c>
      <c r="C25" s="1">
        <v>495</v>
      </c>
      <c r="D25" s="1">
        <v>657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162</v>
      </c>
    </row>
    <row r="26" spans="1:8" ht="33.75" customHeight="1">
      <c r="A26" s="1">
        <v>4</v>
      </c>
      <c r="B26" s="9" t="s">
        <v>15</v>
      </c>
      <c r="C26" s="1">
        <v>495</v>
      </c>
      <c r="D26" s="1">
        <v>657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162</v>
      </c>
    </row>
    <row r="27" spans="1:8" ht="33.75" customHeight="1">
      <c r="A27" s="1">
        <v>4</v>
      </c>
      <c r="B27" s="9" t="s">
        <v>19</v>
      </c>
      <c r="C27" s="1">
        <v>495</v>
      </c>
      <c r="D27" s="1">
        <v>682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187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495</v>
      </c>
      <c r="D29" s="1">
        <v>502</v>
      </c>
      <c r="E29" s="1">
        <v>2025</v>
      </c>
      <c r="F29" s="5" t="s">
        <v>14</v>
      </c>
      <c r="G29" s="3">
        <f t="shared" si="4"/>
        <v>0</v>
      </c>
      <c r="H29" s="4">
        <f t="shared" si="5"/>
        <v>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518</v>
      </c>
      <c r="D31" s="1">
        <v>618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100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518</v>
      </c>
      <c r="D35" s="1">
        <v>618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100</v>
      </c>
    </row>
    <row r="36" spans="1:8" ht="27.75" customHeight="1">
      <c r="A36" s="1">
        <v>5</v>
      </c>
      <c r="B36" s="9" t="s">
        <v>15</v>
      </c>
      <c r="C36" s="1">
        <v>518</v>
      </c>
      <c r="D36" s="1">
        <v>618</v>
      </c>
      <c r="E36" s="1">
        <v>2025</v>
      </c>
      <c r="F36" s="5" t="s">
        <v>14</v>
      </c>
      <c r="G36" s="3">
        <f t="shared" si="6"/>
        <v>0</v>
      </c>
      <c r="H36" s="4">
        <f t="shared" si="7"/>
        <v>100</v>
      </c>
    </row>
    <row r="37" spans="1:8" ht="27.75" customHeight="1">
      <c r="A37" s="1">
        <v>5</v>
      </c>
      <c r="B37" s="9" t="s">
        <v>19</v>
      </c>
      <c r="C37" s="1">
        <v>518</v>
      </c>
      <c r="D37" s="1">
        <v>618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100</v>
      </c>
    </row>
    <row r="38" spans="1:8" ht="27.75" customHeight="1">
      <c r="A38" s="1">
        <v>5</v>
      </c>
      <c r="B38" s="9" t="s">
        <v>20</v>
      </c>
      <c r="C38" s="1">
        <v>518</v>
      </c>
      <c r="D38" s="1">
        <v>618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100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5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8 E61:E69 E71:E79 E81:E89 E91:E98" xr:uid="{1B5C3212-71BC-43A1-9397-87C1A65884A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Q1" zoomScale="70" zoomScaleNormal="70" workbookViewId="0">
      <selection activeCell="G18" sqref="G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511</v>
      </c>
      <c r="D16" s="5">
        <f>Table1[[#This Row],[Enrolment S.Y. 2025-2026 ]]*8</f>
        <v>4088</v>
      </c>
      <c r="E16" s="5">
        <v>511</v>
      </c>
      <c r="F16" s="1">
        <v>2025</v>
      </c>
      <c r="G16" s="5"/>
      <c r="H16" s="5">
        <f t="shared" si="2"/>
        <v>3577</v>
      </c>
      <c r="I16" s="5">
        <f t="shared" si="3"/>
        <v>0</v>
      </c>
      <c r="J16" s="5">
        <f>Table1[[#This Row],[Enrolment S.Y. 2025-2026 ]]*8</f>
        <v>4088</v>
      </c>
      <c r="K16" s="5"/>
      <c r="L16" s="1"/>
      <c r="M16" s="5"/>
      <c r="N16" s="5">
        <f t="shared" si="10"/>
        <v>4088</v>
      </c>
      <c r="O16" s="5">
        <f t="shared" si="11"/>
        <v>0</v>
      </c>
      <c r="P16" s="5">
        <f>Table1[[#This Row],[Enrolment S.Y. 2025-2026 ]]*8</f>
        <v>4088</v>
      </c>
      <c r="Q16" s="5"/>
      <c r="R16" s="1"/>
      <c r="S16" s="5"/>
      <c r="T16" s="5">
        <f t="shared" si="12"/>
        <v>4088</v>
      </c>
      <c r="U16" s="5">
        <f t="shared" si="13"/>
        <v>0</v>
      </c>
      <c r="V16" s="5">
        <f>Table1[[#This Row],[Enrolment S.Y. 2025-2026 ]]*8</f>
        <v>4088</v>
      </c>
      <c r="W16" s="5"/>
      <c r="X16" s="1"/>
      <c r="Y16" s="5"/>
      <c r="Z16" s="5">
        <f t="shared" si="14"/>
        <v>4088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511</v>
      </c>
      <c r="D17" s="5">
        <f>Table1[[#This Row],[Enrolment S.Y. 2025-2026 ]]*8</f>
        <v>4088</v>
      </c>
      <c r="E17" s="5">
        <v>511</v>
      </c>
      <c r="F17" s="1">
        <v>2025</v>
      </c>
      <c r="G17" s="5" t="s">
        <v>9</v>
      </c>
      <c r="H17" s="5">
        <f t="shared" si="2"/>
        <v>3577</v>
      </c>
      <c r="I17" s="5">
        <f t="shared" si="3"/>
        <v>0</v>
      </c>
      <c r="J17" s="5">
        <f>Table1[[#This Row],[Enrolment S.Y. 2025-2026 ]]*8</f>
        <v>4088</v>
      </c>
      <c r="K17" s="5">
        <v>511</v>
      </c>
      <c r="L17" s="1">
        <v>2025</v>
      </c>
      <c r="M17" s="5" t="s">
        <v>9</v>
      </c>
      <c r="N17" s="5">
        <f t="shared" si="10"/>
        <v>3577</v>
      </c>
      <c r="O17" s="5">
        <f t="shared" si="11"/>
        <v>0</v>
      </c>
      <c r="P17" s="5">
        <f>Table1[[#This Row],[Enrolment S.Y. 2025-2026 ]]*8</f>
        <v>4088</v>
      </c>
      <c r="Q17" s="5"/>
      <c r="R17" s="1"/>
      <c r="S17" s="5"/>
      <c r="T17" s="5">
        <f t="shared" si="12"/>
        <v>4088</v>
      </c>
      <c r="U17" s="5">
        <f t="shared" si="13"/>
        <v>0</v>
      </c>
      <c r="V17" s="5">
        <f>Table1[[#This Row],[Enrolment S.Y. 2025-2026 ]]*8</f>
        <v>4088</v>
      </c>
      <c r="W17" s="5"/>
      <c r="X17" s="1"/>
      <c r="Y17" s="5"/>
      <c r="Z17" s="5">
        <f t="shared" si="14"/>
        <v>4088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511</v>
      </c>
      <c r="D18" s="5">
        <f>Table1[[#This Row],[Enrolment S.Y. 2025-2026 ]]*8</f>
        <v>4088</v>
      </c>
      <c r="E18" s="5">
        <v>511</v>
      </c>
      <c r="F18" s="1">
        <v>2025</v>
      </c>
      <c r="G18" s="5" t="s">
        <v>9</v>
      </c>
      <c r="H18" s="5">
        <f t="shared" si="2"/>
        <v>3577</v>
      </c>
      <c r="I18" s="5">
        <f t="shared" si="3"/>
        <v>0</v>
      </c>
      <c r="J18" s="5">
        <f>Table1[[#This Row],[Enrolment S.Y. 2025-2026 ]]*8</f>
        <v>4088</v>
      </c>
      <c r="K18" s="5"/>
      <c r="L18" s="1"/>
      <c r="M18" s="5"/>
      <c r="N18" s="5">
        <f t="shared" si="10"/>
        <v>4088</v>
      </c>
      <c r="O18" s="5">
        <f t="shared" si="11"/>
        <v>0</v>
      </c>
      <c r="P18" s="5">
        <f>Table1[[#This Row],[Enrolment S.Y. 2025-2026 ]]*8</f>
        <v>4088</v>
      </c>
      <c r="Q18" s="5"/>
      <c r="R18" s="1"/>
      <c r="S18" s="5"/>
      <c r="T18" s="5">
        <f t="shared" si="12"/>
        <v>4088</v>
      </c>
      <c r="U18" s="5">
        <f t="shared" si="13"/>
        <v>0</v>
      </c>
      <c r="V18" s="5">
        <f>Table1[[#This Row],[Enrolment S.Y. 2025-2026 ]]*8</f>
        <v>4088</v>
      </c>
      <c r="W18" s="5"/>
      <c r="X18" s="1"/>
      <c r="Y18" s="5"/>
      <c r="Z18" s="5">
        <f t="shared" si="14"/>
        <v>4088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511</v>
      </c>
      <c r="D19" s="5">
        <f>Table1[[#This Row],[Enrolment S.Y. 2025-2026 ]]*8</f>
        <v>4088</v>
      </c>
      <c r="E19" s="5">
        <v>511</v>
      </c>
      <c r="F19" s="1">
        <v>2025</v>
      </c>
      <c r="G19" s="5" t="s">
        <v>9</v>
      </c>
      <c r="H19" s="5">
        <f>IF((D19-E19)&lt;0,0,(D19-E19))</f>
        <v>3577</v>
      </c>
      <c r="I19" s="5">
        <f>IF((E19-D19)&lt;0,0,(E19-D19))</f>
        <v>0</v>
      </c>
      <c r="J19" s="5">
        <f>Table1[[#This Row],[Enrolment S.Y. 2025-2026 ]]*8</f>
        <v>4088</v>
      </c>
      <c r="K19" s="5">
        <v>511</v>
      </c>
      <c r="L19" s="1">
        <v>2025</v>
      </c>
      <c r="M19" s="5" t="s">
        <v>9</v>
      </c>
      <c r="N19" s="5">
        <f t="shared" si="10"/>
        <v>3577</v>
      </c>
      <c r="O19" s="5">
        <f t="shared" si="11"/>
        <v>0</v>
      </c>
      <c r="P19" s="5">
        <f>Table1[[#This Row],[Enrolment S.Y. 2025-2026 ]]*8</f>
        <v>4088</v>
      </c>
      <c r="Q19" s="5"/>
      <c r="R19" s="1"/>
      <c r="S19" s="5"/>
      <c r="T19" s="5">
        <f t="shared" si="12"/>
        <v>4088</v>
      </c>
      <c r="U19" s="5">
        <f t="shared" si="13"/>
        <v>0</v>
      </c>
      <c r="V19" s="5">
        <f>Table1[[#This Row],[Enrolment S.Y. 2025-2026 ]]*8</f>
        <v>4088</v>
      </c>
      <c r="W19" s="5"/>
      <c r="X19" s="1"/>
      <c r="Y19" s="5"/>
      <c r="Z19" s="5">
        <f t="shared" si="14"/>
        <v>4088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511</v>
      </c>
      <c r="D20" s="5">
        <f>Table1[[#This Row],[Enrolment S.Y. 2025-2026 ]]*8</f>
        <v>4088</v>
      </c>
      <c r="E20" s="5">
        <v>511</v>
      </c>
      <c r="F20" s="1">
        <v>2025</v>
      </c>
      <c r="G20" s="5" t="s">
        <v>9</v>
      </c>
      <c r="H20" s="5">
        <f>IF((D20-E20)&lt;0,0,(D20-E20))</f>
        <v>3577</v>
      </c>
      <c r="I20" s="5">
        <f>IF((E20-D20)&lt;0,0,(E20-D20))</f>
        <v>0</v>
      </c>
      <c r="J20" s="5">
        <f>Table1[[#This Row],[Enrolment S.Y. 2025-2026 ]]*8</f>
        <v>4088</v>
      </c>
      <c r="K20" s="5"/>
      <c r="L20" s="1"/>
      <c r="M20" s="5"/>
      <c r="N20" s="5">
        <f t="shared" si="10"/>
        <v>4088</v>
      </c>
      <c r="O20" s="5">
        <f t="shared" si="11"/>
        <v>0</v>
      </c>
      <c r="P20" s="5">
        <f>Table1[[#This Row],[Enrolment S.Y. 2025-2026 ]]*8</f>
        <v>4088</v>
      </c>
      <c r="Q20" s="5"/>
      <c r="R20" s="1"/>
      <c r="S20" s="5"/>
      <c r="T20" s="5">
        <f t="shared" si="12"/>
        <v>4088</v>
      </c>
      <c r="U20" s="5">
        <f t="shared" si="13"/>
        <v>0</v>
      </c>
      <c r="V20" s="5">
        <f>Table1[[#This Row],[Enrolment S.Y. 2025-2026 ]]*8</f>
        <v>4088</v>
      </c>
      <c r="W20" s="5"/>
      <c r="X20" s="1"/>
      <c r="Y20" s="5"/>
      <c r="Z20" s="5">
        <f t="shared" si="14"/>
        <v>4088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501</v>
      </c>
      <c r="D25" s="5">
        <f>Table1[[#This Row],[Enrolment S.Y. 2025-2026 ]]*8</f>
        <v>4008</v>
      </c>
      <c r="E25" s="5">
        <v>495</v>
      </c>
      <c r="F25" s="1">
        <v>2025</v>
      </c>
      <c r="G25" s="5" t="s">
        <v>9</v>
      </c>
      <c r="H25" s="5">
        <f t="shared" si="2"/>
        <v>3513</v>
      </c>
      <c r="I25" s="5">
        <f t="shared" si="3"/>
        <v>0</v>
      </c>
      <c r="J25" s="5">
        <f>Table1[[#This Row],[Enrolment S.Y. 2025-2026 ]]*8</f>
        <v>4008</v>
      </c>
      <c r="K25" s="5"/>
      <c r="L25" s="1"/>
      <c r="M25" s="5"/>
      <c r="N25" s="5">
        <f t="shared" si="10"/>
        <v>4008</v>
      </c>
      <c r="O25" s="5">
        <f t="shared" si="11"/>
        <v>0</v>
      </c>
      <c r="P25" s="5">
        <f>Table1[[#This Row],[Enrolment S.Y. 2025-2026 ]]*8</f>
        <v>4008</v>
      </c>
      <c r="Q25" s="5"/>
      <c r="R25" s="1"/>
      <c r="S25" s="5"/>
      <c r="T25" s="5">
        <f t="shared" si="12"/>
        <v>4008</v>
      </c>
      <c r="U25" s="5">
        <f t="shared" si="13"/>
        <v>0</v>
      </c>
      <c r="V25" s="5">
        <f>Table1[[#This Row],[Enrolment S.Y. 2025-2026 ]]*8</f>
        <v>4008</v>
      </c>
      <c r="W25" s="5"/>
      <c r="X25" s="1"/>
      <c r="Y25" s="5"/>
      <c r="Z25" s="5">
        <f t="shared" si="14"/>
        <v>4008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501</v>
      </c>
      <c r="D26" s="5">
        <f>Table1[[#This Row],[Enrolment S.Y. 2025-2026 ]]*8</f>
        <v>4008</v>
      </c>
      <c r="E26" s="5">
        <v>495</v>
      </c>
      <c r="F26" s="1">
        <v>2025</v>
      </c>
      <c r="G26" s="5" t="s">
        <v>9</v>
      </c>
      <c r="H26" s="5">
        <f t="shared" si="2"/>
        <v>3513</v>
      </c>
      <c r="I26" s="5">
        <f t="shared" si="3"/>
        <v>0</v>
      </c>
      <c r="J26" s="5">
        <f>Table1[[#This Row],[Enrolment S.Y. 2025-2026 ]]*8</f>
        <v>4008</v>
      </c>
      <c r="K26" s="5"/>
      <c r="L26" s="1"/>
      <c r="M26" s="5"/>
      <c r="N26" s="5">
        <f t="shared" si="10"/>
        <v>4008</v>
      </c>
      <c r="O26" s="5">
        <f t="shared" si="11"/>
        <v>0</v>
      </c>
      <c r="P26" s="5">
        <f>Table1[[#This Row],[Enrolment S.Y. 2025-2026 ]]*8</f>
        <v>4008</v>
      </c>
      <c r="Q26" s="5"/>
      <c r="R26" s="1"/>
      <c r="S26" s="5"/>
      <c r="T26" s="5">
        <f t="shared" si="12"/>
        <v>4008</v>
      </c>
      <c r="U26" s="5">
        <f t="shared" si="13"/>
        <v>0</v>
      </c>
      <c r="V26" s="5">
        <f>Table1[[#This Row],[Enrolment S.Y. 2025-2026 ]]*8</f>
        <v>4008</v>
      </c>
      <c r="W26" s="5"/>
      <c r="X26" s="1"/>
      <c r="Y26" s="5"/>
      <c r="Z26" s="5">
        <f t="shared" si="14"/>
        <v>4008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501</v>
      </c>
      <c r="D27" s="5">
        <f>Table1[[#This Row],[Enrolment S.Y. 2025-2026 ]]*8</f>
        <v>4008</v>
      </c>
      <c r="E27" s="5">
        <v>495</v>
      </c>
      <c r="F27" s="1">
        <v>2025</v>
      </c>
      <c r="G27" s="5" t="s">
        <v>9</v>
      </c>
      <c r="H27" s="5">
        <f t="shared" si="2"/>
        <v>3513</v>
      </c>
      <c r="I27" s="5">
        <f t="shared" si="3"/>
        <v>0</v>
      </c>
      <c r="J27" s="5">
        <f>Table1[[#This Row],[Enrolment S.Y. 2025-2026 ]]*8</f>
        <v>4008</v>
      </c>
      <c r="K27" s="5"/>
      <c r="L27" s="1"/>
      <c r="M27" s="5"/>
      <c r="N27" s="5">
        <f t="shared" si="10"/>
        <v>4008</v>
      </c>
      <c r="O27" s="5">
        <f t="shared" si="11"/>
        <v>0</v>
      </c>
      <c r="P27" s="5">
        <f>Table1[[#This Row],[Enrolment S.Y. 2025-2026 ]]*8</f>
        <v>4008</v>
      </c>
      <c r="Q27" s="5"/>
      <c r="R27" s="1"/>
      <c r="S27" s="5"/>
      <c r="T27" s="5">
        <f t="shared" si="12"/>
        <v>4008</v>
      </c>
      <c r="U27" s="5">
        <f t="shared" si="13"/>
        <v>0</v>
      </c>
      <c r="V27" s="5">
        <f>Table1[[#This Row],[Enrolment S.Y. 2025-2026 ]]*8</f>
        <v>4008</v>
      </c>
      <c r="W27" s="5"/>
      <c r="X27" s="1"/>
      <c r="Y27" s="5"/>
      <c r="Z27" s="5">
        <f t="shared" si="14"/>
        <v>4008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501</v>
      </c>
      <c r="D28" s="5">
        <f>Table1[[#This Row],[Enrolment S.Y. 2025-2026 ]]*8</f>
        <v>4008</v>
      </c>
      <c r="E28" s="5">
        <v>495</v>
      </c>
      <c r="F28" s="1">
        <v>2025</v>
      </c>
      <c r="G28" s="5" t="s">
        <v>9</v>
      </c>
      <c r="H28" s="5">
        <f t="shared" si="2"/>
        <v>3513</v>
      </c>
      <c r="I28" s="5">
        <f t="shared" si="3"/>
        <v>0</v>
      </c>
      <c r="J28" s="5">
        <f>Table1[[#This Row],[Enrolment S.Y. 2025-2026 ]]*8</f>
        <v>4008</v>
      </c>
      <c r="K28" s="5"/>
      <c r="L28" s="1"/>
      <c r="M28" s="5"/>
      <c r="N28" s="5">
        <f t="shared" si="10"/>
        <v>4008</v>
      </c>
      <c r="O28" s="5">
        <f t="shared" si="11"/>
        <v>0</v>
      </c>
      <c r="P28" s="5">
        <f>Table1[[#This Row],[Enrolment S.Y. 2025-2026 ]]*8</f>
        <v>4008</v>
      </c>
      <c r="Q28" s="5"/>
      <c r="R28" s="1"/>
      <c r="S28" s="5"/>
      <c r="T28" s="5">
        <f t="shared" si="12"/>
        <v>4008</v>
      </c>
      <c r="U28" s="5">
        <f t="shared" si="13"/>
        <v>0</v>
      </c>
      <c r="V28" s="5">
        <f>Table1[[#This Row],[Enrolment S.Y. 2025-2026 ]]*8</f>
        <v>4008</v>
      </c>
      <c r="W28" s="5"/>
      <c r="X28" s="1"/>
      <c r="Y28" s="5"/>
      <c r="Z28" s="5">
        <f t="shared" si="14"/>
        <v>4008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501</v>
      </c>
      <c r="D29" s="5">
        <f>Table1[[#This Row],[Enrolment S.Y. 2025-2026 ]]*8</f>
        <v>4008</v>
      </c>
      <c r="E29" s="5">
        <v>495</v>
      </c>
      <c r="F29" s="1">
        <v>2025</v>
      </c>
      <c r="G29" s="5" t="s">
        <v>9</v>
      </c>
      <c r="H29" s="5">
        <f>IF((D29-E29)&lt;0,0,(D29-E29))</f>
        <v>3513</v>
      </c>
      <c r="I29" s="5">
        <f>IF((E29-D29)&lt;0,0,(E29-D29))</f>
        <v>0</v>
      </c>
      <c r="J29" s="5">
        <f>Table1[[#This Row],[Enrolment S.Y. 2025-2026 ]]*8</f>
        <v>4008</v>
      </c>
      <c r="K29" s="5"/>
      <c r="L29" s="1"/>
      <c r="M29" s="5"/>
      <c r="N29" s="5">
        <f t="shared" si="10"/>
        <v>4008</v>
      </c>
      <c r="O29" s="5">
        <f t="shared" si="11"/>
        <v>0</v>
      </c>
      <c r="P29" s="5">
        <f>Table1[[#This Row],[Enrolment S.Y. 2025-2026 ]]*8</f>
        <v>4008</v>
      </c>
      <c r="Q29" s="5"/>
      <c r="R29" s="1"/>
      <c r="S29" s="5"/>
      <c r="T29" s="5">
        <f t="shared" si="12"/>
        <v>4008</v>
      </c>
      <c r="U29" s="5">
        <f t="shared" si="13"/>
        <v>0</v>
      </c>
      <c r="V29" s="5">
        <f>Table1[[#This Row],[Enrolment S.Y. 2025-2026 ]]*8</f>
        <v>4008</v>
      </c>
      <c r="W29" s="5"/>
      <c r="X29" s="1"/>
      <c r="Y29" s="5"/>
      <c r="Z29" s="5">
        <f t="shared" si="14"/>
        <v>4008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501</v>
      </c>
      <c r="D30" s="5">
        <f>Table1[[#This Row],[Enrolment S.Y. 2025-2026 ]]*8</f>
        <v>4008</v>
      </c>
      <c r="E30" s="5">
        <v>495</v>
      </c>
      <c r="F30" s="1">
        <v>2025</v>
      </c>
      <c r="G30" s="5" t="s">
        <v>9</v>
      </c>
      <c r="H30" s="5">
        <f>IF((D30-E30)&lt;0,0,(D30-E30))</f>
        <v>3513</v>
      </c>
      <c r="I30" s="5">
        <f>IF((E30-D30)&lt;0,0,(E30-D30))</f>
        <v>0</v>
      </c>
      <c r="J30" s="5">
        <f>Table1[[#This Row],[Enrolment S.Y. 2025-2026 ]]*8</f>
        <v>4008</v>
      </c>
      <c r="K30" s="5"/>
      <c r="L30" s="1"/>
      <c r="M30" s="5"/>
      <c r="N30" s="5">
        <f t="shared" si="10"/>
        <v>4008</v>
      </c>
      <c r="O30" s="5">
        <f t="shared" si="11"/>
        <v>0</v>
      </c>
      <c r="P30" s="5">
        <f>Table1[[#This Row],[Enrolment S.Y. 2025-2026 ]]*8</f>
        <v>4008</v>
      </c>
      <c r="Q30" s="5"/>
      <c r="R30" s="1"/>
      <c r="S30" s="5"/>
      <c r="T30" s="5">
        <f t="shared" si="12"/>
        <v>4008</v>
      </c>
      <c r="U30" s="5">
        <f t="shared" si="13"/>
        <v>0</v>
      </c>
      <c r="V30" s="5">
        <f>Table1[[#This Row],[Enrolment S.Y. 2025-2026 ]]*8</f>
        <v>4008</v>
      </c>
      <c r="W30" s="5"/>
      <c r="X30" s="1"/>
      <c r="Y30" s="5"/>
      <c r="Z30" s="5">
        <f t="shared" si="14"/>
        <v>4008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518</v>
      </c>
      <c r="D43" s="5">
        <f>Table1[[#This Row],[Enrolment S.Y. 2025-2026 ]]*8</f>
        <v>4144</v>
      </c>
      <c r="E43" s="5">
        <v>518</v>
      </c>
      <c r="F43" s="1">
        <v>2025</v>
      </c>
      <c r="G43" s="5" t="s">
        <v>9</v>
      </c>
      <c r="H43" s="5">
        <f t="shared" si="2"/>
        <v>3626</v>
      </c>
      <c r="I43" s="5">
        <f t="shared" si="3"/>
        <v>0</v>
      </c>
      <c r="J43" s="5">
        <f>Table1[[#This Row],[Enrolment S.Y. 2025-2026 ]]*8</f>
        <v>4144</v>
      </c>
      <c r="K43" s="5"/>
      <c r="L43" s="1"/>
      <c r="M43" s="5"/>
      <c r="N43" s="5">
        <f t="shared" si="10"/>
        <v>4144</v>
      </c>
      <c r="O43" s="5">
        <f t="shared" si="11"/>
        <v>0</v>
      </c>
      <c r="P43" s="5">
        <f>Table1[[#This Row],[Enrolment S.Y. 2025-2026 ]]*8</f>
        <v>4144</v>
      </c>
      <c r="Q43" s="5"/>
      <c r="R43" s="1"/>
      <c r="S43" s="5"/>
      <c r="T43" s="5">
        <f t="shared" si="12"/>
        <v>4144</v>
      </c>
      <c r="U43" s="5">
        <f t="shared" si="13"/>
        <v>0</v>
      </c>
      <c r="V43" s="5">
        <f>Table1[[#This Row],[Enrolment S.Y. 2025-2026 ]]*8</f>
        <v>4144</v>
      </c>
      <c r="W43" s="5"/>
      <c r="X43" s="1"/>
      <c r="Y43" s="5"/>
      <c r="Z43" s="5">
        <f t="shared" si="14"/>
        <v>4144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518</v>
      </c>
      <c r="D45" s="5">
        <f>Table1[[#This Row],[Enrolment S.Y. 2025-2026 ]]*8</f>
        <v>4144</v>
      </c>
      <c r="E45" s="5">
        <v>518</v>
      </c>
      <c r="F45" s="1">
        <v>2025</v>
      </c>
      <c r="G45" s="5" t="s">
        <v>9</v>
      </c>
      <c r="H45" s="5">
        <f t="shared" si="2"/>
        <v>3626</v>
      </c>
      <c r="I45" s="5">
        <f t="shared" si="3"/>
        <v>0</v>
      </c>
      <c r="J45" s="5">
        <f>Table1[[#This Row],[Enrolment S.Y. 2025-2026 ]]*8</f>
        <v>4144</v>
      </c>
      <c r="K45" s="5"/>
      <c r="L45" s="1"/>
      <c r="M45" s="5"/>
      <c r="N45" s="5">
        <f t="shared" si="10"/>
        <v>4144</v>
      </c>
      <c r="O45" s="5">
        <f t="shared" si="11"/>
        <v>0</v>
      </c>
      <c r="P45" s="5">
        <f>Table1[[#This Row],[Enrolment S.Y. 2025-2026 ]]*8</f>
        <v>4144</v>
      </c>
      <c r="Q45" s="5"/>
      <c r="R45" s="1"/>
      <c r="S45" s="5"/>
      <c r="T45" s="5">
        <f t="shared" si="12"/>
        <v>4144</v>
      </c>
      <c r="U45" s="5">
        <f t="shared" si="13"/>
        <v>0</v>
      </c>
      <c r="V45" s="5">
        <f>Table1[[#This Row],[Enrolment S.Y. 2025-2026 ]]*8</f>
        <v>4144</v>
      </c>
      <c r="W45" s="5"/>
      <c r="X45" s="1"/>
      <c r="Y45" s="5"/>
      <c r="Z45" s="5">
        <f t="shared" si="14"/>
        <v>4144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24" zoomScale="55" zoomScaleNormal="55" workbookViewId="0">
      <selection activeCell="B63" sqref="B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511</v>
      </c>
      <c r="D16" s="5">
        <f>Table14[[#This Row],[Enrolment S.Y. 2025-2026 ]]*8</f>
        <v>4088</v>
      </c>
      <c r="E16" s="5">
        <v>506</v>
      </c>
      <c r="F16" s="1">
        <v>2024</v>
      </c>
      <c r="G16" s="5" t="s">
        <v>9</v>
      </c>
      <c r="H16" s="5">
        <f t="shared" si="0"/>
        <v>3582</v>
      </c>
      <c r="I16" s="5">
        <f t="shared" si="1"/>
        <v>0</v>
      </c>
      <c r="J16" s="5">
        <f>Table14[[#This Row],[Enrolment S.Y. 2025-2026 ]]*8</f>
        <v>4088</v>
      </c>
      <c r="K16" s="5">
        <v>62</v>
      </c>
      <c r="L16" s="1">
        <v>2025</v>
      </c>
      <c r="M16" s="5" t="s">
        <v>9</v>
      </c>
      <c r="N16" s="5">
        <f t="shared" si="2"/>
        <v>4026</v>
      </c>
      <c r="O16" s="5">
        <f t="shared" si="3"/>
        <v>0</v>
      </c>
      <c r="P16" s="5">
        <f>Table14[[#This Row],[Enrolment S.Y. 2025-2026 ]]*8</f>
        <v>4088</v>
      </c>
      <c r="Q16" s="5"/>
      <c r="R16" s="1"/>
      <c r="S16" s="5"/>
      <c r="T16" s="5">
        <f t="shared" si="4"/>
        <v>4088</v>
      </c>
      <c r="U16" s="5">
        <f t="shared" si="5"/>
        <v>0</v>
      </c>
      <c r="V16" s="5">
        <f>Table14[[#This Row],[Enrolment S.Y. 2025-2026 ]]*8</f>
        <v>4088</v>
      </c>
      <c r="W16" s="5"/>
      <c r="X16" s="1"/>
      <c r="Y16" s="5"/>
      <c r="Z16" s="5">
        <f t="shared" si="6"/>
        <v>4088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511</v>
      </c>
      <c r="D17" s="5">
        <f>Table14[[#This Row],[Enrolment S.Y. 2025-2026 ]]*8</f>
        <v>4088</v>
      </c>
      <c r="E17" s="5">
        <v>506</v>
      </c>
      <c r="F17" s="1">
        <v>2024</v>
      </c>
      <c r="G17" s="5" t="s">
        <v>9</v>
      </c>
      <c r="H17" s="5">
        <f>IF((D17-E17)&lt;0,0,(D17-E17))</f>
        <v>3582</v>
      </c>
      <c r="I17" s="5">
        <f>IF((E17-D17)&lt;0,0,(E17-D17))</f>
        <v>0</v>
      </c>
      <c r="J17" s="5">
        <f>Table14[[#This Row],[Enrolment S.Y. 2025-2026 ]]*8</f>
        <v>4088</v>
      </c>
      <c r="K17" s="5">
        <v>62</v>
      </c>
      <c r="L17" s="1">
        <v>2025</v>
      </c>
      <c r="M17" s="5" t="s">
        <v>9</v>
      </c>
      <c r="N17" s="5">
        <f t="shared" si="2"/>
        <v>4026</v>
      </c>
      <c r="O17" s="5">
        <f t="shared" si="3"/>
        <v>0</v>
      </c>
      <c r="P17" s="5">
        <f>Table14[[#This Row],[Enrolment S.Y. 2025-2026 ]]*8</f>
        <v>4088</v>
      </c>
      <c r="Q17" s="5"/>
      <c r="R17" s="1"/>
      <c r="S17" s="5"/>
      <c r="T17" s="5">
        <f t="shared" si="4"/>
        <v>4088</v>
      </c>
      <c r="U17" s="5">
        <f t="shared" si="5"/>
        <v>0</v>
      </c>
      <c r="V17" s="5">
        <f>Table14[[#This Row],[Enrolment S.Y. 2025-2026 ]]*8</f>
        <v>4088</v>
      </c>
      <c r="W17" s="5"/>
      <c r="X17" s="1"/>
      <c r="Y17" s="5"/>
      <c r="Z17" s="5">
        <f t="shared" si="6"/>
        <v>4088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511</v>
      </c>
      <c r="D18" s="5">
        <f>Table14[[#This Row],[Enrolment S.Y. 2025-2026 ]]*8</f>
        <v>4088</v>
      </c>
      <c r="E18" s="5">
        <v>506</v>
      </c>
      <c r="F18" s="1">
        <v>2024</v>
      </c>
      <c r="G18" s="5" t="s">
        <v>9</v>
      </c>
      <c r="H18" s="5">
        <f>IF((D18-E18)&lt;0,0,(D18-E18))</f>
        <v>3582</v>
      </c>
      <c r="I18" s="5">
        <f>IF((E18-D18)&lt;0,0,(E18-D18))</f>
        <v>0</v>
      </c>
      <c r="J18" s="5">
        <f>Table14[[#This Row],[Enrolment S.Y. 2025-2026 ]]*8</f>
        <v>4088</v>
      </c>
      <c r="K18" s="5">
        <v>62</v>
      </c>
      <c r="L18" s="1">
        <v>2025</v>
      </c>
      <c r="M18" s="5" t="s">
        <v>9</v>
      </c>
      <c r="N18" s="5">
        <f t="shared" si="2"/>
        <v>4026</v>
      </c>
      <c r="O18" s="5">
        <f t="shared" si="3"/>
        <v>0</v>
      </c>
      <c r="P18" s="5">
        <f>Table14[[#This Row],[Enrolment S.Y. 2025-2026 ]]*8</f>
        <v>4088</v>
      </c>
      <c r="Q18" s="5"/>
      <c r="R18" s="1"/>
      <c r="S18" s="5"/>
      <c r="T18" s="5">
        <f t="shared" si="4"/>
        <v>4088</v>
      </c>
      <c r="U18" s="5">
        <f t="shared" si="5"/>
        <v>0</v>
      </c>
      <c r="V18" s="5">
        <f>Table14[[#This Row],[Enrolment S.Y. 2025-2026 ]]*8</f>
        <v>4088</v>
      </c>
      <c r="W18" s="5"/>
      <c r="X18" s="1"/>
      <c r="Y18" s="5"/>
      <c r="Z18" s="5">
        <f t="shared" si="6"/>
        <v>4088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501</v>
      </c>
      <c r="D26" s="5">
        <f>Table14[[#This Row],[Enrolment S.Y. 2025-2026 ]]*8</f>
        <v>4008</v>
      </c>
      <c r="E26" s="5">
        <v>495</v>
      </c>
      <c r="F26" s="1">
        <v>2024</v>
      </c>
      <c r="G26" s="5" t="s">
        <v>9</v>
      </c>
      <c r="H26" s="5">
        <f t="shared" si="0"/>
        <v>3513</v>
      </c>
      <c r="I26" s="5">
        <f t="shared" si="1"/>
        <v>0</v>
      </c>
      <c r="J26" s="5">
        <f>Table14[[#This Row],[Enrolment S.Y. 2025-2026 ]]*8</f>
        <v>4008</v>
      </c>
      <c r="K26" s="5"/>
      <c r="L26" s="1"/>
      <c r="M26" s="5"/>
      <c r="N26" s="5">
        <f t="shared" si="2"/>
        <v>4008</v>
      </c>
      <c r="O26" s="5">
        <f t="shared" si="3"/>
        <v>0</v>
      </c>
      <c r="P26" s="5">
        <f>Table14[[#This Row],[Enrolment S.Y. 2025-2026 ]]*8</f>
        <v>4008</v>
      </c>
      <c r="Q26" s="5"/>
      <c r="R26" s="1"/>
      <c r="S26" s="5"/>
      <c r="T26" s="5">
        <f t="shared" si="4"/>
        <v>4008</v>
      </c>
      <c r="U26" s="5">
        <f t="shared" si="5"/>
        <v>0</v>
      </c>
      <c r="V26" s="5">
        <f>Table14[[#This Row],[Enrolment S.Y. 2025-2026 ]]*8</f>
        <v>4008</v>
      </c>
      <c r="W26" s="5"/>
      <c r="X26" s="1"/>
      <c r="Y26" s="5"/>
      <c r="Z26" s="5">
        <f t="shared" si="6"/>
        <v>4008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501</v>
      </c>
      <c r="D27" s="5">
        <f>Table14[[#This Row],[Enrolment S.Y. 2025-2026 ]]*8</f>
        <v>4008</v>
      </c>
      <c r="E27" s="5">
        <v>495</v>
      </c>
      <c r="F27" s="1">
        <v>2024</v>
      </c>
      <c r="G27" s="5" t="s">
        <v>9</v>
      </c>
      <c r="H27" s="5">
        <f>IF((D27-E27)&lt;0,0,(D27-E27))</f>
        <v>3513</v>
      </c>
      <c r="I27" s="5">
        <f>IF((E27-D27)&lt;0,0,(E27-D27))</f>
        <v>0</v>
      </c>
      <c r="J27" s="5">
        <f>Table14[[#This Row],[Enrolment S.Y. 2025-2026 ]]*8</f>
        <v>4008</v>
      </c>
      <c r="K27" s="5"/>
      <c r="L27" s="1"/>
      <c r="M27" s="5"/>
      <c r="N27" s="5">
        <f t="shared" si="2"/>
        <v>4008</v>
      </c>
      <c r="O27" s="5">
        <f t="shared" si="3"/>
        <v>0</v>
      </c>
      <c r="P27" s="5">
        <f>Table14[[#This Row],[Enrolment S.Y. 2025-2026 ]]*8</f>
        <v>4008</v>
      </c>
      <c r="Q27" s="5"/>
      <c r="R27" s="1"/>
      <c r="S27" s="5"/>
      <c r="T27" s="5">
        <f t="shared" si="4"/>
        <v>4008</v>
      </c>
      <c r="U27" s="5">
        <f t="shared" si="5"/>
        <v>0</v>
      </c>
      <c r="V27" s="5">
        <f>Table14[[#This Row],[Enrolment S.Y. 2025-2026 ]]*8</f>
        <v>4008</v>
      </c>
      <c r="W27" s="5"/>
      <c r="X27" s="1"/>
      <c r="Y27" s="5"/>
      <c r="Z27" s="5">
        <f t="shared" si="6"/>
        <v>4008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501</v>
      </c>
      <c r="D28" s="5">
        <f>Table14[[#This Row],[Enrolment S.Y. 2025-2026 ]]*8</f>
        <v>4008</v>
      </c>
      <c r="E28" s="5">
        <v>495</v>
      </c>
      <c r="F28" s="1">
        <v>2024</v>
      </c>
      <c r="G28" s="5" t="s">
        <v>9</v>
      </c>
      <c r="H28" s="5">
        <f>IF((D28-E28)&lt;0,0,(D28-E28))</f>
        <v>3513</v>
      </c>
      <c r="I28" s="5">
        <f>IF((E28-D28)&lt;0,0,(E28-D28))</f>
        <v>0</v>
      </c>
      <c r="J28" s="5">
        <f>Table14[[#This Row],[Enrolment S.Y. 2025-2026 ]]*8</f>
        <v>4008</v>
      </c>
      <c r="K28" s="5"/>
      <c r="L28" s="1"/>
      <c r="M28" s="5"/>
      <c r="N28" s="5">
        <f t="shared" si="2"/>
        <v>4008</v>
      </c>
      <c r="O28" s="5">
        <f t="shared" si="3"/>
        <v>0</v>
      </c>
      <c r="P28" s="5">
        <f>Table14[[#This Row],[Enrolment S.Y. 2025-2026 ]]*8</f>
        <v>4008</v>
      </c>
      <c r="Q28" s="5"/>
      <c r="R28" s="1"/>
      <c r="S28" s="5"/>
      <c r="T28" s="5">
        <f t="shared" si="4"/>
        <v>4008</v>
      </c>
      <c r="U28" s="5">
        <f t="shared" si="5"/>
        <v>0</v>
      </c>
      <c r="V28" s="5">
        <f>Table14[[#This Row],[Enrolment S.Y. 2025-2026 ]]*8</f>
        <v>4008</v>
      </c>
      <c r="W28" s="5"/>
      <c r="X28" s="1"/>
      <c r="Y28" s="5"/>
      <c r="Z28" s="5">
        <f t="shared" si="6"/>
        <v>4008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481</v>
      </c>
      <c r="D55" s="5">
        <f>Table14[[#This Row],[Enrolment S.Y. 2025-2026 ]]*8</f>
        <v>3848</v>
      </c>
      <c r="E55" s="5">
        <v>102</v>
      </c>
      <c r="F55" s="1">
        <v>2025</v>
      </c>
      <c r="G55" s="5" t="s">
        <v>9</v>
      </c>
      <c r="H55" s="5">
        <f t="shared" si="0"/>
        <v>3746</v>
      </c>
      <c r="I55" s="5">
        <f t="shared" si="1"/>
        <v>0</v>
      </c>
      <c r="J55" s="5">
        <f>Table14[[#This Row],[Enrolment S.Y. 2025-2026 ]]*8</f>
        <v>3848</v>
      </c>
      <c r="K55" s="5">
        <v>102</v>
      </c>
      <c r="L55" s="1">
        <v>2025</v>
      </c>
      <c r="M55" s="5" t="s">
        <v>9</v>
      </c>
      <c r="N55" s="5">
        <f t="shared" si="2"/>
        <v>3746</v>
      </c>
      <c r="O55" s="5">
        <f t="shared" si="3"/>
        <v>0</v>
      </c>
      <c r="P55" s="5">
        <f>Table14[[#This Row],[Enrolment S.Y. 2025-2026 ]]*8</f>
        <v>3848</v>
      </c>
      <c r="Q55" s="5">
        <v>102</v>
      </c>
      <c r="R55" s="1">
        <v>2025</v>
      </c>
      <c r="S55" s="5" t="s">
        <v>9</v>
      </c>
      <c r="T55" s="5">
        <f t="shared" si="4"/>
        <v>3746</v>
      </c>
      <c r="U55" s="5">
        <f t="shared" si="5"/>
        <v>0</v>
      </c>
      <c r="V55" s="5">
        <f>Table14[[#This Row],[Enrolment S.Y. 2025-2026 ]]*8</f>
        <v>3848</v>
      </c>
      <c r="W55" s="5">
        <v>102</v>
      </c>
      <c r="X55" s="1">
        <v>2025</v>
      </c>
      <c r="Y55" s="5" t="s">
        <v>9</v>
      </c>
      <c r="Z55" s="5">
        <f t="shared" si="6"/>
        <v>3746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481</v>
      </c>
      <c r="D56" s="5">
        <f>Table14[[#This Row],[Enrolment S.Y. 2025-2026 ]]*8</f>
        <v>3848</v>
      </c>
      <c r="E56" s="5">
        <v>102</v>
      </c>
      <c r="F56" s="1">
        <v>2025</v>
      </c>
      <c r="G56" s="5" t="s">
        <v>9</v>
      </c>
      <c r="H56" s="5">
        <f t="shared" si="0"/>
        <v>3746</v>
      </c>
      <c r="I56" s="5">
        <f t="shared" si="1"/>
        <v>0</v>
      </c>
      <c r="J56" s="5">
        <f>Table14[[#This Row],[Enrolment S.Y. 2025-2026 ]]*8</f>
        <v>3848</v>
      </c>
      <c r="K56" s="5">
        <v>102</v>
      </c>
      <c r="L56" s="1">
        <v>2025</v>
      </c>
      <c r="M56" s="5" t="s">
        <v>9</v>
      </c>
      <c r="N56" s="5">
        <f t="shared" si="2"/>
        <v>3746</v>
      </c>
      <c r="O56" s="5">
        <f t="shared" si="3"/>
        <v>0</v>
      </c>
      <c r="P56" s="5">
        <f>Table14[[#This Row],[Enrolment S.Y. 2025-2026 ]]*8</f>
        <v>3848</v>
      </c>
      <c r="Q56" s="5">
        <v>102</v>
      </c>
      <c r="R56" s="1">
        <v>2025</v>
      </c>
      <c r="S56" s="5" t="s">
        <v>9</v>
      </c>
      <c r="T56" s="5">
        <f t="shared" si="4"/>
        <v>3746</v>
      </c>
      <c r="U56" s="5">
        <f t="shared" si="5"/>
        <v>0</v>
      </c>
      <c r="V56" s="5">
        <f>Table14[[#This Row],[Enrolment S.Y. 2025-2026 ]]*8</f>
        <v>3848</v>
      </c>
      <c r="W56" s="5">
        <v>102</v>
      </c>
      <c r="X56" s="1">
        <v>2025</v>
      </c>
      <c r="Y56" s="5" t="s">
        <v>9</v>
      </c>
      <c r="Z56" s="5">
        <f t="shared" si="6"/>
        <v>3746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481</v>
      </c>
      <c r="D57" s="5">
        <f>Table14[[#This Row],[Enrolment S.Y. 2025-2026 ]]*8</f>
        <v>3848</v>
      </c>
      <c r="E57" s="5">
        <v>102</v>
      </c>
      <c r="F57" s="1">
        <v>2025</v>
      </c>
      <c r="G57" s="5" t="s">
        <v>9</v>
      </c>
      <c r="H57" s="5">
        <f t="shared" si="0"/>
        <v>3746</v>
      </c>
      <c r="I57" s="5">
        <f t="shared" si="1"/>
        <v>0</v>
      </c>
      <c r="J57" s="5">
        <f>Table14[[#This Row],[Enrolment S.Y. 2025-2026 ]]*8</f>
        <v>3848</v>
      </c>
      <c r="K57" s="5">
        <v>102</v>
      </c>
      <c r="L57" s="1">
        <v>2025</v>
      </c>
      <c r="M57" s="5" t="s">
        <v>9</v>
      </c>
      <c r="N57" s="5">
        <f t="shared" si="2"/>
        <v>3746</v>
      </c>
      <c r="O57" s="5">
        <f t="shared" si="3"/>
        <v>0</v>
      </c>
      <c r="P57" s="5">
        <f>Table14[[#This Row],[Enrolment S.Y. 2025-2026 ]]*8</f>
        <v>3848</v>
      </c>
      <c r="Q57" s="5">
        <v>102</v>
      </c>
      <c r="R57" s="1">
        <v>2025</v>
      </c>
      <c r="S57" s="5" t="s">
        <v>9</v>
      </c>
      <c r="T57" s="5">
        <f t="shared" si="4"/>
        <v>3746</v>
      </c>
      <c r="U57" s="5">
        <f t="shared" si="5"/>
        <v>0</v>
      </c>
      <c r="V57" s="5">
        <f>Table14[[#This Row],[Enrolment S.Y. 2025-2026 ]]*8</f>
        <v>3848</v>
      </c>
      <c r="W57" s="5">
        <v>102</v>
      </c>
      <c r="X57" s="1">
        <v>2025</v>
      </c>
      <c r="Y57" s="5" t="s">
        <v>9</v>
      </c>
      <c r="Z57" s="5">
        <f t="shared" si="6"/>
        <v>3746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481</v>
      </c>
      <c r="D58" s="5">
        <f>Table14[[#This Row],[Enrolment S.Y. 2025-2026 ]]*8</f>
        <v>3848</v>
      </c>
      <c r="E58" s="5"/>
      <c r="F58" s="1"/>
      <c r="G58" s="5"/>
      <c r="H58" s="5">
        <f t="shared" si="0"/>
        <v>3848</v>
      </c>
      <c r="I58" s="5">
        <f t="shared" si="1"/>
        <v>0</v>
      </c>
      <c r="J58" s="5">
        <f>Table14[[#This Row],[Enrolment S.Y. 2025-2026 ]]*8</f>
        <v>3848</v>
      </c>
      <c r="K58" s="5"/>
      <c r="L58" s="1"/>
      <c r="M58" s="5"/>
      <c r="N58" s="5">
        <f t="shared" si="2"/>
        <v>3848</v>
      </c>
      <c r="O58" s="5">
        <f t="shared" si="3"/>
        <v>0</v>
      </c>
      <c r="P58" s="5">
        <f>Table14[[#This Row],[Enrolment S.Y. 2025-2026 ]]*8</f>
        <v>3848</v>
      </c>
      <c r="Q58" s="5">
        <v>102</v>
      </c>
      <c r="R58" s="1">
        <v>2025</v>
      </c>
      <c r="S58" s="5" t="s">
        <v>9</v>
      </c>
      <c r="T58" s="5">
        <f t="shared" si="4"/>
        <v>3746</v>
      </c>
      <c r="U58" s="5">
        <f t="shared" si="5"/>
        <v>0</v>
      </c>
      <c r="V58" s="5">
        <f>Table14[[#This Row],[Enrolment S.Y. 2025-2026 ]]*8</f>
        <v>3848</v>
      </c>
      <c r="W58" s="5">
        <v>102</v>
      </c>
      <c r="X58" s="1">
        <v>2025</v>
      </c>
      <c r="Y58" s="5" t="s">
        <v>9</v>
      </c>
      <c r="Z58" s="5">
        <f t="shared" si="6"/>
        <v>3746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481</v>
      </c>
      <c r="D59" s="5">
        <f>Table14[[#This Row],[Enrolment S.Y. 2025-2026 ]]*8</f>
        <v>3848</v>
      </c>
      <c r="E59" s="5"/>
      <c r="F59" s="1"/>
      <c r="G59" s="5"/>
      <c r="H59" s="5">
        <f t="shared" si="0"/>
        <v>3848</v>
      </c>
      <c r="I59" s="5">
        <f t="shared" si="1"/>
        <v>0</v>
      </c>
      <c r="J59" s="5">
        <f>Table14[[#This Row],[Enrolment S.Y. 2025-2026 ]]*8</f>
        <v>3848</v>
      </c>
      <c r="K59" s="5"/>
      <c r="L59" s="1"/>
      <c r="M59" s="5"/>
      <c r="N59" s="5">
        <f t="shared" si="2"/>
        <v>3848</v>
      </c>
      <c r="O59" s="5">
        <f t="shared" si="3"/>
        <v>0</v>
      </c>
      <c r="P59" s="5">
        <f>Table14[[#This Row],[Enrolment S.Y. 2025-2026 ]]*8</f>
        <v>3848</v>
      </c>
      <c r="Q59" s="5">
        <v>102</v>
      </c>
      <c r="R59" s="1">
        <v>2025</v>
      </c>
      <c r="S59" s="5" t="s">
        <v>9</v>
      </c>
      <c r="T59" s="5">
        <f t="shared" si="4"/>
        <v>3746</v>
      </c>
      <c r="U59" s="5">
        <f t="shared" si="5"/>
        <v>0</v>
      </c>
      <c r="V59" s="5">
        <f>Table14[[#This Row],[Enrolment S.Y. 2025-2026 ]]*8</f>
        <v>3848</v>
      </c>
      <c r="W59" s="5">
        <v>102</v>
      </c>
      <c r="X59" s="1">
        <v>2025</v>
      </c>
      <c r="Y59" s="5" t="s">
        <v>9</v>
      </c>
      <c r="Z59" s="5">
        <f t="shared" si="6"/>
        <v>3746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481</v>
      </c>
      <c r="D60" s="5">
        <f>Table14[[#This Row],[Enrolment S.Y. 2025-2026 ]]*8</f>
        <v>3848</v>
      </c>
      <c r="E60" s="5"/>
      <c r="F60" s="1"/>
      <c r="G60" s="5"/>
      <c r="H60" s="5">
        <f t="shared" si="0"/>
        <v>3848</v>
      </c>
      <c r="I60" s="5">
        <f t="shared" si="1"/>
        <v>0</v>
      </c>
      <c r="J60" s="5">
        <f>Table14[[#This Row],[Enrolment S.Y. 2025-2026 ]]*8</f>
        <v>3848</v>
      </c>
      <c r="K60" s="5"/>
      <c r="L60" s="1"/>
      <c r="M60" s="5"/>
      <c r="N60" s="5">
        <f t="shared" si="2"/>
        <v>3848</v>
      </c>
      <c r="O60" s="5">
        <f t="shared" si="3"/>
        <v>0</v>
      </c>
      <c r="P60" s="5">
        <f>Table14[[#This Row],[Enrolment S.Y. 2025-2026 ]]*8</f>
        <v>3848</v>
      </c>
      <c r="Q60" s="5">
        <v>102</v>
      </c>
      <c r="R60" s="1">
        <v>2025</v>
      </c>
      <c r="S60" s="5" t="s">
        <v>9</v>
      </c>
      <c r="T60" s="5">
        <f t="shared" si="4"/>
        <v>3746</v>
      </c>
      <c r="U60" s="5">
        <f t="shared" si="5"/>
        <v>0</v>
      </c>
      <c r="V60" s="5">
        <f>Table14[[#This Row],[Enrolment S.Y. 2025-2026 ]]*8</f>
        <v>3848</v>
      </c>
      <c r="W60" s="5">
        <v>102</v>
      </c>
      <c r="X60" s="1">
        <v>2025</v>
      </c>
      <c r="Y60" s="5" t="s">
        <v>9</v>
      </c>
      <c r="Z60" s="5">
        <f t="shared" si="6"/>
        <v>3746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481</v>
      </c>
      <c r="D61" s="5">
        <f>Table14[[#This Row],[Enrolment S.Y. 2025-2026 ]]*8</f>
        <v>3848</v>
      </c>
      <c r="E61" s="5"/>
      <c r="F61" s="1"/>
      <c r="G61" s="5"/>
      <c r="H61" s="5">
        <f>IF((D61-E61)&lt;0,0,(D61-E61))</f>
        <v>3848</v>
      </c>
      <c r="I61" s="5">
        <f>IF((E61-D61)&lt;0,0,(E61-D61))</f>
        <v>0</v>
      </c>
      <c r="J61" s="5">
        <f>Table14[[#This Row],[Enrolment S.Y. 2025-2026 ]]*8</f>
        <v>3848</v>
      </c>
      <c r="K61" s="5"/>
      <c r="L61" s="1"/>
      <c r="M61" s="5"/>
      <c r="N61" s="5">
        <f t="shared" ref="N61:N65" si="12">IF((J61-K61)&lt;0,0,(J61-K61))</f>
        <v>3848</v>
      </c>
      <c r="O61" s="5">
        <f t="shared" ref="O61:O65" si="13">IF((K61-J61)&lt;0,0,(K61-J61))</f>
        <v>0</v>
      </c>
      <c r="P61" s="5">
        <f>Table14[[#This Row],[Enrolment S.Y. 2025-2026 ]]*8</f>
        <v>3848</v>
      </c>
      <c r="Q61" s="5">
        <v>102</v>
      </c>
      <c r="R61" s="1">
        <v>2025</v>
      </c>
      <c r="S61" s="5" t="s">
        <v>9</v>
      </c>
      <c r="T61" s="5">
        <f>IF((P61-Q61)&lt;0,0,(P61-Q61))</f>
        <v>3746</v>
      </c>
      <c r="U61" s="5">
        <f>IF((Q61-P61)&lt;0,0,(Q61-P61))</f>
        <v>0</v>
      </c>
      <c r="V61" s="5">
        <f>Table14[[#This Row],[Enrolment S.Y. 2025-2026 ]]*8</f>
        <v>3848</v>
      </c>
      <c r="W61" s="5">
        <v>102</v>
      </c>
      <c r="X61" s="1">
        <v>2025</v>
      </c>
      <c r="Y61" s="5" t="s">
        <v>9</v>
      </c>
      <c r="Z61" s="5">
        <f>IF((V61-W61)&lt;0,0,(V61-W61))</f>
        <v>3746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481</v>
      </c>
      <c r="D62" s="5">
        <f>Table14[[#This Row],[Enrolment S.Y. 2025-2026 ]]*8</f>
        <v>3848</v>
      </c>
      <c r="E62" s="5"/>
      <c r="F62" s="1"/>
      <c r="G62" s="5"/>
      <c r="H62" s="5">
        <f t="shared" si="0"/>
        <v>3848</v>
      </c>
      <c r="I62" s="5">
        <f t="shared" si="1"/>
        <v>0</v>
      </c>
      <c r="J62" s="5">
        <f>Table14[[#This Row],[Enrolment S.Y. 2025-2026 ]]*8</f>
        <v>3848</v>
      </c>
      <c r="K62" s="5"/>
      <c r="L62" s="1"/>
      <c r="M62" s="5"/>
      <c r="N62" s="5">
        <f t="shared" si="12"/>
        <v>3848</v>
      </c>
      <c r="O62" s="5">
        <f t="shared" si="13"/>
        <v>0</v>
      </c>
      <c r="P62" s="5">
        <f>Table14[[#This Row],[Enrolment S.Y. 2025-2026 ]]*8</f>
        <v>3848</v>
      </c>
      <c r="Q62" s="5">
        <v>102</v>
      </c>
      <c r="R62" s="1">
        <v>2025</v>
      </c>
      <c r="S62" s="5" t="s">
        <v>9</v>
      </c>
      <c r="T62" s="5">
        <f t="shared" si="4"/>
        <v>3746</v>
      </c>
      <c r="U62" s="5">
        <f t="shared" si="5"/>
        <v>0</v>
      </c>
      <c r="V62" s="5">
        <f>Table14[[#This Row],[Enrolment S.Y. 2025-2026 ]]*8</f>
        <v>3848</v>
      </c>
      <c r="W62" s="5">
        <v>102</v>
      </c>
      <c r="X62" s="1">
        <v>2025</v>
      </c>
      <c r="Y62" s="5" t="s">
        <v>9</v>
      </c>
      <c r="Z62" s="5">
        <f t="shared" si="6"/>
        <v>3746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481</v>
      </c>
      <c r="D64" s="5">
        <f>Table14[[#This Row],[Enrolment S.Y. 2025-2026 ]]*8</f>
        <v>3848</v>
      </c>
      <c r="E64" s="5"/>
      <c r="F64" s="1"/>
      <c r="G64" s="5"/>
      <c r="H64" s="5">
        <f>IF((D64-E64)&lt;0,0,(D64-E64))</f>
        <v>3848</v>
      </c>
      <c r="I64" s="5">
        <f>IF((E64-D64)&lt;0,0,(E64-D64))</f>
        <v>0</v>
      </c>
      <c r="J64" s="5">
        <f>Table14[[#This Row],[Enrolment S.Y. 2025-2026 ]]*8</f>
        <v>3848</v>
      </c>
      <c r="K64" s="5"/>
      <c r="L64" s="1"/>
      <c r="M64" s="5"/>
      <c r="N64" s="5">
        <f t="shared" si="12"/>
        <v>3848</v>
      </c>
      <c r="O64" s="5">
        <f t="shared" si="13"/>
        <v>0</v>
      </c>
      <c r="P64" s="5">
        <f>Table14[[#This Row],[Enrolment S.Y. 2025-2026 ]]*8</f>
        <v>3848</v>
      </c>
      <c r="Q64" s="5">
        <v>102</v>
      </c>
      <c r="R64" s="1">
        <v>2025</v>
      </c>
      <c r="S64" s="5" t="s">
        <v>9</v>
      </c>
      <c r="T64" s="5">
        <f>IF((P64-Q64)&lt;0,0,(P64-Q64))</f>
        <v>3746</v>
      </c>
      <c r="U64" s="5">
        <f>IF((Q64-P64)&lt;0,0,(Q64-P64))</f>
        <v>0</v>
      </c>
      <c r="V64" s="5">
        <f>Table14[[#This Row],[Enrolment S.Y. 2025-2026 ]]*8</f>
        <v>3848</v>
      </c>
      <c r="W64" s="5">
        <v>102</v>
      </c>
      <c r="X64" s="1">
        <v>2025</v>
      </c>
      <c r="Y64" s="5" t="s">
        <v>9</v>
      </c>
      <c r="Z64" s="5">
        <f>IF((V64-W64)&lt;0,0,(V64-W64))</f>
        <v>3746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481</v>
      </c>
      <c r="D65" s="5">
        <f>Table14[[#This Row],[Enrolment S.Y. 2025-2026 ]]*8</f>
        <v>3848</v>
      </c>
      <c r="E65" s="5"/>
      <c r="F65" s="1"/>
      <c r="G65" s="5"/>
      <c r="H65" s="5">
        <f t="shared" si="0"/>
        <v>3848</v>
      </c>
      <c r="I65" s="5">
        <f t="shared" si="1"/>
        <v>0</v>
      </c>
      <c r="J65" s="5">
        <f>Table14[[#This Row],[Enrolment S.Y. 2025-2026 ]]*8</f>
        <v>3848</v>
      </c>
      <c r="K65" s="5"/>
      <c r="L65" s="1"/>
      <c r="M65" s="5"/>
      <c r="N65" s="5">
        <f t="shared" si="12"/>
        <v>3848</v>
      </c>
      <c r="O65" s="5">
        <f t="shared" si="13"/>
        <v>0</v>
      </c>
      <c r="P65" s="5">
        <f>Table14[[#This Row],[Enrolment S.Y. 2025-2026 ]]*8</f>
        <v>3848</v>
      </c>
      <c r="Q65" s="5">
        <v>102</v>
      </c>
      <c r="R65" s="1">
        <v>2025</v>
      </c>
      <c r="S65" s="5" t="s">
        <v>9</v>
      </c>
      <c r="T65" s="5">
        <f t="shared" si="4"/>
        <v>3746</v>
      </c>
      <c r="U65" s="5">
        <f t="shared" si="5"/>
        <v>0</v>
      </c>
      <c r="V65" s="5">
        <f>Table14[[#This Row],[Enrolment S.Y. 2025-2026 ]]*8</f>
        <v>3848</v>
      </c>
      <c r="W65" s="5">
        <v>102</v>
      </c>
      <c r="X65" s="1">
        <v>2025</v>
      </c>
      <c r="Y65" s="5" t="s">
        <v>9</v>
      </c>
      <c r="Z65" s="5">
        <f t="shared" si="6"/>
        <v>3746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L43:L53 L55:L65 L67:L77 L79:L89 L91:L101 L103:L113 L115:L122 R3:R10 R12:R19 R21:R29 R31:R41 R43:R53 R55:R65 R67:R77 R79:R89 R91:R101 R103:R113 R115:R122 X3:X10 X12:X19 X21:X29 X31:X41 X43:X53 X55:X65 X67:X77 X79:X89 X91:X101 X103:X113 F3:F10 F12:F19 F21:F29 F31:F41 F43:F53 F55:F65 F67:F77 F79:F89 F91:F101 F103:F113 F115:F122 L3:L10 L12:L19 L21:L29 L31:L41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2026-03-26T08:58:12Z</dcterms:modified>
  <cp:category/>
  <cp:contentStatus/>
</cp:coreProperties>
</file>