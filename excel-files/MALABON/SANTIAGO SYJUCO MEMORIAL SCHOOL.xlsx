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3" documentId="13_ncr:1_{BFB59F67-F0DC-4675-A682-EB0734A8026A}" xr6:coauthVersionLast="47" xr6:coauthVersionMax="47" xr10:uidLastSave="{32D62D75-C118-4416-8E26-C0046B7A3F44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H3" i="4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Z33" i="4"/>
  <c r="AA34" i="4"/>
  <c r="Z35" i="4"/>
  <c r="Z36" i="4"/>
  <c r="Z37" i="4"/>
  <c r="AA38" i="4"/>
  <c r="Z39" i="4"/>
  <c r="Z40" i="4"/>
  <c r="Z41" i="4"/>
  <c r="AA43" i="4"/>
  <c r="Z44" i="4"/>
  <c r="AA45" i="4"/>
  <c r="Z46" i="4"/>
  <c r="AA47" i="4"/>
  <c r="Z48" i="4"/>
  <c r="Z49" i="4"/>
  <c r="Z50" i="4"/>
  <c r="AA51" i="4"/>
  <c r="Z53" i="4"/>
  <c r="Z54" i="4"/>
  <c r="Z55" i="4"/>
  <c r="AA56" i="4"/>
  <c r="Z57" i="4"/>
  <c r="Z58" i="4"/>
  <c r="Z59" i="4"/>
  <c r="AA60" i="4"/>
  <c r="Z61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P34" i="4"/>
  <c r="T34" i="4" s="1"/>
  <c r="P35" i="4"/>
  <c r="T35" i="4" s="1"/>
  <c r="P36" i="4"/>
  <c r="P37" i="4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T53" i="4"/>
  <c r="U55" i="4"/>
  <c r="T56" i="4"/>
  <c r="T57" i="4"/>
  <c r="T59" i="4"/>
  <c r="T60" i="4"/>
  <c r="T61" i="4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H19" i="4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I17" i="4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H33" i="4"/>
  <c r="H34" i="4"/>
  <c r="H35" i="4"/>
  <c r="H36" i="4"/>
  <c r="I39" i="4"/>
  <c r="I40" i="4"/>
  <c r="I43" i="4"/>
  <c r="D44" i="4"/>
  <c r="H44" i="4" s="1"/>
  <c r="H45" i="4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I41" i="4"/>
  <c r="H41" i="4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<sst xmlns="http://schemas.openxmlformats.org/spreadsheetml/2006/main" count="483" uniqueCount="91">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</sst>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76" activePane="topRight" state="frozen"/>
      <selection pane="topRight" activeCell="E79" sqref="E7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91</v>
      </c>
      <c r="D2" s="1">
        <v>186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95</v>
      </c>
    </row>
    <row r="3" spans="1:8" ht="29.25" customHeight="1">
      <c r="A3" s="1">
        <v>1</v>
      </c>
      <c r="B3" s="2" t="s">
        <v>10</v>
      </c>
      <c r="C3" s="1">
        <v>91</v>
      </c>
      <c r="D3" s="1">
        <v>186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95</v>
      </c>
    </row>
    <row r="4" spans="1:8" ht="21" customHeight="1">
      <c r="A4" s="1">
        <v>1</v>
      </c>
      <c r="B4" s="2" t="s">
        <v>11</v>
      </c>
      <c r="C4" s="1">
        <v>91</v>
      </c>
      <c r="D4" s="1">
        <v>186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95</v>
      </c>
    </row>
    <row r="5" spans="1:8" ht="25.5" customHeight="1">
      <c r="A5" s="1">
        <v>1</v>
      </c>
      <c r="B5" s="2" t="s">
        <v>12</v>
      </c>
      <c r="C5" s="1">
        <v>91</v>
      </c>
      <c r="D5" s="1">
        <v>186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95</v>
      </c>
    </row>
    <row r="6" spans="1:8" ht="19.5">
      <c r="A6" s="1">
        <v>1</v>
      </c>
      <c r="B6" s="2" t="s">
        <v>13</v>
      </c>
      <c r="C6" s="1">
        <v>91</v>
      </c>
      <c r="D6" s="1">
        <v>186</v>
      </c>
      <c r="E6" s="1">
        <v>2025</v>
      </c>
      <c r="F6" s="5" t="s">
        <v>9</v>
      </c>
      <c r="G6" s="3">
        <f t="shared" si="0"/>
        <v>0</v>
      </c>
      <c r="H6" s="4">
        <f t="shared" si="1"/>
        <v>95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132</v>
      </c>
      <c r="D21" s="1">
        <v>157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25</v>
      </c>
    </row>
    <row r="22" spans="1:8" ht="24" customHeight="1">
      <c r="A22" s="1">
        <v>4</v>
      </c>
      <c r="B22" s="9" t="s">
        <v>16</v>
      </c>
      <c r="C22" s="1">
        <v>132</v>
      </c>
      <c r="D22" s="1">
        <v>157</v>
      </c>
      <c r="E22" s="1">
        <v>2024</v>
      </c>
      <c r="F22" s="5" t="s">
        <v>9</v>
      </c>
      <c r="G22" s="3">
        <f t="shared" si="4"/>
        <v>0</v>
      </c>
      <c r="H22" s="4">
        <f t="shared" si="5"/>
        <v>25</v>
      </c>
    </row>
    <row r="23" spans="1:8" ht="19.5">
      <c r="A23" s="1">
        <v>4</v>
      </c>
      <c r="B23" s="9" t="s">
        <v>13</v>
      </c>
      <c r="C23" s="1">
        <v>132</v>
      </c>
      <c r="D23" s="1">
        <v>157</v>
      </c>
      <c r="E23" s="1">
        <v>2025</v>
      </c>
      <c r="F23" s="5" t="s">
        <v>9</v>
      </c>
      <c r="G23" s="3">
        <f t="shared" si="4"/>
        <v>0</v>
      </c>
      <c r="H23" s="4">
        <f t="shared" si="5"/>
        <v>25</v>
      </c>
    </row>
    <row r="24" spans="1:8" ht="27" customHeight="1">
      <c r="A24" s="1">
        <v>4</v>
      </c>
      <c r="B24" s="9" t="s">
        <v>11</v>
      </c>
      <c r="C24" s="1">
        <v>132</v>
      </c>
      <c r="D24" s="1">
        <v>157</v>
      </c>
      <c r="E24" s="1">
        <v>2025</v>
      </c>
      <c r="F24" s="5" t="s">
        <v>9</v>
      </c>
      <c r="G24" s="3">
        <f t="shared" si="4"/>
        <v>0</v>
      </c>
      <c r="H24" s="4">
        <f t="shared" si="5"/>
        <v>25</v>
      </c>
    </row>
    <row r="25" spans="1:8" ht="33.75" customHeight="1">
      <c r="A25" s="1">
        <v>4</v>
      </c>
      <c r="B25" s="9" t="s">
        <v>17</v>
      </c>
      <c r="C25" s="1">
        <v>132</v>
      </c>
      <c r="D25" s="1">
        <v>157</v>
      </c>
      <c r="E25" s="1">
        <v>2024</v>
      </c>
      <c r="F25" s="5" t="s">
        <v>9</v>
      </c>
      <c r="G25" s="3">
        <f t="shared" si="4"/>
        <v>0</v>
      </c>
      <c r="H25" s="4">
        <f t="shared" si="5"/>
        <v>25</v>
      </c>
    </row>
    <row r="26" spans="1:8" ht="33.75" customHeight="1">
      <c r="A26" s="1">
        <v>4</v>
      </c>
      <c r="B26" s="9" t="s">
        <v>14</v>
      </c>
      <c r="C26" s="1">
        <v>132</v>
      </c>
      <c r="D26" s="1">
        <v>157</v>
      </c>
      <c r="E26" s="1">
        <v>2024</v>
      </c>
      <c r="F26" s="5" t="s">
        <v>9</v>
      </c>
      <c r="G26" s="3">
        <f t="shared" si="4"/>
        <v>0</v>
      </c>
      <c r="H26" s="4">
        <f t="shared" si="5"/>
        <v>25</v>
      </c>
    </row>
    <row r="27" spans="1:8" ht="33.75" customHeight="1">
      <c r="A27" s="1">
        <v>4</v>
      </c>
      <c r="B27" s="9" t="s">
        <v>18</v>
      </c>
      <c r="C27" s="1">
        <v>132</v>
      </c>
      <c r="D27" s="1">
        <v>157</v>
      </c>
      <c r="E27" s="1">
        <v>2024</v>
      </c>
      <c r="F27" s="5" t="s">
        <v>9</v>
      </c>
      <c r="G27" s="3">
        <f t="shared" si="4"/>
        <v>0</v>
      </c>
      <c r="H27" s="4">
        <f t="shared" si="5"/>
        <v>25</v>
      </c>
    </row>
    <row r="28" spans="1:8" ht="27.75" customHeight="1">
      <c r="A28" s="1">
        <v>4</v>
      </c>
      <c r="B28" s="9" t="s">
        <v>19</v>
      </c>
      <c r="C28" s="1">
        <v>132</v>
      </c>
      <c r="D28" s="1">
        <v>157</v>
      </c>
      <c r="E28" s="1">
        <v>2024</v>
      </c>
      <c r="F28" s="5" t="s">
        <v>9</v>
      </c>
      <c r="G28" s="3">
        <f t="shared" si="4"/>
        <v>0</v>
      </c>
      <c r="H28" s="4">
        <f t="shared" si="5"/>
        <v>25</v>
      </c>
    </row>
    <row r="29" spans="1:8" ht="27.75" customHeight="1">
      <c r="A29" s="1">
        <v>4</v>
      </c>
      <c r="B29" s="9" t="s">
        <v>20</v>
      </c>
      <c r="C29" s="1">
        <v>132</v>
      </c>
      <c r="D29" s="1">
        <v>157</v>
      </c>
      <c r="E29" s="1">
        <v>2024</v>
      </c>
      <c r="F29" s="5" t="s">
        <v>9</v>
      </c>
      <c r="G29" s="3">
        <f t="shared" si="4"/>
        <v>0</v>
      </c>
      <c r="H29" s="4">
        <f t="shared" si="5"/>
        <v>25</v>
      </c>
    </row>
    <row r="30" spans="1:8" ht="27.75" customHeight="1">
      <c r="A30" s="7"/>
      <c r="B30" s="7"/>
      <c r="C30" s="8"/>
      <c r="D30" s="8"/>
      <c r="E30" s="1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134</v>
      </c>
      <c r="D31" s="1">
        <v>150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16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 t="s">
        <v>9</v>
      </c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 t="s">
        <v>9</v>
      </c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 t="s">
        <v>9</v>
      </c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134</v>
      </c>
      <c r="D35" s="1">
        <v>150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16</v>
      </c>
    </row>
    <row r="36" spans="1:8" ht="27.75" customHeight="1">
      <c r="A36" s="1">
        <v>5</v>
      </c>
      <c r="B36" s="9" t="s">
        <v>14</v>
      </c>
      <c r="C36" s="1">
        <v>134</v>
      </c>
      <c r="D36" s="1">
        <v>150</v>
      </c>
      <c r="E36" s="1">
        <v>2025</v>
      </c>
      <c r="F36" s="5" t="s">
        <v>9</v>
      </c>
      <c r="G36" s="3">
        <f t="shared" si="6"/>
        <v>0</v>
      </c>
      <c r="H36" s="4">
        <f t="shared" si="7"/>
        <v>16</v>
      </c>
    </row>
    <row r="37" spans="1:8" ht="27.75" customHeight="1">
      <c r="A37" s="1">
        <v>5</v>
      </c>
      <c r="B37" s="9" t="s">
        <v>18</v>
      </c>
      <c r="C37" s="1">
        <v>134</v>
      </c>
      <c r="D37" s="1">
        <v>150</v>
      </c>
      <c r="E37" s="1">
        <v>2025</v>
      </c>
      <c r="F37" s="5" t="s">
        <v>9</v>
      </c>
      <c r="G37" s="3">
        <f t="shared" si="6"/>
        <v>0</v>
      </c>
      <c r="H37" s="4">
        <f t="shared" si="7"/>
        <v>16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 t="s">
        <v>9</v>
      </c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 t="s">
        <v>9</v>
      </c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4">
    <dataValidation type="list" allowBlank="1" showInputMessage="1" showErrorMessage="1" sqref="E30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  <dataValidation type="list" allowBlank="1" showInputMessage="1" showErrorMessage="1" sqref="E2:E6 E8:E12 E21:E29 E31:E39 E41:E49 E51:E59 E61:E69 E71:E79 E81:E89 E91:E98" xr:uid="{B66BA52A-01AD-49FF-A2B9-CA4041BE5806}">
      <formula1>"2024,2025,2026"</formula1>
    </dataValidation>
    <dataValidation type="list" allowBlank="1" showInputMessage="1" showErrorMessage="1" sqref="E14:E19" xr:uid="{1B9BBD8E-A1F3-4329-A93D-5ABE076C6412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" zoomScale="70" zoomScaleNormal="70" workbookViewId="0">
      <selection activeCell="X5" sqref="X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119</v>
      </c>
      <c r="D3" s="34">
        <v>169</v>
      </c>
      <c r="E3" s="34">
        <v>169</v>
      </c>
      <c r="F3" s="32">
        <v>2024</v>
      </c>
      <c r="G3" s="34" t="s">
        <v>9</v>
      </c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952</v>
      </c>
      <c r="K3" s="34"/>
      <c r="L3" s="32"/>
      <c r="M3" s="34"/>
      <c r="N3" s="5">
        <f t="shared" ref="N3" si="0">IF((J3-K3)&lt;0,0,(J3-K3))</f>
        <v>952</v>
      </c>
      <c r="O3" s="5">
        <f t="shared" ref="O3" si="1">IF((K3-J3)&lt;0,0,(K3-J3))</f>
        <v>0</v>
      </c>
      <c r="P3" s="5">
        <f>Table1[[#This Row],[Enrolment S.Y. 2025-2026 ]]*8</f>
        <v>952</v>
      </c>
      <c r="Q3" s="34"/>
      <c r="R3" s="32"/>
      <c r="S3" s="34"/>
      <c r="T3" s="34">
        <f>IF((P3-Q3)&lt;0,0,(P3-Q3))</f>
        <v>952</v>
      </c>
      <c r="U3" s="34">
        <f>IF((Q3-P3)&lt;0,0,(Q3-P3))</f>
        <v>0</v>
      </c>
      <c r="V3" s="34">
        <f>Table1[[#This Row],[Enrolment S.Y. 2025-2026 ]]*8</f>
        <v>952</v>
      </c>
      <c r="W3" s="34"/>
      <c r="X3" s="32"/>
      <c r="Y3" s="34" t="s">
        <v>9</v>
      </c>
      <c r="Z3" s="34">
        <f>IF((V3-W3)&lt;0,0,(V3-W3))</f>
        <v>952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0" customHeight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 t="s">
        <v>9</v>
      </c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 t="s">
        <v>9</v>
      </c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 t="s">
        <v>9</v>
      </c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 t="s">
        <v>9</v>
      </c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 t="s">
        <v>9</v>
      </c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 t="s">
        <v>9</v>
      </c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 t="s">
        <v>9</v>
      </c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 t="s">
        <v>9</v>
      </c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 t="s">
        <v>9</v>
      </c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 t="s">
        <v>9</v>
      </c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v>123</v>
      </c>
      <c r="E17" s="5">
        <v>123</v>
      </c>
      <c r="F17" s="32">
        <v>2024</v>
      </c>
      <c r="G17" s="5" t="s">
        <v>9</v>
      </c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 t="s">
        <v>9</v>
      </c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/>
      <c r="D19" s="5">
        <v>123</v>
      </c>
      <c r="E19" s="5">
        <v>123</v>
      </c>
      <c r="F19" s="32">
        <v>2024</v>
      </c>
      <c r="G19" s="5" t="s">
        <v>9</v>
      </c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 t="s">
        <v>9</v>
      </c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 t="s">
        <v>9</v>
      </c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1">
      <c r="A33" s="1">
        <v>4</v>
      </c>
      <c r="B33" s="9" t="s">
        <v>15</v>
      </c>
      <c r="C33" s="1">
        <v>132</v>
      </c>
      <c r="D33" s="5">
        <v>0</v>
      </c>
      <c r="E33" s="5"/>
      <c r="F33" s="32">
        <v>2024</v>
      </c>
      <c r="G33" s="5" t="s">
        <v>9</v>
      </c>
      <c r="H33" s="5">
        <f t="shared" si="2"/>
        <v>0</v>
      </c>
      <c r="I33" s="5">
        <f t="shared" si="3"/>
        <v>0</v>
      </c>
      <c r="J33" s="5">
        <f>Table1[[#This Row],[Enrolment S.Y. 2025-2026 ]]*8</f>
        <v>1056</v>
      </c>
      <c r="K33" s="5"/>
      <c r="L33" s="1"/>
      <c r="M33" s="5"/>
      <c r="N33" s="5">
        <f t="shared" si="10"/>
        <v>1056</v>
      </c>
      <c r="O33" s="5">
        <f t="shared" si="11"/>
        <v>0</v>
      </c>
      <c r="P33" s="5">
        <f>Table1[[#This Row],[Enrolment S.Y. 2025-2026 ]]*8</f>
        <v>1056</v>
      </c>
      <c r="Q33" s="5"/>
      <c r="R33" s="1"/>
      <c r="S33" s="5"/>
      <c r="T33" s="5">
        <f t="shared" si="12"/>
        <v>1056</v>
      </c>
      <c r="U33" s="5">
        <v>0</v>
      </c>
      <c r="V33" s="5">
        <v>14</v>
      </c>
      <c r="W33" s="5">
        <v>14</v>
      </c>
      <c r="X33" s="1"/>
      <c r="Y33" s="34" t="s">
        <v>9</v>
      </c>
      <c r="Z33" s="5">
        <f t="shared" si="14"/>
        <v>0</v>
      </c>
      <c r="AA33" s="5">
        <f t="shared" si="15"/>
        <v>0</v>
      </c>
    </row>
    <row r="34" spans="1:27" ht="21">
      <c r="A34" s="1">
        <v>4</v>
      </c>
      <c r="B34" s="9" t="s">
        <v>16</v>
      </c>
      <c r="C34" s="1">
        <v>132</v>
      </c>
      <c r="D34" s="5">
        <v>0</v>
      </c>
      <c r="E34" s="5"/>
      <c r="F34" s="32">
        <v>2024</v>
      </c>
      <c r="G34" s="5" t="s">
        <v>9</v>
      </c>
      <c r="H34" s="5">
        <f t="shared" si="2"/>
        <v>0</v>
      </c>
      <c r="I34" s="5">
        <f t="shared" si="3"/>
        <v>0</v>
      </c>
      <c r="J34" s="5">
        <f>Table1[[#This Row],[Enrolment S.Y. 2025-2026 ]]*8</f>
        <v>1056</v>
      </c>
      <c r="K34" s="5"/>
      <c r="L34" s="1"/>
      <c r="M34" s="5"/>
      <c r="N34" s="5">
        <f t="shared" si="10"/>
        <v>1056</v>
      </c>
      <c r="O34" s="5">
        <f t="shared" si="11"/>
        <v>0</v>
      </c>
      <c r="P34" s="5">
        <f>Table1[[#This Row],[Enrolment S.Y. 2025-2026 ]]*8</f>
        <v>1056</v>
      </c>
      <c r="Q34" s="5"/>
      <c r="R34" s="1"/>
      <c r="S34" s="5"/>
      <c r="T34" s="5">
        <f t="shared" si="12"/>
        <v>1056</v>
      </c>
      <c r="U34" s="5">
        <v>0</v>
      </c>
      <c r="V34" s="5">
        <v>14</v>
      </c>
      <c r="W34" s="5">
        <v>14</v>
      </c>
      <c r="X34" s="1"/>
      <c r="Y34" s="34" t="s">
        <v>9</v>
      </c>
      <c r="Z34" s="5">
        <f t="shared" si="14"/>
        <v>0</v>
      </c>
      <c r="AA34" s="5">
        <f t="shared" si="15"/>
        <v>0</v>
      </c>
    </row>
    <row r="35" spans="1:27" ht="21">
      <c r="A35" s="1">
        <v>4</v>
      </c>
      <c r="B35" s="9" t="s">
        <v>13</v>
      </c>
      <c r="C35" s="1">
        <v>132</v>
      </c>
      <c r="D35" s="5">
        <v>0</v>
      </c>
      <c r="E35" s="5"/>
      <c r="F35" s="32">
        <v>2024</v>
      </c>
      <c r="G35" s="5" t="s">
        <v>9</v>
      </c>
      <c r="H35" s="5">
        <f t="shared" si="2"/>
        <v>0</v>
      </c>
      <c r="I35" s="5">
        <f t="shared" si="3"/>
        <v>0</v>
      </c>
      <c r="J35" s="5">
        <f>Table1[[#This Row],[Enrolment S.Y. 2025-2026 ]]*8</f>
        <v>1056</v>
      </c>
      <c r="K35" s="5"/>
      <c r="L35" s="1"/>
      <c r="M35" s="5"/>
      <c r="N35" s="5">
        <f t="shared" si="10"/>
        <v>1056</v>
      </c>
      <c r="O35" s="5">
        <f t="shared" si="11"/>
        <v>0</v>
      </c>
      <c r="P35" s="5">
        <f>Table1[[#This Row],[Enrolment S.Y. 2025-2026 ]]*8</f>
        <v>1056</v>
      </c>
      <c r="Q35" s="5"/>
      <c r="R35" s="1"/>
      <c r="S35" s="5"/>
      <c r="T35" s="5">
        <f t="shared" si="12"/>
        <v>1056</v>
      </c>
      <c r="U35" s="5">
        <v>0</v>
      </c>
      <c r="V35" s="5">
        <v>14</v>
      </c>
      <c r="W35" s="5">
        <v>14</v>
      </c>
      <c r="X35" s="1"/>
      <c r="Y35" s="34" t="s">
        <v>9</v>
      </c>
      <c r="Z35" s="5">
        <f t="shared" si="14"/>
        <v>0</v>
      </c>
      <c r="AA35" s="5">
        <f t="shared" si="15"/>
        <v>0</v>
      </c>
    </row>
    <row r="36" spans="1:27" ht="21">
      <c r="A36" s="1">
        <v>4</v>
      </c>
      <c r="B36" s="9" t="s">
        <v>11</v>
      </c>
      <c r="C36" s="1">
        <v>132</v>
      </c>
      <c r="D36" s="5">
        <v>0</v>
      </c>
      <c r="E36" s="5"/>
      <c r="F36" s="32">
        <v>2024</v>
      </c>
      <c r="G36" s="5" t="s">
        <v>9</v>
      </c>
      <c r="H36" s="5">
        <f t="shared" si="2"/>
        <v>0</v>
      </c>
      <c r="I36" s="5">
        <f t="shared" si="3"/>
        <v>0</v>
      </c>
      <c r="J36" s="5">
        <f>Table1[[#This Row],[Enrolment S.Y. 2025-2026 ]]*8</f>
        <v>1056</v>
      </c>
      <c r="K36" s="5"/>
      <c r="L36" s="1"/>
      <c r="M36" s="5"/>
      <c r="N36" s="5">
        <f t="shared" si="10"/>
        <v>1056</v>
      </c>
      <c r="O36" s="5">
        <f t="shared" si="11"/>
        <v>0</v>
      </c>
      <c r="P36" s="5">
        <f>Table1[[#This Row],[Enrolment S.Y. 2025-2026 ]]*8</f>
        <v>1056</v>
      </c>
      <c r="Q36" s="5"/>
      <c r="R36" s="1"/>
      <c r="S36" s="5"/>
      <c r="T36" s="5">
        <f t="shared" si="12"/>
        <v>1056</v>
      </c>
      <c r="U36" s="5">
        <v>0</v>
      </c>
      <c r="V36" s="5">
        <v>14</v>
      </c>
      <c r="W36" s="5">
        <v>14</v>
      </c>
      <c r="X36" s="1"/>
      <c r="Y36" s="34" t="s">
        <v>9</v>
      </c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132</v>
      </c>
      <c r="D37" s="5">
        <v>0</v>
      </c>
      <c r="E37" s="5"/>
      <c r="F37" s="32">
        <v>2024</v>
      </c>
      <c r="G37" s="5" t="s">
        <v>9</v>
      </c>
      <c r="H37" s="5">
        <f t="shared" si="2"/>
        <v>0</v>
      </c>
      <c r="I37" s="5">
        <f t="shared" si="3"/>
        <v>0</v>
      </c>
      <c r="J37" s="5">
        <f>Table1[[#This Row],[Enrolment S.Y. 2025-2026 ]]*8</f>
        <v>1056</v>
      </c>
      <c r="K37" s="5"/>
      <c r="L37" s="1"/>
      <c r="M37" s="5"/>
      <c r="N37" s="5">
        <f t="shared" si="10"/>
        <v>1056</v>
      </c>
      <c r="O37" s="5">
        <f t="shared" si="11"/>
        <v>0</v>
      </c>
      <c r="P37" s="5">
        <f>Table1[[#This Row],[Enrolment S.Y. 2025-2026 ]]*8</f>
        <v>1056</v>
      </c>
      <c r="Q37" s="5"/>
      <c r="R37" s="1"/>
      <c r="S37" s="5"/>
      <c r="T37" s="5">
        <f t="shared" si="12"/>
        <v>1056</v>
      </c>
      <c r="U37" s="5">
        <v>0</v>
      </c>
      <c r="V37" s="5">
        <v>14</v>
      </c>
      <c r="W37" s="5">
        <v>14</v>
      </c>
      <c r="X37" s="1"/>
      <c r="Y37" s="34" t="s">
        <v>9</v>
      </c>
      <c r="Z37" s="5">
        <f t="shared" si="14"/>
        <v>0</v>
      </c>
      <c r="AA37" s="5">
        <f t="shared" si="15"/>
        <v>0</v>
      </c>
    </row>
    <row r="38" spans="1:27" ht="21">
      <c r="A38" s="1">
        <v>4</v>
      </c>
      <c r="B38" s="9" t="s">
        <v>14</v>
      </c>
      <c r="C38" s="1">
        <v>132</v>
      </c>
      <c r="D38" s="5">
        <v>0</v>
      </c>
      <c r="E38" s="5"/>
      <c r="F38" s="32">
        <v>2024</v>
      </c>
      <c r="G38" s="5" t="s">
        <v>9</v>
      </c>
      <c r="H38" s="5">
        <f t="shared" si="2"/>
        <v>0</v>
      </c>
      <c r="I38" s="5">
        <f t="shared" si="3"/>
        <v>0</v>
      </c>
      <c r="J38" s="5">
        <f>Table1[[#This Row],[Enrolment S.Y. 2025-2026 ]]*8</f>
        <v>1056</v>
      </c>
      <c r="K38" s="5"/>
      <c r="L38" s="1"/>
      <c r="M38" s="5"/>
      <c r="N38" s="5">
        <f t="shared" si="10"/>
        <v>1056</v>
      </c>
      <c r="O38" s="5">
        <f t="shared" si="11"/>
        <v>0</v>
      </c>
      <c r="P38" s="5">
        <f>Table1[[#This Row],[Enrolment S.Y. 2025-2026 ]]*8</f>
        <v>1056</v>
      </c>
      <c r="Q38" s="5"/>
      <c r="R38" s="1"/>
      <c r="S38" s="5"/>
      <c r="T38" s="5">
        <f t="shared" si="12"/>
        <v>1056</v>
      </c>
      <c r="U38" s="5">
        <v>0</v>
      </c>
      <c r="V38" s="5">
        <v>14</v>
      </c>
      <c r="W38" s="5">
        <v>14</v>
      </c>
      <c r="X38" s="1"/>
      <c r="Y38" s="34" t="s">
        <v>9</v>
      </c>
      <c r="Z38" s="5">
        <f t="shared" si="14"/>
        <v>0</v>
      </c>
      <c r="AA38" s="5">
        <f t="shared" si="15"/>
        <v>0</v>
      </c>
    </row>
    <row r="39" spans="1:27" ht="21">
      <c r="A39" s="1">
        <v>4</v>
      </c>
      <c r="B39" s="9" t="s">
        <v>18</v>
      </c>
      <c r="C39" s="1">
        <v>132</v>
      </c>
      <c r="D39" s="5">
        <v>0</v>
      </c>
      <c r="E39" s="5"/>
      <c r="F39" s="32">
        <v>2024</v>
      </c>
      <c r="G39" s="5" t="s">
        <v>9</v>
      </c>
      <c r="H39" s="5">
        <f t="shared" si="2"/>
        <v>0</v>
      </c>
      <c r="I39" s="5">
        <f t="shared" si="3"/>
        <v>0</v>
      </c>
      <c r="J39" s="5">
        <f>Table1[[#This Row],[Enrolment S.Y. 2025-2026 ]]*8</f>
        <v>1056</v>
      </c>
      <c r="K39" s="5"/>
      <c r="L39" s="1"/>
      <c r="M39" s="5"/>
      <c r="N39" s="5">
        <f t="shared" si="10"/>
        <v>1056</v>
      </c>
      <c r="O39" s="5">
        <f t="shared" si="11"/>
        <v>0</v>
      </c>
      <c r="P39" s="5">
        <f>Table1[[#This Row],[Enrolment S.Y. 2025-2026 ]]*8</f>
        <v>1056</v>
      </c>
      <c r="Q39" s="5"/>
      <c r="R39" s="1"/>
      <c r="S39" s="5"/>
      <c r="T39" s="5">
        <f t="shared" si="12"/>
        <v>1056</v>
      </c>
      <c r="U39" s="5">
        <v>0</v>
      </c>
      <c r="V39" s="5">
        <v>14</v>
      </c>
      <c r="W39" s="5">
        <v>14</v>
      </c>
      <c r="X39" s="1"/>
      <c r="Y39" s="34" t="s">
        <v>9</v>
      </c>
      <c r="Z39" s="5">
        <f t="shared" si="14"/>
        <v>0</v>
      </c>
      <c r="AA39" s="5">
        <f t="shared" si="15"/>
        <v>0</v>
      </c>
    </row>
    <row r="40" spans="1:27" ht="21">
      <c r="A40" s="1">
        <v>4</v>
      </c>
      <c r="B40" s="9" t="s">
        <v>19</v>
      </c>
      <c r="C40" s="1">
        <v>132</v>
      </c>
      <c r="D40" s="5">
        <v>0</v>
      </c>
      <c r="E40" s="5"/>
      <c r="F40" s="32">
        <v>2024</v>
      </c>
      <c r="G40" s="5" t="s">
        <v>9</v>
      </c>
      <c r="H40" s="5">
        <f t="shared" si="2"/>
        <v>0</v>
      </c>
      <c r="I40" s="5">
        <f t="shared" si="3"/>
        <v>0</v>
      </c>
      <c r="J40" s="5">
        <f>Table1[[#This Row],[Enrolment S.Y. 2025-2026 ]]*8</f>
        <v>1056</v>
      </c>
      <c r="K40" s="5"/>
      <c r="L40" s="1"/>
      <c r="M40" s="5"/>
      <c r="N40" s="5">
        <f t="shared" si="10"/>
        <v>1056</v>
      </c>
      <c r="O40" s="5">
        <f t="shared" si="11"/>
        <v>0</v>
      </c>
      <c r="P40" s="5">
        <f>Table1[[#This Row],[Enrolment S.Y. 2025-2026 ]]*8</f>
        <v>1056</v>
      </c>
      <c r="Q40" s="5"/>
      <c r="R40" s="1"/>
      <c r="S40" s="5"/>
      <c r="T40" s="5">
        <f t="shared" si="12"/>
        <v>1056</v>
      </c>
      <c r="U40" s="5">
        <v>0</v>
      </c>
      <c r="V40" s="5">
        <v>14</v>
      </c>
      <c r="W40" s="5">
        <v>14</v>
      </c>
      <c r="X40" s="1"/>
      <c r="Y40" s="34" t="s">
        <v>9</v>
      </c>
      <c r="Z40" s="5">
        <f t="shared" si="14"/>
        <v>0</v>
      </c>
      <c r="AA40" s="5">
        <f t="shared" si="15"/>
        <v>0</v>
      </c>
    </row>
    <row r="41" spans="1:27" ht="21">
      <c r="A41" s="1">
        <v>4</v>
      </c>
      <c r="B41" s="9" t="s">
        <v>20</v>
      </c>
      <c r="C41" s="1">
        <v>132</v>
      </c>
      <c r="D41" s="5">
        <v>0</v>
      </c>
      <c r="E41" s="5"/>
      <c r="F41" s="32">
        <v>2024</v>
      </c>
      <c r="G41" s="5" t="s">
        <v>9</v>
      </c>
      <c r="H41" s="5">
        <f>IF((D41-E41)&lt;0,0,(D41-E41))</f>
        <v>0</v>
      </c>
      <c r="I41" s="5">
        <f t="shared" si="3"/>
        <v>0</v>
      </c>
      <c r="J41" s="5">
        <f>Table1[[#This Row],[Enrolment S.Y. 2025-2026 ]]*8</f>
        <v>1056</v>
      </c>
      <c r="K41" s="5"/>
      <c r="L41" s="1"/>
      <c r="M41" s="5"/>
      <c r="N41" s="5">
        <f t="shared" si="10"/>
        <v>1056</v>
      </c>
      <c r="O41" s="5">
        <f t="shared" si="11"/>
        <v>0</v>
      </c>
      <c r="P41" s="5">
        <f>Table1[[#This Row],[Enrolment S.Y. 2025-2026 ]]*8</f>
        <v>1056</v>
      </c>
      <c r="Q41" s="5"/>
      <c r="R41" s="1"/>
      <c r="S41" s="5"/>
      <c r="T41" s="5">
        <f t="shared" si="12"/>
        <v>1056</v>
      </c>
      <c r="U41" s="5">
        <v>0</v>
      </c>
      <c r="V41" s="5">
        <v>14</v>
      </c>
      <c r="W41" s="5">
        <v>14</v>
      </c>
      <c r="X41" s="1"/>
      <c r="Y41" s="34" t="s">
        <v>9</v>
      </c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134</v>
      </c>
      <c r="D43" s="5">
        <v>136</v>
      </c>
      <c r="E43" s="5"/>
      <c r="F43" s="32">
        <v>2024</v>
      </c>
      <c r="G43" s="5" t="s">
        <v>9</v>
      </c>
      <c r="H43" s="5">
        <f t="shared" si="2"/>
        <v>136</v>
      </c>
      <c r="I43" s="5">
        <f t="shared" si="3"/>
        <v>0</v>
      </c>
      <c r="J43" s="5">
        <f>Table1[[#This Row],[Enrolment S.Y. 2025-2026 ]]*8</f>
        <v>1072</v>
      </c>
      <c r="K43" s="5"/>
      <c r="L43" s="1"/>
      <c r="M43" s="5"/>
      <c r="N43" s="5">
        <f t="shared" si="10"/>
        <v>1072</v>
      </c>
      <c r="O43" s="5">
        <f t="shared" si="11"/>
        <v>0</v>
      </c>
      <c r="P43" s="5">
        <f>Table1[[#This Row],[Enrolment S.Y. 2025-2026 ]]*8</f>
        <v>1072</v>
      </c>
      <c r="Q43" s="5"/>
      <c r="R43" s="1"/>
      <c r="S43" s="5"/>
      <c r="T43" s="5">
        <f t="shared" si="12"/>
        <v>1072</v>
      </c>
      <c r="U43" s="5">
        <f t="shared" si="13"/>
        <v>0</v>
      </c>
      <c r="V43" s="5"/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134</v>
      </c>
      <c r="D44" s="5">
        <f>Table1[[#This Row],[Enrolment S.Y. 2025-2026 ]]*8</f>
        <v>1072</v>
      </c>
      <c r="E44" s="5"/>
      <c r="F44" s="32">
        <v>2024</v>
      </c>
      <c r="G44" s="5" t="s">
        <v>9</v>
      </c>
      <c r="H44" s="5">
        <f t="shared" si="2"/>
        <v>1072</v>
      </c>
      <c r="I44" s="5">
        <f t="shared" si="3"/>
        <v>0</v>
      </c>
      <c r="J44" s="5">
        <f>Table1[[#This Row],[Enrolment S.Y. 2025-2026 ]]*8</f>
        <v>1072</v>
      </c>
      <c r="K44" s="5"/>
      <c r="L44" s="1"/>
      <c r="M44" s="5"/>
      <c r="N44" s="5">
        <f t="shared" si="10"/>
        <v>1072</v>
      </c>
      <c r="O44" s="5">
        <f t="shared" si="11"/>
        <v>0</v>
      </c>
      <c r="P44" s="5">
        <f>Table1[[#This Row],[Enrolment S.Y. 2025-2026 ]]*8</f>
        <v>1072</v>
      </c>
      <c r="Q44" s="5"/>
      <c r="R44" s="1"/>
      <c r="S44" s="5"/>
      <c r="T44" s="5">
        <f t="shared" si="12"/>
        <v>1072</v>
      </c>
      <c r="U44" s="5">
        <f t="shared" si="13"/>
        <v>0</v>
      </c>
      <c r="V44" s="5"/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134</v>
      </c>
      <c r="D45" s="5">
        <v>136</v>
      </c>
      <c r="E45" s="5"/>
      <c r="F45" s="32">
        <v>2024</v>
      </c>
      <c r="G45" s="5" t="s">
        <v>9</v>
      </c>
      <c r="H45" s="5">
        <f t="shared" si="2"/>
        <v>136</v>
      </c>
      <c r="I45" s="5">
        <f t="shared" si="3"/>
        <v>0</v>
      </c>
      <c r="J45" s="5">
        <f>Table1[[#This Row],[Enrolment S.Y. 2025-2026 ]]*8</f>
        <v>1072</v>
      </c>
      <c r="K45" s="5"/>
      <c r="L45" s="1"/>
      <c r="M45" s="5"/>
      <c r="N45" s="5">
        <f t="shared" si="10"/>
        <v>1072</v>
      </c>
      <c r="O45" s="5">
        <f t="shared" si="11"/>
        <v>0</v>
      </c>
      <c r="P45" s="5">
        <f>Table1[[#This Row],[Enrolment S.Y. 2025-2026 ]]*8</f>
        <v>1072</v>
      </c>
      <c r="Q45" s="5"/>
      <c r="R45" s="1"/>
      <c r="S45" s="5"/>
      <c r="T45" s="5">
        <f t="shared" si="12"/>
        <v>1072</v>
      </c>
      <c r="U45" s="5">
        <f t="shared" si="13"/>
        <v>0</v>
      </c>
      <c r="V45" s="5"/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134</v>
      </c>
      <c r="D46" s="5">
        <f>Table1[[#This Row],[Enrolment S.Y. 2025-2026 ]]*8</f>
        <v>1072</v>
      </c>
      <c r="E46" s="5"/>
      <c r="F46" s="32">
        <v>2024</v>
      </c>
      <c r="G46" s="5" t="s">
        <v>9</v>
      </c>
      <c r="H46" s="5">
        <f t="shared" si="2"/>
        <v>1072</v>
      </c>
      <c r="I46" s="5">
        <f t="shared" si="3"/>
        <v>0</v>
      </c>
      <c r="J46" s="5">
        <f>Table1[[#This Row],[Enrolment S.Y. 2025-2026 ]]*8</f>
        <v>1072</v>
      </c>
      <c r="K46" s="5"/>
      <c r="L46" s="1"/>
      <c r="M46" s="5"/>
      <c r="N46" s="5">
        <f t="shared" si="10"/>
        <v>1072</v>
      </c>
      <c r="O46" s="5">
        <f t="shared" si="11"/>
        <v>0</v>
      </c>
      <c r="P46" s="5">
        <f>Table1[[#This Row],[Enrolment S.Y. 2025-2026 ]]*8</f>
        <v>1072</v>
      </c>
      <c r="Q46" s="5"/>
      <c r="R46" s="1"/>
      <c r="S46" s="5"/>
      <c r="T46" s="5">
        <f t="shared" si="12"/>
        <v>1072</v>
      </c>
      <c r="U46" s="5">
        <f t="shared" si="13"/>
        <v>0</v>
      </c>
      <c r="V46" s="5"/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134</v>
      </c>
      <c r="D47" s="5">
        <f>Table1[[#This Row],[Enrolment S.Y. 2025-2026 ]]*8</f>
        <v>1072</v>
      </c>
      <c r="E47" s="5"/>
      <c r="F47" s="32">
        <v>2024</v>
      </c>
      <c r="G47" s="5" t="s">
        <v>9</v>
      </c>
      <c r="H47" s="5">
        <f t="shared" si="2"/>
        <v>1072</v>
      </c>
      <c r="I47" s="5">
        <f t="shared" si="3"/>
        <v>0</v>
      </c>
      <c r="J47" s="5">
        <f>Table1[[#This Row],[Enrolment S.Y. 2025-2026 ]]*8</f>
        <v>1072</v>
      </c>
      <c r="K47" s="5"/>
      <c r="L47" s="1"/>
      <c r="M47" s="5"/>
      <c r="N47" s="5">
        <f t="shared" si="10"/>
        <v>1072</v>
      </c>
      <c r="O47" s="5">
        <f t="shared" si="11"/>
        <v>0</v>
      </c>
      <c r="P47" s="5">
        <f>Table1[[#This Row],[Enrolment S.Y. 2025-2026 ]]*8</f>
        <v>1072</v>
      </c>
      <c r="Q47" s="5"/>
      <c r="R47" s="1"/>
      <c r="S47" s="5"/>
      <c r="T47" s="5">
        <f t="shared" si="12"/>
        <v>1072</v>
      </c>
      <c r="U47" s="5">
        <f t="shared" si="13"/>
        <v>0</v>
      </c>
      <c r="V47" s="5"/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134</v>
      </c>
      <c r="D48" s="5">
        <f>Table1[[#This Row],[Enrolment S.Y. 2025-2026 ]]*8</f>
        <v>1072</v>
      </c>
      <c r="E48" s="5"/>
      <c r="F48" s="32">
        <v>2024</v>
      </c>
      <c r="G48" s="5" t="s">
        <v>9</v>
      </c>
      <c r="H48" s="5">
        <f t="shared" si="2"/>
        <v>1072</v>
      </c>
      <c r="I48" s="5">
        <f t="shared" si="3"/>
        <v>0</v>
      </c>
      <c r="J48" s="5">
        <f>Table1[[#This Row],[Enrolment S.Y. 2025-2026 ]]*8</f>
        <v>1072</v>
      </c>
      <c r="K48" s="5"/>
      <c r="L48" s="1"/>
      <c r="M48" s="5"/>
      <c r="N48" s="5">
        <f t="shared" si="10"/>
        <v>1072</v>
      </c>
      <c r="O48" s="5">
        <f t="shared" si="11"/>
        <v>0</v>
      </c>
      <c r="P48" s="5">
        <f>Table1[[#This Row],[Enrolment S.Y. 2025-2026 ]]*8</f>
        <v>1072</v>
      </c>
      <c r="Q48" s="5"/>
      <c r="R48" s="1"/>
      <c r="S48" s="5"/>
      <c r="T48" s="5">
        <f t="shared" si="12"/>
        <v>1072</v>
      </c>
      <c r="U48" s="5">
        <f t="shared" si="13"/>
        <v>0</v>
      </c>
      <c r="V48" s="5"/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134</v>
      </c>
      <c r="D49" s="5">
        <f>Table1[[#This Row],[Enrolment S.Y. 2025-2026 ]]*8</f>
        <v>1072</v>
      </c>
      <c r="E49" s="5"/>
      <c r="F49" s="32">
        <v>2024</v>
      </c>
      <c r="G49" s="5" t="s">
        <v>9</v>
      </c>
      <c r="H49" s="5">
        <f t="shared" si="2"/>
        <v>1072</v>
      </c>
      <c r="I49" s="5">
        <f t="shared" si="3"/>
        <v>0</v>
      </c>
      <c r="J49" s="5">
        <f>Table1[[#This Row],[Enrolment S.Y. 2025-2026 ]]*8</f>
        <v>1072</v>
      </c>
      <c r="K49" s="5"/>
      <c r="L49" s="1"/>
      <c r="M49" s="5"/>
      <c r="N49" s="5">
        <f t="shared" si="10"/>
        <v>1072</v>
      </c>
      <c r="O49" s="5">
        <f t="shared" si="11"/>
        <v>0</v>
      </c>
      <c r="P49" s="5">
        <f>Table1[[#This Row],[Enrolment S.Y. 2025-2026 ]]*8</f>
        <v>1072</v>
      </c>
      <c r="Q49" s="5"/>
      <c r="R49" s="1"/>
      <c r="S49" s="5"/>
      <c r="T49" s="5">
        <f t="shared" si="12"/>
        <v>1072</v>
      </c>
      <c r="U49" s="5">
        <f t="shared" si="13"/>
        <v>0</v>
      </c>
      <c r="V49" s="5"/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134</v>
      </c>
      <c r="D50" s="5">
        <f>Table1[[#This Row],[Enrolment S.Y. 2025-2026 ]]*8</f>
        <v>1072</v>
      </c>
      <c r="E50" s="5"/>
      <c r="F50" s="32">
        <v>2024</v>
      </c>
      <c r="G50" s="5" t="s">
        <v>9</v>
      </c>
      <c r="H50" s="5">
        <f t="shared" si="2"/>
        <v>1072</v>
      </c>
      <c r="I50" s="5">
        <f t="shared" si="3"/>
        <v>0</v>
      </c>
      <c r="J50" s="5">
        <f>Table1[[#This Row],[Enrolment S.Y. 2025-2026 ]]*8</f>
        <v>1072</v>
      </c>
      <c r="K50" s="5"/>
      <c r="L50" s="1"/>
      <c r="M50" s="5"/>
      <c r="N50" s="5">
        <f t="shared" si="10"/>
        <v>1072</v>
      </c>
      <c r="O50" s="5">
        <f t="shared" si="11"/>
        <v>0</v>
      </c>
      <c r="P50" s="5">
        <f>Table1[[#This Row],[Enrolment S.Y. 2025-2026 ]]*8</f>
        <v>1072</v>
      </c>
      <c r="Q50" s="5"/>
      <c r="R50" s="1"/>
      <c r="S50" s="5"/>
      <c r="T50" s="5">
        <f t="shared" si="12"/>
        <v>1072</v>
      </c>
      <c r="U50" s="5">
        <f t="shared" si="13"/>
        <v>0</v>
      </c>
      <c r="V50" s="5"/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134</v>
      </c>
      <c r="D51" s="5">
        <f>Table1[[#This Row],[Enrolment S.Y. 2025-2026 ]]*8</f>
        <v>1072</v>
      </c>
      <c r="E51" s="5"/>
      <c r="F51" s="32">
        <v>2024</v>
      </c>
      <c r="G51" s="5" t="s">
        <v>9</v>
      </c>
      <c r="H51" s="5">
        <f t="shared" si="2"/>
        <v>1072</v>
      </c>
      <c r="I51" s="5">
        <f t="shared" si="3"/>
        <v>0</v>
      </c>
      <c r="J51" s="5">
        <f>Table1[[#This Row],[Enrolment S.Y. 2025-2026 ]]*8</f>
        <v>1072</v>
      </c>
      <c r="K51" s="5"/>
      <c r="L51" s="1"/>
      <c r="M51" s="5"/>
      <c r="N51" s="5">
        <f t="shared" si="10"/>
        <v>1072</v>
      </c>
      <c r="O51" s="5">
        <f t="shared" si="11"/>
        <v>0</v>
      </c>
      <c r="P51" s="5">
        <f>Table1[[#This Row],[Enrolment S.Y. 2025-2026 ]]*8</f>
        <v>1072</v>
      </c>
      <c r="Q51" s="5"/>
      <c r="R51" s="1"/>
      <c r="S51" s="5"/>
      <c r="T51" s="5">
        <f t="shared" si="12"/>
        <v>1072</v>
      </c>
      <c r="U51" s="5">
        <f t="shared" si="13"/>
        <v>0</v>
      </c>
      <c r="V51" s="5"/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1">
      <c r="A53" s="1">
        <v>6</v>
      </c>
      <c r="B53" s="9" t="s">
        <v>15</v>
      </c>
      <c r="C53" s="1">
        <v>115</v>
      </c>
      <c r="D53" s="5">
        <f>Table1[[#This Row],[Enrolment S.Y. 2025-2026 ]]*8</f>
        <v>920</v>
      </c>
      <c r="E53" s="5"/>
      <c r="F53" s="32">
        <v>2024</v>
      </c>
      <c r="G53" s="5" t="s">
        <v>9</v>
      </c>
      <c r="H53" s="5">
        <f t="shared" si="2"/>
        <v>920</v>
      </c>
      <c r="I53" s="5">
        <f t="shared" si="3"/>
        <v>0</v>
      </c>
      <c r="J53" s="5">
        <f>Table1[[#This Row],[Enrolment S.Y. 2025-2026 ]]*8</f>
        <v>920</v>
      </c>
      <c r="K53" s="5"/>
      <c r="L53" s="1"/>
      <c r="M53" s="5"/>
      <c r="N53" s="5">
        <f t="shared" si="10"/>
        <v>920</v>
      </c>
      <c r="O53" s="5">
        <f t="shared" si="11"/>
        <v>0</v>
      </c>
      <c r="P53" s="5">
        <v>25</v>
      </c>
      <c r="Q53" s="5">
        <v>25</v>
      </c>
      <c r="R53" s="1"/>
      <c r="S53" s="34" t="s">
        <v>9</v>
      </c>
      <c r="T53" s="5">
        <f t="shared" si="12"/>
        <v>0</v>
      </c>
      <c r="U53" s="5">
        <f t="shared" si="13"/>
        <v>0</v>
      </c>
      <c r="V53" s="5">
        <v>25</v>
      </c>
      <c r="W53" s="5">
        <v>25</v>
      </c>
      <c r="X53" s="1"/>
      <c r="Y53" s="34" t="s">
        <v>9</v>
      </c>
      <c r="Z53" s="5">
        <f t="shared" si="14"/>
        <v>0</v>
      </c>
      <c r="AA53" s="5">
        <f t="shared" si="15"/>
        <v>0</v>
      </c>
    </row>
    <row r="54" spans="1:27" ht="21">
      <c r="A54" s="1">
        <v>6</v>
      </c>
      <c r="B54" s="9" t="s">
        <v>16</v>
      </c>
      <c r="C54" s="1">
        <v>115</v>
      </c>
      <c r="D54" s="5">
        <f>Table1[[#This Row],[Enrolment S.Y. 2025-2026 ]]*8</f>
        <v>920</v>
      </c>
      <c r="E54" s="5"/>
      <c r="F54" s="32">
        <v>2024</v>
      </c>
      <c r="G54" s="5" t="s">
        <v>9</v>
      </c>
      <c r="H54" s="5">
        <f t="shared" si="2"/>
        <v>920</v>
      </c>
      <c r="I54" s="5">
        <f t="shared" si="3"/>
        <v>0</v>
      </c>
      <c r="J54" s="5">
        <f>Table1[[#This Row],[Enrolment S.Y. 2025-2026 ]]*8</f>
        <v>920</v>
      </c>
      <c r="K54" s="5"/>
      <c r="L54" s="1"/>
      <c r="M54" s="5"/>
      <c r="N54" s="5">
        <f t="shared" si="10"/>
        <v>920</v>
      </c>
      <c r="O54" s="5">
        <f t="shared" si="11"/>
        <v>0</v>
      </c>
      <c r="P54" s="5">
        <v>25</v>
      </c>
      <c r="Q54" s="5">
        <v>25</v>
      </c>
      <c r="R54" s="1"/>
      <c r="S54" s="34" t="s">
        <v>9</v>
      </c>
      <c r="T54" s="5">
        <f t="shared" si="12"/>
        <v>0</v>
      </c>
      <c r="U54" s="5">
        <f t="shared" si="13"/>
        <v>0</v>
      </c>
      <c r="V54" s="5">
        <v>25</v>
      </c>
      <c r="W54" s="5">
        <v>25</v>
      </c>
      <c r="X54" s="1"/>
      <c r="Y54" s="34" t="s">
        <v>9</v>
      </c>
      <c r="Z54" s="5">
        <f t="shared" si="14"/>
        <v>0</v>
      </c>
      <c r="AA54" s="5">
        <f t="shared" si="15"/>
        <v>0</v>
      </c>
    </row>
    <row r="55" spans="1:27" ht="21">
      <c r="A55" s="1">
        <v>6</v>
      </c>
      <c r="B55" s="9" t="s">
        <v>13</v>
      </c>
      <c r="C55" s="1">
        <v>115</v>
      </c>
      <c r="D55" s="5">
        <f>Table1[[#This Row],[Enrolment S.Y. 2025-2026 ]]*8</f>
        <v>920</v>
      </c>
      <c r="E55" s="5"/>
      <c r="F55" s="32">
        <v>2024</v>
      </c>
      <c r="G55" s="5" t="s">
        <v>9</v>
      </c>
      <c r="H55" s="5">
        <f t="shared" si="2"/>
        <v>920</v>
      </c>
      <c r="I55" s="5">
        <f t="shared" si="3"/>
        <v>0</v>
      </c>
      <c r="J55" s="5">
        <f>Table1[[#This Row],[Enrolment S.Y. 2025-2026 ]]*8</f>
        <v>920</v>
      </c>
      <c r="K55" s="5"/>
      <c r="L55" s="1"/>
      <c r="M55" s="5"/>
      <c r="N55" s="5">
        <f t="shared" si="10"/>
        <v>920</v>
      </c>
      <c r="O55" s="5">
        <f t="shared" si="11"/>
        <v>0</v>
      </c>
      <c r="P55" s="5">
        <v>25</v>
      </c>
      <c r="Q55" s="5">
        <v>25</v>
      </c>
      <c r="R55" s="1"/>
      <c r="S55" s="34" t="s">
        <v>9</v>
      </c>
      <c r="T55" s="5">
        <f t="shared" si="12"/>
        <v>0</v>
      </c>
      <c r="U55" s="5">
        <f t="shared" si="13"/>
        <v>0</v>
      </c>
      <c r="V55" s="5">
        <v>25</v>
      </c>
      <c r="W55" s="5">
        <v>25</v>
      </c>
      <c r="X55" s="1"/>
      <c r="Y55" s="34" t="s">
        <v>9</v>
      </c>
      <c r="Z55" s="5">
        <f t="shared" si="14"/>
        <v>0</v>
      </c>
      <c r="AA55" s="5">
        <f t="shared" si="15"/>
        <v>0</v>
      </c>
    </row>
    <row r="56" spans="1:27" ht="21">
      <c r="A56" s="1">
        <v>6</v>
      </c>
      <c r="B56" s="9" t="s">
        <v>11</v>
      </c>
      <c r="C56" s="1">
        <v>115</v>
      </c>
      <c r="D56" s="5">
        <f>Table1[[#This Row],[Enrolment S.Y. 2025-2026 ]]*8</f>
        <v>920</v>
      </c>
      <c r="E56" s="5"/>
      <c r="F56" s="32">
        <v>2024</v>
      </c>
      <c r="G56" s="5" t="s">
        <v>9</v>
      </c>
      <c r="H56" s="5">
        <f t="shared" si="2"/>
        <v>920</v>
      </c>
      <c r="I56" s="5">
        <f t="shared" si="3"/>
        <v>0</v>
      </c>
      <c r="J56" s="5">
        <f>Table1[[#This Row],[Enrolment S.Y. 2025-2026 ]]*8</f>
        <v>920</v>
      </c>
      <c r="K56" s="5"/>
      <c r="L56" s="1"/>
      <c r="M56" s="5"/>
      <c r="N56" s="5">
        <f t="shared" si="10"/>
        <v>920</v>
      </c>
      <c r="O56" s="5">
        <f t="shared" si="11"/>
        <v>0</v>
      </c>
      <c r="P56" s="5">
        <v>25</v>
      </c>
      <c r="Q56" s="5">
        <v>25</v>
      </c>
      <c r="R56" s="1"/>
      <c r="S56" s="34" t="s">
        <v>9</v>
      </c>
      <c r="T56" s="5">
        <f t="shared" si="12"/>
        <v>0</v>
      </c>
      <c r="U56" s="5">
        <f t="shared" si="13"/>
        <v>0</v>
      </c>
      <c r="V56" s="5">
        <v>25</v>
      </c>
      <c r="W56" s="5">
        <v>25</v>
      </c>
      <c r="X56" s="1"/>
      <c r="Y56" s="34" t="s">
        <v>9</v>
      </c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115</v>
      </c>
      <c r="D57" s="5">
        <f>Table1[[#This Row],[Enrolment S.Y. 2025-2026 ]]*8</f>
        <v>920</v>
      </c>
      <c r="E57" s="5"/>
      <c r="F57" s="32">
        <v>2024</v>
      </c>
      <c r="G57" s="5" t="s">
        <v>9</v>
      </c>
      <c r="H57" s="5">
        <f t="shared" si="2"/>
        <v>920</v>
      </c>
      <c r="I57" s="5">
        <f t="shared" si="3"/>
        <v>0</v>
      </c>
      <c r="J57" s="5">
        <f>Table1[[#This Row],[Enrolment S.Y. 2025-2026 ]]*8</f>
        <v>920</v>
      </c>
      <c r="K57" s="5"/>
      <c r="L57" s="1"/>
      <c r="M57" s="5"/>
      <c r="N57" s="5">
        <f t="shared" si="10"/>
        <v>920</v>
      </c>
      <c r="O57" s="5">
        <f t="shared" si="11"/>
        <v>0</v>
      </c>
      <c r="P57" s="5">
        <v>25</v>
      </c>
      <c r="Q57" s="5">
        <v>25</v>
      </c>
      <c r="R57" s="1"/>
      <c r="S57" s="34" t="s">
        <v>9</v>
      </c>
      <c r="T57" s="5">
        <f t="shared" si="12"/>
        <v>0</v>
      </c>
      <c r="U57" s="5">
        <f t="shared" si="13"/>
        <v>0</v>
      </c>
      <c r="V57" s="5">
        <v>25</v>
      </c>
      <c r="W57" s="5">
        <v>25</v>
      </c>
      <c r="X57" s="1"/>
      <c r="Y57" s="34" t="s">
        <v>9</v>
      </c>
      <c r="Z57" s="5">
        <f t="shared" si="14"/>
        <v>0</v>
      </c>
      <c r="AA57" s="5">
        <f t="shared" si="15"/>
        <v>0</v>
      </c>
    </row>
    <row r="58" spans="1:27" ht="21">
      <c r="A58" s="1">
        <v>6</v>
      </c>
      <c r="B58" s="9" t="s">
        <v>14</v>
      </c>
      <c r="C58" s="1">
        <v>115</v>
      </c>
      <c r="D58" s="5">
        <f>Table1[[#This Row],[Enrolment S.Y. 2025-2026 ]]*8</f>
        <v>920</v>
      </c>
      <c r="E58" s="5"/>
      <c r="F58" s="32">
        <v>2024</v>
      </c>
      <c r="G58" s="5" t="s">
        <v>9</v>
      </c>
      <c r="H58" s="5">
        <f t="shared" si="2"/>
        <v>920</v>
      </c>
      <c r="I58" s="5">
        <f t="shared" si="3"/>
        <v>0</v>
      </c>
      <c r="J58" s="5">
        <f>Table1[[#This Row],[Enrolment S.Y. 2025-2026 ]]*8</f>
        <v>920</v>
      </c>
      <c r="K58" s="5"/>
      <c r="L58" s="1"/>
      <c r="M58" s="5"/>
      <c r="N58" s="5">
        <f t="shared" si="10"/>
        <v>920</v>
      </c>
      <c r="O58" s="5">
        <f t="shared" si="11"/>
        <v>0</v>
      </c>
      <c r="P58" s="5">
        <v>25</v>
      </c>
      <c r="Q58" s="5">
        <v>25</v>
      </c>
      <c r="R58" s="1"/>
      <c r="S58" s="34" t="s">
        <v>9</v>
      </c>
      <c r="T58" s="5">
        <f t="shared" si="12"/>
        <v>0</v>
      </c>
      <c r="U58" s="5">
        <f t="shared" si="13"/>
        <v>0</v>
      </c>
      <c r="V58" s="5">
        <v>25</v>
      </c>
      <c r="W58" s="5">
        <v>25</v>
      </c>
      <c r="X58" s="1"/>
      <c r="Y58" s="34" t="s">
        <v>9</v>
      </c>
      <c r="Z58" s="5">
        <f t="shared" si="14"/>
        <v>0</v>
      </c>
      <c r="AA58" s="5">
        <f t="shared" si="15"/>
        <v>0</v>
      </c>
    </row>
    <row r="59" spans="1:27" ht="21">
      <c r="A59" s="1">
        <v>6</v>
      </c>
      <c r="B59" s="9" t="s">
        <v>18</v>
      </c>
      <c r="C59" s="1">
        <v>115</v>
      </c>
      <c r="D59" s="5">
        <f>Table1[[#This Row],[Enrolment S.Y. 2025-2026 ]]*8</f>
        <v>920</v>
      </c>
      <c r="E59" s="5"/>
      <c r="F59" s="32">
        <v>2024</v>
      </c>
      <c r="G59" s="5" t="s">
        <v>9</v>
      </c>
      <c r="H59" s="5">
        <f t="shared" si="2"/>
        <v>920</v>
      </c>
      <c r="I59" s="5">
        <f t="shared" si="3"/>
        <v>0</v>
      </c>
      <c r="J59" s="5">
        <f>Table1[[#This Row],[Enrolment S.Y. 2025-2026 ]]*8</f>
        <v>920</v>
      </c>
      <c r="K59" s="5"/>
      <c r="L59" s="1"/>
      <c r="M59" s="5"/>
      <c r="N59" s="5">
        <f t="shared" si="10"/>
        <v>920</v>
      </c>
      <c r="O59" s="5">
        <f t="shared" si="11"/>
        <v>0</v>
      </c>
      <c r="P59" s="5">
        <v>25</v>
      </c>
      <c r="Q59" s="5">
        <v>25</v>
      </c>
      <c r="R59" s="1"/>
      <c r="S59" s="34" t="s">
        <v>9</v>
      </c>
      <c r="T59" s="5">
        <f t="shared" si="12"/>
        <v>0</v>
      </c>
      <c r="U59" s="5">
        <f t="shared" si="13"/>
        <v>0</v>
      </c>
      <c r="V59" s="5">
        <v>25</v>
      </c>
      <c r="W59" s="5">
        <v>25</v>
      </c>
      <c r="X59" s="1"/>
      <c r="Y59" s="34" t="s">
        <v>9</v>
      </c>
      <c r="Z59" s="5">
        <f t="shared" si="14"/>
        <v>0</v>
      </c>
      <c r="AA59" s="5">
        <f t="shared" si="15"/>
        <v>0</v>
      </c>
    </row>
    <row r="60" spans="1:27" ht="21">
      <c r="A60" s="1">
        <v>6</v>
      </c>
      <c r="B60" s="9" t="s">
        <v>19</v>
      </c>
      <c r="C60" s="1">
        <v>115</v>
      </c>
      <c r="D60" s="5">
        <f>Table1[[#This Row],[Enrolment S.Y. 2025-2026 ]]*8</f>
        <v>920</v>
      </c>
      <c r="E60" s="5"/>
      <c r="F60" s="32">
        <v>2024</v>
      </c>
      <c r="G60" s="5" t="s">
        <v>9</v>
      </c>
      <c r="H60" s="5">
        <f t="shared" si="2"/>
        <v>920</v>
      </c>
      <c r="I60" s="5">
        <f t="shared" si="3"/>
        <v>0</v>
      </c>
      <c r="J60" s="5">
        <f>Table1[[#This Row],[Enrolment S.Y. 2025-2026 ]]*8</f>
        <v>920</v>
      </c>
      <c r="K60" s="5"/>
      <c r="L60" s="1"/>
      <c r="M60" s="5"/>
      <c r="N60" s="5">
        <f t="shared" si="10"/>
        <v>920</v>
      </c>
      <c r="O60" s="5">
        <f t="shared" si="11"/>
        <v>0</v>
      </c>
      <c r="P60" s="5">
        <v>25</v>
      </c>
      <c r="Q60" s="5">
        <v>25</v>
      </c>
      <c r="R60" s="1"/>
      <c r="S60" s="34" t="s">
        <v>9</v>
      </c>
      <c r="T60" s="5">
        <f t="shared" si="12"/>
        <v>0</v>
      </c>
      <c r="U60" s="5">
        <f t="shared" si="13"/>
        <v>0</v>
      </c>
      <c r="V60" s="5">
        <v>25</v>
      </c>
      <c r="W60" s="5">
        <v>25</v>
      </c>
      <c r="X60" s="1"/>
      <c r="Y60" s="34" t="s">
        <v>9</v>
      </c>
      <c r="Z60" s="5">
        <f t="shared" si="14"/>
        <v>0</v>
      </c>
      <c r="AA60" s="5">
        <f t="shared" si="15"/>
        <v>0</v>
      </c>
    </row>
    <row r="61" spans="1:27" ht="21">
      <c r="A61" s="1">
        <v>6</v>
      </c>
      <c r="B61" s="9" t="s">
        <v>20</v>
      </c>
      <c r="C61" s="1">
        <v>115</v>
      </c>
      <c r="D61" s="5">
        <f>Table1[[#This Row],[Enrolment S.Y. 2025-2026 ]]*8</f>
        <v>920</v>
      </c>
      <c r="E61" s="5"/>
      <c r="F61" s="32">
        <v>2024</v>
      </c>
      <c r="G61" s="5" t="s">
        <v>9</v>
      </c>
      <c r="H61" s="5">
        <f t="shared" si="2"/>
        <v>920</v>
      </c>
      <c r="I61" s="5">
        <f t="shared" si="3"/>
        <v>0</v>
      </c>
      <c r="J61" s="5">
        <f>Table1[[#This Row],[Enrolment S.Y. 2025-2026 ]]*8</f>
        <v>920</v>
      </c>
      <c r="K61" s="5"/>
      <c r="L61" s="1"/>
      <c r="M61" s="5"/>
      <c r="N61" s="5">
        <f t="shared" si="10"/>
        <v>920</v>
      </c>
      <c r="O61" s="5">
        <f t="shared" si="11"/>
        <v>0</v>
      </c>
      <c r="P61" s="5">
        <v>25</v>
      </c>
      <c r="Q61" s="5">
        <v>25</v>
      </c>
      <c r="R61" s="1"/>
      <c r="S61" s="34" t="s">
        <v>9</v>
      </c>
      <c r="T61" s="5">
        <f t="shared" si="12"/>
        <v>0</v>
      </c>
      <c r="U61" s="5">
        <f t="shared" si="13"/>
        <v>0</v>
      </c>
      <c r="V61" s="5">
        <v>25</v>
      </c>
      <c r="W61" s="5">
        <v>25</v>
      </c>
      <c r="X61" s="1"/>
      <c r="Y61" s="34" t="s">
        <v>9</v>
      </c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63:C71 C73:C81 C83:C91 C93:C101 C103:C110 C112:C127 C5:C12 C33:C41 C43:C51 C53:C61" name="Textbooks"/>
    <protectedRange sqref="J2:L3 D2:F3 H5:L5 Q14:R21 W14:X21 D23:F31 Q23:R31 W23:X31 H33:I41 Q33:R41 H43:I51 Q43:R51 W43:X51 H53:I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J6:J127 D5:F12 N5:R12 T5:X12 N4:P4 T4:V4 J4 Z4:AA127 N3:R3 Y13 N13:P126 D14:F21 D33:F41 D43:F51 D53:F61 T13:V127 W33:X41 W53:X61 Q53:R61" name="LAS"/>
    <protectedRange sqref="G2:I3 M2:O2 S2:U3 Y2:AA3 G112:G127 M112:M127 S112:S127 Y112:Y127 M5:M12 Y5:Y12 M14:M110 M3 G23:G31 G63:G71 G73:G81 G83:G91 G93:G101 G103:G110 G5:G12 G14:G21 G33:G41 G43:G51 G53:G61 Y14:Y110 S4:S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G53:G61 Y62:Y110 G103:G110 M5:M12 Y5:Y12 G5:G12 G23:G31 G14:G21 G33:G41 G43:G51 G63:G71 G73:G81 G83:G91 G93:G101 Y14:Y32 Y42:Y52 S4:S52 S62:S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" xr:uid="{FA3B5F6E-DF64-4AEB-BAF8-8FC00B46EC3F}">
      <formula1>"2024,2025,2026"</formula1>
    </dataValidation>
    <dataValidation type="list" allowBlank="1" showInputMessage="1" showErrorMessage="1" sqref="X93:X101 X103:X110" xr:uid="{31237A59-BA0C-45CE-BF2E-D72C70A09FE3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R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0.7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23.2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91:X101 X103:X113" xr:uid="{6698B691-B19D-4AD6-8E6D-69D5E7B1BAC7}">
      <formula1>"2024,2025,2026"</formula1>
    </dataValidation>
    <dataValidation type="list" allowBlank="1" showInputMessage="1" showErrorMessage="1" sqref="X79:X89" xr:uid="{F9BFE3C9-0E23-4F0D-A596-1B33696A08A1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2026-03-05T13:15:28Z</dcterms:modified>
  <cp:category/>
  <cp:contentStatus/>
</cp:coreProperties>
</file>