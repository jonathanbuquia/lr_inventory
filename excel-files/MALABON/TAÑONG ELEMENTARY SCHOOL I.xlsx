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6" documentId="13_ncr:1_{BFB59F67-F0DC-4675-A682-EB0734A8026A}" xr6:coauthVersionLast="47" xr6:coauthVersionMax="47" xr10:uidLastSave="{576B42C2-E459-442D-BDD5-5C6BCFFFCBEA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<sst xmlns="http://schemas.openxmlformats.org/spreadsheetml/2006/main" count="475" uniqueCount="92">
  <si>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</si>
  <si>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</si>
  <si>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</si>
  <si>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</si>
  <si>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</si>
  <si>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</si>
  <si>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</si>
  <si>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</si>
  <si>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</si>
  <si>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</si>
  <si>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</si>
  <si>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</si>
  <si>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</si>
  <si>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</si>
  <si>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</si>
  <si>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</si>
  <si>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</si>
  <si>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</si>
  <si>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</si>
  <si>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</si>
  <si>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</si>
  <si>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NA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</si>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</sst>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8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116</v>
      </c>
      <c r="D2" s="1">
        <v>330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214</v>
      </c>
    </row>
    <row r="3" spans="1:8" ht="29.25" customHeight="1">
      <c r="A3" s="1">
        <v>1</v>
      </c>
      <c r="B3" s="2" t="s">
        <v>10</v>
      </c>
      <c r="C3" s="1">
        <v>116</v>
      </c>
      <c r="D3" s="1">
        <v>330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214</v>
      </c>
    </row>
    <row r="4" spans="1:8" ht="21" customHeight="1">
      <c r="A4" s="1">
        <v>1</v>
      </c>
      <c r="B4" s="2" t="s">
        <v>11</v>
      </c>
      <c r="C4" s="1">
        <v>116</v>
      </c>
      <c r="D4" s="1">
        <v>330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214</v>
      </c>
    </row>
    <row r="5" spans="1:8" ht="25.5" customHeight="1">
      <c r="A5" s="1">
        <v>1</v>
      </c>
      <c r="B5" s="2" t="s">
        <v>12</v>
      </c>
      <c r="C5" s="1">
        <v>116</v>
      </c>
      <c r="D5" s="1">
        <v>330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214</v>
      </c>
    </row>
    <row r="6" spans="1:8" ht="19.5">
      <c r="A6" s="1">
        <v>1</v>
      </c>
      <c r="B6" s="2" t="s">
        <v>13</v>
      </c>
      <c r="C6" s="1">
        <v>116</v>
      </c>
      <c r="D6" s="1">
        <v>330</v>
      </c>
      <c r="E6" s="1">
        <v>2025</v>
      </c>
      <c r="F6" s="5" t="s">
        <v>9</v>
      </c>
      <c r="G6" s="3">
        <f t="shared" si="0"/>
        <v>0</v>
      </c>
      <c r="H6" s="4">
        <f t="shared" si="1"/>
        <v>214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152</v>
      </c>
      <c r="D8" s="1">
        <v>330</v>
      </c>
      <c r="E8" s="1">
        <v>2025</v>
      </c>
      <c r="F8" s="5" t="s">
        <v>9</v>
      </c>
      <c r="G8" s="3">
        <f>IF((C8-D8)&lt;0,0,C8-D8)</f>
        <v>0</v>
      </c>
      <c r="H8" s="4">
        <f>IF((D8-C8)&lt;0,0,D8-C8)</f>
        <v>178</v>
      </c>
    </row>
    <row r="9" spans="1:8" ht="29.25" customHeight="1">
      <c r="A9" s="1">
        <v>2</v>
      </c>
      <c r="B9" s="2" t="s">
        <v>10</v>
      </c>
      <c r="C9" s="1">
        <v>152</v>
      </c>
      <c r="D9" s="1">
        <v>330</v>
      </c>
      <c r="E9" s="1">
        <v>2025</v>
      </c>
      <c r="F9" s="5" t="s">
        <v>9</v>
      </c>
      <c r="G9" s="3">
        <f>IF((C9-D9)&lt;0,0,C9-D9)</f>
        <v>0</v>
      </c>
      <c r="H9" s="4">
        <f>IF((D9-C9)&lt;0,0,D9-C9)</f>
        <v>178</v>
      </c>
    </row>
    <row r="10" spans="1:8" ht="28.5" customHeight="1">
      <c r="A10" s="1">
        <v>2</v>
      </c>
      <c r="B10" s="2" t="s">
        <v>11</v>
      </c>
      <c r="C10" s="1">
        <v>152</v>
      </c>
      <c r="D10" s="1">
        <v>330</v>
      </c>
      <c r="E10" s="1">
        <v>2025</v>
      </c>
      <c r="F10" s="5" t="s">
        <v>9</v>
      </c>
      <c r="G10" s="3">
        <f>IF((C10-D10)&lt;0,0,C10-D10)</f>
        <v>0</v>
      </c>
      <c r="H10" s="4">
        <f>IF((D10-C10)&lt;0,0,D10-C10)</f>
        <v>178</v>
      </c>
    </row>
    <row r="11" spans="1:8" ht="24" customHeight="1">
      <c r="A11" s="1">
        <v>2</v>
      </c>
      <c r="B11" s="2" t="s">
        <v>12</v>
      </c>
      <c r="C11" s="1">
        <v>152</v>
      </c>
      <c r="D11" s="1">
        <v>330</v>
      </c>
      <c r="E11" s="1">
        <v>2025</v>
      </c>
      <c r="F11" s="5" t="s">
        <v>9</v>
      </c>
      <c r="G11" s="3">
        <f>IF((C11-D11)&lt;0,0,C11-D11)</f>
        <v>0</v>
      </c>
      <c r="H11" s="4">
        <f>IF((D11-C11)&lt;0,0,D11-C11)</f>
        <v>178</v>
      </c>
    </row>
    <row r="12" spans="1:8" ht="19.5">
      <c r="A12" s="1">
        <v>2</v>
      </c>
      <c r="B12" s="2" t="s">
        <v>13</v>
      </c>
      <c r="C12" s="1">
        <v>152</v>
      </c>
      <c r="D12" s="1">
        <v>330</v>
      </c>
      <c r="E12" s="1">
        <v>2025</v>
      </c>
      <c r="F12" s="5" t="s">
        <v>9</v>
      </c>
      <c r="G12" s="3">
        <f>IF((C12-D12)&lt;0,0,C12-D12)</f>
        <v>0</v>
      </c>
      <c r="H12" s="4">
        <f>IF((D12-C12)&lt;0,0,D12-C12)</f>
        <v>178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170</v>
      </c>
      <c r="D14" s="1">
        <v>330</v>
      </c>
      <c r="E14" s="1">
        <v>2025</v>
      </c>
      <c r="F14" s="5" t="s">
        <v>9</v>
      </c>
      <c r="G14" s="3">
        <f t="shared" ref="G14:G19" si="2">IF((C14-D14)&lt;0,0,C14-D14)</f>
        <v>0</v>
      </c>
      <c r="H14" s="4">
        <f t="shared" ref="H14:H19" si="3">IF((D14-C14)&lt;0,0,D14-C14)</f>
        <v>160</v>
      </c>
    </row>
    <row r="15" spans="1:8" ht="29.25" customHeight="1">
      <c r="A15" s="1">
        <v>3</v>
      </c>
      <c r="B15" s="2" t="s">
        <v>10</v>
      </c>
      <c r="C15" s="1">
        <v>170</v>
      </c>
      <c r="D15" s="1">
        <v>330</v>
      </c>
      <c r="E15" s="1">
        <v>2025</v>
      </c>
      <c r="F15" s="5" t="s">
        <v>9</v>
      </c>
      <c r="G15" s="3">
        <f t="shared" si="2"/>
        <v>0</v>
      </c>
      <c r="H15" s="4">
        <f t="shared" si="3"/>
        <v>160</v>
      </c>
    </row>
    <row r="16" spans="1:8" ht="27" customHeight="1">
      <c r="A16" s="1">
        <v>3</v>
      </c>
      <c r="B16" s="2" t="s">
        <v>11</v>
      </c>
      <c r="C16" s="1">
        <v>170</v>
      </c>
      <c r="D16" s="1">
        <v>330</v>
      </c>
      <c r="E16" s="1">
        <v>2025</v>
      </c>
      <c r="F16" s="5" t="s">
        <v>9</v>
      </c>
      <c r="G16" s="3">
        <f t="shared" si="2"/>
        <v>0</v>
      </c>
      <c r="H16" s="4">
        <f t="shared" si="3"/>
        <v>160</v>
      </c>
    </row>
    <row r="17" spans="1:8" ht="23.25" customHeight="1">
      <c r="A17" s="1">
        <v>3</v>
      </c>
      <c r="B17" s="2" t="s">
        <v>14</v>
      </c>
      <c r="C17" s="1">
        <v>170</v>
      </c>
      <c r="D17" s="1">
        <v>330</v>
      </c>
      <c r="E17" s="1">
        <v>2025</v>
      </c>
      <c r="F17" s="5" t="s">
        <v>9</v>
      </c>
      <c r="G17" s="3">
        <f t="shared" si="2"/>
        <v>0</v>
      </c>
      <c r="H17" s="4">
        <f t="shared" si="3"/>
        <v>160</v>
      </c>
    </row>
    <row r="18" spans="1:8" ht="21" customHeight="1">
      <c r="A18" s="1">
        <v>3</v>
      </c>
      <c r="B18" s="2" t="s">
        <v>12</v>
      </c>
      <c r="C18" s="1">
        <v>170</v>
      </c>
      <c r="D18" s="1">
        <v>330</v>
      </c>
      <c r="E18" s="1">
        <v>2025</v>
      </c>
      <c r="F18" s="5" t="s">
        <v>9</v>
      </c>
      <c r="G18" s="3">
        <f t="shared" si="2"/>
        <v>0</v>
      </c>
      <c r="H18" s="4">
        <f t="shared" si="3"/>
        <v>160</v>
      </c>
    </row>
    <row r="19" spans="1:8" ht="19.5">
      <c r="A19" s="1">
        <v>3</v>
      </c>
      <c r="B19" s="2" t="s">
        <v>13</v>
      </c>
      <c r="C19" s="1">
        <v>170</v>
      </c>
      <c r="D19" s="1">
        <v>330</v>
      </c>
      <c r="E19" s="1">
        <v>2025</v>
      </c>
      <c r="F19" s="5" t="s">
        <v>9</v>
      </c>
      <c r="G19" s="3">
        <f t="shared" si="2"/>
        <v>0</v>
      </c>
      <c r="H19" s="4">
        <f t="shared" si="3"/>
        <v>160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155</v>
      </c>
      <c r="D21" s="1">
        <v>330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175</v>
      </c>
    </row>
    <row r="22" spans="1:8" ht="24" customHeight="1">
      <c r="A22" s="1">
        <v>4</v>
      </c>
      <c r="B22" s="9" t="s">
        <v>16</v>
      </c>
      <c r="C22" s="1">
        <v>155</v>
      </c>
      <c r="D22" s="1">
        <v>330</v>
      </c>
      <c r="E22" s="1">
        <v>2025</v>
      </c>
      <c r="F22" s="5" t="s">
        <v>9</v>
      </c>
      <c r="G22" s="3">
        <f t="shared" si="4"/>
        <v>0</v>
      </c>
      <c r="H22" s="4">
        <f t="shared" si="5"/>
        <v>175</v>
      </c>
    </row>
    <row r="23" spans="1:8" ht="19.5">
      <c r="A23" s="1">
        <v>4</v>
      </c>
      <c r="B23" s="9" t="s">
        <v>13</v>
      </c>
      <c r="C23" s="1">
        <v>155</v>
      </c>
      <c r="D23" s="1">
        <v>330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175</v>
      </c>
    </row>
    <row r="24" spans="1:8" ht="27" customHeight="1">
      <c r="A24" s="1">
        <v>4</v>
      </c>
      <c r="B24" s="9" t="s">
        <v>11</v>
      </c>
      <c r="C24" s="1">
        <v>155</v>
      </c>
      <c r="D24" s="1">
        <v>330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175</v>
      </c>
    </row>
    <row r="25" spans="1:8" ht="33.75" customHeight="1">
      <c r="A25" s="1">
        <v>4</v>
      </c>
      <c r="B25" s="9" t="s">
        <v>17</v>
      </c>
      <c r="C25" s="1">
        <v>155</v>
      </c>
      <c r="D25" s="1">
        <v>330</v>
      </c>
      <c r="E25" s="1">
        <v>2025</v>
      </c>
      <c r="F25" s="5" t="s">
        <v>9</v>
      </c>
      <c r="G25" s="3">
        <f t="shared" si="4"/>
        <v>0</v>
      </c>
      <c r="H25" s="4">
        <f t="shared" si="5"/>
        <v>175</v>
      </c>
    </row>
    <row r="26" spans="1:8" ht="33.75" customHeight="1">
      <c r="A26" s="1">
        <v>4</v>
      </c>
      <c r="B26" s="9" t="s">
        <v>14</v>
      </c>
      <c r="C26" s="1">
        <v>155</v>
      </c>
      <c r="D26" s="1">
        <v>330</v>
      </c>
      <c r="E26" s="1">
        <v>2025</v>
      </c>
      <c r="F26" s="5" t="s">
        <v>9</v>
      </c>
      <c r="G26" s="3">
        <f t="shared" si="4"/>
        <v>0</v>
      </c>
      <c r="H26" s="4">
        <f t="shared" si="5"/>
        <v>175</v>
      </c>
    </row>
    <row r="27" spans="1:8" ht="33.75" customHeight="1">
      <c r="A27" s="1">
        <v>4</v>
      </c>
      <c r="B27" s="9" t="s">
        <v>18</v>
      </c>
      <c r="C27" s="1">
        <v>155</v>
      </c>
      <c r="D27" s="1">
        <v>330</v>
      </c>
      <c r="E27" s="1">
        <v>2025</v>
      </c>
      <c r="F27" s="5" t="s">
        <v>9</v>
      </c>
      <c r="G27" s="3">
        <f t="shared" si="4"/>
        <v>0</v>
      </c>
      <c r="H27" s="4">
        <f t="shared" si="5"/>
        <v>175</v>
      </c>
    </row>
    <row r="28" spans="1:8" ht="27.75" customHeight="1">
      <c r="A28" s="1">
        <v>4</v>
      </c>
      <c r="B28" s="9" t="s">
        <v>19</v>
      </c>
      <c r="C28" s="1">
        <v>155</v>
      </c>
      <c r="D28" s="1">
        <v>330</v>
      </c>
      <c r="E28" s="1">
        <v>2025</v>
      </c>
      <c r="F28" s="5" t="s">
        <v>9</v>
      </c>
      <c r="G28" s="3">
        <f t="shared" si="4"/>
        <v>0</v>
      </c>
      <c r="H28" s="4">
        <f t="shared" si="5"/>
        <v>175</v>
      </c>
    </row>
    <row r="29" spans="1:8" ht="27.75" customHeight="1">
      <c r="A29" s="1">
        <v>4</v>
      </c>
      <c r="B29" s="9" t="s">
        <v>20</v>
      </c>
      <c r="C29" s="1">
        <v>155</v>
      </c>
      <c r="D29" s="1">
        <v>330</v>
      </c>
      <c r="E29" s="1">
        <v>2025</v>
      </c>
      <c r="F29" s="5" t="s">
        <v>9</v>
      </c>
      <c r="G29" s="3">
        <f t="shared" si="4"/>
        <v>0</v>
      </c>
      <c r="H29" s="4">
        <f t="shared" si="5"/>
        <v>175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157</v>
      </c>
      <c r="D31" s="1">
        <v>330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173</v>
      </c>
    </row>
    <row r="32" spans="1:8" ht="27.75" customHeight="1">
      <c r="A32" s="1">
        <v>5</v>
      </c>
      <c r="B32" s="9" t="s">
        <v>16</v>
      </c>
      <c r="C32" s="1">
        <v>157</v>
      </c>
      <c r="D32" s="1">
        <v>330</v>
      </c>
      <c r="E32" s="1">
        <v>2025</v>
      </c>
      <c r="F32" s="5" t="s">
        <v>9</v>
      </c>
      <c r="G32" s="3">
        <f t="shared" si="6"/>
        <v>0</v>
      </c>
      <c r="H32" s="4">
        <f t="shared" si="7"/>
        <v>173</v>
      </c>
    </row>
    <row r="33" spans="1:8" ht="27.75" customHeight="1">
      <c r="A33" s="1">
        <v>5</v>
      </c>
      <c r="B33" s="9" t="s">
        <v>13</v>
      </c>
      <c r="C33" s="1">
        <v>157</v>
      </c>
      <c r="D33" s="1">
        <v>330</v>
      </c>
      <c r="E33" s="1">
        <v>2025</v>
      </c>
      <c r="F33" s="5" t="s">
        <v>9</v>
      </c>
      <c r="G33" s="3">
        <f t="shared" si="6"/>
        <v>0</v>
      </c>
      <c r="H33" s="4">
        <f t="shared" si="7"/>
        <v>173</v>
      </c>
    </row>
    <row r="34" spans="1:8" ht="27.75" customHeight="1">
      <c r="A34" s="1">
        <v>5</v>
      </c>
      <c r="B34" s="9" t="s">
        <v>11</v>
      </c>
      <c r="C34" s="1">
        <v>157</v>
      </c>
      <c r="D34" s="1">
        <v>330</v>
      </c>
      <c r="E34" s="1">
        <v>2025</v>
      </c>
      <c r="F34" s="5" t="s">
        <v>9</v>
      </c>
      <c r="G34" s="3">
        <f t="shared" si="6"/>
        <v>0</v>
      </c>
      <c r="H34" s="4">
        <f t="shared" si="7"/>
        <v>173</v>
      </c>
    </row>
    <row r="35" spans="1:8" ht="39" customHeight="1">
      <c r="A35" s="1">
        <v>5</v>
      </c>
      <c r="B35" s="9" t="s">
        <v>17</v>
      </c>
      <c r="C35" s="1">
        <v>157</v>
      </c>
      <c r="D35" s="1">
        <v>330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173</v>
      </c>
    </row>
    <row r="36" spans="1:8" ht="27.75" customHeight="1">
      <c r="A36" s="1">
        <v>5</v>
      </c>
      <c r="B36" s="9" t="s">
        <v>14</v>
      </c>
      <c r="C36" s="1">
        <v>157</v>
      </c>
      <c r="D36" s="1">
        <v>330</v>
      </c>
      <c r="E36" s="1">
        <v>2025</v>
      </c>
      <c r="F36" s="5" t="s">
        <v>9</v>
      </c>
      <c r="G36" s="3">
        <f t="shared" si="6"/>
        <v>0</v>
      </c>
      <c r="H36" s="4">
        <f t="shared" si="7"/>
        <v>173</v>
      </c>
    </row>
    <row r="37" spans="1:8" ht="27.75" customHeight="1">
      <c r="A37" s="1">
        <v>5</v>
      </c>
      <c r="B37" s="9" t="s">
        <v>18</v>
      </c>
      <c r="C37" s="1">
        <v>157</v>
      </c>
      <c r="D37" s="1">
        <v>330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173</v>
      </c>
    </row>
    <row r="38" spans="1:8" ht="27.75" customHeight="1">
      <c r="A38" s="1">
        <v>5</v>
      </c>
      <c r="B38" s="9" t="s">
        <v>19</v>
      </c>
      <c r="C38" s="1">
        <v>157</v>
      </c>
      <c r="D38" s="1">
        <v>330</v>
      </c>
      <c r="E38" s="1">
        <v>2025</v>
      </c>
      <c r="F38" s="5" t="s">
        <v>9</v>
      </c>
      <c r="G38" s="3">
        <f t="shared" si="6"/>
        <v>0</v>
      </c>
      <c r="H38" s="4">
        <f t="shared" si="7"/>
        <v>173</v>
      </c>
    </row>
    <row r="39" spans="1:8" ht="27.75" customHeight="1">
      <c r="A39" s="1">
        <v>5</v>
      </c>
      <c r="B39" s="9" t="s">
        <v>20</v>
      </c>
      <c r="C39" s="1">
        <v>157</v>
      </c>
      <c r="D39" s="1">
        <v>330</v>
      </c>
      <c r="E39" s="1">
        <v>2025</v>
      </c>
      <c r="F39" s="5" t="s">
        <v>9</v>
      </c>
      <c r="G39" s="3">
        <f t="shared" si="6"/>
        <v>0</v>
      </c>
      <c r="H39" s="4">
        <f t="shared" si="7"/>
        <v>173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148</v>
      </c>
      <c r="D41" s="1">
        <v>330</v>
      </c>
      <c r="E41" s="1">
        <v>2025</v>
      </c>
      <c r="F41" s="5" t="s">
        <v>9</v>
      </c>
      <c r="G41" s="3">
        <f t="shared" ref="G41:G49" si="8">IF((C41-D41)&lt;0,0,C41-D41)</f>
        <v>0</v>
      </c>
      <c r="H41" s="4">
        <f t="shared" ref="H41:H49" si="9">IF((D41-C41)&lt;0,0,D41-C41)</f>
        <v>182</v>
      </c>
    </row>
    <row r="42" spans="1:8" ht="27.75" customHeight="1">
      <c r="A42" s="1">
        <v>6</v>
      </c>
      <c r="B42" s="9" t="s">
        <v>16</v>
      </c>
      <c r="C42" s="1">
        <v>148</v>
      </c>
      <c r="D42" s="1">
        <v>330</v>
      </c>
      <c r="E42" s="1">
        <v>2025</v>
      </c>
      <c r="F42" s="5" t="s">
        <v>9</v>
      </c>
      <c r="G42" s="3">
        <f t="shared" si="8"/>
        <v>0</v>
      </c>
      <c r="H42" s="4">
        <f t="shared" si="9"/>
        <v>182</v>
      </c>
    </row>
    <row r="43" spans="1:8" ht="27.75" customHeight="1">
      <c r="A43" s="1">
        <v>6</v>
      </c>
      <c r="B43" s="9" t="s">
        <v>13</v>
      </c>
      <c r="C43" s="1">
        <v>148</v>
      </c>
      <c r="D43" s="1">
        <v>330</v>
      </c>
      <c r="E43" s="1">
        <v>2025</v>
      </c>
      <c r="F43" s="5" t="s">
        <v>9</v>
      </c>
      <c r="G43" s="3">
        <f t="shared" si="8"/>
        <v>0</v>
      </c>
      <c r="H43" s="4">
        <f t="shared" si="9"/>
        <v>182</v>
      </c>
    </row>
    <row r="44" spans="1:8" ht="27.75" customHeight="1">
      <c r="A44" s="1">
        <v>6</v>
      </c>
      <c r="B44" s="9" t="s">
        <v>11</v>
      </c>
      <c r="C44" s="1">
        <v>148</v>
      </c>
      <c r="D44" s="1">
        <v>330</v>
      </c>
      <c r="E44" s="1">
        <v>2025</v>
      </c>
      <c r="F44" s="5" t="s">
        <v>9</v>
      </c>
      <c r="G44" s="3">
        <f t="shared" si="8"/>
        <v>0</v>
      </c>
      <c r="H44" s="4">
        <f t="shared" si="9"/>
        <v>182</v>
      </c>
    </row>
    <row r="45" spans="1:8" ht="36.75" customHeight="1">
      <c r="A45" s="1">
        <v>6</v>
      </c>
      <c r="B45" s="9" t="s">
        <v>17</v>
      </c>
      <c r="C45" s="1">
        <v>148</v>
      </c>
      <c r="D45" s="1">
        <v>330</v>
      </c>
      <c r="E45" s="1">
        <v>2025</v>
      </c>
      <c r="F45" s="5" t="s">
        <v>9</v>
      </c>
      <c r="G45" s="3">
        <f t="shared" si="8"/>
        <v>0</v>
      </c>
      <c r="H45" s="4">
        <f t="shared" si="9"/>
        <v>182</v>
      </c>
    </row>
    <row r="46" spans="1:8" ht="27.75" customHeight="1">
      <c r="A46" s="1">
        <v>6</v>
      </c>
      <c r="B46" s="9" t="s">
        <v>14</v>
      </c>
      <c r="C46" s="1">
        <v>148</v>
      </c>
      <c r="D46" s="1">
        <v>330</v>
      </c>
      <c r="E46" s="1">
        <v>2025</v>
      </c>
      <c r="F46" s="5" t="s">
        <v>9</v>
      </c>
      <c r="G46" s="3">
        <f t="shared" si="8"/>
        <v>0</v>
      </c>
      <c r="H46" s="4">
        <f t="shared" si="9"/>
        <v>182</v>
      </c>
    </row>
    <row r="47" spans="1:8" ht="27.75" customHeight="1">
      <c r="A47" s="1">
        <v>6</v>
      </c>
      <c r="B47" s="9" t="s">
        <v>18</v>
      </c>
      <c r="C47" s="1">
        <v>148</v>
      </c>
      <c r="D47" s="1">
        <v>330</v>
      </c>
      <c r="E47" s="1">
        <v>2025</v>
      </c>
      <c r="F47" s="5" t="s">
        <v>9</v>
      </c>
      <c r="G47" s="3">
        <f t="shared" si="8"/>
        <v>0</v>
      </c>
      <c r="H47" s="4">
        <f t="shared" si="9"/>
        <v>182</v>
      </c>
    </row>
    <row r="48" spans="1:8" ht="27.75" customHeight="1">
      <c r="A48" s="1">
        <v>6</v>
      </c>
      <c r="B48" s="9" t="s">
        <v>19</v>
      </c>
      <c r="C48" s="1">
        <v>148</v>
      </c>
      <c r="D48" s="1">
        <v>330</v>
      </c>
      <c r="E48" s="1">
        <v>2025</v>
      </c>
      <c r="F48" s="5" t="s">
        <v>9</v>
      </c>
      <c r="G48" s="3">
        <f t="shared" si="8"/>
        <v>0</v>
      </c>
      <c r="H48" s="4">
        <f t="shared" si="9"/>
        <v>182</v>
      </c>
    </row>
    <row r="49" spans="1:8" ht="27.75" customHeight="1">
      <c r="A49" s="1">
        <v>6</v>
      </c>
      <c r="B49" s="9" t="s">
        <v>20</v>
      </c>
      <c r="C49" s="1">
        <v>148</v>
      </c>
      <c r="D49" s="1">
        <v>330</v>
      </c>
      <c r="E49" s="1">
        <v>2025</v>
      </c>
      <c r="F49" s="5" t="s">
        <v>9</v>
      </c>
      <c r="G49" s="3">
        <f t="shared" si="8"/>
        <v>0</v>
      </c>
      <c r="H49" s="4">
        <f t="shared" si="9"/>
        <v>182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 t="s">
        <v>21</v>
      </c>
      <c r="D51" s="10"/>
      <c r="E51" s="10"/>
      <c r="F51" s="12"/>
      <c r="G51" s="3" t="e">
        <f t="shared" ref="G51:G59" si="10">IF((C51-D51)&lt;0,0,C51-D51)</f>
        <v>#VALUE!</v>
      </c>
      <c r="H51" s="4" t="e">
        <f t="shared" ref="H51:H59" si="11">IF((D51-C51)&lt;0,0,D51-C51)</f>
        <v>#VALUE!</v>
      </c>
    </row>
    <row r="52" spans="1:8" ht="27.75" customHeight="1">
      <c r="A52" s="10">
        <v>7</v>
      </c>
      <c r="B52" s="11" t="s">
        <v>16</v>
      </c>
      <c r="C52" s="10" t="s">
        <v>21</v>
      </c>
      <c r="D52" s="10"/>
      <c r="E52" s="10"/>
      <c r="F52" s="12"/>
      <c r="G52" s="3" t="e">
        <f t="shared" si="10"/>
        <v>#VALUE!</v>
      </c>
      <c r="H52" s="4" t="e">
        <f t="shared" si="11"/>
        <v>#VALUE!</v>
      </c>
    </row>
    <row r="53" spans="1:8" ht="27.75" customHeight="1">
      <c r="A53" s="10">
        <v>7</v>
      </c>
      <c r="B53" s="11" t="s">
        <v>13</v>
      </c>
      <c r="C53" s="10" t="s">
        <v>21</v>
      </c>
      <c r="D53" s="10"/>
      <c r="E53" s="10"/>
      <c r="F53" s="12"/>
      <c r="G53" s="3" t="e">
        <f t="shared" si="10"/>
        <v>#VALUE!</v>
      </c>
      <c r="H53" s="4" t="e">
        <f t="shared" si="11"/>
        <v>#VALUE!</v>
      </c>
    </row>
    <row r="54" spans="1:8" ht="27.75" customHeight="1">
      <c r="A54" s="10">
        <v>7</v>
      </c>
      <c r="B54" s="11" t="s">
        <v>22</v>
      </c>
      <c r="C54" s="10" t="s">
        <v>21</v>
      </c>
      <c r="D54" s="10"/>
      <c r="E54" s="10"/>
      <c r="F54" s="12"/>
      <c r="G54" s="3" t="e">
        <f t="shared" si="10"/>
        <v>#VALUE!</v>
      </c>
      <c r="H54" s="4" t="e">
        <f t="shared" si="11"/>
        <v>#VALUE!</v>
      </c>
    </row>
    <row r="55" spans="1:8" ht="39" customHeight="1">
      <c r="A55" s="10">
        <v>7</v>
      </c>
      <c r="B55" s="11" t="s">
        <v>17</v>
      </c>
      <c r="C55" s="10" t="s">
        <v>21</v>
      </c>
      <c r="D55" s="10"/>
      <c r="E55" s="10"/>
      <c r="F55" s="12"/>
      <c r="G55" s="3" t="e">
        <f t="shared" si="10"/>
        <v>#VALUE!</v>
      </c>
      <c r="H55" s="4" t="e">
        <f t="shared" si="11"/>
        <v>#VALUE!</v>
      </c>
    </row>
    <row r="56" spans="1:8" ht="27.75" customHeight="1">
      <c r="A56" s="10">
        <v>7</v>
      </c>
      <c r="B56" s="11" t="s">
        <v>14</v>
      </c>
      <c r="C56" s="10" t="s">
        <v>21</v>
      </c>
      <c r="D56" s="10"/>
      <c r="E56" s="10"/>
      <c r="F56" s="12"/>
      <c r="G56" s="3" t="e">
        <f t="shared" si="10"/>
        <v>#VALUE!</v>
      </c>
      <c r="H56" s="4" t="e">
        <f t="shared" si="11"/>
        <v>#VALUE!</v>
      </c>
    </row>
    <row r="57" spans="1:8" ht="27.75" customHeight="1">
      <c r="A57" s="10">
        <v>7</v>
      </c>
      <c r="B57" s="11" t="s">
        <v>18</v>
      </c>
      <c r="C57" s="10" t="s">
        <v>21</v>
      </c>
      <c r="D57" s="10"/>
      <c r="E57" s="10"/>
      <c r="F57" s="12"/>
      <c r="G57" s="3" t="e">
        <f t="shared" si="10"/>
        <v>#VALUE!</v>
      </c>
      <c r="H57" s="4" t="e">
        <f t="shared" si="11"/>
        <v>#VALUE!</v>
      </c>
    </row>
    <row r="58" spans="1:8" ht="27.75" customHeight="1">
      <c r="A58" s="10">
        <v>7</v>
      </c>
      <c r="B58" s="11" t="s">
        <v>23</v>
      </c>
      <c r="C58" s="10" t="s">
        <v>21</v>
      </c>
      <c r="D58" s="10"/>
      <c r="E58" s="10"/>
      <c r="F58" s="12"/>
      <c r="G58" s="3" t="e">
        <f t="shared" si="10"/>
        <v>#VALUE!</v>
      </c>
      <c r="H58" s="4" t="e">
        <f t="shared" si="11"/>
        <v>#VALUE!</v>
      </c>
    </row>
    <row r="59" spans="1:8" ht="27.75" customHeight="1">
      <c r="A59" s="10">
        <v>7</v>
      </c>
      <c r="B59" s="11" t="s">
        <v>20</v>
      </c>
      <c r="C59" s="10" t="s">
        <v>21</v>
      </c>
      <c r="D59" s="10"/>
      <c r="E59" s="10"/>
      <c r="F59" s="12"/>
      <c r="G59" s="3" t="e">
        <f t="shared" si="10"/>
        <v>#VALUE!</v>
      </c>
      <c r="H59" s="4" t="e">
        <f t="shared" si="11"/>
        <v>#VALUE!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 t="s">
        <v>21</v>
      </c>
      <c r="D61" s="10"/>
      <c r="E61" s="10"/>
      <c r="F61" s="12"/>
      <c r="G61" s="3" t="e">
        <f t="shared" ref="G61:G69" si="12">IF((C61-D61)&lt;0,0,C61-D61)</f>
        <v>#VALUE!</v>
      </c>
      <c r="H61" s="4" t="e">
        <f t="shared" ref="H61:H69" si="13">IF((D61-C61)&lt;0,0,D61-C61)</f>
        <v>#VALUE!</v>
      </c>
    </row>
    <row r="62" spans="1:8" ht="27.75" customHeight="1">
      <c r="A62" s="10">
        <v>8</v>
      </c>
      <c r="B62" s="11" t="s">
        <v>16</v>
      </c>
      <c r="C62" s="10" t="s">
        <v>21</v>
      </c>
      <c r="D62" s="10"/>
      <c r="E62" s="10"/>
      <c r="F62" s="12"/>
      <c r="G62" s="3" t="e">
        <f t="shared" si="12"/>
        <v>#VALUE!</v>
      </c>
      <c r="H62" s="4" t="e">
        <f t="shared" si="13"/>
        <v>#VALUE!</v>
      </c>
    </row>
    <row r="63" spans="1:8" ht="27.75" customHeight="1">
      <c r="A63" s="10">
        <v>8</v>
      </c>
      <c r="B63" s="11" t="s">
        <v>13</v>
      </c>
      <c r="C63" s="10" t="s">
        <v>21</v>
      </c>
      <c r="D63" s="10"/>
      <c r="E63" s="10"/>
      <c r="F63" s="12"/>
      <c r="G63" s="3" t="e">
        <f t="shared" si="12"/>
        <v>#VALUE!</v>
      </c>
      <c r="H63" s="4" t="e">
        <f t="shared" si="13"/>
        <v>#VALUE!</v>
      </c>
    </row>
    <row r="64" spans="1:8" ht="27.75" customHeight="1">
      <c r="A64" s="10">
        <v>8</v>
      </c>
      <c r="B64" s="11" t="s">
        <v>22</v>
      </c>
      <c r="C64" s="10" t="s">
        <v>21</v>
      </c>
      <c r="D64" s="10"/>
      <c r="E64" s="10"/>
      <c r="F64" s="12"/>
      <c r="G64" s="3" t="e">
        <f t="shared" si="12"/>
        <v>#VALUE!</v>
      </c>
      <c r="H64" s="4" t="e">
        <f t="shared" si="13"/>
        <v>#VALUE!</v>
      </c>
    </row>
    <row r="65" spans="1:8" ht="27.75" customHeight="1">
      <c r="A65" s="10">
        <v>8</v>
      </c>
      <c r="B65" s="11" t="s">
        <v>24</v>
      </c>
      <c r="C65" s="10" t="s">
        <v>21</v>
      </c>
      <c r="D65" s="10"/>
      <c r="E65" s="10"/>
      <c r="F65" s="12"/>
      <c r="G65" s="3" t="e">
        <f t="shared" si="12"/>
        <v>#VALUE!</v>
      </c>
      <c r="H65" s="4" t="e">
        <f t="shared" si="13"/>
        <v>#VALUE!</v>
      </c>
    </row>
    <row r="66" spans="1:8" ht="27.75" customHeight="1">
      <c r="A66" s="10">
        <v>8</v>
      </c>
      <c r="B66" s="11" t="s">
        <v>14</v>
      </c>
      <c r="C66" s="10" t="s">
        <v>21</v>
      </c>
      <c r="D66" s="10"/>
      <c r="E66" s="10"/>
      <c r="F66" s="12"/>
      <c r="G66" s="3" t="e">
        <f t="shared" si="12"/>
        <v>#VALUE!</v>
      </c>
      <c r="H66" s="4" t="e">
        <f t="shared" si="13"/>
        <v>#VALUE!</v>
      </c>
    </row>
    <row r="67" spans="1:8" ht="27.75" customHeight="1">
      <c r="A67" s="10">
        <v>8</v>
      </c>
      <c r="B67" s="11" t="s">
        <v>18</v>
      </c>
      <c r="C67" s="10" t="s">
        <v>21</v>
      </c>
      <c r="D67" s="10"/>
      <c r="E67" s="10"/>
      <c r="F67" s="12"/>
      <c r="G67" s="3" t="e">
        <f t="shared" si="12"/>
        <v>#VALUE!</v>
      </c>
      <c r="H67" s="4" t="e">
        <f t="shared" si="13"/>
        <v>#VALUE!</v>
      </c>
    </row>
    <row r="68" spans="1:8" ht="27.75" customHeight="1">
      <c r="A68" s="10">
        <v>8</v>
      </c>
      <c r="B68" s="11" t="s">
        <v>23</v>
      </c>
      <c r="C68" s="10" t="s">
        <v>21</v>
      </c>
      <c r="D68" s="10"/>
      <c r="E68" s="10"/>
      <c r="F68" s="12"/>
      <c r="G68" s="3" t="e">
        <f t="shared" si="12"/>
        <v>#VALUE!</v>
      </c>
      <c r="H68" s="4" t="e">
        <f t="shared" si="13"/>
        <v>#VALUE!</v>
      </c>
    </row>
    <row r="69" spans="1:8" ht="27.75" customHeight="1">
      <c r="A69" s="10">
        <v>8</v>
      </c>
      <c r="B69" s="11" t="s">
        <v>20</v>
      </c>
      <c r="C69" s="10" t="s">
        <v>21</v>
      </c>
      <c r="D69" s="10"/>
      <c r="E69" s="10"/>
      <c r="F69" s="12"/>
      <c r="G69" s="3" t="e">
        <f t="shared" si="12"/>
        <v>#VALUE!</v>
      </c>
      <c r="H69" s="4" t="e">
        <f t="shared" si="13"/>
        <v>#VALUE!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 t="s">
        <v>21</v>
      </c>
      <c r="D71" s="10"/>
      <c r="E71" s="10"/>
      <c r="F71" s="12"/>
      <c r="G71" s="3" t="e">
        <f t="shared" ref="G71:G79" si="14">IF((C71-D71)&lt;0,0,C71-D71)</f>
        <v>#VALUE!</v>
      </c>
      <c r="H71" s="4" t="e">
        <f t="shared" ref="H71:H79" si="15">IF((D71-C71)&lt;0,0,D71-C71)</f>
        <v>#VALUE!</v>
      </c>
    </row>
    <row r="72" spans="1:8" ht="27.75" customHeight="1">
      <c r="A72" s="10">
        <v>9</v>
      </c>
      <c r="B72" s="11" t="s">
        <v>16</v>
      </c>
      <c r="C72" s="10" t="s">
        <v>21</v>
      </c>
      <c r="D72" s="10"/>
      <c r="E72" s="10"/>
      <c r="F72" s="12"/>
      <c r="G72" s="3" t="e">
        <f t="shared" si="14"/>
        <v>#VALUE!</v>
      </c>
      <c r="H72" s="4" t="e">
        <f t="shared" si="15"/>
        <v>#VALUE!</v>
      </c>
    </row>
    <row r="73" spans="1:8" ht="27.75" customHeight="1">
      <c r="A73" s="10">
        <v>9</v>
      </c>
      <c r="B73" s="11" t="s">
        <v>13</v>
      </c>
      <c r="C73" s="10" t="s">
        <v>21</v>
      </c>
      <c r="D73" s="10"/>
      <c r="E73" s="10"/>
      <c r="F73" s="12"/>
      <c r="G73" s="3" t="e">
        <f t="shared" si="14"/>
        <v>#VALUE!</v>
      </c>
      <c r="H73" s="4" t="e">
        <f t="shared" si="15"/>
        <v>#VALUE!</v>
      </c>
    </row>
    <row r="74" spans="1:8" ht="27.75" customHeight="1">
      <c r="A74" s="10">
        <v>9</v>
      </c>
      <c r="B74" s="11" t="s">
        <v>22</v>
      </c>
      <c r="C74" s="10" t="s">
        <v>21</v>
      </c>
      <c r="D74" s="10"/>
      <c r="E74" s="10"/>
      <c r="F74" s="12"/>
      <c r="G74" s="3" t="e">
        <f t="shared" si="14"/>
        <v>#VALUE!</v>
      </c>
      <c r="H74" s="4" t="e">
        <f t="shared" si="15"/>
        <v>#VALUE!</v>
      </c>
    </row>
    <row r="75" spans="1:8" ht="27.75" customHeight="1">
      <c r="A75" s="10">
        <v>9</v>
      </c>
      <c r="B75" s="11" t="s">
        <v>24</v>
      </c>
      <c r="C75" s="10" t="s">
        <v>21</v>
      </c>
      <c r="D75" s="10"/>
      <c r="E75" s="10"/>
      <c r="F75" s="12"/>
      <c r="G75" s="3" t="e">
        <f t="shared" si="14"/>
        <v>#VALUE!</v>
      </c>
      <c r="H75" s="4" t="e">
        <f t="shared" si="15"/>
        <v>#VALUE!</v>
      </c>
    </row>
    <row r="76" spans="1:8" ht="27.75" customHeight="1">
      <c r="A76" s="10">
        <v>9</v>
      </c>
      <c r="B76" s="11" t="s">
        <v>14</v>
      </c>
      <c r="C76" s="10" t="s">
        <v>21</v>
      </c>
      <c r="D76" s="10"/>
      <c r="E76" s="10"/>
      <c r="F76" s="12"/>
      <c r="G76" s="3" t="e">
        <f t="shared" si="14"/>
        <v>#VALUE!</v>
      </c>
      <c r="H76" s="4" t="e">
        <f t="shared" si="15"/>
        <v>#VALUE!</v>
      </c>
    </row>
    <row r="77" spans="1:8" ht="27.75" customHeight="1">
      <c r="A77" s="10">
        <v>9</v>
      </c>
      <c r="B77" s="11" t="s">
        <v>18</v>
      </c>
      <c r="C77" s="10" t="s">
        <v>21</v>
      </c>
      <c r="D77" s="10"/>
      <c r="E77" s="10"/>
      <c r="F77" s="12"/>
      <c r="G77" s="3" t="e">
        <f t="shared" si="14"/>
        <v>#VALUE!</v>
      </c>
      <c r="H77" s="4" t="e">
        <f t="shared" si="15"/>
        <v>#VALUE!</v>
      </c>
    </row>
    <row r="78" spans="1:8" ht="27.75" customHeight="1">
      <c r="A78" s="10">
        <v>9</v>
      </c>
      <c r="B78" s="11" t="s">
        <v>23</v>
      </c>
      <c r="C78" s="10" t="s">
        <v>21</v>
      </c>
      <c r="D78" s="10"/>
      <c r="E78" s="10"/>
      <c r="F78" s="12"/>
      <c r="G78" s="3" t="e">
        <f t="shared" si="14"/>
        <v>#VALUE!</v>
      </c>
      <c r="H78" s="4" t="e">
        <f t="shared" si="15"/>
        <v>#VALUE!</v>
      </c>
    </row>
    <row r="79" spans="1:8" ht="27.75" customHeight="1">
      <c r="A79" s="10">
        <v>9</v>
      </c>
      <c r="B79" s="11" t="s">
        <v>20</v>
      </c>
      <c r="C79" s="10" t="s">
        <v>21</v>
      </c>
      <c r="D79" s="10"/>
      <c r="E79" s="10"/>
      <c r="F79" s="12"/>
      <c r="G79" s="3" t="e">
        <f t="shared" si="14"/>
        <v>#VALUE!</v>
      </c>
      <c r="H79" s="4" t="e">
        <f t="shared" si="15"/>
        <v>#VALUE!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 t="s">
        <v>21</v>
      </c>
      <c r="D81" s="10"/>
      <c r="E81" s="10"/>
      <c r="F81" s="12"/>
      <c r="G81" s="3" t="e">
        <f t="shared" ref="G81:G89" si="16">IF((C81-D81)&lt;0,0,C81-D81)</f>
        <v>#VALUE!</v>
      </c>
      <c r="H81" s="4" t="e">
        <f t="shared" ref="H81:H89" si="17">IF((D81-C81)&lt;0,0,D81-C81)</f>
        <v>#VALUE!</v>
      </c>
    </row>
    <row r="82" spans="1:8" ht="27.75" customHeight="1">
      <c r="A82" s="10">
        <v>10</v>
      </c>
      <c r="B82" s="11" t="s">
        <v>16</v>
      </c>
      <c r="C82" s="10" t="s">
        <v>21</v>
      </c>
      <c r="D82" s="10"/>
      <c r="E82" s="10"/>
      <c r="F82" s="12"/>
      <c r="G82" s="3" t="e">
        <f t="shared" si="16"/>
        <v>#VALUE!</v>
      </c>
      <c r="H82" s="4" t="e">
        <f t="shared" si="17"/>
        <v>#VALUE!</v>
      </c>
    </row>
    <row r="83" spans="1:8" ht="27.75" customHeight="1">
      <c r="A83" s="10">
        <v>10</v>
      </c>
      <c r="B83" s="11" t="s">
        <v>13</v>
      </c>
      <c r="C83" s="10" t="s">
        <v>21</v>
      </c>
      <c r="D83" s="10"/>
      <c r="E83" s="10"/>
      <c r="F83" s="12"/>
      <c r="G83" s="3" t="e">
        <f t="shared" si="16"/>
        <v>#VALUE!</v>
      </c>
      <c r="H83" s="4" t="e">
        <f t="shared" si="17"/>
        <v>#VALUE!</v>
      </c>
    </row>
    <row r="84" spans="1:8" ht="27.75" customHeight="1">
      <c r="A84" s="10">
        <v>10</v>
      </c>
      <c r="B84" s="11" t="s">
        <v>22</v>
      </c>
      <c r="C84" s="10" t="s">
        <v>21</v>
      </c>
      <c r="D84" s="10"/>
      <c r="E84" s="10"/>
      <c r="F84" s="12"/>
      <c r="G84" s="3" t="e">
        <f t="shared" si="16"/>
        <v>#VALUE!</v>
      </c>
      <c r="H84" s="4" t="e">
        <f t="shared" si="17"/>
        <v>#VALUE!</v>
      </c>
    </row>
    <row r="85" spans="1:8" ht="27.75" customHeight="1">
      <c r="A85" s="10">
        <v>10</v>
      </c>
      <c r="B85" s="11" t="s">
        <v>24</v>
      </c>
      <c r="C85" s="10" t="s">
        <v>21</v>
      </c>
      <c r="D85" s="10"/>
      <c r="E85" s="10"/>
      <c r="F85" s="12"/>
      <c r="G85" s="3" t="e">
        <f t="shared" si="16"/>
        <v>#VALUE!</v>
      </c>
      <c r="H85" s="4" t="e">
        <f t="shared" si="17"/>
        <v>#VALUE!</v>
      </c>
    </row>
    <row r="86" spans="1:8" ht="27.75" customHeight="1">
      <c r="A86" s="10">
        <v>10</v>
      </c>
      <c r="B86" s="11" t="s">
        <v>14</v>
      </c>
      <c r="C86" s="10" t="s">
        <v>21</v>
      </c>
      <c r="D86" s="10"/>
      <c r="E86" s="10"/>
      <c r="F86" s="12"/>
      <c r="G86" s="3" t="e">
        <f t="shared" si="16"/>
        <v>#VALUE!</v>
      </c>
      <c r="H86" s="4" t="e">
        <f t="shared" si="17"/>
        <v>#VALUE!</v>
      </c>
    </row>
    <row r="87" spans="1:8" ht="27.75" customHeight="1">
      <c r="A87" s="10">
        <v>10</v>
      </c>
      <c r="B87" s="11" t="s">
        <v>18</v>
      </c>
      <c r="C87" s="10" t="s">
        <v>21</v>
      </c>
      <c r="D87" s="10"/>
      <c r="E87" s="10"/>
      <c r="F87" s="12"/>
      <c r="G87" s="3" t="e">
        <f t="shared" si="16"/>
        <v>#VALUE!</v>
      </c>
      <c r="H87" s="4" t="e">
        <f t="shared" si="17"/>
        <v>#VALUE!</v>
      </c>
    </row>
    <row r="88" spans="1:8" ht="27.75" customHeight="1">
      <c r="A88" s="10">
        <v>10</v>
      </c>
      <c r="B88" s="11" t="s">
        <v>23</v>
      </c>
      <c r="C88" s="10" t="s">
        <v>21</v>
      </c>
      <c r="D88" s="10"/>
      <c r="E88" s="10"/>
      <c r="F88" s="12"/>
      <c r="G88" s="3" t="e">
        <f t="shared" si="16"/>
        <v>#VALUE!</v>
      </c>
      <c r="H88" s="4" t="e">
        <f t="shared" si="17"/>
        <v>#VALUE!</v>
      </c>
    </row>
    <row r="89" spans="1:8" ht="27.75" customHeight="1">
      <c r="A89" s="10">
        <v>10</v>
      </c>
      <c r="B89" s="11" t="s">
        <v>20</v>
      </c>
      <c r="C89" s="10" t="s">
        <v>21</v>
      </c>
      <c r="D89" s="10"/>
      <c r="E89" s="10"/>
      <c r="F89" s="12"/>
      <c r="G89" s="3" t="e">
        <f t="shared" si="16"/>
        <v>#VALUE!</v>
      </c>
      <c r="H89" s="4" t="e">
        <f t="shared" si="17"/>
        <v>#VALUE!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 t="s">
        <v>21</v>
      </c>
      <c r="D91" s="1"/>
      <c r="E91" s="1"/>
      <c r="F91" s="5"/>
      <c r="G91" s="3" t="e">
        <f t="shared" ref="G91:G98" si="18">IF((C91-D91)&lt;0,0,C91-D91)</f>
        <v>#VALUE!</v>
      </c>
      <c r="H91" s="4" t="e">
        <f t="shared" ref="H91:H98" si="19">IF((D91-C91)&lt;0,0,D91-C91)</f>
        <v>#VALUE!</v>
      </c>
    </row>
    <row r="92" spans="1:8" ht="27.75" customHeight="1">
      <c r="A92" s="1" t="s">
        <v>25</v>
      </c>
      <c r="B92" s="9" t="s">
        <v>27</v>
      </c>
      <c r="C92" s="1" t="s">
        <v>21</v>
      </c>
      <c r="D92" s="1"/>
      <c r="E92" s="1"/>
      <c r="F92" s="5"/>
      <c r="G92" s="3" t="e">
        <f t="shared" si="18"/>
        <v>#VALUE!</v>
      </c>
      <c r="H92" s="4" t="e">
        <f t="shared" si="19"/>
        <v>#VALUE!</v>
      </c>
    </row>
    <row r="93" spans="1:8" ht="27.75" customHeight="1">
      <c r="A93" s="1" t="s">
        <v>25</v>
      </c>
      <c r="B93" s="9" t="s">
        <v>28</v>
      </c>
      <c r="C93" s="1" t="s">
        <v>21</v>
      </c>
      <c r="D93" s="1"/>
      <c r="E93" s="1"/>
      <c r="F93" s="5"/>
      <c r="G93" s="3" t="e">
        <f t="shared" si="18"/>
        <v>#VALUE!</v>
      </c>
      <c r="H93" s="4" t="e">
        <f t="shared" si="19"/>
        <v>#VALUE!</v>
      </c>
    </row>
    <row r="94" spans="1:8" ht="27.75" customHeight="1">
      <c r="A94" s="1" t="s">
        <v>25</v>
      </c>
      <c r="B94" s="9" t="s">
        <v>29</v>
      </c>
      <c r="C94" s="1" t="s">
        <v>21</v>
      </c>
      <c r="D94" s="1"/>
      <c r="E94" s="1"/>
      <c r="F94" s="5"/>
      <c r="G94" s="3" t="e">
        <f t="shared" si="18"/>
        <v>#VALUE!</v>
      </c>
      <c r="H94" s="4" t="e">
        <f t="shared" si="19"/>
        <v>#VALUE!</v>
      </c>
    </row>
    <row r="95" spans="1:8" ht="40.5" customHeight="1">
      <c r="A95" s="1" t="s">
        <v>25</v>
      </c>
      <c r="B95" s="9" t="s">
        <v>30</v>
      </c>
      <c r="C95" s="1" t="s">
        <v>21</v>
      </c>
      <c r="D95" s="1"/>
      <c r="E95" s="1"/>
      <c r="F95" s="5"/>
      <c r="G95" s="3" t="e">
        <f t="shared" si="18"/>
        <v>#VALUE!</v>
      </c>
      <c r="H95" s="4" t="e">
        <f t="shared" si="19"/>
        <v>#VALUE!</v>
      </c>
    </row>
    <row r="96" spans="1:8" ht="38.25" customHeight="1">
      <c r="A96" s="1" t="s">
        <v>25</v>
      </c>
      <c r="B96" s="9" t="s">
        <v>31</v>
      </c>
      <c r="C96" s="1" t="s">
        <v>21</v>
      </c>
      <c r="D96" s="1"/>
      <c r="E96" s="1"/>
      <c r="F96" s="5"/>
      <c r="G96" s="3" t="e">
        <f t="shared" si="18"/>
        <v>#VALUE!</v>
      </c>
      <c r="H96" s="4" t="e">
        <f t="shared" si="19"/>
        <v>#VALUE!</v>
      </c>
    </row>
    <row r="97" spans="1:8" ht="27.75" customHeight="1">
      <c r="A97" s="1" t="s">
        <v>25</v>
      </c>
      <c r="B97" s="9" t="s">
        <v>32</v>
      </c>
      <c r="C97" s="1" t="s">
        <v>21</v>
      </c>
      <c r="D97" s="1"/>
      <c r="E97" s="1"/>
      <c r="F97" s="5"/>
      <c r="G97" s="3" t="e">
        <f t="shared" si="18"/>
        <v>#VALUE!</v>
      </c>
      <c r="H97" s="4" t="e">
        <f t="shared" si="19"/>
        <v>#VALUE!</v>
      </c>
    </row>
    <row r="98" spans="1:8" ht="47.25" customHeight="1">
      <c r="A98" s="1" t="s">
        <v>25</v>
      </c>
      <c r="B98" s="9" t="s">
        <v>33</v>
      </c>
      <c r="C98" s="1" t="s">
        <v>21</v>
      </c>
      <c r="D98" s="1"/>
      <c r="E98" s="1"/>
      <c r="F98" s="5"/>
      <c r="G98" s="3" t="e">
        <f t="shared" si="18"/>
        <v>#VALUE!</v>
      </c>
      <c r="H98" s="4" t="e">
        <f t="shared" si="19"/>
        <v>#VALUE!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8:F12 F14:F19 F21:F29 F31:F39 F51:F59 F61:F69 F71:F79 F81:F89 F91:F98 F2:F6 F41:F49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625650A1-ED49-49EC-9ED9-F07710335C9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110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32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P2:R2 V2:X3 N13:P126 T13:V127 J6:J127 D5:F12 N5:R12 T5:X12 N4:P4 T4:V4 J4 Z4:AA127 N3:R3 Y13 Q112:Q126 R113:R126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1B78CD37-D67E-44B8-BDBF-C2830CC3BE0A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9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116</v>
      </c>
      <c r="D3" s="5">
        <f>Table14[[#This Row],[Enrolment S.Y. 2025-2026 ]]*8</f>
        <v>928</v>
      </c>
      <c r="E3" s="5"/>
      <c r="F3" s="1"/>
      <c r="G3" s="5"/>
      <c r="H3" s="5">
        <f t="shared" ref="H3:H83" si="0">IF((D3-E3)&lt;0,0,(D3-E3))</f>
        <v>928</v>
      </c>
      <c r="I3" s="5">
        <f t="shared" ref="I3:I83" si="1">IF((E3-D3)&lt;0,0,(E3-D3))</f>
        <v>0</v>
      </c>
      <c r="J3" s="5">
        <f>Table14[[#This Row],[Enrolment S.Y. 2025-2026 ]]*8</f>
        <v>928</v>
      </c>
      <c r="K3" s="5"/>
      <c r="L3" s="1"/>
      <c r="M3" s="5"/>
      <c r="N3" s="5">
        <f t="shared" ref="N3:N72" si="2">IF((J3-K3)&lt;0,0,(J3-K3))</f>
        <v>928</v>
      </c>
      <c r="O3" s="5">
        <f t="shared" ref="O3:O72" si="3">IF((K3-J3)&lt;0,0,(K3-J3))</f>
        <v>0</v>
      </c>
      <c r="P3" s="5">
        <f>Table14[[#This Row],[Enrolment S.Y. 2025-2026 ]]*8</f>
        <v>928</v>
      </c>
      <c r="Q3" s="5"/>
      <c r="R3" s="1"/>
      <c r="S3" s="5"/>
      <c r="T3" s="5">
        <f t="shared" ref="T3:T72" si="4">IF((P3-Q3)&lt;0,0,(P3-Q3))</f>
        <v>928</v>
      </c>
      <c r="U3" s="5">
        <f t="shared" ref="U3:U72" si="5">IF((Q3-P3)&lt;0,0,(Q3-P3))</f>
        <v>0</v>
      </c>
      <c r="V3" s="5">
        <f>Table14[[#This Row],[Enrolment S.Y. 2025-2026 ]]*8</f>
        <v>928</v>
      </c>
      <c r="W3" s="5"/>
      <c r="X3" s="1"/>
      <c r="Y3" s="5"/>
      <c r="Z3" s="5">
        <f t="shared" ref="Z3:Z72" si="6">IF((V3-W3)&lt;0,0,(V3-W3))</f>
        <v>928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116</v>
      </c>
      <c r="D4" s="5">
        <f>Table14[[#This Row],[Enrolment S.Y. 2025-2026 ]]*8</f>
        <v>928</v>
      </c>
      <c r="E4" s="5"/>
      <c r="F4" s="1"/>
      <c r="G4" s="5"/>
      <c r="H4" s="5">
        <f t="shared" si="0"/>
        <v>928</v>
      </c>
      <c r="I4" s="5">
        <f t="shared" si="1"/>
        <v>0</v>
      </c>
      <c r="J4" s="5">
        <f>Table14[[#This Row],[Enrolment S.Y. 2025-2026 ]]*8</f>
        <v>928</v>
      </c>
      <c r="K4" s="5"/>
      <c r="L4" s="1"/>
      <c r="M4" s="5"/>
      <c r="N4" s="5">
        <f t="shared" si="2"/>
        <v>928</v>
      </c>
      <c r="O4" s="5">
        <f t="shared" si="3"/>
        <v>0</v>
      </c>
      <c r="P4" s="5">
        <f>Table14[[#This Row],[Enrolment S.Y. 2025-2026 ]]*8</f>
        <v>928</v>
      </c>
      <c r="Q4" s="5"/>
      <c r="R4" s="1"/>
      <c r="S4" s="5"/>
      <c r="T4" s="5">
        <f t="shared" si="4"/>
        <v>928</v>
      </c>
      <c r="U4" s="5">
        <f t="shared" si="5"/>
        <v>0</v>
      </c>
      <c r="V4" s="5">
        <f>Table14[[#This Row],[Enrolment S.Y. 2025-2026 ]]*8</f>
        <v>928</v>
      </c>
      <c r="W4" s="5"/>
      <c r="X4" s="1"/>
      <c r="Y4" s="5"/>
      <c r="Z4" s="5">
        <f t="shared" si="6"/>
        <v>928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116</v>
      </c>
      <c r="D5" s="5">
        <f>Table14[[#This Row],[Enrolment S.Y. 2025-2026 ]]*8</f>
        <v>928</v>
      </c>
      <c r="E5" s="5"/>
      <c r="F5" s="1"/>
      <c r="G5" s="5"/>
      <c r="H5" s="5">
        <f t="shared" si="0"/>
        <v>928</v>
      </c>
      <c r="I5" s="5">
        <f t="shared" si="1"/>
        <v>0</v>
      </c>
      <c r="J5" s="5">
        <f>Table14[[#This Row],[Enrolment S.Y. 2025-2026 ]]*8</f>
        <v>928</v>
      </c>
      <c r="K5" s="5"/>
      <c r="L5" s="1"/>
      <c r="M5" s="5"/>
      <c r="N5" s="5">
        <f t="shared" si="2"/>
        <v>928</v>
      </c>
      <c r="O5" s="5">
        <f t="shared" si="3"/>
        <v>0</v>
      </c>
      <c r="P5" s="5">
        <f>Table14[[#This Row],[Enrolment S.Y. 2025-2026 ]]*8</f>
        <v>928</v>
      </c>
      <c r="Q5" s="5"/>
      <c r="R5" s="1"/>
      <c r="S5" s="5"/>
      <c r="T5" s="5">
        <f t="shared" si="4"/>
        <v>928</v>
      </c>
      <c r="U5" s="5">
        <f t="shared" si="5"/>
        <v>0</v>
      </c>
      <c r="V5" s="5">
        <f>Table14[[#This Row],[Enrolment S.Y. 2025-2026 ]]*8</f>
        <v>928</v>
      </c>
      <c r="W5" s="5"/>
      <c r="X5" s="1"/>
      <c r="Y5" s="5"/>
      <c r="Z5" s="5">
        <f t="shared" si="6"/>
        <v>928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116</v>
      </c>
      <c r="D6" s="5">
        <f>Table14[[#This Row],[Enrolment S.Y. 2025-2026 ]]*8</f>
        <v>928</v>
      </c>
      <c r="E6" s="5"/>
      <c r="F6" s="1"/>
      <c r="G6" s="5"/>
      <c r="H6" s="5">
        <f t="shared" si="0"/>
        <v>928</v>
      </c>
      <c r="I6" s="5">
        <f t="shared" si="1"/>
        <v>0</v>
      </c>
      <c r="J6" s="5">
        <f>Table14[[#This Row],[Enrolment S.Y. 2025-2026 ]]*8</f>
        <v>928</v>
      </c>
      <c r="K6" s="5"/>
      <c r="L6" s="1"/>
      <c r="M6" s="5"/>
      <c r="N6" s="5">
        <f t="shared" si="2"/>
        <v>928</v>
      </c>
      <c r="O6" s="5">
        <f t="shared" si="3"/>
        <v>0</v>
      </c>
      <c r="P6" s="5">
        <f>Table14[[#This Row],[Enrolment S.Y. 2025-2026 ]]*8</f>
        <v>928</v>
      </c>
      <c r="Q6" s="5"/>
      <c r="R6" s="1"/>
      <c r="S6" s="5"/>
      <c r="T6" s="5">
        <f t="shared" si="4"/>
        <v>928</v>
      </c>
      <c r="U6" s="5">
        <f t="shared" si="5"/>
        <v>0</v>
      </c>
      <c r="V6" s="5">
        <f>Table14[[#This Row],[Enrolment S.Y. 2025-2026 ]]*8</f>
        <v>928</v>
      </c>
      <c r="W6" s="5"/>
      <c r="X6" s="1"/>
      <c r="Y6" s="5"/>
      <c r="Z6" s="5">
        <f t="shared" si="6"/>
        <v>928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116</v>
      </c>
      <c r="D7" s="5">
        <f>Table14[[#This Row],[Enrolment S.Y. 2025-2026 ]]*8</f>
        <v>928</v>
      </c>
      <c r="E7" s="5"/>
      <c r="F7" s="1"/>
      <c r="G7" s="5"/>
      <c r="H7" s="5">
        <f t="shared" si="0"/>
        <v>928</v>
      </c>
      <c r="I7" s="5">
        <f t="shared" si="1"/>
        <v>0</v>
      </c>
      <c r="J7" s="5">
        <f>Table14[[#This Row],[Enrolment S.Y. 2025-2026 ]]*8</f>
        <v>928</v>
      </c>
      <c r="K7" s="5"/>
      <c r="L7" s="1"/>
      <c r="M7" s="5"/>
      <c r="N7" s="5">
        <f t="shared" si="2"/>
        <v>928</v>
      </c>
      <c r="O7" s="5">
        <f t="shared" si="3"/>
        <v>0</v>
      </c>
      <c r="P7" s="5">
        <f>Table14[[#This Row],[Enrolment S.Y. 2025-2026 ]]*8</f>
        <v>928</v>
      </c>
      <c r="Q7" s="5"/>
      <c r="R7" s="1"/>
      <c r="S7" s="5"/>
      <c r="T7" s="5">
        <f t="shared" si="4"/>
        <v>928</v>
      </c>
      <c r="U7" s="5">
        <f t="shared" si="5"/>
        <v>0</v>
      </c>
      <c r="V7" s="5">
        <f>Table14[[#This Row],[Enrolment S.Y. 2025-2026 ]]*8</f>
        <v>928</v>
      </c>
      <c r="W7" s="5"/>
      <c r="X7" s="1"/>
      <c r="Y7" s="5"/>
      <c r="Z7" s="5">
        <f t="shared" si="6"/>
        <v>928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116</v>
      </c>
      <c r="D8" s="5">
        <f>Table14[[#This Row],[Enrolment S.Y. 2025-2026 ]]*8</f>
        <v>928</v>
      </c>
      <c r="E8" s="5"/>
      <c r="F8" s="1"/>
      <c r="G8" s="5"/>
      <c r="H8" s="5">
        <f>IF((D8-E8)&lt;0,0,(D8-E8))</f>
        <v>928</v>
      </c>
      <c r="I8" s="5">
        <f>IF((E8-D8)&lt;0,0,(E8-D8))</f>
        <v>0</v>
      </c>
      <c r="J8" s="5">
        <f>Table14[[#This Row],[Enrolment S.Y. 2025-2026 ]]*8</f>
        <v>928</v>
      </c>
      <c r="K8" s="5"/>
      <c r="L8" s="1"/>
      <c r="M8" s="5"/>
      <c r="N8" s="5">
        <f t="shared" si="2"/>
        <v>928</v>
      </c>
      <c r="O8" s="5">
        <f t="shared" si="3"/>
        <v>0</v>
      </c>
      <c r="P8" s="5">
        <f>Table14[[#This Row],[Enrolment S.Y. 2025-2026 ]]*8</f>
        <v>928</v>
      </c>
      <c r="Q8" s="5"/>
      <c r="R8" s="1"/>
      <c r="S8" s="5"/>
      <c r="T8" s="5">
        <f t="shared" si="4"/>
        <v>928</v>
      </c>
      <c r="U8" s="5">
        <f t="shared" si="5"/>
        <v>0</v>
      </c>
      <c r="V8" s="5">
        <f>Table14[[#This Row],[Enrolment S.Y. 2025-2026 ]]*8</f>
        <v>928</v>
      </c>
      <c r="W8" s="5"/>
      <c r="X8" s="1"/>
      <c r="Y8" s="5"/>
      <c r="Z8" s="5">
        <f t="shared" si="6"/>
        <v>928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116</v>
      </c>
      <c r="D9" s="5">
        <f>Table14[[#This Row],[Enrolment S.Y. 2025-2026 ]]*8</f>
        <v>928</v>
      </c>
      <c r="E9" s="5"/>
      <c r="F9" s="1"/>
      <c r="G9" s="5"/>
      <c r="H9" s="5">
        <f>IF((D9-E9)&lt;0,0,(D9-E9))</f>
        <v>928</v>
      </c>
      <c r="I9" s="5">
        <f>IF((E9-D9)&lt;0,0,(E9-D9))</f>
        <v>0</v>
      </c>
      <c r="J9" s="5">
        <f>Table14[[#This Row],[Enrolment S.Y. 2025-2026 ]]*8</f>
        <v>928</v>
      </c>
      <c r="K9" s="5"/>
      <c r="L9" s="1"/>
      <c r="M9" s="5"/>
      <c r="N9" s="5">
        <f t="shared" si="2"/>
        <v>928</v>
      </c>
      <c r="O9" s="5">
        <f t="shared" si="3"/>
        <v>0</v>
      </c>
      <c r="P9" s="5">
        <f>Table14[[#This Row],[Enrolment S.Y. 2025-2026 ]]*8</f>
        <v>928</v>
      </c>
      <c r="Q9" s="5"/>
      <c r="R9" s="1"/>
      <c r="S9" s="5"/>
      <c r="T9" s="5">
        <f t="shared" si="4"/>
        <v>928</v>
      </c>
      <c r="U9" s="5">
        <f t="shared" si="5"/>
        <v>0</v>
      </c>
      <c r="V9" s="5">
        <f>Table14[[#This Row],[Enrolment S.Y. 2025-2026 ]]*8</f>
        <v>928</v>
      </c>
      <c r="W9" s="5"/>
      <c r="X9" s="1"/>
      <c r="Y9" s="5"/>
      <c r="Z9" s="5">
        <f t="shared" si="6"/>
        <v>928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116</v>
      </c>
      <c r="D10" s="5">
        <f>Table14[[#This Row],[Enrolment S.Y. 2025-2026 ]]*8</f>
        <v>928</v>
      </c>
      <c r="E10" s="5"/>
      <c r="F10" s="1"/>
      <c r="G10" s="5"/>
      <c r="H10" s="5">
        <f>IF((D10-E10)&lt;0,0,(D10-E10))</f>
        <v>928</v>
      </c>
      <c r="I10" s="5">
        <f>IF((E10-D10)&lt;0,0,(E10-D10))</f>
        <v>0</v>
      </c>
      <c r="J10" s="5">
        <f>Table14[[#This Row],[Enrolment S.Y. 2025-2026 ]]*8</f>
        <v>928</v>
      </c>
      <c r="K10" s="5"/>
      <c r="L10" s="1"/>
      <c r="M10" s="5"/>
      <c r="N10" s="5">
        <f t="shared" si="2"/>
        <v>928</v>
      </c>
      <c r="O10" s="5">
        <f t="shared" si="3"/>
        <v>0</v>
      </c>
      <c r="P10" s="5">
        <f>Table14[[#This Row],[Enrolment S.Y. 2025-2026 ]]*8</f>
        <v>928</v>
      </c>
      <c r="Q10" s="5"/>
      <c r="R10" s="1"/>
      <c r="S10" s="5"/>
      <c r="T10" s="5">
        <f t="shared" si="4"/>
        <v>928</v>
      </c>
      <c r="U10" s="5">
        <f t="shared" si="5"/>
        <v>0</v>
      </c>
      <c r="V10" s="5">
        <f>Table14[[#This Row],[Enrolment S.Y. 2025-2026 ]]*8</f>
        <v>928</v>
      </c>
      <c r="W10" s="5"/>
      <c r="X10" s="1"/>
      <c r="Y10" s="5"/>
      <c r="Z10" s="5">
        <f t="shared" si="6"/>
        <v>928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152</v>
      </c>
      <c r="D12" s="5">
        <f>Table14[[#This Row],[Enrolment S.Y. 2025-2026 ]]*8</f>
        <v>1216</v>
      </c>
      <c r="E12" s="5"/>
      <c r="F12" s="1"/>
      <c r="G12" s="5"/>
      <c r="H12" s="5">
        <f t="shared" si="0"/>
        <v>1216</v>
      </c>
      <c r="I12" s="5">
        <f t="shared" si="1"/>
        <v>0</v>
      </c>
      <c r="J12" s="5">
        <f>Table14[[#This Row],[Enrolment S.Y. 2025-2026 ]]*8</f>
        <v>1216</v>
      </c>
      <c r="K12" s="5"/>
      <c r="L12" s="1"/>
      <c r="M12" s="5"/>
      <c r="N12" s="5">
        <f t="shared" si="2"/>
        <v>1216</v>
      </c>
      <c r="O12" s="5">
        <f t="shared" si="3"/>
        <v>0</v>
      </c>
      <c r="P12" s="5">
        <f>Table14[[#This Row],[Enrolment S.Y. 2025-2026 ]]*8</f>
        <v>1216</v>
      </c>
      <c r="Q12" s="5"/>
      <c r="R12" s="1"/>
      <c r="S12" s="5"/>
      <c r="T12" s="5">
        <f t="shared" si="4"/>
        <v>1216</v>
      </c>
      <c r="U12" s="5">
        <f t="shared" si="5"/>
        <v>0</v>
      </c>
      <c r="V12" s="5">
        <f>Table14[[#This Row],[Enrolment S.Y. 2025-2026 ]]*8</f>
        <v>1216</v>
      </c>
      <c r="W12" s="5"/>
      <c r="X12" s="1"/>
      <c r="Y12" s="5"/>
      <c r="Z12" s="5">
        <f t="shared" si="6"/>
        <v>1216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152</v>
      </c>
      <c r="D13" s="5">
        <f>Table14[[#This Row],[Enrolment S.Y. 2025-2026 ]]*8</f>
        <v>1216</v>
      </c>
      <c r="E13" s="5"/>
      <c r="F13" s="1"/>
      <c r="G13" s="5"/>
      <c r="H13" s="5">
        <f t="shared" si="0"/>
        <v>1216</v>
      </c>
      <c r="I13" s="5">
        <f t="shared" si="1"/>
        <v>0</v>
      </c>
      <c r="J13" s="5">
        <f>Table14[[#This Row],[Enrolment S.Y. 2025-2026 ]]*8</f>
        <v>1216</v>
      </c>
      <c r="K13" s="5"/>
      <c r="L13" s="1"/>
      <c r="M13" s="5"/>
      <c r="N13" s="5">
        <f t="shared" si="2"/>
        <v>1216</v>
      </c>
      <c r="O13" s="5">
        <f t="shared" si="3"/>
        <v>0</v>
      </c>
      <c r="P13" s="5">
        <f>Table14[[#This Row],[Enrolment S.Y. 2025-2026 ]]*8</f>
        <v>1216</v>
      </c>
      <c r="Q13" s="5"/>
      <c r="R13" s="1"/>
      <c r="S13" s="5"/>
      <c r="T13" s="5">
        <f t="shared" si="4"/>
        <v>1216</v>
      </c>
      <c r="U13" s="5">
        <f t="shared" si="5"/>
        <v>0</v>
      </c>
      <c r="V13" s="5">
        <f>Table14[[#This Row],[Enrolment S.Y. 2025-2026 ]]*8</f>
        <v>1216</v>
      </c>
      <c r="W13" s="5"/>
      <c r="X13" s="1"/>
      <c r="Y13" s="5"/>
      <c r="Z13" s="5">
        <f t="shared" si="6"/>
        <v>1216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152</v>
      </c>
      <c r="D14" s="5">
        <f>Table14[[#This Row],[Enrolment S.Y. 2025-2026 ]]*8</f>
        <v>1216</v>
      </c>
      <c r="E14" s="5"/>
      <c r="F14" s="1"/>
      <c r="G14" s="5"/>
      <c r="H14" s="5">
        <f t="shared" si="0"/>
        <v>1216</v>
      </c>
      <c r="I14" s="5">
        <f t="shared" si="1"/>
        <v>0</v>
      </c>
      <c r="J14" s="5">
        <f>Table14[[#This Row],[Enrolment S.Y. 2025-2026 ]]*8</f>
        <v>1216</v>
      </c>
      <c r="K14" s="5"/>
      <c r="L14" s="1"/>
      <c r="M14" s="5"/>
      <c r="N14" s="5">
        <f t="shared" si="2"/>
        <v>1216</v>
      </c>
      <c r="O14" s="5">
        <f t="shared" si="3"/>
        <v>0</v>
      </c>
      <c r="P14" s="5">
        <f>Table14[[#This Row],[Enrolment S.Y. 2025-2026 ]]*8</f>
        <v>1216</v>
      </c>
      <c r="Q14" s="5"/>
      <c r="R14" s="1"/>
      <c r="S14" s="5"/>
      <c r="T14" s="5">
        <f t="shared" si="4"/>
        <v>1216</v>
      </c>
      <c r="U14" s="5">
        <f t="shared" si="5"/>
        <v>0</v>
      </c>
      <c r="V14" s="5">
        <f>Table14[[#This Row],[Enrolment S.Y. 2025-2026 ]]*8</f>
        <v>1216</v>
      </c>
      <c r="W14" s="5"/>
      <c r="X14" s="1"/>
      <c r="Y14" s="5"/>
      <c r="Z14" s="5">
        <f t="shared" si="6"/>
        <v>1216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152</v>
      </c>
      <c r="D15" s="5">
        <f>Table14[[#This Row],[Enrolment S.Y. 2025-2026 ]]*8</f>
        <v>1216</v>
      </c>
      <c r="E15" s="5"/>
      <c r="F15" s="1"/>
      <c r="G15" s="5"/>
      <c r="H15" s="5">
        <f t="shared" si="0"/>
        <v>1216</v>
      </c>
      <c r="I15" s="5">
        <f t="shared" si="1"/>
        <v>0</v>
      </c>
      <c r="J15" s="5">
        <f>Table14[[#This Row],[Enrolment S.Y. 2025-2026 ]]*8</f>
        <v>1216</v>
      </c>
      <c r="K15" s="5"/>
      <c r="L15" s="1"/>
      <c r="M15" s="5"/>
      <c r="N15" s="5">
        <f t="shared" si="2"/>
        <v>1216</v>
      </c>
      <c r="O15" s="5">
        <f t="shared" si="3"/>
        <v>0</v>
      </c>
      <c r="P15" s="5">
        <f>Table14[[#This Row],[Enrolment S.Y. 2025-2026 ]]*8</f>
        <v>1216</v>
      </c>
      <c r="Q15" s="5"/>
      <c r="R15" s="1"/>
      <c r="S15" s="5"/>
      <c r="T15" s="5">
        <f t="shared" si="4"/>
        <v>1216</v>
      </c>
      <c r="U15" s="5">
        <f t="shared" si="5"/>
        <v>0</v>
      </c>
      <c r="V15" s="5">
        <f>Table14[[#This Row],[Enrolment S.Y. 2025-2026 ]]*8</f>
        <v>1216</v>
      </c>
      <c r="W15" s="5"/>
      <c r="X15" s="1"/>
      <c r="Y15" s="5"/>
      <c r="Z15" s="5">
        <f t="shared" si="6"/>
        <v>1216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152</v>
      </c>
      <c r="D16" s="5">
        <f>Table14[[#This Row],[Enrolment S.Y. 2025-2026 ]]*8</f>
        <v>1216</v>
      </c>
      <c r="E16" s="5"/>
      <c r="F16" s="1"/>
      <c r="G16" s="5"/>
      <c r="H16" s="5">
        <f t="shared" si="0"/>
        <v>1216</v>
      </c>
      <c r="I16" s="5">
        <f t="shared" si="1"/>
        <v>0</v>
      </c>
      <c r="J16" s="5">
        <f>Table14[[#This Row],[Enrolment S.Y. 2025-2026 ]]*8</f>
        <v>1216</v>
      </c>
      <c r="K16" s="5"/>
      <c r="L16" s="1"/>
      <c r="M16" s="5"/>
      <c r="N16" s="5">
        <f t="shared" si="2"/>
        <v>1216</v>
      </c>
      <c r="O16" s="5">
        <f t="shared" si="3"/>
        <v>0</v>
      </c>
      <c r="P16" s="5">
        <f>Table14[[#This Row],[Enrolment S.Y. 2025-2026 ]]*8</f>
        <v>1216</v>
      </c>
      <c r="Q16" s="5"/>
      <c r="R16" s="1"/>
      <c r="S16" s="5"/>
      <c r="T16" s="5">
        <f t="shared" si="4"/>
        <v>1216</v>
      </c>
      <c r="U16" s="5">
        <f t="shared" si="5"/>
        <v>0</v>
      </c>
      <c r="V16" s="5">
        <f>Table14[[#This Row],[Enrolment S.Y. 2025-2026 ]]*8</f>
        <v>1216</v>
      </c>
      <c r="W16" s="5"/>
      <c r="X16" s="1"/>
      <c r="Y16" s="5"/>
      <c r="Z16" s="5">
        <f t="shared" si="6"/>
        <v>1216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152</v>
      </c>
      <c r="D17" s="5">
        <f>Table14[[#This Row],[Enrolment S.Y. 2025-2026 ]]*8</f>
        <v>1216</v>
      </c>
      <c r="E17" s="5"/>
      <c r="F17" s="1"/>
      <c r="G17" s="5"/>
      <c r="H17" s="5">
        <f>IF((D17-E17)&lt;0,0,(D17-E17))</f>
        <v>1216</v>
      </c>
      <c r="I17" s="5">
        <f>IF((E17-D17)&lt;0,0,(E17-D17))</f>
        <v>0</v>
      </c>
      <c r="J17" s="5">
        <f>Table14[[#This Row],[Enrolment S.Y. 2025-2026 ]]*8</f>
        <v>1216</v>
      </c>
      <c r="K17" s="5"/>
      <c r="L17" s="1"/>
      <c r="M17" s="5"/>
      <c r="N17" s="5">
        <f t="shared" si="2"/>
        <v>1216</v>
      </c>
      <c r="O17" s="5">
        <f t="shared" si="3"/>
        <v>0</v>
      </c>
      <c r="P17" s="5">
        <f>Table14[[#This Row],[Enrolment S.Y. 2025-2026 ]]*8</f>
        <v>1216</v>
      </c>
      <c r="Q17" s="5"/>
      <c r="R17" s="1"/>
      <c r="S17" s="5"/>
      <c r="T17" s="5">
        <f t="shared" si="4"/>
        <v>1216</v>
      </c>
      <c r="U17" s="5">
        <f t="shared" si="5"/>
        <v>0</v>
      </c>
      <c r="V17" s="5">
        <f>Table14[[#This Row],[Enrolment S.Y. 2025-2026 ]]*8</f>
        <v>1216</v>
      </c>
      <c r="W17" s="5"/>
      <c r="X17" s="1"/>
      <c r="Y17" s="5"/>
      <c r="Z17" s="5">
        <f t="shared" si="6"/>
        <v>1216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152</v>
      </c>
      <c r="D18" s="5">
        <f>Table14[[#This Row],[Enrolment S.Y. 2025-2026 ]]*8</f>
        <v>1216</v>
      </c>
      <c r="E18" s="5"/>
      <c r="F18" s="1"/>
      <c r="G18" s="5"/>
      <c r="H18" s="5">
        <f>IF((D18-E18)&lt;0,0,(D18-E18))</f>
        <v>1216</v>
      </c>
      <c r="I18" s="5">
        <f>IF((E18-D18)&lt;0,0,(E18-D18))</f>
        <v>0</v>
      </c>
      <c r="J18" s="5">
        <f>Table14[[#This Row],[Enrolment S.Y. 2025-2026 ]]*8</f>
        <v>1216</v>
      </c>
      <c r="K18" s="5"/>
      <c r="L18" s="1"/>
      <c r="M18" s="5"/>
      <c r="N18" s="5">
        <f t="shared" si="2"/>
        <v>1216</v>
      </c>
      <c r="O18" s="5">
        <f t="shared" si="3"/>
        <v>0</v>
      </c>
      <c r="P18" s="5">
        <f>Table14[[#This Row],[Enrolment S.Y. 2025-2026 ]]*8</f>
        <v>1216</v>
      </c>
      <c r="Q18" s="5"/>
      <c r="R18" s="1"/>
      <c r="S18" s="5"/>
      <c r="T18" s="5">
        <f t="shared" si="4"/>
        <v>1216</v>
      </c>
      <c r="U18" s="5">
        <f t="shared" si="5"/>
        <v>0</v>
      </c>
      <c r="V18" s="5">
        <f>Table14[[#This Row],[Enrolment S.Y. 2025-2026 ]]*8</f>
        <v>1216</v>
      </c>
      <c r="W18" s="5"/>
      <c r="X18" s="1"/>
      <c r="Y18" s="5"/>
      <c r="Z18" s="5">
        <f t="shared" si="6"/>
        <v>1216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152</v>
      </c>
      <c r="D19" s="5">
        <f>Table14[[#This Row],[Enrolment S.Y. 2025-2026 ]]*8</f>
        <v>1216</v>
      </c>
      <c r="E19" s="5"/>
      <c r="F19" s="1"/>
      <c r="G19" s="5"/>
      <c r="H19" s="5">
        <f>IF((D19-E19)&lt;0,0,(D19-E19))</f>
        <v>1216</v>
      </c>
      <c r="I19" s="5">
        <f>IF((E19-D19)&lt;0,0,(E19-D19))</f>
        <v>0</v>
      </c>
      <c r="J19" s="5">
        <f>Table14[[#This Row],[Enrolment S.Y. 2025-2026 ]]*8</f>
        <v>1216</v>
      </c>
      <c r="K19" s="5"/>
      <c r="L19" s="1"/>
      <c r="M19" s="5"/>
      <c r="N19" s="5">
        <f t="shared" si="2"/>
        <v>1216</v>
      </c>
      <c r="O19" s="5">
        <f t="shared" si="3"/>
        <v>0</v>
      </c>
      <c r="P19" s="5">
        <f>Table14[[#This Row],[Enrolment S.Y. 2025-2026 ]]*8</f>
        <v>1216</v>
      </c>
      <c r="Q19" s="5"/>
      <c r="R19" s="1"/>
      <c r="S19" s="5"/>
      <c r="T19" s="5">
        <f t="shared" si="4"/>
        <v>1216</v>
      </c>
      <c r="U19" s="5">
        <f t="shared" si="5"/>
        <v>0</v>
      </c>
      <c r="V19" s="5">
        <f>Table14[[#This Row],[Enrolment S.Y. 2025-2026 ]]*8</f>
        <v>1216</v>
      </c>
      <c r="W19" s="5"/>
      <c r="X19" s="1"/>
      <c r="Y19" s="5"/>
      <c r="Z19" s="5">
        <f t="shared" si="6"/>
        <v>1216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170</v>
      </c>
      <c r="D21" s="5">
        <f>Table14[[#This Row],[Enrolment S.Y. 2025-2026 ]]*8</f>
        <v>1360</v>
      </c>
      <c r="E21" s="5"/>
      <c r="F21" s="1"/>
      <c r="G21" s="5"/>
      <c r="H21" s="5">
        <f t="shared" si="0"/>
        <v>1360</v>
      </c>
      <c r="I21" s="5">
        <f t="shared" si="1"/>
        <v>0</v>
      </c>
      <c r="J21" s="5">
        <f>Table14[[#This Row],[Enrolment S.Y. 2025-2026 ]]*8</f>
        <v>1360</v>
      </c>
      <c r="K21" s="5"/>
      <c r="L21" s="1"/>
      <c r="M21" s="5"/>
      <c r="N21" s="5">
        <f t="shared" si="2"/>
        <v>1360</v>
      </c>
      <c r="O21" s="5">
        <f t="shared" si="3"/>
        <v>0</v>
      </c>
      <c r="P21" s="5">
        <f>Table14[[#This Row],[Enrolment S.Y. 2025-2026 ]]*8</f>
        <v>1360</v>
      </c>
      <c r="Q21" s="5"/>
      <c r="R21" s="1"/>
      <c r="S21" s="5"/>
      <c r="T21" s="5">
        <f t="shared" si="4"/>
        <v>1360</v>
      </c>
      <c r="U21" s="5">
        <f t="shared" si="5"/>
        <v>0</v>
      </c>
      <c r="V21" s="5">
        <f>Table14[[#This Row],[Enrolment S.Y. 2025-2026 ]]*8</f>
        <v>1360</v>
      </c>
      <c r="W21" s="5"/>
      <c r="X21" s="1"/>
      <c r="Y21" s="5"/>
      <c r="Z21" s="5">
        <f t="shared" si="6"/>
        <v>1360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170</v>
      </c>
      <c r="D22" s="5">
        <f>Table14[[#This Row],[Enrolment S.Y. 2025-2026 ]]*8</f>
        <v>1360</v>
      </c>
      <c r="E22" s="5"/>
      <c r="F22" s="1"/>
      <c r="G22" s="5"/>
      <c r="H22" s="5">
        <f t="shared" si="0"/>
        <v>1360</v>
      </c>
      <c r="I22" s="5">
        <f t="shared" si="1"/>
        <v>0</v>
      </c>
      <c r="J22" s="5">
        <f>Table14[[#This Row],[Enrolment S.Y. 2025-2026 ]]*8</f>
        <v>1360</v>
      </c>
      <c r="K22" s="5"/>
      <c r="L22" s="1"/>
      <c r="M22" s="5"/>
      <c r="N22" s="5">
        <f t="shared" si="2"/>
        <v>1360</v>
      </c>
      <c r="O22" s="5">
        <f t="shared" si="3"/>
        <v>0</v>
      </c>
      <c r="P22" s="5">
        <f>Table14[[#This Row],[Enrolment S.Y. 2025-2026 ]]*8</f>
        <v>1360</v>
      </c>
      <c r="Q22" s="5"/>
      <c r="R22" s="1"/>
      <c r="S22" s="5"/>
      <c r="T22" s="5">
        <f t="shared" si="4"/>
        <v>1360</v>
      </c>
      <c r="U22" s="5">
        <f t="shared" si="5"/>
        <v>0</v>
      </c>
      <c r="V22" s="5">
        <f>Table14[[#This Row],[Enrolment S.Y. 2025-2026 ]]*8</f>
        <v>1360</v>
      </c>
      <c r="W22" s="5"/>
      <c r="X22" s="1"/>
      <c r="Y22" s="5"/>
      <c r="Z22" s="5">
        <f t="shared" si="6"/>
        <v>1360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170</v>
      </c>
      <c r="D23" s="5">
        <f>Table14[[#This Row],[Enrolment S.Y. 2025-2026 ]]*8</f>
        <v>1360</v>
      </c>
      <c r="E23" s="5"/>
      <c r="F23" s="1"/>
      <c r="G23" s="5"/>
      <c r="H23" s="5">
        <f t="shared" si="0"/>
        <v>1360</v>
      </c>
      <c r="I23" s="5">
        <f t="shared" si="1"/>
        <v>0</v>
      </c>
      <c r="J23" s="5">
        <f>Table14[[#This Row],[Enrolment S.Y. 2025-2026 ]]*8</f>
        <v>1360</v>
      </c>
      <c r="K23" s="5"/>
      <c r="L23" s="1"/>
      <c r="M23" s="5"/>
      <c r="N23" s="5">
        <f t="shared" si="2"/>
        <v>1360</v>
      </c>
      <c r="O23" s="5">
        <f t="shared" si="3"/>
        <v>0</v>
      </c>
      <c r="P23" s="5">
        <f>Table14[[#This Row],[Enrolment S.Y. 2025-2026 ]]*8</f>
        <v>1360</v>
      </c>
      <c r="Q23" s="5"/>
      <c r="R23" s="1"/>
      <c r="S23" s="5"/>
      <c r="T23" s="5">
        <f t="shared" si="4"/>
        <v>1360</v>
      </c>
      <c r="U23" s="5">
        <f t="shared" si="5"/>
        <v>0</v>
      </c>
      <c r="V23" s="5">
        <f>Table14[[#This Row],[Enrolment S.Y. 2025-2026 ]]*8</f>
        <v>1360</v>
      </c>
      <c r="W23" s="5"/>
      <c r="X23" s="1"/>
      <c r="Y23" s="5"/>
      <c r="Z23" s="5">
        <f t="shared" si="6"/>
        <v>1360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170</v>
      </c>
      <c r="D24" s="5">
        <f>Table14[[#This Row],[Enrolment S.Y. 2025-2026 ]]*8</f>
        <v>1360</v>
      </c>
      <c r="E24" s="5"/>
      <c r="F24" s="1"/>
      <c r="G24" s="5"/>
      <c r="H24" s="5">
        <f t="shared" si="0"/>
        <v>1360</v>
      </c>
      <c r="I24" s="5">
        <f t="shared" si="1"/>
        <v>0</v>
      </c>
      <c r="J24" s="5">
        <f>Table14[[#This Row],[Enrolment S.Y. 2025-2026 ]]*8</f>
        <v>1360</v>
      </c>
      <c r="K24" s="5"/>
      <c r="L24" s="1"/>
      <c r="M24" s="5"/>
      <c r="N24" s="5">
        <f t="shared" si="2"/>
        <v>1360</v>
      </c>
      <c r="O24" s="5">
        <f t="shared" si="3"/>
        <v>0</v>
      </c>
      <c r="P24" s="5">
        <f>Table14[[#This Row],[Enrolment S.Y. 2025-2026 ]]*8</f>
        <v>1360</v>
      </c>
      <c r="Q24" s="5"/>
      <c r="R24" s="1"/>
      <c r="S24" s="5"/>
      <c r="T24" s="5">
        <f t="shared" si="4"/>
        <v>1360</v>
      </c>
      <c r="U24" s="5">
        <f t="shared" si="5"/>
        <v>0</v>
      </c>
      <c r="V24" s="5">
        <f>Table14[[#This Row],[Enrolment S.Y. 2025-2026 ]]*8</f>
        <v>1360</v>
      </c>
      <c r="W24" s="5"/>
      <c r="X24" s="1"/>
      <c r="Y24" s="5"/>
      <c r="Z24" s="5">
        <f t="shared" si="6"/>
        <v>1360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170</v>
      </c>
      <c r="D25" s="5">
        <f>Table14[[#This Row],[Enrolment S.Y. 2025-2026 ]]*8</f>
        <v>1360</v>
      </c>
      <c r="E25" s="5"/>
      <c r="F25" s="1"/>
      <c r="G25" s="5"/>
      <c r="H25" s="5">
        <f t="shared" si="0"/>
        <v>1360</v>
      </c>
      <c r="I25" s="5">
        <f t="shared" si="1"/>
        <v>0</v>
      </c>
      <c r="J25" s="5">
        <f>Table14[[#This Row],[Enrolment S.Y. 2025-2026 ]]*8</f>
        <v>1360</v>
      </c>
      <c r="K25" s="5"/>
      <c r="L25" s="1"/>
      <c r="M25" s="5"/>
      <c r="N25" s="5">
        <f t="shared" si="2"/>
        <v>1360</v>
      </c>
      <c r="O25" s="5">
        <f t="shared" si="3"/>
        <v>0</v>
      </c>
      <c r="P25" s="5">
        <f>Table14[[#This Row],[Enrolment S.Y. 2025-2026 ]]*8</f>
        <v>1360</v>
      </c>
      <c r="Q25" s="5"/>
      <c r="R25" s="1"/>
      <c r="S25" s="5"/>
      <c r="T25" s="5">
        <f t="shared" si="4"/>
        <v>1360</v>
      </c>
      <c r="U25" s="5">
        <f t="shared" si="5"/>
        <v>0</v>
      </c>
      <c r="V25" s="5">
        <f>Table14[[#This Row],[Enrolment S.Y. 2025-2026 ]]*8</f>
        <v>1360</v>
      </c>
      <c r="W25" s="5"/>
      <c r="X25" s="1"/>
      <c r="Y25" s="5"/>
      <c r="Z25" s="5">
        <f t="shared" si="6"/>
        <v>1360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170</v>
      </c>
      <c r="D26" s="5">
        <f>Table14[[#This Row],[Enrolment S.Y. 2025-2026 ]]*8</f>
        <v>1360</v>
      </c>
      <c r="E26" s="5"/>
      <c r="F26" s="1"/>
      <c r="G26" s="5"/>
      <c r="H26" s="5">
        <f t="shared" si="0"/>
        <v>1360</v>
      </c>
      <c r="I26" s="5">
        <f t="shared" si="1"/>
        <v>0</v>
      </c>
      <c r="J26" s="5">
        <f>Table14[[#This Row],[Enrolment S.Y. 2025-2026 ]]*8</f>
        <v>1360</v>
      </c>
      <c r="K26" s="5"/>
      <c r="L26" s="1"/>
      <c r="M26" s="5"/>
      <c r="N26" s="5">
        <f t="shared" si="2"/>
        <v>1360</v>
      </c>
      <c r="O26" s="5">
        <f t="shared" si="3"/>
        <v>0</v>
      </c>
      <c r="P26" s="5">
        <f>Table14[[#This Row],[Enrolment S.Y. 2025-2026 ]]*8</f>
        <v>1360</v>
      </c>
      <c r="Q26" s="5"/>
      <c r="R26" s="1"/>
      <c r="S26" s="5"/>
      <c r="T26" s="5">
        <f t="shared" si="4"/>
        <v>1360</v>
      </c>
      <c r="U26" s="5">
        <f t="shared" si="5"/>
        <v>0</v>
      </c>
      <c r="V26" s="5">
        <f>Table14[[#This Row],[Enrolment S.Y. 2025-2026 ]]*8</f>
        <v>1360</v>
      </c>
      <c r="W26" s="5"/>
      <c r="X26" s="1"/>
      <c r="Y26" s="5"/>
      <c r="Z26" s="5">
        <f t="shared" si="6"/>
        <v>1360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170</v>
      </c>
      <c r="D27" s="5">
        <f>Table14[[#This Row],[Enrolment S.Y. 2025-2026 ]]*8</f>
        <v>1360</v>
      </c>
      <c r="E27" s="5"/>
      <c r="F27" s="1"/>
      <c r="G27" s="5"/>
      <c r="H27" s="5">
        <f>IF((D27-E27)&lt;0,0,(D27-E27))</f>
        <v>1360</v>
      </c>
      <c r="I27" s="5">
        <f>IF((E27-D27)&lt;0,0,(E27-D27))</f>
        <v>0</v>
      </c>
      <c r="J27" s="5">
        <f>Table14[[#This Row],[Enrolment S.Y. 2025-2026 ]]*8</f>
        <v>1360</v>
      </c>
      <c r="K27" s="5"/>
      <c r="L27" s="1"/>
      <c r="M27" s="5"/>
      <c r="N27" s="5">
        <f t="shared" si="2"/>
        <v>1360</v>
      </c>
      <c r="O27" s="5">
        <f t="shared" si="3"/>
        <v>0</v>
      </c>
      <c r="P27" s="5">
        <f>Table14[[#This Row],[Enrolment S.Y. 2025-2026 ]]*8</f>
        <v>1360</v>
      </c>
      <c r="Q27" s="5"/>
      <c r="R27" s="1"/>
      <c r="S27" s="5"/>
      <c r="T27" s="5">
        <f t="shared" si="4"/>
        <v>1360</v>
      </c>
      <c r="U27" s="5">
        <f t="shared" si="5"/>
        <v>0</v>
      </c>
      <c r="V27" s="5">
        <f>Table14[[#This Row],[Enrolment S.Y. 2025-2026 ]]*8</f>
        <v>1360</v>
      </c>
      <c r="W27" s="5"/>
      <c r="X27" s="1"/>
      <c r="Y27" s="5"/>
      <c r="Z27" s="5">
        <f t="shared" si="6"/>
        <v>1360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170</v>
      </c>
      <c r="D28" s="5">
        <f>Table14[[#This Row],[Enrolment S.Y. 2025-2026 ]]*8</f>
        <v>1360</v>
      </c>
      <c r="E28" s="5"/>
      <c r="F28" s="1"/>
      <c r="G28" s="5"/>
      <c r="H28" s="5">
        <f>IF((D28-E28)&lt;0,0,(D28-E28))</f>
        <v>1360</v>
      </c>
      <c r="I28" s="5">
        <f>IF((E28-D28)&lt;0,0,(E28-D28))</f>
        <v>0</v>
      </c>
      <c r="J28" s="5">
        <f>Table14[[#This Row],[Enrolment S.Y. 2025-2026 ]]*8</f>
        <v>1360</v>
      </c>
      <c r="K28" s="5"/>
      <c r="L28" s="1"/>
      <c r="M28" s="5"/>
      <c r="N28" s="5">
        <f t="shared" si="2"/>
        <v>1360</v>
      </c>
      <c r="O28" s="5">
        <f t="shared" si="3"/>
        <v>0</v>
      </c>
      <c r="P28" s="5">
        <f>Table14[[#This Row],[Enrolment S.Y. 2025-2026 ]]*8</f>
        <v>1360</v>
      </c>
      <c r="Q28" s="5"/>
      <c r="R28" s="1"/>
      <c r="S28" s="5"/>
      <c r="T28" s="5">
        <f t="shared" si="4"/>
        <v>1360</v>
      </c>
      <c r="U28" s="5">
        <f t="shared" si="5"/>
        <v>0</v>
      </c>
      <c r="V28" s="5">
        <f>Table14[[#This Row],[Enrolment S.Y. 2025-2026 ]]*8</f>
        <v>1360</v>
      </c>
      <c r="W28" s="5"/>
      <c r="X28" s="1"/>
      <c r="Y28" s="5"/>
      <c r="Z28" s="5">
        <f t="shared" si="6"/>
        <v>1360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170</v>
      </c>
      <c r="D29" s="5">
        <f>Table14[[#This Row],[Enrolment S.Y. 2025-2026 ]]*8</f>
        <v>1360</v>
      </c>
      <c r="E29" s="5"/>
      <c r="F29" s="1"/>
      <c r="G29" s="5"/>
      <c r="H29" s="5">
        <f>IF((D29-E29)&lt;0,0,(D29-E29))</f>
        <v>1360</v>
      </c>
      <c r="I29" s="5">
        <f>IF((E29-D29)&lt;0,0,(E29-D29))</f>
        <v>0</v>
      </c>
      <c r="J29" s="5">
        <f>Table14[[#This Row],[Enrolment S.Y. 2025-2026 ]]*8</f>
        <v>1360</v>
      </c>
      <c r="K29" s="5"/>
      <c r="L29" s="1"/>
      <c r="M29" s="5"/>
      <c r="N29" s="5">
        <f t="shared" si="2"/>
        <v>1360</v>
      </c>
      <c r="O29" s="5">
        <f t="shared" si="3"/>
        <v>0</v>
      </c>
      <c r="P29" s="5">
        <f>Table14[[#This Row],[Enrolment S.Y. 2025-2026 ]]*8</f>
        <v>1360</v>
      </c>
      <c r="Q29" s="5"/>
      <c r="R29" s="1"/>
      <c r="S29" s="5"/>
      <c r="T29" s="5">
        <f t="shared" si="4"/>
        <v>1360</v>
      </c>
      <c r="U29" s="5">
        <f t="shared" si="5"/>
        <v>0</v>
      </c>
      <c r="V29" s="5">
        <f>Table14[[#This Row],[Enrolment S.Y. 2025-2026 ]]*8</f>
        <v>1360</v>
      </c>
      <c r="W29" s="5"/>
      <c r="X29" s="1"/>
      <c r="Y29" s="5"/>
      <c r="Z29" s="5">
        <f t="shared" si="6"/>
        <v>1360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31:C41 C43:C53 C55:C65 C67:C77 C79:C89 C115:C122 C103:C113 C91:C101 C12:C1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:C10" name="Textbooks_1"/>
    <protectedRange sqref="C21:C29" name="Textbook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B7E9CEC2-BCAB-429C-83FB-8D109243080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2026-03-05T14:00:43Z</dcterms:modified>
  <cp:category/>
  <cp:contentStatus/>
</cp:coreProperties>
</file>