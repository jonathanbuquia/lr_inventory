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6" documentId="13_ncr:1_{BFB59F67-F0DC-4675-A682-EB0734A8026A}" xr6:coauthVersionLast="47" xr6:coauthVersionMax="47" xr10:uidLastSave="{040A020F-48E4-43E9-9000-F2309B3CF38A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<sst xmlns="http://schemas.openxmlformats.org/spreadsheetml/2006/main" count="442" uniqueCount="92">
  <si>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</si>
  <si>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</si>
  <si>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</si>
  <si>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</si>
  <si>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</si>
  <si>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</si>
  <si>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</si>
  <si>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</si>
  <si>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</si>
  <si>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</si>
  <si>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</si>
  <si>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</si>
  <si>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</si>
  <si>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</si>
  <si>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</si>
  <si>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</si>
  <si>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</si>
  <si>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</si>
  <si>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</si>
  <si>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</si>
  <si>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</si>
  <si>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</si>
  <si>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</si>
  <si>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</si>
  <si>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</si>
  <si>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</si>
  <si>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</si>
  <si>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</si>
  <si>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</si>
  <si>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</si>
  <si>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</si>
  <si>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</si>
  <si>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</si>
  <si>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</si>
  <si>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</si>
  <si>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</si>
  <si>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</si>
  <si>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</si>
  <si>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</si>
  <si>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</si>
  <si>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</si>
  <si>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</si>
  <si>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</si>
  <si>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</si>
  <si>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</si>
  <si>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</si>
  <si>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</si>
  <si>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</si>
  <si>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</si>
  <si>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</si>
  <si>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</si>
  <si>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</si>
  <si>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</si>
  <si>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</si>
  <si>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</si>
  <si>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</si>
  <si>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</si>
  <si>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</si>
  <si>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</si>
  <si>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</si>
  <si>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</si>
  <si>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</si>
  <si>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</si>
  <si>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 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</si>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</sst>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66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500</v>
      </c>
      <c r="D51" s="10">
        <v>300</v>
      </c>
      <c r="E51" s="10">
        <v>2024</v>
      </c>
      <c r="F51" s="12" t="s">
        <v>20</v>
      </c>
      <c r="G51" s="3">
        <f t="shared" ref="G51:G59" si="10">IF((C51-D51)&lt;0,0,C51-D51)</f>
        <v>200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500</v>
      </c>
      <c r="D52" s="10">
        <v>300</v>
      </c>
      <c r="E52" s="10">
        <v>2024</v>
      </c>
      <c r="F52" s="12" t="s">
        <v>20</v>
      </c>
      <c r="G52" s="3">
        <f t="shared" si="10"/>
        <v>200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500</v>
      </c>
      <c r="D53" s="10">
        <v>300</v>
      </c>
      <c r="E53" s="10">
        <v>2024</v>
      </c>
      <c r="F53" s="12" t="s">
        <v>20</v>
      </c>
      <c r="G53" s="3">
        <f t="shared" si="10"/>
        <v>200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500</v>
      </c>
      <c r="D54" s="10">
        <v>300</v>
      </c>
      <c r="E54" s="10">
        <v>2024</v>
      </c>
      <c r="F54" s="12" t="s">
        <v>20</v>
      </c>
      <c r="G54" s="3">
        <f t="shared" si="10"/>
        <v>200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500</v>
      </c>
      <c r="D55" s="10">
        <v>300</v>
      </c>
      <c r="E55" s="10">
        <v>2024</v>
      </c>
      <c r="F55" s="12" t="s">
        <v>20</v>
      </c>
      <c r="G55" s="3">
        <f t="shared" si="10"/>
        <v>200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500</v>
      </c>
      <c r="D56" s="10">
        <v>300</v>
      </c>
      <c r="E56" s="10">
        <v>2024</v>
      </c>
      <c r="F56" s="12" t="s">
        <v>20</v>
      </c>
      <c r="G56" s="3">
        <f t="shared" si="10"/>
        <v>200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500</v>
      </c>
      <c r="D57" s="10">
        <v>0</v>
      </c>
      <c r="E57" s="10">
        <v>2024</v>
      </c>
      <c r="F57" s="12" t="s">
        <v>20</v>
      </c>
      <c r="G57" s="3">
        <f t="shared" si="10"/>
        <v>500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500</v>
      </c>
      <c r="D58" s="10">
        <v>300</v>
      </c>
      <c r="E58" s="10">
        <v>2024</v>
      </c>
      <c r="F58" s="12" t="s">
        <v>20</v>
      </c>
      <c r="G58" s="3">
        <f t="shared" si="10"/>
        <v>200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500</v>
      </c>
      <c r="D59" s="10">
        <v>300</v>
      </c>
      <c r="E59" s="10">
        <v>2024</v>
      </c>
      <c r="F59" s="12" t="s">
        <v>20</v>
      </c>
      <c r="G59" s="3">
        <f t="shared" si="10"/>
        <v>200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487</v>
      </c>
      <c r="D61" s="10">
        <v>300</v>
      </c>
      <c r="E61" s="10">
        <v>2025</v>
      </c>
      <c r="F61" s="12" t="s">
        <v>20</v>
      </c>
      <c r="G61" s="3">
        <f t="shared" ref="G61:G69" si="12">IF((C61-D61)&lt;0,0,C61-D61)</f>
        <v>187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487</v>
      </c>
      <c r="D62" s="10">
        <v>300</v>
      </c>
      <c r="E62" s="10">
        <v>2025</v>
      </c>
      <c r="F62" s="12" t="s">
        <v>20</v>
      </c>
      <c r="G62" s="3">
        <f t="shared" si="12"/>
        <v>187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487</v>
      </c>
      <c r="D63" s="10">
        <v>300</v>
      </c>
      <c r="E63" s="10">
        <v>2025</v>
      </c>
      <c r="F63" s="12" t="s">
        <v>20</v>
      </c>
      <c r="G63" s="3">
        <f t="shared" si="12"/>
        <v>187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487</v>
      </c>
      <c r="D64" s="10">
        <v>300</v>
      </c>
      <c r="E64" s="10">
        <v>2025</v>
      </c>
      <c r="F64" s="12" t="s">
        <v>20</v>
      </c>
      <c r="G64" s="3">
        <f t="shared" si="12"/>
        <v>187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487</v>
      </c>
      <c r="D65" s="10">
        <v>300</v>
      </c>
      <c r="E65" s="10">
        <v>2025</v>
      </c>
      <c r="F65" s="12" t="s">
        <v>20</v>
      </c>
      <c r="G65" s="3">
        <f t="shared" si="12"/>
        <v>187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487</v>
      </c>
      <c r="D66" s="10">
        <v>300</v>
      </c>
      <c r="E66" s="10">
        <v>2025</v>
      </c>
      <c r="F66" s="12" t="s">
        <v>20</v>
      </c>
      <c r="G66" s="3">
        <f t="shared" si="12"/>
        <v>187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487</v>
      </c>
      <c r="D67" s="10">
        <v>0</v>
      </c>
      <c r="E67" s="10">
        <v>2025</v>
      </c>
      <c r="F67" s="12" t="s">
        <v>20</v>
      </c>
      <c r="G67" s="3">
        <f t="shared" si="12"/>
        <v>487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487</v>
      </c>
      <c r="D68" s="10">
        <v>300</v>
      </c>
      <c r="E68" s="10">
        <v>2025</v>
      </c>
      <c r="F68" s="12" t="s">
        <v>20</v>
      </c>
      <c r="G68" s="3">
        <f t="shared" si="12"/>
        <v>187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487</v>
      </c>
      <c r="D69" s="10">
        <v>300</v>
      </c>
      <c r="E69" s="10">
        <v>2025</v>
      </c>
      <c r="F69" s="12" t="s">
        <v>20</v>
      </c>
      <c r="G69" s="3">
        <f t="shared" si="12"/>
        <v>187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388</v>
      </c>
      <c r="D71" s="10">
        <v>0</v>
      </c>
      <c r="E71" s="10"/>
      <c r="F71" s="12"/>
      <c r="G71" s="3">
        <f t="shared" ref="G71:G79" si="14">IF((C71-D71)&lt;0,0,C71-D71)</f>
        <v>388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388</v>
      </c>
      <c r="D72" s="10">
        <v>0</v>
      </c>
      <c r="E72" s="10"/>
      <c r="F72" s="12"/>
      <c r="G72" s="3">
        <f t="shared" si="14"/>
        <v>388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388</v>
      </c>
      <c r="D73" s="10">
        <v>0</v>
      </c>
      <c r="E73" s="10"/>
      <c r="F73" s="12"/>
      <c r="G73" s="3">
        <f t="shared" si="14"/>
        <v>388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388</v>
      </c>
      <c r="D74" s="10">
        <v>0</v>
      </c>
      <c r="E74" s="10"/>
      <c r="F74" s="12"/>
      <c r="G74" s="3">
        <f t="shared" si="14"/>
        <v>388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388</v>
      </c>
      <c r="D75" s="10">
        <v>0</v>
      </c>
      <c r="E75" s="10"/>
      <c r="F75" s="12"/>
      <c r="G75" s="3">
        <f t="shared" si="14"/>
        <v>388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388</v>
      </c>
      <c r="D76" s="10">
        <v>0</v>
      </c>
      <c r="E76" s="10"/>
      <c r="F76" s="12"/>
      <c r="G76" s="3">
        <f t="shared" si="14"/>
        <v>388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388</v>
      </c>
      <c r="D77" s="10">
        <v>0</v>
      </c>
      <c r="E77" s="10"/>
      <c r="F77" s="12"/>
      <c r="G77" s="3">
        <f t="shared" si="14"/>
        <v>388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388</v>
      </c>
      <c r="D78" s="10">
        <v>0</v>
      </c>
      <c r="E78" s="10"/>
      <c r="F78" s="12"/>
      <c r="G78" s="3">
        <f t="shared" si="14"/>
        <v>388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388</v>
      </c>
      <c r="D79" s="10">
        <v>0</v>
      </c>
      <c r="E79" s="10"/>
      <c r="F79" s="12"/>
      <c r="G79" s="3">
        <f t="shared" si="14"/>
        <v>388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364</v>
      </c>
      <c r="D81" s="10"/>
      <c r="E81" s="10"/>
      <c r="F81" s="12"/>
      <c r="G81" s="3">
        <f t="shared" ref="G81:G89" si="16">IF((C81-D81)&lt;0,0,C81-D81)</f>
        <v>364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364</v>
      </c>
      <c r="D82" s="10"/>
      <c r="E82" s="10"/>
      <c r="F82" s="12"/>
      <c r="G82" s="3">
        <f t="shared" si="16"/>
        <v>364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364</v>
      </c>
      <c r="D83" s="10"/>
      <c r="E83" s="10"/>
      <c r="F83" s="12"/>
      <c r="G83" s="3">
        <f t="shared" si="16"/>
        <v>364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364</v>
      </c>
      <c r="D84" s="10"/>
      <c r="E84" s="10"/>
      <c r="F84" s="12"/>
      <c r="G84" s="3">
        <f t="shared" si="16"/>
        <v>364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364</v>
      </c>
      <c r="D85" s="10"/>
      <c r="E85" s="10"/>
      <c r="F85" s="12"/>
      <c r="G85" s="3">
        <f t="shared" si="16"/>
        <v>364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364</v>
      </c>
      <c r="D86" s="10"/>
      <c r="E86" s="10"/>
      <c r="F86" s="12"/>
      <c r="G86" s="3">
        <f t="shared" si="16"/>
        <v>364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364</v>
      </c>
      <c r="D87" s="10"/>
      <c r="E87" s="10"/>
      <c r="F87" s="12"/>
      <c r="G87" s="3">
        <f t="shared" si="16"/>
        <v>364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364</v>
      </c>
      <c r="D88" s="10"/>
      <c r="E88" s="10"/>
      <c r="F88" s="12"/>
      <c r="G88" s="3">
        <f t="shared" si="16"/>
        <v>364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364</v>
      </c>
      <c r="D89" s="10"/>
      <c r="E89" s="10"/>
      <c r="F89" s="12"/>
      <c r="G89" s="3">
        <f t="shared" si="16"/>
        <v>364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268</v>
      </c>
      <c r="D91" s="1">
        <v>200</v>
      </c>
      <c r="E91" s="1">
        <v>2025</v>
      </c>
      <c r="F91" s="5" t="s">
        <v>20</v>
      </c>
      <c r="G91" s="3">
        <f t="shared" ref="G91:G98" si="18">IF((C91-D91)&lt;0,0,C91-D91)</f>
        <v>68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268</v>
      </c>
      <c r="D92" s="1">
        <v>180</v>
      </c>
      <c r="E92" s="1">
        <v>2025</v>
      </c>
      <c r="F92" s="5" t="s">
        <v>20</v>
      </c>
      <c r="G92" s="3">
        <f t="shared" si="18"/>
        <v>88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268</v>
      </c>
      <c r="D93" s="1">
        <v>180</v>
      </c>
      <c r="E93" s="1">
        <v>2025</v>
      </c>
      <c r="F93" s="5" t="s">
        <v>20</v>
      </c>
      <c r="G93" s="3">
        <f t="shared" si="18"/>
        <v>88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268</v>
      </c>
      <c r="D94" s="1">
        <v>200</v>
      </c>
      <c r="E94" s="1">
        <v>2025</v>
      </c>
      <c r="F94" s="5" t="s">
        <v>20</v>
      </c>
      <c r="G94" s="3">
        <f t="shared" si="18"/>
        <v>68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268</v>
      </c>
      <c r="D95" s="1">
        <v>180</v>
      </c>
      <c r="E95" s="1">
        <v>2025</v>
      </c>
      <c r="F95" s="5" t="s">
        <v>20</v>
      </c>
      <c r="G95" s="3">
        <f t="shared" si="18"/>
        <v>88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268</v>
      </c>
      <c r="D96" s="1">
        <v>250</v>
      </c>
      <c r="E96" s="1">
        <v>2025</v>
      </c>
      <c r="F96" s="5" t="s">
        <v>20</v>
      </c>
      <c r="G96" s="3">
        <f t="shared" si="18"/>
        <v>18</v>
      </c>
      <c r="H96" s="4">
        <f t="shared" si="19"/>
        <v>0</v>
      </c>
    </row>
    <row r="97" spans="1:8" ht="65.25" customHeight="1">
      <c r="A97" s="1" t="s">
        <v>24</v>
      </c>
      <c r="B97" s="9" t="s">
        <v>31</v>
      </c>
      <c r="C97" s="1">
        <v>268</v>
      </c>
      <c r="D97" s="1">
        <v>215</v>
      </c>
      <c r="E97" s="1">
        <v>2025</v>
      </c>
      <c r="F97" s="5" t="s">
        <v>20</v>
      </c>
      <c r="G97" s="3">
        <f t="shared" si="18"/>
        <v>53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268</v>
      </c>
      <c r="D98" s="1">
        <v>200</v>
      </c>
      <c r="E98" s="1">
        <v>2025</v>
      </c>
      <c r="F98" s="5" t="s">
        <v>20</v>
      </c>
      <c r="G98" s="3">
        <f t="shared" si="18"/>
        <v>68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61:F69 F51:F5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J52" zoomScale="70" zoomScaleNormal="70" workbookViewId="0">
      <selection activeCell="Q63" sqref="Q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5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500</v>
      </c>
      <c r="D63" s="12">
        <f>Table1[[#This Row],[Enrolment S.Y. 2025-2026 ]]*8</f>
        <v>4000</v>
      </c>
      <c r="E63" s="12">
        <v>250</v>
      </c>
      <c r="F63" s="10">
        <v>2025</v>
      </c>
      <c r="G63" s="12" t="s">
        <v>20</v>
      </c>
      <c r="H63" s="12">
        <f t="shared" si="2"/>
        <v>3750</v>
      </c>
      <c r="I63" s="12">
        <f t="shared" si="3"/>
        <v>0</v>
      </c>
      <c r="J63" s="12">
        <f>Table1[[#This Row],[Enrolment S.Y. 2025-2026 ]]*8</f>
        <v>4000</v>
      </c>
      <c r="K63" s="12">
        <v>200</v>
      </c>
      <c r="L63" s="10">
        <v>2025</v>
      </c>
      <c r="M63" s="12" t="s">
        <v>20</v>
      </c>
      <c r="N63" s="12">
        <f t="shared" si="10"/>
        <v>3800</v>
      </c>
      <c r="O63" s="12">
        <f t="shared" si="11"/>
        <v>0</v>
      </c>
      <c r="P63" s="12">
        <f>Table1[[#This Row],[Enrolment S.Y. 2025-2026 ]]*8</f>
        <v>4000</v>
      </c>
      <c r="Q63" s="12"/>
      <c r="R63" s="10"/>
      <c r="S63" s="12"/>
      <c r="T63" s="12">
        <f t="shared" si="12"/>
        <v>4000</v>
      </c>
      <c r="U63" s="12">
        <f t="shared" si="13"/>
        <v>0</v>
      </c>
      <c r="V63" s="12">
        <f>Table1[[#This Row],[Enrolment S.Y. 2025-2026 ]]*8</f>
        <v>4000</v>
      </c>
      <c r="W63" s="12">
        <v>250</v>
      </c>
      <c r="X63" s="10">
        <v>2026</v>
      </c>
      <c r="Y63" s="12" t="s">
        <v>20</v>
      </c>
      <c r="Z63" s="12">
        <f t="shared" si="14"/>
        <v>3750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500</v>
      </c>
      <c r="D64" s="12">
        <f>Table1[[#This Row],[Enrolment S.Y. 2025-2026 ]]*8</f>
        <v>4000</v>
      </c>
      <c r="E64" s="12">
        <v>250</v>
      </c>
      <c r="F64" s="10">
        <v>2025</v>
      </c>
      <c r="G64" s="12" t="s">
        <v>20</v>
      </c>
      <c r="H64" s="12">
        <f t="shared" si="2"/>
        <v>3750</v>
      </c>
      <c r="I64" s="12">
        <f t="shared" si="3"/>
        <v>0</v>
      </c>
      <c r="J64" s="12">
        <f>Table1[[#This Row],[Enrolment S.Y. 2025-2026 ]]*8</f>
        <v>4000</v>
      </c>
      <c r="K64" s="12">
        <v>200</v>
      </c>
      <c r="L64" s="10">
        <v>2025</v>
      </c>
      <c r="M64" s="12" t="s">
        <v>20</v>
      </c>
      <c r="N64" s="12">
        <f t="shared" si="10"/>
        <v>3800</v>
      </c>
      <c r="O64" s="12">
        <f t="shared" si="11"/>
        <v>0</v>
      </c>
      <c r="P64" s="12">
        <f>Table1[[#This Row],[Enrolment S.Y. 2025-2026 ]]*8</f>
        <v>4000</v>
      </c>
      <c r="Q64" s="12"/>
      <c r="R64" s="10"/>
      <c r="S64" s="12"/>
      <c r="T64" s="12">
        <f t="shared" si="12"/>
        <v>4000</v>
      </c>
      <c r="U64" s="12">
        <f t="shared" si="13"/>
        <v>0</v>
      </c>
      <c r="V64" s="12">
        <f>Table1[[#This Row],[Enrolment S.Y. 2025-2026 ]]*8</f>
        <v>4000</v>
      </c>
      <c r="W64" s="12">
        <v>250</v>
      </c>
      <c r="X64" s="10">
        <v>2026</v>
      </c>
      <c r="Y64" s="12" t="s">
        <v>20</v>
      </c>
      <c r="Z64" s="12">
        <f t="shared" si="14"/>
        <v>3750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500</v>
      </c>
      <c r="D65" s="12">
        <f>Table1[[#This Row],[Enrolment S.Y. 2025-2026 ]]*8</f>
        <v>4000</v>
      </c>
      <c r="E65" s="12">
        <v>250</v>
      </c>
      <c r="F65" s="10">
        <v>2025</v>
      </c>
      <c r="G65" s="12" t="s">
        <v>20</v>
      </c>
      <c r="H65" s="12">
        <f t="shared" si="2"/>
        <v>3750</v>
      </c>
      <c r="I65" s="12">
        <f t="shared" si="3"/>
        <v>0</v>
      </c>
      <c r="J65" s="12">
        <f>Table1[[#This Row],[Enrolment S.Y. 2025-2026 ]]*8</f>
        <v>4000</v>
      </c>
      <c r="K65" s="12">
        <v>200</v>
      </c>
      <c r="L65" s="10">
        <v>2025</v>
      </c>
      <c r="M65" s="12" t="s">
        <v>20</v>
      </c>
      <c r="N65" s="12">
        <f t="shared" si="10"/>
        <v>3800</v>
      </c>
      <c r="O65" s="12">
        <f t="shared" si="11"/>
        <v>0</v>
      </c>
      <c r="P65" s="12">
        <f>Table1[[#This Row],[Enrolment S.Y. 2025-2026 ]]*8</f>
        <v>4000</v>
      </c>
      <c r="Q65" s="12"/>
      <c r="R65" s="10"/>
      <c r="S65" s="12"/>
      <c r="T65" s="12">
        <f t="shared" si="12"/>
        <v>4000</v>
      </c>
      <c r="U65" s="12">
        <f t="shared" si="13"/>
        <v>0</v>
      </c>
      <c r="V65" s="12">
        <f>Table1[[#This Row],[Enrolment S.Y. 2025-2026 ]]*8</f>
        <v>4000</v>
      </c>
      <c r="W65" s="12">
        <v>250</v>
      </c>
      <c r="X65" s="10">
        <v>2026</v>
      </c>
      <c r="Y65" s="12" t="s">
        <v>20</v>
      </c>
      <c r="Z65" s="12">
        <f t="shared" si="14"/>
        <v>3750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500</v>
      </c>
      <c r="D66" s="12">
        <f>Table1[[#This Row],[Enrolment S.Y. 2025-2026 ]]*8</f>
        <v>4000</v>
      </c>
      <c r="E66" s="12">
        <v>250</v>
      </c>
      <c r="F66" s="10">
        <v>2025</v>
      </c>
      <c r="G66" s="12" t="s">
        <v>20</v>
      </c>
      <c r="H66" s="12">
        <f t="shared" si="2"/>
        <v>3750</v>
      </c>
      <c r="I66" s="12">
        <f t="shared" si="3"/>
        <v>0</v>
      </c>
      <c r="J66" s="12">
        <f>Table1[[#This Row],[Enrolment S.Y. 2025-2026 ]]*8</f>
        <v>4000</v>
      </c>
      <c r="K66" s="12">
        <v>200</v>
      </c>
      <c r="L66" s="10">
        <v>2025</v>
      </c>
      <c r="M66" s="12" t="s">
        <v>20</v>
      </c>
      <c r="N66" s="12">
        <f t="shared" si="10"/>
        <v>3800</v>
      </c>
      <c r="O66" s="12">
        <f t="shared" si="11"/>
        <v>0</v>
      </c>
      <c r="P66" s="12">
        <f>Table1[[#This Row],[Enrolment S.Y. 2025-2026 ]]*8</f>
        <v>4000</v>
      </c>
      <c r="Q66" s="12"/>
      <c r="R66" s="10"/>
      <c r="S66" s="12"/>
      <c r="T66" s="12">
        <f t="shared" si="12"/>
        <v>4000</v>
      </c>
      <c r="U66" s="12">
        <f t="shared" si="13"/>
        <v>0</v>
      </c>
      <c r="V66" s="12">
        <f>Table1[[#This Row],[Enrolment S.Y. 2025-2026 ]]*8</f>
        <v>4000</v>
      </c>
      <c r="W66" s="12">
        <v>250</v>
      </c>
      <c r="X66" s="10">
        <v>2026</v>
      </c>
      <c r="Y66" s="12" t="s">
        <v>20</v>
      </c>
      <c r="Z66" s="12">
        <f t="shared" si="14"/>
        <v>3750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500</v>
      </c>
      <c r="D67" s="12">
        <f>Table1[[#This Row],[Enrolment S.Y. 2025-2026 ]]*8</f>
        <v>4000</v>
      </c>
      <c r="E67" s="12">
        <v>250</v>
      </c>
      <c r="F67" s="10">
        <v>2025</v>
      </c>
      <c r="G67" s="12" t="s">
        <v>20</v>
      </c>
      <c r="H67" s="12">
        <f t="shared" si="2"/>
        <v>3750</v>
      </c>
      <c r="I67" s="12">
        <f t="shared" si="3"/>
        <v>0</v>
      </c>
      <c r="J67" s="12">
        <f>Table1[[#This Row],[Enrolment S.Y. 2025-2026 ]]*8</f>
        <v>4000</v>
      </c>
      <c r="K67" s="12">
        <v>200</v>
      </c>
      <c r="L67" s="10">
        <v>2025</v>
      </c>
      <c r="M67" s="12" t="s">
        <v>20</v>
      </c>
      <c r="N67" s="12">
        <f t="shared" si="10"/>
        <v>3800</v>
      </c>
      <c r="O67" s="12">
        <f t="shared" si="11"/>
        <v>0</v>
      </c>
      <c r="P67" s="12">
        <f>Table1[[#This Row],[Enrolment S.Y. 2025-2026 ]]*8</f>
        <v>4000</v>
      </c>
      <c r="Q67" s="12"/>
      <c r="R67" s="10"/>
      <c r="S67" s="12"/>
      <c r="T67" s="12">
        <f t="shared" si="12"/>
        <v>4000</v>
      </c>
      <c r="U67" s="12">
        <f t="shared" si="13"/>
        <v>0</v>
      </c>
      <c r="V67" s="12">
        <f>Table1[[#This Row],[Enrolment S.Y. 2025-2026 ]]*8</f>
        <v>4000</v>
      </c>
      <c r="W67" s="12">
        <v>250</v>
      </c>
      <c r="X67" s="10">
        <v>2026</v>
      </c>
      <c r="Y67" s="12" t="s">
        <v>20</v>
      </c>
      <c r="Z67" s="12">
        <f t="shared" si="14"/>
        <v>3750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500</v>
      </c>
      <c r="D68" s="12">
        <f>Table1[[#This Row],[Enrolment S.Y. 2025-2026 ]]*8</f>
        <v>4000</v>
      </c>
      <c r="E68" s="12">
        <v>250</v>
      </c>
      <c r="F68" s="10">
        <v>2025</v>
      </c>
      <c r="G68" s="12" t="s">
        <v>20</v>
      </c>
      <c r="H68" s="12">
        <f t="shared" si="2"/>
        <v>3750</v>
      </c>
      <c r="I68" s="12">
        <f t="shared" si="3"/>
        <v>0</v>
      </c>
      <c r="J68" s="12">
        <f>Table1[[#This Row],[Enrolment S.Y. 2025-2026 ]]*8</f>
        <v>4000</v>
      </c>
      <c r="K68" s="12">
        <v>200</v>
      </c>
      <c r="L68" s="10">
        <v>2025</v>
      </c>
      <c r="M68" s="12" t="s">
        <v>20</v>
      </c>
      <c r="N68" s="12">
        <f t="shared" si="10"/>
        <v>3800</v>
      </c>
      <c r="O68" s="12">
        <f t="shared" si="11"/>
        <v>0</v>
      </c>
      <c r="P68" s="12">
        <f>Table1[[#This Row],[Enrolment S.Y. 2025-2026 ]]*8</f>
        <v>4000</v>
      </c>
      <c r="Q68" s="12"/>
      <c r="R68" s="10"/>
      <c r="S68" s="12"/>
      <c r="T68" s="12">
        <f t="shared" si="12"/>
        <v>4000</v>
      </c>
      <c r="U68" s="12">
        <f t="shared" si="13"/>
        <v>0</v>
      </c>
      <c r="V68" s="12">
        <f>Table1[[#This Row],[Enrolment S.Y. 2025-2026 ]]*8</f>
        <v>4000</v>
      </c>
      <c r="W68" s="12">
        <v>250</v>
      </c>
      <c r="X68" s="10">
        <v>2026</v>
      </c>
      <c r="Y68" s="12" t="s">
        <v>20</v>
      </c>
      <c r="Z68" s="12">
        <f t="shared" si="14"/>
        <v>3750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500</v>
      </c>
      <c r="D69" s="12">
        <f>Table1[[#This Row],[Enrolment S.Y. 2025-2026 ]]*8</f>
        <v>4000</v>
      </c>
      <c r="E69" s="12">
        <v>250</v>
      </c>
      <c r="F69" s="10">
        <v>2025</v>
      </c>
      <c r="G69" s="12" t="s">
        <v>20</v>
      </c>
      <c r="H69" s="12">
        <f t="shared" si="2"/>
        <v>3750</v>
      </c>
      <c r="I69" s="12">
        <f t="shared" si="3"/>
        <v>0</v>
      </c>
      <c r="J69" s="12">
        <f>Table1[[#This Row],[Enrolment S.Y. 2025-2026 ]]*8</f>
        <v>4000</v>
      </c>
      <c r="K69" s="12">
        <v>200</v>
      </c>
      <c r="L69" s="10">
        <v>2025</v>
      </c>
      <c r="M69" s="12" t="s">
        <v>20</v>
      </c>
      <c r="N69" s="12">
        <f t="shared" si="10"/>
        <v>3800</v>
      </c>
      <c r="O69" s="12">
        <f t="shared" si="11"/>
        <v>0</v>
      </c>
      <c r="P69" s="12">
        <f>Table1[[#This Row],[Enrolment S.Y. 2025-2026 ]]*8</f>
        <v>4000</v>
      </c>
      <c r="Q69" s="12"/>
      <c r="R69" s="10"/>
      <c r="S69" s="12"/>
      <c r="T69" s="12">
        <f t="shared" si="12"/>
        <v>4000</v>
      </c>
      <c r="U69" s="12" t="s">
        <v>63</v>
      </c>
      <c r="V69" s="12">
        <f>Table1[[#This Row],[Enrolment S.Y. 2025-2026 ]]*8</f>
        <v>4000</v>
      </c>
      <c r="W69" s="12">
        <v>250</v>
      </c>
      <c r="X69" s="10">
        <v>2026</v>
      </c>
      <c r="Y69" s="12" t="s">
        <v>20</v>
      </c>
      <c r="Z69" s="12">
        <f t="shared" si="14"/>
        <v>3750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500</v>
      </c>
      <c r="D70" s="12">
        <f>Table1[[#This Row],[Enrolment S.Y. 2025-2026 ]]*8</f>
        <v>4000</v>
      </c>
      <c r="E70" s="12">
        <v>250</v>
      </c>
      <c r="F70" s="10">
        <v>2025</v>
      </c>
      <c r="G70" s="12" t="s">
        <v>20</v>
      </c>
      <c r="H70" s="12">
        <f t="shared" si="2"/>
        <v>3750</v>
      </c>
      <c r="I70" s="12">
        <f t="shared" si="3"/>
        <v>0</v>
      </c>
      <c r="J70" s="12">
        <f>Table1[[#This Row],[Enrolment S.Y. 2025-2026 ]]*8</f>
        <v>4000</v>
      </c>
      <c r="K70" s="12">
        <v>200</v>
      </c>
      <c r="L70" s="10">
        <v>2025</v>
      </c>
      <c r="M70" s="12" t="s">
        <v>20</v>
      </c>
      <c r="N70" s="12">
        <f t="shared" ref="N70:N126" si="16">IF((J70-K70)&lt;0,0,(J70-K70))</f>
        <v>3800</v>
      </c>
      <c r="O70" s="12">
        <f t="shared" ref="O70:O126" si="17">IF((K70-J70)&lt;0,0,(K70-J70))</f>
        <v>0</v>
      </c>
      <c r="P70" s="12">
        <f>Table1[[#This Row],[Enrolment S.Y. 2025-2026 ]]*8</f>
        <v>4000</v>
      </c>
      <c r="Q70" s="12"/>
      <c r="R70" s="10"/>
      <c r="S70" s="12"/>
      <c r="T70" s="12">
        <f t="shared" ref="T70:T127" si="18">IF((P70-Q70)&lt;0,0,(P70-Q70))</f>
        <v>4000</v>
      </c>
      <c r="U70" s="12">
        <f t="shared" ref="U70:U127" si="19">IF((Q70-P70)&lt;0,0,(Q70-P70))</f>
        <v>0</v>
      </c>
      <c r="V70" s="12">
        <f>Table1[[#This Row],[Enrolment S.Y. 2025-2026 ]]*8</f>
        <v>4000</v>
      </c>
      <c r="W70" s="12">
        <v>250</v>
      </c>
      <c r="X70" s="10">
        <v>2026</v>
      </c>
      <c r="Y70" s="12" t="s">
        <v>20</v>
      </c>
      <c r="Z70" s="12">
        <f t="shared" ref="Z70:Z127" si="20">IF((V70-W70)&lt;0,0,(V70-W70))</f>
        <v>3750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500</v>
      </c>
      <c r="D71" s="12">
        <f>Table1[[#This Row],[Enrolment S.Y. 2025-2026 ]]*8</f>
        <v>4000</v>
      </c>
      <c r="E71" s="12">
        <v>250</v>
      </c>
      <c r="F71" s="10">
        <v>2025</v>
      </c>
      <c r="G71" s="12" t="s">
        <v>20</v>
      </c>
      <c r="H71" s="12">
        <f t="shared" si="2"/>
        <v>3750</v>
      </c>
      <c r="I71" s="12">
        <f t="shared" si="3"/>
        <v>0</v>
      </c>
      <c r="J71" s="12">
        <f>Table1[[#This Row],[Enrolment S.Y. 2025-2026 ]]*8</f>
        <v>4000</v>
      </c>
      <c r="K71" s="12">
        <v>200</v>
      </c>
      <c r="L71" s="10">
        <v>2025</v>
      </c>
      <c r="M71" s="12" t="s">
        <v>20</v>
      </c>
      <c r="N71" s="12">
        <f t="shared" si="16"/>
        <v>3800</v>
      </c>
      <c r="O71" s="12">
        <f t="shared" si="17"/>
        <v>0</v>
      </c>
      <c r="P71" s="12">
        <f>Table1[[#This Row],[Enrolment S.Y. 2025-2026 ]]*8</f>
        <v>4000</v>
      </c>
      <c r="Q71" s="12"/>
      <c r="R71" s="10"/>
      <c r="S71" s="12"/>
      <c r="T71" s="12">
        <f t="shared" si="18"/>
        <v>4000</v>
      </c>
      <c r="U71" s="12">
        <f t="shared" si="19"/>
        <v>0</v>
      </c>
      <c r="V71" s="12">
        <f>Table1[[#This Row],[Enrolment S.Y. 2025-2026 ]]*8</f>
        <v>4000</v>
      </c>
      <c r="W71" s="12">
        <v>250</v>
      </c>
      <c r="X71" s="10">
        <v>2026</v>
      </c>
      <c r="Y71" s="12" t="s">
        <v>20</v>
      </c>
      <c r="Z71" s="12">
        <f t="shared" si="20"/>
        <v>3750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73:C81 C83:C91 C93:C101 C103:C110 C112:C127 C5:C12 C63:C71" name="Textbooks"/>
    <protectedRange sqref="J2:L3 D2:F3 H5:L5 D14:F21 Q14:R21 W14:X21 D23:F31 Q23:R31 W23:X31 D33:F41 H33:I41 Q33:R41 W33:X41 D43:F51 H43:I51 Q43:R51 W43:X51 D53:F61 H53:I61 Q53:R61 W53:X61 H63:I71 Q63:R71 D73:F81 H73:I81 Q73:R81 W73:X81 D83:F91 H83:I91 Q83:R91 W83:X91 D93:F101 H93:I101 Q93:R101 W93:X101 D103:F110 H103:I110 Q103:R110 W103:X110 D112:F127 H112:I127 N127:R127 W112:X127 H14:I21 H23:I31 H6:I12 K6:L12 K33:L41 K43:L51 K53:L61 K73:L81 K83:L91 K93:L101 K103:L110 K112:L127 K14:L21 K23:L31 Q112:R126 P2:R2 V2:X3 N13:P126 T13:V127 J6:J127 D5:F12 N5:R12 T5:X12 N4:P4 T4:V4 J4 Z4:AA127 N3:R3 Y13 D63:F71 W63:X71 K63:L71" name="LAS"/>
    <protectedRange sqref="G2:I3 M2:O2 S2:U3 Y2:AA3 G112:G127 M112:M127 S112:S127 Y112:Y127 G5:G12 M5:M12 S4:S110 Y5:Y12 G14:G21 M3 G23:G31 G33:G41 G43:G51 G53:G61 G73:G81 G83:G91 G93:G101 G103:G110 G63:G71 Y14:Y110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X103:X110 F73:F81 F83:F91 F93:F101 F103:F110 F112:F127 L5:L12 L14:L21 L23:L31 L33:L41 L43:L51 L53:L61 X63:X71 L73:L81 L83:L91 L93:L101 L103:L110 L112:L127 R5:R12 R14:R21 R23:R31 R33:R41 R43:R51 R53:R61 R63:R71 R73:R81 R83:R91 R93:R101 R103:R110 R112:R127 X5:X12 X14:X21 X23:X31 X33:X41 X43:X51 X53:X61 F63:F71 X73:X81 X83:X91 X93:X101 L63:L71" xr:uid="{4ECCD083-8EC4-42EE-B46C-B614411F330D}">
      <formula1>"2024,2025,2026"</formula1>
    </dataValidation>
    <dataValidation type="list" allowBlank="1" showInputMessage="1" showErrorMessage="1" sqref="Y14:Y110 G63:G71 S4:S110 G5:G12 M5:M12 Y5:Y12 G14:G21 G23:G31 G33:G41 G43:G51 G53:G61 G103:G110 G73:G81 G83:G9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1" zoomScale="55" zoomScaleNormal="55" workbookViewId="0">
      <selection activeCell="V8" sqref="V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F55:F65 F3:F10 F12:F19 F21:F29 F31:F41 F43:F53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LAWRENZ PELAGIO</cp:lastModifiedBy>
  <cp:revision/>
  <dcterms:created xsi:type="dcterms:W3CDTF">2025-11-19T20:48:15Z</dcterms:created>
  <dcterms:modified xsi:type="dcterms:W3CDTF">2026-03-11T08:53:57Z</dcterms:modified>
  <cp:category/>
  <cp:contentStatus/>
</cp:coreProperties>
</file>