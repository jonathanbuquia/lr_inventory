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9" documentId="13_ncr:1_{BFB59F67-F0DC-4675-A682-EB0734A8026A}" xr6:coauthVersionLast="47" xr6:coauthVersionMax="47" xr10:uidLastSave="{36A50024-FE54-451F-8758-BB52C0D2DD78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<sst xmlns="http://schemas.openxmlformats.org/spreadsheetml/2006/main" count="288" uniqueCount="85">
  <si>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</si>
  <si>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</si>
  <si>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</si>
  <si>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</si>
  <si>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</si>
  <si>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</si>
  <si>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</si>
  <si>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</si>
  <si>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</si>
  <si>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</si>
  <si>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</si>
  <si>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</si>
  <si>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</si>
  <si>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</si>
  <si>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</si>
  <si>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</si>
  <si>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</si>
  <si>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</si>
  <si>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</si>
  <si>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</si>
  <si>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</si>
  <si>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</si>
  <si>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</si>
  <si>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</si>
  <si>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</si>
  <si>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</si>
  <si>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</si>
  <si>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</si>
  <si>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</si>
  <si>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</si>
  <si>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</si>
  <si>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</si>
  <si>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</si>
  <si>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</si>
  <si>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</si>
  <si>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</si>
  <si>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</si>
  <si>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</si>
  <si>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</si>
  <si>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</si>
  <si>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</si>
  <si>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</si>
  <si>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</si>
  <si>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</si>
  <si>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</si>
  <si>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</si>
  <si>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</si>
  <si>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</si>
  <si>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</si>
  <si>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</si>
  <si>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</si>
  <si>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</si>
  <si>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</si>
  <si>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</si>
  <si>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</si>
  <si>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</si>
  <si>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 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</si>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</sst>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45" sqref="J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500</v>
      </c>
      <c r="D2" s="8">
        <v>300</v>
      </c>
      <c r="E2" s="8">
        <v>2024</v>
      </c>
      <c r="F2" s="10" t="s">
        <v>9</v>
      </c>
      <c r="G2" s="2">
        <f t="shared" ref="G2:G10" si="0">IF((C2-D2)&lt;0,0,C2-D2)</f>
        <v>200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10</v>
      </c>
      <c r="C3" s="8">
        <v>500</v>
      </c>
      <c r="D3" s="8">
        <v>300</v>
      </c>
      <c r="E3" s="8">
        <v>2024</v>
      </c>
      <c r="F3" s="10" t="s">
        <v>9</v>
      </c>
      <c r="G3" s="2">
        <f t="shared" si="0"/>
        <v>200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500</v>
      </c>
      <c r="D4" s="8">
        <v>300</v>
      </c>
      <c r="E4" s="8">
        <v>2024</v>
      </c>
      <c r="F4" s="10" t="s">
        <v>9</v>
      </c>
      <c r="G4" s="2">
        <f t="shared" si="0"/>
        <v>200</v>
      </c>
      <c r="H4" s="3">
        <f t="shared" si="1"/>
        <v>0</v>
      </c>
    </row>
    <row r="5" spans="1:8" ht="25.5" customHeight="1">
      <c r="A5" s="8">
        <v>7</v>
      </c>
      <c r="B5" s="9" t="s">
        <v>12</v>
      </c>
      <c r="C5" s="8">
        <v>500</v>
      </c>
      <c r="D5" s="8">
        <v>300</v>
      </c>
      <c r="E5" s="8">
        <v>2024</v>
      </c>
      <c r="F5" s="10" t="s">
        <v>9</v>
      </c>
      <c r="G5" s="2">
        <f t="shared" si="0"/>
        <v>200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500</v>
      </c>
      <c r="D6" s="8">
        <v>300</v>
      </c>
      <c r="E6" s="8">
        <v>2024</v>
      </c>
      <c r="F6" s="10" t="s">
        <v>9</v>
      </c>
      <c r="G6" s="2">
        <f t="shared" si="0"/>
        <v>200</v>
      </c>
      <c r="H6" s="3">
        <f t="shared" si="1"/>
        <v>0</v>
      </c>
    </row>
    <row r="7" spans="1:8" ht="19.5">
      <c r="A7" s="8">
        <v>7</v>
      </c>
      <c r="B7" s="9" t="s">
        <v>14</v>
      </c>
      <c r="C7" s="8">
        <v>500</v>
      </c>
      <c r="D7" s="8">
        <v>300</v>
      </c>
      <c r="E7" s="8">
        <v>2024</v>
      </c>
      <c r="F7" s="10" t="s">
        <v>9</v>
      </c>
      <c r="G7" s="2">
        <f t="shared" si="0"/>
        <v>200</v>
      </c>
      <c r="H7" s="3">
        <f t="shared" si="1"/>
        <v>0</v>
      </c>
    </row>
    <row r="8" spans="1:8" ht="39.75" customHeight="1">
      <c r="A8" s="8">
        <v>7</v>
      </c>
      <c r="B8" s="9" t="s">
        <v>15</v>
      </c>
      <c r="C8" s="8">
        <v>500</v>
      </c>
      <c r="D8" s="8">
        <v>0</v>
      </c>
      <c r="E8" s="8">
        <v>2024</v>
      </c>
      <c r="F8" s="10" t="s">
        <v>9</v>
      </c>
      <c r="G8" s="2">
        <f t="shared" si="0"/>
        <v>500</v>
      </c>
      <c r="H8" s="3">
        <f t="shared" si="1"/>
        <v>0</v>
      </c>
    </row>
    <row r="9" spans="1:8" ht="29.25" customHeight="1">
      <c r="A9" s="8">
        <v>7</v>
      </c>
      <c r="B9" s="9" t="s">
        <v>16</v>
      </c>
      <c r="C9" s="8">
        <v>500</v>
      </c>
      <c r="D9" s="8">
        <v>300</v>
      </c>
      <c r="E9" s="8">
        <v>2024</v>
      </c>
      <c r="F9" s="10" t="s">
        <v>9</v>
      </c>
      <c r="G9" s="2">
        <f t="shared" si="0"/>
        <v>200</v>
      </c>
      <c r="H9" s="3">
        <f t="shared" si="1"/>
        <v>0</v>
      </c>
    </row>
    <row r="10" spans="1:8" ht="28.5" customHeight="1">
      <c r="A10" s="8">
        <v>7</v>
      </c>
      <c r="B10" s="9" t="s">
        <v>17</v>
      </c>
      <c r="C10" s="8">
        <v>500</v>
      </c>
      <c r="D10" s="8">
        <v>300</v>
      </c>
      <c r="E10" s="8">
        <v>2024</v>
      </c>
      <c r="F10" s="10" t="s">
        <v>9</v>
      </c>
      <c r="G10" s="2">
        <f t="shared" si="0"/>
        <v>200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487</v>
      </c>
      <c r="D12" s="8">
        <v>300</v>
      </c>
      <c r="E12" s="8">
        <v>2025</v>
      </c>
      <c r="F12" s="10" t="s">
        <v>9</v>
      </c>
      <c r="G12" s="2">
        <f t="shared" ref="G12:G20" si="2">IF((C12-D12)&lt;0,0,C12-D12)</f>
        <v>187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487</v>
      </c>
      <c r="D13" s="8">
        <v>300</v>
      </c>
      <c r="E13" s="8">
        <v>2025</v>
      </c>
      <c r="F13" s="10" t="s">
        <v>9</v>
      </c>
      <c r="G13" s="2">
        <f t="shared" si="2"/>
        <v>187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487</v>
      </c>
      <c r="D14" s="8">
        <v>300</v>
      </c>
      <c r="E14" s="8">
        <v>2025</v>
      </c>
      <c r="F14" s="10" t="s">
        <v>9</v>
      </c>
      <c r="G14" s="2">
        <f t="shared" si="2"/>
        <v>187</v>
      </c>
      <c r="H14" s="3">
        <f t="shared" si="3"/>
        <v>0</v>
      </c>
    </row>
    <row r="15" spans="1:8" ht="29.25" customHeight="1">
      <c r="A15" s="8">
        <v>8</v>
      </c>
      <c r="B15" s="9" t="s">
        <v>12</v>
      </c>
      <c r="C15" s="8">
        <v>487</v>
      </c>
      <c r="D15" s="8">
        <v>300</v>
      </c>
      <c r="E15" s="8">
        <v>2025</v>
      </c>
      <c r="F15" s="10" t="s">
        <v>9</v>
      </c>
      <c r="G15" s="2">
        <f t="shared" si="2"/>
        <v>187</v>
      </c>
      <c r="H15" s="3">
        <f t="shared" si="3"/>
        <v>0</v>
      </c>
    </row>
    <row r="16" spans="1:8" ht="27" customHeight="1">
      <c r="A16" s="8">
        <v>8</v>
      </c>
      <c r="B16" s="9" t="s">
        <v>18</v>
      </c>
      <c r="C16" s="8">
        <v>487</v>
      </c>
      <c r="D16" s="8">
        <v>300</v>
      </c>
      <c r="E16" s="8">
        <v>2025</v>
      </c>
      <c r="F16" s="10" t="s">
        <v>9</v>
      </c>
      <c r="G16" s="2">
        <f t="shared" si="2"/>
        <v>187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487</v>
      </c>
      <c r="D17" s="8">
        <v>300</v>
      </c>
      <c r="E17" s="8">
        <v>2025</v>
      </c>
      <c r="F17" s="10" t="s">
        <v>9</v>
      </c>
      <c r="G17" s="2">
        <f t="shared" si="2"/>
        <v>187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487</v>
      </c>
      <c r="D18" s="8">
        <v>0</v>
      </c>
      <c r="E18" s="8">
        <v>2025</v>
      </c>
      <c r="F18" s="10" t="s">
        <v>9</v>
      </c>
      <c r="G18" s="2">
        <f t="shared" si="2"/>
        <v>487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487</v>
      </c>
      <c r="D19" s="8">
        <v>300</v>
      </c>
      <c r="E19" s="8">
        <v>2025</v>
      </c>
      <c r="F19" s="10" t="s">
        <v>9</v>
      </c>
      <c r="G19" s="2">
        <f t="shared" si="2"/>
        <v>187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487</v>
      </c>
      <c r="D20" s="8">
        <v>300</v>
      </c>
      <c r="E20" s="8">
        <v>2025</v>
      </c>
      <c r="F20" s="10" t="s">
        <v>9</v>
      </c>
      <c r="G20" s="2">
        <f t="shared" si="2"/>
        <v>187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388</v>
      </c>
      <c r="D22" s="8">
        <v>0</v>
      </c>
      <c r="E22" s="8"/>
      <c r="F22" s="10"/>
      <c r="G22" s="2">
        <f t="shared" ref="G22:G30" si="4">IF((C22-D22)&lt;0,0,C22-D22)</f>
        <v>388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388</v>
      </c>
      <c r="D23" s="8">
        <v>0</v>
      </c>
      <c r="E23" s="8"/>
      <c r="F23" s="10"/>
      <c r="G23" s="2">
        <f t="shared" si="4"/>
        <v>388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388</v>
      </c>
      <c r="D24" s="8">
        <v>0</v>
      </c>
      <c r="E24" s="8"/>
      <c r="F24" s="10"/>
      <c r="G24" s="2">
        <f t="shared" si="4"/>
        <v>388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388</v>
      </c>
      <c r="D25" s="8">
        <v>0</v>
      </c>
      <c r="E25" s="8"/>
      <c r="F25" s="10"/>
      <c r="G25" s="2">
        <f t="shared" si="4"/>
        <v>388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388</v>
      </c>
      <c r="D26" s="8">
        <v>0</v>
      </c>
      <c r="E26" s="8"/>
      <c r="F26" s="10"/>
      <c r="G26" s="2">
        <f t="shared" si="4"/>
        <v>388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388</v>
      </c>
      <c r="D27" s="8">
        <v>0</v>
      </c>
      <c r="E27" s="8"/>
      <c r="F27" s="10"/>
      <c r="G27" s="2">
        <f t="shared" si="4"/>
        <v>388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388</v>
      </c>
      <c r="D28" s="8">
        <v>0</v>
      </c>
      <c r="E28" s="8"/>
      <c r="F28" s="10"/>
      <c r="G28" s="2">
        <f t="shared" si="4"/>
        <v>388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388</v>
      </c>
      <c r="D29" s="8">
        <v>0</v>
      </c>
      <c r="E29" s="8"/>
      <c r="F29" s="10"/>
      <c r="G29" s="2">
        <f t="shared" si="4"/>
        <v>388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388</v>
      </c>
      <c r="D30" s="8">
        <v>0</v>
      </c>
      <c r="E30" s="8"/>
      <c r="F30" s="10"/>
      <c r="G30" s="2">
        <f t="shared" si="4"/>
        <v>388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364</v>
      </c>
      <c r="D32" s="8"/>
      <c r="E32" s="8"/>
      <c r="F32" s="10"/>
      <c r="G32" s="2">
        <f t="shared" ref="G32:G40" si="6">IF((C32-D32)&lt;0,0,C32-D32)</f>
        <v>364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364</v>
      </c>
      <c r="D33" s="8"/>
      <c r="E33" s="8"/>
      <c r="F33" s="10"/>
      <c r="G33" s="2">
        <f t="shared" si="6"/>
        <v>364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364</v>
      </c>
      <c r="D34" s="8"/>
      <c r="E34" s="8"/>
      <c r="F34" s="10"/>
      <c r="G34" s="2">
        <f t="shared" si="6"/>
        <v>364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364</v>
      </c>
      <c r="D35" s="8"/>
      <c r="E35" s="8"/>
      <c r="F35" s="10"/>
      <c r="G35" s="2">
        <f t="shared" si="6"/>
        <v>364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364</v>
      </c>
      <c r="D36" s="8"/>
      <c r="E36" s="8"/>
      <c r="F36" s="10"/>
      <c r="G36" s="2">
        <f t="shared" si="6"/>
        <v>364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364</v>
      </c>
      <c r="D37" s="8"/>
      <c r="E37" s="8"/>
      <c r="F37" s="10"/>
      <c r="G37" s="2">
        <f t="shared" si="6"/>
        <v>364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364</v>
      </c>
      <c r="D38" s="8"/>
      <c r="E38" s="8"/>
      <c r="F38" s="10"/>
      <c r="G38" s="2">
        <f t="shared" si="6"/>
        <v>364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364</v>
      </c>
      <c r="D39" s="8"/>
      <c r="E39" s="8"/>
      <c r="F39" s="10"/>
      <c r="G39" s="2">
        <f t="shared" si="6"/>
        <v>364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364</v>
      </c>
      <c r="D40" s="8"/>
      <c r="E40" s="8"/>
      <c r="F40" s="10"/>
      <c r="G40" s="2">
        <f t="shared" si="6"/>
        <v>364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268</v>
      </c>
      <c r="D42" s="1">
        <v>200</v>
      </c>
      <c r="E42" s="1">
        <v>2025</v>
      </c>
      <c r="F42" s="4" t="s">
        <v>9</v>
      </c>
      <c r="G42" s="2">
        <f t="shared" ref="G42:G49" si="8">IF((C42-D42)&lt;0,0,C42-D42)</f>
        <v>68</v>
      </c>
      <c r="H42" s="3">
        <f t="shared" ref="H42:H49" si="9">IF((D42-C42)&lt;0,0,D42-C42)</f>
        <v>0</v>
      </c>
    </row>
    <row r="43" spans="1:8" ht="27.75" customHeight="1">
      <c r="A43" s="1" t="s">
        <v>19</v>
      </c>
      <c r="B43" s="7" t="s">
        <v>21</v>
      </c>
      <c r="C43" s="1">
        <v>268</v>
      </c>
      <c r="D43" s="1">
        <v>180</v>
      </c>
      <c r="E43" s="1">
        <v>2025</v>
      </c>
      <c r="F43" s="4" t="s">
        <v>9</v>
      </c>
      <c r="G43" s="2">
        <f t="shared" si="8"/>
        <v>88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268</v>
      </c>
      <c r="D44" s="1">
        <v>180</v>
      </c>
      <c r="E44" s="1">
        <v>2025</v>
      </c>
      <c r="F44" s="4" t="s">
        <v>9</v>
      </c>
      <c r="G44" s="2">
        <f t="shared" si="8"/>
        <v>88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268</v>
      </c>
      <c r="D45" s="1">
        <v>200</v>
      </c>
      <c r="E45" s="1">
        <v>2025</v>
      </c>
      <c r="F45" s="4" t="s">
        <v>9</v>
      </c>
      <c r="G45" s="2">
        <f t="shared" si="8"/>
        <v>68</v>
      </c>
      <c r="H45" s="3">
        <f t="shared" si="9"/>
        <v>0</v>
      </c>
    </row>
    <row r="46" spans="1:8" ht="27.75" customHeight="1">
      <c r="A46" s="1" t="s">
        <v>19</v>
      </c>
      <c r="B46" s="7" t="s">
        <v>24</v>
      </c>
      <c r="C46" s="1">
        <v>268</v>
      </c>
      <c r="D46" s="1">
        <v>180</v>
      </c>
      <c r="E46" s="1">
        <v>2025</v>
      </c>
      <c r="F46" s="4" t="s">
        <v>9</v>
      </c>
      <c r="G46" s="2">
        <f t="shared" si="8"/>
        <v>88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v>268</v>
      </c>
      <c r="D47" s="1">
        <v>250</v>
      </c>
      <c r="E47" s="1">
        <v>2025</v>
      </c>
      <c r="F47" s="4" t="s">
        <v>9</v>
      </c>
      <c r="G47" s="2">
        <f t="shared" si="8"/>
        <v>18</v>
      </c>
      <c r="H47" s="3">
        <f t="shared" si="9"/>
        <v>0</v>
      </c>
    </row>
    <row r="48" spans="1:8" ht="27.75" customHeight="1">
      <c r="A48" s="1" t="s">
        <v>19</v>
      </c>
      <c r="B48" s="7" t="s">
        <v>26</v>
      </c>
      <c r="C48" s="1">
        <v>268</v>
      </c>
      <c r="D48" s="1">
        <v>215</v>
      </c>
      <c r="E48" s="1">
        <v>2025</v>
      </c>
      <c r="F48" s="4" t="s">
        <v>9</v>
      </c>
      <c r="G48" s="2">
        <f t="shared" si="8"/>
        <v>53</v>
      </c>
      <c r="H48" s="3">
        <f t="shared" si="9"/>
        <v>0</v>
      </c>
    </row>
    <row r="49" spans="1:8" ht="27.75" customHeight="1">
      <c r="A49" s="1" t="s">
        <v>19</v>
      </c>
      <c r="B49" s="7" t="s">
        <v>27</v>
      </c>
      <c r="C49" s="1">
        <v>268</v>
      </c>
      <c r="D49" s="1">
        <v>200</v>
      </c>
      <c r="E49" s="1">
        <v>2025</v>
      </c>
      <c r="F49" s="4" t="s">
        <v>9</v>
      </c>
      <c r="G49" s="2">
        <f t="shared" si="8"/>
        <v>68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65.2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12:F20 F2:F1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9" zoomScale="70" zoomScaleNormal="70" workbookViewId="0">
      <selection activeCell="AB8" sqref="AB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5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500</v>
      </c>
      <c r="D3" s="10">
        <f>Table1[[#This Row],[Enrolment S.Y. 2025-2026 ]]*8</f>
        <v>4000</v>
      </c>
      <c r="E3" s="10">
        <v>250</v>
      </c>
      <c r="F3" s="8">
        <v>2025</v>
      </c>
      <c r="G3" s="10" t="s">
        <v>9</v>
      </c>
      <c r="H3" s="10">
        <f t="shared" ref="H3:H17" si="0">IF((D3-E3)&lt;0,0,(D3-E3))</f>
        <v>3750</v>
      </c>
      <c r="I3" s="10">
        <f t="shared" ref="I3:I17" si="1">IF((E3-D3)&lt;0,0,(E3-D3))</f>
        <v>0</v>
      </c>
      <c r="J3" s="10">
        <f>Table1[[#This Row],[Enrolment S.Y. 2025-2026 ]]*8</f>
        <v>4000</v>
      </c>
      <c r="K3" s="10">
        <v>200</v>
      </c>
      <c r="L3" s="8">
        <v>2025</v>
      </c>
      <c r="M3" s="10" t="s">
        <v>9</v>
      </c>
      <c r="N3" s="10">
        <f t="shared" ref="N3:N9" si="2">IF((J3-K3)&lt;0,0,(J3-K3))</f>
        <v>3800</v>
      </c>
      <c r="O3" s="10">
        <f t="shared" ref="O3:O9" si="3">IF((K3-J3)&lt;0,0,(K3-J3))</f>
        <v>0</v>
      </c>
      <c r="P3" s="10">
        <f>Table1[[#This Row],[Enrolment S.Y. 2025-2026 ]]*8</f>
        <v>4000</v>
      </c>
      <c r="Q3" s="10"/>
      <c r="R3" s="8"/>
      <c r="S3" s="10"/>
      <c r="T3" s="10">
        <f t="shared" ref="T3:T9" si="4">IF((P3-Q3)&lt;0,0,(P3-Q3))</f>
        <v>4000</v>
      </c>
      <c r="U3" s="10">
        <f t="shared" ref="U3:U8" si="5">IF((Q3-P3)&lt;0,0,(Q3-P3))</f>
        <v>0</v>
      </c>
      <c r="V3" s="10">
        <f>Table1[[#This Row],[Enrolment S.Y. 2025-2026 ]]*8</f>
        <v>4000</v>
      </c>
      <c r="W3" s="10">
        <v>250</v>
      </c>
      <c r="X3" s="8">
        <v>2026</v>
      </c>
      <c r="Y3" s="10" t="s">
        <v>9</v>
      </c>
      <c r="Z3" s="10">
        <f t="shared" ref="Z3:Z9" si="6">IF((V3-W3)&lt;0,0,(V3-W3))</f>
        <v>3750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500</v>
      </c>
      <c r="D4" s="10">
        <f>Table1[[#This Row],[Enrolment S.Y. 2025-2026 ]]*8</f>
        <v>4000</v>
      </c>
      <c r="E4" s="10">
        <v>250</v>
      </c>
      <c r="F4" s="8">
        <v>2025</v>
      </c>
      <c r="G4" s="10" t="s">
        <v>9</v>
      </c>
      <c r="H4" s="10">
        <f t="shared" si="0"/>
        <v>3750</v>
      </c>
      <c r="I4" s="10">
        <f t="shared" si="1"/>
        <v>0</v>
      </c>
      <c r="J4" s="10">
        <f>Table1[[#This Row],[Enrolment S.Y. 2025-2026 ]]*8</f>
        <v>4000</v>
      </c>
      <c r="K4" s="10">
        <v>200</v>
      </c>
      <c r="L4" s="8">
        <v>2025</v>
      </c>
      <c r="M4" s="10" t="s">
        <v>9</v>
      </c>
      <c r="N4" s="10">
        <f t="shared" si="2"/>
        <v>3800</v>
      </c>
      <c r="O4" s="10">
        <f t="shared" si="3"/>
        <v>0</v>
      </c>
      <c r="P4" s="10">
        <f>Table1[[#This Row],[Enrolment S.Y. 2025-2026 ]]*8</f>
        <v>4000</v>
      </c>
      <c r="Q4" s="10"/>
      <c r="R4" s="8"/>
      <c r="S4" s="10"/>
      <c r="T4" s="10">
        <f t="shared" si="4"/>
        <v>4000</v>
      </c>
      <c r="U4" s="10">
        <f t="shared" si="5"/>
        <v>0</v>
      </c>
      <c r="V4" s="10">
        <f>Table1[[#This Row],[Enrolment S.Y. 2025-2026 ]]*8</f>
        <v>4000</v>
      </c>
      <c r="W4" s="10">
        <v>250</v>
      </c>
      <c r="X4" s="8">
        <v>2026</v>
      </c>
      <c r="Y4" s="10" t="s">
        <v>9</v>
      </c>
      <c r="Z4" s="10">
        <f t="shared" si="6"/>
        <v>3750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500</v>
      </c>
      <c r="D5" s="10">
        <f>Table1[[#This Row],[Enrolment S.Y. 2025-2026 ]]*8</f>
        <v>4000</v>
      </c>
      <c r="E5" s="10">
        <v>250</v>
      </c>
      <c r="F5" s="8">
        <v>2025</v>
      </c>
      <c r="G5" s="10" t="s">
        <v>9</v>
      </c>
      <c r="H5" s="10">
        <f t="shared" si="0"/>
        <v>3750</v>
      </c>
      <c r="I5" s="10">
        <f t="shared" si="1"/>
        <v>0</v>
      </c>
      <c r="J5" s="10">
        <f>Table1[[#This Row],[Enrolment S.Y. 2025-2026 ]]*8</f>
        <v>4000</v>
      </c>
      <c r="K5" s="10">
        <v>200</v>
      </c>
      <c r="L5" s="8">
        <v>2025</v>
      </c>
      <c r="M5" s="10" t="s">
        <v>9</v>
      </c>
      <c r="N5" s="10">
        <f t="shared" si="2"/>
        <v>3800</v>
      </c>
      <c r="O5" s="10">
        <f t="shared" si="3"/>
        <v>0</v>
      </c>
      <c r="P5" s="10">
        <f>Table1[[#This Row],[Enrolment S.Y. 2025-2026 ]]*8</f>
        <v>4000</v>
      </c>
      <c r="Q5" s="10"/>
      <c r="R5" s="8"/>
      <c r="S5" s="10"/>
      <c r="T5" s="10">
        <f t="shared" si="4"/>
        <v>4000</v>
      </c>
      <c r="U5" s="10">
        <f t="shared" si="5"/>
        <v>0</v>
      </c>
      <c r="V5" s="10">
        <f>Table1[[#This Row],[Enrolment S.Y. 2025-2026 ]]*8</f>
        <v>4000</v>
      </c>
      <c r="W5" s="10">
        <v>250</v>
      </c>
      <c r="X5" s="8">
        <v>2026</v>
      </c>
      <c r="Y5" s="10" t="s">
        <v>9</v>
      </c>
      <c r="Z5" s="10">
        <f t="shared" si="6"/>
        <v>3750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500</v>
      </c>
      <c r="D6" s="10">
        <f>Table1[[#This Row],[Enrolment S.Y. 2025-2026 ]]*8</f>
        <v>4000</v>
      </c>
      <c r="E6" s="10">
        <v>250</v>
      </c>
      <c r="F6" s="8">
        <v>2025</v>
      </c>
      <c r="G6" s="10" t="s">
        <v>9</v>
      </c>
      <c r="H6" s="10">
        <f t="shared" si="0"/>
        <v>3750</v>
      </c>
      <c r="I6" s="10">
        <f t="shared" si="1"/>
        <v>0</v>
      </c>
      <c r="J6" s="10">
        <f>Table1[[#This Row],[Enrolment S.Y. 2025-2026 ]]*8</f>
        <v>4000</v>
      </c>
      <c r="K6" s="10">
        <v>200</v>
      </c>
      <c r="L6" s="8">
        <v>2025</v>
      </c>
      <c r="M6" s="10" t="s">
        <v>9</v>
      </c>
      <c r="N6" s="10">
        <f t="shared" si="2"/>
        <v>3800</v>
      </c>
      <c r="O6" s="10">
        <f t="shared" si="3"/>
        <v>0</v>
      </c>
      <c r="P6" s="10">
        <f>Table1[[#This Row],[Enrolment S.Y. 2025-2026 ]]*8</f>
        <v>4000</v>
      </c>
      <c r="Q6" s="10"/>
      <c r="R6" s="8"/>
      <c r="S6" s="10"/>
      <c r="T6" s="10">
        <f t="shared" si="4"/>
        <v>4000</v>
      </c>
      <c r="U6" s="10">
        <f t="shared" si="5"/>
        <v>0</v>
      </c>
      <c r="V6" s="10">
        <f>Table1[[#This Row],[Enrolment S.Y. 2025-2026 ]]*8</f>
        <v>4000</v>
      </c>
      <c r="W6" s="10">
        <v>250</v>
      </c>
      <c r="X6" s="8">
        <v>2026</v>
      </c>
      <c r="Y6" s="10" t="s">
        <v>9</v>
      </c>
      <c r="Z6" s="10">
        <f t="shared" si="6"/>
        <v>3750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500</v>
      </c>
      <c r="D7" s="10">
        <f>Table1[[#This Row],[Enrolment S.Y. 2025-2026 ]]*8</f>
        <v>4000</v>
      </c>
      <c r="E7" s="10">
        <v>250</v>
      </c>
      <c r="F7" s="8">
        <v>2025</v>
      </c>
      <c r="G7" s="10" t="s">
        <v>9</v>
      </c>
      <c r="H7" s="10">
        <f t="shared" si="0"/>
        <v>3750</v>
      </c>
      <c r="I7" s="10">
        <f t="shared" si="1"/>
        <v>0</v>
      </c>
      <c r="J7" s="10">
        <f>Table1[[#This Row],[Enrolment S.Y. 2025-2026 ]]*8</f>
        <v>4000</v>
      </c>
      <c r="K7" s="10">
        <v>200</v>
      </c>
      <c r="L7" s="8">
        <v>2025</v>
      </c>
      <c r="M7" s="10" t="s">
        <v>9</v>
      </c>
      <c r="N7" s="10">
        <f t="shared" si="2"/>
        <v>3800</v>
      </c>
      <c r="O7" s="10">
        <f t="shared" si="3"/>
        <v>0</v>
      </c>
      <c r="P7" s="10">
        <f>Table1[[#This Row],[Enrolment S.Y. 2025-2026 ]]*8</f>
        <v>4000</v>
      </c>
      <c r="Q7" s="10"/>
      <c r="R7" s="8"/>
      <c r="S7" s="10"/>
      <c r="T7" s="10">
        <f t="shared" si="4"/>
        <v>4000</v>
      </c>
      <c r="U7" s="10">
        <f t="shared" si="5"/>
        <v>0</v>
      </c>
      <c r="V7" s="10">
        <f>Table1[[#This Row],[Enrolment S.Y. 2025-2026 ]]*8</f>
        <v>4000</v>
      </c>
      <c r="W7" s="10">
        <v>250</v>
      </c>
      <c r="X7" s="8">
        <v>2026</v>
      </c>
      <c r="Y7" s="10" t="s">
        <v>9</v>
      </c>
      <c r="Z7" s="10">
        <f t="shared" si="6"/>
        <v>3750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500</v>
      </c>
      <c r="D8" s="10">
        <f>Table1[[#This Row],[Enrolment S.Y. 2025-2026 ]]*8</f>
        <v>4000</v>
      </c>
      <c r="E8" s="10">
        <v>250</v>
      </c>
      <c r="F8" s="8">
        <v>2025</v>
      </c>
      <c r="G8" s="10" t="s">
        <v>9</v>
      </c>
      <c r="H8" s="10">
        <f t="shared" si="0"/>
        <v>3750</v>
      </c>
      <c r="I8" s="10">
        <f t="shared" si="1"/>
        <v>0</v>
      </c>
      <c r="J8" s="10">
        <f>Table1[[#This Row],[Enrolment S.Y. 2025-2026 ]]*8</f>
        <v>4000</v>
      </c>
      <c r="K8" s="10">
        <v>200</v>
      </c>
      <c r="L8" s="8">
        <v>2025</v>
      </c>
      <c r="M8" s="10" t="s">
        <v>9</v>
      </c>
      <c r="N8" s="10">
        <f t="shared" si="2"/>
        <v>3800</v>
      </c>
      <c r="O8" s="10">
        <f t="shared" si="3"/>
        <v>0</v>
      </c>
      <c r="P8" s="10">
        <f>Table1[[#This Row],[Enrolment S.Y. 2025-2026 ]]*8</f>
        <v>4000</v>
      </c>
      <c r="Q8" s="10"/>
      <c r="R8" s="8"/>
      <c r="S8" s="10"/>
      <c r="T8" s="10">
        <f t="shared" si="4"/>
        <v>4000</v>
      </c>
      <c r="U8" s="10">
        <f t="shared" si="5"/>
        <v>0</v>
      </c>
      <c r="V8" s="10">
        <f>Table1[[#This Row],[Enrolment S.Y. 2025-2026 ]]*8</f>
        <v>4000</v>
      </c>
      <c r="W8" s="10">
        <v>250</v>
      </c>
      <c r="X8" s="8">
        <v>2026</v>
      </c>
      <c r="Y8" s="10" t="s">
        <v>9</v>
      </c>
      <c r="Z8" s="10">
        <f t="shared" si="6"/>
        <v>3750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500</v>
      </c>
      <c r="D9" s="10">
        <f>Table1[[#This Row],[Enrolment S.Y. 2025-2026 ]]*8</f>
        <v>4000</v>
      </c>
      <c r="E9" s="10">
        <v>250</v>
      </c>
      <c r="F9" s="8">
        <v>2025</v>
      </c>
      <c r="G9" s="10" t="s">
        <v>9</v>
      </c>
      <c r="H9" s="10">
        <f t="shared" si="0"/>
        <v>3750</v>
      </c>
      <c r="I9" s="10">
        <f t="shared" si="1"/>
        <v>0</v>
      </c>
      <c r="J9" s="10">
        <f>Table1[[#This Row],[Enrolment S.Y. 2025-2026 ]]*8</f>
        <v>4000</v>
      </c>
      <c r="K9" s="10">
        <v>200</v>
      </c>
      <c r="L9" s="8">
        <v>2025</v>
      </c>
      <c r="M9" s="10" t="s">
        <v>9</v>
      </c>
      <c r="N9" s="10">
        <f t="shared" si="2"/>
        <v>3800</v>
      </c>
      <c r="O9" s="10">
        <f t="shared" si="3"/>
        <v>0</v>
      </c>
      <c r="P9" s="10">
        <f>Table1[[#This Row],[Enrolment S.Y. 2025-2026 ]]*8</f>
        <v>4000</v>
      </c>
      <c r="Q9" s="10"/>
      <c r="R9" s="8"/>
      <c r="S9" s="10"/>
      <c r="T9" s="10">
        <f t="shared" si="4"/>
        <v>4000</v>
      </c>
      <c r="U9" s="10" t="s">
        <v>56</v>
      </c>
      <c r="V9" s="10">
        <f>Table1[[#This Row],[Enrolment S.Y. 2025-2026 ]]*8</f>
        <v>4000</v>
      </c>
      <c r="W9" s="10">
        <v>250</v>
      </c>
      <c r="X9" s="8">
        <v>2026</v>
      </c>
      <c r="Y9" s="10" t="s">
        <v>9</v>
      </c>
      <c r="Z9" s="10">
        <f t="shared" si="6"/>
        <v>3750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500</v>
      </c>
      <c r="D10" s="10">
        <f>Table1[[#This Row],[Enrolment S.Y. 2025-2026 ]]*8</f>
        <v>4000</v>
      </c>
      <c r="E10" s="10">
        <v>250</v>
      </c>
      <c r="F10" s="8">
        <v>2025</v>
      </c>
      <c r="G10" s="10" t="s">
        <v>9</v>
      </c>
      <c r="H10" s="10">
        <f t="shared" si="0"/>
        <v>3750</v>
      </c>
      <c r="I10" s="10">
        <f t="shared" si="1"/>
        <v>0</v>
      </c>
      <c r="J10" s="10">
        <f>Table1[[#This Row],[Enrolment S.Y. 2025-2026 ]]*8</f>
        <v>4000</v>
      </c>
      <c r="K10" s="10">
        <v>200</v>
      </c>
      <c r="L10" s="8">
        <v>2025</v>
      </c>
      <c r="M10" s="10" t="s">
        <v>9</v>
      </c>
      <c r="N10" s="10">
        <f t="shared" ref="N10:N66" si="8">IF((J10-K10)&lt;0,0,(J10-K10))</f>
        <v>3800</v>
      </c>
      <c r="O10" s="10">
        <f t="shared" ref="O10:O66" si="9">IF((K10-J10)&lt;0,0,(K10-J10))</f>
        <v>0</v>
      </c>
      <c r="P10" s="10">
        <f>Table1[[#This Row],[Enrolment S.Y. 2025-2026 ]]*8</f>
        <v>4000</v>
      </c>
      <c r="Q10" s="10"/>
      <c r="R10" s="8"/>
      <c r="S10" s="10"/>
      <c r="T10" s="10">
        <f t="shared" ref="T10:T67" si="10">IF((P10-Q10)&lt;0,0,(P10-Q10))</f>
        <v>4000</v>
      </c>
      <c r="U10" s="10">
        <f t="shared" ref="U10:U67" si="11">IF((Q10-P10)&lt;0,0,(Q10-P10))</f>
        <v>0</v>
      </c>
      <c r="V10" s="10">
        <f>Table1[[#This Row],[Enrolment S.Y. 2025-2026 ]]*8</f>
        <v>4000</v>
      </c>
      <c r="W10" s="10">
        <v>250</v>
      </c>
      <c r="X10" s="8">
        <v>2026</v>
      </c>
      <c r="Y10" s="10" t="s">
        <v>9</v>
      </c>
      <c r="Z10" s="10">
        <f t="shared" ref="Z10:Z67" si="12">IF((V10-W10)&lt;0,0,(V10-W10))</f>
        <v>3750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>
        <v>500</v>
      </c>
      <c r="D11" s="10">
        <f>Table1[[#This Row],[Enrolment S.Y. 2025-2026 ]]*8</f>
        <v>4000</v>
      </c>
      <c r="E11" s="10">
        <v>250</v>
      </c>
      <c r="F11" s="8">
        <v>2025</v>
      </c>
      <c r="G11" s="10" t="s">
        <v>9</v>
      </c>
      <c r="H11" s="10">
        <f t="shared" si="0"/>
        <v>3750</v>
      </c>
      <c r="I11" s="10">
        <f t="shared" si="1"/>
        <v>0</v>
      </c>
      <c r="J11" s="10">
        <f>Table1[[#This Row],[Enrolment S.Y. 2025-2026 ]]*8</f>
        <v>4000</v>
      </c>
      <c r="K11" s="10">
        <v>200</v>
      </c>
      <c r="L11" s="8">
        <v>2025</v>
      </c>
      <c r="M11" s="10" t="s">
        <v>9</v>
      </c>
      <c r="N11" s="10">
        <f t="shared" si="8"/>
        <v>3800</v>
      </c>
      <c r="O11" s="10">
        <f t="shared" si="9"/>
        <v>0</v>
      </c>
      <c r="P11" s="10">
        <f>Table1[[#This Row],[Enrolment S.Y. 2025-2026 ]]*8</f>
        <v>4000</v>
      </c>
      <c r="Q11" s="10"/>
      <c r="R11" s="8"/>
      <c r="S11" s="10"/>
      <c r="T11" s="10">
        <f t="shared" si="10"/>
        <v>4000</v>
      </c>
      <c r="U11" s="10">
        <f t="shared" si="11"/>
        <v>0</v>
      </c>
      <c r="V11" s="10">
        <f>Table1[[#This Row],[Enrolment S.Y. 2025-2026 ]]*8</f>
        <v>4000</v>
      </c>
      <c r="W11" s="10">
        <v>250</v>
      </c>
      <c r="X11" s="8">
        <v>2026</v>
      </c>
      <c r="Y11" s="10" t="s">
        <v>9</v>
      </c>
      <c r="Z11" s="10">
        <f t="shared" si="12"/>
        <v>3750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W43:X50 D52:F67 H52:I67 N67:R67 W52:X67 P2:R2 W3:X11 N3:P66 T3:V67 J3:J67 K3:L11 D2:F11 K13:L21 K23:L31 K33:L41 K43:L50 K52:L67 Z3:AA67 V2:X2 Q52:R66 H3:I11 Q3:R11 D13:F21 H13:I21 Q13:R21 W13:X21 D23:F31 H23:I31 Q23:R31 W23:X31 D33:F41 H33:I41 Q33:R41 W33:X41 D43:F50 H43:I50 Q43:R50 J2:L2" name="LAS"/>
    <protectedRange sqref="S2:U2 M2:O2 Y2:AA2 G3:G11 G52:G67 M52:M67 S52:S67 Y52:Y67 Y3:Y50 M3:M50 S3:S50 G13:G21 G23:G31 G33:G41 G43:G50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X52:X67 X43:X50 F13:F21 F23:F31 F33:F41 F43:F50 F52:F67 X3:X11 L13:L21 L23:L31 L33:L41 L43:L50 L52:L67 R3:R11 R13:R21 R23:R31 R33:R41 R43:R50 R52:R67 F3:F11 X13:X21 X23:X31 X33:X41 L3:L11" xr:uid="{4ECCD083-8EC4-42EE-B46C-B614411F330D}">
      <formula1>"2024,2025,2026"</formula1>
    </dataValidation>
    <dataValidation type="list" allowBlank="1" showInputMessage="1" showErrorMessage="1" sqref="G3:G11 G43:G50 G13:G21 G23:G31 G33:G41 M3:M50 S3:S50 Y3:Y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81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82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83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84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81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82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83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84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81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82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83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84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81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82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83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84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2026-04-07T07:37:50Z</dcterms:modified>
  <cp:category/>
  <cp:contentStatus/>
</cp:coreProperties>
</file>