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Admin officer II\Admin Officer II\MUZON ES\CUSTODIAN\REPORT\"/>
    </mc:Choice>
  </mc:AlternateContent>
  <xr:revisionPtr revIDLastSave="11" documentId="11_68BF4031F603991C0665D4C296942238B57366DE" xr6:coauthVersionLast="47" xr6:coauthVersionMax="47" xr10:uidLastSave="{B62526BF-6984-4755-8BB4-5261D89E2125}"/>
  <bookViews>
    <workbookView xWindow="0" yWindow="0" windowWidth="28800" windowHeight="12330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H5" i="5"/>
  <c r="H6" i="5"/>
  <c r="H7" i="5"/>
  <c r="H8" i="5"/>
  <c r="H9" i="5"/>
  <c r="H10" i="5"/>
  <c r="H3" i="5"/>
  <c r="D25" i="5" l="1"/>
  <c r="H25" i="5" s="1"/>
  <c r="J25" i="5"/>
  <c r="D26" i="5"/>
  <c r="I26" i="5" s="1"/>
  <c r="H26" i="5"/>
  <c r="J26" i="5"/>
  <c r="D27" i="5"/>
  <c r="H27" i="5" s="1"/>
  <c r="J27" i="5"/>
  <c r="D28" i="5"/>
  <c r="I28" i="5" s="1"/>
  <c r="J28" i="5"/>
  <c r="D29" i="5"/>
  <c r="I29" i="5" s="1"/>
  <c r="H29" i="5"/>
  <c r="J29" i="5"/>
  <c r="D31" i="5"/>
  <c r="I31" i="5" s="1"/>
  <c r="J31" i="5"/>
  <c r="D32" i="5"/>
  <c r="H32" i="5" s="1"/>
  <c r="J32" i="5"/>
  <c r="D33" i="5"/>
  <c r="H33" i="5"/>
  <c r="I33" i="5"/>
  <c r="J33" i="5"/>
  <c r="D34" i="5"/>
  <c r="I34" i="5" s="1"/>
  <c r="J34" i="5"/>
  <c r="D35" i="5"/>
  <c r="I35" i="5" s="1"/>
  <c r="J35" i="5"/>
  <c r="D36" i="5"/>
  <c r="H36" i="5" s="1"/>
  <c r="J36" i="5"/>
  <c r="D37" i="5"/>
  <c r="H37" i="5" s="1"/>
  <c r="I37" i="5"/>
  <c r="J37" i="5"/>
  <c r="D38" i="5"/>
  <c r="I38" i="5" s="1"/>
  <c r="H38" i="5"/>
  <c r="J38" i="5"/>
  <c r="D39" i="5"/>
  <c r="I39" i="5" s="1"/>
  <c r="J39" i="5"/>
  <c r="D40" i="5"/>
  <c r="H40" i="5" s="1"/>
  <c r="J40" i="5"/>
  <c r="D41" i="5"/>
  <c r="H41" i="5" s="1"/>
  <c r="I41" i="5"/>
  <c r="J41" i="5"/>
  <c r="D43" i="5"/>
  <c r="I43" i="5" s="1"/>
  <c r="J43" i="5"/>
  <c r="D44" i="5"/>
  <c r="I44" i="5" s="1"/>
  <c r="H44" i="5"/>
  <c r="J44" i="5"/>
  <c r="D45" i="5"/>
  <c r="H45" i="5" s="1"/>
  <c r="J45" i="5"/>
  <c r="D46" i="5"/>
  <c r="I46" i="5" s="1"/>
  <c r="H46" i="5"/>
  <c r="J46" i="5"/>
  <c r="D47" i="5"/>
  <c r="I47" i="5" s="1"/>
  <c r="H47" i="5"/>
  <c r="J47" i="5"/>
  <c r="D48" i="5"/>
  <c r="I48" i="5" s="1"/>
  <c r="H48" i="5"/>
  <c r="J48" i="5"/>
  <c r="D49" i="5"/>
  <c r="H49" i="5" s="1"/>
  <c r="J49" i="5"/>
  <c r="D50" i="5"/>
  <c r="H50" i="5"/>
  <c r="I50" i="5"/>
  <c r="J50" i="5"/>
  <c r="D51" i="5"/>
  <c r="I51" i="5" s="1"/>
  <c r="H51" i="5"/>
  <c r="J51" i="5"/>
  <c r="D53" i="5"/>
  <c r="I53" i="5" s="1"/>
  <c r="H53" i="5"/>
  <c r="D54" i="5"/>
  <c r="H54" i="5" s="1"/>
  <c r="D55" i="5"/>
  <c r="H55" i="5" s="1"/>
  <c r="D56" i="5"/>
  <c r="I56" i="5" s="1"/>
  <c r="H56" i="5"/>
  <c r="D57" i="5"/>
  <c r="I57" i="5" s="1"/>
  <c r="H57" i="5"/>
  <c r="D58" i="5"/>
  <c r="H58" i="5" s="1"/>
  <c r="D59" i="5"/>
  <c r="H59" i="5"/>
  <c r="I59" i="5"/>
  <c r="D60" i="5"/>
  <c r="I60" i="5" s="1"/>
  <c r="H60" i="5"/>
  <c r="D61" i="5"/>
  <c r="I61" i="5" s="1"/>
  <c r="H61" i="5"/>
  <c r="D62" i="5"/>
  <c r="H62" i="5" s="1"/>
  <c r="D63" i="5"/>
  <c r="H63" i="5"/>
  <c r="I63" i="5"/>
  <c r="D65" i="5"/>
  <c r="I65" i="5" s="1"/>
  <c r="H65" i="5"/>
  <c r="J65" i="5"/>
  <c r="D66" i="5"/>
  <c r="I66" i="5" s="1"/>
  <c r="H66" i="5"/>
  <c r="J66" i="5"/>
  <c r="D67" i="5"/>
  <c r="H67" i="5" s="1"/>
  <c r="J67" i="5"/>
  <c r="D68" i="5"/>
  <c r="H68" i="5"/>
  <c r="I68" i="5"/>
  <c r="J68" i="5"/>
  <c r="D69" i="5"/>
  <c r="I69" i="5" s="1"/>
  <c r="H69" i="5"/>
  <c r="J69" i="5"/>
  <c r="D70" i="5"/>
  <c r="I70" i="5" s="1"/>
  <c r="H70" i="5"/>
  <c r="J70" i="5"/>
  <c r="D71" i="5"/>
  <c r="H71" i="5" s="1"/>
  <c r="J71" i="5"/>
  <c r="D72" i="5"/>
  <c r="H72" i="5"/>
  <c r="I72" i="5"/>
  <c r="J72" i="5"/>
  <c r="D73" i="5"/>
  <c r="I73" i="5" s="1"/>
  <c r="H73" i="5"/>
  <c r="J73" i="5"/>
  <c r="D75" i="5"/>
  <c r="I75" i="5" s="1"/>
  <c r="H75" i="5"/>
  <c r="J75" i="5"/>
  <c r="D76" i="5"/>
  <c r="H76" i="5" s="1"/>
  <c r="J76" i="5"/>
  <c r="D77" i="5"/>
  <c r="H77" i="5"/>
  <c r="I77" i="5"/>
  <c r="J77" i="5"/>
  <c r="D78" i="5"/>
  <c r="I78" i="5" s="1"/>
  <c r="H78" i="5"/>
  <c r="J78" i="5"/>
  <c r="D79" i="5"/>
  <c r="I79" i="5" s="1"/>
  <c r="H79" i="5"/>
  <c r="J79" i="5"/>
  <c r="D80" i="5"/>
  <c r="H80" i="5" s="1"/>
  <c r="J80" i="5"/>
  <c r="D81" i="5"/>
  <c r="H81" i="5"/>
  <c r="I81" i="5"/>
  <c r="J81" i="5"/>
  <c r="D82" i="5"/>
  <c r="I82" i="5" s="1"/>
  <c r="H82" i="5"/>
  <c r="J82" i="5"/>
  <c r="D83" i="5"/>
  <c r="I83" i="5" s="1"/>
  <c r="H83" i="5"/>
  <c r="J83" i="5"/>
  <c r="D107" i="5"/>
  <c r="H107" i="5" s="1"/>
  <c r="D109" i="5"/>
  <c r="H109" i="5"/>
  <c r="I109" i="5"/>
  <c r="J109" i="5"/>
  <c r="D110" i="5"/>
  <c r="I110" i="5" s="1"/>
  <c r="H110" i="5"/>
  <c r="J110" i="5"/>
  <c r="D111" i="5"/>
  <c r="I111" i="5" s="1"/>
  <c r="H111" i="5"/>
  <c r="J111" i="5"/>
  <c r="D112" i="5"/>
  <c r="H112" i="5" s="1"/>
  <c r="J112" i="5"/>
  <c r="D113" i="5"/>
  <c r="H113" i="5"/>
  <c r="I113" i="5"/>
  <c r="J113" i="5"/>
  <c r="D114" i="5"/>
  <c r="I114" i="5" s="1"/>
  <c r="H114" i="5"/>
  <c r="J114" i="5"/>
  <c r="D115" i="5"/>
  <c r="I115" i="5" s="1"/>
  <c r="H115" i="5"/>
  <c r="J115" i="5"/>
  <c r="D116" i="5"/>
  <c r="H116" i="5" s="1"/>
  <c r="J116" i="5"/>
  <c r="H43" i="5" l="1"/>
  <c r="H35" i="5"/>
  <c r="H34" i="5"/>
  <c r="H39" i="5"/>
  <c r="H31" i="5"/>
  <c r="H28" i="5"/>
  <c r="I55" i="5"/>
  <c r="I116" i="5"/>
  <c r="I112" i="5"/>
  <c r="I107" i="5"/>
  <c r="I80" i="5"/>
  <c r="I76" i="5"/>
  <c r="I71" i="5"/>
  <c r="I67" i="5"/>
  <c r="I62" i="5"/>
  <c r="I58" i="5"/>
  <c r="I54" i="5"/>
  <c r="I49" i="5"/>
  <c r="I45" i="5"/>
  <c r="I40" i="5"/>
  <c r="I36" i="5"/>
  <c r="I32" i="5"/>
  <c r="I27" i="5"/>
  <c r="I25" i="5"/>
  <c r="P104" i="5" l="1"/>
  <c r="P105" i="5"/>
  <c r="P106" i="5"/>
  <c r="T106" i="5" s="1"/>
  <c r="P107" i="5"/>
  <c r="U106" i="5"/>
  <c r="V106" i="5"/>
  <c r="Z106" i="5"/>
  <c r="AA106" i="5"/>
  <c r="T104" i="5"/>
  <c r="U104" i="5"/>
  <c r="V104" i="5"/>
  <c r="Z104" i="5" s="1"/>
  <c r="AA104" i="5"/>
  <c r="P92" i="5"/>
  <c r="T92" i="5" s="1"/>
  <c r="P93" i="5"/>
  <c r="P94" i="5"/>
  <c r="P95" i="5"/>
  <c r="V95" i="5"/>
  <c r="Z95" i="5"/>
  <c r="AA95" i="5"/>
  <c r="V92" i="5"/>
  <c r="Z92" i="5"/>
  <c r="AA92" i="5"/>
  <c r="AA61" i="5"/>
  <c r="Z61" i="5"/>
  <c r="Z62" i="5"/>
  <c r="AA62" i="5"/>
  <c r="V41" i="5"/>
  <c r="P41" i="5"/>
  <c r="V40" i="5"/>
  <c r="P40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V116" i="5"/>
  <c r="AA116" i="5" s="1"/>
  <c r="P116" i="5"/>
  <c r="O116" i="5"/>
  <c r="V115" i="5"/>
  <c r="Z115" i="5" s="1"/>
  <c r="P115" i="5"/>
  <c r="N115" i="5"/>
  <c r="V114" i="5"/>
  <c r="AA114" i="5" s="1"/>
  <c r="P114" i="5"/>
  <c r="U114" i="5" s="1"/>
  <c r="O114" i="5"/>
  <c r="V113" i="5"/>
  <c r="P113" i="5"/>
  <c r="N113" i="5"/>
  <c r="V112" i="5"/>
  <c r="AA112" i="5" s="1"/>
  <c r="P112" i="5"/>
  <c r="U112" i="5" s="1"/>
  <c r="O112" i="5"/>
  <c r="V111" i="5"/>
  <c r="P111" i="5"/>
  <c r="N111" i="5"/>
  <c r="V110" i="5"/>
  <c r="AA110" i="5" s="1"/>
  <c r="P110" i="5"/>
  <c r="U110" i="5" s="1"/>
  <c r="O110" i="5"/>
  <c r="V109" i="5"/>
  <c r="Z109" i="5" s="1"/>
  <c r="P109" i="5"/>
  <c r="N109" i="5"/>
  <c r="V107" i="5"/>
  <c r="AA107" i="5" s="1"/>
  <c r="U107" i="5"/>
  <c r="V105" i="5"/>
  <c r="V103" i="5"/>
  <c r="AA103" i="5" s="1"/>
  <c r="P103" i="5"/>
  <c r="U103" i="5" s="1"/>
  <c r="O103" i="5"/>
  <c r="V102" i="5"/>
  <c r="Z102" i="5" s="1"/>
  <c r="P102" i="5"/>
  <c r="N102" i="5"/>
  <c r="V101" i="5"/>
  <c r="AA101" i="5" s="1"/>
  <c r="P101" i="5"/>
  <c r="U101" i="5" s="1"/>
  <c r="O101" i="5"/>
  <c r="V100" i="5"/>
  <c r="Z100" i="5" s="1"/>
  <c r="P100" i="5"/>
  <c r="N100" i="5"/>
  <c r="V99" i="5"/>
  <c r="AA99" i="5" s="1"/>
  <c r="P99" i="5"/>
  <c r="U99" i="5" s="1"/>
  <c r="O99" i="5"/>
  <c r="V98" i="5"/>
  <c r="AA98" i="5" s="1"/>
  <c r="P98" i="5"/>
  <c r="N98" i="5"/>
  <c r="V97" i="5"/>
  <c r="AA97" i="5" s="1"/>
  <c r="P97" i="5"/>
  <c r="U97" i="5" s="1"/>
  <c r="O97" i="5"/>
  <c r="V94" i="5"/>
  <c r="AA94" i="5" s="1"/>
  <c r="V93" i="5"/>
  <c r="AA93" i="5" s="1"/>
  <c r="V91" i="5"/>
  <c r="AA91" i="5" s="1"/>
  <c r="P91" i="5"/>
  <c r="N91" i="5"/>
  <c r="V90" i="5"/>
  <c r="AA90" i="5" s="1"/>
  <c r="P90" i="5"/>
  <c r="U90" i="5" s="1"/>
  <c r="O90" i="5"/>
  <c r="V89" i="5"/>
  <c r="AA89" i="5" s="1"/>
  <c r="P89" i="5"/>
  <c r="N89" i="5"/>
  <c r="V88" i="5"/>
  <c r="AA88" i="5" s="1"/>
  <c r="P88" i="5"/>
  <c r="U88" i="5" s="1"/>
  <c r="O88" i="5"/>
  <c r="V87" i="5"/>
  <c r="AA87" i="5" s="1"/>
  <c r="P87" i="5"/>
  <c r="N87" i="5"/>
  <c r="V86" i="5"/>
  <c r="AA86" i="5" s="1"/>
  <c r="P86" i="5"/>
  <c r="O86" i="5"/>
  <c r="V85" i="5"/>
  <c r="AA85" i="5" s="1"/>
  <c r="P85" i="5"/>
  <c r="N85" i="5"/>
  <c r="V83" i="5"/>
  <c r="AA83" i="5" s="1"/>
  <c r="P83" i="5"/>
  <c r="U83" i="5" s="1"/>
  <c r="O83" i="5"/>
  <c r="V82" i="5"/>
  <c r="P82" i="5"/>
  <c r="V81" i="5"/>
  <c r="AA81" i="5" s="1"/>
  <c r="P81" i="5"/>
  <c r="U81" i="5" s="1"/>
  <c r="O81" i="5"/>
  <c r="V80" i="5"/>
  <c r="AA80" i="5" s="1"/>
  <c r="P80" i="5"/>
  <c r="N80" i="5"/>
  <c r="V79" i="5"/>
  <c r="AA79" i="5" s="1"/>
  <c r="P79" i="5"/>
  <c r="U79" i="5" s="1"/>
  <c r="O79" i="5"/>
  <c r="V78" i="5"/>
  <c r="P78" i="5"/>
  <c r="N78" i="5"/>
  <c r="V77" i="5"/>
  <c r="AA77" i="5" s="1"/>
  <c r="P77" i="5"/>
  <c r="U77" i="5" s="1"/>
  <c r="O77" i="5"/>
  <c r="V76" i="5"/>
  <c r="P76" i="5"/>
  <c r="U76" i="5" s="1"/>
  <c r="N76" i="5"/>
  <c r="V75" i="5"/>
  <c r="AA75" i="5" s="1"/>
  <c r="P75" i="5"/>
  <c r="U75" i="5" s="1"/>
  <c r="V73" i="5"/>
  <c r="P73" i="5"/>
  <c r="U73" i="5" s="1"/>
  <c r="N73" i="5"/>
  <c r="V72" i="5"/>
  <c r="AA72" i="5" s="1"/>
  <c r="P72" i="5"/>
  <c r="U72" i="5" s="1"/>
  <c r="V71" i="5"/>
  <c r="P71" i="5"/>
  <c r="N71" i="5"/>
  <c r="V70" i="5"/>
  <c r="Z70" i="5" s="1"/>
  <c r="P70" i="5"/>
  <c r="U70" i="5" s="1"/>
  <c r="V69" i="5"/>
  <c r="P69" i="5"/>
  <c r="N69" i="5"/>
  <c r="V68" i="5"/>
  <c r="AA68" i="5" s="1"/>
  <c r="P68" i="5"/>
  <c r="V67" i="5"/>
  <c r="P67" i="5"/>
  <c r="U67" i="5" s="1"/>
  <c r="V66" i="5"/>
  <c r="AA66" i="5" s="1"/>
  <c r="P66" i="5"/>
  <c r="U66" i="5" s="1"/>
  <c r="V65" i="5"/>
  <c r="AA65" i="5" s="1"/>
  <c r="P65" i="5"/>
  <c r="U65" i="5" s="1"/>
  <c r="N65" i="5"/>
  <c r="Z63" i="5"/>
  <c r="AA60" i="5"/>
  <c r="N60" i="5"/>
  <c r="AA59" i="5"/>
  <c r="N58" i="5"/>
  <c r="AA57" i="5"/>
  <c r="AA56" i="5"/>
  <c r="N56" i="5"/>
  <c r="AA55" i="5"/>
  <c r="AA54" i="5"/>
  <c r="N54" i="5"/>
  <c r="AA53" i="5"/>
  <c r="V51" i="5"/>
  <c r="AA51" i="5" s="1"/>
  <c r="P51" i="5"/>
  <c r="N51" i="5"/>
  <c r="V50" i="5"/>
  <c r="AA50" i="5" s="1"/>
  <c r="P50" i="5"/>
  <c r="U50" i="5" s="1"/>
  <c r="V49" i="5"/>
  <c r="AA49" i="5" s="1"/>
  <c r="P49" i="5"/>
  <c r="U49" i="5" s="1"/>
  <c r="N49" i="5"/>
  <c r="V48" i="5"/>
  <c r="AA48" i="5" s="1"/>
  <c r="P48" i="5"/>
  <c r="U48" i="5" s="1"/>
  <c r="V47" i="5"/>
  <c r="P47" i="5"/>
  <c r="U47" i="5" s="1"/>
  <c r="N47" i="5"/>
  <c r="V46" i="5"/>
  <c r="P46" i="5"/>
  <c r="U46" i="5" s="1"/>
  <c r="V45" i="5"/>
  <c r="AA45" i="5" s="1"/>
  <c r="P45" i="5"/>
  <c r="U45" i="5" s="1"/>
  <c r="N45" i="5"/>
  <c r="V44" i="5"/>
  <c r="AA44" i="5" s="1"/>
  <c r="P44" i="5"/>
  <c r="U44" i="5" s="1"/>
  <c r="V43" i="5"/>
  <c r="AA43" i="5" s="1"/>
  <c r="P43" i="5"/>
  <c r="U43" i="5" s="1"/>
  <c r="V39" i="5"/>
  <c r="AA39" i="5" s="1"/>
  <c r="P39" i="5"/>
  <c r="U39" i="5" s="1"/>
  <c r="V38" i="5"/>
  <c r="AA38" i="5" s="1"/>
  <c r="P38" i="5"/>
  <c r="N38" i="5"/>
  <c r="V37" i="5"/>
  <c r="AA37" i="5" s="1"/>
  <c r="P37" i="5"/>
  <c r="U37" i="5" s="1"/>
  <c r="V36" i="5"/>
  <c r="P36" i="5"/>
  <c r="U36" i="5" s="1"/>
  <c r="N36" i="5"/>
  <c r="V35" i="5"/>
  <c r="AA35" i="5" s="1"/>
  <c r="P35" i="5"/>
  <c r="U35" i="5" s="1"/>
  <c r="V34" i="5"/>
  <c r="P34" i="5"/>
  <c r="U34" i="5" s="1"/>
  <c r="V33" i="5"/>
  <c r="P33" i="5"/>
  <c r="U33" i="5" s="1"/>
  <c r="V32" i="5"/>
  <c r="P32" i="5"/>
  <c r="U32" i="5" s="1"/>
  <c r="V31" i="5"/>
  <c r="AA31" i="5" s="1"/>
  <c r="P31" i="5"/>
  <c r="U31" i="5" s="1"/>
  <c r="V29" i="5"/>
  <c r="P29" i="5"/>
  <c r="U29" i="5" s="1"/>
  <c r="O29" i="5"/>
  <c r="V28" i="5"/>
  <c r="AA28" i="5" s="1"/>
  <c r="P28" i="5"/>
  <c r="V27" i="5"/>
  <c r="Z27" i="5" s="1"/>
  <c r="P27" i="5"/>
  <c r="U27" i="5" s="1"/>
  <c r="V26" i="5"/>
  <c r="AA26" i="5" s="1"/>
  <c r="P26" i="5"/>
  <c r="U26" i="5" s="1"/>
  <c r="N26" i="5"/>
  <c r="V25" i="5"/>
  <c r="AA25" i="5" s="1"/>
  <c r="P25" i="5"/>
  <c r="U25" i="5" s="1"/>
  <c r="O25" i="5"/>
  <c r="V24" i="5"/>
  <c r="AA24" i="5" s="1"/>
  <c r="P24" i="5"/>
  <c r="U24" i="5" s="1"/>
  <c r="N24" i="5"/>
  <c r="V23" i="5"/>
  <c r="AA23" i="5" s="1"/>
  <c r="P23" i="5"/>
  <c r="U23" i="5" s="1"/>
  <c r="O23" i="5"/>
  <c r="V22" i="5"/>
  <c r="AA22" i="5" s="1"/>
  <c r="P22" i="5"/>
  <c r="N22" i="5"/>
  <c r="V21" i="5"/>
  <c r="AA21" i="5" s="1"/>
  <c r="P21" i="5"/>
  <c r="U21" i="5" s="1"/>
  <c r="O21" i="5"/>
  <c r="V19" i="5"/>
  <c r="AA19" i="5" s="1"/>
  <c r="P19" i="5"/>
  <c r="N19" i="5"/>
  <c r="V18" i="5"/>
  <c r="AA18" i="5" s="1"/>
  <c r="P18" i="5"/>
  <c r="U18" i="5" s="1"/>
  <c r="O18" i="5"/>
  <c r="V17" i="5"/>
  <c r="AA17" i="5" s="1"/>
  <c r="P17" i="5"/>
  <c r="U17" i="5" s="1"/>
  <c r="N17" i="5"/>
  <c r="V16" i="5"/>
  <c r="AA16" i="5" s="1"/>
  <c r="P16" i="5"/>
  <c r="U16" i="5" s="1"/>
  <c r="O16" i="5"/>
  <c r="V15" i="5"/>
  <c r="AA15" i="5" s="1"/>
  <c r="P15" i="5"/>
  <c r="U15" i="5" s="1"/>
  <c r="N15" i="5"/>
  <c r="V14" i="5"/>
  <c r="AA14" i="5" s="1"/>
  <c r="P14" i="5"/>
  <c r="U14" i="5" s="1"/>
  <c r="O14" i="5"/>
  <c r="V13" i="5"/>
  <c r="AA13" i="5" s="1"/>
  <c r="P13" i="5"/>
  <c r="U13" i="5" s="1"/>
  <c r="V12" i="5"/>
  <c r="AA12" i="5" s="1"/>
  <c r="P12" i="5"/>
  <c r="U12" i="5" s="1"/>
  <c r="O12" i="5"/>
  <c r="V10" i="5"/>
  <c r="AA10" i="5" s="1"/>
  <c r="P10" i="5"/>
  <c r="U10" i="5" s="1"/>
  <c r="N10" i="5"/>
  <c r="V9" i="5"/>
  <c r="AA9" i="5" s="1"/>
  <c r="P9" i="5"/>
  <c r="U9" i="5" s="1"/>
  <c r="V8" i="5"/>
  <c r="AA8" i="5" s="1"/>
  <c r="P8" i="5"/>
  <c r="U8" i="5" s="1"/>
  <c r="N8" i="5"/>
  <c r="V7" i="5"/>
  <c r="AA7" i="5" s="1"/>
  <c r="P7" i="5"/>
  <c r="U7" i="5" s="1"/>
  <c r="O7" i="5"/>
  <c r="V6" i="5"/>
  <c r="AA6" i="5" s="1"/>
  <c r="P6" i="5"/>
  <c r="U6" i="5" s="1"/>
  <c r="N6" i="5"/>
  <c r="V5" i="5"/>
  <c r="AA5" i="5" s="1"/>
  <c r="P5" i="5"/>
  <c r="U5" i="5" s="1"/>
  <c r="O5" i="5"/>
  <c r="V4" i="5"/>
  <c r="AA4" i="5" s="1"/>
  <c r="P4" i="5"/>
  <c r="U4" i="5" s="1"/>
  <c r="N4" i="5"/>
  <c r="V3" i="5"/>
  <c r="AA3" i="5" s="1"/>
  <c r="P3" i="5"/>
  <c r="U3" i="5" s="1"/>
  <c r="O3" i="5"/>
  <c r="V61" i="4"/>
  <c r="V62" i="4"/>
  <c r="V63" i="4"/>
  <c r="V64" i="4"/>
  <c r="V65" i="4"/>
  <c r="V66" i="4"/>
  <c r="V67" i="4"/>
  <c r="V68" i="4"/>
  <c r="V69" i="4"/>
  <c r="V71" i="4"/>
  <c r="V72" i="4"/>
  <c r="V73" i="4"/>
  <c r="V74" i="4"/>
  <c r="V75" i="4"/>
  <c r="V76" i="4"/>
  <c r="V77" i="4"/>
  <c r="V78" i="4"/>
  <c r="V79" i="4"/>
  <c r="V81" i="4"/>
  <c r="V82" i="4"/>
  <c r="V83" i="4"/>
  <c r="V84" i="4"/>
  <c r="V85" i="4"/>
  <c r="V86" i="4"/>
  <c r="V87" i="4"/>
  <c r="V88" i="4"/>
  <c r="V89" i="4"/>
  <c r="V91" i="4"/>
  <c r="V92" i="4"/>
  <c r="V93" i="4"/>
  <c r="V94" i="4"/>
  <c r="V95" i="4"/>
  <c r="V96" i="4"/>
  <c r="V97" i="4"/>
  <c r="V98" i="4"/>
  <c r="V99" i="4"/>
  <c r="V101" i="4"/>
  <c r="V102" i="4"/>
  <c r="V103" i="4"/>
  <c r="V104" i="4"/>
  <c r="V105" i="4"/>
  <c r="V106" i="4"/>
  <c r="V107" i="4"/>
  <c r="V108" i="4"/>
  <c r="P61" i="4"/>
  <c r="P62" i="4"/>
  <c r="P63" i="4"/>
  <c r="P64" i="4"/>
  <c r="P65" i="4"/>
  <c r="P66" i="4"/>
  <c r="P67" i="4"/>
  <c r="P68" i="4"/>
  <c r="P69" i="4"/>
  <c r="P71" i="4"/>
  <c r="P72" i="4"/>
  <c r="P73" i="4"/>
  <c r="P74" i="4"/>
  <c r="P75" i="4"/>
  <c r="P76" i="4"/>
  <c r="P77" i="4"/>
  <c r="P78" i="4"/>
  <c r="P79" i="4"/>
  <c r="P81" i="4"/>
  <c r="P82" i="4"/>
  <c r="P83" i="4"/>
  <c r="P84" i="4"/>
  <c r="P85" i="4"/>
  <c r="P86" i="4"/>
  <c r="P87" i="4"/>
  <c r="P88" i="4"/>
  <c r="P89" i="4"/>
  <c r="P91" i="4"/>
  <c r="P92" i="4"/>
  <c r="P93" i="4"/>
  <c r="P94" i="4"/>
  <c r="P95" i="4"/>
  <c r="P96" i="4"/>
  <c r="P97" i="4"/>
  <c r="P98" i="4"/>
  <c r="P99" i="4"/>
  <c r="P101" i="4"/>
  <c r="P102" i="4"/>
  <c r="P103" i="4"/>
  <c r="P104" i="4"/>
  <c r="P105" i="4"/>
  <c r="P106" i="4"/>
  <c r="P107" i="4"/>
  <c r="P108" i="4"/>
  <c r="H29" i="4"/>
  <c r="H19" i="4"/>
  <c r="H10" i="4"/>
  <c r="H27" i="4"/>
  <c r="H28" i="4"/>
  <c r="H17" i="4"/>
  <c r="H8" i="4"/>
  <c r="H9" i="4"/>
  <c r="H18" i="4"/>
  <c r="AA3" i="4"/>
  <c r="T3" i="4"/>
  <c r="I4" i="4"/>
  <c r="I5" i="4"/>
  <c r="I6" i="4"/>
  <c r="I7" i="4"/>
  <c r="I13" i="4"/>
  <c r="I14" i="4"/>
  <c r="I15" i="4"/>
  <c r="I16" i="4"/>
  <c r="H21" i="4"/>
  <c r="H22" i="4"/>
  <c r="I25" i="4"/>
  <c r="I26" i="4"/>
  <c r="H31" i="4"/>
  <c r="H32" i="4"/>
  <c r="H33" i="4"/>
  <c r="H34" i="4"/>
  <c r="I37" i="4"/>
  <c r="I38" i="4"/>
  <c r="I39" i="4"/>
  <c r="I41" i="4"/>
  <c r="H42" i="4"/>
  <c r="H43" i="4"/>
  <c r="I46" i="4"/>
  <c r="I47" i="4"/>
  <c r="H48" i="4"/>
  <c r="H49" i="4"/>
  <c r="H51" i="4"/>
  <c r="H52" i="4"/>
  <c r="H53" i="4"/>
  <c r="I56" i="4"/>
  <c r="I57" i="4"/>
  <c r="I58" i="4"/>
  <c r="I59" i="4"/>
  <c r="D61" i="4"/>
  <c r="H61" i="4" s="1"/>
  <c r="D62" i="4"/>
  <c r="H62" i="4" s="1"/>
  <c r="D63" i="4"/>
  <c r="D64" i="4"/>
  <c r="D65" i="4"/>
  <c r="I65" i="4" s="1"/>
  <c r="D66" i="4"/>
  <c r="I66" i="4" s="1"/>
  <c r="D67" i="4"/>
  <c r="H67" i="4" s="1"/>
  <c r="D68" i="4"/>
  <c r="H68" i="4" s="1"/>
  <c r="D69" i="4"/>
  <c r="H69" i="4" s="1"/>
  <c r="H71" i="4"/>
  <c r="I74" i="4"/>
  <c r="I75" i="4"/>
  <c r="I76" i="4"/>
  <c r="I77" i="4"/>
  <c r="H78" i="4"/>
  <c r="H79" i="4"/>
  <c r="D81" i="4"/>
  <c r="D82" i="4"/>
  <c r="D83" i="4"/>
  <c r="I83" i="4" s="1"/>
  <c r="D84" i="4"/>
  <c r="I84" i="4" s="1"/>
  <c r="D85" i="4"/>
  <c r="H85" i="4" s="1"/>
  <c r="D86" i="4"/>
  <c r="H86" i="4" s="1"/>
  <c r="D87" i="4"/>
  <c r="H87" i="4" s="1"/>
  <c r="D88" i="4"/>
  <c r="H88" i="4" s="1"/>
  <c r="D89" i="4"/>
  <c r="I89" i="4" s="1"/>
  <c r="D91" i="4"/>
  <c r="D92" i="4"/>
  <c r="I92" i="4" s="1"/>
  <c r="D93" i="4"/>
  <c r="I93" i="4" s="1"/>
  <c r="D94" i="4"/>
  <c r="I94" i="4" s="1"/>
  <c r="D95" i="4"/>
  <c r="I95" i="4" s="1"/>
  <c r="D96" i="4"/>
  <c r="I96" i="4" s="1"/>
  <c r="D97" i="4"/>
  <c r="H97" i="4" s="1"/>
  <c r="D98" i="4"/>
  <c r="I98" i="4" s="1"/>
  <c r="D99" i="4"/>
  <c r="I99" i="4" s="1"/>
  <c r="D101" i="4"/>
  <c r="I101" i="4" s="1"/>
  <c r="D102" i="4"/>
  <c r="I102" i="4" s="1"/>
  <c r="D103" i="4"/>
  <c r="H103" i="4" s="1"/>
  <c r="D104" i="4"/>
  <c r="H104" i="4" s="1"/>
  <c r="D105" i="4"/>
  <c r="I105" i="4" s="1"/>
  <c r="D106" i="4"/>
  <c r="H106" i="4" s="1"/>
  <c r="D107" i="4"/>
  <c r="I107" i="4" s="1"/>
  <c r="D108" i="4"/>
  <c r="I108" i="4" s="1"/>
  <c r="I3" i="4"/>
  <c r="G5" i="1"/>
  <c r="H5" i="1"/>
  <c r="G6" i="1"/>
  <c r="H6" i="1"/>
  <c r="G2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U92" i="5" l="1"/>
  <c r="I29" i="4"/>
  <c r="N105" i="5"/>
  <c r="O105" i="5"/>
  <c r="N107" i="5"/>
  <c r="O107" i="5"/>
  <c r="N104" i="5"/>
  <c r="O104" i="5"/>
  <c r="N106" i="5"/>
  <c r="O106" i="5"/>
  <c r="N93" i="5"/>
  <c r="O93" i="5"/>
  <c r="N94" i="5"/>
  <c r="O94" i="5"/>
  <c r="N92" i="5"/>
  <c r="O92" i="5"/>
  <c r="N95" i="5"/>
  <c r="O95" i="5"/>
  <c r="T93" i="5"/>
  <c r="U93" i="5"/>
  <c r="T94" i="5"/>
  <c r="U94" i="5"/>
  <c r="T95" i="5"/>
  <c r="U95" i="5"/>
  <c r="N62" i="5"/>
  <c r="O62" i="5"/>
  <c r="N61" i="5"/>
  <c r="O61" i="5"/>
  <c r="N41" i="5"/>
  <c r="O41" i="5"/>
  <c r="T41" i="5"/>
  <c r="U41" i="5"/>
  <c r="Z41" i="5"/>
  <c r="AA41" i="5"/>
  <c r="N40" i="5"/>
  <c r="O40" i="5"/>
  <c r="T40" i="5"/>
  <c r="U40" i="5"/>
  <c r="Z40" i="5"/>
  <c r="AA40" i="5"/>
  <c r="O9" i="5"/>
  <c r="N9" i="5"/>
  <c r="N13" i="5"/>
  <c r="O13" i="5"/>
  <c r="T19" i="5"/>
  <c r="U19" i="5"/>
  <c r="U22" i="5"/>
  <c r="T22" i="5"/>
  <c r="O27" i="5"/>
  <c r="N27" i="5"/>
  <c r="U28" i="5"/>
  <c r="T28" i="5"/>
  <c r="AA29" i="5"/>
  <c r="Z29" i="5"/>
  <c r="N32" i="5"/>
  <c r="O32" i="5"/>
  <c r="Z32" i="5"/>
  <c r="AA32" i="5"/>
  <c r="Z33" i="5"/>
  <c r="AA33" i="5"/>
  <c r="N34" i="5"/>
  <c r="O34" i="5"/>
  <c r="Z34" i="5"/>
  <c r="AA34" i="5"/>
  <c r="Z36" i="5"/>
  <c r="AA36" i="5"/>
  <c r="U38" i="5"/>
  <c r="T38" i="5"/>
  <c r="N43" i="5"/>
  <c r="O43" i="5"/>
  <c r="AA46" i="5"/>
  <c r="Z46" i="5"/>
  <c r="AA47" i="5"/>
  <c r="Z47" i="5"/>
  <c r="U51" i="5"/>
  <c r="T51" i="5"/>
  <c r="AA58" i="5"/>
  <c r="Z58" i="5"/>
  <c r="N67" i="5"/>
  <c r="O67" i="5"/>
  <c r="AA67" i="5"/>
  <c r="Z67" i="5"/>
  <c r="U68" i="5"/>
  <c r="T68" i="5"/>
  <c r="U69" i="5"/>
  <c r="T69" i="5"/>
  <c r="AA69" i="5"/>
  <c r="Z69" i="5"/>
  <c r="U71" i="5"/>
  <c r="T71" i="5"/>
  <c r="Z71" i="5"/>
  <c r="AA71" i="5"/>
  <c r="AA73" i="5"/>
  <c r="Z73" i="5"/>
  <c r="AA76" i="5"/>
  <c r="Z76" i="5"/>
  <c r="Z78" i="5"/>
  <c r="AA78" i="5"/>
  <c r="N82" i="5"/>
  <c r="O82" i="5"/>
  <c r="AA82" i="5"/>
  <c r="Z82" i="5"/>
  <c r="U86" i="5"/>
  <c r="T86" i="5"/>
  <c r="Z105" i="5"/>
  <c r="AA105" i="5"/>
  <c r="Z111" i="5"/>
  <c r="AA111" i="5"/>
  <c r="Z113" i="5"/>
  <c r="AA113" i="5"/>
  <c r="T116" i="5"/>
  <c r="U116" i="5"/>
  <c r="N108" i="4"/>
  <c r="O108" i="4"/>
  <c r="N107" i="4"/>
  <c r="O107" i="4"/>
  <c r="N106" i="4"/>
  <c r="O106" i="4"/>
  <c r="N105" i="4"/>
  <c r="O105" i="4"/>
  <c r="N104" i="4"/>
  <c r="O104" i="4"/>
  <c r="N103" i="4"/>
  <c r="O103" i="4"/>
  <c r="N102" i="4"/>
  <c r="O102" i="4"/>
  <c r="N101" i="4"/>
  <c r="O101" i="4"/>
  <c r="N99" i="4"/>
  <c r="O99" i="4"/>
  <c r="N98" i="4"/>
  <c r="O98" i="4"/>
  <c r="N97" i="4"/>
  <c r="O97" i="4"/>
  <c r="N96" i="4"/>
  <c r="O96" i="4"/>
  <c r="N95" i="4"/>
  <c r="O95" i="4"/>
  <c r="N94" i="4"/>
  <c r="O94" i="4"/>
  <c r="N93" i="4"/>
  <c r="O93" i="4"/>
  <c r="N92" i="4"/>
  <c r="O92" i="4"/>
  <c r="N91" i="4"/>
  <c r="O91" i="4"/>
  <c r="N89" i="4"/>
  <c r="O89" i="4"/>
  <c r="N88" i="4"/>
  <c r="O88" i="4"/>
  <c r="N87" i="4"/>
  <c r="O87" i="4"/>
  <c r="N86" i="4"/>
  <c r="O86" i="4"/>
  <c r="N85" i="4"/>
  <c r="O85" i="4"/>
  <c r="N84" i="4"/>
  <c r="O84" i="4"/>
  <c r="N83" i="4"/>
  <c r="O83" i="4"/>
  <c r="N82" i="4"/>
  <c r="O82" i="4"/>
  <c r="N81" i="4"/>
  <c r="O81" i="4"/>
  <c r="N79" i="4"/>
  <c r="O79" i="4"/>
  <c r="N78" i="4"/>
  <c r="O78" i="4"/>
  <c r="N77" i="4"/>
  <c r="O77" i="4"/>
  <c r="N76" i="4"/>
  <c r="O76" i="4"/>
  <c r="N75" i="4"/>
  <c r="O75" i="4"/>
  <c r="N74" i="4"/>
  <c r="O74" i="4"/>
  <c r="N73" i="4"/>
  <c r="O73" i="4"/>
  <c r="N72" i="4"/>
  <c r="O72" i="4"/>
  <c r="N71" i="4"/>
  <c r="O71" i="4"/>
  <c r="N69" i="4"/>
  <c r="O69" i="4"/>
  <c r="N68" i="4"/>
  <c r="O68" i="4"/>
  <c r="N67" i="4"/>
  <c r="O67" i="4"/>
  <c r="N66" i="4"/>
  <c r="O66" i="4"/>
  <c r="N65" i="4"/>
  <c r="O65" i="4"/>
  <c r="N64" i="4"/>
  <c r="O64" i="4"/>
  <c r="N63" i="4"/>
  <c r="O63" i="4"/>
  <c r="N62" i="4"/>
  <c r="O62" i="4"/>
  <c r="N61" i="4"/>
  <c r="O61" i="4"/>
  <c r="N59" i="4"/>
  <c r="O59" i="4"/>
  <c r="N58" i="4"/>
  <c r="O58" i="4"/>
  <c r="N57" i="4"/>
  <c r="O57" i="4"/>
  <c r="N56" i="4"/>
  <c r="O56" i="4"/>
  <c r="N55" i="4"/>
  <c r="O55" i="4"/>
  <c r="N54" i="4"/>
  <c r="O54" i="4"/>
  <c r="N53" i="4"/>
  <c r="O53" i="4"/>
  <c r="N52" i="4"/>
  <c r="O52" i="4"/>
  <c r="N51" i="4"/>
  <c r="O51" i="4"/>
  <c r="N49" i="4"/>
  <c r="O49" i="4"/>
  <c r="N48" i="4"/>
  <c r="O48" i="4"/>
  <c r="N47" i="4"/>
  <c r="O47" i="4"/>
  <c r="N46" i="4"/>
  <c r="O46" i="4"/>
  <c r="N45" i="4"/>
  <c r="O45" i="4"/>
  <c r="N44" i="4"/>
  <c r="O44" i="4"/>
  <c r="N43" i="4"/>
  <c r="O43" i="4"/>
  <c r="N42" i="4"/>
  <c r="O42" i="4"/>
  <c r="N41" i="4"/>
  <c r="O41" i="4"/>
  <c r="N39" i="4"/>
  <c r="O39" i="4"/>
  <c r="N38" i="4"/>
  <c r="O38" i="4"/>
  <c r="N37" i="4"/>
  <c r="O37" i="4"/>
  <c r="N36" i="4"/>
  <c r="O36" i="4"/>
  <c r="N35" i="4"/>
  <c r="O35" i="4"/>
  <c r="N34" i="4"/>
  <c r="O34" i="4"/>
  <c r="N33" i="4"/>
  <c r="O33" i="4"/>
  <c r="N32" i="4"/>
  <c r="O32" i="4"/>
  <c r="N31" i="4"/>
  <c r="O31" i="4"/>
  <c r="N29" i="4"/>
  <c r="O29" i="4"/>
  <c r="N28" i="4"/>
  <c r="O28" i="4"/>
  <c r="N27" i="4"/>
  <c r="O27" i="4"/>
  <c r="N26" i="4"/>
  <c r="O26" i="4"/>
  <c r="N25" i="4"/>
  <c r="O25" i="4"/>
  <c r="N24" i="4"/>
  <c r="O24" i="4"/>
  <c r="N23" i="4"/>
  <c r="O23" i="4"/>
  <c r="N22" i="4"/>
  <c r="O22" i="4"/>
  <c r="N21" i="4"/>
  <c r="O21" i="4"/>
  <c r="N19" i="4"/>
  <c r="O19" i="4"/>
  <c r="N18" i="4"/>
  <c r="O18" i="4"/>
  <c r="N17" i="4"/>
  <c r="O17" i="4"/>
  <c r="N16" i="4"/>
  <c r="O16" i="4"/>
  <c r="N15" i="4"/>
  <c r="O15" i="4"/>
  <c r="N14" i="4"/>
  <c r="O14" i="4"/>
  <c r="N13" i="4"/>
  <c r="O13" i="4"/>
  <c r="N12" i="4"/>
  <c r="O12" i="4"/>
  <c r="N10" i="4"/>
  <c r="O10" i="4"/>
  <c r="N9" i="4"/>
  <c r="O9" i="4"/>
  <c r="N8" i="4"/>
  <c r="O8" i="4"/>
  <c r="N7" i="4"/>
  <c r="O7" i="4"/>
  <c r="N6" i="4"/>
  <c r="O6" i="4"/>
  <c r="N5" i="4"/>
  <c r="O5" i="4"/>
  <c r="N4" i="4"/>
  <c r="O4" i="4"/>
  <c r="T108" i="4"/>
  <c r="U108" i="4"/>
  <c r="T107" i="4"/>
  <c r="U107" i="4"/>
  <c r="T106" i="4"/>
  <c r="U106" i="4"/>
  <c r="T105" i="4"/>
  <c r="U105" i="4"/>
  <c r="T104" i="4"/>
  <c r="U104" i="4"/>
  <c r="T103" i="4"/>
  <c r="U103" i="4"/>
  <c r="T102" i="4"/>
  <c r="U102" i="4"/>
  <c r="T101" i="4"/>
  <c r="U101" i="4"/>
  <c r="T99" i="4"/>
  <c r="U99" i="4"/>
  <c r="T98" i="4"/>
  <c r="U98" i="4"/>
  <c r="T97" i="4"/>
  <c r="U97" i="4"/>
  <c r="T96" i="4"/>
  <c r="U96" i="4"/>
  <c r="T95" i="4"/>
  <c r="U95" i="4"/>
  <c r="T94" i="4"/>
  <c r="U94" i="4"/>
  <c r="T93" i="4"/>
  <c r="U93" i="4"/>
  <c r="T92" i="4"/>
  <c r="U92" i="4"/>
  <c r="T91" i="4"/>
  <c r="U91" i="4"/>
  <c r="T89" i="4"/>
  <c r="U89" i="4"/>
  <c r="T88" i="4"/>
  <c r="U88" i="4"/>
  <c r="T87" i="4"/>
  <c r="U87" i="4"/>
  <c r="T86" i="4"/>
  <c r="U86" i="4"/>
  <c r="T85" i="4"/>
  <c r="U85" i="4"/>
  <c r="T84" i="4"/>
  <c r="U84" i="4"/>
  <c r="T83" i="4"/>
  <c r="U83" i="4"/>
  <c r="T82" i="4"/>
  <c r="U82" i="4"/>
  <c r="T81" i="4"/>
  <c r="U81" i="4"/>
  <c r="T79" i="4"/>
  <c r="U79" i="4"/>
  <c r="T78" i="4"/>
  <c r="U78" i="4"/>
  <c r="T77" i="4"/>
  <c r="U77" i="4"/>
  <c r="T76" i="4"/>
  <c r="U76" i="4"/>
  <c r="T75" i="4"/>
  <c r="U75" i="4"/>
  <c r="T74" i="4"/>
  <c r="U74" i="4"/>
  <c r="T73" i="4"/>
  <c r="U73" i="4"/>
  <c r="T72" i="4"/>
  <c r="U72" i="4"/>
  <c r="T71" i="4"/>
  <c r="U71" i="4"/>
  <c r="T69" i="4"/>
  <c r="U69" i="4"/>
  <c r="T68" i="4"/>
  <c r="U68" i="4"/>
  <c r="T67" i="4"/>
  <c r="U67" i="4"/>
  <c r="T66" i="4"/>
  <c r="U66" i="4"/>
  <c r="T65" i="4"/>
  <c r="U65" i="4"/>
  <c r="T64" i="4"/>
  <c r="U64" i="4"/>
  <c r="T63" i="4"/>
  <c r="U63" i="4"/>
  <c r="T62" i="4"/>
  <c r="U62" i="4"/>
  <c r="T61" i="4"/>
  <c r="U61" i="4"/>
  <c r="T59" i="4"/>
  <c r="U59" i="4"/>
  <c r="T58" i="4"/>
  <c r="U58" i="4"/>
  <c r="T57" i="4"/>
  <c r="U57" i="4"/>
  <c r="T56" i="4"/>
  <c r="U56" i="4"/>
  <c r="T55" i="4"/>
  <c r="U55" i="4"/>
  <c r="T54" i="4"/>
  <c r="U54" i="4"/>
  <c r="T53" i="4"/>
  <c r="U53" i="4"/>
  <c r="T52" i="4"/>
  <c r="U52" i="4"/>
  <c r="T51" i="4"/>
  <c r="U51" i="4"/>
  <c r="T49" i="4"/>
  <c r="U49" i="4"/>
  <c r="T48" i="4"/>
  <c r="U48" i="4"/>
  <c r="T47" i="4"/>
  <c r="U47" i="4"/>
  <c r="T46" i="4"/>
  <c r="U46" i="4"/>
  <c r="T45" i="4"/>
  <c r="U45" i="4"/>
  <c r="T44" i="4"/>
  <c r="U44" i="4"/>
  <c r="T43" i="4"/>
  <c r="U43" i="4"/>
  <c r="T42" i="4"/>
  <c r="U42" i="4"/>
  <c r="T41" i="4"/>
  <c r="U41" i="4"/>
  <c r="T39" i="4"/>
  <c r="U39" i="4"/>
  <c r="T38" i="4"/>
  <c r="U38" i="4"/>
  <c r="T37" i="4"/>
  <c r="U37" i="4"/>
  <c r="T36" i="4"/>
  <c r="U36" i="4"/>
  <c r="T35" i="4"/>
  <c r="U35" i="4"/>
  <c r="T34" i="4"/>
  <c r="U34" i="4"/>
  <c r="T33" i="4"/>
  <c r="U33" i="4"/>
  <c r="T32" i="4"/>
  <c r="U32" i="4"/>
  <c r="T31" i="4"/>
  <c r="U31" i="4"/>
  <c r="T29" i="4"/>
  <c r="U29" i="4"/>
  <c r="T28" i="4"/>
  <c r="U28" i="4"/>
  <c r="T27" i="4"/>
  <c r="U27" i="4"/>
  <c r="T26" i="4"/>
  <c r="U26" i="4"/>
  <c r="T25" i="4"/>
  <c r="U25" i="4"/>
  <c r="T24" i="4"/>
  <c r="U24" i="4"/>
  <c r="T23" i="4"/>
  <c r="U23" i="4"/>
  <c r="T22" i="4"/>
  <c r="U22" i="4"/>
  <c r="T21" i="4"/>
  <c r="U21" i="4"/>
  <c r="T19" i="4"/>
  <c r="U19" i="4"/>
  <c r="T18" i="4"/>
  <c r="U18" i="4"/>
  <c r="T17" i="4"/>
  <c r="U17" i="4"/>
  <c r="T16" i="4"/>
  <c r="U16" i="4"/>
  <c r="T15" i="4"/>
  <c r="U15" i="4"/>
  <c r="T14" i="4"/>
  <c r="U14" i="4"/>
  <c r="T13" i="4"/>
  <c r="U13" i="4"/>
  <c r="T12" i="4"/>
  <c r="U12" i="4"/>
  <c r="T10" i="4"/>
  <c r="U10" i="4"/>
  <c r="T9" i="4"/>
  <c r="U9" i="4"/>
  <c r="T8" i="4"/>
  <c r="U8" i="4"/>
  <c r="T7" i="4"/>
  <c r="U7" i="4"/>
  <c r="T6" i="4"/>
  <c r="U6" i="4"/>
  <c r="T5" i="4"/>
  <c r="U5" i="4"/>
  <c r="T4" i="4"/>
  <c r="U4" i="4"/>
  <c r="Z108" i="4"/>
  <c r="AA108" i="4"/>
  <c r="Z107" i="4"/>
  <c r="AA107" i="4"/>
  <c r="Z106" i="4"/>
  <c r="AA106" i="4"/>
  <c r="Z105" i="4"/>
  <c r="AA105" i="4"/>
  <c r="Z104" i="4"/>
  <c r="AA104" i="4"/>
  <c r="Z103" i="4"/>
  <c r="AA103" i="4"/>
  <c r="Z102" i="4"/>
  <c r="AA102" i="4"/>
  <c r="Z101" i="4"/>
  <c r="AA101" i="4"/>
  <c r="Z99" i="4"/>
  <c r="AA99" i="4"/>
  <c r="Z98" i="4"/>
  <c r="AA98" i="4"/>
  <c r="Z97" i="4"/>
  <c r="AA97" i="4"/>
  <c r="Z96" i="4"/>
  <c r="AA96" i="4"/>
  <c r="Z95" i="4"/>
  <c r="AA95" i="4"/>
  <c r="Z94" i="4"/>
  <c r="AA94" i="4"/>
  <c r="Z93" i="4"/>
  <c r="AA93" i="4"/>
  <c r="Z92" i="4"/>
  <c r="AA92" i="4"/>
  <c r="Z91" i="4"/>
  <c r="AA91" i="4"/>
  <c r="Z89" i="4"/>
  <c r="AA89" i="4"/>
  <c r="Z88" i="4"/>
  <c r="AA88" i="4"/>
  <c r="Z87" i="4"/>
  <c r="AA87" i="4"/>
  <c r="Z86" i="4"/>
  <c r="AA86" i="4"/>
  <c r="Z85" i="4"/>
  <c r="AA85" i="4"/>
  <c r="Z84" i="4"/>
  <c r="AA84" i="4"/>
  <c r="Z83" i="4"/>
  <c r="AA83" i="4"/>
  <c r="Z82" i="4"/>
  <c r="AA82" i="4"/>
  <c r="Z81" i="4"/>
  <c r="AA81" i="4"/>
  <c r="Z79" i="4"/>
  <c r="AA79" i="4"/>
  <c r="Z78" i="4"/>
  <c r="AA78" i="4"/>
  <c r="Z77" i="4"/>
  <c r="AA77" i="4"/>
  <c r="Z76" i="4"/>
  <c r="AA76" i="4"/>
  <c r="Z75" i="4"/>
  <c r="AA75" i="4"/>
  <c r="Z74" i="4"/>
  <c r="AA74" i="4"/>
  <c r="Z73" i="4"/>
  <c r="AA73" i="4"/>
  <c r="Z72" i="4"/>
  <c r="AA72" i="4"/>
  <c r="Z71" i="4"/>
  <c r="AA71" i="4"/>
  <c r="Z69" i="4"/>
  <c r="AA69" i="4"/>
  <c r="Z68" i="4"/>
  <c r="AA68" i="4"/>
  <c r="Z67" i="4"/>
  <c r="AA67" i="4"/>
  <c r="Z66" i="4"/>
  <c r="AA66" i="4"/>
  <c r="Z65" i="4"/>
  <c r="AA65" i="4"/>
  <c r="Z64" i="4"/>
  <c r="AA64" i="4"/>
  <c r="Z63" i="4"/>
  <c r="AA63" i="4"/>
  <c r="Z62" i="4"/>
  <c r="AA62" i="4"/>
  <c r="Z61" i="4"/>
  <c r="AA61" i="4"/>
  <c r="Z59" i="4"/>
  <c r="AA59" i="4"/>
  <c r="Z58" i="4"/>
  <c r="AA58" i="4"/>
  <c r="Z57" i="4"/>
  <c r="AA57" i="4"/>
  <c r="Z56" i="4"/>
  <c r="AA56" i="4"/>
  <c r="Z55" i="4"/>
  <c r="AA55" i="4"/>
  <c r="Z54" i="4"/>
  <c r="AA54" i="4"/>
  <c r="Z53" i="4"/>
  <c r="AA53" i="4"/>
  <c r="Z52" i="4"/>
  <c r="AA52" i="4"/>
  <c r="Z51" i="4"/>
  <c r="AA51" i="4"/>
  <c r="Z49" i="4"/>
  <c r="AA49" i="4"/>
  <c r="Z48" i="4"/>
  <c r="AA48" i="4"/>
  <c r="Z47" i="4"/>
  <c r="AA47" i="4"/>
  <c r="Z46" i="4"/>
  <c r="AA46" i="4"/>
  <c r="Z45" i="4"/>
  <c r="AA45" i="4"/>
  <c r="Z44" i="4"/>
  <c r="AA44" i="4"/>
  <c r="Z43" i="4"/>
  <c r="AA43" i="4"/>
  <c r="Z42" i="4"/>
  <c r="AA42" i="4"/>
  <c r="Z41" i="4"/>
  <c r="AA41" i="4"/>
  <c r="Z39" i="4"/>
  <c r="AA39" i="4"/>
  <c r="Z38" i="4"/>
  <c r="AA38" i="4"/>
  <c r="Z37" i="4"/>
  <c r="AA37" i="4"/>
  <c r="Z36" i="4"/>
  <c r="AA36" i="4"/>
  <c r="Z35" i="4"/>
  <c r="AA35" i="4"/>
  <c r="Z34" i="4"/>
  <c r="AA34" i="4"/>
  <c r="Z33" i="4"/>
  <c r="AA33" i="4"/>
  <c r="Z32" i="4"/>
  <c r="AA32" i="4"/>
  <c r="Z31" i="4"/>
  <c r="AA31" i="4"/>
  <c r="Z29" i="4"/>
  <c r="AA29" i="4"/>
  <c r="Z28" i="4"/>
  <c r="AA28" i="4"/>
  <c r="Z27" i="4"/>
  <c r="AA27" i="4"/>
  <c r="Z26" i="4"/>
  <c r="AA26" i="4"/>
  <c r="Z25" i="4"/>
  <c r="AA25" i="4"/>
  <c r="Z24" i="4"/>
  <c r="AA24" i="4"/>
  <c r="Z23" i="4"/>
  <c r="AA23" i="4"/>
  <c r="Z22" i="4"/>
  <c r="AA22" i="4"/>
  <c r="Z21" i="4"/>
  <c r="AA21" i="4"/>
  <c r="Z19" i="4"/>
  <c r="AA19" i="4"/>
  <c r="Z18" i="4"/>
  <c r="AA18" i="4"/>
  <c r="Z17" i="4"/>
  <c r="AA17" i="4"/>
  <c r="Z16" i="4"/>
  <c r="AA16" i="4"/>
  <c r="Z15" i="4"/>
  <c r="AA15" i="4"/>
  <c r="Z14" i="4"/>
  <c r="AA14" i="4"/>
  <c r="Z13" i="4"/>
  <c r="AA13" i="4"/>
  <c r="Z12" i="4"/>
  <c r="AA12" i="4"/>
  <c r="Z10" i="4"/>
  <c r="AA10" i="4"/>
  <c r="Z9" i="4"/>
  <c r="AA9" i="4"/>
  <c r="Z8" i="4"/>
  <c r="AA8" i="4"/>
  <c r="Z7" i="4"/>
  <c r="AA7" i="4"/>
  <c r="Z6" i="4"/>
  <c r="AA6" i="4"/>
  <c r="Z5" i="4"/>
  <c r="AA5" i="4"/>
  <c r="Z4" i="4"/>
  <c r="AA4" i="4"/>
  <c r="O4" i="5"/>
  <c r="N5" i="5"/>
  <c r="Z6" i="5"/>
  <c r="T8" i="5"/>
  <c r="Z17" i="5"/>
  <c r="O24" i="5"/>
  <c r="T37" i="5"/>
  <c r="Z38" i="5"/>
  <c r="Z51" i="5"/>
  <c r="Z53" i="5"/>
  <c r="Z54" i="5"/>
  <c r="Z60" i="5"/>
  <c r="AA63" i="5"/>
  <c r="Z65" i="5"/>
  <c r="AA70" i="5"/>
  <c r="O80" i="5"/>
  <c r="O89" i="5"/>
  <c r="O98" i="5"/>
  <c r="T101" i="5"/>
  <c r="AA102" i="5"/>
  <c r="T4" i="5"/>
  <c r="T10" i="5"/>
  <c r="N12" i="5"/>
  <c r="O22" i="5"/>
  <c r="AA27" i="5"/>
  <c r="N29" i="5"/>
  <c r="T73" i="5"/>
  <c r="Z81" i="5"/>
  <c r="O85" i="5"/>
  <c r="T97" i="5"/>
  <c r="Z15" i="5"/>
  <c r="O17" i="5"/>
  <c r="N18" i="5"/>
  <c r="N23" i="5"/>
  <c r="Z24" i="5"/>
  <c r="T26" i="5"/>
  <c r="T35" i="5"/>
  <c r="T43" i="5"/>
  <c r="O47" i="5"/>
  <c r="O49" i="5"/>
  <c r="O78" i="5"/>
  <c r="Z80" i="5"/>
  <c r="T88" i="5"/>
  <c r="Z89" i="5"/>
  <c r="Z98" i="5"/>
  <c r="AA109" i="5"/>
  <c r="O6" i="5"/>
  <c r="Z10" i="5"/>
  <c r="T17" i="5"/>
  <c r="T29" i="5"/>
  <c r="Z35" i="5"/>
  <c r="T46" i="5"/>
  <c r="T47" i="5"/>
  <c r="T49" i="5"/>
  <c r="O65" i="5"/>
  <c r="T66" i="5"/>
  <c r="T83" i="5"/>
  <c r="Z85" i="5"/>
  <c r="O91" i="5"/>
  <c r="Z93" i="5"/>
  <c r="Z94" i="5"/>
  <c r="Z97" i="5"/>
  <c r="O102" i="5"/>
  <c r="T107" i="5"/>
  <c r="T114" i="5"/>
  <c r="O76" i="5"/>
  <c r="T6" i="5"/>
  <c r="N7" i="5"/>
  <c r="Z13" i="5"/>
  <c r="O19" i="5"/>
  <c r="T24" i="5"/>
  <c r="N25" i="5"/>
  <c r="T32" i="5"/>
  <c r="Z43" i="5"/>
  <c r="Z44" i="5"/>
  <c r="Z45" i="5"/>
  <c r="O60" i="5"/>
  <c r="Z68" i="5"/>
  <c r="T70" i="5"/>
  <c r="Z86" i="5"/>
  <c r="Z87" i="5"/>
  <c r="T90" i="5"/>
  <c r="Z99" i="5"/>
  <c r="AA100" i="5"/>
  <c r="Z103" i="5"/>
  <c r="O111" i="5"/>
  <c r="AA115" i="5"/>
  <c r="Z101" i="5"/>
  <c r="O109" i="5"/>
  <c r="T112" i="5"/>
  <c r="N3" i="5"/>
  <c r="Z8" i="5"/>
  <c r="O15" i="5"/>
  <c r="N21" i="5"/>
  <c r="Z26" i="5"/>
  <c r="Z28" i="5"/>
  <c r="T48" i="5"/>
  <c r="T72" i="5"/>
  <c r="O73" i="5"/>
  <c r="Z91" i="5"/>
  <c r="T110" i="5"/>
  <c r="Z114" i="5"/>
  <c r="Z4" i="5"/>
  <c r="O10" i="5"/>
  <c r="T15" i="5"/>
  <c r="N16" i="5"/>
  <c r="Z22" i="5"/>
  <c r="Z48" i="5"/>
  <c r="Z72" i="5"/>
  <c r="O8" i="5"/>
  <c r="T13" i="5"/>
  <c r="N14" i="5"/>
  <c r="Z19" i="5"/>
  <c r="O26" i="5"/>
  <c r="O45" i="5"/>
  <c r="Z49" i="5"/>
  <c r="Z50" i="5"/>
  <c r="Z56" i="5"/>
  <c r="Z66" i="5"/>
  <c r="T67" i="5"/>
  <c r="O69" i="5"/>
  <c r="T75" i="5"/>
  <c r="T77" i="5"/>
  <c r="T79" i="5"/>
  <c r="T81" i="5"/>
  <c r="O87" i="5"/>
  <c r="T99" i="5"/>
  <c r="O100" i="5"/>
  <c r="T103" i="5"/>
  <c r="Z110" i="5"/>
  <c r="O115" i="5"/>
  <c r="O113" i="5"/>
  <c r="O63" i="5"/>
  <c r="N63" i="5"/>
  <c r="U87" i="5"/>
  <c r="T87" i="5"/>
  <c r="U98" i="5"/>
  <c r="T98" i="5"/>
  <c r="U105" i="5"/>
  <c r="T105" i="5"/>
  <c r="T31" i="5"/>
  <c r="O33" i="5"/>
  <c r="N33" i="5"/>
  <c r="Z37" i="5"/>
  <c r="T39" i="5"/>
  <c r="O44" i="5"/>
  <c r="N44" i="5"/>
  <c r="O50" i="5"/>
  <c r="N50" i="5"/>
  <c r="O56" i="5"/>
  <c r="Z59" i="5"/>
  <c r="O70" i="5"/>
  <c r="N70" i="5"/>
  <c r="Z83" i="5"/>
  <c r="U102" i="5"/>
  <c r="T102" i="5"/>
  <c r="Z112" i="5"/>
  <c r="U100" i="5"/>
  <c r="T100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39" i="5"/>
  <c r="T44" i="5"/>
  <c r="O46" i="5"/>
  <c r="N46" i="5"/>
  <c r="T50" i="5"/>
  <c r="O51" i="5"/>
  <c r="Z55" i="5"/>
  <c r="O66" i="5"/>
  <c r="N66" i="5"/>
  <c r="O71" i="5"/>
  <c r="Z75" i="5"/>
  <c r="T76" i="5"/>
  <c r="Z107" i="5"/>
  <c r="O57" i="5"/>
  <c r="N57" i="5"/>
  <c r="U89" i="5"/>
  <c r="T89" i="5"/>
  <c r="T34" i="5"/>
  <c r="O36" i="5"/>
  <c r="T45" i="5"/>
  <c r="O53" i="5"/>
  <c r="N53" i="5"/>
  <c r="O58" i="5"/>
  <c r="T65" i="5"/>
  <c r="O72" i="5"/>
  <c r="N72" i="5"/>
  <c r="U78" i="5"/>
  <c r="T78" i="5"/>
  <c r="Z88" i="5"/>
  <c r="U91" i="5"/>
  <c r="T91" i="5"/>
  <c r="U115" i="5"/>
  <c r="T115" i="5"/>
  <c r="O37" i="5"/>
  <c r="N37" i="5"/>
  <c r="O59" i="5"/>
  <c r="N59" i="5"/>
  <c r="U80" i="5"/>
  <c r="T80" i="5"/>
  <c r="U113" i="5"/>
  <c r="T113" i="5"/>
  <c r="Z3" i="5"/>
  <c r="Z5" i="5"/>
  <c r="Z7" i="5"/>
  <c r="Z9" i="5"/>
  <c r="Z12" i="5"/>
  <c r="Z14" i="5"/>
  <c r="Z16" i="5"/>
  <c r="Z18" i="5"/>
  <c r="Z21" i="5"/>
  <c r="Z23" i="5"/>
  <c r="Z25" i="5"/>
  <c r="T36" i="5"/>
  <c r="O38" i="5"/>
  <c r="O48" i="5"/>
  <c r="N48" i="5"/>
  <c r="O54" i="5"/>
  <c r="Z57" i="5"/>
  <c r="O68" i="5"/>
  <c r="N68" i="5"/>
  <c r="Z77" i="5"/>
  <c r="U82" i="5"/>
  <c r="T82" i="5"/>
  <c r="Z90" i="5"/>
  <c r="U111" i="5"/>
  <c r="T111" i="5"/>
  <c r="O31" i="5"/>
  <c r="N31" i="5"/>
  <c r="O39" i="5"/>
  <c r="N39" i="5"/>
  <c r="O55" i="5"/>
  <c r="N55" i="5"/>
  <c r="O75" i="5"/>
  <c r="N75" i="5"/>
  <c r="Z79" i="5"/>
  <c r="U85" i="5"/>
  <c r="T85" i="5"/>
  <c r="U109" i="5"/>
  <c r="T109" i="5"/>
  <c r="Z116" i="5"/>
  <c r="N77" i="5"/>
  <c r="N79" i="5"/>
  <c r="N81" i="5"/>
  <c r="N83" i="5"/>
  <c r="N86" i="5"/>
  <c r="N88" i="5"/>
  <c r="N90" i="5"/>
  <c r="N97" i="5"/>
  <c r="N99" i="5"/>
  <c r="N101" i="5"/>
  <c r="N103" i="5"/>
  <c r="N110" i="5"/>
  <c r="N112" i="5"/>
  <c r="N114" i="5"/>
  <c r="N116" i="5"/>
  <c r="I19" i="4"/>
  <c r="I10" i="4"/>
  <c r="I27" i="4"/>
  <c r="I28" i="4"/>
  <c r="I17" i="4"/>
  <c r="I8" i="4"/>
  <c r="I9" i="4"/>
  <c r="I18" i="4"/>
  <c r="H7" i="4"/>
  <c r="H6" i="4"/>
  <c r="H5" i="4"/>
  <c r="H95" i="4"/>
  <c r="I104" i="4"/>
  <c r="I97" i="4"/>
  <c r="I62" i="4"/>
  <c r="H94" i="4"/>
  <c r="I103" i="4"/>
  <c r="I49" i="4"/>
  <c r="I48" i="4"/>
  <c r="H77" i="4"/>
  <c r="I86" i="4"/>
  <c r="I43" i="4"/>
  <c r="Z3" i="4"/>
  <c r="H84" i="4"/>
  <c r="H105" i="4"/>
  <c r="H66" i="4"/>
  <c r="I85" i="4"/>
  <c r="I32" i="4"/>
  <c r="H59" i="4"/>
  <c r="I79" i="4"/>
  <c r="I31" i="4"/>
  <c r="U3" i="4"/>
  <c r="H41" i="4"/>
  <c r="I68" i="4"/>
  <c r="I22" i="4"/>
  <c r="H96" i="4"/>
  <c r="H16" i="4"/>
  <c r="I67" i="4"/>
  <c r="H47" i="4"/>
  <c r="O3" i="4"/>
  <c r="N3" i="4"/>
  <c r="I82" i="4"/>
  <c r="H82" i="4"/>
  <c r="H65" i="4"/>
  <c r="I63" i="4"/>
  <c r="H63" i="4"/>
  <c r="I12" i="4"/>
  <c r="H12" i="4"/>
  <c r="I44" i="4"/>
  <c r="H44" i="4"/>
  <c r="I35" i="4"/>
  <c r="H35" i="4"/>
  <c r="I23" i="4"/>
  <c r="H23" i="4"/>
  <c r="H4" i="4"/>
  <c r="H102" i="4"/>
  <c r="H93" i="4"/>
  <c r="H76" i="4"/>
  <c r="H58" i="4"/>
  <c r="H39" i="4"/>
  <c r="H15" i="4"/>
  <c r="I78" i="4"/>
  <c r="I61" i="4"/>
  <c r="I42" i="4"/>
  <c r="I21" i="4"/>
  <c r="H26" i="4"/>
  <c r="I91" i="4"/>
  <c r="H91" i="4"/>
  <c r="H83" i="4"/>
  <c r="I36" i="4"/>
  <c r="H36" i="4"/>
  <c r="H3" i="4"/>
  <c r="H101" i="4"/>
  <c r="H92" i="4"/>
  <c r="H75" i="4"/>
  <c r="H57" i="4"/>
  <c r="H38" i="4"/>
  <c r="H14" i="4"/>
  <c r="I64" i="4"/>
  <c r="H64" i="4"/>
  <c r="H46" i="4"/>
  <c r="I81" i="4"/>
  <c r="H81" i="4"/>
  <c r="I45" i="4"/>
  <c r="H45" i="4"/>
  <c r="H108" i="4"/>
  <c r="H99" i="4"/>
  <c r="H89" i="4"/>
  <c r="H74" i="4"/>
  <c r="H56" i="4"/>
  <c r="H37" i="4"/>
  <c r="H13" i="4"/>
  <c r="H25" i="4"/>
  <c r="I72" i="4"/>
  <c r="H72" i="4"/>
  <c r="I24" i="4"/>
  <c r="H24" i="4"/>
  <c r="H107" i="4"/>
  <c r="H98" i="4"/>
  <c r="I106" i="4"/>
  <c r="I88" i="4"/>
  <c r="I71" i="4"/>
  <c r="I53" i="4"/>
  <c r="I34" i="4"/>
  <c r="I73" i="4"/>
  <c r="H73" i="4"/>
  <c r="I55" i="4"/>
  <c r="H55" i="4"/>
  <c r="I54" i="4"/>
  <c r="H54" i="4"/>
  <c r="I87" i="4"/>
  <c r="I69" i="4"/>
  <c r="I51" i="4"/>
  <c r="I33" i="4"/>
  <c r="I52" i="4"/>
</calcChain>
</file>

<file path=xl/sharedStrings.xml><?xml version="1.0" encoding="utf-8"?>
<sst xmlns="http://schemas.openxmlformats.org/spreadsheetml/2006/main" count="492" uniqueCount="91">
  <si>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</si>
  <si>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</si>
  <si>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</si>
  <si>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</si>
  <si>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</si>
  <si>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</si>
  <si>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</si>
  <si>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</si>
  <si>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</si>
  <si>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</si>
  <si>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</si>
  <si>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</si>
  <si>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</si>
  <si>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</si>
  <si>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</si>
  <si>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</si>
  <si>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</si>
  <si>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</si>
  <si>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</si>
  <si>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</si>
  <si>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</si>
  <si>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</si>
  <si>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</si>
  <si>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</si>
  <si>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</si>
  <si>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</si>
  <si>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</si>
  <si>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</si>
  <si>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</si>
  <si>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</si>
  <si>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</si>
  <si>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</si>
  <si>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</si>
  <si>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</si>
  <si>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</si>
  <si>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</si>
  <si>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</si>
  <si>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</si>
  <si>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</si>
  <si>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</si>
  <si>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</si>
  <si>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</si>
  <si>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</si>
  <si>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</si>
  <si>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</si>
  <si>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</si>
  <si>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</si>
  <si>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</si>
  <si>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</si>
  <si>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</si>
  <si>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</si>
  <si>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</si>
  <si>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</si>
  <si>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</si>
  <si>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</si>
  <si>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</si>
  <si>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</si>
  <si>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</si>
  <si>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</si>
  <si>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</si>
  <si>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</si>
  <si>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</si>
  <si>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MAPEH</t>
  </si>
  <si>
    <t xml:space="preserve">Quantity based on Target ADM-SLM - Q1 </t>
  </si>
  <si>
    <t>Quantity of Learning Activity Sheets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</si>
  <si>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</si>
  <si>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</si>
  <si>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</si>
  <si>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</si>
  <si>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</si>
  <si>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Learning Activity Sheets Received (Quantity received x No. of ADM-SLM)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</si>
  <si>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</si>
  <si>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</si>
  <si>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</si>
  <si>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</si>
  <si>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</si>
  <si>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Learning Activity Sheets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</si>
  <si>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</si>
  <si>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</si>
  <si>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</si>
  <si>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</si>
  <si>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</si>
  <si>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Learning Activity Sheets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</si>
  <si>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</si>
  <si>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</si>
  <si>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</si>
  <si>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</si>
  <si>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</si>
  <si>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MUSIC</t>
  </si>
  <si>
    <t>ARTS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</si>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</sst>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charset val="134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Poppins"/>
    </font>
    <font>
      <b/>
      <sz val="16"/>
      <color theme="2"/>
      <name val="Poppins"/>
    </font>
    <font>
      <b/>
      <sz val="15"/>
      <color rgb="FF000000"/>
      <name val="Bookman Old Style"/>
      <family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2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145" totalsRowShown="0" headerRowDxfId="62" headerRowBorderDxfId="60" tableBorderDxfId="61">
  <autoFilter ref="A1:H145" xr:uid="{00000000-0009-0000-0100-000002000000}"/>
  <tableColumns count="8">
    <tableColumn id="1" xr3:uid="{00000000-0010-0000-0000-000001000000}" name="Grade Level"/>
    <tableColumn id="2" xr3:uid="{00000000-0010-0000-0000-000002000000}" name="SUBJECTS"/>
    <tableColumn id="3" xr3:uid="{00000000-0010-0000-0000-000003000000}" name="Enrolment S.Y. 2025-2026 "/>
    <tableColumn id="4" xr3:uid="{00000000-0010-0000-0000-000004000000}" name="Quantity of Textbooks Received"/>
    <tableColumn id="5" xr3:uid="{00000000-0010-0000-0000-000005000000}" name="Year of Delivery-TX"/>
    <tableColumn id="6" xr3:uid="{00000000-0010-0000-0000-000006000000}" name="SOURCE-TX (CO,RO, SDO)"/>
    <tableColumn id="7" xr3:uid="{00000000-0010-0000-0000-000007000000}" name="GAP-TX"/>
    <tableColumn id="8" xr3:uid="{00000000-0010-0000-0000-000008000000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2:AA125" totalsRowShown="0" dataDxfId="59" headerRowBorderDxfId="57" tableBorderDxfId="58">
  <autoFilter ref="A2:AA125" xr:uid="{00000000-0009-0000-0100-000001000000}"/>
  <tableColumns count="27">
    <tableColumn id="1" xr3:uid="{00000000-0010-0000-0100-000001000000}" name="Grade Level" dataDxfId="56"/>
    <tableColumn id="2" xr3:uid="{00000000-0010-0000-0100-000002000000}" name="SUBJECTS" dataDxfId="55"/>
    <tableColumn id="3" xr3:uid="{00000000-0010-0000-0100-000003000000}" name="Enrolment S.Y. 2025-2026 " dataDxfId="54"/>
    <tableColumn id="4" xr3:uid="{00000000-0010-0000-0100-000004000000}" name="Quantity based on Target LAS - Q1 " dataDxfId="53">
      <calculatedColumnFormula>Table1[[#This Row],[Enrolment S.Y. 2025-2026 ]]*8</calculatedColumnFormula>
    </tableColumn>
    <tableColumn id="5" xr3:uid="{00000000-0010-0000-0100-000005000000}" name="Quantity of Learning Activity Sheets Received (Quantity received x No. of LAS) - Q1" dataDxfId="52"/>
    <tableColumn id="6" xr3:uid="{00000000-0010-0000-0100-000006000000}" name="Year of Delivery-LAS - Q1" dataDxfId="51"/>
    <tableColumn id="7" xr3:uid="{00000000-0010-0000-0100-000007000000}" name="SOURCE - LAS (CO,RO, SDO) - Q1" dataDxfId="50"/>
    <tableColumn id="8" xr3:uid="{00000000-0010-0000-0100-000008000000}" name="GAP - LAS - Q1" dataDxfId="49">
      <calculatedColumnFormula>IF((D3-E3)&lt;0,0,(D3-E3))</calculatedColumnFormula>
    </tableColumn>
    <tableColumn id="9" xr3:uid="{00000000-0010-0000-0100-000009000000}" name="SURPLUS - LAS - Q1" dataDxfId="48">
      <calculatedColumnFormula>IF((E3-D3)&lt;0,0,(E3-D3))</calculatedColumnFormula>
    </tableColumn>
    <tableColumn id="10" xr3:uid="{00000000-0010-0000-0100-00000A000000}" name="Quantity based on Target LAS - Q2" dataDxfId="47">
      <calculatedColumnFormula>Table1[[#This Row],[Enrolment S.Y. 2025-2026 ]]*8</calculatedColumnFormula>
    </tableColumn>
    <tableColumn id="11" xr3:uid="{00000000-0010-0000-0100-00000B000000}" name="Quantity of Learning Activity Sheets Received (Quantity received x No. of LAS) Q2" dataDxfId="46"/>
    <tableColumn id="12" xr3:uid="{00000000-0010-0000-0100-00000C000000}" name="Year of Delivery-LAS Q2" dataDxfId="45"/>
    <tableColumn id="13" xr3:uid="{00000000-0010-0000-0100-00000D000000}" name="SOURCE-LAS (CO,RO, SDO) Q2" dataDxfId="44"/>
    <tableColumn id="14" xr3:uid="{00000000-0010-0000-0100-00000E000000}" name="GAP - LAS -Q2" dataDxfId="43"/>
    <tableColumn id="15" xr3:uid="{00000000-0010-0000-0100-00000F000000}" name="SURPLUS - LAS -Q2" dataDxfId="42"/>
    <tableColumn id="16" xr3:uid="{00000000-0010-0000-0100-000010000000}" name="Quantity based on Target LAS - Q3" dataDxfId="41">
      <calculatedColumnFormula>#REF!*8</calculatedColumnFormula>
    </tableColumn>
    <tableColumn id="17" xr3:uid="{00000000-0010-0000-0100-000011000000}" name="Quantity of Learning Activity Sheets Received (Quantity received x No. of LAS) - Q3" dataDxfId="40"/>
    <tableColumn id="18" xr3:uid="{00000000-0010-0000-0100-000012000000}" name="Year of Delivery-LAS - Q3" dataDxfId="39"/>
    <tableColumn id="19" xr3:uid="{00000000-0010-0000-0100-000013000000}" name="SOURCE-LAS (CO,RO, SDO) - Q3" dataDxfId="38"/>
    <tableColumn id="20" xr3:uid="{00000000-0010-0000-0100-000014000000}" name="GAP - LAS - Q3" dataDxfId="37">
      <calculatedColumnFormula>IF((P3-Q3)&lt;0,0,(P3-Q3))</calculatedColumnFormula>
    </tableColumn>
    <tableColumn id="21" xr3:uid="{00000000-0010-0000-0100-000015000000}" name="SURPLUS - LAS - Q3" dataDxfId="36">
      <calculatedColumnFormula>IF((Q3-P3)&lt;0,0,(Q3-P3))</calculatedColumnFormula>
    </tableColumn>
    <tableColumn id="22" xr3:uid="{00000000-0010-0000-0100-000016000000}" name="Quantity based on Target LAS - Q4" dataDxfId="35">
      <calculatedColumnFormula>Table1[[#This Row],[Enrolment S.Y. 2025-2026 ]]*8</calculatedColumnFormula>
    </tableColumn>
    <tableColumn id="23" xr3:uid="{00000000-0010-0000-0100-000017000000}" name="Quantity of Learning Activity Sheets Received (Quantity received x No. of LAS)- Q4" dataDxfId="34"/>
    <tableColumn id="24" xr3:uid="{00000000-0010-0000-0100-000018000000}" name="Year of Delivery - LAS - Q4" dataDxfId="33"/>
    <tableColumn id="25" xr3:uid="{00000000-0010-0000-0100-000019000000}" name="SOURCE - LAS (CO,RO, SDO) - Q4" dataDxfId="32"/>
    <tableColumn id="26" xr3:uid="{00000000-0010-0000-0100-00001A000000}" name="GAP - LAS - Q4" dataDxfId="31">
      <calculatedColumnFormula>IF((V3-W3)&lt;0,0,(V3-W3))</calculatedColumnFormula>
    </tableColumn>
    <tableColumn id="27" xr3:uid="{00000000-0010-0000-0100-00001B000000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A2:AA134" totalsRowShown="0" dataDxfId="29" headerRowBorderDxfId="27" tableBorderDxfId="28">
  <autoFilter ref="A2:AA134" xr:uid="{00000000-0009-0000-0100-000003000000}"/>
  <tableColumns count="27">
    <tableColumn id="1" xr3:uid="{00000000-0010-0000-0200-000001000000}" name="Grade Level" dataDxfId="26"/>
    <tableColumn id="2" xr3:uid="{00000000-0010-0000-0200-000002000000}" name="SUBJECTS" dataDxfId="25"/>
    <tableColumn id="3" xr3:uid="{00000000-0010-0000-0200-000003000000}" name="Enrolment S.Y. 2025-2026 " dataDxfId="24"/>
    <tableColumn id="4" xr3:uid="{00000000-0010-0000-0200-000004000000}" name="Quantity based on Target ADM-SLM - Q1 " dataDxfId="23">
      <calculatedColumnFormula>Table14[[#This Row],[Enrolment S.Y. 2025-2026 ]]*8</calculatedColumnFormula>
    </tableColumn>
    <tableColumn id="5" xr3:uid="{00000000-0010-0000-0200-000005000000}" name="Quantity of Learning Activity Sheets Received (Quantity received x No. of ADM-SLM) - Q1" dataDxfId="22"/>
    <tableColumn id="6" xr3:uid="{00000000-0010-0000-0200-000006000000}" name="Year of Delivery - ADM-SLM - Q1" dataDxfId="21"/>
    <tableColumn id="7" xr3:uid="{00000000-0010-0000-0200-000007000000}" name="SOURCE - ADM-SLM (CO,RO, SDO) - Q1" dataDxfId="20"/>
    <tableColumn id="8" xr3:uid="{00000000-0010-0000-0200-000008000000}" name="GAP - ADM-SLM - Q1" dataDxfId="19">
      <calculatedColumnFormula>IF((D3-E3)&lt;0,0,(D3-E3))</calculatedColumnFormula>
    </tableColumn>
    <tableColumn id="9" xr3:uid="{00000000-0010-0000-0200-000009000000}" name="SURPLUS - ADM-SLM - Q1" dataDxfId="18">
      <calculatedColumnFormula>IF((E3-D3)&lt;0,0,(E3-D3))</calculatedColumnFormula>
    </tableColumn>
    <tableColumn id="10" xr3:uid="{00000000-0010-0000-0200-00000A000000}" name="Quantity based on Target ADM-SLM - Q2" dataDxfId="17">
      <calculatedColumnFormula>Table14[[#This Row],[Enrolment S.Y. 2025-2026 ]]*8</calculatedColumnFormula>
    </tableColumn>
    <tableColumn id="11" xr3:uid="{00000000-0010-0000-0200-00000B000000}" name="Quantity of Learning Activity Sheets Received (Quantity received x No. of ADM-SLM) Q2" dataDxfId="16"/>
    <tableColumn id="12" xr3:uid="{00000000-0010-0000-0200-00000C000000}" name="Year of Delivery - ADM-SLM Q2" dataDxfId="15"/>
    <tableColumn id="13" xr3:uid="{00000000-0010-0000-0200-00000D000000}" name="SOURCE - ADM-SLM (CO,RO, SDO) Q2" dataDxfId="14"/>
    <tableColumn id="14" xr3:uid="{00000000-0010-0000-0200-00000E000000}" name="GAP - ADM-SLM - Q2" dataDxfId="13"/>
    <tableColumn id="15" xr3:uid="{00000000-0010-0000-0200-00000F000000}" name="SURPLUS - ADM-SLM -Q2" dataDxfId="12"/>
    <tableColumn id="16" xr3:uid="{00000000-0010-0000-0200-000010000000}" name="Quantity based on Target ADM-SLM - Q3" dataDxfId="11">
      <calculatedColumnFormula>#REF!*8</calculatedColumnFormula>
    </tableColumn>
    <tableColumn id="17" xr3:uid="{00000000-0010-0000-0200-000011000000}" name="Quantity of Learning Activity Sheets Received (Quantity received x No. of ADM-SLM) - Q3" dataDxfId="10"/>
    <tableColumn id="18" xr3:uid="{00000000-0010-0000-0200-000012000000}" name="Year of Delivery - ADM-SLM - Q3" dataDxfId="9"/>
    <tableColumn id="19" xr3:uid="{00000000-0010-0000-0200-000013000000}" name="SOURCE - ADM-SLM(CO,RO, SDO) - Q3" dataDxfId="8"/>
    <tableColumn id="20" xr3:uid="{00000000-0010-0000-0200-000014000000}" name="GAP - ADM-SLM - Q3" dataDxfId="7">
      <calculatedColumnFormula>IF((P3-Q3)&lt;0,0,(P3-Q3))</calculatedColumnFormula>
    </tableColumn>
    <tableColumn id="21" xr3:uid="{00000000-0010-0000-0200-000015000000}" name="SURPLUS - ADM-SLM - Q3" dataDxfId="6">
      <calculatedColumnFormula>IF((Q3-P3)&lt;0,0,(Q3-P3))</calculatedColumnFormula>
    </tableColumn>
    <tableColumn id="22" xr3:uid="{00000000-0010-0000-0200-000016000000}" name="Quantity based on Target ADM-SLM - Q4" dataDxfId="5">
      <calculatedColumnFormula>Table14[[#This Row],[Enrolment S.Y. 2025-2026 ]]*8</calculatedColumnFormula>
    </tableColumn>
    <tableColumn id="23" xr3:uid="{00000000-0010-0000-0200-000017000000}" name="Quantity of Learning Activity Sheets Received (Quantity received x No. of ADM-SLM)- Q4" dataDxfId="4"/>
    <tableColumn id="24" xr3:uid="{00000000-0010-0000-0200-000018000000}" name="Year of Delivery - ADM-SLM- Q4" dataDxfId="3"/>
    <tableColumn id="25" xr3:uid="{00000000-0010-0000-0200-000019000000}" name="SOURCE - ADM-SLM - (CO,RO, SDO) - Q4" dataDxfId="2"/>
    <tableColumn id="26" xr3:uid="{00000000-0010-0000-0200-00001A000000}" name="GAP - ADM-SLM - Q4" dataDxfId="1">
      <calculatedColumnFormula>IF((V3-W3)&lt;0,0,(V3-W3))</calculatedColumnFormula>
    </tableColumn>
    <tableColumn id="27" xr3:uid="{00000000-0010-0000-0200-00001B000000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workbookViewId="0">
      <pane xSplit="2" topLeftCell="C1" activePane="topRight" state="frozen"/>
      <selection pane="topRight" activeCell="C2" sqref="C2"/>
    </sheetView>
  </sheetViews>
  <sheetFormatPr defaultRowHeight="14.25"/>
  <cols>
    <col min="1" max="1" width="10.28515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5" customFormat="1" ht="64.900000000000006" customHeight="1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9" t="s">
        <v>6</v>
      </c>
      <c r="H1" s="20" t="s">
        <v>7</v>
      </c>
    </row>
    <row r="2" spans="1:8" ht="42.75" customHeight="1">
      <c r="A2" s="1">
        <v>1</v>
      </c>
      <c r="B2" s="2" t="s">
        <v>8</v>
      </c>
      <c r="C2" s="30">
        <v>65</v>
      </c>
      <c r="D2" s="30">
        <v>92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27</v>
      </c>
    </row>
    <row r="3" spans="1:8" ht="29.25" customHeight="1">
      <c r="A3" s="1">
        <v>1</v>
      </c>
      <c r="B3" s="2" t="s">
        <v>10</v>
      </c>
      <c r="C3" s="30">
        <v>65</v>
      </c>
      <c r="D3" s="30">
        <v>92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27</v>
      </c>
    </row>
    <row r="4" spans="1:8" ht="21" customHeight="1">
      <c r="A4" s="1">
        <v>1</v>
      </c>
      <c r="B4" s="2" t="s">
        <v>11</v>
      </c>
      <c r="C4" s="30">
        <v>65</v>
      </c>
      <c r="D4" s="30">
        <v>0</v>
      </c>
      <c r="E4" s="1">
        <v>2025</v>
      </c>
      <c r="F4" s="5" t="s">
        <v>9</v>
      </c>
      <c r="G4" s="3">
        <f>IF((C4-D4)&lt;0,0,C4-D4)</f>
        <v>65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30">
        <v>65</v>
      </c>
      <c r="D5" s="30">
        <v>92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27</v>
      </c>
    </row>
    <row r="6" spans="1:8" ht="19.5">
      <c r="A6" s="1">
        <v>1</v>
      </c>
      <c r="B6" s="2" t="s">
        <v>13</v>
      </c>
      <c r="C6" s="30">
        <v>65</v>
      </c>
      <c r="D6" s="1">
        <v>0</v>
      </c>
      <c r="E6" s="1">
        <v>2025</v>
      </c>
      <c r="F6" s="5"/>
      <c r="G6" s="3">
        <f t="shared" si="0"/>
        <v>65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67</v>
      </c>
      <c r="D8" s="1">
        <v>0</v>
      </c>
      <c r="E8" s="1"/>
      <c r="F8" s="5"/>
      <c r="G8" s="3">
        <f>IF((C8-D8)&lt;0,0,C8-D8)</f>
        <v>67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67</v>
      </c>
      <c r="D9" s="1">
        <v>0</v>
      </c>
      <c r="E9" s="1"/>
      <c r="F9" s="5"/>
      <c r="G9" s="3">
        <f>IF((C9-D9)&lt;0,0,C9-D9)</f>
        <v>67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67</v>
      </c>
      <c r="D10" s="1">
        <v>0</v>
      </c>
      <c r="E10" s="1"/>
      <c r="F10" s="5"/>
      <c r="G10" s="3">
        <f>IF((C10-D10)&lt;0,0,C10-D10)</f>
        <v>67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67</v>
      </c>
      <c r="D11" s="1">
        <v>0</v>
      </c>
      <c r="E11" s="1"/>
      <c r="F11" s="5"/>
      <c r="G11" s="3">
        <f>IF((C11-D11)&lt;0,0,C11-D11)</f>
        <v>67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67</v>
      </c>
      <c r="D12" s="1">
        <v>0</v>
      </c>
      <c r="E12" s="1"/>
      <c r="F12" s="5"/>
      <c r="G12" s="3">
        <f>IF((C12-D12)&lt;0,0,C12-D12)</f>
        <v>67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73</v>
      </c>
      <c r="D14" s="1">
        <v>0</v>
      </c>
      <c r="E14" s="1"/>
      <c r="F14" s="5"/>
      <c r="G14" s="3">
        <f t="shared" ref="G14:G19" si="2">IF((C14-D14)&lt;0,0,C14-D14)</f>
        <v>73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73</v>
      </c>
      <c r="D15" s="1">
        <v>0</v>
      </c>
      <c r="E15" s="1"/>
      <c r="F15" s="5"/>
      <c r="G15" s="3">
        <f t="shared" si="2"/>
        <v>73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73</v>
      </c>
      <c r="D16" s="1">
        <v>0</v>
      </c>
      <c r="E16" s="1"/>
      <c r="F16" s="5"/>
      <c r="G16" s="3">
        <f t="shared" si="2"/>
        <v>73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73</v>
      </c>
      <c r="D17" s="1">
        <v>0</v>
      </c>
      <c r="E17" s="1"/>
      <c r="F17" s="5"/>
      <c r="G17" s="3">
        <f t="shared" si="2"/>
        <v>73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73</v>
      </c>
      <c r="D18" s="1">
        <v>0</v>
      </c>
      <c r="E18" s="1"/>
      <c r="F18" s="5"/>
      <c r="G18" s="3">
        <f t="shared" si="2"/>
        <v>73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73</v>
      </c>
      <c r="D19" s="1">
        <v>0</v>
      </c>
      <c r="E19" s="1"/>
      <c r="F19" s="5"/>
      <c r="G19" s="3">
        <f t="shared" si="2"/>
        <v>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30">
        <v>83</v>
      </c>
      <c r="D21" s="30">
        <v>92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9</v>
      </c>
    </row>
    <row r="22" spans="1:8" ht="24" customHeight="1">
      <c r="A22" s="1">
        <v>4</v>
      </c>
      <c r="B22" s="9" t="s">
        <v>17</v>
      </c>
      <c r="C22" s="30">
        <v>83</v>
      </c>
      <c r="D22" s="30">
        <v>92</v>
      </c>
      <c r="E22" s="1">
        <v>2024</v>
      </c>
      <c r="F22" s="5" t="s">
        <v>16</v>
      </c>
      <c r="G22" s="3">
        <f t="shared" si="4"/>
        <v>0</v>
      </c>
      <c r="H22" s="4">
        <f t="shared" si="5"/>
        <v>9</v>
      </c>
    </row>
    <row r="23" spans="1:8" ht="19.5">
      <c r="A23" s="1">
        <v>4</v>
      </c>
      <c r="B23" s="9" t="s">
        <v>13</v>
      </c>
      <c r="C23" s="30">
        <v>83</v>
      </c>
      <c r="D23" s="30">
        <v>92</v>
      </c>
      <c r="E23" s="1">
        <v>2025</v>
      </c>
      <c r="F23" s="5" t="s">
        <v>16</v>
      </c>
      <c r="G23" s="3">
        <f t="shared" si="4"/>
        <v>0</v>
      </c>
      <c r="H23" s="4">
        <f t="shared" si="5"/>
        <v>9</v>
      </c>
    </row>
    <row r="24" spans="1:8" ht="27" customHeight="1">
      <c r="A24" s="1">
        <v>4</v>
      </c>
      <c r="B24" s="9" t="s">
        <v>11</v>
      </c>
      <c r="C24" s="30">
        <v>83</v>
      </c>
      <c r="D24" s="30">
        <v>92</v>
      </c>
      <c r="E24" s="1">
        <v>2024</v>
      </c>
      <c r="F24" s="5" t="s">
        <v>16</v>
      </c>
      <c r="G24" s="3">
        <f t="shared" si="4"/>
        <v>0</v>
      </c>
      <c r="H24" s="4">
        <f t="shared" si="5"/>
        <v>9</v>
      </c>
    </row>
    <row r="25" spans="1:8" ht="33.75" customHeight="1">
      <c r="A25" s="1">
        <v>4</v>
      </c>
      <c r="B25" s="9" t="s">
        <v>18</v>
      </c>
      <c r="C25" s="30">
        <v>83</v>
      </c>
      <c r="D25" s="30">
        <v>0</v>
      </c>
      <c r="E25" s="1">
        <v>2024</v>
      </c>
      <c r="F25" s="5" t="s">
        <v>16</v>
      </c>
      <c r="G25" s="3">
        <f t="shared" si="4"/>
        <v>83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30">
        <v>83</v>
      </c>
      <c r="D26" s="30">
        <v>92</v>
      </c>
      <c r="E26" s="1">
        <v>2024</v>
      </c>
      <c r="F26" s="5" t="s">
        <v>16</v>
      </c>
      <c r="G26" s="3">
        <f t="shared" si="4"/>
        <v>0</v>
      </c>
      <c r="H26" s="4">
        <f t="shared" si="5"/>
        <v>9</v>
      </c>
    </row>
    <row r="27" spans="1:8" ht="33.75" customHeight="1">
      <c r="A27" s="1">
        <v>4</v>
      </c>
      <c r="B27" s="9" t="s">
        <v>19</v>
      </c>
      <c r="C27" s="30">
        <v>83</v>
      </c>
      <c r="D27" s="30">
        <v>92</v>
      </c>
      <c r="E27" s="1">
        <v>2024</v>
      </c>
      <c r="F27" s="5" t="s">
        <v>16</v>
      </c>
      <c r="G27" s="3">
        <f t="shared" si="4"/>
        <v>0</v>
      </c>
      <c r="H27" s="4">
        <f t="shared" si="5"/>
        <v>9</v>
      </c>
    </row>
    <row r="28" spans="1:8" ht="27.75" customHeight="1">
      <c r="A28" s="1">
        <v>4</v>
      </c>
      <c r="B28" s="9" t="s">
        <v>20</v>
      </c>
      <c r="C28" s="30">
        <v>83</v>
      </c>
      <c r="D28" s="1">
        <v>0</v>
      </c>
      <c r="E28" s="1"/>
      <c r="F28" s="5"/>
      <c r="G28" s="3">
        <f t="shared" si="4"/>
        <v>83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83</v>
      </c>
      <c r="D29" s="1">
        <v>0</v>
      </c>
      <c r="E29" s="1"/>
      <c r="F29" s="5"/>
      <c r="G29" s="3">
        <f t="shared" si="4"/>
        <v>83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68</v>
      </c>
      <c r="D31" s="1">
        <v>0</v>
      </c>
      <c r="E31" s="1"/>
      <c r="F31" s="5"/>
      <c r="G31" s="3">
        <f t="shared" ref="G31:G39" si="6">IF((C31-D31)&lt;0,0,C31-D31)</f>
        <v>68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68</v>
      </c>
      <c r="D32" s="1">
        <v>0</v>
      </c>
      <c r="E32" s="1"/>
      <c r="F32" s="5"/>
      <c r="G32" s="3">
        <f t="shared" si="6"/>
        <v>68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68</v>
      </c>
      <c r="D33" s="1">
        <v>0</v>
      </c>
      <c r="E33" s="1"/>
      <c r="F33" s="5"/>
      <c r="G33" s="3">
        <f t="shared" si="6"/>
        <v>68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68</v>
      </c>
      <c r="D34" s="1">
        <v>0</v>
      </c>
      <c r="E34" s="1"/>
      <c r="F34" s="5"/>
      <c r="G34" s="3">
        <f t="shared" si="6"/>
        <v>68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30">
        <v>68</v>
      </c>
      <c r="D35" s="30">
        <v>93</v>
      </c>
      <c r="E35" s="1">
        <v>2025</v>
      </c>
      <c r="F35" s="5" t="s">
        <v>16</v>
      </c>
      <c r="G35" s="3">
        <f t="shared" si="6"/>
        <v>0</v>
      </c>
      <c r="H35" s="4">
        <f t="shared" si="7"/>
        <v>25</v>
      </c>
    </row>
    <row r="36" spans="1:8" ht="27.75" customHeight="1">
      <c r="A36" s="1">
        <v>5</v>
      </c>
      <c r="B36" s="9" t="s">
        <v>14</v>
      </c>
      <c r="C36" s="1">
        <v>68</v>
      </c>
      <c r="D36" s="1">
        <v>0</v>
      </c>
      <c r="E36" s="1"/>
      <c r="F36" s="5"/>
      <c r="G36" s="3">
        <f t="shared" si="6"/>
        <v>68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30">
        <v>68</v>
      </c>
      <c r="D37" s="30">
        <v>93</v>
      </c>
      <c r="E37" s="1">
        <v>2025</v>
      </c>
      <c r="F37" s="5" t="s">
        <v>16</v>
      </c>
      <c r="G37" s="3">
        <f t="shared" si="6"/>
        <v>0</v>
      </c>
      <c r="H37" s="4">
        <f t="shared" si="7"/>
        <v>25</v>
      </c>
    </row>
    <row r="38" spans="1:8" ht="27.75" customHeight="1">
      <c r="A38" s="1">
        <v>5</v>
      </c>
      <c r="B38" s="9" t="s">
        <v>20</v>
      </c>
      <c r="C38" s="1">
        <v>68</v>
      </c>
      <c r="D38" s="1">
        <v>0</v>
      </c>
      <c r="E38" s="1"/>
      <c r="F38" s="5"/>
      <c r="G38" s="3">
        <f t="shared" si="6"/>
        <v>68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68</v>
      </c>
      <c r="D39" s="1">
        <v>0</v>
      </c>
      <c r="E39" s="1"/>
      <c r="F39" s="5"/>
      <c r="G39" s="3">
        <f t="shared" si="6"/>
        <v>68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59</v>
      </c>
      <c r="D41" s="1">
        <v>0</v>
      </c>
      <c r="E41" s="1"/>
      <c r="F41" s="5"/>
      <c r="G41" s="3">
        <f t="shared" ref="G41:G49" si="8">IF((C41-D41)&lt;0,0,C41-D41)</f>
        <v>59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59</v>
      </c>
      <c r="D42" s="1">
        <v>0</v>
      </c>
      <c r="E42" s="1"/>
      <c r="F42" s="5"/>
      <c r="G42" s="3">
        <f t="shared" si="8"/>
        <v>59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59</v>
      </c>
      <c r="D43" s="1">
        <v>0</v>
      </c>
      <c r="E43" s="1"/>
      <c r="F43" s="5"/>
      <c r="G43" s="3">
        <f t="shared" si="8"/>
        <v>59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59</v>
      </c>
      <c r="D44" s="1">
        <v>0</v>
      </c>
      <c r="E44" s="1"/>
      <c r="F44" s="5"/>
      <c r="G44" s="3">
        <f t="shared" si="8"/>
        <v>59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59</v>
      </c>
      <c r="D45" s="1">
        <v>0</v>
      </c>
      <c r="E45" s="1"/>
      <c r="F45" s="5"/>
      <c r="G45" s="3">
        <f t="shared" si="8"/>
        <v>59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59</v>
      </c>
      <c r="D46" s="1">
        <v>0</v>
      </c>
      <c r="E46" s="1"/>
      <c r="F46" s="5"/>
      <c r="G46" s="3">
        <f t="shared" si="8"/>
        <v>59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59</v>
      </c>
      <c r="D47" s="1">
        <v>0</v>
      </c>
      <c r="E47" s="1"/>
      <c r="F47" s="5"/>
      <c r="G47" s="3">
        <f t="shared" si="8"/>
        <v>59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59</v>
      </c>
      <c r="D48" s="1">
        <v>0</v>
      </c>
      <c r="E48" s="1"/>
      <c r="F48" s="5"/>
      <c r="G48" s="3">
        <f t="shared" si="8"/>
        <v>59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59</v>
      </c>
      <c r="D49" s="1">
        <v>0</v>
      </c>
      <c r="E49" s="1"/>
      <c r="F49" s="5"/>
      <c r="G49" s="3">
        <f t="shared" si="8"/>
        <v>59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31"/>
      <c r="D51" s="31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31"/>
      <c r="D53" s="31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31"/>
      <c r="D55" s="31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31"/>
      <c r="D56" s="31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31"/>
      <c r="D57" s="31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31"/>
      <c r="D58" s="31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31"/>
      <c r="D59" s="31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31"/>
      <c r="D63" s="31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31"/>
      <c r="D64" s="31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30"/>
      <c r="D93" s="30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30"/>
      <c r="D94" s="30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30"/>
      <c r="D95" s="30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30"/>
      <c r="D97" s="30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t="19.5">
      <c r="A99" s="3"/>
      <c r="B99" s="13"/>
      <c r="C99" s="3"/>
      <c r="D99" s="3"/>
      <c r="E99" s="3"/>
      <c r="F99" s="5"/>
      <c r="G99" s="3"/>
      <c r="H99" s="4"/>
    </row>
    <row r="100" spans="1:8" ht="19.5">
      <c r="A100" s="1"/>
      <c r="B100" s="9"/>
      <c r="C100" s="1"/>
      <c r="D100" s="1"/>
      <c r="E100" s="1"/>
      <c r="F100" s="5"/>
      <c r="G100" s="3">
        <f t="shared" ref="G100:G115" si="20">IF((C100-D100)&lt;0,0,C100-D100)</f>
        <v>0</v>
      </c>
      <c r="H100" s="4">
        <f t="shared" ref="H100:H115" si="21">IF((D100-C100)&lt;0,0,D100-C100)</f>
        <v>0</v>
      </c>
    </row>
    <row r="101" spans="1:8" ht="19.5">
      <c r="A101" s="1"/>
      <c r="B101" s="9"/>
      <c r="C101" s="1"/>
      <c r="D101" s="1"/>
      <c r="E101" s="1"/>
      <c r="F101" s="5"/>
      <c r="G101" s="3">
        <f t="shared" si="20"/>
        <v>0</v>
      </c>
      <c r="H101" s="4">
        <f t="shared" si="21"/>
        <v>0</v>
      </c>
    </row>
    <row r="102" spans="1:8" ht="19.5">
      <c r="A102" s="1"/>
      <c r="B102" s="9"/>
      <c r="C102" s="1"/>
      <c r="D102" s="1"/>
      <c r="E102" s="1"/>
      <c r="F102" s="5"/>
      <c r="G102" s="3">
        <f t="shared" si="20"/>
        <v>0</v>
      </c>
      <c r="H102" s="4">
        <f t="shared" si="21"/>
        <v>0</v>
      </c>
    </row>
    <row r="103" spans="1:8" ht="19.5">
      <c r="A103" s="1"/>
      <c r="B103" s="9"/>
      <c r="C103" s="1"/>
      <c r="D103" s="1"/>
      <c r="E103" s="1"/>
      <c r="F103" s="5"/>
      <c r="G103" s="3">
        <f t="shared" si="20"/>
        <v>0</v>
      </c>
      <c r="H103" s="4">
        <f t="shared" si="21"/>
        <v>0</v>
      </c>
    </row>
    <row r="104" spans="1:8" ht="19.5">
      <c r="A104" s="1"/>
      <c r="B104" s="9"/>
      <c r="C104" s="1"/>
      <c r="D104" s="1"/>
      <c r="E104" s="1"/>
      <c r="F104" s="5"/>
      <c r="G104" s="3">
        <f t="shared" si="20"/>
        <v>0</v>
      </c>
      <c r="H104" s="4">
        <f t="shared" si="21"/>
        <v>0</v>
      </c>
    </row>
    <row r="105" spans="1:8" ht="19.5">
      <c r="A105" s="1"/>
      <c r="B105" s="9"/>
      <c r="C105" s="1"/>
      <c r="D105" s="1"/>
      <c r="E105" s="1"/>
      <c r="F105" s="5"/>
      <c r="G105" s="3">
        <f t="shared" si="20"/>
        <v>0</v>
      </c>
      <c r="H105" s="4">
        <f t="shared" si="21"/>
        <v>0</v>
      </c>
    </row>
    <row r="106" spans="1:8" ht="19.5">
      <c r="A106" s="1"/>
      <c r="B106" s="9"/>
      <c r="C106" s="1"/>
      <c r="D106" s="1"/>
      <c r="E106" s="1"/>
      <c r="F106" s="5"/>
      <c r="G106" s="3">
        <f t="shared" si="20"/>
        <v>0</v>
      </c>
      <c r="H106" s="4">
        <f t="shared" si="21"/>
        <v>0</v>
      </c>
    </row>
    <row r="107" spans="1:8" ht="19.5">
      <c r="A107" s="1"/>
      <c r="B107" s="9"/>
      <c r="C107" s="1"/>
      <c r="D107" s="1"/>
      <c r="E107" s="1"/>
      <c r="F107" s="5"/>
      <c r="G107" s="3">
        <f t="shared" si="20"/>
        <v>0</v>
      </c>
      <c r="H107" s="4">
        <f t="shared" si="21"/>
        <v>0</v>
      </c>
    </row>
    <row r="108" spans="1:8" ht="19.5">
      <c r="A108" s="1"/>
      <c r="B108" s="9"/>
      <c r="C108" s="1"/>
      <c r="D108" s="1"/>
      <c r="E108" s="1"/>
      <c r="F108" s="5"/>
      <c r="G108" s="3">
        <f t="shared" si="20"/>
        <v>0</v>
      </c>
      <c r="H108" s="4">
        <f t="shared" si="21"/>
        <v>0</v>
      </c>
    </row>
    <row r="109" spans="1:8" ht="19.5">
      <c r="A109" s="1"/>
      <c r="B109" s="9"/>
      <c r="C109" s="1"/>
      <c r="D109" s="1"/>
      <c r="E109" s="1"/>
      <c r="F109" s="5"/>
      <c r="G109" s="3">
        <f t="shared" si="20"/>
        <v>0</v>
      </c>
      <c r="H109" s="4">
        <f t="shared" si="21"/>
        <v>0</v>
      </c>
    </row>
    <row r="110" spans="1:8" ht="19.5">
      <c r="A110" s="1"/>
      <c r="B110" s="9"/>
      <c r="C110" s="1"/>
      <c r="D110" s="1"/>
      <c r="E110" s="1"/>
      <c r="F110" s="5"/>
      <c r="G110" s="3">
        <f t="shared" si="20"/>
        <v>0</v>
      </c>
      <c r="H110" s="4">
        <f t="shared" si="21"/>
        <v>0</v>
      </c>
    </row>
    <row r="111" spans="1:8" ht="19.5">
      <c r="A111" s="1"/>
      <c r="B111" s="9"/>
      <c r="C111" s="1"/>
      <c r="D111" s="1"/>
      <c r="E111" s="1"/>
      <c r="F111" s="5"/>
      <c r="G111" s="3">
        <f t="shared" si="20"/>
        <v>0</v>
      </c>
      <c r="H111" s="4">
        <f t="shared" si="21"/>
        <v>0</v>
      </c>
    </row>
    <row r="112" spans="1:8" ht="19.5">
      <c r="A112" s="1"/>
      <c r="B112" s="9"/>
      <c r="C112" s="1"/>
      <c r="D112" s="1"/>
      <c r="E112" s="1"/>
      <c r="F112" s="5"/>
      <c r="G112" s="3">
        <f t="shared" si="20"/>
        <v>0</v>
      </c>
      <c r="H112" s="4">
        <f t="shared" si="21"/>
        <v>0</v>
      </c>
    </row>
    <row r="113" spans="1:8" ht="19.5">
      <c r="A113" s="1"/>
      <c r="B113" s="9"/>
      <c r="C113" s="1"/>
      <c r="D113" s="1"/>
      <c r="E113" s="1"/>
      <c r="F113" s="5"/>
      <c r="G113" s="3">
        <f t="shared" si="20"/>
        <v>0</v>
      </c>
      <c r="H113" s="4">
        <f t="shared" si="21"/>
        <v>0</v>
      </c>
    </row>
    <row r="114" spans="1:8" ht="19.5">
      <c r="A114" s="1"/>
      <c r="B114" s="9"/>
      <c r="C114" s="1"/>
      <c r="D114" s="1"/>
      <c r="E114" s="1"/>
      <c r="F114" s="5"/>
      <c r="G114" s="3">
        <f t="shared" si="20"/>
        <v>0</v>
      </c>
      <c r="H114" s="4">
        <f t="shared" si="21"/>
        <v>0</v>
      </c>
    </row>
    <row r="115" spans="1:8" ht="19.5">
      <c r="A115" s="1"/>
      <c r="B115" s="9"/>
      <c r="C115" s="1"/>
      <c r="D115" s="1"/>
      <c r="E115" s="1"/>
      <c r="F115" s="5"/>
      <c r="G115" s="3">
        <f t="shared" si="20"/>
        <v>0</v>
      </c>
      <c r="H115" s="4">
        <f t="shared" si="21"/>
        <v>0</v>
      </c>
    </row>
  </sheetData>
  <protectedRanges>
    <protectedRange sqref="C1:E1 C7:E20 C29:E34 C39:E50 C60:E62 C65:E92 C98:E115 D6:E6 D28:E28" name="Textbooks"/>
    <protectedRange sqref="F1 F6:F20 F28:F34 F39:F50 F60:F62 F65:F92 F98:F115" name="SOURCE"/>
    <protectedRange sqref="C2:E4 D5:E5 C5:C6 C21:C28" name="Textbooks_1"/>
    <protectedRange sqref="F2:F5" name="SOURCE_1"/>
    <protectedRange sqref="D21:E27" name="Textbooks_2"/>
    <protectedRange sqref="F21:F27" name="SOURCE_2"/>
    <protectedRange sqref="C35:E38" name="Textbooks_3"/>
    <protectedRange sqref="F35:F38" name="SOURCE_3"/>
    <protectedRange sqref="C51:E59" name="Textbooks_4"/>
    <protectedRange sqref="F51:F59" name="SOURCE_4"/>
    <protectedRange sqref="C63:E64" name="Textbooks_5"/>
    <protectedRange sqref="F63:F64" name="SOURCE_5"/>
    <protectedRange sqref="C93:E97" name="Textbooks_6"/>
    <protectedRange sqref="F93:F97" name="SOURCE_6"/>
  </protectedRanges>
  <phoneticPr fontId="8" type="noConversion"/>
  <dataValidations count="2">
    <dataValidation type="list" allowBlank="1" showInputMessage="1" showErrorMessage="1" sqref="E14:E19 E2:E6 E21:E29 E31:E39 E51:E59 E41:E49 E61:E69 E71:E79 E81:E89 E8:E12 E91:E115" xr:uid="{00000000-0002-0000-0000-000000000000}">
      <formula1>"2024,2025"</formula1>
    </dataValidation>
    <dataValidation type="list" allowBlank="1" showInputMessage="1" showErrorMessage="1" sqref="F14:F19 F2:F6 F21:F29 F41:F49 F31:F39 F51:F59 F71:F79 F81:F89 F61:F69 F8:F12 F91:F115" xr:uid="{00000000-0002-0000-0000-000001000000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5"/>
  <sheetViews>
    <sheetView tabSelected="1" workbookViewId="0">
      <selection activeCell="E15" sqref="E15"/>
    </sheetView>
  </sheetViews>
  <sheetFormatPr defaultRowHeight="14.25"/>
  <cols>
    <col min="1" max="1" width="15" customWidth="1"/>
    <col min="2" max="2" width="35.28515625" customWidth="1"/>
    <col min="3" max="3" width="17.28515625" customWidth="1"/>
    <col min="4" max="4" width="26.28515625" customWidth="1"/>
    <col min="5" max="5" width="23.28515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7109375" customWidth="1"/>
    <col min="19" max="19" width="32.85546875" customWidth="1"/>
    <col min="20" max="21" width="20.85546875" customWidth="1"/>
    <col min="22" max="22" width="16.28515625" customWidth="1"/>
    <col min="23" max="23" width="25" customWidth="1"/>
    <col min="24" max="24" width="15.28515625" customWidth="1"/>
    <col min="25" max="25" width="20.7109375" customWidth="1"/>
    <col min="26" max="26" width="14.7109375" customWidth="1"/>
    <col min="27" max="27" width="15.28515625" customWidth="1"/>
  </cols>
  <sheetData>
    <row r="1" spans="1:27" s="29" customFormat="1" ht="34.15" customHeight="1">
      <c r="D1" s="32" t="s">
        <v>34</v>
      </c>
      <c r="E1" s="32"/>
      <c r="F1" s="32"/>
      <c r="G1" s="32"/>
      <c r="H1" s="32"/>
      <c r="I1" s="32"/>
      <c r="J1" s="33" t="s">
        <v>35</v>
      </c>
      <c r="K1" s="33"/>
      <c r="L1" s="33"/>
      <c r="M1" s="33"/>
      <c r="N1" s="33"/>
      <c r="O1" s="33"/>
      <c r="P1" s="34" t="s">
        <v>36</v>
      </c>
      <c r="Q1" s="34"/>
      <c r="R1" s="34"/>
      <c r="S1" s="34"/>
      <c r="T1" s="34"/>
      <c r="U1" s="34"/>
      <c r="V1" s="35" t="s">
        <v>37</v>
      </c>
      <c r="W1" s="35"/>
      <c r="X1" s="35"/>
      <c r="Y1" s="35"/>
      <c r="Z1" s="35"/>
      <c r="AA1" s="35"/>
    </row>
    <row r="2" spans="1:27" ht="69.599999999999994" customHeight="1">
      <c r="A2" s="16" t="s">
        <v>0</v>
      </c>
      <c r="B2" s="16" t="s">
        <v>1</v>
      </c>
      <c r="C2" s="17" t="s">
        <v>2</v>
      </c>
      <c r="D2" s="21" t="s">
        <v>38</v>
      </c>
      <c r="E2" s="21" t="s">
        <v>39</v>
      </c>
      <c r="F2" s="22" t="s">
        <v>40</v>
      </c>
      <c r="G2" s="25" t="s">
        <v>41</v>
      </c>
      <c r="H2" s="18" t="s">
        <v>42</v>
      </c>
      <c r="I2" s="25" t="s">
        <v>43</v>
      </c>
      <c r="J2" s="23" t="s">
        <v>44</v>
      </c>
      <c r="K2" s="23" t="s">
        <v>45</v>
      </c>
      <c r="L2" s="24" t="s">
        <v>46</v>
      </c>
      <c r="M2" s="36" t="s">
        <v>47</v>
      </c>
      <c r="N2" s="36" t="s">
        <v>48</v>
      </c>
      <c r="O2" s="23" t="s">
        <v>49</v>
      </c>
      <c r="P2" s="25" t="s">
        <v>50</v>
      </c>
      <c r="Q2" s="25" t="s">
        <v>51</v>
      </c>
      <c r="R2" s="26" t="s">
        <v>52</v>
      </c>
      <c r="S2" s="18" t="s">
        <v>53</v>
      </c>
      <c r="T2" s="18" t="s">
        <v>54</v>
      </c>
      <c r="U2" s="25" t="s">
        <v>55</v>
      </c>
      <c r="V2" s="27" t="s">
        <v>56</v>
      </c>
      <c r="W2" s="27" t="s">
        <v>57</v>
      </c>
      <c r="X2" s="28" t="s">
        <v>58</v>
      </c>
      <c r="Y2" s="37" t="s">
        <v>59</v>
      </c>
      <c r="Z2" s="37" t="s">
        <v>60</v>
      </c>
      <c r="AA2" s="27" t="s">
        <v>61</v>
      </c>
    </row>
    <row r="3" spans="1:27" ht="19.5">
      <c r="A3" s="1">
        <v>1</v>
      </c>
      <c r="B3" s="2" t="s">
        <v>8</v>
      </c>
      <c r="C3" s="1">
        <v>65</v>
      </c>
      <c r="D3" s="5"/>
      <c r="E3" s="5"/>
      <c r="F3" s="1"/>
      <c r="G3" s="5"/>
      <c r="H3" s="5">
        <f t="shared" ref="H3:H75" si="0">IF((D3-E3)&lt;0,0,(D3-E3))</f>
        <v>0</v>
      </c>
      <c r="I3" s="5">
        <f t="shared" ref="I3:I75" si="1">IF((E3-D3)&lt;0,0,(E3-D3))</f>
        <v>0</v>
      </c>
      <c r="J3" s="5"/>
      <c r="K3" s="5"/>
      <c r="L3" s="1"/>
      <c r="M3" s="5"/>
      <c r="N3" s="5">
        <f t="shared" ref="N3" si="2">IF((J3-K3)&lt;0,0,(J3-K3))</f>
        <v>0</v>
      </c>
      <c r="O3" s="5">
        <f t="shared" ref="O3" si="3">IF((K3-J3)&lt;0,0,(K3-J3))</f>
        <v>0</v>
      </c>
      <c r="P3" s="5"/>
      <c r="Q3" s="5"/>
      <c r="R3" s="1"/>
      <c r="S3" s="5"/>
      <c r="T3" s="5">
        <f t="shared" ref="T3" si="4">IF((P3-Q3)&lt;0,0,(P3-Q3))</f>
        <v>0</v>
      </c>
      <c r="U3" s="5">
        <f t="shared" ref="U3" si="5">IF((Q3-P3)&lt;0,0,(Q3-P3))</f>
        <v>0</v>
      </c>
      <c r="V3" s="5"/>
      <c r="W3" s="5"/>
      <c r="X3" s="1"/>
      <c r="Y3" s="5"/>
      <c r="Z3" s="5">
        <f t="shared" ref="Z3" si="6">IF((V3-W3)&lt;0,0,(V3-W3))</f>
        <v>0</v>
      </c>
      <c r="AA3" s="5">
        <f t="shared" ref="AA3" si="7">IF((W3-V3)&lt;0,0,(W3-V3))</f>
        <v>0</v>
      </c>
    </row>
    <row r="4" spans="1:27" ht="19.5">
      <c r="A4" s="1">
        <v>1</v>
      </c>
      <c r="B4" s="2" t="s">
        <v>10</v>
      </c>
      <c r="C4" s="1">
        <v>65</v>
      </c>
      <c r="D4" s="5"/>
      <c r="E4" s="5"/>
      <c r="F4" s="1"/>
      <c r="G4" s="5"/>
      <c r="H4" s="5">
        <f t="shared" si="0"/>
        <v>0</v>
      </c>
      <c r="I4" s="5">
        <f t="shared" si="1"/>
        <v>0</v>
      </c>
      <c r="J4" s="5"/>
      <c r="K4" s="5"/>
      <c r="L4" s="1"/>
      <c r="M4" s="5"/>
      <c r="N4" s="5">
        <f t="shared" ref="N4:N67" si="8">IF((J4-K4)&lt;0,0,(J4-K4))</f>
        <v>0</v>
      </c>
      <c r="O4" s="5">
        <f t="shared" ref="O4:O67" si="9">IF((K4-J4)&lt;0,0,(K4-J4))</f>
        <v>0</v>
      </c>
      <c r="P4" s="5"/>
      <c r="Q4" s="5"/>
      <c r="R4" s="1"/>
      <c r="S4" s="5"/>
      <c r="T4" s="5">
        <f t="shared" ref="T4:T67" si="10">IF((P4-Q4)&lt;0,0,(P4-Q4))</f>
        <v>0</v>
      </c>
      <c r="U4" s="5">
        <f t="shared" ref="U4:U67" si="11">IF((Q4-P4)&lt;0,0,(Q4-P4))</f>
        <v>0</v>
      </c>
      <c r="V4" s="5"/>
      <c r="W4" s="5"/>
      <c r="X4" s="1"/>
      <c r="Y4" s="5"/>
      <c r="Z4" s="5">
        <f t="shared" ref="Z4:Z67" si="12">IF((V4-W4)&lt;0,0,(V4-W4))</f>
        <v>0</v>
      </c>
      <c r="AA4" s="5">
        <f t="shared" ref="AA4:AA67" si="13">IF((W4-V4)&lt;0,0,(W4-V4))</f>
        <v>0</v>
      </c>
    </row>
    <row r="5" spans="1:27" ht="19.5">
      <c r="A5" s="1">
        <v>1</v>
      </c>
      <c r="B5" s="2" t="s">
        <v>11</v>
      </c>
      <c r="C5" s="1">
        <v>65</v>
      </c>
      <c r="D5" s="5"/>
      <c r="E5" s="5"/>
      <c r="F5" s="1"/>
      <c r="G5" s="5"/>
      <c r="H5" s="5">
        <f t="shared" si="0"/>
        <v>0</v>
      </c>
      <c r="I5" s="5">
        <f t="shared" si="1"/>
        <v>0</v>
      </c>
      <c r="J5" s="5"/>
      <c r="K5" s="5"/>
      <c r="L5" s="1"/>
      <c r="M5" s="5"/>
      <c r="N5" s="5">
        <f t="shared" si="8"/>
        <v>0</v>
      </c>
      <c r="O5" s="5">
        <f t="shared" si="9"/>
        <v>0</v>
      </c>
      <c r="P5" s="5"/>
      <c r="Q5" s="5"/>
      <c r="R5" s="1"/>
      <c r="S5" s="5"/>
      <c r="T5" s="5">
        <f t="shared" si="10"/>
        <v>0</v>
      </c>
      <c r="U5" s="5">
        <f t="shared" si="11"/>
        <v>0</v>
      </c>
      <c r="V5" s="5"/>
      <c r="W5" s="5"/>
      <c r="X5" s="1"/>
      <c r="Y5" s="5"/>
      <c r="Z5" s="5">
        <f t="shared" si="12"/>
        <v>0</v>
      </c>
      <c r="AA5" s="5">
        <f t="shared" si="13"/>
        <v>0</v>
      </c>
    </row>
    <row r="6" spans="1:27" ht="19.5">
      <c r="A6" s="1">
        <v>1</v>
      </c>
      <c r="B6" s="2" t="s">
        <v>12</v>
      </c>
      <c r="C6" s="1">
        <v>65</v>
      </c>
      <c r="D6" s="5"/>
      <c r="E6" s="5"/>
      <c r="F6" s="1"/>
      <c r="G6" s="5"/>
      <c r="H6" s="5">
        <f t="shared" si="0"/>
        <v>0</v>
      </c>
      <c r="I6" s="5">
        <f t="shared" si="1"/>
        <v>0</v>
      </c>
      <c r="J6" s="5"/>
      <c r="K6" s="5"/>
      <c r="L6" s="1"/>
      <c r="M6" s="5"/>
      <c r="N6" s="5">
        <f t="shared" si="8"/>
        <v>0</v>
      </c>
      <c r="O6" s="5">
        <f t="shared" si="9"/>
        <v>0</v>
      </c>
      <c r="P6" s="5"/>
      <c r="Q6" s="5"/>
      <c r="R6" s="1"/>
      <c r="S6" s="5"/>
      <c r="T6" s="5">
        <f t="shared" si="10"/>
        <v>0</v>
      </c>
      <c r="U6" s="5">
        <f t="shared" si="11"/>
        <v>0</v>
      </c>
      <c r="V6" s="5"/>
      <c r="W6" s="5"/>
      <c r="X6" s="1"/>
      <c r="Y6" s="5"/>
      <c r="Z6" s="5">
        <f t="shared" si="12"/>
        <v>0</v>
      </c>
      <c r="AA6" s="5">
        <f t="shared" si="13"/>
        <v>0</v>
      </c>
    </row>
    <row r="7" spans="1:27" ht="19.5">
      <c r="A7" s="1">
        <v>1</v>
      </c>
      <c r="B7" s="2" t="s">
        <v>13</v>
      </c>
      <c r="C7" s="1">
        <v>65</v>
      </c>
      <c r="D7" s="5"/>
      <c r="E7" s="5"/>
      <c r="F7" s="1"/>
      <c r="G7" s="5"/>
      <c r="H7" s="5">
        <f t="shared" si="0"/>
        <v>0</v>
      </c>
      <c r="I7" s="5">
        <f t="shared" si="1"/>
        <v>0</v>
      </c>
      <c r="J7" s="5"/>
      <c r="K7" s="5"/>
      <c r="L7" s="1"/>
      <c r="M7" s="5"/>
      <c r="N7" s="5">
        <f t="shared" si="8"/>
        <v>0</v>
      </c>
      <c r="O7" s="5">
        <f t="shared" si="9"/>
        <v>0</v>
      </c>
      <c r="P7" s="5"/>
      <c r="Q7" s="5"/>
      <c r="R7" s="1"/>
      <c r="S7" s="5"/>
      <c r="T7" s="5">
        <f t="shared" si="10"/>
        <v>0</v>
      </c>
      <c r="U7" s="5">
        <f t="shared" si="11"/>
        <v>0</v>
      </c>
      <c r="V7" s="5"/>
      <c r="W7" s="5"/>
      <c r="X7" s="1"/>
      <c r="Y7" s="5"/>
      <c r="Z7" s="5">
        <f t="shared" si="12"/>
        <v>0</v>
      </c>
      <c r="AA7" s="5">
        <f t="shared" si="13"/>
        <v>0</v>
      </c>
    </row>
    <row r="8" spans="1:27" ht="19.5">
      <c r="A8" s="1">
        <v>1</v>
      </c>
      <c r="B8" s="9" t="s">
        <v>15</v>
      </c>
      <c r="C8" s="1">
        <v>65</v>
      </c>
      <c r="D8" s="5"/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/>
      <c r="K8" s="5"/>
      <c r="L8" s="1"/>
      <c r="M8" s="5"/>
      <c r="N8" s="5">
        <f t="shared" si="8"/>
        <v>0</v>
      </c>
      <c r="O8" s="5">
        <f t="shared" si="9"/>
        <v>0</v>
      </c>
      <c r="P8" s="5"/>
      <c r="Q8" s="5"/>
      <c r="R8" s="1"/>
      <c r="S8" s="5"/>
      <c r="T8" s="5">
        <f t="shared" si="10"/>
        <v>0</v>
      </c>
      <c r="U8" s="5">
        <f t="shared" si="11"/>
        <v>0</v>
      </c>
      <c r="V8" s="5"/>
      <c r="W8" s="5"/>
      <c r="X8" s="1"/>
      <c r="Y8" s="5"/>
      <c r="Z8" s="5">
        <f t="shared" si="12"/>
        <v>0</v>
      </c>
      <c r="AA8" s="5">
        <f t="shared" si="13"/>
        <v>0</v>
      </c>
    </row>
    <row r="9" spans="1:27" ht="19.5">
      <c r="A9" s="1">
        <v>1</v>
      </c>
      <c r="B9" s="9" t="s">
        <v>17</v>
      </c>
      <c r="C9" s="1">
        <v>65</v>
      </c>
      <c r="D9" s="5"/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/>
      <c r="K9" s="5"/>
      <c r="L9" s="1"/>
      <c r="M9" s="5"/>
      <c r="N9" s="5">
        <f t="shared" si="8"/>
        <v>0</v>
      </c>
      <c r="O9" s="5">
        <f t="shared" si="9"/>
        <v>0</v>
      </c>
      <c r="P9" s="5"/>
      <c r="Q9" s="5"/>
      <c r="R9" s="1"/>
      <c r="S9" s="5"/>
      <c r="T9" s="5">
        <f t="shared" si="10"/>
        <v>0</v>
      </c>
      <c r="U9" s="5">
        <f t="shared" si="11"/>
        <v>0</v>
      </c>
      <c r="V9" s="5"/>
      <c r="W9" s="5"/>
      <c r="X9" s="1"/>
      <c r="Y9" s="5"/>
      <c r="Z9" s="5">
        <f t="shared" si="12"/>
        <v>0</v>
      </c>
      <c r="AA9" s="5">
        <f t="shared" si="13"/>
        <v>0</v>
      </c>
    </row>
    <row r="10" spans="1:27" ht="19.5">
      <c r="A10" s="1">
        <v>1</v>
      </c>
      <c r="B10" s="9" t="s">
        <v>62</v>
      </c>
      <c r="C10" s="1">
        <v>65</v>
      </c>
      <c r="D10" s="5"/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/>
      <c r="K10" s="5"/>
      <c r="L10" s="1"/>
      <c r="M10" s="5"/>
      <c r="N10" s="5">
        <f t="shared" si="8"/>
        <v>0</v>
      </c>
      <c r="O10" s="5">
        <f t="shared" si="9"/>
        <v>0</v>
      </c>
      <c r="P10" s="5"/>
      <c r="Q10" s="5"/>
      <c r="R10" s="1"/>
      <c r="S10" s="5"/>
      <c r="T10" s="5">
        <f t="shared" si="10"/>
        <v>0</v>
      </c>
      <c r="U10" s="5">
        <f t="shared" si="11"/>
        <v>0</v>
      </c>
      <c r="V10" s="5"/>
      <c r="W10" s="5"/>
      <c r="X10" s="1"/>
      <c r="Y10" s="5"/>
      <c r="Z10" s="5">
        <f t="shared" si="12"/>
        <v>0</v>
      </c>
      <c r="AA10" s="5">
        <f t="shared" si="13"/>
        <v>0</v>
      </c>
    </row>
    <row r="11" spans="1:27" s="7" customFormat="1"/>
    <row r="12" spans="1:27" ht="19.5">
      <c r="A12" s="1">
        <v>2</v>
      </c>
      <c r="B12" s="2" t="s">
        <v>8</v>
      </c>
      <c r="C12" s="1">
        <v>67</v>
      </c>
      <c r="D12" s="5"/>
      <c r="E12" s="5"/>
      <c r="F12" s="1"/>
      <c r="G12" s="5"/>
      <c r="H12" s="5">
        <f t="shared" si="0"/>
        <v>0</v>
      </c>
      <c r="I12" s="5">
        <f t="shared" si="1"/>
        <v>0</v>
      </c>
      <c r="J12" s="5"/>
      <c r="K12" s="5"/>
      <c r="L12" s="1"/>
      <c r="M12" s="5"/>
      <c r="N12" s="5">
        <f t="shared" si="8"/>
        <v>0</v>
      </c>
      <c r="O12" s="5">
        <f t="shared" si="9"/>
        <v>0</v>
      </c>
      <c r="P12" s="5"/>
      <c r="Q12" s="5"/>
      <c r="R12" s="1"/>
      <c r="S12" s="5"/>
      <c r="T12" s="5">
        <f t="shared" si="10"/>
        <v>0</v>
      </c>
      <c r="U12" s="5">
        <f t="shared" si="11"/>
        <v>0</v>
      </c>
      <c r="V12" s="5"/>
      <c r="W12" s="5"/>
      <c r="X12" s="1"/>
      <c r="Y12" s="5"/>
      <c r="Z12" s="5">
        <f t="shared" si="12"/>
        <v>0</v>
      </c>
      <c r="AA12" s="5">
        <f t="shared" si="13"/>
        <v>0</v>
      </c>
    </row>
    <row r="13" spans="1:27" ht="19.5">
      <c r="A13" s="1">
        <v>2</v>
      </c>
      <c r="B13" s="2" t="s">
        <v>10</v>
      </c>
      <c r="C13" s="1">
        <v>67</v>
      </c>
      <c r="D13" s="5"/>
      <c r="E13" s="5"/>
      <c r="F13" s="1"/>
      <c r="G13" s="5"/>
      <c r="H13" s="5">
        <f t="shared" si="0"/>
        <v>0</v>
      </c>
      <c r="I13" s="5">
        <f t="shared" si="1"/>
        <v>0</v>
      </c>
      <c r="J13" s="5"/>
      <c r="K13" s="5"/>
      <c r="L13" s="1"/>
      <c r="M13" s="5"/>
      <c r="N13" s="5">
        <f t="shared" si="8"/>
        <v>0</v>
      </c>
      <c r="O13" s="5">
        <f t="shared" si="9"/>
        <v>0</v>
      </c>
      <c r="P13" s="5"/>
      <c r="Q13" s="5"/>
      <c r="R13" s="1"/>
      <c r="S13" s="5"/>
      <c r="T13" s="5">
        <f t="shared" si="10"/>
        <v>0</v>
      </c>
      <c r="U13" s="5">
        <f t="shared" si="11"/>
        <v>0</v>
      </c>
      <c r="V13" s="5"/>
      <c r="W13" s="5"/>
      <c r="X13" s="1"/>
      <c r="Y13" s="5"/>
      <c r="Z13" s="5">
        <f t="shared" si="12"/>
        <v>0</v>
      </c>
      <c r="AA13" s="5">
        <f t="shared" si="13"/>
        <v>0</v>
      </c>
    </row>
    <row r="14" spans="1:27" ht="19.5">
      <c r="A14" s="1">
        <v>2</v>
      </c>
      <c r="B14" s="2" t="s">
        <v>11</v>
      </c>
      <c r="C14" s="1">
        <v>67</v>
      </c>
      <c r="D14" s="5">
        <v>67</v>
      </c>
      <c r="E14" s="5">
        <v>70</v>
      </c>
      <c r="F14" s="1">
        <v>2025</v>
      </c>
      <c r="G14" s="5" t="s">
        <v>9</v>
      </c>
      <c r="H14" s="5">
        <f t="shared" si="0"/>
        <v>0</v>
      </c>
      <c r="I14" s="5">
        <f t="shared" si="1"/>
        <v>3</v>
      </c>
      <c r="J14" s="5"/>
      <c r="K14" s="5"/>
      <c r="L14" s="1"/>
      <c r="M14" s="5"/>
      <c r="N14" s="5">
        <f t="shared" si="8"/>
        <v>0</v>
      </c>
      <c r="O14" s="5">
        <f t="shared" si="9"/>
        <v>0</v>
      </c>
      <c r="P14" s="5"/>
      <c r="Q14" s="5"/>
      <c r="R14" s="1"/>
      <c r="S14" s="5"/>
      <c r="T14" s="5">
        <f t="shared" si="10"/>
        <v>0</v>
      </c>
      <c r="U14" s="5">
        <f t="shared" si="11"/>
        <v>0</v>
      </c>
      <c r="V14" s="5"/>
      <c r="W14" s="5"/>
      <c r="X14" s="1"/>
      <c r="Y14" s="5"/>
      <c r="Z14" s="5">
        <f t="shared" si="12"/>
        <v>0</v>
      </c>
      <c r="AA14" s="5">
        <f t="shared" si="13"/>
        <v>0</v>
      </c>
    </row>
    <row r="15" spans="1:27" ht="19.5">
      <c r="A15" s="1">
        <v>2</v>
      </c>
      <c r="B15" s="2" t="s">
        <v>12</v>
      </c>
      <c r="C15" s="1">
        <v>67</v>
      </c>
      <c r="D15" s="1">
        <v>67</v>
      </c>
      <c r="E15" s="5">
        <v>70</v>
      </c>
      <c r="F15" s="1">
        <v>2025</v>
      </c>
      <c r="G15" s="5" t="s">
        <v>9</v>
      </c>
      <c r="H15" s="5">
        <f t="shared" si="0"/>
        <v>0</v>
      </c>
      <c r="I15" s="5">
        <f t="shared" si="1"/>
        <v>3</v>
      </c>
      <c r="J15" s="5"/>
      <c r="K15" s="5"/>
      <c r="L15" s="1">
        <v>2025</v>
      </c>
      <c r="M15" s="5" t="s">
        <v>9</v>
      </c>
      <c r="N15" s="5">
        <f t="shared" si="8"/>
        <v>0</v>
      </c>
      <c r="O15" s="5">
        <f t="shared" si="9"/>
        <v>0</v>
      </c>
      <c r="P15" s="5"/>
      <c r="Q15" s="5"/>
      <c r="R15" s="1"/>
      <c r="S15" s="5"/>
      <c r="T15" s="5">
        <f t="shared" si="10"/>
        <v>0</v>
      </c>
      <c r="U15" s="5">
        <f t="shared" si="11"/>
        <v>0</v>
      </c>
      <c r="V15" s="5"/>
      <c r="W15" s="5"/>
      <c r="X15" s="1"/>
      <c r="Y15" s="5"/>
      <c r="Z15" s="5">
        <f t="shared" si="12"/>
        <v>0</v>
      </c>
      <c r="AA15" s="5">
        <f t="shared" si="13"/>
        <v>0</v>
      </c>
    </row>
    <row r="16" spans="1:27" ht="19.5">
      <c r="A16" s="1">
        <v>2</v>
      </c>
      <c r="B16" s="2" t="s">
        <v>13</v>
      </c>
      <c r="C16" s="1">
        <v>67</v>
      </c>
      <c r="D16" s="1">
        <v>67</v>
      </c>
      <c r="E16" s="5">
        <v>71</v>
      </c>
      <c r="F16" s="1">
        <v>2025</v>
      </c>
      <c r="G16" s="5" t="s">
        <v>9</v>
      </c>
      <c r="H16" s="5">
        <f t="shared" si="0"/>
        <v>0</v>
      </c>
      <c r="I16" s="5">
        <f t="shared" si="1"/>
        <v>4</v>
      </c>
      <c r="J16" s="5"/>
      <c r="K16" s="5"/>
      <c r="L16" s="1"/>
      <c r="M16" s="5"/>
      <c r="N16" s="5">
        <f t="shared" si="8"/>
        <v>0</v>
      </c>
      <c r="O16" s="5">
        <f t="shared" si="9"/>
        <v>0</v>
      </c>
      <c r="P16" s="5"/>
      <c r="Q16" s="5"/>
      <c r="R16" s="1"/>
      <c r="S16" s="5"/>
      <c r="T16" s="5">
        <f t="shared" si="10"/>
        <v>0</v>
      </c>
      <c r="U16" s="5">
        <f t="shared" si="11"/>
        <v>0</v>
      </c>
      <c r="V16" s="5"/>
      <c r="W16" s="5"/>
      <c r="X16" s="1"/>
      <c r="Y16" s="5"/>
      <c r="Z16" s="5">
        <f t="shared" si="12"/>
        <v>0</v>
      </c>
      <c r="AA16" s="5">
        <f t="shared" si="13"/>
        <v>0</v>
      </c>
    </row>
    <row r="17" spans="1:27" ht="19.5">
      <c r="A17" s="1">
        <v>2</v>
      </c>
      <c r="B17" s="9" t="s">
        <v>17</v>
      </c>
      <c r="C17" s="1">
        <v>67</v>
      </c>
      <c r="D17" s="1">
        <v>67</v>
      </c>
      <c r="E17" s="5">
        <v>70</v>
      </c>
      <c r="F17" s="1">
        <v>2025</v>
      </c>
      <c r="G17" s="5" t="s">
        <v>9</v>
      </c>
      <c r="H17" s="5">
        <f>IF((D17-E17)&lt;0,0,(D17-E17))</f>
        <v>0</v>
      </c>
      <c r="I17" s="5">
        <f>IF((E17-D17)&lt;0,0,(E17-D17))</f>
        <v>3</v>
      </c>
      <c r="J17" s="5"/>
      <c r="K17" s="5"/>
      <c r="L17" s="1">
        <v>2025</v>
      </c>
      <c r="M17" s="5" t="s">
        <v>9</v>
      </c>
      <c r="N17" s="5">
        <f t="shared" si="8"/>
        <v>0</v>
      </c>
      <c r="O17" s="5">
        <f t="shared" si="9"/>
        <v>0</v>
      </c>
      <c r="P17" s="5"/>
      <c r="Q17" s="5"/>
      <c r="R17" s="1"/>
      <c r="S17" s="5"/>
      <c r="T17" s="5">
        <f t="shared" si="10"/>
        <v>0</v>
      </c>
      <c r="U17" s="5">
        <f t="shared" si="11"/>
        <v>0</v>
      </c>
      <c r="V17" s="5"/>
      <c r="W17" s="5"/>
      <c r="X17" s="1"/>
      <c r="Y17" s="5"/>
      <c r="Z17" s="5">
        <f t="shared" si="12"/>
        <v>0</v>
      </c>
      <c r="AA17" s="5">
        <f t="shared" si="13"/>
        <v>0</v>
      </c>
    </row>
    <row r="18" spans="1:27" ht="19.5">
      <c r="A18" s="1">
        <v>2</v>
      </c>
      <c r="B18" s="9" t="s">
        <v>15</v>
      </c>
      <c r="C18" s="1">
        <v>67</v>
      </c>
      <c r="D18" s="1">
        <v>67</v>
      </c>
      <c r="E18" s="5">
        <v>71</v>
      </c>
      <c r="F18" s="1">
        <v>2025</v>
      </c>
      <c r="G18" s="5" t="s">
        <v>9</v>
      </c>
      <c r="H18" s="5">
        <f>IF((D18-E18)&lt;0,0,(D18-E18))</f>
        <v>0</v>
      </c>
      <c r="I18" s="5">
        <f>IF((E18-D18)&lt;0,0,(E18-D18))</f>
        <v>4</v>
      </c>
      <c r="J18" s="5"/>
      <c r="K18" s="5"/>
      <c r="L18" s="1"/>
      <c r="M18" s="5"/>
      <c r="N18" s="5">
        <f t="shared" si="8"/>
        <v>0</v>
      </c>
      <c r="O18" s="5">
        <f t="shared" si="9"/>
        <v>0</v>
      </c>
      <c r="P18" s="5"/>
      <c r="Q18" s="5"/>
      <c r="R18" s="1"/>
      <c r="S18" s="5"/>
      <c r="T18" s="5">
        <f t="shared" si="10"/>
        <v>0</v>
      </c>
      <c r="U18" s="5">
        <f t="shared" si="11"/>
        <v>0</v>
      </c>
      <c r="V18" s="5"/>
      <c r="W18" s="5"/>
      <c r="X18" s="1"/>
      <c r="Y18" s="5"/>
      <c r="Z18" s="5">
        <f t="shared" si="12"/>
        <v>0</v>
      </c>
      <c r="AA18" s="5">
        <f t="shared" si="13"/>
        <v>0</v>
      </c>
    </row>
    <row r="19" spans="1:27" ht="19.5">
      <c r="A19" s="1">
        <v>2</v>
      </c>
      <c r="B19" s="9" t="s">
        <v>62</v>
      </c>
      <c r="C19" s="1">
        <v>67</v>
      </c>
      <c r="D19" s="5"/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/>
      <c r="K19" s="5"/>
      <c r="L19" s="1"/>
      <c r="M19" s="5"/>
      <c r="N19" s="5">
        <f t="shared" si="8"/>
        <v>0</v>
      </c>
      <c r="O19" s="5">
        <f t="shared" si="9"/>
        <v>0</v>
      </c>
      <c r="P19" s="5"/>
      <c r="Q19" s="5"/>
      <c r="R19" s="1"/>
      <c r="S19" s="5"/>
      <c r="T19" s="5">
        <f t="shared" si="10"/>
        <v>0</v>
      </c>
      <c r="U19" s="5">
        <f t="shared" si="11"/>
        <v>0</v>
      </c>
      <c r="V19" s="5"/>
      <c r="W19" s="5"/>
      <c r="X19" s="1"/>
      <c r="Y19" s="5"/>
      <c r="Z19" s="5">
        <f t="shared" si="12"/>
        <v>0</v>
      </c>
      <c r="AA19" s="5">
        <f t="shared" si="13"/>
        <v>0</v>
      </c>
    </row>
    <row r="20" spans="1:27" s="7" customFormat="1"/>
    <row r="21" spans="1:27" ht="19.5">
      <c r="A21" s="1">
        <v>3</v>
      </c>
      <c r="B21" s="2" t="s">
        <v>8</v>
      </c>
      <c r="C21" s="1">
        <v>73</v>
      </c>
      <c r="D21" s="5"/>
      <c r="E21" s="5"/>
      <c r="F21" s="1"/>
      <c r="G21" s="5"/>
      <c r="H21" s="5">
        <f t="shared" si="0"/>
        <v>0</v>
      </c>
      <c r="I21" s="5">
        <f t="shared" si="1"/>
        <v>0</v>
      </c>
      <c r="J21" s="5"/>
      <c r="K21" s="5"/>
      <c r="L21" s="1"/>
      <c r="M21" s="5"/>
      <c r="N21" s="5">
        <f t="shared" si="8"/>
        <v>0</v>
      </c>
      <c r="O21" s="5">
        <f t="shared" si="9"/>
        <v>0</v>
      </c>
      <c r="P21" s="5"/>
      <c r="Q21" s="5"/>
      <c r="R21" s="1"/>
      <c r="S21" s="5"/>
      <c r="T21" s="5">
        <f t="shared" si="10"/>
        <v>0</v>
      </c>
      <c r="U21" s="5">
        <f t="shared" si="11"/>
        <v>0</v>
      </c>
      <c r="V21" s="5"/>
      <c r="W21" s="5"/>
      <c r="X21" s="1"/>
      <c r="Y21" s="5"/>
      <c r="Z21" s="5">
        <f t="shared" si="12"/>
        <v>0</v>
      </c>
      <c r="AA21" s="5">
        <f t="shared" si="13"/>
        <v>0</v>
      </c>
    </row>
    <row r="22" spans="1:27" ht="19.5">
      <c r="A22" s="1">
        <v>3</v>
      </c>
      <c r="B22" s="2" t="s">
        <v>10</v>
      </c>
      <c r="C22" s="1">
        <v>73</v>
      </c>
      <c r="D22" s="5"/>
      <c r="E22" s="5"/>
      <c r="F22" s="1"/>
      <c r="G22" s="5"/>
      <c r="H22" s="5">
        <f t="shared" si="0"/>
        <v>0</v>
      </c>
      <c r="I22" s="5">
        <f t="shared" si="1"/>
        <v>0</v>
      </c>
      <c r="J22" s="5"/>
      <c r="K22" s="5"/>
      <c r="L22" s="1"/>
      <c r="M22" s="5"/>
      <c r="N22" s="5">
        <f t="shared" si="8"/>
        <v>0</v>
      </c>
      <c r="O22" s="5">
        <f t="shared" si="9"/>
        <v>0</v>
      </c>
      <c r="P22" s="5"/>
      <c r="Q22" s="5"/>
      <c r="R22" s="1"/>
      <c r="S22" s="5"/>
      <c r="T22" s="5">
        <f t="shared" si="10"/>
        <v>0</v>
      </c>
      <c r="U22" s="5">
        <f t="shared" si="11"/>
        <v>0</v>
      </c>
      <c r="V22" s="5"/>
      <c r="W22" s="5"/>
      <c r="X22" s="1"/>
      <c r="Y22" s="5"/>
      <c r="Z22" s="5">
        <f t="shared" si="12"/>
        <v>0</v>
      </c>
      <c r="AA22" s="5">
        <f t="shared" si="13"/>
        <v>0</v>
      </c>
    </row>
    <row r="23" spans="1:27" ht="19.5">
      <c r="A23" s="1">
        <v>3</v>
      </c>
      <c r="B23" s="2" t="s">
        <v>11</v>
      </c>
      <c r="C23" s="1">
        <v>73</v>
      </c>
      <c r="D23" s="5"/>
      <c r="E23" s="5"/>
      <c r="F23" s="1">
        <v>2025</v>
      </c>
      <c r="G23" s="5" t="s">
        <v>9</v>
      </c>
      <c r="H23" s="5">
        <f t="shared" si="0"/>
        <v>0</v>
      </c>
      <c r="I23" s="5">
        <f t="shared" si="1"/>
        <v>0</v>
      </c>
      <c r="J23" s="5"/>
      <c r="K23" s="5"/>
      <c r="L23" s="1"/>
      <c r="M23" s="5"/>
      <c r="N23" s="5">
        <f t="shared" si="8"/>
        <v>0</v>
      </c>
      <c r="O23" s="5">
        <f t="shared" si="9"/>
        <v>0</v>
      </c>
      <c r="P23" s="5"/>
      <c r="Q23" s="5"/>
      <c r="R23" s="1"/>
      <c r="S23" s="5"/>
      <c r="T23" s="5">
        <f t="shared" si="10"/>
        <v>0</v>
      </c>
      <c r="U23" s="5">
        <f t="shared" si="11"/>
        <v>0</v>
      </c>
      <c r="V23" s="5"/>
      <c r="W23" s="5"/>
      <c r="X23" s="1"/>
      <c r="Y23" s="5"/>
      <c r="Z23" s="5">
        <f t="shared" si="12"/>
        <v>0</v>
      </c>
      <c r="AA23" s="5">
        <f t="shared" si="13"/>
        <v>0</v>
      </c>
    </row>
    <row r="24" spans="1:27" ht="19.5">
      <c r="A24" s="1">
        <v>3</v>
      </c>
      <c r="B24" s="2" t="s">
        <v>14</v>
      </c>
      <c r="C24" s="1">
        <v>73</v>
      </c>
      <c r="D24" s="5"/>
      <c r="E24" s="5"/>
      <c r="F24" s="1">
        <v>2025</v>
      </c>
      <c r="G24" s="5" t="s">
        <v>9</v>
      </c>
      <c r="H24" s="5">
        <f t="shared" si="0"/>
        <v>0</v>
      </c>
      <c r="I24" s="5">
        <f t="shared" si="1"/>
        <v>0</v>
      </c>
      <c r="J24" s="5"/>
      <c r="K24" s="5"/>
      <c r="L24" s="1"/>
      <c r="M24" s="5"/>
      <c r="N24" s="5">
        <f t="shared" si="8"/>
        <v>0</v>
      </c>
      <c r="O24" s="5">
        <f t="shared" si="9"/>
        <v>0</v>
      </c>
      <c r="P24" s="5"/>
      <c r="Q24" s="5"/>
      <c r="R24" s="1"/>
      <c r="S24" s="5"/>
      <c r="T24" s="5">
        <f t="shared" si="10"/>
        <v>0</v>
      </c>
      <c r="U24" s="5">
        <f t="shared" si="11"/>
        <v>0</v>
      </c>
      <c r="V24" s="5"/>
      <c r="W24" s="5"/>
      <c r="X24" s="1"/>
      <c r="Y24" s="5"/>
      <c r="Z24" s="5">
        <f t="shared" si="12"/>
        <v>0</v>
      </c>
      <c r="AA24" s="5">
        <f t="shared" si="13"/>
        <v>0</v>
      </c>
    </row>
    <row r="25" spans="1:27" ht="19.5">
      <c r="A25" s="1">
        <v>3</v>
      </c>
      <c r="B25" s="2" t="s">
        <v>12</v>
      </c>
      <c r="C25" s="1">
        <v>73</v>
      </c>
      <c r="D25" s="5"/>
      <c r="E25" s="5"/>
      <c r="F25" s="1">
        <v>2025</v>
      </c>
      <c r="G25" s="5" t="s">
        <v>9</v>
      </c>
      <c r="H25" s="5">
        <f t="shared" si="0"/>
        <v>0</v>
      </c>
      <c r="I25" s="5">
        <f t="shared" si="1"/>
        <v>0</v>
      </c>
      <c r="J25" s="5"/>
      <c r="K25" s="5"/>
      <c r="L25" s="1"/>
      <c r="M25" s="5"/>
      <c r="N25" s="5">
        <f t="shared" si="8"/>
        <v>0</v>
      </c>
      <c r="O25" s="5">
        <f t="shared" si="9"/>
        <v>0</v>
      </c>
      <c r="P25" s="5"/>
      <c r="Q25" s="5"/>
      <c r="R25" s="1"/>
      <c r="S25" s="5"/>
      <c r="T25" s="5">
        <f t="shared" si="10"/>
        <v>0</v>
      </c>
      <c r="U25" s="5">
        <f t="shared" si="11"/>
        <v>0</v>
      </c>
      <c r="V25" s="5"/>
      <c r="W25" s="5"/>
      <c r="X25" s="1"/>
      <c r="Y25" s="5"/>
      <c r="Z25" s="5">
        <f t="shared" si="12"/>
        <v>0</v>
      </c>
      <c r="AA25" s="5">
        <f t="shared" si="13"/>
        <v>0</v>
      </c>
    </row>
    <row r="26" spans="1:27" ht="19.5">
      <c r="A26" s="1">
        <v>3</v>
      </c>
      <c r="B26" s="2" t="s">
        <v>13</v>
      </c>
      <c r="C26" s="1">
        <v>73</v>
      </c>
      <c r="D26" s="5"/>
      <c r="E26" s="5"/>
      <c r="F26" s="1">
        <v>2025</v>
      </c>
      <c r="G26" s="5" t="s">
        <v>9</v>
      </c>
      <c r="H26" s="5">
        <f t="shared" si="0"/>
        <v>0</v>
      </c>
      <c r="I26" s="5">
        <f t="shared" si="1"/>
        <v>0</v>
      </c>
      <c r="J26" s="5"/>
      <c r="K26" s="5"/>
      <c r="L26" s="1"/>
      <c r="M26" s="5"/>
      <c r="N26" s="5">
        <f t="shared" si="8"/>
        <v>0</v>
      </c>
      <c r="O26" s="5">
        <f t="shared" si="9"/>
        <v>0</v>
      </c>
      <c r="P26" s="5"/>
      <c r="Q26" s="5"/>
      <c r="R26" s="1"/>
      <c r="S26" s="5"/>
      <c r="T26" s="5">
        <f t="shared" si="10"/>
        <v>0</v>
      </c>
      <c r="U26" s="5">
        <f t="shared" si="11"/>
        <v>0</v>
      </c>
      <c r="V26" s="5"/>
      <c r="W26" s="5"/>
      <c r="X26" s="1"/>
      <c r="Y26" s="5"/>
      <c r="Z26" s="5">
        <f t="shared" si="12"/>
        <v>0</v>
      </c>
      <c r="AA26" s="5">
        <f t="shared" si="13"/>
        <v>0</v>
      </c>
    </row>
    <row r="27" spans="1:27" ht="19.5">
      <c r="A27" s="1">
        <v>3</v>
      </c>
      <c r="B27" s="9" t="s">
        <v>15</v>
      </c>
      <c r="C27" s="1">
        <v>73</v>
      </c>
      <c r="D27" s="5"/>
      <c r="E27" s="5"/>
      <c r="F27" s="1">
        <v>2025</v>
      </c>
      <c r="G27" s="5" t="s">
        <v>9</v>
      </c>
      <c r="H27" s="5">
        <f>IF((D27-E27)&lt;0,0,(D27-E27))</f>
        <v>0</v>
      </c>
      <c r="I27" s="5">
        <f>IF((E27-D27)&lt;0,0,(E27-D27))</f>
        <v>0</v>
      </c>
      <c r="J27" s="5"/>
      <c r="K27" s="5"/>
      <c r="L27" s="1"/>
      <c r="M27" s="5"/>
      <c r="N27" s="5">
        <f t="shared" si="8"/>
        <v>0</v>
      </c>
      <c r="O27" s="5">
        <f t="shared" si="9"/>
        <v>0</v>
      </c>
      <c r="P27" s="5"/>
      <c r="Q27" s="5"/>
      <c r="R27" s="1"/>
      <c r="S27" s="5"/>
      <c r="T27" s="5">
        <f t="shared" si="10"/>
        <v>0</v>
      </c>
      <c r="U27" s="5">
        <f t="shared" si="11"/>
        <v>0</v>
      </c>
      <c r="V27" s="5"/>
      <c r="W27" s="5"/>
      <c r="X27" s="1"/>
      <c r="Y27" s="5"/>
      <c r="Z27" s="5">
        <f t="shared" si="12"/>
        <v>0</v>
      </c>
      <c r="AA27" s="5">
        <f t="shared" si="13"/>
        <v>0</v>
      </c>
    </row>
    <row r="28" spans="1:27" ht="19.5">
      <c r="A28" s="1">
        <v>3</v>
      </c>
      <c r="B28" s="9" t="s">
        <v>17</v>
      </c>
      <c r="C28" s="1">
        <v>73</v>
      </c>
      <c r="D28" s="5"/>
      <c r="E28" s="5"/>
      <c r="F28" s="1">
        <v>2025</v>
      </c>
      <c r="G28" s="5" t="s">
        <v>9</v>
      </c>
      <c r="H28" s="5">
        <f>IF((D28-E28)&lt;0,0,(D28-E28))</f>
        <v>0</v>
      </c>
      <c r="I28" s="5">
        <f>IF((E28-D28)&lt;0,0,(E28-D28))</f>
        <v>0</v>
      </c>
      <c r="J28" s="5"/>
      <c r="K28" s="5"/>
      <c r="L28" s="1"/>
      <c r="M28" s="5"/>
      <c r="N28" s="5">
        <f t="shared" si="8"/>
        <v>0</v>
      </c>
      <c r="O28" s="5">
        <f t="shared" si="9"/>
        <v>0</v>
      </c>
      <c r="P28" s="5"/>
      <c r="Q28" s="5"/>
      <c r="R28" s="1"/>
      <c r="S28" s="5"/>
      <c r="T28" s="5">
        <f t="shared" si="10"/>
        <v>0</v>
      </c>
      <c r="U28" s="5">
        <f t="shared" si="11"/>
        <v>0</v>
      </c>
      <c r="V28" s="5"/>
      <c r="W28" s="5"/>
      <c r="X28" s="1"/>
      <c r="Y28" s="5"/>
      <c r="Z28" s="5">
        <f t="shared" si="12"/>
        <v>0</v>
      </c>
      <c r="AA28" s="5">
        <f t="shared" si="13"/>
        <v>0</v>
      </c>
    </row>
    <row r="29" spans="1:27" ht="19.5">
      <c r="A29" s="1">
        <v>3</v>
      </c>
      <c r="B29" s="9" t="s">
        <v>62</v>
      </c>
      <c r="C29" s="1">
        <v>73</v>
      </c>
      <c r="D29" s="5"/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/>
      <c r="K29" s="5"/>
      <c r="L29" s="1"/>
      <c r="M29" s="5"/>
      <c r="N29" s="5">
        <f t="shared" si="8"/>
        <v>0</v>
      </c>
      <c r="O29" s="5">
        <f t="shared" si="9"/>
        <v>0</v>
      </c>
      <c r="P29" s="5"/>
      <c r="Q29" s="5"/>
      <c r="R29" s="1"/>
      <c r="S29" s="5"/>
      <c r="T29" s="5">
        <f t="shared" si="10"/>
        <v>0</v>
      </c>
      <c r="U29" s="5">
        <f t="shared" si="11"/>
        <v>0</v>
      </c>
      <c r="V29" s="5"/>
      <c r="W29" s="5"/>
      <c r="X29" s="1"/>
      <c r="Y29" s="5"/>
      <c r="Z29" s="5">
        <f t="shared" si="12"/>
        <v>0</v>
      </c>
      <c r="AA29" s="5">
        <f t="shared" si="13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83</v>
      </c>
      <c r="D31" s="5"/>
      <c r="E31" s="5"/>
      <c r="F31" s="1">
        <v>2025</v>
      </c>
      <c r="G31" s="5"/>
      <c r="H31" s="5">
        <f t="shared" si="0"/>
        <v>0</v>
      </c>
      <c r="I31" s="5">
        <f t="shared" si="1"/>
        <v>0</v>
      </c>
      <c r="J31" s="5"/>
      <c r="K31" s="5"/>
      <c r="L31" s="1"/>
      <c r="M31" s="5"/>
      <c r="N31" s="5">
        <f t="shared" si="8"/>
        <v>0</v>
      </c>
      <c r="O31" s="5">
        <f t="shared" si="9"/>
        <v>0</v>
      </c>
      <c r="P31" s="5"/>
      <c r="Q31" s="5"/>
      <c r="R31" s="1"/>
      <c r="S31" s="5"/>
      <c r="T31" s="5">
        <f t="shared" si="10"/>
        <v>0</v>
      </c>
      <c r="U31" s="5">
        <f t="shared" si="11"/>
        <v>0</v>
      </c>
      <c r="V31" s="5"/>
      <c r="W31" s="5"/>
      <c r="X31" s="1"/>
      <c r="Y31" s="5"/>
      <c r="Z31" s="5">
        <f t="shared" si="12"/>
        <v>0</v>
      </c>
      <c r="AA31" s="5">
        <f t="shared" si="13"/>
        <v>0</v>
      </c>
    </row>
    <row r="32" spans="1:27" ht="19.5">
      <c r="A32" s="1">
        <v>4</v>
      </c>
      <c r="B32" s="9" t="s">
        <v>17</v>
      </c>
      <c r="C32" s="1">
        <v>83</v>
      </c>
      <c r="D32" s="5"/>
      <c r="E32" s="5"/>
      <c r="F32" s="1">
        <v>2025</v>
      </c>
      <c r="G32" s="5"/>
      <c r="H32" s="5">
        <f t="shared" si="0"/>
        <v>0</v>
      </c>
      <c r="I32" s="5">
        <f t="shared" si="1"/>
        <v>0</v>
      </c>
      <c r="J32" s="5"/>
      <c r="K32" s="5"/>
      <c r="L32" s="1"/>
      <c r="M32" s="5"/>
      <c r="N32" s="5">
        <f t="shared" si="8"/>
        <v>0</v>
      </c>
      <c r="O32" s="5">
        <f t="shared" si="9"/>
        <v>0</v>
      </c>
      <c r="P32" s="5"/>
      <c r="Q32" s="5"/>
      <c r="R32" s="1"/>
      <c r="S32" s="5"/>
      <c r="T32" s="5">
        <f t="shared" si="10"/>
        <v>0</v>
      </c>
      <c r="U32" s="5">
        <f t="shared" si="11"/>
        <v>0</v>
      </c>
      <c r="V32" s="5"/>
      <c r="W32" s="5"/>
      <c r="X32" s="1"/>
      <c r="Y32" s="5"/>
      <c r="Z32" s="5">
        <f t="shared" si="12"/>
        <v>0</v>
      </c>
      <c r="AA32" s="5">
        <f t="shared" si="13"/>
        <v>0</v>
      </c>
    </row>
    <row r="33" spans="1:27" ht="19.5">
      <c r="A33" s="1">
        <v>4</v>
      </c>
      <c r="B33" s="9" t="s">
        <v>13</v>
      </c>
      <c r="C33" s="1">
        <v>83</v>
      </c>
      <c r="D33" s="5"/>
      <c r="E33" s="5"/>
      <c r="F33" s="1">
        <v>2025</v>
      </c>
      <c r="G33" s="5"/>
      <c r="H33" s="5">
        <f t="shared" si="0"/>
        <v>0</v>
      </c>
      <c r="I33" s="5">
        <f t="shared" si="1"/>
        <v>0</v>
      </c>
      <c r="J33" s="5"/>
      <c r="K33" s="5"/>
      <c r="L33" s="1"/>
      <c r="M33" s="5"/>
      <c r="N33" s="5">
        <f t="shared" si="8"/>
        <v>0</v>
      </c>
      <c r="O33" s="5">
        <f t="shared" si="9"/>
        <v>0</v>
      </c>
      <c r="P33" s="5"/>
      <c r="Q33" s="5"/>
      <c r="R33" s="1"/>
      <c r="S33" s="5"/>
      <c r="T33" s="5">
        <f t="shared" si="10"/>
        <v>0</v>
      </c>
      <c r="U33" s="5">
        <f t="shared" si="11"/>
        <v>0</v>
      </c>
      <c r="V33" s="5"/>
      <c r="W33" s="5"/>
      <c r="X33" s="1"/>
      <c r="Y33" s="5"/>
      <c r="Z33" s="5">
        <f t="shared" si="12"/>
        <v>0</v>
      </c>
      <c r="AA33" s="5">
        <f t="shared" si="13"/>
        <v>0</v>
      </c>
    </row>
    <row r="34" spans="1:27" ht="19.5">
      <c r="A34" s="1">
        <v>4</v>
      </c>
      <c r="B34" s="9" t="s">
        <v>11</v>
      </c>
      <c r="C34" s="1">
        <v>83</v>
      </c>
      <c r="D34" s="5"/>
      <c r="E34" s="5"/>
      <c r="F34" s="1">
        <v>2025</v>
      </c>
      <c r="G34" s="5"/>
      <c r="H34" s="5">
        <f t="shared" si="0"/>
        <v>0</v>
      </c>
      <c r="I34" s="5">
        <f t="shared" si="1"/>
        <v>0</v>
      </c>
      <c r="J34" s="5"/>
      <c r="K34" s="5"/>
      <c r="L34" s="1"/>
      <c r="M34" s="5"/>
      <c r="N34" s="5">
        <f t="shared" si="8"/>
        <v>0</v>
      </c>
      <c r="O34" s="5">
        <f t="shared" si="9"/>
        <v>0</v>
      </c>
      <c r="P34" s="5"/>
      <c r="Q34" s="5"/>
      <c r="R34" s="1"/>
      <c r="S34" s="5"/>
      <c r="T34" s="5">
        <f t="shared" si="10"/>
        <v>0</v>
      </c>
      <c r="U34" s="5">
        <f t="shared" si="11"/>
        <v>0</v>
      </c>
      <c r="V34" s="5"/>
      <c r="W34" s="5"/>
      <c r="X34" s="1"/>
      <c r="Y34" s="5"/>
      <c r="Z34" s="5">
        <f t="shared" si="12"/>
        <v>0</v>
      </c>
      <c r="AA34" s="5">
        <f t="shared" si="13"/>
        <v>0</v>
      </c>
    </row>
    <row r="35" spans="1:27" ht="19.5">
      <c r="A35" s="1">
        <v>4</v>
      </c>
      <c r="B35" s="9" t="s">
        <v>18</v>
      </c>
      <c r="C35" s="1">
        <v>83</v>
      </c>
      <c r="D35" s="5"/>
      <c r="E35" s="5"/>
      <c r="F35" s="1">
        <v>2025</v>
      </c>
      <c r="G35" s="5"/>
      <c r="H35" s="5">
        <f t="shared" si="0"/>
        <v>0</v>
      </c>
      <c r="I35" s="5">
        <f t="shared" si="1"/>
        <v>0</v>
      </c>
      <c r="J35" s="5"/>
      <c r="K35" s="5"/>
      <c r="L35" s="1"/>
      <c r="M35" s="5"/>
      <c r="N35" s="5">
        <f t="shared" si="8"/>
        <v>0</v>
      </c>
      <c r="O35" s="5">
        <f t="shared" si="9"/>
        <v>0</v>
      </c>
      <c r="P35" s="5"/>
      <c r="Q35" s="5"/>
      <c r="R35" s="1"/>
      <c r="S35" s="5"/>
      <c r="T35" s="5">
        <f t="shared" si="10"/>
        <v>0</v>
      </c>
      <c r="U35" s="5">
        <f t="shared" si="11"/>
        <v>0</v>
      </c>
      <c r="V35" s="5"/>
      <c r="W35" s="5"/>
      <c r="X35" s="1"/>
      <c r="Y35" s="5"/>
      <c r="Z35" s="5">
        <f t="shared" si="12"/>
        <v>0</v>
      </c>
      <c r="AA35" s="5">
        <f t="shared" si="13"/>
        <v>0</v>
      </c>
    </row>
    <row r="36" spans="1:27" ht="19.5">
      <c r="A36" s="1">
        <v>4</v>
      </c>
      <c r="B36" s="9" t="s">
        <v>14</v>
      </c>
      <c r="C36" s="1">
        <v>83</v>
      </c>
      <c r="D36" s="5"/>
      <c r="E36" s="5"/>
      <c r="F36" s="1">
        <v>2025</v>
      </c>
      <c r="G36" s="5"/>
      <c r="H36" s="5">
        <f t="shared" si="0"/>
        <v>0</v>
      </c>
      <c r="I36" s="5">
        <f t="shared" si="1"/>
        <v>0</v>
      </c>
      <c r="J36" s="5"/>
      <c r="K36" s="5"/>
      <c r="L36" s="1"/>
      <c r="M36" s="5"/>
      <c r="N36" s="5">
        <f t="shared" si="8"/>
        <v>0</v>
      </c>
      <c r="O36" s="5">
        <f t="shared" si="9"/>
        <v>0</v>
      </c>
      <c r="P36" s="5"/>
      <c r="Q36" s="5"/>
      <c r="R36" s="1"/>
      <c r="S36" s="5"/>
      <c r="T36" s="5">
        <f t="shared" si="10"/>
        <v>0</v>
      </c>
      <c r="U36" s="5">
        <f t="shared" si="11"/>
        <v>0</v>
      </c>
      <c r="V36" s="5"/>
      <c r="W36" s="5"/>
      <c r="X36" s="1"/>
      <c r="Y36" s="5"/>
      <c r="Z36" s="5">
        <f t="shared" si="12"/>
        <v>0</v>
      </c>
      <c r="AA36" s="5">
        <f t="shared" si="13"/>
        <v>0</v>
      </c>
    </row>
    <row r="37" spans="1:27" ht="19.5">
      <c r="A37" s="1">
        <v>4</v>
      </c>
      <c r="B37" s="9" t="s">
        <v>19</v>
      </c>
      <c r="C37" s="1">
        <v>83</v>
      </c>
      <c r="D37" s="5"/>
      <c r="E37" s="5"/>
      <c r="F37" s="1">
        <v>2025</v>
      </c>
      <c r="G37" s="5"/>
      <c r="H37" s="5">
        <f t="shared" si="0"/>
        <v>0</v>
      </c>
      <c r="I37" s="5">
        <f t="shared" si="1"/>
        <v>0</v>
      </c>
      <c r="J37" s="5"/>
      <c r="K37" s="5"/>
      <c r="L37" s="1"/>
      <c r="M37" s="5"/>
      <c r="N37" s="5">
        <f t="shared" si="8"/>
        <v>0</v>
      </c>
      <c r="O37" s="5">
        <f t="shared" si="9"/>
        <v>0</v>
      </c>
      <c r="P37" s="5"/>
      <c r="Q37" s="5"/>
      <c r="R37" s="1"/>
      <c r="S37" s="5"/>
      <c r="T37" s="5">
        <f t="shared" si="10"/>
        <v>0</v>
      </c>
      <c r="U37" s="5">
        <f t="shared" si="11"/>
        <v>0</v>
      </c>
      <c r="V37" s="5"/>
      <c r="W37" s="5"/>
      <c r="X37" s="1"/>
      <c r="Y37" s="5"/>
      <c r="Z37" s="5">
        <f t="shared" si="12"/>
        <v>0</v>
      </c>
      <c r="AA37" s="5">
        <f t="shared" si="13"/>
        <v>0</v>
      </c>
    </row>
    <row r="38" spans="1:27" ht="19.5">
      <c r="A38" s="1">
        <v>4</v>
      </c>
      <c r="B38" s="9" t="s">
        <v>20</v>
      </c>
      <c r="C38" s="1">
        <v>83</v>
      </c>
      <c r="D38" s="5"/>
      <c r="E38" s="5"/>
      <c r="F38" s="1">
        <v>2025</v>
      </c>
      <c r="G38" s="5"/>
      <c r="H38" s="5">
        <f t="shared" si="0"/>
        <v>0</v>
      </c>
      <c r="I38" s="5">
        <f t="shared" si="1"/>
        <v>0</v>
      </c>
      <c r="J38" s="5"/>
      <c r="K38" s="5"/>
      <c r="L38" s="1"/>
      <c r="M38" s="5"/>
      <c r="N38" s="5">
        <f t="shared" si="8"/>
        <v>0</v>
      </c>
      <c r="O38" s="5">
        <f t="shared" si="9"/>
        <v>0</v>
      </c>
      <c r="P38" s="5"/>
      <c r="Q38" s="5"/>
      <c r="R38" s="1"/>
      <c r="S38" s="5"/>
      <c r="T38" s="5">
        <f t="shared" si="10"/>
        <v>0</v>
      </c>
      <c r="U38" s="5">
        <f t="shared" si="11"/>
        <v>0</v>
      </c>
      <c r="V38" s="5"/>
      <c r="W38" s="5"/>
      <c r="X38" s="1"/>
      <c r="Y38" s="5"/>
      <c r="Z38" s="5">
        <f t="shared" si="12"/>
        <v>0</v>
      </c>
      <c r="AA38" s="5">
        <f t="shared" si="13"/>
        <v>0</v>
      </c>
    </row>
    <row r="39" spans="1:27" ht="19.5">
      <c r="A39" s="1">
        <v>4</v>
      </c>
      <c r="B39" s="9" t="s">
        <v>21</v>
      </c>
      <c r="C39" s="1">
        <v>83</v>
      </c>
      <c r="D39" s="5"/>
      <c r="E39" s="5">
        <v>86</v>
      </c>
      <c r="F39" s="1">
        <v>2025</v>
      </c>
      <c r="G39" s="5" t="s">
        <v>9</v>
      </c>
      <c r="H39" s="5">
        <f t="shared" si="0"/>
        <v>0</v>
      </c>
      <c r="I39" s="5">
        <f t="shared" si="1"/>
        <v>86</v>
      </c>
      <c r="J39" s="5"/>
      <c r="K39" s="5"/>
      <c r="L39" s="1"/>
      <c r="M39" s="5"/>
      <c r="N39" s="5">
        <f t="shared" si="8"/>
        <v>0</v>
      </c>
      <c r="O39" s="5">
        <f t="shared" si="9"/>
        <v>0</v>
      </c>
      <c r="P39" s="5"/>
      <c r="Q39" s="5"/>
      <c r="R39" s="1"/>
      <c r="S39" s="5"/>
      <c r="T39" s="5">
        <f t="shared" si="10"/>
        <v>0</v>
      </c>
      <c r="U39" s="5">
        <f t="shared" si="11"/>
        <v>0</v>
      </c>
      <c r="V39" s="5"/>
      <c r="W39" s="5"/>
      <c r="X39" s="1"/>
      <c r="Y39" s="5"/>
      <c r="Z39" s="5">
        <f t="shared" si="12"/>
        <v>0</v>
      </c>
      <c r="AA39" s="5">
        <f t="shared" si="13"/>
        <v>0</v>
      </c>
    </row>
    <row r="40" spans="1:27" s="7" customFormat="1"/>
    <row r="41" spans="1:27" ht="19.5">
      <c r="A41" s="1">
        <v>5</v>
      </c>
      <c r="B41" s="9" t="s">
        <v>15</v>
      </c>
      <c r="C41" s="1">
        <v>68</v>
      </c>
      <c r="D41" s="5"/>
      <c r="E41" s="5"/>
      <c r="F41" s="1">
        <v>2025</v>
      </c>
      <c r="G41" s="5" t="s">
        <v>9</v>
      </c>
      <c r="H41" s="5">
        <f t="shared" si="0"/>
        <v>0</v>
      </c>
      <c r="I41" s="5">
        <f t="shared" si="1"/>
        <v>0</v>
      </c>
      <c r="J41" s="5"/>
      <c r="K41" s="5">
        <v>3320</v>
      </c>
      <c r="L41" s="1">
        <v>2025</v>
      </c>
      <c r="M41" s="5" t="s">
        <v>9</v>
      </c>
      <c r="N41" s="5">
        <f t="shared" si="8"/>
        <v>0</v>
      </c>
      <c r="O41" s="5">
        <f t="shared" si="9"/>
        <v>3320</v>
      </c>
      <c r="P41" s="5"/>
      <c r="Q41" s="5"/>
      <c r="R41" s="1"/>
      <c r="S41" s="5"/>
      <c r="T41" s="5">
        <f t="shared" si="10"/>
        <v>0</v>
      </c>
      <c r="U41" s="5">
        <f t="shared" si="11"/>
        <v>0</v>
      </c>
      <c r="V41" s="5"/>
      <c r="W41" s="5"/>
      <c r="X41" s="1"/>
      <c r="Y41" s="5"/>
      <c r="Z41" s="5">
        <f t="shared" si="12"/>
        <v>0</v>
      </c>
      <c r="AA41" s="5">
        <f t="shared" si="13"/>
        <v>0</v>
      </c>
    </row>
    <row r="42" spans="1:27" ht="19.5">
      <c r="A42" s="1">
        <v>5</v>
      </c>
      <c r="B42" s="9" t="s">
        <v>17</v>
      </c>
      <c r="C42" s="1">
        <v>68</v>
      </c>
      <c r="D42" s="5"/>
      <c r="E42" s="5"/>
      <c r="F42" s="1">
        <v>2025</v>
      </c>
      <c r="G42" s="5" t="s">
        <v>9</v>
      </c>
      <c r="H42" s="5">
        <f t="shared" si="0"/>
        <v>0</v>
      </c>
      <c r="I42" s="5">
        <f t="shared" si="1"/>
        <v>0</v>
      </c>
      <c r="J42" s="5"/>
      <c r="K42" s="5"/>
      <c r="L42" s="1"/>
      <c r="M42" s="5"/>
      <c r="N42" s="5">
        <f t="shared" si="8"/>
        <v>0</v>
      </c>
      <c r="O42" s="5">
        <f t="shared" si="9"/>
        <v>0</v>
      </c>
      <c r="P42" s="5"/>
      <c r="Q42" s="5"/>
      <c r="R42" s="1"/>
      <c r="S42" s="5"/>
      <c r="T42" s="5">
        <f t="shared" si="10"/>
        <v>0</v>
      </c>
      <c r="U42" s="5">
        <f t="shared" si="11"/>
        <v>0</v>
      </c>
      <c r="V42" s="5"/>
      <c r="W42" s="5"/>
      <c r="X42" s="1"/>
      <c r="Y42" s="5"/>
      <c r="Z42" s="5">
        <f t="shared" si="12"/>
        <v>0</v>
      </c>
      <c r="AA42" s="5">
        <f t="shared" si="13"/>
        <v>0</v>
      </c>
    </row>
    <row r="43" spans="1:27" ht="19.5">
      <c r="A43" s="1">
        <v>5</v>
      </c>
      <c r="B43" s="9" t="s">
        <v>13</v>
      </c>
      <c r="C43" s="1">
        <v>68</v>
      </c>
      <c r="D43" s="5"/>
      <c r="E43" s="5"/>
      <c r="F43" s="1">
        <v>2025</v>
      </c>
      <c r="G43" s="5" t="s">
        <v>9</v>
      </c>
      <c r="H43" s="5">
        <f t="shared" si="0"/>
        <v>0</v>
      </c>
      <c r="I43" s="5">
        <f t="shared" si="1"/>
        <v>0</v>
      </c>
      <c r="J43" s="5"/>
      <c r="K43" s="5">
        <v>3320</v>
      </c>
      <c r="L43" s="1">
        <v>2025</v>
      </c>
      <c r="M43" s="5" t="s">
        <v>9</v>
      </c>
      <c r="N43" s="5">
        <f t="shared" si="8"/>
        <v>0</v>
      </c>
      <c r="O43" s="5">
        <f t="shared" si="9"/>
        <v>3320</v>
      </c>
      <c r="P43" s="5"/>
      <c r="Q43" s="5"/>
      <c r="R43" s="1"/>
      <c r="S43" s="5"/>
      <c r="T43" s="5">
        <f t="shared" si="10"/>
        <v>0</v>
      </c>
      <c r="U43" s="5">
        <f t="shared" si="11"/>
        <v>0</v>
      </c>
      <c r="V43" s="5"/>
      <c r="W43" s="5"/>
      <c r="X43" s="1"/>
      <c r="Y43" s="5"/>
      <c r="Z43" s="5">
        <f t="shared" si="12"/>
        <v>0</v>
      </c>
      <c r="AA43" s="5">
        <f t="shared" si="13"/>
        <v>0</v>
      </c>
    </row>
    <row r="44" spans="1:27" ht="19.5">
      <c r="A44" s="1">
        <v>5</v>
      </c>
      <c r="B44" s="9" t="s">
        <v>11</v>
      </c>
      <c r="C44" s="1">
        <v>68</v>
      </c>
      <c r="D44" s="5"/>
      <c r="E44" s="5"/>
      <c r="F44" s="1">
        <v>2025</v>
      </c>
      <c r="G44" s="5" t="s">
        <v>9</v>
      </c>
      <c r="H44" s="5">
        <f t="shared" si="0"/>
        <v>0</v>
      </c>
      <c r="I44" s="5">
        <f t="shared" si="1"/>
        <v>0</v>
      </c>
      <c r="J44" s="5"/>
      <c r="K44" s="5"/>
      <c r="L44" s="1"/>
      <c r="M44" s="5"/>
      <c r="N44" s="5">
        <f t="shared" si="8"/>
        <v>0</v>
      </c>
      <c r="O44" s="5">
        <f t="shared" si="9"/>
        <v>0</v>
      </c>
      <c r="P44" s="5"/>
      <c r="Q44" s="5"/>
      <c r="R44" s="1"/>
      <c r="S44" s="5"/>
      <c r="T44" s="5">
        <f t="shared" si="10"/>
        <v>0</v>
      </c>
      <c r="U44" s="5">
        <f t="shared" si="11"/>
        <v>0</v>
      </c>
      <c r="V44" s="5"/>
      <c r="W44" s="5"/>
      <c r="X44" s="1"/>
      <c r="Y44" s="5"/>
      <c r="Z44" s="5">
        <f t="shared" si="12"/>
        <v>0</v>
      </c>
      <c r="AA44" s="5">
        <f t="shared" si="13"/>
        <v>0</v>
      </c>
    </row>
    <row r="45" spans="1:27" ht="19.5">
      <c r="A45" s="1">
        <v>5</v>
      </c>
      <c r="B45" s="9" t="s">
        <v>18</v>
      </c>
      <c r="C45" s="1">
        <v>68</v>
      </c>
      <c r="D45" s="5"/>
      <c r="E45" s="5"/>
      <c r="F45" s="1">
        <v>2025</v>
      </c>
      <c r="G45" s="5" t="s">
        <v>9</v>
      </c>
      <c r="H45" s="5">
        <f t="shared" si="0"/>
        <v>0</v>
      </c>
      <c r="I45" s="5">
        <f t="shared" si="1"/>
        <v>0</v>
      </c>
      <c r="J45" s="5"/>
      <c r="K45" s="5"/>
      <c r="L45" s="1"/>
      <c r="M45" s="5"/>
      <c r="N45" s="5">
        <f t="shared" si="8"/>
        <v>0</v>
      </c>
      <c r="O45" s="5">
        <f t="shared" si="9"/>
        <v>0</v>
      </c>
      <c r="P45" s="5"/>
      <c r="Q45" s="5"/>
      <c r="R45" s="1"/>
      <c r="S45" s="5"/>
      <c r="T45" s="5">
        <f t="shared" si="10"/>
        <v>0</v>
      </c>
      <c r="U45" s="5">
        <f t="shared" si="11"/>
        <v>0</v>
      </c>
      <c r="V45" s="5"/>
      <c r="W45" s="5"/>
      <c r="X45" s="1"/>
      <c r="Y45" s="5"/>
      <c r="Z45" s="5">
        <f t="shared" si="12"/>
        <v>0</v>
      </c>
      <c r="AA45" s="5">
        <f t="shared" si="13"/>
        <v>0</v>
      </c>
    </row>
    <row r="46" spans="1:27" ht="19.5">
      <c r="A46" s="1">
        <v>5</v>
      </c>
      <c r="B46" s="9" t="s">
        <v>14</v>
      </c>
      <c r="C46" s="1">
        <v>68</v>
      </c>
      <c r="D46" s="5"/>
      <c r="E46" s="5"/>
      <c r="F46" s="1">
        <v>2025</v>
      </c>
      <c r="G46" s="5" t="s">
        <v>9</v>
      </c>
      <c r="H46" s="5">
        <f t="shared" si="0"/>
        <v>0</v>
      </c>
      <c r="I46" s="5">
        <f t="shared" si="1"/>
        <v>0</v>
      </c>
      <c r="J46" s="5"/>
      <c r="K46" s="5"/>
      <c r="L46" s="1"/>
      <c r="M46" s="5"/>
      <c r="N46" s="5">
        <f t="shared" si="8"/>
        <v>0</v>
      </c>
      <c r="O46" s="5">
        <f t="shared" si="9"/>
        <v>0</v>
      </c>
      <c r="P46" s="5"/>
      <c r="Q46" s="5"/>
      <c r="R46" s="1"/>
      <c r="S46" s="5"/>
      <c r="T46" s="5">
        <f t="shared" si="10"/>
        <v>0</v>
      </c>
      <c r="U46" s="5">
        <f t="shared" si="11"/>
        <v>0</v>
      </c>
      <c r="V46" s="5"/>
      <c r="W46" s="5"/>
      <c r="X46" s="1"/>
      <c r="Y46" s="5"/>
      <c r="Z46" s="5">
        <f t="shared" si="12"/>
        <v>0</v>
      </c>
      <c r="AA46" s="5">
        <f t="shared" si="13"/>
        <v>0</v>
      </c>
    </row>
    <row r="47" spans="1:27" ht="19.5">
      <c r="A47" s="1">
        <v>5</v>
      </c>
      <c r="B47" s="9" t="s">
        <v>19</v>
      </c>
      <c r="C47" s="1">
        <v>68</v>
      </c>
      <c r="D47" s="5"/>
      <c r="E47" s="5"/>
      <c r="F47" s="1">
        <v>2025</v>
      </c>
      <c r="G47" s="5" t="s">
        <v>9</v>
      </c>
      <c r="H47" s="5">
        <f t="shared" si="0"/>
        <v>0</v>
      </c>
      <c r="I47" s="5">
        <f t="shared" si="1"/>
        <v>0</v>
      </c>
      <c r="J47" s="5"/>
      <c r="K47" s="5"/>
      <c r="L47" s="1"/>
      <c r="M47" s="5"/>
      <c r="N47" s="5">
        <f t="shared" si="8"/>
        <v>0</v>
      </c>
      <c r="O47" s="5">
        <f t="shared" si="9"/>
        <v>0</v>
      </c>
      <c r="P47" s="5"/>
      <c r="Q47" s="5"/>
      <c r="R47" s="1"/>
      <c r="S47" s="5"/>
      <c r="T47" s="5">
        <f t="shared" si="10"/>
        <v>0</v>
      </c>
      <c r="U47" s="5">
        <f t="shared" si="11"/>
        <v>0</v>
      </c>
      <c r="V47" s="5"/>
      <c r="W47" s="5"/>
      <c r="X47" s="1"/>
      <c r="Y47" s="5"/>
      <c r="Z47" s="5">
        <f t="shared" si="12"/>
        <v>0</v>
      </c>
      <c r="AA47" s="5">
        <f t="shared" si="13"/>
        <v>0</v>
      </c>
    </row>
    <row r="48" spans="1:27" ht="19.5">
      <c r="A48" s="1">
        <v>5</v>
      </c>
      <c r="B48" s="9" t="s">
        <v>20</v>
      </c>
      <c r="C48" s="1">
        <v>68</v>
      </c>
      <c r="D48" s="5"/>
      <c r="E48" s="5"/>
      <c r="F48" s="1">
        <v>2025</v>
      </c>
      <c r="G48" s="5" t="s">
        <v>9</v>
      </c>
      <c r="H48" s="5">
        <f t="shared" si="0"/>
        <v>0</v>
      </c>
      <c r="I48" s="5">
        <f t="shared" si="1"/>
        <v>0</v>
      </c>
      <c r="J48" s="5"/>
      <c r="K48" s="5"/>
      <c r="L48" s="1"/>
      <c r="M48" s="5"/>
      <c r="N48" s="5">
        <f t="shared" si="8"/>
        <v>0</v>
      </c>
      <c r="O48" s="5">
        <f t="shared" si="9"/>
        <v>0</v>
      </c>
      <c r="P48" s="5"/>
      <c r="Q48" s="5"/>
      <c r="R48" s="1"/>
      <c r="S48" s="5"/>
      <c r="T48" s="5">
        <f t="shared" si="10"/>
        <v>0</v>
      </c>
      <c r="U48" s="5">
        <f t="shared" si="11"/>
        <v>0</v>
      </c>
      <c r="V48" s="5"/>
      <c r="W48" s="5"/>
      <c r="X48" s="1"/>
      <c r="Y48" s="5"/>
      <c r="Z48" s="5">
        <f t="shared" si="12"/>
        <v>0</v>
      </c>
      <c r="AA48" s="5">
        <f t="shared" si="13"/>
        <v>0</v>
      </c>
    </row>
    <row r="49" spans="1:27" ht="19.5">
      <c r="A49" s="1">
        <v>5</v>
      </c>
      <c r="B49" s="9" t="s">
        <v>21</v>
      </c>
      <c r="C49" s="1">
        <v>68</v>
      </c>
      <c r="D49" s="5"/>
      <c r="E49" s="5"/>
      <c r="F49" s="1">
        <v>2025</v>
      </c>
      <c r="G49" s="5" t="s">
        <v>9</v>
      </c>
      <c r="H49" s="5">
        <f t="shared" si="0"/>
        <v>0</v>
      </c>
      <c r="I49" s="5">
        <f t="shared" si="1"/>
        <v>0</v>
      </c>
      <c r="J49" s="5"/>
      <c r="K49" s="5"/>
      <c r="L49" s="1"/>
      <c r="M49" s="5"/>
      <c r="N49" s="5">
        <f t="shared" si="8"/>
        <v>0</v>
      </c>
      <c r="O49" s="5">
        <f t="shared" si="9"/>
        <v>0</v>
      </c>
      <c r="P49" s="5"/>
      <c r="Q49" s="5"/>
      <c r="R49" s="1"/>
      <c r="S49" s="5"/>
      <c r="T49" s="5">
        <f t="shared" si="10"/>
        <v>0</v>
      </c>
      <c r="U49" s="5">
        <f t="shared" si="11"/>
        <v>0</v>
      </c>
      <c r="V49" s="5"/>
      <c r="W49" s="5"/>
      <c r="X49" s="1"/>
      <c r="Y49" s="5"/>
      <c r="Z49" s="5">
        <f t="shared" si="12"/>
        <v>0</v>
      </c>
      <c r="AA49" s="5">
        <f t="shared" si="13"/>
        <v>0</v>
      </c>
    </row>
    <row r="50" spans="1:27" s="7" customFormat="1"/>
    <row r="51" spans="1:27" ht="19.5">
      <c r="A51" s="1">
        <v>6</v>
      </c>
      <c r="B51" s="9" t="s">
        <v>15</v>
      </c>
      <c r="C51" s="1">
        <v>59</v>
      </c>
      <c r="D51" s="5"/>
      <c r="E51" s="5"/>
      <c r="F51" s="1"/>
      <c r="G51" s="5"/>
      <c r="H51" s="5">
        <f t="shared" si="0"/>
        <v>0</v>
      </c>
      <c r="I51" s="5">
        <f t="shared" si="1"/>
        <v>0</v>
      </c>
      <c r="J51" s="5"/>
      <c r="K51" s="5"/>
      <c r="L51" s="1"/>
      <c r="M51" s="5"/>
      <c r="N51" s="5">
        <f t="shared" si="8"/>
        <v>0</v>
      </c>
      <c r="O51" s="5">
        <f t="shared" si="9"/>
        <v>0</v>
      </c>
      <c r="P51" s="5"/>
      <c r="Q51" s="5"/>
      <c r="R51" s="1"/>
      <c r="S51" s="5"/>
      <c r="T51" s="5">
        <f t="shared" si="10"/>
        <v>0</v>
      </c>
      <c r="U51" s="5">
        <f t="shared" si="11"/>
        <v>0</v>
      </c>
      <c r="V51" s="5"/>
      <c r="W51" s="5"/>
      <c r="X51" s="1"/>
      <c r="Y51" s="5"/>
      <c r="Z51" s="5">
        <f t="shared" si="12"/>
        <v>0</v>
      </c>
      <c r="AA51" s="5">
        <f t="shared" si="13"/>
        <v>0</v>
      </c>
    </row>
    <row r="52" spans="1:27" ht="19.5">
      <c r="A52" s="1">
        <v>6</v>
      </c>
      <c r="B52" s="9" t="s">
        <v>17</v>
      </c>
      <c r="C52" s="1">
        <v>59</v>
      </c>
      <c r="D52" s="5"/>
      <c r="E52" s="5"/>
      <c r="F52" s="1"/>
      <c r="G52" s="5"/>
      <c r="H52" s="5">
        <f t="shared" si="0"/>
        <v>0</v>
      </c>
      <c r="I52" s="5">
        <f t="shared" si="1"/>
        <v>0</v>
      </c>
      <c r="J52" s="5"/>
      <c r="K52" s="5"/>
      <c r="L52" s="1"/>
      <c r="M52" s="5"/>
      <c r="N52" s="5">
        <f t="shared" si="8"/>
        <v>0</v>
      </c>
      <c r="O52" s="5">
        <f t="shared" si="9"/>
        <v>0</v>
      </c>
      <c r="P52" s="5"/>
      <c r="Q52" s="5"/>
      <c r="R52" s="1"/>
      <c r="S52" s="5"/>
      <c r="T52" s="5">
        <f t="shared" si="10"/>
        <v>0</v>
      </c>
      <c r="U52" s="5">
        <f t="shared" si="11"/>
        <v>0</v>
      </c>
      <c r="V52" s="5"/>
      <c r="W52" s="5"/>
      <c r="X52" s="1"/>
      <c r="Y52" s="5"/>
      <c r="Z52" s="5">
        <f t="shared" si="12"/>
        <v>0</v>
      </c>
      <c r="AA52" s="5">
        <f t="shared" si="13"/>
        <v>0</v>
      </c>
    </row>
    <row r="53" spans="1:27" ht="19.5">
      <c r="A53" s="1">
        <v>6</v>
      </c>
      <c r="B53" s="9" t="s">
        <v>13</v>
      </c>
      <c r="C53" s="1">
        <v>59</v>
      </c>
      <c r="D53" s="5"/>
      <c r="E53" s="5"/>
      <c r="F53" s="1"/>
      <c r="G53" s="5"/>
      <c r="H53" s="5">
        <f t="shared" si="0"/>
        <v>0</v>
      </c>
      <c r="I53" s="5">
        <f t="shared" si="1"/>
        <v>0</v>
      </c>
      <c r="J53" s="5"/>
      <c r="K53" s="5"/>
      <c r="L53" s="1"/>
      <c r="M53" s="5"/>
      <c r="N53" s="5">
        <f t="shared" si="8"/>
        <v>0</v>
      </c>
      <c r="O53" s="5">
        <f t="shared" si="9"/>
        <v>0</v>
      </c>
      <c r="P53" s="5"/>
      <c r="Q53" s="5"/>
      <c r="R53" s="1"/>
      <c r="S53" s="5"/>
      <c r="T53" s="5">
        <f t="shared" si="10"/>
        <v>0</v>
      </c>
      <c r="U53" s="5">
        <f t="shared" si="11"/>
        <v>0</v>
      </c>
      <c r="V53" s="5"/>
      <c r="W53" s="5"/>
      <c r="X53" s="1"/>
      <c r="Y53" s="5"/>
      <c r="Z53" s="5">
        <f t="shared" si="12"/>
        <v>0</v>
      </c>
      <c r="AA53" s="5">
        <f t="shared" si="13"/>
        <v>0</v>
      </c>
    </row>
    <row r="54" spans="1:27" ht="19.5">
      <c r="A54" s="1">
        <v>6</v>
      </c>
      <c r="B54" s="9" t="s">
        <v>11</v>
      </c>
      <c r="C54" s="1">
        <v>59</v>
      </c>
      <c r="D54" s="5"/>
      <c r="E54" s="5"/>
      <c r="F54" s="1"/>
      <c r="G54" s="5"/>
      <c r="H54" s="5">
        <f t="shared" si="0"/>
        <v>0</v>
      </c>
      <c r="I54" s="5">
        <f t="shared" si="1"/>
        <v>0</v>
      </c>
      <c r="J54" s="5"/>
      <c r="K54" s="5"/>
      <c r="L54" s="1"/>
      <c r="M54" s="5"/>
      <c r="N54" s="5">
        <f t="shared" si="8"/>
        <v>0</v>
      </c>
      <c r="O54" s="5">
        <f t="shared" si="9"/>
        <v>0</v>
      </c>
      <c r="P54" s="5"/>
      <c r="Q54" s="5"/>
      <c r="R54" s="1"/>
      <c r="S54" s="5"/>
      <c r="T54" s="5">
        <f t="shared" si="10"/>
        <v>0</v>
      </c>
      <c r="U54" s="5">
        <f t="shared" si="11"/>
        <v>0</v>
      </c>
      <c r="V54" s="5"/>
      <c r="W54" s="5"/>
      <c r="X54" s="1"/>
      <c r="Y54" s="5"/>
      <c r="Z54" s="5">
        <f t="shared" si="12"/>
        <v>0</v>
      </c>
      <c r="AA54" s="5">
        <f t="shared" si="13"/>
        <v>0</v>
      </c>
    </row>
    <row r="55" spans="1:27" ht="19.5">
      <c r="A55" s="1">
        <v>6</v>
      </c>
      <c r="B55" s="9" t="s">
        <v>18</v>
      </c>
      <c r="C55" s="1">
        <v>59</v>
      </c>
      <c r="D55" s="5"/>
      <c r="E55" s="5"/>
      <c r="F55" s="1"/>
      <c r="G55" s="5"/>
      <c r="H55" s="5">
        <f t="shared" si="0"/>
        <v>0</v>
      </c>
      <c r="I55" s="5">
        <f t="shared" si="1"/>
        <v>0</v>
      </c>
      <c r="J55" s="5"/>
      <c r="K55" s="5"/>
      <c r="L55" s="1"/>
      <c r="M55" s="5"/>
      <c r="N55" s="5">
        <f t="shared" si="8"/>
        <v>0</v>
      </c>
      <c r="O55" s="5">
        <f t="shared" si="9"/>
        <v>0</v>
      </c>
      <c r="P55" s="5"/>
      <c r="Q55" s="5"/>
      <c r="R55" s="1"/>
      <c r="S55" s="5"/>
      <c r="T55" s="5">
        <f t="shared" si="10"/>
        <v>0</v>
      </c>
      <c r="U55" s="5">
        <f t="shared" si="11"/>
        <v>0</v>
      </c>
      <c r="V55" s="5"/>
      <c r="W55" s="5"/>
      <c r="X55" s="1"/>
      <c r="Y55" s="5"/>
      <c r="Z55" s="5">
        <f t="shared" si="12"/>
        <v>0</v>
      </c>
      <c r="AA55" s="5">
        <f t="shared" si="13"/>
        <v>0</v>
      </c>
    </row>
    <row r="56" spans="1:27" ht="19.5">
      <c r="A56" s="1">
        <v>6</v>
      </c>
      <c r="B56" s="9" t="s">
        <v>14</v>
      </c>
      <c r="C56" s="1">
        <v>59</v>
      </c>
      <c r="D56" s="5"/>
      <c r="E56" s="5"/>
      <c r="F56" s="1"/>
      <c r="G56" s="5"/>
      <c r="H56" s="5">
        <f t="shared" si="0"/>
        <v>0</v>
      </c>
      <c r="I56" s="5">
        <f t="shared" si="1"/>
        <v>0</v>
      </c>
      <c r="J56" s="5"/>
      <c r="K56" s="5"/>
      <c r="L56" s="1"/>
      <c r="M56" s="5"/>
      <c r="N56" s="5">
        <f t="shared" si="8"/>
        <v>0</v>
      </c>
      <c r="O56" s="5">
        <f t="shared" si="9"/>
        <v>0</v>
      </c>
      <c r="P56" s="5"/>
      <c r="Q56" s="5"/>
      <c r="R56" s="1"/>
      <c r="S56" s="5"/>
      <c r="T56" s="5">
        <f t="shared" si="10"/>
        <v>0</v>
      </c>
      <c r="U56" s="5">
        <f t="shared" si="11"/>
        <v>0</v>
      </c>
      <c r="V56" s="5"/>
      <c r="W56" s="5"/>
      <c r="X56" s="1"/>
      <c r="Y56" s="5"/>
      <c r="Z56" s="5">
        <f t="shared" si="12"/>
        <v>0</v>
      </c>
      <c r="AA56" s="5">
        <f t="shared" si="13"/>
        <v>0</v>
      </c>
    </row>
    <row r="57" spans="1:27" ht="19.5">
      <c r="A57" s="1">
        <v>6</v>
      </c>
      <c r="B57" s="9" t="s">
        <v>19</v>
      </c>
      <c r="C57" s="1">
        <v>59</v>
      </c>
      <c r="D57" s="5"/>
      <c r="E57" s="5"/>
      <c r="F57" s="1"/>
      <c r="G57" s="5"/>
      <c r="H57" s="5">
        <f t="shared" si="0"/>
        <v>0</v>
      </c>
      <c r="I57" s="5">
        <f t="shared" si="1"/>
        <v>0</v>
      </c>
      <c r="J57" s="5"/>
      <c r="K57" s="5"/>
      <c r="L57" s="1"/>
      <c r="M57" s="5"/>
      <c r="N57" s="5">
        <f t="shared" si="8"/>
        <v>0</v>
      </c>
      <c r="O57" s="5">
        <f t="shared" si="9"/>
        <v>0</v>
      </c>
      <c r="P57" s="5"/>
      <c r="Q57" s="5"/>
      <c r="R57" s="1"/>
      <c r="S57" s="5"/>
      <c r="T57" s="5">
        <f t="shared" si="10"/>
        <v>0</v>
      </c>
      <c r="U57" s="5">
        <f t="shared" si="11"/>
        <v>0</v>
      </c>
      <c r="V57" s="5"/>
      <c r="W57" s="5"/>
      <c r="X57" s="1"/>
      <c r="Y57" s="5"/>
      <c r="Z57" s="5">
        <f t="shared" si="12"/>
        <v>0</v>
      </c>
      <c r="AA57" s="5">
        <f t="shared" si="13"/>
        <v>0</v>
      </c>
    </row>
    <row r="58" spans="1:27" ht="19.5">
      <c r="A58" s="1">
        <v>6</v>
      </c>
      <c r="B58" s="9" t="s">
        <v>20</v>
      </c>
      <c r="C58" s="1">
        <v>59</v>
      </c>
      <c r="D58" s="5"/>
      <c r="E58" s="5"/>
      <c r="F58" s="1"/>
      <c r="G58" s="5"/>
      <c r="H58" s="5">
        <f t="shared" si="0"/>
        <v>0</v>
      </c>
      <c r="I58" s="5">
        <f t="shared" si="1"/>
        <v>0</v>
      </c>
      <c r="J58" s="5"/>
      <c r="K58" s="5"/>
      <c r="L58" s="1"/>
      <c r="M58" s="5"/>
      <c r="N58" s="5">
        <f t="shared" si="8"/>
        <v>0</v>
      </c>
      <c r="O58" s="5">
        <f t="shared" si="9"/>
        <v>0</v>
      </c>
      <c r="P58" s="5"/>
      <c r="Q58" s="5"/>
      <c r="R58" s="1"/>
      <c r="S58" s="5"/>
      <c r="T58" s="5">
        <f t="shared" si="10"/>
        <v>0</v>
      </c>
      <c r="U58" s="5">
        <f t="shared" si="11"/>
        <v>0</v>
      </c>
      <c r="V58" s="5"/>
      <c r="W58" s="5"/>
      <c r="X58" s="1"/>
      <c r="Y58" s="5"/>
      <c r="Z58" s="5">
        <f t="shared" si="12"/>
        <v>0</v>
      </c>
      <c r="AA58" s="5">
        <f t="shared" si="13"/>
        <v>0</v>
      </c>
    </row>
    <row r="59" spans="1:27" ht="19.5">
      <c r="A59" s="1">
        <v>6</v>
      </c>
      <c r="B59" s="9" t="s">
        <v>21</v>
      </c>
      <c r="C59" s="1">
        <v>59</v>
      </c>
      <c r="D59" s="5"/>
      <c r="E59" s="5"/>
      <c r="F59" s="1"/>
      <c r="G59" s="5"/>
      <c r="H59" s="5">
        <f t="shared" si="0"/>
        <v>0</v>
      </c>
      <c r="I59" s="5">
        <f t="shared" si="1"/>
        <v>0</v>
      </c>
      <c r="J59" s="5"/>
      <c r="K59" s="5"/>
      <c r="L59" s="1"/>
      <c r="M59" s="5"/>
      <c r="N59" s="5">
        <f t="shared" si="8"/>
        <v>0</v>
      </c>
      <c r="O59" s="5">
        <f t="shared" si="9"/>
        <v>0</v>
      </c>
      <c r="P59" s="5"/>
      <c r="Q59" s="5"/>
      <c r="R59" s="1"/>
      <c r="S59" s="5"/>
      <c r="T59" s="5">
        <f t="shared" si="10"/>
        <v>0</v>
      </c>
      <c r="U59" s="5">
        <f t="shared" si="11"/>
        <v>0</v>
      </c>
      <c r="V59" s="5"/>
      <c r="W59" s="5"/>
      <c r="X59" s="1"/>
      <c r="Y59" s="5"/>
      <c r="Z59" s="5">
        <f t="shared" si="12"/>
        <v>0</v>
      </c>
      <c r="AA59" s="5">
        <f t="shared" si="13"/>
        <v>0</v>
      </c>
    </row>
    <row r="60" spans="1:27" s="7" customFormat="1"/>
    <row r="61" spans="1:27" ht="19.5">
      <c r="A61" s="10">
        <v>7</v>
      </c>
      <c r="B61" s="11" t="s">
        <v>15</v>
      </c>
      <c r="C61" s="10"/>
      <c r="D61" s="12">
        <f>Table1[[#This Row],[Enrolment S.Y. 2025-2026 ]]*8</f>
        <v>0</v>
      </c>
      <c r="E61" s="12"/>
      <c r="F61" s="10"/>
      <c r="G61" s="12"/>
      <c r="H61" s="12">
        <f t="shared" si="0"/>
        <v>0</v>
      </c>
      <c r="I61" s="12">
        <f t="shared" si="1"/>
        <v>0</v>
      </c>
      <c r="J61" s="12"/>
      <c r="K61" s="12"/>
      <c r="L61" s="10"/>
      <c r="M61" s="5"/>
      <c r="N61" s="5">
        <f t="shared" si="8"/>
        <v>0</v>
      </c>
      <c r="O61" s="5">
        <f t="shared" si="9"/>
        <v>0</v>
      </c>
      <c r="P61" s="5">
        <f>Table1[[#This Row],[Enrolment S.Y. 2025-2026 ]]*8</f>
        <v>0</v>
      </c>
      <c r="Q61" s="12"/>
      <c r="R61" s="10"/>
      <c r="S61" s="5"/>
      <c r="T61" s="5">
        <f t="shared" si="10"/>
        <v>0</v>
      </c>
      <c r="U61" s="5">
        <f t="shared" si="11"/>
        <v>0</v>
      </c>
      <c r="V61" s="5">
        <f>Table1[[#This Row],[Enrolment S.Y. 2025-2026 ]]*8</f>
        <v>0</v>
      </c>
      <c r="W61" s="12"/>
      <c r="X61" s="10"/>
      <c r="Y61" s="5"/>
      <c r="Z61" s="5">
        <f t="shared" si="12"/>
        <v>0</v>
      </c>
      <c r="AA61" s="5">
        <f t="shared" si="13"/>
        <v>0</v>
      </c>
    </row>
    <row r="62" spans="1:27" ht="19.5">
      <c r="A62" s="10">
        <v>7</v>
      </c>
      <c r="B62" s="11" t="s">
        <v>17</v>
      </c>
      <c r="C62" s="10"/>
      <c r="D62" s="12">
        <f>Table1[[#This Row],[Enrolment S.Y. 2025-2026 ]]*8</f>
        <v>0</v>
      </c>
      <c r="E62" s="12"/>
      <c r="F62" s="10"/>
      <c r="G62" s="12"/>
      <c r="H62" s="12">
        <f t="shared" si="0"/>
        <v>0</v>
      </c>
      <c r="I62" s="12">
        <f t="shared" si="1"/>
        <v>0</v>
      </c>
      <c r="J62" s="12"/>
      <c r="K62" s="12"/>
      <c r="L62" s="10"/>
      <c r="M62" s="5"/>
      <c r="N62" s="5">
        <f t="shared" si="8"/>
        <v>0</v>
      </c>
      <c r="O62" s="5">
        <f t="shared" si="9"/>
        <v>0</v>
      </c>
      <c r="P62" s="5">
        <f>Table1[[#This Row],[Enrolment S.Y. 2025-2026 ]]*8</f>
        <v>0</v>
      </c>
      <c r="Q62" s="12"/>
      <c r="R62" s="10"/>
      <c r="S62" s="5"/>
      <c r="T62" s="5">
        <f t="shared" si="10"/>
        <v>0</v>
      </c>
      <c r="U62" s="5">
        <f t="shared" si="11"/>
        <v>0</v>
      </c>
      <c r="V62" s="5">
        <f>Table1[[#This Row],[Enrolment S.Y. 2025-2026 ]]*8</f>
        <v>0</v>
      </c>
      <c r="W62" s="12"/>
      <c r="X62" s="10"/>
      <c r="Y62" s="5"/>
      <c r="Z62" s="5">
        <f t="shared" si="12"/>
        <v>0</v>
      </c>
      <c r="AA62" s="5">
        <f t="shared" si="13"/>
        <v>0</v>
      </c>
    </row>
    <row r="63" spans="1:27" ht="19.5">
      <c r="A63" s="10">
        <v>7</v>
      </c>
      <c r="B63" s="11" t="s">
        <v>13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0"/>
        <v>0</v>
      </c>
      <c r="I63" s="12">
        <f t="shared" si="1"/>
        <v>0</v>
      </c>
      <c r="J63" s="12"/>
      <c r="K63" s="12"/>
      <c r="L63" s="10"/>
      <c r="M63" s="5"/>
      <c r="N63" s="5">
        <f t="shared" si="8"/>
        <v>0</v>
      </c>
      <c r="O63" s="5">
        <f t="shared" si="9"/>
        <v>0</v>
      </c>
      <c r="P63" s="5">
        <f>Table1[[#This Row],[Enrolment S.Y. 2025-2026 ]]*8</f>
        <v>0</v>
      </c>
      <c r="Q63" s="12"/>
      <c r="R63" s="10"/>
      <c r="S63" s="5"/>
      <c r="T63" s="5">
        <f t="shared" si="10"/>
        <v>0</v>
      </c>
      <c r="U63" s="5">
        <f t="shared" si="11"/>
        <v>0</v>
      </c>
      <c r="V63" s="5">
        <f>Table1[[#This Row],[Enrolment S.Y. 2025-2026 ]]*8</f>
        <v>0</v>
      </c>
      <c r="W63" s="12"/>
      <c r="X63" s="10"/>
      <c r="Y63" s="5"/>
      <c r="Z63" s="5">
        <f t="shared" si="12"/>
        <v>0</v>
      </c>
      <c r="AA63" s="5">
        <f t="shared" si="13"/>
        <v>0</v>
      </c>
    </row>
    <row r="64" spans="1:27" ht="19.5">
      <c r="A64" s="10">
        <v>7</v>
      </c>
      <c r="B64" s="11" t="s">
        <v>22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0"/>
        <v>0</v>
      </c>
      <c r="I64" s="12">
        <f t="shared" si="1"/>
        <v>0</v>
      </c>
      <c r="J64" s="12"/>
      <c r="K64" s="12"/>
      <c r="L64" s="10"/>
      <c r="M64" s="5"/>
      <c r="N64" s="5">
        <f t="shared" si="8"/>
        <v>0</v>
      </c>
      <c r="O64" s="5">
        <f t="shared" si="9"/>
        <v>0</v>
      </c>
      <c r="P64" s="5">
        <f>Table1[[#This Row],[Enrolment S.Y. 2025-2026 ]]*8</f>
        <v>0</v>
      </c>
      <c r="Q64" s="12"/>
      <c r="R64" s="10"/>
      <c r="S64" s="5"/>
      <c r="T64" s="5">
        <f t="shared" si="10"/>
        <v>0</v>
      </c>
      <c r="U64" s="5">
        <f t="shared" si="11"/>
        <v>0</v>
      </c>
      <c r="V64" s="5">
        <f>Table1[[#This Row],[Enrolment S.Y. 2025-2026 ]]*8</f>
        <v>0</v>
      </c>
      <c r="W64" s="12"/>
      <c r="X64" s="10"/>
      <c r="Y64" s="5"/>
      <c r="Z64" s="5">
        <f t="shared" si="12"/>
        <v>0</v>
      </c>
      <c r="AA64" s="5">
        <f t="shared" si="13"/>
        <v>0</v>
      </c>
    </row>
    <row r="65" spans="1:27" ht="19.5">
      <c r="A65" s="10">
        <v>7</v>
      </c>
      <c r="B65" s="11" t="s">
        <v>18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0"/>
        <v>0</v>
      </c>
      <c r="I65" s="12">
        <f t="shared" si="1"/>
        <v>0</v>
      </c>
      <c r="J65" s="12"/>
      <c r="K65" s="12"/>
      <c r="L65" s="10"/>
      <c r="M65" s="5"/>
      <c r="N65" s="5">
        <f t="shared" si="8"/>
        <v>0</v>
      </c>
      <c r="O65" s="5">
        <f t="shared" si="9"/>
        <v>0</v>
      </c>
      <c r="P65" s="5">
        <f>Table1[[#This Row],[Enrolment S.Y. 2025-2026 ]]*8</f>
        <v>0</v>
      </c>
      <c r="Q65" s="12"/>
      <c r="R65" s="10"/>
      <c r="S65" s="5"/>
      <c r="T65" s="5">
        <f t="shared" si="10"/>
        <v>0</v>
      </c>
      <c r="U65" s="5">
        <f t="shared" si="11"/>
        <v>0</v>
      </c>
      <c r="V65" s="5">
        <f>Table1[[#This Row],[Enrolment S.Y. 2025-2026 ]]*8</f>
        <v>0</v>
      </c>
      <c r="W65" s="12"/>
      <c r="X65" s="10"/>
      <c r="Y65" s="5"/>
      <c r="Z65" s="5">
        <f t="shared" si="12"/>
        <v>0</v>
      </c>
      <c r="AA65" s="5">
        <f t="shared" si="13"/>
        <v>0</v>
      </c>
    </row>
    <row r="66" spans="1:27" ht="19.5">
      <c r="A66" s="10">
        <v>7</v>
      </c>
      <c r="B66" s="11" t="s">
        <v>14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0"/>
        <v>0</v>
      </c>
      <c r="I66" s="12">
        <f t="shared" si="1"/>
        <v>0</v>
      </c>
      <c r="J66" s="12"/>
      <c r="K66" s="12"/>
      <c r="L66" s="10"/>
      <c r="M66" s="5"/>
      <c r="N66" s="5">
        <f t="shared" si="8"/>
        <v>0</v>
      </c>
      <c r="O66" s="5">
        <f t="shared" si="9"/>
        <v>0</v>
      </c>
      <c r="P66" s="5">
        <f>Table1[[#This Row],[Enrolment S.Y. 2025-2026 ]]*8</f>
        <v>0</v>
      </c>
      <c r="Q66" s="12"/>
      <c r="R66" s="10"/>
      <c r="S66" s="5"/>
      <c r="T66" s="5">
        <f t="shared" si="10"/>
        <v>0</v>
      </c>
      <c r="U66" s="5">
        <f t="shared" si="11"/>
        <v>0</v>
      </c>
      <c r="V66" s="5">
        <f>Table1[[#This Row],[Enrolment S.Y. 2025-2026 ]]*8</f>
        <v>0</v>
      </c>
      <c r="W66" s="12"/>
      <c r="X66" s="10"/>
      <c r="Y66" s="5"/>
      <c r="Z66" s="5">
        <f t="shared" si="12"/>
        <v>0</v>
      </c>
      <c r="AA66" s="5">
        <f t="shared" si="13"/>
        <v>0</v>
      </c>
    </row>
    <row r="67" spans="1:27" ht="19.5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/>
      <c r="K67" s="12"/>
      <c r="L67" s="10"/>
      <c r="M67" s="5"/>
      <c r="N67" s="5">
        <f t="shared" si="8"/>
        <v>0</v>
      </c>
      <c r="O67" s="5">
        <f t="shared" si="9"/>
        <v>0</v>
      </c>
      <c r="P67" s="5">
        <f>Table1[[#This Row],[Enrolment S.Y. 2025-2026 ]]*8</f>
        <v>0</v>
      </c>
      <c r="Q67" s="12"/>
      <c r="R67" s="10"/>
      <c r="S67" s="5"/>
      <c r="T67" s="5">
        <f t="shared" si="10"/>
        <v>0</v>
      </c>
      <c r="U67" s="5">
        <f t="shared" si="11"/>
        <v>0</v>
      </c>
      <c r="V67" s="5">
        <f>Table1[[#This Row],[Enrolment S.Y. 2025-2026 ]]*8</f>
        <v>0</v>
      </c>
      <c r="W67" s="12"/>
      <c r="X67" s="10"/>
      <c r="Y67" s="5"/>
      <c r="Z67" s="5">
        <f t="shared" si="12"/>
        <v>0</v>
      </c>
      <c r="AA67" s="5">
        <f t="shared" si="13"/>
        <v>0</v>
      </c>
    </row>
    <row r="68" spans="1:27" ht="19.5">
      <c r="A68" s="10">
        <v>7</v>
      </c>
      <c r="B68" s="11" t="s">
        <v>23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/>
      <c r="K68" s="12"/>
      <c r="L68" s="10"/>
      <c r="M68" s="5"/>
      <c r="N68" s="5">
        <f t="shared" ref="N68:N108" si="14">IF((J68-K68)&lt;0,0,(J68-K68))</f>
        <v>0</v>
      </c>
      <c r="O68" s="5">
        <f t="shared" ref="O68:O108" si="15">IF((K68-J68)&lt;0,0,(K68-J68))</f>
        <v>0</v>
      </c>
      <c r="P68" s="5">
        <f>Table1[[#This Row],[Enrolment S.Y. 2025-2026 ]]*8</f>
        <v>0</v>
      </c>
      <c r="Q68" s="12"/>
      <c r="R68" s="10"/>
      <c r="S68" s="5"/>
      <c r="T68" s="5">
        <f t="shared" ref="T68:T108" si="16">IF((P68-Q68)&lt;0,0,(P68-Q68))</f>
        <v>0</v>
      </c>
      <c r="U68" s="5">
        <f t="shared" ref="U68:U108" si="17">IF((Q68-P68)&lt;0,0,(Q68-P68))</f>
        <v>0</v>
      </c>
      <c r="V68" s="5">
        <f>Table1[[#This Row],[Enrolment S.Y. 2025-2026 ]]*8</f>
        <v>0</v>
      </c>
      <c r="W68" s="12"/>
      <c r="X68" s="10"/>
      <c r="Y68" s="5"/>
      <c r="Z68" s="5">
        <f t="shared" ref="Z68:Z108" si="18">IF((V68-W68)&lt;0,0,(V68-W68))</f>
        <v>0</v>
      </c>
      <c r="AA68" s="5">
        <f t="shared" ref="AA68:AA108" si="19">IF((W68-V68)&lt;0,0,(W68-V68))</f>
        <v>0</v>
      </c>
    </row>
    <row r="69" spans="1:27" ht="19.5">
      <c r="A69" s="10">
        <v>7</v>
      </c>
      <c r="B69" s="11" t="s">
        <v>21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/>
      <c r="K69" s="12"/>
      <c r="L69" s="10"/>
      <c r="M69" s="5"/>
      <c r="N69" s="5">
        <f t="shared" si="14"/>
        <v>0</v>
      </c>
      <c r="O69" s="5">
        <f t="shared" si="15"/>
        <v>0</v>
      </c>
      <c r="P69" s="5">
        <f>Table1[[#This Row],[Enrolment S.Y. 2025-2026 ]]*8</f>
        <v>0</v>
      </c>
      <c r="Q69" s="12"/>
      <c r="R69" s="10"/>
      <c r="S69" s="5"/>
      <c r="T69" s="5">
        <f t="shared" si="16"/>
        <v>0</v>
      </c>
      <c r="U69" s="5">
        <f t="shared" si="17"/>
        <v>0</v>
      </c>
      <c r="V69" s="5">
        <f>Table1[[#This Row],[Enrolment S.Y. 2025-2026 ]]*8</f>
        <v>0</v>
      </c>
      <c r="W69" s="12"/>
      <c r="X69" s="10"/>
      <c r="Y69" s="5"/>
      <c r="Z69" s="5">
        <f t="shared" si="18"/>
        <v>0</v>
      </c>
      <c r="AA69" s="5">
        <f t="shared" si="19"/>
        <v>0</v>
      </c>
    </row>
    <row r="70" spans="1:27" s="7" customFormat="1"/>
    <row r="71" spans="1:27" ht="19.5">
      <c r="A71" s="10">
        <v>8</v>
      </c>
      <c r="B71" s="11" t="s">
        <v>15</v>
      </c>
      <c r="C71" s="10"/>
      <c r="D71" s="12">
        <v>0</v>
      </c>
      <c r="E71" s="12"/>
      <c r="F71" s="10"/>
      <c r="G71" s="12" t="s">
        <v>9</v>
      </c>
      <c r="H71" s="12">
        <f t="shared" si="0"/>
        <v>0</v>
      </c>
      <c r="I71" s="12">
        <f t="shared" si="1"/>
        <v>0</v>
      </c>
      <c r="J71" s="12"/>
      <c r="K71" s="12"/>
      <c r="L71" s="10"/>
      <c r="M71" s="5"/>
      <c r="N71" s="5">
        <f t="shared" si="14"/>
        <v>0</v>
      </c>
      <c r="O71" s="5">
        <f t="shared" si="15"/>
        <v>0</v>
      </c>
      <c r="P71" s="5">
        <f>Table1[[#This Row],[Enrolment S.Y. 2025-2026 ]]*8</f>
        <v>0</v>
      </c>
      <c r="Q71" s="12"/>
      <c r="R71" s="10"/>
      <c r="S71" s="5"/>
      <c r="T71" s="5">
        <f t="shared" si="16"/>
        <v>0</v>
      </c>
      <c r="U71" s="5">
        <f t="shared" si="17"/>
        <v>0</v>
      </c>
      <c r="V71" s="5">
        <f>Table1[[#This Row],[Enrolment S.Y. 2025-2026 ]]*8</f>
        <v>0</v>
      </c>
      <c r="W71" s="12"/>
      <c r="X71" s="10"/>
      <c r="Y71" s="5"/>
      <c r="Z71" s="5">
        <f t="shared" si="18"/>
        <v>0</v>
      </c>
      <c r="AA71" s="5">
        <f t="shared" si="19"/>
        <v>0</v>
      </c>
    </row>
    <row r="72" spans="1:27" ht="19.5">
      <c r="A72" s="10">
        <v>8</v>
      </c>
      <c r="B72" s="11" t="s">
        <v>17</v>
      </c>
      <c r="C72" s="10"/>
      <c r="D72" s="12">
        <v>0</v>
      </c>
      <c r="E72" s="12"/>
      <c r="F72" s="10"/>
      <c r="G72" s="12" t="s">
        <v>9</v>
      </c>
      <c r="H72" s="12">
        <f t="shared" si="0"/>
        <v>0</v>
      </c>
      <c r="I72" s="12">
        <f t="shared" si="1"/>
        <v>0</v>
      </c>
      <c r="J72" s="12"/>
      <c r="K72" s="12"/>
      <c r="L72" s="10"/>
      <c r="M72" s="5"/>
      <c r="N72" s="5">
        <f t="shared" si="14"/>
        <v>0</v>
      </c>
      <c r="O72" s="5">
        <f t="shared" si="15"/>
        <v>0</v>
      </c>
      <c r="P72" s="5">
        <f>Table1[[#This Row],[Enrolment S.Y. 2025-2026 ]]*8</f>
        <v>0</v>
      </c>
      <c r="Q72" s="12"/>
      <c r="R72" s="10"/>
      <c r="S72" s="5"/>
      <c r="T72" s="5">
        <f t="shared" si="16"/>
        <v>0</v>
      </c>
      <c r="U72" s="5">
        <f t="shared" si="17"/>
        <v>0</v>
      </c>
      <c r="V72" s="5">
        <f>Table1[[#This Row],[Enrolment S.Y. 2025-2026 ]]*8</f>
        <v>0</v>
      </c>
      <c r="W72" s="12"/>
      <c r="X72" s="10"/>
      <c r="Y72" s="5"/>
      <c r="Z72" s="5">
        <f t="shared" si="18"/>
        <v>0</v>
      </c>
      <c r="AA72" s="5">
        <f t="shared" si="19"/>
        <v>0</v>
      </c>
    </row>
    <row r="73" spans="1:27" ht="19.5">
      <c r="A73" s="10">
        <v>8</v>
      </c>
      <c r="B73" s="11" t="s">
        <v>13</v>
      </c>
      <c r="C73" s="10"/>
      <c r="D73" s="12">
        <v>0</v>
      </c>
      <c r="E73" s="12"/>
      <c r="F73" s="10"/>
      <c r="G73" s="12" t="s">
        <v>9</v>
      </c>
      <c r="H73" s="12">
        <f t="shared" si="0"/>
        <v>0</v>
      </c>
      <c r="I73" s="12">
        <f t="shared" si="1"/>
        <v>0</v>
      </c>
      <c r="J73" s="12"/>
      <c r="K73" s="12"/>
      <c r="L73" s="10"/>
      <c r="M73" s="5"/>
      <c r="N73" s="5">
        <f t="shared" si="14"/>
        <v>0</v>
      </c>
      <c r="O73" s="5">
        <f t="shared" si="15"/>
        <v>0</v>
      </c>
      <c r="P73" s="5">
        <f>Table1[[#This Row],[Enrolment S.Y. 2025-2026 ]]*8</f>
        <v>0</v>
      </c>
      <c r="Q73" s="12"/>
      <c r="R73" s="10"/>
      <c r="S73" s="5"/>
      <c r="T73" s="5">
        <f t="shared" si="16"/>
        <v>0</v>
      </c>
      <c r="U73" s="5">
        <f t="shared" si="17"/>
        <v>0</v>
      </c>
      <c r="V73" s="5">
        <f>Table1[[#This Row],[Enrolment S.Y. 2025-2026 ]]*8</f>
        <v>0</v>
      </c>
      <c r="W73" s="12"/>
      <c r="X73" s="10"/>
      <c r="Y73" s="5"/>
      <c r="Z73" s="5">
        <f t="shared" si="18"/>
        <v>0</v>
      </c>
      <c r="AA73" s="5">
        <f t="shared" si="19"/>
        <v>0</v>
      </c>
    </row>
    <row r="74" spans="1:27" ht="19.5">
      <c r="A74" s="10">
        <v>8</v>
      </c>
      <c r="B74" s="11" t="s">
        <v>22</v>
      </c>
      <c r="C74" s="10"/>
      <c r="D74" s="12">
        <v>0</v>
      </c>
      <c r="E74" s="12"/>
      <c r="F74" s="10"/>
      <c r="G74" s="12" t="s">
        <v>9</v>
      </c>
      <c r="H74" s="12">
        <f t="shared" si="0"/>
        <v>0</v>
      </c>
      <c r="I74" s="12">
        <f t="shared" si="1"/>
        <v>0</v>
      </c>
      <c r="J74" s="12"/>
      <c r="K74" s="12"/>
      <c r="L74" s="10"/>
      <c r="M74" s="5"/>
      <c r="N74" s="5">
        <f t="shared" si="14"/>
        <v>0</v>
      </c>
      <c r="O74" s="5">
        <f t="shared" si="15"/>
        <v>0</v>
      </c>
      <c r="P74" s="5">
        <f>Table1[[#This Row],[Enrolment S.Y. 2025-2026 ]]*8</f>
        <v>0</v>
      </c>
      <c r="Q74" s="12"/>
      <c r="R74" s="10"/>
      <c r="S74" s="5"/>
      <c r="T74" s="5">
        <f t="shared" si="16"/>
        <v>0</v>
      </c>
      <c r="U74" s="5">
        <f t="shared" si="17"/>
        <v>0</v>
      </c>
      <c r="V74" s="5">
        <f>Table1[[#This Row],[Enrolment S.Y. 2025-2026 ]]*8</f>
        <v>0</v>
      </c>
      <c r="W74" s="12"/>
      <c r="X74" s="10"/>
      <c r="Y74" s="5"/>
      <c r="Z74" s="5">
        <f t="shared" si="18"/>
        <v>0</v>
      </c>
      <c r="AA74" s="5">
        <f t="shared" si="19"/>
        <v>0</v>
      </c>
    </row>
    <row r="75" spans="1:27" ht="19.5">
      <c r="A75" s="10">
        <v>8</v>
      </c>
      <c r="B75" s="11" t="s">
        <v>24</v>
      </c>
      <c r="C75" s="10"/>
      <c r="D75" s="12">
        <v>0</v>
      </c>
      <c r="E75" s="12"/>
      <c r="F75" s="10"/>
      <c r="G75" s="12" t="s">
        <v>9</v>
      </c>
      <c r="H75" s="12">
        <f t="shared" si="0"/>
        <v>0</v>
      </c>
      <c r="I75" s="12">
        <f t="shared" si="1"/>
        <v>0</v>
      </c>
      <c r="J75" s="12"/>
      <c r="K75" s="12"/>
      <c r="L75" s="10"/>
      <c r="M75" s="5"/>
      <c r="N75" s="5">
        <f t="shared" si="14"/>
        <v>0</v>
      </c>
      <c r="O75" s="5">
        <f t="shared" si="15"/>
        <v>0</v>
      </c>
      <c r="P75" s="5">
        <f>Table1[[#This Row],[Enrolment S.Y. 2025-2026 ]]*8</f>
        <v>0</v>
      </c>
      <c r="Q75" s="12"/>
      <c r="R75" s="10"/>
      <c r="S75" s="5"/>
      <c r="T75" s="5">
        <f t="shared" si="16"/>
        <v>0</v>
      </c>
      <c r="U75" s="5">
        <f t="shared" si="17"/>
        <v>0</v>
      </c>
      <c r="V75" s="5">
        <f>Table1[[#This Row],[Enrolment S.Y. 2025-2026 ]]*8</f>
        <v>0</v>
      </c>
      <c r="W75" s="12"/>
      <c r="X75" s="10"/>
      <c r="Y75" s="5"/>
      <c r="Z75" s="5">
        <f t="shared" si="18"/>
        <v>0</v>
      </c>
      <c r="AA75" s="5">
        <f t="shared" si="19"/>
        <v>0</v>
      </c>
    </row>
    <row r="76" spans="1:27" ht="19.5">
      <c r="A76" s="10">
        <v>8</v>
      </c>
      <c r="B76" s="11" t="s">
        <v>14</v>
      </c>
      <c r="C76" s="10"/>
      <c r="D76" s="12">
        <v>0</v>
      </c>
      <c r="E76" s="12"/>
      <c r="F76" s="10"/>
      <c r="G76" s="12" t="s">
        <v>9</v>
      </c>
      <c r="H76" s="12">
        <f t="shared" ref="H76:H108" si="20">IF((D76-E76)&lt;0,0,(D76-E76))</f>
        <v>0</v>
      </c>
      <c r="I76" s="12">
        <f t="shared" ref="I76:I108" si="21">IF((E76-D76)&lt;0,0,(E76-D76))</f>
        <v>0</v>
      </c>
      <c r="J76" s="12"/>
      <c r="K76" s="12"/>
      <c r="L76" s="10"/>
      <c r="M76" s="5"/>
      <c r="N76" s="5">
        <f t="shared" si="14"/>
        <v>0</v>
      </c>
      <c r="O76" s="5">
        <f t="shared" si="15"/>
        <v>0</v>
      </c>
      <c r="P76" s="5">
        <f>Table1[[#This Row],[Enrolment S.Y. 2025-2026 ]]*8</f>
        <v>0</v>
      </c>
      <c r="Q76" s="12"/>
      <c r="R76" s="10"/>
      <c r="S76" s="5"/>
      <c r="T76" s="5">
        <f t="shared" si="16"/>
        <v>0</v>
      </c>
      <c r="U76" s="5">
        <f t="shared" si="17"/>
        <v>0</v>
      </c>
      <c r="V76" s="5">
        <f>Table1[[#This Row],[Enrolment S.Y. 2025-2026 ]]*8</f>
        <v>0</v>
      </c>
      <c r="W76" s="12"/>
      <c r="X76" s="10"/>
      <c r="Y76" s="5"/>
      <c r="Z76" s="5">
        <f t="shared" si="18"/>
        <v>0</v>
      </c>
      <c r="AA76" s="5">
        <f t="shared" si="19"/>
        <v>0</v>
      </c>
    </row>
    <row r="77" spans="1:27" ht="19.5">
      <c r="A77" s="10">
        <v>8</v>
      </c>
      <c r="B77" s="11" t="s">
        <v>19</v>
      </c>
      <c r="C77" s="10"/>
      <c r="D77" s="12">
        <v>0</v>
      </c>
      <c r="E77" s="12"/>
      <c r="F77" s="10"/>
      <c r="G77" s="12" t="s">
        <v>9</v>
      </c>
      <c r="H77" s="12">
        <f t="shared" si="20"/>
        <v>0</v>
      </c>
      <c r="I77" s="12">
        <f t="shared" si="21"/>
        <v>0</v>
      </c>
      <c r="J77" s="12"/>
      <c r="K77" s="12"/>
      <c r="L77" s="10"/>
      <c r="M77" s="5"/>
      <c r="N77" s="5">
        <f t="shared" si="14"/>
        <v>0</v>
      </c>
      <c r="O77" s="5">
        <f t="shared" si="15"/>
        <v>0</v>
      </c>
      <c r="P77" s="5">
        <f>Table1[[#This Row],[Enrolment S.Y. 2025-2026 ]]*8</f>
        <v>0</v>
      </c>
      <c r="Q77" s="12"/>
      <c r="R77" s="10"/>
      <c r="S77" s="5"/>
      <c r="T77" s="5">
        <f t="shared" si="16"/>
        <v>0</v>
      </c>
      <c r="U77" s="5">
        <f t="shared" si="17"/>
        <v>0</v>
      </c>
      <c r="V77" s="5">
        <f>Table1[[#This Row],[Enrolment S.Y. 2025-2026 ]]*8</f>
        <v>0</v>
      </c>
      <c r="W77" s="12"/>
      <c r="X77" s="10"/>
      <c r="Y77" s="5"/>
      <c r="Z77" s="5">
        <f t="shared" si="18"/>
        <v>0</v>
      </c>
      <c r="AA77" s="5">
        <f t="shared" si="19"/>
        <v>0</v>
      </c>
    </row>
    <row r="78" spans="1:27" ht="19.5">
      <c r="A78" s="10">
        <v>8</v>
      </c>
      <c r="B78" s="11" t="s">
        <v>23</v>
      </c>
      <c r="C78" s="10"/>
      <c r="D78" s="12">
        <v>0</v>
      </c>
      <c r="E78" s="12"/>
      <c r="F78" s="10"/>
      <c r="G78" s="12" t="s">
        <v>9</v>
      </c>
      <c r="H78" s="12">
        <f t="shared" si="20"/>
        <v>0</v>
      </c>
      <c r="I78" s="12">
        <f t="shared" si="21"/>
        <v>0</v>
      </c>
      <c r="J78" s="12"/>
      <c r="K78" s="12"/>
      <c r="L78" s="10"/>
      <c r="M78" s="5"/>
      <c r="N78" s="5">
        <f t="shared" si="14"/>
        <v>0</v>
      </c>
      <c r="O78" s="5">
        <f t="shared" si="15"/>
        <v>0</v>
      </c>
      <c r="P78" s="5">
        <f>Table1[[#This Row],[Enrolment S.Y. 2025-2026 ]]*8</f>
        <v>0</v>
      </c>
      <c r="Q78" s="12"/>
      <c r="R78" s="10"/>
      <c r="S78" s="5"/>
      <c r="T78" s="5">
        <f t="shared" si="16"/>
        <v>0</v>
      </c>
      <c r="U78" s="5">
        <f t="shared" si="17"/>
        <v>0</v>
      </c>
      <c r="V78" s="5">
        <f>Table1[[#This Row],[Enrolment S.Y. 2025-2026 ]]*8</f>
        <v>0</v>
      </c>
      <c r="W78" s="12"/>
      <c r="X78" s="10"/>
      <c r="Y78" s="5"/>
      <c r="Z78" s="5">
        <f t="shared" si="18"/>
        <v>0</v>
      </c>
      <c r="AA78" s="5">
        <f t="shared" si="19"/>
        <v>0</v>
      </c>
    </row>
    <row r="79" spans="1:27" ht="19.5">
      <c r="A79" s="10">
        <v>8</v>
      </c>
      <c r="B79" s="11" t="s">
        <v>21</v>
      </c>
      <c r="C79" s="10"/>
      <c r="D79" s="12">
        <v>0</v>
      </c>
      <c r="E79" s="12"/>
      <c r="F79" s="10"/>
      <c r="G79" s="12" t="s">
        <v>9</v>
      </c>
      <c r="H79" s="12">
        <f t="shared" si="20"/>
        <v>0</v>
      </c>
      <c r="I79" s="12">
        <f t="shared" si="21"/>
        <v>0</v>
      </c>
      <c r="J79" s="12"/>
      <c r="K79" s="12"/>
      <c r="L79" s="10"/>
      <c r="M79" s="5"/>
      <c r="N79" s="5">
        <f t="shared" si="14"/>
        <v>0</v>
      </c>
      <c r="O79" s="5">
        <f t="shared" si="15"/>
        <v>0</v>
      </c>
      <c r="P79" s="5">
        <f>Table1[[#This Row],[Enrolment S.Y. 2025-2026 ]]*8</f>
        <v>0</v>
      </c>
      <c r="Q79" s="12"/>
      <c r="R79" s="10"/>
      <c r="S79" s="5"/>
      <c r="T79" s="5">
        <f t="shared" si="16"/>
        <v>0</v>
      </c>
      <c r="U79" s="5">
        <f t="shared" si="17"/>
        <v>0</v>
      </c>
      <c r="V79" s="5">
        <f>Table1[[#This Row],[Enrolment S.Y. 2025-2026 ]]*8</f>
        <v>0</v>
      </c>
      <c r="W79" s="12"/>
      <c r="X79" s="10"/>
      <c r="Y79" s="5"/>
      <c r="Z79" s="5">
        <f t="shared" si="18"/>
        <v>0</v>
      </c>
      <c r="AA79" s="5">
        <f t="shared" si="19"/>
        <v>0</v>
      </c>
    </row>
    <row r="80" spans="1:27" s="7" customFormat="1"/>
    <row r="81" spans="1:27" ht="19.5">
      <c r="A81" s="10">
        <v>9</v>
      </c>
      <c r="B81" s="11" t="s">
        <v>15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0"/>
        <v>0</v>
      </c>
      <c r="I81" s="12">
        <f t="shared" si="21"/>
        <v>0</v>
      </c>
      <c r="J81" s="12"/>
      <c r="K81" s="12"/>
      <c r="L81" s="10"/>
      <c r="M81" s="5"/>
      <c r="N81" s="5">
        <f t="shared" si="14"/>
        <v>0</v>
      </c>
      <c r="O81" s="5">
        <f t="shared" si="15"/>
        <v>0</v>
      </c>
      <c r="P81" s="5">
        <f>Table1[[#This Row],[Enrolment S.Y. 2025-2026 ]]*8</f>
        <v>0</v>
      </c>
      <c r="Q81" s="12"/>
      <c r="R81" s="10"/>
      <c r="S81" s="5"/>
      <c r="T81" s="5">
        <f t="shared" si="16"/>
        <v>0</v>
      </c>
      <c r="U81" s="5">
        <f t="shared" si="17"/>
        <v>0</v>
      </c>
      <c r="V81" s="5">
        <f>Table1[[#This Row],[Enrolment S.Y. 2025-2026 ]]*8</f>
        <v>0</v>
      </c>
      <c r="W81" s="12"/>
      <c r="X81" s="10"/>
      <c r="Y81" s="5"/>
      <c r="Z81" s="5">
        <f t="shared" si="18"/>
        <v>0</v>
      </c>
      <c r="AA81" s="5">
        <f t="shared" si="19"/>
        <v>0</v>
      </c>
    </row>
    <row r="82" spans="1:27" ht="19.5">
      <c r="A82" s="10">
        <v>9</v>
      </c>
      <c r="B82" s="11" t="s">
        <v>17</v>
      </c>
      <c r="C82" s="10"/>
      <c r="D82" s="12">
        <f>Table1[[#This Row],[Enrolment S.Y. 2025-2026 ]]*8</f>
        <v>0</v>
      </c>
      <c r="E82" s="12"/>
      <c r="F82" s="10"/>
      <c r="G82" s="12"/>
      <c r="H82" s="12">
        <f t="shared" si="20"/>
        <v>0</v>
      </c>
      <c r="I82" s="12">
        <f t="shared" si="21"/>
        <v>0</v>
      </c>
      <c r="J82" s="12"/>
      <c r="K82" s="12"/>
      <c r="L82" s="10"/>
      <c r="M82" s="5"/>
      <c r="N82" s="5">
        <f t="shared" si="14"/>
        <v>0</v>
      </c>
      <c r="O82" s="5">
        <f t="shared" si="15"/>
        <v>0</v>
      </c>
      <c r="P82" s="5">
        <f>Table1[[#This Row],[Enrolment S.Y. 2025-2026 ]]*8</f>
        <v>0</v>
      </c>
      <c r="Q82" s="12"/>
      <c r="R82" s="10"/>
      <c r="S82" s="5"/>
      <c r="T82" s="5">
        <f t="shared" si="16"/>
        <v>0</v>
      </c>
      <c r="U82" s="5">
        <f t="shared" si="17"/>
        <v>0</v>
      </c>
      <c r="V82" s="5">
        <f>Table1[[#This Row],[Enrolment S.Y. 2025-2026 ]]*8</f>
        <v>0</v>
      </c>
      <c r="W82" s="12"/>
      <c r="X82" s="10"/>
      <c r="Y82" s="5"/>
      <c r="Z82" s="5">
        <f t="shared" si="18"/>
        <v>0</v>
      </c>
      <c r="AA82" s="5">
        <f t="shared" si="19"/>
        <v>0</v>
      </c>
    </row>
    <row r="83" spans="1:27" ht="19.5">
      <c r="A83" s="10">
        <v>9</v>
      </c>
      <c r="B83" s="11" t="s">
        <v>13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0"/>
        <v>0</v>
      </c>
      <c r="I83" s="12">
        <f t="shared" si="21"/>
        <v>0</v>
      </c>
      <c r="J83" s="12"/>
      <c r="K83" s="12"/>
      <c r="L83" s="10"/>
      <c r="M83" s="5"/>
      <c r="N83" s="5">
        <f t="shared" si="14"/>
        <v>0</v>
      </c>
      <c r="O83" s="5">
        <f t="shared" si="15"/>
        <v>0</v>
      </c>
      <c r="P83" s="5">
        <f>Table1[[#This Row],[Enrolment S.Y. 2025-2026 ]]*8</f>
        <v>0</v>
      </c>
      <c r="Q83" s="12"/>
      <c r="R83" s="10"/>
      <c r="S83" s="5"/>
      <c r="T83" s="5">
        <f t="shared" si="16"/>
        <v>0</v>
      </c>
      <c r="U83" s="5">
        <f t="shared" si="17"/>
        <v>0</v>
      </c>
      <c r="V83" s="5">
        <f>Table1[[#This Row],[Enrolment S.Y. 2025-2026 ]]*8</f>
        <v>0</v>
      </c>
      <c r="W83" s="12"/>
      <c r="X83" s="10"/>
      <c r="Y83" s="5"/>
      <c r="Z83" s="5">
        <f t="shared" si="18"/>
        <v>0</v>
      </c>
      <c r="AA83" s="5">
        <f t="shared" si="19"/>
        <v>0</v>
      </c>
    </row>
    <row r="84" spans="1:27" ht="19.5">
      <c r="A84" s="10">
        <v>9</v>
      </c>
      <c r="B84" s="11" t="s">
        <v>22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0"/>
        <v>0</v>
      </c>
      <c r="I84" s="12">
        <f t="shared" si="21"/>
        <v>0</v>
      </c>
      <c r="J84" s="12"/>
      <c r="K84" s="12"/>
      <c r="L84" s="10"/>
      <c r="M84" s="5"/>
      <c r="N84" s="5">
        <f t="shared" si="14"/>
        <v>0</v>
      </c>
      <c r="O84" s="5">
        <f t="shared" si="15"/>
        <v>0</v>
      </c>
      <c r="P84" s="5">
        <f>Table1[[#This Row],[Enrolment S.Y. 2025-2026 ]]*8</f>
        <v>0</v>
      </c>
      <c r="Q84" s="12"/>
      <c r="R84" s="10"/>
      <c r="S84" s="5"/>
      <c r="T84" s="5">
        <f t="shared" si="16"/>
        <v>0</v>
      </c>
      <c r="U84" s="5">
        <f t="shared" si="17"/>
        <v>0</v>
      </c>
      <c r="V84" s="5">
        <f>Table1[[#This Row],[Enrolment S.Y. 2025-2026 ]]*8</f>
        <v>0</v>
      </c>
      <c r="W84" s="12"/>
      <c r="X84" s="10"/>
      <c r="Y84" s="5"/>
      <c r="Z84" s="5">
        <f t="shared" si="18"/>
        <v>0</v>
      </c>
      <c r="AA84" s="5">
        <f t="shared" si="19"/>
        <v>0</v>
      </c>
    </row>
    <row r="85" spans="1:27" ht="19.5">
      <c r="A85" s="10">
        <v>9</v>
      </c>
      <c r="B85" s="11" t="s">
        <v>24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0"/>
        <v>0</v>
      </c>
      <c r="I85" s="12">
        <f t="shared" si="21"/>
        <v>0</v>
      </c>
      <c r="J85" s="12"/>
      <c r="K85" s="12"/>
      <c r="L85" s="10"/>
      <c r="M85" s="5"/>
      <c r="N85" s="5">
        <f t="shared" si="14"/>
        <v>0</v>
      </c>
      <c r="O85" s="5">
        <f t="shared" si="15"/>
        <v>0</v>
      </c>
      <c r="P85" s="5">
        <f>Table1[[#This Row],[Enrolment S.Y. 2025-2026 ]]*8</f>
        <v>0</v>
      </c>
      <c r="Q85" s="12"/>
      <c r="R85" s="10"/>
      <c r="S85" s="5"/>
      <c r="T85" s="5">
        <f t="shared" si="16"/>
        <v>0</v>
      </c>
      <c r="U85" s="5">
        <f t="shared" si="17"/>
        <v>0</v>
      </c>
      <c r="V85" s="5">
        <f>Table1[[#This Row],[Enrolment S.Y. 2025-2026 ]]*8</f>
        <v>0</v>
      </c>
      <c r="W85" s="12"/>
      <c r="X85" s="10"/>
      <c r="Y85" s="5"/>
      <c r="Z85" s="5">
        <f t="shared" si="18"/>
        <v>0</v>
      </c>
      <c r="AA85" s="5">
        <f t="shared" si="19"/>
        <v>0</v>
      </c>
    </row>
    <row r="86" spans="1:27" ht="19.5">
      <c r="A86" s="10">
        <v>9</v>
      </c>
      <c r="B86" s="11" t="s">
        <v>14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0"/>
        <v>0</v>
      </c>
      <c r="I86" s="12">
        <f t="shared" si="21"/>
        <v>0</v>
      </c>
      <c r="J86" s="12"/>
      <c r="K86" s="12"/>
      <c r="L86" s="10"/>
      <c r="M86" s="5"/>
      <c r="N86" s="5">
        <f t="shared" si="14"/>
        <v>0</v>
      </c>
      <c r="O86" s="5">
        <f t="shared" si="15"/>
        <v>0</v>
      </c>
      <c r="P86" s="5">
        <f>Table1[[#This Row],[Enrolment S.Y. 2025-2026 ]]*8</f>
        <v>0</v>
      </c>
      <c r="Q86" s="12"/>
      <c r="R86" s="10"/>
      <c r="S86" s="5"/>
      <c r="T86" s="5">
        <f t="shared" si="16"/>
        <v>0</v>
      </c>
      <c r="U86" s="5">
        <f t="shared" si="17"/>
        <v>0</v>
      </c>
      <c r="V86" s="5">
        <f>Table1[[#This Row],[Enrolment S.Y. 2025-2026 ]]*8</f>
        <v>0</v>
      </c>
      <c r="W86" s="12"/>
      <c r="X86" s="10"/>
      <c r="Y86" s="5"/>
      <c r="Z86" s="5">
        <f t="shared" si="18"/>
        <v>0</v>
      </c>
      <c r="AA86" s="5">
        <f t="shared" si="19"/>
        <v>0</v>
      </c>
    </row>
    <row r="87" spans="1:27" ht="19.5">
      <c r="A87" s="10">
        <v>9</v>
      </c>
      <c r="B87" s="11" t="s">
        <v>19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0"/>
        <v>0</v>
      </c>
      <c r="I87" s="12">
        <f t="shared" si="21"/>
        <v>0</v>
      </c>
      <c r="J87" s="12"/>
      <c r="K87" s="12"/>
      <c r="L87" s="10"/>
      <c r="M87" s="5"/>
      <c r="N87" s="5">
        <f t="shared" si="14"/>
        <v>0</v>
      </c>
      <c r="O87" s="5">
        <f t="shared" si="15"/>
        <v>0</v>
      </c>
      <c r="P87" s="5">
        <f>Table1[[#This Row],[Enrolment S.Y. 2025-2026 ]]*8</f>
        <v>0</v>
      </c>
      <c r="Q87" s="12"/>
      <c r="R87" s="10"/>
      <c r="S87" s="5"/>
      <c r="T87" s="5">
        <f t="shared" si="16"/>
        <v>0</v>
      </c>
      <c r="U87" s="5">
        <f t="shared" si="17"/>
        <v>0</v>
      </c>
      <c r="V87" s="5">
        <f>Table1[[#This Row],[Enrolment S.Y. 2025-2026 ]]*8</f>
        <v>0</v>
      </c>
      <c r="W87" s="12"/>
      <c r="X87" s="10"/>
      <c r="Y87" s="5"/>
      <c r="Z87" s="5">
        <f t="shared" si="18"/>
        <v>0</v>
      </c>
      <c r="AA87" s="5">
        <f t="shared" si="19"/>
        <v>0</v>
      </c>
    </row>
    <row r="88" spans="1:27" ht="19.5">
      <c r="A88" s="10">
        <v>9</v>
      </c>
      <c r="B88" s="11" t="s">
        <v>23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0"/>
        <v>0</v>
      </c>
      <c r="I88" s="12">
        <f t="shared" si="21"/>
        <v>0</v>
      </c>
      <c r="J88" s="12"/>
      <c r="K88" s="12"/>
      <c r="L88" s="10"/>
      <c r="M88" s="5"/>
      <c r="N88" s="5">
        <f t="shared" si="14"/>
        <v>0</v>
      </c>
      <c r="O88" s="5">
        <f t="shared" si="15"/>
        <v>0</v>
      </c>
      <c r="P88" s="5">
        <f>Table1[[#This Row],[Enrolment S.Y. 2025-2026 ]]*8</f>
        <v>0</v>
      </c>
      <c r="Q88" s="12"/>
      <c r="R88" s="10"/>
      <c r="S88" s="5"/>
      <c r="T88" s="5">
        <f t="shared" si="16"/>
        <v>0</v>
      </c>
      <c r="U88" s="5">
        <f t="shared" si="17"/>
        <v>0</v>
      </c>
      <c r="V88" s="5">
        <f>Table1[[#This Row],[Enrolment S.Y. 2025-2026 ]]*8</f>
        <v>0</v>
      </c>
      <c r="W88" s="12"/>
      <c r="X88" s="10"/>
      <c r="Y88" s="5"/>
      <c r="Z88" s="5">
        <f t="shared" si="18"/>
        <v>0</v>
      </c>
      <c r="AA88" s="5">
        <f t="shared" si="19"/>
        <v>0</v>
      </c>
    </row>
    <row r="89" spans="1:27" ht="19.5">
      <c r="A89" s="10">
        <v>9</v>
      </c>
      <c r="B89" s="11" t="s">
        <v>21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0"/>
        <v>0</v>
      </c>
      <c r="I89" s="12">
        <f t="shared" si="21"/>
        <v>0</v>
      </c>
      <c r="J89" s="12"/>
      <c r="K89" s="12"/>
      <c r="L89" s="10"/>
      <c r="M89" s="5"/>
      <c r="N89" s="5">
        <f t="shared" si="14"/>
        <v>0</v>
      </c>
      <c r="O89" s="5">
        <f t="shared" si="15"/>
        <v>0</v>
      </c>
      <c r="P89" s="5">
        <f>Table1[[#This Row],[Enrolment S.Y. 2025-2026 ]]*8</f>
        <v>0</v>
      </c>
      <c r="Q89" s="12"/>
      <c r="R89" s="10"/>
      <c r="S89" s="5"/>
      <c r="T89" s="5">
        <f t="shared" si="16"/>
        <v>0</v>
      </c>
      <c r="U89" s="5">
        <f t="shared" si="17"/>
        <v>0</v>
      </c>
      <c r="V89" s="5">
        <f>Table1[[#This Row],[Enrolment S.Y. 2025-2026 ]]*8</f>
        <v>0</v>
      </c>
      <c r="W89" s="12"/>
      <c r="X89" s="10"/>
      <c r="Y89" s="5"/>
      <c r="Z89" s="5">
        <f t="shared" si="18"/>
        <v>0</v>
      </c>
      <c r="AA89" s="5">
        <f t="shared" si="19"/>
        <v>0</v>
      </c>
    </row>
    <row r="90" spans="1:27" s="7" customFormat="1"/>
    <row r="91" spans="1:27" ht="19.5">
      <c r="A91" s="10">
        <v>10</v>
      </c>
      <c r="B91" s="11" t="s">
        <v>15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0"/>
        <v>0</v>
      </c>
      <c r="I91" s="12">
        <f t="shared" si="21"/>
        <v>0</v>
      </c>
      <c r="J91" s="12"/>
      <c r="K91" s="12"/>
      <c r="L91" s="10"/>
      <c r="M91" s="5"/>
      <c r="N91" s="5">
        <f t="shared" si="14"/>
        <v>0</v>
      </c>
      <c r="O91" s="5">
        <f t="shared" si="15"/>
        <v>0</v>
      </c>
      <c r="P91" s="5">
        <f>Table1[[#This Row],[Enrolment S.Y. 2025-2026 ]]*8</f>
        <v>0</v>
      </c>
      <c r="Q91" s="12"/>
      <c r="R91" s="10"/>
      <c r="S91" s="5"/>
      <c r="T91" s="5">
        <f t="shared" si="16"/>
        <v>0</v>
      </c>
      <c r="U91" s="5">
        <f t="shared" si="17"/>
        <v>0</v>
      </c>
      <c r="V91" s="5">
        <f>Table1[[#This Row],[Enrolment S.Y. 2025-2026 ]]*8</f>
        <v>0</v>
      </c>
      <c r="W91" s="12"/>
      <c r="X91" s="10"/>
      <c r="Y91" s="5"/>
      <c r="Z91" s="5">
        <f t="shared" si="18"/>
        <v>0</v>
      </c>
      <c r="AA91" s="5">
        <f t="shared" si="19"/>
        <v>0</v>
      </c>
    </row>
    <row r="92" spans="1:27" ht="19.5">
      <c r="A92" s="10">
        <v>10</v>
      </c>
      <c r="B92" s="11" t="s">
        <v>17</v>
      </c>
      <c r="C92" s="10"/>
      <c r="D92" s="12">
        <f>Table1[[#This Row],[Enrolment S.Y. 2025-2026 ]]*8</f>
        <v>0</v>
      </c>
      <c r="E92" s="12"/>
      <c r="F92" s="10"/>
      <c r="G92" s="12"/>
      <c r="H92" s="12">
        <f t="shared" si="20"/>
        <v>0</v>
      </c>
      <c r="I92" s="12">
        <f t="shared" si="21"/>
        <v>0</v>
      </c>
      <c r="J92" s="12"/>
      <c r="K92" s="12"/>
      <c r="L92" s="10"/>
      <c r="M92" s="5"/>
      <c r="N92" s="5">
        <f t="shared" si="14"/>
        <v>0</v>
      </c>
      <c r="O92" s="5">
        <f t="shared" si="15"/>
        <v>0</v>
      </c>
      <c r="P92" s="5">
        <f>Table1[[#This Row],[Enrolment S.Y. 2025-2026 ]]*8</f>
        <v>0</v>
      </c>
      <c r="Q92" s="12"/>
      <c r="R92" s="10"/>
      <c r="S92" s="5"/>
      <c r="T92" s="5">
        <f t="shared" si="16"/>
        <v>0</v>
      </c>
      <c r="U92" s="5">
        <f t="shared" si="17"/>
        <v>0</v>
      </c>
      <c r="V92" s="5">
        <f>Table1[[#This Row],[Enrolment S.Y. 2025-2026 ]]*8</f>
        <v>0</v>
      </c>
      <c r="W92" s="12"/>
      <c r="X92" s="10"/>
      <c r="Y92" s="5"/>
      <c r="Z92" s="5">
        <f t="shared" si="18"/>
        <v>0</v>
      </c>
      <c r="AA92" s="5">
        <f t="shared" si="19"/>
        <v>0</v>
      </c>
    </row>
    <row r="93" spans="1:27" ht="19.5">
      <c r="A93" s="10">
        <v>10</v>
      </c>
      <c r="B93" s="11" t="s">
        <v>13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si="20"/>
        <v>0</v>
      </c>
      <c r="I93" s="12">
        <f t="shared" si="21"/>
        <v>0</v>
      </c>
      <c r="J93" s="12"/>
      <c r="K93" s="12"/>
      <c r="L93" s="10"/>
      <c r="M93" s="5"/>
      <c r="N93" s="5">
        <f t="shared" si="14"/>
        <v>0</v>
      </c>
      <c r="O93" s="5">
        <f t="shared" si="15"/>
        <v>0</v>
      </c>
      <c r="P93" s="5">
        <f>Table1[[#This Row],[Enrolment S.Y. 2025-2026 ]]*8</f>
        <v>0</v>
      </c>
      <c r="Q93" s="12"/>
      <c r="R93" s="10"/>
      <c r="S93" s="5"/>
      <c r="T93" s="5">
        <f t="shared" si="16"/>
        <v>0</v>
      </c>
      <c r="U93" s="5">
        <f t="shared" si="17"/>
        <v>0</v>
      </c>
      <c r="V93" s="5">
        <f>Table1[[#This Row],[Enrolment S.Y. 2025-2026 ]]*8</f>
        <v>0</v>
      </c>
      <c r="W93" s="12"/>
      <c r="X93" s="10"/>
      <c r="Y93" s="5"/>
      <c r="Z93" s="5">
        <f t="shared" si="18"/>
        <v>0</v>
      </c>
      <c r="AA93" s="5">
        <f t="shared" si="19"/>
        <v>0</v>
      </c>
    </row>
    <row r="94" spans="1:27" ht="19.5">
      <c r="A94" s="10">
        <v>10</v>
      </c>
      <c r="B94" s="11" t="s">
        <v>22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0"/>
        <v>0</v>
      </c>
      <c r="I94" s="12">
        <f t="shared" si="21"/>
        <v>0</v>
      </c>
      <c r="J94" s="12"/>
      <c r="K94" s="12"/>
      <c r="L94" s="10"/>
      <c r="M94" s="5"/>
      <c r="N94" s="5">
        <f t="shared" si="14"/>
        <v>0</v>
      </c>
      <c r="O94" s="5">
        <f t="shared" si="15"/>
        <v>0</v>
      </c>
      <c r="P94" s="5">
        <f>Table1[[#This Row],[Enrolment S.Y. 2025-2026 ]]*8</f>
        <v>0</v>
      </c>
      <c r="Q94" s="12"/>
      <c r="R94" s="10"/>
      <c r="S94" s="5"/>
      <c r="T94" s="5">
        <f t="shared" si="16"/>
        <v>0</v>
      </c>
      <c r="U94" s="5">
        <f t="shared" si="17"/>
        <v>0</v>
      </c>
      <c r="V94" s="5">
        <f>Table1[[#This Row],[Enrolment S.Y. 2025-2026 ]]*8</f>
        <v>0</v>
      </c>
      <c r="W94" s="12"/>
      <c r="X94" s="10"/>
      <c r="Y94" s="5"/>
      <c r="Z94" s="5">
        <f t="shared" si="18"/>
        <v>0</v>
      </c>
      <c r="AA94" s="5">
        <f t="shared" si="19"/>
        <v>0</v>
      </c>
    </row>
    <row r="95" spans="1:27" ht="19.5">
      <c r="A95" s="10">
        <v>10</v>
      </c>
      <c r="B95" s="11" t="s">
        <v>24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0"/>
        <v>0</v>
      </c>
      <c r="I95" s="12">
        <f t="shared" si="21"/>
        <v>0</v>
      </c>
      <c r="J95" s="12"/>
      <c r="K95" s="12"/>
      <c r="L95" s="10"/>
      <c r="M95" s="5"/>
      <c r="N95" s="5">
        <f t="shared" si="14"/>
        <v>0</v>
      </c>
      <c r="O95" s="5">
        <f t="shared" si="15"/>
        <v>0</v>
      </c>
      <c r="P95" s="5">
        <f>Table1[[#This Row],[Enrolment S.Y. 2025-2026 ]]*8</f>
        <v>0</v>
      </c>
      <c r="Q95" s="12"/>
      <c r="R95" s="10"/>
      <c r="S95" s="5"/>
      <c r="T95" s="5">
        <f t="shared" si="16"/>
        <v>0</v>
      </c>
      <c r="U95" s="5">
        <f t="shared" si="17"/>
        <v>0</v>
      </c>
      <c r="V95" s="5">
        <f>Table1[[#This Row],[Enrolment S.Y. 2025-2026 ]]*8</f>
        <v>0</v>
      </c>
      <c r="W95" s="12"/>
      <c r="X95" s="10"/>
      <c r="Y95" s="5"/>
      <c r="Z95" s="5">
        <f t="shared" si="18"/>
        <v>0</v>
      </c>
      <c r="AA95" s="5">
        <f t="shared" si="19"/>
        <v>0</v>
      </c>
    </row>
    <row r="96" spans="1:27" ht="19.5">
      <c r="A96" s="10">
        <v>10</v>
      </c>
      <c r="B96" s="11" t="s">
        <v>14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0"/>
        <v>0</v>
      </c>
      <c r="I96" s="12">
        <f t="shared" si="21"/>
        <v>0</v>
      </c>
      <c r="J96" s="12"/>
      <c r="K96" s="12"/>
      <c r="L96" s="10"/>
      <c r="M96" s="5"/>
      <c r="N96" s="5">
        <f t="shared" si="14"/>
        <v>0</v>
      </c>
      <c r="O96" s="5">
        <f t="shared" si="15"/>
        <v>0</v>
      </c>
      <c r="P96" s="5">
        <f>Table1[[#This Row],[Enrolment S.Y. 2025-2026 ]]*8</f>
        <v>0</v>
      </c>
      <c r="Q96" s="12"/>
      <c r="R96" s="10"/>
      <c r="S96" s="5"/>
      <c r="T96" s="5">
        <f t="shared" si="16"/>
        <v>0</v>
      </c>
      <c r="U96" s="5">
        <f t="shared" si="17"/>
        <v>0</v>
      </c>
      <c r="V96" s="5">
        <f>Table1[[#This Row],[Enrolment S.Y. 2025-2026 ]]*8</f>
        <v>0</v>
      </c>
      <c r="W96" s="12"/>
      <c r="X96" s="10"/>
      <c r="Y96" s="5"/>
      <c r="Z96" s="5">
        <f t="shared" si="18"/>
        <v>0</v>
      </c>
      <c r="AA96" s="5">
        <f t="shared" si="19"/>
        <v>0</v>
      </c>
    </row>
    <row r="97" spans="1:27" ht="19.5">
      <c r="A97" s="10">
        <v>10</v>
      </c>
      <c r="B97" s="11" t="s">
        <v>19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0"/>
        <v>0</v>
      </c>
      <c r="I97" s="12">
        <f t="shared" si="21"/>
        <v>0</v>
      </c>
      <c r="J97" s="12"/>
      <c r="K97" s="12"/>
      <c r="L97" s="10"/>
      <c r="M97" s="5"/>
      <c r="N97" s="5">
        <f t="shared" si="14"/>
        <v>0</v>
      </c>
      <c r="O97" s="5">
        <f t="shared" si="15"/>
        <v>0</v>
      </c>
      <c r="P97" s="5">
        <f>Table1[[#This Row],[Enrolment S.Y. 2025-2026 ]]*8</f>
        <v>0</v>
      </c>
      <c r="Q97" s="12"/>
      <c r="R97" s="10"/>
      <c r="S97" s="5"/>
      <c r="T97" s="5">
        <f t="shared" si="16"/>
        <v>0</v>
      </c>
      <c r="U97" s="5">
        <f t="shared" si="17"/>
        <v>0</v>
      </c>
      <c r="V97" s="5">
        <f>Table1[[#This Row],[Enrolment S.Y. 2025-2026 ]]*8</f>
        <v>0</v>
      </c>
      <c r="W97" s="12"/>
      <c r="X97" s="10"/>
      <c r="Y97" s="5"/>
      <c r="Z97" s="5">
        <f t="shared" si="18"/>
        <v>0</v>
      </c>
      <c r="AA97" s="5">
        <f t="shared" si="19"/>
        <v>0</v>
      </c>
    </row>
    <row r="98" spans="1:27" ht="19.5">
      <c r="A98" s="10">
        <v>10</v>
      </c>
      <c r="B98" s="11" t="s">
        <v>23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0"/>
        <v>0</v>
      </c>
      <c r="I98" s="12">
        <f t="shared" si="21"/>
        <v>0</v>
      </c>
      <c r="J98" s="12"/>
      <c r="K98" s="12"/>
      <c r="L98" s="10"/>
      <c r="M98" s="5"/>
      <c r="N98" s="5">
        <f t="shared" si="14"/>
        <v>0</v>
      </c>
      <c r="O98" s="5">
        <f t="shared" si="15"/>
        <v>0</v>
      </c>
      <c r="P98" s="5">
        <f>Table1[[#This Row],[Enrolment S.Y. 2025-2026 ]]*8</f>
        <v>0</v>
      </c>
      <c r="Q98" s="12"/>
      <c r="R98" s="10"/>
      <c r="S98" s="5"/>
      <c r="T98" s="5">
        <f t="shared" si="16"/>
        <v>0</v>
      </c>
      <c r="U98" s="5">
        <f t="shared" si="17"/>
        <v>0</v>
      </c>
      <c r="V98" s="5">
        <f>Table1[[#This Row],[Enrolment S.Y. 2025-2026 ]]*8</f>
        <v>0</v>
      </c>
      <c r="W98" s="12"/>
      <c r="X98" s="10"/>
      <c r="Y98" s="5"/>
      <c r="Z98" s="5">
        <f t="shared" si="18"/>
        <v>0</v>
      </c>
      <c r="AA98" s="5">
        <f t="shared" si="19"/>
        <v>0</v>
      </c>
    </row>
    <row r="99" spans="1:27" ht="19.5">
      <c r="A99" s="10">
        <v>10</v>
      </c>
      <c r="B99" s="11" t="s">
        <v>21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0"/>
        <v>0</v>
      </c>
      <c r="I99" s="12">
        <f t="shared" si="21"/>
        <v>0</v>
      </c>
      <c r="J99" s="12"/>
      <c r="K99" s="12"/>
      <c r="L99" s="10"/>
      <c r="M99" s="5"/>
      <c r="N99" s="5">
        <f t="shared" si="14"/>
        <v>0</v>
      </c>
      <c r="O99" s="5">
        <f t="shared" si="15"/>
        <v>0</v>
      </c>
      <c r="P99" s="5">
        <f>Table1[[#This Row],[Enrolment S.Y. 2025-2026 ]]*8</f>
        <v>0</v>
      </c>
      <c r="Q99" s="12"/>
      <c r="R99" s="10"/>
      <c r="S99" s="5"/>
      <c r="T99" s="5">
        <f t="shared" si="16"/>
        <v>0</v>
      </c>
      <c r="U99" s="5">
        <f t="shared" si="17"/>
        <v>0</v>
      </c>
      <c r="V99" s="5">
        <f>Table1[[#This Row],[Enrolment S.Y. 2025-2026 ]]*8</f>
        <v>0</v>
      </c>
      <c r="W99" s="12"/>
      <c r="X99" s="10"/>
      <c r="Y99" s="5"/>
      <c r="Z99" s="5">
        <f t="shared" si="18"/>
        <v>0</v>
      </c>
      <c r="AA99" s="5">
        <f t="shared" si="19"/>
        <v>0</v>
      </c>
    </row>
    <row r="100" spans="1:27" s="7" customFormat="1"/>
    <row r="101" spans="1:27" ht="19.5">
      <c r="A101" s="1" t="s">
        <v>25</v>
      </c>
      <c r="B101" s="9" t="s">
        <v>26</v>
      </c>
      <c r="C101" s="1"/>
      <c r="D101" s="5">
        <f>Table1[[#This Row],[Enrolment S.Y. 2025-2026 ]]*8</f>
        <v>0</v>
      </c>
      <c r="E101" s="5"/>
      <c r="F101" s="1"/>
      <c r="G101" s="5"/>
      <c r="H101" s="5">
        <f t="shared" si="20"/>
        <v>0</v>
      </c>
      <c r="I101" s="5">
        <f t="shared" si="21"/>
        <v>0</v>
      </c>
      <c r="J101" s="5"/>
      <c r="K101" s="5"/>
      <c r="L101" s="1"/>
      <c r="M101" s="5"/>
      <c r="N101" s="5">
        <f t="shared" si="14"/>
        <v>0</v>
      </c>
      <c r="O101" s="5">
        <f t="shared" si="15"/>
        <v>0</v>
      </c>
      <c r="P101" s="5">
        <f>Table1[[#This Row],[Enrolment S.Y. 2025-2026 ]]*8</f>
        <v>0</v>
      </c>
      <c r="Q101" s="5"/>
      <c r="R101" s="1"/>
      <c r="S101" s="5"/>
      <c r="T101" s="5">
        <f t="shared" si="16"/>
        <v>0</v>
      </c>
      <c r="U101" s="5">
        <f t="shared" si="17"/>
        <v>0</v>
      </c>
      <c r="V101" s="5">
        <f>Table1[[#This Row],[Enrolment S.Y. 2025-2026 ]]*8</f>
        <v>0</v>
      </c>
      <c r="W101" s="5"/>
      <c r="X101" s="1"/>
      <c r="Y101" s="5"/>
      <c r="Z101" s="5">
        <f t="shared" si="18"/>
        <v>0</v>
      </c>
      <c r="AA101" s="5">
        <f t="shared" si="19"/>
        <v>0</v>
      </c>
    </row>
    <row r="102" spans="1:27" ht="19.5">
      <c r="A102" s="1" t="s">
        <v>25</v>
      </c>
      <c r="B102" s="9" t="s">
        <v>27</v>
      </c>
      <c r="C102" s="1"/>
      <c r="D102" s="5">
        <f>Table1[[#This Row],[Enrolment S.Y. 2025-2026 ]]*8</f>
        <v>0</v>
      </c>
      <c r="E102" s="5"/>
      <c r="F102" s="1"/>
      <c r="G102" s="5"/>
      <c r="H102" s="5">
        <f t="shared" si="20"/>
        <v>0</v>
      </c>
      <c r="I102" s="5">
        <f t="shared" si="21"/>
        <v>0</v>
      </c>
      <c r="J102" s="5"/>
      <c r="K102" s="5"/>
      <c r="L102" s="1"/>
      <c r="M102" s="5"/>
      <c r="N102" s="5">
        <f t="shared" si="14"/>
        <v>0</v>
      </c>
      <c r="O102" s="5">
        <f t="shared" si="15"/>
        <v>0</v>
      </c>
      <c r="P102" s="5">
        <f>Table1[[#This Row],[Enrolment S.Y. 2025-2026 ]]*8</f>
        <v>0</v>
      </c>
      <c r="Q102" s="5"/>
      <c r="R102" s="1"/>
      <c r="S102" s="5"/>
      <c r="T102" s="5">
        <f t="shared" si="16"/>
        <v>0</v>
      </c>
      <c r="U102" s="5">
        <f t="shared" si="17"/>
        <v>0</v>
      </c>
      <c r="V102" s="5">
        <f>Table1[[#This Row],[Enrolment S.Y. 2025-2026 ]]*8</f>
        <v>0</v>
      </c>
      <c r="W102" s="5"/>
      <c r="X102" s="1"/>
      <c r="Y102" s="5"/>
      <c r="Z102" s="5">
        <f t="shared" si="18"/>
        <v>0</v>
      </c>
      <c r="AA102" s="5">
        <f t="shared" si="19"/>
        <v>0</v>
      </c>
    </row>
    <row r="103" spans="1:27" ht="19.5">
      <c r="A103" s="1" t="s">
        <v>25</v>
      </c>
      <c r="B103" s="9" t="s">
        <v>28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0"/>
        <v>0</v>
      </c>
      <c r="I103" s="5">
        <f t="shared" si="21"/>
        <v>0</v>
      </c>
      <c r="J103" s="5"/>
      <c r="K103" s="5"/>
      <c r="L103" s="1"/>
      <c r="M103" s="5"/>
      <c r="N103" s="5">
        <f t="shared" si="14"/>
        <v>0</v>
      </c>
      <c r="O103" s="5">
        <f t="shared" si="15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6"/>
        <v>0</v>
      </c>
      <c r="U103" s="5">
        <f t="shared" si="17"/>
        <v>0</v>
      </c>
      <c r="V103" s="5">
        <f>Table1[[#This Row],[Enrolment S.Y. 2025-2026 ]]*8</f>
        <v>0</v>
      </c>
      <c r="W103" s="5"/>
      <c r="X103" s="1"/>
      <c r="Y103" s="5"/>
      <c r="Z103" s="5">
        <f t="shared" si="18"/>
        <v>0</v>
      </c>
      <c r="AA103" s="5">
        <f t="shared" si="19"/>
        <v>0</v>
      </c>
    </row>
    <row r="104" spans="1:27" ht="19.5">
      <c r="A104" s="1" t="s">
        <v>25</v>
      </c>
      <c r="B104" s="9" t="s">
        <v>29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0"/>
        <v>0</v>
      </c>
      <c r="I104" s="5">
        <f t="shared" si="21"/>
        <v>0</v>
      </c>
      <c r="J104" s="5"/>
      <c r="K104" s="5"/>
      <c r="L104" s="1"/>
      <c r="M104" s="5"/>
      <c r="N104" s="5">
        <f t="shared" si="14"/>
        <v>0</v>
      </c>
      <c r="O104" s="5">
        <f t="shared" si="15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6"/>
        <v>0</v>
      </c>
      <c r="U104" s="5">
        <f t="shared" si="17"/>
        <v>0</v>
      </c>
      <c r="V104" s="5">
        <f>Table1[[#This Row],[Enrolment S.Y. 2025-2026 ]]*8</f>
        <v>0</v>
      </c>
      <c r="W104" s="5"/>
      <c r="X104" s="1"/>
      <c r="Y104" s="5"/>
      <c r="Z104" s="5">
        <f t="shared" si="18"/>
        <v>0</v>
      </c>
      <c r="AA104" s="5">
        <f t="shared" si="19"/>
        <v>0</v>
      </c>
    </row>
    <row r="105" spans="1:27" ht="39">
      <c r="A105" s="1" t="s">
        <v>25</v>
      </c>
      <c r="B105" s="9" t="s">
        <v>30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0"/>
        <v>0</v>
      </c>
      <c r="I105" s="5">
        <f t="shared" si="21"/>
        <v>0</v>
      </c>
      <c r="J105" s="5"/>
      <c r="K105" s="5"/>
      <c r="L105" s="1"/>
      <c r="M105" s="5"/>
      <c r="N105" s="5">
        <f t="shared" si="14"/>
        <v>0</v>
      </c>
      <c r="O105" s="5">
        <f t="shared" si="15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6"/>
        <v>0</v>
      </c>
      <c r="U105" s="5">
        <f t="shared" si="17"/>
        <v>0</v>
      </c>
      <c r="V105" s="5">
        <f>Table1[[#This Row],[Enrolment S.Y. 2025-2026 ]]*8</f>
        <v>0</v>
      </c>
      <c r="W105" s="5"/>
      <c r="X105" s="1"/>
      <c r="Y105" s="5"/>
      <c r="Z105" s="5">
        <f t="shared" si="18"/>
        <v>0</v>
      </c>
      <c r="AA105" s="5">
        <f t="shared" si="19"/>
        <v>0</v>
      </c>
    </row>
    <row r="106" spans="1:27" ht="19.5">
      <c r="A106" s="1" t="s">
        <v>25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0"/>
        <v>0</v>
      </c>
      <c r="I106" s="5">
        <f t="shared" si="21"/>
        <v>0</v>
      </c>
      <c r="J106" s="5"/>
      <c r="K106" s="5"/>
      <c r="L106" s="1"/>
      <c r="M106" s="5"/>
      <c r="N106" s="5">
        <f t="shared" si="14"/>
        <v>0</v>
      </c>
      <c r="O106" s="5">
        <f t="shared" si="15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6"/>
        <v>0</v>
      </c>
      <c r="U106" s="5">
        <f t="shared" si="17"/>
        <v>0</v>
      </c>
      <c r="V106" s="5">
        <f>Table1[[#This Row],[Enrolment S.Y. 2025-2026 ]]*8</f>
        <v>0</v>
      </c>
      <c r="W106" s="5"/>
      <c r="X106" s="1"/>
      <c r="Y106" s="5"/>
      <c r="Z106" s="5">
        <f t="shared" si="18"/>
        <v>0</v>
      </c>
      <c r="AA106" s="5">
        <f t="shared" si="19"/>
        <v>0</v>
      </c>
    </row>
    <row r="107" spans="1:27" ht="39">
      <c r="A107" s="1" t="s">
        <v>25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0"/>
        <v>0</v>
      </c>
      <c r="I107" s="5">
        <f t="shared" si="21"/>
        <v>0</v>
      </c>
      <c r="J107" s="5"/>
      <c r="K107" s="5"/>
      <c r="L107" s="1"/>
      <c r="M107" s="5"/>
      <c r="N107" s="5">
        <f t="shared" si="14"/>
        <v>0</v>
      </c>
      <c r="O107" s="5">
        <f t="shared" si="15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6"/>
        <v>0</v>
      </c>
      <c r="U107" s="5">
        <f t="shared" si="17"/>
        <v>0</v>
      </c>
      <c r="V107" s="5">
        <f>Table1[[#This Row],[Enrolment S.Y. 2025-2026 ]]*8</f>
        <v>0</v>
      </c>
      <c r="W107" s="5"/>
      <c r="X107" s="1"/>
      <c r="Y107" s="5"/>
      <c r="Z107" s="5">
        <f t="shared" si="18"/>
        <v>0</v>
      </c>
      <c r="AA107" s="5">
        <f t="shared" si="19"/>
        <v>0</v>
      </c>
    </row>
    <row r="108" spans="1:27" ht="19.5">
      <c r="A108" s="1" t="s">
        <v>25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0"/>
        <v>0</v>
      </c>
      <c r="I108" s="5">
        <f t="shared" si="21"/>
        <v>0</v>
      </c>
      <c r="J108" s="5"/>
      <c r="K108" s="5"/>
      <c r="L108" s="1"/>
      <c r="M108" s="5"/>
      <c r="N108" s="5">
        <f t="shared" si="14"/>
        <v>0</v>
      </c>
      <c r="O108" s="5">
        <f t="shared" si="15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6"/>
        <v>0</v>
      </c>
      <c r="U108" s="5">
        <f t="shared" si="17"/>
        <v>0</v>
      </c>
      <c r="V108" s="5">
        <f>Table1[[#This Row],[Enrolment S.Y. 2025-2026 ]]*8</f>
        <v>0</v>
      </c>
      <c r="W108" s="5"/>
      <c r="X108" s="1"/>
      <c r="Y108" s="5"/>
      <c r="Z108" s="5">
        <f t="shared" si="18"/>
        <v>0</v>
      </c>
      <c r="AA108" s="5">
        <f t="shared" si="19"/>
        <v>0</v>
      </c>
    </row>
    <row r="109" spans="1:27" s="7" customFormat="1" ht="19.5">
      <c r="J109" s="14"/>
      <c r="N109" s="14"/>
      <c r="O109" s="14"/>
      <c r="P109" s="14"/>
      <c r="T109" s="14"/>
      <c r="U109" s="14"/>
      <c r="V109" s="14"/>
      <c r="Z109" s="14"/>
      <c r="AA109" s="14"/>
    </row>
    <row r="110" spans="1:27" ht="19.5">
      <c r="A110" s="7"/>
      <c r="B110" s="7"/>
      <c r="C110" s="7"/>
      <c r="D110" s="7"/>
      <c r="E110" s="7"/>
      <c r="F110" s="7"/>
      <c r="G110" s="7"/>
      <c r="H110" s="7"/>
      <c r="I110" s="7"/>
      <c r="J110" s="14"/>
      <c r="K110" s="7"/>
      <c r="L110" s="7"/>
      <c r="M110" s="7"/>
      <c r="N110" s="14"/>
      <c r="O110" s="14"/>
      <c r="P110" s="14"/>
      <c r="Q110" s="7"/>
      <c r="R110" s="7"/>
      <c r="S110" s="7"/>
      <c r="T110" s="14"/>
      <c r="U110" s="14"/>
      <c r="V110" s="14"/>
      <c r="W110" s="7"/>
      <c r="X110" s="7"/>
      <c r="Y110" s="7"/>
      <c r="Z110" s="14"/>
      <c r="AA110" s="14"/>
    </row>
    <row r="111" spans="1:27" ht="19.5">
      <c r="A111" s="7"/>
      <c r="B111" s="7"/>
      <c r="C111" s="7"/>
      <c r="D111" s="7"/>
      <c r="E111" s="7"/>
      <c r="F111" s="7"/>
      <c r="G111" s="7"/>
      <c r="H111" s="7"/>
      <c r="I111" s="7"/>
      <c r="J111" s="14"/>
      <c r="K111" s="7"/>
      <c r="L111" s="7"/>
      <c r="M111" s="7"/>
      <c r="N111" s="14"/>
      <c r="O111" s="14"/>
      <c r="P111" s="14"/>
      <c r="Q111" s="7"/>
      <c r="R111" s="7"/>
      <c r="S111" s="7"/>
      <c r="T111" s="14"/>
      <c r="U111" s="14"/>
      <c r="V111" s="14"/>
      <c r="W111" s="7"/>
      <c r="X111" s="7"/>
      <c r="Y111" s="7"/>
      <c r="Z111" s="14"/>
      <c r="AA111" s="14"/>
    </row>
    <row r="112" spans="1:27" ht="19.5">
      <c r="A112" s="7"/>
      <c r="B112" s="7"/>
      <c r="C112" s="7"/>
      <c r="D112" s="7"/>
      <c r="E112" s="7"/>
      <c r="F112" s="7"/>
      <c r="G112" s="7"/>
      <c r="H112" s="7"/>
      <c r="I112" s="7"/>
      <c r="J112" s="14"/>
      <c r="K112" s="7"/>
      <c r="L112" s="7"/>
      <c r="M112" s="7"/>
      <c r="N112" s="14"/>
      <c r="O112" s="14"/>
      <c r="P112" s="14"/>
      <c r="Q112" s="7"/>
      <c r="R112" s="7"/>
      <c r="S112" s="7"/>
      <c r="T112" s="14"/>
      <c r="U112" s="14"/>
      <c r="V112" s="14"/>
      <c r="W112" s="7"/>
      <c r="X112" s="7"/>
      <c r="Y112" s="7"/>
      <c r="Z112" s="14"/>
      <c r="AA112" s="14"/>
    </row>
    <row r="113" spans="1:27" ht="19.5">
      <c r="A113" s="7"/>
      <c r="B113" s="7"/>
      <c r="C113" s="7"/>
      <c r="D113" s="7"/>
      <c r="E113" s="7"/>
      <c r="F113" s="7"/>
      <c r="G113" s="7"/>
      <c r="H113" s="7"/>
      <c r="I113" s="7"/>
      <c r="J113" s="14"/>
      <c r="K113" s="7"/>
      <c r="L113" s="7"/>
      <c r="M113" s="7"/>
      <c r="N113" s="14"/>
      <c r="O113" s="14"/>
      <c r="P113" s="14"/>
      <c r="Q113" s="7"/>
      <c r="R113" s="7"/>
      <c r="S113" s="7"/>
      <c r="T113" s="14"/>
      <c r="U113" s="14"/>
      <c r="V113" s="14"/>
      <c r="W113" s="7"/>
      <c r="X113" s="7"/>
      <c r="Y113" s="7"/>
      <c r="Z113" s="14"/>
      <c r="AA113" s="14"/>
    </row>
    <row r="114" spans="1:27" ht="19.5">
      <c r="A114" s="7"/>
      <c r="B114" s="7"/>
      <c r="C114" s="7"/>
      <c r="D114" s="7"/>
      <c r="E114" s="7"/>
      <c r="F114" s="7"/>
      <c r="G114" s="7"/>
      <c r="H114" s="7"/>
      <c r="I114" s="7"/>
      <c r="J114" s="14"/>
      <c r="K114" s="7"/>
      <c r="L114" s="7"/>
      <c r="M114" s="7"/>
      <c r="N114" s="14"/>
      <c r="O114" s="14"/>
      <c r="P114" s="14"/>
      <c r="Q114" s="7"/>
      <c r="R114" s="7"/>
      <c r="S114" s="7"/>
      <c r="T114" s="14"/>
      <c r="U114" s="14"/>
      <c r="V114" s="14"/>
      <c r="W114" s="7"/>
      <c r="X114" s="7"/>
      <c r="Y114" s="7"/>
      <c r="Z114" s="14"/>
      <c r="AA114" s="14"/>
    </row>
    <row r="115" spans="1:27" ht="19.5">
      <c r="A115" s="7"/>
      <c r="B115" s="7"/>
      <c r="C115" s="7"/>
      <c r="D115" s="7"/>
      <c r="E115" s="7"/>
      <c r="F115" s="7"/>
      <c r="G115" s="7"/>
      <c r="H115" s="7"/>
      <c r="I115" s="7"/>
      <c r="J115" s="14"/>
      <c r="K115" s="7"/>
      <c r="L115" s="7"/>
      <c r="M115" s="7"/>
      <c r="N115" s="14"/>
      <c r="O115" s="14"/>
      <c r="P115" s="14"/>
      <c r="Q115" s="7"/>
      <c r="R115" s="7"/>
      <c r="S115" s="7"/>
      <c r="T115" s="14"/>
      <c r="U115" s="14"/>
      <c r="V115" s="14"/>
      <c r="W115" s="7"/>
      <c r="X115" s="7"/>
      <c r="Y115" s="7"/>
      <c r="Z115" s="14"/>
      <c r="AA115" s="14"/>
    </row>
    <row r="116" spans="1:27" ht="19.5">
      <c r="A116" s="7"/>
      <c r="B116" s="7"/>
      <c r="C116" s="7"/>
      <c r="D116" s="7"/>
      <c r="E116" s="7"/>
      <c r="F116" s="7"/>
      <c r="G116" s="7"/>
      <c r="H116" s="7"/>
      <c r="I116" s="7"/>
      <c r="J116" s="14"/>
      <c r="K116" s="7"/>
      <c r="L116" s="7"/>
      <c r="M116" s="7"/>
      <c r="N116" s="14"/>
      <c r="O116" s="14"/>
      <c r="P116" s="14"/>
      <c r="Q116" s="7"/>
      <c r="R116" s="7"/>
      <c r="S116" s="7"/>
      <c r="T116" s="14"/>
      <c r="U116" s="14"/>
      <c r="V116" s="14"/>
      <c r="W116" s="7"/>
      <c r="X116" s="7"/>
      <c r="Y116" s="7"/>
      <c r="Z116" s="14"/>
      <c r="AA116" s="14"/>
    </row>
    <row r="117" spans="1:27" ht="19.5">
      <c r="A117" s="7"/>
      <c r="B117" s="7"/>
      <c r="C117" s="7"/>
      <c r="D117" s="7"/>
      <c r="E117" s="7"/>
      <c r="F117" s="7"/>
      <c r="G117" s="7"/>
      <c r="H117" s="7"/>
      <c r="I117" s="7"/>
      <c r="J117" s="14"/>
      <c r="K117" s="7"/>
      <c r="L117" s="7"/>
      <c r="M117" s="7"/>
      <c r="N117" s="14"/>
      <c r="O117" s="14"/>
      <c r="P117" s="14"/>
      <c r="Q117" s="7"/>
      <c r="R117" s="7"/>
      <c r="S117" s="7"/>
      <c r="T117" s="14"/>
      <c r="U117" s="14"/>
      <c r="V117" s="14"/>
      <c r="W117" s="7"/>
      <c r="X117" s="7"/>
      <c r="Y117" s="7"/>
      <c r="Z117" s="14"/>
      <c r="AA117" s="14"/>
    </row>
    <row r="118" spans="1:27" ht="19.5">
      <c r="A118" s="7"/>
      <c r="B118" s="7"/>
      <c r="C118" s="7"/>
      <c r="D118" s="7"/>
      <c r="E118" s="7"/>
      <c r="F118" s="7"/>
      <c r="G118" s="7"/>
      <c r="H118" s="7"/>
      <c r="I118" s="7"/>
      <c r="J118" s="14"/>
      <c r="K118" s="7"/>
      <c r="L118" s="7"/>
      <c r="M118" s="7"/>
      <c r="N118" s="14"/>
      <c r="O118" s="14"/>
      <c r="P118" s="14"/>
      <c r="Q118" s="7"/>
      <c r="R118" s="7"/>
      <c r="S118" s="7"/>
      <c r="T118" s="14"/>
      <c r="U118" s="14"/>
      <c r="V118" s="14"/>
      <c r="W118" s="7"/>
      <c r="X118" s="7"/>
      <c r="Y118" s="7"/>
      <c r="Z118" s="14"/>
      <c r="AA118" s="14"/>
    </row>
    <row r="119" spans="1:27" ht="19.5">
      <c r="A119" s="7"/>
      <c r="B119" s="7"/>
      <c r="C119" s="7"/>
      <c r="D119" s="7"/>
      <c r="E119" s="7"/>
      <c r="F119" s="7"/>
      <c r="G119" s="7"/>
      <c r="H119" s="7"/>
      <c r="I119" s="7"/>
      <c r="J119" s="14"/>
      <c r="K119" s="7"/>
      <c r="L119" s="7"/>
      <c r="M119" s="7"/>
      <c r="N119" s="14"/>
      <c r="O119" s="14"/>
      <c r="P119" s="14"/>
      <c r="Q119" s="7"/>
      <c r="R119" s="7"/>
      <c r="S119" s="7"/>
      <c r="T119" s="14"/>
      <c r="U119" s="14"/>
      <c r="V119" s="14"/>
      <c r="W119" s="7"/>
      <c r="X119" s="7"/>
      <c r="Y119" s="7"/>
      <c r="Z119" s="14"/>
      <c r="AA119" s="14"/>
    </row>
    <row r="120" spans="1:27" ht="19.5">
      <c r="A120" s="7"/>
      <c r="B120" s="7"/>
      <c r="C120" s="7"/>
      <c r="D120" s="7"/>
      <c r="E120" s="7"/>
      <c r="F120" s="7"/>
      <c r="G120" s="7"/>
      <c r="H120" s="7"/>
      <c r="I120" s="7"/>
      <c r="J120" s="14"/>
      <c r="K120" s="7"/>
      <c r="L120" s="7"/>
      <c r="M120" s="7"/>
      <c r="N120" s="14"/>
      <c r="O120" s="14"/>
      <c r="P120" s="14"/>
      <c r="Q120" s="7"/>
      <c r="R120" s="7"/>
      <c r="S120" s="7"/>
      <c r="T120" s="14"/>
      <c r="U120" s="14"/>
      <c r="V120" s="14"/>
      <c r="W120" s="7"/>
      <c r="X120" s="7"/>
      <c r="Y120" s="7"/>
      <c r="Z120" s="14"/>
      <c r="AA120" s="14"/>
    </row>
    <row r="121" spans="1:27" ht="19.5">
      <c r="A121" s="7"/>
      <c r="B121" s="7"/>
      <c r="C121" s="7"/>
      <c r="D121" s="7"/>
      <c r="E121" s="7"/>
      <c r="F121" s="7"/>
      <c r="G121" s="7"/>
      <c r="H121" s="7"/>
      <c r="I121" s="7"/>
      <c r="J121" s="14"/>
      <c r="K121" s="7"/>
      <c r="L121" s="7"/>
      <c r="M121" s="7"/>
      <c r="N121" s="14"/>
      <c r="O121" s="14"/>
      <c r="P121" s="14"/>
      <c r="Q121" s="7"/>
      <c r="R121" s="7"/>
      <c r="S121" s="7"/>
      <c r="T121" s="14"/>
      <c r="U121" s="14"/>
      <c r="V121" s="14"/>
      <c r="W121" s="7"/>
      <c r="X121" s="7"/>
      <c r="Y121" s="7"/>
      <c r="Z121" s="14"/>
      <c r="AA121" s="14"/>
    </row>
    <row r="122" spans="1:27" ht="19.5">
      <c r="A122" s="7"/>
      <c r="B122" s="7"/>
      <c r="C122" s="7"/>
      <c r="D122" s="7"/>
      <c r="E122" s="7"/>
      <c r="F122" s="7"/>
      <c r="G122" s="7"/>
      <c r="H122" s="7"/>
      <c r="I122" s="7"/>
      <c r="J122" s="14"/>
      <c r="K122" s="7"/>
      <c r="L122" s="7"/>
      <c r="M122" s="7"/>
      <c r="N122" s="14"/>
      <c r="O122" s="14"/>
      <c r="P122" s="14"/>
      <c r="Q122" s="7"/>
      <c r="R122" s="7"/>
      <c r="S122" s="7"/>
      <c r="T122" s="14"/>
      <c r="U122" s="14"/>
      <c r="V122" s="14"/>
      <c r="W122" s="7"/>
      <c r="X122" s="7"/>
      <c r="Y122" s="7"/>
      <c r="Z122" s="14"/>
      <c r="AA122" s="14"/>
    </row>
    <row r="123" spans="1:27" ht="19.5">
      <c r="A123" s="7"/>
      <c r="B123" s="7"/>
      <c r="C123" s="7"/>
      <c r="D123" s="7"/>
      <c r="E123" s="7"/>
      <c r="F123" s="7"/>
      <c r="G123" s="7"/>
      <c r="H123" s="7"/>
      <c r="I123" s="7"/>
      <c r="J123" s="14"/>
      <c r="K123" s="7"/>
      <c r="L123" s="7"/>
      <c r="M123" s="7"/>
      <c r="N123" s="14"/>
      <c r="O123" s="14"/>
      <c r="P123" s="14"/>
      <c r="Q123" s="7"/>
      <c r="R123" s="7"/>
      <c r="S123" s="7"/>
      <c r="T123" s="14"/>
      <c r="U123" s="14"/>
      <c r="V123" s="14"/>
      <c r="W123" s="7"/>
      <c r="X123" s="7"/>
      <c r="Y123" s="7"/>
      <c r="Z123" s="14"/>
      <c r="AA123" s="14"/>
    </row>
    <row r="124" spans="1:27" ht="19.5">
      <c r="A124" s="7"/>
      <c r="B124" s="7"/>
      <c r="C124" s="7"/>
      <c r="D124" s="7"/>
      <c r="E124" s="7"/>
      <c r="F124" s="7"/>
      <c r="G124" s="7"/>
      <c r="H124" s="7"/>
      <c r="I124" s="7"/>
      <c r="J124" s="14"/>
      <c r="K124" s="7"/>
      <c r="L124" s="7"/>
      <c r="M124" s="7"/>
      <c r="N124" s="14"/>
      <c r="O124" s="14"/>
      <c r="P124" s="14"/>
      <c r="Q124" s="7"/>
      <c r="R124" s="7"/>
      <c r="S124" s="7"/>
      <c r="T124" s="14"/>
      <c r="U124" s="14"/>
      <c r="V124" s="14"/>
      <c r="W124" s="7"/>
      <c r="X124" s="7"/>
      <c r="Y124" s="7"/>
      <c r="Z124" s="14"/>
      <c r="AA124" s="14"/>
    </row>
    <row r="125" spans="1:27" ht="19.5">
      <c r="A125" s="7"/>
      <c r="B125" s="7"/>
      <c r="C125" s="7"/>
      <c r="D125" s="7"/>
      <c r="E125" s="7"/>
      <c r="F125" s="7"/>
      <c r="G125" s="7"/>
      <c r="H125" s="7"/>
      <c r="I125" s="7"/>
      <c r="J125" s="14"/>
      <c r="K125" s="7"/>
      <c r="L125" s="7"/>
      <c r="M125" s="7"/>
      <c r="N125" s="14"/>
      <c r="O125" s="14"/>
      <c r="P125" s="14"/>
      <c r="Q125" s="7"/>
      <c r="R125" s="7"/>
      <c r="S125" s="7"/>
      <c r="T125" s="14"/>
      <c r="U125" s="14"/>
      <c r="V125" s="14"/>
      <c r="W125" s="7"/>
      <c r="X125" s="7"/>
      <c r="Y125" s="7"/>
      <c r="Z125" s="14"/>
      <c r="AA125" s="14"/>
    </row>
  </sheetData>
  <protectedRanges>
    <protectedRange sqref="C61:C69 C81:C89 C91:C99 C101:C108 C71:C79 C2:C10 C12:C19 C21:C29 C31:C39 C41:C49 C51:C59 D15:D18" name="Textbooks"/>
    <protectedRange sqref="J2:L2 D2:F10 D51:F59 D61:F69 D81:F89 D91:F99 D101:F108 H101:I108 Q101:R108 W101:X108 K101:L108 P2:R10 N3:O10 V2:X10 T3:U10 N12:R19 T12:X19 H3:L10 Z3:AA10 Z12:AA19 N21:R29 T21:X29 H21:L29 Z21:AA29 N31:R39 T31:X39 H31:L39 Z31:AA39 N41:R49 T41:X49 Z41:AA49 N51:R59 T51:X59 H51:L59 Z51:AA59 N61:R69 T61:X69 H61:L69 Z61:AA69 N71:R79 T71:X79 H71:L79 Z71:AA79 N81:R89 T81:X89 H81:L89 Z81:AA89 N91:R99 T91:X99 H91:L99 Z91:AA99 N101:P125 T101:V125 J101:J125 Z101:AA125 H12:L19 D21:F29 D41:F49 H41:L49 D71:F79 D12:F14 D19:F19 E15:F18 D31:F39" name="LAS"/>
    <protectedRange sqref="G2:I2 M2:O2 S2:U2 Y2:AA2 G3:G10 M3:M10 S3:S10 Y3:Y10 S12:S19 Y12:Y19 M21:M29 S21:S29 Y21:Y29 G31:G39 M31:M39 S31:S39 Y31:Y39 S41:S49 Y41:Y49 G51:G59 M51:M59 S51:S59 Y51:Y59 G61:G69 M61:M69 S61:S69 Y61:Y69 M71:M79 S71:S79 Y71:Y79 G81:G89 M81:M89 S81:S89 Y81:Y89 G91:G99 M91:M99 S91:S99 Y91:Y99 G101:G108 M101:M108 S101:S108 Y101:Y108 G12:G19 M12:M19 G21:G29 G41:G49 M41:M49 G71:G7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21:X29 X31:X39 X41:X49 X61:X69 X71:X79 X51:X59 R101:R108 X81:X89 X91:X99 X12:X19 X3:X10 L21:L29 L31:L39 F41:F49 L61:L69 L71:L79 L51:L59 L101:L108 L81:L89 L91:L99 F12:F19 L3:L10 R21:R29 R31:R39 R41:R49 R61:R69 R71:R79 R51:R59 X101:X108 R81:R89 R91:R99 R12:R19 R3:R10 L12:L19 F71:F79 F21:F29 F61:F69 L41:L49 F51:F59 F3:F10 F81:F89 F91:F99 F101:F108 F31:F39" xr:uid="{00000000-0002-0000-0100-000000000000}">
      <formula1>"2024,2025"</formula1>
    </dataValidation>
    <dataValidation type="list" allowBlank="1" showInputMessage="1" showErrorMessage="1" sqref="S101:S108 Y101:Y108 G101:G108 Y3:Y10 S3:S10 M3:M10 G3:G10 M101:M108 Y12:Y19 S12:S19 G12:G19 M21:M29 M12:M19 Y21:Y29 S21:S29 S31:S39 M31:M39 G31:G39 Y31:Y39 Y41:Y49 S41:S49 G41:G49 G21:G29 G51:G59 Y51:Y59 S51:S59 M51:M59 M61:M69 G61:G69 Y61:Y69 S61:S69 S71:S79 M71:M79 M41:M49 Y71:Y79 Y81:Y89 S81:S89 M81:M89 G81:G89 G91:G99 Y91:Y99 S91:S99 M91:M99 G71:G79" xr:uid="{00000000-0002-0000-0100-000001000000}">
      <formula1>"CO,RO,SDO,LGU,SCHOOL"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4"/>
  <sheetViews>
    <sheetView topLeftCell="M37" zoomScale="60" zoomScaleNormal="60" workbookViewId="0">
      <selection activeCell="Q59" sqref="Q59"/>
    </sheetView>
  </sheetViews>
  <sheetFormatPr defaultRowHeight="14.25"/>
  <cols>
    <col min="1" max="1" width="15" customWidth="1"/>
    <col min="2" max="2" width="27.85546875" customWidth="1"/>
    <col min="3" max="3" width="17.28515625" customWidth="1"/>
    <col min="4" max="4" width="26.28515625" customWidth="1"/>
    <col min="5" max="5" width="23.28515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7109375" customWidth="1"/>
    <col min="19" max="19" width="32.85546875" customWidth="1"/>
    <col min="20" max="21" width="20.85546875" customWidth="1"/>
    <col min="22" max="22" width="16.28515625" customWidth="1"/>
    <col min="23" max="23" width="25" customWidth="1"/>
    <col min="24" max="24" width="15.28515625" customWidth="1"/>
    <col min="25" max="25" width="20.7109375" customWidth="1"/>
    <col min="26" max="26" width="14.7109375" customWidth="1"/>
    <col min="27" max="27" width="15.28515625" customWidth="1"/>
  </cols>
  <sheetData>
    <row r="1" spans="1:27" s="29" customFormat="1" ht="34.15" customHeight="1">
      <c r="D1" s="32" t="s">
        <v>34</v>
      </c>
      <c r="E1" s="32"/>
      <c r="F1" s="32"/>
      <c r="G1" s="32"/>
      <c r="H1" s="32"/>
      <c r="I1" s="32"/>
      <c r="J1" s="33" t="s">
        <v>35</v>
      </c>
      <c r="K1" s="33"/>
      <c r="L1" s="33"/>
      <c r="M1" s="33"/>
      <c r="N1" s="33"/>
      <c r="O1" s="33"/>
      <c r="P1" s="34" t="s">
        <v>36</v>
      </c>
      <c r="Q1" s="34"/>
      <c r="R1" s="34"/>
      <c r="S1" s="34"/>
      <c r="T1" s="34"/>
      <c r="U1" s="34"/>
      <c r="V1" s="35" t="s">
        <v>37</v>
      </c>
      <c r="W1" s="35"/>
      <c r="X1" s="35"/>
      <c r="Y1" s="35"/>
      <c r="Z1" s="35"/>
      <c r="AA1" s="35"/>
    </row>
    <row r="2" spans="1:27" ht="69.599999999999994" customHeight="1">
      <c r="A2" s="16" t="s">
        <v>0</v>
      </c>
      <c r="B2" s="16" t="s">
        <v>1</v>
      </c>
      <c r="C2" s="17" t="s">
        <v>2</v>
      </c>
      <c r="D2" s="21" t="s">
        <v>63</v>
      </c>
      <c r="E2" s="21" t="s">
        <v>64</v>
      </c>
      <c r="F2" s="22" t="s">
        <v>65</v>
      </c>
      <c r="G2" s="25" t="s">
        <v>66</v>
      </c>
      <c r="H2" s="18" t="s">
        <v>67</v>
      </c>
      <c r="I2" s="25" t="s">
        <v>68</v>
      </c>
      <c r="J2" s="23" t="s">
        <v>69</v>
      </c>
      <c r="K2" s="23" t="s">
        <v>70</v>
      </c>
      <c r="L2" s="24" t="s">
        <v>71</v>
      </c>
      <c r="M2" s="36" t="s">
        <v>72</v>
      </c>
      <c r="N2" s="36" t="s">
        <v>73</v>
      </c>
      <c r="O2" s="23" t="s">
        <v>74</v>
      </c>
      <c r="P2" s="25" t="s">
        <v>75</v>
      </c>
      <c r="Q2" s="25" t="s">
        <v>76</v>
      </c>
      <c r="R2" s="26" t="s">
        <v>77</v>
      </c>
      <c r="S2" s="18" t="s">
        <v>78</v>
      </c>
      <c r="T2" s="18" t="s">
        <v>79</v>
      </c>
      <c r="U2" s="25" t="s">
        <v>80</v>
      </c>
      <c r="V2" s="27" t="s">
        <v>81</v>
      </c>
      <c r="W2" s="27" t="s">
        <v>82</v>
      </c>
      <c r="X2" s="28" t="s">
        <v>83</v>
      </c>
      <c r="Y2" s="37" t="s">
        <v>84</v>
      </c>
      <c r="Z2" s="37" t="s">
        <v>85</v>
      </c>
      <c r="AA2" s="27" t="s">
        <v>86</v>
      </c>
    </row>
    <row r="3" spans="1:27" ht="39">
      <c r="A3" s="1">
        <v>1</v>
      </c>
      <c r="B3" s="2" t="s">
        <v>8</v>
      </c>
      <c r="C3" s="1">
        <v>65</v>
      </c>
      <c r="D3" s="5">
        <v>520</v>
      </c>
      <c r="E3" s="5">
        <v>60</v>
      </c>
      <c r="F3" s="1">
        <v>2025</v>
      </c>
      <c r="G3" s="5"/>
      <c r="H3" s="5">
        <f>Table14[[#This Row],[Enrolment S.Y. 2025-2026 ]]-Table14[[#This Row],[Quantity of Learning Activity Sheets Received (Quantity received x No. of ADM-SLM) - Q1]]</f>
        <v>5</v>
      </c>
      <c r="I3" s="5"/>
      <c r="J3" s="5"/>
      <c r="K3" s="5"/>
      <c r="L3" s="1"/>
      <c r="M3" s="5"/>
      <c r="N3" s="5">
        <f t="shared" ref="N3:N70" si="0">IF((J3-K3)&lt;0,0,(J3-K3))</f>
        <v>0</v>
      </c>
      <c r="O3" s="5">
        <f t="shared" ref="O3:O70" si="1">IF((K3-J3)&lt;0,0,(K3-J3))</f>
        <v>0</v>
      </c>
      <c r="P3" s="5">
        <f>Table14[[#This Row],[Enrolment S.Y. 2025-2026 ]]*8</f>
        <v>520</v>
      </c>
      <c r="Q3" s="5"/>
      <c r="R3" s="1"/>
      <c r="S3" s="5"/>
      <c r="T3" s="5">
        <f t="shared" ref="T3:T70" si="2">IF((P3-Q3)&lt;0,0,(P3-Q3))</f>
        <v>520</v>
      </c>
      <c r="U3" s="5">
        <f t="shared" ref="U3:U70" si="3">IF((Q3-P3)&lt;0,0,(Q3-P3))</f>
        <v>0</v>
      </c>
      <c r="V3" s="5">
        <f>Table14[[#This Row],[Enrolment S.Y. 2025-2026 ]]*8</f>
        <v>520</v>
      </c>
      <c r="W3" s="5">
        <v>60</v>
      </c>
      <c r="X3" s="1">
        <v>2025</v>
      </c>
      <c r="Y3" s="5"/>
      <c r="Z3" s="5">
        <f t="shared" ref="Z3:Z70" si="4">IF((V3-W3)&lt;0,0,(V3-W3))</f>
        <v>460</v>
      </c>
      <c r="AA3" s="5">
        <f t="shared" ref="AA3:AA70" si="5">IF((W3-V3)&lt;0,0,(W3-V3))</f>
        <v>0</v>
      </c>
    </row>
    <row r="4" spans="1:27" ht="19.5">
      <c r="A4" s="1">
        <v>1</v>
      </c>
      <c r="B4" s="2" t="s">
        <v>10</v>
      </c>
      <c r="C4" s="1">
        <v>65</v>
      </c>
      <c r="D4" s="5">
        <v>520</v>
      </c>
      <c r="E4" s="5">
        <v>60</v>
      </c>
      <c r="F4" s="1">
        <v>2025</v>
      </c>
      <c r="G4" s="5"/>
      <c r="H4" s="5">
        <f>Table14[[#This Row],[Enrolment S.Y. 2025-2026 ]]-Table14[[#This Row],[Quantity of Learning Activity Sheets Received (Quantity received x No. of ADM-SLM) - Q1]]</f>
        <v>5</v>
      </c>
      <c r="I4" s="5"/>
      <c r="J4" s="5"/>
      <c r="K4" s="5"/>
      <c r="L4" s="1"/>
      <c r="M4" s="5"/>
      <c r="N4" s="5">
        <f t="shared" si="0"/>
        <v>0</v>
      </c>
      <c r="O4" s="5">
        <f t="shared" si="1"/>
        <v>0</v>
      </c>
      <c r="P4" s="5">
        <f>Table14[[#This Row],[Enrolment S.Y. 2025-2026 ]]*8</f>
        <v>520</v>
      </c>
      <c r="Q4" s="5"/>
      <c r="R4" s="1"/>
      <c r="S4" s="5"/>
      <c r="T4" s="5">
        <f t="shared" si="2"/>
        <v>520</v>
      </c>
      <c r="U4" s="5">
        <f t="shared" si="3"/>
        <v>0</v>
      </c>
      <c r="V4" s="5">
        <f>Table14[[#This Row],[Enrolment S.Y. 2025-2026 ]]*8</f>
        <v>520</v>
      </c>
      <c r="W4" s="5">
        <v>60</v>
      </c>
      <c r="X4" s="1">
        <v>2025</v>
      </c>
      <c r="Y4" s="5"/>
      <c r="Z4" s="5">
        <f t="shared" si="4"/>
        <v>460</v>
      </c>
      <c r="AA4" s="5">
        <f t="shared" si="5"/>
        <v>0</v>
      </c>
    </row>
    <row r="5" spans="1:27" ht="19.5">
      <c r="A5" s="1">
        <v>1</v>
      </c>
      <c r="B5" s="2" t="s">
        <v>11</v>
      </c>
      <c r="C5" s="1">
        <v>65</v>
      </c>
      <c r="D5" s="5">
        <v>520</v>
      </c>
      <c r="E5" s="5">
        <v>60</v>
      </c>
      <c r="F5" s="1">
        <v>2025</v>
      </c>
      <c r="G5" s="5"/>
      <c r="H5" s="5">
        <f>Table14[[#This Row],[Enrolment S.Y. 2025-2026 ]]-Table14[[#This Row],[Quantity of Learning Activity Sheets Received (Quantity received x No. of ADM-SLM) - Q1]]</f>
        <v>5</v>
      </c>
      <c r="I5" s="5"/>
      <c r="J5" s="5"/>
      <c r="K5" s="5"/>
      <c r="L5" s="1"/>
      <c r="M5" s="5"/>
      <c r="N5" s="5">
        <f t="shared" si="0"/>
        <v>0</v>
      </c>
      <c r="O5" s="5">
        <f t="shared" si="1"/>
        <v>0</v>
      </c>
      <c r="P5" s="5">
        <f>Table14[[#This Row],[Enrolment S.Y. 2025-2026 ]]*8</f>
        <v>520</v>
      </c>
      <c r="Q5" s="5"/>
      <c r="R5" s="1"/>
      <c r="S5" s="5"/>
      <c r="T5" s="5">
        <f t="shared" si="2"/>
        <v>520</v>
      </c>
      <c r="U5" s="5">
        <f t="shared" si="3"/>
        <v>0</v>
      </c>
      <c r="V5" s="5">
        <f>Table14[[#This Row],[Enrolment S.Y. 2025-2026 ]]*8</f>
        <v>520</v>
      </c>
      <c r="W5" s="5">
        <v>60</v>
      </c>
      <c r="X5" s="1">
        <v>2025</v>
      </c>
      <c r="Y5" s="5"/>
      <c r="Z5" s="5">
        <f t="shared" si="4"/>
        <v>460</v>
      </c>
      <c r="AA5" s="5">
        <f t="shared" si="5"/>
        <v>0</v>
      </c>
    </row>
    <row r="6" spans="1:27" ht="19.5">
      <c r="A6" s="1">
        <v>1</v>
      </c>
      <c r="B6" s="2" t="s">
        <v>12</v>
      </c>
      <c r="C6" s="1">
        <v>65</v>
      </c>
      <c r="D6" s="5">
        <v>520</v>
      </c>
      <c r="E6" s="5">
        <v>60</v>
      </c>
      <c r="F6" s="1">
        <v>2025</v>
      </c>
      <c r="G6" s="5"/>
      <c r="H6" s="5">
        <f>Table14[[#This Row],[Enrolment S.Y. 2025-2026 ]]-Table14[[#This Row],[Quantity of Learning Activity Sheets Received (Quantity received x No. of ADM-SLM) - Q1]]</f>
        <v>5</v>
      </c>
      <c r="I6" s="5"/>
      <c r="J6" s="5"/>
      <c r="K6" s="5"/>
      <c r="L6" s="1"/>
      <c r="M6" s="5"/>
      <c r="N6" s="5">
        <f t="shared" si="0"/>
        <v>0</v>
      </c>
      <c r="O6" s="5">
        <f t="shared" si="1"/>
        <v>0</v>
      </c>
      <c r="P6" s="5">
        <f>Table14[[#This Row],[Enrolment S.Y. 2025-2026 ]]*8</f>
        <v>520</v>
      </c>
      <c r="Q6" s="5"/>
      <c r="R6" s="1"/>
      <c r="S6" s="5"/>
      <c r="T6" s="5">
        <f t="shared" si="2"/>
        <v>520</v>
      </c>
      <c r="U6" s="5">
        <f t="shared" si="3"/>
        <v>0</v>
      </c>
      <c r="V6" s="5">
        <f>Table14[[#This Row],[Enrolment S.Y. 2025-2026 ]]*8</f>
        <v>520</v>
      </c>
      <c r="W6" s="5">
        <v>60</v>
      </c>
      <c r="X6" s="1">
        <v>2025</v>
      </c>
      <c r="Y6" s="5"/>
      <c r="Z6" s="5">
        <f t="shared" si="4"/>
        <v>460</v>
      </c>
      <c r="AA6" s="5">
        <f t="shared" si="5"/>
        <v>0</v>
      </c>
    </row>
    <row r="7" spans="1:27" ht="19.5">
      <c r="A7" s="1">
        <v>1</v>
      </c>
      <c r="B7" s="2" t="s">
        <v>13</v>
      </c>
      <c r="C7" s="1">
        <v>65</v>
      </c>
      <c r="D7" s="5">
        <v>520</v>
      </c>
      <c r="E7" s="5">
        <v>60</v>
      </c>
      <c r="F7" s="1">
        <v>2025</v>
      </c>
      <c r="G7" s="5"/>
      <c r="H7" s="5">
        <f>Table14[[#This Row],[Enrolment S.Y. 2025-2026 ]]-Table14[[#This Row],[Quantity of Learning Activity Sheets Received (Quantity received x No. of ADM-SLM) - Q1]]</f>
        <v>5</v>
      </c>
      <c r="I7" s="5"/>
      <c r="J7" s="5"/>
      <c r="K7" s="5"/>
      <c r="L7" s="1"/>
      <c r="M7" s="5"/>
      <c r="N7" s="5">
        <f t="shared" si="0"/>
        <v>0</v>
      </c>
      <c r="O7" s="5">
        <f t="shared" si="1"/>
        <v>0</v>
      </c>
      <c r="P7" s="5">
        <f>Table14[[#This Row],[Enrolment S.Y. 2025-2026 ]]*8</f>
        <v>520</v>
      </c>
      <c r="Q7" s="5"/>
      <c r="R7" s="1"/>
      <c r="S7" s="5"/>
      <c r="T7" s="5">
        <f t="shared" si="2"/>
        <v>520</v>
      </c>
      <c r="U7" s="5">
        <f t="shared" si="3"/>
        <v>0</v>
      </c>
      <c r="V7" s="5">
        <f>Table14[[#This Row],[Enrolment S.Y. 2025-2026 ]]*8</f>
        <v>520</v>
      </c>
      <c r="W7" s="5">
        <v>60</v>
      </c>
      <c r="X7" s="1">
        <v>2025</v>
      </c>
      <c r="Y7" s="5"/>
      <c r="Z7" s="5">
        <f t="shared" si="4"/>
        <v>460</v>
      </c>
      <c r="AA7" s="5">
        <f t="shared" si="5"/>
        <v>0</v>
      </c>
    </row>
    <row r="8" spans="1:27" ht="19.5">
      <c r="A8" s="1">
        <v>1</v>
      </c>
      <c r="B8" s="9" t="s">
        <v>15</v>
      </c>
      <c r="C8" s="1">
        <v>65</v>
      </c>
      <c r="D8" s="5">
        <v>520</v>
      </c>
      <c r="E8" s="5">
        <v>60</v>
      </c>
      <c r="F8" s="1">
        <v>2025</v>
      </c>
      <c r="G8" s="5"/>
      <c r="H8" s="5">
        <f>Table14[[#This Row],[Enrolment S.Y. 2025-2026 ]]-Table14[[#This Row],[Quantity of Learning Activity Sheets Received (Quantity received x No. of ADM-SLM) - Q1]]</f>
        <v>5</v>
      </c>
      <c r="I8" s="5"/>
      <c r="J8" s="5"/>
      <c r="K8" s="5"/>
      <c r="L8" s="1"/>
      <c r="M8" s="5"/>
      <c r="N8" s="5">
        <f t="shared" si="0"/>
        <v>0</v>
      </c>
      <c r="O8" s="5">
        <f t="shared" si="1"/>
        <v>0</v>
      </c>
      <c r="P8" s="5">
        <f>Table14[[#This Row],[Enrolment S.Y. 2025-2026 ]]*8</f>
        <v>520</v>
      </c>
      <c r="Q8" s="5"/>
      <c r="R8" s="1"/>
      <c r="S8" s="5"/>
      <c r="T8" s="5">
        <f t="shared" si="2"/>
        <v>520</v>
      </c>
      <c r="U8" s="5">
        <f t="shared" si="3"/>
        <v>0</v>
      </c>
      <c r="V8" s="5">
        <f>Table14[[#This Row],[Enrolment S.Y. 2025-2026 ]]*8</f>
        <v>520</v>
      </c>
      <c r="W8" s="5">
        <v>60</v>
      </c>
      <c r="X8" s="1">
        <v>2025</v>
      </c>
      <c r="Y8" s="5"/>
      <c r="Z8" s="5">
        <f t="shared" si="4"/>
        <v>460</v>
      </c>
      <c r="AA8" s="5">
        <f t="shared" si="5"/>
        <v>0</v>
      </c>
    </row>
    <row r="9" spans="1:27" ht="19.5">
      <c r="A9" s="1">
        <v>1</v>
      </c>
      <c r="B9" s="9" t="s">
        <v>17</v>
      </c>
      <c r="C9" s="1">
        <v>65</v>
      </c>
      <c r="D9" s="5">
        <v>520</v>
      </c>
      <c r="E9" s="5">
        <v>60</v>
      </c>
      <c r="F9" s="1">
        <v>2025</v>
      </c>
      <c r="G9" s="5"/>
      <c r="H9" s="5">
        <f>Table14[[#This Row],[Enrolment S.Y. 2025-2026 ]]-Table14[[#This Row],[Quantity of Learning Activity Sheets Received (Quantity received x No. of ADM-SLM) - Q1]]</f>
        <v>5</v>
      </c>
      <c r="I9" s="5"/>
      <c r="J9" s="5"/>
      <c r="K9" s="5"/>
      <c r="L9" s="1"/>
      <c r="M9" s="5"/>
      <c r="N9" s="5">
        <f t="shared" si="0"/>
        <v>0</v>
      </c>
      <c r="O9" s="5">
        <f t="shared" si="1"/>
        <v>0</v>
      </c>
      <c r="P9" s="5">
        <f>Table14[[#This Row],[Enrolment S.Y. 2025-2026 ]]*8</f>
        <v>520</v>
      </c>
      <c r="Q9" s="5"/>
      <c r="R9" s="1"/>
      <c r="S9" s="5"/>
      <c r="T9" s="5">
        <f t="shared" si="2"/>
        <v>520</v>
      </c>
      <c r="U9" s="5">
        <f t="shared" si="3"/>
        <v>0</v>
      </c>
      <c r="V9" s="5">
        <f>Table14[[#This Row],[Enrolment S.Y. 2025-2026 ]]*8</f>
        <v>520</v>
      </c>
      <c r="W9" s="5">
        <v>60</v>
      </c>
      <c r="X9" s="1">
        <v>2025</v>
      </c>
      <c r="Y9" s="5"/>
      <c r="Z9" s="5">
        <f t="shared" si="4"/>
        <v>460</v>
      </c>
      <c r="AA9" s="5">
        <f t="shared" si="5"/>
        <v>0</v>
      </c>
    </row>
    <row r="10" spans="1:27" ht="19.5">
      <c r="A10" s="1">
        <v>1</v>
      </c>
      <c r="B10" s="9" t="s">
        <v>62</v>
      </c>
      <c r="C10" s="1">
        <v>65</v>
      </c>
      <c r="D10" s="5">
        <v>520</v>
      </c>
      <c r="E10" s="5">
        <v>60</v>
      </c>
      <c r="F10" s="1">
        <v>2025</v>
      </c>
      <c r="G10" s="5"/>
      <c r="H10" s="5">
        <f>Table14[[#This Row],[Enrolment S.Y. 2025-2026 ]]-Table14[[#This Row],[Quantity of Learning Activity Sheets Received (Quantity received x No. of ADM-SLM) - Q1]]</f>
        <v>5</v>
      </c>
      <c r="I10" s="5"/>
      <c r="J10" s="5"/>
      <c r="K10" s="5"/>
      <c r="L10" s="1"/>
      <c r="M10" s="5"/>
      <c r="N10" s="5">
        <f t="shared" si="0"/>
        <v>0</v>
      </c>
      <c r="O10" s="5">
        <f t="shared" si="1"/>
        <v>0</v>
      </c>
      <c r="P10" s="5">
        <f>Table14[[#This Row],[Enrolment S.Y. 2025-2026 ]]*8</f>
        <v>520</v>
      </c>
      <c r="Q10" s="5"/>
      <c r="R10" s="1"/>
      <c r="S10" s="5"/>
      <c r="T10" s="5">
        <f t="shared" si="2"/>
        <v>520</v>
      </c>
      <c r="U10" s="5">
        <f t="shared" si="3"/>
        <v>0</v>
      </c>
      <c r="V10" s="5">
        <f>Table14[[#This Row],[Enrolment S.Y. 2025-2026 ]]*8</f>
        <v>520</v>
      </c>
      <c r="W10" s="5">
        <v>60</v>
      </c>
      <c r="X10" s="1">
        <v>2025</v>
      </c>
      <c r="Y10" s="5"/>
      <c r="Z10" s="5">
        <f t="shared" si="4"/>
        <v>460</v>
      </c>
      <c r="AA10" s="5">
        <f t="shared" si="5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67</v>
      </c>
      <c r="D12" s="5">
        <v>536</v>
      </c>
      <c r="E12" s="5"/>
      <c r="F12" s="1"/>
      <c r="G12" s="5"/>
      <c r="H12" s="5"/>
      <c r="I12" s="5"/>
      <c r="J12" s="5"/>
      <c r="K12" s="5"/>
      <c r="L12" s="1"/>
      <c r="M12" s="5"/>
      <c r="N12" s="5">
        <f t="shared" si="0"/>
        <v>0</v>
      </c>
      <c r="O12" s="5">
        <f t="shared" si="1"/>
        <v>0</v>
      </c>
      <c r="P12" s="5">
        <f>Table14[[#This Row],[Enrolment S.Y. 2025-2026 ]]*8</f>
        <v>536</v>
      </c>
      <c r="Q12" s="5"/>
      <c r="R12" s="1"/>
      <c r="S12" s="5"/>
      <c r="T12" s="5">
        <f t="shared" si="2"/>
        <v>536</v>
      </c>
      <c r="U12" s="5">
        <f t="shared" si="3"/>
        <v>0</v>
      </c>
      <c r="V12" s="5">
        <f>Table14[[#This Row],[Enrolment S.Y. 2025-2026 ]]*8</f>
        <v>536</v>
      </c>
      <c r="W12" s="5"/>
      <c r="X12" s="1"/>
      <c r="Y12" s="5"/>
      <c r="Z12" s="5">
        <f t="shared" si="4"/>
        <v>536</v>
      </c>
      <c r="AA12" s="5">
        <f t="shared" si="5"/>
        <v>0</v>
      </c>
    </row>
    <row r="13" spans="1:27" ht="19.5">
      <c r="A13" s="1">
        <v>2</v>
      </c>
      <c r="B13" s="2" t="s">
        <v>10</v>
      </c>
      <c r="C13" s="1">
        <v>67</v>
      </c>
      <c r="D13" s="5">
        <v>536</v>
      </c>
      <c r="E13" s="5"/>
      <c r="F13" s="1"/>
      <c r="G13" s="5"/>
      <c r="H13" s="5"/>
      <c r="I13" s="5"/>
      <c r="J13" s="5"/>
      <c r="K13" s="5"/>
      <c r="L13" s="1"/>
      <c r="M13" s="5"/>
      <c r="N13" s="5">
        <f t="shared" si="0"/>
        <v>0</v>
      </c>
      <c r="O13" s="5">
        <f t="shared" si="1"/>
        <v>0</v>
      </c>
      <c r="P13" s="5">
        <f>Table14[[#This Row],[Enrolment S.Y. 2025-2026 ]]*8</f>
        <v>536</v>
      </c>
      <c r="Q13" s="5"/>
      <c r="R13" s="1"/>
      <c r="S13" s="5"/>
      <c r="T13" s="5">
        <f t="shared" si="2"/>
        <v>536</v>
      </c>
      <c r="U13" s="5">
        <f t="shared" si="3"/>
        <v>0</v>
      </c>
      <c r="V13" s="5">
        <f>Table14[[#This Row],[Enrolment S.Y. 2025-2026 ]]*8</f>
        <v>536</v>
      </c>
      <c r="W13" s="5"/>
      <c r="X13" s="1"/>
      <c r="Y13" s="5"/>
      <c r="Z13" s="5">
        <f t="shared" si="4"/>
        <v>536</v>
      </c>
      <c r="AA13" s="5">
        <f t="shared" si="5"/>
        <v>0</v>
      </c>
    </row>
    <row r="14" spans="1:27" ht="19.5">
      <c r="A14" s="1">
        <v>2</v>
      </c>
      <c r="B14" s="2" t="s">
        <v>11</v>
      </c>
      <c r="C14" s="1">
        <v>67</v>
      </c>
      <c r="D14" s="5">
        <v>536</v>
      </c>
      <c r="E14" s="5"/>
      <c r="F14" s="1"/>
      <c r="G14" s="5"/>
      <c r="H14" s="5"/>
      <c r="I14" s="5"/>
      <c r="J14" s="5"/>
      <c r="K14" s="5"/>
      <c r="L14" s="1"/>
      <c r="M14" s="5"/>
      <c r="N14" s="5">
        <f t="shared" si="0"/>
        <v>0</v>
      </c>
      <c r="O14" s="5">
        <f t="shared" si="1"/>
        <v>0</v>
      </c>
      <c r="P14" s="5">
        <f>Table14[[#This Row],[Enrolment S.Y. 2025-2026 ]]*8</f>
        <v>536</v>
      </c>
      <c r="Q14" s="5"/>
      <c r="R14" s="1"/>
      <c r="S14" s="5"/>
      <c r="T14" s="5">
        <f t="shared" si="2"/>
        <v>536</v>
      </c>
      <c r="U14" s="5">
        <f t="shared" si="3"/>
        <v>0</v>
      </c>
      <c r="V14" s="5">
        <f>Table14[[#This Row],[Enrolment S.Y. 2025-2026 ]]*8</f>
        <v>536</v>
      </c>
      <c r="W14" s="5"/>
      <c r="X14" s="1"/>
      <c r="Y14" s="5"/>
      <c r="Z14" s="5">
        <f t="shared" si="4"/>
        <v>536</v>
      </c>
      <c r="AA14" s="5">
        <f t="shared" si="5"/>
        <v>0</v>
      </c>
    </row>
    <row r="15" spans="1:27" ht="19.5">
      <c r="A15" s="1">
        <v>2</v>
      </c>
      <c r="B15" s="2" t="s">
        <v>12</v>
      </c>
      <c r="C15" s="1">
        <v>67</v>
      </c>
      <c r="D15" s="5">
        <v>536</v>
      </c>
      <c r="E15" s="5"/>
      <c r="F15" s="1"/>
      <c r="G15" s="5"/>
      <c r="H15" s="5"/>
      <c r="I15" s="5"/>
      <c r="J15" s="5"/>
      <c r="K15" s="5"/>
      <c r="L15" s="1"/>
      <c r="M15" s="5"/>
      <c r="N15" s="5">
        <f t="shared" si="0"/>
        <v>0</v>
      </c>
      <c r="O15" s="5">
        <f t="shared" si="1"/>
        <v>0</v>
      </c>
      <c r="P15" s="5">
        <f>Table14[[#This Row],[Enrolment S.Y. 2025-2026 ]]*8</f>
        <v>536</v>
      </c>
      <c r="Q15" s="5"/>
      <c r="R15" s="1"/>
      <c r="S15" s="5"/>
      <c r="T15" s="5">
        <f t="shared" si="2"/>
        <v>536</v>
      </c>
      <c r="U15" s="5">
        <f t="shared" si="3"/>
        <v>0</v>
      </c>
      <c r="V15" s="5">
        <f>Table14[[#This Row],[Enrolment S.Y. 2025-2026 ]]*8</f>
        <v>536</v>
      </c>
      <c r="W15" s="5"/>
      <c r="X15" s="1"/>
      <c r="Y15" s="5"/>
      <c r="Z15" s="5">
        <f t="shared" si="4"/>
        <v>536</v>
      </c>
      <c r="AA15" s="5">
        <f t="shared" si="5"/>
        <v>0</v>
      </c>
    </row>
    <row r="16" spans="1:27" ht="19.5">
      <c r="A16" s="1">
        <v>2</v>
      </c>
      <c r="B16" s="2" t="s">
        <v>13</v>
      </c>
      <c r="C16" s="1">
        <v>67</v>
      </c>
      <c r="D16" s="5">
        <v>536</v>
      </c>
      <c r="E16" s="5"/>
      <c r="F16" s="1"/>
      <c r="G16" s="5"/>
      <c r="H16" s="5"/>
      <c r="I16" s="5"/>
      <c r="J16" s="5"/>
      <c r="K16" s="5"/>
      <c r="L16" s="1"/>
      <c r="M16" s="5"/>
      <c r="N16" s="5">
        <f t="shared" si="0"/>
        <v>0</v>
      </c>
      <c r="O16" s="5">
        <f t="shared" si="1"/>
        <v>0</v>
      </c>
      <c r="P16" s="5">
        <f>Table14[[#This Row],[Enrolment S.Y. 2025-2026 ]]*8</f>
        <v>536</v>
      </c>
      <c r="Q16" s="5"/>
      <c r="R16" s="1"/>
      <c r="S16" s="5"/>
      <c r="T16" s="5">
        <f t="shared" si="2"/>
        <v>536</v>
      </c>
      <c r="U16" s="5">
        <f t="shared" si="3"/>
        <v>0</v>
      </c>
      <c r="V16" s="5">
        <f>Table14[[#This Row],[Enrolment S.Y. 2025-2026 ]]*8</f>
        <v>536</v>
      </c>
      <c r="W16" s="5"/>
      <c r="X16" s="1"/>
      <c r="Y16" s="5"/>
      <c r="Z16" s="5">
        <f t="shared" si="4"/>
        <v>536</v>
      </c>
      <c r="AA16" s="5">
        <f t="shared" si="5"/>
        <v>0</v>
      </c>
    </row>
    <row r="17" spans="1:27" ht="19.5">
      <c r="A17" s="1">
        <v>2</v>
      </c>
      <c r="B17" s="9" t="s">
        <v>17</v>
      </c>
      <c r="C17" s="1">
        <v>67</v>
      </c>
      <c r="D17" s="5">
        <v>536</v>
      </c>
      <c r="E17" s="5"/>
      <c r="F17" s="1"/>
      <c r="G17" s="5"/>
      <c r="H17" s="5"/>
      <c r="I17" s="5"/>
      <c r="J17" s="5"/>
      <c r="K17" s="5"/>
      <c r="L17" s="1"/>
      <c r="M17" s="5"/>
      <c r="N17" s="5">
        <f t="shared" si="0"/>
        <v>0</v>
      </c>
      <c r="O17" s="5">
        <f t="shared" si="1"/>
        <v>0</v>
      </c>
      <c r="P17" s="5">
        <f>Table14[[#This Row],[Enrolment S.Y. 2025-2026 ]]*8</f>
        <v>536</v>
      </c>
      <c r="Q17" s="5"/>
      <c r="R17" s="1"/>
      <c r="S17" s="5"/>
      <c r="T17" s="5">
        <f t="shared" si="2"/>
        <v>536</v>
      </c>
      <c r="U17" s="5">
        <f t="shared" si="3"/>
        <v>0</v>
      </c>
      <c r="V17" s="5">
        <f>Table14[[#This Row],[Enrolment S.Y. 2025-2026 ]]*8</f>
        <v>536</v>
      </c>
      <c r="W17" s="5"/>
      <c r="X17" s="1"/>
      <c r="Y17" s="5"/>
      <c r="Z17" s="5">
        <f t="shared" si="4"/>
        <v>536</v>
      </c>
      <c r="AA17" s="5">
        <f t="shared" si="5"/>
        <v>0</v>
      </c>
    </row>
    <row r="18" spans="1:27" ht="19.5">
      <c r="A18" s="1">
        <v>2</v>
      </c>
      <c r="B18" s="9" t="s">
        <v>15</v>
      </c>
      <c r="C18" s="1">
        <v>67</v>
      </c>
      <c r="D18" s="5">
        <v>536</v>
      </c>
      <c r="E18" s="5"/>
      <c r="F18" s="1"/>
      <c r="G18" s="5"/>
      <c r="H18" s="5"/>
      <c r="I18" s="5"/>
      <c r="J18" s="5"/>
      <c r="K18" s="5"/>
      <c r="L18" s="1"/>
      <c r="M18" s="5"/>
      <c r="N18" s="5">
        <f t="shared" si="0"/>
        <v>0</v>
      </c>
      <c r="O18" s="5">
        <f t="shared" si="1"/>
        <v>0</v>
      </c>
      <c r="P18" s="5">
        <f>Table14[[#This Row],[Enrolment S.Y. 2025-2026 ]]*8</f>
        <v>536</v>
      </c>
      <c r="Q18" s="5"/>
      <c r="R18" s="1"/>
      <c r="S18" s="5"/>
      <c r="T18" s="5">
        <f t="shared" si="2"/>
        <v>536</v>
      </c>
      <c r="U18" s="5">
        <f t="shared" si="3"/>
        <v>0</v>
      </c>
      <c r="V18" s="5">
        <f>Table14[[#This Row],[Enrolment S.Y. 2025-2026 ]]*8</f>
        <v>536</v>
      </c>
      <c r="W18" s="5"/>
      <c r="X18" s="1"/>
      <c r="Y18" s="5"/>
      <c r="Z18" s="5">
        <f t="shared" si="4"/>
        <v>536</v>
      </c>
      <c r="AA18" s="5">
        <f t="shared" si="5"/>
        <v>0</v>
      </c>
    </row>
    <row r="19" spans="1:27" ht="19.5">
      <c r="A19" s="1">
        <v>2</v>
      </c>
      <c r="B19" s="9" t="s">
        <v>62</v>
      </c>
      <c r="C19" s="1">
        <v>67</v>
      </c>
      <c r="D19" s="5">
        <v>536</v>
      </c>
      <c r="E19" s="5"/>
      <c r="F19" s="1"/>
      <c r="G19" s="5"/>
      <c r="H19" s="5"/>
      <c r="I19" s="5"/>
      <c r="J19" s="5"/>
      <c r="K19" s="5"/>
      <c r="L19" s="1"/>
      <c r="M19" s="5"/>
      <c r="N19" s="5">
        <f t="shared" si="0"/>
        <v>0</v>
      </c>
      <c r="O19" s="5">
        <f t="shared" si="1"/>
        <v>0</v>
      </c>
      <c r="P19" s="5">
        <f>Table14[[#This Row],[Enrolment S.Y. 2025-2026 ]]*8</f>
        <v>536</v>
      </c>
      <c r="Q19" s="5"/>
      <c r="R19" s="1"/>
      <c r="S19" s="5"/>
      <c r="T19" s="5">
        <f t="shared" si="2"/>
        <v>536</v>
      </c>
      <c r="U19" s="5">
        <f t="shared" si="3"/>
        <v>0</v>
      </c>
      <c r="V19" s="5">
        <f>Table14[[#This Row],[Enrolment S.Y. 2025-2026 ]]*8</f>
        <v>536</v>
      </c>
      <c r="W19" s="5"/>
      <c r="X19" s="1"/>
      <c r="Y19" s="5"/>
      <c r="Z19" s="5">
        <f t="shared" si="4"/>
        <v>536</v>
      </c>
      <c r="AA19" s="5">
        <f t="shared" si="5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73</v>
      </c>
      <c r="D21" s="5"/>
      <c r="E21" s="5"/>
      <c r="F21" s="1"/>
      <c r="G21" s="5"/>
      <c r="H21" s="5"/>
      <c r="I21" s="5"/>
      <c r="J21" s="5"/>
      <c r="K21" s="5"/>
      <c r="L21" s="1"/>
      <c r="M21" s="5"/>
      <c r="N21" s="5">
        <f t="shared" si="0"/>
        <v>0</v>
      </c>
      <c r="O21" s="5">
        <f t="shared" si="1"/>
        <v>0</v>
      </c>
      <c r="P21" s="5">
        <f>Table14[[#This Row],[Enrolment S.Y. 2025-2026 ]]*8</f>
        <v>584</v>
      </c>
      <c r="Q21" s="5"/>
      <c r="R21" s="1"/>
      <c r="S21" s="5"/>
      <c r="T21" s="5">
        <f t="shared" si="2"/>
        <v>584</v>
      </c>
      <c r="U21" s="5">
        <f t="shared" si="3"/>
        <v>0</v>
      </c>
      <c r="V21" s="5">
        <f>Table14[[#This Row],[Enrolment S.Y. 2025-2026 ]]*8</f>
        <v>584</v>
      </c>
      <c r="W21" s="5"/>
      <c r="X21" s="1"/>
      <c r="Y21" s="5"/>
      <c r="Z21" s="5">
        <f t="shared" si="4"/>
        <v>584</v>
      </c>
      <c r="AA21" s="5">
        <f t="shared" si="5"/>
        <v>0</v>
      </c>
    </row>
    <row r="22" spans="1:27" ht="19.5">
      <c r="A22" s="1">
        <v>3</v>
      </c>
      <c r="B22" s="2" t="s">
        <v>10</v>
      </c>
      <c r="C22" s="1">
        <v>73</v>
      </c>
      <c r="D22" s="5"/>
      <c r="E22" s="5"/>
      <c r="F22" s="1"/>
      <c r="G22" s="5"/>
      <c r="H22" s="5"/>
      <c r="I22" s="5"/>
      <c r="J22" s="5"/>
      <c r="K22" s="5"/>
      <c r="L22" s="1"/>
      <c r="M22" s="5"/>
      <c r="N22" s="5">
        <f t="shared" si="0"/>
        <v>0</v>
      </c>
      <c r="O22" s="5">
        <f t="shared" si="1"/>
        <v>0</v>
      </c>
      <c r="P22" s="5">
        <f>Table14[[#This Row],[Enrolment S.Y. 2025-2026 ]]*8</f>
        <v>584</v>
      </c>
      <c r="Q22" s="5"/>
      <c r="R22" s="1"/>
      <c r="S22" s="5"/>
      <c r="T22" s="5">
        <f t="shared" si="2"/>
        <v>584</v>
      </c>
      <c r="U22" s="5">
        <f t="shared" si="3"/>
        <v>0</v>
      </c>
      <c r="V22" s="5">
        <f>Table14[[#This Row],[Enrolment S.Y. 2025-2026 ]]*8</f>
        <v>584</v>
      </c>
      <c r="W22" s="5"/>
      <c r="X22" s="1"/>
      <c r="Y22" s="5"/>
      <c r="Z22" s="5">
        <f t="shared" si="4"/>
        <v>584</v>
      </c>
      <c r="AA22" s="5">
        <f t="shared" si="5"/>
        <v>0</v>
      </c>
    </row>
    <row r="23" spans="1:27" ht="19.5">
      <c r="A23" s="1">
        <v>3</v>
      </c>
      <c r="B23" s="2" t="s">
        <v>11</v>
      </c>
      <c r="C23" s="1">
        <v>73</v>
      </c>
      <c r="D23" s="5"/>
      <c r="E23" s="5"/>
      <c r="F23" s="1"/>
      <c r="G23" s="5"/>
      <c r="H23" s="5"/>
      <c r="I23" s="5"/>
      <c r="J23" s="5"/>
      <c r="K23" s="5"/>
      <c r="L23" s="1"/>
      <c r="M23" s="5"/>
      <c r="N23" s="5">
        <f t="shared" si="0"/>
        <v>0</v>
      </c>
      <c r="O23" s="5">
        <f t="shared" si="1"/>
        <v>0</v>
      </c>
      <c r="P23" s="5">
        <f>Table14[[#This Row],[Enrolment S.Y. 2025-2026 ]]*8</f>
        <v>584</v>
      </c>
      <c r="Q23" s="5"/>
      <c r="R23" s="1"/>
      <c r="S23" s="5"/>
      <c r="T23" s="5">
        <f t="shared" si="2"/>
        <v>584</v>
      </c>
      <c r="U23" s="5">
        <f t="shared" si="3"/>
        <v>0</v>
      </c>
      <c r="V23" s="5">
        <f>Table14[[#This Row],[Enrolment S.Y. 2025-2026 ]]*8</f>
        <v>584</v>
      </c>
      <c r="W23" s="5"/>
      <c r="X23" s="1"/>
      <c r="Y23" s="5"/>
      <c r="Z23" s="5">
        <f t="shared" si="4"/>
        <v>584</v>
      </c>
      <c r="AA23" s="5">
        <f t="shared" si="5"/>
        <v>0</v>
      </c>
    </row>
    <row r="24" spans="1:27" ht="19.5">
      <c r="A24" s="1">
        <v>3</v>
      </c>
      <c r="B24" s="2" t="s">
        <v>14</v>
      </c>
      <c r="C24" s="1">
        <v>73</v>
      </c>
      <c r="D24" s="5"/>
      <c r="E24" s="5"/>
      <c r="F24" s="1"/>
      <c r="G24" s="5"/>
      <c r="H24" s="5"/>
      <c r="I24" s="5"/>
      <c r="J24" s="5"/>
      <c r="K24" s="5"/>
      <c r="L24" s="1"/>
      <c r="M24" s="5"/>
      <c r="N24" s="5">
        <f t="shared" si="0"/>
        <v>0</v>
      </c>
      <c r="O24" s="5">
        <f t="shared" si="1"/>
        <v>0</v>
      </c>
      <c r="P24" s="5">
        <f>Table14[[#This Row],[Enrolment S.Y. 2025-2026 ]]*8</f>
        <v>584</v>
      </c>
      <c r="Q24" s="5"/>
      <c r="R24" s="1"/>
      <c r="S24" s="5"/>
      <c r="T24" s="5">
        <f t="shared" si="2"/>
        <v>584</v>
      </c>
      <c r="U24" s="5">
        <f t="shared" si="3"/>
        <v>0</v>
      </c>
      <c r="V24" s="5">
        <f>Table14[[#This Row],[Enrolment S.Y. 2025-2026 ]]*8</f>
        <v>584</v>
      </c>
      <c r="W24" s="5"/>
      <c r="X24" s="1"/>
      <c r="Y24" s="5"/>
      <c r="Z24" s="5">
        <f t="shared" si="4"/>
        <v>584</v>
      </c>
      <c r="AA24" s="5">
        <f t="shared" si="5"/>
        <v>0</v>
      </c>
    </row>
    <row r="25" spans="1:27" ht="19.5">
      <c r="A25" s="1">
        <v>3</v>
      </c>
      <c r="B25" s="2" t="s">
        <v>12</v>
      </c>
      <c r="C25" s="1">
        <v>73</v>
      </c>
      <c r="D25" s="5">
        <f>Table14[[#This Row],[Enrolment S.Y. 2025-2026 ]]*8</f>
        <v>584</v>
      </c>
      <c r="E25" s="5"/>
      <c r="F25" s="1"/>
      <c r="G25" s="5"/>
      <c r="H25" s="5">
        <f t="shared" ref="H25:H79" si="6">IF((D25-E25)&lt;0,0,(D25-E25))</f>
        <v>584</v>
      </c>
      <c r="I25" s="5">
        <f t="shared" ref="I25:I79" si="7">IF((E25-D25)&lt;0,0,(E25-D25))</f>
        <v>0</v>
      </c>
      <c r="J25" s="5">
        <f>Table14[[#This Row],[Enrolment S.Y. 2025-2026 ]]*8</f>
        <v>584</v>
      </c>
      <c r="K25" s="5"/>
      <c r="L25" s="1"/>
      <c r="M25" s="5"/>
      <c r="N25" s="5">
        <f t="shared" si="0"/>
        <v>584</v>
      </c>
      <c r="O25" s="5">
        <f t="shared" si="1"/>
        <v>0</v>
      </c>
      <c r="P25" s="5">
        <f>Table14[[#This Row],[Enrolment S.Y. 2025-2026 ]]*8</f>
        <v>584</v>
      </c>
      <c r="Q25" s="5"/>
      <c r="R25" s="1"/>
      <c r="S25" s="5"/>
      <c r="T25" s="5">
        <f t="shared" si="2"/>
        <v>584</v>
      </c>
      <c r="U25" s="5">
        <f t="shared" si="3"/>
        <v>0</v>
      </c>
      <c r="V25" s="5">
        <f>Table14[[#This Row],[Enrolment S.Y. 2025-2026 ]]*8</f>
        <v>584</v>
      </c>
      <c r="W25" s="5"/>
      <c r="X25" s="1"/>
      <c r="Y25" s="5"/>
      <c r="Z25" s="5">
        <f t="shared" si="4"/>
        <v>584</v>
      </c>
      <c r="AA25" s="5">
        <f t="shared" si="5"/>
        <v>0</v>
      </c>
    </row>
    <row r="26" spans="1:27" ht="19.5">
      <c r="A26" s="1">
        <v>3</v>
      </c>
      <c r="B26" s="2" t="s">
        <v>13</v>
      </c>
      <c r="C26" s="1">
        <v>73</v>
      </c>
      <c r="D26" s="5">
        <f>Table14[[#This Row],[Enrolment S.Y. 2025-2026 ]]*8</f>
        <v>584</v>
      </c>
      <c r="E26" s="5"/>
      <c r="F26" s="1"/>
      <c r="G26" s="5"/>
      <c r="H26" s="5">
        <f t="shared" si="6"/>
        <v>584</v>
      </c>
      <c r="I26" s="5">
        <f t="shared" si="7"/>
        <v>0</v>
      </c>
      <c r="J26" s="5">
        <f>Table14[[#This Row],[Enrolment S.Y. 2025-2026 ]]*8</f>
        <v>584</v>
      </c>
      <c r="K26" s="5"/>
      <c r="L26" s="1"/>
      <c r="M26" s="5"/>
      <c r="N26" s="5">
        <f t="shared" si="0"/>
        <v>584</v>
      </c>
      <c r="O26" s="5">
        <f t="shared" si="1"/>
        <v>0</v>
      </c>
      <c r="P26" s="5">
        <f>Table14[[#This Row],[Enrolment S.Y. 2025-2026 ]]*8</f>
        <v>584</v>
      </c>
      <c r="Q26" s="5"/>
      <c r="R26" s="1"/>
      <c r="S26" s="5"/>
      <c r="T26" s="5">
        <f t="shared" si="2"/>
        <v>584</v>
      </c>
      <c r="U26" s="5">
        <f t="shared" si="3"/>
        <v>0</v>
      </c>
      <c r="V26" s="5">
        <f>Table14[[#This Row],[Enrolment S.Y. 2025-2026 ]]*8</f>
        <v>584</v>
      </c>
      <c r="W26" s="5"/>
      <c r="X26" s="1"/>
      <c r="Y26" s="5"/>
      <c r="Z26" s="5">
        <f t="shared" si="4"/>
        <v>584</v>
      </c>
      <c r="AA26" s="5">
        <f t="shared" si="5"/>
        <v>0</v>
      </c>
    </row>
    <row r="27" spans="1:27" ht="19.5">
      <c r="A27" s="1">
        <v>3</v>
      </c>
      <c r="B27" s="9" t="s">
        <v>15</v>
      </c>
      <c r="C27" s="1">
        <v>73</v>
      </c>
      <c r="D27" s="5">
        <f>Table14[[#This Row],[Enrolment S.Y. 2025-2026 ]]*8</f>
        <v>584</v>
      </c>
      <c r="E27" s="5"/>
      <c r="F27" s="1"/>
      <c r="G27" s="5"/>
      <c r="H27" s="5">
        <f>IF((D27-E27)&lt;0,0,(D27-E27))</f>
        <v>584</v>
      </c>
      <c r="I27" s="5">
        <f>IF((E27-D27)&lt;0,0,(E27-D27))</f>
        <v>0</v>
      </c>
      <c r="J27" s="5">
        <f>Table14[[#This Row],[Enrolment S.Y. 2025-2026 ]]*8</f>
        <v>584</v>
      </c>
      <c r="K27" s="5"/>
      <c r="L27" s="1"/>
      <c r="M27" s="5"/>
      <c r="N27" s="5">
        <f t="shared" si="0"/>
        <v>584</v>
      </c>
      <c r="O27" s="5">
        <f t="shared" si="1"/>
        <v>0</v>
      </c>
      <c r="P27" s="5">
        <f>Table14[[#This Row],[Enrolment S.Y. 2025-2026 ]]*8</f>
        <v>584</v>
      </c>
      <c r="Q27" s="5"/>
      <c r="R27" s="1"/>
      <c r="S27" s="5"/>
      <c r="T27" s="5">
        <f t="shared" si="2"/>
        <v>584</v>
      </c>
      <c r="U27" s="5">
        <f t="shared" si="3"/>
        <v>0</v>
      </c>
      <c r="V27" s="5">
        <f>Table14[[#This Row],[Enrolment S.Y. 2025-2026 ]]*8</f>
        <v>584</v>
      </c>
      <c r="W27" s="5"/>
      <c r="X27" s="1"/>
      <c r="Y27" s="5"/>
      <c r="Z27" s="5">
        <f t="shared" si="4"/>
        <v>584</v>
      </c>
      <c r="AA27" s="5">
        <f t="shared" si="5"/>
        <v>0</v>
      </c>
    </row>
    <row r="28" spans="1:27" ht="19.5">
      <c r="A28" s="1">
        <v>3</v>
      </c>
      <c r="B28" s="9" t="s">
        <v>17</v>
      </c>
      <c r="C28" s="1">
        <v>73</v>
      </c>
      <c r="D28" s="5">
        <f>Table14[[#This Row],[Enrolment S.Y. 2025-2026 ]]*8</f>
        <v>584</v>
      </c>
      <c r="E28" s="5"/>
      <c r="F28" s="1"/>
      <c r="G28" s="5"/>
      <c r="H28" s="5">
        <f>IF((D28-E28)&lt;0,0,(D28-E28))</f>
        <v>584</v>
      </c>
      <c r="I28" s="5">
        <f>IF((E28-D28)&lt;0,0,(E28-D28))</f>
        <v>0</v>
      </c>
      <c r="J28" s="5">
        <f>Table14[[#This Row],[Enrolment S.Y. 2025-2026 ]]*8</f>
        <v>584</v>
      </c>
      <c r="K28" s="5"/>
      <c r="L28" s="1"/>
      <c r="M28" s="5"/>
      <c r="N28" s="5">
        <f t="shared" si="0"/>
        <v>584</v>
      </c>
      <c r="O28" s="5">
        <f t="shared" si="1"/>
        <v>0</v>
      </c>
      <c r="P28" s="5">
        <f>Table14[[#This Row],[Enrolment S.Y. 2025-2026 ]]*8</f>
        <v>584</v>
      </c>
      <c r="Q28" s="5"/>
      <c r="R28" s="1"/>
      <c r="S28" s="5"/>
      <c r="T28" s="5">
        <f t="shared" si="2"/>
        <v>584</v>
      </c>
      <c r="U28" s="5">
        <f t="shared" si="3"/>
        <v>0</v>
      </c>
      <c r="V28" s="5">
        <f>Table14[[#This Row],[Enrolment S.Y. 2025-2026 ]]*8</f>
        <v>584</v>
      </c>
      <c r="W28" s="5"/>
      <c r="X28" s="1"/>
      <c r="Y28" s="5"/>
      <c r="Z28" s="5">
        <f t="shared" si="4"/>
        <v>584</v>
      </c>
      <c r="AA28" s="5">
        <f t="shared" si="5"/>
        <v>0</v>
      </c>
    </row>
    <row r="29" spans="1:27" ht="19.5">
      <c r="A29" s="1">
        <v>3</v>
      </c>
      <c r="B29" s="9" t="s">
        <v>62</v>
      </c>
      <c r="C29" s="1">
        <v>73</v>
      </c>
      <c r="D29" s="5">
        <f>Table14[[#This Row],[Enrolment S.Y. 2025-2026 ]]*8</f>
        <v>584</v>
      </c>
      <c r="E29" s="5"/>
      <c r="F29" s="1"/>
      <c r="G29" s="5"/>
      <c r="H29" s="5">
        <f>IF((D29-E29)&lt;0,0,(D29-E29))</f>
        <v>584</v>
      </c>
      <c r="I29" s="5">
        <f>IF((E29-D29)&lt;0,0,(E29-D29))</f>
        <v>0</v>
      </c>
      <c r="J29" s="5">
        <f>Table14[[#This Row],[Enrolment S.Y. 2025-2026 ]]*8</f>
        <v>584</v>
      </c>
      <c r="K29" s="5"/>
      <c r="L29" s="1"/>
      <c r="M29" s="5"/>
      <c r="N29" s="5">
        <f t="shared" si="0"/>
        <v>584</v>
      </c>
      <c r="O29" s="5">
        <f t="shared" si="1"/>
        <v>0</v>
      </c>
      <c r="P29" s="5">
        <f>Table14[[#This Row],[Enrolment S.Y. 2025-2026 ]]*8</f>
        <v>584</v>
      </c>
      <c r="Q29" s="5"/>
      <c r="R29" s="1"/>
      <c r="S29" s="5"/>
      <c r="T29" s="5">
        <f t="shared" si="2"/>
        <v>584</v>
      </c>
      <c r="U29" s="5">
        <f t="shared" si="3"/>
        <v>0</v>
      </c>
      <c r="V29" s="5">
        <f>Table14[[#This Row],[Enrolment S.Y. 2025-2026 ]]*8</f>
        <v>584</v>
      </c>
      <c r="W29" s="5"/>
      <c r="X29" s="1"/>
      <c r="Y29" s="5"/>
      <c r="Z29" s="5">
        <f t="shared" si="4"/>
        <v>584</v>
      </c>
      <c r="AA29" s="5">
        <f t="shared" si="5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83</v>
      </c>
      <c r="D31" s="5">
        <f>Table14[[#This Row],[Enrolment S.Y. 2025-2026 ]]*8</f>
        <v>664</v>
      </c>
      <c r="E31" s="5"/>
      <c r="F31" s="1"/>
      <c r="G31" s="5"/>
      <c r="H31" s="5">
        <f t="shared" si="6"/>
        <v>664</v>
      </c>
      <c r="I31" s="5">
        <f t="shared" si="7"/>
        <v>0</v>
      </c>
      <c r="J31" s="5">
        <f>Table14[[#This Row],[Enrolment S.Y. 2025-2026 ]]*8</f>
        <v>664</v>
      </c>
      <c r="K31" s="5"/>
      <c r="L31" s="1"/>
      <c r="M31" s="5"/>
      <c r="N31" s="5">
        <f t="shared" si="0"/>
        <v>664</v>
      </c>
      <c r="O31" s="5">
        <f t="shared" si="1"/>
        <v>0</v>
      </c>
      <c r="P31" s="5">
        <f>Table14[[#This Row],[Enrolment S.Y. 2025-2026 ]]*8</f>
        <v>664</v>
      </c>
      <c r="Q31" s="5"/>
      <c r="R31" s="1"/>
      <c r="S31" s="5"/>
      <c r="T31" s="5">
        <f t="shared" si="2"/>
        <v>664</v>
      </c>
      <c r="U31" s="5">
        <f t="shared" si="3"/>
        <v>0</v>
      </c>
      <c r="V31" s="5">
        <f>Table14[[#This Row],[Enrolment S.Y. 2025-2026 ]]*8</f>
        <v>664</v>
      </c>
      <c r="W31" s="5"/>
      <c r="X31" s="1"/>
      <c r="Y31" s="5"/>
      <c r="Z31" s="5">
        <f t="shared" si="4"/>
        <v>664</v>
      </c>
      <c r="AA31" s="5">
        <f t="shared" si="5"/>
        <v>0</v>
      </c>
    </row>
    <row r="32" spans="1:27" ht="19.5">
      <c r="A32" s="1">
        <v>4</v>
      </c>
      <c r="B32" s="9" t="s">
        <v>17</v>
      </c>
      <c r="C32" s="1">
        <v>83</v>
      </c>
      <c r="D32" s="5">
        <f>Table14[[#This Row],[Enrolment S.Y. 2025-2026 ]]*8</f>
        <v>664</v>
      </c>
      <c r="E32" s="5"/>
      <c r="F32" s="1"/>
      <c r="G32" s="5"/>
      <c r="H32" s="5">
        <f t="shared" si="6"/>
        <v>664</v>
      </c>
      <c r="I32" s="5">
        <f t="shared" si="7"/>
        <v>0</v>
      </c>
      <c r="J32" s="5">
        <f>Table14[[#This Row],[Enrolment S.Y. 2025-2026 ]]*8</f>
        <v>664</v>
      </c>
      <c r="K32" s="5"/>
      <c r="L32" s="1"/>
      <c r="M32" s="5"/>
      <c r="N32" s="5">
        <f t="shared" si="0"/>
        <v>664</v>
      </c>
      <c r="O32" s="5">
        <f t="shared" si="1"/>
        <v>0</v>
      </c>
      <c r="P32" s="5">
        <f>Table14[[#This Row],[Enrolment S.Y. 2025-2026 ]]*8</f>
        <v>664</v>
      </c>
      <c r="Q32" s="5"/>
      <c r="R32" s="1"/>
      <c r="S32" s="5"/>
      <c r="T32" s="5">
        <f t="shared" si="2"/>
        <v>664</v>
      </c>
      <c r="U32" s="5">
        <f t="shared" si="3"/>
        <v>0</v>
      </c>
      <c r="V32" s="5">
        <f>Table14[[#This Row],[Enrolment S.Y. 2025-2026 ]]*8</f>
        <v>664</v>
      </c>
      <c r="W32" s="5"/>
      <c r="X32" s="1"/>
      <c r="Y32" s="5"/>
      <c r="Z32" s="5">
        <f t="shared" si="4"/>
        <v>664</v>
      </c>
      <c r="AA32" s="5">
        <f t="shared" si="5"/>
        <v>0</v>
      </c>
    </row>
    <row r="33" spans="1:27" ht="19.5">
      <c r="A33" s="1">
        <v>4</v>
      </c>
      <c r="B33" s="9" t="s">
        <v>13</v>
      </c>
      <c r="C33" s="1">
        <v>83</v>
      </c>
      <c r="D33" s="5">
        <f>Table14[[#This Row],[Enrolment S.Y. 2025-2026 ]]*8</f>
        <v>664</v>
      </c>
      <c r="E33" s="5"/>
      <c r="F33" s="1"/>
      <c r="G33" s="5"/>
      <c r="H33" s="5">
        <f t="shared" si="6"/>
        <v>664</v>
      </c>
      <c r="I33" s="5">
        <f t="shared" si="7"/>
        <v>0</v>
      </c>
      <c r="J33" s="5">
        <f>Table14[[#This Row],[Enrolment S.Y. 2025-2026 ]]*8</f>
        <v>664</v>
      </c>
      <c r="K33" s="5"/>
      <c r="L33" s="1"/>
      <c r="M33" s="5"/>
      <c r="N33" s="5">
        <f t="shared" si="0"/>
        <v>664</v>
      </c>
      <c r="O33" s="5">
        <f t="shared" si="1"/>
        <v>0</v>
      </c>
      <c r="P33" s="5">
        <f>Table14[[#This Row],[Enrolment S.Y. 2025-2026 ]]*8</f>
        <v>664</v>
      </c>
      <c r="Q33" s="5"/>
      <c r="R33" s="1"/>
      <c r="S33" s="5"/>
      <c r="T33" s="5">
        <f t="shared" si="2"/>
        <v>664</v>
      </c>
      <c r="U33" s="5">
        <f t="shared" si="3"/>
        <v>0</v>
      </c>
      <c r="V33" s="5">
        <f>Table14[[#This Row],[Enrolment S.Y. 2025-2026 ]]*8</f>
        <v>664</v>
      </c>
      <c r="W33" s="5"/>
      <c r="X33" s="1"/>
      <c r="Y33" s="5"/>
      <c r="Z33" s="5">
        <f t="shared" si="4"/>
        <v>664</v>
      </c>
      <c r="AA33" s="5">
        <f t="shared" si="5"/>
        <v>0</v>
      </c>
    </row>
    <row r="34" spans="1:27" ht="19.5">
      <c r="A34" s="1">
        <v>4</v>
      </c>
      <c r="B34" s="9" t="s">
        <v>11</v>
      </c>
      <c r="C34" s="1">
        <v>83</v>
      </c>
      <c r="D34" s="5">
        <f>Table14[[#This Row],[Enrolment S.Y. 2025-2026 ]]*8</f>
        <v>664</v>
      </c>
      <c r="E34" s="5"/>
      <c r="F34" s="1"/>
      <c r="G34" s="5"/>
      <c r="H34" s="5">
        <f t="shared" si="6"/>
        <v>664</v>
      </c>
      <c r="I34" s="5">
        <f t="shared" si="7"/>
        <v>0</v>
      </c>
      <c r="J34" s="5">
        <f>Table14[[#This Row],[Enrolment S.Y. 2025-2026 ]]*8</f>
        <v>664</v>
      </c>
      <c r="K34" s="5"/>
      <c r="L34" s="1"/>
      <c r="M34" s="5"/>
      <c r="N34" s="5">
        <f t="shared" si="0"/>
        <v>664</v>
      </c>
      <c r="O34" s="5">
        <f t="shared" si="1"/>
        <v>0</v>
      </c>
      <c r="P34" s="5">
        <f>Table14[[#This Row],[Enrolment S.Y. 2025-2026 ]]*8</f>
        <v>664</v>
      </c>
      <c r="Q34" s="5"/>
      <c r="R34" s="1"/>
      <c r="S34" s="5"/>
      <c r="T34" s="5">
        <f t="shared" si="2"/>
        <v>664</v>
      </c>
      <c r="U34" s="5">
        <f t="shared" si="3"/>
        <v>0</v>
      </c>
      <c r="V34" s="5">
        <f>Table14[[#This Row],[Enrolment S.Y. 2025-2026 ]]*8</f>
        <v>664</v>
      </c>
      <c r="W34" s="5"/>
      <c r="X34" s="1"/>
      <c r="Y34" s="5"/>
      <c r="Z34" s="5">
        <f t="shared" si="4"/>
        <v>664</v>
      </c>
      <c r="AA34" s="5">
        <f t="shared" si="5"/>
        <v>0</v>
      </c>
    </row>
    <row r="35" spans="1:27" ht="19.5">
      <c r="A35" s="1">
        <v>4</v>
      </c>
      <c r="B35" s="9" t="s">
        <v>18</v>
      </c>
      <c r="C35" s="1">
        <v>83</v>
      </c>
      <c r="D35" s="5">
        <f>Table14[[#This Row],[Enrolment S.Y. 2025-2026 ]]*8</f>
        <v>664</v>
      </c>
      <c r="E35" s="5"/>
      <c r="F35" s="1"/>
      <c r="G35" s="5"/>
      <c r="H35" s="5">
        <f t="shared" si="6"/>
        <v>664</v>
      </c>
      <c r="I35" s="5">
        <f t="shared" si="7"/>
        <v>0</v>
      </c>
      <c r="J35" s="5">
        <f>Table14[[#This Row],[Enrolment S.Y. 2025-2026 ]]*8</f>
        <v>664</v>
      </c>
      <c r="K35" s="5"/>
      <c r="L35" s="1"/>
      <c r="M35" s="5"/>
      <c r="N35" s="5">
        <f t="shared" si="0"/>
        <v>664</v>
      </c>
      <c r="O35" s="5">
        <f t="shared" si="1"/>
        <v>0</v>
      </c>
      <c r="P35" s="5">
        <f>Table14[[#This Row],[Enrolment S.Y. 2025-2026 ]]*8</f>
        <v>664</v>
      </c>
      <c r="Q35" s="5"/>
      <c r="R35" s="1"/>
      <c r="S35" s="5"/>
      <c r="T35" s="5">
        <f t="shared" si="2"/>
        <v>664</v>
      </c>
      <c r="U35" s="5">
        <f t="shared" si="3"/>
        <v>0</v>
      </c>
      <c r="V35" s="5">
        <f>Table14[[#This Row],[Enrolment S.Y. 2025-2026 ]]*8</f>
        <v>664</v>
      </c>
      <c r="W35" s="5"/>
      <c r="X35" s="1"/>
      <c r="Y35" s="5"/>
      <c r="Z35" s="5">
        <f t="shared" si="4"/>
        <v>664</v>
      </c>
      <c r="AA35" s="5">
        <f t="shared" si="5"/>
        <v>0</v>
      </c>
    </row>
    <row r="36" spans="1:27" ht="19.5">
      <c r="A36" s="1">
        <v>4</v>
      </c>
      <c r="B36" s="9" t="s">
        <v>14</v>
      </c>
      <c r="C36" s="1">
        <v>83</v>
      </c>
      <c r="D36" s="5">
        <f>Table14[[#This Row],[Enrolment S.Y. 2025-2026 ]]*8</f>
        <v>664</v>
      </c>
      <c r="E36" s="5"/>
      <c r="F36" s="1"/>
      <c r="G36" s="5"/>
      <c r="H36" s="5">
        <f t="shared" si="6"/>
        <v>664</v>
      </c>
      <c r="I36" s="5">
        <f t="shared" si="7"/>
        <v>0</v>
      </c>
      <c r="J36" s="5">
        <f>Table14[[#This Row],[Enrolment S.Y. 2025-2026 ]]*8</f>
        <v>664</v>
      </c>
      <c r="K36" s="5"/>
      <c r="L36" s="1"/>
      <c r="M36" s="5"/>
      <c r="N36" s="5">
        <f t="shared" si="0"/>
        <v>664</v>
      </c>
      <c r="O36" s="5">
        <f t="shared" si="1"/>
        <v>0</v>
      </c>
      <c r="P36" s="5">
        <f>Table14[[#This Row],[Enrolment S.Y. 2025-2026 ]]*8</f>
        <v>664</v>
      </c>
      <c r="Q36" s="5"/>
      <c r="R36" s="1"/>
      <c r="S36" s="5"/>
      <c r="T36" s="5">
        <f t="shared" si="2"/>
        <v>664</v>
      </c>
      <c r="U36" s="5">
        <f t="shared" si="3"/>
        <v>0</v>
      </c>
      <c r="V36" s="5">
        <f>Table14[[#This Row],[Enrolment S.Y. 2025-2026 ]]*8</f>
        <v>664</v>
      </c>
      <c r="W36" s="5"/>
      <c r="X36" s="1"/>
      <c r="Y36" s="5"/>
      <c r="Z36" s="5">
        <f t="shared" si="4"/>
        <v>664</v>
      </c>
      <c r="AA36" s="5">
        <f t="shared" si="5"/>
        <v>0</v>
      </c>
    </row>
    <row r="37" spans="1:27" ht="19.5">
      <c r="A37" s="1">
        <v>4</v>
      </c>
      <c r="B37" s="9" t="s">
        <v>87</v>
      </c>
      <c r="C37" s="1">
        <v>83</v>
      </c>
      <c r="D37" s="5">
        <f>Table14[[#This Row],[Enrolment S.Y. 2025-2026 ]]*8</f>
        <v>664</v>
      </c>
      <c r="E37" s="5"/>
      <c r="F37" s="1"/>
      <c r="G37" s="5"/>
      <c r="H37" s="5">
        <f t="shared" si="6"/>
        <v>664</v>
      </c>
      <c r="I37" s="5">
        <f t="shared" si="7"/>
        <v>0</v>
      </c>
      <c r="J37" s="5">
        <f>Table14[[#This Row],[Enrolment S.Y. 2025-2026 ]]*8</f>
        <v>664</v>
      </c>
      <c r="K37" s="5"/>
      <c r="L37" s="1"/>
      <c r="M37" s="5"/>
      <c r="N37" s="5">
        <f t="shared" si="0"/>
        <v>664</v>
      </c>
      <c r="O37" s="5">
        <f t="shared" si="1"/>
        <v>0</v>
      </c>
      <c r="P37" s="5">
        <f>Table14[[#This Row],[Enrolment S.Y. 2025-2026 ]]*8</f>
        <v>664</v>
      </c>
      <c r="Q37" s="5"/>
      <c r="R37" s="1"/>
      <c r="S37" s="5"/>
      <c r="T37" s="5">
        <f t="shared" si="2"/>
        <v>664</v>
      </c>
      <c r="U37" s="5">
        <f t="shared" si="3"/>
        <v>0</v>
      </c>
      <c r="V37" s="5">
        <f>Table14[[#This Row],[Enrolment S.Y. 2025-2026 ]]*8</f>
        <v>664</v>
      </c>
      <c r="W37" s="5"/>
      <c r="X37" s="1"/>
      <c r="Y37" s="5"/>
      <c r="Z37" s="5">
        <f t="shared" si="4"/>
        <v>664</v>
      </c>
      <c r="AA37" s="5">
        <f t="shared" si="5"/>
        <v>0</v>
      </c>
    </row>
    <row r="38" spans="1:27" ht="19.5">
      <c r="A38" s="1">
        <v>4</v>
      </c>
      <c r="B38" s="9" t="s">
        <v>20</v>
      </c>
      <c r="C38" s="1">
        <v>83</v>
      </c>
      <c r="D38" s="5">
        <f>Table14[[#This Row],[Enrolment S.Y. 2025-2026 ]]*8</f>
        <v>664</v>
      </c>
      <c r="E38" s="5"/>
      <c r="F38" s="1"/>
      <c r="G38" s="5"/>
      <c r="H38" s="5">
        <f t="shared" si="6"/>
        <v>664</v>
      </c>
      <c r="I38" s="5">
        <f t="shared" si="7"/>
        <v>0</v>
      </c>
      <c r="J38" s="5">
        <f>Table14[[#This Row],[Enrolment S.Y. 2025-2026 ]]*8</f>
        <v>664</v>
      </c>
      <c r="K38" s="5"/>
      <c r="L38" s="1"/>
      <c r="M38" s="5"/>
      <c r="N38" s="5">
        <f t="shared" si="0"/>
        <v>664</v>
      </c>
      <c r="O38" s="5">
        <f t="shared" si="1"/>
        <v>0</v>
      </c>
      <c r="P38" s="5">
        <f>Table14[[#This Row],[Enrolment S.Y. 2025-2026 ]]*8</f>
        <v>664</v>
      </c>
      <c r="Q38" s="5"/>
      <c r="R38" s="1"/>
      <c r="S38" s="5"/>
      <c r="T38" s="5">
        <f t="shared" si="2"/>
        <v>664</v>
      </c>
      <c r="U38" s="5">
        <f t="shared" si="3"/>
        <v>0</v>
      </c>
      <c r="V38" s="5">
        <f>Table14[[#This Row],[Enrolment S.Y. 2025-2026 ]]*8</f>
        <v>664</v>
      </c>
      <c r="W38" s="5"/>
      <c r="X38" s="1"/>
      <c r="Y38" s="5"/>
      <c r="Z38" s="5">
        <f t="shared" si="4"/>
        <v>664</v>
      </c>
      <c r="AA38" s="5">
        <f t="shared" si="5"/>
        <v>0</v>
      </c>
    </row>
    <row r="39" spans="1:27" ht="19.5">
      <c r="A39" s="1">
        <v>4</v>
      </c>
      <c r="B39" s="9" t="s">
        <v>88</v>
      </c>
      <c r="C39" s="1">
        <v>83</v>
      </c>
      <c r="D39" s="5">
        <f>Table14[[#This Row],[Enrolment S.Y. 2025-2026 ]]*8</f>
        <v>664</v>
      </c>
      <c r="E39" s="5"/>
      <c r="F39" s="1"/>
      <c r="G39" s="5"/>
      <c r="H39" s="5">
        <f t="shared" si="6"/>
        <v>664</v>
      </c>
      <c r="I39" s="5">
        <f t="shared" si="7"/>
        <v>0</v>
      </c>
      <c r="J39" s="5">
        <f>Table14[[#This Row],[Enrolment S.Y. 2025-2026 ]]*8</f>
        <v>664</v>
      </c>
      <c r="K39" s="5"/>
      <c r="L39" s="1"/>
      <c r="M39" s="5"/>
      <c r="N39" s="5">
        <f t="shared" si="0"/>
        <v>664</v>
      </c>
      <c r="O39" s="5">
        <f t="shared" si="1"/>
        <v>0</v>
      </c>
      <c r="P39" s="5">
        <f>Table14[[#This Row],[Enrolment S.Y. 2025-2026 ]]*8</f>
        <v>664</v>
      </c>
      <c r="Q39" s="5"/>
      <c r="R39" s="1"/>
      <c r="S39" s="5"/>
      <c r="T39" s="5">
        <f t="shared" si="2"/>
        <v>664</v>
      </c>
      <c r="U39" s="5">
        <f t="shared" si="3"/>
        <v>0</v>
      </c>
      <c r="V39" s="5">
        <f>Table14[[#This Row],[Enrolment S.Y. 2025-2026 ]]*8</f>
        <v>664</v>
      </c>
      <c r="W39" s="5"/>
      <c r="X39" s="1"/>
      <c r="Y39" s="5"/>
      <c r="Z39" s="5">
        <f t="shared" si="4"/>
        <v>664</v>
      </c>
      <c r="AA39" s="5">
        <f t="shared" si="5"/>
        <v>0</v>
      </c>
    </row>
    <row r="40" spans="1:27" ht="19.5">
      <c r="A40" s="1">
        <v>4</v>
      </c>
      <c r="B40" s="9" t="s">
        <v>89</v>
      </c>
      <c r="C40" s="1">
        <v>83</v>
      </c>
      <c r="D40" s="5">
        <f>Table14[[#This Row],[Enrolment S.Y. 2025-2026 ]]*8</f>
        <v>664</v>
      </c>
      <c r="E40" s="5"/>
      <c r="F40" s="1"/>
      <c r="G40" s="5"/>
      <c r="H40" s="5">
        <f>IF((D40-E40)&lt;0,0,(D40-E40))</f>
        <v>664</v>
      </c>
      <c r="I40" s="5">
        <f>IF((E40-D40)&lt;0,0,(E40-D40))</f>
        <v>0</v>
      </c>
      <c r="J40" s="5">
        <f>Table14[[#This Row],[Enrolment S.Y. 2025-2026 ]]*8</f>
        <v>664</v>
      </c>
      <c r="K40" s="5"/>
      <c r="L40" s="1"/>
      <c r="M40" s="5"/>
      <c r="N40" s="5">
        <f>IF((J40-K40)&lt;0,0,(J40-K40))</f>
        <v>664</v>
      </c>
      <c r="O40" s="5">
        <f>IF((K40-J40)&lt;0,0,(K40-J40))</f>
        <v>0</v>
      </c>
      <c r="P40" s="5">
        <f>Table14[[#This Row],[Enrolment S.Y. 2025-2026 ]]*8</f>
        <v>664</v>
      </c>
      <c r="Q40" s="5"/>
      <c r="R40" s="1"/>
      <c r="S40" s="5"/>
      <c r="T40" s="5">
        <f>IF((P40-Q40)&lt;0,0,(P40-Q40))</f>
        <v>664</v>
      </c>
      <c r="U40" s="5">
        <f>IF((Q40-P40)&lt;0,0,(Q40-P40))</f>
        <v>0</v>
      </c>
      <c r="V40" s="5">
        <f>Table14[[#This Row],[Enrolment S.Y. 2025-2026 ]]*8</f>
        <v>664</v>
      </c>
      <c r="W40" s="5"/>
      <c r="X40" s="1"/>
      <c r="Y40" s="5"/>
      <c r="Z40" s="5">
        <f>IF((V40-W40)&lt;0,0,(V40-W40))</f>
        <v>664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83</v>
      </c>
      <c r="D41" s="5">
        <f>Table14[[#This Row],[Enrolment S.Y. 2025-2026 ]]*8</f>
        <v>664</v>
      </c>
      <c r="E41" s="5"/>
      <c r="F41" s="1"/>
      <c r="G41" s="5"/>
      <c r="H41" s="5">
        <f>IF((D41-E41)&lt;0,0,(D41-E41))</f>
        <v>664</v>
      </c>
      <c r="I41" s="5">
        <f>IF((E41-D41)&lt;0,0,(E41-D41))</f>
        <v>0</v>
      </c>
      <c r="J41" s="5">
        <f>Table14[[#This Row],[Enrolment S.Y. 2025-2026 ]]*8</f>
        <v>664</v>
      </c>
      <c r="K41" s="5"/>
      <c r="L41" s="1"/>
      <c r="M41" s="5"/>
      <c r="N41" s="5">
        <f>IF((J41-K41)&lt;0,0,(J41-K41))</f>
        <v>664</v>
      </c>
      <c r="O41" s="5">
        <f>IF((K41-J41)&lt;0,0,(K41-J41))</f>
        <v>0</v>
      </c>
      <c r="P41" s="5">
        <f>Table14[[#This Row],[Enrolment S.Y. 2025-2026 ]]*8</f>
        <v>664</v>
      </c>
      <c r="Q41" s="5"/>
      <c r="R41" s="1"/>
      <c r="S41" s="5"/>
      <c r="T41" s="5">
        <f>IF((P41-Q41)&lt;0,0,(P41-Q41))</f>
        <v>664</v>
      </c>
      <c r="U41" s="5">
        <f>IF((Q41-P41)&lt;0,0,(Q41-P41))</f>
        <v>0</v>
      </c>
      <c r="V41" s="5">
        <f>Table14[[#This Row],[Enrolment S.Y. 2025-2026 ]]*8</f>
        <v>664</v>
      </c>
      <c r="W41" s="5"/>
      <c r="X41" s="1"/>
      <c r="Y41" s="5"/>
      <c r="Z41" s="5">
        <f>IF((V41-W41)&lt;0,0,(V41-W41))</f>
        <v>664</v>
      </c>
      <c r="AA41" s="5">
        <f>IF((W41-V41)&lt;0,0,(W41-V41))</f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68</v>
      </c>
      <c r="D43" s="5">
        <f>Table14[[#This Row],[Enrolment S.Y. 2025-2026 ]]*8</f>
        <v>544</v>
      </c>
      <c r="E43" s="5">
        <v>88</v>
      </c>
      <c r="F43" s="1">
        <v>2025</v>
      </c>
      <c r="G43" s="5"/>
      <c r="H43" s="5">
        <f t="shared" si="6"/>
        <v>456</v>
      </c>
      <c r="I43" s="5">
        <f t="shared" si="7"/>
        <v>0</v>
      </c>
      <c r="J43" s="5">
        <f>Table14[[#This Row],[Enrolment S.Y. 2025-2026 ]]*8</f>
        <v>544</v>
      </c>
      <c r="K43" s="5"/>
      <c r="L43" s="1"/>
      <c r="M43" s="5"/>
      <c r="N43" s="5">
        <f t="shared" si="0"/>
        <v>544</v>
      </c>
      <c r="O43" s="5">
        <f t="shared" si="1"/>
        <v>0</v>
      </c>
      <c r="P43" s="5">
        <f>Table14[[#This Row],[Enrolment S.Y. 2025-2026 ]]*8</f>
        <v>544</v>
      </c>
      <c r="Q43" s="5"/>
      <c r="R43" s="1"/>
      <c r="S43" s="5"/>
      <c r="T43" s="5">
        <f t="shared" si="2"/>
        <v>544</v>
      </c>
      <c r="U43" s="5">
        <f t="shared" si="3"/>
        <v>0</v>
      </c>
      <c r="V43" s="5">
        <f>Table14[[#This Row],[Enrolment S.Y. 2025-2026 ]]*8</f>
        <v>544</v>
      </c>
      <c r="W43" s="5">
        <v>88</v>
      </c>
      <c r="X43" s="1">
        <v>2025</v>
      </c>
      <c r="Y43" s="5"/>
      <c r="Z43" s="5">
        <f t="shared" si="4"/>
        <v>456</v>
      </c>
      <c r="AA43" s="5">
        <f t="shared" si="5"/>
        <v>0</v>
      </c>
    </row>
    <row r="44" spans="1:27" ht="19.5">
      <c r="A44" s="1">
        <v>5</v>
      </c>
      <c r="B44" s="9" t="s">
        <v>17</v>
      </c>
      <c r="C44" s="1">
        <v>68</v>
      </c>
      <c r="D44" s="5">
        <f>Table14[[#This Row],[Enrolment S.Y. 2025-2026 ]]*8</f>
        <v>544</v>
      </c>
      <c r="E44" s="5">
        <v>88</v>
      </c>
      <c r="F44" s="1">
        <v>2025</v>
      </c>
      <c r="G44" s="5"/>
      <c r="H44" s="5">
        <f t="shared" si="6"/>
        <v>456</v>
      </c>
      <c r="I44" s="5">
        <f t="shared" si="7"/>
        <v>0</v>
      </c>
      <c r="J44" s="5">
        <f>Table14[[#This Row],[Enrolment S.Y. 2025-2026 ]]*8</f>
        <v>544</v>
      </c>
      <c r="K44" s="5"/>
      <c r="L44" s="1"/>
      <c r="M44" s="5"/>
      <c r="N44" s="5">
        <f t="shared" si="0"/>
        <v>544</v>
      </c>
      <c r="O44" s="5">
        <f t="shared" si="1"/>
        <v>0</v>
      </c>
      <c r="P44" s="5">
        <f>Table14[[#This Row],[Enrolment S.Y. 2025-2026 ]]*8</f>
        <v>544</v>
      </c>
      <c r="Q44" s="5"/>
      <c r="R44" s="1"/>
      <c r="S44" s="5"/>
      <c r="T44" s="5">
        <f t="shared" si="2"/>
        <v>544</v>
      </c>
      <c r="U44" s="5">
        <f t="shared" si="3"/>
        <v>0</v>
      </c>
      <c r="V44" s="5">
        <f>Table14[[#This Row],[Enrolment S.Y. 2025-2026 ]]*8</f>
        <v>544</v>
      </c>
      <c r="W44" s="5">
        <v>88</v>
      </c>
      <c r="X44" s="1">
        <v>2025</v>
      </c>
      <c r="Y44" s="5"/>
      <c r="Z44" s="5">
        <f t="shared" si="4"/>
        <v>456</v>
      </c>
      <c r="AA44" s="5">
        <f t="shared" si="5"/>
        <v>0</v>
      </c>
    </row>
    <row r="45" spans="1:27" ht="19.5">
      <c r="A45" s="1">
        <v>5</v>
      </c>
      <c r="B45" s="9" t="s">
        <v>13</v>
      </c>
      <c r="C45" s="1">
        <v>68</v>
      </c>
      <c r="D45" s="5">
        <f>Table14[[#This Row],[Enrolment S.Y. 2025-2026 ]]*8</f>
        <v>544</v>
      </c>
      <c r="E45" s="5">
        <v>88</v>
      </c>
      <c r="F45" s="1">
        <v>2025</v>
      </c>
      <c r="G45" s="5"/>
      <c r="H45" s="5">
        <f t="shared" si="6"/>
        <v>456</v>
      </c>
      <c r="I45" s="5">
        <f t="shared" si="7"/>
        <v>0</v>
      </c>
      <c r="J45" s="5">
        <f>Table14[[#This Row],[Enrolment S.Y. 2025-2026 ]]*8</f>
        <v>544</v>
      </c>
      <c r="K45" s="5"/>
      <c r="L45" s="1"/>
      <c r="M45" s="5"/>
      <c r="N45" s="5">
        <f t="shared" si="0"/>
        <v>544</v>
      </c>
      <c r="O45" s="5">
        <f t="shared" si="1"/>
        <v>0</v>
      </c>
      <c r="P45" s="5">
        <f>Table14[[#This Row],[Enrolment S.Y. 2025-2026 ]]*8</f>
        <v>544</v>
      </c>
      <c r="Q45" s="5"/>
      <c r="R45" s="1"/>
      <c r="S45" s="5"/>
      <c r="T45" s="5">
        <f t="shared" si="2"/>
        <v>544</v>
      </c>
      <c r="U45" s="5">
        <f t="shared" si="3"/>
        <v>0</v>
      </c>
      <c r="V45" s="5">
        <f>Table14[[#This Row],[Enrolment S.Y. 2025-2026 ]]*8</f>
        <v>544</v>
      </c>
      <c r="W45" s="5">
        <v>88</v>
      </c>
      <c r="X45" s="1">
        <v>2025</v>
      </c>
      <c r="Y45" s="5"/>
      <c r="Z45" s="5">
        <f t="shared" si="4"/>
        <v>456</v>
      </c>
      <c r="AA45" s="5">
        <f t="shared" si="5"/>
        <v>0</v>
      </c>
    </row>
    <row r="46" spans="1:27" ht="19.5">
      <c r="A46" s="1">
        <v>5</v>
      </c>
      <c r="B46" s="9" t="s">
        <v>11</v>
      </c>
      <c r="C46" s="1">
        <v>68</v>
      </c>
      <c r="D46" s="5">
        <f>Table14[[#This Row],[Enrolment S.Y. 2025-2026 ]]*8</f>
        <v>544</v>
      </c>
      <c r="E46" s="5">
        <v>88</v>
      </c>
      <c r="F46" s="1">
        <v>2025</v>
      </c>
      <c r="G46" s="5"/>
      <c r="H46" s="5">
        <f t="shared" si="6"/>
        <v>456</v>
      </c>
      <c r="I46" s="5">
        <f t="shared" si="7"/>
        <v>0</v>
      </c>
      <c r="J46" s="5">
        <f>Table14[[#This Row],[Enrolment S.Y. 2025-2026 ]]*8</f>
        <v>544</v>
      </c>
      <c r="K46" s="5"/>
      <c r="L46" s="1"/>
      <c r="M46" s="5"/>
      <c r="N46" s="5">
        <f t="shared" si="0"/>
        <v>544</v>
      </c>
      <c r="O46" s="5">
        <f t="shared" si="1"/>
        <v>0</v>
      </c>
      <c r="P46" s="5">
        <f>Table14[[#This Row],[Enrolment S.Y. 2025-2026 ]]*8</f>
        <v>544</v>
      </c>
      <c r="Q46" s="5"/>
      <c r="R46" s="1"/>
      <c r="S46" s="5"/>
      <c r="T46" s="5">
        <f t="shared" si="2"/>
        <v>544</v>
      </c>
      <c r="U46" s="5">
        <f t="shared" si="3"/>
        <v>0</v>
      </c>
      <c r="V46" s="5">
        <f>Table14[[#This Row],[Enrolment S.Y. 2025-2026 ]]*8</f>
        <v>544</v>
      </c>
      <c r="W46" s="5">
        <v>88</v>
      </c>
      <c r="X46" s="1">
        <v>2025</v>
      </c>
      <c r="Y46" s="5"/>
      <c r="Z46" s="5">
        <f t="shared" si="4"/>
        <v>456</v>
      </c>
      <c r="AA46" s="5">
        <f t="shared" si="5"/>
        <v>0</v>
      </c>
    </row>
    <row r="47" spans="1:27" ht="19.5">
      <c r="A47" s="1">
        <v>5</v>
      </c>
      <c r="B47" s="9" t="s">
        <v>18</v>
      </c>
      <c r="C47" s="1">
        <v>68</v>
      </c>
      <c r="D47" s="5">
        <f>Table14[[#This Row],[Enrolment S.Y. 2025-2026 ]]*8</f>
        <v>544</v>
      </c>
      <c r="E47" s="5">
        <v>88</v>
      </c>
      <c r="F47" s="1">
        <v>2025</v>
      </c>
      <c r="G47" s="5"/>
      <c r="H47" s="5">
        <f t="shared" si="6"/>
        <v>456</v>
      </c>
      <c r="I47" s="5">
        <f t="shared" si="7"/>
        <v>0</v>
      </c>
      <c r="J47" s="5">
        <f>Table14[[#This Row],[Enrolment S.Y. 2025-2026 ]]*8</f>
        <v>544</v>
      </c>
      <c r="K47" s="5"/>
      <c r="L47" s="1"/>
      <c r="M47" s="5"/>
      <c r="N47" s="5">
        <f t="shared" si="0"/>
        <v>544</v>
      </c>
      <c r="O47" s="5">
        <f t="shared" si="1"/>
        <v>0</v>
      </c>
      <c r="P47" s="5">
        <f>Table14[[#This Row],[Enrolment S.Y. 2025-2026 ]]*8</f>
        <v>544</v>
      </c>
      <c r="Q47" s="5"/>
      <c r="R47" s="1"/>
      <c r="S47" s="5"/>
      <c r="T47" s="5">
        <f t="shared" si="2"/>
        <v>544</v>
      </c>
      <c r="U47" s="5">
        <f t="shared" si="3"/>
        <v>0</v>
      </c>
      <c r="V47" s="5">
        <f>Table14[[#This Row],[Enrolment S.Y. 2025-2026 ]]*8</f>
        <v>544</v>
      </c>
      <c r="W47" s="5">
        <v>88</v>
      </c>
      <c r="X47" s="1">
        <v>2025</v>
      </c>
      <c r="Y47" s="5"/>
      <c r="Z47" s="5">
        <f t="shared" si="4"/>
        <v>456</v>
      </c>
      <c r="AA47" s="5">
        <f t="shared" si="5"/>
        <v>0</v>
      </c>
    </row>
    <row r="48" spans="1:27" ht="19.5">
      <c r="A48" s="1">
        <v>5</v>
      </c>
      <c r="B48" s="9" t="s">
        <v>14</v>
      </c>
      <c r="C48" s="1">
        <v>68</v>
      </c>
      <c r="D48" s="5">
        <f>Table14[[#This Row],[Enrolment S.Y. 2025-2026 ]]*8</f>
        <v>544</v>
      </c>
      <c r="E48" s="5">
        <v>88</v>
      </c>
      <c r="F48" s="1">
        <v>2025</v>
      </c>
      <c r="G48" s="5"/>
      <c r="H48" s="5">
        <f t="shared" si="6"/>
        <v>456</v>
      </c>
      <c r="I48" s="5">
        <f t="shared" si="7"/>
        <v>0</v>
      </c>
      <c r="J48" s="5">
        <f>Table14[[#This Row],[Enrolment S.Y. 2025-2026 ]]*8</f>
        <v>544</v>
      </c>
      <c r="K48" s="5"/>
      <c r="L48" s="1"/>
      <c r="M48" s="5"/>
      <c r="N48" s="5">
        <f t="shared" si="0"/>
        <v>544</v>
      </c>
      <c r="O48" s="5">
        <f t="shared" si="1"/>
        <v>0</v>
      </c>
      <c r="P48" s="5">
        <f>Table14[[#This Row],[Enrolment S.Y. 2025-2026 ]]*8</f>
        <v>544</v>
      </c>
      <c r="Q48" s="5"/>
      <c r="R48" s="1"/>
      <c r="S48" s="5"/>
      <c r="T48" s="5">
        <f t="shared" si="2"/>
        <v>544</v>
      </c>
      <c r="U48" s="5">
        <f t="shared" si="3"/>
        <v>0</v>
      </c>
      <c r="V48" s="5">
        <f>Table14[[#This Row],[Enrolment S.Y. 2025-2026 ]]*8</f>
        <v>544</v>
      </c>
      <c r="W48" s="5">
        <v>88</v>
      </c>
      <c r="X48" s="1">
        <v>2025</v>
      </c>
      <c r="Y48" s="5"/>
      <c r="Z48" s="5">
        <f t="shared" si="4"/>
        <v>456</v>
      </c>
      <c r="AA48" s="5">
        <f t="shared" si="5"/>
        <v>0</v>
      </c>
    </row>
    <row r="49" spans="1:27" ht="19.5">
      <c r="A49" s="1">
        <v>5</v>
      </c>
      <c r="B49" s="9" t="s">
        <v>19</v>
      </c>
      <c r="C49" s="1">
        <v>68</v>
      </c>
      <c r="D49" s="5">
        <f>Table14[[#This Row],[Enrolment S.Y. 2025-2026 ]]*8</f>
        <v>544</v>
      </c>
      <c r="E49" s="5">
        <v>88</v>
      </c>
      <c r="F49" s="1">
        <v>2025</v>
      </c>
      <c r="G49" s="5"/>
      <c r="H49" s="5">
        <f t="shared" si="6"/>
        <v>456</v>
      </c>
      <c r="I49" s="5">
        <f t="shared" si="7"/>
        <v>0</v>
      </c>
      <c r="J49" s="5">
        <f>Table14[[#This Row],[Enrolment S.Y. 2025-2026 ]]*8</f>
        <v>544</v>
      </c>
      <c r="K49" s="5"/>
      <c r="L49" s="1"/>
      <c r="M49" s="5"/>
      <c r="N49" s="5">
        <f t="shared" si="0"/>
        <v>544</v>
      </c>
      <c r="O49" s="5">
        <f t="shared" si="1"/>
        <v>0</v>
      </c>
      <c r="P49" s="5">
        <f>Table14[[#This Row],[Enrolment S.Y. 2025-2026 ]]*8</f>
        <v>544</v>
      </c>
      <c r="Q49" s="5"/>
      <c r="R49" s="1"/>
      <c r="S49" s="5"/>
      <c r="T49" s="5">
        <f t="shared" si="2"/>
        <v>544</v>
      </c>
      <c r="U49" s="5">
        <f t="shared" si="3"/>
        <v>0</v>
      </c>
      <c r="V49" s="5">
        <f>Table14[[#This Row],[Enrolment S.Y. 2025-2026 ]]*8</f>
        <v>544</v>
      </c>
      <c r="W49" s="5">
        <v>88</v>
      </c>
      <c r="X49" s="1">
        <v>2025</v>
      </c>
      <c r="Y49" s="5"/>
      <c r="Z49" s="5">
        <f t="shared" si="4"/>
        <v>456</v>
      </c>
      <c r="AA49" s="5">
        <f t="shared" si="5"/>
        <v>0</v>
      </c>
    </row>
    <row r="50" spans="1:27" ht="19.5">
      <c r="A50" s="1">
        <v>5</v>
      </c>
      <c r="B50" s="9" t="s">
        <v>20</v>
      </c>
      <c r="C50" s="1">
        <v>68</v>
      </c>
      <c r="D50" s="5">
        <f>Table14[[#This Row],[Enrolment S.Y. 2025-2026 ]]*8</f>
        <v>544</v>
      </c>
      <c r="E50" s="5">
        <v>88</v>
      </c>
      <c r="F50" s="1">
        <v>2025</v>
      </c>
      <c r="G50" s="5"/>
      <c r="H50" s="5">
        <f t="shared" si="6"/>
        <v>456</v>
      </c>
      <c r="I50" s="5">
        <f t="shared" si="7"/>
        <v>0</v>
      </c>
      <c r="J50" s="5">
        <f>Table14[[#This Row],[Enrolment S.Y. 2025-2026 ]]*8</f>
        <v>544</v>
      </c>
      <c r="K50" s="5"/>
      <c r="L50" s="1"/>
      <c r="M50" s="5"/>
      <c r="N50" s="5">
        <f t="shared" si="0"/>
        <v>544</v>
      </c>
      <c r="O50" s="5">
        <f t="shared" si="1"/>
        <v>0</v>
      </c>
      <c r="P50" s="5">
        <f>Table14[[#This Row],[Enrolment S.Y. 2025-2026 ]]*8</f>
        <v>544</v>
      </c>
      <c r="Q50" s="5"/>
      <c r="R50" s="1"/>
      <c r="S50" s="5"/>
      <c r="T50" s="5">
        <f t="shared" si="2"/>
        <v>544</v>
      </c>
      <c r="U50" s="5">
        <f t="shared" si="3"/>
        <v>0</v>
      </c>
      <c r="V50" s="5">
        <f>Table14[[#This Row],[Enrolment S.Y. 2025-2026 ]]*8</f>
        <v>544</v>
      </c>
      <c r="W50" s="5">
        <v>88</v>
      </c>
      <c r="X50" s="1">
        <v>2025</v>
      </c>
      <c r="Y50" s="5"/>
      <c r="Z50" s="5">
        <f t="shared" si="4"/>
        <v>456</v>
      </c>
      <c r="AA50" s="5">
        <f t="shared" si="5"/>
        <v>0</v>
      </c>
    </row>
    <row r="51" spans="1:27" ht="19.5">
      <c r="A51" s="1">
        <v>5</v>
      </c>
      <c r="B51" s="9" t="s">
        <v>21</v>
      </c>
      <c r="C51" s="1">
        <v>68</v>
      </c>
      <c r="D51" s="5">
        <f>Table14[[#This Row],[Enrolment S.Y. 2025-2026 ]]*8</f>
        <v>544</v>
      </c>
      <c r="E51" s="5">
        <v>88</v>
      </c>
      <c r="F51" s="1">
        <v>2025</v>
      </c>
      <c r="G51" s="5"/>
      <c r="H51" s="5">
        <f t="shared" si="6"/>
        <v>456</v>
      </c>
      <c r="I51" s="5">
        <f t="shared" si="7"/>
        <v>0</v>
      </c>
      <c r="J51" s="5">
        <f>Table14[[#This Row],[Enrolment S.Y. 2025-2026 ]]*8</f>
        <v>544</v>
      </c>
      <c r="K51" s="5"/>
      <c r="L51" s="1"/>
      <c r="M51" s="5"/>
      <c r="N51" s="5">
        <f t="shared" si="0"/>
        <v>544</v>
      </c>
      <c r="O51" s="5">
        <f t="shared" si="1"/>
        <v>0</v>
      </c>
      <c r="P51" s="5">
        <f>Table14[[#This Row],[Enrolment S.Y. 2025-2026 ]]*8</f>
        <v>544</v>
      </c>
      <c r="Q51" s="5"/>
      <c r="R51" s="1"/>
      <c r="S51" s="5"/>
      <c r="T51" s="5">
        <f t="shared" si="2"/>
        <v>544</v>
      </c>
      <c r="U51" s="5">
        <f t="shared" si="3"/>
        <v>0</v>
      </c>
      <c r="V51" s="5">
        <f>Table14[[#This Row],[Enrolment S.Y. 2025-2026 ]]*8</f>
        <v>544</v>
      </c>
      <c r="W51" s="5">
        <v>88</v>
      </c>
      <c r="X51" s="1">
        <v>2025</v>
      </c>
      <c r="Y51" s="5"/>
      <c r="Z51" s="5">
        <f t="shared" si="4"/>
        <v>456</v>
      </c>
      <c r="AA51" s="5">
        <f t="shared" si="5"/>
        <v>0</v>
      </c>
    </row>
    <row r="52" spans="1:27" s="7" customFormat="1"/>
    <row r="53" spans="1:27" ht="19.5">
      <c r="A53" s="1">
        <v>6</v>
      </c>
      <c r="B53" s="9" t="s">
        <v>15</v>
      </c>
      <c r="C53" s="1">
        <v>59</v>
      </c>
      <c r="D53" s="5">
        <f>Table14[[#This Row],[Enrolment S.Y. 2025-2026 ]]*8</f>
        <v>472</v>
      </c>
      <c r="E53" s="5"/>
      <c r="F53" s="1"/>
      <c r="G53" s="5"/>
      <c r="H53" s="5">
        <f t="shared" si="6"/>
        <v>472</v>
      </c>
      <c r="I53" s="5">
        <f t="shared" si="7"/>
        <v>0</v>
      </c>
      <c r="J53" s="5"/>
      <c r="K53" s="5"/>
      <c r="L53" s="1">
        <v>2025</v>
      </c>
      <c r="M53" s="5" t="s">
        <v>9</v>
      </c>
      <c r="N53" s="5">
        <f t="shared" si="0"/>
        <v>0</v>
      </c>
      <c r="O53" s="5">
        <f t="shared" si="1"/>
        <v>0</v>
      </c>
      <c r="P53" s="5">
        <v>59</v>
      </c>
      <c r="Q53" s="5">
        <v>12</v>
      </c>
      <c r="R53" s="1">
        <v>2025</v>
      </c>
      <c r="S53" s="5" t="s">
        <v>9</v>
      </c>
      <c r="T53" s="5"/>
      <c r="U53" s="5"/>
      <c r="V53" s="5"/>
      <c r="W53" s="5"/>
      <c r="X53" s="1">
        <v>2025</v>
      </c>
      <c r="Y53" s="5" t="s">
        <v>9</v>
      </c>
      <c r="Z53" s="5">
        <f t="shared" si="4"/>
        <v>0</v>
      </c>
      <c r="AA53" s="5">
        <f t="shared" si="5"/>
        <v>0</v>
      </c>
    </row>
    <row r="54" spans="1:27" ht="19.5">
      <c r="A54" s="1">
        <v>6</v>
      </c>
      <c r="B54" s="9" t="s">
        <v>17</v>
      </c>
      <c r="C54" s="1">
        <v>59</v>
      </c>
      <c r="D54" s="5">
        <f>Table14[[#This Row],[Enrolment S.Y. 2025-2026 ]]*8</f>
        <v>472</v>
      </c>
      <c r="E54" s="5"/>
      <c r="F54" s="1"/>
      <c r="G54" s="5"/>
      <c r="H54" s="5">
        <f t="shared" si="6"/>
        <v>472</v>
      </c>
      <c r="I54" s="5">
        <f t="shared" si="7"/>
        <v>0</v>
      </c>
      <c r="J54" s="5"/>
      <c r="K54" s="5"/>
      <c r="L54" s="1">
        <v>2025</v>
      </c>
      <c r="M54" s="5" t="s">
        <v>9</v>
      </c>
      <c r="N54" s="5">
        <f t="shared" si="0"/>
        <v>0</v>
      </c>
      <c r="O54" s="5">
        <f t="shared" si="1"/>
        <v>0</v>
      </c>
      <c r="P54" s="5">
        <v>59</v>
      </c>
      <c r="Q54" s="5">
        <v>12</v>
      </c>
      <c r="R54" s="1">
        <v>2025</v>
      </c>
      <c r="S54" s="5" t="s">
        <v>9</v>
      </c>
      <c r="T54" s="5"/>
      <c r="U54" s="5"/>
      <c r="V54" s="5"/>
      <c r="W54" s="5"/>
      <c r="X54" s="1">
        <v>2025</v>
      </c>
      <c r="Y54" s="5" t="s">
        <v>9</v>
      </c>
      <c r="Z54" s="5">
        <f t="shared" si="4"/>
        <v>0</v>
      </c>
      <c r="AA54" s="5">
        <f t="shared" si="5"/>
        <v>0</v>
      </c>
    </row>
    <row r="55" spans="1:27" ht="19.5">
      <c r="A55" s="1">
        <v>6</v>
      </c>
      <c r="B55" s="9" t="s">
        <v>13</v>
      </c>
      <c r="C55" s="1">
        <v>59</v>
      </c>
      <c r="D55" s="5">
        <f>Table14[[#This Row],[Enrolment S.Y. 2025-2026 ]]*8</f>
        <v>472</v>
      </c>
      <c r="E55" s="5"/>
      <c r="F55" s="1"/>
      <c r="G55" s="5"/>
      <c r="H55" s="5">
        <f t="shared" si="6"/>
        <v>472</v>
      </c>
      <c r="I55" s="5">
        <f t="shared" si="7"/>
        <v>0</v>
      </c>
      <c r="J55" s="5"/>
      <c r="K55" s="5"/>
      <c r="L55" s="1">
        <v>2025</v>
      </c>
      <c r="M55" s="5" t="s">
        <v>9</v>
      </c>
      <c r="N55" s="5">
        <f t="shared" si="0"/>
        <v>0</v>
      </c>
      <c r="O55" s="5">
        <f t="shared" si="1"/>
        <v>0</v>
      </c>
      <c r="P55" s="5">
        <v>59</v>
      </c>
      <c r="Q55" s="5">
        <v>12</v>
      </c>
      <c r="R55" s="1">
        <v>2025</v>
      </c>
      <c r="S55" s="5" t="s">
        <v>9</v>
      </c>
      <c r="T55" s="5"/>
      <c r="U55" s="5"/>
      <c r="V55" s="5"/>
      <c r="W55" s="5"/>
      <c r="X55" s="1">
        <v>2025</v>
      </c>
      <c r="Y55" s="5" t="s">
        <v>9</v>
      </c>
      <c r="Z55" s="5">
        <f t="shared" si="4"/>
        <v>0</v>
      </c>
      <c r="AA55" s="5">
        <f t="shared" si="5"/>
        <v>0</v>
      </c>
    </row>
    <row r="56" spans="1:27" ht="19.5">
      <c r="A56" s="1">
        <v>6</v>
      </c>
      <c r="B56" s="9" t="s">
        <v>11</v>
      </c>
      <c r="C56" s="1">
        <v>59</v>
      </c>
      <c r="D56" s="5">
        <f>Table14[[#This Row],[Enrolment S.Y. 2025-2026 ]]*8</f>
        <v>472</v>
      </c>
      <c r="E56" s="5"/>
      <c r="F56" s="1"/>
      <c r="G56" s="5"/>
      <c r="H56" s="5">
        <f t="shared" si="6"/>
        <v>472</v>
      </c>
      <c r="I56" s="5">
        <f t="shared" si="7"/>
        <v>0</v>
      </c>
      <c r="J56" s="5"/>
      <c r="K56" s="5"/>
      <c r="L56" s="1"/>
      <c r="M56" s="5"/>
      <c r="N56" s="5">
        <f t="shared" si="0"/>
        <v>0</v>
      </c>
      <c r="O56" s="5">
        <f t="shared" si="1"/>
        <v>0</v>
      </c>
      <c r="P56" s="5">
        <v>59</v>
      </c>
      <c r="Q56" s="5">
        <v>12</v>
      </c>
      <c r="R56" s="1">
        <v>2025</v>
      </c>
      <c r="S56" s="5" t="s">
        <v>9</v>
      </c>
      <c r="T56" s="5"/>
      <c r="U56" s="5"/>
      <c r="V56" s="5"/>
      <c r="W56" s="5"/>
      <c r="X56" s="1">
        <v>2025</v>
      </c>
      <c r="Y56" s="5" t="s">
        <v>9</v>
      </c>
      <c r="Z56" s="5">
        <f t="shared" si="4"/>
        <v>0</v>
      </c>
      <c r="AA56" s="5">
        <f t="shared" si="5"/>
        <v>0</v>
      </c>
    </row>
    <row r="57" spans="1:27" ht="19.5">
      <c r="A57" s="1">
        <v>6</v>
      </c>
      <c r="B57" s="9" t="s">
        <v>18</v>
      </c>
      <c r="C57" s="1">
        <v>59</v>
      </c>
      <c r="D57" s="5">
        <f>Table14[[#This Row],[Enrolment S.Y. 2025-2026 ]]*8</f>
        <v>472</v>
      </c>
      <c r="E57" s="5"/>
      <c r="F57" s="1"/>
      <c r="G57" s="5"/>
      <c r="H57" s="5">
        <f t="shared" si="6"/>
        <v>472</v>
      </c>
      <c r="I57" s="5">
        <f t="shared" si="7"/>
        <v>0</v>
      </c>
      <c r="J57" s="5"/>
      <c r="K57" s="5"/>
      <c r="L57" s="1"/>
      <c r="M57" s="5"/>
      <c r="N57" s="5">
        <f t="shared" si="0"/>
        <v>0</v>
      </c>
      <c r="O57" s="5">
        <f t="shared" si="1"/>
        <v>0</v>
      </c>
      <c r="P57" s="5">
        <v>59</v>
      </c>
      <c r="Q57" s="5">
        <v>12</v>
      </c>
      <c r="R57" s="1">
        <v>2025</v>
      </c>
      <c r="S57" s="5" t="s">
        <v>9</v>
      </c>
      <c r="T57" s="5"/>
      <c r="U57" s="5"/>
      <c r="V57" s="5"/>
      <c r="W57" s="5"/>
      <c r="X57" s="1">
        <v>2025</v>
      </c>
      <c r="Y57" s="5" t="s">
        <v>9</v>
      </c>
      <c r="Z57" s="5">
        <f t="shared" si="4"/>
        <v>0</v>
      </c>
      <c r="AA57" s="5">
        <f t="shared" si="5"/>
        <v>0</v>
      </c>
    </row>
    <row r="58" spans="1:27" ht="19.5">
      <c r="A58" s="1">
        <v>6</v>
      </c>
      <c r="B58" s="9" t="s">
        <v>14</v>
      </c>
      <c r="C58" s="1">
        <v>59</v>
      </c>
      <c r="D58" s="5">
        <f>Table14[[#This Row],[Enrolment S.Y. 2025-2026 ]]*8</f>
        <v>472</v>
      </c>
      <c r="E58" s="5"/>
      <c r="F58" s="1"/>
      <c r="G58" s="5"/>
      <c r="H58" s="5">
        <f t="shared" si="6"/>
        <v>472</v>
      </c>
      <c r="I58" s="5">
        <f t="shared" si="7"/>
        <v>0</v>
      </c>
      <c r="J58" s="5"/>
      <c r="K58" s="5"/>
      <c r="L58" s="1"/>
      <c r="M58" s="5"/>
      <c r="N58" s="5">
        <f t="shared" si="0"/>
        <v>0</v>
      </c>
      <c r="O58" s="5">
        <f t="shared" si="1"/>
        <v>0</v>
      </c>
      <c r="P58" s="5">
        <v>59</v>
      </c>
      <c r="Q58" s="5">
        <v>212</v>
      </c>
      <c r="R58" s="1">
        <v>2025</v>
      </c>
      <c r="S58" s="5" t="s">
        <v>9</v>
      </c>
      <c r="T58" s="5"/>
      <c r="U58" s="5"/>
      <c r="V58" s="5"/>
      <c r="W58" s="5"/>
      <c r="X58" s="1">
        <v>2025</v>
      </c>
      <c r="Y58" s="5" t="s">
        <v>9</v>
      </c>
      <c r="Z58" s="5">
        <f t="shared" si="4"/>
        <v>0</v>
      </c>
      <c r="AA58" s="5">
        <f t="shared" si="5"/>
        <v>0</v>
      </c>
    </row>
    <row r="59" spans="1:27" ht="19.5">
      <c r="A59" s="1">
        <v>6</v>
      </c>
      <c r="B59" s="9" t="s">
        <v>87</v>
      </c>
      <c r="C59" s="1">
        <v>59</v>
      </c>
      <c r="D59" s="5">
        <f>Table14[[#This Row],[Enrolment S.Y. 2025-2026 ]]*8</f>
        <v>472</v>
      </c>
      <c r="E59" s="5"/>
      <c r="F59" s="1"/>
      <c r="G59" s="5"/>
      <c r="H59" s="5">
        <f t="shared" si="6"/>
        <v>472</v>
      </c>
      <c r="I59" s="5">
        <f t="shared" si="7"/>
        <v>0</v>
      </c>
      <c r="J59" s="5"/>
      <c r="K59" s="5"/>
      <c r="L59" s="1"/>
      <c r="M59" s="5"/>
      <c r="N59" s="5">
        <f t="shared" si="0"/>
        <v>0</v>
      </c>
      <c r="O59" s="5">
        <f t="shared" si="1"/>
        <v>0</v>
      </c>
      <c r="P59" s="5">
        <v>59</v>
      </c>
      <c r="Q59" s="5">
        <v>12</v>
      </c>
      <c r="R59" s="1">
        <v>2025</v>
      </c>
      <c r="S59" s="5" t="s">
        <v>9</v>
      </c>
      <c r="T59" s="5"/>
      <c r="U59" s="5"/>
      <c r="V59" s="5"/>
      <c r="W59" s="5"/>
      <c r="X59" s="1">
        <v>2025</v>
      </c>
      <c r="Y59" s="5" t="s">
        <v>9</v>
      </c>
      <c r="Z59" s="5">
        <f t="shared" si="4"/>
        <v>0</v>
      </c>
      <c r="AA59" s="5">
        <f t="shared" si="5"/>
        <v>0</v>
      </c>
    </row>
    <row r="60" spans="1:27" ht="19.5">
      <c r="A60" s="1">
        <v>6</v>
      </c>
      <c r="B60" s="9" t="s">
        <v>20</v>
      </c>
      <c r="C60" s="1">
        <v>59</v>
      </c>
      <c r="D60" s="5">
        <f>Table14[[#This Row],[Enrolment S.Y. 2025-2026 ]]*8</f>
        <v>472</v>
      </c>
      <c r="E60" s="5"/>
      <c r="F60" s="1"/>
      <c r="G60" s="5"/>
      <c r="H60" s="5">
        <f t="shared" si="6"/>
        <v>472</v>
      </c>
      <c r="I60" s="5">
        <f t="shared" si="7"/>
        <v>0</v>
      </c>
      <c r="J60" s="5"/>
      <c r="K60" s="5"/>
      <c r="L60" s="1"/>
      <c r="M60" s="5"/>
      <c r="N60" s="5">
        <f t="shared" si="0"/>
        <v>0</v>
      </c>
      <c r="O60" s="5">
        <f t="shared" si="1"/>
        <v>0</v>
      </c>
      <c r="P60" s="5">
        <v>59</v>
      </c>
      <c r="Q60" s="5">
        <v>12</v>
      </c>
      <c r="R60" s="1"/>
      <c r="S60" s="5"/>
      <c r="T60" s="5"/>
      <c r="U60" s="5"/>
      <c r="V60" s="5"/>
      <c r="W60" s="5"/>
      <c r="X60" s="1"/>
      <c r="Y60" s="5"/>
      <c r="Z60" s="5">
        <f t="shared" si="4"/>
        <v>0</v>
      </c>
      <c r="AA60" s="5">
        <f t="shared" si="5"/>
        <v>0</v>
      </c>
    </row>
    <row r="61" spans="1:27" ht="19.5">
      <c r="A61" s="1">
        <v>6</v>
      </c>
      <c r="B61" s="9" t="s">
        <v>88</v>
      </c>
      <c r="C61" s="1">
        <v>59</v>
      </c>
      <c r="D61" s="5">
        <f>Table14[[#This Row],[Enrolment S.Y. 2025-2026 ]]*8</f>
        <v>472</v>
      </c>
      <c r="E61" s="5"/>
      <c r="F61" s="1"/>
      <c r="G61" s="5"/>
      <c r="H61" s="5">
        <f t="shared" ref="H61:H62" si="8">IF((D61-E61)&lt;0,0,(D61-E61))</f>
        <v>472</v>
      </c>
      <c r="I61" s="5">
        <f t="shared" ref="I61:I62" si="9">IF((E61-D61)&lt;0,0,(E61-D61))</f>
        <v>0</v>
      </c>
      <c r="J61" s="5"/>
      <c r="K61" s="5"/>
      <c r="L61" s="1"/>
      <c r="M61" s="5"/>
      <c r="N61" s="5">
        <f t="shared" ref="N61:N62" si="10">IF((J61-K61)&lt;0,0,(J61-K61))</f>
        <v>0</v>
      </c>
      <c r="O61" s="5">
        <f t="shared" ref="O61:O62" si="11">IF((K61-J61)&lt;0,0,(K61-J61))</f>
        <v>0</v>
      </c>
      <c r="P61" s="5">
        <v>59</v>
      </c>
      <c r="Q61" s="5">
        <v>12</v>
      </c>
      <c r="R61" s="1">
        <v>2025</v>
      </c>
      <c r="S61" s="5" t="s">
        <v>9</v>
      </c>
      <c r="T61" s="5"/>
      <c r="U61" s="5"/>
      <c r="V61" s="5"/>
      <c r="W61" s="5"/>
      <c r="X61" s="1">
        <v>2025</v>
      </c>
      <c r="Y61" s="5" t="s">
        <v>9</v>
      </c>
      <c r="Z61" s="5">
        <f t="shared" ref="Z61:Z62" si="12">IF((V61-W61)&lt;0,0,(V61-W61))</f>
        <v>0</v>
      </c>
      <c r="AA61" s="5">
        <f t="shared" ref="AA61:AA62" si="13">IF((W61-V61)&lt;0,0,(W61-V61))</f>
        <v>0</v>
      </c>
    </row>
    <row r="62" spans="1:27" ht="19.5">
      <c r="A62" s="1">
        <v>6</v>
      </c>
      <c r="B62" s="9" t="s">
        <v>89</v>
      </c>
      <c r="C62" s="1">
        <v>59</v>
      </c>
      <c r="D62" s="5">
        <f>Table14[[#This Row],[Enrolment S.Y. 2025-2026 ]]*8</f>
        <v>472</v>
      </c>
      <c r="E62" s="5"/>
      <c r="F62" s="1"/>
      <c r="G62" s="5"/>
      <c r="H62" s="5">
        <f t="shared" si="8"/>
        <v>472</v>
      </c>
      <c r="I62" s="5">
        <f t="shared" si="9"/>
        <v>0</v>
      </c>
      <c r="J62" s="5"/>
      <c r="K62" s="5"/>
      <c r="L62" s="1"/>
      <c r="M62" s="5"/>
      <c r="N62" s="5">
        <f t="shared" si="10"/>
        <v>0</v>
      </c>
      <c r="O62" s="5">
        <f t="shared" si="11"/>
        <v>0</v>
      </c>
      <c r="P62" s="5">
        <v>59</v>
      </c>
      <c r="Q62" s="5">
        <v>12</v>
      </c>
      <c r="R62" s="1">
        <v>2025</v>
      </c>
      <c r="S62" s="5" t="s">
        <v>9</v>
      </c>
      <c r="T62" s="5"/>
      <c r="U62" s="5"/>
      <c r="V62" s="5"/>
      <c r="W62" s="5"/>
      <c r="X62" s="1">
        <v>2025</v>
      </c>
      <c r="Y62" s="5" t="s">
        <v>9</v>
      </c>
      <c r="Z62" s="5">
        <f t="shared" si="12"/>
        <v>0</v>
      </c>
      <c r="AA62" s="5">
        <f t="shared" si="13"/>
        <v>0</v>
      </c>
    </row>
    <row r="63" spans="1:27" ht="19.5">
      <c r="A63" s="1">
        <v>6</v>
      </c>
      <c r="B63" s="9" t="s">
        <v>90</v>
      </c>
      <c r="C63" s="1">
        <v>59</v>
      </c>
      <c r="D63" s="5">
        <f>Table14[[#This Row],[Enrolment S.Y. 2025-2026 ]]*8</f>
        <v>472</v>
      </c>
      <c r="E63" s="5"/>
      <c r="F63" s="1"/>
      <c r="G63" s="5"/>
      <c r="H63" s="5">
        <f t="shared" si="6"/>
        <v>472</v>
      </c>
      <c r="I63" s="5">
        <f t="shared" si="7"/>
        <v>0</v>
      </c>
      <c r="J63" s="5"/>
      <c r="K63" s="5"/>
      <c r="L63" s="1"/>
      <c r="M63" s="5"/>
      <c r="N63" s="5">
        <f t="shared" si="0"/>
        <v>0</v>
      </c>
      <c r="O63" s="5">
        <f t="shared" si="1"/>
        <v>0</v>
      </c>
      <c r="P63" s="5">
        <v>59</v>
      </c>
      <c r="Q63" s="5">
        <v>12</v>
      </c>
      <c r="R63" s="1">
        <v>2025</v>
      </c>
      <c r="S63" s="5" t="s">
        <v>9</v>
      </c>
      <c r="T63" s="5"/>
      <c r="U63" s="5"/>
      <c r="V63" s="5"/>
      <c r="W63" s="5"/>
      <c r="X63" s="1">
        <v>2025</v>
      </c>
      <c r="Y63" s="5" t="s">
        <v>9</v>
      </c>
      <c r="Z63" s="5">
        <f t="shared" si="4"/>
        <v>0</v>
      </c>
      <c r="AA63" s="5">
        <f t="shared" si="5"/>
        <v>0</v>
      </c>
    </row>
    <row r="64" spans="1:27" s="7" customFormat="1"/>
    <row r="65" spans="1:27" ht="19.5">
      <c r="A65" s="10">
        <v>7</v>
      </c>
      <c r="B65" s="11" t="s">
        <v>15</v>
      </c>
      <c r="C65" s="10"/>
      <c r="D65" s="12">
        <f>Table14[[#This Row],[Enrolment S.Y. 2025-2026 ]]*8</f>
        <v>0</v>
      </c>
      <c r="E65" s="12"/>
      <c r="F65" s="10"/>
      <c r="G65" s="12"/>
      <c r="H65" s="12">
        <f t="shared" si="6"/>
        <v>0</v>
      </c>
      <c r="I65" s="12">
        <f t="shared" si="7"/>
        <v>0</v>
      </c>
      <c r="J65" s="12">
        <f>Table14[[#This Row],[Enrolment S.Y. 2025-2026 ]]*8</f>
        <v>0</v>
      </c>
      <c r="K65" s="12"/>
      <c r="L65" s="10"/>
      <c r="M65" s="12"/>
      <c r="N65" s="12">
        <f t="shared" si="0"/>
        <v>0</v>
      </c>
      <c r="O65" s="12">
        <f t="shared" si="1"/>
        <v>0</v>
      </c>
      <c r="P65" s="12">
        <f>Table14[[#This Row],[Enrolment S.Y. 2025-2026 ]]*8</f>
        <v>0</v>
      </c>
      <c r="Q65" s="12"/>
      <c r="R65" s="10"/>
      <c r="S65" s="12"/>
      <c r="T65" s="12">
        <f t="shared" si="2"/>
        <v>0</v>
      </c>
      <c r="U65" s="12">
        <f t="shared" si="3"/>
        <v>0</v>
      </c>
      <c r="V65" s="12">
        <f>Table14[[#This Row],[Enrolment S.Y. 2025-2026 ]]*8</f>
        <v>0</v>
      </c>
      <c r="W65" s="12"/>
      <c r="X65" s="10"/>
      <c r="Y65" s="12"/>
      <c r="Z65" s="12">
        <f t="shared" si="4"/>
        <v>0</v>
      </c>
      <c r="AA65" s="12">
        <f t="shared" si="5"/>
        <v>0</v>
      </c>
    </row>
    <row r="66" spans="1:27" ht="19.5">
      <c r="A66" s="10">
        <v>7</v>
      </c>
      <c r="B66" s="11" t="s">
        <v>17</v>
      </c>
      <c r="C66" s="10"/>
      <c r="D66" s="12">
        <f>Table14[[#This Row],[Enrolment S.Y. 2025-2026 ]]*8</f>
        <v>0</v>
      </c>
      <c r="E66" s="12"/>
      <c r="F66" s="10"/>
      <c r="G66" s="12"/>
      <c r="H66" s="12">
        <f t="shared" si="6"/>
        <v>0</v>
      </c>
      <c r="I66" s="12">
        <f t="shared" si="7"/>
        <v>0</v>
      </c>
      <c r="J66" s="12">
        <f>Table14[[#This Row],[Enrolment S.Y. 2025-2026 ]]*8</f>
        <v>0</v>
      </c>
      <c r="K66" s="12"/>
      <c r="L66" s="10"/>
      <c r="M66" s="12"/>
      <c r="N66" s="12">
        <f t="shared" si="0"/>
        <v>0</v>
      </c>
      <c r="O66" s="12">
        <f t="shared" si="1"/>
        <v>0</v>
      </c>
      <c r="P66" s="12">
        <f>Table14[[#This Row],[Enrolment S.Y. 2025-2026 ]]*8</f>
        <v>0</v>
      </c>
      <c r="Q66" s="12"/>
      <c r="R66" s="10"/>
      <c r="S66" s="12"/>
      <c r="T66" s="12">
        <f t="shared" si="2"/>
        <v>0</v>
      </c>
      <c r="U66" s="12">
        <f t="shared" si="3"/>
        <v>0</v>
      </c>
      <c r="V66" s="12">
        <f>Table14[[#This Row],[Enrolment S.Y. 2025-2026 ]]*8</f>
        <v>0</v>
      </c>
      <c r="W66" s="12"/>
      <c r="X66" s="10"/>
      <c r="Y66" s="12"/>
      <c r="Z66" s="12">
        <f t="shared" si="4"/>
        <v>0</v>
      </c>
      <c r="AA66" s="12">
        <f t="shared" si="5"/>
        <v>0</v>
      </c>
    </row>
    <row r="67" spans="1:27" ht="19.5">
      <c r="A67" s="10">
        <v>7</v>
      </c>
      <c r="B67" s="11" t="s">
        <v>13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6"/>
        <v>0</v>
      </c>
      <c r="I67" s="12">
        <f t="shared" si="7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0"/>
        <v>0</v>
      </c>
      <c r="O67" s="12">
        <f t="shared" si="1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2"/>
        <v>0</v>
      </c>
      <c r="U67" s="12">
        <f t="shared" si="3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4"/>
        <v>0</v>
      </c>
      <c r="AA67" s="12">
        <f t="shared" si="5"/>
        <v>0</v>
      </c>
    </row>
    <row r="68" spans="1:27" ht="19.5">
      <c r="A68" s="10">
        <v>7</v>
      </c>
      <c r="B68" s="11" t="s">
        <v>22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6"/>
        <v>0</v>
      </c>
      <c r="I68" s="12">
        <f t="shared" si="7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0"/>
        <v>0</v>
      </c>
      <c r="O68" s="12">
        <f t="shared" si="1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2"/>
        <v>0</v>
      </c>
      <c r="U68" s="12">
        <f t="shared" si="3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4"/>
        <v>0</v>
      </c>
      <c r="AA68" s="12">
        <f t="shared" si="5"/>
        <v>0</v>
      </c>
    </row>
    <row r="69" spans="1:27" ht="19.5">
      <c r="A69" s="10">
        <v>7</v>
      </c>
      <c r="B69" s="11" t="s">
        <v>18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6"/>
        <v>0</v>
      </c>
      <c r="I69" s="12">
        <f t="shared" si="7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0"/>
        <v>0</v>
      </c>
      <c r="O69" s="12">
        <f t="shared" si="1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2"/>
        <v>0</v>
      </c>
      <c r="U69" s="12">
        <f t="shared" si="3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4"/>
        <v>0</v>
      </c>
      <c r="AA69" s="12">
        <f t="shared" si="5"/>
        <v>0</v>
      </c>
    </row>
    <row r="70" spans="1:27" ht="19.5">
      <c r="A70" s="10">
        <v>7</v>
      </c>
      <c r="B70" s="11" t="s">
        <v>14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6"/>
        <v>0</v>
      </c>
      <c r="I70" s="12">
        <f t="shared" si="7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0"/>
        <v>0</v>
      </c>
      <c r="O70" s="12">
        <f t="shared" si="1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2"/>
        <v>0</v>
      </c>
      <c r="U70" s="12">
        <f t="shared" si="3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4"/>
        <v>0</v>
      </c>
      <c r="AA70" s="12">
        <f t="shared" si="5"/>
        <v>0</v>
      </c>
    </row>
    <row r="71" spans="1:27" ht="19.5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6"/>
        <v>0</v>
      </c>
      <c r="I71" s="12">
        <f t="shared" si="7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116" si="14">IF((J71-K71)&lt;0,0,(J71-K71))</f>
        <v>0</v>
      </c>
      <c r="O71" s="12">
        <f t="shared" ref="O71:O116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ref="T71:T116" si="16">IF((P71-Q71)&lt;0,0,(P71-Q71))</f>
        <v>0</v>
      </c>
      <c r="U71" s="12">
        <f t="shared" ref="U71:U116" si="17">IF((Q71-P71)&lt;0,0,(Q71-P71))</f>
        <v>0</v>
      </c>
      <c r="V71" s="12">
        <f>Table14[[#This Row],[Enrolment S.Y. 2025-2026 ]]*8</f>
        <v>0</v>
      </c>
      <c r="W71" s="12"/>
      <c r="X71" s="10"/>
      <c r="Y71" s="12"/>
      <c r="Z71" s="12">
        <f t="shared" ref="Z71:Z116" si="18">IF((V71-W71)&lt;0,0,(V71-W71))</f>
        <v>0</v>
      </c>
      <c r="AA71" s="12">
        <f t="shared" ref="AA71:AA116" si="19">IF((W71-V71)&lt;0,0,(W71-V71))</f>
        <v>0</v>
      </c>
    </row>
    <row r="72" spans="1:27" ht="19.5">
      <c r="A72" s="10">
        <v>7</v>
      </c>
      <c r="B72" s="11" t="s">
        <v>23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6"/>
        <v>0</v>
      </c>
      <c r="I72" s="12">
        <f t="shared" si="7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16"/>
        <v>0</v>
      </c>
      <c r="U72" s="12">
        <f t="shared" si="17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18"/>
        <v>0</v>
      </c>
      <c r="AA72" s="12">
        <f t="shared" si="19"/>
        <v>0</v>
      </c>
    </row>
    <row r="73" spans="1:27" ht="19.5">
      <c r="A73" s="10">
        <v>7</v>
      </c>
      <c r="B73" s="11" t="s">
        <v>21</v>
      </c>
      <c r="C73" s="10"/>
      <c r="D73" s="12">
        <f>Table14[[#This Row],[Enrolment S.Y. 2025-2026 ]]*8</f>
        <v>0</v>
      </c>
      <c r="E73" s="12"/>
      <c r="F73" s="10"/>
      <c r="G73" s="12"/>
      <c r="H73" s="12">
        <f t="shared" si="6"/>
        <v>0</v>
      </c>
      <c r="I73" s="12">
        <f t="shared" si="7"/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 t="shared" si="16"/>
        <v>0</v>
      </c>
      <c r="U73" s="12">
        <f t="shared" si="17"/>
        <v>0</v>
      </c>
      <c r="V73" s="12">
        <f>Table14[[#This Row],[Enrolment S.Y. 2025-2026 ]]*8</f>
        <v>0</v>
      </c>
      <c r="W73" s="12"/>
      <c r="X73" s="10"/>
      <c r="Y73" s="12"/>
      <c r="Z73" s="12">
        <f t="shared" si="18"/>
        <v>0</v>
      </c>
      <c r="AA73" s="12">
        <f t="shared" si="19"/>
        <v>0</v>
      </c>
    </row>
    <row r="74" spans="1:27" s="7" customFormat="1"/>
    <row r="75" spans="1:27" ht="19.5">
      <c r="A75" s="10">
        <v>8</v>
      </c>
      <c r="B75" s="11" t="s">
        <v>15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6"/>
        <v>0</v>
      </c>
      <c r="I75" s="12">
        <f t="shared" si="7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10">
        <v>8</v>
      </c>
      <c r="B76" s="11" t="s">
        <v>17</v>
      </c>
      <c r="C76" s="10"/>
      <c r="D76" s="12">
        <f>Table14[[#This Row],[Enrolment S.Y. 2025-2026 ]]*8</f>
        <v>0</v>
      </c>
      <c r="E76" s="12"/>
      <c r="F76" s="10"/>
      <c r="G76" s="12"/>
      <c r="H76" s="12">
        <f t="shared" si="6"/>
        <v>0</v>
      </c>
      <c r="I76" s="12">
        <f t="shared" si="7"/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 t="shared" si="16"/>
        <v>0</v>
      </c>
      <c r="U76" s="12">
        <f t="shared" si="17"/>
        <v>0</v>
      </c>
      <c r="V76" s="12">
        <f>Table14[[#This Row],[Enrolment S.Y. 2025-2026 ]]*8</f>
        <v>0</v>
      </c>
      <c r="W76" s="12"/>
      <c r="X76" s="10"/>
      <c r="Y76" s="12"/>
      <c r="Z76" s="12">
        <f t="shared" si="18"/>
        <v>0</v>
      </c>
      <c r="AA76" s="12">
        <f t="shared" si="19"/>
        <v>0</v>
      </c>
    </row>
    <row r="77" spans="1:27" ht="19.5">
      <c r="A77" s="10">
        <v>8</v>
      </c>
      <c r="B77" s="11" t="s">
        <v>13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6"/>
        <v>0</v>
      </c>
      <c r="I77" s="12">
        <f t="shared" si="7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ht="19.5">
      <c r="A78" s="10">
        <v>8</v>
      </c>
      <c r="B78" s="11" t="s">
        <v>22</v>
      </c>
      <c r="C78" s="10"/>
      <c r="D78" s="12">
        <f>Table14[[#This Row],[Enrolment S.Y. 2025-2026 ]]*8</f>
        <v>0</v>
      </c>
      <c r="E78" s="12"/>
      <c r="F78" s="10"/>
      <c r="G78" s="12"/>
      <c r="H78" s="12">
        <f t="shared" si="6"/>
        <v>0</v>
      </c>
      <c r="I78" s="12">
        <f t="shared" si="7"/>
        <v>0</v>
      </c>
      <c r="J78" s="12">
        <f>Table14[[#This Row],[Enrolment S.Y. 2025-2026 ]]*8</f>
        <v>0</v>
      </c>
      <c r="K78" s="12"/>
      <c r="L78" s="10"/>
      <c r="M78" s="12"/>
      <c r="N78" s="12">
        <f t="shared" si="14"/>
        <v>0</v>
      </c>
      <c r="O78" s="12">
        <f t="shared" si="15"/>
        <v>0</v>
      </c>
      <c r="P78" s="12">
        <f>Table14[[#This Row],[Enrolment S.Y. 2025-2026 ]]*8</f>
        <v>0</v>
      </c>
      <c r="Q78" s="12"/>
      <c r="R78" s="10"/>
      <c r="S78" s="12"/>
      <c r="T78" s="12">
        <f t="shared" si="16"/>
        <v>0</v>
      </c>
      <c r="U78" s="12">
        <f t="shared" si="17"/>
        <v>0</v>
      </c>
      <c r="V78" s="12">
        <f>Table14[[#This Row],[Enrolment S.Y. 2025-2026 ]]*8</f>
        <v>0</v>
      </c>
      <c r="W78" s="12"/>
      <c r="X78" s="10"/>
      <c r="Y78" s="12"/>
      <c r="Z78" s="12">
        <f t="shared" si="18"/>
        <v>0</v>
      </c>
      <c r="AA78" s="12">
        <f t="shared" si="19"/>
        <v>0</v>
      </c>
    </row>
    <row r="79" spans="1:27" ht="19.5">
      <c r="A79" s="10">
        <v>8</v>
      </c>
      <c r="B79" s="11" t="s">
        <v>24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6"/>
        <v>0</v>
      </c>
      <c r="I79" s="12">
        <f t="shared" si="7"/>
        <v>0</v>
      </c>
      <c r="J79" s="12">
        <f>Table14[[#This Row],[Enrolment S.Y. 2025-2026 ]]*8</f>
        <v>0</v>
      </c>
      <c r="K79" s="12"/>
      <c r="L79" s="10"/>
      <c r="M79" s="12"/>
      <c r="N79" s="12">
        <f t="shared" si="14"/>
        <v>0</v>
      </c>
      <c r="O79" s="12">
        <f t="shared" si="15"/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14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ref="H80:H116" si="20">IF((D80-E80)&lt;0,0,(D80-E80))</f>
        <v>0</v>
      </c>
      <c r="I80" s="12">
        <f t="shared" ref="I80:I116" si="21">IF((E80-D80)&lt;0,0,(E80-D80))</f>
        <v>0</v>
      </c>
      <c r="J80" s="12">
        <f>Table14[[#This Row],[Enrolment S.Y. 2025-2026 ]]*8</f>
        <v>0</v>
      </c>
      <c r="K80" s="12"/>
      <c r="L80" s="10"/>
      <c r="M80" s="12"/>
      <c r="N80" s="12">
        <f t="shared" si="14"/>
        <v>0</v>
      </c>
      <c r="O80" s="12">
        <f t="shared" si="15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19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20"/>
        <v>0</v>
      </c>
      <c r="I81" s="12">
        <f t="shared" si="2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14"/>
        <v>0</v>
      </c>
      <c r="O81" s="12">
        <f t="shared" si="15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20"/>
        <v>0</v>
      </c>
      <c r="I82" s="12">
        <f t="shared" si="2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14"/>
        <v>0</v>
      </c>
      <c r="O82" s="12">
        <f t="shared" si="15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21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20"/>
        <v>0</v>
      </c>
      <c r="I83" s="12">
        <f t="shared" si="2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14"/>
        <v>0</v>
      </c>
      <c r="O83" s="12">
        <f t="shared" si="15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s="7" customFormat="1"/>
    <row r="85" spans="1:27" ht="19.5">
      <c r="A85" s="10">
        <v>9</v>
      </c>
      <c r="B85" s="11" t="s">
        <v>15</v>
      </c>
      <c r="C85" s="10"/>
      <c r="D85" s="12"/>
      <c r="E85" s="12"/>
      <c r="F85" s="10"/>
      <c r="G85" s="12"/>
      <c r="H85" s="12"/>
      <c r="I85" s="12"/>
      <c r="J85" s="12"/>
      <c r="K85" s="12"/>
      <c r="L85" s="10"/>
      <c r="M85" s="12"/>
      <c r="N85" s="12">
        <f t="shared" si="14"/>
        <v>0</v>
      </c>
      <c r="O85" s="12">
        <f t="shared" si="15"/>
        <v>0</v>
      </c>
      <c r="P85" s="12">
        <f>Table14[[#This Row],[Enrolment S.Y. 2025-2026 ]]*8</f>
        <v>0</v>
      </c>
      <c r="Q85" s="12"/>
      <c r="R85" s="10"/>
      <c r="S85" s="12"/>
      <c r="T85" s="12">
        <f t="shared" si="16"/>
        <v>0</v>
      </c>
      <c r="U85" s="12">
        <f t="shared" si="17"/>
        <v>0</v>
      </c>
      <c r="V85" s="12">
        <f>Table14[[#This Row],[Enrolment S.Y. 2025-2026 ]]*8</f>
        <v>0</v>
      </c>
      <c r="W85" s="12"/>
      <c r="X85" s="10">
        <v>2025</v>
      </c>
      <c r="Y85" s="12" t="s">
        <v>9</v>
      </c>
      <c r="Z85" s="12">
        <f t="shared" si="18"/>
        <v>0</v>
      </c>
      <c r="AA85" s="12">
        <f t="shared" si="19"/>
        <v>0</v>
      </c>
    </row>
    <row r="86" spans="1:27" ht="19.5">
      <c r="A86" s="10">
        <v>9</v>
      </c>
      <c r="B86" s="11" t="s">
        <v>17</v>
      </c>
      <c r="C86" s="10"/>
      <c r="D86" s="12"/>
      <c r="E86" s="12"/>
      <c r="F86" s="10"/>
      <c r="G86" s="12"/>
      <c r="H86" s="12"/>
      <c r="I86" s="12"/>
      <c r="J86" s="12"/>
      <c r="K86" s="12"/>
      <c r="L86" s="10"/>
      <c r="M86" s="12" t="s">
        <v>9</v>
      </c>
      <c r="N86" s="12">
        <f t="shared" si="14"/>
        <v>0</v>
      </c>
      <c r="O86" s="12">
        <f t="shared" si="15"/>
        <v>0</v>
      </c>
      <c r="P86" s="12">
        <f>Table14[[#This Row],[Enrolment S.Y. 2025-2026 ]]*8</f>
        <v>0</v>
      </c>
      <c r="Q86" s="12"/>
      <c r="R86" s="10">
        <v>2025</v>
      </c>
      <c r="S86" s="12" t="s">
        <v>9</v>
      </c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>
        <v>2025</v>
      </c>
      <c r="Y86" s="12" t="s">
        <v>9</v>
      </c>
      <c r="Z86" s="12">
        <f t="shared" si="18"/>
        <v>0</v>
      </c>
      <c r="AA86" s="12">
        <f t="shared" si="19"/>
        <v>0</v>
      </c>
    </row>
    <row r="87" spans="1:27" ht="19.5">
      <c r="A87" s="10">
        <v>9</v>
      </c>
      <c r="B87" s="11" t="s">
        <v>13</v>
      </c>
      <c r="C87" s="10"/>
      <c r="D87" s="12"/>
      <c r="E87" s="12"/>
      <c r="F87" s="10"/>
      <c r="G87" s="12"/>
      <c r="H87" s="12"/>
      <c r="I87" s="12"/>
      <c r="J87" s="12"/>
      <c r="K87" s="12"/>
      <c r="L87" s="10"/>
      <c r="M87" s="12" t="s">
        <v>9</v>
      </c>
      <c r="N87" s="12">
        <f t="shared" si="14"/>
        <v>0</v>
      </c>
      <c r="O87" s="12">
        <f t="shared" si="15"/>
        <v>0</v>
      </c>
      <c r="P87" s="12">
        <f>Table14[[#This Row],[Enrolment S.Y. 2025-2026 ]]*8</f>
        <v>0</v>
      </c>
      <c r="Q87" s="12"/>
      <c r="R87" s="10">
        <v>2025</v>
      </c>
      <c r="S87" s="12" t="s">
        <v>9</v>
      </c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>
        <v>2025</v>
      </c>
      <c r="Y87" s="12" t="s">
        <v>9</v>
      </c>
      <c r="Z87" s="12">
        <f t="shared" si="18"/>
        <v>0</v>
      </c>
      <c r="AA87" s="12">
        <f t="shared" si="19"/>
        <v>0</v>
      </c>
    </row>
    <row r="88" spans="1:27" ht="19.5">
      <c r="A88" s="10">
        <v>9</v>
      </c>
      <c r="B88" s="11" t="s">
        <v>22</v>
      </c>
      <c r="C88" s="10"/>
      <c r="D88" s="12"/>
      <c r="E88" s="12"/>
      <c r="F88" s="10"/>
      <c r="G88" s="12"/>
      <c r="H88" s="12"/>
      <c r="I88" s="12"/>
      <c r="J88" s="12"/>
      <c r="K88" s="12"/>
      <c r="L88" s="10"/>
      <c r="M88" s="12"/>
      <c r="N88" s="12">
        <f t="shared" si="14"/>
        <v>0</v>
      </c>
      <c r="O88" s="12">
        <f t="shared" si="15"/>
        <v>0</v>
      </c>
      <c r="P88" s="12">
        <f>Table14[[#This Row],[Enrolment S.Y. 2025-2026 ]]*8</f>
        <v>0</v>
      </c>
      <c r="Q88" s="12"/>
      <c r="R88" s="10">
        <v>2025</v>
      </c>
      <c r="S88" s="12" t="s">
        <v>9</v>
      </c>
      <c r="T88" s="12">
        <f t="shared" si="16"/>
        <v>0</v>
      </c>
      <c r="U88" s="12">
        <f t="shared" si="17"/>
        <v>0</v>
      </c>
      <c r="V88" s="12">
        <f>Table14[[#This Row],[Enrolment S.Y. 2025-2026 ]]*8</f>
        <v>0</v>
      </c>
      <c r="W88" s="12"/>
      <c r="X88" s="10">
        <v>2025</v>
      </c>
      <c r="Y88" s="12" t="s">
        <v>9</v>
      </c>
      <c r="Z88" s="12">
        <f t="shared" si="18"/>
        <v>0</v>
      </c>
      <c r="AA88" s="12">
        <f t="shared" si="19"/>
        <v>0</v>
      </c>
    </row>
    <row r="89" spans="1:27" ht="19.5">
      <c r="A89" s="10">
        <v>9</v>
      </c>
      <c r="B89" s="11" t="s">
        <v>24</v>
      </c>
      <c r="C89" s="10"/>
      <c r="D89" s="12"/>
      <c r="E89" s="12"/>
      <c r="F89" s="10"/>
      <c r="G89" s="12"/>
      <c r="H89" s="12"/>
      <c r="I89" s="12"/>
      <c r="J89" s="12"/>
      <c r="K89" s="12"/>
      <c r="L89" s="10"/>
      <c r="M89" s="12"/>
      <c r="N89" s="12">
        <f t="shared" si="14"/>
        <v>0</v>
      </c>
      <c r="O89" s="12">
        <f t="shared" si="15"/>
        <v>0</v>
      </c>
      <c r="P89" s="12">
        <f>Table14[[#This Row],[Enrolment S.Y. 2025-2026 ]]*8</f>
        <v>0</v>
      </c>
      <c r="Q89" s="12"/>
      <c r="R89" s="10">
        <v>2025</v>
      </c>
      <c r="S89" s="12" t="s">
        <v>9</v>
      </c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>
        <v>2025</v>
      </c>
      <c r="Y89" s="12" t="s">
        <v>9</v>
      </c>
      <c r="Z89" s="12">
        <f t="shared" si="18"/>
        <v>0</v>
      </c>
      <c r="AA89" s="12">
        <f t="shared" si="19"/>
        <v>0</v>
      </c>
    </row>
    <row r="90" spans="1:27" ht="19.5">
      <c r="A90" s="10">
        <v>9</v>
      </c>
      <c r="B90" s="11" t="s">
        <v>14</v>
      </c>
      <c r="C90" s="10"/>
      <c r="D90" s="12"/>
      <c r="E90" s="12"/>
      <c r="F90" s="10"/>
      <c r="G90" s="12"/>
      <c r="H90" s="12"/>
      <c r="I90" s="12"/>
      <c r="J90" s="12"/>
      <c r="K90" s="12"/>
      <c r="L90" s="10"/>
      <c r="M90" s="12"/>
      <c r="N90" s="12">
        <f t="shared" si="14"/>
        <v>0</v>
      </c>
      <c r="O90" s="12">
        <f t="shared" si="15"/>
        <v>0</v>
      </c>
      <c r="P90" s="12">
        <f>Table14[[#This Row],[Enrolment S.Y. 2025-2026 ]]*8</f>
        <v>0</v>
      </c>
      <c r="Q90" s="12"/>
      <c r="R90" s="10">
        <v>2025</v>
      </c>
      <c r="S90" s="12" t="s">
        <v>9</v>
      </c>
      <c r="T90" s="12">
        <f t="shared" si="16"/>
        <v>0</v>
      </c>
      <c r="U90" s="12">
        <f t="shared" si="17"/>
        <v>0</v>
      </c>
      <c r="V90" s="12">
        <f>Table14[[#This Row],[Enrolment S.Y. 2025-2026 ]]*8</f>
        <v>0</v>
      </c>
      <c r="W90" s="12"/>
      <c r="X90" s="10">
        <v>2025</v>
      </c>
      <c r="Y90" s="12" t="s">
        <v>9</v>
      </c>
      <c r="Z90" s="12">
        <f t="shared" si="18"/>
        <v>0</v>
      </c>
      <c r="AA90" s="12">
        <f t="shared" si="19"/>
        <v>0</v>
      </c>
    </row>
    <row r="91" spans="1:27" ht="19.5">
      <c r="A91" s="10">
        <v>9</v>
      </c>
      <c r="B91" s="11" t="s">
        <v>87</v>
      </c>
      <c r="C91" s="10"/>
      <c r="D91" s="12"/>
      <c r="E91" s="12"/>
      <c r="F91" s="10"/>
      <c r="G91" s="12"/>
      <c r="H91" s="12"/>
      <c r="I91" s="12"/>
      <c r="J91" s="12"/>
      <c r="K91" s="12"/>
      <c r="L91" s="10"/>
      <c r="M91" s="12"/>
      <c r="N91" s="12">
        <f t="shared" si="14"/>
        <v>0</v>
      </c>
      <c r="O91" s="12">
        <f t="shared" si="15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>
        <v>2025</v>
      </c>
      <c r="Y91" s="12" t="s">
        <v>9</v>
      </c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23</v>
      </c>
      <c r="C92" s="10"/>
      <c r="D92" s="12"/>
      <c r="E92" s="12"/>
      <c r="F92" s="10"/>
      <c r="G92" s="12"/>
      <c r="H92" s="12"/>
      <c r="I92" s="12"/>
      <c r="J92" s="12"/>
      <c r="K92" s="12"/>
      <c r="L92" s="10"/>
      <c r="M92" s="12"/>
      <c r="N92" s="12">
        <f t="shared" ref="N92:N95" si="22">IF((J92-K92)&lt;0,0,(J92-K92))</f>
        <v>0</v>
      </c>
      <c r="O92" s="12">
        <f t="shared" ref="O92:O95" si="23">IF((K92-J92)&lt;0,0,(K92-J92))</f>
        <v>0</v>
      </c>
      <c r="P92" s="12">
        <f>Table14[[#This Row],[Enrolment S.Y. 2025-2026 ]]*8</f>
        <v>0</v>
      </c>
      <c r="Q92" s="12"/>
      <c r="R92" s="10"/>
      <c r="S92" s="12"/>
      <c r="T92" s="12">
        <f t="shared" ref="T92:T95" si="24">IF((P92-Q92)&lt;0,0,(P92-Q92))</f>
        <v>0</v>
      </c>
      <c r="U92" s="12">
        <f t="shared" ref="U92:U95" si="25">IF((Q92-P92)&lt;0,0,(Q92-P92))</f>
        <v>0</v>
      </c>
      <c r="V92" s="12">
        <f>Table14[[#This Row],[Enrolment S.Y. 2025-2026 ]]*8</f>
        <v>0</v>
      </c>
      <c r="W92" s="12"/>
      <c r="X92" s="10"/>
      <c r="Y92" s="12"/>
      <c r="Z92" s="12">
        <f>IF((V92-W92)&lt;0,0,(V92-W92))</f>
        <v>0</v>
      </c>
      <c r="AA92" s="12">
        <f>IF((W92-V92)&lt;0,0,(W92-V92))</f>
        <v>0</v>
      </c>
    </row>
    <row r="93" spans="1:27" ht="19.5">
      <c r="A93" s="10">
        <v>9</v>
      </c>
      <c r="B93" s="11" t="s">
        <v>88</v>
      </c>
      <c r="C93" s="10"/>
      <c r="D93" s="12"/>
      <c r="E93" s="12"/>
      <c r="F93" s="10"/>
      <c r="G93" s="12"/>
      <c r="H93" s="12"/>
      <c r="I93" s="12"/>
      <c r="J93" s="12"/>
      <c r="K93" s="12"/>
      <c r="L93" s="10"/>
      <c r="M93" s="12"/>
      <c r="N93" s="12">
        <f t="shared" si="22"/>
        <v>0</v>
      </c>
      <c r="O93" s="12">
        <f t="shared" si="23"/>
        <v>0</v>
      </c>
      <c r="P93" s="12">
        <f>Table14[[#This Row],[Enrolment S.Y. 2025-2026 ]]*8</f>
        <v>0</v>
      </c>
      <c r="Q93" s="12"/>
      <c r="R93" s="10">
        <v>2025</v>
      </c>
      <c r="S93" s="12" t="s">
        <v>9</v>
      </c>
      <c r="T93" s="12">
        <f t="shared" si="24"/>
        <v>0</v>
      </c>
      <c r="U93" s="12">
        <f t="shared" si="25"/>
        <v>0</v>
      </c>
      <c r="V93" s="12">
        <f>Table14[[#This Row],[Enrolment S.Y. 2025-2026 ]]*8</f>
        <v>0</v>
      </c>
      <c r="W93" s="12"/>
      <c r="X93" s="10">
        <v>2025</v>
      </c>
      <c r="Y93" s="12" t="s">
        <v>9</v>
      </c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89</v>
      </c>
      <c r="C94" s="10"/>
      <c r="D94" s="12"/>
      <c r="E94" s="12"/>
      <c r="F94" s="10"/>
      <c r="G94" s="12"/>
      <c r="H94" s="12"/>
      <c r="I94" s="12"/>
      <c r="J94" s="12"/>
      <c r="K94" s="12"/>
      <c r="L94" s="10"/>
      <c r="M94" s="12"/>
      <c r="N94" s="12">
        <f t="shared" si="22"/>
        <v>0</v>
      </c>
      <c r="O94" s="12">
        <f t="shared" si="23"/>
        <v>0</v>
      </c>
      <c r="P94" s="12">
        <f>Table14[[#This Row],[Enrolment S.Y. 2025-2026 ]]*8</f>
        <v>0</v>
      </c>
      <c r="Q94" s="12"/>
      <c r="R94" s="10">
        <v>2025</v>
      </c>
      <c r="S94" s="12" t="s">
        <v>9</v>
      </c>
      <c r="T94" s="12">
        <f t="shared" si="24"/>
        <v>0</v>
      </c>
      <c r="U94" s="12">
        <f t="shared" si="25"/>
        <v>0</v>
      </c>
      <c r="V94" s="12">
        <f>Table14[[#This Row],[Enrolment S.Y. 2025-2026 ]]*8</f>
        <v>0</v>
      </c>
      <c r="W94" s="12"/>
      <c r="X94" s="10">
        <v>2025</v>
      </c>
      <c r="Y94" s="12" t="s">
        <v>9</v>
      </c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90</v>
      </c>
      <c r="C95" s="10"/>
      <c r="D95" s="12"/>
      <c r="E95" s="12"/>
      <c r="F95" s="10"/>
      <c r="G95" s="12"/>
      <c r="H95" s="12"/>
      <c r="I95" s="12"/>
      <c r="J95" s="12"/>
      <c r="K95" s="12"/>
      <c r="L95" s="10"/>
      <c r="M95" s="12"/>
      <c r="N95" s="12">
        <f t="shared" si="22"/>
        <v>0</v>
      </c>
      <c r="O95" s="12">
        <f t="shared" si="23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24"/>
        <v>0</v>
      </c>
      <c r="U95" s="12">
        <f t="shared" si="25"/>
        <v>0</v>
      </c>
      <c r="V95" s="12">
        <f>Table14[[#This Row],[Enrolment S.Y. 2025-2026 ]]*8</f>
        <v>0</v>
      </c>
      <c r="W95" s="12"/>
      <c r="X95" s="10">
        <v>2025</v>
      </c>
      <c r="Y95" s="12" t="s">
        <v>9</v>
      </c>
      <c r="Z95" s="12">
        <f>IF((V95-W95)&lt;0,0,(V95-W95))</f>
        <v>0</v>
      </c>
      <c r="AA95" s="12">
        <f>IF((W95-V95)&lt;0,0,(W95-V95))</f>
        <v>0</v>
      </c>
    </row>
    <row r="96" spans="1:27" s="7" customFormat="1"/>
    <row r="97" spans="1:27" ht="19.5">
      <c r="A97" s="10">
        <v>10</v>
      </c>
      <c r="B97" s="11" t="s">
        <v>15</v>
      </c>
      <c r="C97" s="10"/>
      <c r="D97" s="12"/>
      <c r="E97" s="12"/>
      <c r="F97" s="10"/>
      <c r="G97" s="12"/>
      <c r="H97" s="12"/>
      <c r="I97" s="12"/>
      <c r="J97" s="12"/>
      <c r="K97" s="12"/>
      <c r="L97" s="10">
        <v>2025</v>
      </c>
      <c r="M97" s="12" t="s">
        <v>9</v>
      </c>
      <c r="N97" s="12">
        <f t="shared" si="14"/>
        <v>0</v>
      </c>
      <c r="O97" s="12">
        <f t="shared" si="15"/>
        <v>0</v>
      </c>
      <c r="P97" s="12">
        <f>Table14[[#This Row],[Enrolment S.Y. 2025-2026 ]]*8</f>
        <v>0</v>
      </c>
      <c r="Q97" s="12"/>
      <c r="R97" s="10">
        <v>2025</v>
      </c>
      <c r="S97" s="12" t="s">
        <v>9</v>
      </c>
      <c r="T97" s="12">
        <f t="shared" si="16"/>
        <v>0</v>
      </c>
      <c r="U97" s="12">
        <f t="shared" si="17"/>
        <v>0</v>
      </c>
      <c r="V97" s="12">
        <f>Table14[[#This Row],[Enrolment S.Y. 2025-2026 ]]*8</f>
        <v>0</v>
      </c>
      <c r="W97" s="12"/>
      <c r="X97" s="10">
        <v>2025</v>
      </c>
      <c r="Y97" s="12" t="s">
        <v>9</v>
      </c>
      <c r="Z97" s="12">
        <f t="shared" si="18"/>
        <v>0</v>
      </c>
      <c r="AA97" s="12">
        <f t="shared" si="19"/>
        <v>0</v>
      </c>
    </row>
    <row r="98" spans="1:27" ht="19.5">
      <c r="A98" s="10">
        <v>10</v>
      </c>
      <c r="B98" s="11" t="s">
        <v>17</v>
      </c>
      <c r="C98" s="10"/>
      <c r="D98" s="12"/>
      <c r="E98" s="12"/>
      <c r="F98" s="10"/>
      <c r="G98" s="12"/>
      <c r="H98" s="12"/>
      <c r="I98" s="12"/>
      <c r="J98" s="12"/>
      <c r="K98" s="12"/>
      <c r="L98" s="10"/>
      <c r="M98" s="12"/>
      <c r="N98" s="12">
        <f t="shared" si="14"/>
        <v>0</v>
      </c>
      <c r="O98" s="12">
        <f t="shared" si="15"/>
        <v>0</v>
      </c>
      <c r="P98" s="12">
        <f>Table14[[#This Row],[Enrolment S.Y. 2025-2026 ]]*8</f>
        <v>0</v>
      </c>
      <c r="Q98" s="12"/>
      <c r="R98" s="10">
        <v>2025</v>
      </c>
      <c r="S98" s="12" t="s">
        <v>9</v>
      </c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>
        <v>2025</v>
      </c>
      <c r="Y98" s="12" t="s">
        <v>9</v>
      </c>
      <c r="Z98" s="12">
        <f t="shared" si="18"/>
        <v>0</v>
      </c>
      <c r="AA98" s="12">
        <f t="shared" si="19"/>
        <v>0</v>
      </c>
    </row>
    <row r="99" spans="1:27" ht="19.5">
      <c r="A99" s="10">
        <v>10</v>
      </c>
      <c r="B99" s="11" t="s">
        <v>13</v>
      </c>
      <c r="C99" s="10"/>
      <c r="D99" s="12"/>
      <c r="E99" s="12"/>
      <c r="F99" s="10"/>
      <c r="G99" s="12"/>
      <c r="H99" s="12"/>
      <c r="I99" s="12"/>
      <c r="J99" s="12"/>
      <c r="K99" s="12"/>
      <c r="L99" s="10">
        <v>2025</v>
      </c>
      <c r="M99" s="12" t="s">
        <v>9</v>
      </c>
      <c r="N99" s="12">
        <f t="shared" si="14"/>
        <v>0</v>
      </c>
      <c r="O99" s="12">
        <f t="shared" si="15"/>
        <v>0</v>
      </c>
      <c r="P99" s="12">
        <f>Table14[[#This Row],[Enrolment S.Y. 2025-2026 ]]*8</f>
        <v>0</v>
      </c>
      <c r="Q99" s="12"/>
      <c r="R99" s="10">
        <v>2025</v>
      </c>
      <c r="S99" s="12" t="s">
        <v>9</v>
      </c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>
        <v>2025</v>
      </c>
      <c r="Y99" s="12" t="s">
        <v>9</v>
      </c>
      <c r="Z99" s="12">
        <f t="shared" si="18"/>
        <v>0</v>
      </c>
      <c r="AA99" s="12">
        <f t="shared" si="19"/>
        <v>0</v>
      </c>
    </row>
    <row r="100" spans="1:27" ht="19.5">
      <c r="A100" s="10">
        <v>10</v>
      </c>
      <c r="B100" s="11" t="s">
        <v>22</v>
      </c>
      <c r="C100" s="10"/>
      <c r="D100" s="12"/>
      <c r="E100" s="12"/>
      <c r="F100" s="10"/>
      <c r="G100" s="12"/>
      <c r="H100" s="12"/>
      <c r="I100" s="12"/>
      <c r="J100" s="12"/>
      <c r="K100" s="12"/>
      <c r="L100" s="10"/>
      <c r="M100" s="12"/>
      <c r="N100" s="12">
        <f t="shared" si="14"/>
        <v>0</v>
      </c>
      <c r="O100" s="12">
        <f t="shared" si="15"/>
        <v>0</v>
      </c>
      <c r="P100" s="12">
        <f>Table14[[#This Row],[Enrolment S.Y. 2025-2026 ]]*8</f>
        <v>0</v>
      </c>
      <c r="Q100" s="12"/>
      <c r="R100" s="10">
        <v>2025</v>
      </c>
      <c r="S100" s="12" t="s">
        <v>9</v>
      </c>
      <c r="T100" s="12">
        <f t="shared" si="16"/>
        <v>0</v>
      </c>
      <c r="U100" s="12">
        <f t="shared" si="17"/>
        <v>0</v>
      </c>
      <c r="V100" s="12">
        <f>Table14[[#This Row],[Enrolment S.Y. 2025-2026 ]]*8</f>
        <v>0</v>
      </c>
      <c r="W100" s="12"/>
      <c r="X100" s="10">
        <v>2025</v>
      </c>
      <c r="Y100" s="12" t="s">
        <v>9</v>
      </c>
      <c r="Z100" s="12">
        <f t="shared" si="18"/>
        <v>0</v>
      </c>
      <c r="AA100" s="12">
        <f t="shared" si="19"/>
        <v>0</v>
      </c>
    </row>
    <row r="101" spans="1:27" ht="19.5">
      <c r="A101" s="10">
        <v>10</v>
      </c>
      <c r="B101" s="11" t="s">
        <v>24</v>
      </c>
      <c r="C101" s="10"/>
      <c r="D101" s="12"/>
      <c r="E101" s="12"/>
      <c r="F101" s="10"/>
      <c r="G101" s="12"/>
      <c r="H101" s="12"/>
      <c r="I101" s="12"/>
      <c r="J101" s="12"/>
      <c r="K101" s="12"/>
      <c r="L101" s="10"/>
      <c r="M101" s="12"/>
      <c r="N101" s="12">
        <f t="shared" si="14"/>
        <v>0</v>
      </c>
      <c r="O101" s="12">
        <f t="shared" si="15"/>
        <v>0</v>
      </c>
      <c r="P101" s="12">
        <f>Table14[[#This Row],[Enrolment S.Y. 2025-2026 ]]*8</f>
        <v>0</v>
      </c>
      <c r="Q101" s="12"/>
      <c r="R101" s="10">
        <v>2025</v>
      </c>
      <c r="S101" s="12" t="s">
        <v>9</v>
      </c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>
        <v>2025</v>
      </c>
      <c r="Y101" s="12" t="s">
        <v>9</v>
      </c>
      <c r="Z101" s="12">
        <f t="shared" si="18"/>
        <v>0</v>
      </c>
      <c r="AA101" s="12">
        <f t="shared" si="19"/>
        <v>0</v>
      </c>
    </row>
    <row r="102" spans="1:27" ht="19.5">
      <c r="A102" s="10">
        <v>10</v>
      </c>
      <c r="B102" s="11" t="s">
        <v>14</v>
      </c>
      <c r="C102" s="10"/>
      <c r="D102" s="12"/>
      <c r="E102" s="12"/>
      <c r="F102" s="10"/>
      <c r="G102" s="12"/>
      <c r="H102" s="12"/>
      <c r="I102" s="12"/>
      <c r="J102" s="12"/>
      <c r="K102" s="12"/>
      <c r="L102" s="10"/>
      <c r="M102" s="12"/>
      <c r="N102" s="12">
        <f t="shared" si="14"/>
        <v>0</v>
      </c>
      <c r="O102" s="12">
        <f t="shared" si="15"/>
        <v>0</v>
      </c>
      <c r="P102" s="12">
        <f>Table14[[#This Row],[Enrolment S.Y. 2025-2026 ]]*8</f>
        <v>0</v>
      </c>
      <c r="Q102" s="12"/>
      <c r="R102" s="10">
        <v>2025</v>
      </c>
      <c r="S102" s="12" t="s">
        <v>9</v>
      </c>
      <c r="T102" s="12">
        <f t="shared" si="16"/>
        <v>0</v>
      </c>
      <c r="U102" s="12">
        <f t="shared" si="17"/>
        <v>0</v>
      </c>
      <c r="V102" s="12">
        <f>Table14[[#This Row],[Enrolment S.Y. 2025-2026 ]]*8</f>
        <v>0</v>
      </c>
      <c r="W102" s="12"/>
      <c r="X102" s="10">
        <v>2025</v>
      </c>
      <c r="Y102" s="12" t="s">
        <v>9</v>
      </c>
      <c r="Z102" s="12">
        <f t="shared" si="18"/>
        <v>0</v>
      </c>
      <c r="AA102" s="12">
        <f t="shared" si="19"/>
        <v>0</v>
      </c>
    </row>
    <row r="103" spans="1:27" ht="19.5">
      <c r="A103" s="10">
        <v>10</v>
      </c>
      <c r="B103" s="11" t="s">
        <v>87</v>
      </c>
      <c r="C103" s="10"/>
      <c r="D103" s="12"/>
      <c r="E103" s="12"/>
      <c r="F103" s="10"/>
      <c r="G103" s="12"/>
      <c r="H103" s="12"/>
      <c r="I103" s="12"/>
      <c r="J103" s="12"/>
      <c r="K103" s="12"/>
      <c r="L103" s="10"/>
      <c r="M103" s="12"/>
      <c r="N103" s="12">
        <f t="shared" si="14"/>
        <v>0</v>
      </c>
      <c r="O103" s="12">
        <f t="shared" si="15"/>
        <v>0</v>
      </c>
      <c r="P103" s="12">
        <f>Table14[[#This Row],[Enrolment S.Y. 2025-2026 ]]*8</f>
        <v>0</v>
      </c>
      <c r="Q103" s="12"/>
      <c r="R103" s="10">
        <v>2025</v>
      </c>
      <c r="S103" s="12" t="s">
        <v>9</v>
      </c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>
        <v>2025</v>
      </c>
      <c r="Y103" s="12" t="s">
        <v>9</v>
      </c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23</v>
      </c>
      <c r="C104" s="10"/>
      <c r="D104" s="12"/>
      <c r="E104" s="12"/>
      <c r="F104" s="10"/>
      <c r="G104" s="12"/>
      <c r="H104" s="12"/>
      <c r="I104" s="12"/>
      <c r="J104" s="12"/>
      <c r="K104" s="12"/>
      <c r="L104" s="10"/>
      <c r="M104" s="12"/>
      <c r="N104" s="12">
        <f t="shared" ref="N104:N107" si="26">IF((J104-K104)&lt;0,0,(J104-K104))</f>
        <v>0</v>
      </c>
      <c r="O104" s="12">
        <f t="shared" ref="O104:O107" si="27">IF((K104-J104)&lt;0,0,(K104-J104))</f>
        <v>0</v>
      </c>
      <c r="P104" s="12">
        <f>Table14[[#This Row],[Enrolment S.Y. 2025-2026 ]]*8</f>
        <v>0</v>
      </c>
      <c r="Q104" s="12"/>
      <c r="R104" s="10"/>
      <c r="S104" s="12"/>
      <c r="T104" s="12">
        <f>IF((P104-Q104)&lt;0,0,(P104-Q104))</f>
        <v>0</v>
      </c>
      <c r="U104" s="12">
        <f>IF((Q104-P104)&lt;0,0,(Q104-P104))</f>
        <v>0</v>
      </c>
      <c r="V104" s="12">
        <f>Table14[[#This Row],[Enrolment S.Y. 2025-2026 ]]*8</f>
        <v>0</v>
      </c>
      <c r="W104" s="12"/>
      <c r="X104" s="10"/>
      <c r="Y104" s="12"/>
      <c r="Z104" s="12">
        <f>IF((V104-W104)&lt;0,0,(V104-W104))</f>
        <v>0</v>
      </c>
      <c r="AA104" s="12">
        <f>IF((W104-V104)&lt;0,0,(W104-V104))</f>
        <v>0</v>
      </c>
    </row>
    <row r="105" spans="1:27" ht="19.5">
      <c r="A105" s="10">
        <v>10</v>
      </c>
      <c r="B105" s="11" t="s">
        <v>88</v>
      </c>
      <c r="C105" s="10"/>
      <c r="D105" s="12"/>
      <c r="E105" s="12"/>
      <c r="F105" s="10"/>
      <c r="G105" s="12"/>
      <c r="H105" s="12"/>
      <c r="I105" s="12"/>
      <c r="J105" s="12"/>
      <c r="K105" s="12"/>
      <c r="L105" s="10"/>
      <c r="M105" s="12"/>
      <c r="N105" s="12">
        <f t="shared" si="26"/>
        <v>0</v>
      </c>
      <c r="O105" s="12">
        <f t="shared" si="27"/>
        <v>0</v>
      </c>
      <c r="P105" s="12">
        <f>Table14[[#This Row],[Enrolment S.Y. 2025-2026 ]]*8</f>
        <v>0</v>
      </c>
      <c r="Q105" s="12"/>
      <c r="R105" s="10">
        <v>2025</v>
      </c>
      <c r="S105" s="12" t="s">
        <v>9</v>
      </c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>
        <v>2025</v>
      </c>
      <c r="Y105" s="12" t="s">
        <v>9</v>
      </c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89</v>
      </c>
      <c r="C106" s="10"/>
      <c r="D106" s="12"/>
      <c r="E106" s="12"/>
      <c r="F106" s="10"/>
      <c r="G106" s="12"/>
      <c r="H106" s="12"/>
      <c r="I106" s="12"/>
      <c r="J106" s="12"/>
      <c r="K106" s="12"/>
      <c r="L106" s="10"/>
      <c r="M106" s="12"/>
      <c r="N106" s="12">
        <f t="shared" si="26"/>
        <v>0</v>
      </c>
      <c r="O106" s="12">
        <f t="shared" si="27"/>
        <v>0</v>
      </c>
      <c r="P106" s="12">
        <f>Table14[[#This Row],[Enrolment S.Y. 2025-2026 ]]*8</f>
        <v>0</v>
      </c>
      <c r="Q106" s="12"/>
      <c r="R106" s="10">
        <v>2025</v>
      </c>
      <c r="S106" s="12" t="s">
        <v>9</v>
      </c>
      <c r="T106" s="12">
        <f>IF((P106-Q106)&lt;0,0,(P106-Q106))</f>
        <v>0</v>
      </c>
      <c r="U106" s="12">
        <f>IF((Q106-P106)&lt;0,0,(Q106-P106))</f>
        <v>0</v>
      </c>
      <c r="V106" s="12">
        <f>Table14[[#This Row],[Enrolment S.Y. 2025-2026 ]]*8</f>
        <v>0</v>
      </c>
      <c r="W106" s="12"/>
      <c r="X106" s="10">
        <v>2025</v>
      </c>
      <c r="Y106" s="12" t="s">
        <v>9</v>
      </c>
      <c r="Z106" s="12">
        <f>IF((V106-W106)&lt;0,0,(V106-W106))</f>
        <v>0</v>
      </c>
      <c r="AA106" s="12">
        <f>IF((W106-V106)&lt;0,0,(W106-V106))</f>
        <v>0</v>
      </c>
    </row>
    <row r="107" spans="1:27" ht="19.5">
      <c r="A107" s="10">
        <v>10</v>
      </c>
      <c r="B107" s="11" t="s">
        <v>90</v>
      </c>
      <c r="C107" s="10">
        <v>813</v>
      </c>
      <c r="D107" s="12">
        <f>Table14[[#This Row],[Enrolment S.Y. 2025-2026 ]]*8</f>
        <v>6504</v>
      </c>
      <c r="E107" s="12"/>
      <c r="F107" s="10"/>
      <c r="G107" s="12"/>
      <c r="H107" s="12">
        <f t="shared" si="20"/>
        <v>6504</v>
      </c>
      <c r="I107" s="12">
        <f t="shared" si="21"/>
        <v>0</v>
      </c>
      <c r="J107" s="12"/>
      <c r="K107" s="12"/>
      <c r="L107" s="10"/>
      <c r="M107" s="12"/>
      <c r="N107" s="12">
        <f t="shared" si="26"/>
        <v>0</v>
      </c>
      <c r="O107" s="12">
        <f t="shared" si="27"/>
        <v>0</v>
      </c>
      <c r="P107" s="12">
        <f>Table14[[#This Row],[Enrolment S.Y. 2025-2026 ]]*8</f>
        <v>6504</v>
      </c>
      <c r="Q107" s="12"/>
      <c r="R107" s="10">
        <v>2025</v>
      </c>
      <c r="S107" s="12" t="s">
        <v>9</v>
      </c>
      <c r="T107" s="12">
        <f t="shared" si="16"/>
        <v>6504</v>
      </c>
      <c r="U107" s="12">
        <f t="shared" si="17"/>
        <v>0</v>
      </c>
      <c r="V107" s="12">
        <f>Table14[[#This Row],[Enrolment S.Y. 2025-2026 ]]*8</f>
        <v>6504</v>
      </c>
      <c r="W107" s="12"/>
      <c r="X107" s="10">
        <v>2025</v>
      </c>
      <c r="Y107" s="12" t="s">
        <v>9</v>
      </c>
      <c r="Z107" s="12">
        <f t="shared" si="18"/>
        <v>6504</v>
      </c>
      <c r="AA107" s="12">
        <f t="shared" si="19"/>
        <v>0</v>
      </c>
    </row>
    <row r="108" spans="1:27" s="7" customFormat="1"/>
    <row r="109" spans="1:27" ht="39">
      <c r="A109" s="1" t="s">
        <v>25</v>
      </c>
      <c r="B109" s="9" t="s">
        <v>26</v>
      </c>
      <c r="C109" s="1"/>
      <c r="D109" s="5">
        <f>Table14[[#This Row],[Enrolment S.Y. 2025-2026 ]]*8</f>
        <v>0</v>
      </c>
      <c r="E109" s="5"/>
      <c r="F109" s="1"/>
      <c r="G109" s="5"/>
      <c r="H109" s="5">
        <f t="shared" si="20"/>
        <v>0</v>
      </c>
      <c r="I109" s="5">
        <f t="shared" si="21"/>
        <v>0</v>
      </c>
      <c r="J109" s="5">
        <f>Table14[[#This Row],[Enrolment S.Y. 2025-2026 ]]*8</f>
        <v>0</v>
      </c>
      <c r="K109" s="5"/>
      <c r="L109" s="1"/>
      <c r="M109" s="5"/>
      <c r="N109" s="5">
        <f t="shared" si="14"/>
        <v>0</v>
      </c>
      <c r="O109" s="5">
        <f t="shared" si="15"/>
        <v>0</v>
      </c>
      <c r="P109" s="5">
        <f>Table14[[#This Row],[Enrolment S.Y. 2025-2026 ]]*8</f>
        <v>0</v>
      </c>
      <c r="Q109" s="5"/>
      <c r="R109" s="1"/>
      <c r="S109" s="5"/>
      <c r="T109" s="5">
        <f t="shared" si="16"/>
        <v>0</v>
      </c>
      <c r="U109" s="5">
        <f t="shared" si="17"/>
        <v>0</v>
      </c>
      <c r="V109" s="5">
        <f>Table14[[#This Row],[Enrolment S.Y. 2025-2026 ]]*8</f>
        <v>0</v>
      </c>
      <c r="W109" s="5"/>
      <c r="X109" s="1"/>
      <c r="Y109" s="5"/>
      <c r="Z109" s="5">
        <f t="shared" si="18"/>
        <v>0</v>
      </c>
      <c r="AA109" s="5">
        <f t="shared" si="19"/>
        <v>0</v>
      </c>
    </row>
    <row r="110" spans="1:27" ht="19.5">
      <c r="A110" s="1" t="s">
        <v>25</v>
      </c>
      <c r="B110" s="9" t="s">
        <v>27</v>
      </c>
      <c r="C110" s="1"/>
      <c r="D110" s="5">
        <f>Table14[[#This Row],[Enrolment S.Y. 2025-2026 ]]*8</f>
        <v>0</v>
      </c>
      <c r="E110" s="5"/>
      <c r="F110" s="1"/>
      <c r="G110" s="5"/>
      <c r="H110" s="5">
        <f t="shared" si="20"/>
        <v>0</v>
      </c>
      <c r="I110" s="5">
        <f t="shared" si="21"/>
        <v>0</v>
      </c>
      <c r="J110" s="5">
        <f>Table14[[#This Row],[Enrolment S.Y. 2025-2026 ]]*8</f>
        <v>0</v>
      </c>
      <c r="K110" s="5"/>
      <c r="L110" s="1"/>
      <c r="M110" s="5"/>
      <c r="N110" s="5">
        <f t="shared" si="14"/>
        <v>0</v>
      </c>
      <c r="O110" s="5">
        <f t="shared" si="15"/>
        <v>0</v>
      </c>
      <c r="P110" s="5">
        <f>Table14[[#This Row],[Enrolment S.Y. 2025-2026 ]]*8</f>
        <v>0</v>
      </c>
      <c r="Q110" s="5"/>
      <c r="R110" s="1"/>
      <c r="S110" s="5"/>
      <c r="T110" s="5">
        <f t="shared" si="16"/>
        <v>0</v>
      </c>
      <c r="U110" s="5">
        <f t="shared" si="17"/>
        <v>0</v>
      </c>
      <c r="V110" s="5">
        <f>Table14[[#This Row],[Enrolment S.Y. 2025-2026 ]]*8</f>
        <v>0</v>
      </c>
      <c r="W110" s="5"/>
      <c r="X110" s="1"/>
      <c r="Y110" s="5"/>
      <c r="Z110" s="5">
        <f t="shared" si="18"/>
        <v>0</v>
      </c>
      <c r="AA110" s="5">
        <f t="shared" si="19"/>
        <v>0</v>
      </c>
    </row>
    <row r="111" spans="1:27" ht="19.5">
      <c r="A111" s="1" t="s">
        <v>25</v>
      </c>
      <c r="B111" s="9" t="s">
        <v>28</v>
      </c>
      <c r="C111" s="1"/>
      <c r="D111" s="5">
        <f>Table14[[#This Row],[Enrolment S.Y. 2025-2026 ]]*8</f>
        <v>0</v>
      </c>
      <c r="E111" s="5"/>
      <c r="F111" s="1"/>
      <c r="G111" s="5"/>
      <c r="H111" s="5">
        <f t="shared" si="20"/>
        <v>0</v>
      </c>
      <c r="I111" s="5">
        <f t="shared" si="21"/>
        <v>0</v>
      </c>
      <c r="J111" s="5">
        <f>Table14[[#This Row],[Enrolment S.Y. 2025-2026 ]]*8</f>
        <v>0</v>
      </c>
      <c r="K111" s="5"/>
      <c r="L111" s="1"/>
      <c r="M111" s="5"/>
      <c r="N111" s="5">
        <f t="shared" si="14"/>
        <v>0</v>
      </c>
      <c r="O111" s="5">
        <f t="shared" si="15"/>
        <v>0</v>
      </c>
      <c r="P111" s="5">
        <f>Table14[[#This Row],[Enrolment S.Y. 2025-2026 ]]*8</f>
        <v>0</v>
      </c>
      <c r="Q111" s="5"/>
      <c r="R111" s="1"/>
      <c r="S111" s="5"/>
      <c r="T111" s="5">
        <f t="shared" si="16"/>
        <v>0</v>
      </c>
      <c r="U111" s="5">
        <f t="shared" si="17"/>
        <v>0</v>
      </c>
      <c r="V111" s="5">
        <f>Table14[[#This Row],[Enrolment S.Y. 2025-2026 ]]*8</f>
        <v>0</v>
      </c>
      <c r="W111" s="5"/>
      <c r="X111" s="1"/>
      <c r="Y111" s="5"/>
      <c r="Z111" s="5">
        <f t="shared" si="18"/>
        <v>0</v>
      </c>
      <c r="AA111" s="5">
        <f t="shared" si="19"/>
        <v>0</v>
      </c>
    </row>
    <row r="112" spans="1:27" ht="19.5">
      <c r="A112" s="1" t="s">
        <v>25</v>
      </c>
      <c r="B112" s="9" t="s">
        <v>29</v>
      </c>
      <c r="C112" s="1"/>
      <c r="D112" s="5">
        <f>Table14[[#This Row],[Enrolment S.Y. 2025-2026 ]]*8</f>
        <v>0</v>
      </c>
      <c r="E112" s="5"/>
      <c r="F112" s="1"/>
      <c r="G112" s="5"/>
      <c r="H112" s="5">
        <f t="shared" si="20"/>
        <v>0</v>
      </c>
      <c r="I112" s="5">
        <f t="shared" si="21"/>
        <v>0</v>
      </c>
      <c r="J112" s="5">
        <f>Table14[[#This Row],[Enrolment S.Y. 2025-2026 ]]*8</f>
        <v>0</v>
      </c>
      <c r="K112" s="5"/>
      <c r="L112" s="1"/>
      <c r="M112" s="5"/>
      <c r="N112" s="5">
        <f t="shared" si="14"/>
        <v>0</v>
      </c>
      <c r="O112" s="5">
        <f t="shared" si="15"/>
        <v>0</v>
      </c>
      <c r="P112" s="5">
        <f>Table14[[#This Row],[Enrolment S.Y. 2025-2026 ]]*8</f>
        <v>0</v>
      </c>
      <c r="Q112" s="5"/>
      <c r="R112" s="1"/>
      <c r="S112" s="5"/>
      <c r="T112" s="5">
        <f t="shared" si="16"/>
        <v>0</v>
      </c>
      <c r="U112" s="5">
        <f t="shared" si="17"/>
        <v>0</v>
      </c>
      <c r="V112" s="5">
        <f>Table14[[#This Row],[Enrolment S.Y. 2025-2026 ]]*8</f>
        <v>0</v>
      </c>
      <c r="W112" s="5"/>
      <c r="X112" s="1"/>
      <c r="Y112" s="5"/>
      <c r="Z112" s="5">
        <f t="shared" si="18"/>
        <v>0</v>
      </c>
      <c r="AA112" s="5">
        <f t="shared" si="19"/>
        <v>0</v>
      </c>
    </row>
    <row r="113" spans="1:28" ht="39">
      <c r="A113" s="1" t="s">
        <v>25</v>
      </c>
      <c r="B113" s="9" t="s">
        <v>30</v>
      </c>
      <c r="C113" s="1"/>
      <c r="D113" s="5">
        <f>Table14[[#This Row],[Enrolment S.Y. 2025-2026 ]]*8</f>
        <v>0</v>
      </c>
      <c r="E113" s="5"/>
      <c r="F113" s="1"/>
      <c r="G113" s="5"/>
      <c r="H113" s="5">
        <f t="shared" si="20"/>
        <v>0</v>
      </c>
      <c r="I113" s="5">
        <f t="shared" si="21"/>
        <v>0</v>
      </c>
      <c r="J113" s="5">
        <f>Table14[[#This Row],[Enrolment S.Y. 2025-2026 ]]*8</f>
        <v>0</v>
      </c>
      <c r="K113" s="5"/>
      <c r="L113" s="1"/>
      <c r="M113" s="5"/>
      <c r="N113" s="5">
        <f t="shared" si="14"/>
        <v>0</v>
      </c>
      <c r="O113" s="5">
        <f t="shared" si="15"/>
        <v>0</v>
      </c>
      <c r="P113" s="5">
        <f>Table14[[#This Row],[Enrolment S.Y. 2025-2026 ]]*8</f>
        <v>0</v>
      </c>
      <c r="Q113" s="5"/>
      <c r="R113" s="1"/>
      <c r="S113" s="5"/>
      <c r="T113" s="5">
        <f t="shared" si="16"/>
        <v>0</v>
      </c>
      <c r="U113" s="5">
        <f t="shared" si="17"/>
        <v>0</v>
      </c>
      <c r="V113" s="5">
        <f>Table14[[#This Row],[Enrolment S.Y. 2025-2026 ]]*8</f>
        <v>0</v>
      </c>
      <c r="W113" s="5"/>
      <c r="X113" s="1"/>
      <c r="Y113" s="5"/>
      <c r="Z113" s="5">
        <f t="shared" si="18"/>
        <v>0</v>
      </c>
      <c r="AA113" s="5">
        <f t="shared" si="19"/>
        <v>0</v>
      </c>
    </row>
    <row r="114" spans="1:28" ht="39">
      <c r="A114" s="1" t="s">
        <v>25</v>
      </c>
      <c r="B114" s="9" t="s">
        <v>31</v>
      </c>
      <c r="C114" s="1"/>
      <c r="D114" s="5">
        <f>Table14[[#This Row],[Enrolment S.Y. 2025-2026 ]]*8</f>
        <v>0</v>
      </c>
      <c r="E114" s="5"/>
      <c r="F114" s="1"/>
      <c r="G114" s="5"/>
      <c r="H114" s="5">
        <f t="shared" si="20"/>
        <v>0</v>
      </c>
      <c r="I114" s="5">
        <f t="shared" si="21"/>
        <v>0</v>
      </c>
      <c r="J114" s="5">
        <f>Table14[[#This Row],[Enrolment S.Y. 2025-2026 ]]*8</f>
        <v>0</v>
      </c>
      <c r="K114" s="5"/>
      <c r="L114" s="1"/>
      <c r="M114" s="5"/>
      <c r="N114" s="5">
        <f t="shared" si="14"/>
        <v>0</v>
      </c>
      <c r="O114" s="5">
        <f t="shared" si="15"/>
        <v>0</v>
      </c>
      <c r="P114" s="5">
        <f>Table14[[#This Row],[Enrolment S.Y. 2025-2026 ]]*8</f>
        <v>0</v>
      </c>
      <c r="Q114" s="5"/>
      <c r="R114" s="1"/>
      <c r="S114" s="5"/>
      <c r="T114" s="5">
        <f t="shared" si="16"/>
        <v>0</v>
      </c>
      <c r="U114" s="5">
        <f t="shared" si="17"/>
        <v>0</v>
      </c>
      <c r="V114" s="5">
        <f>Table14[[#This Row],[Enrolment S.Y. 2025-2026 ]]*8</f>
        <v>0</v>
      </c>
      <c r="W114" s="5"/>
      <c r="X114" s="1"/>
      <c r="Y114" s="5"/>
      <c r="Z114" s="5">
        <f t="shared" si="18"/>
        <v>0</v>
      </c>
      <c r="AA114" s="5">
        <f t="shared" si="19"/>
        <v>0</v>
      </c>
    </row>
    <row r="115" spans="1:28" ht="39">
      <c r="A115" s="1" t="s">
        <v>25</v>
      </c>
      <c r="B115" s="9" t="s">
        <v>32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0"/>
        <v>0</v>
      </c>
      <c r="I115" s="5">
        <f t="shared" si="21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14"/>
        <v>0</v>
      </c>
      <c r="O115" s="5">
        <f t="shared" si="15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39">
      <c r="A116" s="1" t="s">
        <v>25</v>
      </c>
      <c r="B116" s="9" t="s">
        <v>33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0"/>
        <v>0</v>
      </c>
      <c r="I116" s="5">
        <f t="shared" si="21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14"/>
        <v>0</v>
      </c>
      <c r="O116" s="5">
        <f t="shared" si="15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s="7" customFormat="1"/>
    <row r="118" spans="1:2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J135" t="e">
        <f>#REF!*8</f>
        <v>#REF!</v>
      </c>
    </row>
    <row r="136" spans="1:28">
      <c r="J136" t="e">
        <f>#REF!*8</f>
        <v>#REF!</v>
      </c>
    </row>
    <row r="137" spans="1:28">
      <c r="J137" t="e">
        <f>#REF!*8</f>
        <v>#REF!</v>
      </c>
    </row>
    <row r="138" spans="1:28">
      <c r="J138" t="e">
        <f>#REF!*8</f>
        <v>#REF!</v>
      </c>
    </row>
    <row r="139" spans="1:28">
      <c r="J139" t="e">
        <f>#REF!*8</f>
        <v>#REF!</v>
      </c>
    </row>
    <row r="140" spans="1:28">
      <c r="J140" t="e">
        <f>#REF!*8</f>
        <v>#REF!</v>
      </c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</sheetData>
  <protectedRanges>
    <protectedRange sqref="C65:C73 C75:C83 C109:C116 C53:C63 C85:C95 C97:C107 C2:C10 C12:C19 C21:C29 C31:C41 C43:C51" name="Textbooks"/>
    <protectedRange sqref="J2:L2 D21:F29 D43:F51 D65:F73 D75:F83 D109:F116 P2:R10 N3:O10 T3:U10 N12:R19 T12:X19 Z3:AA10 Z12:AA19 N21:R29 T21:X29 Z21:AA29 N43:R51 Z43:AA51 H43:L51 Z53:AA63 N65:R73 T65:X73 Z65:AA73 H65:L73 N75:R83 T75:X83 Z75:AA83 H75:L83 Z85:AA95 Z97:AA107 H97:L107 N109:R116 T109:X116 Z109:AA116 H109:L116 D31:F41 N31:R41 T31:X41 Z31:AA41 H31:L41 D53:F63 H53:L63 N53:R63 T53:X63 D85:F95 H85:L95 N85:R95 T85:X95 D97:F107 N97:R107 T97:X107 D12:F19 D2:F10 H3:L10 V2:X10 T43:X51 H12:L19 H21:L29" name="LAS"/>
    <protectedRange sqref="G2:I2 M2:O2 S2:U2 Y2:AA2 G3:G10 M3:M10 S3:S10 Y3:Y10 Y12:Y19 G12:G19 M12:M19 S12:S19 Y21:Y29 G21:G29 M21:M29 S21:S29 Y43:Y51 G43:G51 M43:M51 S43:S51 Y65:Y73 G65:G73 M65:M73 S65:S73 Y75:Y83 G75:G83 M75:M83 S75:S83 M85:M95 M97:M107 Y109:Y116 G109:G116 M109:M116 S109:S116 Y31:Y41 G31:G41 M31:M41 S31:S41 G53:G63 M53:M63 S53:S63 Y53:Y63 G85:G95 S85:S95 Y85:Y95 G97:G107 S97:S107 Y97:Y107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09:S116 Y109:Y116 G109:G116 Y3:Y10 S3:S10 M3:M10 G3:G10 G12:G19 Y12:Y19 S12:S19 M12:M19 M21:M29 G21:G29 Y21:Y29 S21:S29 G31:G41 Y31:Y41 S31:S41 M109:M116 Y43:Y51 S43:S51 M43:M51 G43:G51 M31:M41 S53:S63 M53:M63 G53:G63 M65:M73 G65:G73 Y65:Y73 S65:S73 S75:S83 M75:M83 G75:G83 Y75:Y83 S85:S95 G85:G95 M85:M95 Y53:Y63 Y85:Y95 S97:S107 G97:G107 M97:M107 Y97:Y107" xr:uid="{00000000-0002-0000-0200-000000000000}">
      <formula1>"CO,RO,SDO,LGU,SCHOOL"</formula1>
    </dataValidation>
    <dataValidation type="list" allowBlank="1" showInputMessage="1" showErrorMessage="1" sqref="X21:X29 R31:R41 X3:X10 X65:X73 X75:X83 R53:R63 R85:R95 R97:R107 X12:X19 F3:F10 L12:L19 F31:F41 L43:L51 L65:L73 L75:L83 F53:F63 L85:L95 L97:L107 X43:X51 L3:L10 R21:R29 X31:X41 R43:R51 R65:R73 R75:R83 L53:L63 F85:F95 F97:F107 R12:R19 R3:R10 F21:F29 X109:X116 F43:F51 F65:F73 F75:F83 L31:L41 X97:X107 X53:X63 X85:X95 F12:F19 F109:F116 R109:R116 L109:L116 L21:L29" xr:uid="{00000000-0002-0000-0200-000001000000}">
      <formula1>"2024,2025"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Buquia</dc:creator>
  <cp:keywords/>
  <dc:description/>
  <cp:lastModifiedBy>LOYD ADRIAN DOROTEO</cp:lastModifiedBy>
  <cp:revision/>
  <dcterms:created xsi:type="dcterms:W3CDTF">2025-11-19T20:48:15Z</dcterms:created>
  <dcterms:modified xsi:type="dcterms:W3CDTF">2026-01-14T06:50:50Z</dcterms:modified>
  <cp:category/>
  <cp:contentStatus/>
</cp:coreProperties>
</file>