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7" documentId="13_ncr:1_{BFB59F67-F0DC-4675-A682-EB0734A8026A}" xr6:coauthVersionLast="47" xr6:coauthVersionMax="47" xr10:uidLastSave="{2820E343-D185-466A-809B-4459E7332A8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1" l="1"/>
  <c r="H99" i="1"/>
  <c r="G100" i="1"/>
  <c r="H100" i="1"/>
  <c r="P46" i="5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O3" i="4"/>
  <c r="N3" i="4"/>
  <c r="D3" i="4"/>
  <c r="H3" i="4" s="1"/>
  <c r="J3" i="4"/>
  <c r="V3" i="4"/>
  <c r="Z3" i="4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I42" i="5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<sst xmlns="http://schemas.openxmlformats.org/spreadsheetml/2006/main" count="353" uniqueCount="93">
  <si>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</si>
  <si>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</si>
  <si>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</si>
  <si>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</si>
  <si>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</si>
  <si>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</si>
  <si>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</si>
  <si>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</si>
  <si>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</si>
  <si>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</si>
  <si>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</si>
  <si>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</si>
  <si>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</si>
  <si>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</si>
  <si>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</si>
  <si>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</si>
  <si>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</si>
  <si>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</si>
  <si>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</si>
  <si>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</si>
  <si>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</si>
  <si>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</si>
  <si>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</si>
  <si>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</si>
  <si>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</si>
  <si>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</si>
  <si>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</si>
  <si>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</si>
  <si>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</si>
  <si>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</si>
  <si>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</si>
  <si>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</si>
  <si>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</si>
  <si>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Earth and Life Science</t>
  </si>
  <si>
    <t>Heritage (Understanding Culture, Society and Polotics)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</si>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</sst>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5"/>
      <color theme="1"/>
      <name val="Bookman Old Style"/>
    </font>
    <font>
      <sz val="11"/>
      <color rgb="FFFFFFFF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0" borderId="0" xfId="0" applyFont="1"/>
    <xf numFmtId="0" fontId="16" fillId="8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zoomScale="85" zoomScaleNormal="85" workbookViewId="0">
      <pane xSplit="2" topLeftCell="C1" activePane="topRight" state="frozen"/>
      <selection pane="topRight" activeCell="E2" activeCellId="10" sqref="E91:E100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0" max="10" width="17" customWidth="1"/>
    <col min="11" max="11" width="16" customWidth="1"/>
    <col min="12" max="12" width="15.42578125" customWidth="1"/>
    <col min="13" max="13" width="17.7109375" customWidth="1"/>
    <col min="14" max="14" width="14.5703125" customWidth="1"/>
  </cols>
  <sheetData>
    <row r="1" spans="1:15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42"/>
      <c r="K1" s="42"/>
      <c r="L1" s="42"/>
      <c r="M1" s="42"/>
      <c r="N1" s="42"/>
      <c r="O1" s="6"/>
    </row>
    <row r="2" spans="1:15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  <c r="J2" s="41"/>
      <c r="K2" s="41"/>
      <c r="L2" s="41"/>
      <c r="M2" s="41"/>
      <c r="N2" s="41"/>
    </row>
    <row r="3" spans="1:15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  <c r="J3" s="41"/>
      <c r="K3" s="41"/>
      <c r="L3" s="41"/>
      <c r="M3" s="41"/>
      <c r="N3" s="41"/>
    </row>
    <row r="4" spans="1:15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  <c r="J4" s="41"/>
      <c r="K4" s="41"/>
      <c r="L4" s="41"/>
      <c r="M4" s="41"/>
      <c r="N4" s="41"/>
    </row>
    <row r="5" spans="1:15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  <c r="J5" s="41"/>
      <c r="K5" s="41"/>
      <c r="L5" s="41"/>
      <c r="M5" s="41"/>
      <c r="N5" s="41"/>
    </row>
    <row r="6" spans="1:15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  <c r="J6" s="41"/>
      <c r="K6" s="41"/>
      <c r="L6" s="41"/>
      <c r="M6" s="41"/>
      <c r="N6" s="41"/>
    </row>
    <row r="7" spans="1:15" ht="19.5">
      <c r="C7" s="6"/>
      <c r="D7" s="6"/>
      <c r="E7" s="6"/>
      <c r="J7" s="41"/>
      <c r="K7" s="41"/>
      <c r="L7" s="41"/>
      <c r="M7" s="41"/>
      <c r="N7" s="41"/>
    </row>
    <row r="8" spans="1:15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  <c r="J8" s="41"/>
      <c r="K8" s="41"/>
      <c r="L8" s="41"/>
      <c r="M8" s="41"/>
      <c r="N8" s="41"/>
    </row>
    <row r="9" spans="1:15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  <c r="J9" s="41"/>
      <c r="K9" s="41"/>
      <c r="L9" s="41"/>
      <c r="M9" s="41"/>
      <c r="N9" s="41"/>
    </row>
    <row r="10" spans="1:15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  <c r="J10" s="41"/>
      <c r="K10" s="41"/>
      <c r="L10" s="41"/>
      <c r="M10" s="41"/>
      <c r="N10" s="41"/>
    </row>
    <row r="11" spans="1:15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  <c r="J11" s="41"/>
      <c r="K11" s="41"/>
      <c r="L11" s="41"/>
      <c r="M11" s="41"/>
      <c r="N11" s="41"/>
    </row>
    <row r="12" spans="1:15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  <c r="J12" s="41"/>
      <c r="K12" s="41"/>
      <c r="L12" s="41"/>
      <c r="M12" s="41"/>
      <c r="N12" s="41"/>
    </row>
    <row r="13" spans="1:15" ht="19.5">
      <c r="C13" s="6"/>
      <c r="D13" s="6"/>
      <c r="E13" s="6"/>
      <c r="J13" s="41"/>
      <c r="K13" s="41"/>
      <c r="L13" s="41"/>
      <c r="M13" s="41"/>
      <c r="N13" s="41"/>
    </row>
    <row r="14" spans="1:15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  <c r="J14" s="41"/>
      <c r="K14" s="41"/>
      <c r="L14" s="41"/>
      <c r="M14" s="41"/>
      <c r="N14" s="41"/>
    </row>
    <row r="15" spans="1:15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  <c r="J15" s="41"/>
      <c r="K15" s="41"/>
      <c r="L15" s="41"/>
      <c r="M15" s="41"/>
      <c r="N15" s="41"/>
    </row>
    <row r="16" spans="1:15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  <c r="J16" s="41"/>
      <c r="K16" s="41"/>
      <c r="L16" s="41"/>
      <c r="M16" s="41"/>
      <c r="N16" s="41"/>
    </row>
    <row r="17" spans="1:14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  <c r="J17" s="41"/>
      <c r="K17" s="41"/>
      <c r="L17" s="41"/>
      <c r="M17" s="41"/>
      <c r="N17" s="41"/>
    </row>
    <row r="18" spans="1:14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  <c r="J18" s="41"/>
      <c r="K18" s="41"/>
      <c r="L18" s="41"/>
      <c r="M18" s="41"/>
      <c r="N18" s="41"/>
    </row>
    <row r="19" spans="1:14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  <c r="J19" s="41"/>
      <c r="K19" s="41"/>
      <c r="L19" s="41"/>
      <c r="M19" s="41"/>
      <c r="N19" s="41"/>
    </row>
    <row r="20" spans="1:14" ht="19.5">
      <c r="A20" s="7"/>
      <c r="B20" s="7"/>
      <c r="C20" s="8"/>
      <c r="D20" s="8"/>
      <c r="E20" s="8"/>
      <c r="F20" s="7"/>
      <c r="G20" s="7"/>
      <c r="H20" s="7"/>
      <c r="J20" s="41"/>
      <c r="K20" s="41"/>
      <c r="L20" s="41"/>
      <c r="M20" s="41"/>
      <c r="N20" s="41"/>
    </row>
    <row r="21" spans="1:14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  <c r="J21" s="41"/>
      <c r="K21" s="41"/>
      <c r="L21" s="41"/>
      <c r="M21" s="41"/>
      <c r="N21" s="41"/>
    </row>
    <row r="22" spans="1:14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  <c r="J22" s="41"/>
      <c r="K22" s="41"/>
      <c r="L22" s="41"/>
      <c r="M22" s="41"/>
      <c r="N22" s="41"/>
    </row>
    <row r="23" spans="1:14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  <c r="J23" s="41"/>
      <c r="K23" s="41"/>
      <c r="L23" s="41"/>
      <c r="M23" s="41"/>
      <c r="N23" s="41"/>
    </row>
    <row r="24" spans="1:14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  <c r="J24" s="41"/>
      <c r="K24" s="41"/>
      <c r="L24" s="41"/>
      <c r="M24" s="41"/>
      <c r="N24" s="41"/>
    </row>
    <row r="25" spans="1:14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  <c r="J25" s="41"/>
      <c r="K25" s="41"/>
      <c r="L25" s="41"/>
      <c r="M25" s="41"/>
      <c r="N25" s="41"/>
    </row>
    <row r="26" spans="1:14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  <c r="J26" s="41"/>
      <c r="K26" s="41"/>
      <c r="L26" s="41"/>
      <c r="M26" s="41"/>
      <c r="N26" s="41"/>
    </row>
    <row r="27" spans="1:14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  <c r="J27" s="41"/>
      <c r="K27" s="41"/>
      <c r="L27" s="41"/>
      <c r="M27" s="41"/>
      <c r="N27" s="41"/>
    </row>
    <row r="28" spans="1:14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  <c r="J28" s="41"/>
      <c r="K28" s="41"/>
      <c r="L28" s="41"/>
      <c r="M28" s="41"/>
      <c r="N28" s="41"/>
    </row>
    <row r="29" spans="1:14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  <c r="J29" s="41"/>
      <c r="K29" s="41"/>
      <c r="L29" s="41"/>
      <c r="M29" s="41"/>
      <c r="N29" s="41"/>
    </row>
    <row r="30" spans="1:14" ht="27.75" customHeight="1">
      <c r="A30" s="7"/>
      <c r="B30" s="7"/>
      <c r="C30" s="8"/>
      <c r="D30" s="8"/>
      <c r="E30" s="8"/>
      <c r="F30" s="7"/>
      <c r="G30" s="7"/>
      <c r="H30" s="7"/>
      <c r="J30" s="41"/>
      <c r="K30" s="41"/>
      <c r="L30" s="41"/>
      <c r="M30" s="41"/>
      <c r="N30" s="41"/>
    </row>
    <row r="31" spans="1:14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  <c r="J31" s="41"/>
      <c r="K31" s="41"/>
      <c r="L31" s="41"/>
      <c r="M31" s="41"/>
      <c r="N31" s="41"/>
    </row>
    <row r="32" spans="1:14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  <c r="J32" s="41"/>
      <c r="K32" s="41"/>
      <c r="L32" s="41"/>
      <c r="M32" s="41"/>
      <c r="N32" s="41"/>
    </row>
    <row r="33" spans="1:14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  <c r="J33" s="41"/>
      <c r="K33" s="41"/>
      <c r="L33" s="41"/>
      <c r="M33" s="41"/>
      <c r="N33" s="41"/>
    </row>
    <row r="34" spans="1:14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  <c r="J34" s="41"/>
      <c r="K34" s="41"/>
      <c r="L34" s="41"/>
      <c r="M34" s="41"/>
      <c r="N34" s="41"/>
    </row>
    <row r="35" spans="1:14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  <c r="J35" s="41"/>
      <c r="K35" s="41"/>
      <c r="L35" s="41"/>
      <c r="M35" s="41"/>
      <c r="N35" s="41"/>
    </row>
    <row r="36" spans="1:14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  <c r="J36" s="41"/>
      <c r="K36" s="41"/>
      <c r="L36" s="41"/>
      <c r="M36" s="41"/>
      <c r="N36" s="41"/>
    </row>
    <row r="37" spans="1:14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  <c r="J37" s="41"/>
      <c r="K37" s="41"/>
      <c r="L37" s="41"/>
      <c r="M37" s="41"/>
      <c r="N37" s="41"/>
    </row>
    <row r="38" spans="1:14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  <c r="J38" s="41"/>
      <c r="K38" s="41"/>
      <c r="L38" s="41"/>
      <c r="M38" s="41"/>
      <c r="N38" s="41"/>
    </row>
    <row r="39" spans="1:14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  <c r="J39" s="41"/>
      <c r="K39" s="41"/>
      <c r="L39" s="41"/>
      <c r="M39" s="41"/>
      <c r="N39" s="41"/>
    </row>
    <row r="40" spans="1:14" ht="27.75" customHeight="1">
      <c r="A40" s="7"/>
      <c r="B40" s="7"/>
      <c r="C40" s="8"/>
      <c r="D40" s="8"/>
      <c r="E40" s="8"/>
      <c r="F40" s="7"/>
      <c r="G40" s="7"/>
      <c r="H40" s="7"/>
      <c r="J40" s="41"/>
      <c r="K40" s="41"/>
      <c r="L40" s="41"/>
      <c r="M40" s="41"/>
      <c r="N40" s="41"/>
    </row>
    <row r="41" spans="1:14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  <c r="J41" s="41"/>
      <c r="K41" s="41"/>
      <c r="L41" s="41"/>
      <c r="M41" s="41"/>
      <c r="N41" s="41"/>
    </row>
    <row r="42" spans="1:14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  <c r="J42" s="41"/>
      <c r="K42" s="41"/>
      <c r="L42" s="41"/>
      <c r="M42" s="41"/>
      <c r="N42" s="41"/>
    </row>
    <row r="43" spans="1:14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  <c r="J43" s="41"/>
      <c r="K43" s="41"/>
      <c r="L43" s="41"/>
      <c r="M43" s="41"/>
      <c r="N43" s="41"/>
    </row>
    <row r="44" spans="1:14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  <c r="J44" s="41"/>
      <c r="K44" s="41"/>
      <c r="L44" s="41"/>
      <c r="M44" s="41"/>
      <c r="N44" s="41"/>
    </row>
    <row r="45" spans="1:14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  <c r="J45" s="41"/>
      <c r="K45" s="41"/>
      <c r="L45" s="41"/>
      <c r="M45" s="41"/>
      <c r="N45" s="41"/>
    </row>
    <row r="46" spans="1:14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  <c r="J46" s="41"/>
      <c r="K46" s="41"/>
      <c r="L46" s="41"/>
      <c r="M46" s="41"/>
      <c r="N46" s="41"/>
    </row>
    <row r="47" spans="1:14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  <c r="J47" s="41"/>
      <c r="K47" s="41"/>
      <c r="L47" s="41"/>
      <c r="M47" s="41"/>
      <c r="N47" s="41"/>
    </row>
    <row r="48" spans="1:14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  <c r="J48" s="41"/>
      <c r="K48" s="41"/>
      <c r="L48" s="41"/>
      <c r="M48" s="41"/>
      <c r="N48" s="41"/>
    </row>
    <row r="49" spans="1:14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  <c r="J49" s="41"/>
      <c r="K49" s="41"/>
      <c r="L49" s="41"/>
      <c r="M49" s="41"/>
      <c r="N49" s="41"/>
    </row>
    <row r="50" spans="1:14" ht="27.75" customHeight="1">
      <c r="A50" s="7"/>
      <c r="B50" s="7"/>
      <c r="C50" s="8"/>
      <c r="D50" s="8"/>
      <c r="E50" s="8"/>
      <c r="F50" s="7"/>
      <c r="G50" s="7"/>
      <c r="H50" s="7"/>
      <c r="J50" s="41"/>
      <c r="K50" s="41"/>
      <c r="L50" s="41"/>
      <c r="M50" s="41"/>
      <c r="N50" s="41"/>
    </row>
    <row r="51" spans="1:14" ht="27.75" customHeight="1">
      <c r="A51" s="10">
        <v>7</v>
      </c>
      <c r="B51" s="11" t="s">
        <v>14</v>
      </c>
      <c r="C51" s="10"/>
      <c r="D51" s="10">
        <v>924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924</v>
      </c>
      <c r="J51" s="41"/>
      <c r="K51" s="41"/>
      <c r="L51" s="41"/>
      <c r="M51" s="41"/>
      <c r="N51" s="41"/>
    </row>
    <row r="52" spans="1:14" ht="27.75" customHeight="1">
      <c r="A52" s="10">
        <v>7</v>
      </c>
      <c r="B52" s="11" t="s">
        <v>15</v>
      </c>
      <c r="C52" s="10"/>
      <c r="D52" s="10">
        <v>0</v>
      </c>
      <c r="E52" s="10"/>
      <c r="F52" s="12"/>
      <c r="G52" s="3">
        <f t="shared" si="10"/>
        <v>0</v>
      </c>
      <c r="H52" s="4">
        <f t="shared" si="11"/>
        <v>0</v>
      </c>
      <c r="J52" s="41"/>
      <c r="K52" s="41"/>
      <c r="L52" s="41"/>
      <c r="M52" s="41"/>
      <c r="N52" s="41"/>
    </row>
    <row r="53" spans="1:14" ht="27.75" customHeight="1">
      <c r="A53" s="10">
        <v>7</v>
      </c>
      <c r="B53" s="11" t="s">
        <v>12</v>
      </c>
      <c r="C53" s="10"/>
      <c r="D53" s="10">
        <v>924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924</v>
      </c>
      <c r="J53" s="41"/>
      <c r="K53" s="41"/>
      <c r="L53" s="41"/>
      <c r="M53" s="41"/>
      <c r="N53" s="41"/>
    </row>
    <row r="54" spans="1:14" ht="27.75" customHeight="1">
      <c r="A54" s="10">
        <v>7</v>
      </c>
      <c r="B54" s="11" t="s">
        <v>21</v>
      </c>
      <c r="C54" s="10"/>
      <c r="D54" s="10">
        <v>0</v>
      </c>
      <c r="E54" s="10"/>
      <c r="F54" s="12"/>
      <c r="G54" s="3">
        <f t="shared" si="10"/>
        <v>0</v>
      </c>
      <c r="H54" s="4">
        <f t="shared" si="11"/>
        <v>0</v>
      </c>
      <c r="J54" s="41"/>
      <c r="K54" s="41"/>
      <c r="L54" s="41"/>
      <c r="M54" s="41"/>
      <c r="N54" s="41"/>
    </row>
    <row r="55" spans="1:14" ht="39" customHeight="1">
      <c r="A55" s="10">
        <v>7</v>
      </c>
      <c r="B55" s="11" t="s">
        <v>16</v>
      </c>
      <c r="C55" s="10"/>
      <c r="D55" s="10">
        <v>924</v>
      </c>
      <c r="E55" s="10">
        <v>2024</v>
      </c>
      <c r="F55" s="12" t="s">
        <v>20</v>
      </c>
      <c r="G55" s="3">
        <f t="shared" si="10"/>
        <v>0</v>
      </c>
      <c r="H55" s="4">
        <f t="shared" si="11"/>
        <v>924</v>
      </c>
      <c r="J55" s="41"/>
      <c r="K55" s="41"/>
      <c r="L55" s="41"/>
      <c r="M55" s="41"/>
      <c r="N55" s="41"/>
    </row>
    <row r="56" spans="1:14" ht="27.75" customHeight="1">
      <c r="A56" s="10">
        <v>7</v>
      </c>
      <c r="B56" s="11" t="s">
        <v>13</v>
      </c>
      <c r="C56" s="10"/>
      <c r="D56" s="10">
        <v>924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924</v>
      </c>
      <c r="J56" s="41"/>
      <c r="K56" s="41"/>
      <c r="L56" s="41"/>
      <c r="M56" s="41"/>
      <c r="N56" s="41"/>
    </row>
    <row r="57" spans="1:14" ht="27.75" customHeight="1">
      <c r="A57" s="10">
        <v>7</v>
      </c>
      <c r="B57" s="11" t="s">
        <v>17</v>
      </c>
      <c r="C57" s="10"/>
      <c r="D57" s="10">
        <v>924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924</v>
      </c>
      <c r="J57" s="41"/>
      <c r="K57" s="41"/>
      <c r="L57" s="41"/>
      <c r="M57" s="41"/>
      <c r="N57" s="41"/>
    </row>
    <row r="58" spans="1:14" ht="27.75" customHeight="1">
      <c r="A58" s="10">
        <v>7</v>
      </c>
      <c r="B58" s="11" t="s">
        <v>22</v>
      </c>
      <c r="C58" s="10"/>
      <c r="D58" s="10">
        <v>924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924</v>
      </c>
      <c r="J58" s="41"/>
      <c r="K58" s="41"/>
      <c r="L58" s="41"/>
      <c r="M58" s="41"/>
      <c r="N58" s="41"/>
    </row>
    <row r="59" spans="1:14" ht="27.75" customHeight="1">
      <c r="A59" s="10">
        <v>7</v>
      </c>
      <c r="B59" s="11" t="s">
        <v>19</v>
      </c>
      <c r="C59" s="10"/>
      <c r="D59" s="10">
        <v>924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924</v>
      </c>
      <c r="J59" s="41"/>
      <c r="K59" s="41"/>
      <c r="L59" s="41"/>
      <c r="M59" s="41"/>
      <c r="N59" s="41"/>
    </row>
    <row r="60" spans="1:14" ht="27.75" customHeight="1">
      <c r="A60" s="7"/>
      <c r="B60" s="7"/>
      <c r="C60" s="8"/>
      <c r="D60" s="8"/>
      <c r="E60" s="8"/>
      <c r="F60" s="7"/>
      <c r="G60" s="7"/>
      <c r="H60" s="7"/>
      <c r="J60" s="41"/>
      <c r="K60" s="41"/>
      <c r="L60" s="41"/>
      <c r="M60" s="41"/>
      <c r="N60" s="41"/>
    </row>
    <row r="61" spans="1:14" ht="27.75" customHeight="1">
      <c r="A61" s="10">
        <v>8</v>
      </c>
      <c r="B61" s="11" t="s">
        <v>14</v>
      </c>
      <c r="C61" s="10"/>
      <c r="D61" s="10">
        <v>0</v>
      </c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  <c r="J61" s="41"/>
      <c r="K61" s="41"/>
      <c r="L61" s="41"/>
      <c r="M61" s="41"/>
      <c r="N61" s="41"/>
    </row>
    <row r="62" spans="1:14" ht="27.75" customHeight="1">
      <c r="A62" s="10">
        <v>8</v>
      </c>
      <c r="B62" s="11" t="s">
        <v>15</v>
      </c>
      <c r="C62" s="10"/>
      <c r="D62" s="10">
        <v>0</v>
      </c>
      <c r="E62" s="10"/>
      <c r="F62" s="12"/>
      <c r="G62" s="3">
        <f t="shared" si="12"/>
        <v>0</v>
      </c>
      <c r="H62" s="4">
        <f t="shared" si="13"/>
        <v>0</v>
      </c>
      <c r="J62" s="41"/>
      <c r="K62" s="41"/>
      <c r="L62" s="41"/>
      <c r="M62" s="41"/>
      <c r="N62" s="41"/>
    </row>
    <row r="63" spans="1:14" ht="27.75" customHeight="1">
      <c r="A63" s="10">
        <v>8</v>
      </c>
      <c r="B63" s="11" t="s">
        <v>12</v>
      </c>
      <c r="C63" s="10"/>
      <c r="D63" s="10">
        <v>738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738</v>
      </c>
      <c r="J63" s="41"/>
      <c r="K63" s="41"/>
      <c r="L63" s="41"/>
      <c r="M63" s="41"/>
      <c r="N63" s="41"/>
    </row>
    <row r="64" spans="1:14" ht="27.75" customHeight="1">
      <c r="A64" s="10">
        <v>8</v>
      </c>
      <c r="B64" s="11" t="s">
        <v>21</v>
      </c>
      <c r="C64" s="10"/>
      <c r="D64" s="10">
        <v>738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738</v>
      </c>
      <c r="J64" s="41"/>
      <c r="K64" s="41"/>
      <c r="L64" s="41"/>
      <c r="M64" s="41"/>
      <c r="N64" s="41"/>
    </row>
    <row r="65" spans="1:14" ht="27.75" customHeight="1">
      <c r="A65" s="10">
        <v>8</v>
      </c>
      <c r="B65" s="11" t="s">
        <v>23</v>
      </c>
      <c r="C65" s="10"/>
      <c r="D65" s="10">
        <v>0</v>
      </c>
      <c r="E65" s="10"/>
      <c r="F65" s="12"/>
      <c r="G65" s="3">
        <f t="shared" si="12"/>
        <v>0</v>
      </c>
      <c r="H65" s="4">
        <f t="shared" si="13"/>
        <v>0</v>
      </c>
      <c r="J65" s="41"/>
      <c r="K65" s="41"/>
      <c r="L65" s="41"/>
      <c r="M65" s="41"/>
      <c r="N65" s="41"/>
    </row>
    <row r="66" spans="1:14" ht="27.75" customHeight="1">
      <c r="A66" s="10">
        <v>8</v>
      </c>
      <c r="B66" s="11" t="s">
        <v>13</v>
      </c>
      <c r="C66" s="10"/>
      <c r="D66" s="10">
        <v>0</v>
      </c>
      <c r="E66" s="10"/>
      <c r="F66" s="12"/>
      <c r="G66" s="3">
        <f t="shared" si="12"/>
        <v>0</v>
      </c>
      <c r="H66" s="4">
        <f t="shared" si="13"/>
        <v>0</v>
      </c>
      <c r="J66" s="41"/>
      <c r="K66" s="41"/>
      <c r="L66" s="41"/>
      <c r="M66" s="41"/>
      <c r="N66" s="41"/>
    </row>
    <row r="67" spans="1:14" ht="27.75" customHeight="1">
      <c r="A67" s="10">
        <v>8</v>
      </c>
      <c r="B67" s="11" t="s">
        <v>17</v>
      </c>
      <c r="C67" s="10"/>
      <c r="D67" s="10">
        <v>0</v>
      </c>
      <c r="E67" s="10"/>
      <c r="F67" s="12"/>
      <c r="G67" s="3">
        <f t="shared" si="12"/>
        <v>0</v>
      </c>
      <c r="H67" s="4">
        <f t="shared" si="13"/>
        <v>0</v>
      </c>
      <c r="J67" s="41"/>
      <c r="K67" s="41"/>
      <c r="L67" s="41"/>
      <c r="M67" s="41"/>
      <c r="N67" s="41"/>
    </row>
    <row r="68" spans="1:14" ht="27.75" customHeight="1">
      <c r="A68" s="10">
        <v>8</v>
      </c>
      <c r="B68" s="11" t="s">
        <v>22</v>
      </c>
      <c r="C68" s="10"/>
      <c r="D68" s="10">
        <v>0</v>
      </c>
      <c r="E68" s="10"/>
      <c r="F68" s="12"/>
      <c r="G68" s="3">
        <f t="shared" si="12"/>
        <v>0</v>
      </c>
      <c r="H68" s="4">
        <f t="shared" si="13"/>
        <v>0</v>
      </c>
      <c r="J68" s="41"/>
      <c r="K68" s="41"/>
      <c r="L68" s="41"/>
      <c r="M68" s="41"/>
      <c r="N68" s="41"/>
    </row>
    <row r="69" spans="1:14" ht="27.75" customHeight="1">
      <c r="A69" s="10">
        <v>8</v>
      </c>
      <c r="B69" s="11" t="s">
        <v>19</v>
      </c>
      <c r="C69" s="10"/>
      <c r="D69" s="10">
        <v>0</v>
      </c>
      <c r="E69" s="10"/>
      <c r="F69" s="12"/>
      <c r="G69" s="3">
        <f t="shared" si="12"/>
        <v>0</v>
      </c>
      <c r="H69" s="4">
        <f t="shared" si="13"/>
        <v>0</v>
      </c>
      <c r="J69" s="41"/>
      <c r="K69" s="41"/>
      <c r="L69" s="41"/>
      <c r="M69" s="41"/>
      <c r="N69" s="41"/>
    </row>
    <row r="70" spans="1:14" ht="27.75" customHeight="1">
      <c r="A70" s="7"/>
      <c r="B70" s="7"/>
      <c r="C70" s="8"/>
      <c r="D70" s="8"/>
      <c r="E70" s="8"/>
      <c r="F70" s="7"/>
      <c r="G70" s="7"/>
      <c r="H70" s="7"/>
      <c r="J70" s="41"/>
      <c r="K70" s="41"/>
      <c r="L70" s="41"/>
      <c r="M70" s="41"/>
      <c r="N70" s="41"/>
    </row>
    <row r="71" spans="1:14" ht="27.75" customHeight="1">
      <c r="A71" s="10">
        <v>9</v>
      </c>
      <c r="B71" s="11" t="s">
        <v>14</v>
      </c>
      <c r="C71" s="10"/>
      <c r="D71" s="10">
        <v>0</v>
      </c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  <c r="J71" s="41"/>
      <c r="K71" s="41"/>
      <c r="L71" s="41"/>
      <c r="M71" s="41"/>
      <c r="N71" s="41"/>
    </row>
    <row r="72" spans="1:14" ht="27.75" customHeight="1">
      <c r="A72" s="10">
        <v>9</v>
      </c>
      <c r="B72" s="11" t="s">
        <v>15</v>
      </c>
      <c r="C72" s="10"/>
      <c r="D72" s="10">
        <v>0</v>
      </c>
      <c r="E72" s="10"/>
      <c r="F72" s="12"/>
      <c r="G72" s="3">
        <f t="shared" si="14"/>
        <v>0</v>
      </c>
      <c r="H72" s="4">
        <f t="shared" si="15"/>
        <v>0</v>
      </c>
      <c r="J72" s="41"/>
      <c r="K72" s="41"/>
      <c r="L72" s="41"/>
      <c r="M72" s="41"/>
      <c r="N72" s="41"/>
    </row>
    <row r="73" spans="1:14" ht="27.75" customHeight="1">
      <c r="A73" s="10">
        <v>9</v>
      </c>
      <c r="B73" s="11" t="s">
        <v>12</v>
      </c>
      <c r="C73" s="10"/>
      <c r="D73" s="10">
        <v>0</v>
      </c>
      <c r="E73" s="10"/>
      <c r="F73" s="12"/>
      <c r="G73" s="3">
        <f t="shared" si="14"/>
        <v>0</v>
      </c>
      <c r="H73" s="4">
        <f t="shared" si="15"/>
        <v>0</v>
      </c>
      <c r="J73" s="41"/>
      <c r="K73" s="41"/>
      <c r="L73" s="41"/>
      <c r="M73" s="41"/>
      <c r="N73" s="41"/>
    </row>
    <row r="74" spans="1:14" ht="27.75" customHeight="1">
      <c r="A74" s="10">
        <v>9</v>
      </c>
      <c r="B74" s="11" t="s">
        <v>21</v>
      </c>
      <c r="C74" s="10"/>
      <c r="D74" s="10">
        <v>0</v>
      </c>
      <c r="E74" s="10"/>
      <c r="F74" s="12"/>
      <c r="G74" s="3">
        <f t="shared" si="14"/>
        <v>0</v>
      </c>
      <c r="H74" s="4">
        <f t="shared" si="15"/>
        <v>0</v>
      </c>
      <c r="J74" s="41"/>
      <c r="K74" s="41"/>
      <c r="L74" s="41"/>
      <c r="M74" s="41"/>
      <c r="N74" s="41"/>
    </row>
    <row r="75" spans="1:14" ht="27.75" customHeight="1">
      <c r="A75" s="10">
        <v>9</v>
      </c>
      <c r="B75" s="11" t="s">
        <v>23</v>
      </c>
      <c r="C75" s="10"/>
      <c r="D75" s="10">
        <v>0</v>
      </c>
      <c r="E75" s="10"/>
      <c r="F75" s="12"/>
      <c r="G75" s="3">
        <f t="shared" si="14"/>
        <v>0</v>
      </c>
      <c r="H75" s="4">
        <f t="shared" si="15"/>
        <v>0</v>
      </c>
      <c r="J75" s="41"/>
      <c r="K75" s="41"/>
      <c r="L75" s="41"/>
      <c r="M75" s="41"/>
      <c r="N75" s="41"/>
    </row>
    <row r="76" spans="1:14" ht="27.75" customHeight="1">
      <c r="A76" s="10">
        <v>9</v>
      </c>
      <c r="B76" s="11" t="s">
        <v>13</v>
      </c>
      <c r="C76" s="10"/>
      <c r="D76" s="10">
        <v>0</v>
      </c>
      <c r="E76" s="10"/>
      <c r="F76" s="12"/>
      <c r="G76" s="3">
        <f t="shared" si="14"/>
        <v>0</v>
      </c>
      <c r="H76" s="4">
        <f t="shared" si="15"/>
        <v>0</v>
      </c>
      <c r="J76" s="41"/>
      <c r="K76" s="41"/>
      <c r="L76" s="41"/>
      <c r="M76" s="41"/>
      <c r="N76" s="41"/>
    </row>
    <row r="77" spans="1:14" ht="27.75" customHeight="1">
      <c r="A77" s="10">
        <v>9</v>
      </c>
      <c r="B77" s="11" t="s">
        <v>17</v>
      </c>
      <c r="C77" s="10"/>
      <c r="D77" s="10">
        <v>0</v>
      </c>
      <c r="E77" s="10"/>
      <c r="F77" s="12"/>
      <c r="G77" s="3">
        <f t="shared" si="14"/>
        <v>0</v>
      </c>
      <c r="H77" s="4">
        <f t="shared" si="15"/>
        <v>0</v>
      </c>
      <c r="J77" s="41"/>
      <c r="K77" s="41"/>
      <c r="L77" s="41"/>
      <c r="M77" s="41"/>
      <c r="N77" s="41"/>
    </row>
    <row r="78" spans="1:14" ht="27.75" customHeight="1">
      <c r="A78" s="10">
        <v>9</v>
      </c>
      <c r="B78" s="11" t="s">
        <v>22</v>
      </c>
      <c r="C78" s="10"/>
      <c r="D78" s="10">
        <v>0</v>
      </c>
      <c r="E78" s="10"/>
      <c r="F78" s="12"/>
      <c r="G78" s="3">
        <f t="shared" si="14"/>
        <v>0</v>
      </c>
      <c r="H78" s="4">
        <f t="shared" si="15"/>
        <v>0</v>
      </c>
      <c r="J78" s="41"/>
      <c r="K78" s="41"/>
      <c r="L78" s="41"/>
      <c r="M78" s="41"/>
      <c r="N78" s="41"/>
    </row>
    <row r="79" spans="1:14" ht="27.75" customHeight="1">
      <c r="A79" s="10">
        <v>9</v>
      </c>
      <c r="B79" s="11" t="s">
        <v>19</v>
      </c>
      <c r="C79" s="10"/>
      <c r="D79" s="10">
        <v>0</v>
      </c>
      <c r="E79" s="10"/>
      <c r="F79" s="12"/>
      <c r="G79" s="3">
        <f t="shared" si="14"/>
        <v>0</v>
      </c>
      <c r="H79" s="4">
        <f t="shared" si="15"/>
        <v>0</v>
      </c>
      <c r="J79" s="41"/>
      <c r="K79" s="41"/>
      <c r="L79" s="41"/>
      <c r="M79" s="41"/>
      <c r="N79" s="41"/>
    </row>
    <row r="80" spans="1:14" ht="27.75" customHeight="1">
      <c r="A80" s="7"/>
      <c r="B80" s="8"/>
      <c r="C80" s="8"/>
      <c r="D80" s="8"/>
      <c r="E80" s="8"/>
      <c r="F80" s="7"/>
      <c r="G80" s="7"/>
      <c r="H80" s="7"/>
      <c r="J80" s="41"/>
      <c r="K80" s="41"/>
      <c r="L80" s="41"/>
      <c r="M80" s="41"/>
      <c r="N80" s="41"/>
    </row>
    <row r="81" spans="1:14" ht="27.75" customHeight="1">
      <c r="A81" s="10">
        <v>10</v>
      </c>
      <c r="B81" s="11" t="s">
        <v>14</v>
      </c>
      <c r="C81" s="10"/>
      <c r="D81" s="10">
        <v>0</v>
      </c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  <c r="J81" s="41"/>
      <c r="K81" s="41"/>
      <c r="L81" s="41"/>
      <c r="M81" s="41"/>
      <c r="N81" s="41"/>
    </row>
    <row r="82" spans="1:14" ht="27.75" customHeight="1">
      <c r="A82" s="10">
        <v>10</v>
      </c>
      <c r="B82" s="11" t="s">
        <v>15</v>
      </c>
      <c r="C82" s="10"/>
      <c r="D82" s="10">
        <v>0</v>
      </c>
      <c r="E82" s="10"/>
      <c r="F82" s="12"/>
      <c r="G82" s="3">
        <f t="shared" si="16"/>
        <v>0</v>
      </c>
      <c r="H82" s="4">
        <f t="shared" si="17"/>
        <v>0</v>
      </c>
      <c r="J82" s="41"/>
      <c r="K82" s="41"/>
      <c r="L82" s="41"/>
      <c r="M82" s="41"/>
      <c r="N82" s="41"/>
    </row>
    <row r="83" spans="1:14" ht="27.75" customHeight="1">
      <c r="A83" s="10">
        <v>10</v>
      </c>
      <c r="B83" s="11" t="s">
        <v>12</v>
      </c>
      <c r="C83" s="10"/>
      <c r="D83" s="10">
        <v>0</v>
      </c>
      <c r="E83" s="10"/>
      <c r="F83" s="12"/>
      <c r="G83" s="3">
        <f t="shared" si="16"/>
        <v>0</v>
      </c>
      <c r="H83" s="4">
        <f t="shared" si="17"/>
        <v>0</v>
      </c>
      <c r="J83" s="41"/>
      <c r="K83" s="41"/>
      <c r="L83" s="41"/>
      <c r="M83" s="41"/>
      <c r="N83" s="41"/>
    </row>
    <row r="84" spans="1:14" ht="27.75" customHeight="1">
      <c r="A84" s="10">
        <v>10</v>
      </c>
      <c r="B84" s="11" t="s">
        <v>21</v>
      </c>
      <c r="C84" s="10"/>
      <c r="D84" s="10">
        <v>0</v>
      </c>
      <c r="E84" s="10"/>
      <c r="F84" s="12"/>
      <c r="G84" s="3">
        <f t="shared" si="16"/>
        <v>0</v>
      </c>
      <c r="H84" s="4">
        <f t="shared" si="17"/>
        <v>0</v>
      </c>
      <c r="J84" s="41"/>
      <c r="K84" s="41"/>
      <c r="L84" s="41"/>
      <c r="M84" s="41"/>
      <c r="N84" s="41"/>
    </row>
    <row r="85" spans="1:14" ht="27.75" customHeight="1">
      <c r="A85" s="10">
        <v>10</v>
      </c>
      <c r="B85" s="11" t="s">
        <v>23</v>
      </c>
      <c r="C85" s="10"/>
      <c r="D85" s="10">
        <v>0</v>
      </c>
      <c r="E85" s="10"/>
      <c r="F85" s="12"/>
      <c r="G85" s="3">
        <f t="shared" si="16"/>
        <v>0</v>
      </c>
      <c r="H85" s="4">
        <f t="shared" si="17"/>
        <v>0</v>
      </c>
      <c r="J85" s="41"/>
      <c r="K85" s="41"/>
      <c r="L85" s="41"/>
      <c r="M85" s="41"/>
      <c r="N85" s="41"/>
    </row>
    <row r="86" spans="1:14" ht="27.75" customHeight="1">
      <c r="A86" s="10">
        <v>10</v>
      </c>
      <c r="B86" s="11" t="s">
        <v>13</v>
      </c>
      <c r="C86" s="10"/>
      <c r="D86" s="10">
        <v>0</v>
      </c>
      <c r="E86" s="10"/>
      <c r="F86" s="12"/>
      <c r="G86" s="3">
        <f t="shared" si="16"/>
        <v>0</v>
      </c>
      <c r="H86" s="4">
        <f t="shared" si="17"/>
        <v>0</v>
      </c>
      <c r="J86" s="41"/>
      <c r="K86" s="41"/>
      <c r="L86" s="41"/>
      <c r="M86" s="41"/>
      <c r="N86" s="41"/>
    </row>
    <row r="87" spans="1:14" ht="27.75" customHeight="1">
      <c r="A87" s="10">
        <v>10</v>
      </c>
      <c r="B87" s="11" t="s">
        <v>17</v>
      </c>
      <c r="C87" s="10"/>
      <c r="D87" s="10">
        <v>0</v>
      </c>
      <c r="E87" s="10"/>
      <c r="F87" s="12"/>
      <c r="G87" s="3">
        <f t="shared" si="16"/>
        <v>0</v>
      </c>
      <c r="H87" s="4">
        <f t="shared" si="17"/>
        <v>0</v>
      </c>
      <c r="J87" s="41"/>
      <c r="K87" s="41"/>
      <c r="L87" s="41"/>
      <c r="M87" s="41"/>
      <c r="N87" s="41"/>
    </row>
    <row r="88" spans="1:14" ht="27.75" customHeight="1">
      <c r="A88" s="10">
        <v>10</v>
      </c>
      <c r="B88" s="11" t="s">
        <v>22</v>
      </c>
      <c r="C88" s="10"/>
      <c r="D88" s="10">
        <v>0</v>
      </c>
      <c r="E88" s="10"/>
      <c r="F88" s="12"/>
      <c r="G88" s="3">
        <f t="shared" si="16"/>
        <v>0</v>
      </c>
      <c r="H88" s="4">
        <f t="shared" si="17"/>
        <v>0</v>
      </c>
      <c r="J88" s="41"/>
      <c r="K88" s="41"/>
      <c r="L88" s="41"/>
      <c r="M88" s="41"/>
      <c r="N88" s="41"/>
    </row>
    <row r="89" spans="1:14" ht="27.75" customHeight="1">
      <c r="A89" s="10">
        <v>10</v>
      </c>
      <c r="B89" s="11" t="s">
        <v>19</v>
      </c>
      <c r="C89" s="10"/>
      <c r="D89" s="10">
        <v>0</v>
      </c>
      <c r="E89" s="10"/>
      <c r="F89" s="12"/>
      <c r="G89" s="3">
        <f t="shared" si="16"/>
        <v>0</v>
      </c>
      <c r="H89" s="4">
        <f t="shared" si="17"/>
        <v>0</v>
      </c>
      <c r="J89" s="41"/>
      <c r="K89" s="41"/>
      <c r="L89" s="41"/>
      <c r="M89" s="41"/>
      <c r="N89" s="41"/>
    </row>
    <row r="90" spans="1:14" ht="27.75" customHeight="1">
      <c r="A90" s="7"/>
      <c r="B90" s="7"/>
      <c r="C90" s="8"/>
      <c r="D90" s="8"/>
      <c r="E90" s="8"/>
      <c r="F90" s="7"/>
      <c r="G90" s="7"/>
      <c r="H90" s="7"/>
      <c r="J90" s="41"/>
      <c r="K90" s="41"/>
      <c r="L90" s="41"/>
      <c r="M90" s="41"/>
      <c r="N90" s="41"/>
    </row>
    <row r="91" spans="1:14" ht="39.75" customHeight="1">
      <c r="A91" s="1" t="s">
        <v>24</v>
      </c>
      <c r="B91" s="9" t="s">
        <v>25</v>
      </c>
      <c r="C91" s="1"/>
      <c r="D91" s="1">
        <v>130</v>
      </c>
      <c r="E91" s="1">
        <v>2024</v>
      </c>
      <c r="F91" s="5" t="s">
        <v>20</v>
      </c>
      <c r="G91" s="3">
        <f t="shared" ref="G91:G97" si="18">IF((C91-D91)&lt;0,0,C91-D91)</f>
        <v>0</v>
      </c>
      <c r="H91" s="4">
        <f t="shared" ref="H91:H97" si="19">IF((D91-C91)&lt;0,0,D91-C91)</f>
        <v>130</v>
      </c>
      <c r="J91" s="41"/>
      <c r="K91" s="41"/>
      <c r="L91" s="41"/>
      <c r="M91" s="41"/>
      <c r="N91" s="41"/>
    </row>
    <row r="92" spans="1:14" ht="27.75" customHeight="1">
      <c r="A92" s="1" t="s">
        <v>24</v>
      </c>
      <c r="B92" s="9" t="s">
        <v>26</v>
      </c>
      <c r="C92" s="1"/>
      <c r="D92" s="1">
        <v>0</v>
      </c>
      <c r="E92" s="1"/>
      <c r="F92" s="5"/>
      <c r="G92" s="3">
        <f t="shared" si="18"/>
        <v>0</v>
      </c>
      <c r="H92" s="4">
        <f t="shared" si="19"/>
        <v>0</v>
      </c>
      <c r="J92" s="41"/>
      <c r="K92" s="41"/>
      <c r="L92" s="41"/>
      <c r="M92" s="41"/>
      <c r="N92" s="41"/>
    </row>
    <row r="93" spans="1:14" ht="27.75" customHeight="1">
      <c r="A93" s="1" t="s">
        <v>24</v>
      </c>
      <c r="B93" s="9" t="s">
        <v>27</v>
      </c>
      <c r="C93" s="1"/>
      <c r="D93" s="1">
        <v>130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130</v>
      </c>
      <c r="J93" s="41"/>
      <c r="K93" s="41"/>
      <c r="L93" s="41"/>
      <c r="M93" s="41"/>
      <c r="N93" s="41"/>
    </row>
    <row r="94" spans="1:14" ht="27.75" customHeight="1">
      <c r="A94" s="1" t="s">
        <v>24</v>
      </c>
      <c r="B94" s="9" t="s">
        <v>28</v>
      </c>
      <c r="C94" s="1"/>
      <c r="D94" s="1">
        <v>130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130</v>
      </c>
      <c r="J94" s="41"/>
      <c r="K94" s="41"/>
      <c r="L94" s="41"/>
      <c r="M94" s="41"/>
      <c r="N94" s="41"/>
    </row>
    <row r="95" spans="1:14" ht="40.5" customHeight="1">
      <c r="A95" s="1" t="s">
        <v>24</v>
      </c>
      <c r="B95" s="9" t="s">
        <v>29</v>
      </c>
      <c r="C95" s="1"/>
      <c r="D95" s="1">
        <v>130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130</v>
      </c>
      <c r="J95" s="41"/>
      <c r="K95" s="41"/>
      <c r="L95" s="41"/>
      <c r="M95" s="41"/>
      <c r="N95" s="41"/>
    </row>
    <row r="96" spans="1:14" ht="38.25" customHeight="1">
      <c r="A96" s="1" t="s">
        <v>24</v>
      </c>
      <c r="B96" s="9" t="s">
        <v>30</v>
      </c>
      <c r="C96" s="1"/>
      <c r="D96" s="1">
        <v>130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130</v>
      </c>
      <c r="J96" s="41"/>
      <c r="K96" s="41"/>
      <c r="L96" s="41"/>
      <c r="M96" s="41"/>
      <c r="N96" s="41"/>
    </row>
    <row r="97" spans="1:14" ht="27.75" customHeight="1">
      <c r="A97" s="1" t="s">
        <v>24</v>
      </c>
      <c r="B97" s="9" t="s">
        <v>31</v>
      </c>
      <c r="C97" s="1"/>
      <c r="D97" s="1">
        <v>130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130</v>
      </c>
      <c r="J97" s="41"/>
      <c r="K97" s="41"/>
      <c r="L97" s="41"/>
      <c r="M97" s="41"/>
      <c r="N97" s="41"/>
    </row>
    <row r="98" spans="1:14" ht="47.25" customHeight="1">
      <c r="A98" s="1" t="s">
        <v>24</v>
      </c>
      <c r="B98" s="9" t="s">
        <v>32</v>
      </c>
      <c r="C98" s="1"/>
      <c r="D98" s="1">
        <v>130</v>
      </c>
      <c r="E98" s="1">
        <v>2025</v>
      </c>
      <c r="F98" s="5" t="s">
        <v>20</v>
      </c>
      <c r="G98" s="3">
        <f>IF((C98-D98)&lt;0,0,C98-D98)</f>
        <v>0</v>
      </c>
      <c r="H98" s="4">
        <f>IF((D98-C98)&lt;0,0,D98-C98)</f>
        <v>130</v>
      </c>
      <c r="J98" s="41"/>
      <c r="K98" s="41"/>
      <c r="L98" s="41"/>
      <c r="M98" s="41"/>
      <c r="N98" s="41"/>
    </row>
    <row r="99" spans="1:14" ht="38.25">
      <c r="A99" s="1" t="s">
        <v>24</v>
      </c>
      <c r="B99" s="9" t="s">
        <v>33</v>
      </c>
      <c r="C99" s="1"/>
      <c r="D99" s="1">
        <v>130</v>
      </c>
      <c r="E99" s="1">
        <v>2025</v>
      </c>
      <c r="F99" s="5" t="s">
        <v>20</v>
      </c>
      <c r="G99" s="3">
        <f t="shared" ref="G99:G100" si="20">IF((C99-D99)&lt;0,0,C99-D99)</f>
        <v>0</v>
      </c>
      <c r="H99" s="4">
        <f t="shared" ref="H99:H100" si="21">IF((D99-C99)&lt;0,0,D99-C99)</f>
        <v>130</v>
      </c>
    </row>
    <row r="100" spans="1:14" ht="76.5">
      <c r="A100" s="1" t="s">
        <v>24</v>
      </c>
      <c r="B100" s="9" t="s">
        <v>34</v>
      </c>
      <c r="C100" s="1"/>
      <c r="D100" s="1">
        <v>130</v>
      </c>
      <c r="E100" s="1">
        <v>2025</v>
      </c>
      <c r="F100" s="5" t="s">
        <v>20</v>
      </c>
      <c r="G100" s="3">
        <f t="shared" si="20"/>
        <v>0</v>
      </c>
      <c r="H100" s="4">
        <f t="shared" si="21"/>
        <v>130</v>
      </c>
    </row>
  </sheetData>
  <protectedRanges>
    <protectedRange sqref="C1:E100" name="Textbooks"/>
    <protectedRange sqref="F1:F100" name="SOURCE"/>
    <protectedRange sqref="J1:K1" name="Textbooks_1"/>
    <protectedRange sqref="L1" name="SOURCE_1"/>
  </protectedRanges>
  <phoneticPr fontId="8" type="noConversion"/>
  <dataValidations count="2">
    <dataValidation type="list" allowBlank="1" showInputMessage="1" showErrorMessage="1" sqref="E91:E100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10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02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35</v>
      </c>
      <c r="E1" s="43"/>
      <c r="F1" s="43"/>
      <c r="G1" s="43"/>
      <c r="H1" s="43"/>
      <c r="I1" s="43"/>
      <c r="J1" s="44" t="s">
        <v>36</v>
      </c>
      <c r="K1" s="44"/>
      <c r="L1" s="44"/>
      <c r="M1" s="44"/>
      <c r="N1" s="44"/>
      <c r="O1" s="44"/>
      <c r="P1" s="45" t="s">
        <v>37</v>
      </c>
      <c r="Q1" s="45"/>
      <c r="R1" s="45"/>
      <c r="S1" s="45"/>
      <c r="T1" s="45"/>
      <c r="U1" s="45"/>
      <c r="V1" s="46" t="s">
        <v>38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39" t="s">
        <v>48</v>
      </c>
      <c r="N2" s="39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0" t="s">
        <v>60</v>
      </c>
      <c r="Z2" s="40" t="s">
        <v>61</v>
      </c>
      <c r="AA2" s="26" t="s">
        <v>62</v>
      </c>
    </row>
    <row r="3" spans="1:27" ht="30.6" customHeight="1">
      <c r="A3" s="38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 F112:F127 F103:F110 F93:F101 F83:F91 F73:F81 F63:F71 F53:F61 F43:F51 F33:F41 F23:F31 F14:F21 F5:F12 L112:L127 L103:L110 L93:L101 L83:L91 L73:L81 L63:L71 L53:L61 L43:L51 L33:L41 L14:L21 L5:L12 L23:L31 R112:R127 R103:R110 R93:R101 R83:R91 R73:R81 R63:R71 R53:R61 R43:R51 R33:R41 R23:R31 R14:R21 R5:R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3" sqref="A3:AA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35</v>
      </c>
      <c r="E1" s="43"/>
      <c r="F1" s="43"/>
      <c r="G1" s="43"/>
      <c r="H1" s="43"/>
      <c r="I1" s="43"/>
      <c r="J1" s="44" t="s">
        <v>36</v>
      </c>
      <c r="K1" s="44"/>
      <c r="L1" s="44"/>
      <c r="M1" s="44"/>
      <c r="N1" s="44"/>
      <c r="O1" s="44"/>
      <c r="P1" s="45" t="s">
        <v>37</v>
      </c>
      <c r="Q1" s="45"/>
      <c r="R1" s="45"/>
      <c r="S1" s="45"/>
      <c r="T1" s="45"/>
      <c r="U1" s="45"/>
      <c r="V1" s="46" t="s">
        <v>38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39" t="s">
        <v>74</v>
      </c>
      <c r="N2" s="39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0" t="s">
        <v>86</v>
      </c>
      <c r="Z2" s="40" t="s">
        <v>87</v>
      </c>
      <c r="AA2" s="26" t="s">
        <v>88</v>
      </c>
    </row>
    <row r="3" spans="1:27" ht="1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9.5">
      <c r="A4" s="10">
        <v>7</v>
      </c>
      <c r="B4" s="11" t="s">
        <v>14</v>
      </c>
      <c r="C4" s="10"/>
      <c r="D4" s="12">
        <f>Table14[[#This Row],[Enrolment S.Y. 2025-2026 ]]*8</f>
        <v>0</v>
      </c>
      <c r="E4" s="12"/>
      <c r="F4" s="10"/>
      <c r="G4" s="12"/>
      <c r="H4" s="12">
        <f t="shared" ref="H4:H20" si="0">IF((D4-E4)&lt;0,0,(D4-E4))</f>
        <v>0</v>
      </c>
      <c r="I4" s="12">
        <f t="shared" ref="I4:I20" si="1">IF((E4-D4)&lt;0,0,(E4-D4))</f>
        <v>0</v>
      </c>
      <c r="J4" s="12">
        <f>Table14[[#This Row],[Enrolment S.Y. 2025-2026 ]]*8</f>
        <v>0</v>
      </c>
      <c r="K4" s="12"/>
      <c r="L4" s="10"/>
      <c r="M4" s="12"/>
      <c r="N4" s="12">
        <f t="shared" ref="N4:N7" si="2">IF((J4-K4)&lt;0,0,(J4-K4))</f>
        <v>0</v>
      </c>
      <c r="O4" s="12">
        <f t="shared" ref="O4:O7" si="3">IF((K4-J4)&lt;0,0,(K4-J4))</f>
        <v>0</v>
      </c>
      <c r="P4" s="12">
        <f>Table14[[#This Row],[Enrolment S.Y. 2025-2026 ]]*8</f>
        <v>0</v>
      </c>
      <c r="Q4" s="12"/>
      <c r="R4" s="10"/>
      <c r="S4" s="12"/>
      <c r="T4" s="12">
        <f t="shared" ref="T4:T9" si="4">IF((P4-Q4)&lt;0,0,(P4-Q4))</f>
        <v>0</v>
      </c>
      <c r="U4" s="12">
        <f t="shared" ref="U4:U9" si="5">IF((Q4-P4)&lt;0,0,(Q4-P4))</f>
        <v>0</v>
      </c>
      <c r="V4" s="12">
        <f>Table14[[#This Row],[Enrolment S.Y. 2025-2026 ]]*8</f>
        <v>0</v>
      </c>
      <c r="W4" s="12"/>
      <c r="X4" s="10"/>
      <c r="Y4" s="12"/>
      <c r="Z4" s="12">
        <f t="shared" ref="Z4:Z9" si="6">IF((V4-W4)&lt;0,0,(V4-W4))</f>
        <v>0</v>
      </c>
      <c r="AA4" s="12">
        <f t="shared" ref="AA4:AA9" si="7">IF((W4-V4)&lt;0,0,(W4-V4))</f>
        <v>0</v>
      </c>
    </row>
    <row r="5" spans="1:27" ht="19.5">
      <c r="A5" s="10">
        <v>7</v>
      </c>
      <c r="B5" s="11" t="s">
        <v>15</v>
      </c>
      <c r="C5" s="10"/>
      <c r="D5" s="12">
        <f>Table14[[#This Row],[Enrolment S.Y. 2025-2026 ]]*8</f>
        <v>0</v>
      </c>
      <c r="E5" s="12"/>
      <c r="F5" s="10"/>
      <c r="G5" s="12"/>
      <c r="H5" s="12">
        <f t="shared" si="0"/>
        <v>0</v>
      </c>
      <c r="I5" s="12">
        <f t="shared" si="1"/>
        <v>0</v>
      </c>
      <c r="J5" s="12">
        <f>Table14[[#This Row],[Enrolment S.Y. 2025-2026 ]]*8</f>
        <v>0</v>
      </c>
      <c r="K5" s="12"/>
      <c r="L5" s="10"/>
      <c r="M5" s="12"/>
      <c r="N5" s="12">
        <f t="shared" si="2"/>
        <v>0</v>
      </c>
      <c r="O5" s="12">
        <f t="shared" si="3"/>
        <v>0</v>
      </c>
      <c r="P5" s="12">
        <f>Table14[[#This Row],[Enrolment S.Y. 2025-2026 ]]*8</f>
        <v>0</v>
      </c>
      <c r="Q5" s="12"/>
      <c r="R5" s="10"/>
      <c r="S5" s="12"/>
      <c r="T5" s="12">
        <f t="shared" si="4"/>
        <v>0</v>
      </c>
      <c r="U5" s="12">
        <f t="shared" si="5"/>
        <v>0</v>
      </c>
      <c r="V5" s="12">
        <f>Table14[[#This Row],[Enrolment S.Y. 2025-2026 ]]*8</f>
        <v>0</v>
      </c>
      <c r="W5" s="12"/>
      <c r="X5" s="10"/>
      <c r="Y5" s="12"/>
      <c r="Z5" s="12">
        <f t="shared" si="6"/>
        <v>0</v>
      </c>
      <c r="AA5" s="12">
        <f t="shared" si="7"/>
        <v>0</v>
      </c>
    </row>
    <row r="6" spans="1:27" ht="19.5">
      <c r="A6" s="10">
        <v>7</v>
      </c>
      <c r="B6" s="11" t="s">
        <v>12</v>
      </c>
      <c r="C6" s="10"/>
      <c r="D6" s="12">
        <f>Table14[[#This Row],[Enrolment S.Y. 2025-2026 ]]*8</f>
        <v>0</v>
      </c>
      <c r="E6" s="12"/>
      <c r="F6" s="10"/>
      <c r="G6" s="12"/>
      <c r="H6" s="12">
        <f t="shared" si="0"/>
        <v>0</v>
      </c>
      <c r="I6" s="12">
        <f t="shared" si="1"/>
        <v>0</v>
      </c>
      <c r="J6" s="12">
        <f>Table14[[#This Row],[Enrolment S.Y. 2025-2026 ]]*8</f>
        <v>0</v>
      </c>
      <c r="K6" s="12"/>
      <c r="L6" s="10"/>
      <c r="M6" s="12"/>
      <c r="N6" s="12">
        <f t="shared" si="2"/>
        <v>0</v>
      </c>
      <c r="O6" s="12">
        <f t="shared" si="3"/>
        <v>0</v>
      </c>
      <c r="P6" s="12">
        <f>Table14[[#This Row],[Enrolment S.Y. 2025-2026 ]]*8</f>
        <v>0</v>
      </c>
      <c r="Q6" s="12"/>
      <c r="R6" s="10"/>
      <c r="S6" s="12"/>
      <c r="T6" s="12">
        <f t="shared" si="4"/>
        <v>0</v>
      </c>
      <c r="U6" s="12">
        <f t="shared" si="5"/>
        <v>0</v>
      </c>
      <c r="V6" s="12">
        <f>Table14[[#This Row],[Enrolment S.Y. 2025-2026 ]]*8</f>
        <v>0</v>
      </c>
      <c r="W6" s="12"/>
      <c r="X6" s="10"/>
      <c r="Y6" s="12"/>
      <c r="Z6" s="12">
        <f t="shared" si="6"/>
        <v>0</v>
      </c>
      <c r="AA6" s="12">
        <f t="shared" si="7"/>
        <v>0</v>
      </c>
    </row>
    <row r="7" spans="1:27" ht="19.5">
      <c r="A7" s="10">
        <v>7</v>
      </c>
      <c r="B7" s="11" t="s">
        <v>21</v>
      </c>
      <c r="C7" s="10"/>
      <c r="D7" s="12">
        <f>Table14[[#This Row],[Enrolment S.Y. 2025-2026 ]]*8</f>
        <v>0</v>
      </c>
      <c r="E7" s="12"/>
      <c r="F7" s="10"/>
      <c r="G7" s="12"/>
      <c r="H7" s="12">
        <f t="shared" si="0"/>
        <v>0</v>
      </c>
      <c r="I7" s="12">
        <f t="shared" si="1"/>
        <v>0</v>
      </c>
      <c r="J7" s="12">
        <f>Table14[[#This Row],[Enrolment S.Y. 2025-2026 ]]*8</f>
        <v>0</v>
      </c>
      <c r="K7" s="12"/>
      <c r="L7" s="10"/>
      <c r="M7" s="12"/>
      <c r="N7" s="12">
        <f t="shared" si="2"/>
        <v>0</v>
      </c>
      <c r="O7" s="12">
        <f t="shared" si="3"/>
        <v>0</v>
      </c>
      <c r="P7" s="12">
        <f>Table14[[#This Row],[Enrolment S.Y. 2025-2026 ]]*8</f>
        <v>0</v>
      </c>
      <c r="Q7" s="12"/>
      <c r="R7" s="10"/>
      <c r="S7" s="12"/>
      <c r="T7" s="12">
        <f t="shared" si="4"/>
        <v>0</v>
      </c>
      <c r="U7" s="12">
        <f t="shared" si="5"/>
        <v>0</v>
      </c>
      <c r="V7" s="12">
        <f>Table14[[#This Row],[Enrolment S.Y. 2025-2026 ]]*8</f>
        <v>0</v>
      </c>
      <c r="W7" s="12"/>
      <c r="X7" s="10"/>
      <c r="Y7" s="12"/>
      <c r="Z7" s="12">
        <f t="shared" si="6"/>
        <v>0</v>
      </c>
      <c r="AA7" s="12">
        <f t="shared" si="7"/>
        <v>0</v>
      </c>
    </row>
    <row r="8" spans="1:27" ht="38.25">
      <c r="A8" s="10">
        <v>7</v>
      </c>
      <c r="B8" s="11" t="s">
        <v>16</v>
      </c>
      <c r="C8" s="10"/>
      <c r="D8" s="12">
        <f>Table14[[#This Row],[Enrolment S.Y. 2025-2026 ]]*8</f>
        <v>0</v>
      </c>
      <c r="E8" s="12"/>
      <c r="F8" s="10"/>
      <c r="G8" s="12"/>
      <c r="H8" s="12">
        <f t="shared" si="0"/>
        <v>0</v>
      </c>
      <c r="I8" s="12">
        <f t="shared" si="1"/>
        <v>0</v>
      </c>
      <c r="J8" s="12">
        <f>Table14[[#This Row],[Enrolment S.Y. 2025-2026 ]]*8</f>
        <v>0</v>
      </c>
      <c r="K8" s="12"/>
      <c r="L8" s="10"/>
      <c r="M8" s="12"/>
      <c r="N8" s="12">
        <f t="shared" ref="N8:N14" si="8">IF((J8-K8)&lt;0,0,(J8-K8))</f>
        <v>0</v>
      </c>
      <c r="O8" s="12">
        <f t="shared" ref="O8:O14" si="9">IF((K8-J8)&lt;0,0,(K8-J8))</f>
        <v>0</v>
      </c>
      <c r="P8" s="12">
        <f>Table14[[#This Row],[Enrolment S.Y. 2025-2026 ]]*8</f>
        <v>0</v>
      </c>
      <c r="Q8" s="12"/>
      <c r="R8" s="10"/>
      <c r="S8" s="12"/>
      <c r="T8" s="12">
        <f t="shared" si="4"/>
        <v>0</v>
      </c>
      <c r="U8" s="12">
        <f t="shared" si="5"/>
        <v>0</v>
      </c>
      <c r="V8" s="12">
        <f>Table14[[#This Row],[Enrolment S.Y. 2025-2026 ]]*8</f>
        <v>0</v>
      </c>
      <c r="W8" s="12"/>
      <c r="X8" s="10"/>
      <c r="Y8" s="12"/>
      <c r="Z8" s="12">
        <f t="shared" si="6"/>
        <v>0</v>
      </c>
      <c r="AA8" s="12">
        <f t="shared" si="7"/>
        <v>0</v>
      </c>
    </row>
    <row r="9" spans="1:27" ht="19.5">
      <c r="A9" s="10">
        <v>7</v>
      </c>
      <c r="B9" s="11" t="s">
        <v>13</v>
      </c>
      <c r="C9" s="10"/>
      <c r="D9" s="12">
        <f>Table14[[#This Row],[Enrolment S.Y. 2025-2026 ]]*8</f>
        <v>0</v>
      </c>
      <c r="E9" s="12"/>
      <c r="F9" s="10"/>
      <c r="G9" s="12"/>
      <c r="H9" s="12">
        <f t="shared" si="0"/>
        <v>0</v>
      </c>
      <c r="I9" s="12">
        <f t="shared" si="1"/>
        <v>0</v>
      </c>
      <c r="J9" s="12">
        <f>Table14[[#This Row],[Enrolment S.Y. 2025-2026 ]]*8</f>
        <v>0</v>
      </c>
      <c r="K9" s="12"/>
      <c r="L9" s="10"/>
      <c r="M9" s="12"/>
      <c r="N9" s="12">
        <f t="shared" si="8"/>
        <v>0</v>
      </c>
      <c r="O9" s="12">
        <f t="shared" si="9"/>
        <v>0</v>
      </c>
      <c r="P9" s="12">
        <f>Table14[[#This Row],[Enrolment S.Y. 2025-2026 ]]*8</f>
        <v>0</v>
      </c>
      <c r="Q9" s="12"/>
      <c r="R9" s="10"/>
      <c r="S9" s="12"/>
      <c r="T9" s="12">
        <f t="shared" si="4"/>
        <v>0</v>
      </c>
      <c r="U9" s="12">
        <f t="shared" si="5"/>
        <v>0</v>
      </c>
      <c r="V9" s="12">
        <f>Table14[[#This Row],[Enrolment S.Y. 2025-2026 ]]*8</f>
        <v>0</v>
      </c>
      <c r="W9" s="12"/>
      <c r="X9" s="10"/>
      <c r="Y9" s="12"/>
      <c r="Z9" s="12">
        <f t="shared" si="6"/>
        <v>0</v>
      </c>
      <c r="AA9" s="12">
        <f t="shared" si="7"/>
        <v>0</v>
      </c>
    </row>
    <row r="10" spans="1:27" ht="19.5">
      <c r="A10" s="37">
        <v>7</v>
      </c>
      <c r="B10" s="11" t="s">
        <v>89</v>
      </c>
      <c r="C10" s="12"/>
      <c r="D10" s="12">
        <f>Table14[[#This Row],[Enrolment S.Y. 2025-2026 ]]*8</f>
        <v>0</v>
      </c>
      <c r="E10" s="12"/>
      <c r="F10" s="10"/>
      <c r="G10" s="12"/>
      <c r="H10" s="12">
        <f>IF((D10-E10)&lt;0,0,(D10-E10))</f>
        <v>0</v>
      </c>
      <c r="I10" s="12">
        <f>IF((E10-D10)&lt;0,0,(E10-D10))</f>
        <v>0</v>
      </c>
      <c r="J10" s="12">
        <f>Table14[[#This Row],[Enrolment S.Y. 2025-2026 ]]*8</f>
        <v>0</v>
      </c>
      <c r="K10" s="12"/>
      <c r="L10" s="10"/>
      <c r="M10" s="12"/>
      <c r="N10" s="12">
        <f t="shared" si="8"/>
        <v>0</v>
      </c>
      <c r="O10" s="12">
        <f t="shared" si="9"/>
        <v>0</v>
      </c>
      <c r="P10" s="12">
        <f>Table14[[#This Row],[Enrolment S.Y. 2025-2026 ]]*8</f>
        <v>0</v>
      </c>
      <c r="Q10" s="12"/>
      <c r="R10" s="10"/>
      <c r="S10" s="12"/>
      <c r="T10" s="12">
        <f>IF((P10-Q10)&lt;0,0,(P10-Q10))</f>
        <v>0</v>
      </c>
      <c r="U10" s="12">
        <f>IF((Q10-P10)&lt;0,0,(Q10-P10))</f>
        <v>0</v>
      </c>
      <c r="V10" s="12">
        <f>Table14[[#This Row],[Enrolment S.Y. 2025-2026 ]]*8</f>
        <v>0</v>
      </c>
      <c r="W10" s="12"/>
      <c r="X10" s="10"/>
      <c r="Y10" s="12"/>
      <c r="Z10" s="12">
        <f>IF((V10-W10)&lt;0,0,(V10-W10))</f>
        <v>0</v>
      </c>
      <c r="AA10" s="12">
        <f>IF((W10-V10)&lt;0,0,(W10-V10))</f>
        <v>0</v>
      </c>
    </row>
    <row r="11" spans="1:27" s="7" customFormat="1" ht="19.5">
      <c r="A11" s="10">
        <v>7</v>
      </c>
      <c r="B11" s="11" t="s">
        <v>90</v>
      </c>
      <c r="C11" s="10"/>
      <c r="D11" s="12">
        <f>Table14[[#This Row],[Enrolment S.Y. 2025-2026 ]]*8</f>
        <v>0</v>
      </c>
      <c r="E11" s="12"/>
      <c r="F11" s="10"/>
      <c r="G11" s="12"/>
      <c r="H11" s="12">
        <f t="shared" si="0"/>
        <v>0</v>
      </c>
      <c r="I11" s="12">
        <f t="shared" si="1"/>
        <v>0</v>
      </c>
      <c r="J11" s="12">
        <f>Table14[[#This Row],[Enrolment S.Y. 2025-2026 ]]*8</f>
        <v>0</v>
      </c>
      <c r="K11" s="12"/>
      <c r="L11" s="10"/>
      <c r="M11" s="12"/>
      <c r="N11" s="12">
        <f t="shared" si="8"/>
        <v>0</v>
      </c>
      <c r="O11" s="12">
        <f t="shared" si="9"/>
        <v>0</v>
      </c>
      <c r="P11" s="12">
        <f>Table14[[#This Row],[Enrolment S.Y. 2025-2026 ]]*8</f>
        <v>0</v>
      </c>
      <c r="Q11" s="12"/>
      <c r="R11" s="10"/>
      <c r="S11" s="12"/>
      <c r="T11" s="12">
        <f t="shared" ref="T11:T59" si="10">IF((P11-Q11)&lt;0,0,(P11-Q11))</f>
        <v>0</v>
      </c>
      <c r="U11" s="12">
        <f t="shared" ref="U11:U59" si="11">IF((Q11-P11)&lt;0,0,(Q11-P11))</f>
        <v>0</v>
      </c>
      <c r="V11" s="12">
        <f>Table14[[#This Row],[Enrolment S.Y. 2025-2026 ]]*8</f>
        <v>0</v>
      </c>
      <c r="W11" s="12"/>
      <c r="X11" s="10"/>
      <c r="Y11" s="12"/>
      <c r="Z11" s="12">
        <f t="shared" ref="Z11:Z59" si="12">IF((V11-W11)&lt;0,0,(V11-W11))</f>
        <v>0</v>
      </c>
      <c r="AA11" s="12">
        <f t="shared" ref="AA11:AA59" si="13">IF((W11-V11)&lt;0,0,(W11-V11))</f>
        <v>0</v>
      </c>
    </row>
    <row r="12" spans="1:27" ht="19.5">
      <c r="A12" s="10">
        <v>7</v>
      </c>
      <c r="B12" s="11" t="s">
        <v>22</v>
      </c>
      <c r="C12" s="10"/>
      <c r="D12" s="12">
        <f>Table14[[#This Row],[Enrolment S.Y. 2025-2026 ]]*8</f>
        <v>0</v>
      </c>
      <c r="E12" s="12"/>
      <c r="F12" s="10"/>
      <c r="G12" s="12"/>
      <c r="H12" s="12">
        <f t="shared" si="0"/>
        <v>0</v>
      </c>
      <c r="I12" s="12">
        <f t="shared" si="1"/>
        <v>0</v>
      </c>
      <c r="J12" s="12">
        <f>Table14[[#This Row],[Enrolment S.Y. 2025-2026 ]]*8</f>
        <v>0</v>
      </c>
      <c r="K12" s="12"/>
      <c r="L12" s="10"/>
      <c r="M12" s="12"/>
      <c r="N12" s="12">
        <f t="shared" si="8"/>
        <v>0</v>
      </c>
      <c r="O12" s="12">
        <f t="shared" si="9"/>
        <v>0</v>
      </c>
      <c r="P12" s="12">
        <f>Table14[[#This Row],[Enrolment S.Y. 2025-2026 ]]*8</f>
        <v>0</v>
      </c>
      <c r="Q12" s="12"/>
      <c r="R12" s="10"/>
      <c r="S12" s="12"/>
      <c r="T12" s="12">
        <f t="shared" si="10"/>
        <v>0</v>
      </c>
      <c r="U12" s="12">
        <f t="shared" si="11"/>
        <v>0</v>
      </c>
      <c r="V12" s="12">
        <f>Table14[[#This Row],[Enrolment S.Y. 2025-2026 ]]*8</f>
        <v>0</v>
      </c>
      <c r="W12" s="12"/>
      <c r="X12" s="10"/>
      <c r="Y12" s="12"/>
      <c r="Z12" s="12">
        <f t="shared" si="12"/>
        <v>0</v>
      </c>
      <c r="AA12" s="12">
        <f t="shared" si="13"/>
        <v>0</v>
      </c>
    </row>
    <row r="13" spans="1:27" ht="19.5">
      <c r="A13" s="37">
        <v>7</v>
      </c>
      <c r="B13" s="11" t="s">
        <v>91</v>
      </c>
      <c r="C13" s="12"/>
      <c r="D13" s="12">
        <f>Table14[[#This Row],[Enrolment S.Y. 2025-2026 ]]*8</f>
        <v>0</v>
      </c>
      <c r="E13" s="12"/>
      <c r="F13" s="10"/>
      <c r="G13" s="12"/>
      <c r="H13" s="12">
        <f>IF((D13-E13)&lt;0,0,(D13-E13))</f>
        <v>0</v>
      </c>
      <c r="I13" s="12">
        <f>IF((E13-D13)&lt;0,0,(E13-D13))</f>
        <v>0</v>
      </c>
      <c r="J13" s="12">
        <f>Table14[[#This Row],[Enrolment S.Y. 2025-2026 ]]*8</f>
        <v>0</v>
      </c>
      <c r="K13" s="12"/>
      <c r="L13" s="10"/>
      <c r="M13" s="12"/>
      <c r="N13" s="12">
        <f t="shared" si="8"/>
        <v>0</v>
      </c>
      <c r="O13" s="12">
        <f t="shared" si="9"/>
        <v>0</v>
      </c>
      <c r="P13" s="12">
        <f>Table14[[#This Row],[Enrolment S.Y. 2025-2026 ]]*8</f>
        <v>0</v>
      </c>
      <c r="Q13" s="12"/>
      <c r="R13" s="10"/>
      <c r="S13" s="12"/>
      <c r="T13" s="12">
        <f>IF((P13-Q13)&lt;0,0,(P13-Q13))</f>
        <v>0</v>
      </c>
      <c r="U13" s="12">
        <f>IF((Q13-P13)&lt;0,0,(Q13-P13))</f>
        <v>0</v>
      </c>
      <c r="V13" s="12">
        <f>Table14[[#This Row],[Enrolment S.Y. 2025-2026 ]]*8</f>
        <v>0</v>
      </c>
      <c r="W13" s="12"/>
      <c r="X13" s="10"/>
      <c r="Y13" s="12"/>
      <c r="Z13" s="12">
        <f>IF((V13-W13)&lt;0,0,(V13-W13))</f>
        <v>0</v>
      </c>
      <c r="AA13" s="12">
        <f>IF((W13-V13)&lt;0,0,(W13-V13))</f>
        <v>0</v>
      </c>
    </row>
    <row r="14" spans="1:27" ht="19.5">
      <c r="A14" s="10">
        <v>7</v>
      </c>
      <c r="B14" s="11" t="s">
        <v>92</v>
      </c>
      <c r="C14" s="10"/>
      <c r="D14" s="12">
        <f>Table14[[#This Row],[Enrolment S.Y. 2025-2026 ]]*8</f>
        <v>0</v>
      </c>
      <c r="E14" s="12"/>
      <c r="F14" s="10"/>
      <c r="G14" s="12"/>
      <c r="H14" s="12">
        <f t="shared" si="0"/>
        <v>0</v>
      </c>
      <c r="I14" s="12">
        <f t="shared" si="1"/>
        <v>0</v>
      </c>
      <c r="J14" s="12">
        <f>Table14[[#This Row],[Enrolment S.Y. 2025-2026 ]]*8</f>
        <v>0</v>
      </c>
      <c r="K14" s="12"/>
      <c r="L14" s="10"/>
      <c r="M14" s="12"/>
      <c r="N14" s="12">
        <f t="shared" si="8"/>
        <v>0</v>
      </c>
      <c r="O14" s="12">
        <f t="shared" si="9"/>
        <v>0</v>
      </c>
      <c r="P14" s="12">
        <f>Table14[[#This Row],[Enrolment S.Y. 2025-2026 ]]*8</f>
        <v>0</v>
      </c>
      <c r="Q14" s="12"/>
      <c r="R14" s="10"/>
      <c r="S14" s="12"/>
      <c r="T14" s="12">
        <f t="shared" si="10"/>
        <v>0</v>
      </c>
      <c r="U14" s="12">
        <f t="shared" si="11"/>
        <v>0</v>
      </c>
      <c r="V14" s="12">
        <f>Table14[[#This Row],[Enrolment S.Y. 2025-2026 ]]*8</f>
        <v>0</v>
      </c>
      <c r="W14" s="12"/>
      <c r="X14" s="10"/>
      <c r="Y14" s="12"/>
      <c r="Z14" s="12">
        <f t="shared" si="12"/>
        <v>0</v>
      </c>
      <c r="AA14" s="12">
        <f t="shared" si="13"/>
        <v>0</v>
      </c>
    </row>
    <row r="15" spans="1:27" ht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9.5">
      <c r="A16" s="10">
        <v>8</v>
      </c>
      <c r="B16" s="11" t="s">
        <v>14</v>
      </c>
      <c r="C16" s="10"/>
      <c r="D16" s="12">
        <f>Table14[[#This Row],[Enrolment S.Y. 2025-2026 ]]*8</f>
        <v>0</v>
      </c>
      <c r="E16" s="12"/>
      <c r="F16" s="10"/>
      <c r="G16" s="12"/>
      <c r="H16" s="12">
        <f t="shared" si="0"/>
        <v>0</v>
      </c>
      <c r="I16" s="12">
        <f t="shared" si="1"/>
        <v>0</v>
      </c>
      <c r="J16" s="12">
        <f>Table14[[#This Row],[Enrolment S.Y. 2025-2026 ]]*8</f>
        <v>0</v>
      </c>
      <c r="K16" s="12"/>
      <c r="L16" s="10"/>
      <c r="M16" s="12"/>
      <c r="N16" s="12">
        <f t="shared" ref="N11:N59" si="14">IF((J16-K16)&lt;0,0,(J16-K16))</f>
        <v>0</v>
      </c>
      <c r="O16" s="12">
        <f t="shared" ref="O11:O59" si="15">IF((K16-J16)&lt;0,0,(K16-J16))</f>
        <v>0</v>
      </c>
      <c r="P16" s="12">
        <f>Table14[[#This Row],[Enrolment S.Y. 2025-2026 ]]*8</f>
        <v>0</v>
      </c>
      <c r="Q16" s="12"/>
      <c r="R16" s="10"/>
      <c r="S16" s="12"/>
      <c r="T16" s="12">
        <f t="shared" si="10"/>
        <v>0</v>
      </c>
      <c r="U16" s="12">
        <f t="shared" si="11"/>
        <v>0</v>
      </c>
      <c r="V16" s="12">
        <f>Table14[[#This Row],[Enrolment S.Y. 2025-2026 ]]*8</f>
        <v>0</v>
      </c>
      <c r="W16" s="12"/>
      <c r="X16" s="10"/>
      <c r="Y16" s="12"/>
      <c r="Z16" s="12">
        <f t="shared" si="12"/>
        <v>0</v>
      </c>
      <c r="AA16" s="12">
        <f t="shared" si="13"/>
        <v>0</v>
      </c>
    </row>
    <row r="17" spans="1:27" ht="19.5">
      <c r="A17" s="10">
        <v>8</v>
      </c>
      <c r="B17" s="11" t="s">
        <v>15</v>
      </c>
      <c r="C17" s="10"/>
      <c r="D17" s="12">
        <f>Table14[[#This Row],[Enrolment S.Y. 2025-2026 ]]*8</f>
        <v>0</v>
      </c>
      <c r="E17" s="12"/>
      <c r="F17" s="10"/>
      <c r="G17" s="12"/>
      <c r="H17" s="12">
        <f t="shared" si="0"/>
        <v>0</v>
      </c>
      <c r="I17" s="12">
        <f t="shared" si="1"/>
        <v>0</v>
      </c>
      <c r="J17" s="12">
        <f>Table14[[#This Row],[Enrolment S.Y. 2025-2026 ]]*8</f>
        <v>0</v>
      </c>
      <c r="K17" s="12"/>
      <c r="L17" s="10"/>
      <c r="M17" s="12"/>
      <c r="N17" s="12">
        <f t="shared" si="14"/>
        <v>0</v>
      </c>
      <c r="O17" s="12">
        <f t="shared" si="15"/>
        <v>0</v>
      </c>
      <c r="P17" s="12">
        <f>Table14[[#This Row],[Enrolment S.Y. 2025-2026 ]]*8</f>
        <v>0</v>
      </c>
      <c r="Q17" s="12"/>
      <c r="R17" s="10"/>
      <c r="S17" s="12"/>
      <c r="T17" s="12">
        <f t="shared" si="10"/>
        <v>0</v>
      </c>
      <c r="U17" s="12">
        <f t="shared" si="11"/>
        <v>0</v>
      </c>
      <c r="V17" s="12">
        <f>Table14[[#This Row],[Enrolment S.Y. 2025-2026 ]]*8</f>
        <v>0</v>
      </c>
      <c r="W17" s="12"/>
      <c r="X17" s="10"/>
      <c r="Y17" s="12"/>
      <c r="Z17" s="12">
        <f t="shared" si="12"/>
        <v>0</v>
      </c>
      <c r="AA17" s="12">
        <f t="shared" si="13"/>
        <v>0</v>
      </c>
    </row>
    <row r="18" spans="1:27" ht="19.5">
      <c r="A18" s="10">
        <v>8</v>
      </c>
      <c r="B18" s="11" t="s">
        <v>12</v>
      </c>
      <c r="C18" s="10"/>
      <c r="D18" s="12">
        <f>Table14[[#This Row],[Enrolment S.Y. 2025-2026 ]]*8</f>
        <v>0</v>
      </c>
      <c r="E18" s="12"/>
      <c r="F18" s="10"/>
      <c r="G18" s="12"/>
      <c r="H18" s="12">
        <f t="shared" si="0"/>
        <v>0</v>
      </c>
      <c r="I18" s="12">
        <f t="shared" si="1"/>
        <v>0</v>
      </c>
      <c r="J18" s="12">
        <f>Table14[[#This Row],[Enrolment S.Y. 2025-2026 ]]*8</f>
        <v>0</v>
      </c>
      <c r="K18" s="12"/>
      <c r="L18" s="10"/>
      <c r="M18" s="12"/>
      <c r="N18" s="12">
        <f t="shared" si="14"/>
        <v>0</v>
      </c>
      <c r="O18" s="12">
        <f t="shared" si="15"/>
        <v>0</v>
      </c>
      <c r="P18" s="12">
        <f>Table14[[#This Row],[Enrolment S.Y. 2025-2026 ]]*8</f>
        <v>0</v>
      </c>
      <c r="Q18" s="12"/>
      <c r="R18" s="10"/>
      <c r="S18" s="12"/>
      <c r="T18" s="12">
        <f t="shared" si="10"/>
        <v>0</v>
      </c>
      <c r="U18" s="12">
        <f t="shared" si="11"/>
        <v>0</v>
      </c>
      <c r="V18" s="12">
        <f>Table14[[#This Row],[Enrolment S.Y. 2025-2026 ]]*8</f>
        <v>0</v>
      </c>
      <c r="W18" s="12"/>
      <c r="X18" s="10"/>
      <c r="Y18" s="12"/>
      <c r="Z18" s="12">
        <f t="shared" si="12"/>
        <v>0</v>
      </c>
      <c r="AA18" s="12">
        <f t="shared" si="13"/>
        <v>0</v>
      </c>
    </row>
    <row r="19" spans="1:27" ht="19.5">
      <c r="A19" s="10">
        <v>8</v>
      </c>
      <c r="B19" s="11" t="s">
        <v>21</v>
      </c>
      <c r="C19" s="10"/>
      <c r="D19" s="12">
        <f>Table14[[#This Row],[Enrolment S.Y. 2025-2026 ]]*8</f>
        <v>0</v>
      </c>
      <c r="E19" s="12"/>
      <c r="F19" s="10"/>
      <c r="G19" s="12"/>
      <c r="H19" s="12">
        <f t="shared" si="0"/>
        <v>0</v>
      </c>
      <c r="I19" s="12">
        <f t="shared" si="1"/>
        <v>0</v>
      </c>
      <c r="J19" s="12">
        <f>Table14[[#This Row],[Enrolment S.Y. 2025-2026 ]]*8</f>
        <v>0</v>
      </c>
      <c r="K19" s="12"/>
      <c r="L19" s="10"/>
      <c r="M19" s="12"/>
      <c r="N19" s="12">
        <f t="shared" si="14"/>
        <v>0</v>
      </c>
      <c r="O19" s="12">
        <f t="shared" si="15"/>
        <v>0</v>
      </c>
      <c r="P19" s="12">
        <f>Table14[[#This Row],[Enrolment S.Y. 2025-2026 ]]*8</f>
        <v>0</v>
      </c>
      <c r="Q19" s="12"/>
      <c r="R19" s="10"/>
      <c r="S19" s="12"/>
      <c r="T19" s="12">
        <f t="shared" si="10"/>
        <v>0</v>
      </c>
      <c r="U19" s="12">
        <f t="shared" si="11"/>
        <v>0</v>
      </c>
      <c r="V19" s="12">
        <f>Table14[[#This Row],[Enrolment S.Y. 2025-2026 ]]*8</f>
        <v>0</v>
      </c>
      <c r="W19" s="12"/>
      <c r="X19" s="10"/>
      <c r="Y19" s="12"/>
      <c r="Z19" s="12">
        <f t="shared" si="12"/>
        <v>0</v>
      </c>
      <c r="AA19" s="12">
        <f t="shared" si="13"/>
        <v>0</v>
      </c>
    </row>
    <row r="20" spans="1:27" s="7" customFormat="1" ht="19.5">
      <c r="A20" s="10">
        <v>8</v>
      </c>
      <c r="B20" s="11" t="s">
        <v>23</v>
      </c>
      <c r="C20" s="10"/>
      <c r="D20" s="12">
        <f>Table14[[#This Row],[Enrolment S.Y. 2025-2026 ]]*8</f>
        <v>0</v>
      </c>
      <c r="E20" s="12"/>
      <c r="F20" s="10"/>
      <c r="G20" s="12"/>
      <c r="H20" s="12">
        <f t="shared" si="0"/>
        <v>0</v>
      </c>
      <c r="I20" s="12">
        <f t="shared" si="1"/>
        <v>0</v>
      </c>
      <c r="J20" s="12">
        <f>Table14[[#This Row],[Enrolment S.Y. 2025-2026 ]]*8</f>
        <v>0</v>
      </c>
      <c r="K20" s="12"/>
      <c r="L20" s="10"/>
      <c r="M20" s="12"/>
      <c r="N20" s="12">
        <f t="shared" si="14"/>
        <v>0</v>
      </c>
      <c r="O20" s="12">
        <f t="shared" si="15"/>
        <v>0</v>
      </c>
      <c r="P20" s="12">
        <f>Table14[[#This Row],[Enrolment S.Y. 2025-2026 ]]*8</f>
        <v>0</v>
      </c>
      <c r="Q20" s="12"/>
      <c r="R20" s="10"/>
      <c r="S20" s="12"/>
      <c r="T20" s="12">
        <f t="shared" si="10"/>
        <v>0</v>
      </c>
      <c r="U20" s="12">
        <f t="shared" si="11"/>
        <v>0</v>
      </c>
      <c r="V20" s="12">
        <f>Table14[[#This Row],[Enrolment S.Y. 2025-2026 ]]*8</f>
        <v>0</v>
      </c>
      <c r="W20" s="12"/>
      <c r="X20" s="10"/>
      <c r="Y20" s="12"/>
      <c r="Z20" s="12">
        <f t="shared" si="12"/>
        <v>0</v>
      </c>
      <c r="AA20" s="12">
        <f t="shared" si="13"/>
        <v>0</v>
      </c>
    </row>
    <row r="21" spans="1:27" ht="19.5">
      <c r="A21" s="10">
        <v>8</v>
      </c>
      <c r="B21" s="11" t="s">
        <v>13</v>
      </c>
      <c r="C21" s="10"/>
      <c r="D21" s="12">
        <f>Table14[[#This Row],[Enrolment S.Y. 2025-2026 ]]*8</f>
        <v>0</v>
      </c>
      <c r="E21" s="12"/>
      <c r="F21" s="10"/>
      <c r="G21" s="12"/>
      <c r="H21" s="12">
        <f t="shared" ref="H21:H59" si="16">IF((D21-E21)&lt;0,0,(D21-E21))</f>
        <v>0</v>
      </c>
      <c r="I21" s="12">
        <f t="shared" ref="I21:I59" si="17">IF((E21-D21)&lt;0,0,(E21-D21))</f>
        <v>0</v>
      </c>
      <c r="J21" s="12">
        <f>Table14[[#This Row],[Enrolment S.Y. 2025-2026 ]]*8</f>
        <v>0</v>
      </c>
      <c r="K21" s="12"/>
      <c r="L21" s="10"/>
      <c r="M21" s="12"/>
      <c r="N21" s="12">
        <f t="shared" ref="N21:N26" si="18">IF((J21-K21)&lt;0,0,(J21-K21))</f>
        <v>0</v>
      </c>
      <c r="O21" s="12">
        <f t="shared" ref="O21:O26" si="19">IF((K21-J21)&lt;0,0,(K21-J21))</f>
        <v>0</v>
      </c>
      <c r="P21" s="12">
        <f>Table14[[#This Row],[Enrolment S.Y. 2025-2026 ]]*8</f>
        <v>0</v>
      </c>
      <c r="Q21" s="12"/>
      <c r="R21" s="10"/>
      <c r="S21" s="12"/>
      <c r="T21" s="12">
        <f t="shared" si="10"/>
        <v>0</v>
      </c>
      <c r="U21" s="12">
        <f t="shared" si="11"/>
        <v>0</v>
      </c>
      <c r="V21" s="12">
        <f>Table14[[#This Row],[Enrolment S.Y. 2025-2026 ]]*8</f>
        <v>0</v>
      </c>
      <c r="W21" s="12"/>
      <c r="X21" s="10"/>
      <c r="Y21" s="12"/>
      <c r="Z21" s="12">
        <f t="shared" si="12"/>
        <v>0</v>
      </c>
      <c r="AA21" s="12">
        <f t="shared" si="13"/>
        <v>0</v>
      </c>
    </row>
    <row r="22" spans="1:27" ht="19.5">
      <c r="A22" s="37">
        <v>8</v>
      </c>
      <c r="B22" s="11" t="s">
        <v>89</v>
      </c>
      <c r="C22" s="12"/>
      <c r="D22" s="12">
        <f>Table14[[#This Row],[Enrolment S.Y. 2025-2026 ]]*8</f>
        <v>0</v>
      </c>
      <c r="E22" s="12"/>
      <c r="F22" s="10"/>
      <c r="G22" s="12"/>
      <c r="H22" s="12">
        <f>IF((D22-E22)&lt;0,0,(D22-E22))</f>
        <v>0</v>
      </c>
      <c r="I22" s="12">
        <f>IF((E22-D22)&lt;0,0,(E22-D22))</f>
        <v>0</v>
      </c>
      <c r="J22" s="12">
        <f>Table14[[#This Row],[Enrolment S.Y. 2025-2026 ]]*8</f>
        <v>0</v>
      </c>
      <c r="K22" s="12"/>
      <c r="L22" s="10"/>
      <c r="M22" s="12"/>
      <c r="N22" s="12">
        <f t="shared" si="18"/>
        <v>0</v>
      </c>
      <c r="O22" s="12">
        <f t="shared" si="19"/>
        <v>0</v>
      </c>
      <c r="P22" s="12">
        <f>Table14[[#This Row],[Enrolment S.Y. 2025-2026 ]]*8</f>
        <v>0</v>
      </c>
      <c r="Q22" s="12"/>
      <c r="R22" s="10"/>
      <c r="S22" s="12"/>
      <c r="T22" s="12">
        <f>IF((P22-Q22)&lt;0,0,(P22-Q22))</f>
        <v>0</v>
      </c>
      <c r="U22" s="12">
        <f>IF((Q22-P22)&lt;0,0,(Q22-P22))</f>
        <v>0</v>
      </c>
      <c r="V22" s="12">
        <f>Table14[[#This Row],[Enrolment S.Y. 2025-2026 ]]*8</f>
        <v>0</v>
      </c>
      <c r="W22" s="12"/>
      <c r="X22" s="10"/>
      <c r="Y22" s="12"/>
      <c r="Z22" s="12">
        <f>IF((V22-W22)&lt;0,0,(V22-W22))</f>
        <v>0</v>
      </c>
      <c r="AA22" s="12">
        <f>IF((W22-V22)&lt;0,0,(W22-V22))</f>
        <v>0</v>
      </c>
    </row>
    <row r="23" spans="1:27" ht="19.5">
      <c r="A23" s="10">
        <v>8</v>
      </c>
      <c r="B23" s="11" t="s">
        <v>90</v>
      </c>
      <c r="C23" s="10"/>
      <c r="D23" s="12">
        <f>Table14[[#This Row],[Enrolment S.Y. 2025-2026 ]]*8</f>
        <v>0</v>
      </c>
      <c r="E23" s="12"/>
      <c r="F23" s="10"/>
      <c r="G23" s="12"/>
      <c r="H23" s="12">
        <f t="shared" si="16"/>
        <v>0</v>
      </c>
      <c r="I23" s="12">
        <f t="shared" si="17"/>
        <v>0</v>
      </c>
      <c r="J23" s="12">
        <f>Table14[[#This Row],[Enrolment S.Y. 2025-2026 ]]*8</f>
        <v>0</v>
      </c>
      <c r="K23" s="12"/>
      <c r="L23" s="10"/>
      <c r="M23" s="12"/>
      <c r="N23" s="12">
        <f t="shared" si="18"/>
        <v>0</v>
      </c>
      <c r="O23" s="12">
        <f t="shared" si="19"/>
        <v>0</v>
      </c>
      <c r="P23" s="12">
        <f>Table14[[#This Row],[Enrolment S.Y. 2025-2026 ]]*8</f>
        <v>0</v>
      </c>
      <c r="Q23" s="12"/>
      <c r="R23" s="10"/>
      <c r="S23" s="12"/>
      <c r="T23" s="12">
        <f t="shared" si="10"/>
        <v>0</v>
      </c>
      <c r="U23" s="12">
        <f t="shared" si="11"/>
        <v>0</v>
      </c>
      <c r="V23" s="12">
        <f>Table14[[#This Row],[Enrolment S.Y. 2025-2026 ]]*8</f>
        <v>0</v>
      </c>
      <c r="W23" s="12"/>
      <c r="X23" s="10"/>
      <c r="Y23" s="12"/>
      <c r="Z23" s="12">
        <f t="shared" si="12"/>
        <v>0</v>
      </c>
      <c r="AA23" s="12">
        <f t="shared" si="13"/>
        <v>0</v>
      </c>
    </row>
    <row r="24" spans="1:27" ht="19.5">
      <c r="A24" s="10">
        <v>8</v>
      </c>
      <c r="B24" s="11" t="s">
        <v>22</v>
      </c>
      <c r="C24" s="10"/>
      <c r="D24" s="12">
        <f>Table14[[#This Row],[Enrolment S.Y. 2025-2026 ]]*8</f>
        <v>0</v>
      </c>
      <c r="E24" s="12"/>
      <c r="F24" s="10"/>
      <c r="G24" s="12"/>
      <c r="H24" s="12">
        <f t="shared" si="16"/>
        <v>0</v>
      </c>
      <c r="I24" s="12">
        <f t="shared" si="17"/>
        <v>0</v>
      </c>
      <c r="J24" s="12">
        <f>Table14[[#This Row],[Enrolment S.Y. 2025-2026 ]]*8</f>
        <v>0</v>
      </c>
      <c r="K24" s="12"/>
      <c r="L24" s="10"/>
      <c r="M24" s="12"/>
      <c r="N24" s="12">
        <f t="shared" si="18"/>
        <v>0</v>
      </c>
      <c r="O24" s="12">
        <f t="shared" si="19"/>
        <v>0</v>
      </c>
      <c r="P24" s="12">
        <f>Table14[[#This Row],[Enrolment S.Y. 2025-2026 ]]*8</f>
        <v>0</v>
      </c>
      <c r="Q24" s="12"/>
      <c r="R24" s="10"/>
      <c r="S24" s="12"/>
      <c r="T24" s="12">
        <f t="shared" si="10"/>
        <v>0</v>
      </c>
      <c r="U24" s="12">
        <f t="shared" si="11"/>
        <v>0</v>
      </c>
      <c r="V24" s="12">
        <f>Table14[[#This Row],[Enrolment S.Y. 2025-2026 ]]*8</f>
        <v>0</v>
      </c>
      <c r="W24" s="12"/>
      <c r="X24" s="10"/>
      <c r="Y24" s="12"/>
      <c r="Z24" s="12">
        <f t="shared" si="12"/>
        <v>0</v>
      </c>
      <c r="AA24" s="12">
        <f t="shared" si="13"/>
        <v>0</v>
      </c>
    </row>
    <row r="25" spans="1:27" ht="19.5">
      <c r="A25" s="37">
        <v>8</v>
      </c>
      <c r="B25" s="11" t="s">
        <v>91</v>
      </c>
      <c r="C25" s="12"/>
      <c r="D25" s="12">
        <f>Table14[[#This Row],[Enrolment S.Y. 2025-2026 ]]*8</f>
        <v>0</v>
      </c>
      <c r="E25" s="12"/>
      <c r="F25" s="10"/>
      <c r="G25" s="12"/>
      <c r="H25" s="12">
        <f>IF((D25-E25)&lt;0,0,(D25-E25))</f>
        <v>0</v>
      </c>
      <c r="I25" s="12">
        <f>IF((E25-D25)&lt;0,0,(E25-D25))</f>
        <v>0</v>
      </c>
      <c r="J25" s="12">
        <f>Table14[[#This Row],[Enrolment S.Y. 2025-2026 ]]*8</f>
        <v>0</v>
      </c>
      <c r="K25" s="12"/>
      <c r="L25" s="10"/>
      <c r="M25" s="12"/>
      <c r="N25" s="12">
        <f t="shared" si="18"/>
        <v>0</v>
      </c>
      <c r="O25" s="12">
        <f t="shared" si="19"/>
        <v>0</v>
      </c>
      <c r="P25" s="12">
        <f>Table14[[#This Row],[Enrolment S.Y. 2025-2026 ]]*8</f>
        <v>0</v>
      </c>
      <c r="Q25" s="12"/>
      <c r="R25" s="10"/>
      <c r="S25" s="12"/>
      <c r="T25" s="12">
        <f>IF((P25-Q25)&lt;0,0,(P25-Q25))</f>
        <v>0</v>
      </c>
      <c r="U25" s="12">
        <f>IF((Q25-P25)&lt;0,0,(Q25-P25))</f>
        <v>0</v>
      </c>
      <c r="V25" s="12">
        <f>Table14[[#This Row],[Enrolment S.Y. 2025-2026 ]]*8</f>
        <v>0</v>
      </c>
      <c r="W25" s="12"/>
      <c r="X25" s="10"/>
      <c r="Y25" s="12"/>
      <c r="Z25" s="12">
        <f>IF((V25-W25)&lt;0,0,(V25-W25))</f>
        <v>0</v>
      </c>
      <c r="AA25" s="12">
        <f>IF((W25-V25)&lt;0,0,(W25-V25))</f>
        <v>0</v>
      </c>
    </row>
    <row r="26" spans="1:27" ht="19.5">
      <c r="A26" s="10">
        <v>8</v>
      </c>
      <c r="B26" s="11" t="s">
        <v>92</v>
      </c>
      <c r="C26" s="10"/>
      <c r="D26" s="12">
        <f>Table14[[#This Row],[Enrolment S.Y. 2025-2026 ]]*8</f>
        <v>0</v>
      </c>
      <c r="E26" s="12"/>
      <c r="F26" s="10"/>
      <c r="G26" s="12"/>
      <c r="H26" s="12">
        <f t="shared" si="16"/>
        <v>0</v>
      </c>
      <c r="I26" s="12">
        <f t="shared" si="17"/>
        <v>0</v>
      </c>
      <c r="J26" s="12">
        <f>Table14[[#This Row],[Enrolment S.Y. 2025-2026 ]]*8</f>
        <v>0</v>
      </c>
      <c r="K26" s="12"/>
      <c r="L26" s="10"/>
      <c r="M26" s="12"/>
      <c r="N26" s="12">
        <f t="shared" si="18"/>
        <v>0</v>
      </c>
      <c r="O26" s="12">
        <f t="shared" si="19"/>
        <v>0</v>
      </c>
      <c r="P26" s="12">
        <f>Table14[[#This Row],[Enrolment S.Y. 2025-2026 ]]*8</f>
        <v>0</v>
      </c>
      <c r="Q26" s="12"/>
      <c r="R26" s="10"/>
      <c r="S26" s="12"/>
      <c r="T26" s="12">
        <f t="shared" si="10"/>
        <v>0</v>
      </c>
      <c r="U26" s="12">
        <f t="shared" si="11"/>
        <v>0</v>
      </c>
      <c r="V26" s="12">
        <f>Table14[[#This Row],[Enrolment S.Y. 2025-2026 ]]*8</f>
        <v>0</v>
      </c>
      <c r="W26" s="12"/>
      <c r="X26" s="10"/>
      <c r="Y26" s="12"/>
      <c r="Z26" s="12">
        <f t="shared" si="12"/>
        <v>0</v>
      </c>
      <c r="AA26" s="12">
        <f t="shared" si="13"/>
        <v>0</v>
      </c>
    </row>
    <row r="27" spans="1:27" ht="1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9.5">
      <c r="A28" s="10">
        <v>9</v>
      </c>
      <c r="B28" s="11" t="s">
        <v>14</v>
      </c>
      <c r="C28" s="10"/>
      <c r="D28" s="12">
        <f>Table14[[#This Row],[Enrolment S.Y. 2025-2026 ]]*8</f>
        <v>0</v>
      </c>
      <c r="E28" s="12"/>
      <c r="F28" s="10"/>
      <c r="G28" s="12"/>
      <c r="H28" s="12">
        <f t="shared" si="16"/>
        <v>0</v>
      </c>
      <c r="I28" s="12">
        <f t="shared" si="17"/>
        <v>0</v>
      </c>
      <c r="J28" s="12">
        <f>Table14[[#This Row],[Enrolment S.Y. 2025-2026 ]]*8</f>
        <v>0</v>
      </c>
      <c r="K28" s="12"/>
      <c r="L28" s="10"/>
      <c r="M28" s="12"/>
      <c r="N28" s="12">
        <f t="shared" si="14"/>
        <v>0</v>
      </c>
      <c r="O28" s="12">
        <f t="shared" si="15"/>
        <v>0</v>
      </c>
      <c r="P28" s="12">
        <f>Table14[[#This Row],[Enrolment S.Y. 2025-2026 ]]*8</f>
        <v>0</v>
      </c>
      <c r="Q28" s="12"/>
      <c r="R28" s="10"/>
      <c r="S28" s="12"/>
      <c r="T28" s="12">
        <f t="shared" si="10"/>
        <v>0</v>
      </c>
      <c r="U28" s="12">
        <f t="shared" si="11"/>
        <v>0</v>
      </c>
      <c r="V28" s="12">
        <f>Table14[[#This Row],[Enrolment S.Y. 2025-2026 ]]*8</f>
        <v>0</v>
      </c>
      <c r="W28" s="12"/>
      <c r="X28" s="10"/>
      <c r="Y28" s="12"/>
      <c r="Z28" s="12">
        <f t="shared" si="12"/>
        <v>0</v>
      </c>
      <c r="AA28" s="12">
        <f t="shared" si="13"/>
        <v>0</v>
      </c>
    </row>
    <row r="29" spans="1:27" ht="19.5">
      <c r="A29" s="10">
        <v>9</v>
      </c>
      <c r="B29" s="11" t="s">
        <v>15</v>
      </c>
      <c r="C29" s="10"/>
      <c r="D29" s="12">
        <f>Table14[[#This Row],[Enrolment S.Y. 2025-2026 ]]*8</f>
        <v>0</v>
      </c>
      <c r="E29" s="12"/>
      <c r="F29" s="10"/>
      <c r="G29" s="12"/>
      <c r="H29" s="12">
        <f t="shared" si="16"/>
        <v>0</v>
      </c>
      <c r="I29" s="12">
        <f t="shared" si="17"/>
        <v>0</v>
      </c>
      <c r="J29" s="12">
        <f>Table14[[#This Row],[Enrolment S.Y. 2025-2026 ]]*8</f>
        <v>0</v>
      </c>
      <c r="K29" s="12"/>
      <c r="L29" s="10"/>
      <c r="M29" s="12"/>
      <c r="N29" s="12">
        <f t="shared" si="14"/>
        <v>0</v>
      </c>
      <c r="O29" s="12">
        <f t="shared" si="15"/>
        <v>0</v>
      </c>
      <c r="P29" s="12">
        <f>Table14[[#This Row],[Enrolment S.Y. 2025-2026 ]]*8</f>
        <v>0</v>
      </c>
      <c r="Q29" s="12"/>
      <c r="R29" s="10"/>
      <c r="S29" s="12"/>
      <c r="T29" s="12">
        <f t="shared" si="10"/>
        <v>0</v>
      </c>
      <c r="U29" s="12">
        <f t="shared" si="11"/>
        <v>0</v>
      </c>
      <c r="V29" s="12">
        <f>Table14[[#This Row],[Enrolment S.Y. 2025-2026 ]]*8</f>
        <v>0</v>
      </c>
      <c r="W29" s="12"/>
      <c r="X29" s="10"/>
      <c r="Y29" s="12"/>
      <c r="Z29" s="12">
        <f t="shared" si="12"/>
        <v>0</v>
      </c>
      <c r="AA29" s="12">
        <f t="shared" si="13"/>
        <v>0</v>
      </c>
    </row>
    <row r="30" spans="1:27" s="7" customFormat="1" ht="19.5">
      <c r="A30" s="10">
        <v>9</v>
      </c>
      <c r="B30" s="11" t="s">
        <v>12</v>
      </c>
      <c r="C30" s="10"/>
      <c r="D30" s="12">
        <f>Table14[[#This Row],[Enrolment S.Y. 2025-2026 ]]*8</f>
        <v>0</v>
      </c>
      <c r="E30" s="12"/>
      <c r="F30" s="10"/>
      <c r="G30" s="12"/>
      <c r="H30" s="12">
        <f t="shared" si="16"/>
        <v>0</v>
      </c>
      <c r="I30" s="12">
        <f t="shared" si="17"/>
        <v>0</v>
      </c>
      <c r="J30" s="12">
        <f>Table14[[#This Row],[Enrolment S.Y. 2025-2026 ]]*8</f>
        <v>0</v>
      </c>
      <c r="K30" s="12"/>
      <c r="L30" s="10"/>
      <c r="M30" s="12"/>
      <c r="N30" s="12">
        <f t="shared" si="14"/>
        <v>0</v>
      </c>
      <c r="O30" s="12">
        <f t="shared" si="15"/>
        <v>0</v>
      </c>
      <c r="P30" s="12">
        <f>Table14[[#This Row],[Enrolment S.Y. 2025-2026 ]]*8</f>
        <v>0</v>
      </c>
      <c r="Q30" s="12"/>
      <c r="R30" s="10"/>
      <c r="S30" s="12"/>
      <c r="T30" s="12">
        <f t="shared" si="10"/>
        <v>0</v>
      </c>
      <c r="U30" s="12">
        <f t="shared" si="11"/>
        <v>0</v>
      </c>
      <c r="V30" s="12">
        <f>Table14[[#This Row],[Enrolment S.Y. 2025-2026 ]]*8</f>
        <v>0</v>
      </c>
      <c r="W30" s="12"/>
      <c r="X30" s="10"/>
      <c r="Y30" s="12"/>
      <c r="Z30" s="12">
        <f t="shared" si="12"/>
        <v>0</v>
      </c>
      <c r="AA30" s="12">
        <f t="shared" si="13"/>
        <v>0</v>
      </c>
    </row>
    <row r="31" spans="1:27" ht="19.5">
      <c r="A31" s="10">
        <v>9</v>
      </c>
      <c r="B31" s="11" t="s">
        <v>21</v>
      </c>
      <c r="C31" s="10"/>
      <c r="D31" s="12">
        <f>Table14[[#This Row],[Enrolment S.Y. 2025-2026 ]]*8</f>
        <v>0</v>
      </c>
      <c r="E31" s="12"/>
      <c r="F31" s="10"/>
      <c r="G31" s="12"/>
      <c r="H31" s="12">
        <f t="shared" si="16"/>
        <v>0</v>
      </c>
      <c r="I31" s="12">
        <f t="shared" si="17"/>
        <v>0</v>
      </c>
      <c r="J31" s="12">
        <f>Table14[[#This Row],[Enrolment S.Y. 2025-2026 ]]*8</f>
        <v>0</v>
      </c>
      <c r="K31" s="12"/>
      <c r="L31" s="10"/>
      <c r="M31" s="12"/>
      <c r="N31" s="12">
        <f t="shared" si="14"/>
        <v>0</v>
      </c>
      <c r="O31" s="12">
        <f t="shared" si="15"/>
        <v>0</v>
      </c>
      <c r="P31" s="12">
        <f>Table14[[#This Row],[Enrolment S.Y. 2025-2026 ]]*8</f>
        <v>0</v>
      </c>
      <c r="Q31" s="12"/>
      <c r="R31" s="10"/>
      <c r="S31" s="12"/>
      <c r="T31" s="12">
        <f t="shared" si="10"/>
        <v>0</v>
      </c>
      <c r="U31" s="12">
        <f t="shared" si="11"/>
        <v>0</v>
      </c>
      <c r="V31" s="12">
        <f>Table14[[#This Row],[Enrolment S.Y. 2025-2026 ]]*8</f>
        <v>0</v>
      </c>
      <c r="W31" s="12"/>
      <c r="X31" s="10"/>
      <c r="Y31" s="12"/>
      <c r="Z31" s="12">
        <f t="shared" si="12"/>
        <v>0</v>
      </c>
      <c r="AA31" s="12">
        <f t="shared" si="13"/>
        <v>0</v>
      </c>
    </row>
    <row r="32" spans="1:27" ht="19.5">
      <c r="A32" s="10">
        <v>9</v>
      </c>
      <c r="B32" s="11" t="s">
        <v>23</v>
      </c>
      <c r="C32" s="10"/>
      <c r="D32" s="12">
        <f>Table14[[#This Row],[Enrolment S.Y. 2025-2026 ]]*8</f>
        <v>0</v>
      </c>
      <c r="E32" s="12"/>
      <c r="F32" s="10"/>
      <c r="G32" s="12"/>
      <c r="H32" s="12">
        <f t="shared" si="16"/>
        <v>0</v>
      </c>
      <c r="I32" s="12">
        <f t="shared" si="17"/>
        <v>0</v>
      </c>
      <c r="J32" s="12">
        <f>Table14[[#This Row],[Enrolment S.Y. 2025-2026 ]]*8</f>
        <v>0</v>
      </c>
      <c r="K32" s="12"/>
      <c r="L32" s="10"/>
      <c r="M32" s="12"/>
      <c r="N32" s="12">
        <f t="shared" si="14"/>
        <v>0</v>
      </c>
      <c r="O32" s="12">
        <f t="shared" si="15"/>
        <v>0</v>
      </c>
      <c r="P32" s="12">
        <f>Table14[[#This Row],[Enrolment S.Y. 2025-2026 ]]*8</f>
        <v>0</v>
      </c>
      <c r="Q32" s="12"/>
      <c r="R32" s="10"/>
      <c r="S32" s="12"/>
      <c r="T32" s="12">
        <f t="shared" si="10"/>
        <v>0</v>
      </c>
      <c r="U32" s="12">
        <f t="shared" si="11"/>
        <v>0</v>
      </c>
      <c r="V32" s="12">
        <f>Table14[[#This Row],[Enrolment S.Y. 2025-2026 ]]*8</f>
        <v>0</v>
      </c>
      <c r="W32" s="12"/>
      <c r="X32" s="10"/>
      <c r="Y32" s="12"/>
      <c r="Z32" s="12">
        <f t="shared" si="12"/>
        <v>0</v>
      </c>
      <c r="AA32" s="12">
        <f t="shared" si="13"/>
        <v>0</v>
      </c>
    </row>
    <row r="33" spans="1:27" ht="19.5">
      <c r="A33" s="10">
        <v>9</v>
      </c>
      <c r="B33" s="11" t="s">
        <v>13</v>
      </c>
      <c r="C33" s="10"/>
      <c r="D33" s="12">
        <f>Table14[[#This Row],[Enrolment S.Y. 2025-2026 ]]*8</f>
        <v>0</v>
      </c>
      <c r="E33" s="12"/>
      <c r="F33" s="10"/>
      <c r="G33" s="12"/>
      <c r="H33" s="12">
        <f t="shared" si="16"/>
        <v>0</v>
      </c>
      <c r="I33" s="12">
        <f t="shared" si="17"/>
        <v>0</v>
      </c>
      <c r="J33" s="12">
        <f>Table14[[#This Row],[Enrolment S.Y. 2025-2026 ]]*8</f>
        <v>0</v>
      </c>
      <c r="K33" s="12"/>
      <c r="L33" s="10"/>
      <c r="M33" s="12"/>
      <c r="N33" s="12">
        <f t="shared" si="14"/>
        <v>0</v>
      </c>
      <c r="O33" s="12">
        <f t="shared" si="15"/>
        <v>0</v>
      </c>
      <c r="P33" s="12">
        <f>Table14[[#This Row],[Enrolment S.Y. 2025-2026 ]]*8</f>
        <v>0</v>
      </c>
      <c r="Q33" s="12"/>
      <c r="R33" s="10"/>
      <c r="S33" s="12"/>
      <c r="T33" s="12">
        <f t="shared" si="10"/>
        <v>0</v>
      </c>
      <c r="U33" s="12">
        <f t="shared" si="11"/>
        <v>0</v>
      </c>
      <c r="V33" s="12">
        <f>Table14[[#This Row],[Enrolment S.Y. 2025-2026 ]]*8</f>
        <v>0</v>
      </c>
      <c r="W33" s="12"/>
      <c r="X33" s="10"/>
      <c r="Y33" s="12"/>
      <c r="Z33" s="12">
        <f t="shared" si="12"/>
        <v>0</v>
      </c>
      <c r="AA33" s="12">
        <f t="shared" si="13"/>
        <v>0</v>
      </c>
    </row>
    <row r="34" spans="1:27" ht="19.5">
      <c r="A34" s="37">
        <v>9</v>
      </c>
      <c r="B34" s="11" t="s">
        <v>89</v>
      </c>
      <c r="C34" s="10"/>
      <c r="D34" s="12">
        <f>Table14[[#This Row],[Enrolment S.Y. 2025-2026 ]]*8</f>
        <v>0</v>
      </c>
      <c r="E34" s="12"/>
      <c r="F34" s="10"/>
      <c r="G34" s="12"/>
      <c r="H34" s="12">
        <f>IF((D34-E34)&lt;0,0,(D34-E34))</f>
        <v>0</v>
      </c>
      <c r="I34" s="12">
        <f>IF((E34-D34)&lt;0,0,(E34-D34))</f>
        <v>0</v>
      </c>
      <c r="J34" s="12">
        <f>Table14[[#This Row],[Enrolment S.Y. 2025-2026 ]]*8</f>
        <v>0</v>
      </c>
      <c r="K34" s="12"/>
      <c r="L34" s="10"/>
      <c r="M34" s="12"/>
      <c r="N34" s="12">
        <f t="shared" ref="N34:N38" si="20">IF((J34-K34)&lt;0,0,(J34-K34))</f>
        <v>0</v>
      </c>
      <c r="O34" s="12">
        <f t="shared" ref="O34:O38" si="21">IF((K34-J34)&lt;0,0,(K34-J34))</f>
        <v>0</v>
      </c>
      <c r="P34" s="12">
        <f>Table14[[#This Row],[Enrolment S.Y. 2025-2026 ]]*8</f>
        <v>0</v>
      </c>
      <c r="Q34" s="12"/>
      <c r="R34" s="10"/>
      <c r="S34" s="12"/>
      <c r="T34" s="12">
        <f>IF((P34-Q34)&lt;0,0,(P34-Q34))</f>
        <v>0</v>
      </c>
      <c r="U34" s="12">
        <f>IF((Q34-P34)&lt;0,0,(Q34-P34))</f>
        <v>0</v>
      </c>
      <c r="V34" s="12">
        <f>Table14[[#This Row],[Enrolment S.Y. 2025-2026 ]]*8</f>
        <v>0</v>
      </c>
      <c r="W34" s="12"/>
      <c r="X34" s="10"/>
      <c r="Y34" s="12"/>
      <c r="Z34" s="12">
        <f>IF((V34-W34)&lt;0,0,(V34-W34))</f>
        <v>0</v>
      </c>
      <c r="AA34" s="12">
        <f>IF((W34-V34)&lt;0,0,(W34-V34))</f>
        <v>0</v>
      </c>
    </row>
    <row r="35" spans="1:27" ht="19.5">
      <c r="A35" s="10">
        <v>9</v>
      </c>
      <c r="B35" s="11" t="s">
        <v>90</v>
      </c>
      <c r="C35" s="10"/>
      <c r="D35" s="12">
        <f>Table14[[#This Row],[Enrolment S.Y. 2025-2026 ]]*8</f>
        <v>0</v>
      </c>
      <c r="E35" s="12"/>
      <c r="F35" s="10"/>
      <c r="G35" s="12"/>
      <c r="H35" s="12">
        <f t="shared" si="16"/>
        <v>0</v>
      </c>
      <c r="I35" s="12">
        <f t="shared" si="17"/>
        <v>0</v>
      </c>
      <c r="J35" s="12">
        <f>Table14[[#This Row],[Enrolment S.Y. 2025-2026 ]]*8</f>
        <v>0</v>
      </c>
      <c r="K35" s="12"/>
      <c r="L35" s="10"/>
      <c r="M35" s="12"/>
      <c r="N35" s="12">
        <f t="shared" si="20"/>
        <v>0</v>
      </c>
      <c r="O35" s="12">
        <f t="shared" si="21"/>
        <v>0</v>
      </c>
      <c r="P35" s="12">
        <f>Table14[[#This Row],[Enrolment S.Y. 2025-2026 ]]*8</f>
        <v>0</v>
      </c>
      <c r="Q35" s="12"/>
      <c r="R35" s="10"/>
      <c r="S35" s="12"/>
      <c r="T35" s="12">
        <f t="shared" si="10"/>
        <v>0</v>
      </c>
      <c r="U35" s="12">
        <f t="shared" si="11"/>
        <v>0</v>
      </c>
      <c r="V35" s="12">
        <f>Table14[[#This Row],[Enrolment S.Y. 2025-2026 ]]*8</f>
        <v>0</v>
      </c>
      <c r="W35" s="12"/>
      <c r="X35" s="10"/>
      <c r="Y35" s="12"/>
      <c r="Z35" s="12">
        <f t="shared" si="12"/>
        <v>0</v>
      </c>
      <c r="AA35" s="12">
        <f t="shared" si="13"/>
        <v>0</v>
      </c>
    </row>
    <row r="36" spans="1:27" ht="19.5">
      <c r="A36" s="10">
        <v>9</v>
      </c>
      <c r="B36" s="11" t="s">
        <v>22</v>
      </c>
      <c r="C36" s="10"/>
      <c r="D36" s="12">
        <f>Table14[[#This Row],[Enrolment S.Y. 2025-2026 ]]*8</f>
        <v>0</v>
      </c>
      <c r="E36" s="12"/>
      <c r="F36" s="10"/>
      <c r="G36" s="12"/>
      <c r="H36" s="12">
        <f t="shared" si="16"/>
        <v>0</v>
      </c>
      <c r="I36" s="12">
        <f t="shared" si="17"/>
        <v>0</v>
      </c>
      <c r="J36" s="12">
        <f>Table14[[#This Row],[Enrolment S.Y. 2025-2026 ]]*8</f>
        <v>0</v>
      </c>
      <c r="K36" s="12"/>
      <c r="L36" s="10"/>
      <c r="M36" s="12"/>
      <c r="N36" s="12">
        <f t="shared" si="20"/>
        <v>0</v>
      </c>
      <c r="O36" s="12">
        <f t="shared" si="21"/>
        <v>0</v>
      </c>
      <c r="P36" s="12">
        <f>Table14[[#This Row],[Enrolment S.Y. 2025-2026 ]]*8</f>
        <v>0</v>
      </c>
      <c r="Q36" s="12"/>
      <c r="R36" s="10"/>
      <c r="S36" s="12"/>
      <c r="T36" s="12">
        <f t="shared" si="10"/>
        <v>0</v>
      </c>
      <c r="U36" s="12">
        <f t="shared" si="11"/>
        <v>0</v>
      </c>
      <c r="V36" s="12">
        <f>Table14[[#This Row],[Enrolment S.Y. 2025-2026 ]]*8</f>
        <v>0</v>
      </c>
      <c r="W36" s="12"/>
      <c r="X36" s="10"/>
      <c r="Y36" s="12"/>
      <c r="Z36" s="12">
        <f t="shared" si="12"/>
        <v>0</v>
      </c>
      <c r="AA36" s="12">
        <f t="shared" si="13"/>
        <v>0</v>
      </c>
    </row>
    <row r="37" spans="1:27" ht="19.5">
      <c r="A37" s="37">
        <v>9</v>
      </c>
      <c r="B37" s="11" t="s">
        <v>91</v>
      </c>
      <c r="C37" s="10"/>
      <c r="D37" s="12">
        <f>Table14[[#This Row],[Enrolment S.Y. 2025-2026 ]]*8</f>
        <v>0</v>
      </c>
      <c r="E37" s="12"/>
      <c r="F37" s="10"/>
      <c r="G37" s="12"/>
      <c r="H37" s="12">
        <f>IF((D37-E37)&lt;0,0,(D37-E37))</f>
        <v>0</v>
      </c>
      <c r="I37" s="12">
        <f>IF((E37-D37)&lt;0,0,(E37-D37))</f>
        <v>0</v>
      </c>
      <c r="J37" s="12">
        <f>Table14[[#This Row],[Enrolment S.Y. 2025-2026 ]]*8</f>
        <v>0</v>
      </c>
      <c r="K37" s="12"/>
      <c r="L37" s="10"/>
      <c r="M37" s="12"/>
      <c r="N37" s="12">
        <f t="shared" si="20"/>
        <v>0</v>
      </c>
      <c r="O37" s="12">
        <f t="shared" si="21"/>
        <v>0</v>
      </c>
      <c r="P37" s="12">
        <f>Table14[[#This Row],[Enrolment S.Y. 2025-2026 ]]*8</f>
        <v>0</v>
      </c>
      <c r="Q37" s="12"/>
      <c r="R37" s="10"/>
      <c r="S37" s="12"/>
      <c r="T37" s="12">
        <f>IF((P37-Q37)&lt;0,0,(P37-Q37))</f>
        <v>0</v>
      </c>
      <c r="U37" s="12">
        <f>IF((Q37-P37)&lt;0,0,(Q37-P37))</f>
        <v>0</v>
      </c>
      <c r="V37" s="12">
        <f>Table14[[#This Row],[Enrolment S.Y. 2025-2026 ]]*8</f>
        <v>0</v>
      </c>
      <c r="W37" s="12"/>
      <c r="X37" s="10"/>
      <c r="Y37" s="12"/>
      <c r="Z37" s="12">
        <f>IF((V37-W37)&lt;0,0,(V37-W37))</f>
        <v>0</v>
      </c>
      <c r="AA37" s="12">
        <f>IF((W37-V37)&lt;0,0,(W37-V37))</f>
        <v>0</v>
      </c>
    </row>
    <row r="38" spans="1:27" ht="19.5">
      <c r="A38" s="10">
        <v>9</v>
      </c>
      <c r="B38" s="11" t="s">
        <v>92</v>
      </c>
      <c r="C38" s="10"/>
      <c r="D38" s="12">
        <f>Table14[[#This Row],[Enrolment S.Y. 2025-2026 ]]*8</f>
        <v>0</v>
      </c>
      <c r="E38" s="12"/>
      <c r="F38" s="10"/>
      <c r="G38" s="12"/>
      <c r="H38" s="12">
        <f t="shared" si="16"/>
        <v>0</v>
      </c>
      <c r="I38" s="12">
        <f t="shared" si="17"/>
        <v>0</v>
      </c>
      <c r="J38" s="12">
        <f>Table14[[#This Row],[Enrolment S.Y. 2025-2026 ]]*8</f>
        <v>0</v>
      </c>
      <c r="K38" s="12"/>
      <c r="L38" s="10"/>
      <c r="M38" s="12"/>
      <c r="N38" s="12">
        <f t="shared" si="20"/>
        <v>0</v>
      </c>
      <c r="O38" s="12">
        <f t="shared" si="21"/>
        <v>0</v>
      </c>
      <c r="P38" s="12">
        <f>Table14[[#This Row],[Enrolment S.Y. 2025-2026 ]]*8</f>
        <v>0</v>
      </c>
      <c r="Q38" s="12"/>
      <c r="R38" s="10"/>
      <c r="S38" s="12"/>
      <c r="T38" s="12">
        <f t="shared" si="10"/>
        <v>0</v>
      </c>
      <c r="U38" s="12">
        <f t="shared" si="11"/>
        <v>0</v>
      </c>
      <c r="V38" s="12">
        <f>Table14[[#This Row],[Enrolment S.Y. 2025-2026 ]]*8</f>
        <v>0</v>
      </c>
      <c r="W38" s="12"/>
      <c r="X38" s="10"/>
      <c r="Y38" s="12"/>
      <c r="Z38" s="12">
        <f t="shared" si="12"/>
        <v>0</v>
      </c>
      <c r="AA38" s="12">
        <f t="shared" si="13"/>
        <v>0</v>
      </c>
    </row>
    <row r="39" spans="1:27" ht="1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9.5">
      <c r="A40" s="10">
        <v>10</v>
      </c>
      <c r="B40" s="11" t="s">
        <v>14</v>
      </c>
      <c r="C40" s="10"/>
      <c r="D40" s="12">
        <f>Table14[[#This Row],[Enrolment S.Y. 2025-2026 ]]*8</f>
        <v>0</v>
      </c>
      <c r="E40" s="12"/>
      <c r="F40" s="10"/>
      <c r="G40" s="12"/>
      <c r="H40" s="12">
        <f t="shared" si="16"/>
        <v>0</v>
      </c>
      <c r="I40" s="12">
        <f t="shared" si="17"/>
        <v>0</v>
      </c>
      <c r="J40" s="12">
        <f>Table14[[#This Row],[Enrolment S.Y. 2025-2026 ]]*8</f>
        <v>0</v>
      </c>
      <c r="K40" s="12"/>
      <c r="L40" s="10"/>
      <c r="M40" s="12"/>
      <c r="N40" s="12">
        <f t="shared" si="14"/>
        <v>0</v>
      </c>
      <c r="O40" s="12">
        <f t="shared" si="15"/>
        <v>0</v>
      </c>
      <c r="P40" s="12">
        <f>Table14[[#This Row],[Enrolment S.Y. 2025-2026 ]]*8</f>
        <v>0</v>
      </c>
      <c r="Q40" s="12"/>
      <c r="R40" s="10"/>
      <c r="S40" s="12"/>
      <c r="T40" s="12">
        <f t="shared" si="10"/>
        <v>0</v>
      </c>
      <c r="U40" s="12">
        <f t="shared" si="11"/>
        <v>0</v>
      </c>
      <c r="V40" s="12">
        <f>Table14[[#This Row],[Enrolment S.Y. 2025-2026 ]]*8</f>
        <v>0</v>
      </c>
      <c r="W40" s="12"/>
      <c r="X40" s="10"/>
      <c r="Y40" s="12"/>
      <c r="Z40" s="12">
        <f t="shared" si="12"/>
        <v>0</v>
      </c>
      <c r="AA40" s="12">
        <f t="shared" si="13"/>
        <v>0</v>
      </c>
    </row>
    <row r="41" spans="1:27" ht="19.5">
      <c r="A41" s="10">
        <v>10</v>
      </c>
      <c r="B41" s="11" t="s">
        <v>15</v>
      </c>
      <c r="C41" s="10"/>
      <c r="D41" s="12">
        <f>Table14[[#This Row],[Enrolment S.Y. 2025-2026 ]]*8</f>
        <v>0</v>
      </c>
      <c r="E41" s="12"/>
      <c r="F41" s="10"/>
      <c r="G41" s="12"/>
      <c r="H41" s="12">
        <f t="shared" si="16"/>
        <v>0</v>
      </c>
      <c r="I41" s="12">
        <f t="shared" si="17"/>
        <v>0</v>
      </c>
      <c r="J41" s="12">
        <f>Table14[[#This Row],[Enrolment S.Y. 2025-2026 ]]*8</f>
        <v>0</v>
      </c>
      <c r="K41" s="12"/>
      <c r="L41" s="10"/>
      <c r="M41" s="12"/>
      <c r="N41" s="12">
        <f t="shared" si="14"/>
        <v>0</v>
      </c>
      <c r="O41" s="12">
        <f t="shared" si="15"/>
        <v>0</v>
      </c>
      <c r="P41" s="12">
        <f>Table14[[#This Row],[Enrolment S.Y. 2025-2026 ]]*8</f>
        <v>0</v>
      </c>
      <c r="Q41" s="12"/>
      <c r="R41" s="10"/>
      <c r="S41" s="12"/>
      <c r="T41" s="12">
        <f t="shared" si="10"/>
        <v>0</v>
      </c>
      <c r="U41" s="12">
        <f t="shared" si="11"/>
        <v>0</v>
      </c>
      <c r="V41" s="12">
        <f>Table14[[#This Row],[Enrolment S.Y. 2025-2026 ]]*8</f>
        <v>0</v>
      </c>
      <c r="W41" s="12"/>
      <c r="X41" s="10"/>
      <c r="Y41" s="12"/>
      <c r="Z41" s="12">
        <f t="shared" si="12"/>
        <v>0</v>
      </c>
      <c r="AA41" s="12">
        <f t="shared" si="13"/>
        <v>0</v>
      </c>
    </row>
    <row r="42" spans="1:27" s="7" customFormat="1" ht="19.5">
      <c r="A42" s="10">
        <v>10</v>
      </c>
      <c r="B42" s="11" t="s">
        <v>12</v>
      </c>
      <c r="C42" s="10"/>
      <c r="D42" s="12">
        <v>200</v>
      </c>
      <c r="E42" s="12">
        <v>200</v>
      </c>
      <c r="F42" s="10">
        <v>2025</v>
      </c>
      <c r="G42" s="12" t="s">
        <v>20</v>
      </c>
      <c r="H42" s="12">
        <f t="shared" si="16"/>
        <v>0</v>
      </c>
      <c r="I42" s="12">
        <f t="shared" si="17"/>
        <v>0</v>
      </c>
      <c r="J42" s="12">
        <f>Table14[[#This Row],[Enrolment S.Y. 2025-2026 ]]*8</f>
        <v>0</v>
      </c>
      <c r="K42" s="12"/>
      <c r="L42" s="10"/>
      <c r="M42" s="12"/>
      <c r="N42" s="12">
        <f t="shared" si="14"/>
        <v>0</v>
      </c>
      <c r="O42" s="12">
        <f t="shared" si="15"/>
        <v>0</v>
      </c>
      <c r="P42" s="12">
        <f>Table14[[#This Row],[Enrolment S.Y. 2025-2026 ]]*8</f>
        <v>0</v>
      </c>
      <c r="Q42" s="12"/>
      <c r="R42" s="10"/>
      <c r="S42" s="12"/>
      <c r="T42" s="12">
        <f t="shared" si="10"/>
        <v>0</v>
      </c>
      <c r="U42" s="12">
        <f t="shared" si="11"/>
        <v>0</v>
      </c>
      <c r="V42" s="12">
        <f>Table14[[#This Row],[Enrolment S.Y. 2025-2026 ]]*8</f>
        <v>0</v>
      </c>
      <c r="W42" s="12"/>
      <c r="X42" s="10"/>
      <c r="Y42" s="12"/>
      <c r="Z42" s="12">
        <f t="shared" si="12"/>
        <v>0</v>
      </c>
      <c r="AA42" s="12">
        <f t="shared" si="13"/>
        <v>0</v>
      </c>
    </row>
    <row r="43" spans="1:27" ht="19.5">
      <c r="A43" s="10">
        <v>10</v>
      </c>
      <c r="B43" s="11" t="s">
        <v>21</v>
      </c>
      <c r="C43" s="10"/>
      <c r="D43" s="12">
        <f>Table14[[#This Row],[Enrolment S.Y. 2025-2026 ]]*8</f>
        <v>0</v>
      </c>
      <c r="E43" s="12"/>
      <c r="F43" s="10"/>
      <c r="G43" s="12"/>
      <c r="H43" s="12">
        <f t="shared" si="16"/>
        <v>0</v>
      </c>
      <c r="I43" s="12">
        <f t="shared" si="17"/>
        <v>0</v>
      </c>
      <c r="J43" s="12">
        <f>Table14[[#This Row],[Enrolment S.Y. 2025-2026 ]]*8</f>
        <v>0</v>
      </c>
      <c r="K43" s="12"/>
      <c r="L43" s="10"/>
      <c r="M43" s="12"/>
      <c r="N43" s="12">
        <f t="shared" si="14"/>
        <v>0</v>
      </c>
      <c r="O43" s="12">
        <f t="shared" si="15"/>
        <v>0</v>
      </c>
      <c r="P43" s="12">
        <f>Table14[[#This Row],[Enrolment S.Y. 2025-2026 ]]*8</f>
        <v>0</v>
      </c>
      <c r="Q43" s="12"/>
      <c r="R43" s="10"/>
      <c r="S43" s="12"/>
      <c r="T43" s="12">
        <f t="shared" si="10"/>
        <v>0</v>
      </c>
      <c r="U43" s="12">
        <f t="shared" si="11"/>
        <v>0</v>
      </c>
      <c r="V43" s="12">
        <f>Table14[[#This Row],[Enrolment S.Y. 2025-2026 ]]*8</f>
        <v>0</v>
      </c>
      <c r="W43" s="12"/>
      <c r="X43" s="10"/>
      <c r="Y43" s="12"/>
      <c r="Z43" s="12">
        <f t="shared" si="12"/>
        <v>0</v>
      </c>
      <c r="AA43" s="12">
        <f t="shared" si="13"/>
        <v>0</v>
      </c>
    </row>
    <row r="44" spans="1:27" ht="19.5">
      <c r="A44" s="10">
        <v>10</v>
      </c>
      <c r="B44" s="11" t="s">
        <v>23</v>
      </c>
      <c r="C44" s="10"/>
      <c r="D44" s="12">
        <f>Table14[[#This Row],[Enrolment S.Y. 2025-2026 ]]*8</f>
        <v>0</v>
      </c>
      <c r="E44" s="12"/>
      <c r="F44" s="10"/>
      <c r="G44" s="12"/>
      <c r="H44" s="12">
        <f t="shared" si="16"/>
        <v>0</v>
      </c>
      <c r="I44" s="12">
        <f t="shared" si="17"/>
        <v>0</v>
      </c>
      <c r="J44" s="12">
        <f>Table14[[#This Row],[Enrolment S.Y. 2025-2026 ]]*8</f>
        <v>0</v>
      </c>
      <c r="K44" s="12"/>
      <c r="L44" s="10"/>
      <c r="M44" s="12"/>
      <c r="N44" s="12">
        <f t="shared" si="14"/>
        <v>0</v>
      </c>
      <c r="O44" s="12">
        <f t="shared" si="15"/>
        <v>0</v>
      </c>
      <c r="P44" s="12">
        <f>Table14[[#This Row],[Enrolment S.Y. 2025-2026 ]]*8</f>
        <v>0</v>
      </c>
      <c r="Q44" s="12"/>
      <c r="R44" s="10"/>
      <c r="S44" s="12"/>
      <c r="T44" s="12">
        <f t="shared" si="10"/>
        <v>0</v>
      </c>
      <c r="U44" s="12">
        <f t="shared" si="11"/>
        <v>0</v>
      </c>
      <c r="V44" s="12">
        <f>Table14[[#This Row],[Enrolment S.Y. 2025-2026 ]]*8</f>
        <v>0</v>
      </c>
      <c r="W44" s="12"/>
      <c r="X44" s="10"/>
      <c r="Y44" s="12"/>
      <c r="Z44" s="12">
        <f t="shared" si="12"/>
        <v>0</v>
      </c>
      <c r="AA44" s="12">
        <f t="shared" si="13"/>
        <v>0</v>
      </c>
    </row>
    <row r="45" spans="1:27" ht="19.5">
      <c r="A45" s="10">
        <v>10</v>
      </c>
      <c r="B45" s="11" t="s">
        <v>13</v>
      </c>
      <c r="C45" s="10"/>
      <c r="D45" s="12">
        <f>Table14[[#This Row],[Enrolment S.Y. 2025-2026 ]]*8</f>
        <v>0</v>
      </c>
      <c r="E45" s="12"/>
      <c r="F45" s="10"/>
      <c r="G45" s="12"/>
      <c r="H45" s="12">
        <f t="shared" si="16"/>
        <v>0</v>
      </c>
      <c r="I45" s="12">
        <f t="shared" si="17"/>
        <v>0</v>
      </c>
      <c r="J45" s="12">
        <f>Table14[[#This Row],[Enrolment S.Y. 2025-2026 ]]*8</f>
        <v>0</v>
      </c>
      <c r="K45" s="12"/>
      <c r="L45" s="10"/>
      <c r="M45" s="12"/>
      <c r="N45" s="12">
        <f t="shared" si="14"/>
        <v>0</v>
      </c>
      <c r="O45" s="12">
        <f t="shared" si="15"/>
        <v>0</v>
      </c>
      <c r="P45" s="12">
        <f>Table14[[#This Row],[Enrolment S.Y. 2025-2026 ]]*8</f>
        <v>0</v>
      </c>
      <c r="Q45" s="12"/>
      <c r="R45" s="10"/>
      <c r="S45" s="12"/>
      <c r="T45" s="12">
        <f t="shared" si="10"/>
        <v>0</v>
      </c>
      <c r="U45" s="12">
        <f t="shared" si="11"/>
        <v>0</v>
      </c>
      <c r="V45" s="12">
        <f>Table14[[#This Row],[Enrolment S.Y. 2025-2026 ]]*8</f>
        <v>0</v>
      </c>
      <c r="W45" s="12"/>
      <c r="X45" s="10"/>
      <c r="Y45" s="12"/>
      <c r="Z45" s="12">
        <f t="shared" si="12"/>
        <v>0</v>
      </c>
      <c r="AA45" s="12">
        <f t="shared" si="13"/>
        <v>0</v>
      </c>
    </row>
    <row r="46" spans="1:27" ht="19.5">
      <c r="A46" s="37">
        <v>10</v>
      </c>
      <c r="B46" s="11" t="s">
        <v>89</v>
      </c>
      <c r="C46" s="10"/>
      <c r="D46" s="12">
        <f>Table14[[#This Row],[Enrolment S.Y. 2025-2026 ]]*8</f>
        <v>0</v>
      </c>
      <c r="E46" s="12"/>
      <c r="F46" s="10"/>
      <c r="G46" s="12"/>
      <c r="H46" s="12">
        <f>IF((D46-E46)&lt;0,0,(D46-E46))</f>
        <v>0</v>
      </c>
      <c r="I46" s="12">
        <f>IF((E46-D46)&lt;0,0,(E46-D46))</f>
        <v>0</v>
      </c>
      <c r="J46" s="12">
        <f>Table14[[#This Row],[Enrolment S.Y. 2025-2026 ]]*8</f>
        <v>0</v>
      </c>
      <c r="K46" s="12"/>
      <c r="L46" s="10"/>
      <c r="M46" s="12"/>
      <c r="N46" s="12">
        <f t="shared" ref="N46:N50" si="22">IF((J46-K46)&lt;0,0,(J46-K46))</f>
        <v>0</v>
      </c>
      <c r="O46" s="12">
        <f t="shared" ref="O46:O50" si="23">IF((K46-J46)&lt;0,0,(K46-J46))</f>
        <v>0</v>
      </c>
      <c r="P46" s="12">
        <f>Table14[[#This Row],[Enrolment S.Y. 2025-2026 ]]*8</f>
        <v>0</v>
      </c>
      <c r="Q46" s="12"/>
      <c r="R46" s="10"/>
      <c r="S46" s="12"/>
      <c r="T46" s="12">
        <f>IF((P46-Q46)&lt;0,0,(P46-Q46))</f>
        <v>0</v>
      </c>
      <c r="U46" s="12">
        <f>IF((Q46-P46)&lt;0,0,(Q46-P46))</f>
        <v>0</v>
      </c>
      <c r="V46" s="12">
        <f>Table14[[#This Row],[Enrolment S.Y. 2025-2026 ]]*8</f>
        <v>0</v>
      </c>
      <c r="W46" s="12"/>
      <c r="X46" s="10"/>
      <c r="Y46" s="12"/>
      <c r="Z46" s="12">
        <f>IF((V46-W46)&lt;0,0,(V46-W46))</f>
        <v>0</v>
      </c>
      <c r="AA46" s="12">
        <f>IF((W46-V46)&lt;0,0,(W46-V46))</f>
        <v>0</v>
      </c>
    </row>
    <row r="47" spans="1:27" ht="19.5">
      <c r="A47" s="10">
        <v>10</v>
      </c>
      <c r="B47" s="11" t="s">
        <v>90</v>
      </c>
      <c r="C47" s="10"/>
      <c r="D47" s="12">
        <f>Table14[[#This Row],[Enrolment S.Y. 2025-2026 ]]*8</f>
        <v>0</v>
      </c>
      <c r="E47" s="12"/>
      <c r="F47" s="10"/>
      <c r="G47" s="12"/>
      <c r="H47" s="12">
        <f t="shared" si="16"/>
        <v>0</v>
      </c>
      <c r="I47" s="12">
        <f t="shared" si="17"/>
        <v>0</v>
      </c>
      <c r="J47" s="12">
        <f>Table14[[#This Row],[Enrolment S.Y. 2025-2026 ]]*8</f>
        <v>0</v>
      </c>
      <c r="K47" s="12"/>
      <c r="L47" s="10"/>
      <c r="M47" s="12"/>
      <c r="N47" s="12">
        <f t="shared" si="22"/>
        <v>0</v>
      </c>
      <c r="O47" s="12">
        <f t="shared" si="23"/>
        <v>0</v>
      </c>
      <c r="P47" s="12">
        <f>Table14[[#This Row],[Enrolment S.Y. 2025-2026 ]]*8</f>
        <v>0</v>
      </c>
      <c r="Q47" s="12"/>
      <c r="R47" s="10"/>
      <c r="S47" s="12"/>
      <c r="T47" s="12">
        <f t="shared" si="10"/>
        <v>0</v>
      </c>
      <c r="U47" s="12">
        <f t="shared" si="11"/>
        <v>0</v>
      </c>
      <c r="V47" s="12">
        <f>Table14[[#This Row],[Enrolment S.Y. 2025-2026 ]]*8</f>
        <v>0</v>
      </c>
      <c r="W47" s="12"/>
      <c r="X47" s="10"/>
      <c r="Y47" s="12"/>
      <c r="Z47" s="12">
        <f t="shared" si="12"/>
        <v>0</v>
      </c>
      <c r="AA47" s="12">
        <f t="shared" si="13"/>
        <v>0</v>
      </c>
    </row>
    <row r="48" spans="1:27" ht="19.5">
      <c r="A48" s="10">
        <v>10</v>
      </c>
      <c r="B48" s="11" t="s">
        <v>22</v>
      </c>
      <c r="C48" s="10"/>
      <c r="D48" s="12">
        <f>Table14[[#This Row],[Enrolment S.Y. 2025-2026 ]]*8</f>
        <v>0</v>
      </c>
      <c r="E48" s="12"/>
      <c r="F48" s="10"/>
      <c r="G48" s="12"/>
      <c r="H48" s="12">
        <f t="shared" si="16"/>
        <v>0</v>
      </c>
      <c r="I48" s="12">
        <f t="shared" si="17"/>
        <v>0</v>
      </c>
      <c r="J48" s="12">
        <f>Table14[[#This Row],[Enrolment S.Y. 2025-2026 ]]*8</f>
        <v>0</v>
      </c>
      <c r="K48" s="12"/>
      <c r="L48" s="10"/>
      <c r="M48" s="12"/>
      <c r="N48" s="12">
        <f t="shared" si="22"/>
        <v>0</v>
      </c>
      <c r="O48" s="12">
        <f t="shared" si="23"/>
        <v>0</v>
      </c>
      <c r="P48" s="12">
        <f>Table14[[#This Row],[Enrolment S.Y. 2025-2026 ]]*8</f>
        <v>0</v>
      </c>
      <c r="Q48" s="12"/>
      <c r="R48" s="10"/>
      <c r="S48" s="12"/>
      <c r="T48" s="12">
        <f t="shared" si="10"/>
        <v>0</v>
      </c>
      <c r="U48" s="12">
        <f t="shared" si="11"/>
        <v>0</v>
      </c>
      <c r="V48" s="12">
        <f>Table14[[#This Row],[Enrolment S.Y. 2025-2026 ]]*8</f>
        <v>0</v>
      </c>
      <c r="W48" s="12"/>
      <c r="X48" s="10"/>
      <c r="Y48" s="12"/>
      <c r="Z48" s="12">
        <f t="shared" si="12"/>
        <v>0</v>
      </c>
      <c r="AA48" s="12">
        <f t="shared" si="13"/>
        <v>0</v>
      </c>
    </row>
    <row r="49" spans="1:27" ht="19.5">
      <c r="A49" s="37">
        <v>10</v>
      </c>
      <c r="B49" s="11" t="s">
        <v>91</v>
      </c>
      <c r="C49" s="10"/>
      <c r="D49" s="12">
        <f>Table14[[#This Row],[Enrolment S.Y. 2025-2026 ]]*8</f>
        <v>0</v>
      </c>
      <c r="E49" s="12"/>
      <c r="F49" s="10"/>
      <c r="G49" s="12"/>
      <c r="H49" s="12">
        <f>IF((D49-E49)&lt;0,0,(D49-E49))</f>
        <v>0</v>
      </c>
      <c r="I49" s="12">
        <f>IF((E49-D49)&lt;0,0,(E49-D49))</f>
        <v>0</v>
      </c>
      <c r="J49" s="12">
        <f>Table14[[#This Row],[Enrolment S.Y. 2025-2026 ]]*8</f>
        <v>0</v>
      </c>
      <c r="K49" s="12"/>
      <c r="L49" s="10"/>
      <c r="M49" s="12"/>
      <c r="N49" s="12">
        <f t="shared" si="22"/>
        <v>0</v>
      </c>
      <c r="O49" s="12">
        <f t="shared" si="23"/>
        <v>0</v>
      </c>
      <c r="P49" s="12">
        <f>Table14[[#This Row],[Enrolment S.Y. 2025-2026 ]]*8</f>
        <v>0</v>
      </c>
      <c r="Q49" s="12"/>
      <c r="R49" s="10"/>
      <c r="S49" s="12"/>
      <c r="T49" s="12">
        <f>IF((P49-Q49)&lt;0,0,(P49-Q49))</f>
        <v>0</v>
      </c>
      <c r="U49" s="12">
        <f>IF((Q49-P49)&lt;0,0,(Q49-P49))</f>
        <v>0</v>
      </c>
      <c r="V49" s="12">
        <f>Table14[[#This Row],[Enrolment S.Y. 2025-2026 ]]*8</f>
        <v>0</v>
      </c>
      <c r="W49" s="12"/>
      <c r="X49" s="10"/>
      <c r="Y49" s="12"/>
      <c r="Z49" s="12">
        <f>IF((V49-W49)&lt;0,0,(V49-W49))</f>
        <v>0</v>
      </c>
      <c r="AA49" s="12">
        <f>IF((W49-V49)&lt;0,0,(W49-V49))</f>
        <v>0</v>
      </c>
    </row>
    <row r="50" spans="1:27" ht="19.5">
      <c r="A50" s="10">
        <v>10</v>
      </c>
      <c r="B50" s="11" t="s">
        <v>92</v>
      </c>
      <c r="C50" s="10"/>
      <c r="D50" s="12">
        <f>Table14[[#This Row],[Enrolment S.Y. 2025-2026 ]]*8</f>
        <v>0</v>
      </c>
      <c r="E50" s="12"/>
      <c r="F50" s="10"/>
      <c r="G50" s="12"/>
      <c r="H50" s="12">
        <f t="shared" si="16"/>
        <v>0</v>
      </c>
      <c r="I50" s="12">
        <f t="shared" si="17"/>
        <v>0</v>
      </c>
      <c r="J50" s="12">
        <f>Table14[[#This Row],[Enrolment S.Y. 2025-2026 ]]*8</f>
        <v>0</v>
      </c>
      <c r="K50" s="12"/>
      <c r="L50" s="10"/>
      <c r="M50" s="12"/>
      <c r="N50" s="12">
        <f t="shared" si="22"/>
        <v>0</v>
      </c>
      <c r="O50" s="12">
        <f t="shared" si="23"/>
        <v>0</v>
      </c>
      <c r="P50" s="12">
        <f>Table14[[#This Row],[Enrolment S.Y. 2025-2026 ]]*8</f>
        <v>0</v>
      </c>
      <c r="Q50" s="12"/>
      <c r="R50" s="10"/>
      <c r="S50" s="12"/>
      <c r="T50" s="12">
        <f t="shared" si="10"/>
        <v>0</v>
      </c>
      <c r="U50" s="12">
        <f t="shared" si="11"/>
        <v>0</v>
      </c>
      <c r="V50" s="12">
        <f>Table14[[#This Row],[Enrolment S.Y. 2025-2026 ]]*8</f>
        <v>0</v>
      </c>
      <c r="W50" s="12"/>
      <c r="X50" s="10"/>
      <c r="Y50" s="12"/>
      <c r="Z50" s="12">
        <f t="shared" si="12"/>
        <v>0</v>
      </c>
      <c r="AA50" s="12">
        <f t="shared" si="13"/>
        <v>0</v>
      </c>
    </row>
    <row r="51" spans="1:27" ht="1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38.25">
      <c r="A52" s="1" t="s">
        <v>24</v>
      </c>
      <c r="B52" s="9" t="s">
        <v>25</v>
      </c>
      <c r="C52" s="1"/>
      <c r="D52" s="5">
        <f>Table14[[#This Row],[Enrolment S.Y. 2025-2026 ]]*8</f>
        <v>0</v>
      </c>
      <c r="E52" s="5"/>
      <c r="F52" s="1"/>
      <c r="G52" s="5"/>
      <c r="H52" s="5">
        <f t="shared" si="16"/>
        <v>0</v>
      </c>
      <c r="I52" s="5">
        <f t="shared" si="17"/>
        <v>0</v>
      </c>
      <c r="J52" s="5">
        <f>Table14[[#This Row],[Enrolment S.Y. 2025-2026 ]]*8</f>
        <v>0</v>
      </c>
      <c r="K52" s="5"/>
      <c r="L52" s="1"/>
      <c r="M52" s="5"/>
      <c r="N52" s="5">
        <f t="shared" si="14"/>
        <v>0</v>
      </c>
      <c r="O52" s="5">
        <f t="shared" si="15"/>
        <v>0</v>
      </c>
      <c r="P52" s="5">
        <f>Table14[[#This Row],[Enrolment S.Y. 2025-2026 ]]*8</f>
        <v>0</v>
      </c>
      <c r="Q52" s="5"/>
      <c r="R52" s="1"/>
      <c r="S52" s="5"/>
      <c r="T52" s="5">
        <f t="shared" si="10"/>
        <v>0</v>
      </c>
      <c r="U52" s="5">
        <f t="shared" si="11"/>
        <v>0</v>
      </c>
      <c r="V52" s="5">
        <f>Table14[[#This Row],[Enrolment S.Y. 2025-2026 ]]*8</f>
        <v>0</v>
      </c>
      <c r="W52" s="5"/>
      <c r="X52" s="1"/>
      <c r="Y52" s="5"/>
      <c r="Z52" s="5">
        <f t="shared" si="12"/>
        <v>0</v>
      </c>
      <c r="AA52" s="5">
        <f t="shared" si="13"/>
        <v>0</v>
      </c>
    </row>
    <row r="53" spans="1:27" ht="19.5">
      <c r="A53" s="1" t="s">
        <v>24</v>
      </c>
      <c r="B53" s="9" t="s">
        <v>26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16"/>
        <v>0</v>
      </c>
      <c r="I53" s="5">
        <f t="shared" si="17"/>
        <v>0</v>
      </c>
      <c r="J53" s="5">
        <f>Table14[[#This Row],[Enrolment S.Y. 2025-2026 ]]*8</f>
        <v>0</v>
      </c>
      <c r="K53" s="5"/>
      <c r="L53" s="1"/>
      <c r="M53" s="5"/>
      <c r="N53" s="5">
        <f t="shared" si="14"/>
        <v>0</v>
      </c>
      <c r="O53" s="5">
        <f t="shared" si="15"/>
        <v>0</v>
      </c>
      <c r="P53" s="5">
        <f>Table14[[#This Row],[Enrolment S.Y. 2025-2026 ]]*8</f>
        <v>0</v>
      </c>
      <c r="Q53" s="5"/>
      <c r="R53" s="1"/>
      <c r="S53" s="5"/>
      <c r="T53" s="5">
        <f t="shared" si="10"/>
        <v>0</v>
      </c>
      <c r="U53" s="5">
        <f t="shared" si="11"/>
        <v>0</v>
      </c>
      <c r="V53" s="5">
        <f>Table14[[#This Row],[Enrolment S.Y. 2025-2026 ]]*8</f>
        <v>0</v>
      </c>
      <c r="W53" s="5"/>
      <c r="X53" s="1"/>
      <c r="Y53" s="5"/>
      <c r="Z53" s="5">
        <f t="shared" si="12"/>
        <v>0</v>
      </c>
      <c r="AA53" s="5">
        <f t="shared" si="13"/>
        <v>0</v>
      </c>
    </row>
    <row r="54" spans="1:27" s="7" customFormat="1" ht="19.5">
      <c r="A54" s="1" t="s">
        <v>24</v>
      </c>
      <c r="B54" s="9" t="s">
        <v>27</v>
      </c>
      <c r="C54" s="1"/>
      <c r="D54" s="5">
        <f>Table14[[#This Row],[Enrolment S.Y. 2025-2026 ]]*8</f>
        <v>0</v>
      </c>
      <c r="E54" s="5"/>
      <c r="F54" s="1"/>
      <c r="G54" s="5"/>
      <c r="H54" s="5">
        <f t="shared" si="16"/>
        <v>0</v>
      </c>
      <c r="I54" s="5">
        <f t="shared" si="17"/>
        <v>0</v>
      </c>
      <c r="J54" s="5">
        <f>Table14[[#This Row],[Enrolment S.Y. 2025-2026 ]]*8</f>
        <v>0</v>
      </c>
      <c r="K54" s="5"/>
      <c r="L54" s="1"/>
      <c r="M54" s="5"/>
      <c r="N54" s="5">
        <f t="shared" si="14"/>
        <v>0</v>
      </c>
      <c r="O54" s="5">
        <f t="shared" si="15"/>
        <v>0</v>
      </c>
      <c r="P54" s="5">
        <f>Table14[[#This Row],[Enrolment S.Y. 2025-2026 ]]*8</f>
        <v>0</v>
      </c>
      <c r="Q54" s="5"/>
      <c r="R54" s="1"/>
      <c r="S54" s="5"/>
      <c r="T54" s="5">
        <f t="shared" si="10"/>
        <v>0</v>
      </c>
      <c r="U54" s="5">
        <f t="shared" si="11"/>
        <v>0</v>
      </c>
      <c r="V54" s="5">
        <f>Table14[[#This Row],[Enrolment S.Y. 2025-2026 ]]*8</f>
        <v>0</v>
      </c>
      <c r="W54" s="5"/>
      <c r="X54" s="1"/>
      <c r="Y54" s="5"/>
      <c r="Z54" s="5">
        <f t="shared" si="12"/>
        <v>0</v>
      </c>
      <c r="AA54" s="5">
        <f t="shared" si="13"/>
        <v>0</v>
      </c>
    </row>
    <row r="55" spans="1:27" ht="19.5">
      <c r="A55" s="1" t="s">
        <v>24</v>
      </c>
      <c r="B55" s="9" t="s">
        <v>28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16"/>
        <v>0</v>
      </c>
      <c r="I55" s="5">
        <f t="shared" si="17"/>
        <v>0</v>
      </c>
      <c r="J55" s="5">
        <f>Table14[[#This Row],[Enrolment S.Y. 2025-2026 ]]*8</f>
        <v>0</v>
      </c>
      <c r="K55" s="5"/>
      <c r="L55" s="1"/>
      <c r="M55" s="5"/>
      <c r="N55" s="5">
        <f t="shared" si="14"/>
        <v>0</v>
      </c>
      <c r="O55" s="5">
        <f t="shared" si="15"/>
        <v>0</v>
      </c>
      <c r="P55" s="5">
        <f>Table14[[#This Row],[Enrolment S.Y. 2025-2026 ]]*8</f>
        <v>0</v>
      </c>
      <c r="Q55" s="5"/>
      <c r="R55" s="1"/>
      <c r="S55" s="5"/>
      <c r="T55" s="5">
        <f t="shared" si="10"/>
        <v>0</v>
      </c>
      <c r="U55" s="5">
        <f t="shared" si="11"/>
        <v>0</v>
      </c>
      <c r="V55" s="5">
        <f>Table14[[#This Row],[Enrolment S.Y. 2025-2026 ]]*8</f>
        <v>0</v>
      </c>
      <c r="W55" s="5"/>
      <c r="X55" s="1"/>
      <c r="Y55" s="5"/>
      <c r="Z55" s="5">
        <f t="shared" si="12"/>
        <v>0</v>
      </c>
      <c r="AA55" s="5">
        <f t="shared" si="13"/>
        <v>0</v>
      </c>
    </row>
    <row r="56" spans="1:27" ht="38.25">
      <c r="A56" s="1" t="s">
        <v>24</v>
      </c>
      <c r="B56" s="9" t="s">
        <v>29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16"/>
        <v>0</v>
      </c>
      <c r="I56" s="5">
        <f t="shared" si="17"/>
        <v>0</v>
      </c>
      <c r="J56" s="5">
        <f>Table14[[#This Row],[Enrolment S.Y. 2025-2026 ]]*8</f>
        <v>0</v>
      </c>
      <c r="K56" s="5"/>
      <c r="L56" s="1"/>
      <c r="M56" s="5"/>
      <c r="N56" s="5">
        <f t="shared" si="14"/>
        <v>0</v>
      </c>
      <c r="O56" s="5">
        <f t="shared" si="15"/>
        <v>0</v>
      </c>
      <c r="P56" s="5">
        <f>Table14[[#This Row],[Enrolment S.Y. 2025-2026 ]]*8</f>
        <v>0</v>
      </c>
      <c r="Q56" s="5"/>
      <c r="R56" s="1"/>
      <c r="S56" s="5"/>
      <c r="T56" s="5">
        <f t="shared" si="10"/>
        <v>0</v>
      </c>
      <c r="U56" s="5">
        <f t="shared" si="11"/>
        <v>0</v>
      </c>
      <c r="V56" s="5">
        <f>Table14[[#This Row],[Enrolment S.Y. 2025-2026 ]]*8</f>
        <v>0</v>
      </c>
      <c r="W56" s="5"/>
      <c r="X56" s="1"/>
      <c r="Y56" s="5"/>
      <c r="Z56" s="5">
        <f t="shared" si="12"/>
        <v>0</v>
      </c>
      <c r="AA56" s="5">
        <f t="shared" si="13"/>
        <v>0</v>
      </c>
    </row>
    <row r="57" spans="1:27" ht="38.25">
      <c r="A57" s="1" t="s">
        <v>24</v>
      </c>
      <c r="B57" s="9" t="s">
        <v>30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16"/>
        <v>0</v>
      </c>
      <c r="I57" s="5">
        <f t="shared" si="17"/>
        <v>0</v>
      </c>
      <c r="J57" s="5">
        <f>Table14[[#This Row],[Enrolment S.Y. 2025-2026 ]]*8</f>
        <v>0</v>
      </c>
      <c r="K57" s="5"/>
      <c r="L57" s="1"/>
      <c r="M57" s="5"/>
      <c r="N57" s="5">
        <f t="shared" si="14"/>
        <v>0</v>
      </c>
      <c r="O57" s="5">
        <f t="shared" si="15"/>
        <v>0</v>
      </c>
      <c r="P57" s="5">
        <f>Table14[[#This Row],[Enrolment S.Y. 2025-2026 ]]*8</f>
        <v>0</v>
      </c>
      <c r="Q57" s="5"/>
      <c r="R57" s="1"/>
      <c r="S57" s="5"/>
      <c r="T57" s="5">
        <f t="shared" si="10"/>
        <v>0</v>
      </c>
      <c r="U57" s="5">
        <f t="shared" si="11"/>
        <v>0</v>
      </c>
      <c r="V57" s="5">
        <f>Table14[[#This Row],[Enrolment S.Y. 2025-2026 ]]*8</f>
        <v>0</v>
      </c>
      <c r="W57" s="5"/>
      <c r="X57" s="1"/>
      <c r="Y57" s="5"/>
      <c r="Z57" s="5">
        <f t="shared" si="12"/>
        <v>0</v>
      </c>
      <c r="AA57" s="5">
        <f t="shared" si="13"/>
        <v>0</v>
      </c>
    </row>
    <row r="58" spans="1:27" ht="57.75">
      <c r="A58" s="1" t="s">
        <v>24</v>
      </c>
      <c r="B58" s="9" t="s">
        <v>31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16"/>
        <v>0</v>
      </c>
      <c r="I58" s="5">
        <f t="shared" si="17"/>
        <v>0</v>
      </c>
      <c r="J58" s="5">
        <f>Table14[[#This Row],[Enrolment S.Y. 2025-2026 ]]*8</f>
        <v>0</v>
      </c>
      <c r="K58" s="5"/>
      <c r="L58" s="1"/>
      <c r="M58" s="5"/>
      <c r="N58" s="5">
        <f t="shared" si="14"/>
        <v>0</v>
      </c>
      <c r="O58" s="5">
        <f t="shared" si="15"/>
        <v>0</v>
      </c>
      <c r="P58" s="5">
        <f>Table14[[#This Row],[Enrolment S.Y. 2025-2026 ]]*8</f>
        <v>0</v>
      </c>
      <c r="Q58" s="5"/>
      <c r="R58" s="1"/>
      <c r="S58" s="5"/>
      <c r="T58" s="5">
        <f t="shared" si="10"/>
        <v>0</v>
      </c>
      <c r="U58" s="5">
        <f t="shared" si="11"/>
        <v>0</v>
      </c>
      <c r="V58" s="5">
        <f>Table14[[#This Row],[Enrolment S.Y. 2025-2026 ]]*8</f>
        <v>0</v>
      </c>
      <c r="W58" s="5"/>
      <c r="X58" s="1"/>
      <c r="Y58" s="5"/>
      <c r="Z58" s="5">
        <f t="shared" si="12"/>
        <v>0</v>
      </c>
      <c r="AA58" s="5">
        <f t="shared" si="13"/>
        <v>0</v>
      </c>
    </row>
    <row r="59" spans="1:27" ht="38.25">
      <c r="A59" s="1" t="s">
        <v>24</v>
      </c>
      <c r="B59" s="9" t="s">
        <v>32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16"/>
        <v>0</v>
      </c>
      <c r="I59" s="5">
        <f t="shared" si="17"/>
        <v>0</v>
      </c>
      <c r="J59" s="5">
        <f>Table14[[#This Row],[Enrolment S.Y. 2025-2026 ]]*8</f>
        <v>0</v>
      </c>
      <c r="K59" s="5"/>
      <c r="L59" s="1"/>
      <c r="M59" s="5"/>
      <c r="N59" s="5">
        <f t="shared" si="14"/>
        <v>0</v>
      </c>
      <c r="O59" s="5">
        <f t="shared" si="15"/>
        <v>0</v>
      </c>
      <c r="P59" s="5">
        <f>Table14[[#This Row],[Enrolment S.Y. 2025-2026 ]]*8</f>
        <v>0</v>
      </c>
      <c r="Q59" s="5"/>
      <c r="R59" s="1"/>
      <c r="S59" s="5"/>
      <c r="T59" s="5">
        <f t="shared" si="10"/>
        <v>0</v>
      </c>
      <c r="U59" s="5">
        <f t="shared" si="11"/>
        <v>0</v>
      </c>
      <c r="V59" s="5">
        <f>Table14[[#This Row],[Enrolment S.Y. 2025-2026 ]]*8</f>
        <v>0</v>
      </c>
      <c r="W59" s="5"/>
      <c r="X59" s="1"/>
      <c r="Y59" s="5"/>
      <c r="Z59" s="5">
        <f t="shared" si="12"/>
        <v>0</v>
      </c>
      <c r="AA59" s="5">
        <f t="shared" si="13"/>
        <v>0</v>
      </c>
    </row>
    <row r="60" spans="1:27" ht="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s="7" customFormat="1" ht="15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30" customHeight="1"/>
    <row r="121" spans="1:28" ht="46.5" customHeight="1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8:C38 C4:C14 C16:C26 C52:C59 C40:C50 C2" name="Textbooks"/>
    <protectedRange sqref="J2:L2 H52:L59 D40:F50 N16:R26 N28:R38 N40:R50 P2:R2 D4:F14 D16:F26 D28:F38 D52:F59 N4:R14 V2:X2 T4:X14 Z4:AA14 H4:L14 T16:X26 Z16:AA26 H16:L26 T28:X38 Z28:AA38 H28:L38 T40:X50 Z40:AA50 H40:L50 N52:R59 T52:X59 Z52:AA59 D2:F2" name="LAS"/>
    <protectedRange sqref="G2:I2 M2:O2 S2:U2 Y2:AA2 Y52:Y59 G52:G59 M52:M59 S52:S59 Y4:Y14 G4:G14 M4:M14 S4:S14 Y16:Y26 G16:G26 M16:M26 S16:S26 Y28:Y38 G28:G38 M28:M38 S28:S38 Y40:Y50 G40:G50 M40:M50 S40:S5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X52:X59 X40:X50 X28:X38 X16:X26 X4:X14 F52:F59 F40:F50 F28:F38 F16:F26 F4:F14 L52:L59 L40:L50 L28:L38 L16:L26 L4:L14 R52:R59 R40:R50 R28:R38 R16:R26 R4:R14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2026-04-07T02:59:56Z</dcterms:modified>
  <cp:category/>
  <cp:contentStatus/>
</cp:coreProperties>
</file>