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4" documentId="13_ncr:1_{BFB59F67-F0DC-4675-A682-EB0734A8026A}" xr6:coauthVersionLast="47" xr6:coauthVersionMax="47" xr10:uidLastSave="{92258FDB-9FFB-4AE9-A484-C256B19B5844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P110" i="5"/>
  <c r="U110" i="5" s="1"/>
  <c r="P111" i="5"/>
  <c r="P112" i="5"/>
  <c r="P113" i="5"/>
  <c r="P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H112" i="5"/>
  <c r="J112" i="5"/>
  <c r="U112" i="5"/>
  <c r="V112" i="5"/>
  <c r="H109" i="5"/>
  <c r="J109" i="5"/>
  <c r="U109" i="5"/>
  <c r="V109" i="5"/>
  <c r="H88" i="5"/>
  <c r="J88" i="5"/>
  <c r="T88" i="5"/>
  <c r="V88" i="5"/>
  <c r="Z88" i="5" s="1"/>
  <c r="D100" i="5"/>
  <c r="H100" i="5" s="1"/>
  <c r="J100" i="5"/>
  <c r="V100" i="5"/>
  <c r="Z100" i="5" s="1"/>
  <c r="D97" i="5"/>
  <c r="H97" i="5" s="1"/>
  <c r="J97" i="5"/>
  <c r="V97" i="5"/>
  <c r="Z97" i="5" s="1"/>
  <c r="H85" i="5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I113" i="5"/>
  <c r="V111" i="5"/>
  <c r="J111" i="5"/>
  <c r="I111" i="5"/>
  <c r="V110" i="5"/>
  <c r="AA110" i="5" s="1"/>
  <c r="J110" i="5"/>
  <c r="I110" i="5"/>
  <c r="V108" i="5"/>
  <c r="P108" i="5"/>
  <c r="J108" i="5"/>
  <c r="N108" i="5" s="1"/>
  <c r="I108" i="5"/>
  <c r="V107" i="5"/>
  <c r="AA107" i="5" s="1"/>
  <c r="P107" i="5"/>
  <c r="U107" i="5" s="1"/>
  <c r="J107" i="5"/>
  <c r="O107" i="5" s="1"/>
  <c r="I107" i="5"/>
  <c r="V106" i="5"/>
  <c r="P106" i="5"/>
  <c r="J106" i="5"/>
  <c r="N106" i="5" s="1"/>
  <c r="I106" i="5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D91" i="5"/>
  <c r="I91" i="5" s="1"/>
  <c r="V89" i="5"/>
  <c r="AA89" i="5" s="1"/>
  <c r="U89" i="5"/>
  <c r="J89" i="5"/>
  <c r="I89" i="5"/>
  <c r="V87" i="5"/>
  <c r="AA87" i="5" s="1"/>
  <c r="J87" i="5"/>
  <c r="I87" i="5"/>
  <c r="V86" i="5"/>
  <c r="AA86" i="5" s="1"/>
  <c r="U86" i="5"/>
  <c r="J86" i="5"/>
  <c r="I86" i="5"/>
  <c r="V84" i="5"/>
  <c r="AA84" i="5" s="1"/>
  <c r="J84" i="5"/>
  <c r="I84" i="5"/>
  <c r="V83" i="5"/>
  <c r="AA83" i="5" s="1"/>
  <c r="P83" i="5"/>
  <c r="U83" i="5" s="1"/>
  <c r="J83" i="5"/>
  <c r="O83" i="5" s="1"/>
  <c r="I83" i="5"/>
  <c r="V82" i="5"/>
  <c r="Z82" i="5" s="1"/>
  <c r="P82" i="5"/>
  <c r="J82" i="5"/>
  <c r="N82" i="5" s="1"/>
  <c r="I82" i="5"/>
  <c r="V81" i="5"/>
  <c r="AA81" i="5" s="1"/>
  <c r="P81" i="5"/>
  <c r="U81" i="5" s="1"/>
  <c r="J81" i="5"/>
  <c r="O81" i="5" s="1"/>
  <c r="I81" i="5"/>
  <c r="V80" i="5"/>
  <c r="AA80" i="5" s="1"/>
  <c r="P80" i="5"/>
  <c r="U80" i="5" s="1"/>
  <c r="J80" i="5"/>
  <c r="N80" i="5" s="1"/>
  <c r="I80" i="5"/>
  <c r="V79" i="5"/>
  <c r="AA79" i="5" s="1"/>
  <c r="P79" i="5"/>
  <c r="U79" i="5" s="1"/>
  <c r="J79" i="5"/>
  <c r="I79" i="5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H63" i="4"/>
  <c r="H64" i="4"/>
  <c r="I67" i="4"/>
  <c r="I68" i="4"/>
  <c r="H69" i="4"/>
  <c r="H70" i="4"/>
  <c r="H71" i="4"/>
  <c r="H73" i="4"/>
  <c r="I76" i="4"/>
  <c r="I77" i="4"/>
  <c r="I78" i="4"/>
  <c r="I79" i="4"/>
  <c r="H80" i="4"/>
  <c r="H81" i="4"/>
  <c r="I85" i="4"/>
  <c r="I86" i="4"/>
  <c r="H87" i="4"/>
  <c r="H88" i="4"/>
  <c r="H89" i="4"/>
  <c r="H90" i="4"/>
  <c r="I91" i="4"/>
  <c r="I94" i="4"/>
  <c r="I95" i="4"/>
  <c r="I96" i="4"/>
  <c r="I97" i="4"/>
  <c r="I98" i="4"/>
  <c r="H99" i="4"/>
  <c r="I100" i="4"/>
  <c r="I101" i="4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Z95" i="5"/>
  <c r="H98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O108" i="5"/>
  <c r="H116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H104" i="5"/>
  <c r="AA106" i="5"/>
  <c r="H113" i="5"/>
  <c r="O117" i="5"/>
  <c r="AA121" i="5"/>
  <c r="H105" i="5"/>
  <c r="H110" i="5"/>
  <c r="O115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O106" i="5"/>
  <c r="Z116" i="5"/>
  <c r="H118" i="5"/>
  <c r="O121" i="5"/>
  <c r="O119" i="5"/>
  <c r="U93" i="5"/>
  <c r="U104" i="5"/>
  <c r="U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Z118" i="5"/>
  <c r="U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O59" i="5"/>
  <c r="N59" i="5"/>
  <c r="U95" i="5"/>
  <c r="T34" i="5"/>
  <c r="T45" i="5"/>
  <c r="O55" i="5"/>
  <c r="N55" i="5"/>
  <c r="T59" i="5"/>
  <c r="O60" i="5"/>
  <c r="T67" i="5"/>
  <c r="U82" i="5"/>
  <c r="T82" i="5"/>
  <c r="Z94" i="5"/>
  <c r="U98" i="5"/>
  <c r="U121" i="5"/>
  <c r="U84" i="5"/>
  <c r="T84" i="5"/>
  <c r="U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U117" i="5"/>
  <c r="O31" i="5"/>
  <c r="N31" i="5"/>
  <c r="O57" i="5"/>
  <c r="N57" i="5"/>
  <c r="O79" i="5"/>
  <c r="N79" i="5"/>
  <c r="Z83" i="5"/>
  <c r="U91" i="5"/>
  <c r="U115" i="5"/>
  <c r="Z122" i="5"/>
  <c r="N81" i="5"/>
  <c r="N83" i="5"/>
  <c r="N94" i="5"/>
  <c r="N96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<sst xmlns="http://schemas.openxmlformats.org/spreadsheetml/2006/main" count="388" uniqueCount="90">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</sst>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57" sqref="D5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266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266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286</v>
      </c>
      <c r="E55" s="10"/>
      <c r="F55" s="12"/>
      <c r="G55" s="3">
        <f t="shared" si="10"/>
        <v>0</v>
      </c>
      <c r="H55" s="4">
        <f t="shared" si="11"/>
        <v>286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>
        <v>286</v>
      </c>
      <c r="E57" s="10"/>
      <c r="F57" s="12"/>
      <c r="G57" s="3">
        <f t="shared" si="10"/>
        <v>0</v>
      </c>
      <c r="H57" s="4">
        <f t="shared" si="11"/>
        <v>286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286</v>
      </c>
      <c r="E59" s="10"/>
      <c r="F59" s="12"/>
      <c r="G59" s="3">
        <f t="shared" si="10"/>
        <v>0</v>
      </c>
      <c r="H59" s="4">
        <f t="shared" si="11"/>
        <v>286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473</v>
      </c>
      <c r="E63" s="10"/>
      <c r="F63" s="12"/>
      <c r="G63" s="3">
        <f t="shared" si="12"/>
        <v>0</v>
      </c>
      <c r="H63" s="4">
        <f t="shared" si="13"/>
        <v>473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abSelected="1" zoomScale="70" zoomScaleNormal="70" workbookViewId="0">
      <selection activeCell="E156" sqref="E1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v>440</v>
      </c>
      <c r="E63" s="12"/>
      <c r="F63" s="10"/>
      <c r="G63" s="12"/>
      <c r="H63" s="12">
        <f t="shared" si="2"/>
        <v>440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v>440</v>
      </c>
      <c r="E64" s="12"/>
      <c r="F64" s="10"/>
      <c r="G64" s="12"/>
      <c r="H64" s="12">
        <f t="shared" si="2"/>
        <v>440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v>440</v>
      </c>
      <c r="E65" s="12"/>
      <c r="F65" s="10"/>
      <c r="G65" s="12"/>
      <c r="H65" s="12">
        <f t="shared" si="2"/>
        <v>440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v>440</v>
      </c>
      <c r="E66" s="12"/>
      <c r="F66" s="10"/>
      <c r="G66" s="12"/>
      <c r="H66" s="12">
        <f t="shared" si="2"/>
        <v>440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v>440</v>
      </c>
      <c r="E67" s="12"/>
      <c r="F67" s="10"/>
      <c r="G67" s="12"/>
      <c r="H67" s="12">
        <f t="shared" si="2"/>
        <v>440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v>440</v>
      </c>
      <c r="E68" s="12"/>
      <c r="F68" s="10"/>
      <c r="G68" s="12"/>
      <c r="H68" s="12">
        <f t="shared" si="2"/>
        <v>440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v>440</v>
      </c>
      <c r="E69" s="12"/>
      <c r="F69" s="10"/>
      <c r="G69" s="12"/>
      <c r="H69" s="12">
        <f t="shared" si="2"/>
        <v>440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v>440</v>
      </c>
      <c r="E70" s="12"/>
      <c r="F70" s="10"/>
      <c r="G70" s="12"/>
      <c r="H70" s="12">
        <f t="shared" si="2"/>
        <v>440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v>440</v>
      </c>
      <c r="E71" s="12"/>
      <c r="F71" s="10"/>
      <c r="G71" s="12"/>
      <c r="H71" s="12">
        <f t="shared" si="2"/>
        <v>440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v>410</v>
      </c>
      <c r="E73" s="12"/>
      <c r="F73" s="10"/>
      <c r="G73" s="12"/>
      <c r="H73" s="12">
        <f t="shared" si="2"/>
        <v>410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v>410</v>
      </c>
      <c r="E74" s="12"/>
      <c r="F74" s="10"/>
      <c r="G74" s="12"/>
      <c r="H74" s="12">
        <f t="shared" si="2"/>
        <v>410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v>410</v>
      </c>
      <c r="E75" s="12"/>
      <c r="F75" s="10"/>
      <c r="G75" s="12"/>
      <c r="H75" s="12">
        <f t="shared" si="2"/>
        <v>410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v>410</v>
      </c>
      <c r="E76" s="12"/>
      <c r="F76" s="10"/>
      <c r="G76" s="12"/>
      <c r="H76" s="12">
        <f t="shared" si="2"/>
        <v>410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v>410</v>
      </c>
      <c r="E77" s="12"/>
      <c r="F77" s="10"/>
      <c r="G77" s="12"/>
      <c r="H77" s="12">
        <f t="shared" si="2"/>
        <v>410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v>410</v>
      </c>
      <c r="E78" s="12"/>
      <c r="F78" s="10"/>
      <c r="G78" s="12"/>
      <c r="H78" s="12">
        <f t="shared" ref="H78:H127" si="22">IF((D78-E78)&lt;0,0,(D78-E78))</f>
        <v>410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v>410</v>
      </c>
      <c r="E79" s="12"/>
      <c r="F79" s="10"/>
      <c r="G79" s="12"/>
      <c r="H79" s="12">
        <f t="shared" si="22"/>
        <v>410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v>410</v>
      </c>
      <c r="E80" s="12"/>
      <c r="F80" s="10"/>
      <c r="G80" s="12"/>
      <c r="H80" s="12">
        <f t="shared" si="22"/>
        <v>410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v>410</v>
      </c>
      <c r="E81" s="12"/>
      <c r="F81" s="10"/>
      <c r="G81" s="12"/>
      <c r="H81" s="12">
        <f t="shared" si="22"/>
        <v>410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v>425</v>
      </c>
      <c r="E83" s="12"/>
      <c r="F83" s="10"/>
      <c r="G83" s="12"/>
      <c r="H83" s="12">
        <f t="shared" si="22"/>
        <v>425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v>425</v>
      </c>
      <c r="E84" s="12"/>
      <c r="F84" s="10"/>
      <c r="G84" s="12"/>
      <c r="H84" s="12">
        <f t="shared" si="22"/>
        <v>425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v>425</v>
      </c>
      <c r="E85" s="12"/>
      <c r="F85" s="10"/>
      <c r="G85" s="12"/>
      <c r="H85" s="12">
        <f t="shared" si="22"/>
        <v>425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v>425</v>
      </c>
      <c r="E86" s="12"/>
      <c r="F86" s="10"/>
      <c r="G86" s="12"/>
      <c r="H86" s="12">
        <f t="shared" si="22"/>
        <v>425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v>425</v>
      </c>
      <c r="E87" s="12"/>
      <c r="F87" s="10"/>
      <c r="G87" s="12"/>
      <c r="H87" s="12">
        <f t="shared" si="22"/>
        <v>425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v>425</v>
      </c>
      <c r="E88" s="12"/>
      <c r="F88" s="10"/>
      <c r="G88" s="12"/>
      <c r="H88" s="12">
        <f t="shared" si="22"/>
        <v>425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v>425</v>
      </c>
      <c r="E89" s="12"/>
      <c r="F89" s="10"/>
      <c r="G89" s="12"/>
      <c r="H89" s="12">
        <f t="shared" si="22"/>
        <v>425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v>425</v>
      </c>
      <c r="E90" s="12"/>
      <c r="F90" s="10"/>
      <c r="G90" s="12"/>
      <c r="H90" s="12">
        <f t="shared" si="22"/>
        <v>425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v>425</v>
      </c>
      <c r="E91" s="12"/>
      <c r="F91" s="10"/>
      <c r="G91" s="12"/>
      <c r="H91" s="12">
        <f t="shared" si="22"/>
        <v>425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v>500</v>
      </c>
      <c r="E93" s="12"/>
      <c r="F93" s="10"/>
      <c r="G93" s="12"/>
      <c r="H93" s="12">
        <f>IF((D93-E93)&lt;0,0,(D93-E93))</f>
        <v>500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v>500</v>
      </c>
      <c r="E94" s="12"/>
      <c r="F94" s="10"/>
      <c r="G94" s="12"/>
      <c r="H94" s="12">
        <f>IF((D94-E94)&lt;0,0,(D94-E94))</f>
        <v>500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v>500</v>
      </c>
      <c r="E95" s="12"/>
      <c r="F95" s="10"/>
      <c r="G95" s="12"/>
      <c r="H95" s="12">
        <f>IF((D95-E95)&lt;0,0,(D95-E95))</f>
        <v>500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v>500</v>
      </c>
      <c r="E96" s="12"/>
      <c r="F96" s="10"/>
      <c r="G96" s="12"/>
      <c r="H96" s="12">
        <f>IF((D96-E96)&lt;0,0,(D96-E96))</f>
        <v>500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v>500</v>
      </c>
      <c r="E97" s="12"/>
      <c r="F97" s="10"/>
      <c r="G97" s="12"/>
      <c r="H97" s="12">
        <f>IF((D97-E97)&lt;0,0,(D97-E97))</f>
        <v>500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v>500</v>
      </c>
      <c r="E98" s="12"/>
      <c r="F98" s="10"/>
      <c r="G98" s="12"/>
      <c r="H98" s="12">
        <f>IF((D98-E98)&lt;0,0,(D98-E98))</f>
        <v>500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v>500</v>
      </c>
      <c r="E99" s="12"/>
      <c r="F99" s="10"/>
      <c r="G99" s="12"/>
      <c r="H99" s="12">
        <f>IF((D99-E99)&lt;0,0,(D99-E99))</f>
        <v>500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v>500</v>
      </c>
      <c r="E100" s="12"/>
      <c r="F100" s="10"/>
      <c r="G100" s="12"/>
      <c r="H100" s="12">
        <f>IF((D100-E100)&lt;0,0,(D100-E100))</f>
        <v>500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v>500</v>
      </c>
      <c r="E101" s="12"/>
      <c r="F101" s="10"/>
      <c r="G101" s="12"/>
      <c r="H101" s="12">
        <f>IF((D101-E101)&lt;0,0,(D101-E101))</f>
        <v>500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0" zoomScale="55" zoomScaleNormal="55" workbookViewId="0">
      <selection activeCell="D90" sqref="D9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v>55</v>
      </c>
      <c r="E79" s="12"/>
      <c r="F79" s="10"/>
      <c r="G79" s="12"/>
      <c r="H79" s="12">
        <f t="shared" si="0"/>
        <v>55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v>55</v>
      </c>
      <c r="E80" s="12"/>
      <c r="F80" s="10"/>
      <c r="G80" s="12"/>
      <c r="H80" s="12">
        <f t="shared" si="0"/>
        <v>55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v>55</v>
      </c>
      <c r="E81" s="12"/>
      <c r="F81" s="10"/>
      <c r="G81" s="12"/>
      <c r="H81" s="12">
        <f t="shared" si="0"/>
        <v>55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v>55</v>
      </c>
      <c r="E82" s="12"/>
      <c r="F82" s="10"/>
      <c r="G82" s="12"/>
      <c r="H82" s="12">
        <f t="shared" si="0"/>
        <v>55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v>55</v>
      </c>
      <c r="E83" s="12"/>
      <c r="F83" s="10"/>
      <c r="G83" s="12"/>
      <c r="H83" s="12">
        <f t="shared" si="0"/>
        <v>55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v>55</v>
      </c>
      <c r="E84" s="12"/>
      <c r="F84" s="10"/>
      <c r="G84" s="12"/>
      <c r="H84" s="12">
        <f t="shared" ref="H84:H122" si="22">IF((D84-E84)&lt;0,0,(D84-E84))</f>
        <v>55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v>55</v>
      </c>
      <c r="E85" s="12"/>
      <c r="F85" s="10"/>
      <c r="G85" s="12"/>
      <c r="H85" s="12">
        <f>IF((D85-E85)&lt;0,0,(D85-E85))</f>
        <v>55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v>55</v>
      </c>
      <c r="E86" s="12"/>
      <c r="F86" s="10"/>
      <c r="G86" s="12"/>
      <c r="H86" s="12">
        <f t="shared" si="22"/>
        <v>55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v>55</v>
      </c>
      <c r="E87" s="12"/>
      <c r="F87" s="10"/>
      <c r="G87" s="12"/>
      <c r="H87" s="12">
        <f t="shared" si="22"/>
        <v>55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v>55</v>
      </c>
      <c r="E88" s="12"/>
      <c r="F88" s="10"/>
      <c r="G88" s="12"/>
      <c r="H88" s="12">
        <f>IF((D88-E88)&lt;0,0,(D88-E88))</f>
        <v>55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v>55</v>
      </c>
      <c r="E89" s="12"/>
      <c r="F89" s="10"/>
      <c r="G89" s="12"/>
      <c r="H89" s="12">
        <f t="shared" si="22"/>
        <v>55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v>100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v>150</v>
      </c>
      <c r="E92" s="12"/>
      <c r="F92" s="10"/>
      <c r="G92" s="12"/>
      <c r="H92" s="12">
        <f t="shared" si="22"/>
        <v>150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v>150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v>100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v>150</v>
      </c>
      <c r="E93" s="12"/>
      <c r="F93" s="10"/>
      <c r="G93" s="12"/>
      <c r="H93" s="12">
        <f t="shared" si="22"/>
        <v>150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v>150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v>100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v>100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v>100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v>100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v>100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v>100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v>100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v>100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v>100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v>200</v>
      </c>
      <c r="E103" s="12"/>
      <c r="F103" s="10">
        <v>2025</v>
      </c>
      <c r="G103" s="12"/>
      <c r="H103" s="12">
        <f t="shared" si="22"/>
        <v>200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v>100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v>100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v>100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v>200</v>
      </c>
      <c r="E104" s="12"/>
      <c r="F104" s="10">
        <v>2025</v>
      </c>
      <c r="G104" s="12"/>
      <c r="H104" s="12">
        <f>IF((D104-E104)&lt;0,0,(D104-E104))</f>
        <v>200</v>
      </c>
      <c r="I104" s="12">
        <f>IF((E104-D104)&lt;0,0,(E104-D104))</f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v>100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v>100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v>200</v>
      </c>
      <c r="E105" s="12"/>
      <c r="F105" s="10">
        <v>2025</v>
      </c>
      <c r="G105" s="12"/>
      <c r="H105" s="12">
        <f t="shared" si="22"/>
        <v>200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v>100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v>100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v>100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v>200</v>
      </c>
      <c r="E106" s="12"/>
      <c r="F106" s="10">
        <v>2025</v>
      </c>
      <c r="G106" s="12"/>
      <c r="H106" s="12">
        <f t="shared" si="22"/>
        <v>200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v>100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v>100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v>200</v>
      </c>
      <c r="E107" s="12"/>
      <c r="F107" s="10">
        <v>2025</v>
      </c>
      <c r="G107" s="12"/>
      <c r="H107" s="12">
        <f>IF((D107-E107)&lt;0,0,(D107-E107))</f>
        <v>200</v>
      </c>
      <c r="I107" s="12">
        <f>IF((E107-D107)&lt;0,0,(E107-D107))</f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v>100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v>100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v>200</v>
      </c>
      <c r="E108" s="12"/>
      <c r="F108" s="10">
        <v>2025</v>
      </c>
      <c r="G108" s="12"/>
      <c r="H108" s="12">
        <f t="shared" si="22"/>
        <v>200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v>100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v>100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v>200</v>
      </c>
      <c r="E109" s="12"/>
      <c r="F109" s="10">
        <v>2025</v>
      </c>
      <c r="G109" s="12"/>
      <c r="H109" s="12">
        <f>IF((D109-E109)&lt;0,0,(D109-E109))</f>
        <v>200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v>100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v>100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v>200</v>
      </c>
      <c r="E110" s="12"/>
      <c r="F110" s="10">
        <v>2025</v>
      </c>
      <c r="G110" s="12"/>
      <c r="H110" s="12">
        <f t="shared" si="22"/>
        <v>200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v>100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v>100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v>200</v>
      </c>
      <c r="E111" s="12"/>
      <c r="F111" s="10">
        <v>2025</v>
      </c>
      <c r="G111" s="12"/>
      <c r="H111" s="12">
        <f t="shared" si="22"/>
        <v>200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v>100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v>100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v>200</v>
      </c>
      <c r="E112" s="12"/>
      <c r="F112" s="10">
        <v>2025</v>
      </c>
      <c r="G112" s="12"/>
      <c r="H112" s="12">
        <f>IF((D112-E112)&lt;0,0,(D112-E112))</f>
        <v>200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v>100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v>100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v>200</v>
      </c>
      <c r="E113" s="12"/>
      <c r="F113" s="10">
        <v>2025</v>
      </c>
      <c r="G113" s="12"/>
      <c r="H113" s="12">
        <f t="shared" si="22"/>
        <v>200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v>100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v>100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/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/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/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/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/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/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/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/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103:F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HECTOR NOEL ZAMORA</cp:lastModifiedBy>
  <cp:revision/>
  <dcterms:created xsi:type="dcterms:W3CDTF">2025-11-19T20:48:15Z</dcterms:created>
  <dcterms:modified xsi:type="dcterms:W3CDTF">2026-01-19T11:15:40Z</dcterms:modified>
  <cp:category/>
  <cp:contentStatus/>
</cp:coreProperties>
</file>