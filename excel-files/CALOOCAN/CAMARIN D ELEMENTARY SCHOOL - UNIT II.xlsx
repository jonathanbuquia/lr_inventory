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7" documentId="13_ncr:1_{BFB59F67-F0DC-4675-A682-EB0734A8026A}" xr6:coauthVersionLast="47" xr6:coauthVersionMax="47" xr10:uidLastSave="{DC37D9B9-AE1D-4B9B-8F91-871B0E4A04DA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V54" i="4"/>
  <c r="V55" i="4"/>
  <c r="V56" i="4"/>
  <c r="AA56" i="4" s="1"/>
  <c r="V57" i="4"/>
  <c r="V58" i="4"/>
  <c r="Z58" i="4" s="1"/>
  <c r="V59" i="4"/>
  <c r="V60" i="4"/>
  <c r="AA60" i="4" s="1"/>
  <c r="V61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P54" i="4"/>
  <c r="P55" i="4"/>
  <c r="U55" i="4" s="1"/>
  <c r="P56" i="4"/>
  <c r="T56" i="4" s="1"/>
  <c r="P57" i="4"/>
  <c r="P58" i="4"/>
  <c r="P59" i="4"/>
  <c r="P60" i="4"/>
  <c r="T60" i="4" s="1"/>
  <c r="P61" i="4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5" i="4"/>
  <c r="N15" i="4" s="1"/>
  <c r="J16" i="4"/>
  <c r="O16" i="4" s="1"/>
  <c r="N17" i="4"/>
  <c r="J18" i="4"/>
  <c r="N18" i="4" s="1"/>
  <c r="O19" i="4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O43" i="4"/>
  <c r="J44" i="4"/>
  <c r="N44" i="4" s="1"/>
  <c r="J45" i="4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J54" i="4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H29" i="4"/>
  <c r="H30" i="4"/>
  <c r="H19" i="4"/>
  <c r="D10" i="4"/>
  <c r="H10" i="4" s="1"/>
  <c r="D11" i="4"/>
  <c r="H11" i="4" s="1"/>
  <c r="H20" i="4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I16" i="4"/>
  <c r="I17" i="4"/>
  <c r="I18" i="4"/>
  <c r="D23" i="4"/>
  <c r="H23" i="4" s="1"/>
  <c r="D24" i="4"/>
  <c r="H24" i="4" s="1"/>
  <c r="I27" i="4"/>
  <c r="I28" i="4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I43" i="4"/>
  <c r="H44" i="4"/>
  <c r="H45" i="4"/>
  <c r="D46" i="4"/>
  <c r="I48" i="4"/>
  <c r="I49" i="4"/>
  <c r="H50" i="4"/>
  <c r="H51" i="4"/>
  <c r="H53" i="4"/>
  <c r="H54" i="4"/>
  <c r="H55" i="4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H5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H38" i="1"/>
  <c r="G38" i="1"/>
  <c r="H37" i="1"/>
  <c r="G37" i="1"/>
  <c r="H36" i="1"/>
  <c r="H35" i="1"/>
  <c r="H34" i="1"/>
  <c r="G34" i="1"/>
  <c r="H33" i="1"/>
  <c r="G33" i="1"/>
  <c r="H32" i="1"/>
  <c r="G32" i="1"/>
  <c r="H31" i="1"/>
  <c r="H29" i="1"/>
  <c r="H28" i="1"/>
  <c r="H27" i="1"/>
  <c r="H26" i="1"/>
  <c r="H25" i="1"/>
  <c r="H24" i="1"/>
  <c r="H23" i="1"/>
  <c r="H22" i="1"/>
  <c r="H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H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U54" i="4"/>
  <c r="T31" i="4"/>
  <c r="U31" i="4"/>
  <c r="N16" i="4"/>
  <c r="Z119" i="4"/>
  <c r="AA119" i="4"/>
  <c r="N114" i="4"/>
  <c r="N91" i="4"/>
  <c r="T80" i="4"/>
  <c r="U80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<sst xmlns="http://schemas.openxmlformats.org/spreadsheetml/2006/main" count="388" uniqueCount="90">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</sst>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5" activePane="topRight" state="frozen"/>
      <selection pane="topRight" activeCell="E35" sqref="E3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v>326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v>326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v>326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v>326</v>
      </c>
      <c r="H5" s="4">
        <f t="shared" ref="H5:H6" si="0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v>326</v>
      </c>
      <c r="H6" s="4">
        <f t="shared" si="0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1">IF((C14-D14)&lt;0,0,C14-D14)</f>
        <v>0</v>
      </c>
      <c r="H14" s="4">
        <f t="shared" ref="H14:H19" si="2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1"/>
        <v>0</v>
      </c>
      <c r="H15" s="4">
        <f t="shared" si="2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1"/>
        <v>0</v>
      </c>
      <c r="H16" s="4">
        <f t="shared" si="2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1"/>
        <v>0</v>
      </c>
      <c r="H17" s="4">
        <f t="shared" si="2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1"/>
        <v>0</v>
      </c>
      <c r="H18" s="4">
        <f t="shared" si="2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1"/>
        <v>0</v>
      </c>
      <c r="H19" s="4">
        <f t="shared" si="2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v>475</v>
      </c>
      <c r="H21" s="4">
        <f t="shared" ref="H21:H29" si="3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v>475</v>
      </c>
      <c r="H22" s="4">
        <f t="shared" si="3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v>475</v>
      </c>
      <c r="H23" s="4">
        <f t="shared" si="3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v>475</v>
      </c>
      <c r="H24" s="4">
        <f t="shared" si="3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v>475</v>
      </c>
      <c r="H25" s="4">
        <f t="shared" si="3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v>475</v>
      </c>
      <c r="H26" s="4">
        <f t="shared" si="3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v>475</v>
      </c>
      <c r="H27" s="4">
        <f t="shared" si="3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v>0</v>
      </c>
      <c r="H28" s="4">
        <f t="shared" si="3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v>475</v>
      </c>
      <c r="H29" s="4">
        <f t="shared" si="3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v>360</v>
      </c>
      <c r="H31" s="4">
        <f t="shared" ref="H31:H39" si="4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ref="G31:G39" si="5">IF((C32-D32)&lt;0,0,C32-D32)</f>
        <v>0</v>
      </c>
      <c r="H32" s="4">
        <f t="shared" si="4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5"/>
        <v>0</v>
      </c>
      <c r="H33" s="4">
        <f t="shared" si="4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5"/>
        <v>0</v>
      </c>
      <c r="H34" s="4">
        <f t="shared" si="4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v>360</v>
      </c>
      <c r="H35" s="4">
        <f t="shared" si="4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v>360</v>
      </c>
      <c r="H36" s="4">
        <f t="shared" si="4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5"/>
        <v>0</v>
      </c>
      <c r="H37" s="4">
        <f t="shared" si="4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5"/>
        <v>0</v>
      </c>
      <c r="H38" s="4">
        <f t="shared" si="4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v>360</v>
      </c>
      <c r="H39" s="4">
        <f t="shared" si="4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6">IF((C41-D41)&lt;0,0,C41-D41)</f>
        <v>0</v>
      </c>
      <c r="H41" s="4">
        <f t="shared" ref="H41:H49" si="7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6"/>
        <v>0</v>
      </c>
      <c r="H42" s="4">
        <f t="shared" si="7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6"/>
        <v>0</v>
      </c>
      <c r="H43" s="4">
        <f t="shared" si="7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6"/>
        <v>0</v>
      </c>
      <c r="H44" s="4">
        <f t="shared" si="7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6"/>
        <v>0</v>
      </c>
      <c r="H45" s="4">
        <f t="shared" si="7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6"/>
        <v>0</v>
      </c>
      <c r="H46" s="4">
        <f t="shared" si="7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6"/>
        <v>0</v>
      </c>
      <c r="H47" s="4">
        <f t="shared" si="7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6"/>
        <v>0</v>
      </c>
      <c r="H48" s="4">
        <f t="shared" si="7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6"/>
        <v>0</v>
      </c>
      <c r="H49" s="4">
        <f t="shared" si="7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8">IF((C51-D51)&lt;0,0,C51-D51)</f>
        <v>0</v>
      </c>
      <c r="H51" s="4">
        <f t="shared" ref="H51:H59" si="9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8"/>
        <v>0</v>
      </c>
      <c r="H52" s="4">
        <f t="shared" si="9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8"/>
        <v>0</v>
      </c>
      <c r="H53" s="4">
        <f t="shared" si="9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8"/>
        <v>0</v>
      </c>
      <c r="H54" s="4">
        <f t="shared" si="9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8"/>
        <v>0</v>
      </c>
      <c r="H55" s="4">
        <f t="shared" si="9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8"/>
        <v>0</v>
      </c>
      <c r="H56" s="4">
        <f t="shared" si="9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8"/>
        <v>0</v>
      </c>
      <c r="H57" s="4">
        <f t="shared" si="9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8"/>
        <v>0</v>
      </c>
      <c r="H58" s="4">
        <f t="shared" si="9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8"/>
        <v>0</v>
      </c>
      <c r="H59" s="4">
        <f t="shared" si="9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0">IF((C61-D61)&lt;0,0,C61-D61)</f>
        <v>0</v>
      </c>
      <c r="H61" s="4">
        <f t="shared" ref="H61:H69" si="11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0"/>
        <v>0</v>
      </c>
      <c r="H62" s="4">
        <f t="shared" si="11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0"/>
        <v>0</v>
      </c>
      <c r="H63" s="4">
        <f t="shared" si="11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0"/>
        <v>0</v>
      </c>
      <c r="H64" s="4">
        <f t="shared" si="11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0"/>
        <v>0</v>
      </c>
      <c r="H65" s="4">
        <f t="shared" si="11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0"/>
        <v>0</v>
      </c>
      <c r="H66" s="4">
        <f t="shared" si="11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0"/>
        <v>0</v>
      </c>
      <c r="H67" s="4">
        <f t="shared" si="11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0"/>
        <v>0</v>
      </c>
      <c r="H68" s="4">
        <f t="shared" si="11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0"/>
        <v>0</v>
      </c>
      <c r="H69" s="4">
        <f t="shared" si="11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2">IF((C71-D71)&lt;0,0,C71-D71)</f>
        <v>0</v>
      </c>
      <c r="H71" s="4">
        <f t="shared" ref="H71:H79" si="13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2"/>
        <v>0</v>
      </c>
      <c r="H72" s="4">
        <f t="shared" si="13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2"/>
        <v>0</v>
      </c>
      <c r="H73" s="4">
        <f t="shared" si="13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2"/>
        <v>0</v>
      </c>
      <c r="H74" s="4">
        <f t="shared" si="13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2"/>
        <v>0</v>
      </c>
      <c r="H75" s="4">
        <f t="shared" si="13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2"/>
        <v>0</v>
      </c>
      <c r="H76" s="4">
        <f t="shared" si="13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2"/>
        <v>0</v>
      </c>
      <c r="H77" s="4">
        <f t="shared" si="13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2"/>
        <v>0</v>
      </c>
      <c r="H78" s="4">
        <f t="shared" si="13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2"/>
        <v>0</v>
      </c>
      <c r="H79" s="4">
        <f t="shared" si="13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4">IF((C81-D81)&lt;0,0,C81-D81)</f>
        <v>0</v>
      </c>
      <c r="H81" s="4">
        <f t="shared" ref="H81:H89" si="15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4"/>
        <v>0</v>
      </c>
      <c r="H82" s="4">
        <f t="shared" si="15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4"/>
        <v>0</v>
      </c>
      <c r="H83" s="4">
        <f t="shared" si="15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4"/>
        <v>0</v>
      </c>
      <c r="H84" s="4">
        <f t="shared" si="15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4"/>
        <v>0</v>
      </c>
      <c r="H85" s="4">
        <f t="shared" si="15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4"/>
        <v>0</v>
      </c>
      <c r="H86" s="4">
        <f t="shared" si="15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4"/>
        <v>0</v>
      </c>
      <c r="H87" s="4">
        <f t="shared" si="15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4"/>
        <v>0</v>
      </c>
      <c r="H88" s="4">
        <f t="shared" si="15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4"/>
        <v>0</v>
      </c>
      <c r="H89" s="4">
        <f t="shared" si="15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6">IF((C91-D91)&lt;0,0,C91-D91)</f>
        <v>0</v>
      </c>
      <c r="H91" s="4">
        <f t="shared" ref="H91:H98" si="17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6"/>
        <v>0</v>
      </c>
      <c r="H92" s="4">
        <f t="shared" si="17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6"/>
        <v>0</v>
      </c>
      <c r="H93" s="4">
        <f t="shared" si="17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6"/>
        <v>0</v>
      </c>
      <c r="H94" s="4">
        <f t="shared" si="17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6"/>
        <v>0</v>
      </c>
      <c r="H95" s="4">
        <f t="shared" si="17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6"/>
        <v>0</v>
      </c>
      <c r="H96" s="4">
        <f t="shared" si="17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6"/>
        <v>0</v>
      </c>
      <c r="H97" s="4">
        <f t="shared" si="17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6"/>
        <v>0</v>
      </c>
      <c r="H98" s="4">
        <f t="shared" si="17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selection activeCell="A62" sqref="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v>0</v>
      </c>
      <c r="J14" s="5">
        <f>Table1[[#This Row],[Enrolment S.Y. 2025-2026 ]]*8</f>
        <v>0</v>
      </c>
      <c r="K14" s="5"/>
      <c r="L14" s="1"/>
      <c r="M14" s="5"/>
      <c r="N14" s="5"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v>389</v>
      </c>
      <c r="E16" s="5"/>
      <c r="F16" s="1"/>
      <c r="G16" s="5"/>
      <c r="H16" s="5">
        <f t="shared" si="2"/>
        <v>389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v>389</v>
      </c>
      <c r="E17" s="5"/>
      <c r="F17" s="1"/>
      <c r="G17" s="5"/>
      <c r="H17" s="5">
        <f t="shared" si="2"/>
        <v>389</v>
      </c>
      <c r="I17" s="5">
        <f t="shared" si="3"/>
        <v>0</v>
      </c>
      <c r="J17" s="5">
        <v>380</v>
      </c>
      <c r="K17" s="5"/>
      <c r="L17" s="1"/>
      <c r="M17" s="5"/>
      <c r="N17" s="5">
        <f t="shared" si="10"/>
        <v>380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v>389</v>
      </c>
      <c r="E18" s="5"/>
      <c r="F18" s="1"/>
      <c r="G18" s="5"/>
      <c r="H18" s="5">
        <f t="shared" si="2"/>
        <v>389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v>389</v>
      </c>
      <c r="E19" s="5"/>
      <c r="F19" s="1"/>
      <c r="G19" s="5"/>
      <c r="H19" s="5">
        <f>IF((D19-E19)&lt;0,0,(D19-E19))</f>
        <v>389</v>
      </c>
      <c r="I19" s="5">
        <f>IF((E19-D19)&lt;0,0,(E19-D19))</f>
        <v>0</v>
      </c>
      <c r="J19" s="5">
        <v>380</v>
      </c>
      <c r="K19" s="5"/>
      <c r="L19" s="1"/>
      <c r="M19" s="5"/>
      <c r="N19" s="5">
        <f t="shared" si="10"/>
        <v>380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v>389</v>
      </c>
      <c r="E20" s="5"/>
      <c r="F20" s="1"/>
      <c r="G20" s="5"/>
      <c r="H20" s="5">
        <f>IF((D20-E20)&lt;0,0,(D20-E20))</f>
        <v>389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v>267</v>
      </c>
      <c r="E25" s="5"/>
      <c r="F25" s="1"/>
      <c r="G25" s="5"/>
      <c r="H25" s="5">
        <f t="shared" si="2"/>
        <v>267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v>267</v>
      </c>
      <c r="E26" s="5"/>
      <c r="F26" s="1"/>
      <c r="G26" s="5"/>
      <c r="H26" s="5">
        <f t="shared" si="2"/>
        <v>267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v>267</v>
      </c>
      <c r="E27" s="5"/>
      <c r="F27" s="1"/>
      <c r="G27" s="5"/>
      <c r="H27" s="5">
        <f t="shared" si="2"/>
        <v>267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v>267</v>
      </c>
      <c r="E28" s="5"/>
      <c r="F28" s="1"/>
      <c r="G28" s="5"/>
      <c r="H28" s="5">
        <f t="shared" si="2"/>
        <v>267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v>267</v>
      </c>
      <c r="E29" s="5"/>
      <c r="F29" s="1"/>
      <c r="G29" s="5"/>
      <c r="H29" s="5">
        <f>IF((D29-E29)&lt;0,0,(D29-E29))</f>
        <v>267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v>267</v>
      </c>
      <c r="E30" s="5"/>
      <c r="F30" s="1"/>
      <c r="G30" s="5"/>
      <c r="H30" s="5">
        <f>IF((D30-E30)&lt;0,0,(D30-E30))</f>
        <v>267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v>157</v>
      </c>
      <c r="E43" s="5"/>
      <c r="F43" s="1"/>
      <c r="G43" s="5"/>
      <c r="H43" s="5">
        <f t="shared" si="2"/>
        <v>157</v>
      </c>
      <c r="I43" s="5">
        <f t="shared" si="3"/>
        <v>0</v>
      </c>
      <c r="J43" s="5">
        <v>329</v>
      </c>
      <c r="K43" s="5"/>
      <c r="L43" s="1"/>
      <c r="M43" s="5"/>
      <c r="N43" s="5">
        <f t="shared" si="10"/>
        <v>329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v>157</v>
      </c>
      <c r="E44" s="5"/>
      <c r="F44" s="1"/>
      <c r="G44" s="5"/>
      <c r="H44" s="5">
        <f t="shared" si="2"/>
        <v>157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v>157</v>
      </c>
      <c r="E45" s="5"/>
      <c r="F45" s="1"/>
      <c r="G45" s="5"/>
      <c r="H45" s="5">
        <f t="shared" si="2"/>
        <v>157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v>329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v>157</v>
      </c>
      <c r="E47" s="5"/>
      <c r="F47" s="1"/>
      <c r="G47" s="5"/>
      <c r="H47" s="5">
        <f t="shared" si="2"/>
        <v>157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v>157</v>
      </c>
      <c r="E48" s="5"/>
      <c r="F48" s="1"/>
      <c r="G48" s="5"/>
      <c r="H48" s="5">
        <f t="shared" si="2"/>
        <v>157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v>157</v>
      </c>
      <c r="E49" s="5"/>
      <c r="F49" s="1"/>
      <c r="G49" s="5"/>
      <c r="H49" s="5">
        <f t="shared" si="2"/>
        <v>157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v>157</v>
      </c>
      <c r="E50" s="5"/>
      <c r="F50" s="1"/>
      <c r="G50" s="5"/>
      <c r="H50" s="5">
        <f t="shared" si="2"/>
        <v>157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v>157</v>
      </c>
      <c r="E51" s="5"/>
      <c r="F51" s="1"/>
      <c r="G51" s="5"/>
      <c r="H51" s="5">
        <f t="shared" si="2"/>
        <v>157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v>150</v>
      </c>
      <c r="E53" s="5"/>
      <c r="F53" s="1"/>
      <c r="G53" s="5"/>
      <c r="H53" s="5">
        <f t="shared" si="2"/>
        <v>150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v>75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v>75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v>75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v>150</v>
      </c>
      <c r="E54" s="5"/>
      <c r="F54" s="1"/>
      <c r="G54" s="5"/>
      <c r="H54" s="5">
        <f t="shared" si="2"/>
        <v>150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v>75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v>75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v>75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v>150</v>
      </c>
      <c r="E55" s="5"/>
      <c r="F55" s="1"/>
      <c r="G55" s="5"/>
      <c r="H55" s="5">
        <f t="shared" si="2"/>
        <v>150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v>75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v>75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v>75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v>75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v>75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v>75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v>75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v>75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v>75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v>75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2026-01-12T02:33:35Z</dcterms:modified>
  <cp:category/>
  <cp:contentStatus/>
</cp:coreProperties>
</file>