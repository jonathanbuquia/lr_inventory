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30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175" documentId="13_ncr:1_{BFB59F67-F0DC-4675-A682-EB0734A8026A}" xr6:coauthVersionLast="47" xr6:coauthVersionMax="47" xr10:uidLastSave="{A4019A0D-D159-4B97-B693-E5E706D12DA0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4" i="4" l="1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V54" i="4"/>
  <c r="V55" i="4"/>
  <c r="V56" i="4"/>
  <c r="AA56" i="4" s="1"/>
  <c r="V57" i="4"/>
  <c r="V58" i="4"/>
  <c r="Z58" i="4" s="1"/>
  <c r="V59" i="4"/>
  <c r="V60" i="4"/>
  <c r="AA60" i="4" s="1"/>
  <c r="V61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P54" i="4"/>
  <c r="P55" i="4"/>
  <c r="U55" i="4" s="1"/>
  <c r="P56" i="4"/>
  <c r="T56" i="4" s="1"/>
  <c r="P57" i="4"/>
  <c r="P58" i="4"/>
  <c r="P59" i="4"/>
  <c r="P60" i="4"/>
  <c r="T60" i="4" s="1"/>
  <c r="P61" i="4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5" i="4"/>
  <c r="N15" i="4" s="1"/>
  <c r="J16" i="4"/>
  <c r="O16" i="4" s="1"/>
  <c r="N17" i="4"/>
  <c r="J18" i="4"/>
  <c r="N18" i="4" s="1"/>
  <c r="O19" i="4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O43" i="4"/>
  <c r="J44" i="4"/>
  <c r="N44" i="4" s="1"/>
  <c r="J45" i="4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J54" i="4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D31" i="4"/>
  <c r="H31" i="4" s="1"/>
  <c r="D21" i="4"/>
  <c r="H21" i="4" s="1"/>
  <c r="D12" i="4"/>
  <c r="H12" i="4" s="1"/>
  <c r="H29" i="4"/>
  <c r="H30" i="4"/>
  <c r="H19" i="4"/>
  <c r="D10" i="4"/>
  <c r="H10" i="4" s="1"/>
  <c r="D11" i="4"/>
  <c r="H11" i="4" s="1"/>
  <c r="H20" i="4"/>
  <c r="V5" i="4"/>
  <c r="AA5" i="4" s="1"/>
  <c r="P5" i="4"/>
  <c r="T5" i="4" s="1"/>
  <c r="J5" i="4"/>
  <c r="D6" i="4"/>
  <c r="I6" i="4" s="1"/>
  <c r="D7" i="4"/>
  <c r="I7" i="4" s="1"/>
  <c r="D8" i="4"/>
  <c r="I8" i="4" s="1"/>
  <c r="D9" i="4"/>
  <c r="I9" i="4" s="1"/>
  <c r="D14" i="4"/>
  <c r="D15" i="4"/>
  <c r="I15" i="4" s="1"/>
  <c r="I16" i="4"/>
  <c r="I17" i="4"/>
  <c r="I18" i="4"/>
  <c r="D23" i="4"/>
  <c r="H23" i="4" s="1"/>
  <c r="D24" i="4"/>
  <c r="H24" i="4" s="1"/>
  <c r="I27" i="4"/>
  <c r="I28" i="4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I43" i="4"/>
  <c r="H44" i="4"/>
  <c r="H45" i="4"/>
  <c r="D46" i="4"/>
  <c r="I48" i="4"/>
  <c r="I49" i="4"/>
  <c r="H50" i="4"/>
  <c r="H51" i="4"/>
  <c r="H53" i="4"/>
  <c r="H54" i="4"/>
  <c r="H55" i="4"/>
  <c r="D56" i="4"/>
  <c r="D57" i="4"/>
  <c r="D58" i="4"/>
  <c r="I58" i="4" s="1"/>
  <c r="D59" i="4"/>
  <c r="I59" i="4" s="1"/>
  <c r="D60" i="4"/>
  <c r="I60" i="4" s="1"/>
  <c r="D61" i="4"/>
  <c r="I61" i="4" s="1"/>
  <c r="D5" i="4"/>
  <c r="I5" i="4" s="1"/>
  <c r="H5" i="1"/>
  <c r="H6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H38" i="1"/>
  <c r="G38" i="1"/>
  <c r="H37" i="1"/>
  <c r="G37" i="1"/>
  <c r="H36" i="1"/>
  <c r="H35" i="1"/>
  <c r="H34" i="1"/>
  <c r="G34" i="1"/>
  <c r="H33" i="1"/>
  <c r="G33" i="1"/>
  <c r="H32" i="1"/>
  <c r="G32" i="1"/>
  <c r="H31" i="1"/>
  <c r="H29" i="1"/>
  <c r="H28" i="1"/>
  <c r="H27" i="1"/>
  <c r="H26" i="1"/>
  <c r="H25" i="1"/>
  <c r="H24" i="1"/>
  <c r="H23" i="1"/>
  <c r="H22" i="1"/>
  <c r="H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H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37" i="5"/>
  <c r="O37" i="5"/>
  <c r="N40" i="5"/>
  <c r="O40" i="5"/>
  <c r="N49" i="5"/>
  <c r="O49" i="5"/>
  <c r="N52" i="5"/>
  <c r="O52" i="5"/>
  <c r="N61" i="5"/>
  <c r="O61" i="5"/>
  <c r="N64" i="5"/>
  <c r="O64" i="5"/>
  <c r="O3" i="4"/>
  <c r="N3" i="4"/>
  <c r="O12" i="4"/>
  <c r="Z9" i="4"/>
  <c r="T33" i="4"/>
  <c r="Z45" i="4"/>
  <c r="AA31" i="4"/>
  <c r="U3" i="4"/>
  <c r="O26" i="4"/>
  <c r="T10" i="4"/>
  <c r="U59" i="4"/>
  <c r="U43" i="4"/>
  <c r="Z56" i="4"/>
  <c r="U61" i="5"/>
  <c r="U64" i="5"/>
  <c r="T52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I37" i="5"/>
  <c r="AA37" i="5"/>
  <c r="H60" i="5"/>
  <c r="I44" i="5"/>
  <c r="N27" i="5"/>
  <c r="Z60" i="5"/>
  <c r="H62" i="5"/>
  <c r="O13" i="5"/>
  <c r="AA36" i="5"/>
  <c r="T39" i="5"/>
  <c r="O43" i="5"/>
  <c r="N9" i="5"/>
  <c r="H12" i="5"/>
  <c r="U19" i="5"/>
  <c r="AA34" i="5"/>
  <c r="H46" i="5"/>
  <c r="T22" i="5"/>
  <c r="O32" i="5"/>
  <c r="AA33" i="5"/>
  <c r="Z47" i="5"/>
  <c r="T53" i="5"/>
  <c r="H21" i="5"/>
  <c r="Z29" i="5"/>
  <c r="I45" i="5"/>
  <c r="T28" i="5"/>
  <c r="AA32" i="5"/>
  <c r="O34" i="5"/>
  <c r="Z46" i="5"/>
  <c r="Z20" i="4"/>
  <c r="N56" i="4"/>
  <c r="O44" i="4"/>
  <c r="N37" i="4"/>
  <c r="T37" i="4"/>
  <c r="U20" i="4"/>
  <c r="U15" i="4"/>
  <c r="AA54" i="4"/>
  <c r="Z43" i="4"/>
  <c r="AA18" i="4"/>
  <c r="Z7" i="4"/>
  <c r="O61" i="4"/>
  <c r="O30" i="4"/>
  <c r="U47" i="4"/>
  <c r="U41" i="4"/>
  <c r="U25" i="4"/>
  <c r="AA40" i="4"/>
  <c r="Z29" i="4"/>
  <c r="O48" i="4"/>
  <c r="O17" i="4"/>
  <c r="N10" i="4"/>
  <c r="U51" i="4"/>
  <c r="T19" i="4"/>
  <c r="Z51" i="4"/>
  <c r="AA27" i="4"/>
  <c r="Z16" i="4"/>
  <c r="N19" i="4"/>
  <c r="I31" i="4"/>
  <c r="O35" i="4"/>
  <c r="T46" i="4"/>
  <c r="U29" i="4"/>
  <c r="U24" i="4"/>
  <c r="U7" i="4"/>
  <c r="AA49" i="4"/>
  <c r="Z38" i="4"/>
  <c r="AA14" i="4"/>
  <c r="N28" i="4"/>
  <c r="O21" i="4"/>
  <c r="U56" i="4"/>
  <c r="U50" i="4"/>
  <c r="U34" i="4"/>
  <c r="Z60" i="4"/>
  <c r="AA36" i="4"/>
  <c r="Z25" i="4"/>
  <c r="I3" i="4"/>
  <c r="O53" i="4"/>
  <c r="N46" i="4"/>
  <c r="O39" i="4"/>
  <c r="N34" i="4"/>
  <c r="O8" i="4"/>
  <c r="U60" i="4"/>
  <c r="T28" i="4"/>
  <c r="U11" i="4"/>
  <c r="U6" i="4"/>
  <c r="AA58" i="4"/>
  <c r="Z47" i="4"/>
  <c r="AA23" i="4"/>
  <c r="Z11" i="4"/>
  <c r="AA3" i="4"/>
  <c r="O57" i="4"/>
  <c r="U38" i="4"/>
  <c r="U16" i="4"/>
  <c r="Z34" i="4"/>
  <c r="T40" i="4"/>
  <c r="U40" i="4"/>
  <c r="N25" i="4"/>
  <c r="N51" i="4"/>
  <c r="N29" i="4"/>
  <c r="T18" i="4"/>
  <c r="U18" i="4"/>
  <c r="N60" i="4"/>
  <c r="N38" i="4"/>
  <c r="T27" i="4"/>
  <c r="U27" i="4"/>
  <c r="T23" i="4"/>
  <c r="U23" i="4"/>
  <c r="T49" i="4"/>
  <c r="U49" i="4"/>
  <c r="N11" i="4"/>
  <c r="U54" i="4"/>
  <c r="T31" i="4"/>
  <c r="U31" i="4"/>
  <c r="N16" i="4"/>
  <c r="U58" i="4"/>
  <c r="N43" i="4"/>
  <c r="N20" i="4"/>
  <c r="T45" i="4"/>
  <c r="U45" i="4"/>
  <c r="O7" i="4"/>
  <c r="N7" i="4"/>
  <c r="N47" i="4"/>
  <c r="T36" i="4"/>
  <c r="U36" i="4"/>
  <c r="T14" i="4"/>
  <c r="U14" i="4"/>
  <c r="O54" i="4"/>
  <c r="O45" i="4"/>
  <c r="O36" i="4"/>
  <c r="O27" i="4"/>
  <c r="O18" i="4"/>
  <c r="O9" i="4"/>
  <c r="U61" i="4"/>
  <c r="U53" i="4"/>
  <c r="U44" i="4"/>
  <c r="U35" i="4"/>
  <c r="U26" i="4"/>
  <c r="U17" i="4"/>
  <c r="U8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59" i="4"/>
  <c r="O50" i="4"/>
  <c r="O41" i="4"/>
  <c r="O33" i="4"/>
  <c r="O24" i="4"/>
  <c r="O15" i="4"/>
  <c r="O6" i="4"/>
  <c r="O58" i="4"/>
  <c r="O49" i="4"/>
  <c r="O40" i="4"/>
  <c r="O31" i="4"/>
  <c r="O23" i="4"/>
  <c r="O14" i="4"/>
  <c r="U57" i="4"/>
  <c r="U48" i="4"/>
  <c r="U39" i="4"/>
  <c r="U30" i="4"/>
  <c r="U21" i="4"/>
  <c r="U12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H3" i="5"/>
  <c r="T4" i="5"/>
  <c r="T10" i="5"/>
  <c r="N12" i="5"/>
  <c r="O22" i="5"/>
  <c r="AA27" i="5"/>
  <c r="N29" i="5"/>
  <c r="H31" i="5"/>
  <c r="H48" i="5"/>
  <c r="I57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H5" i="5"/>
  <c r="O6" i="5"/>
  <c r="Z10" i="5"/>
  <c r="H16" i="5"/>
  <c r="T17" i="5"/>
  <c r="T29" i="5"/>
  <c r="Z35" i="5"/>
  <c r="T46" i="5"/>
  <c r="T47" i="5"/>
  <c r="T50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N3" i="5"/>
  <c r="Z8" i="5"/>
  <c r="O15" i="5"/>
  <c r="N21" i="5"/>
  <c r="Z26" i="5"/>
  <c r="Z28" i="5"/>
  <c r="I43" i="5"/>
  <c r="T48" i="5"/>
  <c r="T62" i="5"/>
  <c r="T65" i="5"/>
  <c r="Z4" i="5"/>
  <c r="H9" i="5"/>
  <c r="O10" i="5"/>
  <c r="T15" i="5"/>
  <c r="N16" i="5"/>
  <c r="Z22" i="5"/>
  <c r="H27" i="5"/>
  <c r="I29" i="5"/>
  <c r="I32" i="5"/>
  <c r="H47" i="5"/>
  <c r="Z48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59" i="5"/>
  <c r="N59" i="5"/>
  <c r="T34" i="5"/>
  <c r="T45" i="5"/>
  <c r="O55" i="5"/>
  <c r="N55" i="5"/>
  <c r="T59" i="5"/>
  <c r="O60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31" i="5"/>
  <c r="N31" i="5"/>
  <c r="O57" i="5"/>
  <c r="N57" i="5"/>
  <c r="I21" i="4"/>
  <c r="I12" i="4"/>
  <c r="I29" i="4"/>
  <c r="I30" i="4"/>
  <c r="I19" i="4"/>
  <c r="I10" i="4"/>
  <c r="I11" i="4"/>
  <c r="I20" i="4"/>
  <c r="H9" i="4"/>
  <c r="H8" i="4"/>
  <c r="H7" i="4"/>
  <c r="I51" i="4"/>
  <c r="I50" i="4"/>
  <c r="I45" i="4"/>
  <c r="Z5" i="4"/>
  <c r="I34" i="4"/>
  <c r="H61" i="4"/>
  <c r="I33" i="4"/>
  <c r="U5" i="4"/>
  <c r="H43" i="4"/>
  <c r="I24" i="4"/>
  <c r="H18" i="4"/>
  <c r="H49" i="4"/>
  <c r="O5" i="4"/>
  <c r="N5" i="4"/>
  <c r="H14" i="4"/>
  <c r="I46" i="4"/>
  <c r="H46" i="4"/>
  <c r="I37" i="4"/>
  <c r="H37" i="4"/>
  <c r="I25" i="4"/>
  <c r="H25" i="4"/>
  <c r="H6" i="4"/>
  <c r="H60" i="4"/>
  <c r="H41" i="4"/>
  <c r="H17" i="4"/>
  <c r="I44" i="4"/>
  <c r="I23" i="4"/>
  <c r="H28" i="4"/>
  <c r="I38" i="4"/>
  <c r="H38" i="4"/>
  <c r="H5" i="4"/>
  <c r="H59" i="4"/>
  <c r="H40" i="4"/>
  <c r="H16" i="4"/>
  <c r="H48" i="4"/>
  <c r="I47" i="4"/>
  <c r="H47" i="4"/>
  <c r="H58" i="4"/>
  <c r="H39" i="4"/>
  <c r="H15" i="4"/>
  <c r="H27" i="4"/>
  <c r="I26" i="4"/>
  <c r="H26" i="4"/>
  <c r="I55" i="4"/>
  <c r="I36" i="4"/>
  <c r="I57" i="4"/>
  <c r="H57" i="4"/>
  <c r="I56" i="4"/>
  <c r="H56" i="4"/>
  <c r="I53" i="4"/>
  <c r="I35" i="4"/>
  <c r="I54" i="4"/>
</calcChain>
</file>

<file path=xl/sharedStrings.xml><?xml version="1.0" encoding="utf-8"?>
<sst xmlns="http://schemas.openxmlformats.org/spreadsheetml/2006/main" count="224" uniqueCount="78">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</sst>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2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9" borderId="4" xfId="0" applyFont="1" applyFill="1" applyBorder="1" applyAlignment="1">
      <alignment horizontal="center" vertical="center" wrapText="1"/>
    </xf>
    <xf numFmtId="0" fontId="6" fillId="9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7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9" fillId="10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1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49" totalsRowShown="0" headerRowDxfId="62" headerRowBorderDxfId="60" tableBorderDxfId="61">
  <autoFilter ref="A1:H49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61" totalsRowShown="0" dataDxfId="59" headerRowBorderDxfId="57" tableBorderDxfId="58">
  <autoFilter ref="A2:AA61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65" totalsRowShown="0" dataDxfId="29" headerRowBorderDxfId="27" tableBorderDxfId="28">
  <autoFilter ref="A2:AA65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45" activePane="topRight" state="frozen"/>
      <selection pane="topRight" activeCell="H151" sqref="H151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1" customFormat="1" ht="64.900000000000006" customHeight="1">
      <c r="A1" s="12" t="s">
        <v>0</v>
      </c>
      <c r="B1" s="12" t="s">
        <v>1</v>
      </c>
      <c r="C1" s="13" t="s">
        <v>2</v>
      </c>
      <c r="D1" s="13" t="s">
        <v>3</v>
      </c>
      <c r="E1" s="13" t="s">
        <v>4</v>
      </c>
      <c r="F1" s="14" t="s">
        <v>5</v>
      </c>
      <c r="G1" s="15" t="s">
        <v>6</v>
      </c>
      <c r="H1" s="16" t="s">
        <v>7</v>
      </c>
    </row>
    <row r="2" spans="1:8" ht="42.75" customHeight="1">
      <c r="A2" s="1">
        <v>1</v>
      </c>
      <c r="B2" s="2" t="s">
        <v>8</v>
      </c>
      <c r="C2" s="1"/>
      <c r="D2" s="1"/>
      <c r="E2" s="1"/>
      <c r="F2" s="5"/>
      <c r="G2" s="3">
        <v>326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/>
      <c r="D3" s="1"/>
      <c r="E3" s="1"/>
      <c r="F3" s="5"/>
      <c r="G3" s="3">
        <v>326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/>
      <c r="D4" s="1"/>
      <c r="E4" s="1"/>
      <c r="F4" s="5"/>
      <c r="G4" s="3">
        <v>326</v>
      </c>
      <c r="H4" s="4">
        <f>IF((D4-C4)&lt;0,0,D4-C4)</f>
        <v>0</v>
      </c>
    </row>
    <row r="5" spans="1:8" ht="25.5" customHeight="1">
      <c r="A5" s="1">
        <v>1</v>
      </c>
      <c r="B5" s="2" t="s">
        <v>11</v>
      </c>
      <c r="C5" s="1"/>
      <c r="D5" s="1"/>
      <c r="E5" s="1"/>
      <c r="F5" s="5"/>
      <c r="G5" s="3">
        <v>326</v>
      </c>
      <c r="H5" s="4">
        <f t="shared" ref="H5:H6" si="0">IF((D5-C5)&lt;0,0,D5-C5)</f>
        <v>0</v>
      </c>
    </row>
    <row r="6" spans="1:8" ht="19.5">
      <c r="A6" s="1">
        <v>1</v>
      </c>
      <c r="B6" s="2" t="s">
        <v>12</v>
      </c>
      <c r="C6" s="1"/>
      <c r="D6" s="1"/>
      <c r="E6" s="1"/>
      <c r="F6" s="5"/>
      <c r="G6" s="3">
        <v>326</v>
      </c>
      <c r="H6" s="4">
        <f t="shared" si="0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149999999999999">
      <c r="A12" s="1">
        <v>2</v>
      </c>
      <c r="B12" s="2" t="s">
        <v>12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1">IF((C14-D14)&lt;0,0,C14-D14)</f>
        <v>0</v>
      </c>
      <c r="H14" s="4">
        <f t="shared" ref="H14:H19" si="2">IF((D14-C14)&lt;0,0,D14-C14)</f>
        <v>0</v>
      </c>
    </row>
    <row r="15" spans="1:8" ht="29.25" customHeight="1">
      <c r="A15" s="1">
        <v>3</v>
      </c>
      <c r="B15" s="2" t="s">
        <v>9</v>
      </c>
      <c r="C15" s="1"/>
      <c r="D15" s="1"/>
      <c r="E15" s="1"/>
      <c r="F15" s="5"/>
      <c r="G15" s="3">
        <f t="shared" si="1"/>
        <v>0</v>
      </c>
      <c r="H15" s="4">
        <f t="shared" si="2"/>
        <v>0</v>
      </c>
    </row>
    <row r="16" spans="1:8" ht="27" customHeight="1">
      <c r="A16" s="1">
        <v>3</v>
      </c>
      <c r="B16" s="2" t="s">
        <v>10</v>
      </c>
      <c r="C16" s="1"/>
      <c r="D16" s="1"/>
      <c r="E16" s="1"/>
      <c r="F16" s="5"/>
      <c r="G16" s="3">
        <f t="shared" si="1"/>
        <v>0</v>
      </c>
      <c r="H16" s="4">
        <f t="shared" si="2"/>
        <v>0</v>
      </c>
    </row>
    <row r="17" spans="1:8" ht="23.25" customHeight="1">
      <c r="A17" s="1">
        <v>3</v>
      </c>
      <c r="B17" s="2" t="s">
        <v>13</v>
      </c>
      <c r="C17" s="1"/>
      <c r="D17" s="1"/>
      <c r="E17" s="1"/>
      <c r="F17" s="5"/>
      <c r="G17" s="3">
        <f t="shared" si="1"/>
        <v>0</v>
      </c>
      <c r="H17" s="4">
        <f t="shared" si="2"/>
        <v>0</v>
      </c>
    </row>
    <row r="18" spans="1:8" ht="21" customHeight="1">
      <c r="A18" s="1">
        <v>3</v>
      </c>
      <c r="B18" s="2" t="s">
        <v>11</v>
      </c>
      <c r="C18" s="1"/>
      <c r="D18" s="1"/>
      <c r="E18" s="1"/>
      <c r="F18" s="5"/>
      <c r="G18" s="3">
        <f t="shared" si="1"/>
        <v>0</v>
      </c>
      <c r="H18" s="4">
        <f t="shared" si="2"/>
        <v>0</v>
      </c>
    </row>
    <row r="19" spans="1:8" ht="19.149999999999999">
      <c r="A19" s="1">
        <v>3</v>
      </c>
      <c r="B19" s="2" t="s">
        <v>12</v>
      </c>
      <c r="C19" s="1"/>
      <c r="D19" s="1"/>
      <c r="E19" s="1"/>
      <c r="F19" s="5"/>
      <c r="G19" s="3">
        <f t="shared" si="1"/>
        <v>0</v>
      </c>
      <c r="H19" s="4">
        <f t="shared" si="2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/>
      <c r="D21" s="1"/>
      <c r="E21" s="1"/>
      <c r="F21" s="5"/>
      <c r="G21" s="3">
        <v>475</v>
      </c>
      <c r="H21" s="4">
        <f t="shared" ref="H21:H29" si="3">IF((D21-C21)&lt;0,0,D21-C21)</f>
        <v>0</v>
      </c>
    </row>
    <row r="22" spans="1:8" ht="24" customHeight="1">
      <c r="A22" s="1">
        <v>4</v>
      </c>
      <c r="B22" s="9" t="s">
        <v>15</v>
      </c>
      <c r="C22" s="1"/>
      <c r="D22" s="1"/>
      <c r="E22" s="1"/>
      <c r="F22" s="5"/>
      <c r="G22" s="3">
        <v>475</v>
      </c>
      <c r="H22" s="4">
        <f t="shared" si="3"/>
        <v>0</v>
      </c>
    </row>
    <row r="23" spans="1:8" ht="19.5">
      <c r="A23" s="1">
        <v>4</v>
      </c>
      <c r="B23" s="9" t="s">
        <v>12</v>
      </c>
      <c r="C23" s="1"/>
      <c r="D23" s="1"/>
      <c r="E23" s="1"/>
      <c r="F23" s="5"/>
      <c r="G23" s="3">
        <v>475</v>
      </c>
      <c r="H23" s="4">
        <f t="shared" si="3"/>
        <v>0</v>
      </c>
    </row>
    <row r="24" spans="1:8" ht="27" customHeight="1">
      <c r="A24" s="1">
        <v>4</v>
      </c>
      <c r="B24" s="9" t="s">
        <v>10</v>
      </c>
      <c r="C24" s="1"/>
      <c r="D24" s="1"/>
      <c r="E24" s="1"/>
      <c r="F24" s="5"/>
      <c r="G24" s="3">
        <v>475</v>
      </c>
      <c r="H24" s="4">
        <f t="shared" si="3"/>
        <v>0</v>
      </c>
    </row>
    <row r="25" spans="1:8" ht="33.75" customHeight="1">
      <c r="A25" s="1">
        <v>4</v>
      </c>
      <c r="B25" s="9" t="s">
        <v>16</v>
      </c>
      <c r="C25" s="1"/>
      <c r="D25" s="1"/>
      <c r="E25" s="1"/>
      <c r="F25" s="5"/>
      <c r="G25" s="3">
        <v>475</v>
      </c>
      <c r="H25" s="4">
        <f t="shared" si="3"/>
        <v>0</v>
      </c>
    </row>
    <row r="26" spans="1:8" ht="33.75" customHeight="1">
      <c r="A26" s="1">
        <v>4</v>
      </c>
      <c r="B26" s="9" t="s">
        <v>13</v>
      </c>
      <c r="C26" s="1"/>
      <c r="D26" s="1"/>
      <c r="E26" s="1"/>
      <c r="F26" s="5"/>
      <c r="G26" s="3">
        <v>475</v>
      </c>
      <c r="H26" s="4">
        <f t="shared" si="3"/>
        <v>0</v>
      </c>
    </row>
    <row r="27" spans="1:8" ht="33.75" customHeight="1">
      <c r="A27" s="1">
        <v>4</v>
      </c>
      <c r="B27" s="9" t="s">
        <v>17</v>
      </c>
      <c r="C27" s="1"/>
      <c r="D27" s="1"/>
      <c r="E27" s="1"/>
      <c r="F27" s="5"/>
      <c r="G27" s="3">
        <v>475</v>
      </c>
      <c r="H27" s="4">
        <f t="shared" si="3"/>
        <v>0</v>
      </c>
    </row>
    <row r="28" spans="1:8" ht="27.75" customHeight="1">
      <c r="A28" s="1">
        <v>4</v>
      </c>
      <c r="B28" s="9" t="s">
        <v>18</v>
      </c>
      <c r="C28" s="1"/>
      <c r="D28" s="1"/>
      <c r="E28" s="1"/>
      <c r="F28" s="5"/>
      <c r="G28" s="3">
        <v>0</v>
      </c>
      <c r="H28" s="4">
        <f t="shared" si="3"/>
        <v>0</v>
      </c>
    </row>
    <row r="29" spans="1:8" ht="27.75" customHeight="1">
      <c r="A29" s="1">
        <v>4</v>
      </c>
      <c r="B29" s="9" t="s">
        <v>19</v>
      </c>
      <c r="C29" s="1"/>
      <c r="D29" s="1"/>
      <c r="E29" s="1"/>
      <c r="F29" s="5"/>
      <c r="G29" s="3">
        <v>475</v>
      </c>
      <c r="H29" s="4">
        <f t="shared" si="3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/>
      <c r="D31" s="1"/>
      <c r="E31" s="1"/>
      <c r="F31" s="5"/>
      <c r="G31" s="3">
        <v>360</v>
      </c>
      <c r="H31" s="4">
        <f t="shared" ref="H31:H39" si="4">IF((D31-C31)&lt;0,0,D31-C31)</f>
        <v>0</v>
      </c>
    </row>
    <row r="32" spans="1:8" ht="27.75" customHeight="1">
      <c r="A32" s="1">
        <v>5</v>
      </c>
      <c r="B32" s="9" t="s">
        <v>15</v>
      </c>
      <c r="C32" s="1"/>
      <c r="D32" s="1"/>
      <c r="E32" s="1"/>
      <c r="F32" s="5"/>
      <c r="G32" s="3">
        <f t="shared" ref="G31:G39" si="5">IF((C32-D32)&lt;0,0,C32-D32)</f>
        <v>0</v>
      </c>
      <c r="H32" s="4">
        <f t="shared" si="4"/>
        <v>0</v>
      </c>
    </row>
    <row r="33" spans="1:8" ht="27.75" customHeight="1">
      <c r="A33" s="1">
        <v>5</v>
      </c>
      <c r="B33" s="9" t="s">
        <v>12</v>
      </c>
      <c r="C33" s="1"/>
      <c r="D33" s="1"/>
      <c r="E33" s="1"/>
      <c r="F33" s="5"/>
      <c r="G33" s="3">
        <f t="shared" si="5"/>
        <v>0</v>
      </c>
      <c r="H33" s="4">
        <f t="shared" si="4"/>
        <v>0</v>
      </c>
    </row>
    <row r="34" spans="1:8" ht="27.75" customHeight="1">
      <c r="A34" s="1">
        <v>5</v>
      </c>
      <c r="B34" s="9" t="s">
        <v>10</v>
      </c>
      <c r="C34" s="1"/>
      <c r="D34" s="1"/>
      <c r="E34" s="1"/>
      <c r="F34" s="5"/>
      <c r="G34" s="3">
        <f t="shared" si="5"/>
        <v>0</v>
      </c>
      <c r="H34" s="4">
        <f t="shared" si="4"/>
        <v>0</v>
      </c>
    </row>
    <row r="35" spans="1:8" ht="39" customHeight="1">
      <c r="A35" s="1">
        <v>5</v>
      </c>
      <c r="B35" s="9" t="s">
        <v>16</v>
      </c>
      <c r="C35" s="1"/>
      <c r="D35" s="1"/>
      <c r="E35" s="1"/>
      <c r="F35" s="5"/>
      <c r="G35" s="3">
        <v>360</v>
      </c>
      <c r="H35" s="4">
        <f t="shared" si="4"/>
        <v>0</v>
      </c>
    </row>
    <row r="36" spans="1:8" ht="27.75" customHeight="1">
      <c r="A36" s="1">
        <v>5</v>
      </c>
      <c r="B36" s="9" t="s">
        <v>13</v>
      </c>
      <c r="C36" s="1"/>
      <c r="D36" s="1"/>
      <c r="E36" s="1"/>
      <c r="F36" s="5"/>
      <c r="G36" s="3">
        <v>360</v>
      </c>
      <c r="H36" s="4">
        <f t="shared" si="4"/>
        <v>0</v>
      </c>
    </row>
    <row r="37" spans="1:8" ht="27.75" customHeight="1">
      <c r="A37" s="1">
        <v>5</v>
      </c>
      <c r="B37" s="9" t="s">
        <v>17</v>
      </c>
      <c r="C37" s="1"/>
      <c r="D37" s="1"/>
      <c r="E37" s="1"/>
      <c r="F37" s="5"/>
      <c r="G37" s="3">
        <f t="shared" si="5"/>
        <v>0</v>
      </c>
      <c r="H37" s="4">
        <f t="shared" si="4"/>
        <v>0</v>
      </c>
    </row>
    <row r="38" spans="1:8" ht="27.75" customHeight="1">
      <c r="A38" s="1">
        <v>5</v>
      </c>
      <c r="B38" s="9" t="s">
        <v>18</v>
      </c>
      <c r="C38" s="1"/>
      <c r="D38" s="1"/>
      <c r="E38" s="1"/>
      <c r="F38" s="5"/>
      <c r="G38" s="3">
        <f t="shared" si="5"/>
        <v>0</v>
      </c>
      <c r="H38" s="4">
        <f t="shared" si="4"/>
        <v>0</v>
      </c>
    </row>
    <row r="39" spans="1:8" ht="27.75" customHeight="1">
      <c r="A39" s="1">
        <v>5</v>
      </c>
      <c r="B39" s="9" t="s">
        <v>19</v>
      </c>
      <c r="C39" s="1"/>
      <c r="D39" s="1"/>
      <c r="E39" s="1"/>
      <c r="F39" s="5"/>
      <c r="G39" s="3">
        <v>360</v>
      </c>
      <c r="H39" s="4">
        <f t="shared" si="4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/>
      <c r="D41" s="1"/>
      <c r="E41" s="1"/>
      <c r="F41" s="5"/>
      <c r="G41" s="3">
        <f t="shared" ref="G41:G49" si="6">IF((C41-D41)&lt;0,0,C41-D41)</f>
        <v>0</v>
      </c>
      <c r="H41" s="4">
        <f t="shared" ref="H41:H49" si="7">IF((D41-C41)&lt;0,0,D41-C41)</f>
        <v>0</v>
      </c>
    </row>
    <row r="42" spans="1:8" ht="27.75" customHeight="1">
      <c r="A42" s="1">
        <v>6</v>
      </c>
      <c r="B42" s="9" t="s">
        <v>15</v>
      </c>
      <c r="C42" s="1"/>
      <c r="D42" s="1"/>
      <c r="E42" s="1"/>
      <c r="F42" s="5"/>
      <c r="G42" s="3">
        <f t="shared" si="6"/>
        <v>0</v>
      </c>
      <c r="H42" s="4">
        <f t="shared" si="7"/>
        <v>0</v>
      </c>
    </row>
    <row r="43" spans="1:8" ht="27.75" customHeight="1">
      <c r="A43" s="1">
        <v>6</v>
      </c>
      <c r="B43" s="9" t="s">
        <v>12</v>
      </c>
      <c r="C43" s="1"/>
      <c r="D43" s="1"/>
      <c r="E43" s="1"/>
      <c r="F43" s="5"/>
      <c r="G43" s="3">
        <f t="shared" si="6"/>
        <v>0</v>
      </c>
      <c r="H43" s="4">
        <f t="shared" si="7"/>
        <v>0</v>
      </c>
    </row>
    <row r="44" spans="1:8" ht="27.75" customHeight="1">
      <c r="A44" s="1">
        <v>6</v>
      </c>
      <c r="B44" s="9" t="s">
        <v>10</v>
      </c>
      <c r="C44" s="1"/>
      <c r="D44" s="1"/>
      <c r="E44" s="1"/>
      <c r="F44" s="5"/>
      <c r="G44" s="3">
        <f t="shared" si="6"/>
        <v>0</v>
      </c>
      <c r="H44" s="4">
        <f t="shared" si="7"/>
        <v>0</v>
      </c>
    </row>
    <row r="45" spans="1:8" ht="36.75" customHeight="1">
      <c r="A45" s="1">
        <v>6</v>
      </c>
      <c r="B45" s="9" t="s">
        <v>16</v>
      </c>
      <c r="C45" s="1"/>
      <c r="D45" s="1"/>
      <c r="E45" s="1"/>
      <c r="F45" s="5"/>
      <c r="G45" s="3">
        <f t="shared" si="6"/>
        <v>0</v>
      </c>
      <c r="H45" s="4">
        <f t="shared" si="7"/>
        <v>0</v>
      </c>
    </row>
    <row r="46" spans="1:8" ht="27.75" customHeight="1">
      <c r="A46" s="1">
        <v>6</v>
      </c>
      <c r="B46" s="9" t="s">
        <v>13</v>
      </c>
      <c r="C46" s="1"/>
      <c r="D46" s="1"/>
      <c r="E46" s="1"/>
      <c r="F46" s="5"/>
      <c r="G46" s="3">
        <f t="shared" si="6"/>
        <v>0</v>
      </c>
      <c r="H46" s="4">
        <f t="shared" si="7"/>
        <v>0</v>
      </c>
    </row>
    <row r="47" spans="1:8" ht="27.75" customHeight="1">
      <c r="A47" s="1">
        <v>6</v>
      </c>
      <c r="B47" s="9" t="s">
        <v>17</v>
      </c>
      <c r="C47" s="1"/>
      <c r="D47" s="1"/>
      <c r="E47" s="1"/>
      <c r="F47" s="5"/>
      <c r="G47" s="3">
        <f t="shared" si="6"/>
        <v>0</v>
      </c>
      <c r="H47" s="4">
        <f t="shared" si="7"/>
        <v>0</v>
      </c>
    </row>
    <row r="48" spans="1:8" ht="27.75" customHeight="1">
      <c r="A48" s="1">
        <v>6</v>
      </c>
      <c r="B48" s="9" t="s">
        <v>18</v>
      </c>
      <c r="C48" s="1"/>
      <c r="D48" s="1"/>
      <c r="E48" s="1"/>
      <c r="F48" s="5"/>
      <c r="G48" s="3">
        <f t="shared" si="6"/>
        <v>0</v>
      </c>
      <c r="H48" s="4">
        <f t="shared" si="7"/>
        <v>0</v>
      </c>
    </row>
    <row r="49" spans="1:8" ht="27.75" customHeight="1">
      <c r="A49" s="1">
        <v>6</v>
      </c>
      <c r="B49" s="9" t="s">
        <v>19</v>
      </c>
      <c r="C49" s="1"/>
      <c r="D49" s="1"/>
      <c r="E49" s="1"/>
      <c r="F49" s="5"/>
      <c r="G49" s="3">
        <f t="shared" si="6"/>
        <v>0</v>
      </c>
      <c r="H49" s="4">
        <f t="shared" si="7"/>
        <v>0</v>
      </c>
    </row>
    <row r="50" spans="1:8" ht="27.75" customHeight="1"/>
    <row r="51" spans="1:8" ht="27.75" customHeight="1"/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</sheetData>
  <protectedRanges>
    <protectedRange sqref="C1:E49" name="Textbooks"/>
    <protectedRange sqref="F1:F49" name="SOURCE"/>
  </protectedRanges>
  <phoneticPr fontId="8" type="noConversion"/>
  <dataValidations count="2">
    <dataValidation type="list" allowBlank="1" showInputMessage="1" showErrorMessage="1" sqref="E2:E6 E8:E12 E14:E19 E21:E29 E31:E39 E41:E49" xr:uid="{B46E7B13-721E-4D49-837E-C02BF9777D48}">
      <formula1>"2024,2025  ,2026"</formula1>
    </dataValidation>
    <dataValidation type="list" allowBlank="1" showInputMessage="1" showErrorMessage="1" sqref="F14:F19 F21:F29 F31:F39 F41:F49 F2:F6 F8:F12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A54" zoomScale="70" zoomScaleNormal="70" workbookViewId="0">
      <selection activeCell="AC139" sqref="AC139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D1" s="35" t="s">
        <v>20</v>
      </c>
      <c r="E1" s="35"/>
      <c r="F1" s="35"/>
      <c r="G1" s="35"/>
      <c r="H1" s="35"/>
      <c r="I1" s="35"/>
      <c r="J1" s="36" t="s">
        <v>21</v>
      </c>
      <c r="K1" s="36"/>
      <c r="L1" s="36"/>
      <c r="M1" s="36"/>
      <c r="N1" s="36"/>
      <c r="O1" s="36"/>
      <c r="P1" s="37" t="s">
        <v>22</v>
      </c>
      <c r="Q1" s="37"/>
      <c r="R1" s="37"/>
      <c r="S1" s="37"/>
      <c r="T1" s="37"/>
      <c r="U1" s="37"/>
      <c r="V1" s="38" t="s">
        <v>23</v>
      </c>
      <c r="W1" s="38"/>
      <c r="X1" s="38"/>
      <c r="Y1" s="38"/>
      <c r="Z1" s="38"/>
      <c r="AA1" s="38"/>
    </row>
    <row r="2" spans="1:27" ht="69.599999999999994" customHeight="1">
      <c r="A2" s="12" t="s">
        <v>0</v>
      </c>
      <c r="B2" s="12" t="s">
        <v>1</v>
      </c>
      <c r="C2" s="13" t="s">
        <v>2</v>
      </c>
      <c r="D2" s="17" t="s">
        <v>24</v>
      </c>
      <c r="E2" s="17" t="s">
        <v>25</v>
      </c>
      <c r="F2" s="18" t="s">
        <v>26</v>
      </c>
      <c r="G2" s="21" t="s">
        <v>27</v>
      </c>
      <c r="H2" s="14" t="s">
        <v>28</v>
      </c>
      <c r="I2" s="21" t="s">
        <v>29</v>
      </c>
      <c r="J2" s="19" t="s">
        <v>30</v>
      </c>
      <c r="K2" s="19" t="s">
        <v>31</v>
      </c>
      <c r="L2" s="20" t="s">
        <v>32</v>
      </c>
      <c r="M2" s="33" t="s">
        <v>33</v>
      </c>
      <c r="N2" s="33" t="s">
        <v>34</v>
      </c>
      <c r="O2" s="19" t="s">
        <v>35</v>
      </c>
      <c r="P2" s="21" t="s">
        <v>36</v>
      </c>
      <c r="Q2" s="21" t="s">
        <v>37</v>
      </c>
      <c r="R2" s="22" t="s">
        <v>38</v>
      </c>
      <c r="S2" s="14" t="s">
        <v>39</v>
      </c>
      <c r="T2" s="14" t="s">
        <v>40</v>
      </c>
      <c r="U2" s="21" t="s">
        <v>41</v>
      </c>
      <c r="V2" s="23" t="s">
        <v>42</v>
      </c>
      <c r="W2" s="23" t="s">
        <v>43</v>
      </c>
      <c r="X2" s="24" t="s">
        <v>44</v>
      </c>
      <c r="Y2" s="34" t="s">
        <v>45</v>
      </c>
      <c r="Z2" s="34" t="s">
        <v>46</v>
      </c>
      <c r="AA2" s="23" t="s">
        <v>47</v>
      </c>
    </row>
    <row r="3" spans="1:27" ht="30.6" customHeight="1">
      <c r="A3" s="32" t="s">
        <v>48</v>
      </c>
      <c r="B3" s="27"/>
      <c r="C3" s="26"/>
      <c r="D3" s="28">
        <f>Table1[[#This Row],[Enrolment S.Y. 2025-2026 ]]*8</f>
        <v>0</v>
      </c>
      <c r="E3" s="28"/>
      <c r="F3" s="26"/>
      <c r="G3" s="28"/>
      <c r="H3" s="28">
        <f>IF((D3-E3)&lt;0,0,(D3-E3))</f>
        <v>0</v>
      </c>
      <c r="I3" s="28">
        <f>IF((E3-D3)&lt;0,0,(E3-D3))</f>
        <v>0</v>
      </c>
      <c r="J3" s="28">
        <f>Table1[[#This Row],[Enrolment S.Y. 2025-2026 ]]*8</f>
        <v>0</v>
      </c>
      <c r="K3" s="28"/>
      <c r="L3" s="26"/>
      <c r="M3" s="28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28"/>
      <c r="R3" s="26"/>
      <c r="S3" s="28"/>
      <c r="T3" s="28">
        <f>IF((P3-Q3)&lt;0,0,(P3-Q3))</f>
        <v>0</v>
      </c>
      <c r="U3" s="28">
        <f>IF((Q3-P3)&lt;0,0,(Q3-P3))</f>
        <v>0</v>
      </c>
      <c r="V3" s="28">
        <f>Table1[[#This Row],[Enrolment S.Y. 2025-2026 ]]*8</f>
        <v>0</v>
      </c>
      <c r="W3" s="28"/>
      <c r="X3" s="26"/>
      <c r="Y3" s="28"/>
      <c r="Z3" s="28">
        <f>IF((V3-W3)&lt;0,0,(V3-W3))</f>
        <v>0</v>
      </c>
      <c r="AA3" s="28">
        <f>IF((W3-V3)&lt;0,0,(W3-V3))</f>
        <v>0</v>
      </c>
    </row>
    <row r="4" spans="1:27" s="7" customFormat="1" ht="19.149999999999999">
      <c r="J4" s="10"/>
      <c r="N4" s="10"/>
      <c r="O4" s="10"/>
      <c r="P4" s="10"/>
      <c r="S4" s="5"/>
      <c r="T4" s="10"/>
      <c r="U4" s="10"/>
      <c r="V4" s="10"/>
      <c r="Z4" s="10"/>
      <c r="AA4" s="10"/>
    </row>
    <row r="5" spans="1:27" ht="19.149999999999999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61" si="2">IF((D5-E5)&lt;0,0,(D5-E5))</f>
        <v>0</v>
      </c>
      <c r="I5" s="5">
        <f t="shared" ref="I5:I61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1" si="10">IF((J6-K6)&lt;0,0,(J6-K6))</f>
        <v>0</v>
      </c>
      <c r="O6" s="5">
        <f t="shared" ref="O6:O61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0" si="12">IF((P6-Q6)&lt;0,0,(P6-Q6))</f>
        <v>0</v>
      </c>
      <c r="U6" s="5">
        <f t="shared" ref="U6:U61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0" si="14">IF((V6-W6)&lt;0,0,(V6-W6))</f>
        <v>0</v>
      </c>
      <c r="AA6" s="5">
        <f t="shared" ref="AA6:AA61" si="15">IF((W6-V6)&lt;0,0,(W6-V6))</f>
        <v>0</v>
      </c>
    </row>
    <row r="7" spans="1:27" ht="19.149999999999999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49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0"/>
      <c r="N13" s="10"/>
      <c r="O13" s="10"/>
      <c r="P13" s="10"/>
      <c r="S13" s="5"/>
      <c r="T13" s="10"/>
      <c r="U13" s="10"/>
      <c r="V13" s="10"/>
      <c r="Y13" s="10"/>
      <c r="Z13" s="10"/>
      <c r="AA13" s="10"/>
    </row>
    <row r="14" spans="1:27" ht="38.25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v>0</v>
      </c>
      <c r="J14" s="5">
        <f>Table1[[#This Row],[Enrolment S.Y. 2025-2026 ]]*8</f>
        <v>0</v>
      </c>
      <c r="K14" s="5"/>
      <c r="L14" s="1"/>
      <c r="M14" s="5"/>
      <c r="N14" s="5"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5">
      <c r="A16" s="1">
        <v>2</v>
      </c>
      <c r="B16" s="2" t="s">
        <v>10</v>
      </c>
      <c r="C16" s="1"/>
      <c r="D16" s="5">
        <v>389</v>
      </c>
      <c r="E16" s="5"/>
      <c r="F16" s="1"/>
      <c r="G16" s="5"/>
      <c r="H16" s="5">
        <f t="shared" si="2"/>
        <v>389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5">
      <c r="A17" s="1">
        <v>2</v>
      </c>
      <c r="B17" s="2" t="s">
        <v>11</v>
      </c>
      <c r="C17" s="1"/>
      <c r="D17" s="5">
        <v>389</v>
      </c>
      <c r="E17" s="5"/>
      <c r="F17" s="1"/>
      <c r="G17" s="5"/>
      <c r="H17" s="5">
        <f t="shared" si="2"/>
        <v>389</v>
      </c>
      <c r="I17" s="5">
        <f t="shared" si="3"/>
        <v>0</v>
      </c>
      <c r="J17" s="5">
        <v>380</v>
      </c>
      <c r="K17" s="5"/>
      <c r="L17" s="1"/>
      <c r="M17" s="5"/>
      <c r="N17" s="5">
        <f t="shared" si="10"/>
        <v>380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5">
      <c r="A18" s="1">
        <v>2</v>
      </c>
      <c r="B18" s="2" t="s">
        <v>12</v>
      </c>
      <c r="C18" s="1"/>
      <c r="D18" s="5">
        <v>389</v>
      </c>
      <c r="E18" s="5"/>
      <c r="F18" s="1"/>
      <c r="G18" s="5"/>
      <c r="H18" s="5">
        <f t="shared" si="2"/>
        <v>389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5">
      <c r="A19" s="1">
        <v>2</v>
      </c>
      <c r="B19" s="9" t="s">
        <v>15</v>
      </c>
      <c r="C19" s="1"/>
      <c r="D19" s="5">
        <v>389</v>
      </c>
      <c r="E19" s="5"/>
      <c r="F19" s="1"/>
      <c r="G19" s="5"/>
      <c r="H19" s="5">
        <f>IF((D19-E19)&lt;0,0,(D19-E19))</f>
        <v>389</v>
      </c>
      <c r="I19" s="5">
        <f>IF((E19-D19)&lt;0,0,(E19-D19))</f>
        <v>0</v>
      </c>
      <c r="J19" s="5">
        <v>380</v>
      </c>
      <c r="K19" s="5"/>
      <c r="L19" s="1"/>
      <c r="M19" s="5"/>
      <c r="N19" s="5">
        <f t="shared" si="10"/>
        <v>380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5">
      <c r="A20" s="1">
        <v>2</v>
      </c>
      <c r="B20" s="9" t="s">
        <v>14</v>
      </c>
      <c r="C20" s="1"/>
      <c r="D20" s="5">
        <v>389</v>
      </c>
      <c r="E20" s="5"/>
      <c r="F20" s="1"/>
      <c r="G20" s="5"/>
      <c r="H20" s="5">
        <f>IF((D20-E20)&lt;0,0,(D20-E20))</f>
        <v>389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49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0"/>
      <c r="M22" s="5"/>
      <c r="N22" s="10"/>
      <c r="O22" s="10"/>
      <c r="P22" s="10"/>
      <c r="S22" s="5"/>
      <c r="T22" s="10"/>
      <c r="U22" s="10"/>
      <c r="V22" s="10"/>
      <c r="Y22" s="5"/>
      <c r="Z22" s="10"/>
      <c r="AA22" s="10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5">
      <c r="A25" s="1">
        <v>3</v>
      </c>
      <c r="B25" s="2" t="s">
        <v>10</v>
      </c>
      <c r="C25" s="1"/>
      <c r="D25" s="5">
        <v>267</v>
      </c>
      <c r="E25" s="5"/>
      <c r="F25" s="1"/>
      <c r="G25" s="5"/>
      <c r="H25" s="5">
        <f t="shared" si="2"/>
        <v>267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5">
      <c r="A26" s="1">
        <v>3</v>
      </c>
      <c r="B26" s="2" t="s">
        <v>13</v>
      </c>
      <c r="C26" s="1"/>
      <c r="D26" s="5">
        <v>267</v>
      </c>
      <c r="E26" s="5"/>
      <c r="F26" s="1"/>
      <c r="G26" s="5"/>
      <c r="H26" s="5">
        <f t="shared" si="2"/>
        <v>267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5">
      <c r="A27" s="1">
        <v>3</v>
      </c>
      <c r="B27" s="2" t="s">
        <v>11</v>
      </c>
      <c r="C27" s="1"/>
      <c r="D27" s="5">
        <v>267</v>
      </c>
      <c r="E27" s="5"/>
      <c r="F27" s="1"/>
      <c r="G27" s="5"/>
      <c r="H27" s="5">
        <f t="shared" si="2"/>
        <v>267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5">
      <c r="A28" s="1">
        <v>3</v>
      </c>
      <c r="B28" s="2" t="s">
        <v>12</v>
      </c>
      <c r="C28" s="1"/>
      <c r="D28" s="5">
        <v>267</v>
      </c>
      <c r="E28" s="5"/>
      <c r="F28" s="1"/>
      <c r="G28" s="5"/>
      <c r="H28" s="5">
        <f t="shared" si="2"/>
        <v>267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5">
      <c r="A29" s="1">
        <v>3</v>
      </c>
      <c r="B29" s="9" t="s">
        <v>14</v>
      </c>
      <c r="C29" s="1"/>
      <c r="D29" s="5">
        <v>267</v>
      </c>
      <c r="E29" s="5"/>
      <c r="F29" s="1"/>
      <c r="G29" s="5"/>
      <c r="H29" s="5">
        <f>IF((D29-E29)&lt;0,0,(D29-E29))</f>
        <v>267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5">
      <c r="A30" s="1">
        <v>3</v>
      </c>
      <c r="B30" s="9" t="s">
        <v>15</v>
      </c>
      <c r="C30" s="1"/>
      <c r="D30" s="5">
        <v>267</v>
      </c>
      <c r="E30" s="5"/>
      <c r="F30" s="1"/>
      <c r="G30" s="5"/>
      <c r="H30" s="5">
        <f>IF((D30-E30)&lt;0,0,(D30-E30))</f>
        <v>267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49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0"/>
      <c r="M32" s="5"/>
      <c r="N32" s="10"/>
      <c r="O32" s="10"/>
      <c r="P32" s="10"/>
      <c r="S32" s="5"/>
      <c r="T32" s="10"/>
      <c r="U32" s="10"/>
      <c r="V32" s="10"/>
      <c r="Y32" s="5"/>
      <c r="Z32" s="10"/>
      <c r="AA32" s="10"/>
    </row>
    <row r="33" spans="1:27" ht="19.149999999999999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19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0"/>
      <c r="M42" s="5"/>
      <c r="N42" s="10"/>
      <c r="O42" s="10"/>
      <c r="P42" s="10"/>
      <c r="S42" s="5"/>
      <c r="T42" s="10"/>
      <c r="U42" s="10"/>
      <c r="V42" s="10"/>
      <c r="Y42" s="5"/>
      <c r="Z42" s="10"/>
      <c r="AA42" s="10"/>
    </row>
    <row r="43" spans="1:27" ht="19.5">
      <c r="A43" s="1">
        <v>5</v>
      </c>
      <c r="B43" s="9" t="s">
        <v>14</v>
      </c>
      <c r="C43" s="1"/>
      <c r="D43" s="5">
        <v>157</v>
      </c>
      <c r="E43" s="5"/>
      <c r="F43" s="1"/>
      <c r="G43" s="5"/>
      <c r="H43" s="5">
        <f t="shared" si="2"/>
        <v>157</v>
      </c>
      <c r="I43" s="5">
        <f t="shared" si="3"/>
        <v>0</v>
      </c>
      <c r="J43" s="5">
        <v>329</v>
      </c>
      <c r="K43" s="5"/>
      <c r="L43" s="1"/>
      <c r="M43" s="5"/>
      <c r="N43" s="5">
        <f t="shared" si="10"/>
        <v>329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5">
      <c r="A44" s="1">
        <v>5</v>
      </c>
      <c r="B44" s="9" t="s">
        <v>15</v>
      </c>
      <c r="C44" s="1"/>
      <c r="D44" s="5">
        <v>157</v>
      </c>
      <c r="E44" s="5"/>
      <c r="F44" s="1"/>
      <c r="G44" s="5"/>
      <c r="H44" s="5">
        <f t="shared" si="2"/>
        <v>157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5">
      <c r="A45" s="1">
        <v>5</v>
      </c>
      <c r="B45" s="9" t="s">
        <v>12</v>
      </c>
      <c r="C45" s="1"/>
      <c r="D45" s="5">
        <v>157</v>
      </c>
      <c r="E45" s="5"/>
      <c r="F45" s="1"/>
      <c r="G45" s="5"/>
      <c r="H45" s="5">
        <f t="shared" si="2"/>
        <v>157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v>329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149999999999999">
      <c r="A46" s="1">
        <v>5</v>
      </c>
      <c r="B46" s="9" t="s">
        <v>10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38.25">
      <c r="A47" s="1">
        <v>5</v>
      </c>
      <c r="B47" s="9" t="s">
        <v>16</v>
      </c>
      <c r="C47" s="1"/>
      <c r="D47" s="5">
        <v>157</v>
      </c>
      <c r="E47" s="5"/>
      <c r="F47" s="1"/>
      <c r="G47" s="5"/>
      <c r="H47" s="5">
        <f t="shared" si="2"/>
        <v>157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5">
      <c r="A48" s="1">
        <v>5</v>
      </c>
      <c r="B48" s="9" t="s">
        <v>13</v>
      </c>
      <c r="C48" s="1"/>
      <c r="D48" s="5">
        <v>157</v>
      </c>
      <c r="E48" s="5"/>
      <c r="F48" s="1"/>
      <c r="G48" s="5"/>
      <c r="H48" s="5">
        <f t="shared" si="2"/>
        <v>157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5">
      <c r="A49" s="1">
        <v>5</v>
      </c>
      <c r="B49" s="9" t="s">
        <v>17</v>
      </c>
      <c r="C49" s="1"/>
      <c r="D49" s="5">
        <v>157</v>
      </c>
      <c r="E49" s="5"/>
      <c r="F49" s="1"/>
      <c r="G49" s="5"/>
      <c r="H49" s="5">
        <f t="shared" si="2"/>
        <v>157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5">
      <c r="A50" s="1">
        <v>5</v>
      </c>
      <c r="B50" s="9" t="s">
        <v>18</v>
      </c>
      <c r="C50" s="1"/>
      <c r="D50" s="5">
        <v>157</v>
      </c>
      <c r="E50" s="5"/>
      <c r="F50" s="1"/>
      <c r="G50" s="5"/>
      <c r="H50" s="5">
        <f t="shared" si="2"/>
        <v>157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5">
      <c r="A51" s="1">
        <v>5</v>
      </c>
      <c r="B51" s="9" t="s">
        <v>19</v>
      </c>
      <c r="C51" s="1"/>
      <c r="D51" s="5">
        <v>157</v>
      </c>
      <c r="E51" s="5"/>
      <c r="F51" s="1"/>
      <c r="G51" s="5"/>
      <c r="H51" s="5">
        <f t="shared" si="2"/>
        <v>157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0"/>
      <c r="M52" s="5"/>
      <c r="N52" s="10"/>
      <c r="O52" s="10"/>
      <c r="P52" s="10"/>
      <c r="S52" s="5"/>
      <c r="T52" s="10"/>
      <c r="U52" s="10"/>
      <c r="V52" s="10"/>
      <c r="Y52" s="5"/>
      <c r="Z52" s="10"/>
      <c r="AA52" s="10"/>
    </row>
    <row r="53" spans="1:27" ht="19.5">
      <c r="A53" s="1">
        <v>6</v>
      </c>
      <c r="B53" s="9" t="s">
        <v>14</v>
      </c>
      <c r="C53" s="1"/>
      <c r="D53" s="5">
        <v>150</v>
      </c>
      <c r="E53" s="5"/>
      <c r="F53" s="1"/>
      <c r="G53" s="5"/>
      <c r="H53" s="5">
        <f t="shared" si="2"/>
        <v>150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v>75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v>75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v>75</v>
      </c>
      <c r="AA53" s="5">
        <f t="shared" si="15"/>
        <v>0</v>
      </c>
    </row>
    <row r="54" spans="1:27" ht="19.5">
      <c r="A54" s="1">
        <v>6</v>
      </c>
      <c r="B54" s="9" t="s">
        <v>15</v>
      </c>
      <c r="C54" s="1"/>
      <c r="D54" s="5">
        <v>150</v>
      </c>
      <c r="E54" s="5"/>
      <c r="F54" s="1"/>
      <c r="G54" s="5"/>
      <c r="H54" s="5">
        <f t="shared" si="2"/>
        <v>150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v>75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v>75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v>75</v>
      </c>
      <c r="AA54" s="5">
        <f t="shared" si="15"/>
        <v>0</v>
      </c>
    </row>
    <row r="55" spans="1:27" ht="19.5">
      <c r="A55" s="1">
        <v>6</v>
      </c>
      <c r="B55" s="9" t="s">
        <v>12</v>
      </c>
      <c r="C55" s="1"/>
      <c r="D55" s="5">
        <v>150</v>
      </c>
      <c r="E55" s="5"/>
      <c r="F55" s="1"/>
      <c r="G55" s="5"/>
      <c r="H55" s="5">
        <f t="shared" si="2"/>
        <v>150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v>75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v>75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v>75</v>
      </c>
      <c r="AA55" s="5">
        <f t="shared" si="15"/>
        <v>0</v>
      </c>
    </row>
    <row r="56" spans="1:27" ht="19.149999999999999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38.25">
      <c r="A57" s="1">
        <v>6</v>
      </c>
      <c r="B57" s="9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v>75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v>75</v>
      </c>
      <c r="AA57" s="5">
        <f t="shared" si="15"/>
        <v>0</v>
      </c>
    </row>
    <row r="58" spans="1:27" ht="19.5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v>75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5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v>75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v>75</v>
      </c>
      <c r="AA59" s="5">
        <f t="shared" si="15"/>
        <v>0</v>
      </c>
    </row>
    <row r="60" spans="1:27" ht="19.149999999999999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5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v>75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v>75</v>
      </c>
      <c r="AA61" s="5">
        <f t="shared" si="15"/>
        <v>0</v>
      </c>
    </row>
    <row r="62" spans="1:27" s="7" customFormat="1" ht="15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</row>
    <row r="63" spans="1:27" ht="15"/>
    <row r="64" spans="1:27" ht="15"/>
    <row r="65" spans="1:27" ht="15"/>
    <row r="66" spans="1:27" ht="15"/>
    <row r="67" spans="1:27" ht="15"/>
    <row r="68" spans="1:27" ht="15"/>
    <row r="69" spans="1:27" ht="15"/>
    <row r="70" spans="1:27" ht="15"/>
    <row r="71" spans="1:27" ht="15"/>
    <row r="72" spans="1:27" s="7" customFormat="1" ht="15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73" spans="1:27" ht="15"/>
    <row r="74" spans="1:27" ht="15"/>
    <row r="75" spans="1:27" ht="15"/>
    <row r="76" spans="1:27" ht="15"/>
    <row r="77" spans="1:27" ht="15"/>
    <row r="78" spans="1:27" ht="15"/>
    <row r="79" spans="1:27" ht="15"/>
    <row r="80" spans="1:27" ht="15"/>
    <row r="81" spans="1:27" ht="15"/>
    <row r="82" spans="1:27" s="7" customFormat="1" ht="15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ht="15"/>
    <row r="91" spans="1:27" ht="15"/>
    <row r="92" spans="1:27" s="7" customFormat="1" ht="15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7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s="7" customFormat="1" ht="15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  <row r="112" spans="1:27" ht="15"/>
    <row r="113" ht="15"/>
    <row r="114" ht="15"/>
    <row r="115" ht="15"/>
    <row r="116" ht="15"/>
    <row r="117" ht="15"/>
    <row r="118" ht="15"/>
    <row r="119" ht="15"/>
    <row r="120" ht="15"/>
    <row r="121" ht="15"/>
    <row r="122" ht="15"/>
    <row r="123" ht="15"/>
    <row r="124" ht="15"/>
    <row r="125" ht="15"/>
    <row r="126" ht="15"/>
    <row r="127" ht="15"/>
  </sheetData>
  <protectedRanges>
    <protectedRange sqref="C2:C3 C14:C21 C23:C31 C33:C41 C43:C51 C53:C61 C5:C12" name="Textbooks"/>
    <protectedRange sqref="J2:L3 D2:F3 H5:L5 D14:F21 Q14:R21 W14:X21 D23:F31 Q23:R31 W23:X31 D33:F41 H33:I41 Q33:R41 W33:X41 D43:F51 H43:I51 Q43:R51 W43:X51 D53:F61 H53:I61 Q53:R61 W53:X61 N5:R12 H14:I21 H23:I31 H6:I12 K6:L12 K33:L41 K43:L51 K53:L61 T5:X12 N4:P4 T4:V4 J4 Y13 N3:R3 K14:L21 K23:L31 N13:P61 P2:R2 V2:X3 T13:V61 J6:J61 Z4:AA61 D5:F12" name="LAS"/>
    <protectedRange sqref="G2:I3 M2:O2 S2:U3 Y2:AA3 G23:G31 G33:G41 G43:G51 S4:S61 G5:G12 M5:M12 M14:M61 Y5:Y12 G14:G21 Y14:Y61 M3 G53:G61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F33:F41 F43:F51 F53:F61 L5:L12 L14:L21 L23:L31 L33:L41 L43:L51 L53:L61 R5:R12 R14:R21 R23:R31 R33:R41 R43:R51 R53:R61 X5:X12 X14:X21 X23:X31 X33:X41 X43:X51 X53:X61 F5:F12 F14:F21 F23:F31" xr:uid="{4ECCD083-8EC4-42EE-B46C-B614411F330D}">
      <formula1>"2024,2025  ,2026"</formula1>
    </dataValidation>
    <dataValidation type="list" allowBlank="1" showInputMessage="1" showErrorMessage="1" sqref="M14:M61 Y14:Y61 S4:S61 G5:G12 M5:M12 Y5:Y12 G14:G21 G23:G31 G33:G41 G43:G51 G53:G61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topLeftCell="F77" zoomScale="55" zoomScaleNormal="55" workbookViewId="0">
      <selection activeCell="J66" sqref="J66:J95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B1" s="29"/>
      <c r="D1" s="35" t="s">
        <v>20</v>
      </c>
      <c r="E1" s="35"/>
      <c r="F1" s="35"/>
      <c r="G1" s="35"/>
      <c r="H1" s="35"/>
      <c r="I1" s="35"/>
      <c r="J1" s="36" t="s">
        <v>21</v>
      </c>
      <c r="K1" s="36"/>
      <c r="L1" s="36"/>
      <c r="M1" s="36"/>
      <c r="N1" s="36"/>
      <c r="O1" s="36"/>
      <c r="P1" s="37" t="s">
        <v>22</v>
      </c>
      <c r="Q1" s="37"/>
      <c r="R1" s="37"/>
      <c r="S1" s="37"/>
      <c r="T1" s="37"/>
      <c r="U1" s="37"/>
      <c r="V1" s="38" t="s">
        <v>23</v>
      </c>
      <c r="W1" s="38"/>
      <c r="X1" s="38"/>
      <c r="Y1" s="38"/>
      <c r="Z1" s="38"/>
      <c r="AA1" s="38"/>
    </row>
    <row r="2" spans="1:27" ht="69.599999999999994" customHeight="1">
      <c r="A2" s="12" t="s">
        <v>0</v>
      </c>
      <c r="B2" s="30" t="s">
        <v>1</v>
      </c>
      <c r="C2" s="13" t="s">
        <v>2</v>
      </c>
      <c r="D2" s="17" t="s">
        <v>50</v>
      </c>
      <c r="E2" s="17" t="s">
        <v>51</v>
      </c>
      <c r="F2" s="18" t="s">
        <v>52</v>
      </c>
      <c r="G2" s="21" t="s">
        <v>53</v>
      </c>
      <c r="H2" s="14" t="s">
        <v>54</v>
      </c>
      <c r="I2" s="21" t="s">
        <v>55</v>
      </c>
      <c r="J2" s="19" t="s">
        <v>56</v>
      </c>
      <c r="K2" s="19" t="s">
        <v>57</v>
      </c>
      <c r="L2" s="20" t="s">
        <v>58</v>
      </c>
      <c r="M2" s="33" t="s">
        <v>59</v>
      </c>
      <c r="N2" s="33" t="s">
        <v>60</v>
      </c>
      <c r="O2" s="19" t="s">
        <v>61</v>
      </c>
      <c r="P2" s="21" t="s">
        <v>62</v>
      </c>
      <c r="Q2" s="21" t="s">
        <v>63</v>
      </c>
      <c r="R2" s="22" t="s">
        <v>64</v>
      </c>
      <c r="S2" s="14" t="s">
        <v>65</v>
      </c>
      <c r="T2" s="14" t="s">
        <v>66</v>
      </c>
      <c r="U2" s="21" t="s">
        <v>67</v>
      </c>
      <c r="V2" s="23" t="s">
        <v>68</v>
      </c>
      <c r="W2" s="23" t="s">
        <v>69</v>
      </c>
      <c r="X2" s="24" t="s">
        <v>70</v>
      </c>
      <c r="Y2" s="34" t="s">
        <v>71</v>
      </c>
      <c r="Z2" s="34" t="s">
        <v>72</v>
      </c>
      <c r="AA2" s="23" t="s">
        <v>73</v>
      </c>
    </row>
    <row r="3" spans="1:27" ht="19.149999999999999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65" si="0">IF((D3-E3)&lt;0,0,(D3-E3))</f>
        <v>0</v>
      </c>
      <c r="I3" s="5">
        <f t="shared" ref="I3:I65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60" si="2">IF((J3-K3)&lt;0,0,(J3-K3))</f>
        <v>0</v>
      </c>
      <c r="O3" s="5">
        <f t="shared" ref="O3:O60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65" si="4">IF((P3-Q3)&lt;0,0,(P3-Q3))</f>
        <v>0</v>
      </c>
      <c r="U3" s="5">
        <f t="shared" ref="U3:U65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65" si="6">IF((V3-W3)&lt;0,0,(V3-W3))</f>
        <v>0</v>
      </c>
      <c r="AA3" s="5">
        <f t="shared" ref="AA3:AA65" si="7">IF((W3-V3)&lt;0,0,(W3-V3))</f>
        <v>0</v>
      </c>
    </row>
    <row r="4" spans="1:27" ht="19.149999999999999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49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49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49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1">
        <v>4</v>
      </c>
      <c r="B37" s="9" t="s">
        <v>74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75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1">
        <v>4</v>
      </c>
      <c r="B40" s="9" t="s">
        <v>76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77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1">
        <v>5</v>
      </c>
      <c r="B49" s="9" t="s">
        <v>74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75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1">
        <v>5</v>
      </c>
      <c r="B52" s="9" t="s">
        <v>76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77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149999999999999">
      <c r="A55" s="1">
        <v>6</v>
      </c>
      <c r="B55" s="9" t="s">
        <v>14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>
      <c r="A56" s="1">
        <v>6</v>
      </c>
      <c r="B56" s="9" t="s">
        <v>15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>
      <c r="A57" s="1">
        <v>6</v>
      </c>
      <c r="B57" s="9" t="s">
        <v>12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>
      <c r="A59" s="1">
        <v>6</v>
      </c>
      <c r="B59" s="9" t="s">
        <v>16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9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1">
        <v>6</v>
      </c>
      <c r="B61" s="9" t="s">
        <v>74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75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1">
        <v>6</v>
      </c>
      <c r="B64" s="9" t="s">
        <v>76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77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 ht="15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</row>
    <row r="67" spans="1:27" ht="15"/>
    <row r="68" spans="1:27" ht="15"/>
    <row r="69" spans="1:27" ht="15"/>
    <row r="70" spans="1:27" ht="15"/>
    <row r="71" spans="1:27" ht="15"/>
    <row r="72" spans="1:27" ht="15"/>
    <row r="73" spans="1:27" ht="15"/>
    <row r="74" spans="1:27" ht="15"/>
    <row r="75" spans="1:27" ht="15"/>
    <row r="76" spans="1:27" ht="15"/>
    <row r="77" spans="1:27" ht="15"/>
    <row r="78" spans="1:27" s="7" customFormat="1" ht="15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79" spans="1:27" ht="15"/>
    <row r="80" spans="1:27" ht="15"/>
    <row r="81" spans="1:27" ht="15"/>
    <row r="82" spans="1:27" ht="15"/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s="7" customFormat="1" ht="15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91" spans="1:27" ht="15"/>
    <row r="92" spans="1:27" ht="15"/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7" customFormat="1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ht="15"/>
    <row r="112" spans="1:27" ht="15"/>
    <row r="113" spans="1:28" ht="15"/>
    <row r="114" spans="1:28" s="7" customFormat="1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15" spans="1:28" ht="15"/>
    <row r="116" spans="1:28" ht="15"/>
    <row r="117" spans="1:28" ht="15"/>
    <row r="118" spans="1:28" ht="15"/>
    <row r="119" spans="1:28" ht="15"/>
    <row r="120" spans="1:28" ht="15"/>
    <row r="121" spans="1:28" ht="15"/>
    <row r="122" spans="1:28" ht="15"/>
    <row r="123" spans="1:28" s="7" customFormat="1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>
      <c r="AB124" s="7"/>
    </row>
    <row r="125" spans="1:28">
      <c r="AB125" s="7"/>
    </row>
    <row r="126" spans="1:28">
      <c r="AB126" s="7"/>
    </row>
    <row r="127" spans="1:28">
      <c r="AB127" s="7"/>
    </row>
    <row r="128" spans="1:28">
      <c r="AB128" s="7"/>
    </row>
    <row r="129" spans="28:28">
      <c r="AB129" s="7"/>
    </row>
    <row r="130" spans="28:28">
      <c r="AB130" s="7"/>
    </row>
    <row r="131" spans="28:28">
      <c r="AB131" s="7"/>
    </row>
    <row r="132" spans="28:28">
      <c r="AB132" s="7"/>
    </row>
    <row r="133" spans="28:28">
      <c r="AB133" s="7"/>
    </row>
    <row r="134" spans="28:28">
      <c r="AB134" s="7"/>
    </row>
    <row r="135" spans="28:28">
      <c r="AB135" s="7"/>
    </row>
    <row r="136" spans="28:28">
      <c r="AB136" s="7"/>
    </row>
    <row r="137" spans="28:28">
      <c r="AB137" s="7"/>
    </row>
    <row r="138" spans="28:28">
      <c r="AB138" s="7"/>
    </row>
    <row r="139" spans="28:28">
      <c r="AB139" s="7"/>
    </row>
    <row r="140" spans="28:28">
      <c r="AB140" s="7"/>
    </row>
  </sheetData>
  <protectedRanges>
    <protectedRange sqref="C2:C10 C12:C19 C21:C29 C31:C41 C43:C53 C55:C65" name="Textbooks"/>
    <protectedRange sqref="J2:L2 D2:F10 D12:F19 D21:F29 D31:F41 D43:F53 D55:F65 H55:L65 N43:R53 N55:R65 N31:R41 P2:R10 N3:O10 V2:X10 T3:U10 N12:R19 T12:X19 H3:L10 Z3:AA10 Z12:AA19 H12:L19 N21:R29 T21:X29 Z21:AA29 H21:L29 T31:X41 Z31:AA41 H31:L41 T43:X53 Z43:AA53 H43:L53 T55:X65 Z55:AA65" name="LAS"/>
    <protectedRange sqref="G2:I2 M2:O2 S2:U2 Y2:AA2 G3:G10 M3:M10 S3:S10 Y3:Y10 Y12:Y19 G12:G19 M12:M19 S12:S19 Y21:Y29 G21:G29 M21:M29 S21:S29 Y31:Y41 G31:G41 M31:M41 S31:S41 Y43:Y53 G43:G53 M43:M53 S43:S53 Y55:Y65 G55:G65 M55:M65 S55:S65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Y3:Y10 S3:S10 M3:M10 G3:G10 G12:G19 Y12:Y19 S12:S19 M12:M19 M21:M29 G21:G29 Y21:Y29 S21:S29 S31:S41 M31:M41 G31:G41 Y31:Y41 Y43:Y53 S43:S53 M43:M53 G43:G53 G55:G65 Y55:Y65 S55:S65 M55:M65" xr:uid="{CBD486C7-A5DB-48F1-B496-5027CC51E830}">
      <formula1>"CO,RO,SDO,LGU,SCHOOL"</formula1>
    </dataValidation>
    <dataValidation type="list" allowBlank="1" showInputMessage="1" showErrorMessage="1" sqref="F3:F10 F12:F19 F21:F29 F31:F41 F43:F53 F55:F65 L3:L10 L12:L19 L21:L29 L31:L41 L43:L53 L55:L65 R3:R10 R12:R19 R21:R29 R31:R41 R43:R53 R55:R65 X3:X10 X12:X19 X21:X29 X31:X41 X43:X53 X55:X65" xr:uid="{77F72D89-8371-4D0C-A323-BD25723C617C}">
      <formula1>"2024,2025  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2026-04-07T01:19:41Z</dcterms:modified>
  <cp:category/>
  <cp:contentStatus/>
</cp:coreProperties>
</file>