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20" documentId="13_ncr:1_{BFB59F67-F0DC-4675-A682-EB0734A8026A}" xr6:coauthVersionLast="47" xr6:coauthVersionMax="47" xr10:uidLastSave="{51C755C4-FB1D-4BAE-AE0E-14DE30496DE4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4" l="1"/>
  <c r="D105" i="4"/>
  <c r="D106" i="4"/>
  <c r="D107" i="4"/>
  <c r="D108" i="4"/>
  <c r="D109" i="4"/>
  <c r="D110" i="4"/>
  <c r="D111" i="4"/>
  <c r="K102" i="5"/>
  <c r="K101" i="5"/>
  <c r="K100" i="5"/>
  <c r="K99" i="5"/>
  <c r="K98" i="5"/>
  <c r="K97" i="5"/>
  <c r="K96" i="5"/>
  <c r="K95" i="5"/>
  <c r="K92" i="5"/>
  <c r="D4" i="5"/>
  <c r="P110" i="5"/>
  <c r="P111" i="5"/>
  <c r="P112" i="5"/>
  <c r="P113" i="5"/>
  <c r="P114" i="5"/>
  <c r="P98" i="5"/>
  <c r="P99" i="5"/>
  <c r="P100" i="5"/>
  <c r="P101" i="5"/>
  <c r="P102" i="5"/>
  <c r="P85" i="5"/>
  <c r="P86" i="5"/>
  <c r="P87" i="5"/>
  <c r="P88" i="5"/>
  <c r="P89" i="5"/>
  <c r="P90" i="5"/>
  <c r="P72" i="5"/>
  <c r="P73" i="5"/>
  <c r="P74" i="5"/>
  <c r="P75" i="5"/>
  <c r="P76" i="5"/>
  <c r="P77" i="5"/>
  <c r="P78" i="5"/>
  <c r="P62" i="5"/>
  <c r="P63" i="5"/>
  <c r="P64" i="5"/>
  <c r="P65" i="5"/>
  <c r="P66" i="5"/>
  <c r="P49" i="5"/>
  <c r="P50" i="5"/>
  <c r="P51" i="5"/>
  <c r="P52" i="5"/>
  <c r="P53" i="5"/>
  <c r="P54" i="5"/>
  <c r="P37" i="5"/>
  <c r="P38" i="5"/>
  <c r="P39" i="5"/>
  <c r="P40" i="5"/>
  <c r="P41" i="5"/>
  <c r="P42" i="5"/>
  <c r="D113" i="5"/>
  <c r="H113" i="5" s="1"/>
  <c r="J113" i="5"/>
  <c r="V113" i="5"/>
  <c r="Z113" i="5" s="1"/>
  <c r="D110" i="5"/>
  <c r="H110" i="5" s="1"/>
  <c r="J110" i="5"/>
  <c r="V110" i="5"/>
  <c r="Z110" i="5" s="1"/>
  <c r="D89" i="5"/>
  <c r="H89" i="5" s="1"/>
  <c r="J89" i="5"/>
  <c r="V89" i="5"/>
  <c r="Z89" i="5" s="1"/>
  <c r="D101" i="5"/>
  <c r="H101" i="5" s="1"/>
  <c r="J101" i="5"/>
  <c r="V101" i="5"/>
  <c r="Z101" i="5" s="1"/>
  <c r="D98" i="5"/>
  <c r="H98" i="5" s="1"/>
  <c r="J98" i="5"/>
  <c r="V98" i="5"/>
  <c r="Z98" i="5" s="1"/>
  <c r="D86" i="5"/>
  <c r="H86" i="5" s="1"/>
  <c r="J86" i="5"/>
  <c r="V86" i="5"/>
  <c r="Z86" i="5" s="1"/>
  <c r="D77" i="5"/>
  <c r="H77" i="5" s="1"/>
  <c r="J77" i="5"/>
  <c r="V77" i="5"/>
  <c r="Z77" i="5" s="1"/>
  <c r="D74" i="5"/>
  <c r="H74" i="5" s="1"/>
  <c r="J74" i="5"/>
  <c r="V74" i="5"/>
  <c r="Z74" i="5" s="1"/>
  <c r="D65" i="5"/>
  <c r="H65" i="5" s="1"/>
  <c r="J65" i="5"/>
  <c r="V65" i="5"/>
  <c r="Z65" i="5" s="1"/>
  <c r="D62" i="5"/>
  <c r="H62" i="5" s="1"/>
  <c r="J62" i="5"/>
  <c r="V62" i="5"/>
  <c r="Z62" i="5" s="1"/>
  <c r="D53" i="5"/>
  <c r="H53" i="5" s="1"/>
  <c r="J53" i="5"/>
  <c r="V53" i="5"/>
  <c r="Z53" i="5" s="1"/>
  <c r="D50" i="5"/>
  <c r="H50" i="5" s="1"/>
  <c r="J50" i="5"/>
  <c r="V50" i="5"/>
  <c r="Z50" i="5" s="1"/>
  <c r="D41" i="5"/>
  <c r="H41" i="5" s="1"/>
  <c r="J41" i="5"/>
  <c r="V41" i="5"/>
  <c r="Z41" i="5" s="1"/>
  <c r="D38" i="5"/>
  <c r="H38" i="5" s="1"/>
  <c r="J38" i="5"/>
  <c r="V38" i="5"/>
  <c r="Z38" i="5" s="1"/>
  <c r="P4" i="4"/>
  <c r="T4" i="4" s="1"/>
  <c r="D4" i="4"/>
  <c r="H4" i="4" s="1"/>
  <c r="J4" i="4"/>
  <c r="V4" i="4"/>
  <c r="Z4" i="4" s="1"/>
  <c r="V123" i="5"/>
  <c r="AA123" i="5" s="1"/>
  <c r="P123" i="5"/>
  <c r="T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Z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8" i="5"/>
  <c r="Z118" i="5" s="1"/>
  <c r="P118" i="5"/>
  <c r="J118" i="5"/>
  <c r="N118" i="5" s="1"/>
  <c r="D118" i="5"/>
  <c r="I118" i="5" s="1"/>
  <c r="V117" i="5"/>
  <c r="AA117" i="5" s="1"/>
  <c r="P117" i="5"/>
  <c r="U117" i="5" s="1"/>
  <c r="J117" i="5"/>
  <c r="O117" i="5" s="1"/>
  <c r="D117" i="5"/>
  <c r="I117" i="5" s="1"/>
  <c r="V116" i="5"/>
  <c r="Z116" i="5" s="1"/>
  <c r="P116" i="5"/>
  <c r="J116" i="5"/>
  <c r="N116" i="5" s="1"/>
  <c r="D116" i="5"/>
  <c r="I116" i="5" s="1"/>
  <c r="V114" i="5"/>
  <c r="AA114" i="5" s="1"/>
  <c r="U114" i="5"/>
  <c r="J114" i="5"/>
  <c r="D114" i="5"/>
  <c r="I114" i="5" s="1"/>
  <c r="V112" i="5"/>
  <c r="Z112" i="5" s="1"/>
  <c r="J112" i="5"/>
  <c r="D112" i="5"/>
  <c r="I112" i="5" s="1"/>
  <c r="V111" i="5"/>
  <c r="AA111" i="5" s="1"/>
  <c r="J111" i="5"/>
  <c r="D111" i="5"/>
  <c r="I111" i="5" s="1"/>
  <c r="V109" i="5"/>
  <c r="Z109" i="5" s="1"/>
  <c r="P109" i="5"/>
  <c r="J109" i="5"/>
  <c r="N109" i="5" s="1"/>
  <c r="D109" i="5"/>
  <c r="I109" i="5" s="1"/>
  <c r="V108" i="5"/>
  <c r="AA108" i="5" s="1"/>
  <c r="P108" i="5"/>
  <c r="U108" i="5" s="1"/>
  <c r="J108" i="5"/>
  <c r="O108" i="5" s="1"/>
  <c r="D108" i="5"/>
  <c r="I108" i="5" s="1"/>
  <c r="V107" i="5"/>
  <c r="Z107" i="5" s="1"/>
  <c r="P107" i="5"/>
  <c r="J107" i="5"/>
  <c r="N107" i="5" s="1"/>
  <c r="D107" i="5"/>
  <c r="I107" i="5" s="1"/>
  <c r="V106" i="5"/>
  <c r="AA106" i="5" s="1"/>
  <c r="P106" i="5"/>
  <c r="U106" i="5" s="1"/>
  <c r="J106" i="5"/>
  <c r="O106" i="5" s="1"/>
  <c r="D106" i="5"/>
  <c r="I106" i="5" s="1"/>
  <c r="V105" i="5"/>
  <c r="AA105" i="5" s="1"/>
  <c r="P105" i="5"/>
  <c r="J105" i="5"/>
  <c r="N105" i="5" s="1"/>
  <c r="D105" i="5"/>
  <c r="I105" i="5" s="1"/>
  <c r="V104" i="5"/>
  <c r="AA104" i="5" s="1"/>
  <c r="P104" i="5"/>
  <c r="U104" i="5" s="1"/>
  <c r="J104" i="5"/>
  <c r="O104" i="5" s="1"/>
  <c r="D104" i="5"/>
  <c r="I104" i="5" s="1"/>
  <c r="V102" i="5"/>
  <c r="AA102" i="5" s="1"/>
  <c r="J102" i="5"/>
  <c r="D102" i="5"/>
  <c r="I102" i="5" s="1"/>
  <c r="V100" i="5"/>
  <c r="AA100" i="5" s="1"/>
  <c r="U100" i="5"/>
  <c r="J100" i="5"/>
  <c r="D100" i="5"/>
  <c r="I100" i="5" s="1"/>
  <c r="V99" i="5"/>
  <c r="AA99" i="5" s="1"/>
  <c r="J99" i="5"/>
  <c r="D99" i="5"/>
  <c r="I99" i="5" s="1"/>
  <c r="V97" i="5"/>
  <c r="AA97" i="5" s="1"/>
  <c r="P97" i="5"/>
  <c r="U97" i="5" s="1"/>
  <c r="J97" i="5"/>
  <c r="O97" i="5" s="1"/>
  <c r="D97" i="5"/>
  <c r="I97" i="5" s="1"/>
  <c r="V96" i="5"/>
  <c r="AA96" i="5" s="1"/>
  <c r="P96" i="5"/>
  <c r="J96" i="5"/>
  <c r="N96" i="5" s="1"/>
  <c r="D96" i="5"/>
  <c r="H96" i="5" s="1"/>
  <c r="V95" i="5"/>
  <c r="AA95" i="5" s="1"/>
  <c r="P95" i="5"/>
  <c r="U95" i="5" s="1"/>
  <c r="J95" i="5"/>
  <c r="O95" i="5" s="1"/>
  <c r="D95" i="5"/>
  <c r="H95" i="5" s="1"/>
  <c r="V94" i="5"/>
  <c r="AA94" i="5" s="1"/>
  <c r="P94" i="5"/>
  <c r="J94" i="5"/>
  <c r="N94" i="5" s="1"/>
  <c r="D94" i="5"/>
  <c r="I94" i="5" s="1"/>
  <c r="V93" i="5"/>
  <c r="AA93" i="5" s="1"/>
  <c r="P93" i="5"/>
  <c r="U93" i="5" s="1"/>
  <c r="J93" i="5"/>
  <c r="O93" i="5" s="1"/>
  <c r="D93" i="5"/>
  <c r="I93" i="5" s="1"/>
  <c r="V92" i="5"/>
  <c r="AA92" i="5" s="1"/>
  <c r="P92" i="5"/>
  <c r="J92" i="5"/>
  <c r="N92" i="5" s="1"/>
  <c r="D92" i="5"/>
  <c r="I92" i="5" s="1"/>
  <c r="V90" i="5"/>
  <c r="AA90" i="5" s="1"/>
  <c r="U90" i="5"/>
  <c r="J90" i="5"/>
  <c r="D90" i="5"/>
  <c r="I90" i="5" s="1"/>
  <c r="V88" i="5"/>
  <c r="AA88" i="5" s="1"/>
  <c r="J88" i="5"/>
  <c r="D88" i="5"/>
  <c r="I88" i="5" s="1"/>
  <c r="V87" i="5"/>
  <c r="AA87" i="5" s="1"/>
  <c r="U87" i="5"/>
  <c r="J87" i="5"/>
  <c r="D87" i="5"/>
  <c r="I87" i="5" s="1"/>
  <c r="V85" i="5"/>
  <c r="AA85" i="5" s="1"/>
  <c r="J85" i="5"/>
  <c r="D85" i="5"/>
  <c r="I85" i="5" s="1"/>
  <c r="V84" i="5"/>
  <c r="AA84" i="5" s="1"/>
  <c r="P84" i="5"/>
  <c r="U84" i="5" s="1"/>
  <c r="J84" i="5"/>
  <c r="O84" i="5" s="1"/>
  <c r="D84" i="5"/>
  <c r="I84" i="5" s="1"/>
  <c r="V83" i="5"/>
  <c r="Z83" i="5" s="1"/>
  <c r="P83" i="5"/>
  <c r="J83" i="5"/>
  <c r="N83" i="5" s="1"/>
  <c r="D83" i="5"/>
  <c r="I83" i="5" s="1"/>
  <c r="V82" i="5"/>
  <c r="AA82" i="5" s="1"/>
  <c r="P82" i="5"/>
  <c r="U82" i="5" s="1"/>
  <c r="J82" i="5"/>
  <c r="O82" i="5" s="1"/>
  <c r="D82" i="5"/>
  <c r="I82" i="5" s="1"/>
  <c r="V81" i="5"/>
  <c r="AA81" i="5" s="1"/>
  <c r="P81" i="5"/>
  <c r="U81" i="5" s="1"/>
  <c r="J81" i="5"/>
  <c r="N81" i="5" s="1"/>
  <c r="D81" i="5"/>
  <c r="I81" i="5" s="1"/>
  <c r="V80" i="5"/>
  <c r="AA80" i="5" s="1"/>
  <c r="P80" i="5"/>
  <c r="U80" i="5" s="1"/>
  <c r="J80" i="5"/>
  <c r="D80" i="5"/>
  <c r="I80" i="5" s="1"/>
  <c r="V78" i="5"/>
  <c r="AA78" i="5" s="1"/>
  <c r="U78" i="5"/>
  <c r="J78" i="5"/>
  <c r="D78" i="5"/>
  <c r="I78" i="5" s="1"/>
  <c r="V76" i="5"/>
  <c r="AA76" i="5" s="1"/>
  <c r="U76" i="5"/>
  <c r="J76" i="5"/>
  <c r="D76" i="5"/>
  <c r="H76" i="5" s="1"/>
  <c r="V75" i="5"/>
  <c r="Z75" i="5" s="1"/>
  <c r="J75" i="5"/>
  <c r="D75" i="5"/>
  <c r="I75" i="5" s="1"/>
  <c r="V73" i="5"/>
  <c r="Z73" i="5" s="1"/>
  <c r="J73" i="5"/>
  <c r="D73" i="5"/>
  <c r="I73" i="5" s="1"/>
  <c r="V72" i="5"/>
  <c r="AA72" i="5" s="1"/>
  <c r="U72" i="5"/>
  <c r="J72" i="5"/>
  <c r="D72" i="5"/>
  <c r="H72" i="5" s="1"/>
  <c r="V71" i="5"/>
  <c r="AA71" i="5" s="1"/>
  <c r="P71" i="5"/>
  <c r="U71" i="5" s="1"/>
  <c r="J71" i="5"/>
  <c r="D71" i="5"/>
  <c r="H71" i="5" s="1"/>
  <c r="V70" i="5"/>
  <c r="AA70" i="5" s="1"/>
  <c r="P70" i="5"/>
  <c r="U70" i="5" s="1"/>
  <c r="J70" i="5"/>
  <c r="N70" i="5" s="1"/>
  <c r="D70" i="5"/>
  <c r="I70" i="5" s="1"/>
  <c r="V69" i="5"/>
  <c r="AA69" i="5" s="1"/>
  <c r="P69" i="5"/>
  <c r="U69" i="5" s="1"/>
  <c r="J69" i="5"/>
  <c r="D69" i="5"/>
  <c r="I69" i="5" s="1"/>
  <c r="V68" i="5"/>
  <c r="AA68" i="5" s="1"/>
  <c r="P68" i="5"/>
  <c r="U68" i="5" s="1"/>
  <c r="J68" i="5"/>
  <c r="N68" i="5" s="1"/>
  <c r="D68" i="5"/>
  <c r="I68" i="5" s="1"/>
  <c r="V66" i="5"/>
  <c r="Z66" i="5" s="1"/>
  <c r="J66" i="5"/>
  <c r="D66" i="5"/>
  <c r="I66" i="5" s="1"/>
  <c r="V64" i="5"/>
  <c r="AA64" i="5" s="1"/>
  <c r="U64" i="5"/>
  <c r="J64" i="5"/>
  <c r="D64" i="5"/>
  <c r="I64" i="5" s="1"/>
  <c r="V63" i="5"/>
  <c r="AA63" i="5" s="1"/>
  <c r="U63" i="5"/>
  <c r="J63" i="5"/>
  <c r="D63" i="5"/>
  <c r="I63" i="5" s="1"/>
  <c r="V61" i="5"/>
  <c r="AA61" i="5" s="1"/>
  <c r="P61" i="5"/>
  <c r="U61" i="5" s="1"/>
  <c r="J61" i="5"/>
  <c r="N61" i="5" s="1"/>
  <c r="D61" i="5"/>
  <c r="I61" i="5" s="1"/>
  <c r="V60" i="5"/>
  <c r="AA60" i="5" s="1"/>
  <c r="P60" i="5"/>
  <c r="U60" i="5" s="1"/>
  <c r="J60" i="5"/>
  <c r="D60" i="5"/>
  <c r="I60" i="5" s="1"/>
  <c r="V59" i="5"/>
  <c r="AA59" i="5" s="1"/>
  <c r="P59" i="5"/>
  <c r="U59" i="5" s="1"/>
  <c r="J59" i="5"/>
  <c r="N59" i="5" s="1"/>
  <c r="D59" i="5"/>
  <c r="I59" i="5" s="1"/>
  <c r="V58" i="5"/>
  <c r="AA58" i="5" s="1"/>
  <c r="P58" i="5"/>
  <c r="U58" i="5" s="1"/>
  <c r="J58" i="5"/>
  <c r="D58" i="5"/>
  <c r="H58" i="5" s="1"/>
  <c r="V57" i="5"/>
  <c r="AA57" i="5" s="1"/>
  <c r="P57" i="5"/>
  <c r="U57" i="5" s="1"/>
  <c r="J57" i="5"/>
  <c r="N57" i="5" s="1"/>
  <c r="D57" i="5"/>
  <c r="I57" i="5" s="1"/>
  <c r="V56" i="5"/>
  <c r="AA56" i="5" s="1"/>
  <c r="P56" i="5"/>
  <c r="U56" i="5" s="1"/>
  <c r="J56" i="5"/>
  <c r="D56" i="5"/>
  <c r="I56" i="5" s="1"/>
  <c r="V54" i="5"/>
  <c r="AA54" i="5" s="1"/>
  <c r="U54" i="5"/>
  <c r="J54" i="5"/>
  <c r="D54" i="5"/>
  <c r="I54" i="5" s="1"/>
  <c r="V52" i="5"/>
  <c r="AA52" i="5" s="1"/>
  <c r="U52" i="5"/>
  <c r="J52" i="5"/>
  <c r="D52" i="5"/>
  <c r="I52" i="5" s="1"/>
  <c r="V51" i="5"/>
  <c r="AA51" i="5" s="1"/>
  <c r="U51" i="5"/>
  <c r="J51" i="5"/>
  <c r="D51" i="5"/>
  <c r="I51" i="5" s="1"/>
  <c r="V49" i="5"/>
  <c r="AA49" i="5" s="1"/>
  <c r="U49" i="5"/>
  <c r="J49" i="5"/>
  <c r="D49" i="5"/>
  <c r="I49" i="5" s="1"/>
  <c r="V48" i="5"/>
  <c r="AA48" i="5" s="1"/>
  <c r="P48" i="5"/>
  <c r="U48" i="5" s="1"/>
  <c r="J48" i="5"/>
  <c r="N48" i="5" s="1"/>
  <c r="D48" i="5"/>
  <c r="I48" i="5" s="1"/>
  <c r="V47" i="5"/>
  <c r="AA47" i="5" s="1"/>
  <c r="P47" i="5"/>
  <c r="U47" i="5" s="1"/>
  <c r="J47" i="5"/>
  <c r="D47" i="5"/>
  <c r="I47" i="5" s="1"/>
  <c r="V46" i="5"/>
  <c r="AA46" i="5" s="1"/>
  <c r="P46" i="5"/>
  <c r="U46" i="5" s="1"/>
  <c r="J46" i="5"/>
  <c r="N46" i="5" s="1"/>
  <c r="D46" i="5"/>
  <c r="H46" i="5" s="1"/>
  <c r="V45" i="5"/>
  <c r="AA45" i="5" s="1"/>
  <c r="P45" i="5"/>
  <c r="U45" i="5" s="1"/>
  <c r="J45" i="5"/>
  <c r="D45" i="5"/>
  <c r="H45" i="5" s="1"/>
  <c r="V44" i="5"/>
  <c r="AA44" i="5" s="1"/>
  <c r="P44" i="5"/>
  <c r="U44" i="5" s="1"/>
  <c r="J44" i="5"/>
  <c r="N44" i="5" s="1"/>
  <c r="D44" i="5"/>
  <c r="H44" i="5" s="1"/>
  <c r="V42" i="5"/>
  <c r="AA42" i="5" s="1"/>
  <c r="U42" i="5"/>
  <c r="J42" i="5"/>
  <c r="D42" i="5"/>
  <c r="I42" i="5" s="1"/>
  <c r="V40" i="5"/>
  <c r="AA40" i="5" s="1"/>
  <c r="U40" i="5"/>
  <c r="J40" i="5"/>
  <c r="D40" i="5"/>
  <c r="H40" i="5" s="1"/>
  <c r="V39" i="5"/>
  <c r="AA39" i="5" s="1"/>
  <c r="U39" i="5"/>
  <c r="J39" i="5"/>
  <c r="D39" i="5"/>
  <c r="I39" i="5" s="1"/>
  <c r="V37" i="5"/>
  <c r="Z37" i="5" s="1"/>
  <c r="J37" i="5"/>
  <c r="D37" i="5"/>
  <c r="H37" i="5" s="1"/>
  <c r="V36" i="5"/>
  <c r="AA36" i="5" s="1"/>
  <c r="P36" i="5"/>
  <c r="U36" i="5" s="1"/>
  <c r="J36" i="5"/>
  <c r="D36" i="5"/>
  <c r="I36" i="5" s="1"/>
  <c r="V35" i="5"/>
  <c r="Z35" i="5" s="1"/>
  <c r="P35" i="5"/>
  <c r="J35" i="5"/>
  <c r="N35" i="5" s="1"/>
  <c r="D35" i="5"/>
  <c r="H35" i="5" s="1"/>
  <c r="V34" i="5"/>
  <c r="Z34" i="5" s="1"/>
  <c r="P34" i="5"/>
  <c r="J34" i="5"/>
  <c r="D34" i="5"/>
  <c r="I34" i="5" s="1"/>
  <c r="V33" i="5"/>
  <c r="Z33" i="5" s="1"/>
  <c r="P33" i="5"/>
  <c r="J33" i="5"/>
  <c r="N33" i="5" s="1"/>
  <c r="D33" i="5"/>
  <c r="H33" i="5" s="1"/>
  <c r="V32" i="5"/>
  <c r="AA32" i="5" s="1"/>
  <c r="P32" i="5"/>
  <c r="U32" i="5" s="1"/>
  <c r="J32" i="5"/>
  <c r="D32" i="5"/>
  <c r="I32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U29" i="5" s="1"/>
  <c r="J29" i="5"/>
  <c r="D29" i="5"/>
  <c r="I29" i="5" s="1"/>
  <c r="V28" i="5"/>
  <c r="Z28" i="5" s="1"/>
  <c r="P28" i="5"/>
  <c r="J28" i="5"/>
  <c r="O28" i="5" s="1"/>
  <c r="D28" i="5"/>
  <c r="I28" i="5" s="1"/>
  <c r="V27" i="5"/>
  <c r="AA27" i="5" s="1"/>
  <c r="P27" i="5"/>
  <c r="U27" i="5" s="1"/>
  <c r="J27" i="5"/>
  <c r="N27" i="5" s="1"/>
  <c r="D27" i="5"/>
  <c r="I27" i="5" s="1"/>
  <c r="V26" i="5"/>
  <c r="AA26" i="5" s="1"/>
  <c r="P26" i="5"/>
  <c r="U26" i="5" s="1"/>
  <c r="J26" i="5"/>
  <c r="O26" i="5" s="1"/>
  <c r="D26" i="5"/>
  <c r="I26" i="5" s="1"/>
  <c r="V25" i="5"/>
  <c r="AA25" i="5" s="1"/>
  <c r="P25" i="5"/>
  <c r="U25" i="5" s="1"/>
  <c r="J25" i="5"/>
  <c r="N25" i="5" s="1"/>
  <c r="D25" i="5"/>
  <c r="I25" i="5" s="1"/>
  <c r="V24" i="5"/>
  <c r="AA24" i="5" s="1"/>
  <c r="P24" i="5"/>
  <c r="U24" i="5" s="1"/>
  <c r="J24" i="5"/>
  <c r="O24" i="5" s="1"/>
  <c r="D24" i="5"/>
  <c r="I24" i="5" s="1"/>
  <c r="V23" i="5"/>
  <c r="AA23" i="5" s="1"/>
  <c r="P23" i="5"/>
  <c r="U23" i="5" s="1"/>
  <c r="J23" i="5"/>
  <c r="N23" i="5" s="1"/>
  <c r="D23" i="5"/>
  <c r="I23" i="5" s="1"/>
  <c r="V22" i="5"/>
  <c r="AA22" i="5" s="1"/>
  <c r="P22" i="5"/>
  <c r="U22" i="5" s="1"/>
  <c r="J22" i="5"/>
  <c r="O22" i="5" s="1"/>
  <c r="D22" i="5"/>
  <c r="I22" i="5" s="1"/>
  <c r="V20" i="5"/>
  <c r="AA20" i="5" s="1"/>
  <c r="P20" i="5"/>
  <c r="T20" i="5" s="1"/>
  <c r="J20" i="5"/>
  <c r="N20" i="5" s="1"/>
  <c r="D20" i="5"/>
  <c r="I20" i="5" s="1"/>
  <c r="V19" i="5"/>
  <c r="AA19" i="5" s="1"/>
  <c r="P19" i="5"/>
  <c r="U19" i="5" s="1"/>
  <c r="J19" i="5"/>
  <c r="O19" i="5" s="1"/>
  <c r="D19" i="5"/>
  <c r="I19" i="5" s="1"/>
  <c r="V18" i="5"/>
  <c r="AA18" i="5" s="1"/>
  <c r="P18" i="5"/>
  <c r="U18" i="5" s="1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O15" i="5" s="1"/>
  <c r="D15" i="5"/>
  <c r="H15" i="5" s="1"/>
  <c r="V14" i="5"/>
  <c r="AA14" i="5" s="1"/>
  <c r="P14" i="5"/>
  <c r="U14" i="5" s="1"/>
  <c r="J14" i="5"/>
  <c r="N14" i="5" s="1"/>
  <c r="D14" i="5"/>
  <c r="I14" i="5" s="1"/>
  <c r="V13" i="5"/>
  <c r="AA13" i="5" s="1"/>
  <c r="P13" i="5"/>
  <c r="U13" i="5" s="1"/>
  <c r="J13" i="5"/>
  <c r="O13" i="5" s="1"/>
  <c r="D13" i="5"/>
  <c r="I13" i="5" s="1"/>
  <c r="V11" i="5"/>
  <c r="AA11" i="5" s="1"/>
  <c r="P11" i="5"/>
  <c r="U11" i="5" s="1"/>
  <c r="J11" i="5"/>
  <c r="N11" i="5" s="1"/>
  <c r="D11" i="5"/>
  <c r="I11" i="5" s="1"/>
  <c r="V10" i="5"/>
  <c r="AA10" i="5" s="1"/>
  <c r="P10" i="5"/>
  <c r="U10" i="5" s="1"/>
  <c r="J10" i="5"/>
  <c r="O10" i="5" s="1"/>
  <c r="D10" i="5"/>
  <c r="I10" i="5" s="1"/>
  <c r="V9" i="5"/>
  <c r="AA9" i="5" s="1"/>
  <c r="P9" i="5"/>
  <c r="U9" i="5" s="1"/>
  <c r="J9" i="5"/>
  <c r="N9" i="5" s="1"/>
  <c r="D9" i="5"/>
  <c r="I9" i="5" s="1"/>
  <c r="V8" i="5"/>
  <c r="AA8" i="5" s="1"/>
  <c r="P8" i="5"/>
  <c r="U8" i="5" s="1"/>
  <c r="J8" i="5"/>
  <c r="O8" i="5" s="1"/>
  <c r="D8" i="5"/>
  <c r="I8" i="5" s="1"/>
  <c r="V7" i="5"/>
  <c r="AA7" i="5" s="1"/>
  <c r="P7" i="5"/>
  <c r="U7" i="5" s="1"/>
  <c r="J7" i="5"/>
  <c r="N7" i="5" s="1"/>
  <c r="D7" i="5"/>
  <c r="I7" i="5" s="1"/>
  <c r="V6" i="5"/>
  <c r="AA6" i="5" s="1"/>
  <c r="P6" i="5"/>
  <c r="U6" i="5" s="1"/>
  <c r="J6" i="5"/>
  <c r="O6" i="5" s="1"/>
  <c r="D6" i="5"/>
  <c r="I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O4" i="5" s="1"/>
  <c r="I4" i="5"/>
  <c r="V7" i="4"/>
  <c r="Z7" i="4" s="1"/>
  <c r="V8" i="4"/>
  <c r="AA8" i="4" s="1"/>
  <c r="V9" i="4"/>
  <c r="Z9" i="4" s="1"/>
  <c r="V10" i="4"/>
  <c r="AA10" i="4" s="1"/>
  <c r="V11" i="4"/>
  <c r="Z11" i="4" s="1"/>
  <c r="V12" i="4"/>
  <c r="AA12" i="4" s="1"/>
  <c r="V13" i="4"/>
  <c r="Z13" i="4" s="1"/>
  <c r="V15" i="4"/>
  <c r="Z15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4" i="4"/>
  <c r="Z24" i="4" s="1"/>
  <c r="V25" i="4"/>
  <c r="Z25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4" i="4"/>
  <c r="Z34" i="4" s="1"/>
  <c r="V35" i="4"/>
  <c r="AA35" i="4" s="1"/>
  <c r="V36" i="4"/>
  <c r="Z36" i="4" s="1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4" i="4"/>
  <c r="AA44" i="4" s="1"/>
  <c r="V45" i="4"/>
  <c r="Z45" i="4" s="1"/>
  <c r="V46" i="4"/>
  <c r="AA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4" i="4"/>
  <c r="Z54" i="4" s="1"/>
  <c r="V55" i="4"/>
  <c r="Z55" i="4" s="1"/>
  <c r="V56" i="4"/>
  <c r="Z56" i="4" s="1"/>
  <c r="V57" i="4"/>
  <c r="AA57" i="4" s="1"/>
  <c r="V58" i="4"/>
  <c r="Z58" i="4" s="1"/>
  <c r="V59" i="4"/>
  <c r="Z59" i="4" s="1"/>
  <c r="V60" i="4"/>
  <c r="Z60" i="4" s="1"/>
  <c r="V61" i="4"/>
  <c r="AA61" i="4" s="1"/>
  <c r="V62" i="4"/>
  <c r="Z62" i="4" s="1"/>
  <c r="V64" i="4"/>
  <c r="Z64" i="4" s="1"/>
  <c r="V65" i="4"/>
  <c r="Z65" i="4" s="1"/>
  <c r="V66" i="4"/>
  <c r="AA66" i="4" s="1"/>
  <c r="V67" i="4"/>
  <c r="Z67" i="4" s="1"/>
  <c r="V68" i="4"/>
  <c r="Z68" i="4" s="1"/>
  <c r="V69" i="4"/>
  <c r="Z69" i="4" s="1"/>
  <c r="V70" i="4"/>
  <c r="AA70" i="4" s="1"/>
  <c r="V71" i="4"/>
  <c r="Z71" i="4" s="1"/>
  <c r="V72" i="4"/>
  <c r="Z72" i="4" s="1"/>
  <c r="V74" i="4"/>
  <c r="Z74" i="4" s="1"/>
  <c r="V75" i="4"/>
  <c r="AA75" i="4" s="1"/>
  <c r="V76" i="4"/>
  <c r="Z76" i="4" s="1"/>
  <c r="V77" i="4"/>
  <c r="Z77" i="4" s="1"/>
  <c r="V78" i="4"/>
  <c r="Z78" i="4" s="1"/>
  <c r="V79" i="4"/>
  <c r="AA79" i="4" s="1"/>
  <c r="V80" i="4"/>
  <c r="Z80" i="4" s="1"/>
  <c r="V81" i="4"/>
  <c r="AA81" i="4" s="1"/>
  <c r="V82" i="4"/>
  <c r="Z82" i="4" s="1"/>
  <c r="V84" i="4"/>
  <c r="AA84" i="4" s="1"/>
  <c r="V85" i="4"/>
  <c r="Z85" i="4" s="1"/>
  <c r="V86" i="4"/>
  <c r="Z86" i="4" s="1"/>
  <c r="V87" i="4"/>
  <c r="Z87" i="4" s="1"/>
  <c r="V88" i="4"/>
  <c r="AA88" i="4" s="1"/>
  <c r="V89" i="4"/>
  <c r="Z89" i="4" s="1"/>
  <c r="V90" i="4"/>
  <c r="Z90" i="4" s="1"/>
  <c r="V91" i="4"/>
  <c r="Z91" i="4" s="1"/>
  <c r="V92" i="4"/>
  <c r="AA92" i="4" s="1"/>
  <c r="V94" i="4"/>
  <c r="V95" i="4"/>
  <c r="Z95" i="4" s="1"/>
  <c r="V96" i="4"/>
  <c r="Z96" i="4" s="1"/>
  <c r="V97" i="4"/>
  <c r="AA97" i="4" s="1"/>
  <c r="V98" i="4"/>
  <c r="Z98" i="4" s="1"/>
  <c r="V99" i="4"/>
  <c r="Z99" i="4" s="1"/>
  <c r="V100" i="4"/>
  <c r="Z100" i="4" s="1"/>
  <c r="V101" i="4"/>
  <c r="AA101" i="4" s="1"/>
  <c r="V102" i="4"/>
  <c r="V104" i="4"/>
  <c r="Z104" i="4" s="1"/>
  <c r="V105" i="4"/>
  <c r="Z105" i="4" s="1"/>
  <c r="V106" i="4"/>
  <c r="AA106" i="4" s="1"/>
  <c r="V107" i="4"/>
  <c r="Z107" i="4" s="1"/>
  <c r="V108" i="4"/>
  <c r="Z108" i="4" s="1"/>
  <c r="V109" i="4"/>
  <c r="Z109" i="4" s="1"/>
  <c r="V110" i="4"/>
  <c r="AA110" i="4" s="1"/>
  <c r="V111" i="4"/>
  <c r="P7" i="4"/>
  <c r="T7" i="4" s="1"/>
  <c r="P8" i="4"/>
  <c r="T8" i="4" s="1"/>
  <c r="P9" i="4"/>
  <c r="T9" i="4" s="1"/>
  <c r="P10" i="4"/>
  <c r="T10" i="4" s="1"/>
  <c r="P11" i="4"/>
  <c r="U11" i="4" s="1"/>
  <c r="P12" i="4"/>
  <c r="T12" i="4" s="1"/>
  <c r="P13" i="4"/>
  <c r="T13" i="4" s="1"/>
  <c r="P15" i="4"/>
  <c r="P16" i="4"/>
  <c r="T16" i="4" s="1"/>
  <c r="P17" i="4"/>
  <c r="T17" i="4" s="1"/>
  <c r="P18" i="4"/>
  <c r="T18" i="4" s="1"/>
  <c r="P19" i="4"/>
  <c r="P20" i="4"/>
  <c r="U20" i="4" s="1"/>
  <c r="P21" i="4"/>
  <c r="T21" i="4" s="1"/>
  <c r="P22" i="4"/>
  <c r="T22" i="4" s="1"/>
  <c r="P24" i="4"/>
  <c r="P25" i="4"/>
  <c r="T25" i="4" s="1"/>
  <c r="P26" i="4"/>
  <c r="T26" i="4" s="1"/>
  <c r="P27" i="4"/>
  <c r="T27" i="4" s="1"/>
  <c r="P28" i="4"/>
  <c r="P29" i="4"/>
  <c r="U29" i="4" s="1"/>
  <c r="P30" i="4"/>
  <c r="T30" i="4" s="1"/>
  <c r="P31" i="4"/>
  <c r="T31" i="4" s="1"/>
  <c r="P32" i="4"/>
  <c r="P34" i="4"/>
  <c r="U34" i="4" s="1"/>
  <c r="P35" i="4"/>
  <c r="T35" i="4" s="1"/>
  <c r="P36" i="4"/>
  <c r="T36" i="4" s="1"/>
  <c r="P37" i="4"/>
  <c r="P38" i="4"/>
  <c r="U38" i="4" s="1"/>
  <c r="P39" i="4"/>
  <c r="T39" i="4" s="1"/>
  <c r="P40" i="4"/>
  <c r="T40" i="4" s="1"/>
  <c r="P41" i="4"/>
  <c r="P42" i="4"/>
  <c r="T42" i="4" s="1"/>
  <c r="P44" i="4"/>
  <c r="T44" i="4" s="1"/>
  <c r="P45" i="4"/>
  <c r="T45" i="4" s="1"/>
  <c r="P46" i="4"/>
  <c r="P47" i="4"/>
  <c r="U47" i="4" s="1"/>
  <c r="P48" i="4"/>
  <c r="T48" i="4" s="1"/>
  <c r="P49" i="4"/>
  <c r="T49" i="4" s="1"/>
  <c r="P50" i="4"/>
  <c r="P51" i="4"/>
  <c r="T51" i="4" s="1"/>
  <c r="P52" i="4"/>
  <c r="T52" i="4" s="1"/>
  <c r="P54" i="4"/>
  <c r="T54" i="4" s="1"/>
  <c r="P55" i="4"/>
  <c r="P56" i="4"/>
  <c r="U56" i="4" s="1"/>
  <c r="P57" i="4"/>
  <c r="T57" i="4" s="1"/>
  <c r="P58" i="4"/>
  <c r="T58" i="4" s="1"/>
  <c r="P59" i="4"/>
  <c r="P60" i="4"/>
  <c r="T60" i="4" s="1"/>
  <c r="P61" i="4"/>
  <c r="T61" i="4" s="1"/>
  <c r="P62" i="4"/>
  <c r="T62" i="4" s="1"/>
  <c r="P64" i="4"/>
  <c r="P65" i="4"/>
  <c r="U65" i="4" s="1"/>
  <c r="P66" i="4"/>
  <c r="T66" i="4" s="1"/>
  <c r="P67" i="4"/>
  <c r="T67" i="4" s="1"/>
  <c r="P68" i="4"/>
  <c r="P69" i="4"/>
  <c r="T69" i="4" s="1"/>
  <c r="P70" i="4"/>
  <c r="T70" i="4" s="1"/>
  <c r="P71" i="4"/>
  <c r="T71" i="4" s="1"/>
  <c r="P72" i="4"/>
  <c r="P74" i="4"/>
  <c r="U74" i="4" s="1"/>
  <c r="P75" i="4"/>
  <c r="T75" i="4" s="1"/>
  <c r="P76" i="4"/>
  <c r="T76" i="4" s="1"/>
  <c r="P77" i="4"/>
  <c r="P78" i="4"/>
  <c r="T78" i="4" s="1"/>
  <c r="P79" i="4"/>
  <c r="T79" i="4" s="1"/>
  <c r="P80" i="4"/>
  <c r="T80" i="4" s="1"/>
  <c r="P81" i="4"/>
  <c r="P82" i="4"/>
  <c r="U82" i="4" s="1"/>
  <c r="P84" i="4"/>
  <c r="T84" i="4" s="1"/>
  <c r="P85" i="4"/>
  <c r="T85" i="4" s="1"/>
  <c r="P86" i="4"/>
  <c r="P87" i="4"/>
  <c r="T87" i="4" s="1"/>
  <c r="P88" i="4"/>
  <c r="T88" i="4" s="1"/>
  <c r="P89" i="4"/>
  <c r="T89" i="4" s="1"/>
  <c r="P90" i="4"/>
  <c r="P91" i="4"/>
  <c r="U91" i="4" s="1"/>
  <c r="P92" i="4"/>
  <c r="T92" i="4" s="1"/>
  <c r="P94" i="4"/>
  <c r="T94" i="4" s="1"/>
  <c r="P95" i="4"/>
  <c r="P96" i="4"/>
  <c r="T96" i="4" s="1"/>
  <c r="P97" i="4"/>
  <c r="T97" i="4" s="1"/>
  <c r="P98" i="4"/>
  <c r="T98" i="4" s="1"/>
  <c r="P99" i="4"/>
  <c r="P100" i="4"/>
  <c r="U100" i="4" s="1"/>
  <c r="P101" i="4"/>
  <c r="T101" i="4" s="1"/>
  <c r="P102" i="4"/>
  <c r="T102" i="4" s="1"/>
  <c r="P104" i="4"/>
  <c r="P105" i="4"/>
  <c r="U105" i="4" s="1"/>
  <c r="P106" i="4"/>
  <c r="T106" i="4" s="1"/>
  <c r="P107" i="4"/>
  <c r="T107" i="4" s="1"/>
  <c r="P108" i="4"/>
  <c r="P109" i="4"/>
  <c r="U109" i="4" s="1"/>
  <c r="P110" i="4"/>
  <c r="T110" i="4" s="1"/>
  <c r="P111" i="4"/>
  <c r="T111" i="4" s="1"/>
  <c r="J7" i="4"/>
  <c r="N7" i="4" s="1"/>
  <c r="J8" i="4"/>
  <c r="J9" i="4"/>
  <c r="N9" i="4" s="1"/>
  <c r="J10" i="4"/>
  <c r="N10" i="4" s="1"/>
  <c r="J11" i="4"/>
  <c r="O11" i="4" s="1"/>
  <c r="J12" i="4"/>
  <c r="O12" i="4" s="1"/>
  <c r="J13" i="4"/>
  <c r="N13" i="4" s="1"/>
  <c r="J15" i="4"/>
  <c r="N15" i="4" s="1"/>
  <c r="J16" i="4"/>
  <c r="N16" i="4" s="1"/>
  <c r="J17" i="4"/>
  <c r="O17" i="4" s="1"/>
  <c r="J18" i="4"/>
  <c r="N18" i="4" s="1"/>
  <c r="J19" i="4"/>
  <c r="N19" i="4" s="1"/>
  <c r="J20" i="4"/>
  <c r="O20" i="4" s="1"/>
  <c r="J21" i="4"/>
  <c r="O21" i="4" s="1"/>
  <c r="J22" i="4"/>
  <c r="N22" i="4" s="1"/>
  <c r="J24" i="4"/>
  <c r="N24" i="4" s="1"/>
  <c r="J25" i="4"/>
  <c r="N25" i="4" s="1"/>
  <c r="J26" i="4"/>
  <c r="O26" i="4" s="1"/>
  <c r="J27" i="4"/>
  <c r="N27" i="4" s="1"/>
  <c r="J28" i="4"/>
  <c r="N28" i="4" s="1"/>
  <c r="J29" i="4"/>
  <c r="O29" i="4" s="1"/>
  <c r="J30" i="4"/>
  <c r="O30" i="4" s="1"/>
  <c r="J31" i="4"/>
  <c r="N31" i="4" s="1"/>
  <c r="J32" i="4"/>
  <c r="N32" i="4" s="1"/>
  <c r="J34" i="4"/>
  <c r="N34" i="4" s="1"/>
  <c r="J35" i="4"/>
  <c r="O35" i="4" s="1"/>
  <c r="J36" i="4"/>
  <c r="N36" i="4" s="1"/>
  <c r="J37" i="4"/>
  <c r="N37" i="4" s="1"/>
  <c r="J38" i="4"/>
  <c r="O38" i="4" s="1"/>
  <c r="J39" i="4"/>
  <c r="O39" i="4" s="1"/>
  <c r="J40" i="4"/>
  <c r="N40" i="4" s="1"/>
  <c r="J41" i="4"/>
  <c r="N41" i="4" s="1"/>
  <c r="J42" i="4"/>
  <c r="N42" i="4" s="1"/>
  <c r="J44" i="4"/>
  <c r="O44" i="4" s="1"/>
  <c r="J45" i="4"/>
  <c r="N45" i="4" s="1"/>
  <c r="J46" i="4"/>
  <c r="N46" i="4" s="1"/>
  <c r="J47" i="4"/>
  <c r="O47" i="4" s="1"/>
  <c r="J48" i="4"/>
  <c r="O48" i="4" s="1"/>
  <c r="J49" i="4"/>
  <c r="N49" i="4" s="1"/>
  <c r="J50" i="4"/>
  <c r="N50" i="4" s="1"/>
  <c r="J51" i="4"/>
  <c r="N51" i="4" s="1"/>
  <c r="J52" i="4"/>
  <c r="O52" i="4" s="1"/>
  <c r="J54" i="4"/>
  <c r="N54" i="4" s="1"/>
  <c r="J55" i="4"/>
  <c r="N55" i="4" s="1"/>
  <c r="J56" i="4"/>
  <c r="O56" i="4" s="1"/>
  <c r="J57" i="4"/>
  <c r="O57" i="4" s="1"/>
  <c r="J58" i="4"/>
  <c r="N58" i="4" s="1"/>
  <c r="J59" i="4"/>
  <c r="N59" i="4" s="1"/>
  <c r="J60" i="4"/>
  <c r="N60" i="4" s="1"/>
  <c r="J61" i="4"/>
  <c r="O61" i="4" s="1"/>
  <c r="J62" i="4"/>
  <c r="N62" i="4" s="1"/>
  <c r="J64" i="4"/>
  <c r="N64" i="4" s="1"/>
  <c r="J65" i="4"/>
  <c r="O65" i="4" s="1"/>
  <c r="J66" i="4"/>
  <c r="O66" i="4" s="1"/>
  <c r="J67" i="4"/>
  <c r="N67" i="4" s="1"/>
  <c r="J68" i="4"/>
  <c r="N68" i="4" s="1"/>
  <c r="J69" i="4"/>
  <c r="N69" i="4" s="1"/>
  <c r="J70" i="4"/>
  <c r="O70" i="4" s="1"/>
  <c r="J71" i="4"/>
  <c r="N71" i="4" s="1"/>
  <c r="J72" i="4"/>
  <c r="N72" i="4" s="1"/>
  <c r="J74" i="4"/>
  <c r="O74" i="4" s="1"/>
  <c r="J75" i="4"/>
  <c r="O75" i="4" s="1"/>
  <c r="J76" i="4"/>
  <c r="N76" i="4" s="1"/>
  <c r="J77" i="4"/>
  <c r="N77" i="4" s="1"/>
  <c r="J78" i="4"/>
  <c r="N78" i="4" s="1"/>
  <c r="J79" i="4"/>
  <c r="O79" i="4" s="1"/>
  <c r="J80" i="4"/>
  <c r="N80" i="4" s="1"/>
  <c r="J81" i="4"/>
  <c r="N81" i="4" s="1"/>
  <c r="J82" i="4"/>
  <c r="O82" i="4" s="1"/>
  <c r="J84" i="4"/>
  <c r="O84" i="4" s="1"/>
  <c r="J85" i="4"/>
  <c r="N85" i="4" s="1"/>
  <c r="J86" i="4"/>
  <c r="N86" i="4" s="1"/>
  <c r="J87" i="4"/>
  <c r="N87" i="4" s="1"/>
  <c r="J88" i="4"/>
  <c r="O88" i="4" s="1"/>
  <c r="J89" i="4"/>
  <c r="N89" i="4" s="1"/>
  <c r="J90" i="4"/>
  <c r="N90" i="4" s="1"/>
  <c r="J91" i="4"/>
  <c r="O91" i="4" s="1"/>
  <c r="J92" i="4"/>
  <c r="O92" i="4" s="1"/>
  <c r="J94" i="4"/>
  <c r="N94" i="4" s="1"/>
  <c r="J95" i="4"/>
  <c r="N95" i="4" s="1"/>
  <c r="J96" i="4"/>
  <c r="N96" i="4" s="1"/>
  <c r="J97" i="4"/>
  <c r="O97" i="4" s="1"/>
  <c r="J98" i="4"/>
  <c r="N98" i="4" s="1"/>
  <c r="J99" i="4"/>
  <c r="N99" i="4" s="1"/>
  <c r="J100" i="4"/>
  <c r="O100" i="4" s="1"/>
  <c r="J101" i="4"/>
  <c r="O101" i="4" s="1"/>
  <c r="J102" i="4"/>
  <c r="N102" i="4" s="1"/>
  <c r="J104" i="4"/>
  <c r="N104" i="4" s="1"/>
  <c r="J105" i="4"/>
  <c r="N105" i="4" s="1"/>
  <c r="J106" i="4"/>
  <c r="O106" i="4" s="1"/>
  <c r="J107" i="4"/>
  <c r="N107" i="4" s="1"/>
  <c r="J108" i="4"/>
  <c r="N108" i="4" s="1"/>
  <c r="J109" i="4"/>
  <c r="O109" i="4" s="1"/>
  <c r="J110" i="4"/>
  <c r="O110" i="4" s="1"/>
  <c r="J111" i="4"/>
  <c r="N111" i="4" s="1"/>
  <c r="D32" i="4"/>
  <c r="H32" i="4" s="1"/>
  <c r="D22" i="4"/>
  <c r="H22" i="4" s="1"/>
  <c r="D13" i="4"/>
  <c r="H13" i="4" s="1"/>
  <c r="D30" i="4"/>
  <c r="H30" i="4" s="1"/>
  <c r="D31" i="4"/>
  <c r="H31" i="4" s="1"/>
  <c r="D20" i="4"/>
  <c r="H20" i="4" s="1"/>
  <c r="D11" i="4"/>
  <c r="H11" i="4" s="1"/>
  <c r="D12" i="4"/>
  <c r="H12" i="4" s="1"/>
  <c r="D21" i="4"/>
  <c r="H21" i="4" s="1"/>
  <c r="V6" i="4"/>
  <c r="AA6" i="4" s="1"/>
  <c r="P6" i="4"/>
  <c r="T6" i="4" s="1"/>
  <c r="J6" i="4"/>
  <c r="D7" i="4"/>
  <c r="I7" i="4" s="1"/>
  <c r="D8" i="4"/>
  <c r="I8" i="4" s="1"/>
  <c r="D9" i="4"/>
  <c r="I9" i="4" s="1"/>
  <c r="D10" i="4"/>
  <c r="I10" i="4" s="1"/>
  <c r="D15" i="4"/>
  <c r="D16" i="4"/>
  <c r="I16" i="4" s="1"/>
  <c r="D17" i="4"/>
  <c r="I17" i="4" s="1"/>
  <c r="D18" i="4"/>
  <c r="I18" i="4" s="1"/>
  <c r="D19" i="4"/>
  <c r="I19" i="4" s="1"/>
  <c r="D24" i="4"/>
  <c r="H24" i="4" s="1"/>
  <c r="D25" i="4"/>
  <c r="H25" i="4" s="1"/>
  <c r="D26" i="4"/>
  <c r="D27" i="4"/>
  <c r="D28" i="4"/>
  <c r="I28" i="4" s="1"/>
  <c r="D29" i="4"/>
  <c r="I29" i="4" s="1"/>
  <c r="D34" i="4"/>
  <c r="H34" i="4" s="1"/>
  <c r="D35" i="4"/>
  <c r="H35" i="4" s="1"/>
  <c r="D36" i="4"/>
  <c r="H36" i="4" s="1"/>
  <c r="D37" i="4"/>
  <c r="H37" i="4" s="1"/>
  <c r="D38" i="4"/>
  <c r="D39" i="4"/>
  <c r="D40" i="4"/>
  <c r="I40" i="4" s="1"/>
  <c r="D41" i="4"/>
  <c r="I41" i="4" s="1"/>
  <c r="D42" i="4"/>
  <c r="I42" i="4" s="1"/>
  <c r="D44" i="4"/>
  <c r="I44" i="4" s="1"/>
  <c r="D45" i="4"/>
  <c r="H45" i="4" s="1"/>
  <c r="D46" i="4"/>
  <c r="H46" i="4" s="1"/>
  <c r="D47" i="4"/>
  <c r="D48" i="4"/>
  <c r="D49" i="4"/>
  <c r="I49" i="4" s="1"/>
  <c r="D50" i="4"/>
  <c r="I50" i="4" s="1"/>
  <c r="D51" i="4"/>
  <c r="H51" i="4" s="1"/>
  <c r="D52" i="4"/>
  <c r="H52" i="4" s="1"/>
  <c r="D54" i="4"/>
  <c r="H54" i="4" s="1"/>
  <c r="D55" i="4"/>
  <c r="H55" i="4" s="1"/>
  <c r="D56" i="4"/>
  <c r="H56" i="4" s="1"/>
  <c r="D57" i="4"/>
  <c r="D58" i="4"/>
  <c r="D59" i="4"/>
  <c r="I59" i="4" s="1"/>
  <c r="D60" i="4"/>
  <c r="I60" i="4" s="1"/>
  <c r="D61" i="4"/>
  <c r="I61" i="4" s="1"/>
  <c r="D62" i="4"/>
  <c r="I62" i="4" s="1"/>
  <c r="D64" i="4"/>
  <c r="H64" i="4" s="1"/>
  <c r="D65" i="4"/>
  <c r="H65" i="4" s="1"/>
  <c r="D66" i="4"/>
  <c r="D67" i="4"/>
  <c r="D68" i="4"/>
  <c r="I68" i="4" s="1"/>
  <c r="D69" i="4"/>
  <c r="I69" i="4" s="1"/>
  <c r="D70" i="4"/>
  <c r="H70" i="4" s="1"/>
  <c r="D71" i="4"/>
  <c r="H71" i="4" s="1"/>
  <c r="D72" i="4"/>
  <c r="H72" i="4" s="1"/>
  <c r="D74" i="4"/>
  <c r="H74" i="4" s="1"/>
  <c r="D75" i="4"/>
  <c r="D76" i="4"/>
  <c r="D77" i="4"/>
  <c r="I77" i="4" s="1"/>
  <c r="D78" i="4"/>
  <c r="I78" i="4" s="1"/>
  <c r="D79" i="4"/>
  <c r="I79" i="4" s="1"/>
  <c r="D80" i="4"/>
  <c r="I80" i="4" s="1"/>
  <c r="D81" i="4"/>
  <c r="H81" i="4" s="1"/>
  <c r="D82" i="4"/>
  <c r="H82" i="4" s="1"/>
  <c r="D84" i="4"/>
  <c r="D85" i="4"/>
  <c r="D86" i="4"/>
  <c r="I86" i="4" s="1"/>
  <c r="D87" i="4"/>
  <c r="I87" i="4" s="1"/>
  <c r="D88" i="4"/>
  <c r="H88" i="4" s="1"/>
  <c r="D89" i="4"/>
  <c r="H89" i="4" s="1"/>
  <c r="D90" i="4"/>
  <c r="H90" i="4" s="1"/>
  <c r="D91" i="4"/>
  <c r="H91" i="4" s="1"/>
  <c r="D92" i="4"/>
  <c r="I92" i="4" s="1"/>
  <c r="D94" i="4"/>
  <c r="D95" i="4"/>
  <c r="I95" i="4" s="1"/>
  <c r="D96" i="4"/>
  <c r="I96" i="4" s="1"/>
  <c r="D97" i="4"/>
  <c r="I97" i="4" s="1"/>
  <c r="D98" i="4"/>
  <c r="I98" i="4" s="1"/>
  <c r="D99" i="4"/>
  <c r="I99" i="4" s="1"/>
  <c r="D100" i="4"/>
  <c r="H100" i="4" s="1"/>
  <c r="D101" i="4"/>
  <c r="I101" i="4" s="1"/>
  <c r="D102" i="4"/>
  <c r="I102" i="4" s="1"/>
  <c r="I104" i="4"/>
  <c r="I105" i="4"/>
  <c r="H106" i="4"/>
  <c r="H107" i="4"/>
  <c r="I108" i="4"/>
  <c r="H109" i="4"/>
  <c r="I110" i="4"/>
  <c r="I111" i="4"/>
  <c r="D6" i="4"/>
  <c r="I6" i="4" s="1"/>
  <c r="G6" i="1"/>
  <c r="H6" i="1"/>
  <c r="G7" i="1"/>
  <c r="H7" i="1"/>
  <c r="G3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9" i="1"/>
  <c r="G9" i="1"/>
  <c r="H5" i="1"/>
  <c r="G5" i="1"/>
  <c r="H4" i="1"/>
  <c r="G4" i="1"/>
  <c r="H3" i="1"/>
  <c r="U111" i="5" l="1"/>
  <c r="O4" i="4"/>
  <c r="N4" i="4"/>
  <c r="N37" i="5"/>
  <c r="O37" i="5"/>
  <c r="N39" i="5"/>
  <c r="O39" i="5"/>
  <c r="N40" i="5"/>
  <c r="O40" i="5"/>
  <c r="N42" i="5"/>
  <c r="O42" i="5"/>
  <c r="N49" i="5"/>
  <c r="O49" i="5"/>
  <c r="N51" i="5"/>
  <c r="O51" i="5"/>
  <c r="N52" i="5"/>
  <c r="O52" i="5"/>
  <c r="N54" i="5"/>
  <c r="O54" i="5"/>
  <c r="N63" i="5"/>
  <c r="O63" i="5"/>
  <c r="N64" i="5"/>
  <c r="O64" i="5"/>
  <c r="N66" i="5"/>
  <c r="O66" i="5"/>
  <c r="N72" i="5"/>
  <c r="O72" i="5"/>
  <c r="N73" i="5"/>
  <c r="O73" i="5"/>
  <c r="N75" i="5"/>
  <c r="O75" i="5"/>
  <c r="N76" i="5"/>
  <c r="O76" i="5"/>
  <c r="N78" i="5"/>
  <c r="O78" i="5"/>
  <c r="N85" i="5"/>
  <c r="O85" i="5"/>
  <c r="N87" i="5"/>
  <c r="O87" i="5"/>
  <c r="N88" i="5"/>
  <c r="O88" i="5"/>
  <c r="N90" i="5"/>
  <c r="O90" i="5"/>
  <c r="N99" i="5"/>
  <c r="O99" i="5"/>
  <c r="N100" i="5"/>
  <c r="O100" i="5"/>
  <c r="N102" i="5"/>
  <c r="O102" i="5"/>
  <c r="N111" i="5"/>
  <c r="O111" i="5"/>
  <c r="N112" i="5"/>
  <c r="O112" i="5"/>
  <c r="N114" i="5"/>
  <c r="O114" i="5"/>
  <c r="N38" i="5"/>
  <c r="O38" i="5"/>
  <c r="N41" i="5"/>
  <c r="O41" i="5"/>
  <c r="N50" i="5"/>
  <c r="O50" i="5"/>
  <c r="N53" i="5"/>
  <c r="O53" i="5"/>
  <c r="N62" i="5"/>
  <c r="O62" i="5"/>
  <c r="N65" i="5"/>
  <c r="O65" i="5"/>
  <c r="N74" i="5"/>
  <c r="O74" i="5"/>
  <c r="N77" i="5"/>
  <c r="O77" i="5"/>
  <c r="N86" i="5"/>
  <c r="O86" i="5"/>
  <c r="N98" i="5"/>
  <c r="O98" i="5"/>
  <c r="N101" i="5"/>
  <c r="O101" i="5"/>
  <c r="N89" i="5"/>
  <c r="O89" i="5"/>
  <c r="N110" i="5"/>
  <c r="O110" i="5"/>
  <c r="N113" i="5"/>
  <c r="O113" i="5"/>
  <c r="O13" i="4"/>
  <c r="T105" i="4"/>
  <c r="Z10" i="4"/>
  <c r="T82" i="4"/>
  <c r="U66" i="4"/>
  <c r="T34" i="4"/>
  <c r="Z46" i="4"/>
  <c r="AA32" i="4"/>
  <c r="O89" i="4"/>
  <c r="AA104" i="4"/>
  <c r="U4" i="4"/>
  <c r="O27" i="4"/>
  <c r="T11" i="4"/>
  <c r="Z81" i="4"/>
  <c r="U60" i="4"/>
  <c r="U44" i="4"/>
  <c r="AA68" i="4"/>
  <c r="Z57" i="4"/>
  <c r="I113" i="5"/>
  <c r="AA113" i="5"/>
  <c r="I110" i="5"/>
  <c r="AA110" i="5"/>
  <c r="I89" i="5"/>
  <c r="AA89" i="5"/>
  <c r="I101" i="5"/>
  <c r="AA101" i="5"/>
  <c r="I98" i="5"/>
  <c r="AA98" i="5"/>
  <c r="I86" i="5"/>
  <c r="AA86" i="5"/>
  <c r="I77" i="5"/>
  <c r="AA77" i="5"/>
  <c r="I74" i="5"/>
  <c r="AA74" i="5"/>
  <c r="I62" i="5"/>
  <c r="I65" i="5"/>
  <c r="AA65" i="5"/>
  <c r="AA62" i="5"/>
  <c r="I53" i="5"/>
  <c r="AA53" i="5"/>
  <c r="I50" i="5"/>
  <c r="AA50" i="5"/>
  <c r="I41" i="5"/>
  <c r="AA41" i="5"/>
  <c r="AA118" i="5"/>
  <c r="I38" i="5"/>
  <c r="AA38" i="5"/>
  <c r="H104" i="5"/>
  <c r="AA112" i="5"/>
  <c r="I76" i="5"/>
  <c r="T93" i="5"/>
  <c r="Z72" i="5"/>
  <c r="AA75" i="5"/>
  <c r="U75" i="5" s="1"/>
  <c r="H61" i="5"/>
  <c r="H80" i="5"/>
  <c r="T75" i="5"/>
  <c r="H84" i="5"/>
  <c r="T71" i="5"/>
  <c r="H78" i="5"/>
  <c r="I45" i="5"/>
  <c r="N28" i="5"/>
  <c r="Z61" i="5"/>
  <c r="O70" i="5"/>
  <c r="H63" i="5"/>
  <c r="Z78" i="5"/>
  <c r="O14" i="5"/>
  <c r="AA37" i="5"/>
  <c r="U37" i="5" s="1"/>
  <c r="T40" i="5"/>
  <c r="O44" i="5"/>
  <c r="N10" i="5"/>
  <c r="H13" i="5"/>
  <c r="U20" i="5"/>
  <c r="AA35" i="5"/>
  <c r="U35" i="5" s="1"/>
  <c r="H47" i="5"/>
  <c r="Z70" i="5"/>
  <c r="I72" i="5"/>
  <c r="H73" i="5"/>
  <c r="Z81" i="5"/>
  <c r="Z88" i="5"/>
  <c r="H102" i="5"/>
  <c r="AA120" i="5"/>
  <c r="T23" i="5"/>
  <c r="O33" i="5"/>
  <c r="AA34" i="5"/>
  <c r="U34" i="5" s="1"/>
  <c r="Z48" i="5"/>
  <c r="T54" i="5"/>
  <c r="I71" i="5"/>
  <c r="H121" i="5"/>
  <c r="H22" i="5"/>
  <c r="Z30" i="5"/>
  <c r="I46" i="5"/>
  <c r="T72" i="5"/>
  <c r="H82" i="5"/>
  <c r="AA83" i="5"/>
  <c r="H88" i="5"/>
  <c r="H97" i="5"/>
  <c r="T29" i="5"/>
  <c r="AA33" i="5"/>
  <c r="U33" i="5" s="1"/>
  <c r="O35" i="5"/>
  <c r="Z47" i="5"/>
  <c r="U123" i="5"/>
  <c r="Z21" i="4"/>
  <c r="O107" i="4"/>
  <c r="O76" i="4"/>
  <c r="N57" i="4"/>
  <c r="O45" i="4"/>
  <c r="N38" i="4"/>
  <c r="T109" i="4"/>
  <c r="U92" i="4"/>
  <c r="U87" i="4"/>
  <c r="U70" i="4"/>
  <c r="T38" i="4"/>
  <c r="U21" i="4"/>
  <c r="U16" i="4"/>
  <c r="AA90" i="4"/>
  <c r="Z79" i="4"/>
  <c r="AA55" i="4"/>
  <c r="Z44" i="4"/>
  <c r="AA19" i="4"/>
  <c r="Z8" i="4"/>
  <c r="N100" i="4"/>
  <c r="O94" i="4"/>
  <c r="O62" i="4"/>
  <c r="O31" i="4"/>
  <c r="U97" i="4"/>
  <c r="T65" i="4"/>
  <c r="U48" i="4"/>
  <c r="U42" i="4"/>
  <c r="U26" i="4"/>
  <c r="Z101" i="4"/>
  <c r="AA77" i="4"/>
  <c r="Z66" i="4"/>
  <c r="AA41" i="4"/>
  <c r="Z30" i="4"/>
  <c r="N82" i="4"/>
  <c r="O111" i="4"/>
  <c r="N106" i="4"/>
  <c r="O80" i="4"/>
  <c r="N56" i="4"/>
  <c r="O49" i="4"/>
  <c r="O18" i="4"/>
  <c r="N11" i="4"/>
  <c r="T91" i="4"/>
  <c r="U75" i="4"/>
  <c r="U69" i="4"/>
  <c r="U52" i="4"/>
  <c r="T20" i="4"/>
  <c r="AA99" i="4"/>
  <c r="Z88" i="4"/>
  <c r="AA64" i="4"/>
  <c r="Z52" i="4"/>
  <c r="AA28" i="4"/>
  <c r="Z17" i="4"/>
  <c r="N20" i="4"/>
  <c r="Z92" i="4"/>
  <c r="I32" i="4"/>
  <c r="N74" i="4"/>
  <c r="O67" i="4"/>
  <c r="O36" i="4"/>
  <c r="U101" i="4"/>
  <c r="U96" i="4"/>
  <c r="U79" i="4"/>
  <c r="T47" i="4"/>
  <c r="U30" i="4"/>
  <c r="U25" i="4"/>
  <c r="U8" i="4"/>
  <c r="Z110" i="4"/>
  <c r="AA86" i="4"/>
  <c r="Z75" i="4"/>
  <c r="AA50" i="4"/>
  <c r="Z39" i="4"/>
  <c r="AA15" i="4"/>
  <c r="O98" i="4"/>
  <c r="N91" i="4"/>
  <c r="O85" i="4"/>
  <c r="N79" i="4"/>
  <c r="N29" i="4"/>
  <c r="O22" i="4"/>
  <c r="U106" i="4"/>
  <c r="T74" i="4"/>
  <c r="U57" i="4"/>
  <c r="U51" i="4"/>
  <c r="U35" i="4"/>
  <c r="AA108" i="4"/>
  <c r="Z97" i="4"/>
  <c r="AA72" i="4"/>
  <c r="Z61" i="4"/>
  <c r="AA37" i="4"/>
  <c r="Z26" i="4"/>
  <c r="I4" i="4"/>
  <c r="N109" i="4"/>
  <c r="O54" i="4"/>
  <c r="N47" i="4"/>
  <c r="O40" i="4"/>
  <c r="N35" i="4"/>
  <c r="O9" i="4"/>
  <c r="T100" i="4"/>
  <c r="U84" i="4"/>
  <c r="U78" i="4"/>
  <c r="U61" i="4"/>
  <c r="T29" i="4"/>
  <c r="U12" i="4"/>
  <c r="U7" i="4"/>
  <c r="AA95" i="4"/>
  <c r="Z84" i="4"/>
  <c r="AA59" i="4"/>
  <c r="Z48" i="4"/>
  <c r="AA24" i="4"/>
  <c r="Z12" i="4"/>
  <c r="AA4" i="4"/>
  <c r="O102" i="4"/>
  <c r="O71" i="4"/>
  <c r="N65" i="4"/>
  <c r="O58" i="4"/>
  <c r="U110" i="4"/>
  <c r="U88" i="4"/>
  <c r="T56" i="4"/>
  <c r="U39" i="4"/>
  <c r="U17" i="4"/>
  <c r="Z106" i="4"/>
  <c r="Z70" i="4"/>
  <c r="Z35" i="4"/>
  <c r="T72" i="4"/>
  <c r="U72" i="4"/>
  <c r="N97" i="4"/>
  <c r="N75" i="4"/>
  <c r="T64" i="4"/>
  <c r="U64" i="4"/>
  <c r="T41" i="4"/>
  <c r="U41" i="4"/>
  <c r="N26" i="4"/>
  <c r="N101" i="4"/>
  <c r="T90" i="4"/>
  <c r="U90" i="4"/>
  <c r="T68" i="4"/>
  <c r="U68" i="4"/>
  <c r="N52" i="4"/>
  <c r="N30" i="4"/>
  <c r="T19" i="4"/>
  <c r="U19" i="4"/>
  <c r="Z94" i="4"/>
  <c r="AA94" i="4"/>
  <c r="N84" i="4"/>
  <c r="N110" i="4"/>
  <c r="T99" i="4"/>
  <c r="U99" i="4"/>
  <c r="T77" i="4"/>
  <c r="U77" i="4"/>
  <c r="N61" i="4"/>
  <c r="N39" i="4"/>
  <c r="T28" i="4"/>
  <c r="U28" i="4"/>
  <c r="Z102" i="4"/>
  <c r="AA102" i="4"/>
  <c r="T95" i="4"/>
  <c r="U95" i="4"/>
  <c r="T24" i="4"/>
  <c r="U24" i="4"/>
  <c r="T50" i="4"/>
  <c r="U50" i="4"/>
  <c r="N12" i="4"/>
  <c r="T104" i="4"/>
  <c r="U104" i="4"/>
  <c r="N88" i="4"/>
  <c r="N66" i="4"/>
  <c r="T55" i="4"/>
  <c r="U55" i="4"/>
  <c r="T32" i="4"/>
  <c r="U32" i="4"/>
  <c r="N17" i="4"/>
  <c r="N92" i="4"/>
  <c r="T81" i="4"/>
  <c r="U81" i="4"/>
  <c r="T59" i="4"/>
  <c r="U59" i="4"/>
  <c r="N44" i="4"/>
  <c r="N21" i="4"/>
  <c r="T46" i="4"/>
  <c r="U46" i="4"/>
  <c r="O8" i="4"/>
  <c r="N8" i="4"/>
  <c r="T108" i="4"/>
  <c r="U108" i="4"/>
  <c r="T86" i="4"/>
  <c r="U86" i="4"/>
  <c r="N70" i="4"/>
  <c r="N48" i="4"/>
  <c r="T37" i="4"/>
  <c r="U37" i="4"/>
  <c r="T15" i="4"/>
  <c r="U15" i="4"/>
  <c r="Z111" i="4"/>
  <c r="AA111" i="4"/>
  <c r="O108" i="4"/>
  <c r="O99" i="4"/>
  <c r="O90" i="4"/>
  <c r="O81" i="4"/>
  <c r="O72" i="4"/>
  <c r="O64" i="4"/>
  <c r="O55" i="4"/>
  <c r="O46" i="4"/>
  <c r="O37" i="4"/>
  <c r="O28" i="4"/>
  <c r="O19" i="4"/>
  <c r="O10" i="4"/>
  <c r="U107" i="4"/>
  <c r="U98" i="4"/>
  <c r="U89" i="4"/>
  <c r="U80" i="4"/>
  <c r="U71" i="4"/>
  <c r="U62" i="4"/>
  <c r="U54" i="4"/>
  <c r="U45" i="4"/>
  <c r="U36" i="4"/>
  <c r="U27" i="4"/>
  <c r="U18" i="4"/>
  <c r="U9" i="4"/>
  <c r="AA107" i="4"/>
  <c r="AA98" i="4"/>
  <c r="AA89" i="4"/>
  <c r="AA85" i="4"/>
  <c r="AA80" i="4"/>
  <c r="AA76" i="4"/>
  <c r="AA71" i="4"/>
  <c r="AA67" i="4"/>
  <c r="AA62" i="4"/>
  <c r="AA58" i="4"/>
  <c r="AA54" i="4"/>
  <c r="AA49" i="4"/>
  <c r="AA45" i="4"/>
  <c r="AA40" i="4"/>
  <c r="AA36" i="4"/>
  <c r="AA31" i="4"/>
  <c r="AA27" i="4"/>
  <c r="AA22" i="4"/>
  <c r="AA18" i="4"/>
  <c r="AA13" i="4"/>
  <c r="AA9" i="4"/>
  <c r="O105" i="4"/>
  <c r="O96" i="4"/>
  <c r="O87" i="4"/>
  <c r="O78" i="4"/>
  <c r="O69" i="4"/>
  <c r="O60" i="4"/>
  <c r="O51" i="4"/>
  <c r="O42" i="4"/>
  <c r="O34" i="4"/>
  <c r="O25" i="4"/>
  <c r="O16" i="4"/>
  <c r="O7" i="4"/>
  <c r="O104" i="4"/>
  <c r="O95" i="4"/>
  <c r="O86" i="4"/>
  <c r="O77" i="4"/>
  <c r="O68" i="4"/>
  <c r="O59" i="4"/>
  <c r="O50" i="4"/>
  <c r="O41" i="4"/>
  <c r="O32" i="4"/>
  <c r="O24" i="4"/>
  <c r="O15" i="4"/>
  <c r="U111" i="4"/>
  <c r="U102" i="4"/>
  <c r="U94" i="4"/>
  <c r="U85" i="4"/>
  <c r="U76" i="4"/>
  <c r="U67" i="4"/>
  <c r="U58" i="4"/>
  <c r="U49" i="4"/>
  <c r="U40" i="4"/>
  <c r="U31" i="4"/>
  <c r="U22" i="4"/>
  <c r="U13" i="4"/>
  <c r="AA109" i="4"/>
  <c r="AA105" i="4"/>
  <c r="AA100" i="4"/>
  <c r="AA96" i="4"/>
  <c r="AA91" i="4"/>
  <c r="AA87" i="4"/>
  <c r="AA82" i="4"/>
  <c r="AA78" i="4"/>
  <c r="AA74" i="4"/>
  <c r="AA69" i="4"/>
  <c r="AA65" i="4"/>
  <c r="AA60" i="4"/>
  <c r="AA56" i="4"/>
  <c r="AA51" i="4"/>
  <c r="AA47" i="4"/>
  <c r="AA42" i="4"/>
  <c r="AA38" i="4"/>
  <c r="AA34" i="4"/>
  <c r="AA29" i="4"/>
  <c r="AA25" i="4"/>
  <c r="AA20" i="4"/>
  <c r="AA16" i="4"/>
  <c r="AA11" i="4"/>
  <c r="AA7" i="4"/>
  <c r="U10" i="4"/>
  <c r="O5" i="5"/>
  <c r="N6" i="5"/>
  <c r="Z7" i="5"/>
  <c r="T9" i="5"/>
  <c r="Z18" i="5"/>
  <c r="H24" i="5"/>
  <c r="O25" i="5"/>
  <c r="I37" i="5"/>
  <c r="T39" i="5"/>
  <c r="Z40" i="5"/>
  <c r="H51" i="5"/>
  <c r="Z54" i="5"/>
  <c r="Z56" i="5"/>
  <c r="Z57" i="5"/>
  <c r="Z64" i="5"/>
  <c r="AA66" i="5"/>
  <c r="U66" i="5" s="1"/>
  <c r="Z68" i="5"/>
  <c r="AA73" i="5"/>
  <c r="U73" i="5" s="1"/>
  <c r="H92" i="5"/>
  <c r="I95" i="5"/>
  <c r="O96" i="5"/>
  <c r="O105" i="5"/>
  <c r="T108" i="5"/>
  <c r="AA109" i="5"/>
  <c r="H4" i="5"/>
  <c r="T5" i="5"/>
  <c r="T11" i="5"/>
  <c r="N13" i="5"/>
  <c r="O23" i="5"/>
  <c r="AA28" i="5"/>
  <c r="U28" i="5" s="1"/>
  <c r="N30" i="5"/>
  <c r="H32" i="5"/>
  <c r="H49" i="5"/>
  <c r="I58" i="5"/>
  <c r="H68" i="5"/>
  <c r="H69" i="5"/>
  <c r="T78" i="5"/>
  <c r="Z87" i="5"/>
  <c r="O92" i="5"/>
  <c r="T104" i="5"/>
  <c r="I15" i="5"/>
  <c r="Z16" i="5"/>
  <c r="O18" i="5"/>
  <c r="N19" i="5"/>
  <c r="N24" i="5"/>
  <c r="Z25" i="5"/>
  <c r="T27" i="5"/>
  <c r="T36" i="5"/>
  <c r="I40" i="5"/>
  <c r="H42" i="5"/>
  <c r="T44" i="5"/>
  <c r="O48" i="5"/>
  <c r="H56" i="5"/>
  <c r="H57" i="5"/>
  <c r="H66" i="5"/>
  <c r="O83" i="5"/>
  <c r="Z85" i="5"/>
  <c r="T95" i="5"/>
  <c r="Z96" i="5"/>
  <c r="H99" i="5"/>
  <c r="T100" i="5"/>
  <c r="Z105" i="5"/>
  <c r="AA116" i="5"/>
  <c r="H6" i="5"/>
  <c r="O7" i="5"/>
  <c r="Z11" i="5"/>
  <c r="H17" i="5"/>
  <c r="T18" i="5"/>
  <c r="T30" i="5"/>
  <c r="Z36" i="5"/>
  <c r="T47" i="5"/>
  <c r="T48" i="5"/>
  <c r="T51" i="5"/>
  <c r="O68" i="5"/>
  <c r="T69" i="5"/>
  <c r="T90" i="5"/>
  <c r="Z92" i="5"/>
  <c r="Z100" i="5"/>
  <c r="Z102" i="5"/>
  <c r="Z104" i="5"/>
  <c r="O109" i="5"/>
  <c r="T114" i="5"/>
  <c r="H117" i="5"/>
  <c r="T121" i="5"/>
  <c r="O81" i="5"/>
  <c r="H87" i="5"/>
  <c r="I96" i="5"/>
  <c r="T7" i="5"/>
  <c r="N8" i="5"/>
  <c r="Z14" i="5"/>
  <c r="H19" i="5"/>
  <c r="O20" i="5"/>
  <c r="T25" i="5"/>
  <c r="N26" i="5"/>
  <c r="T33" i="5"/>
  <c r="Z44" i="5"/>
  <c r="Z45" i="5"/>
  <c r="Z46" i="5"/>
  <c r="H52" i="5"/>
  <c r="H54" i="5"/>
  <c r="H59" i="5"/>
  <c r="H60" i="5"/>
  <c r="H70" i="5"/>
  <c r="Z71" i="5"/>
  <c r="T73" i="5"/>
  <c r="H81" i="5"/>
  <c r="H83" i="5"/>
  <c r="H85" i="5"/>
  <c r="Z93" i="5"/>
  <c r="Z94" i="5"/>
  <c r="T97" i="5"/>
  <c r="H105" i="5"/>
  <c r="Z106" i="5"/>
  <c r="AA107" i="5"/>
  <c r="Z111" i="5"/>
  <c r="H114" i="5"/>
  <c r="O118" i="5"/>
  <c r="AA122" i="5"/>
  <c r="H106" i="5"/>
  <c r="Z108" i="5"/>
  <c r="H111" i="5"/>
  <c r="O116" i="5"/>
  <c r="T119" i="5"/>
  <c r="N4" i="5"/>
  <c r="Z9" i="5"/>
  <c r="O16" i="5"/>
  <c r="N22" i="5"/>
  <c r="Z27" i="5"/>
  <c r="Z29" i="5"/>
  <c r="I44" i="5"/>
  <c r="T49" i="5"/>
  <c r="T63" i="5"/>
  <c r="T66" i="5"/>
  <c r="T76" i="5"/>
  <c r="H90" i="5"/>
  <c r="H93" i="5"/>
  <c r="H94" i="5"/>
  <c r="Z99" i="5"/>
  <c r="H107" i="5"/>
  <c r="H108" i="5"/>
  <c r="T117" i="5"/>
  <c r="Z121" i="5"/>
  <c r="H123" i="5"/>
  <c r="Z5" i="5"/>
  <c r="H10" i="5"/>
  <c r="O11" i="5"/>
  <c r="T16" i="5"/>
  <c r="N17" i="5"/>
  <c r="Z23" i="5"/>
  <c r="H28" i="5"/>
  <c r="I30" i="5"/>
  <c r="I33" i="5"/>
  <c r="H48" i="5"/>
  <c r="Z49" i="5"/>
  <c r="Z76" i="5"/>
  <c r="H8" i="5"/>
  <c r="O9" i="5"/>
  <c r="T14" i="5"/>
  <c r="N15" i="5"/>
  <c r="Z20" i="5"/>
  <c r="H26" i="5"/>
  <c r="O27" i="5"/>
  <c r="H34" i="5"/>
  <c r="I35" i="5"/>
  <c r="H36" i="5"/>
  <c r="H39" i="5"/>
  <c r="O46" i="5"/>
  <c r="Z51" i="5"/>
  <c r="Z52" i="5"/>
  <c r="T57" i="5"/>
  <c r="Z59" i="5"/>
  <c r="H64" i="5"/>
  <c r="Z69" i="5"/>
  <c r="T70" i="5"/>
  <c r="H75" i="5"/>
  <c r="T80" i="5"/>
  <c r="T82" i="5"/>
  <c r="T84" i="5"/>
  <c r="T87" i="5"/>
  <c r="O94" i="5"/>
  <c r="H100" i="5"/>
  <c r="T106" i="5"/>
  <c r="O107" i="5"/>
  <c r="T111" i="5"/>
  <c r="Z117" i="5"/>
  <c r="H119" i="5"/>
  <c r="O122" i="5"/>
  <c r="O120" i="5"/>
  <c r="U94" i="5"/>
  <c r="T94" i="5"/>
  <c r="U105" i="5"/>
  <c r="T105" i="5"/>
  <c r="U112" i="5"/>
  <c r="T112" i="5"/>
  <c r="H5" i="5"/>
  <c r="H7" i="5"/>
  <c r="H9" i="5"/>
  <c r="H11" i="5"/>
  <c r="H14" i="5"/>
  <c r="H16" i="5"/>
  <c r="H18" i="5"/>
  <c r="H20" i="5"/>
  <c r="H23" i="5"/>
  <c r="H25" i="5"/>
  <c r="H27" i="5"/>
  <c r="H29" i="5"/>
  <c r="T32" i="5"/>
  <c r="O34" i="5"/>
  <c r="N34" i="5"/>
  <c r="Z39" i="5"/>
  <c r="T42" i="5"/>
  <c r="O45" i="5"/>
  <c r="N45" i="5"/>
  <c r="T58" i="5"/>
  <c r="O59" i="5"/>
  <c r="Z63" i="5"/>
  <c r="T64" i="5"/>
  <c r="Z90" i="5"/>
  <c r="U109" i="5"/>
  <c r="T109" i="5"/>
  <c r="Z119" i="5"/>
  <c r="U107" i="5"/>
  <c r="T107" i="5"/>
  <c r="T4" i="5"/>
  <c r="T6" i="5"/>
  <c r="T8" i="5"/>
  <c r="T10" i="5"/>
  <c r="T13" i="5"/>
  <c r="T15" i="5"/>
  <c r="T17" i="5"/>
  <c r="T19" i="5"/>
  <c r="T22" i="5"/>
  <c r="T24" i="5"/>
  <c r="T26" i="5"/>
  <c r="T28" i="5"/>
  <c r="O29" i="5"/>
  <c r="N29" i="5"/>
  <c r="Z32" i="5"/>
  <c r="T34" i="5"/>
  <c r="O36" i="5"/>
  <c r="N36" i="5"/>
  <c r="Z42" i="5"/>
  <c r="T45" i="5"/>
  <c r="O47" i="5"/>
  <c r="N47" i="5"/>
  <c r="T52" i="5"/>
  <c r="Z58" i="5"/>
  <c r="T59" i="5"/>
  <c r="O69" i="5"/>
  <c r="N69" i="5"/>
  <c r="Z80" i="5"/>
  <c r="T81" i="5"/>
  <c r="Z114" i="5"/>
  <c r="O60" i="5"/>
  <c r="N60" i="5"/>
  <c r="U96" i="5"/>
  <c r="T96" i="5"/>
  <c r="T35" i="5"/>
  <c r="T46" i="5"/>
  <c r="O56" i="5"/>
  <c r="N56" i="5"/>
  <c r="T60" i="5"/>
  <c r="O61" i="5"/>
  <c r="T68" i="5"/>
  <c r="U83" i="5"/>
  <c r="T83" i="5"/>
  <c r="Z95" i="5"/>
  <c r="U99" i="5"/>
  <c r="T99" i="5"/>
  <c r="U122" i="5"/>
  <c r="T122" i="5"/>
  <c r="U85" i="5"/>
  <c r="T85" i="5"/>
  <c r="U120" i="5"/>
  <c r="T120" i="5"/>
  <c r="Z4" i="5"/>
  <c r="Z6" i="5"/>
  <c r="Z8" i="5"/>
  <c r="Z10" i="5"/>
  <c r="Z13" i="5"/>
  <c r="Z15" i="5"/>
  <c r="Z17" i="5"/>
  <c r="Z19" i="5"/>
  <c r="Z22" i="5"/>
  <c r="Z24" i="5"/>
  <c r="Z26" i="5"/>
  <c r="T37" i="5"/>
  <c r="T56" i="5"/>
  <c r="O57" i="5"/>
  <c r="Z60" i="5"/>
  <c r="T61" i="5"/>
  <c r="O71" i="5"/>
  <c r="N71" i="5"/>
  <c r="Z82" i="5"/>
  <c r="U88" i="5"/>
  <c r="T88" i="5"/>
  <c r="Z97" i="5"/>
  <c r="U102" i="5"/>
  <c r="T102" i="5"/>
  <c r="U118" i="5"/>
  <c r="T118" i="5"/>
  <c r="O32" i="5"/>
  <c r="N32" i="5"/>
  <c r="O58" i="5"/>
  <c r="N58" i="5"/>
  <c r="O80" i="5"/>
  <c r="N80" i="5"/>
  <c r="Z84" i="5"/>
  <c r="U92" i="5"/>
  <c r="T92" i="5"/>
  <c r="U116" i="5"/>
  <c r="T116" i="5"/>
  <c r="Z123" i="5"/>
  <c r="N82" i="5"/>
  <c r="N84" i="5"/>
  <c r="N93" i="5"/>
  <c r="N95" i="5"/>
  <c r="N97" i="5"/>
  <c r="N104" i="5"/>
  <c r="N106" i="5"/>
  <c r="N108" i="5"/>
  <c r="N117" i="5"/>
  <c r="N119" i="5"/>
  <c r="N121" i="5"/>
  <c r="N123" i="5"/>
  <c r="H109" i="5"/>
  <c r="H112" i="5"/>
  <c r="H116" i="5"/>
  <c r="H118" i="5"/>
  <c r="H120" i="5"/>
  <c r="H122" i="5"/>
  <c r="I22" i="4"/>
  <c r="I13" i="4"/>
  <c r="I30" i="4"/>
  <c r="I31" i="4"/>
  <c r="I20" i="4"/>
  <c r="I11" i="4"/>
  <c r="I12" i="4"/>
  <c r="I21" i="4"/>
  <c r="H10" i="4"/>
  <c r="H9" i="4"/>
  <c r="H8" i="4"/>
  <c r="H98" i="4"/>
  <c r="I107" i="4"/>
  <c r="I100" i="4"/>
  <c r="I65" i="4"/>
  <c r="H97" i="4"/>
  <c r="I106" i="4"/>
  <c r="I52" i="4"/>
  <c r="I51" i="4"/>
  <c r="H80" i="4"/>
  <c r="I89" i="4"/>
  <c r="I46" i="4"/>
  <c r="Z6" i="4"/>
  <c r="H87" i="4"/>
  <c r="H108" i="4"/>
  <c r="H69" i="4"/>
  <c r="I88" i="4"/>
  <c r="I35" i="4"/>
  <c r="H62" i="4"/>
  <c r="I82" i="4"/>
  <c r="I34" i="4"/>
  <c r="U6" i="4"/>
  <c r="H44" i="4"/>
  <c r="I71" i="4"/>
  <c r="I25" i="4"/>
  <c r="H99" i="4"/>
  <c r="H19" i="4"/>
  <c r="I70" i="4"/>
  <c r="H50" i="4"/>
  <c r="O6" i="4"/>
  <c r="N6" i="4"/>
  <c r="I85" i="4"/>
  <c r="H85" i="4"/>
  <c r="H68" i="4"/>
  <c r="I66" i="4"/>
  <c r="H66" i="4"/>
  <c r="I15" i="4"/>
  <c r="H15" i="4"/>
  <c r="I47" i="4"/>
  <c r="H47" i="4"/>
  <c r="I38" i="4"/>
  <c r="H38" i="4"/>
  <c r="I26" i="4"/>
  <c r="H26" i="4"/>
  <c r="H7" i="4"/>
  <c r="H105" i="4"/>
  <c r="H96" i="4"/>
  <c r="H79" i="4"/>
  <c r="H61" i="4"/>
  <c r="H42" i="4"/>
  <c r="H18" i="4"/>
  <c r="I81" i="4"/>
  <c r="I64" i="4"/>
  <c r="I45" i="4"/>
  <c r="I24" i="4"/>
  <c r="H29" i="4"/>
  <c r="I94" i="4"/>
  <c r="H94" i="4"/>
  <c r="H86" i="4"/>
  <c r="I39" i="4"/>
  <c r="H39" i="4"/>
  <c r="H6" i="4"/>
  <c r="H104" i="4"/>
  <c r="H95" i="4"/>
  <c r="H78" i="4"/>
  <c r="H60" i="4"/>
  <c r="H41" i="4"/>
  <c r="H17" i="4"/>
  <c r="I67" i="4"/>
  <c r="H67" i="4"/>
  <c r="H49" i="4"/>
  <c r="I84" i="4"/>
  <c r="H84" i="4"/>
  <c r="I48" i="4"/>
  <c r="H48" i="4"/>
  <c r="H111" i="4"/>
  <c r="H102" i="4"/>
  <c r="H92" i="4"/>
  <c r="H77" i="4"/>
  <c r="H59" i="4"/>
  <c r="H40" i="4"/>
  <c r="H16" i="4"/>
  <c r="H28" i="4"/>
  <c r="I75" i="4"/>
  <c r="H75" i="4"/>
  <c r="I27" i="4"/>
  <c r="H27" i="4"/>
  <c r="H110" i="4"/>
  <c r="H101" i="4"/>
  <c r="I109" i="4"/>
  <c r="I91" i="4"/>
  <c r="I74" i="4"/>
  <c r="I56" i="4"/>
  <c r="I37" i="4"/>
  <c r="I76" i="4"/>
  <c r="H76" i="4"/>
  <c r="I58" i="4"/>
  <c r="H58" i="4"/>
  <c r="I57" i="4"/>
  <c r="H57" i="4"/>
  <c r="I90" i="4"/>
  <c r="I72" i="4"/>
  <c r="I54" i="4"/>
  <c r="I36" i="4"/>
  <c r="I55" i="4"/>
  <c r="U38" i="5" l="1"/>
  <c r="T38" i="5"/>
  <c r="U41" i="5"/>
  <c r="T41" i="5"/>
  <c r="U50" i="5"/>
  <c r="T50" i="5"/>
  <c r="U53" i="5"/>
  <c r="T53" i="5"/>
  <c r="T62" i="5"/>
  <c r="U62" i="5"/>
  <c r="T65" i="5"/>
  <c r="U65" i="5"/>
  <c r="T74" i="5"/>
  <c r="U74" i="5"/>
  <c r="T77" i="5"/>
  <c r="U77" i="5"/>
  <c r="T86" i="5"/>
  <c r="U86" i="5"/>
  <c r="T98" i="5"/>
  <c r="U98" i="5"/>
  <c r="T101" i="5"/>
  <c r="U101" i="5"/>
  <c r="T89" i="5"/>
  <c r="U89" i="5"/>
  <c r="U110" i="5"/>
  <c r="T110" i="5"/>
  <c r="U113" i="5"/>
  <c r="T113" i="5"/>
</calcChain>
</file>

<file path=xl/sharedStrings.xml><?xml version="1.0" encoding="utf-8"?>
<sst xmlns="http://schemas.openxmlformats.org/spreadsheetml/2006/main" count="476" uniqueCount="106">
  <si>
    <t>NHC HIGH SCHOOL REPORT ON TEXBOOKS RECEIVED FOR THE YEAR 2025</t>
  </si>
  <si>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</si>
  <si>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</si>
  <si>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</si>
  <si>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</si>
  <si>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</si>
  <si>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</si>
  <si>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</si>
  <si>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</si>
  <si>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</si>
  <si>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</si>
  <si>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</si>
  <si>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</si>
  <si>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</si>
  <si>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</si>
  <si>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</si>
  <si>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</si>
  <si>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</si>
  <si>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</si>
  <si>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</si>
  <si>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</si>
  <si>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</si>
  <si>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</si>
  <si>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</si>
  <si>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</si>
  <si>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</si>
  <si>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</si>
  <si>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</si>
  <si>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</si>
  <si>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</si>
  <si>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</si>
  <si>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</si>
  <si>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</si>
  <si>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</si>
  <si>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PREPARED BY:</t>
  </si>
  <si>
    <t>SARAH JANE C. MAPANAO</t>
  </si>
  <si>
    <t>ANITA V. INGCONG</t>
  </si>
  <si>
    <t>Property Custodian</t>
  </si>
  <si>
    <t>Learning Resource Coordinator</t>
  </si>
  <si>
    <t>REVIEWED BY:</t>
  </si>
  <si>
    <t>NOTED BY:</t>
  </si>
  <si>
    <t xml:space="preserve">WILHELMINA D. TARNATE, Ed.D </t>
  </si>
  <si>
    <t>DANIEL A. LORENZO</t>
  </si>
  <si>
    <t>Principal III</t>
  </si>
  <si>
    <t>Public School District Supervisor</t>
  </si>
  <si>
    <t>NHC HIGH SCHOOL REPORT ON RECEIVED LAS 2025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</si>
  <si>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</si>
  <si>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</si>
  <si>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</si>
  <si>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</si>
  <si>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</si>
  <si>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</si>
  <si>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</si>
  <si>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</si>
  <si>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</si>
  <si>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</si>
  <si>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</si>
  <si>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</si>
  <si>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</si>
  <si>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</si>
  <si>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</si>
  <si>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</si>
  <si>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</si>
  <si>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</si>
  <si>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</si>
  <si>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</si>
  <si>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</si>
  <si>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</si>
  <si>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</si>
  <si>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</si>
  <si>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</si>
  <si>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</si>
  <si>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</si>
  <si>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</si>
  <si>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</si>
  <si>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</si>
  <si>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Learning Reasource Coordinator</t>
  </si>
  <si>
    <t>NHC HIGH SCHOOL REPORT ON RECEIVED ADM-SLM 2025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</si>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</sst>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4"/>
      <color theme="0"/>
      <name val="Bookman Old Style"/>
      <family val="1"/>
    </font>
    <font>
      <b/>
      <sz val="15"/>
      <color theme="0"/>
      <name val="Bookman Old Style"/>
      <family val="1"/>
    </font>
    <font>
      <sz val="20"/>
      <color theme="1"/>
      <name val="Aptos Narrow"/>
      <family val="2"/>
      <scheme val="minor"/>
    </font>
    <font>
      <b/>
      <sz val="20"/>
      <color theme="1"/>
      <name val="Bookman Old Style"/>
      <family val="1"/>
    </font>
    <font>
      <b/>
      <sz val="20"/>
      <color theme="1"/>
      <name val="Aptos Narrow"/>
      <family val="2"/>
      <scheme val="minor"/>
    </font>
    <font>
      <b/>
      <sz val="20"/>
      <color theme="0"/>
      <name val="Bookman Old Style"/>
      <charset val="134"/>
    </font>
    <font>
      <b/>
      <sz val="30"/>
      <color theme="1"/>
      <name val="Bookman Old Style"/>
      <family val="1"/>
    </font>
    <font>
      <b/>
      <sz val="30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30"/>
      <color theme="0"/>
      <name val="Bookman Old Style"/>
      <charset val="134"/>
    </font>
    <font>
      <b/>
      <sz val="20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0" xfId="0" applyFont="1"/>
    <xf numFmtId="0" fontId="24" fillId="8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8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2:H145" totalsRowShown="0" headerRowDxfId="62" headerRowBorderDxfId="60" tableBorderDxfId="61">
  <autoFilter ref="A2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3:AA128" totalsRowShown="0" dataDxfId="59" headerRowBorderDxfId="57" tableBorderDxfId="58">
  <autoFilter ref="A3:AA12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IF((D4-E4)&lt;0,0,(D4-E4))</calculatedColumnFormula>
    </tableColumn>
    <tableColumn id="9" xr3:uid="{E6406FC4-4491-4FD6-9EA2-F088E94C44F4}" name="SURPLUS - LAS - Q1" dataDxfId="48">
      <calculatedColumnFormula>IF((E4-D4)&lt;0,0,(E4-D4))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IF((P4-Q4)&lt;0,0,(P4-Q4))</calculatedColumnFormula>
    </tableColumn>
    <tableColumn id="21" xr3:uid="{DB598C6C-E489-4B0F-9BC6-B0981F7D2582}" name="SURPLUS - LAS - Q3" dataDxfId="36">
      <calculatedColumnFormula>IF((Q4-P4)&lt;0,0,(Q4-P4))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IF((V4-W4)&lt;0,0,(V4-W4))</calculatedColumnFormula>
    </tableColumn>
    <tableColumn id="27" xr3:uid="{38E9C5F3-3FF5-4B13-A9DA-0081A90F35C5}" name="SURPLUS - LAS - Q4" dataDxfId="30">
      <calculatedColumnFormula>IF((W4-V4)&lt;0,0,(W4-V4))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3:AA141" totalsRowShown="0" dataDxfId="29" headerRowBorderDxfId="27" tableBorderDxfId="28">
  <autoFilter ref="A3:AA141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IF((D4-E4)&lt;0,0,(D4-E4))</calculatedColumnFormula>
    </tableColumn>
    <tableColumn id="9" xr3:uid="{A97DBFEB-A833-47C5-A43D-C6E4D77683A6}" name="SURPLUS - ADM-SLM - Q1" dataDxfId="18">
      <calculatedColumnFormula>IF((E4-D4)&lt;0,0,(E4-D4))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IF((P4-Q4)&lt;0,0,(P4-Q4))</calculatedColumnFormula>
    </tableColumn>
    <tableColumn id="21" xr3:uid="{3338E724-88DC-45DA-8F55-7AAE5A560621}" name="SURPLUS - ADM-SLM - Q3" dataDxfId="6">
      <calculatedColumnFormula>IF((Q4-P4)&lt;0,0,(Q4-P4))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IF((V4-W4)&lt;0,0,(V4-W4))</calculatedColumnFormula>
    </tableColumn>
    <tableColumn id="27" xr3:uid="{67725D86-C1DE-4DB2-8FBD-99B8821906AB}" name="SURPLUS - ADM-SLM- Q4" dataDxfId="0">
      <calculatedColumnFormula>IF((W4-V4)&lt;0,0,(W4-V4))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2"/>
  <sheetViews>
    <sheetView zoomScale="85" zoomScaleNormal="85" workbookViewId="0">
      <pane xSplit="2" topLeftCell="C1" activePane="topRight" state="frozen"/>
      <selection pane="topRight" activeCell="E52" activeCellId="4" sqref="E92:E99 E82:E90 E72:E80 E62:E70 E52:E6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ht="40.5" customHeight="1">
      <c r="A1" s="66" t="s">
        <v>0</v>
      </c>
      <c r="B1" s="66"/>
      <c r="C1" s="66"/>
      <c r="D1" s="66"/>
      <c r="E1" s="66"/>
      <c r="F1" s="66"/>
      <c r="G1" s="66"/>
      <c r="H1" s="66"/>
    </row>
    <row r="2" spans="1:9" s="14" customFormat="1" ht="64.900000000000006" customHeight="1">
      <c r="A2" s="15" t="s">
        <v>1</v>
      </c>
      <c r="B2" s="15" t="s">
        <v>2</v>
      </c>
      <c r="C2" s="16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9" t="s">
        <v>8</v>
      </c>
      <c r="I2" s="6"/>
    </row>
    <row r="3" spans="1:9" ht="42.7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9" ht="29.25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9" ht="21" customHeight="1">
      <c r="A5" s="1">
        <v>1</v>
      </c>
      <c r="B5" s="2" t="s">
        <v>11</v>
      </c>
      <c r="C5" s="1"/>
      <c r="D5" s="1"/>
      <c r="E5" s="1"/>
      <c r="F5" s="5"/>
      <c r="G5" s="3">
        <f>IF((C5-D5)&lt;0,0,C5-D5)</f>
        <v>0</v>
      </c>
      <c r="H5" s="4">
        <f>IF((D5-C5)&lt;0,0,D5-C5)</f>
        <v>0</v>
      </c>
    </row>
    <row r="6" spans="1:9" ht="25.5" customHeight="1">
      <c r="A6" s="1">
        <v>1</v>
      </c>
      <c r="B6" s="2" t="s">
        <v>12</v>
      </c>
      <c r="C6" s="1"/>
      <c r="D6" s="1"/>
      <c r="E6" s="1"/>
      <c r="F6" s="5"/>
      <c r="G6" s="3">
        <f t="shared" ref="G6:G7" si="0">IF((C6-D6)&lt;0,0,C6-D6)</f>
        <v>0</v>
      </c>
      <c r="H6" s="4">
        <f t="shared" ref="H6:H7" si="1">IF((D6-C6)&lt;0,0,D6-C6)</f>
        <v>0</v>
      </c>
    </row>
    <row r="7" spans="1:9" ht="19.149999999999999">
      <c r="A7" s="1">
        <v>1</v>
      </c>
      <c r="B7" s="2" t="s">
        <v>13</v>
      </c>
      <c r="C7" s="1"/>
      <c r="D7" s="1"/>
      <c r="E7" s="1"/>
      <c r="F7" s="5"/>
      <c r="G7" s="3">
        <f t="shared" si="0"/>
        <v>0</v>
      </c>
      <c r="H7" s="4">
        <f t="shared" si="1"/>
        <v>0</v>
      </c>
    </row>
    <row r="8" spans="1:9">
      <c r="C8" s="6"/>
      <c r="D8" s="6"/>
      <c r="E8" s="6"/>
    </row>
    <row r="9" spans="1:9" ht="39.7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9" ht="29.2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9" ht="28.5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9" ht="24" customHeight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9" ht="19.149999999999999">
      <c r="A13" s="1">
        <v>2</v>
      </c>
      <c r="B13" s="2" t="s">
        <v>13</v>
      </c>
      <c r="C13" s="1"/>
      <c r="D13" s="1"/>
      <c r="E13" s="1"/>
      <c r="F13" s="5"/>
      <c r="G13" s="3">
        <f>IF((C13-D13)&lt;0,0,C13-D13)</f>
        <v>0</v>
      </c>
      <c r="H13" s="4">
        <f>IF((D13-C13)&lt;0,0,D13-C13)</f>
        <v>0</v>
      </c>
    </row>
    <row r="14" spans="1:9">
      <c r="C14" s="6"/>
      <c r="D14" s="6"/>
      <c r="E14" s="6"/>
    </row>
    <row r="15" spans="1:9" ht="49.5" customHeight="1">
      <c r="A15" s="1">
        <v>3</v>
      </c>
      <c r="B15" s="2" t="s">
        <v>9</v>
      </c>
      <c r="C15" s="1"/>
      <c r="D15" s="1"/>
      <c r="E15" s="1"/>
      <c r="F15" s="5"/>
      <c r="G15" s="3">
        <f t="shared" ref="G15:G20" si="2">IF((C15-D15)&lt;0,0,C15-D15)</f>
        <v>0</v>
      </c>
      <c r="H15" s="4">
        <f t="shared" ref="H15:H20" si="3">IF((D15-C15)&lt;0,0,D15-C15)</f>
        <v>0</v>
      </c>
    </row>
    <row r="16" spans="1:9" ht="29.25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7" customHeight="1">
      <c r="A17" s="1">
        <v>3</v>
      </c>
      <c r="B17" s="2" t="s">
        <v>11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3.25" customHeight="1">
      <c r="A18" s="1">
        <v>3</v>
      </c>
      <c r="B18" s="2" t="s">
        <v>14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1" customHeight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9.149999999999999">
      <c r="A20" s="1">
        <v>3</v>
      </c>
      <c r="B20" s="2" t="s">
        <v>13</v>
      </c>
      <c r="C20" s="1"/>
      <c r="D20" s="1"/>
      <c r="E20" s="1"/>
      <c r="F20" s="5"/>
      <c r="G20" s="3">
        <f t="shared" si="2"/>
        <v>0</v>
      </c>
      <c r="H20" s="4">
        <f t="shared" si="3"/>
        <v>0</v>
      </c>
    </row>
    <row r="21" spans="1:8">
      <c r="A21" s="7"/>
      <c r="B21" s="7"/>
      <c r="C21" s="8"/>
      <c r="D21" s="8"/>
      <c r="E21" s="8"/>
      <c r="F21" s="7"/>
      <c r="G21" s="7"/>
      <c r="H21" s="7"/>
    </row>
    <row r="22" spans="1:8" ht="28.5" customHeight="1">
      <c r="A22" s="1">
        <v>4</v>
      </c>
      <c r="B22" s="9" t="s">
        <v>15</v>
      </c>
      <c r="C22" s="1"/>
      <c r="D22" s="1"/>
      <c r="E22" s="1"/>
      <c r="F22" s="5"/>
      <c r="G22" s="3">
        <f t="shared" ref="G22:G30" si="4">IF((C22-D22)&lt;0,0,C22-D22)</f>
        <v>0</v>
      </c>
      <c r="H22" s="4">
        <f t="shared" ref="H22:H30" si="5">IF((D22-C22)&lt;0,0,D22-C22)</f>
        <v>0</v>
      </c>
    </row>
    <row r="23" spans="1:8" ht="24" customHeight="1">
      <c r="A23" s="1">
        <v>4</v>
      </c>
      <c r="B23" s="9" t="s">
        <v>16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19.149999999999999">
      <c r="A24" s="1">
        <v>4</v>
      </c>
      <c r="B24" s="9" t="s">
        <v>13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27" customHeight="1">
      <c r="A25" s="1">
        <v>4</v>
      </c>
      <c r="B25" s="9" t="s">
        <v>11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17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14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33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1">
        <v>4</v>
      </c>
      <c r="B30" s="9" t="s">
        <v>20</v>
      </c>
      <c r="C30" s="1"/>
      <c r="D30" s="1"/>
      <c r="E30" s="1"/>
      <c r="F30" s="5"/>
      <c r="G30" s="3">
        <f t="shared" si="4"/>
        <v>0</v>
      </c>
      <c r="H30" s="4">
        <f t="shared" si="5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ref="G32:G40" si="6">IF((C32-D32)&lt;0,0,C32-D32)</f>
        <v>0</v>
      </c>
      <c r="H32" s="4">
        <f t="shared" ref="H32:H40" si="7">IF((D32-C32)&lt;0,0,D32-C32)</f>
        <v>0</v>
      </c>
    </row>
    <row r="33" spans="1:8" ht="27.75" customHeight="1">
      <c r="A33" s="1">
        <v>5</v>
      </c>
      <c r="B33" s="9" t="s">
        <v>16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13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27.75" customHeight="1">
      <c r="A35" s="1">
        <v>5</v>
      </c>
      <c r="B35" s="9" t="s">
        <v>11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39" customHeight="1">
      <c r="A36" s="1">
        <v>5</v>
      </c>
      <c r="B36" s="9" t="s">
        <v>17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14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1">
        <v>5</v>
      </c>
      <c r="B40" s="9" t="s">
        <v>20</v>
      </c>
      <c r="C40" s="1"/>
      <c r="D40" s="1"/>
      <c r="E40" s="1"/>
      <c r="F40" s="5"/>
      <c r="G40" s="3">
        <f t="shared" si="6"/>
        <v>0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ref="G42:G50" si="8">IF((C42-D42)&lt;0,0,C42-D42)</f>
        <v>0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16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13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27.75" customHeight="1">
      <c r="A45" s="1">
        <v>6</v>
      </c>
      <c r="B45" s="9" t="s">
        <v>11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36.75" customHeight="1">
      <c r="A46" s="1">
        <v>6</v>
      </c>
      <c r="B46" s="9" t="s">
        <v>17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14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1">
        <v>6</v>
      </c>
      <c r="B50" s="9" t="s">
        <v>20</v>
      </c>
      <c r="C50" s="1"/>
      <c r="D50" s="1"/>
      <c r="E50" s="1"/>
      <c r="F50" s="5"/>
      <c r="G50" s="3">
        <f t="shared" si="8"/>
        <v>0</v>
      </c>
      <c r="H50" s="4">
        <f t="shared" si="9"/>
        <v>0</v>
      </c>
    </row>
    <row r="51" spans="1:8" ht="27.75" customHeight="1">
      <c r="A51" s="7"/>
      <c r="B51" s="7"/>
      <c r="C51" s="8"/>
      <c r="D51" s="8"/>
      <c r="E51" s="8"/>
      <c r="F51" s="7"/>
      <c r="G51" s="7"/>
      <c r="H51" s="7"/>
    </row>
    <row r="52" spans="1:8" ht="27.75" customHeight="1">
      <c r="A52" s="10">
        <v>7</v>
      </c>
      <c r="B52" s="11" t="s">
        <v>15</v>
      </c>
      <c r="C52" s="10">
        <v>342</v>
      </c>
      <c r="D52" s="10">
        <v>0</v>
      </c>
      <c r="E52" s="10"/>
      <c r="F52" s="12"/>
      <c r="G52" s="3">
        <f t="shared" ref="G52:G60" si="10">IF((C52-D52)&lt;0,0,C52-D52)</f>
        <v>342</v>
      </c>
      <c r="H52" s="4">
        <f t="shared" ref="H52:H60" si="11">IF((D52-C52)&lt;0,0,D52-C52)</f>
        <v>0</v>
      </c>
    </row>
    <row r="53" spans="1:8" ht="27.75" customHeight="1">
      <c r="A53" s="10">
        <v>7</v>
      </c>
      <c r="B53" s="11" t="s">
        <v>16</v>
      </c>
      <c r="C53" s="10">
        <v>342</v>
      </c>
      <c r="D53" s="10">
        <v>0</v>
      </c>
      <c r="E53" s="10"/>
      <c r="F53" s="12"/>
      <c r="G53" s="3">
        <f t="shared" si="10"/>
        <v>342</v>
      </c>
      <c r="H53" s="4">
        <f t="shared" si="11"/>
        <v>0</v>
      </c>
    </row>
    <row r="54" spans="1:8" ht="27.75" customHeight="1">
      <c r="A54" s="10">
        <v>7</v>
      </c>
      <c r="B54" s="11" t="s">
        <v>13</v>
      </c>
      <c r="C54" s="10">
        <v>342</v>
      </c>
      <c r="D54" s="10">
        <v>270</v>
      </c>
      <c r="E54" s="10">
        <v>2025</v>
      </c>
      <c r="F54" s="12" t="s">
        <v>21</v>
      </c>
      <c r="G54" s="3">
        <f t="shared" si="10"/>
        <v>72</v>
      </c>
      <c r="H54" s="4">
        <f t="shared" si="11"/>
        <v>0</v>
      </c>
    </row>
    <row r="55" spans="1:8" ht="27.75" customHeight="1">
      <c r="A55" s="10">
        <v>7</v>
      </c>
      <c r="B55" s="11" t="s">
        <v>22</v>
      </c>
      <c r="C55" s="10">
        <v>342</v>
      </c>
      <c r="D55" s="10">
        <v>0</v>
      </c>
      <c r="E55" s="10">
        <v>2025</v>
      </c>
      <c r="F55" s="12"/>
      <c r="G55" s="3">
        <f t="shared" si="10"/>
        <v>342</v>
      </c>
      <c r="H55" s="4">
        <f t="shared" si="11"/>
        <v>0</v>
      </c>
    </row>
    <row r="56" spans="1:8" ht="39" customHeight="1">
      <c r="A56" s="10">
        <v>7</v>
      </c>
      <c r="B56" s="11" t="s">
        <v>17</v>
      </c>
      <c r="C56" s="10">
        <v>342</v>
      </c>
      <c r="D56" s="10">
        <v>270</v>
      </c>
      <c r="E56" s="10">
        <v>2025</v>
      </c>
      <c r="F56" s="12" t="s">
        <v>21</v>
      </c>
      <c r="G56" s="3">
        <f t="shared" si="10"/>
        <v>72</v>
      </c>
      <c r="H56" s="4">
        <f t="shared" si="11"/>
        <v>0</v>
      </c>
    </row>
    <row r="57" spans="1:8" ht="27.75" customHeight="1">
      <c r="A57" s="10">
        <v>7</v>
      </c>
      <c r="B57" s="11" t="s">
        <v>14</v>
      </c>
      <c r="C57" s="10">
        <v>342</v>
      </c>
      <c r="D57" s="10">
        <v>270</v>
      </c>
      <c r="E57" s="10">
        <v>2025</v>
      </c>
      <c r="F57" s="12" t="s">
        <v>21</v>
      </c>
      <c r="G57" s="3">
        <f t="shared" si="10"/>
        <v>72</v>
      </c>
      <c r="H57" s="4">
        <f t="shared" si="11"/>
        <v>0</v>
      </c>
    </row>
    <row r="58" spans="1:8" ht="27.75" customHeight="1">
      <c r="A58" s="10">
        <v>7</v>
      </c>
      <c r="B58" s="11" t="s">
        <v>18</v>
      </c>
      <c r="C58" s="10">
        <v>342</v>
      </c>
      <c r="D58" s="10">
        <v>270</v>
      </c>
      <c r="E58" s="10">
        <v>2025</v>
      </c>
      <c r="F58" s="12" t="s">
        <v>21</v>
      </c>
      <c r="G58" s="3">
        <f t="shared" si="10"/>
        <v>72</v>
      </c>
      <c r="H58" s="4">
        <f t="shared" si="11"/>
        <v>0</v>
      </c>
    </row>
    <row r="59" spans="1:8" ht="27.75" customHeight="1">
      <c r="A59" s="10">
        <v>7</v>
      </c>
      <c r="B59" s="11" t="s">
        <v>23</v>
      </c>
      <c r="C59" s="10">
        <v>342</v>
      </c>
      <c r="D59" s="10">
        <v>0</v>
      </c>
      <c r="E59" s="10"/>
      <c r="F59" s="12"/>
      <c r="G59" s="3">
        <f t="shared" si="10"/>
        <v>342</v>
      </c>
      <c r="H59" s="4">
        <f t="shared" si="11"/>
        <v>0</v>
      </c>
    </row>
    <row r="60" spans="1:8" ht="27.75" customHeight="1">
      <c r="A60" s="10">
        <v>7</v>
      </c>
      <c r="B60" s="11" t="s">
        <v>20</v>
      </c>
      <c r="C60" s="10">
        <v>342</v>
      </c>
      <c r="D60" s="10">
        <v>0</v>
      </c>
      <c r="E60" s="10"/>
      <c r="F60" s="12"/>
      <c r="G60" s="3">
        <f t="shared" si="10"/>
        <v>342</v>
      </c>
      <c r="H60" s="4">
        <f t="shared" si="11"/>
        <v>0</v>
      </c>
    </row>
    <row r="61" spans="1:8" ht="27.75" customHeight="1">
      <c r="A61" s="7"/>
      <c r="B61" s="7"/>
      <c r="C61" s="8"/>
      <c r="D61" s="8"/>
      <c r="E61" s="8"/>
      <c r="F61" s="7"/>
      <c r="G61" s="7"/>
      <c r="H61" s="7"/>
    </row>
    <row r="62" spans="1:8" ht="27.75" customHeight="1">
      <c r="A62" s="10">
        <v>8</v>
      </c>
      <c r="B62" s="11" t="s">
        <v>15</v>
      </c>
      <c r="C62" s="10">
        <v>292</v>
      </c>
      <c r="D62" s="10">
        <v>0</v>
      </c>
      <c r="E62" s="10"/>
      <c r="F62" s="12"/>
      <c r="G62" s="3">
        <f t="shared" ref="G62:G70" si="12">IF((C62-D62)&lt;0,0,C62-D62)</f>
        <v>292</v>
      </c>
      <c r="H62" s="4">
        <f t="shared" ref="H62:H70" si="13">IF((D62-C62)&lt;0,0,D62-C62)</f>
        <v>0</v>
      </c>
    </row>
    <row r="63" spans="1:8" ht="27.75" customHeight="1">
      <c r="A63" s="10">
        <v>8</v>
      </c>
      <c r="B63" s="11" t="s">
        <v>16</v>
      </c>
      <c r="C63" s="10">
        <v>292</v>
      </c>
      <c r="D63" s="10">
        <v>0</v>
      </c>
      <c r="E63" s="10"/>
      <c r="F63" s="12"/>
      <c r="G63" s="3">
        <f t="shared" si="12"/>
        <v>292</v>
      </c>
      <c r="H63" s="4">
        <f t="shared" si="13"/>
        <v>0</v>
      </c>
    </row>
    <row r="64" spans="1:8" ht="27.75" customHeight="1">
      <c r="A64" s="10">
        <v>8</v>
      </c>
      <c r="B64" s="11" t="s">
        <v>13</v>
      </c>
      <c r="C64" s="10">
        <v>292</v>
      </c>
      <c r="D64" s="10">
        <v>0</v>
      </c>
      <c r="E64" s="10"/>
      <c r="F64" s="12"/>
      <c r="G64" s="3">
        <f t="shared" si="12"/>
        <v>292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292</v>
      </c>
      <c r="D65" s="10">
        <v>0</v>
      </c>
      <c r="E65" s="10"/>
      <c r="F65" s="12"/>
      <c r="G65" s="3">
        <f t="shared" si="12"/>
        <v>292</v>
      </c>
      <c r="H65" s="4">
        <f t="shared" si="13"/>
        <v>0</v>
      </c>
    </row>
    <row r="66" spans="1:8" ht="27.75" customHeight="1">
      <c r="A66" s="10">
        <v>8</v>
      </c>
      <c r="B66" s="11" t="s">
        <v>24</v>
      </c>
      <c r="C66" s="10">
        <v>292</v>
      </c>
      <c r="D66" s="10">
        <v>0</v>
      </c>
      <c r="E66" s="10"/>
      <c r="F66" s="12"/>
      <c r="G66" s="3">
        <f t="shared" si="12"/>
        <v>292</v>
      </c>
      <c r="H66" s="4">
        <f t="shared" si="13"/>
        <v>0</v>
      </c>
    </row>
    <row r="67" spans="1:8" ht="27.75" customHeight="1">
      <c r="A67" s="10">
        <v>8</v>
      </c>
      <c r="B67" s="11" t="s">
        <v>14</v>
      </c>
      <c r="C67" s="10">
        <v>292</v>
      </c>
      <c r="D67" s="10">
        <v>0</v>
      </c>
      <c r="E67" s="10"/>
      <c r="F67" s="12"/>
      <c r="G67" s="3">
        <f t="shared" si="12"/>
        <v>292</v>
      </c>
      <c r="H67" s="4">
        <f t="shared" si="13"/>
        <v>0</v>
      </c>
    </row>
    <row r="68" spans="1:8" ht="27.75" customHeight="1">
      <c r="A68" s="10">
        <v>8</v>
      </c>
      <c r="B68" s="11" t="s">
        <v>18</v>
      </c>
      <c r="C68" s="10">
        <v>292</v>
      </c>
      <c r="D68" s="10">
        <v>0</v>
      </c>
      <c r="E68" s="10"/>
      <c r="F68" s="12"/>
      <c r="G68" s="3">
        <f t="shared" si="12"/>
        <v>292</v>
      </c>
      <c r="H68" s="4">
        <f t="shared" si="13"/>
        <v>0</v>
      </c>
    </row>
    <row r="69" spans="1:8" ht="27.75" customHeight="1">
      <c r="A69" s="10">
        <v>8</v>
      </c>
      <c r="B69" s="11" t="s">
        <v>23</v>
      </c>
      <c r="C69" s="10">
        <v>292</v>
      </c>
      <c r="D69" s="10">
        <v>0</v>
      </c>
      <c r="E69" s="10"/>
      <c r="F69" s="12"/>
      <c r="G69" s="3">
        <f t="shared" si="12"/>
        <v>292</v>
      </c>
      <c r="H69" s="4">
        <f t="shared" si="13"/>
        <v>0</v>
      </c>
    </row>
    <row r="70" spans="1:8" ht="27.75" customHeight="1">
      <c r="A70" s="10">
        <v>8</v>
      </c>
      <c r="B70" s="11" t="s">
        <v>20</v>
      </c>
      <c r="C70" s="10">
        <v>292</v>
      </c>
      <c r="D70" s="10">
        <v>0</v>
      </c>
      <c r="E70" s="10"/>
      <c r="F70" s="12"/>
      <c r="G70" s="3">
        <f t="shared" si="12"/>
        <v>292</v>
      </c>
      <c r="H70" s="4">
        <f t="shared" si="13"/>
        <v>0</v>
      </c>
    </row>
    <row r="71" spans="1:8" ht="27.75" customHeight="1">
      <c r="A71" s="7"/>
      <c r="B71" s="7"/>
      <c r="C71" s="8"/>
      <c r="D71" s="8"/>
      <c r="E71" s="8"/>
      <c r="F71" s="7"/>
      <c r="G71" s="7"/>
      <c r="H71" s="7"/>
    </row>
    <row r="72" spans="1:8" ht="27.75" customHeight="1">
      <c r="A72" s="10">
        <v>9</v>
      </c>
      <c r="B72" s="11" t="s">
        <v>15</v>
      </c>
      <c r="C72" s="10">
        <v>263</v>
      </c>
      <c r="D72" s="10">
        <v>0</v>
      </c>
      <c r="E72" s="10"/>
      <c r="F72" s="12"/>
      <c r="G72" s="3">
        <f t="shared" ref="G72:G80" si="14">IF((C72-D72)&lt;0,0,C72-D72)</f>
        <v>263</v>
      </c>
      <c r="H72" s="4">
        <f t="shared" ref="H72:H80" si="15">IF((D72-C72)&lt;0,0,D72-C72)</f>
        <v>0</v>
      </c>
    </row>
    <row r="73" spans="1:8" ht="27.75" customHeight="1">
      <c r="A73" s="10">
        <v>9</v>
      </c>
      <c r="B73" s="11" t="s">
        <v>16</v>
      </c>
      <c r="C73" s="10">
        <v>263</v>
      </c>
      <c r="D73" s="10">
        <v>0</v>
      </c>
      <c r="E73" s="10"/>
      <c r="F73" s="12"/>
      <c r="G73" s="3">
        <f t="shared" si="14"/>
        <v>263</v>
      </c>
      <c r="H73" s="4">
        <f t="shared" si="15"/>
        <v>0</v>
      </c>
    </row>
    <row r="74" spans="1:8" ht="27.75" customHeight="1">
      <c r="A74" s="10">
        <v>9</v>
      </c>
      <c r="B74" s="11" t="s">
        <v>13</v>
      </c>
      <c r="C74" s="10">
        <v>263</v>
      </c>
      <c r="D74" s="10">
        <v>0</v>
      </c>
      <c r="E74" s="10"/>
      <c r="F74" s="12"/>
      <c r="G74" s="3">
        <f t="shared" si="14"/>
        <v>263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263</v>
      </c>
      <c r="D75" s="10">
        <v>0</v>
      </c>
      <c r="E75" s="10"/>
      <c r="F75" s="12"/>
      <c r="G75" s="3">
        <f t="shared" si="14"/>
        <v>263</v>
      </c>
      <c r="H75" s="4">
        <f t="shared" si="15"/>
        <v>0</v>
      </c>
    </row>
    <row r="76" spans="1:8" ht="27.75" customHeight="1">
      <c r="A76" s="10">
        <v>9</v>
      </c>
      <c r="B76" s="11" t="s">
        <v>24</v>
      </c>
      <c r="C76" s="10">
        <v>263</v>
      </c>
      <c r="D76" s="10">
        <v>0</v>
      </c>
      <c r="E76" s="10"/>
      <c r="F76" s="12"/>
      <c r="G76" s="3">
        <f t="shared" si="14"/>
        <v>263</v>
      </c>
      <c r="H76" s="4">
        <f t="shared" si="15"/>
        <v>0</v>
      </c>
    </row>
    <row r="77" spans="1:8" ht="27.75" customHeight="1">
      <c r="A77" s="10">
        <v>9</v>
      </c>
      <c r="B77" s="11" t="s">
        <v>14</v>
      </c>
      <c r="C77" s="10">
        <v>263</v>
      </c>
      <c r="D77" s="10">
        <v>0</v>
      </c>
      <c r="E77" s="10"/>
      <c r="F77" s="12"/>
      <c r="G77" s="3">
        <f t="shared" si="14"/>
        <v>263</v>
      </c>
      <c r="H77" s="4">
        <f t="shared" si="15"/>
        <v>0</v>
      </c>
    </row>
    <row r="78" spans="1:8" ht="27.75" customHeight="1">
      <c r="A78" s="10">
        <v>9</v>
      </c>
      <c r="B78" s="11" t="s">
        <v>18</v>
      </c>
      <c r="C78" s="10">
        <v>263</v>
      </c>
      <c r="D78" s="10">
        <v>0</v>
      </c>
      <c r="E78" s="10"/>
      <c r="F78" s="12"/>
      <c r="G78" s="3">
        <f t="shared" si="14"/>
        <v>263</v>
      </c>
      <c r="H78" s="4">
        <f t="shared" si="15"/>
        <v>0</v>
      </c>
    </row>
    <row r="79" spans="1:8" ht="27.75" customHeight="1">
      <c r="A79" s="10">
        <v>9</v>
      </c>
      <c r="B79" s="11" t="s">
        <v>23</v>
      </c>
      <c r="C79" s="10">
        <v>263</v>
      </c>
      <c r="D79" s="10">
        <v>0</v>
      </c>
      <c r="E79" s="10"/>
      <c r="F79" s="12"/>
      <c r="G79" s="3">
        <f t="shared" si="14"/>
        <v>263</v>
      </c>
      <c r="H79" s="4">
        <f t="shared" si="15"/>
        <v>0</v>
      </c>
    </row>
    <row r="80" spans="1:8" ht="27.75" customHeight="1">
      <c r="A80" s="10">
        <v>9</v>
      </c>
      <c r="B80" s="11" t="s">
        <v>20</v>
      </c>
      <c r="C80" s="10">
        <v>263</v>
      </c>
      <c r="D80" s="10">
        <v>0</v>
      </c>
      <c r="E80" s="10"/>
      <c r="F80" s="12"/>
      <c r="G80" s="3">
        <f t="shared" si="14"/>
        <v>263</v>
      </c>
      <c r="H80" s="4">
        <f t="shared" si="15"/>
        <v>0</v>
      </c>
    </row>
    <row r="81" spans="1:8" ht="27.75" customHeight="1">
      <c r="A81" s="7"/>
      <c r="B81" s="8"/>
      <c r="C81" s="8"/>
      <c r="D81" s="8"/>
      <c r="E81" s="8"/>
      <c r="F81" s="7"/>
      <c r="G81" s="7"/>
      <c r="H81" s="7"/>
    </row>
    <row r="82" spans="1:8" ht="27.75" customHeight="1">
      <c r="A82" s="10">
        <v>10</v>
      </c>
      <c r="B82" s="11" t="s">
        <v>15</v>
      </c>
      <c r="C82" s="10">
        <v>310</v>
      </c>
      <c r="D82" s="10">
        <v>0</v>
      </c>
      <c r="E82" s="10"/>
      <c r="F82" s="12"/>
      <c r="G82" s="3">
        <f t="shared" ref="G82:G90" si="16">IF((C82-D82)&lt;0,0,C82-D82)</f>
        <v>310</v>
      </c>
      <c r="H82" s="4">
        <f t="shared" ref="H82:H90" si="17">IF((D82-C82)&lt;0,0,D82-C82)</f>
        <v>0</v>
      </c>
    </row>
    <row r="83" spans="1:8" ht="27.75" customHeight="1">
      <c r="A83" s="10">
        <v>10</v>
      </c>
      <c r="B83" s="11" t="s">
        <v>16</v>
      </c>
      <c r="C83" s="10">
        <v>310</v>
      </c>
      <c r="D83" s="10">
        <v>0</v>
      </c>
      <c r="E83" s="10"/>
      <c r="F83" s="12"/>
      <c r="G83" s="3">
        <f t="shared" si="16"/>
        <v>310</v>
      </c>
      <c r="H83" s="4">
        <f t="shared" si="17"/>
        <v>0</v>
      </c>
    </row>
    <row r="84" spans="1:8" ht="27.75" customHeight="1">
      <c r="A84" s="10">
        <v>10</v>
      </c>
      <c r="B84" s="11" t="s">
        <v>13</v>
      </c>
      <c r="C84" s="10">
        <v>310</v>
      </c>
      <c r="D84" s="10">
        <v>0</v>
      </c>
      <c r="E84" s="10"/>
      <c r="F84" s="12"/>
      <c r="G84" s="3">
        <f t="shared" si="16"/>
        <v>310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310</v>
      </c>
      <c r="D85" s="10">
        <v>0</v>
      </c>
      <c r="E85" s="10"/>
      <c r="F85" s="12"/>
      <c r="G85" s="3">
        <f t="shared" si="16"/>
        <v>310</v>
      </c>
      <c r="H85" s="4">
        <f t="shared" si="17"/>
        <v>0</v>
      </c>
    </row>
    <row r="86" spans="1:8" ht="27.75" customHeight="1">
      <c r="A86" s="10">
        <v>10</v>
      </c>
      <c r="B86" s="11" t="s">
        <v>24</v>
      </c>
      <c r="C86" s="10">
        <v>310</v>
      </c>
      <c r="D86" s="10">
        <v>0</v>
      </c>
      <c r="E86" s="10"/>
      <c r="F86" s="12"/>
      <c r="G86" s="3">
        <f t="shared" si="16"/>
        <v>310</v>
      </c>
      <c r="H86" s="4">
        <f t="shared" si="17"/>
        <v>0</v>
      </c>
    </row>
    <row r="87" spans="1:8" ht="27.75" customHeight="1">
      <c r="A87" s="10">
        <v>10</v>
      </c>
      <c r="B87" s="11" t="s">
        <v>14</v>
      </c>
      <c r="C87" s="10">
        <v>310</v>
      </c>
      <c r="D87" s="10">
        <v>0</v>
      </c>
      <c r="E87" s="10"/>
      <c r="F87" s="12"/>
      <c r="G87" s="3">
        <f t="shared" si="16"/>
        <v>310</v>
      </c>
      <c r="H87" s="4">
        <f t="shared" si="17"/>
        <v>0</v>
      </c>
    </row>
    <row r="88" spans="1:8" ht="27.75" customHeight="1">
      <c r="A88" s="10">
        <v>10</v>
      </c>
      <c r="B88" s="11" t="s">
        <v>18</v>
      </c>
      <c r="C88" s="10">
        <v>310</v>
      </c>
      <c r="D88" s="10">
        <v>0</v>
      </c>
      <c r="E88" s="10"/>
      <c r="F88" s="12"/>
      <c r="G88" s="3">
        <f t="shared" si="16"/>
        <v>310</v>
      </c>
      <c r="H88" s="4">
        <f t="shared" si="17"/>
        <v>0</v>
      </c>
    </row>
    <row r="89" spans="1:8" ht="27.75" customHeight="1">
      <c r="A89" s="10">
        <v>10</v>
      </c>
      <c r="B89" s="11" t="s">
        <v>23</v>
      </c>
      <c r="C89" s="10">
        <v>310</v>
      </c>
      <c r="D89" s="10">
        <v>0</v>
      </c>
      <c r="E89" s="10"/>
      <c r="F89" s="12"/>
      <c r="G89" s="3">
        <f t="shared" si="16"/>
        <v>310</v>
      </c>
      <c r="H89" s="4">
        <f t="shared" si="17"/>
        <v>0</v>
      </c>
    </row>
    <row r="90" spans="1:8" ht="27.75" customHeight="1">
      <c r="A90" s="10">
        <v>10</v>
      </c>
      <c r="B90" s="11" t="s">
        <v>20</v>
      </c>
      <c r="C90" s="10">
        <v>310</v>
      </c>
      <c r="D90" s="10">
        <v>0</v>
      </c>
      <c r="E90" s="10"/>
      <c r="F90" s="12"/>
      <c r="G90" s="3">
        <f t="shared" si="16"/>
        <v>310</v>
      </c>
      <c r="H90" s="4">
        <f t="shared" si="17"/>
        <v>0</v>
      </c>
    </row>
    <row r="91" spans="1:8" ht="27.75" customHeight="1">
      <c r="A91" s="7"/>
      <c r="B91" s="7"/>
      <c r="C91" s="8"/>
      <c r="D91" s="8"/>
      <c r="E91" s="8"/>
      <c r="F91" s="7"/>
      <c r="G91" s="7"/>
      <c r="H91" s="7"/>
    </row>
    <row r="92" spans="1:8" ht="39.75" customHeight="1">
      <c r="A92" s="1" t="s">
        <v>25</v>
      </c>
      <c r="B92" s="9" t="s">
        <v>26</v>
      </c>
      <c r="C92" s="1">
        <v>285</v>
      </c>
      <c r="D92" s="1">
        <v>287</v>
      </c>
      <c r="E92" s="1">
        <v>2025</v>
      </c>
      <c r="F92" s="5" t="s">
        <v>21</v>
      </c>
      <c r="G92" s="3">
        <f t="shared" ref="G92:G99" si="18">IF((C92-D92)&lt;0,0,C92-D92)</f>
        <v>0</v>
      </c>
      <c r="H92" s="4">
        <f t="shared" ref="H92:H99" si="19">IF((D92-C92)&lt;0,0,D92-C92)</f>
        <v>2</v>
      </c>
    </row>
    <row r="93" spans="1:8" ht="27.75" customHeight="1">
      <c r="A93" s="1" t="s">
        <v>25</v>
      </c>
      <c r="B93" s="9" t="s">
        <v>27</v>
      </c>
      <c r="C93" s="1">
        <v>285</v>
      </c>
      <c r="D93" s="1">
        <v>287</v>
      </c>
      <c r="E93" s="1">
        <v>2025</v>
      </c>
      <c r="F93" s="5" t="s">
        <v>21</v>
      </c>
      <c r="G93" s="3">
        <f t="shared" si="18"/>
        <v>0</v>
      </c>
      <c r="H93" s="4">
        <f t="shared" si="19"/>
        <v>2</v>
      </c>
    </row>
    <row r="94" spans="1:8" ht="27.75" customHeight="1">
      <c r="A94" s="1" t="s">
        <v>25</v>
      </c>
      <c r="B94" s="9" t="s">
        <v>28</v>
      </c>
      <c r="C94" s="1">
        <v>285</v>
      </c>
      <c r="D94" s="1">
        <v>287</v>
      </c>
      <c r="E94" s="1">
        <v>2025</v>
      </c>
      <c r="F94" s="5" t="s">
        <v>21</v>
      </c>
      <c r="G94" s="3">
        <f t="shared" si="18"/>
        <v>0</v>
      </c>
      <c r="H94" s="4">
        <f t="shared" si="19"/>
        <v>2</v>
      </c>
    </row>
    <row r="95" spans="1:8" ht="27.75" customHeight="1">
      <c r="A95" s="1" t="s">
        <v>25</v>
      </c>
      <c r="B95" s="9" t="s">
        <v>29</v>
      </c>
      <c r="C95" s="1">
        <v>285</v>
      </c>
      <c r="D95" s="1">
        <v>287</v>
      </c>
      <c r="E95" s="1">
        <v>2025</v>
      </c>
      <c r="F95" s="5" t="s">
        <v>21</v>
      </c>
      <c r="G95" s="3">
        <f t="shared" si="18"/>
        <v>0</v>
      </c>
      <c r="H95" s="4">
        <f t="shared" si="19"/>
        <v>2</v>
      </c>
    </row>
    <row r="96" spans="1:8" ht="40.5" customHeight="1">
      <c r="A96" s="1" t="s">
        <v>25</v>
      </c>
      <c r="B96" s="9" t="s">
        <v>30</v>
      </c>
      <c r="C96" s="1">
        <v>285</v>
      </c>
      <c r="D96" s="1">
        <v>287</v>
      </c>
      <c r="E96" s="1">
        <v>2025</v>
      </c>
      <c r="F96" s="5" t="s">
        <v>21</v>
      </c>
      <c r="G96" s="3">
        <f t="shared" si="18"/>
        <v>0</v>
      </c>
      <c r="H96" s="4">
        <f t="shared" si="19"/>
        <v>2</v>
      </c>
    </row>
    <row r="97" spans="1:8" ht="38.25" customHeight="1">
      <c r="A97" s="1" t="s">
        <v>25</v>
      </c>
      <c r="B97" s="9" t="s">
        <v>31</v>
      </c>
      <c r="C97" s="1">
        <v>285</v>
      </c>
      <c r="D97" s="1">
        <v>287</v>
      </c>
      <c r="E97" s="1">
        <v>2025</v>
      </c>
      <c r="F97" s="5" t="s">
        <v>21</v>
      </c>
      <c r="G97" s="3">
        <f t="shared" si="18"/>
        <v>0</v>
      </c>
      <c r="H97" s="4">
        <f t="shared" si="19"/>
        <v>2</v>
      </c>
    </row>
    <row r="98" spans="1:8" ht="27.75" customHeight="1">
      <c r="A98" s="29" t="s">
        <v>25</v>
      </c>
      <c r="B98" s="30" t="s">
        <v>32</v>
      </c>
      <c r="C98" s="29">
        <v>285</v>
      </c>
      <c r="D98" s="29">
        <v>287</v>
      </c>
      <c r="E98" s="29">
        <v>2025</v>
      </c>
      <c r="F98" s="31" t="s">
        <v>21</v>
      </c>
      <c r="G98" s="42">
        <f t="shared" si="18"/>
        <v>0</v>
      </c>
      <c r="H98" s="43">
        <f t="shared" si="19"/>
        <v>2</v>
      </c>
    </row>
    <row r="99" spans="1:8" ht="47.25" customHeight="1">
      <c r="A99" s="1" t="s">
        <v>25</v>
      </c>
      <c r="B99" s="9" t="s">
        <v>33</v>
      </c>
      <c r="C99" s="1">
        <v>285</v>
      </c>
      <c r="D99" s="1">
        <v>287</v>
      </c>
      <c r="E99" s="1">
        <v>2025</v>
      </c>
      <c r="F99" s="1" t="s">
        <v>21</v>
      </c>
      <c r="G99" s="3">
        <f t="shared" si="18"/>
        <v>0</v>
      </c>
      <c r="H99" s="3">
        <f t="shared" si="19"/>
        <v>2</v>
      </c>
    </row>
    <row r="102" spans="1:8" ht="19.5">
      <c r="B102" s="47" t="s">
        <v>34</v>
      </c>
      <c r="C102" s="47"/>
      <c r="D102" s="47"/>
    </row>
    <row r="103" spans="1:8" ht="19.5">
      <c r="B103" s="48"/>
      <c r="C103" s="47"/>
      <c r="D103" s="48"/>
    </row>
    <row r="104" spans="1:8" ht="19.5">
      <c r="B104" s="48" t="s">
        <v>35</v>
      </c>
      <c r="C104" s="47"/>
      <c r="D104" s="48" t="s">
        <v>36</v>
      </c>
    </row>
    <row r="105" spans="1:8" ht="19.5">
      <c r="B105" s="47" t="s">
        <v>37</v>
      </c>
      <c r="C105" s="47"/>
      <c r="D105" s="47" t="s">
        <v>38</v>
      </c>
    </row>
    <row r="106" spans="1:8" ht="19.5">
      <c r="B106" s="47"/>
      <c r="C106" s="47"/>
      <c r="D106" s="47"/>
    </row>
    <row r="107" spans="1:8" ht="15"/>
    <row r="108" spans="1:8" ht="15"/>
    <row r="109" spans="1:8" ht="19.5">
      <c r="B109" s="47" t="s">
        <v>39</v>
      </c>
      <c r="C109" s="47"/>
      <c r="D109" s="47" t="s">
        <v>40</v>
      </c>
    </row>
    <row r="110" spans="1:8" ht="19.5">
      <c r="B110" s="47"/>
      <c r="C110" s="47"/>
      <c r="D110" s="47"/>
    </row>
    <row r="111" spans="1:8" ht="19.5">
      <c r="B111" s="48" t="s">
        <v>41</v>
      </c>
      <c r="C111" s="47"/>
      <c r="D111" s="48" t="s">
        <v>42</v>
      </c>
    </row>
    <row r="112" spans="1:8" ht="19.5">
      <c r="B112" s="47" t="s">
        <v>43</v>
      </c>
      <c r="C112" s="47"/>
      <c r="D112" s="47" t="s">
        <v>44</v>
      </c>
    </row>
  </sheetData>
  <protectedRanges>
    <protectedRange sqref="C2:E51 C61:E61 D52:E60 C71:E71 D62:E70 C81:E81 D72:E80 D82:E90 C91:E99" name="Textbooks"/>
    <protectedRange sqref="F2:F99" name="SOURCE"/>
    <protectedRange sqref="C52:C60" name="Textbooks_2"/>
    <protectedRange sqref="C62:C70" name="Textbooks_3"/>
    <protectedRange sqref="C72:C80" name="Textbooks_4"/>
    <protectedRange sqref="C82:C90" name="Textbooks_5"/>
  </protectedRanges>
  <mergeCells count="1">
    <mergeCell ref="A1:H1"/>
  </mergeCells>
  <phoneticPr fontId="8" type="noConversion"/>
  <dataValidations count="3">
    <dataValidation type="list" allowBlank="1" showInputMessage="1" showErrorMessage="1" sqref="E15:E20 E22:E30 E32:E40 E3:E7 E9:E13 E42:E50" xr:uid="{B46E7B13-721E-4D49-837E-C02BF9777D48}">
      <formula1>"2024,2025"</formula1>
    </dataValidation>
    <dataValidation type="list" allowBlank="1" showInputMessage="1" showErrorMessage="1" sqref="F15:F20 F22:F30 F32:F40 F42:F50 F52:F60 F62:F70 F72:F80 F82:F90 F3:F7 F9:F13 F92:F99" xr:uid="{2F7388E0-D1A1-4571-8C10-96CB9A727EB3}">
      <formula1>"CO,RO,SDO"</formula1>
    </dataValidation>
    <dataValidation type="list" allowBlank="1" showInputMessage="1" showErrorMessage="1" sqref="E92:E99 E82:E90 E72:E80 E62:E70 E52:E60" xr:uid="{8240E74A-CB6A-4C0D-9BA2-8C5FD1606948}">
      <formula1>"2024,2025,2026"</formula1>
    </dataValidation>
  </dataValidations>
  <pageMargins left="0.25" right="0.25" top="0.75" bottom="0.75" header="0.3" footer="0.3"/>
  <pageSetup paperSize="5"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9"/>
  <sheetViews>
    <sheetView zoomScale="70" zoomScaleNormal="70" workbookViewId="0">
      <pane ySplit="3" topLeftCell="I80" activePane="bottomLeft" state="frozen"/>
      <selection pane="bottomLeft" activeCell="X111" sqref="X1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ht="13.5" customHeight="1">
      <c r="A1" s="66" t="s">
        <v>45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s="28" customFormat="1" ht="21.75" customHeight="1">
      <c r="D2" s="67" t="s">
        <v>46</v>
      </c>
      <c r="E2" s="67"/>
      <c r="F2" s="67"/>
      <c r="G2" s="67"/>
      <c r="H2" s="67"/>
      <c r="I2" s="67"/>
      <c r="J2" s="68" t="s">
        <v>47</v>
      </c>
      <c r="K2" s="68"/>
      <c r="L2" s="68"/>
      <c r="M2" s="68"/>
      <c r="N2" s="68"/>
      <c r="O2" s="68"/>
      <c r="P2" s="69" t="s">
        <v>48</v>
      </c>
      <c r="Q2" s="69"/>
      <c r="R2" s="69"/>
      <c r="S2" s="69"/>
      <c r="T2" s="69"/>
      <c r="U2" s="69"/>
      <c r="V2" s="70" t="s">
        <v>49</v>
      </c>
      <c r="W2" s="70"/>
      <c r="X2" s="70"/>
      <c r="Y2" s="70"/>
      <c r="Z2" s="70"/>
      <c r="AA2" s="70"/>
    </row>
    <row r="3" spans="1:27" ht="69.599999999999994" customHeight="1">
      <c r="A3" s="15" t="s">
        <v>1</v>
      </c>
      <c r="B3" s="15" t="s">
        <v>2</v>
      </c>
      <c r="C3" s="16" t="s">
        <v>3</v>
      </c>
      <c r="D3" s="20" t="s">
        <v>50</v>
      </c>
      <c r="E3" s="20" t="s">
        <v>51</v>
      </c>
      <c r="F3" s="21" t="s">
        <v>52</v>
      </c>
      <c r="G3" s="24" t="s">
        <v>53</v>
      </c>
      <c r="H3" s="17" t="s">
        <v>54</v>
      </c>
      <c r="I3" s="24" t="s">
        <v>55</v>
      </c>
      <c r="J3" s="22" t="s">
        <v>56</v>
      </c>
      <c r="K3" s="22" t="s">
        <v>57</v>
      </c>
      <c r="L3" s="23" t="s">
        <v>58</v>
      </c>
      <c r="M3" s="40" t="s">
        <v>59</v>
      </c>
      <c r="N3" s="40" t="s">
        <v>60</v>
      </c>
      <c r="O3" s="22" t="s">
        <v>61</v>
      </c>
      <c r="P3" s="24" t="s">
        <v>62</v>
      </c>
      <c r="Q3" s="24" t="s">
        <v>63</v>
      </c>
      <c r="R3" s="25" t="s">
        <v>64</v>
      </c>
      <c r="S3" s="17" t="s">
        <v>65</v>
      </c>
      <c r="T3" s="17" t="s">
        <v>66</v>
      </c>
      <c r="U3" s="24" t="s">
        <v>67</v>
      </c>
      <c r="V3" s="26" t="s">
        <v>68</v>
      </c>
      <c r="W3" s="26" t="s">
        <v>69</v>
      </c>
      <c r="X3" s="27" t="s">
        <v>70</v>
      </c>
      <c r="Y3" s="41" t="s">
        <v>71</v>
      </c>
      <c r="Z3" s="41" t="s">
        <v>72</v>
      </c>
      <c r="AA3" s="26" t="s">
        <v>73</v>
      </c>
    </row>
    <row r="4" spans="1:27" ht="30.6" customHeight="1">
      <c r="A4" s="39" t="s">
        <v>74</v>
      </c>
      <c r="B4" s="33"/>
      <c r="C4" s="32"/>
      <c r="D4" s="34">
        <f>Table1[[#This Row],[Enrolment S.Y. 2025-2026 ]]*8</f>
        <v>0</v>
      </c>
      <c r="E4" s="34"/>
      <c r="F4" s="32"/>
      <c r="G4" s="34"/>
      <c r="H4" s="34">
        <f>IF((D4-E4)&lt;0,0,(D4-E4))</f>
        <v>0</v>
      </c>
      <c r="I4" s="34">
        <f>IF((E4-D4)&lt;0,0,(E4-D4))</f>
        <v>0</v>
      </c>
      <c r="J4" s="34">
        <f>Table1[[#This Row],[Enrolment S.Y. 2025-2026 ]]*8</f>
        <v>0</v>
      </c>
      <c r="K4" s="34"/>
      <c r="L4" s="32"/>
      <c r="M4" s="34"/>
      <c r="N4" s="5">
        <f t="shared" ref="N4" si="0">IF((J4-K4)&lt;0,0,(J4-K4))</f>
        <v>0</v>
      </c>
      <c r="O4" s="5">
        <f t="shared" ref="O4" si="1">IF((K4-J4)&lt;0,0,(K4-J4))</f>
        <v>0</v>
      </c>
      <c r="P4" s="5">
        <f>Table1[[#This Row],[Enrolment S.Y. 2025-2026 ]]*8</f>
        <v>0</v>
      </c>
      <c r="Q4" s="34"/>
      <c r="R4" s="32"/>
      <c r="S4" s="34"/>
      <c r="T4" s="34">
        <f>IF((P4-Q4)&lt;0,0,(P4-Q4))</f>
        <v>0</v>
      </c>
      <c r="U4" s="34">
        <f>IF((Q4-P4)&lt;0,0,(Q4-P4))</f>
        <v>0</v>
      </c>
      <c r="V4" s="34">
        <f>Table1[[#This Row],[Enrolment S.Y. 2025-2026 ]]*8</f>
        <v>0</v>
      </c>
      <c r="W4" s="34"/>
      <c r="X4" s="32"/>
      <c r="Y4" s="34"/>
      <c r="Z4" s="34">
        <f>IF((V4-W4)&lt;0,0,(V4-W4))</f>
        <v>0</v>
      </c>
      <c r="AA4" s="34">
        <f>IF((W4-V4)&lt;0,0,(W4-V4))</f>
        <v>0</v>
      </c>
    </row>
    <row r="5" spans="1:27" s="7" customFormat="1" ht="19.149999999999999">
      <c r="J5" s="13"/>
      <c r="N5" s="13"/>
      <c r="O5" s="13"/>
      <c r="P5" s="13"/>
      <c r="S5" s="5"/>
      <c r="T5" s="13"/>
      <c r="U5" s="13"/>
      <c r="V5" s="13"/>
      <c r="Z5" s="13"/>
      <c r="AA5" s="13"/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ref="H6:H78" si="2">IF((D6-E6)&lt;0,0,(D6-E6))</f>
        <v>0</v>
      </c>
      <c r="I6" s="5">
        <f t="shared" ref="I6:I78" si="3">IF((E6-D6)&lt;0,0,(E6-D6))</f>
        <v>0</v>
      </c>
      <c r="J6" s="5">
        <f>Table1[[#This Row],[Enrolment S.Y. 2025-2026 ]]*8</f>
        <v>0</v>
      </c>
      <c r="K6" s="5"/>
      <c r="L6" s="1"/>
      <c r="M6" s="5"/>
      <c r="N6" s="5">
        <f t="shared" ref="N6" si="4">IF((J6-K6)&lt;0,0,(J6-K6))</f>
        <v>0</v>
      </c>
      <c r="O6" s="5">
        <f t="shared" ref="O6" si="5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" si="6">IF((P6-Q6)&lt;0,0,(P6-Q6))</f>
        <v>0</v>
      </c>
      <c r="U6" s="5">
        <f t="shared" ref="U6" si="7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" si="8">IF((V6-W6)&lt;0,0,(V6-W6))</f>
        <v>0</v>
      </c>
      <c r="AA6" s="5">
        <f t="shared" ref="AA6" si="9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ref="N7:N70" si="10">IF((J7-K7)&lt;0,0,(J7-K7))</f>
        <v>0</v>
      </c>
      <c r="O7" s="5">
        <f t="shared" ref="O7:O70" si="11">IF((K7-J7)&lt;0,0,(K7-J7))</f>
        <v>0</v>
      </c>
      <c r="P7" s="5">
        <f>Table1[[#This Row],[Enrolment S.Y. 2025-2026 ]]*8</f>
        <v>0</v>
      </c>
      <c r="Q7" s="5"/>
      <c r="R7" s="1"/>
      <c r="S7" s="5"/>
      <c r="T7" s="5">
        <f t="shared" ref="T7:T70" si="12">IF((P7-Q7)&lt;0,0,(P7-Q7))</f>
        <v>0</v>
      </c>
      <c r="U7" s="5">
        <f t="shared" ref="U7:U70" si="13">IF((Q7-P7)&lt;0,0,(Q7-P7))</f>
        <v>0</v>
      </c>
      <c r="V7" s="5">
        <f>Table1[[#This Row],[Enrolment S.Y. 2025-2026 ]]*8</f>
        <v>0</v>
      </c>
      <c r="W7" s="5"/>
      <c r="X7" s="1"/>
      <c r="Y7" s="5"/>
      <c r="Z7" s="5">
        <f t="shared" ref="Z7:Z70" si="14">IF((V7-W7)&lt;0,0,(V7-W7))</f>
        <v>0</v>
      </c>
      <c r="AA7" s="5">
        <f t="shared" ref="AA7:AA70" si="15">IF((W7-V7)&lt;0,0,(W7-V7))</f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2" t="s">
        <v>13</v>
      </c>
      <c r="C10" s="1"/>
      <c r="D10" s="5">
        <f>Table1[[#This Row],[Enrolment S.Y. 2025-2026 ]]*8</f>
        <v>0</v>
      </c>
      <c r="E10" s="5"/>
      <c r="F10" s="1"/>
      <c r="G10" s="5"/>
      <c r="H10" s="5">
        <f t="shared" si="2"/>
        <v>0</v>
      </c>
      <c r="I10" s="5">
        <f t="shared" si="3"/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16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ht="19.149999999999999">
      <c r="A13" s="1">
        <v>1</v>
      </c>
      <c r="B13" s="9" t="s">
        <v>75</v>
      </c>
      <c r="C13" s="1"/>
      <c r="D13" s="5">
        <f>Table1[[#This Row],[Enrolment S.Y. 2025-2026 ]]*8</f>
        <v>0</v>
      </c>
      <c r="E13" s="5"/>
      <c r="F13" s="1"/>
      <c r="G13" s="5"/>
      <c r="H13" s="5">
        <f>IF((D13-E13)&lt;0,0,(D13-E13))</f>
        <v>0</v>
      </c>
      <c r="I13" s="5">
        <f>IF((E13-D13)&lt;0,0,(E13-D13))</f>
        <v>0</v>
      </c>
      <c r="J13" s="5">
        <f>Table1[[#This Row],[Enrolment S.Y. 2025-2026 ]]*8</f>
        <v>0</v>
      </c>
      <c r="K13" s="5"/>
      <c r="L13" s="1"/>
      <c r="M13" s="5"/>
      <c r="N13" s="5">
        <f t="shared" si="10"/>
        <v>0</v>
      </c>
      <c r="O13" s="5">
        <f t="shared" si="11"/>
        <v>0</v>
      </c>
      <c r="P13" s="5">
        <f>Table1[[#This Row],[Enrolment S.Y. 2025-2026 ]]*8</f>
        <v>0</v>
      </c>
      <c r="Q13" s="5"/>
      <c r="R13" s="1"/>
      <c r="S13" s="5"/>
      <c r="T13" s="5">
        <f t="shared" si="12"/>
        <v>0</v>
      </c>
      <c r="U13" s="5">
        <f t="shared" si="13"/>
        <v>0</v>
      </c>
      <c r="V13" s="5">
        <f>Table1[[#This Row],[Enrolment S.Y. 2025-2026 ]]*8</f>
        <v>0</v>
      </c>
      <c r="W13" s="5"/>
      <c r="X13" s="1"/>
      <c r="Y13" s="5"/>
      <c r="Z13" s="5">
        <f t="shared" si="14"/>
        <v>0</v>
      </c>
      <c r="AA13" s="5">
        <f t="shared" si="15"/>
        <v>0</v>
      </c>
    </row>
    <row r="14" spans="1:27" s="7" customFormat="1" ht="19.149999999999999">
      <c r="J14" s="13"/>
      <c r="N14" s="13"/>
      <c r="O14" s="13"/>
      <c r="P14" s="13"/>
      <c r="S14" s="5"/>
      <c r="T14" s="13"/>
      <c r="U14" s="13"/>
      <c r="V14" s="13"/>
      <c r="Y14" s="13"/>
      <c r="Z14" s="13"/>
      <c r="AA14" s="13"/>
    </row>
    <row r="15" spans="1:27" ht="38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2" t="s">
        <v>13</v>
      </c>
      <c r="C19" s="1"/>
      <c r="D19" s="5">
        <f>Table1[[#This Row],[Enrolment S.Y. 2025-2026 ]]*8</f>
        <v>0</v>
      </c>
      <c r="E19" s="5"/>
      <c r="F19" s="1"/>
      <c r="G19" s="5"/>
      <c r="H19" s="5">
        <f t="shared" si="2"/>
        <v>0</v>
      </c>
      <c r="I19" s="5">
        <f t="shared" si="3"/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15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ht="19.149999999999999">
      <c r="A22" s="1">
        <v>2</v>
      </c>
      <c r="B22" s="9" t="s">
        <v>75</v>
      </c>
      <c r="C22" s="1"/>
      <c r="D22" s="5">
        <f>Table1[[#This Row],[Enrolment S.Y. 2025-2026 ]]*8</f>
        <v>0</v>
      </c>
      <c r="E22" s="5"/>
      <c r="F22" s="1"/>
      <c r="G22" s="5"/>
      <c r="H22" s="5">
        <f>IF((D22-E22)&lt;0,0,(D22-E22))</f>
        <v>0</v>
      </c>
      <c r="I22" s="5">
        <f>IF((E22-D22)&lt;0,0,(E22-D22))</f>
        <v>0</v>
      </c>
      <c r="J22" s="5">
        <f>Table1[[#This Row],[Enrolment S.Y. 2025-2026 ]]*8</f>
        <v>0</v>
      </c>
      <c r="K22" s="5"/>
      <c r="L22" s="1"/>
      <c r="M22" s="5"/>
      <c r="N22" s="5">
        <f t="shared" si="10"/>
        <v>0</v>
      </c>
      <c r="O22" s="5">
        <f t="shared" si="11"/>
        <v>0</v>
      </c>
      <c r="P22" s="5">
        <f>Table1[[#This Row],[Enrolment S.Y. 2025-2026 ]]*8</f>
        <v>0</v>
      </c>
      <c r="Q22" s="5"/>
      <c r="R22" s="1"/>
      <c r="S22" s="5"/>
      <c r="T22" s="5">
        <f t="shared" si="12"/>
        <v>0</v>
      </c>
      <c r="U22" s="5">
        <f t="shared" si="13"/>
        <v>0</v>
      </c>
      <c r="V22" s="5">
        <f>Table1[[#This Row],[Enrolment S.Y. 2025-2026 ]]*8</f>
        <v>0</v>
      </c>
      <c r="W22" s="5"/>
      <c r="X22" s="1"/>
      <c r="Y22" s="5"/>
      <c r="Z22" s="5">
        <f t="shared" si="14"/>
        <v>0</v>
      </c>
      <c r="AA22" s="5">
        <f t="shared" si="15"/>
        <v>0</v>
      </c>
    </row>
    <row r="23" spans="1:27" s="7" customFormat="1" ht="19.149999999999999">
      <c r="J23" s="13"/>
      <c r="M23" s="5"/>
      <c r="N23" s="13"/>
      <c r="O23" s="13"/>
      <c r="P23" s="13"/>
      <c r="S23" s="5"/>
      <c r="T23" s="13"/>
      <c r="U23" s="13"/>
      <c r="V23" s="13"/>
      <c r="Y23" s="5"/>
      <c r="Z23" s="13"/>
      <c r="AA23" s="13"/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11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14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2" t="s">
        <v>13</v>
      </c>
      <c r="C29" s="1"/>
      <c r="D29" s="5">
        <f>Table1[[#This Row],[Enrolment S.Y. 2025-2026 ]]*8</f>
        <v>0</v>
      </c>
      <c r="E29" s="5"/>
      <c r="F29" s="1"/>
      <c r="G29" s="5"/>
      <c r="H29" s="5">
        <f t="shared" si="2"/>
        <v>0</v>
      </c>
      <c r="I29" s="5">
        <f t="shared" si="3"/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16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ht="19.149999999999999">
      <c r="A32" s="1">
        <v>3</v>
      </c>
      <c r="B32" s="9" t="s">
        <v>75</v>
      </c>
      <c r="C32" s="1"/>
      <c r="D32" s="5">
        <f>Table1[[#This Row],[Enrolment S.Y. 2025-2026 ]]*8</f>
        <v>0</v>
      </c>
      <c r="E32" s="5"/>
      <c r="F32" s="1"/>
      <c r="G32" s="5"/>
      <c r="H32" s="5">
        <f>IF((D32-E32)&lt;0,0,(D32-E32))</f>
        <v>0</v>
      </c>
      <c r="I32" s="5">
        <f>IF((E32-D32)&lt;0,0,(E32-D32))</f>
        <v>0</v>
      </c>
      <c r="J32" s="5">
        <f>Table1[[#This Row],[Enrolment S.Y. 2025-2026 ]]*8</f>
        <v>0</v>
      </c>
      <c r="K32" s="5"/>
      <c r="L32" s="1"/>
      <c r="M32" s="5"/>
      <c r="N32" s="5">
        <f t="shared" si="10"/>
        <v>0</v>
      </c>
      <c r="O32" s="5">
        <f t="shared" si="11"/>
        <v>0</v>
      </c>
      <c r="P32" s="5">
        <f>Table1[[#This Row],[Enrolment S.Y. 2025-2026 ]]*8</f>
        <v>0</v>
      </c>
      <c r="Q32" s="5"/>
      <c r="R32" s="1"/>
      <c r="S32" s="5"/>
      <c r="T32" s="5">
        <f t="shared" si="12"/>
        <v>0</v>
      </c>
      <c r="U32" s="5">
        <f t="shared" si="13"/>
        <v>0</v>
      </c>
      <c r="V32" s="5">
        <f>Table1[[#This Row],[Enrolment S.Y. 2025-2026 ]]*8</f>
        <v>0</v>
      </c>
      <c r="W32" s="5"/>
      <c r="X32" s="1"/>
      <c r="Y32" s="5"/>
      <c r="Z32" s="5">
        <f t="shared" si="14"/>
        <v>0</v>
      </c>
      <c r="AA32" s="5">
        <f t="shared" si="15"/>
        <v>0</v>
      </c>
    </row>
    <row r="33" spans="1:27" s="7" customFormat="1" ht="19.149999999999999">
      <c r="J33" s="13"/>
      <c r="M33" s="5"/>
      <c r="N33" s="13"/>
      <c r="O33" s="13"/>
      <c r="P33" s="13"/>
      <c r="S33" s="5"/>
      <c r="T33" s="13"/>
      <c r="U33" s="13"/>
      <c r="V33" s="13"/>
      <c r="Y33" s="5"/>
      <c r="Z33" s="13"/>
      <c r="AA33" s="13"/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16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13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11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17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14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ht="19.149999999999999">
      <c r="A42" s="1">
        <v>4</v>
      </c>
      <c r="B42" s="9" t="s">
        <v>20</v>
      </c>
      <c r="C42" s="1"/>
      <c r="D42" s="5">
        <f>Table1[[#This Row],[Enrolment S.Y. 2025-2026 ]]*8</f>
        <v>0</v>
      </c>
      <c r="E42" s="5"/>
      <c r="F42" s="1"/>
      <c r="G42" s="5"/>
      <c r="H42" s="5">
        <f t="shared" si="2"/>
        <v>0</v>
      </c>
      <c r="I42" s="5">
        <f t="shared" si="3"/>
        <v>0</v>
      </c>
      <c r="J42" s="5">
        <f>Table1[[#This Row],[Enrolment S.Y. 2025-2026 ]]*8</f>
        <v>0</v>
      </c>
      <c r="K42" s="5"/>
      <c r="L42" s="1"/>
      <c r="M42" s="5"/>
      <c r="N42" s="5">
        <f t="shared" si="10"/>
        <v>0</v>
      </c>
      <c r="O42" s="5">
        <f t="shared" si="11"/>
        <v>0</v>
      </c>
      <c r="P42" s="5">
        <f>Table1[[#This Row],[Enrolment S.Y. 2025-2026 ]]*8</f>
        <v>0</v>
      </c>
      <c r="Q42" s="5"/>
      <c r="R42" s="1"/>
      <c r="S42" s="5"/>
      <c r="T42" s="5">
        <f t="shared" si="12"/>
        <v>0</v>
      </c>
      <c r="U42" s="5">
        <f t="shared" si="13"/>
        <v>0</v>
      </c>
      <c r="V42" s="5">
        <f>Table1[[#This Row],[Enrolment S.Y. 2025-2026 ]]*8</f>
        <v>0</v>
      </c>
      <c r="W42" s="5"/>
      <c r="X42" s="1"/>
      <c r="Y42" s="5"/>
      <c r="Z42" s="5">
        <f t="shared" si="14"/>
        <v>0</v>
      </c>
      <c r="AA42" s="5">
        <f t="shared" si="15"/>
        <v>0</v>
      </c>
    </row>
    <row r="43" spans="1:27" s="7" customFormat="1" ht="19.149999999999999">
      <c r="J43" s="13"/>
      <c r="M43" s="5"/>
      <c r="N43" s="13"/>
      <c r="O43" s="13"/>
      <c r="P43" s="13"/>
      <c r="S43" s="5"/>
      <c r="T43" s="13"/>
      <c r="U43" s="13"/>
      <c r="V43" s="13"/>
      <c r="Y43" s="5"/>
      <c r="Z43" s="13"/>
      <c r="AA43" s="13"/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16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13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11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17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14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ht="19.149999999999999">
      <c r="A52" s="1">
        <v>5</v>
      </c>
      <c r="B52" s="9" t="s">
        <v>20</v>
      </c>
      <c r="C52" s="1"/>
      <c r="D52" s="5">
        <f>Table1[[#This Row],[Enrolment S.Y. 2025-2026 ]]*8</f>
        <v>0</v>
      </c>
      <c r="E52" s="5"/>
      <c r="F52" s="1"/>
      <c r="G52" s="5"/>
      <c r="H52" s="5">
        <f t="shared" si="2"/>
        <v>0</v>
      </c>
      <c r="I52" s="5">
        <f t="shared" si="3"/>
        <v>0</v>
      </c>
      <c r="J52" s="5">
        <f>Table1[[#This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Table1[[#This Row],[Enrolment S.Y. 2025-2026 ]]*8</f>
        <v>0</v>
      </c>
      <c r="Q52" s="5"/>
      <c r="R52" s="1"/>
      <c r="S52" s="5"/>
      <c r="T52" s="5">
        <f t="shared" si="12"/>
        <v>0</v>
      </c>
      <c r="U52" s="5">
        <f t="shared" si="13"/>
        <v>0</v>
      </c>
      <c r="V52" s="5">
        <f>Table1[[#This Row],[Enrolment S.Y. 2025-2026 ]]*8</f>
        <v>0</v>
      </c>
      <c r="W52" s="5"/>
      <c r="X52" s="1"/>
      <c r="Y52" s="5"/>
      <c r="Z52" s="5">
        <f t="shared" si="14"/>
        <v>0</v>
      </c>
      <c r="AA52" s="5">
        <f t="shared" si="15"/>
        <v>0</v>
      </c>
    </row>
    <row r="53" spans="1:27" s="7" customFormat="1" ht="19.149999999999999">
      <c r="J53" s="13"/>
      <c r="M53" s="5"/>
      <c r="N53" s="13"/>
      <c r="O53" s="13"/>
      <c r="P53" s="13"/>
      <c r="S53" s="5"/>
      <c r="T53" s="13"/>
      <c r="U53" s="13"/>
      <c r="V53" s="13"/>
      <c r="Y53" s="5"/>
      <c r="Z53" s="13"/>
      <c r="AA53" s="13"/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16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13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11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17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14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ht="19.149999999999999">
      <c r="A62" s="1">
        <v>6</v>
      </c>
      <c r="B62" s="9" t="s">
        <v>20</v>
      </c>
      <c r="C62" s="1"/>
      <c r="D62" s="5">
        <f>Table1[[#This Row],[Enrolment S.Y. 2025-2026 ]]*8</f>
        <v>0</v>
      </c>
      <c r="E62" s="5"/>
      <c r="F62" s="1"/>
      <c r="G62" s="5"/>
      <c r="H62" s="5">
        <f t="shared" si="2"/>
        <v>0</v>
      </c>
      <c r="I62" s="5">
        <f t="shared" si="3"/>
        <v>0</v>
      </c>
      <c r="J62" s="5">
        <f>Table1[[#This Row],[Enrolment S.Y. 2025-2026 ]]*8</f>
        <v>0</v>
      </c>
      <c r="K62" s="5"/>
      <c r="L62" s="1"/>
      <c r="M62" s="5"/>
      <c r="N62" s="5">
        <f t="shared" si="10"/>
        <v>0</v>
      </c>
      <c r="O62" s="5">
        <f t="shared" si="11"/>
        <v>0</v>
      </c>
      <c r="P62" s="5">
        <f>Table1[[#This Row],[Enrolment S.Y. 2025-2026 ]]*8</f>
        <v>0</v>
      </c>
      <c r="Q62" s="5"/>
      <c r="R62" s="1"/>
      <c r="S62" s="5"/>
      <c r="T62" s="5">
        <f t="shared" si="12"/>
        <v>0</v>
      </c>
      <c r="U62" s="5">
        <f t="shared" si="13"/>
        <v>0</v>
      </c>
      <c r="V62" s="5">
        <f>Table1[[#This Row],[Enrolment S.Y. 2025-2026 ]]*8</f>
        <v>0</v>
      </c>
      <c r="W62" s="5"/>
      <c r="X62" s="1"/>
      <c r="Y62" s="5"/>
      <c r="Z62" s="5">
        <f t="shared" si="14"/>
        <v>0</v>
      </c>
      <c r="AA62" s="5">
        <f t="shared" si="15"/>
        <v>0</v>
      </c>
    </row>
    <row r="63" spans="1:27" s="7" customFormat="1" ht="19.149999999999999">
      <c r="J63" s="13"/>
      <c r="M63" s="5"/>
      <c r="N63" s="13"/>
      <c r="O63" s="13"/>
      <c r="P63" s="13"/>
      <c r="S63" s="5"/>
      <c r="T63" s="13"/>
      <c r="U63" s="13"/>
      <c r="V63" s="13"/>
      <c r="Y63" s="5"/>
      <c r="Z63" s="13"/>
      <c r="AA63" s="13"/>
    </row>
    <row r="64" spans="1:27" ht="19.5">
      <c r="A64" s="10">
        <v>7</v>
      </c>
      <c r="B64" s="11" t="s">
        <v>15</v>
      </c>
      <c r="C64" s="10">
        <v>342</v>
      </c>
      <c r="D64" s="12">
        <f>Table1[[#This Row],[Enrolment S.Y. 2025-2026 ]]*8</f>
        <v>2736</v>
      </c>
      <c r="E64" s="12">
        <v>0</v>
      </c>
      <c r="F64" s="10"/>
      <c r="G64" s="12"/>
      <c r="H64" s="12">
        <f t="shared" si="2"/>
        <v>2736</v>
      </c>
      <c r="I64" s="12">
        <f t="shared" si="3"/>
        <v>0</v>
      </c>
      <c r="J64" s="12">
        <f>Table1[[#This Row],[Enrolment S.Y. 2025-2026 ]]*8</f>
        <v>2736</v>
      </c>
      <c r="K64" s="12"/>
      <c r="L64" s="10"/>
      <c r="M64" s="12"/>
      <c r="N64" s="12">
        <f t="shared" si="10"/>
        <v>2736</v>
      </c>
      <c r="O64" s="12">
        <f t="shared" si="11"/>
        <v>0</v>
      </c>
      <c r="P64" s="12">
        <f>Table1[[#This Row],[Enrolment S.Y. 2025-2026 ]]*8</f>
        <v>2736</v>
      </c>
      <c r="Q64" s="12"/>
      <c r="R64" s="10"/>
      <c r="S64" s="12"/>
      <c r="T64" s="12">
        <f t="shared" si="12"/>
        <v>2736</v>
      </c>
      <c r="U64" s="12">
        <f t="shared" si="13"/>
        <v>0</v>
      </c>
      <c r="V64" s="12">
        <f>Table1[[#This Row],[Enrolment S.Y. 2025-2026 ]]*8</f>
        <v>2736</v>
      </c>
      <c r="W64" s="12"/>
      <c r="X64" s="10"/>
      <c r="Y64" s="12"/>
      <c r="Z64" s="12">
        <f t="shared" si="14"/>
        <v>2736</v>
      </c>
      <c r="AA64" s="12">
        <f t="shared" si="15"/>
        <v>0</v>
      </c>
    </row>
    <row r="65" spans="1:27" ht="19.5">
      <c r="A65" s="10">
        <v>7</v>
      </c>
      <c r="B65" s="11" t="s">
        <v>16</v>
      </c>
      <c r="C65" s="10">
        <v>342</v>
      </c>
      <c r="D65" s="12">
        <f>Table1[[#This Row],[Enrolment S.Y. 2025-2026 ]]*8</f>
        <v>2736</v>
      </c>
      <c r="E65" s="12">
        <v>0</v>
      </c>
      <c r="F65" s="10"/>
      <c r="G65" s="12"/>
      <c r="H65" s="12">
        <f t="shared" si="2"/>
        <v>2736</v>
      </c>
      <c r="I65" s="12">
        <f t="shared" si="3"/>
        <v>0</v>
      </c>
      <c r="J65" s="12">
        <f>Table1[[#This Row],[Enrolment S.Y. 2025-2026 ]]*8</f>
        <v>2736</v>
      </c>
      <c r="K65" s="12"/>
      <c r="L65" s="10"/>
      <c r="M65" s="12"/>
      <c r="N65" s="12">
        <f t="shared" si="10"/>
        <v>2736</v>
      </c>
      <c r="O65" s="12">
        <f t="shared" si="11"/>
        <v>0</v>
      </c>
      <c r="P65" s="12">
        <f>Table1[[#This Row],[Enrolment S.Y. 2025-2026 ]]*8</f>
        <v>2736</v>
      </c>
      <c r="Q65" s="12"/>
      <c r="R65" s="10"/>
      <c r="S65" s="12"/>
      <c r="T65" s="12">
        <f t="shared" si="12"/>
        <v>2736</v>
      </c>
      <c r="U65" s="12">
        <f t="shared" si="13"/>
        <v>0</v>
      </c>
      <c r="V65" s="12">
        <f>Table1[[#This Row],[Enrolment S.Y. 2025-2026 ]]*8</f>
        <v>2736</v>
      </c>
      <c r="W65" s="12"/>
      <c r="X65" s="10"/>
      <c r="Y65" s="12"/>
      <c r="Z65" s="12">
        <f t="shared" si="14"/>
        <v>2736</v>
      </c>
      <c r="AA65" s="12">
        <f t="shared" si="15"/>
        <v>0</v>
      </c>
    </row>
    <row r="66" spans="1:27" ht="19.5">
      <c r="A66" s="10">
        <v>7</v>
      </c>
      <c r="B66" s="11" t="s">
        <v>13</v>
      </c>
      <c r="C66" s="10">
        <v>342</v>
      </c>
      <c r="D66" s="12">
        <f>Table1[[#This Row],[Enrolment S.Y. 2025-2026 ]]*8</f>
        <v>2736</v>
      </c>
      <c r="E66" s="12">
        <v>0</v>
      </c>
      <c r="F66" s="10"/>
      <c r="G66" s="12"/>
      <c r="H66" s="12">
        <f t="shared" si="2"/>
        <v>2736</v>
      </c>
      <c r="I66" s="12">
        <f t="shared" si="3"/>
        <v>0</v>
      </c>
      <c r="J66" s="12">
        <f>Table1[[#This Row],[Enrolment S.Y. 2025-2026 ]]*8</f>
        <v>2736</v>
      </c>
      <c r="K66" s="12"/>
      <c r="L66" s="10"/>
      <c r="M66" s="12"/>
      <c r="N66" s="12">
        <f t="shared" si="10"/>
        <v>2736</v>
      </c>
      <c r="O66" s="12">
        <f t="shared" si="11"/>
        <v>0</v>
      </c>
      <c r="P66" s="12">
        <f>Table1[[#This Row],[Enrolment S.Y. 2025-2026 ]]*8</f>
        <v>2736</v>
      </c>
      <c r="Q66" s="12"/>
      <c r="R66" s="10"/>
      <c r="S66" s="12"/>
      <c r="T66" s="12">
        <f t="shared" si="12"/>
        <v>2736</v>
      </c>
      <c r="U66" s="12">
        <f t="shared" si="13"/>
        <v>0</v>
      </c>
      <c r="V66" s="12">
        <f>Table1[[#This Row],[Enrolment S.Y. 2025-2026 ]]*8</f>
        <v>2736</v>
      </c>
      <c r="W66" s="12"/>
      <c r="X66" s="10"/>
      <c r="Y66" s="12"/>
      <c r="Z66" s="12">
        <f t="shared" si="14"/>
        <v>2736</v>
      </c>
      <c r="AA66" s="12">
        <f t="shared" si="15"/>
        <v>0</v>
      </c>
    </row>
    <row r="67" spans="1:27" ht="19.5">
      <c r="A67" s="10">
        <v>7</v>
      </c>
      <c r="B67" s="11" t="s">
        <v>22</v>
      </c>
      <c r="C67" s="10">
        <v>342</v>
      </c>
      <c r="D67" s="12">
        <f>Table1[[#This Row],[Enrolment S.Y. 2025-2026 ]]*8</f>
        <v>2736</v>
      </c>
      <c r="E67" s="12">
        <v>0</v>
      </c>
      <c r="F67" s="10"/>
      <c r="G67" s="12"/>
      <c r="H67" s="12">
        <f t="shared" si="2"/>
        <v>2736</v>
      </c>
      <c r="I67" s="12">
        <f t="shared" si="3"/>
        <v>0</v>
      </c>
      <c r="J67" s="12">
        <f>Table1[[#This Row],[Enrolment S.Y. 2025-2026 ]]*8</f>
        <v>2736</v>
      </c>
      <c r="K67" s="12"/>
      <c r="L67" s="10"/>
      <c r="M67" s="12"/>
      <c r="N67" s="12">
        <f t="shared" si="10"/>
        <v>2736</v>
      </c>
      <c r="O67" s="12">
        <f t="shared" si="11"/>
        <v>0</v>
      </c>
      <c r="P67" s="12">
        <f>Table1[[#This Row],[Enrolment S.Y. 2025-2026 ]]*8</f>
        <v>2736</v>
      </c>
      <c r="Q67" s="12"/>
      <c r="R67" s="10"/>
      <c r="S67" s="12"/>
      <c r="T67" s="12">
        <f t="shared" si="12"/>
        <v>2736</v>
      </c>
      <c r="U67" s="12">
        <f t="shared" si="13"/>
        <v>0</v>
      </c>
      <c r="V67" s="12">
        <f>Table1[[#This Row],[Enrolment S.Y. 2025-2026 ]]*8</f>
        <v>2736</v>
      </c>
      <c r="W67" s="12"/>
      <c r="X67" s="10"/>
      <c r="Y67" s="12"/>
      <c r="Z67" s="12">
        <f t="shared" si="14"/>
        <v>2736</v>
      </c>
      <c r="AA67" s="12">
        <f t="shared" si="15"/>
        <v>0</v>
      </c>
    </row>
    <row r="68" spans="1:27" ht="38.25">
      <c r="A68" s="10">
        <v>7</v>
      </c>
      <c r="B68" s="11" t="s">
        <v>17</v>
      </c>
      <c r="C68" s="10">
        <v>342</v>
      </c>
      <c r="D68" s="12">
        <f>Table1[[#This Row],[Enrolment S.Y. 2025-2026 ]]*8</f>
        <v>2736</v>
      </c>
      <c r="E68" s="12">
        <v>0</v>
      </c>
      <c r="F68" s="10"/>
      <c r="G68" s="12"/>
      <c r="H68" s="12">
        <f t="shared" si="2"/>
        <v>2736</v>
      </c>
      <c r="I68" s="12">
        <f t="shared" si="3"/>
        <v>0</v>
      </c>
      <c r="J68" s="12">
        <f>Table1[[#This Row],[Enrolment S.Y. 2025-2026 ]]*8</f>
        <v>2736</v>
      </c>
      <c r="K68" s="12"/>
      <c r="L68" s="10"/>
      <c r="M68" s="12"/>
      <c r="N68" s="12">
        <f t="shared" si="10"/>
        <v>2736</v>
      </c>
      <c r="O68" s="12">
        <f t="shared" si="11"/>
        <v>0</v>
      </c>
      <c r="P68" s="12">
        <f>Table1[[#This Row],[Enrolment S.Y. 2025-2026 ]]*8</f>
        <v>2736</v>
      </c>
      <c r="Q68" s="12"/>
      <c r="R68" s="10"/>
      <c r="S68" s="12"/>
      <c r="T68" s="12">
        <f t="shared" si="12"/>
        <v>2736</v>
      </c>
      <c r="U68" s="12">
        <f t="shared" si="13"/>
        <v>0</v>
      </c>
      <c r="V68" s="12">
        <f>Table1[[#This Row],[Enrolment S.Y. 2025-2026 ]]*8</f>
        <v>2736</v>
      </c>
      <c r="W68" s="12"/>
      <c r="X68" s="10"/>
      <c r="Y68" s="12"/>
      <c r="Z68" s="12">
        <f t="shared" si="14"/>
        <v>2736</v>
      </c>
      <c r="AA68" s="12">
        <f t="shared" si="15"/>
        <v>0</v>
      </c>
    </row>
    <row r="69" spans="1:27" ht="19.5">
      <c r="A69" s="10">
        <v>7</v>
      </c>
      <c r="B69" s="11" t="s">
        <v>14</v>
      </c>
      <c r="C69" s="10">
        <v>342</v>
      </c>
      <c r="D69" s="12">
        <f>Table1[[#This Row],[Enrolment S.Y. 2025-2026 ]]*8</f>
        <v>2736</v>
      </c>
      <c r="E69" s="12">
        <v>0</v>
      </c>
      <c r="F69" s="10"/>
      <c r="G69" s="12"/>
      <c r="H69" s="12">
        <f t="shared" si="2"/>
        <v>2736</v>
      </c>
      <c r="I69" s="12">
        <f t="shared" si="3"/>
        <v>0</v>
      </c>
      <c r="J69" s="12">
        <f>Table1[[#This Row],[Enrolment S.Y. 2025-2026 ]]*8</f>
        <v>2736</v>
      </c>
      <c r="K69" s="12"/>
      <c r="L69" s="10"/>
      <c r="M69" s="12"/>
      <c r="N69" s="12">
        <f t="shared" si="10"/>
        <v>2736</v>
      </c>
      <c r="O69" s="12">
        <f t="shared" si="11"/>
        <v>0</v>
      </c>
      <c r="P69" s="12">
        <f>Table1[[#This Row],[Enrolment S.Y. 2025-2026 ]]*8</f>
        <v>2736</v>
      </c>
      <c r="Q69" s="12"/>
      <c r="R69" s="10"/>
      <c r="S69" s="12"/>
      <c r="T69" s="12">
        <f t="shared" si="12"/>
        <v>2736</v>
      </c>
      <c r="U69" s="12">
        <f t="shared" si="13"/>
        <v>0</v>
      </c>
      <c r="V69" s="12">
        <f>Table1[[#This Row],[Enrolment S.Y. 2025-2026 ]]*8</f>
        <v>2736</v>
      </c>
      <c r="W69" s="12"/>
      <c r="X69" s="10"/>
      <c r="Y69" s="12"/>
      <c r="Z69" s="12">
        <f t="shared" si="14"/>
        <v>2736</v>
      </c>
      <c r="AA69" s="12">
        <f t="shared" si="15"/>
        <v>0</v>
      </c>
    </row>
    <row r="70" spans="1:27" ht="19.5">
      <c r="A70" s="10">
        <v>7</v>
      </c>
      <c r="B70" s="11" t="s">
        <v>18</v>
      </c>
      <c r="C70" s="10">
        <v>342</v>
      </c>
      <c r="D70" s="12">
        <f>Table1[[#This Row],[Enrolment S.Y. 2025-2026 ]]*8</f>
        <v>2736</v>
      </c>
      <c r="E70" s="12">
        <v>0</v>
      </c>
      <c r="F70" s="10"/>
      <c r="G70" s="12"/>
      <c r="H70" s="12">
        <f t="shared" si="2"/>
        <v>2736</v>
      </c>
      <c r="I70" s="12">
        <f t="shared" si="3"/>
        <v>0</v>
      </c>
      <c r="J70" s="12">
        <f>Table1[[#This Row],[Enrolment S.Y. 2025-2026 ]]*8</f>
        <v>2736</v>
      </c>
      <c r="K70" s="12"/>
      <c r="L70" s="10"/>
      <c r="M70" s="12"/>
      <c r="N70" s="12">
        <f t="shared" si="10"/>
        <v>2736</v>
      </c>
      <c r="O70" s="12">
        <f t="shared" si="11"/>
        <v>0</v>
      </c>
      <c r="P70" s="12">
        <f>Table1[[#This Row],[Enrolment S.Y. 2025-2026 ]]*8</f>
        <v>2736</v>
      </c>
      <c r="Q70" s="12"/>
      <c r="R70" s="10"/>
      <c r="S70" s="12"/>
      <c r="T70" s="12">
        <f t="shared" si="12"/>
        <v>2736</v>
      </c>
      <c r="U70" s="12">
        <f t="shared" si="13"/>
        <v>0</v>
      </c>
      <c r="V70" s="12">
        <f>Table1[[#This Row],[Enrolment S.Y. 2025-2026 ]]*8</f>
        <v>2736</v>
      </c>
      <c r="W70" s="12"/>
      <c r="X70" s="10"/>
      <c r="Y70" s="12"/>
      <c r="Z70" s="12">
        <f t="shared" si="14"/>
        <v>2736</v>
      </c>
      <c r="AA70" s="12">
        <f t="shared" si="15"/>
        <v>0</v>
      </c>
    </row>
    <row r="71" spans="1:27" ht="19.5">
      <c r="A71" s="10">
        <v>7</v>
      </c>
      <c r="B71" s="11" t="s">
        <v>23</v>
      </c>
      <c r="C71" s="10">
        <v>342</v>
      </c>
      <c r="D71" s="12">
        <f>Table1[[#This Row],[Enrolment S.Y. 2025-2026 ]]*8</f>
        <v>2736</v>
      </c>
      <c r="E71" s="12">
        <v>0</v>
      </c>
      <c r="F71" s="10"/>
      <c r="G71" s="12"/>
      <c r="H71" s="12">
        <f t="shared" si="2"/>
        <v>2736</v>
      </c>
      <c r="I71" s="12">
        <f t="shared" si="3"/>
        <v>0</v>
      </c>
      <c r="J71" s="12">
        <f>Table1[[#This Row],[Enrolment S.Y. 2025-2026 ]]*8</f>
        <v>2736</v>
      </c>
      <c r="K71" s="12"/>
      <c r="L71" s="10"/>
      <c r="M71" s="12"/>
      <c r="N71" s="12">
        <f t="shared" ref="N71:N111" si="16">IF((J71-K71)&lt;0,0,(J71-K71))</f>
        <v>2736</v>
      </c>
      <c r="O71" s="12">
        <f t="shared" ref="O71:O111" si="17">IF((K71-J71)&lt;0,0,(K71-J71))</f>
        <v>0</v>
      </c>
      <c r="P71" s="12">
        <f>Table1[[#This Row],[Enrolment S.Y. 2025-2026 ]]*8</f>
        <v>2736</v>
      </c>
      <c r="Q71" s="12"/>
      <c r="R71" s="10"/>
      <c r="S71" s="12"/>
      <c r="T71" s="12">
        <f t="shared" ref="T71:T111" si="18">IF((P71-Q71)&lt;0,0,(P71-Q71))</f>
        <v>2736</v>
      </c>
      <c r="U71" s="12">
        <f t="shared" ref="U71:U111" si="19">IF((Q71-P71)&lt;0,0,(Q71-P71))</f>
        <v>0</v>
      </c>
      <c r="V71" s="12">
        <f>Table1[[#This Row],[Enrolment S.Y. 2025-2026 ]]*8</f>
        <v>2736</v>
      </c>
      <c r="W71" s="12"/>
      <c r="X71" s="10"/>
      <c r="Y71" s="12"/>
      <c r="Z71" s="12">
        <f t="shared" ref="Z71:Z111" si="20">IF((V71-W71)&lt;0,0,(V71-W71))</f>
        <v>2736</v>
      </c>
      <c r="AA71" s="12">
        <f t="shared" ref="AA71:AA111" si="21">IF((W71-V71)&lt;0,0,(W71-V71))</f>
        <v>0</v>
      </c>
    </row>
    <row r="72" spans="1:27" ht="19.5">
      <c r="A72" s="10">
        <v>7</v>
      </c>
      <c r="B72" s="11" t="s">
        <v>20</v>
      </c>
      <c r="C72" s="10">
        <v>342</v>
      </c>
      <c r="D72" s="12">
        <f>Table1[[#This Row],[Enrolment S.Y. 2025-2026 ]]*8</f>
        <v>2736</v>
      </c>
      <c r="E72" s="12">
        <v>0</v>
      </c>
      <c r="F72" s="10"/>
      <c r="G72" s="12"/>
      <c r="H72" s="12">
        <f t="shared" si="2"/>
        <v>2736</v>
      </c>
      <c r="I72" s="12">
        <f t="shared" si="3"/>
        <v>0</v>
      </c>
      <c r="J72" s="12">
        <f>Table1[[#This Row],[Enrolment S.Y. 2025-2026 ]]*8</f>
        <v>2736</v>
      </c>
      <c r="K72" s="12"/>
      <c r="L72" s="10"/>
      <c r="M72" s="12"/>
      <c r="N72" s="12">
        <f t="shared" si="16"/>
        <v>2736</v>
      </c>
      <c r="O72" s="12">
        <f t="shared" si="17"/>
        <v>0</v>
      </c>
      <c r="P72" s="12">
        <f>Table1[[#This Row],[Enrolment S.Y. 2025-2026 ]]*8</f>
        <v>2736</v>
      </c>
      <c r="Q72" s="12"/>
      <c r="R72" s="10"/>
      <c r="S72" s="12"/>
      <c r="T72" s="12">
        <f t="shared" si="18"/>
        <v>2736</v>
      </c>
      <c r="U72" s="12">
        <f t="shared" si="19"/>
        <v>0</v>
      </c>
      <c r="V72" s="12">
        <f>Table1[[#This Row],[Enrolment S.Y. 2025-2026 ]]*8</f>
        <v>2736</v>
      </c>
      <c r="W72" s="12"/>
      <c r="X72" s="10"/>
      <c r="Y72" s="12"/>
      <c r="Z72" s="12">
        <f t="shared" si="20"/>
        <v>2736</v>
      </c>
      <c r="AA72" s="12">
        <f t="shared" si="21"/>
        <v>0</v>
      </c>
    </row>
    <row r="73" spans="1:27" s="7" customFormat="1" ht="19.5">
      <c r="J73" s="13"/>
      <c r="M73" s="5"/>
      <c r="N73" s="13"/>
      <c r="O73" s="13"/>
      <c r="P73" s="13"/>
      <c r="S73" s="5"/>
      <c r="T73" s="13"/>
      <c r="U73" s="13"/>
      <c r="V73" s="13"/>
      <c r="Y73" s="5"/>
      <c r="Z73" s="13"/>
      <c r="AA73" s="13"/>
    </row>
    <row r="74" spans="1:27" ht="19.5">
      <c r="A74" s="10">
        <v>8</v>
      </c>
      <c r="B74" s="11" t="s">
        <v>15</v>
      </c>
      <c r="C74" s="10">
        <v>292</v>
      </c>
      <c r="D74" s="12">
        <f>Table1[[#This Row],[Enrolment S.Y. 2025-2026 ]]*8</f>
        <v>2336</v>
      </c>
      <c r="E74" s="12">
        <v>40</v>
      </c>
      <c r="F74" s="10">
        <v>2025</v>
      </c>
      <c r="G74" s="12" t="s">
        <v>21</v>
      </c>
      <c r="H74" s="12">
        <f t="shared" si="2"/>
        <v>2296</v>
      </c>
      <c r="I74" s="12">
        <f t="shared" si="3"/>
        <v>0</v>
      </c>
      <c r="J74" s="12">
        <f>Table1[[#This Row],[Enrolment S.Y. 2025-2026 ]]*8</f>
        <v>2336</v>
      </c>
      <c r="K74" s="12"/>
      <c r="L74" s="10"/>
      <c r="M74" s="12"/>
      <c r="N74" s="12">
        <f t="shared" si="16"/>
        <v>2336</v>
      </c>
      <c r="O74" s="12">
        <f t="shared" si="17"/>
        <v>0</v>
      </c>
      <c r="P74" s="12">
        <f>Table1[[#This Row],[Enrolment S.Y. 2025-2026 ]]*8</f>
        <v>2336</v>
      </c>
      <c r="Q74" s="12"/>
      <c r="R74" s="10"/>
      <c r="S74" s="12"/>
      <c r="T74" s="12">
        <f t="shared" si="18"/>
        <v>2336</v>
      </c>
      <c r="U74" s="12">
        <f t="shared" si="19"/>
        <v>0</v>
      </c>
      <c r="V74" s="12">
        <f>Table1[[#This Row],[Enrolment S.Y. 2025-2026 ]]*8</f>
        <v>2336</v>
      </c>
      <c r="W74" s="12"/>
      <c r="X74" s="10"/>
      <c r="Y74" s="12"/>
      <c r="Z74" s="12">
        <f t="shared" si="20"/>
        <v>2336</v>
      </c>
      <c r="AA74" s="12">
        <f t="shared" si="21"/>
        <v>0</v>
      </c>
    </row>
    <row r="75" spans="1:27" ht="19.5">
      <c r="A75" s="10">
        <v>8</v>
      </c>
      <c r="B75" s="11" t="s">
        <v>16</v>
      </c>
      <c r="C75" s="10">
        <v>292</v>
      </c>
      <c r="D75" s="12">
        <f>Table1[[#This Row],[Enrolment S.Y. 2025-2026 ]]*8</f>
        <v>2336</v>
      </c>
      <c r="E75" s="12">
        <v>40</v>
      </c>
      <c r="F75" s="10">
        <v>2025</v>
      </c>
      <c r="G75" s="12" t="s">
        <v>21</v>
      </c>
      <c r="H75" s="12">
        <f t="shared" si="2"/>
        <v>2296</v>
      </c>
      <c r="I75" s="12">
        <f t="shared" si="3"/>
        <v>0</v>
      </c>
      <c r="J75" s="12">
        <f>Table1[[#This Row],[Enrolment S.Y. 2025-2026 ]]*8</f>
        <v>2336</v>
      </c>
      <c r="K75" s="12"/>
      <c r="L75" s="10"/>
      <c r="M75" s="12"/>
      <c r="N75" s="12">
        <f t="shared" si="16"/>
        <v>2336</v>
      </c>
      <c r="O75" s="12">
        <f t="shared" si="17"/>
        <v>0</v>
      </c>
      <c r="P75" s="12">
        <f>Table1[[#This Row],[Enrolment S.Y. 2025-2026 ]]*8</f>
        <v>2336</v>
      </c>
      <c r="Q75" s="12"/>
      <c r="R75" s="10"/>
      <c r="S75" s="12"/>
      <c r="T75" s="12">
        <f t="shared" si="18"/>
        <v>2336</v>
      </c>
      <c r="U75" s="12">
        <f t="shared" si="19"/>
        <v>0</v>
      </c>
      <c r="V75" s="12">
        <f>Table1[[#This Row],[Enrolment S.Y. 2025-2026 ]]*8</f>
        <v>2336</v>
      </c>
      <c r="W75" s="12"/>
      <c r="X75" s="10"/>
      <c r="Y75" s="12"/>
      <c r="Z75" s="12">
        <f t="shared" si="20"/>
        <v>2336</v>
      </c>
      <c r="AA75" s="12">
        <f t="shared" si="21"/>
        <v>0</v>
      </c>
    </row>
    <row r="76" spans="1:27" ht="19.5">
      <c r="A76" s="10">
        <v>8</v>
      </c>
      <c r="B76" s="11" t="s">
        <v>13</v>
      </c>
      <c r="C76" s="10">
        <v>292</v>
      </c>
      <c r="D76" s="12">
        <f>Table1[[#This Row],[Enrolment S.Y. 2025-2026 ]]*8</f>
        <v>2336</v>
      </c>
      <c r="E76" s="12">
        <v>40</v>
      </c>
      <c r="F76" s="10">
        <v>2025</v>
      </c>
      <c r="G76" s="12" t="s">
        <v>21</v>
      </c>
      <c r="H76" s="12">
        <f t="shared" si="2"/>
        <v>2296</v>
      </c>
      <c r="I76" s="12">
        <f t="shared" si="3"/>
        <v>0</v>
      </c>
      <c r="J76" s="12">
        <f>Table1[[#This Row],[Enrolment S.Y. 2025-2026 ]]*8</f>
        <v>2336</v>
      </c>
      <c r="K76" s="12"/>
      <c r="L76" s="10"/>
      <c r="M76" s="12"/>
      <c r="N76" s="12">
        <f t="shared" si="16"/>
        <v>2336</v>
      </c>
      <c r="O76" s="12">
        <f t="shared" si="17"/>
        <v>0</v>
      </c>
      <c r="P76" s="12">
        <f>Table1[[#This Row],[Enrolment S.Y. 2025-2026 ]]*8</f>
        <v>2336</v>
      </c>
      <c r="Q76" s="12"/>
      <c r="R76" s="10"/>
      <c r="S76" s="12"/>
      <c r="T76" s="12">
        <f t="shared" si="18"/>
        <v>2336</v>
      </c>
      <c r="U76" s="12">
        <f t="shared" si="19"/>
        <v>0</v>
      </c>
      <c r="V76" s="12">
        <f>Table1[[#This Row],[Enrolment S.Y. 2025-2026 ]]*8</f>
        <v>2336</v>
      </c>
      <c r="W76" s="12"/>
      <c r="X76" s="10"/>
      <c r="Y76" s="12"/>
      <c r="Z76" s="12">
        <f t="shared" si="20"/>
        <v>2336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292</v>
      </c>
      <c r="D77" s="12">
        <f>Table1[[#This Row],[Enrolment S.Y. 2025-2026 ]]*8</f>
        <v>2336</v>
      </c>
      <c r="E77" s="12">
        <v>40</v>
      </c>
      <c r="F77" s="10">
        <v>2025</v>
      </c>
      <c r="G77" s="12" t="s">
        <v>21</v>
      </c>
      <c r="H77" s="12">
        <f t="shared" si="2"/>
        <v>2296</v>
      </c>
      <c r="I77" s="12">
        <f t="shared" si="3"/>
        <v>0</v>
      </c>
      <c r="J77" s="12">
        <f>Table1[[#This Row],[Enrolment S.Y. 2025-2026 ]]*8</f>
        <v>2336</v>
      </c>
      <c r="K77" s="12"/>
      <c r="L77" s="10"/>
      <c r="M77" s="12"/>
      <c r="N77" s="12">
        <f t="shared" si="16"/>
        <v>2336</v>
      </c>
      <c r="O77" s="12">
        <f t="shared" si="17"/>
        <v>0</v>
      </c>
      <c r="P77" s="12">
        <f>Table1[[#This Row],[Enrolment S.Y. 2025-2026 ]]*8</f>
        <v>2336</v>
      </c>
      <c r="Q77" s="12"/>
      <c r="R77" s="10"/>
      <c r="S77" s="12"/>
      <c r="T77" s="12">
        <f t="shared" si="18"/>
        <v>2336</v>
      </c>
      <c r="U77" s="12">
        <f t="shared" si="19"/>
        <v>0</v>
      </c>
      <c r="V77" s="12">
        <f>Table1[[#This Row],[Enrolment S.Y. 2025-2026 ]]*8</f>
        <v>2336</v>
      </c>
      <c r="W77" s="12"/>
      <c r="X77" s="10"/>
      <c r="Y77" s="12"/>
      <c r="Z77" s="12">
        <f t="shared" si="20"/>
        <v>2336</v>
      </c>
      <c r="AA77" s="12">
        <f t="shared" si="21"/>
        <v>0</v>
      </c>
    </row>
    <row r="78" spans="1:27" ht="19.5">
      <c r="A78" s="10">
        <v>8</v>
      </c>
      <c r="B78" s="11" t="s">
        <v>24</v>
      </c>
      <c r="C78" s="10">
        <v>292</v>
      </c>
      <c r="D78" s="12">
        <f>Table1[[#This Row],[Enrolment S.Y. 2025-2026 ]]*8</f>
        <v>2336</v>
      </c>
      <c r="E78" s="12">
        <v>40</v>
      </c>
      <c r="F78" s="10">
        <v>2025</v>
      </c>
      <c r="G78" s="12" t="s">
        <v>21</v>
      </c>
      <c r="H78" s="12">
        <f t="shared" si="2"/>
        <v>2296</v>
      </c>
      <c r="I78" s="12">
        <f t="shared" si="3"/>
        <v>0</v>
      </c>
      <c r="J78" s="12">
        <f>Table1[[#This Row],[Enrolment S.Y. 2025-2026 ]]*8</f>
        <v>2336</v>
      </c>
      <c r="K78" s="12"/>
      <c r="L78" s="10"/>
      <c r="M78" s="12"/>
      <c r="N78" s="12">
        <f t="shared" si="16"/>
        <v>2336</v>
      </c>
      <c r="O78" s="12">
        <f t="shared" si="17"/>
        <v>0</v>
      </c>
      <c r="P78" s="12">
        <f>Table1[[#This Row],[Enrolment S.Y. 2025-2026 ]]*8</f>
        <v>2336</v>
      </c>
      <c r="Q78" s="12"/>
      <c r="R78" s="10"/>
      <c r="S78" s="12"/>
      <c r="T78" s="12">
        <f t="shared" si="18"/>
        <v>2336</v>
      </c>
      <c r="U78" s="12">
        <f t="shared" si="19"/>
        <v>0</v>
      </c>
      <c r="V78" s="12">
        <f>Table1[[#This Row],[Enrolment S.Y. 2025-2026 ]]*8</f>
        <v>2336</v>
      </c>
      <c r="W78" s="12"/>
      <c r="X78" s="10"/>
      <c r="Y78" s="12"/>
      <c r="Z78" s="12">
        <f t="shared" si="20"/>
        <v>2336</v>
      </c>
      <c r="AA78" s="12">
        <f t="shared" si="21"/>
        <v>0</v>
      </c>
    </row>
    <row r="79" spans="1:27" ht="19.5">
      <c r="A79" s="10">
        <v>8</v>
      </c>
      <c r="B79" s="11" t="s">
        <v>14</v>
      </c>
      <c r="C79" s="10">
        <v>292</v>
      </c>
      <c r="D79" s="12">
        <f>Table1[[#This Row],[Enrolment S.Y. 2025-2026 ]]*8</f>
        <v>2336</v>
      </c>
      <c r="E79" s="12">
        <v>40</v>
      </c>
      <c r="F79" s="10">
        <v>2025</v>
      </c>
      <c r="G79" s="12" t="s">
        <v>21</v>
      </c>
      <c r="H79" s="12">
        <f t="shared" ref="H79:H111" si="22">IF((D79-E79)&lt;0,0,(D79-E79))</f>
        <v>2296</v>
      </c>
      <c r="I79" s="12">
        <f t="shared" ref="I79:I111" si="23">IF((E79-D79)&lt;0,0,(E79-D79))</f>
        <v>0</v>
      </c>
      <c r="J79" s="12">
        <f>Table1[[#This Row],[Enrolment S.Y. 2025-2026 ]]*8</f>
        <v>2336</v>
      </c>
      <c r="K79" s="12"/>
      <c r="L79" s="10"/>
      <c r="M79" s="12"/>
      <c r="N79" s="12">
        <f t="shared" si="16"/>
        <v>2336</v>
      </c>
      <c r="O79" s="12">
        <f t="shared" si="17"/>
        <v>0</v>
      </c>
      <c r="P79" s="12">
        <f>Table1[[#This Row],[Enrolment S.Y. 2025-2026 ]]*8</f>
        <v>2336</v>
      </c>
      <c r="Q79" s="12"/>
      <c r="R79" s="10"/>
      <c r="S79" s="12"/>
      <c r="T79" s="12">
        <f t="shared" si="18"/>
        <v>2336</v>
      </c>
      <c r="U79" s="12">
        <f t="shared" si="19"/>
        <v>0</v>
      </c>
      <c r="V79" s="12">
        <f>Table1[[#This Row],[Enrolment S.Y. 2025-2026 ]]*8</f>
        <v>2336</v>
      </c>
      <c r="W79" s="12"/>
      <c r="X79" s="10"/>
      <c r="Y79" s="12"/>
      <c r="Z79" s="12">
        <f t="shared" si="20"/>
        <v>2336</v>
      </c>
      <c r="AA79" s="12">
        <f t="shared" si="21"/>
        <v>0</v>
      </c>
    </row>
    <row r="80" spans="1:27" ht="19.5">
      <c r="A80" s="10">
        <v>8</v>
      </c>
      <c r="B80" s="11" t="s">
        <v>18</v>
      </c>
      <c r="C80" s="10">
        <v>292</v>
      </c>
      <c r="D80" s="12">
        <f>Table1[[#This Row],[Enrolment S.Y. 2025-2026 ]]*8</f>
        <v>2336</v>
      </c>
      <c r="E80" s="12">
        <v>40</v>
      </c>
      <c r="F80" s="10">
        <v>2025</v>
      </c>
      <c r="G80" s="12" t="s">
        <v>21</v>
      </c>
      <c r="H80" s="12">
        <f t="shared" si="22"/>
        <v>2296</v>
      </c>
      <c r="I80" s="12">
        <f t="shared" si="23"/>
        <v>0</v>
      </c>
      <c r="J80" s="12">
        <f>Table1[[#This Row],[Enrolment S.Y. 2025-2026 ]]*8</f>
        <v>2336</v>
      </c>
      <c r="K80" s="12"/>
      <c r="L80" s="10"/>
      <c r="M80" s="12"/>
      <c r="N80" s="12">
        <f t="shared" si="16"/>
        <v>2336</v>
      </c>
      <c r="O80" s="12">
        <f t="shared" si="17"/>
        <v>0</v>
      </c>
      <c r="P80" s="12">
        <f>Table1[[#This Row],[Enrolment S.Y. 2025-2026 ]]*8</f>
        <v>2336</v>
      </c>
      <c r="Q80" s="12"/>
      <c r="R80" s="10"/>
      <c r="S80" s="12"/>
      <c r="T80" s="12">
        <f t="shared" si="18"/>
        <v>2336</v>
      </c>
      <c r="U80" s="12">
        <f t="shared" si="19"/>
        <v>0</v>
      </c>
      <c r="V80" s="12">
        <f>Table1[[#This Row],[Enrolment S.Y. 2025-2026 ]]*8</f>
        <v>2336</v>
      </c>
      <c r="W80" s="12"/>
      <c r="X80" s="10"/>
      <c r="Y80" s="12"/>
      <c r="Z80" s="12">
        <f t="shared" si="20"/>
        <v>2336</v>
      </c>
      <c r="AA80" s="12">
        <f t="shared" si="21"/>
        <v>0</v>
      </c>
    </row>
    <row r="81" spans="1:27" ht="19.5">
      <c r="A81" s="10">
        <v>8</v>
      </c>
      <c r="B81" s="11" t="s">
        <v>23</v>
      </c>
      <c r="C81" s="10">
        <v>292</v>
      </c>
      <c r="D81" s="12">
        <f>Table1[[#This Row],[Enrolment S.Y. 2025-2026 ]]*8</f>
        <v>2336</v>
      </c>
      <c r="E81" s="12">
        <v>40</v>
      </c>
      <c r="F81" s="10">
        <v>2025</v>
      </c>
      <c r="G81" s="12" t="s">
        <v>21</v>
      </c>
      <c r="H81" s="12">
        <f t="shared" si="22"/>
        <v>2296</v>
      </c>
      <c r="I81" s="12">
        <f t="shared" si="23"/>
        <v>0</v>
      </c>
      <c r="J81" s="12">
        <f>Table1[[#This Row],[Enrolment S.Y. 2025-2026 ]]*8</f>
        <v>2336</v>
      </c>
      <c r="K81" s="12"/>
      <c r="L81" s="10"/>
      <c r="M81" s="12"/>
      <c r="N81" s="12">
        <f t="shared" si="16"/>
        <v>2336</v>
      </c>
      <c r="O81" s="12">
        <f t="shared" si="17"/>
        <v>0</v>
      </c>
      <c r="P81" s="12">
        <f>Table1[[#This Row],[Enrolment S.Y. 2025-2026 ]]*8</f>
        <v>2336</v>
      </c>
      <c r="Q81" s="12"/>
      <c r="R81" s="10"/>
      <c r="S81" s="12"/>
      <c r="T81" s="12">
        <f t="shared" si="18"/>
        <v>2336</v>
      </c>
      <c r="U81" s="12">
        <f t="shared" si="19"/>
        <v>0</v>
      </c>
      <c r="V81" s="12">
        <f>Table1[[#This Row],[Enrolment S.Y. 2025-2026 ]]*8</f>
        <v>2336</v>
      </c>
      <c r="W81" s="12"/>
      <c r="X81" s="10"/>
      <c r="Y81" s="12"/>
      <c r="Z81" s="12">
        <f t="shared" si="20"/>
        <v>2336</v>
      </c>
      <c r="AA81" s="12">
        <f t="shared" si="21"/>
        <v>0</v>
      </c>
    </row>
    <row r="82" spans="1:27" ht="19.5">
      <c r="A82" s="10">
        <v>8</v>
      </c>
      <c r="B82" s="11" t="s">
        <v>20</v>
      </c>
      <c r="C82" s="10">
        <v>292</v>
      </c>
      <c r="D82" s="12">
        <f>Table1[[#This Row],[Enrolment S.Y. 2025-2026 ]]*8</f>
        <v>2336</v>
      </c>
      <c r="E82" s="12">
        <v>40</v>
      </c>
      <c r="F82" s="10">
        <v>2025</v>
      </c>
      <c r="G82" s="12" t="s">
        <v>21</v>
      </c>
      <c r="H82" s="12">
        <f t="shared" si="22"/>
        <v>2296</v>
      </c>
      <c r="I82" s="12">
        <f t="shared" si="23"/>
        <v>0</v>
      </c>
      <c r="J82" s="12">
        <f>Table1[[#This Row],[Enrolment S.Y. 2025-2026 ]]*8</f>
        <v>2336</v>
      </c>
      <c r="K82" s="12"/>
      <c r="L82" s="10"/>
      <c r="M82" s="12"/>
      <c r="N82" s="12">
        <f t="shared" si="16"/>
        <v>2336</v>
      </c>
      <c r="O82" s="12">
        <f t="shared" si="17"/>
        <v>0</v>
      </c>
      <c r="P82" s="12">
        <f>Table1[[#This Row],[Enrolment S.Y. 2025-2026 ]]*8</f>
        <v>2336</v>
      </c>
      <c r="Q82" s="12"/>
      <c r="R82" s="10"/>
      <c r="S82" s="12"/>
      <c r="T82" s="12">
        <f t="shared" si="18"/>
        <v>2336</v>
      </c>
      <c r="U82" s="12">
        <f t="shared" si="19"/>
        <v>0</v>
      </c>
      <c r="V82" s="12">
        <f>Table1[[#This Row],[Enrolment S.Y. 2025-2026 ]]*8</f>
        <v>2336</v>
      </c>
      <c r="W82" s="12"/>
      <c r="X82" s="10"/>
      <c r="Y82" s="12"/>
      <c r="Z82" s="12">
        <f t="shared" si="20"/>
        <v>2336</v>
      </c>
      <c r="AA82" s="12">
        <f t="shared" si="21"/>
        <v>0</v>
      </c>
    </row>
    <row r="83" spans="1:27" s="7" customFormat="1" ht="19.5">
      <c r="J83" s="13"/>
      <c r="M83" s="5"/>
      <c r="N83" s="13"/>
      <c r="O83" s="13"/>
      <c r="P83" s="13"/>
      <c r="S83" s="5"/>
      <c r="T83" s="13"/>
      <c r="U83" s="13"/>
      <c r="V83" s="13"/>
      <c r="Y83" s="5"/>
      <c r="Z83" s="13"/>
      <c r="AA83" s="13"/>
    </row>
    <row r="84" spans="1:27" ht="19.5">
      <c r="A84" s="10">
        <v>9</v>
      </c>
      <c r="B84" s="11" t="s">
        <v>15</v>
      </c>
      <c r="C84" s="10">
        <v>263</v>
      </c>
      <c r="D84" s="12">
        <f>Table1[[#This Row],[Enrolment S.Y. 2025-2026 ]]*8</f>
        <v>2104</v>
      </c>
      <c r="E84" s="12">
        <v>0</v>
      </c>
      <c r="F84" s="10"/>
      <c r="G84" s="12"/>
      <c r="H84" s="12">
        <f t="shared" si="22"/>
        <v>2104</v>
      </c>
      <c r="I84" s="12">
        <f t="shared" si="23"/>
        <v>0</v>
      </c>
      <c r="J84" s="12">
        <f>Table1[[#This Row],[Enrolment S.Y. 2025-2026 ]]*8</f>
        <v>2104</v>
      </c>
      <c r="K84" s="12"/>
      <c r="L84" s="10"/>
      <c r="M84" s="12"/>
      <c r="N84" s="12">
        <f t="shared" si="16"/>
        <v>2104</v>
      </c>
      <c r="O84" s="12">
        <f t="shared" si="17"/>
        <v>0</v>
      </c>
      <c r="P84" s="12">
        <f>Table1[[#This Row],[Enrolment S.Y. 2025-2026 ]]*8</f>
        <v>2104</v>
      </c>
      <c r="Q84" s="12"/>
      <c r="R84" s="10"/>
      <c r="S84" s="12"/>
      <c r="T84" s="12">
        <f t="shared" si="18"/>
        <v>2104</v>
      </c>
      <c r="U84" s="12">
        <f t="shared" si="19"/>
        <v>0</v>
      </c>
      <c r="V84" s="12">
        <f>Table1[[#This Row],[Enrolment S.Y. 2025-2026 ]]*8</f>
        <v>2104</v>
      </c>
      <c r="W84" s="12"/>
      <c r="X84" s="10"/>
      <c r="Y84" s="12"/>
      <c r="Z84" s="12">
        <f t="shared" si="20"/>
        <v>2104</v>
      </c>
      <c r="AA84" s="12">
        <f t="shared" si="21"/>
        <v>0</v>
      </c>
    </row>
    <row r="85" spans="1:27" ht="19.5">
      <c r="A85" s="10">
        <v>9</v>
      </c>
      <c r="B85" s="11" t="s">
        <v>16</v>
      </c>
      <c r="C85" s="10">
        <v>263</v>
      </c>
      <c r="D85" s="12">
        <f>Table1[[#This Row],[Enrolment S.Y. 2025-2026 ]]*8</f>
        <v>2104</v>
      </c>
      <c r="E85" s="12">
        <v>0</v>
      </c>
      <c r="F85" s="10"/>
      <c r="G85" s="12"/>
      <c r="H85" s="12">
        <f t="shared" si="22"/>
        <v>2104</v>
      </c>
      <c r="I85" s="12">
        <f t="shared" si="23"/>
        <v>0</v>
      </c>
      <c r="J85" s="12">
        <f>Table1[[#This Row],[Enrolment S.Y. 2025-2026 ]]*8</f>
        <v>2104</v>
      </c>
      <c r="K85" s="12"/>
      <c r="L85" s="10"/>
      <c r="M85" s="12"/>
      <c r="N85" s="12">
        <f t="shared" si="16"/>
        <v>2104</v>
      </c>
      <c r="O85" s="12">
        <f t="shared" si="17"/>
        <v>0</v>
      </c>
      <c r="P85" s="12">
        <f>Table1[[#This Row],[Enrolment S.Y. 2025-2026 ]]*8</f>
        <v>2104</v>
      </c>
      <c r="Q85" s="12"/>
      <c r="R85" s="10"/>
      <c r="S85" s="12"/>
      <c r="T85" s="12">
        <f t="shared" si="18"/>
        <v>2104</v>
      </c>
      <c r="U85" s="12">
        <f t="shared" si="19"/>
        <v>0</v>
      </c>
      <c r="V85" s="12">
        <f>Table1[[#This Row],[Enrolment S.Y. 2025-2026 ]]*8</f>
        <v>2104</v>
      </c>
      <c r="W85" s="12"/>
      <c r="X85" s="10"/>
      <c r="Y85" s="12"/>
      <c r="Z85" s="12">
        <f t="shared" si="20"/>
        <v>2104</v>
      </c>
      <c r="AA85" s="12">
        <f t="shared" si="21"/>
        <v>0</v>
      </c>
    </row>
    <row r="86" spans="1:27" ht="19.5">
      <c r="A86" s="10">
        <v>9</v>
      </c>
      <c r="B86" s="11" t="s">
        <v>13</v>
      </c>
      <c r="C86" s="10">
        <v>263</v>
      </c>
      <c r="D86" s="12">
        <f>Table1[[#This Row],[Enrolment S.Y. 2025-2026 ]]*8</f>
        <v>2104</v>
      </c>
      <c r="E86" s="12">
        <v>0</v>
      </c>
      <c r="F86" s="10"/>
      <c r="G86" s="12"/>
      <c r="H86" s="12">
        <f t="shared" si="22"/>
        <v>2104</v>
      </c>
      <c r="I86" s="12">
        <f t="shared" si="23"/>
        <v>0</v>
      </c>
      <c r="J86" s="12">
        <f>Table1[[#This Row],[Enrolment S.Y. 2025-2026 ]]*8</f>
        <v>2104</v>
      </c>
      <c r="K86" s="12"/>
      <c r="L86" s="10"/>
      <c r="M86" s="12"/>
      <c r="N86" s="12">
        <f t="shared" si="16"/>
        <v>2104</v>
      </c>
      <c r="O86" s="12">
        <f t="shared" si="17"/>
        <v>0</v>
      </c>
      <c r="P86" s="12">
        <f>Table1[[#This Row],[Enrolment S.Y. 2025-2026 ]]*8</f>
        <v>2104</v>
      </c>
      <c r="Q86" s="12"/>
      <c r="R86" s="10"/>
      <c r="S86" s="12"/>
      <c r="T86" s="12">
        <f t="shared" si="18"/>
        <v>2104</v>
      </c>
      <c r="U86" s="12">
        <f t="shared" si="19"/>
        <v>0</v>
      </c>
      <c r="V86" s="12">
        <f>Table1[[#This Row],[Enrolment S.Y. 2025-2026 ]]*8</f>
        <v>2104</v>
      </c>
      <c r="W86" s="12"/>
      <c r="X86" s="10"/>
      <c r="Y86" s="12"/>
      <c r="Z86" s="12">
        <f t="shared" si="20"/>
        <v>2104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263</v>
      </c>
      <c r="D87" s="12">
        <f>Table1[[#This Row],[Enrolment S.Y. 2025-2026 ]]*8</f>
        <v>2104</v>
      </c>
      <c r="E87" s="12">
        <v>0</v>
      </c>
      <c r="F87" s="10"/>
      <c r="G87" s="12"/>
      <c r="H87" s="12">
        <f t="shared" si="22"/>
        <v>2104</v>
      </c>
      <c r="I87" s="12">
        <f t="shared" si="23"/>
        <v>0</v>
      </c>
      <c r="J87" s="12">
        <f>Table1[[#This Row],[Enrolment S.Y. 2025-2026 ]]*8</f>
        <v>2104</v>
      </c>
      <c r="K87" s="12"/>
      <c r="L87" s="10"/>
      <c r="M87" s="12"/>
      <c r="N87" s="12">
        <f t="shared" si="16"/>
        <v>2104</v>
      </c>
      <c r="O87" s="12">
        <f t="shared" si="17"/>
        <v>0</v>
      </c>
      <c r="P87" s="12">
        <f>Table1[[#This Row],[Enrolment S.Y. 2025-2026 ]]*8</f>
        <v>2104</v>
      </c>
      <c r="Q87" s="12"/>
      <c r="R87" s="10"/>
      <c r="S87" s="12"/>
      <c r="T87" s="12">
        <f t="shared" si="18"/>
        <v>2104</v>
      </c>
      <c r="U87" s="12">
        <f t="shared" si="19"/>
        <v>0</v>
      </c>
      <c r="V87" s="12">
        <f>Table1[[#This Row],[Enrolment S.Y. 2025-2026 ]]*8</f>
        <v>2104</v>
      </c>
      <c r="W87" s="12"/>
      <c r="X87" s="10"/>
      <c r="Y87" s="12"/>
      <c r="Z87" s="12">
        <f t="shared" si="20"/>
        <v>2104</v>
      </c>
      <c r="AA87" s="12">
        <f t="shared" si="21"/>
        <v>0</v>
      </c>
    </row>
    <row r="88" spans="1:27" ht="19.5">
      <c r="A88" s="10">
        <v>9</v>
      </c>
      <c r="B88" s="11" t="s">
        <v>24</v>
      </c>
      <c r="C88" s="10">
        <v>263</v>
      </c>
      <c r="D88" s="12">
        <f>Table1[[#This Row],[Enrolment S.Y. 2025-2026 ]]*8</f>
        <v>2104</v>
      </c>
      <c r="E88" s="12">
        <v>0</v>
      </c>
      <c r="F88" s="10"/>
      <c r="G88" s="12"/>
      <c r="H88" s="12">
        <f t="shared" si="22"/>
        <v>2104</v>
      </c>
      <c r="I88" s="12">
        <f t="shared" si="23"/>
        <v>0</v>
      </c>
      <c r="J88" s="12">
        <f>Table1[[#This Row],[Enrolment S.Y. 2025-2026 ]]*8</f>
        <v>2104</v>
      </c>
      <c r="K88" s="12"/>
      <c r="L88" s="10"/>
      <c r="M88" s="12"/>
      <c r="N88" s="12">
        <f t="shared" si="16"/>
        <v>2104</v>
      </c>
      <c r="O88" s="12">
        <f t="shared" si="17"/>
        <v>0</v>
      </c>
      <c r="P88" s="12">
        <f>Table1[[#This Row],[Enrolment S.Y. 2025-2026 ]]*8</f>
        <v>2104</v>
      </c>
      <c r="Q88" s="12"/>
      <c r="R88" s="10"/>
      <c r="S88" s="12"/>
      <c r="T88" s="12">
        <f t="shared" si="18"/>
        <v>2104</v>
      </c>
      <c r="U88" s="12">
        <f t="shared" si="19"/>
        <v>0</v>
      </c>
      <c r="V88" s="12">
        <f>Table1[[#This Row],[Enrolment S.Y. 2025-2026 ]]*8</f>
        <v>2104</v>
      </c>
      <c r="W88" s="12"/>
      <c r="X88" s="10"/>
      <c r="Y88" s="12"/>
      <c r="Z88" s="12">
        <f t="shared" si="20"/>
        <v>2104</v>
      </c>
      <c r="AA88" s="12">
        <f t="shared" si="21"/>
        <v>0</v>
      </c>
    </row>
    <row r="89" spans="1:27" ht="19.5">
      <c r="A89" s="10">
        <v>9</v>
      </c>
      <c r="B89" s="11" t="s">
        <v>14</v>
      </c>
      <c r="C89" s="10">
        <v>263</v>
      </c>
      <c r="D89" s="12">
        <f>Table1[[#This Row],[Enrolment S.Y. 2025-2026 ]]*8</f>
        <v>2104</v>
      </c>
      <c r="E89" s="12">
        <v>0</v>
      </c>
      <c r="F89" s="10"/>
      <c r="G89" s="12"/>
      <c r="H89" s="12">
        <f t="shared" si="22"/>
        <v>2104</v>
      </c>
      <c r="I89" s="12">
        <f t="shared" si="23"/>
        <v>0</v>
      </c>
      <c r="J89" s="12">
        <f>Table1[[#This Row],[Enrolment S.Y. 2025-2026 ]]*8</f>
        <v>2104</v>
      </c>
      <c r="K89" s="12"/>
      <c r="L89" s="10"/>
      <c r="M89" s="12"/>
      <c r="N89" s="12">
        <f t="shared" si="16"/>
        <v>2104</v>
      </c>
      <c r="O89" s="12">
        <f t="shared" si="17"/>
        <v>0</v>
      </c>
      <c r="P89" s="12">
        <f>Table1[[#This Row],[Enrolment S.Y. 2025-2026 ]]*8</f>
        <v>2104</v>
      </c>
      <c r="Q89" s="12"/>
      <c r="R89" s="10"/>
      <c r="S89" s="12"/>
      <c r="T89" s="12">
        <f t="shared" si="18"/>
        <v>2104</v>
      </c>
      <c r="U89" s="12">
        <f t="shared" si="19"/>
        <v>0</v>
      </c>
      <c r="V89" s="12">
        <f>Table1[[#This Row],[Enrolment S.Y. 2025-2026 ]]*8</f>
        <v>2104</v>
      </c>
      <c r="W89" s="12"/>
      <c r="X89" s="10"/>
      <c r="Y89" s="12"/>
      <c r="Z89" s="12">
        <f t="shared" si="20"/>
        <v>2104</v>
      </c>
      <c r="AA89" s="12">
        <f t="shared" si="21"/>
        <v>0</v>
      </c>
    </row>
    <row r="90" spans="1:27" ht="19.5">
      <c r="A90" s="10">
        <v>9</v>
      </c>
      <c r="B90" s="11" t="s">
        <v>18</v>
      </c>
      <c r="C90" s="10">
        <v>263</v>
      </c>
      <c r="D90" s="12">
        <f>Table1[[#This Row],[Enrolment S.Y. 2025-2026 ]]*8</f>
        <v>2104</v>
      </c>
      <c r="E90" s="12">
        <v>0</v>
      </c>
      <c r="F90" s="10"/>
      <c r="G90" s="12"/>
      <c r="H90" s="12">
        <f t="shared" si="22"/>
        <v>2104</v>
      </c>
      <c r="I90" s="12">
        <f t="shared" si="23"/>
        <v>0</v>
      </c>
      <c r="J90" s="12">
        <f>Table1[[#This Row],[Enrolment S.Y. 2025-2026 ]]*8</f>
        <v>2104</v>
      </c>
      <c r="K90" s="12"/>
      <c r="L90" s="10"/>
      <c r="M90" s="12"/>
      <c r="N90" s="12">
        <f t="shared" si="16"/>
        <v>2104</v>
      </c>
      <c r="O90" s="12">
        <f t="shared" si="17"/>
        <v>0</v>
      </c>
      <c r="P90" s="12">
        <f>Table1[[#This Row],[Enrolment S.Y. 2025-2026 ]]*8</f>
        <v>2104</v>
      </c>
      <c r="Q90" s="12"/>
      <c r="R90" s="10"/>
      <c r="S90" s="12"/>
      <c r="T90" s="12">
        <f t="shared" si="18"/>
        <v>2104</v>
      </c>
      <c r="U90" s="12">
        <f t="shared" si="19"/>
        <v>0</v>
      </c>
      <c r="V90" s="12">
        <f>Table1[[#This Row],[Enrolment S.Y. 2025-2026 ]]*8</f>
        <v>2104</v>
      </c>
      <c r="W90" s="12"/>
      <c r="X90" s="10"/>
      <c r="Y90" s="12"/>
      <c r="Z90" s="12">
        <f t="shared" si="20"/>
        <v>2104</v>
      </c>
      <c r="AA90" s="12">
        <f t="shared" si="21"/>
        <v>0</v>
      </c>
    </row>
    <row r="91" spans="1:27" ht="19.5">
      <c r="A91" s="10">
        <v>9</v>
      </c>
      <c r="B91" s="11" t="s">
        <v>23</v>
      </c>
      <c r="C91" s="10">
        <v>263</v>
      </c>
      <c r="D91" s="12">
        <f>Table1[[#This Row],[Enrolment S.Y. 2025-2026 ]]*8</f>
        <v>2104</v>
      </c>
      <c r="E91" s="12">
        <v>0</v>
      </c>
      <c r="F91" s="10"/>
      <c r="G91" s="12"/>
      <c r="H91" s="12">
        <f t="shared" si="22"/>
        <v>2104</v>
      </c>
      <c r="I91" s="12">
        <f t="shared" si="23"/>
        <v>0</v>
      </c>
      <c r="J91" s="12">
        <f>Table1[[#This Row],[Enrolment S.Y. 2025-2026 ]]*8</f>
        <v>2104</v>
      </c>
      <c r="K91" s="12"/>
      <c r="L91" s="10"/>
      <c r="M91" s="12"/>
      <c r="N91" s="12">
        <f t="shared" si="16"/>
        <v>2104</v>
      </c>
      <c r="O91" s="12">
        <f t="shared" si="17"/>
        <v>0</v>
      </c>
      <c r="P91" s="12">
        <f>Table1[[#This Row],[Enrolment S.Y. 2025-2026 ]]*8</f>
        <v>2104</v>
      </c>
      <c r="Q91" s="12"/>
      <c r="R91" s="10"/>
      <c r="S91" s="12"/>
      <c r="T91" s="12">
        <f t="shared" si="18"/>
        <v>2104</v>
      </c>
      <c r="U91" s="12">
        <f t="shared" si="19"/>
        <v>0</v>
      </c>
      <c r="V91" s="12">
        <f>Table1[[#This Row],[Enrolment S.Y. 2025-2026 ]]*8</f>
        <v>2104</v>
      </c>
      <c r="W91" s="12"/>
      <c r="X91" s="10"/>
      <c r="Y91" s="12"/>
      <c r="Z91" s="12">
        <f t="shared" si="20"/>
        <v>2104</v>
      </c>
      <c r="AA91" s="12">
        <f t="shared" si="21"/>
        <v>0</v>
      </c>
    </row>
    <row r="92" spans="1:27" ht="19.5">
      <c r="A92" s="10">
        <v>9</v>
      </c>
      <c r="B92" s="11" t="s">
        <v>20</v>
      </c>
      <c r="C92" s="10">
        <v>263</v>
      </c>
      <c r="D92" s="12">
        <f>Table1[[#This Row],[Enrolment S.Y. 2025-2026 ]]*8</f>
        <v>2104</v>
      </c>
      <c r="E92" s="12">
        <v>0</v>
      </c>
      <c r="F92" s="10"/>
      <c r="G92" s="12"/>
      <c r="H92" s="12">
        <f t="shared" si="22"/>
        <v>2104</v>
      </c>
      <c r="I92" s="12">
        <f t="shared" si="23"/>
        <v>0</v>
      </c>
      <c r="J92" s="12">
        <f>Table1[[#This Row],[Enrolment S.Y. 2025-2026 ]]*8</f>
        <v>2104</v>
      </c>
      <c r="K92" s="12"/>
      <c r="L92" s="10"/>
      <c r="M92" s="12"/>
      <c r="N92" s="12">
        <f t="shared" si="16"/>
        <v>2104</v>
      </c>
      <c r="O92" s="12">
        <f t="shared" si="17"/>
        <v>0</v>
      </c>
      <c r="P92" s="12">
        <f>Table1[[#This Row],[Enrolment S.Y. 2025-2026 ]]*8</f>
        <v>2104</v>
      </c>
      <c r="Q92" s="12"/>
      <c r="R92" s="10"/>
      <c r="S92" s="12"/>
      <c r="T92" s="12">
        <f t="shared" si="18"/>
        <v>2104</v>
      </c>
      <c r="U92" s="12">
        <f t="shared" si="19"/>
        <v>0</v>
      </c>
      <c r="V92" s="12">
        <f>Table1[[#This Row],[Enrolment S.Y. 2025-2026 ]]*8</f>
        <v>2104</v>
      </c>
      <c r="W92" s="12"/>
      <c r="X92" s="10"/>
      <c r="Y92" s="12"/>
      <c r="Z92" s="12">
        <f t="shared" si="20"/>
        <v>2104</v>
      </c>
      <c r="AA92" s="12">
        <f t="shared" si="21"/>
        <v>0</v>
      </c>
    </row>
    <row r="93" spans="1:27" s="7" customFormat="1" ht="19.5">
      <c r="J93" s="13"/>
      <c r="M93" s="5"/>
      <c r="N93" s="13"/>
      <c r="O93" s="13"/>
      <c r="P93" s="13"/>
      <c r="S93" s="5"/>
      <c r="T93" s="13"/>
      <c r="U93" s="13"/>
      <c r="V93" s="13"/>
      <c r="Y93" s="5"/>
      <c r="Z93" s="13"/>
      <c r="AA93" s="13"/>
    </row>
    <row r="94" spans="1:27" ht="19.5">
      <c r="A94" s="10">
        <v>10</v>
      </c>
      <c r="B94" s="11" t="s">
        <v>15</v>
      </c>
      <c r="C94" s="10">
        <v>310</v>
      </c>
      <c r="D94" s="12">
        <f>Table1[[#This Row],[Enrolment S.Y. 2025-2026 ]]*8</f>
        <v>2480</v>
      </c>
      <c r="E94" s="12">
        <v>0</v>
      </c>
      <c r="F94" s="10"/>
      <c r="G94" s="12"/>
      <c r="H94" s="12">
        <f>IF((D94-E94)&lt;0,0,(D94-E94))</f>
        <v>2480</v>
      </c>
      <c r="I94" s="12">
        <f>IF((E94-D94)&lt;0,0,(E94-D94))</f>
        <v>0</v>
      </c>
      <c r="J94" s="12">
        <f>Table1[[#This Row],[Enrolment S.Y. 2025-2026 ]]*8</f>
        <v>2480</v>
      </c>
      <c r="K94" s="12"/>
      <c r="L94" s="10"/>
      <c r="M94" s="12"/>
      <c r="N94" s="12">
        <f>IF((J94-K94)&lt;0,0,(J94-K94))</f>
        <v>2480</v>
      </c>
      <c r="O94" s="12">
        <f>IF((K94-J94)&lt;0,0,(K94-J94))</f>
        <v>0</v>
      </c>
      <c r="P94" s="12">
        <f>Table1[[#This Row],[Enrolment S.Y. 2025-2026 ]]*8</f>
        <v>2480</v>
      </c>
      <c r="Q94" s="12"/>
      <c r="R94" s="10"/>
      <c r="S94" s="12"/>
      <c r="T94" s="12">
        <f>IF((P94-Q94)&lt;0,0,(P94-Q94))</f>
        <v>2480</v>
      </c>
      <c r="U94" s="12">
        <f>IF((Q94-P94)&lt;0,0,(Q94-P94))</f>
        <v>0</v>
      </c>
      <c r="V94" s="12">
        <f>Table1[[#This Row],[Enrolment S.Y. 2025-2026 ]]*8</f>
        <v>2480</v>
      </c>
      <c r="W94" s="12"/>
      <c r="X94" s="10"/>
      <c r="Y94" s="12"/>
      <c r="Z94" s="12">
        <f>IF((V94-W94)&lt;0,0,(V94-W94))</f>
        <v>2480</v>
      </c>
      <c r="AA94" s="12">
        <f>IF((W94-V94)&lt;0,0,(W94-V94))</f>
        <v>0</v>
      </c>
    </row>
    <row r="95" spans="1:27" ht="19.5">
      <c r="A95" s="10">
        <v>10</v>
      </c>
      <c r="B95" s="11" t="s">
        <v>16</v>
      </c>
      <c r="C95" s="10">
        <v>310</v>
      </c>
      <c r="D95" s="12">
        <f>Table1[[#This Row],[Enrolment S.Y. 2025-2026 ]]*8</f>
        <v>2480</v>
      </c>
      <c r="E95" s="12">
        <v>0</v>
      </c>
      <c r="F95" s="10"/>
      <c r="G95" s="12"/>
      <c r="H95" s="12">
        <f>IF((D95-E95)&lt;0,0,(D95-E95))</f>
        <v>2480</v>
      </c>
      <c r="I95" s="12">
        <f>IF((E95-D95)&lt;0,0,(E95-D95))</f>
        <v>0</v>
      </c>
      <c r="J95" s="12">
        <f>Table1[[#This Row],[Enrolment S.Y. 2025-2026 ]]*8</f>
        <v>2480</v>
      </c>
      <c r="K95" s="12"/>
      <c r="L95" s="10"/>
      <c r="M95" s="12"/>
      <c r="N95" s="12">
        <f>IF((J95-K95)&lt;0,0,(J95-K95))</f>
        <v>2480</v>
      </c>
      <c r="O95" s="12">
        <f>IF((K95-J95)&lt;0,0,(K95-J95))</f>
        <v>0</v>
      </c>
      <c r="P95" s="12">
        <f>Table1[[#This Row],[Enrolment S.Y. 2025-2026 ]]*8</f>
        <v>2480</v>
      </c>
      <c r="Q95" s="12"/>
      <c r="R95" s="10"/>
      <c r="S95" s="12"/>
      <c r="T95" s="12">
        <f>IF((P95-Q95)&lt;0,0,(P95-Q95))</f>
        <v>2480</v>
      </c>
      <c r="U95" s="12">
        <f>IF((Q95-P95)&lt;0,0,(Q95-P95))</f>
        <v>0</v>
      </c>
      <c r="V95" s="12">
        <f>Table1[[#This Row],[Enrolment S.Y. 2025-2026 ]]*8</f>
        <v>2480</v>
      </c>
      <c r="W95" s="12"/>
      <c r="X95" s="10"/>
      <c r="Y95" s="12"/>
      <c r="Z95" s="12">
        <f>IF((V95-W95)&lt;0,0,(V95-W95))</f>
        <v>2480</v>
      </c>
      <c r="AA95" s="12">
        <f>IF((W95-V95)&lt;0,0,(W95-V95))</f>
        <v>0</v>
      </c>
    </row>
    <row r="96" spans="1:27" ht="19.5">
      <c r="A96" s="10">
        <v>10</v>
      </c>
      <c r="B96" s="11" t="s">
        <v>13</v>
      </c>
      <c r="C96" s="10">
        <v>310</v>
      </c>
      <c r="D96" s="12">
        <f>Table1[[#This Row],[Enrolment S.Y. 2025-2026 ]]*8</f>
        <v>2480</v>
      </c>
      <c r="E96" s="12">
        <v>0</v>
      </c>
      <c r="F96" s="10"/>
      <c r="G96" s="12"/>
      <c r="H96" s="12">
        <f>IF((D96-E96)&lt;0,0,(D96-E96))</f>
        <v>2480</v>
      </c>
      <c r="I96" s="12">
        <f>IF((E96-D96)&lt;0,0,(E96-D96))</f>
        <v>0</v>
      </c>
      <c r="J96" s="12">
        <f>Table1[[#This Row],[Enrolment S.Y. 2025-2026 ]]*8</f>
        <v>2480</v>
      </c>
      <c r="K96" s="12"/>
      <c r="L96" s="10"/>
      <c r="M96" s="12"/>
      <c r="N96" s="12">
        <f>IF((J96-K96)&lt;0,0,(J96-K96))</f>
        <v>2480</v>
      </c>
      <c r="O96" s="12">
        <f>IF((K96-J96)&lt;0,0,(K96-J96))</f>
        <v>0</v>
      </c>
      <c r="P96" s="12">
        <f>Table1[[#This Row],[Enrolment S.Y. 2025-2026 ]]*8</f>
        <v>2480</v>
      </c>
      <c r="Q96" s="12"/>
      <c r="R96" s="10"/>
      <c r="S96" s="12"/>
      <c r="T96" s="12">
        <f>IF((P96-Q96)&lt;0,0,(P96-Q96))</f>
        <v>2480</v>
      </c>
      <c r="U96" s="12">
        <f>IF((Q96-P96)&lt;0,0,(Q96-P96))</f>
        <v>0</v>
      </c>
      <c r="V96" s="12">
        <f>Table1[[#This Row],[Enrolment S.Y. 2025-2026 ]]*8</f>
        <v>2480</v>
      </c>
      <c r="W96" s="12"/>
      <c r="X96" s="10"/>
      <c r="Y96" s="12"/>
      <c r="Z96" s="12">
        <f>IF((V96-W96)&lt;0,0,(V96-W96))</f>
        <v>2480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310</v>
      </c>
      <c r="D97" s="12">
        <f>Table1[[#This Row],[Enrolment S.Y. 2025-2026 ]]*8</f>
        <v>2480</v>
      </c>
      <c r="E97" s="12">
        <v>0</v>
      </c>
      <c r="F97" s="10"/>
      <c r="G97" s="12"/>
      <c r="H97" s="12">
        <f>IF((D97-E97)&lt;0,0,(D97-E97))</f>
        <v>2480</v>
      </c>
      <c r="I97" s="12">
        <f>IF((E97-D97)&lt;0,0,(E97-D97))</f>
        <v>0</v>
      </c>
      <c r="J97" s="12">
        <f>Table1[[#This Row],[Enrolment S.Y. 2025-2026 ]]*8</f>
        <v>2480</v>
      </c>
      <c r="K97" s="12"/>
      <c r="L97" s="10"/>
      <c r="M97" s="12"/>
      <c r="N97" s="12">
        <f>IF((J97-K97)&lt;0,0,(J97-K97))</f>
        <v>2480</v>
      </c>
      <c r="O97" s="12">
        <f>IF((K97-J97)&lt;0,0,(K97-J97))</f>
        <v>0</v>
      </c>
      <c r="P97" s="12">
        <f>Table1[[#This Row],[Enrolment S.Y. 2025-2026 ]]*8</f>
        <v>2480</v>
      </c>
      <c r="Q97" s="12"/>
      <c r="R97" s="10"/>
      <c r="S97" s="12"/>
      <c r="T97" s="12">
        <f>IF((P97-Q97)&lt;0,0,(P97-Q97))</f>
        <v>2480</v>
      </c>
      <c r="U97" s="12">
        <f>IF((Q97-P97)&lt;0,0,(Q97-P97))</f>
        <v>0</v>
      </c>
      <c r="V97" s="12">
        <f>Table1[[#This Row],[Enrolment S.Y. 2025-2026 ]]*8</f>
        <v>2480</v>
      </c>
      <c r="W97" s="12"/>
      <c r="X97" s="10"/>
      <c r="Y97" s="12"/>
      <c r="Z97" s="12">
        <f>IF((V97-W97)&lt;0,0,(V97-W97))</f>
        <v>2480</v>
      </c>
      <c r="AA97" s="12">
        <f>IF((W97-V97)&lt;0,0,(W97-V97))</f>
        <v>0</v>
      </c>
    </row>
    <row r="98" spans="1:27" ht="19.5">
      <c r="A98" s="10">
        <v>10</v>
      </c>
      <c r="B98" s="11" t="s">
        <v>24</v>
      </c>
      <c r="C98" s="10">
        <v>310</v>
      </c>
      <c r="D98" s="12">
        <f>Table1[[#This Row],[Enrolment S.Y. 2025-2026 ]]*8</f>
        <v>2480</v>
      </c>
      <c r="E98" s="12">
        <v>0</v>
      </c>
      <c r="F98" s="10"/>
      <c r="G98" s="12"/>
      <c r="H98" s="12">
        <f>IF((D98-E98)&lt;0,0,(D98-E98))</f>
        <v>2480</v>
      </c>
      <c r="I98" s="12">
        <f>IF((E98-D98)&lt;0,0,(E98-D98))</f>
        <v>0</v>
      </c>
      <c r="J98" s="12">
        <f>Table1[[#This Row],[Enrolment S.Y. 2025-2026 ]]*8</f>
        <v>2480</v>
      </c>
      <c r="K98" s="12"/>
      <c r="L98" s="10"/>
      <c r="M98" s="12"/>
      <c r="N98" s="12">
        <f>IF((J98-K98)&lt;0,0,(J98-K98))</f>
        <v>2480</v>
      </c>
      <c r="O98" s="12">
        <f>IF((K98-J98)&lt;0,0,(K98-J98))</f>
        <v>0</v>
      </c>
      <c r="P98" s="12">
        <f>Table1[[#This Row],[Enrolment S.Y. 2025-2026 ]]*8</f>
        <v>2480</v>
      </c>
      <c r="Q98" s="12"/>
      <c r="R98" s="10"/>
      <c r="S98" s="12"/>
      <c r="T98" s="12">
        <f>IF((P98-Q98)&lt;0,0,(P98-Q98))</f>
        <v>2480</v>
      </c>
      <c r="U98" s="12">
        <f>IF((Q98-P98)&lt;0,0,(Q98-P98))</f>
        <v>0</v>
      </c>
      <c r="V98" s="12">
        <f>Table1[[#This Row],[Enrolment S.Y. 2025-2026 ]]*8</f>
        <v>2480</v>
      </c>
      <c r="W98" s="12"/>
      <c r="X98" s="10"/>
      <c r="Y98" s="12"/>
      <c r="Z98" s="12">
        <f>IF((V98-W98)&lt;0,0,(V98-W98))</f>
        <v>2480</v>
      </c>
      <c r="AA98" s="12">
        <f>IF((W98-V98)&lt;0,0,(W98-V98))</f>
        <v>0</v>
      </c>
    </row>
    <row r="99" spans="1:27" ht="19.5">
      <c r="A99" s="10">
        <v>10</v>
      </c>
      <c r="B99" s="11" t="s">
        <v>14</v>
      </c>
      <c r="C99" s="10">
        <v>310</v>
      </c>
      <c r="D99" s="12">
        <f>Table1[[#This Row],[Enrolment S.Y. 2025-2026 ]]*8</f>
        <v>2480</v>
      </c>
      <c r="E99" s="12">
        <v>0</v>
      </c>
      <c r="F99" s="10"/>
      <c r="G99" s="12"/>
      <c r="H99" s="12">
        <f>IF((D99-E99)&lt;0,0,(D99-E99))</f>
        <v>2480</v>
      </c>
      <c r="I99" s="12">
        <f>IF((E99-D99)&lt;0,0,(E99-D99))</f>
        <v>0</v>
      </c>
      <c r="J99" s="12">
        <f>Table1[[#This Row],[Enrolment S.Y. 2025-2026 ]]*8</f>
        <v>2480</v>
      </c>
      <c r="K99" s="12"/>
      <c r="L99" s="10"/>
      <c r="M99" s="12"/>
      <c r="N99" s="12">
        <f>IF((J99-K99)&lt;0,0,(J99-K99))</f>
        <v>2480</v>
      </c>
      <c r="O99" s="12">
        <f>IF((K99-J99)&lt;0,0,(K99-J99))</f>
        <v>0</v>
      </c>
      <c r="P99" s="12">
        <f>Table1[[#This Row],[Enrolment S.Y. 2025-2026 ]]*8</f>
        <v>2480</v>
      </c>
      <c r="Q99" s="12"/>
      <c r="R99" s="10"/>
      <c r="S99" s="12"/>
      <c r="T99" s="12">
        <f>IF((P99-Q99)&lt;0,0,(P99-Q99))</f>
        <v>2480</v>
      </c>
      <c r="U99" s="12">
        <f>IF((Q99-P99)&lt;0,0,(Q99-P99))</f>
        <v>0</v>
      </c>
      <c r="V99" s="12">
        <f>Table1[[#This Row],[Enrolment S.Y. 2025-2026 ]]*8</f>
        <v>2480</v>
      </c>
      <c r="W99" s="12"/>
      <c r="X99" s="10"/>
      <c r="Y99" s="12"/>
      <c r="Z99" s="12">
        <f>IF((V99-W99)&lt;0,0,(V99-W99))</f>
        <v>2480</v>
      </c>
      <c r="AA99" s="12">
        <f>IF((W99-V99)&lt;0,0,(W99-V99))</f>
        <v>0</v>
      </c>
    </row>
    <row r="100" spans="1:27" ht="19.5">
      <c r="A100" s="10">
        <v>10</v>
      </c>
      <c r="B100" s="11" t="s">
        <v>18</v>
      </c>
      <c r="C100" s="10">
        <v>310</v>
      </c>
      <c r="D100" s="12">
        <f>Table1[[#This Row],[Enrolment S.Y. 2025-2026 ]]*8</f>
        <v>2480</v>
      </c>
      <c r="E100" s="12">
        <v>0</v>
      </c>
      <c r="F100" s="10"/>
      <c r="G100" s="12"/>
      <c r="H100" s="12">
        <f>IF((D100-E100)&lt;0,0,(D100-E100))</f>
        <v>2480</v>
      </c>
      <c r="I100" s="12">
        <f>IF((E100-D100)&lt;0,0,(E100-D100))</f>
        <v>0</v>
      </c>
      <c r="J100" s="12">
        <f>Table1[[#This Row],[Enrolment S.Y. 2025-2026 ]]*8</f>
        <v>2480</v>
      </c>
      <c r="K100" s="12"/>
      <c r="L100" s="10"/>
      <c r="M100" s="12"/>
      <c r="N100" s="12">
        <f>IF((J100-K100)&lt;0,0,(J100-K100))</f>
        <v>2480</v>
      </c>
      <c r="O100" s="12">
        <f>IF((K100-J100)&lt;0,0,(K100-J100))</f>
        <v>0</v>
      </c>
      <c r="P100" s="12">
        <f>Table1[[#This Row],[Enrolment S.Y. 2025-2026 ]]*8</f>
        <v>2480</v>
      </c>
      <c r="Q100" s="12"/>
      <c r="R100" s="10"/>
      <c r="S100" s="12"/>
      <c r="T100" s="12">
        <f>IF((P100-Q100)&lt;0,0,(P100-Q100))</f>
        <v>2480</v>
      </c>
      <c r="U100" s="12">
        <f>IF((Q100-P100)&lt;0,0,(Q100-P100))</f>
        <v>0</v>
      </c>
      <c r="V100" s="12">
        <f>Table1[[#This Row],[Enrolment S.Y. 2025-2026 ]]*8</f>
        <v>2480</v>
      </c>
      <c r="W100" s="12"/>
      <c r="X100" s="10"/>
      <c r="Y100" s="12"/>
      <c r="Z100" s="12">
        <f>IF((V100-W100)&lt;0,0,(V100-W100))</f>
        <v>2480</v>
      </c>
      <c r="AA100" s="12">
        <f>IF((W100-V100)&lt;0,0,(W100-V100))</f>
        <v>0</v>
      </c>
    </row>
    <row r="101" spans="1:27" ht="19.5">
      <c r="A101" s="10">
        <v>10</v>
      </c>
      <c r="B101" s="11" t="s">
        <v>23</v>
      </c>
      <c r="C101" s="10">
        <v>310</v>
      </c>
      <c r="D101" s="12">
        <f>Table1[[#This Row],[Enrolment S.Y. 2025-2026 ]]*8</f>
        <v>2480</v>
      </c>
      <c r="E101" s="12">
        <v>0</v>
      </c>
      <c r="F101" s="10"/>
      <c r="G101" s="12"/>
      <c r="H101" s="12">
        <f>IF((D101-E101)&lt;0,0,(D101-E101))</f>
        <v>2480</v>
      </c>
      <c r="I101" s="12">
        <f>IF((E101-D101)&lt;0,0,(E101-D101))</f>
        <v>0</v>
      </c>
      <c r="J101" s="12">
        <f>Table1[[#This Row],[Enrolment S.Y. 2025-2026 ]]*8</f>
        <v>2480</v>
      </c>
      <c r="K101" s="12"/>
      <c r="L101" s="10"/>
      <c r="M101" s="12"/>
      <c r="N101" s="12">
        <f>IF((J101-K101)&lt;0,0,(J101-K101))</f>
        <v>2480</v>
      </c>
      <c r="O101" s="12">
        <f>IF((K101-J101)&lt;0,0,(K101-J101))</f>
        <v>0</v>
      </c>
      <c r="P101" s="12">
        <f>Table1[[#This Row],[Enrolment S.Y. 2025-2026 ]]*8</f>
        <v>2480</v>
      </c>
      <c r="Q101" s="12"/>
      <c r="R101" s="10"/>
      <c r="S101" s="12"/>
      <c r="T101" s="12">
        <f>IF((P101-Q101)&lt;0,0,(P101-Q101))</f>
        <v>2480</v>
      </c>
      <c r="U101" s="12">
        <f>IF((Q101-P101)&lt;0,0,(Q101-P101))</f>
        <v>0</v>
      </c>
      <c r="V101" s="12">
        <f>Table1[[#This Row],[Enrolment S.Y. 2025-2026 ]]*8</f>
        <v>2480</v>
      </c>
      <c r="W101" s="12"/>
      <c r="X101" s="10"/>
      <c r="Y101" s="12"/>
      <c r="Z101" s="12">
        <f>IF((V101-W101)&lt;0,0,(V101-W101))</f>
        <v>2480</v>
      </c>
      <c r="AA101" s="12">
        <f>IF((W101-V101)&lt;0,0,(W101-V101))</f>
        <v>0</v>
      </c>
    </row>
    <row r="102" spans="1:27" ht="19.5">
      <c r="A102" s="10">
        <v>10</v>
      </c>
      <c r="B102" s="11" t="s">
        <v>20</v>
      </c>
      <c r="C102" s="10">
        <v>310</v>
      </c>
      <c r="D102" s="12">
        <f>Table1[[#This Row],[Enrolment S.Y. 2025-2026 ]]*8</f>
        <v>2480</v>
      </c>
      <c r="E102" s="12">
        <v>0</v>
      </c>
      <c r="F102" s="10"/>
      <c r="G102" s="12"/>
      <c r="H102" s="12">
        <f>IF((D102-E102)&lt;0,0,(D102-E102))</f>
        <v>2480</v>
      </c>
      <c r="I102" s="12">
        <f>IF((E102-D102)&lt;0,0,(E102-D102))</f>
        <v>0</v>
      </c>
      <c r="J102" s="12">
        <f>Table1[[#This Row],[Enrolment S.Y. 2025-2026 ]]*8</f>
        <v>2480</v>
      </c>
      <c r="K102" s="12"/>
      <c r="L102" s="10"/>
      <c r="M102" s="12"/>
      <c r="N102" s="12">
        <f>IF((J102-K102)&lt;0,0,(J102-K102))</f>
        <v>2480</v>
      </c>
      <c r="O102" s="12">
        <f>IF((K102-J102)&lt;0,0,(K102-J102))</f>
        <v>0</v>
      </c>
      <c r="P102" s="12">
        <f>Table1[[#This Row],[Enrolment S.Y. 2025-2026 ]]*8</f>
        <v>2480</v>
      </c>
      <c r="Q102" s="12"/>
      <c r="R102" s="10"/>
      <c r="S102" s="12"/>
      <c r="T102" s="12">
        <f>IF((P102-Q102)&lt;0,0,(P102-Q102))</f>
        <v>2480</v>
      </c>
      <c r="U102" s="12">
        <f>IF((Q102-P102)&lt;0,0,(Q102-P102))</f>
        <v>0</v>
      </c>
      <c r="V102" s="12">
        <f>Table1[[#This Row],[Enrolment S.Y. 2025-2026 ]]*8</f>
        <v>2480</v>
      </c>
      <c r="W102" s="12"/>
      <c r="X102" s="10"/>
      <c r="Y102" s="12"/>
      <c r="Z102" s="12">
        <f>IF((V102-W102)&lt;0,0,(V102-W102))</f>
        <v>2480</v>
      </c>
      <c r="AA102" s="12">
        <f>IF((W102-V102)&lt;0,0,(W102-V102))</f>
        <v>0</v>
      </c>
    </row>
    <row r="103" spans="1:27" s="7" customFormat="1" ht="19.5">
      <c r="J103" s="13"/>
      <c r="M103" s="5"/>
      <c r="N103" s="13"/>
      <c r="O103" s="13"/>
      <c r="P103" s="13"/>
      <c r="S103" s="5"/>
      <c r="T103" s="13"/>
      <c r="U103" s="13"/>
      <c r="V103" s="13"/>
      <c r="Y103" s="5"/>
      <c r="Z103" s="13"/>
      <c r="AA103" s="13"/>
    </row>
    <row r="104" spans="1:27" ht="38.25">
      <c r="A104" s="1" t="s">
        <v>25</v>
      </c>
      <c r="B104" s="9" t="s">
        <v>26</v>
      </c>
      <c r="C104" s="1">
        <v>285</v>
      </c>
      <c r="D104" s="5">
        <f>Table1[[#This Row],[Enrolment S.Y. 2025-2026 ]]*8</f>
        <v>2280</v>
      </c>
      <c r="E104" s="5">
        <v>0</v>
      </c>
      <c r="F104" s="1"/>
      <c r="G104" s="5"/>
      <c r="H104" s="5">
        <f t="shared" si="22"/>
        <v>2280</v>
      </c>
      <c r="I104" s="5">
        <f t="shared" si="23"/>
        <v>0</v>
      </c>
      <c r="J104" s="5">
        <f>Table1[[#This Row],[Enrolment S.Y. 2025-2026 ]]*8</f>
        <v>2280</v>
      </c>
      <c r="K104" s="5"/>
      <c r="L104" s="1"/>
      <c r="M104" s="5"/>
      <c r="N104" s="5">
        <f t="shared" si="16"/>
        <v>2280</v>
      </c>
      <c r="O104" s="5">
        <f t="shared" si="17"/>
        <v>0</v>
      </c>
      <c r="P104" s="5">
        <f>Table1[[#This Row],[Enrolment S.Y. 2025-2026 ]]*8</f>
        <v>2280</v>
      </c>
      <c r="Q104" s="5"/>
      <c r="R104" s="1"/>
      <c r="S104" s="5"/>
      <c r="T104" s="5">
        <f t="shared" si="18"/>
        <v>2280</v>
      </c>
      <c r="U104" s="5">
        <f t="shared" si="19"/>
        <v>0</v>
      </c>
      <c r="V104" s="5">
        <f>Table1[[#This Row],[Enrolment S.Y. 2025-2026 ]]*8</f>
        <v>2280</v>
      </c>
      <c r="W104" s="5"/>
      <c r="X104" s="1"/>
      <c r="Y104" s="5"/>
      <c r="Z104" s="5">
        <f t="shared" si="20"/>
        <v>2280</v>
      </c>
      <c r="AA104" s="5">
        <f t="shared" si="21"/>
        <v>0</v>
      </c>
    </row>
    <row r="105" spans="1:27" ht="19.5">
      <c r="A105" s="1" t="s">
        <v>25</v>
      </c>
      <c r="B105" s="9" t="s">
        <v>27</v>
      </c>
      <c r="C105" s="1">
        <v>285</v>
      </c>
      <c r="D105" s="5">
        <f>Table1[[#This Row],[Enrolment S.Y. 2025-2026 ]]*8</f>
        <v>2280</v>
      </c>
      <c r="E105" s="5">
        <v>0</v>
      </c>
      <c r="F105" s="1"/>
      <c r="G105" s="5"/>
      <c r="H105" s="5">
        <f t="shared" si="22"/>
        <v>2280</v>
      </c>
      <c r="I105" s="5">
        <f t="shared" si="23"/>
        <v>0</v>
      </c>
      <c r="J105" s="5">
        <f>Table1[[#This Row],[Enrolment S.Y. 2025-2026 ]]*8</f>
        <v>2280</v>
      </c>
      <c r="K105" s="5"/>
      <c r="L105" s="1"/>
      <c r="M105" s="5"/>
      <c r="N105" s="5">
        <f t="shared" si="16"/>
        <v>2280</v>
      </c>
      <c r="O105" s="5">
        <f t="shared" si="17"/>
        <v>0</v>
      </c>
      <c r="P105" s="5">
        <f>Table1[[#This Row],[Enrolment S.Y. 2025-2026 ]]*8</f>
        <v>2280</v>
      </c>
      <c r="Q105" s="5"/>
      <c r="R105" s="1"/>
      <c r="S105" s="5"/>
      <c r="T105" s="5">
        <f t="shared" si="18"/>
        <v>2280</v>
      </c>
      <c r="U105" s="5">
        <f t="shared" si="19"/>
        <v>0</v>
      </c>
      <c r="V105" s="5">
        <f>Table1[[#This Row],[Enrolment S.Y. 2025-2026 ]]*8</f>
        <v>2280</v>
      </c>
      <c r="W105" s="5"/>
      <c r="X105" s="1"/>
      <c r="Y105" s="5"/>
      <c r="Z105" s="5">
        <f t="shared" si="20"/>
        <v>2280</v>
      </c>
      <c r="AA105" s="5">
        <f t="shared" si="21"/>
        <v>0</v>
      </c>
    </row>
    <row r="106" spans="1:27" ht="19.5">
      <c r="A106" s="1" t="s">
        <v>25</v>
      </c>
      <c r="B106" s="9" t="s">
        <v>28</v>
      </c>
      <c r="C106" s="1">
        <v>285</v>
      </c>
      <c r="D106" s="5">
        <f>Table1[[#This Row],[Enrolment S.Y. 2025-2026 ]]*8</f>
        <v>2280</v>
      </c>
      <c r="E106" s="5">
        <v>0</v>
      </c>
      <c r="F106" s="1"/>
      <c r="G106" s="5"/>
      <c r="H106" s="5">
        <f t="shared" si="22"/>
        <v>2280</v>
      </c>
      <c r="I106" s="5">
        <f t="shared" si="23"/>
        <v>0</v>
      </c>
      <c r="J106" s="5">
        <f>Table1[[#This Row],[Enrolment S.Y. 2025-2026 ]]*8</f>
        <v>2280</v>
      </c>
      <c r="K106" s="5"/>
      <c r="L106" s="1"/>
      <c r="M106" s="5"/>
      <c r="N106" s="5">
        <f t="shared" si="16"/>
        <v>2280</v>
      </c>
      <c r="O106" s="5">
        <f t="shared" si="17"/>
        <v>0</v>
      </c>
      <c r="P106" s="5">
        <f>Table1[[#This Row],[Enrolment S.Y. 2025-2026 ]]*8</f>
        <v>2280</v>
      </c>
      <c r="Q106" s="5"/>
      <c r="R106" s="1"/>
      <c r="S106" s="5"/>
      <c r="T106" s="5">
        <f t="shared" si="18"/>
        <v>2280</v>
      </c>
      <c r="U106" s="5">
        <f t="shared" si="19"/>
        <v>0</v>
      </c>
      <c r="V106" s="5">
        <f>Table1[[#This Row],[Enrolment S.Y. 2025-2026 ]]*8</f>
        <v>2280</v>
      </c>
      <c r="W106" s="5"/>
      <c r="X106" s="1"/>
      <c r="Y106" s="5"/>
      <c r="Z106" s="5">
        <f t="shared" si="20"/>
        <v>2280</v>
      </c>
      <c r="AA106" s="5">
        <f t="shared" si="21"/>
        <v>0</v>
      </c>
    </row>
    <row r="107" spans="1:27" ht="19.5">
      <c r="A107" s="1" t="s">
        <v>25</v>
      </c>
      <c r="B107" s="9" t="s">
        <v>29</v>
      </c>
      <c r="C107" s="1">
        <v>285</v>
      </c>
      <c r="D107" s="5">
        <f>Table1[[#This Row],[Enrolment S.Y. 2025-2026 ]]*8</f>
        <v>2280</v>
      </c>
      <c r="E107" s="5">
        <v>0</v>
      </c>
      <c r="F107" s="1"/>
      <c r="G107" s="5"/>
      <c r="H107" s="5">
        <f t="shared" si="22"/>
        <v>2280</v>
      </c>
      <c r="I107" s="5">
        <f t="shared" si="23"/>
        <v>0</v>
      </c>
      <c r="J107" s="5">
        <f>Table1[[#This Row],[Enrolment S.Y. 2025-2026 ]]*8</f>
        <v>2280</v>
      </c>
      <c r="K107" s="5"/>
      <c r="L107" s="1"/>
      <c r="M107" s="5"/>
      <c r="N107" s="5">
        <f t="shared" si="16"/>
        <v>2280</v>
      </c>
      <c r="O107" s="5">
        <f t="shared" si="17"/>
        <v>0</v>
      </c>
      <c r="P107" s="5">
        <f>Table1[[#This Row],[Enrolment S.Y. 2025-2026 ]]*8</f>
        <v>2280</v>
      </c>
      <c r="Q107" s="5"/>
      <c r="R107" s="1"/>
      <c r="S107" s="5"/>
      <c r="T107" s="5">
        <f t="shared" si="18"/>
        <v>2280</v>
      </c>
      <c r="U107" s="5">
        <f t="shared" si="19"/>
        <v>0</v>
      </c>
      <c r="V107" s="5">
        <f>Table1[[#This Row],[Enrolment S.Y. 2025-2026 ]]*8</f>
        <v>2280</v>
      </c>
      <c r="W107" s="5"/>
      <c r="X107" s="1"/>
      <c r="Y107" s="5"/>
      <c r="Z107" s="5">
        <f t="shared" si="20"/>
        <v>2280</v>
      </c>
      <c r="AA107" s="5">
        <f t="shared" si="21"/>
        <v>0</v>
      </c>
    </row>
    <row r="108" spans="1:27" ht="38.25">
      <c r="A108" s="1" t="s">
        <v>25</v>
      </c>
      <c r="B108" s="9" t="s">
        <v>30</v>
      </c>
      <c r="C108" s="1">
        <v>285</v>
      </c>
      <c r="D108" s="5">
        <f>Table1[[#This Row],[Enrolment S.Y. 2025-2026 ]]*8</f>
        <v>2280</v>
      </c>
      <c r="E108" s="5">
        <v>0</v>
      </c>
      <c r="F108" s="1"/>
      <c r="G108" s="5"/>
      <c r="H108" s="5">
        <f t="shared" si="22"/>
        <v>2280</v>
      </c>
      <c r="I108" s="5">
        <f t="shared" si="23"/>
        <v>0</v>
      </c>
      <c r="J108" s="5">
        <f>Table1[[#This Row],[Enrolment S.Y. 2025-2026 ]]*8</f>
        <v>2280</v>
      </c>
      <c r="K108" s="5"/>
      <c r="L108" s="1"/>
      <c r="M108" s="5"/>
      <c r="N108" s="5">
        <f t="shared" si="16"/>
        <v>2280</v>
      </c>
      <c r="O108" s="5">
        <f t="shared" si="17"/>
        <v>0</v>
      </c>
      <c r="P108" s="5">
        <f>Table1[[#This Row],[Enrolment S.Y. 2025-2026 ]]*8</f>
        <v>2280</v>
      </c>
      <c r="Q108" s="5"/>
      <c r="R108" s="1"/>
      <c r="S108" s="5"/>
      <c r="T108" s="5">
        <f t="shared" si="18"/>
        <v>2280</v>
      </c>
      <c r="U108" s="5">
        <f t="shared" si="19"/>
        <v>0</v>
      </c>
      <c r="V108" s="5">
        <f>Table1[[#This Row],[Enrolment S.Y. 2025-2026 ]]*8</f>
        <v>2280</v>
      </c>
      <c r="W108" s="5"/>
      <c r="X108" s="1"/>
      <c r="Y108" s="5"/>
      <c r="Z108" s="5">
        <f t="shared" si="20"/>
        <v>2280</v>
      </c>
      <c r="AA108" s="5">
        <f t="shared" si="21"/>
        <v>0</v>
      </c>
    </row>
    <row r="109" spans="1:27" ht="38.25">
      <c r="A109" s="1" t="s">
        <v>25</v>
      </c>
      <c r="B109" s="9" t="s">
        <v>31</v>
      </c>
      <c r="C109" s="1">
        <v>285</v>
      </c>
      <c r="D109" s="5">
        <f>Table1[[#This Row],[Enrolment S.Y. 2025-2026 ]]*8</f>
        <v>2280</v>
      </c>
      <c r="E109" s="5">
        <v>0</v>
      </c>
      <c r="F109" s="1"/>
      <c r="G109" s="5"/>
      <c r="H109" s="5">
        <f t="shared" si="22"/>
        <v>2280</v>
      </c>
      <c r="I109" s="5">
        <f t="shared" si="23"/>
        <v>0</v>
      </c>
      <c r="J109" s="5">
        <f>Table1[[#This Row],[Enrolment S.Y. 2025-2026 ]]*8</f>
        <v>2280</v>
      </c>
      <c r="K109" s="5"/>
      <c r="L109" s="1"/>
      <c r="M109" s="5"/>
      <c r="N109" s="5">
        <f t="shared" si="16"/>
        <v>2280</v>
      </c>
      <c r="O109" s="5">
        <f t="shared" si="17"/>
        <v>0</v>
      </c>
      <c r="P109" s="5">
        <f>Table1[[#This Row],[Enrolment S.Y. 2025-2026 ]]*8</f>
        <v>2280</v>
      </c>
      <c r="Q109" s="5"/>
      <c r="R109" s="1"/>
      <c r="S109" s="5"/>
      <c r="T109" s="5">
        <f t="shared" si="18"/>
        <v>2280</v>
      </c>
      <c r="U109" s="5">
        <f t="shared" si="19"/>
        <v>0</v>
      </c>
      <c r="V109" s="5">
        <f>Table1[[#This Row],[Enrolment S.Y. 2025-2026 ]]*8</f>
        <v>2280</v>
      </c>
      <c r="W109" s="5"/>
      <c r="X109" s="1"/>
      <c r="Y109" s="5"/>
      <c r="Z109" s="5">
        <f t="shared" si="20"/>
        <v>2280</v>
      </c>
      <c r="AA109" s="5">
        <f t="shared" si="21"/>
        <v>0</v>
      </c>
    </row>
    <row r="110" spans="1:27" ht="57.75">
      <c r="A110" s="1" t="s">
        <v>25</v>
      </c>
      <c r="B110" s="9" t="s">
        <v>32</v>
      </c>
      <c r="C110" s="1">
        <v>285</v>
      </c>
      <c r="D110" s="5">
        <f>Table1[[#This Row],[Enrolment S.Y. 2025-2026 ]]*8</f>
        <v>2280</v>
      </c>
      <c r="E110" s="5">
        <v>0</v>
      </c>
      <c r="F110" s="1"/>
      <c r="G110" s="5"/>
      <c r="H110" s="5">
        <f t="shared" si="22"/>
        <v>2280</v>
      </c>
      <c r="I110" s="5">
        <f t="shared" si="23"/>
        <v>0</v>
      </c>
      <c r="J110" s="5">
        <f>Table1[[#This Row],[Enrolment S.Y. 2025-2026 ]]*8</f>
        <v>2280</v>
      </c>
      <c r="K110" s="5"/>
      <c r="L110" s="1"/>
      <c r="M110" s="5"/>
      <c r="N110" s="5">
        <f t="shared" si="16"/>
        <v>2280</v>
      </c>
      <c r="O110" s="5">
        <f t="shared" si="17"/>
        <v>0</v>
      </c>
      <c r="P110" s="5">
        <f>Table1[[#This Row],[Enrolment S.Y. 2025-2026 ]]*8</f>
        <v>2280</v>
      </c>
      <c r="Q110" s="5"/>
      <c r="R110" s="1"/>
      <c r="S110" s="5"/>
      <c r="T110" s="5">
        <f t="shared" si="18"/>
        <v>2280</v>
      </c>
      <c r="U110" s="5">
        <f t="shared" si="19"/>
        <v>0</v>
      </c>
      <c r="V110" s="5">
        <f>Table1[[#This Row],[Enrolment S.Y. 2025-2026 ]]*8</f>
        <v>2280</v>
      </c>
      <c r="W110" s="5"/>
      <c r="X110" s="1"/>
      <c r="Y110" s="5"/>
      <c r="Z110" s="5">
        <f t="shared" si="20"/>
        <v>2280</v>
      </c>
      <c r="AA110" s="5">
        <f t="shared" si="21"/>
        <v>0</v>
      </c>
    </row>
    <row r="111" spans="1:27" ht="38.25">
      <c r="A111" s="1" t="s">
        <v>25</v>
      </c>
      <c r="B111" s="9" t="s">
        <v>33</v>
      </c>
      <c r="C111" s="1">
        <v>285</v>
      </c>
      <c r="D111" s="5">
        <f>Table1[[#This Row],[Enrolment S.Y. 2025-2026 ]]*8</f>
        <v>2280</v>
      </c>
      <c r="E111" s="5">
        <v>0</v>
      </c>
      <c r="F111" s="1"/>
      <c r="G111" s="5"/>
      <c r="H111" s="5">
        <f t="shared" si="22"/>
        <v>2280</v>
      </c>
      <c r="I111" s="5">
        <f t="shared" si="23"/>
        <v>0</v>
      </c>
      <c r="J111" s="5">
        <f>Table1[[#This Row],[Enrolment S.Y. 2025-2026 ]]*8</f>
        <v>2280</v>
      </c>
      <c r="K111" s="5"/>
      <c r="L111" s="1"/>
      <c r="M111" s="5"/>
      <c r="N111" s="5">
        <f t="shared" si="16"/>
        <v>2280</v>
      </c>
      <c r="O111" s="5">
        <f t="shared" si="17"/>
        <v>0</v>
      </c>
      <c r="P111" s="5">
        <f>Table1[[#This Row],[Enrolment S.Y. 2025-2026 ]]*8</f>
        <v>2280</v>
      </c>
      <c r="Q111" s="5"/>
      <c r="R111" s="1"/>
      <c r="S111" s="5"/>
      <c r="T111" s="5">
        <f t="shared" si="18"/>
        <v>2280</v>
      </c>
      <c r="U111" s="5">
        <f t="shared" si="19"/>
        <v>0</v>
      </c>
      <c r="V111" s="5">
        <f>Table1[[#This Row],[Enrolment S.Y. 2025-2026 ]]*8</f>
        <v>2280</v>
      </c>
      <c r="W111" s="5"/>
      <c r="X111" s="1"/>
      <c r="Y111" s="5"/>
      <c r="Z111" s="5">
        <f t="shared" si="20"/>
        <v>2280</v>
      </c>
      <c r="AA111" s="5">
        <f t="shared" si="21"/>
        <v>0</v>
      </c>
    </row>
    <row r="112" spans="1:27" s="7" customFormat="1" ht="19.5">
      <c r="J112" s="46"/>
      <c r="N112" s="46"/>
      <c r="O112" s="46"/>
      <c r="P112" s="46"/>
      <c r="T112" s="46"/>
      <c r="U112" s="46"/>
      <c r="V112" s="46"/>
      <c r="Z112" s="46"/>
      <c r="AA112" s="46"/>
    </row>
    <row r="113" spans="1:27" ht="19.5">
      <c r="A113" s="44"/>
      <c r="B113" s="45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:27" ht="39">
      <c r="A114" s="44"/>
      <c r="B114" s="60" t="s">
        <v>34</v>
      </c>
      <c r="C114" s="54"/>
      <c r="D114" s="54"/>
      <c r="E114" s="54"/>
      <c r="F114" s="55"/>
      <c r="G114" s="55"/>
      <c r="H114" s="55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:27" ht="26.25">
      <c r="A115" s="44"/>
      <c r="B115" s="56"/>
      <c r="C115" s="54"/>
      <c r="D115" s="57"/>
      <c r="E115" s="54"/>
      <c r="F115" s="55"/>
      <c r="G115" s="56"/>
      <c r="H115" s="55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:27" ht="39">
      <c r="A116" s="44"/>
      <c r="B116" s="59" t="s">
        <v>35</v>
      </c>
      <c r="C116" s="60"/>
      <c r="D116" s="61"/>
      <c r="E116" s="60"/>
      <c r="F116" s="58"/>
      <c r="G116" s="59" t="s">
        <v>36</v>
      </c>
      <c r="H116" s="58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:27" ht="39">
      <c r="A117" s="44"/>
      <c r="B117" s="60" t="s">
        <v>37</v>
      </c>
      <c r="C117" s="60"/>
      <c r="D117" s="61"/>
      <c r="E117" s="60"/>
      <c r="F117" s="58"/>
      <c r="G117" s="60" t="s">
        <v>76</v>
      </c>
      <c r="H117" s="58"/>
      <c r="I117" s="58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:27" ht="37.5">
      <c r="A118" s="44"/>
      <c r="B118" s="54"/>
      <c r="C118" s="54"/>
      <c r="D118" s="57"/>
      <c r="E118" s="54"/>
      <c r="F118" s="58"/>
      <c r="G118" s="54"/>
      <c r="H118" s="55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:27" ht="39">
      <c r="A119" s="44"/>
      <c r="B119" s="60" t="s">
        <v>39</v>
      </c>
      <c r="C119" s="60"/>
      <c r="D119" s="61"/>
      <c r="E119" s="60"/>
      <c r="F119" s="58"/>
      <c r="G119" s="62"/>
      <c r="H119" s="62"/>
      <c r="I119" s="62"/>
      <c r="J119" s="62"/>
      <c r="K119" s="60" t="s">
        <v>40</v>
      </c>
      <c r="L119" s="58"/>
      <c r="M119" s="58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:27" ht="39">
      <c r="A120" s="44"/>
      <c r="B120" s="60"/>
      <c r="C120" s="60"/>
      <c r="D120" s="61"/>
      <c r="E120" s="60"/>
      <c r="F120" s="58"/>
      <c r="G120" s="62"/>
      <c r="H120" s="62"/>
      <c r="I120" s="62"/>
      <c r="J120" s="62"/>
      <c r="K120" s="60"/>
      <c r="L120" s="58"/>
      <c r="M120" s="58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:27" ht="39">
      <c r="A121" s="44"/>
      <c r="B121" s="59" t="s">
        <v>41</v>
      </c>
      <c r="C121" s="60"/>
      <c r="D121" s="61"/>
      <c r="E121" s="60"/>
      <c r="F121" s="58"/>
      <c r="G121" s="62"/>
      <c r="H121" s="62"/>
      <c r="I121" s="62"/>
      <c r="J121" s="62"/>
      <c r="K121" s="59" t="s">
        <v>42</v>
      </c>
      <c r="L121" s="58"/>
      <c r="M121" s="58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:27" ht="39">
      <c r="A122" s="44"/>
      <c r="B122" s="60" t="s">
        <v>43</v>
      </c>
      <c r="C122" s="60"/>
      <c r="D122" s="61"/>
      <c r="E122" s="60"/>
      <c r="F122" s="58"/>
      <c r="G122" s="62"/>
      <c r="H122" s="62"/>
      <c r="I122" s="62"/>
      <c r="J122" s="62"/>
      <c r="K122" s="60" t="s">
        <v>44</v>
      </c>
      <c r="L122" s="58"/>
      <c r="M122" s="58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:27" ht="19.5">
      <c r="A123" s="44"/>
      <c r="B123" s="49"/>
      <c r="C123" s="50"/>
      <c r="D123" s="51"/>
      <c r="E123" s="50"/>
      <c r="F123" s="44"/>
      <c r="G123" s="62"/>
      <c r="H123" s="62"/>
      <c r="I123" s="62"/>
      <c r="J123" s="62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:27" ht="19.5">
      <c r="A124" s="44"/>
      <c r="B124" s="45"/>
      <c r="C124" s="44"/>
      <c r="D124" s="52"/>
      <c r="E124" s="44"/>
      <c r="F124" s="44"/>
      <c r="G124" s="53"/>
      <c r="H124" s="53"/>
      <c r="I124" s="53"/>
      <c r="J124" s="53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:27" ht="19.5">
      <c r="A125" s="44"/>
      <c r="B125" s="45"/>
      <c r="C125" s="44"/>
      <c r="D125" s="5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:27" ht="19.5">
      <c r="A126" s="44"/>
      <c r="B126" s="45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:27" ht="19.5">
      <c r="A127" s="44"/>
      <c r="B127" s="45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:27" ht="19.5">
      <c r="A128" s="44"/>
      <c r="B128" s="45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5"/>
  </sheetData>
  <protectedRanges>
    <protectedRange sqref="C3:C4 C15:C22 C24:C32 C34:C42 C44:C52 C54:C62 C6:C13 C84:C92 C94:C102 C104:C111 C113 C123:C128" name="Textbooks"/>
    <protectedRange sqref="J3:L4 D3:F4 H6:L6 D15:F22 Q15:R22 W15:X22 D24:F32 Q24:R32 W24:X32 D34:F42 H34:I42 Q34:R42 W34:X42 D44:F52 H44:I52 Q44:R52 W44:X52 D54:F62 H54:I62 Q54:R62 W54:X62 H64:I72 Q64:R72 W64:X72 H74:I82 Q74:R82 W74:X82 H84:I92 Q84:R92 W84:X92 H94:I102 Q94:R102 W94:X102 D104:F111 H104:I111 Q104:R111 W104:X111 T113:X128 H15:I22 H24:I32 H7:I13 K7:L13 K34:L42 K44:L52 K54:L62 K64:L72 K74:L82 K84:L92 K94:L102 K104:L111 K15:L22 K24:L32 P3:R3 V3:X4 H124:L128 L119:N123 D6:F13 N6:R13 T6:X13 N5:P5 T5:V5 J5 N4:R4 Y14 D74:F82 D64:F72 D84:F92 D94:F102 Z5:AA112 Z113:AA128 J7:J112 T14:V112 N14:P112 D113:F113 D123:F128 F114:F122 H113:L118 O113:R128 N113:N118 N124:N128" name="LAS"/>
    <protectedRange sqref="G3:I4 M3:O3 S3:U4 Y3:AA4 G6:G13 M6:M13 S5:S111 Y6:Y13 G15:G22 M15:M111 M4 Y15:Y111 G24:G32 G34:G42 G44:G52 G54:G62 G64:G72 G84:G92 G94:G102 G104:G111 G74:G82 Y113:Y128 S113:S128 G124:G128 G113:G114 K123 M113:M118 M124:M128" name="SOURCE"/>
    <protectedRange sqref="C64:C72" name="Textbooks_3"/>
    <protectedRange sqref="C74:C82" name="Textbooks_4"/>
  </protectedRanges>
  <dataConsolidate/>
  <mergeCells count="5">
    <mergeCell ref="D2:I2"/>
    <mergeCell ref="J2:O2"/>
    <mergeCell ref="P2:U2"/>
    <mergeCell ref="V2:AA2"/>
    <mergeCell ref="A1:AA1"/>
  </mergeCells>
  <dataValidations count="4">
    <dataValidation type="list" allowBlank="1" showInputMessage="1" showErrorMessage="1" sqref="R113:R128 X113:X128 L113:L128 F113:F128" xr:uid="{4ECCD083-8EC4-42EE-B46C-B614411F330D}">
      <formula1>"2024,2025"</formula1>
    </dataValidation>
    <dataValidation type="list" allowBlank="1" showInputMessage="1" showErrorMessage="1" sqref="M15:M111 Y15:Y111 S5:S111 G6:G13 M6:M13 Y6:Y13 G15:G22 G24:G32 G34:G42 G44:G52 G54:G62 G64:G72 G104:G111 G84:G92 G94:G102 G74:G82" xr:uid="{5129D80C-83DF-45BE-B6AD-F21CA596CBA5}">
      <formula1>"CO,RO,SDO,LGU,SCHOOL"</formula1>
    </dataValidation>
    <dataValidation type="list" allowBlank="1" showInputMessage="1" showErrorMessage="1" sqref="Y113:Y128 M113:M128 S113:S128 K119:K123 G113:G118 G124:G128" xr:uid="{8289B4A9-982E-4C7E-A8E2-4BF3404561DB}">
      <formula1>"CO,RO,SDO"</formula1>
    </dataValidation>
    <dataValidation type="list" allowBlank="1" showInputMessage="1" showErrorMessage="1" sqref="F104:F111 F94:F102 F84:F92 F74:F82 F64:F72 F54:F62 F44:F52 F34:F42 F24:F32 F15:F22 F6:F13 L104:L111 L94:L102 L84:L91 L74:L82 L64:L72 L54:L62 L44:L52 L35:L42 L24:L32 L15:L22 L6:L13 L92 L34 R104:R111 R94:R102 R84:R92 R74:R82 R64:R72 R54:R62 R44:R52 R34:R42 R24:R32 R15:R22 R6:R13 X104:X111 X94:X102 X84:X92 X74:X82 X64:X72 X54:X62 X44:X52 X34:X42 X24:X32 X15:X22 X6:X13" xr:uid="{CACD4148-3069-4061-BD89-3385D4210038}">
      <formula1>"2024,2025,2026"</formula1>
    </dataValidation>
  </dataValidations>
  <pageMargins left="0.25" right="0.25" top="0.75" bottom="0.75" header="0.3" footer="0.3"/>
  <pageSetup paperSize="5" fitToHeight="0" orientation="landscape"/>
  <ignoredErrors>
    <ignoredError sqref="J6 P6:P7 V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A146"/>
  <sheetViews>
    <sheetView tabSelected="1" topLeftCell="A74" zoomScale="55" zoomScaleNormal="55" workbookViewId="0">
      <selection activeCell="J171" sqref="J142:J171"/>
    </sheetView>
  </sheetViews>
  <sheetFormatPr defaultRowHeight="13.9"/>
  <cols>
    <col min="1" max="1" width="10.42578125" customWidth="1"/>
    <col min="2" max="2" width="28.57031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ht="21" customHeight="1">
      <c r="A1" s="71" t="s">
        <v>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1:27" s="28" customFormat="1" ht="19.5" customHeight="1">
      <c r="B2" s="35"/>
      <c r="D2" s="67" t="s">
        <v>46</v>
      </c>
      <c r="E2" s="67"/>
      <c r="F2" s="67"/>
      <c r="G2" s="67"/>
      <c r="H2" s="67"/>
      <c r="I2" s="67"/>
      <c r="J2" s="68" t="s">
        <v>47</v>
      </c>
      <c r="K2" s="68"/>
      <c r="L2" s="68"/>
      <c r="M2" s="68"/>
      <c r="N2" s="68"/>
      <c r="O2" s="68"/>
      <c r="P2" s="69" t="s">
        <v>48</v>
      </c>
      <c r="Q2" s="69"/>
      <c r="R2" s="69"/>
      <c r="S2" s="69"/>
      <c r="T2" s="69"/>
      <c r="U2" s="69"/>
      <c r="V2" s="70" t="s">
        <v>49</v>
      </c>
      <c r="W2" s="70"/>
      <c r="X2" s="70"/>
      <c r="Y2" s="70"/>
      <c r="Z2" s="70"/>
      <c r="AA2" s="70"/>
    </row>
    <row r="3" spans="1:27" ht="69.599999999999994" customHeight="1">
      <c r="A3" s="15" t="s">
        <v>1</v>
      </c>
      <c r="B3" s="36" t="s">
        <v>2</v>
      </c>
      <c r="C3" s="16" t="s">
        <v>3</v>
      </c>
      <c r="D3" s="20" t="s">
        <v>78</v>
      </c>
      <c r="E3" s="20" t="s">
        <v>79</v>
      </c>
      <c r="F3" s="21" t="s">
        <v>80</v>
      </c>
      <c r="G3" s="24" t="s">
        <v>81</v>
      </c>
      <c r="H3" s="17" t="s">
        <v>82</v>
      </c>
      <c r="I3" s="24" t="s">
        <v>83</v>
      </c>
      <c r="J3" s="22" t="s">
        <v>84</v>
      </c>
      <c r="K3" s="22" t="s">
        <v>85</v>
      </c>
      <c r="L3" s="23" t="s">
        <v>86</v>
      </c>
      <c r="M3" s="40" t="s">
        <v>87</v>
      </c>
      <c r="N3" s="40" t="s">
        <v>88</v>
      </c>
      <c r="O3" s="22" t="s">
        <v>89</v>
      </c>
      <c r="P3" s="24" t="s">
        <v>90</v>
      </c>
      <c r="Q3" s="24" t="s">
        <v>91</v>
      </c>
      <c r="R3" s="25" t="s">
        <v>92</v>
      </c>
      <c r="S3" s="17" t="s">
        <v>93</v>
      </c>
      <c r="T3" s="17" t="s">
        <v>94</v>
      </c>
      <c r="U3" s="24" t="s">
        <v>95</v>
      </c>
      <c r="V3" s="26" t="s">
        <v>96</v>
      </c>
      <c r="W3" s="26" t="s">
        <v>97</v>
      </c>
      <c r="X3" s="27" t="s">
        <v>98</v>
      </c>
      <c r="Y3" s="41" t="s">
        <v>99</v>
      </c>
      <c r="Z3" s="41" t="s">
        <v>100</v>
      </c>
      <c r="AA3" s="26" t="s">
        <v>101</v>
      </c>
    </row>
    <row r="4" spans="1:27" ht="38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ref="H4:H84" si="0">IF((D4-E4)&lt;0,0,(D4-E4))</f>
        <v>0</v>
      </c>
      <c r="I4" s="5">
        <f t="shared" ref="I4:I84" si="1">IF((E4-D4)&lt;0,0,(E4-D4))</f>
        <v>0</v>
      </c>
      <c r="J4" s="5">
        <f>Table14[[#This Row],[Enrolment S.Y. 2025-2026 ]]*8</f>
        <v>0</v>
      </c>
      <c r="K4" s="5"/>
      <c r="L4" s="1"/>
      <c r="M4" s="5"/>
      <c r="N4" s="5">
        <f t="shared" ref="N4:N71" si="2">IF((J4-K4)&lt;0,0,(J4-K4))</f>
        <v>0</v>
      </c>
      <c r="O4" s="5">
        <f t="shared" ref="O4:O71" si="3">IF((K4-J4)&lt;0,0,(K4-J4))</f>
        <v>0</v>
      </c>
      <c r="P4" s="5">
        <f>Table14[[#This Row],[Enrolment S.Y. 2025-2026 ]]*8</f>
        <v>0</v>
      </c>
      <c r="Q4" s="5"/>
      <c r="R4" s="1"/>
      <c r="S4" s="5"/>
      <c r="T4" s="5">
        <f t="shared" ref="T4:T73" si="4">IF((P4-Q4)&lt;0,0,(P4-Q4))</f>
        <v>0</v>
      </c>
      <c r="U4" s="5">
        <f t="shared" ref="U4:U73" si="5">IF((Q4-P4)&lt;0,0,(Q4-P4))</f>
        <v>0</v>
      </c>
      <c r="V4" s="5">
        <f>Table14[[#This Row],[Enrolment S.Y. 2025-2026 ]]*8</f>
        <v>0</v>
      </c>
      <c r="W4" s="5"/>
      <c r="X4" s="1"/>
      <c r="Y4" s="5"/>
      <c r="Z4" s="5">
        <f t="shared" ref="Z4:Z73" si="6">IF((V4-W4)&lt;0,0,(V4-W4))</f>
        <v>0</v>
      </c>
      <c r="AA4" s="5">
        <f t="shared" ref="AA4:AA73" si="7">IF((W4-V4)&lt;0,0,(W4-V4))</f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2" t="s">
        <v>13</v>
      </c>
      <c r="C8" s="1"/>
      <c r="D8" s="5">
        <f>Table14[[#This Row],[Enrolment S.Y. 2025-2026 ]]*8</f>
        <v>0</v>
      </c>
      <c r="E8" s="5"/>
      <c r="F8" s="1"/>
      <c r="G8" s="5"/>
      <c r="H8" s="5">
        <f t="shared" si="0"/>
        <v>0</v>
      </c>
      <c r="I8" s="5">
        <f t="shared" si="1"/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16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ht="19.149999999999999">
      <c r="A11" s="1">
        <v>1</v>
      </c>
      <c r="B11" s="9" t="s">
        <v>75</v>
      </c>
      <c r="C11" s="1"/>
      <c r="D11" s="5">
        <f>Table14[[#This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Table14[[#This Row],[Enrolment S.Y. 2025-2026 ]]*8</f>
        <v>0</v>
      </c>
      <c r="K11" s="5"/>
      <c r="L11" s="1"/>
      <c r="M11" s="5"/>
      <c r="N11" s="5">
        <f t="shared" si="2"/>
        <v>0</v>
      </c>
      <c r="O11" s="5">
        <f t="shared" si="3"/>
        <v>0</v>
      </c>
      <c r="P11" s="5">
        <f>Table14[[#This Row],[Enrolment S.Y. 2025-2026 ]]*8</f>
        <v>0</v>
      </c>
      <c r="Q11" s="5"/>
      <c r="R11" s="1"/>
      <c r="S11" s="5"/>
      <c r="T11" s="5">
        <f t="shared" si="4"/>
        <v>0</v>
      </c>
      <c r="U11" s="5">
        <f t="shared" si="5"/>
        <v>0</v>
      </c>
      <c r="V11" s="5">
        <f>Table14[[#This Row],[Enrolment S.Y. 2025-2026 ]]*8</f>
        <v>0</v>
      </c>
      <c r="W11" s="5"/>
      <c r="X11" s="1"/>
      <c r="Y11" s="5"/>
      <c r="Z11" s="5">
        <f t="shared" si="6"/>
        <v>0</v>
      </c>
      <c r="AA11" s="5">
        <f t="shared" si="7"/>
        <v>0</v>
      </c>
    </row>
    <row r="12" spans="1:27" s="7" customFormat="1"/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2" t="s">
        <v>13</v>
      </c>
      <c r="C17" s="1"/>
      <c r="D17" s="5">
        <f>Table14[[#This Row],[Enrolment S.Y. 2025-2026 ]]*8</f>
        <v>0</v>
      </c>
      <c r="E17" s="5"/>
      <c r="F17" s="1"/>
      <c r="G17" s="5"/>
      <c r="H17" s="5">
        <f t="shared" si="0"/>
        <v>0</v>
      </c>
      <c r="I17" s="5">
        <f t="shared" si="1"/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15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ht="19.149999999999999">
      <c r="A20" s="1">
        <v>2</v>
      </c>
      <c r="B20" s="9" t="s">
        <v>75</v>
      </c>
      <c r="C20" s="1"/>
      <c r="D20" s="5">
        <f>Table14[[#This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Table14[[#This Row],[Enrolment S.Y. 2025-2026 ]]*8</f>
        <v>0</v>
      </c>
      <c r="K20" s="5"/>
      <c r="L20" s="1"/>
      <c r="M20" s="5"/>
      <c r="N20" s="5">
        <f t="shared" si="2"/>
        <v>0</v>
      </c>
      <c r="O20" s="5">
        <f t="shared" si="3"/>
        <v>0</v>
      </c>
      <c r="P20" s="5">
        <f>Table14[[#This Row],[Enrolment S.Y. 2025-2026 ]]*8</f>
        <v>0</v>
      </c>
      <c r="Q20" s="5"/>
      <c r="R20" s="1"/>
      <c r="S20" s="5"/>
      <c r="T20" s="5">
        <f t="shared" si="4"/>
        <v>0</v>
      </c>
      <c r="U20" s="5">
        <f t="shared" si="5"/>
        <v>0</v>
      </c>
      <c r="V20" s="5">
        <f>Table14[[#This Row],[Enrolment S.Y. 2025-2026 ]]*8</f>
        <v>0</v>
      </c>
      <c r="W20" s="5"/>
      <c r="X20" s="1"/>
      <c r="Y20" s="5"/>
      <c r="Z20" s="5">
        <f t="shared" si="6"/>
        <v>0</v>
      </c>
      <c r="AA20" s="5">
        <f t="shared" si="7"/>
        <v>0</v>
      </c>
    </row>
    <row r="21" spans="1:27" s="7" customFormat="1"/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11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14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2" t="s">
        <v>13</v>
      </c>
      <c r="C27" s="1"/>
      <c r="D27" s="5">
        <f>Table14[[#This Row],[Enrolment S.Y. 2025-2026 ]]*8</f>
        <v>0</v>
      </c>
      <c r="E27" s="5"/>
      <c r="F27" s="1"/>
      <c r="G27" s="5"/>
      <c r="H27" s="5">
        <f t="shared" si="0"/>
        <v>0</v>
      </c>
      <c r="I27" s="5">
        <f t="shared" si="1"/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16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ht="19.149999999999999">
      <c r="A30" s="1">
        <v>3</v>
      </c>
      <c r="B30" s="9" t="s">
        <v>75</v>
      </c>
      <c r="C30" s="1"/>
      <c r="D30" s="5">
        <f>Table14[[#This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Table14[[#This Row],[Enrolment S.Y. 2025-2026 ]]*8</f>
        <v>0</v>
      </c>
      <c r="K30" s="5"/>
      <c r="L30" s="1"/>
      <c r="M30" s="5"/>
      <c r="N30" s="5">
        <f t="shared" si="2"/>
        <v>0</v>
      </c>
      <c r="O30" s="5">
        <f t="shared" si="3"/>
        <v>0</v>
      </c>
      <c r="P30" s="5">
        <f>Table14[[#This Row],[Enrolment S.Y. 2025-2026 ]]*8</f>
        <v>0</v>
      </c>
      <c r="Q30" s="5"/>
      <c r="R30" s="1"/>
      <c r="S30" s="5"/>
      <c r="T30" s="5">
        <f t="shared" si="4"/>
        <v>0</v>
      </c>
      <c r="U30" s="5">
        <f t="shared" si="5"/>
        <v>0</v>
      </c>
      <c r="V30" s="5">
        <f>Table14[[#This Row],[Enrolment S.Y. 2025-2026 ]]*8</f>
        <v>0</v>
      </c>
      <c r="W30" s="5"/>
      <c r="X30" s="1"/>
      <c r="Y30" s="5"/>
      <c r="Z30" s="5">
        <f t="shared" si="6"/>
        <v>0</v>
      </c>
      <c r="AA30" s="5">
        <f t="shared" si="7"/>
        <v>0</v>
      </c>
    </row>
    <row r="31" spans="1:27" s="7" customFormat="1"/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16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13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11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17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si="2"/>
        <v>0</v>
      </c>
      <c r="O36" s="5">
        <f t="shared" si="3"/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1">
        <v>4</v>
      </c>
      <c r="B37" s="9" t="s">
        <v>14</v>
      </c>
      <c r="C37" s="1"/>
      <c r="D37" s="5">
        <f>Table14[[#This Row],[Enrolment S.Y. 2025-2026 ]]*8</f>
        <v>0</v>
      </c>
      <c r="E37" s="5"/>
      <c r="F37" s="1"/>
      <c r="G37" s="5"/>
      <c r="H37" s="5">
        <f t="shared" si="0"/>
        <v>0</v>
      </c>
      <c r="I37" s="5">
        <f t="shared" si="1"/>
        <v>0</v>
      </c>
      <c r="J37" s="5">
        <f>Table14[[#This Row],[Enrolment S.Y. 2025-2026 ]]*8</f>
        <v>0</v>
      </c>
      <c r="K37" s="5"/>
      <c r="L37" s="1"/>
      <c r="M37" s="5"/>
      <c r="N37" s="5">
        <f t="shared" ref="N37:N42" si="8">IF((J37-K37)&lt;0,0,(J37-K37))</f>
        <v>0</v>
      </c>
      <c r="O37" s="5">
        <f t="shared" ref="O37:O42" si="9">IF((K37-J37)&lt;0,0,(K37-J37))</f>
        <v>0</v>
      </c>
      <c r="P37" s="5">
        <f>Table14[[#This Row],[Enrolment S.Y. 2025-2026 ]]*8</f>
        <v>0</v>
      </c>
      <c r="Q37" s="5"/>
      <c r="R37" s="1"/>
      <c r="S37" s="5"/>
      <c r="T37" s="5">
        <f t="shared" si="4"/>
        <v>0</v>
      </c>
      <c r="U37" s="5">
        <f t="shared" si="5"/>
        <v>0</v>
      </c>
      <c r="V37" s="5">
        <f>Table14[[#This Row],[Enrolment S.Y. 2025-2026 ]]*8</f>
        <v>0</v>
      </c>
      <c r="W37" s="5"/>
      <c r="X37" s="1"/>
      <c r="Y37" s="5"/>
      <c r="Z37" s="5">
        <f t="shared" si="6"/>
        <v>0</v>
      </c>
      <c r="AA37" s="5">
        <f t="shared" si="7"/>
        <v>0</v>
      </c>
    </row>
    <row r="38" spans="1:27" ht="19.149999999999999">
      <c r="A38" s="37">
        <v>4</v>
      </c>
      <c r="B38" s="9" t="s">
        <v>102</v>
      </c>
      <c r="C38" s="5"/>
      <c r="D38" s="5">
        <f>Table14[[#This Row],[Enrolment S.Y. 2025-2026 ]]*8</f>
        <v>0</v>
      </c>
      <c r="E38" s="5"/>
      <c r="F38" s="1"/>
      <c r="G38" s="5"/>
      <c r="H38" s="5">
        <f>IF((D38-E38)&lt;0,0,(D38-E38))</f>
        <v>0</v>
      </c>
      <c r="I38" s="5">
        <f>IF((E38-D38)&lt;0,0,(E38-D38))</f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>IF((P38-Q38)&lt;0,0,(P38-Q38))</f>
        <v>0</v>
      </c>
      <c r="U38" s="5">
        <f>IF((Q38-P38)&lt;0,0,(Q38-P38))</f>
        <v>0</v>
      </c>
      <c r="V38" s="5">
        <f>Table14[[#This Row],[Enrolment S.Y. 2025-2026 ]]*8</f>
        <v>0</v>
      </c>
      <c r="W38" s="5"/>
      <c r="X38" s="1"/>
      <c r="Y38" s="5"/>
      <c r="Z38" s="5">
        <f>IF((V38-W38)&lt;0,0,(V38-W38))</f>
        <v>0</v>
      </c>
      <c r="AA38" s="5">
        <f>IF((W38-V38)&lt;0,0,(W38-V38))</f>
        <v>0</v>
      </c>
    </row>
    <row r="39" spans="1:27" ht="19.149999999999999">
      <c r="A39" s="1">
        <v>4</v>
      </c>
      <c r="B39" s="9" t="s">
        <v>103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1">
        <v>4</v>
      </c>
      <c r="B40" s="9" t="s">
        <v>19</v>
      </c>
      <c r="C40" s="1"/>
      <c r="D40" s="5">
        <f>Table14[[#This Row],[Enrolment S.Y. 2025-2026 ]]*8</f>
        <v>0</v>
      </c>
      <c r="E40" s="5"/>
      <c r="F40" s="1"/>
      <c r="G40" s="5"/>
      <c r="H40" s="5">
        <f t="shared" si="0"/>
        <v>0</v>
      </c>
      <c r="I40" s="5">
        <f t="shared" si="1"/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 t="shared" si="4"/>
        <v>0</v>
      </c>
      <c r="U40" s="5">
        <f t="shared" si="5"/>
        <v>0</v>
      </c>
      <c r="V40" s="5">
        <f>Table14[[#This Row],[Enrolment S.Y. 2025-2026 ]]*8</f>
        <v>0</v>
      </c>
      <c r="W40" s="5"/>
      <c r="X40" s="1"/>
      <c r="Y40" s="5"/>
      <c r="Z40" s="5">
        <f t="shared" si="6"/>
        <v>0</v>
      </c>
      <c r="AA40" s="5">
        <f t="shared" si="7"/>
        <v>0</v>
      </c>
    </row>
    <row r="41" spans="1:27" ht="19.149999999999999">
      <c r="A41" s="37">
        <v>4</v>
      </c>
      <c r="B41" s="9" t="s">
        <v>104</v>
      </c>
      <c r="C41" s="5"/>
      <c r="D41" s="5">
        <f>Table14[[#This Row],[Enrolment S.Y. 2025-2026 ]]*8</f>
        <v>0</v>
      </c>
      <c r="E41" s="5"/>
      <c r="F41" s="1"/>
      <c r="G41" s="5"/>
      <c r="H41" s="5">
        <f>IF((D41-E41)&lt;0,0,(D41-E41))</f>
        <v>0</v>
      </c>
      <c r="I41" s="5">
        <f>IF((E41-D41)&lt;0,0,(E41-D41))</f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>IF((P41-Q41)&lt;0,0,(P41-Q41))</f>
        <v>0</v>
      </c>
      <c r="U41" s="5">
        <f>IF((Q41-P41)&lt;0,0,(Q41-P41))</f>
        <v>0</v>
      </c>
      <c r="V41" s="5">
        <f>Table14[[#This Row],[Enrolment S.Y. 2025-2026 ]]*8</f>
        <v>0</v>
      </c>
      <c r="W41" s="5"/>
      <c r="X41" s="1"/>
      <c r="Y41" s="5"/>
      <c r="Z41" s="5">
        <f>IF((V41-W41)&lt;0,0,(V41-W41))</f>
        <v>0</v>
      </c>
      <c r="AA41" s="5">
        <f>IF((W41-V41)&lt;0,0,(W41-V41))</f>
        <v>0</v>
      </c>
    </row>
    <row r="42" spans="1:27" ht="19.149999999999999">
      <c r="A42" s="1">
        <v>4</v>
      </c>
      <c r="B42" s="9" t="s">
        <v>105</v>
      </c>
      <c r="C42" s="1"/>
      <c r="D42" s="5">
        <f>Table14[[#This Row],[Enrolment S.Y. 2025-2026 ]]*8</f>
        <v>0</v>
      </c>
      <c r="E42" s="5"/>
      <c r="F42" s="1"/>
      <c r="G42" s="5"/>
      <c r="H42" s="5">
        <f t="shared" si="0"/>
        <v>0</v>
      </c>
      <c r="I42" s="5">
        <f t="shared" si="1"/>
        <v>0</v>
      </c>
      <c r="J42" s="5">
        <f>Table14[[#This Row],[Enrolment S.Y. 2025-2026 ]]*8</f>
        <v>0</v>
      </c>
      <c r="K42" s="5"/>
      <c r="L42" s="1"/>
      <c r="M42" s="5"/>
      <c r="N42" s="5">
        <f t="shared" si="8"/>
        <v>0</v>
      </c>
      <c r="O42" s="5">
        <f t="shared" si="9"/>
        <v>0</v>
      </c>
      <c r="P42" s="5">
        <f>Table14[[#This Row],[Enrolment S.Y. 2025-2026 ]]*8</f>
        <v>0</v>
      </c>
      <c r="Q42" s="5"/>
      <c r="R42" s="1"/>
      <c r="S42" s="5"/>
      <c r="T42" s="5">
        <f t="shared" si="4"/>
        <v>0</v>
      </c>
      <c r="U42" s="5">
        <f t="shared" si="5"/>
        <v>0</v>
      </c>
      <c r="V42" s="5">
        <f>Table14[[#This Row],[Enrolment S.Y. 2025-2026 ]]*8</f>
        <v>0</v>
      </c>
      <c r="W42" s="5"/>
      <c r="X42" s="1"/>
      <c r="Y42" s="5"/>
      <c r="Z42" s="5">
        <f t="shared" si="6"/>
        <v>0</v>
      </c>
      <c r="AA42" s="5">
        <f t="shared" si="7"/>
        <v>0</v>
      </c>
    </row>
    <row r="43" spans="1:27" s="7" customFormat="1"/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16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13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11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17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si="2"/>
        <v>0</v>
      </c>
      <c r="O48" s="5">
        <f t="shared" si="3"/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1">
        <v>5</v>
      </c>
      <c r="B49" s="9" t="s">
        <v>14</v>
      </c>
      <c r="C49" s="1"/>
      <c r="D49" s="5">
        <f>Table14[[#This Row],[Enrolment S.Y. 2025-2026 ]]*8</f>
        <v>0</v>
      </c>
      <c r="E49" s="5"/>
      <c r="F49" s="1"/>
      <c r="G49" s="5"/>
      <c r="H49" s="5">
        <f t="shared" si="0"/>
        <v>0</v>
      </c>
      <c r="I49" s="5">
        <f t="shared" si="1"/>
        <v>0</v>
      </c>
      <c r="J49" s="5">
        <f>Table14[[#This Row],[Enrolment S.Y. 2025-2026 ]]*8</f>
        <v>0</v>
      </c>
      <c r="K49" s="5"/>
      <c r="L49" s="1"/>
      <c r="M49" s="5"/>
      <c r="N49" s="5">
        <f t="shared" ref="N49:N54" si="10">IF((J49-K49)&lt;0,0,(J49-K49))</f>
        <v>0</v>
      </c>
      <c r="O49" s="5">
        <f t="shared" ref="O49:O54" si="11">IF((K49-J49)&lt;0,0,(K49-J49))</f>
        <v>0</v>
      </c>
      <c r="P49" s="5">
        <f>Table14[[#This Row],[Enrolment S.Y. 2025-2026 ]]*8</f>
        <v>0</v>
      </c>
      <c r="Q49" s="5"/>
      <c r="R49" s="1"/>
      <c r="S49" s="5"/>
      <c r="T49" s="5">
        <f t="shared" si="4"/>
        <v>0</v>
      </c>
      <c r="U49" s="5">
        <f t="shared" si="5"/>
        <v>0</v>
      </c>
      <c r="V49" s="5">
        <f>Table14[[#This Row],[Enrolment S.Y. 2025-2026 ]]*8</f>
        <v>0</v>
      </c>
      <c r="W49" s="5"/>
      <c r="X49" s="1"/>
      <c r="Y49" s="5"/>
      <c r="Z49" s="5">
        <f t="shared" si="6"/>
        <v>0</v>
      </c>
      <c r="AA49" s="5">
        <f t="shared" si="7"/>
        <v>0</v>
      </c>
    </row>
    <row r="50" spans="1:27" ht="19.149999999999999">
      <c r="A50" s="37">
        <v>5</v>
      </c>
      <c r="B50" s="9" t="s">
        <v>102</v>
      </c>
      <c r="C50" s="5"/>
      <c r="D50" s="5">
        <f>Table14[[#This Row],[Enrolment S.Y. 2025-2026 ]]*8</f>
        <v>0</v>
      </c>
      <c r="E50" s="5"/>
      <c r="F50" s="1"/>
      <c r="G50" s="5"/>
      <c r="H50" s="5">
        <f>IF((D50-E50)&lt;0,0,(D50-E50))</f>
        <v>0</v>
      </c>
      <c r="I50" s="5">
        <f>IF((E50-D50)&lt;0,0,(E50-D50))</f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>IF((P50-Q50)&lt;0,0,(P50-Q50))</f>
        <v>0</v>
      </c>
      <c r="U50" s="5">
        <f>IF((Q50-P50)&lt;0,0,(Q50-P50))</f>
        <v>0</v>
      </c>
      <c r="V50" s="5">
        <f>Table14[[#This Row],[Enrolment S.Y. 2025-2026 ]]*8</f>
        <v>0</v>
      </c>
      <c r="W50" s="5"/>
      <c r="X50" s="1"/>
      <c r="Y50" s="5"/>
      <c r="Z50" s="5">
        <f>IF((V50-W50)&lt;0,0,(V50-W50))</f>
        <v>0</v>
      </c>
      <c r="AA50" s="5">
        <f>IF((W50-V50)&lt;0,0,(W50-V50))</f>
        <v>0</v>
      </c>
    </row>
    <row r="51" spans="1:27" ht="19.149999999999999">
      <c r="A51" s="1">
        <v>5</v>
      </c>
      <c r="B51" s="9" t="s">
        <v>103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1">
        <v>5</v>
      </c>
      <c r="B52" s="9" t="s">
        <v>19</v>
      </c>
      <c r="C52" s="1"/>
      <c r="D52" s="5">
        <f>Table14[[#This Row],[Enrolment S.Y. 2025-2026 ]]*8</f>
        <v>0</v>
      </c>
      <c r="E52" s="5"/>
      <c r="F52" s="1"/>
      <c r="G52" s="5"/>
      <c r="H52" s="5">
        <f t="shared" si="0"/>
        <v>0</v>
      </c>
      <c r="I52" s="5">
        <f t="shared" si="1"/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 t="shared" si="4"/>
        <v>0</v>
      </c>
      <c r="U52" s="5">
        <f t="shared" si="5"/>
        <v>0</v>
      </c>
      <c r="V52" s="5">
        <f>Table14[[#This Row],[Enrolment S.Y. 2025-2026 ]]*8</f>
        <v>0</v>
      </c>
      <c r="W52" s="5"/>
      <c r="X52" s="1"/>
      <c r="Y52" s="5"/>
      <c r="Z52" s="5">
        <f t="shared" si="6"/>
        <v>0</v>
      </c>
      <c r="AA52" s="5">
        <f t="shared" si="7"/>
        <v>0</v>
      </c>
    </row>
    <row r="53" spans="1:27" ht="19.149999999999999">
      <c r="A53" s="37">
        <v>5</v>
      </c>
      <c r="B53" s="9" t="s">
        <v>104</v>
      </c>
      <c r="C53" s="5"/>
      <c r="D53" s="5">
        <f>Table14[[#This Row],[Enrolment S.Y. 2025-2026 ]]*8</f>
        <v>0</v>
      </c>
      <c r="E53" s="5"/>
      <c r="F53" s="1"/>
      <c r="G53" s="5"/>
      <c r="H53" s="5">
        <f>IF((D53-E53)&lt;0,0,(D53-E53))</f>
        <v>0</v>
      </c>
      <c r="I53" s="5">
        <f>IF((E53-D53)&lt;0,0,(E53-D53))</f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>IF((P53-Q53)&lt;0,0,(P53-Q53))</f>
        <v>0</v>
      </c>
      <c r="U53" s="5">
        <f>IF((Q53-P53)&lt;0,0,(Q53-P53))</f>
        <v>0</v>
      </c>
      <c r="V53" s="5">
        <f>Table14[[#This Row],[Enrolment S.Y. 2025-2026 ]]*8</f>
        <v>0</v>
      </c>
      <c r="W53" s="5"/>
      <c r="X53" s="1"/>
      <c r="Y53" s="5"/>
      <c r="Z53" s="5">
        <f>IF((V53-W53)&lt;0,0,(V53-W53))</f>
        <v>0</v>
      </c>
      <c r="AA53" s="5">
        <f>IF((W53-V53)&lt;0,0,(W53-V53))</f>
        <v>0</v>
      </c>
    </row>
    <row r="54" spans="1:27" ht="19.149999999999999">
      <c r="A54" s="1">
        <v>5</v>
      </c>
      <c r="B54" s="9" t="s">
        <v>105</v>
      </c>
      <c r="C54" s="1"/>
      <c r="D54" s="5">
        <f>Table14[[#This Row],[Enrolment S.Y. 2025-2026 ]]*8</f>
        <v>0</v>
      </c>
      <c r="E54" s="5"/>
      <c r="F54" s="1"/>
      <c r="G54" s="5"/>
      <c r="H54" s="5">
        <f t="shared" si="0"/>
        <v>0</v>
      </c>
      <c r="I54" s="5">
        <f t="shared" si="1"/>
        <v>0</v>
      </c>
      <c r="J54" s="5">
        <f>Table14[[#This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Table14[[#This Row],[Enrolment S.Y. 2025-2026 ]]*8</f>
        <v>0</v>
      </c>
      <c r="Q54" s="5"/>
      <c r="R54" s="1"/>
      <c r="S54" s="5"/>
      <c r="T54" s="5">
        <f t="shared" si="4"/>
        <v>0</v>
      </c>
      <c r="U54" s="5">
        <f t="shared" si="5"/>
        <v>0</v>
      </c>
      <c r="V54" s="5">
        <f>Table14[[#This Row],[Enrolment S.Y. 2025-2026 ]]*8</f>
        <v>0</v>
      </c>
      <c r="W54" s="5"/>
      <c r="X54" s="1"/>
      <c r="Y54" s="5"/>
      <c r="Z54" s="5">
        <f t="shared" si="6"/>
        <v>0</v>
      </c>
      <c r="AA54" s="5">
        <f t="shared" si="7"/>
        <v>0</v>
      </c>
    </row>
    <row r="55" spans="1:27" s="7" customFormat="1"/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16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13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11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17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1">
        <v>6</v>
      </c>
      <c r="B61" s="9" t="s">
        <v>14</v>
      </c>
      <c r="C61" s="1"/>
      <c r="D61" s="5">
        <f>Table14[[#This Row],[Enrolment S.Y. 2025-2026 ]]*8</f>
        <v>0</v>
      </c>
      <c r="E61" s="5"/>
      <c r="F61" s="1"/>
      <c r="G61" s="5"/>
      <c r="H61" s="5">
        <f t="shared" si="0"/>
        <v>0</v>
      </c>
      <c r="I61" s="5">
        <f t="shared" si="1"/>
        <v>0</v>
      </c>
      <c r="J61" s="5">
        <f>Table14[[#This Row],[Enrolment S.Y. 2025-2026 ]]*8</f>
        <v>0</v>
      </c>
      <c r="K61" s="5"/>
      <c r="L61" s="1"/>
      <c r="M61" s="5"/>
      <c r="N61" s="5">
        <f t="shared" si="2"/>
        <v>0</v>
      </c>
      <c r="O61" s="5">
        <f t="shared" si="3"/>
        <v>0</v>
      </c>
      <c r="P61" s="5">
        <f>Table14[[#This Row],[Enrolment S.Y. 2025-2026 ]]*8</f>
        <v>0</v>
      </c>
      <c r="Q61" s="5"/>
      <c r="R61" s="1"/>
      <c r="S61" s="5"/>
      <c r="T61" s="5">
        <f t="shared" si="4"/>
        <v>0</v>
      </c>
      <c r="U61" s="5">
        <f t="shared" si="5"/>
        <v>0</v>
      </c>
      <c r="V61" s="5">
        <f>Table14[[#This Row],[Enrolment S.Y. 2025-2026 ]]*8</f>
        <v>0</v>
      </c>
      <c r="W61" s="5"/>
      <c r="X61" s="1"/>
      <c r="Y61" s="5"/>
      <c r="Z61" s="5">
        <f t="shared" si="6"/>
        <v>0</v>
      </c>
      <c r="AA61" s="5">
        <f t="shared" si="7"/>
        <v>0</v>
      </c>
    </row>
    <row r="62" spans="1:27" ht="19.149999999999999">
      <c r="A62" s="37">
        <v>6</v>
      </c>
      <c r="B62" s="9" t="s">
        <v>102</v>
      </c>
      <c r="C62" s="5"/>
      <c r="D62" s="5">
        <f>Table14[[#This Row],[Enrolment S.Y. 2025-2026 ]]*8</f>
        <v>0</v>
      </c>
      <c r="E62" s="5"/>
      <c r="F62" s="1"/>
      <c r="G62" s="5"/>
      <c r="H62" s="5">
        <f>IF((D62-E62)&lt;0,0,(D62-E62))</f>
        <v>0</v>
      </c>
      <c r="I62" s="5">
        <f>IF((E62-D62)&lt;0,0,(E62-D62))</f>
        <v>0</v>
      </c>
      <c r="J62" s="5">
        <f>Table14[[#This Row],[Enrolment S.Y. 2025-2026 ]]*8</f>
        <v>0</v>
      </c>
      <c r="K62" s="5"/>
      <c r="L62" s="1"/>
      <c r="M62" s="5"/>
      <c r="N62" s="5">
        <f t="shared" ref="N62:N66" si="12">IF((J62-K62)&lt;0,0,(J62-K62))</f>
        <v>0</v>
      </c>
      <c r="O62" s="5">
        <f t="shared" ref="O62:O66" si="13">IF((K62-J62)&lt;0,0,(K62-J62))</f>
        <v>0</v>
      </c>
      <c r="P62" s="5">
        <f>Table14[[#This Row],[Enrolment S.Y. 2025-2026 ]]*8</f>
        <v>0</v>
      </c>
      <c r="Q62" s="5"/>
      <c r="R62" s="1"/>
      <c r="S62" s="5"/>
      <c r="T62" s="5">
        <f>IF((P62-Q62)&lt;0,0,(P62-Q62))</f>
        <v>0</v>
      </c>
      <c r="U62" s="5">
        <f>IF((Q62-P62)&lt;0,0,(Q62-P62))</f>
        <v>0</v>
      </c>
      <c r="V62" s="5">
        <f>Table14[[#This Row],[Enrolment S.Y. 2025-2026 ]]*8</f>
        <v>0</v>
      </c>
      <c r="W62" s="5"/>
      <c r="X62" s="1"/>
      <c r="Y62" s="5"/>
      <c r="Z62" s="5">
        <f>IF((V62-W62)&lt;0,0,(V62-W62))</f>
        <v>0</v>
      </c>
      <c r="AA62" s="5">
        <f>IF((W62-V62)&lt;0,0,(W62-V62))</f>
        <v>0</v>
      </c>
    </row>
    <row r="63" spans="1:27" ht="19.149999999999999">
      <c r="A63" s="1">
        <v>6</v>
      </c>
      <c r="B63" s="9" t="s">
        <v>103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1">
        <v>6</v>
      </c>
      <c r="B64" s="9" t="s">
        <v>19</v>
      </c>
      <c r="C64" s="1"/>
      <c r="D64" s="5">
        <f>Table14[[#This Row],[Enrolment S.Y. 2025-2026 ]]*8</f>
        <v>0</v>
      </c>
      <c r="E64" s="5"/>
      <c r="F64" s="1"/>
      <c r="G64" s="5"/>
      <c r="H64" s="5">
        <f t="shared" si="0"/>
        <v>0</v>
      </c>
      <c r="I64" s="5">
        <f t="shared" si="1"/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 t="shared" si="4"/>
        <v>0</v>
      </c>
      <c r="U64" s="5">
        <f t="shared" si="5"/>
        <v>0</v>
      </c>
      <c r="V64" s="5">
        <f>Table14[[#This Row],[Enrolment S.Y. 2025-2026 ]]*8</f>
        <v>0</v>
      </c>
      <c r="W64" s="5"/>
      <c r="X64" s="1"/>
      <c r="Y64" s="5"/>
      <c r="Z64" s="5">
        <f t="shared" si="6"/>
        <v>0</v>
      </c>
      <c r="AA64" s="5">
        <f t="shared" si="7"/>
        <v>0</v>
      </c>
    </row>
    <row r="65" spans="1:27" ht="19.149999999999999">
      <c r="A65" s="37">
        <v>6</v>
      </c>
      <c r="B65" s="9" t="s">
        <v>104</v>
      </c>
      <c r="C65" s="5"/>
      <c r="D65" s="5">
        <f>Table14[[#This Row],[Enrolment S.Y. 2025-2026 ]]*8</f>
        <v>0</v>
      </c>
      <c r="E65" s="5"/>
      <c r="F65" s="1"/>
      <c r="G65" s="5"/>
      <c r="H65" s="5">
        <f>IF((D65-E65)&lt;0,0,(D65-E65))</f>
        <v>0</v>
      </c>
      <c r="I65" s="5">
        <f>IF((E65-D65)&lt;0,0,(E65-D65))</f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>IF((P65-Q65)&lt;0,0,(P65-Q65))</f>
        <v>0</v>
      </c>
      <c r="U65" s="5">
        <f>IF((Q65-P65)&lt;0,0,(Q65-P65))</f>
        <v>0</v>
      </c>
      <c r="V65" s="5">
        <f>Table14[[#This Row],[Enrolment S.Y. 2025-2026 ]]*8</f>
        <v>0</v>
      </c>
      <c r="W65" s="5"/>
      <c r="X65" s="1"/>
      <c r="Y65" s="5"/>
      <c r="Z65" s="5">
        <f>IF((V65-W65)&lt;0,0,(V65-W65))</f>
        <v>0</v>
      </c>
      <c r="AA65" s="5">
        <f>IF((W65-V65)&lt;0,0,(W65-V65))</f>
        <v>0</v>
      </c>
    </row>
    <row r="66" spans="1:27" ht="19.5">
      <c r="A66" s="1">
        <v>6</v>
      </c>
      <c r="B66" s="9" t="s">
        <v>105</v>
      </c>
      <c r="C66" s="1"/>
      <c r="D66" s="5">
        <f>Table14[[#This Row],[Enrolment S.Y. 2025-2026 ]]*8</f>
        <v>0</v>
      </c>
      <c r="E66" s="5"/>
      <c r="F66" s="1"/>
      <c r="G66" s="5"/>
      <c r="H66" s="5">
        <f t="shared" si="0"/>
        <v>0</v>
      </c>
      <c r="I66" s="5">
        <f t="shared" si="1"/>
        <v>0</v>
      </c>
      <c r="J66" s="5">
        <f>Table14[[#This Row],[Enrolment S.Y. 2025-2026 ]]*8</f>
        <v>0</v>
      </c>
      <c r="K66" s="5"/>
      <c r="L66" s="1"/>
      <c r="M66" s="5"/>
      <c r="N66" s="5">
        <f t="shared" si="12"/>
        <v>0</v>
      </c>
      <c r="O66" s="5">
        <f t="shared" si="13"/>
        <v>0</v>
      </c>
      <c r="P66" s="5">
        <f>Table14[[#This Row],[Enrolment S.Y. 2025-2026 ]]*8</f>
        <v>0</v>
      </c>
      <c r="Q66" s="5"/>
      <c r="R66" s="1"/>
      <c r="S66" s="5"/>
      <c r="T66" s="5">
        <f t="shared" si="4"/>
        <v>0</v>
      </c>
      <c r="U66" s="5">
        <f t="shared" si="5"/>
        <v>0</v>
      </c>
      <c r="V66" s="5">
        <f>Table14[[#This Row],[Enrolment S.Y. 2025-2026 ]]*8</f>
        <v>0</v>
      </c>
      <c r="W66" s="5"/>
      <c r="X66" s="1"/>
      <c r="Y66" s="5"/>
      <c r="Z66" s="5">
        <f t="shared" si="6"/>
        <v>0</v>
      </c>
      <c r="AA66" s="5">
        <f t="shared" si="7"/>
        <v>0</v>
      </c>
    </row>
    <row r="67" spans="1:27" s="7" customFormat="1" ht="12.75" customHeight="1"/>
    <row r="68" spans="1:27" ht="28.5" customHeight="1">
      <c r="A68" s="10">
        <v>7</v>
      </c>
      <c r="B68" s="11" t="s">
        <v>15</v>
      </c>
      <c r="C68" s="10">
        <v>342</v>
      </c>
      <c r="D68" s="12">
        <f>Table14[[#This Row],[Enrolment S.Y. 2025-2026 ]]*8</f>
        <v>2736</v>
      </c>
      <c r="E68" s="12">
        <v>0</v>
      </c>
      <c r="F68" s="10"/>
      <c r="G68" s="12"/>
      <c r="H68" s="12">
        <f t="shared" si="0"/>
        <v>2736</v>
      </c>
      <c r="I68" s="12">
        <f t="shared" si="1"/>
        <v>0</v>
      </c>
      <c r="J68" s="12">
        <f>Table14[[#This Row],[Enrolment S.Y. 2025-2026 ]]*8</f>
        <v>2736</v>
      </c>
      <c r="K68" s="12"/>
      <c r="L68" s="10"/>
      <c r="M68" s="12"/>
      <c r="N68" s="12">
        <f t="shared" si="2"/>
        <v>2736</v>
      </c>
      <c r="O68" s="12">
        <f t="shared" si="3"/>
        <v>0</v>
      </c>
      <c r="P68" s="12">
        <f>Table14[[#This Row],[Enrolment S.Y. 2025-2026 ]]*8</f>
        <v>2736</v>
      </c>
      <c r="Q68" s="12"/>
      <c r="R68" s="10"/>
      <c r="S68" s="12"/>
      <c r="T68" s="12">
        <f t="shared" si="4"/>
        <v>2736</v>
      </c>
      <c r="U68" s="12">
        <f t="shared" si="5"/>
        <v>0</v>
      </c>
      <c r="V68" s="12">
        <f>Table14[[#This Row],[Enrolment S.Y. 2025-2026 ]]*8</f>
        <v>2736</v>
      </c>
      <c r="W68" s="12"/>
      <c r="X68" s="10"/>
      <c r="Y68" s="12"/>
      <c r="Z68" s="12">
        <f t="shared" si="6"/>
        <v>2736</v>
      </c>
      <c r="AA68" s="12">
        <f t="shared" si="7"/>
        <v>0</v>
      </c>
    </row>
    <row r="69" spans="1:27" ht="19.5">
      <c r="A69" s="10">
        <v>7</v>
      </c>
      <c r="B69" s="11" t="s">
        <v>16</v>
      </c>
      <c r="C69" s="10">
        <v>342</v>
      </c>
      <c r="D69" s="12">
        <f>Table14[[#This Row],[Enrolment S.Y. 2025-2026 ]]*8</f>
        <v>2736</v>
      </c>
      <c r="E69" s="12">
        <v>0</v>
      </c>
      <c r="F69" s="10"/>
      <c r="G69" s="12"/>
      <c r="H69" s="12">
        <f t="shared" si="0"/>
        <v>2736</v>
      </c>
      <c r="I69" s="12">
        <f t="shared" si="1"/>
        <v>0</v>
      </c>
      <c r="J69" s="12">
        <f>Table14[[#This Row],[Enrolment S.Y. 2025-2026 ]]*8</f>
        <v>2736</v>
      </c>
      <c r="K69" s="12"/>
      <c r="L69" s="10"/>
      <c r="M69" s="12"/>
      <c r="N69" s="12">
        <f t="shared" si="2"/>
        <v>2736</v>
      </c>
      <c r="O69" s="12">
        <f t="shared" si="3"/>
        <v>0</v>
      </c>
      <c r="P69" s="12">
        <f>Table14[[#This Row],[Enrolment S.Y. 2025-2026 ]]*8</f>
        <v>2736</v>
      </c>
      <c r="Q69" s="12"/>
      <c r="R69" s="10"/>
      <c r="S69" s="12"/>
      <c r="T69" s="12">
        <f t="shared" si="4"/>
        <v>2736</v>
      </c>
      <c r="U69" s="12">
        <f t="shared" si="5"/>
        <v>0</v>
      </c>
      <c r="V69" s="12">
        <f>Table14[[#This Row],[Enrolment S.Y. 2025-2026 ]]*8</f>
        <v>2736</v>
      </c>
      <c r="W69" s="12"/>
      <c r="X69" s="10"/>
      <c r="Y69" s="12"/>
      <c r="Z69" s="12">
        <f t="shared" si="6"/>
        <v>2736</v>
      </c>
      <c r="AA69" s="12">
        <f t="shared" si="7"/>
        <v>0</v>
      </c>
    </row>
    <row r="70" spans="1:27" ht="19.5">
      <c r="A70" s="10">
        <v>7</v>
      </c>
      <c r="B70" s="11" t="s">
        <v>13</v>
      </c>
      <c r="C70" s="10">
        <v>342</v>
      </c>
      <c r="D70" s="12">
        <f>Table14[[#This Row],[Enrolment S.Y. 2025-2026 ]]*8</f>
        <v>2736</v>
      </c>
      <c r="E70" s="12">
        <v>0</v>
      </c>
      <c r="F70" s="10"/>
      <c r="G70" s="12"/>
      <c r="H70" s="12">
        <f t="shared" si="0"/>
        <v>2736</v>
      </c>
      <c r="I70" s="12">
        <f t="shared" si="1"/>
        <v>0</v>
      </c>
      <c r="J70" s="12">
        <f>Table14[[#This Row],[Enrolment S.Y. 2025-2026 ]]*8</f>
        <v>2736</v>
      </c>
      <c r="K70" s="12"/>
      <c r="L70" s="10"/>
      <c r="M70" s="12"/>
      <c r="N70" s="12">
        <f t="shared" si="2"/>
        <v>2736</v>
      </c>
      <c r="O70" s="12">
        <f t="shared" si="3"/>
        <v>0</v>
      </c>
      <c r="P70" s="12">
        <f>Table14[[#This Row],[Enrolment S.Y. 2025-2026 ]]*8</f>
        <v>2736</v>
      </c>
      <c r="Q70" s="12"/>
      <c r="R70" s="10"/>
      <c r="S70" s="12"/>
      <c r="T70" s="12">
        <f t="shared" si="4"/>
        <v>2736</v>
      </c>
      <c r="U70" s="12">
        <f t="shared" si="5"/>
        <v>0</v>
      </c>
      <c r="V70" s="12">
        <f>Table14[[#This Row],[Enrolment S.Y. 2025-2026 ]]*8</f>
        <v>2736</v>
      </c>
      <c r="W70" s="12"/>
      <c r="X70" s="10"/>
      <c r="Y70" s="12"/>
      <c r="Z70" s="12">
        <f t="shared" si="6"/>
        <v>2736</v>
      </c>
      <c r="AA70" s="12">
        <f t="shared" si="7"/>
        <v>0</v>
      </c>
    </row>
    <row r="71" spans="1:27" ht="19.5">
      <c r="A71" s="10">
        <v>7</v>
      </c>
      <c r="B71" s="11" t="s">
        <v>22</v>
      </c>
      <c r="C71" s="10">
        <v>342</v>
      </c>
      <c r="D71" s="12">
        <f>Table14[[#This Row],[Enrolment S.Y. 2025-2026 ]]*8</f>
        <v>2736</v>
      </c>
      <c r="E71" s="12">
        <v>0</v>
      </c>
      <c r="F71" s="10"/>
      <c r="G71" s="12"/>
      <c r="H71" s="12">
        <f t="shared" si="0"/>
        <v>2736</v>
      </c>
      <c r="I71" s="12">
        <f t="shared" si="1"/>
        <v>0</v>
      </c>
      <c r="J71" s="12">
        <f>Table14[[#This Row],[Enrolment S.Y. 2025-2026 ]]*8</f>
        <v>2736</v>
      </c>
      <c r="K71" s="12"/>
      <c r="L71" s="10"/>
      <c r="M71" s="12"/>
      <c r="N71" s="12">
        <f t="shared" si="2"/>
        <v>2736</v>
      </c>
      <c r="O71" s="12">
        <f t="shared" si="3"/>
        <v>0</v>
      </c>
      <c r="P71" s="12">
        <f>Table14[[#This Row],[Enrolment S.Y. 2025-2026 ]]*8</f>
        <v>2736</v>
      </c>
      <c r="Q71" s="12"/>
      <c r="R71" s="10"/>
      <c r="S71" s="12"/>
      <c r="T71" s="12">
        <f t="shared" si="4"/>
        <v>2736</v>
      </c>
      <c r="U71" s="12">
        <f t="shared" si="5"/>
        <v>0</v>
      </c>
      <c r="V71" s="12">
        <f>Table14[[#This Row],[Enrolment S.Y. 2025-2026 ]]*8</f>
        <v>2736</v>
      </c>
      <c r="W71" s="12"/>
      <c r="X71" s="10"/>
      <c r="Y71" s="12"/>
      <c r="Z71" s="12">
        <f t="shared" si="6"/>
        <v>2736</v>
      </c>
      <c r="AA71" s="12">
        <f t="shared" si="7"/>
        <v>0</v>
      </c>
    </row>
    <row r="72" spans="1:27" ht="19.5">
      <c r="A72" s="10">
        <v>7</v>
      </c>
      <c r="B72" s="11" t="s">
        <v>17</v>
      </c>
      <c r="C72" s="10">
        <v>342</v>
      </c>
      <c r="D72" s="12">
        <f>Table14[[#This Row],[Enrolment S.Y. 2025-2026 ]]*8</f>
        <v>2736</v>
      </c>
      <c r="E72" s="12">
        <v>0</v>
      </c>
      <c r="F72" s="10"/>
      <c r="G72" s="12"/>
      <c r="H72" s="12">
        <f t="shared" si="0"/>
        <v>2736</v>
      </c>
      <c r="I72" s="12">
        <f t="shared" si="1"/>
        <v>0</v>
      </c>
      <c r="J72" s="12">
        <f>Table14[[#This Row],[Enrolment S.Y. 2025-2026 ]]*8</f>
        <v>2736</v>
      </c>
      <c r="K72" s="12"/>
      <c r="L72" s="10"/>
      <c r="M72" s="12"/>
      <c r="N72" s="12">
        <f t="shared" ref="N72:N78" si="14">IF((J72-K72)&lt;0,0,(J72-K72))</f>
        <v>2736</v>
      </c>
      <c r="O72" s="12">
        <f t="shared" ref="O72:O78" si="15">IF((K72-J72)&lt;0,0,(K72-J72))</f>
        <v>0</v>
      </c>
      <c r="P72" s="12">
        <f>Table14[[#This Row],[Enrolment S.Y. 2025-2026 ]]*8</f>
        <v>2736</v>
      </c>
      <c r="Q72" s="12"/>
      <c r="R72" s="10"/>
      <c r="S72" s="12"/>
      <c r="T72" s="12">
        <f t="shared" si="4"/>
        <v>2736</v>
      </c>
      <c r="U72" s="12">
        <f t="shared" si="5"/>
        <v>0</v>
      </c>
      <c r="V72" s="12">
        <f>Table14[[#This Row],[Enrolment S.Y. 2025-2026 ]]*8</f>
        <v>2736</v>
      </c>
      <c r="W72" s="12"/>
      <c r="X72" s="10"/>
      <c r="Y72" s="12"/>
      <c r="Z72" s="12">
        <f t="shared" si="6"/>
        <v>2736</v>
      </c>
      <c r="AA72" s="12">
        <f t="shared" si="7"/>
        <v>0</v>
      </c>
    </row>
    <row r="73" spans="1:27" ht="19.5">
      <c r="A73" s="10">
        <v>7</v>
      </c>
      <c r="B73" s="11" t="s">
        <v>14</v>
      </c>
      <c r="C73" s="10">
        <v>342</v>
      </c>
      <c r="D73" s="12">
        <f>Table14[[#This Row],[Enrolment S.Y. 2025-2026 ]]*8</f>
        <v>2736</v>
      </c>
      <c r="E73" s="12"/>
      <c r="F73" s="10"/>
      <c r="G73" s="12"/>
      <c r="H73" s="12">
        <f t="shared" si="0"/>
        <v>2736</v>
      </c>
      <c r="I73" s="12">
        <f t="shared" si="1"/>
        <v>0</v>
      </c>
      <c r="J73" s="12">
        <f>Table14[[#This Row],[Enrolment S.Y. 2025-2026 ]]*8</f>
        <v>2736</v>
      </c>
      <c r="K73" s="12"/>
      <c r="L73" s="10"/>
      <c r="M73" s="12"/>
      <c r="N73" s="12">
        <f t="shared" si="14"/>
        <v>2736</v>
      </c>
      <c r="O73" s="12">
        <f t="shared" si="15"/>
        <v>0</v>
      </c>
      <c r="P73" s="12">
        <f>Table14[[#This Row],[Enrolment S.Y. 2025-2026 ]]*8</f>
        <v>2736</v>
      </c>
      <c r="Q73" s="12"/>
      <c r="R73" s="10"/>
      <c r="S73" s="12"/>
      <c r="T73" s="12">
        <f t="shared" si="4"/>
        <v>2736</v>
      </c>
      <c r="U73" s="12">
        <f t="shared" si="5"/>
        <v>0</v>
      </c>
      <c r="V73" s="12">
        <f>Table14[[#This Row],[Enrolment S.Y. 2025-2026 ]]*8</f>
        <v>2736</v>
      </c>
      <c r="W73" s="12"/>
      <c r="X73" s="10"/>
      <c r="Y73" s="12"/>
      <c r="Z73" s="12">
        <f t="shared" si="6"/>
        <v>2736</v>
      </c>
      <c r="AA73" s="12">
        <f t="shared" si="7"/>
        <v>0</v>
      </c>
    </row>
    <row r="74" spans="1:27" ht="19.5">
      <c r="A74" s="38">
        <v>7</v>
      </c>
      <c r="B74" s="11" t="s">
        <v>102</v>
      </c>
      <c r="C74" s="10">
        <v>342</v>
      </c>
      <c r="D74" s="12">
        <f>Table14[[#This Row],[Enrolment S.Y. 2025-2026 ]]*8</f>
        <v>2736</v>
      </c>
      <c r="E74" s="12"/>
      <c r="F74" s="10"/>
      <c r="G74" s="12"/>
      <c r="H74" s="12">
        <f>IF((D74-E74)&lt;0,0,(D74-E74))</f>
        <v>2736</v>
      </c>
      <c r="I74" s="12">
        <f>IF((E74-D74)&lt;0,0,(E74-D74))</f>
        <v>0</v>
      </c>
      <c r="J74" s="12">
        <f>Table14[[#This Row],[Enrolment S.Y. 2025-2026 ]]*8</f>
        <v>2736</v>
      </c>
      <c r="K74" s="12"/>
      <c r="L74" s="10"/>
      <c r="M74" s="12"/>
      <c r="N74" s="12">
        <f t="shared" si="14"/>
        <v>2736</v>
      </c>
      <c r="O74" s="12">
        <f t="shared" si="15"/>
        <v>0</v>
      </c>
      <c r="P74" s="12">
        <f>Table14[[#This Row],[Enrolment S.Y. 2025-2026 ]]*8</f>
        <v>2736</v>
      </c>
      <c r="Q74" s="12"/>
      <c r="R74" s="10"/>
      <c r="S74" s="12"/>
      <c r="T74" s="12">
        <f>IF((P74-Q74)&lt;0,0,(P74-Q74))</f>
        <v>2736</v>
      </c>
      <c r="U74" s="12">
        <f>IF((Q74-P74)&lt;0,0,(Q74-P74))</f>
        <v>0</v>
      </c>
      <c r="V74" s="12">
        <f>Table14[[#This Row],[Enrolment S.Y. 2025-2026 ]]*8</f>
        <v>2736</v>
      </c>
      <c r="W74" s="12"/>
      <c r="X74" s="10"/>
      <c r="Y74" s="12"/>
      <c r="Z74" s="12">
        <f>IF((V74-W74)&lt;0,0,(V74-W74))</f>
        <v>2736</v>
      </c>
      <c r="AA74" s="12">
        <f>IF((W74-V74)&lt;0,0,(W74-V74))</f>
        <v>0</v>
      </c>
    </row>
    <row r="75" spans="1:27" ht="19.5">
      <c r="A75" s="10">
        <v>7</v>
      </c>
      <c r="B75" s="11" t="s">
        <v>103</v>
      </c>
      <c r="C75" s="10">
        <v>342</v>
      </c>
      <c r="D75" s="12">
        <f>Table14[[#This Row],[Enrolment S.Y. 2025-2026 ]]*8</f>
        <v>2736</v>
      </c>
      <c r="E75" s="12"/>
      <c r="F75" s="10"/>
      <c r="G75" s="12"/>
      <c r="H75" s="12">
        <f t="shared" si="0"/>
        <v>2736</v>
      </c>
      <c r="I75" s="12">
        <f t="shared" si="1"/>
        <v>0</v>
      </c>
      <c r="J75" s="12">
        <f>Table14[[#This Row],[Enrolment S.Y. 2025-2026 ]]*8</f>
        <v>2736</v>
      </c>
      <c r="K75" s="12"/>
      <c r="L75" s="10"/>
      <c r="M75" s="12"/>
      <c r="N75" s="12">
        <f t="shared" si="14"/>
        <v>2736</v>
      </c>
      <c r="O75" s="12">
        <f t="shared" si="15"/>
        <v>0</v>
      </c>
      <c r="P75" s="12">
        <f>Table14[[#This Row],[Enrolment S.Y. 2025-2026 ]]*8</f>
        <v>2736</v>
      </c>
      <c r="Q75" s="12"/>
      <c r="R75" s="10"/>
      <c r="S75" s="12"/>
      <c r="T75" s="12">
        <f t="shared" ref="T75:T123" si="16">IF((P75-Q75)&lt;0,0,(P75-Q75))</f>
        <v>2736</v>
      </c>
      <c r="U75" s="12">
        <f t="shared" ref="U75:U123" si="17">IF((Q75-P75)&lt;0,0,(Q75-P75))</f>
        <v>0</v>
      </c>
      <c r="V75" s="12">
        <f>Table14[[#This Row],[Enrolment S.Y. 2025-2026 ]]*8</f>
        <v>2736</v>
      </c>
      <c r="W75" s="12"/>
      <c r="X75" s="10"/>
      <c r="Y75" s="12"/>
      <c r="Z75" s="12">
        <f t="shared" ref="Z75:Z123" si="18">IF((V75-W75)&lt;0,0,(V75-W75))</f>
        <v>2736</v>
      </c>
      <c r="AA75" s="12">
        <f t="shared" ref="AA75:AA123" si="19">IF((W75-V75)&lt;0,0,(W75-V75))</f>
        <v>0</v>
      </c>
    </row>
    <row r="76" spans="1:27" ht="19.5">
      <c r="A76" s="10">
        <v>7</v>
      </c>
      <c r="B76" s="11" t="s">
        <v>23</v>
      </c>
      <c r="C76" s="10">
        <v>342</v>
      </c>
      <c r="D76" s="12">
        <f>Table14[[#This Row],[Enrolment S.Y. 2025-2026 ]]*8</f>
        <v>2736</v>
      </c>
      <c r="E76" s="12"/>
      <c r="F76" s="10"/>
      <c r="G76" s="12"/>
      <c r="H76" s="12">
        <f t="shared" si="0"/>
        <v>2736</v>
      </c>
      <c r="I76" s="12">
        <f t="shared" si="1"/>
        <v>0</v>
      </c>
      <c r="J76" s="12">
        <f>Table14[[#This Row],[Enrolment S.Y. 2025-2026 ]]*8</f>
        <v>2736</v>
      </c>
      <c r="K76" s="12"/>
      <c r="L76" s="10"/>
      <c r="M76" s="12"/>
      <c r="N76" s="12">
        <f t="shared" si="14"/>
        <v>2736</v>
      </c>
      <c r="O76" s="12">
        <f t="shared" si="15"/>
        <v>0</v>
      </c>
      <c r="P76" s="12">
        <f>Table14[[#This Row],[Enrolment S.Y. 2025-2026 ]]*8</f>
        <v>2736</v>
      </c>
      <c r="Q76" s="12"/>
      <c r="R76" s="10"/>
      <c r="S76" s="12"/>
      <c r="T76" s="12">
        <f t="shared" si="16"/>
        <v>2736</v>
      </c>
      <c r="U76" s="12">
        <f t="shared" si="17"/>
        <v>0</v>
      </c>
      <c r="V76" s="12">
        <f>Table14[[#This Row],[Enrolment S.Y. 2025-2026 ]]*8</f>
        <v>2736</v>
      </c>
      <c r="W76" s="12"/>
      <c r="X76" s="10"/>
      <c r="Y76" s="12"/>
      <c r="Z76" s="12">
        <f t="shared" si="18"/>
        <v>2736</v>
      </c>
      <c r="AA76" s="12">
        <f t="shared" si="19"/>
        <v>0</v>
      </c>
    </row>
    <row r="77" spans="1:27" ht="19.5">
      <c r="A77" s="38">
        <v>7</v>
      </c>
      <c r="B77" s="11" t="s">
        <v>104</v>
      </c>
      <c r="C77" s="10">
        <v>342</v>
      </c>
      <c r="D77" s="12">
        <f>Table14[[#This Row],[Enrolment S.Y. 2025-2026 ]]*8</f>
        <v>2736</v>
      </c>
      <c r="E77" s="12"/>
      <c r="F77" s="10"/>
      <c r="G77" s="12"/>
      <c r="H77" s="12">
        <f>IF((D77-E77)&lt;0,0,(D77-E77))</f>
        <v>2736</v>
      </c>
      <c r="I77" s="12">
        <f>IF((E77-D77)&lt;0,0,(E77-D77))</f>
        <v>0</v>
      </c>
      <c r="J77" s="12">
        <f>Table14[[#This Row],[Enrolment S.Y. 2025-2026 ]]*8</f>
        <v>2736</v>
      </c>
      <c r="K77" s="12"/>
      <c r="L77" s="10"/>
      <c r="M77" s="12"/>
      <c r="N77" s="12">
        <f t="shared" si="14"/>
        <v>2736</v>
      </c>
      <c r="O77" s="12">
        <f t="shared" si="15"/>
        <v>0</v>
      </c>
      <c r="P77" s="12">
        <f>Table14[[#This Row],[Enrolment S.Y. 2025-2026 ]]*8</f>
        <v>2736</v>
      </c>
      <c r="Q77" s="12"/>
      <c r="R77" s="10"/>
      <c r="S77" s="12"/>
      <c r="T77" s="12">
        <f>IF((P77-Q77)&lt;0,0,(P77-Q77))</f>
        <v>2736</v>
      </c>
      <c r="U77" s="12">
        <f>IF((Q77-P77)&lt;0,0,(Q77-P77))</f>
        <v>0</v>
      </c>
      <c r="V77" s="12">
        <f>Table14[[#This Row],[Enrolment S.Y. 2025-2026 ]]*8</f>
        <v>2736</v>
      </c>
      <c r="W77" s="12"/>
      <c r="X77" s="10"/>
      <c r="Y77" s="12"/>
      <c r="Z77" s="12">
        <f>IF((V77-W77)&lt;0,0,(V77-W77))</f>
        <v>2736</v>
      </c>
      <c r="AA77" s="12">
        <f>IF((W77-V77)&lt;0,0,(W77-V77))</f>
        <v>0</v>
      </c>
    </row>
    <row r="78" spans="1:27" ht="19.5">
      <c r="A78" s="10">
        <v>7</v>
      </c>
      <c r="B78" s="11" t="s">
        <v>105</v>
      </c>
      <c r="C78" s="10">
        <v>342</v>
      </c>
      <c r="D78" s="12">
        <f>Table14[[#This Row],[Enrolment S.Y. 2025-2026 ]]*8</f>
        <v>2736</v>
      </c>
      <c r="E78" s="12"/>
      <c r="F78" s="10"/>
      <c r="G78" s="12"/>
      <c r="H78" s="12">
        <f t="shared" si="0"/>
        <v>2736</v>
      </c>
      <c r="I78" s="12">
        <f t="shared" si="1"/>
        <v>0</v>
      </c>
      <c r="J78" s="12">
        <f>Table14[[#This Row],[Enrolment S.Y. 2025-2026 ]]*8</f>
        <v>2736</v>
      </c>
      <c r="K78" s="12"/>
      <c r="L78" s="10"/>
      <c r="M78" s="12"/>
      <c r="N78" s="12">
        <f t="shared" si="14"/>
        <v>2736</v>
      </c>
      <c r="O78" s="12">
        <f t="shared" si="15"/>
        <v>0</v>
      </c>
      <c r="P78" s="12">
        <f>Table14[[#This Row],[Enrolment S.Y. 2025-2026 ]]*8</f>
        <v>2736</v>
      </c>
      <c r="Q78" s="12"/>
      <c r="R78" s="10"/>
      <c r="S78" s="12"/>
      <c r="T78" s="12">
        <f t="shared" si="16"/>
        <v>2736</v>
      </c>
      <c r="U78" s="12">
        <f t="shared" si="17"/>
        <v>0</v>
      </c>
      <c r="V78" s="12">
        <f>Table14[[#This Row],[Enrolment S.Y. 2025-2026 ]]*8</f>
        <v>2736</v>
      </c>
      <c r="W78" s="12"/>
      <c r="X78" s="10"/>
      <c r="Y78" s="12"/>
      <c r="Z78" s="12">
        <f t="shared" si="18"/>
        <v>2736</v>
      </c>
      <c r="AA78" s="12">
        <f t="shared" si="19"/>
        <v>0</v>
      </c>
    </row>
    <row r="79" spans="1:27" s="7" customFormat="1"/>
    <row r="80" spans="1:27" ht="19.5">
      <c r="A80" s="10">
        <v>8</v>
      </c>
      <c r="B80" s="11" t="s">
        <v>15</v>
      </c>
      <c r="C80" s="10">
        <v>292</v>
      </c>
      <c r="D80" s="12">
        <f>Table14[[#This Row],[Enrolment S.Y. 2025-2026 ]]*8</f>
        <v>2336</v>
      </c>
      <c r="E80" s="12"/>
      <c r="F80" s="10"/>
      <c r="G80" s="12"/>
      <c r="H80" s="12">
        <f t="shared" si="0"/>
        <v>2336</v>
      </c>
      <c r="I80" s="12">
        <f t="shared" si="1"/>
        <v>0</v>
      </c>
      <c r="J80" s="12">
        <f>Table14[[#This Row],[Enrolment S.Y. 2025-2026 ]]*8</f>
        <v>2336</v>
      </c>
      <c r="K80" s="12"/>
      <c r="L80" s="10"/>
      <c r="M80" s="12"/>
      <c r="N80" s="12">
        <f t="shared" ref="N75:N123" si="20">IF((J80-K80)&lt;0,0,(J80-K80))</f>
        <v>2336</v>
      </c>
      <c r="O80" s="12">
        <f t="shared" ref="O75:O123" si="21">IF((K80-J80)&lt;0,0,(K80-J80))</f>
        <v>0</v>
      </c>
      <c r="P80" s="12">
        <f>Table14[[#This Row],[Enrolment S.Y. 2025-2026 ]]*8</f>
        <v>2336</v>
      </c>
      <c r="Q80" s="12"/>
      <c r="R80" s="10"/>
      <c r="S80" s="12"/>
      <c r="T80" s="12">
        <f t="shared" si="16"/>
        <v>2336</v>
      </c>
      <c r="U80" s="12">
        <f t="shared" si="17"/>
        <v>0</v>
      </c>
      <c r="V80" s="12">
        <f>Table14[[#This Row],[Enrolment S.Y. 2025-2026 ]]*8</f>
        <v>2336</v>
      </c>
      <c r="W80" s="12"/>
      <c r="X80" s="10"/>
      <c r="Y80" s="12"/>
      <c r="Z80" s="12">
        <f t="shared" si="18"/>
        <v>2336</v>
      </c>
      <c r="AA80" s="12">
        <f t="shared" si="19"/>
        <v>0</v>
      </c>
    </row>
    <row r="81" spans="1:27" ht="19.5">
      <c r="A81" s="10">
        <v>8</v>
      </c>
      <c r="B81" s="11" t="s">
        <v>16</v>
      </c>
      <c r="C81" s="10">
        <v>292</v>
      </c>
      <c r="D81" s="12">
        <f>Table14[[#This Row],[Enrolment S.Y. 2025-2026 ]]*8</f>
        <v>2336</v>
      </c>
      <c r="E81" s="12"/>
      <c r="F81" s="10"/>
      <c r="G81" s="12"/>
      <c r="H81" s="12">
        <f t="shared" si="0"/>
        <v>2336</v>
      </c>
      <c r="I81" s="12">
        <f t="shared" si="1"/>
        <v>0</v>
      </c>
      <c r="J81" s="12">
        <f>Table14[[#This Row],[Enrolment S.Y. 2025-2026 ]]*8</f>
        <v>2336</v>
      </c>
      <c r="K81" s="12"/>
      <c r="L81" s="10"/>
      <c r="M81" s="12"/>
      <c r="N81" s="12">
        <f t="shared" si="20"/>
        <v>2336</v>
      </c>
      <c r="O81" s="12">
        <f t="shared" si="21"/>
        <v>0</v>
      </c>
      <c r="P81" s="12">
        <f>Table14[[#This Row],[Enrolment S.Y. 2025-2026 ]]*8</f>
        <v>2336</v>
      </c>
      <c r="Q81" s="12"/>
      <c r="R81" s="10"/>
      <c r="S81" s="12"/>
      <c r="T81" s="12">
        <f t="shared" si="16"/>
        <v>2336</v>
      </c>
      <c r="U81" s="12">
        <f t="shared" si="17"/>
        <v>0</v>
      </c>
      <c r="V81" s="12">
        <f>Table14[[#This Row],[Enrolment S.Y. 2025-2026 ]]*8</f>
        <v>2336</v>
      </c>
      <c r="W81" s="12"/>
      <c r="X81" s="10"/>
      <c r="Y81" s="12"/>
      <c r="Z81" s="12">
        <f t="shared" si="18"/>
        <v>2336</v>
      </c>
      <c r="AA81" s="12">
        <f t="shared" si="19"/>
        <v>0</v>
      </c>
    </row>
    <row r="82" spans="1:27" ht="19.5">
      <c r="A82" s="10">
        <v>8</v>
      </c>
      <c r="B82" s="11" t="s">
        <v>13</v>
      </c>
      <c r="C82" s="10">
        <v>292</v>
      </c>
      <c r="D82" s="12">
        <f>Table14[[#This Row],[Enrolment S.Y. 2025-2026 ]]*8</f>
        <v>2336</v>
      </c>
      <c r="E82" s="12"/>
      <c r="F82" s="10"/>
      <c r="G82" s="12"/>
      <c r="H82" s="12">
        <f t="shared" si="0"/>
        <v>2336</v>
      </c>
      <c r="I82" s="12">
        <f t="shared" si="1"/>
        <v>0</v>
      </c>
      <c r="J82" s="12">
        <f>Table14[[#This Row],[Enrolment S.Y. 2025-2026 ]]*8</f>
        <v>2336</v>
      </c>
      <c r="K82" s="12"/>
      <c r="L82" s="10"/>
      <c r="M82" s="12"/>
      <c r="N82" s="12">
        <f t="shared" si="20"/>
        <v>2336</v>
      </c>
      <c r="O82" s="12">
        <f t="shared" si="21"/>
        <v>0</v>
      </c>
      <c r="P82" s="12">
        <f>Table14[[#This Row],[Enrolment S.Y. 2025-2026 ]]*8</f>
        <v>2336</v>
      </c>
      <c r="Q82" s="12"/>
      <c r="R82" s="10"/>
      <c r="S82" s="12"/>
      <c r="T82" s="12">
        <f t="shared" si="16"/>
        <v>2336</v>
      </c>
      <c r="U82" s="12">
        <f t="shared" si="17"/>
        <v>0</v>
      </c>
      <c r="V82" s="12">
        <f>Table14[[#This Row],[Enrolment S.Y. 2025-2026 ]]*8</f>
        <v>2336</v>
      </c>
      <c r="W82" s="12"/>
      <c r="X82" s="10"/>
      <c r="Y82" s="12"/>
      <c r="Z82" s="12">
        <f t="shared" si="18"/>
        <v>2336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292</v>
      </c>
      <c r="D83" s="12">
        <f>Table14[[#This Row],[Enrolment S.Y. 2025-2026 ]]*8</f>
        <v>2336</v>
      </c>
      <c r="E83" s="12"/>
      <c r="F83" s="10"/>
      <c r="G83" s="12"/>
      <c r="H83" s="12">
        <f t="shared" si="0"/>
        <v>2336</v>
      </c>
      <c r="I83" s="12">
        <f t="shared" si="1"/>
        <v>0</v>
      </c>
      <c r="J83" s="12">
        <f>Table14[[#This Row],[Enrolment S.Y. 2025-2026 ]]*8</f>
        <v>2336</v>
      </c>
      <c r="K83" s="12"/>
      <c r="L83" s="10"/>
      <c r="M83" s="12"/>
      <c r="N83" s="12">
        <f t="shared" si="20"/>
        <v>2336</v>
      </c>
      <c r="O83" s="12">
        <f t="shared" si="21"/>
        <v>0</v>
      </c>
      <c r="P83" s="12">
        <f>Table14[[#This Row],[Enrolment S.Y. 2025-2026 ]]*8</f>
        <v>2336</v>
      </c>
      <c r="Q83" s="12"/>
      <c r="R83" s="10"/>
      <c r="S83" s="12"/>
      <c r="T83" s="12">
        <f t="shared" si="16"/>
        <v>2336</v>
      </c>
      <c r="U83" s="12">
        <f t="shared" si="17"/>
        <v>0</v>
      </c>
      <c r="V83" s="12">
        <f>Table14[[#This Row],[Enrolment S.Y. 2025-2026 ]]*8</f>
        <v>2336</v>
      </c>
      <c r="W83" s="12"/>
      <c r="X83" s="10"/>
      <c r="Y83" s="12"/>
      <c r="Z83" s="12">
        <f t="shared" si="18"/>
        <v>2336</v>
      </c>
      <c r="AA83" s="12">
        <f t="shared" si="19"/>
        <v>0</v>
      </c>
    </row>
    <row r="84" spans="1:27" ht="19.5">
      <c r="A84" s="10">
        <v>8</v>
      </c>
      <c r="B84" s="11" t="s">
        <v>24</v>
      </c>
      <c r="C84" s="10">
        <v>292</v>
      </c>
      <c r="D84" s="12">
        <f>Table14[[#This Row],[Enrolment S.Y. 2025-2026 ]]*8</f>
        <v>2336</v>
      </c>
      <c r="E84" s="12"/>
      <c r="F84" s="10"/>
      <c r="G84" s="12"/>
      <c r="H84" s="12">
        <f t="shared" si="0"/>
        <v>2336</v>
      </c>
      <c r="I84" s="12">
        <f t="shared" si="1"/>
        <v>0</v>
      </c>
      <c r="J84" s="12">
        <f>Table14[[#This Row],[Enrolment S.Y. 2025-2026 ]]*8</f>
        <v>2336</v>
      </c>
      <c r="K84" s="12"/>
      <c r="L84" s="10"/>
      <c r="M84" s="12"/>
      <c r="N84" s="12">
        <f t="shared" si="20"/>
        <v>2336</v>
      </c>
      <c r="O84" s="12">
        <f t="shared" si="21"/>
        <v>0</v>
      </c>
      <c r="P84" s="12">
        <f>Table14[[#This Row],[Enrolment S.Y. 2025-2026 ]]*8</f>
        <v>2336</v>
      </c>
      <c r="Q84" s="12"/>
      <c r="R84" s="10"/>
      <c r="S84" s="12"/>
      <c r="T84" s="12">
        <f t="shared" si="16"/>
        <v>2336</v>
      </c>
      <c r="U84" s="12">
        <f t="shared" si="17"/>
        <v>0</v>
      </c>
      <c r="V84" s="12">
        <f>Table14[[#This Row],[Enrolment S.Y. 2025-2026 ]]*8</f>
        <v>2336</v>
      </c>
      <c r="W84" s="12"/>
      <c r="X84" s="10"/>
      <c r="Y84" s="12"/>
      <c r="Z84" s="12">
        <f t="shared" si="18"/>
        <v>2336</v>
      </c>
      <c r="AA84" s="12">
        <f t="shared" si="19"/>
        <v>0</v>
      </c>
    </row>
    <row r="85" spans="1:27" ht="19.5">
      <c r="A85" s="10">
        <v>8</v>
      </c>
      <c r="B85" s="11" t="s">
        <v>14</v>
      </c>
      <c r="C85" s="10">
        <v>292</v>
      </c>
      <c r="D85" s="12">
        <f>Table14[[#This Row],[Enrolment S.Y. 2025-2026 ]]*8</f>
        <v>2336</v>
      </c>
      <c r="E85" s="12"/>
      <c r="F85" s="10"/>
      <c r="G85" s="12"/>
      <c r="H85" s="12">
        <f t="shared" ref="H85:H123" si="22">IF((D85-E85)&lt;0,0,(D85-E85))</f>
        <v>2336</v>
      </c>
      <c r="I85" s="12">
        <f t="shared" ref="I85:I123" si="23">IF((E85-D85)&lt;0,0,(E85-D85))</f>
        <v>0</v>
      </c>
      <c r="J85" s="12">
        <f>Table14[[#This Row],[Enrolment S.Y. 2025-2026 ]]*8</f>
        <v>2336</v>
      </c>
      <c r="K85" s="12"/>
      <c r="L85" s="10"/>
      <c r="M85" s="12"/>
      <c r="N85" s="12">
        <f t="shared" ref="N85:N90" si="24">IF((J85-K85)&lt;0,0,(J85-K85))</f>
        <v>2336</v>
      </c>
      <c r="O85" s="12">
        <f t="shared" ref="O85:O90" si="25">IF((K85-J85)&lt;0,0,(K85-J85))</f>
        <v>0</v>
      </c>
      <c r="P85" s="12">
        <f>Table14[[#This Row],[Enrolment S.Y. 2025-2026 ]]*8</f>
        <v>2336</v>
      </c>
      <c r="Q85" s="12"/>
      <c r="R85" s="10"/>
      <c r="S85" s="12"/>
      <c r="T85" s="12">
        <f t="shared" si="16"/>
        <v>2336</v>
      </c>
      <c r="U85" s="12">
        <f t="shared" si="17"/>
        <v>0</v>
      </c>
      <c r="V85" s="12">
        <f>Table14[[#This Row],[Enrolment S.Y. 2025-2026 ]]*8</f>
        <v>2336</v>
      </c>
      <c r="W85" s="12"/>
      <c r="X85" s="10"/>
      <c r="Y85" s="12"/>
      <c r="Z85" s="12">
        <f t="shared" si="18"/>
        <v>2336</v>
      </c>
      <c r="AA85" s="12">
        <f t="shared" si="19"/>
        <v>0</v>
      </c>
    </row>
    <row r="86" spans="1:27" ht="19.5">
      <c r="A86" s="38">
        <v>8</v>
      </c>
      <c r="B86" s="11" t="s">
        <v>102</v>
      </c>
      <c r="C86" s="10">
        <v>292</v>
      </c>
      <c r="D86" s="12">
        <f>Table14[[#This Row],[Enrolment S.Y. 2025-2026 ]]*8</f>
        <v>2336</v>
      </c>
      <c r="E86" s="12"/>
      <c r="F86" s="10"/>
      <c r="G86" s="12"/>
      <c r="H86" s="12">
        <f>IF((D86-E86)&lt;0,0,(D86-E86))</f>
        <v>2336</v>
      </c>
      <c r="I86" s="12">
        <f>IF((E86-D86)&lt;0,0,(E86-D86))</f>
        <v>0</v>
      </c>
      <c r="J86" s="12">
        <f>Table14[[#This Row],[Enrolment S.Y. 2025-2026 ]]*8</f>
        <v>2336</v>
      </c>
      <c r="K86" s="12"/>
      <c r="L86" s="10"/>
      <c r="M86" s="12"/>
      <c r="N86" s="12">
        <f t="shared" si="24"/>
        <v>2336</v>
      </c>
      <c r="O86" s="12">
        <f t="shared" si="25"/>
        <v>0</v>
      </c>
      <c r="P86" s="12">
        <f>Table14[[#This Row],[Enrolment S.Y. 2025-2026 ]]*8</f>
        <v>2336</v>
      </c>
      <c r="Q86" s="12"/>
      <c r="R86" s="10"/>
      <c r="S86" s="12"/>
      <c r="T86" s="12">
        <f>IF((P86-Q86)&lt;0,0,(P86-Q86))</f>
        <v>2336</v>
      </c>
      <c r="U86" s="12">
        <f>IF((Q86-P86)&lt;0,0,(Q86-P86))</f>
        <v>0</v>
      </c>
      <c r="V86" s="12">
        <f>Table14[[#This Row],[Enrolment S.Y. 2025-2026 ]]*8</f>
        <v>2336</v>
      </c>
      <c r="W86" s="12"/>
      <c r="X86" s="10"/>
      <c r="Y86" s="12"/>
      <c r="Z86" s="12">
        <f>IF((V86-W86)&lt;0,0,(V86-W86))</f>
        <v>2336</v>
      </c>
      <c r="AA86" s="12">
        <f>IF((W86-V86)&lt;0,0,(W86-V86))</f>
        <v>0</v>
      </c>
    </row>
    <row r="87" spans="1:27" ht="19.5">
      <c r="A87" s="10">
        <v>8</v>
      </c>
      <c r="B87" s="11" t="s">
        <v>103</v>
      </c>
      <c r="C87" s="10">
        <v>292</v>
      </c>
      <c r="D87" s="12">
        <f>Table14[[#This Row],[Enrolment S.Y. 2025-2026 ]]*8</f>
        <v>2336</v>
      </c>
      <c r="E87" s="12"/>
      <c r="F87" s="10"/>
      <c r="G87" s="12"/>
      <c r="H87" s="12">
        <f t="shared" si="22"/>
        <v>2336</v>
      </c>
      <c r="I87" s="12">
        <f t="shared" si="23"/>
        <v>0</v>
      </c>
      <c r="J87" s="12">
        <f>Table14[[#This Row],[Enrolment S.Y. 2025-2026 ]]*8</f>
        <v>2336</v>
      </c>
      <c r="K87" s="12"/>
      <c r="L87" s="10"/>
      <c r="M87" s="12"/>
      <c r="N87" s="12">
        <f t="shared" si="24"/>
        <v>2336</v>
      </c>
      <c r="O87" s="12">
        <f t="shared" si="25"/>
        <v>0</v>
      </c>
      <c r="P87" s="12">
        <f>Table14[[#This Row],[Enrolment S.Y. 2025-2026 ]]*8</f>
        <v>2336</v>
      </c>
      <c r="Q87" s="12"/>
      <c r="R87" s="10"/>
      <c r="S87" s="12"/>
      <c r="T87" s="12">
        <f t="shared" si="16"/>
        <v>2336</v>
      </c>
      <c r="U87" s="12">
        <f t="shared" si="17"/>
        <v>0</v>
      </c>
      <c r="V87" s="12">
        <f>Table14[[#This Row],[Enrolment S.Y. 2025-2026 ]]*8</f>
        <v>2336</v>
      </c>
      <c r="W87" s="12"/>
      <c r="X87" s="10"/>
      <c r="Y87" s="12"/>
      <c r="Z87" s="12">
        <f t="shared" si="18"/>
        <v>2336</v>
      </c>
      <c r="AA87" s="12">
        <f t="shared" si="19"/>
        <v>0</v>
      </c>
    </row>
    <row r="88" spans="1:27" ht="19.5">
      <c r="A88" s="10">
        <v>8</v>
      </c>
      <c r="B88" s="11" t="s">
        <v>23</v>
      </c>
      <c r="C88" s="10">
        <v>292</v>
      </c>
      <c r="D88" s="12">
        <f>Table14[[#This Row],[Enrolment S.Y. 2025-2026 ]]*8</f>
        <v>2336</v>
      </c>
      <c r="E88" s="12"/>
      <c r="F88" s="10"/>
      <c r="G88" s="12"/>
      <c r="H88" s="12">
        <f t="shared" si="22"/>
        <v>2336</v>
      </c>
      <c r="I88" s="12">
        <f t="shared" si="23"/>
        <v>0</v>
      </c>
      <c r="J88" s="12">
        <f>Table14[[#This Row],[Enrolment S.Y. 2025-2026 ]]*8</f>
        <v>2336</v>
      </c>
      <c r="K88" s="12"/>
      <c r="L88" s="10"/>
      <c r="M88" s="12"/>
      <c r="N88" s="12">
        <f t="shared" si="24"/>
        <v>2336</v>
      </c>
      <c r="O88" s="12">
        <f t="shared" si="25"/>
        <v>0</v>
      </c>
      <c r="P88" s="12">
        <f>Table14[[#This Row],[Enrolment S.Y. 2025-2026 ]]*8</f>
        <v>2336</v>
      </c>
      <c r="Q88" s="12"/>
      <c r="R88" s="10"/>
      <c r="S88" s="12"/>
      <c r="T88" s="12">
        <f t="shared" si="16"/>
        <v>2336</v>
      </c>
      <c r="U88" s="12">
        <f t="shared" si="17"/>
        <v>0</v>
      </c>
      <c r="V88" s="12">
        <f>Table14[[#This Row],[Enrolment S.Y. 2025-2026 ]]*8</f>
        <v>2336</v>
      </c>
      <c r="W88" s="12"/>
      <c r="X88" s="10"/>
      <c r="Y88" s="12"/>
      <c r="Z88" s="12">
        <f t="shared" si="18"/>
        <v>2336</v>
      </c>
      <c r="AA88" s="12">
        <f t="shared" si="19"/>
        <v>0</v>
      </c>
    </row>
    <row r="89" spans="1:27" ht="19.5">
      <c r="A89" s="38">
        <v>8</v>
      </c>
      <c r="B89" s="11" t="s">
        <v>104</v>
      </c>
      <c r="C89" s="10">
        <v>292</v>
      </c>
      <c r="D89" s="12">
        <f>Table14[[#This Row],[Enrolment S.Y. 2025-2026 ]]*8</f>
        <v>2336</v>
      </c>
      <c r="E89" s="12"/>
      <c r="F89" s="10"/>
      <c r="G89" s="12"/>
      <c r="H89" s="12">
        <f>IF((D89-E89)&lt;0,0,(D89-E89))</f>
        <v>2336</v>
      </c>
      <c r="I89" s="12">
        <f>IF((E89-D89)&lt;0,0,(E89-D89))</f>
        <v>0</v>
      </c>
      <c r="J89" s="12">
        <f>Table14[[#This Row],[Enrolment S.Y. 2025-2026 ]]*8</f>
        <v>2336</v>
      </c>
      <c r="K89" s="12"/>
      <c r="L89" s="10"/>
      <c r="M89" s="12"/>
      <c r="N89" s="12">
        <f t="shared" si="24"/>
        <v>2336</v>
      </c>
      <c r="O89" s="12">
        <f t="shared" si="25"/>
        <v>0</v>
      </c>
      <c r="P89" s="12">
        <f>Table14[[#This Row],[Enrolment S.Y. 2025-2026 ]]*8</f>
        <v>2336</v>
      </c>
      <c r="Q89" s="12"/>
      <c r="R89" s="10"/>
      <c r="S89" s="12"/>
      <c r="T89" s="12">
        <f>IF((P89-Q89)&lt;0,0,(P89-Q89))</f>
        <v>2336</v>
      </c>
      <c r="U89" s="12">
        <f>IF((Q89-P89)&lt;0,0,(Q89-P89))</f>
        <v>0</v>
      </c>
      <c r="V89" s="12">
        <f>Table14[[#This Row],[Enrolment S.Y. 2025-2026 ]]*8</f>
        <v>2336</v>
      </c>
      <c r="W89" s="12"/>
      <c r="X89" s="10"/>
      <c r="Y89" s="12"/>
      <c r="Z89" s="12">
        <f>IF((V89-W89)&lt;0,0,(V89-W89))</f>
        <v>2336</v>
      </c>
      <c r="AA89" s="12">
        <f>IF((W89-V89)&lt;0,0,(W89-V89))</f>
        <v>0</v>
      </c>
    </row>
    <row r="90" spans="1:27" ht="19.5">
      <c r="A90" s="10">
        <v>8</v>
      </c>
      <c r="B90" s="11" t="s">
        <v>105</v>
      </c>
      <c r="C90" s="10">
        <v>292</v>
      </c>
      <c r="D90" s="12">
        <f>Table14[[#This Row],[Enrolment S.Y. 2025-2026 ]]*8</f>
        <v>2336</v>
      </c>
      <c r="E90" s="12"/>
      <c r="F90" s="10"/>
      <c r="G90" s="12"/>
      <c r="H90" s="12">
        <f t="shared" si="22"/>
        <v>2336</v>
      </c>
      <c r="I90" s="12">
        <f t="shared" si="23"/>
        <v>0</v>
      </c>
      <c r="J90" s="12">
        <f>Table14[[#This Row],[Enrolment S.Y. 2025-2026 ]]*8</f>
        <v>2336</v>
      </c>
      <c r="K90" s="12"/>
      <c r="L90" s="10"/>
      <c r="M90" s="12"/>
      <c r="N90" s="12">
        <f t="shared" si="24"/>
        <v>2336</v>
      </c>
      <c r="O90" s="12">
        <f t="shared" si="25"/>
        <v>0</v>
      </c>
      <c r="P90" s="12">
        <f>Table14[[#This Row],[Enrolment S.Y. 2025-2026 ]]*8</f>
        <v>2336</v>
      </c>
      <c r="Q90" s="12"/>
      <c r="R90" s="10"/>
      <c r="S90" s="12"/>
      <c r="T90" s="12">
        <f t="shared" si="16"/>
        <v>2336</v>
      </c>
      <c r="U90" s="12">
        <f t="shared" si="17"/>
        <v>0</v>
      </c>
      <c r="V90" s="12">
        <f>Table14[[#This Row],[Enrolment S.Y. 2025-2026 ]]*8</f>
        <v>2336</v>
      </c>
      <c r="W90" s="12"/>
      <c r="X90" s="10"/>
      <c r="Y90" s="12"/>
      <c r="Z90" s="12">
        <f t="shared" si="18"/>
        <v>2336</v>
      </c>
      <c r="AA90" s="12">
        <f t="shared" si="19"/>
        <v>0</v>
      </c>
    </row>
    <row r="91" spans="1:27" s="7" customFormat="1"/>
    <row r="92" spans="1:27" ht="19.5">
      <c r="A92" s="10">
        <v>9</v>
      </c>
      <c r="B92" s="11" t="s">
        <v>15</v>
      </c>
      <c r="C92" s="10">
        <v>263</v>
      </c>
      <c r="D92" s="12">
        <f>Table14[[#This Row],[Enrolment S.Y. 2025-2026 ]]*8</f>
        <v>2104</v>
      </c>
      <c r="E92" s="12">
        <v>0</v>
      </c>
      <c r="F92" s="10"/>
      <c r="G92" s="12"/>
      <c r="H92" s="12">
        <f t="shared" si="22"/>
        <v>2104</v>
      </c>
      <c r="I92" s="12">
        <f t="shared" si="23"/>
        <v>0</v>
      </c>
      <c r="J92" s="12">
        <f>Table14[[#This Row],[Enrolment S.Y. 2025-2026 ]]*8</f>
        <v>2104</v>
      </c>
      <c r="K92" s="12">
        <f>Table14[[#This Row],[Enrolment S.Y. 2025-2026 ]]*8</f>
        <v>2104</v>
      </c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2104</v>
      </c>
      <c r="Q92" s="12">
        <v>0</v>
      </c>
      <c r="R92" s="10"/>
      <c r="S92" s="12"/>
      <c r="T92" s="12">
        <f t="shared" si="16"/>
        <v>2104</v>
      </c>
      <c r="U92" s="12">
        <f t="shared" si="17"/>
        <v>0</v>
      </c>
      <c r="V92" s="12">
        <f>Table14[[#This Row],[Enrolment S.Y. 2025-2026 ]]*8</f>
        <v>2104</v>
      </c>
      <c r="W92" s="12"/>
      <c r="X92" s="10"/>
      <c r="Y92" s="12"/>
      <c r="Z92" s="12">
        <f t="shared" si="18"/>
        <v>2104</v>
      </c>
      <c r="AA92" s="12">
        <f t="shared" si="19"/>
        <v>0</v>
      </c>
    </row>
    <row r="93" spans="1:27" ht="19.5">
      <c r="A93" s="10">
        <v>9</v>
      </c>
      <c r="B93" s="11" t="s">
        <v>16</v>
      </c>
      <c r="C93" s="10">
        <v>263</v>
      </c>
      <c r="D93" s="12">
        <f>Table14[[#This Row],[Enrolment S.Y. 2025-2026 ]]*8</f>
        <v>2104</v>
      </c>
      <c r="E93" s="12">
        <v>100</v>
      </c>
      <c r="F93" s="10">
        <v>2025</v>
      </c>
      <c r="G93" s="12" t="s">
        <v>21</v>
      </c>
      <c r="H93" s="12">
        <f t="shared" si="22"/>
        <v>2004</v>
      </c>
      <c r="I93" s="12">
        <f t="shared" si="23"/>
        <v>0</v>
      </c>
      <c r="J93" s="12">
        <f>Table14[[#This Row],[Enrolment S.Y. 2025-2026 ]]*8</f>
        <v>2104</v>
      </c>
      <c r="K93" s="12">
        <v>100</v>
      </c>
      <c r="L93" s="10">
        <v>2025</v>
      </c>
      <c r="M93" s="12" t="s">
        <v>21</v>
      </c>
      <c r="N93" s="12">
        <f t="shared" si="20"/>
        <v>2004</v>
      </c>
      <c r="O93" s="12">
        <f t="shared" si="21"/>
        <v>0</v>
      </c>
      <c r="P93" s="12">
        <f>Table14[[#This Row],[Enrolment S.Y. 2025-2026 ]]*8</f>
        <v>2104</v>
      </c>
      <c r="Q93" s="12">
        <v>100</v>
      </c>
      <c r="R93" s="10"/>
      <c r="S93" s="12" t="s">
        <v>21</v>
      </c>
      <c r="T93" s="12">
        <f t="shared" si="16"/>
        <v>2004</v>
      </c>
      <c r="U93" s="12">
        <f t="shared" si="17"/>
        <v>0</v>
      </c>
      <c r="V93" s="12">
        <f>Table14[[#This Row],[Enrolment S.Y. 2025-2026 ]]*8</f>
        <v>2104</v>
      </c>
      <c r="W93" s="12"/>
      <c r="X93" s="10"/>
      <c r="Y93" s="12" t="s">
        <v>21</v>
      </c>
      <c r="Z93" s="12">
        <f t="shared" si="18"/>
        <v>2104</v>
      </c>
      <c r="AA93" s="12">
        <f t="shared" si="19"/>
        <v>0</v>
      </c>
    </row>
    <row r="94" spans="1:27" ht="19.5">
      <c r="A94" s="10">
        <v>9</v>
      </c>
      <c r="B94" s="11" t="s">
        <v>13</v>
      </c>
      <c r="C94" s="10">
        <v>263</v>
      </c>
      <c r="D94" s="12">
        <f>Table14[[#This Row],[Enrolment S.Y. 2025-2026 ]]*8</f>
        <v>2104</v>
      </c>
      <c r="E94" s="12">
        <v>100</v>
      </c>
      <c r="F94" s="10">
        <v>2025</v>
      </c>
      <c r="G94" s="12" t="s">
        <v>21</v>
      </c>
      <c r="H94" s="12">
        <f t="shared" si="22"/>
        <v>2004</v>
      </c>
      <c r="I94" s="12">
        <f t="shared" si="23"/>
        <v>0</v>
      </c>
      <c r="J94" s="12">
        <f>Table14[[#This Row],[Enrolment S.Y. 2025-2026 ]]*8</f>
        <v>2104</v>
      </c>
      <c r="K94" s="12">
        <v>100</v>
      </c>
      <c r="L94" s="10">
        <v>2025</v>
      </c>
      <c r="M94" s="12" t="s">
        <v>21</v>
      </c>
      <c r="N94" s="12">
        <f t="shared" si="20"/>
        <v>2004</v>
      </c>
      <c r="O94" s="12">
        <f t="shared" si="21"/>
        <v>0</v>
      </c>
      <c r="P94" s="12">
        <f>Table14[[#This Row],[Enrolment S.Y. 2025-2026 ]]*8</f>
        <v>2104</v>
      </c>
      <c r="Q94" s="12">
        <v>100</v>
      </c>
      <c r="R94" s="10"/>
      <c r="S94" s="12" t="s">
        <v>21</v>
      </c>
      <c r="T94" s="12">
        <f t="shared" si="16"/>
        <v>2004</v>
      </c>
      <c r="U94" s="12">
        <f t="shared" si="17"/>
        <v>0</v>
      </c>
      <c r="V94" s="12">
        <f>Table14[[#This Row],[Enrolment S.Y. 2025-2026 ]]*8</f>
        <v>2104</v>
      </c>
      <c r="W94" s="12"/>
      <c r="X94" s="10"/>
      <c r="Y94" s="12" t="s">
        <v>21</v>
      </c>
      <c r="Z94" s="12">
        <f t="shared" si="18"/>
        <v>2104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263</v>
      </c>
      <c r="D95" s="12">
        <f>Table14[[#This Row],[Enrolment S.Y. 2025-2026 ]]*8</f>
        <v>2104</v>
      </c>
      <c r="E95" s="12">
        <v>0</v>
      </c>
      <c r="F95" s="10"/>
      <c r="G95" s="12"/>
      <c r="H95" s="12">
        <f t="shared" si="22"/>
        <v>2104</v>
      </c>
      <c r="I95" s="12">
        <f t="shared" si="23"/>
        <v>0</v>
      </c>
      <c r="J95" s="12">
        <f>Table14[[#This Row],[Enrolment S.Y. 2025-2026 ]]*8</f>
        <v>2104</v>
      </c>
      <c r="K95" s="12">
        <f>Table14[[#This Row],[Enrolment S.Y. 2025-2026 ]]*8</f>
        <v>2104</v>
      </c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2104</v>
      </c>
      <c r="Q95" s="12">
        <v>100</v>
      </c>
      <c r="R95" s="10"/>
      <c r="S95" s="12" t="s">
        <v>21</v>
      </c>
      <c r="T95" s="12">
        <f t="shared" si="16"/>
        <v>2004</v>
      </c>
      <c r="U95" s="12">
        <f t="shared" si="17"/>
        <v>0</v>
      </c>
      <c r="V95" s="12">
        <f>Table14[[#This Row],[Enrolment S.Y. 2025-2026 ]]*8</f>
        <v>2104</v>
      </c>
      <c r="W95" s="12"/>
      <c r="X95" s="10"/>
      <c r="Y95" s="12" t="s">
        <v>21</v>
      </c>
      <c r="Z95" s="12">
        <f t="shared" si="18"/>
        <v>2104</v>
      </c>
      <c r="AA95" s="12">
        <f t="shared" si="19"/>
        <v>0</v>
      </c>
    </row>
    <row r="96" spans="1:27" ht="19.5">
      <c r="A96" s="10">
        <v>9</v>
      </c>
      <c r="B96" s="11" t="s">
        <v>24</v>
      </c>
      <c r="C96" s="10">
        <v>263</v>
      </c>
      <c r="D96" s="12">
        <f>Table14[[#This Row],[Enrolment S.Y. 2025-2026 ]]*8</f>
        <v>2104</v>
      </c>
      <c r="E96" s="12">
        <v>0</v>
      </c>
      <c r="F96" s="10"/>
      <c r="G96" s="12"/>
      <c r="H96" s="12">
        <f t="shared" si="22"/>
        <v>2104</v>
      </c>
      <c r="I96" s="12">
        <f t="shared" si="23"/>
        <v>0</v>
      </c>
      <c r="J96" s="12">
        <f>Table14[[#This Row],[Enrolment S.Y. 2025-2026 ]]*8</f>
        <v>2104</v>
      </c>
      <c r="K96" s="12">
        <f>Table14[[#This Row],[Enrolment S.Y. 2025-2026 ]]*8</f>
        <v>2104</v>
      </c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2104</v>
      </c>
      <c r="Q96" s="12">
        <v>100</v>
      </c>
      <c r="R96" s="10"/>
      <c r="S96" s="12" t="s">
        <v>21</v>
      </c>
      <c r="T96" s="12">
        <f t="shared" si="16"/>
        <v>2004</v>
      </c>
      <c r="U96" s="12">
        <f t="shared" si="17"/>
        <v>0</v>
      </c>
      <c r="V96" s="12">
        <f>Table14[[#This Row],[Enrolment S.Y. 2025-2026 ]]*8</f>
        <v>2104</v>
      </c>
      <c r="W96" s="12"/>
      <c r="X96" s="10"/>
      <c r="Y96" s="12" t="s">
        <v>21</v>
      </c>
      <c r="Z96" s="12">
        <f t="shared" si="18"/>
        <v>2104</v>
      </c>
      <c r="AA96" s="12">
        <f t="shared" si="19"/>
        <v>0</v>
      </c>
    </row>
    <row r="97" spans="1:27" ht="19.5">
      <c r="A97" s="10">
        <v>9</v>
      </c>
      <c r="B97" s="11" t="s">
        <v>14</v>
      </c>
      <c r="C97" s="10">
        <v>263</v>
      </c>
      <c r="D97" s="12">
        <f>Table14[[#This Row],[Enrolment S.Y. 2025-2026 ]]*8</f>
        <v>2104</v>
      </c>
      <c r="E97" s="12">
        <v>0</v>
      </c>
      <c r="F97" s="10"/>
      <c r="G97" s="12"/>
      <c r="H97" s="12">
        <f t="shared" si="22"/>
        <v>2104</v>
      </c>
      <c r="I97" s="12">
        <f t="shared" si="23"/>
        <v>0</v>
      </c>
      <c r="J97" s="12">
        <f>Table14[[#This Row],[Enrolment S.Y. 2025-2026 ]]*8</f>
        <v>2104</v>
      </c>
      <c r="K97" s="12">
        <f>Table14[[#This Row],[Enrolment S.Y. 2025-2026 ]]*8</f>
        <v>2104</v>
      </c>
      <c r="L97" s="10"/>
      <c r="M97" s="12"/>
      <c r="N97" s="12">
        <f t="shared" si="20"/>
        <v>0</v>
      </c>
      <c r="O97" s="12">
        <f t="shared" si="21"/>
        <v>0</v>
      </c>
      <c r="P97" s="12">
        <f>Table14[[#This Row],[Enrolment S.Y. 2025-2026 ]]*8</f>
        <v>2104</v>
      </c>
      <c r="Q97" s="12">
        <v>100</v>
      </c>
      <c r="R97" s="10"/>
      <c r="S97" s="12" t="s">
        <v>21</v>
      </c>
      <c r="T97" s="12">
        <f t="shared" si="16"/>
        <v>2004</v>
      </c>
      <c r="U97" s="12">
        <f t="shared" si="17"/>
        <v>0</v>
      </c>
      <c r="V97" s="12">
        <f>Table14[[#This Row],[Enrolment S.Y. 2025-2026 ]]*8</f>
        <v>2104</v>
      </c>
      <c r="W97" s="12"/>
      <c r="X97" s="10"/>
      <c r="Y97" s="12" t="s">
        <v>21</v>
      </c>
      <c r="Z97" s="12">
        <f t="shared" si="18"/>
        <v>2104</v>
      </c>
      <c r="AA97" s="12">
        <f t="shared" si="19"/>
        <v>0</v>
      </c>
    </row>
    <row r="98" spans="1:27" ht="19.5">
      <c r="A98" s="38">
        <v>9</v>
      </c>
      <c r="B98" s="11" t="s">
        <v>102</v>
      </c>
      <c r="C98" s="10">
        <v>263</v>
      </c>
      <c r="D98" s="12">
        <f>Table14[[#This Row],[Enrolment S.Y. 2025-2026 ]]*8</f>
        <v>2104</v>
      </c>
      <c r="E98" s="12">
        <v>0</v>
      </c>
      <c r="F98" s="10"/>
      <c r="G98" s="12"/>
      <c r="H98" s="12">
        <f>IF((D98-E98)&lt;0,0,(D98-E98))</f>
        <v>2104</v>
      </c>
      <c r="I98" s="12">
        <f>IF((E98-D98)&lt;0,0,(E98-D98))</f>
        <v>0</v>
      </c>
      <c r="J98" s="12">
        <f>Table14[[#This Row],[Enrolment S.Y. 2025-2026 ]]*8</f>
        <v>2104</v>
      </c>
      <c r="K98" s="12">
        <f>Table14[[#This Row],[Enrolment S.Y. 2025-2026 ]]*8</f>
        <v>2104</v>
      </c>
      <c r="L98" s="10"/>
      <c r="M98" s="12"/>
      <c r="N98" s="12">
        <f t="shared" ref="N98:N102" si="26">IF((J98-K98)&lt;0,0,(J98-K98))</f>
        <v>0</v>
      </c>
      <c r="O98" s="12">
        <f t="shared" ref="O98:O102" si="27">IF((K98-J98)&lt;0,0,(K98-J98))</f>
        <v>0</v>
      </c>
      <c r="P98" s="12">
        <f>Table14[[#This Row],[Enrolment S.Y. 2025-2026 ]]*8</f>
        <v>2104</v>
      </c>
      <c r="Q98" s="12">
        <v>0</v>
      </c>
      <c r="R98" s="10"/>
      <c r="S98" s="12"/>
      <c r="T98" s="12">
        <f>IF((P98-Q98)&lt;0,0,(P98-Q98))</f>
        <v>2104</v>
      </c>
      <c r="U98" s="12">
        <f>IF((Q98-P98)&lt;0,0,(Q98-P98))</f>
        <v>0</v>
      </c>
      <c r="V98" s="12">
        <f>Table14[[#This Row],[Enrolment S.Y. 2025-2026 ]]*8</f>
        <v>2104</v>
      </c>
      <c r="W98" s="12"/>
      <c r="X98" s="10"/>
      <c r="Y98" s="12"/>
      <c r="Z98" s="12">
        <f>IF((V98-W98)&lt;0,0,(V98-W98))</f>
        <v>2104</v>
      </c>
      <c r="AA98" s="12">
        <f>IF((W98-V98)&lt;0,0,(W98-V98))</f>
        <v>0</v>
      </c>
    </row>
    <row r="99" spans="1:27" ht="19.5">
      <c r="A99" s="10">
        <v>9</v>
      </c>
      <c r="B99" s="11" t="s">
        <v>103</v>
      </c>
      <c r="C99" s="10">
        <v>263</v>
      </c>
      <c r="D99" s="12">
        <f>Table14[[#This Row],[Enrolment S.Y. 2025-2026 ]]*8</f>
        <v>2104</v>
      </c>
      <c r="E99" s="12">
        <v>0</v>
      </c>
      <c r="F99" s="10"/>
      <c r="G99" s="12"/>
      <c r="H99" s="12">
        <f t="shared" si="22"/>
        <v>2104</v>
      </c>
      <c r="I99" s="12">
        <f t="shared" si="23"/>
        <v>0</v>
      </c>
      <c r="J99" s="12">
        <f>Table14[[#This Row],[Enrolment S.Y. 2025-2026 ]]*8</f>
        <v>2104</v>
      </c>
      <c r="K99" s="12">
        <f>Table14[[#This Row],[Enrolment S.Y. 2025-2026 ]]*8</f>
        <v>2104</v>
      </c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2104</v>
      </c>
      <c r="Q99" s="12">
        <v>0</v>
      </c>
      <c r="R99" s="10"/>
      <c r="S99" s="12"/>
      <c r="T99" s="12">
        <f t="shared" si="16"/>
        <v>2104</v>
      </c>
      <c r="U99" s="12">
        <f t="shared" si="17"/>
        <v>0</v>
      </c>
      <c r="V99" s="12">
        <f>Table14[[#This Row],[Enrolment S.Y. 2025-2026 ]]*8</f>
        <v>2104</v>
      </c>
      <c r="W99" s="12"/>
      <c r="X99" s="10"/>
      <c r="Y99" s="12"/>
      <c r="Z99" s="12">
        <f t="shared" si="18"/>
        <v>2104</v>
      </c>
      <c r="AA99" s="12">
        <f t="shared" si="19"/>
        <v>0</v>
      </c>
    </row>
    <row r="100" spans="1:27" ht="19.5">
      <c r="A100" s="10">
        <v>9</v>
      </c>
      <c r="B100" s="11" t="s">
        <v>23</v>
      </c>
      <c r="C100" s="10">
        <v>263</v>
      </c>
      <c r="D100" s="12">
        <f>Table14[[#This Row],[Enrolment S.Y. 2025-2026 ]]*8</f>
        <v>2104</v>
      </c>
      <c r="E100" s="12">
        <v>0</v>
      </c>
      <c r="F100" s="10"/>
      <c r="G100" s="12"/>
      <c r="H100" s="12">
        <f t="shared" si="22"/>
        <v>2104</v>
      </c>
      <c r="I100" s="12">
        <f t="shared" si="23"/>
        <v>0</v>
      </c>
      <c r="J100" s="12">
        <f>Table14[[#This Row],[Enrolment S.Y. 2025-2026 ]]*8</f>
        <v>2104</v>
      </c>
      <c r="K100" s="12">
        <f>Table14[[#This Row],[Enrolment S.Y. 2025-2026 ]]*8</f>
        <v>2104</v>
      </c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2104</v>
      </c>
      <c r="Q100" s="12">
        <v>0</v>
      </c>
      <c r="R100" s="10"/>
      <c r="S100" s="12"/>
      <c r="T100" s="12">
        <f t="shared" si="16"/>
        <v>2104</v>
      </c>
      <c r="U100" s="12">
        <f t="shared" si="17"/>
        <v>0</v>
      </c>
      <c r="V100" s="12">
        <f>Table14[[#This Row],[Enrolment S.Y. 2025-2026 ]]*8</f>
        <v>2104</v>
      </c>
      <c r="W100" s="12"/>
      <c r="X100" s="10"/>
      <c r="Y100" s="12"/>
      <c r="Z100" s="12">
        <f t="shared" si="18"/>
        <v>2104</v>
      </c>
      <c r="AA100" s="12">
        <f t="shared" si="19"/>
        <v>0</v>
      </c>
    </row>
    <row r="101" spans="1:27" ht="19.5">
      <c r="A101" s="38">
        <v>9</v>
      </c>
      <c r="B101" s="11" t="s">
        <v>104</v>
      </c>
      <c r="C101" s="10">
        <v>263</v>
      </c>
      <c r="D101" s="12">
        <f>Table14[[#This Row],[Enrolment S.Y. 2025-2026 ]]*8</f>
        <v>2104</v>
      </c>
      <c r="E101" s="12">
        <v>0</v>
      </c>
      <c r="F101" s="10"/>
      <c r="G101" s="12"/>
      <c r="H101" s="12">
        <f>IF((D101-E101)&lt;0,0,(D101-E101))</f>
        <v>2104</v>
      </c>
      <c r="I101" s="12">
        <f>IF((E101-D101)&lt;0,0,(E101-D101))</f>
        <v>0</v>
      </c>
      <c r="J101" s="12">
        <f>Table14[[#This Row],[Enrolment S.Y. 2025-2026 ]]*8</f>
        <v>2104</v>
      </c>
      <c r="K101" s="12">
        <f>Table14[[#This Row],[Enrolment S.Y. 2025-2026 ]]*8</f>
        <v>2104</v>
      </c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2104</v>
      </c>
      <c r="Q101" s="12">
        <v>100</v>
      </c>
      <c r="R101" s="10"/>
      <c r="S101" s="12" t="s">
        <v>21</v>
      </c>
      <c r="T101" s="12">
        <f>IF((P101-Q101)&lt;0,0,(P101-Q101))</f>
        <v>2004</v>
      </c>
      <c r="U101" s="12">
        <f>IF((Q101-P101)&lt;0,0,(Q101-P101))</f>
        <v>0</v>
      </c>
      <c r="V101" s="12">
        <f>Table14[[#This Row],[Enrolment S.Y. 2025-2026 ]]*8</f>
        <v>2104</v>
      </c>
      <c r="W101" s="12"/>
      <c r="X101" s="10"/>
      <c r="Y101" s="12" t="s">
        <v>21</v>
      </c>
      <c r="Z101" s="12">
        <f>IF((V101-W101)&lt;0,0,(V101-W101))</f>
        <v>2104</v>
      </c>
      <c r="AA101" s="12">
        <f>IF((W101-V101)&lt;0,0,(W101-V101))</f>
        <v>0</v>
      </c>
    </row>
    <row r="102" spans="1:27" ht="19.5">
      <c r="A102" s="10">
        <v>9</v>
      </c>
      <c r="B102" s="11" t="s">
        <v>105</v>
      </c>
      <c r="C102" s="10">
        <v>263</v>
      </c>
      <c r="D102" s="12">
        <f>Table14[[#This Row],[Enrolment S.Y. 2025-2026 ]]*8</f>
        <v>2104</v>
      </c>
      <c r="E102" s="12">
        <v>0</v>
      </c>
      <c r="F102" s="10"/>
      <c r="G102" s="12"/>
      <c r="H102" s="12">
        <f t="shared" si="22"/>
        <v>2104</v>
      </c>
      <c r="I102" s="12">
        <f t="shared" si="23"/>
        <v>0</v>
      </c>
      <c r="J102" s="12">
        <f>Table14[[#This Row],[Enrolment S.Y. 2025-2026 ]]*8</f>
        <v>2104</v>
      </c>
      <c r="K102" s="12">
        <f>Table14[[#This Row],[Enrolment S.Y. 2025-2026 ]]*8</f>
        <v>2104</v>
      </c>
      <c r="L102" s="10"/>
      <c r="M102" s="12"/>
      <c r="N102" s="12">
        <f t="shared" si="26"/>
        <v>0</v>
      </c>
      <c r="O102" s="12">
        <f t="shared" si="27"/>
        <v>0</v>
      </c>
      <c r="P102" s="12">
        <f>Table14[[#This Row],[Enrolment S.Y. 2025-2026 ]]*8</f>
        <v>2104</v>
      </c>
      <c r="Q102" s="12">
        <v>100</v>
      </c>
      <c r="R102" s="10"/>
      <c r="S102" s="12" t="s">
        <v>21</v>
      </c>
      <c r="T102" s="12">
        <f t="shared" si="16"/>
        <v>2004</v>
      </c>
      <c r="U102" s="12">
        <f t="shared" si="17"/>
        <v>0</v>
      </c>
      <c r="V102" s="12">
        <f>Table14[[#This Row],[Enrolment S.Y. 2025-2026 ]]*8</f>
        <v>2104</v>
      </c>
      <c r="W102" s="12"/>
      <c r="X102" s="10"/>
      <c r="Y102" s="12" t="s">
        <v>21</v>
      </c>
      <c r="Z102" s="12">
        <f t="shared" si="18"/>
        <v>2104</v>
      </c>
      <c r="AA102" s="12">
        <f t="shared" si="19"/>
        <v>0</v>
      </c>
    </row>
    <row r="103" spans="1:27" s="7" customFormat="1"/>
    <row r="104" spans="1:27" ht="19.5">
      <c r="A104" s="10">
        <v>10</v>
      </c>
      <c r="B104" s="11" t="s">
        <v>15</v>
      </c>
      <c r="C104" s="10">
        <v>310</v>
      </c>
      <c r="D104" s="12">
        <f>Table14[[#This Row],[Enrolment S.Y. 2025-2026 ]]*8</f>
        <v>2480</v>
      </c>
      <c r="E104" s="12">
        <v>100</v>
      </c>
      <c r="F104" s="10">
        <v>2025</v>
      </c>
      <c r="G104" s="12" t="s">
        <v>21</v>
      </c>
      <c r="H104" s="12">
        <f t="shared" si="22"/>
        <v>2380</v>
      </c>
      <c r="I104" s="12">
        <f t="shared" si="23"/>
        <v>0</v>
      </c>
      <c r="J104" s="12">
        <f>Table14[[#This Row],[Enrolment S.Y. 2025-2026 ]]*8</f>
        <v>2480</v>
      </c>
      <c r="K104" s="12">
        <v>50</v>
      </c>
      <c r="L104" s="10">
        <v>2025</v>
      </c>
      <c r="M104" s="12"/>
      <c r="N104" s="12">
        <f t="shared" si="20"/>
        <v>2430</v>
      </c>
      <c r="O104" s="12">
        <f t="shared" si="21"/>
        <v>0</v>
      </c>
      <c r="P104" s="12">
        <f>Table14[[#This Row],[Enrolment S.Y. 2025-2026 ]]*8</f>
        <v>2480</v>
      </c>
      <c r="Q104" s="12">
        <v>50</v>
      </c>
      <c r="R104" s="10">
        <v>2025</v>
      </c>
      <c r="S104" s="12"/>
      <c r="T104" s="12">
        <f t="shared" si="16"/>
        <v>2430</v>
      </c>
      <c r="U104" s="12">
        <f t="shared" si="17"/>
        <v>0</v>
      </c>
      <c r="V104" s="12">
        <f>Table14[[#This Row],[Enrolment S.Y. 2025-2026 ]]*8</f>
        <v>2480</v>
      </c>
      <c r="W104" s="12">
        <v>50</v>
      </c>
      <c r="X104" s="10">
        <v>2025</v>
      </c>
      <c r="Y104" s="12" t="s">
        <v>21</v>
      </c>
      <c r="Z104" s="12">
        <f t="shared" si="18"/>
        <v>2430</v>
      </c>
      <c r="AA104" s="12">
        <f t="shared" si="19"/>
        <v>0</v>
      </c>
    </row>
    <row r="105" spans="1:27" ht="19.5">
      <c r="A105" s="10">
        <v>10</v>
      </c>
      <c r="B105" s="11" t="s">
        <v>16</v>
      </c>
      <c r="C105" s="10">
        <v>310</v>
      </c>
      <c r="D105" s="12">
        <f>Table14[[#This Row],[Enrolment S.Y. 2025-2026 ]]*8</f>
        <v>2480</v>
      </c>
      <c r="E105" s="12">
        <v>100</v>
      </c>
      <c r="F105" s="10">
        <v>2025</v>
      </c>
      <c r="G105" s="12" t="s">
        <v>21</v>
      </c>
      <c r="H105" s="12">
        <f t="shared" si="22"/>
        <v>2380</v>
      </c>
      <c r="I105" s="12">
        <f t="shared" si="23"/>
        <v>0</v>
      </c>
      <c r="J105" s="12">
        <f>Table14[[#This Row],[Enrolment S.Y. 2025-2026 ]]*8</f>
        <v>2480</v>
      </c>
      <c r="K105" s="12">
        <v>0</v>
      </c>
      <c r="L105" s="10"/>
      <c r="M105" s="12"/>
      <c r="N105" s="12">
        <f t="shared" si="20"/>
        <v>2480</v>
      </c>
      <c r="O105" s="12">
        <f t="shared" si="21"/>
        <v>0</v>
      </c>
      <c r="P105" s="12">
        <f>Table14[[#This Row],[Enrolment S.Y. 2025-2026 ]]*8</f>
        <v>2480</v>
      </c>
      <c r="Q105" s="12">
        <v>50</v>
      </c>
      <c r="R105" s="10">
        <v>2025</v>
      </c>
      <c r="S105" s="12"/>
      <c r="T105" s="12">
        <f t="shared" si="16"/>
        <v>2430</v>
      </c>
      <c r="U105" s="12">
        <f t="shared" si="17"/>
        <v>0</v>
      </c>
      <c r="V105" s="12">
        <f>Table14[[#This Row],[Enrolment S.Y. 2025-2026 ]]*8</f>
        <v>2480</v>
      </c>
      <c r="W105" s="12">
        <v>50</v>
      </c>
      <c r="X105" s="10">
        <v>2025</v>
      </c>
      <c r="Y105" s="12" t="s">
        <v>21</v>
      </c>
      <c r="Z105" s="12">
        <f t="shared" si="18"/>
        <v>2430</v>
      </c>
      <c r="AA105" s="12">
        <f t="shared" si="19"/>
        <v>0</v>
      </c>
    </row>
    <row r="106" spans="1:27" ht="19.5">
      <c r="A106" s="10">
        <v>10</v>
      </c>
      <c r="B106" s="11" t="s">
        <v>13</v>
      </c>
      <c r="C106" s="10">
        <v>310</v>
      </c>
      <c r="D106" s="12">
        <f>Table14[[#This Row],[Enrolment S.Y. 2025-2026 ]]*8</f>
        <v>2480</v>
      </c>
      <c r="E106" s="12">
        <v>100</v>
      </c>
      <c r="F106" s="10">
        <v>2025</v>
      </c>
      <c r="G106" s="12" t="s">
        <v>21</v>
      </c>
      <c r="H106" s="12">
        <f t="shared" si="22"/>
        <v>2380</v>
      </c>
      <c r="I106" s="12">
        <f t="shared" si="23"/>
        <v>0</v>
      </c>
      <c r="J106" s="12">
        <f>Table14[[#This Row],[Enrolment S.Y. 2025-2026 ]]*8</f>
        <v>2480</v>
      </c>
      <c r="K106" s="12">
        <v>50</v>
      </c>
      <c r="L106" s="10">
        <v>2025</v>
      </c>
      <c r="M106" s="12"/>
      <c r="N106" s="12">
        <f t="shared" si="20"/>
        <v>2430</v>
      </c>
      <c r="O106" s="12">
        <f t="shared" si="21"/>
        <v>0</v>
      </c>
      <c r="P106" s="12">
        <f>Table14[[#This Row],[Enrolment S.Y. 2025-2026 ]]*8</f>
        <v>2480</v>
      </c>
      <c r="Q106" s="12">
        <v>50</v>
      </c>
      <c r="R106" s="10">
        <v>2025</v>
      </c>
      <c r="S106" s="12"/>
      <c r="T106" s="12">
        <f t="shared" si="16"/>
        <v>2430</v>
      </c>
      <c r="U106" s="12">
        <f t="shared" si="17"/>
        <v>0</v>
      </c>
      <c r="V106" s="12">
        <f>Table14[[#This Row],[Enrolment S.Y. 2025-2026 ]]*8</f>
        <v>2480</v>
      </c>
      <c r="W106" s="12">
        <v>50</v>
      </c>
      <c r="X106" s="10">
        <v>2025</v>
      </c>
      <c r="Y106" s="12" t="s">
        <v>21</v>
      </c>
      <c r="Z106" s="12">
        <f t="shared" si="18"/>
        <v>2430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310</v>
      </c>
      <c r="D107" s="12">
        <f>Table14[[#This Row],[Enrolment S.Y. 2025-2026 ]]*8</f>
        <v>2480</v>
      </c>
      <c r="E107" s="12">
        <v>0</v>
      </c>
      <c r="F107" s="10"/>
      <c r="G107" s="12"/>
      <c r="H107" s="12">
        <f t="shared" si="22"/>
        <v>2480</v>
      </c>
      <c r="I107" s="12">
        <f t="shared" si="23"/>
        <v>0</v>
      </c>
      <c r="J107" s="12">
        <f>Table14[[#This Row],[Enrolment S.Y. 2025-2026 ]]*8</f>
        <v>2480</v>
      </c>
      <c r="K107" s="12">
        <v>0</v>
      </c>
      <c r="L107" s="10"/>
      <c r="M107" s="12"/>
      <c r="N107" s="12">
        <f t="shared" si="20"/>
        <v>2480</v>
      </c>
      <c r="O107" s="12">
        <f t="shared" si="21"/>
        <v>0</v>
      </c>
      <c r="P107" s="12">
        <f>Table14[[#This Row],[Enrolment S.Y. 2025-2026 ]]*8</f>
        <v>2480</v>
      </c>
      <c r="Q107" s="12">
        <v>50</v>
      </c>
      <c r="R107" s="10">
        <v>2025</v>
      </c>
      <c r="S107" s="12"/>
      <c r="T107" s="12">
        <f t="shared" si="16"/>
        <v>2430</v>
      </c>
      <c r="U107" s="12">
        <f t="shared" si="17"/>
        <v>0</v>
      </c>
      <c r="V107" s="12">
        <f>Table14[[#This Row],[Enrolment S.Y. 2025-2026 ]]*8</f>
        <v>2480</v>
      </c>
      <c r="W107" s="12">
        <v>50</v>
      </c>
      <c r="X107" s="10">
        <v>2025</v>
      </c>
      <c r="Y107" s="12" t="s">
        <v>21</v>
      </c>
      <c r="Z107" s="12">
        <f t="shared" si="18"/>
        <v>2430</v>
      </c>
      <c r="AA107" s="12">
        <f t="shared" si="19"/>
        <v>0</v>
      </c>
    </row>
    <row r="108" spans="1:27" ht="19.5">
      <c r="A108" s="10">
        <v>10</v>
      </c>
      <c r="B108" s="11" t="s">
        <v>24</v>
      </c>
      <c r="C108" s="10">
        <v>310</v>
      </c>
      <c r="D108" s="12">
        <f>Table14[[#This Row],[Enrolment S.Y. 2025-2026 ]]*8</f>
        <v>2480</v>
      </c>
      <c r="E108" s="12">
        <v>0</v>
      </c>
      <c r="F108" s="10"/>
      <c r="G108" s="12"/>
      <c r="H108" s="12">
        <f t="shared" si="22"/>
        <v>2480</v>
      </c>
      <c r="I108" s="12">
        <f t="shared" si="23"/>
        <v>0</v>
      </c>
      <c r="J108" s="12">
        <f>Table14[[#This Row],[Enrolment S.Y. 2025-2026 ]]*8</f>
        <v>2480</v>
      </c>
      <c r="K108" s="12">
        <v>0</v>
      </c>
      <c r="L108" s="10"/>
      <c r="M108" s="12"/>
      <c r="N108" s="12">
        <f t="shared" si="20"/>
        <v>2480</v>
      </c>
      <c r="O108" s="12">
        <f t="shared" si="21"/>
        <v>0</v>
      </c>
      <c r="P108" s="12">
        <f>Table14[[#This Row],[Enrolment S.Y. 2025-2026 ]]*8</f>
        <v>2480</v>
      </c>
      <c r="Q108" s="12">
        <v>50</v>
      </c>
      <c r="R108" s="10">
        <v>2025</v>
      </c>
      <c r="S108" s="12"/>
      <c r="T108" s="12">
        <f t="shared" si="16"/>
        <v>2430</v>
      </c>
      <c r="U108" s="12">
        <f t="shared" si="17"/>
        <v>0</v>
      </c>
      <c r="V108" s="12">
        <f>Table14[[#This Row],[Enrolment S.Y. 2025-2026 ]]*8</f>
        <v>2480</v>
      </c>
      <c r="W108" s="12">
        <v>50</v>
      </c>
      <c r="X108" s="10">
        <v>2025</v>
      </c>
      <c r="Y108" s="12" t="s">
        <v>21</v>
      </c>
      <c r="Z108" s="12">
        <f t="shared" si="18"/>
        <v>2430</v>
      </c>
      <c r="AA108" s="12">
        <f t="shared" si="19"/>
        <v>0</v>
      </c>
    </row>
    <row r="109" spans="1:27" ht="19.5">
      <c r="A109" s="10">
        <v>10</v>
      </c>
      <c r="B109" s="11" t="s">
        <v>14</v>
      </c>
      <c r="C109" s="10">
        <v>310</v>
      </c>
      <c r="D109" s="12">
        <f>Table14[[#This Row],[Enrolment S.Y. 2025-2026 ]]*8</f>
        <v>2480</v>
      </c>
      <c r="E109" s="12">
        <v>0</v>
      </c>
      <c r="F109" s="10"/>
      <c r="G109" s="12"/>
      <c r="H109" s="12">
        <f t="shared" si="22"/>
        <v>2480</v>
      </c>
      <c r="I109" s="12">
        <f t="shared" si="23"/>
        <v>0</v>
      </c>
      <c r="J109" s="12">
        <f>Table14[[#This Row],[Enrolment S.Y. 2025-2026 ]]*8</f>
        <v>2480</v>
      </c>
      <c r="K109" s="12">
        <v>0</v>
      </c>
      <c r="L109" s="10"/>
      <c r="M109" s="12"/>
      <c r="N109" s="12">
        <f t="shared" si="20"/>
        <v>2480</v>
      </c>
      <c r="O109" s="12">
        <f t="shared" si="21"/>
        <v>0</v>
      </c>
      <c r="P109" s="12">
        <f>Table14[[#This Row],[Enrolment S.Y. 2025-2026 ]]*8</f>
        <v>2480</v>
      </c>
      <c r="Q109" s="12">
        <v>50</v>
      </c>
      <c r="R109" s="10">
        <v>2025</v>
      </c>
      <c r="S109" s="12"/>
      <c r="T109" s="12">
        <f t="shared" si="16"/>
        <v>2430</v>
      </c>
      <c r="U109" s="12">
        <f t="shared" si="17"/>
        <v>0</v>
      </c>
      <c r="V109" s="12">
        <f>Table14[[#This Row],[Enrolment S.Y. 2025-2026 ]]*8</f>
        <v>2480</v>
      </c>
      <c r="W109" s="12">
        <v>50</v>
      </c>
      <c r="X109" s="10">
        <v>2025</v>
      </c>
      <c r="Y109" s="12" t="s">
        <v>21</v>
      </c>
      <c r="Z109" s="12">
        <f t="shared" si="18"/>
        <v>2430</v>
      </c>
      <c r="AA109" s="12">
        <f t="shared" si="19"/>
        <v>0</v>
      </c>
    </row>
    <row r="110" spans="1:27" ht="19.5">
      <c r="A110" s="38">
        <v>10</v>
      </c>
      <c r="B110" s="11" t="s">
        <v>102</v>
      </c>
      <c r="C110" s="10">
        <v>310</v>
      </c>
      <c r="D110" s="12">
        <f>Table14[[#This Row],[Enrolment S.Y. 2025-2026 ]]*8</f>
        <v>2480</v>
      </c>
      <c r="E110" s="12">
        <v>0</v>
      </c>
      <c r="F110" s="10"/>
      <c r="G110" s="12"/>
      <c r="H110" s="12">
        <f>IF((D110-E110)&lt;0,0,(D110-E110))</f>
        <v>2480</v>
      </c>
      <c r="I110" s="12">
        <f>IF((E110-D110)&lt;0,0,(E110-D110))</f>
        <v>0</v>
      </c>
      <c r="J110" s="12">
        <f>Table14[[#This Row],[Enrolment S.Y. 2025-2026 ]]*8</f>
        <v>2480</v>
      </c>
      <c r="K110" s="12">
        <v>0</v>
      </c>
      <c r="L110" s="10"/>
      <c r="M110" s="12"/>
      <c r="N110" s="12">
        <f t="shared" ref="N110:N114" si="28">IF((J110-K110)&lt;0,0,(J110-K110))</f>
        <v>2480</v>
      </c>
      <c r="O110" s="12">
        <f t="shared" ref="O110:O114" si="29">IF((K110-J110)&lt;0,0,(K110-J110))</f>
        <v>0</v>
      </c>
      <c r="P110" s="12">
        <f>Table14[[#This Row],[Enrolment S.Y. 2025-2026 ]]*8</f>
        <v>2480</v>
      </c>
      <c r="Q110" s="12">
        <v>50</v>
      </c>
      <c r="R110" s="10">
        <v>2025</v>
      </c>
      <c r="S110" s="12"/>
      <c r="T110" s="12">
        <f>IF((P110-Q110)&lt;0,0,(P110-Q110))</f>
        <v>2430</v>
      </c>
      <c r="U110" s="12">
        <f>IF((Q110-P110)&lt;0,0,(Q110-P110))</f>
        <v>0</v>
      </c>
      <c r="V110" s="12">
        <f>Table14[[#This Row],[Enrolment S.Y. 2025-2026 ]]*8</f>
        <v>2480</v>
      </c>
      <c r="W110" s="12">
        <v>50</v>
      </c>
      <c r="X110" s="10">
        <v>2025</v>
      </c>
      <c r="Y110" s="12" t="s">
        <v>21</v>
      </c>
      <c r="Z110" s="12">
        <f>IF((V110-W110)&lt;0,0,(V110-W110))</f>
        <v>2430</v>
      </c>
      <c r="AA110" s="12">
        <f>IF((W110-V110)&lt;0,0,(W110-V110))</f>
        <v>0</v>
      </c>
    </row>
    <row r="111" spans="1:27" ht="19.5">
      <c r="A111" s="10">
        <v>10</v>
      </c>
      <c r="B111" s="11" t="s">
        <v>103</v>
      </c>
      <c r="C111" s="10">
        <v>310</v>
      </c>
      <c r="D111" s="12">
        <f>Table14[[#This Row],[Enrolment S.Y. 2025-2026 ]]*8</f>
        <v>2480</v>
      </c>
      <c r="E111" s="12">
        <v>0</v>
      </c>
      <c r="F111" s="10"/>
      <c r="G111" s="12"/>
      <c r="H111" s="12">
        <f t="shared" si="22"/>
        <v>2480</v>
      </c>
      <c r="I111" s="12">
        <f t="shared" si="23"/>
        <v>0</v>
      </c>
      <c r="J111" s="12">
        <f>Table14[[#This Row],[Enrolment S.Y. 2025-2026 ]]*8</f>
        <v>2480</v>
      </c>
      <c r="K111" s="12">
        <v>0</v>
      </c>
      <c r="L111" s="10"/>
      <c r="M111" s="12"/>
      <c r="N111" s="12">
        <f t="shared" si="28"/>
        <v>2480</v>
      </c>
      <c r="O111" s="12">
        <f t="shared" si="29"/>
        <v>0</v>
      </c>
      <c r="P111" s="12">
        <f>Table14[[#This Row],[Enrolment S.Y. 2025-2026 ]]*8</f>
        <v>2480</v>
      </c>
      <c r="Q111" s="12">
        <v>50</v>
      </c>
      <c r="R111" s="10">
        <v>2025</v>
      </c>
      <c r="S111" s="12"/>
      <c r="T111" s="12">
        <f t="shared" si="16"/>
        <v>2430</v>
      </c>
      <c r="U111" s="12">
        <f t="shared" si="17"/>
        <v>0</v>
      </c>
      <c r="V111" s="12">
        <f>Table14[[#This Row],[Enrolment S.Y. 2025-2026 ]]*8</f>
        <v>2480</v>
      </c>
      <c r="W111" s="12">
        <v>50</v>
      </c>
      <c r="X111" s="10">
        <v>2025</v>
      </c>
      <c r="Y111" s="12" t="s">
        <v>21</v>
      </c>
      <c r="Z111" s="12">
        <f t="shared" si="18"/>
        <v>2430</v>
      </c>
      <c r="AA111" s="12">
        <f t="shared" si="19"/>
        <v>0</v>
      </c>
    </row>
    <row r="112" spans="1:27" ht="19.5">
      <c r="A112" s="10">
        <v>10</v>
      </c>
      <c r="B112" s="11" t="s">
        <v>23</v>
      </c>
      <c r="C112" s="10">
        <v>310</v>
      </c>
      <c r="D112" s="12">
        <f>Table14[[#This Row],[Enrolment S.Y. 2025-2026 ]]*8</f>
        <v>2480</v>
      </c>
      <c r="E112" s="12">
        <v>0</v>
      </c>
      <c r="F112" s="10"/>
      <c r="G112" s="12"/>
      <c r="H112" s="12">
        <f t="shared" si="22"/>
        <v>2480</v>
      </c>
      <c r="I112" s="12">
        <f t="shared" si="23"/>
        <v>0</v>
      </c>
      <c r="J112" s="12">
        <f>Table14[[#This Row],[Enrolment S.Y. 2025-2026 ]]*8</f>
        <v>2480</v>
      </c>
      <c r="K112" s="12">
        <v>0</v>
      </c>
      <c r="L112" s="10"/>
      <c r="M112" s="12"/>
      <c r="N112" s="12">
        <f t="shared" si="28"/>
        <v>2480</v>
      </c>
      <c r="O112" s="12">
        <f t="shared" si="29"/>
        <v>0</v>
      </c>
      <c r="P112" s="12">
        <f>Table14[[#This Row],[Enrolment S.Y. 2025-2026 ]]*8</f>
        <v>2480</v>
      </c>
      <c r="Q112" s="12">
        <v>0</v>
      </c>
      <c r="R112" s="10"/>
      <c r="S112" s="12"/>
      <c r="T112" s="12">
        <f t="shared" si="16"/>
        <v>2480</v>
      </c>
      <c r="U112" s="12">
        <f t="shared" si="17"/>
        <v>0</v>
      </c>
      <c r="V112" s="12">
        <f>Table14[[#This Row],[Enrolment S.Y. 2025-2026 ]]*8</f>
        <v>2480</v>
      </c>
      <c r="W112" s="12">
        <v>0</v>
      </c>
      <c r="X112" s="10"/>
      <c r="Y112" s="12"/>
      <c r="Z112" s="12">
        <f t="shared" si="18"/>
        <v>2480</v>
      </c>
      <c r="AA112" s="12">
        <f t="shared" si="19"/>
        <v>0</v>
      </c>
    </row>
    <row r="113" spans="1:27" ht="19.5">
      <c r="A113" s="38">
        <v>10</v>
      </c>
      <c r="B113" s="11" t="s">
        <v>104</v>
      </c>
      <c r="C113" s="10">
        <v>310</v>
      </c>
      <c r="D113" s="12">
        <f>Table14[[#This Row],[Enrolment S.Y. 2025-2026 ]]*8</f>
        <v>2480</v>
      </c>
      <c r="E113" s="12">
        <v>0</v>
      </c>
      <c r="F113" s="10"/>
      <c r="G113" s="12"/>
      <c r="H113" s="12">
        <f>IF((D113-E113)&lt;0,0,(D113-E113))</f>
        <v>2480</v>
      </c>
      <c r="I113" s="12">
        <f>IF((E113-D113)&lt;0,0,(E113-D113))</f>
        <v>0</v>
      </c>
      <c r="J113" s="12">
        <f>Table14[[#This Row],[Enrolment S.Y. 2025-2026 ]]*8</f>
        <v>2480</v>
      </c>
      <c r="K113" s="12">
        <v>0</v>
      </c>
      <c r="L113" s="10"/>
      <c r="M113" s="12"/>
      <c r="N113" s="12">
        <f t="shared" si="28"/>
        <v>2480</v>
      </c>
      <c r="O113" s="12">
        <f t="shared" si="29"/>
        <v>0</v>
      </c>
      <c r="P113" s="12">
        <f>Table14[[#This Row],[Enrolment S.Y. 2025-2026 ]]*8</f>
        <v>2480</v>
      </c>
      <c r="Q113" s="12">
        <v>50</v>
      </c>
      <c r="R113" s="10">
        <v>2025</v>
      </c>
      <c r="S113" s="12"/>
      <c r="T113" s="12">
        <f>IF((P113-Q113)&lt;0,0,(P113-Q113))</f>
        <v>2430</v>
      </c>
      <c r="U113" s="12">
        <f>IF((Q113-P113)&lt;0,0,(Q113-P113))</f>
        <v>0</v>
      </c>
      <c r="V113" s="12">
        <f>Table14[[#This Row],[Enrolment S.Y. 2025-2026 ]]*8</f>
        <v>2480</v>
      </c>
      <c r="W113" s="12">
        <v>50</v>
      </c>
      <c r="X113" s="10">
        <v>2025</v>
      </c>
      <c r="Y113" s="12" t="s">
        <v>21</v>
      </c>
      <c r="Z113" s="12">
        <f>IF((V113-W113)&lt;0,0,(V113-W113))</f>
        <v>2430</v>
      </c>
      <c r="AA113" s="12">
        <f>IF((W113-V113)&lt;0,0,(W113-V113))</f>
        <v>0</v>
      </c>
    </row>
    <row r="114" spans="1:27" ht="19.5">
      <c r="A114" s="10">
        <v>10</v>
      </c>
      <c r="B114" s="11" t="s">
        <v>105</v>
      </c>
      <c r="C114" s="10">
        <v>310</v>
      </c>
      <c r="D114" s="12">
        <f>Table14[[#This Row],[Enrolment S.Y. 2025-2026 ]]*8</f>
        <v>2480</v>
      </c>
      <c r="E114" s="12">
        <v>0</v>
      </c>
      <c r="F114" s="10"/>
      <c r="G114" s="12"/>
      <c r="H114" s="12">
        <f t="shared" si="22"/>
        <v>2480</v>
      </c>
      <c r="I114" s="12">
        <f t="shared" si="23"/>
        <v>0</v>
      </c>
      <c r="J114" s="12">
        <f>Table14[[#This Row],[Enrolment S.Y. 2025-2026 ]]*8</f>
        <v>2480</v>
      </c>
      <c r="K114" s="12">
        <v>0</v>
      </c>
      <c r="L114" s="10"/>
      <c r="M114" s="12"/>
      <c r="N114" s="12">
        <f t="shared" si="28"/>
        <v>2480</v>
      </c>
      <c r="O114" s="12">
        <f t="shared" si="29"/>
        <v>0</v>
      </c>
      <c r="P114" s="12">
        <f>Table14[[#This Row],[Enrolment S.Y. 2025-2026 ]]*8</f>
        <v>2480</v>
      </c>
      <c r="Q114" s="12">
        <v>50</v>
      </c>
      <c r="R114" s="10">
        <v>2025</v>
      </c>
      <c r="S114" s="12"/>
      <c r="T114" s="12">
        <f t="shared" si="16"/>
        <v>2430</v>
      </c>
      <c r="U114" s="12">
        <f t="shared" si="17"/>
        <v>0</v>
      </c>
      <c r="V114" s="12">
        <f>Table14[[#This Row],[Enrolment S.Y. 2025-2026 ]]*8</f>
        <v>2480</v>
      </c>
      <c r="W114" s="12">
        <v>50</v>
      </c>
      <c r="X114" s="10">
        <v>2025</v>
      </c>
      <c r="Y114" s="12" t="s">
        <v>21</v>
      </c>
      <c r="Z114" s="12">
        <f t="shared" si="18"/>
        <v>2430</v>
      </c>
      <c r="AA114" s="12">
        <f t="shared" si="19"/>
        <v>0</v>
      </c>
    </row>
    <row r="115" spans="1:27" s="7" customFormat="1"/>
    <row r="116" spans="1:27" ht="38.25">
      <c r="A116" s="1" t="s">
        <v>25</v>
      </c>
      <c r="B116" s="9" t="s">
        <v>26</v>
      </c>
      <c r="C116" s="1">
        <v>285</v>
      </c>
      <c r="D116" s="5">
        <f>Table14[[#This Row],[Enrolment S.Y. 2025-2026 ]]*8</f>
        <v>2280</v>
      </c>
      <c r="E116" s="5"/>
      <c r="F116" s="1"/>
      <c r="G116" s="5"/>
      <c r="H116" s="5">
        <f t="shared" si="22"/>
        <v>2280</v>
      </c>
      <c r="I116" s="5">
        <f t="shared" si="23"/>
        <v>0</v>
      </c>
      <c r="J116" s="5">
        <f>Table14[[#This Row],[Enrolment S.Y. 2025-2026 ]]*8</f>
        <v>2280</v>
      </c>
      <c r="K116" s="5"/>
      <c r="L116" s="1"/>
      <c r="M116" s="5"/>
      <c r="N116" s="5">
        <f t="shared" si="20"/>
        <v>2280</v>
      </c>
      <c r="O116" s="5">
        <f t="shared" si="21"/>
        <v>0</v>
      </c>
      <c r="P116" s="5">
        <f>Table14[[#This Row],[Enrolment S.Y. 2025-2026 ]]*8</f>
        <v>2280</v>
      </c>
      <c r="Q116" s="5"/>
      <c r="R116" s="1"/>
      <c r="S116" s="5"/>
      <c r="T116" s="5">
        <f t="shared" si="16"/>
        <v>2280</v>
      </c>
      <c r="U116" s="5">
        <f t="shared" si="17"/>
        <v>0</v>
      </c>
      <c r="V116" s="5">
        <f>Table14[[#This Row],[Enrolment S.Y. 2025-2026 ]]*8</f>
        <v>2280</v>
      </c>
      <c r="W116" s="5"/>
      <c r="X116" s="1"/>
      <c r="Y116" s="5"/>
      <c r="Z116" s="5">
        <f t="shared" si="18"/>
        <v>2280</v>
      </c>
      <c r="AA116" s="5">
        <f t="shared" si="19"/>
        <v>0</v>
      </c>
    </row>
    <row r="117" spans="1:27" ht="19.5">
      <c r="A117" s="1" t="s">
        <v>25</v>
      </c>
      <c r="B117" s="9" t="s">
        <v>27</v>
      </c>
      <c r="C117" s="1">
        <v>285</v>
      </c>
      <c r="D117" s="5">
        <f>Table14[[#This Row],[Enrolment S.Y. 2025-2026 ]]*8</f>
        <v>2280</v>
      </c>
      <c r="E117" s="5"/>
      <c r="F117" s="1"/>
      <c r="G117" s="5"/>
      <c r="H117" s="5">
        <f t="shared" si="22"/>
        <v>2280</v>
      </c>
      <c r="I117" s="5">
        <f t="shared" si="23"/>
        <v>0</v>
      </c>
      <c r="J117" s="5">
        <f>Table14[[#This Row],[Enrolment S.Y. 2025-2026 ]]*8</f>
        <v>2280</v>
      </c>
      <c r="K117" s="5"/>
      <c r="L117" s="1"/>
      <c r="M117" s="5"/>
      <c r="N117" s="5">
        <f t="shared" si="20"/>
        <v>2280</v>
      </c>
      <c r="O117" s="5">
        <f t="shared" si="21"/>
        <v>0</v>
      </c>
      <c r="P117" s="5">
        <f>Table14[[#This Row],[Enrolment S.Y. 2025-2026 ]]*8</f>
        <v>2280</v>
      </c>
      <c r="Q117" s="5"/>
      <c r="R117" s="1"/>
      <c r="S117" s="5"/>
      <c r="T117" s="5">
        <f t="shared" si="16"/>
        <v>2280</v>
      </c>
      <c r="U117" s="5">
        <f t="shared" si="17"/>
        <v>0</v>
      </c>
      <c r="V117" s="5">
        <f>Table14[[#This Row],[Enrolment S.Y. 2025-2026 ]]*8</f>
        <v>2280</v>
      </c>
      <c r="W117" s="5"/>
      <c r="X117" s="1"/>
      <c r="Y117" s="5"/>
      <c r="Z117" s="5">
        <f t="shared" si="18"/>
        <v>2280</v>
      </c>
      <c r="AA117" s="5">
        <f t="shared" si="19"/>
        <v>0</v>
      </c>
    </row>
    <row r="118" spans="1:27" ht="19.5">
      <c r="A118" s="1" t="s">
        <v>25</v>
      </c>
      <c r="B118" s="9" t="s">
        <v>28</v>
      </c>
      <c r="C118" s="1">
        <v>285</v>
      </c>
      <c r="D118" s="5">
        <f>Table14[[#This Row],[Enrolment S.Y. 2025-2026 ]]*8</f>
        <v>2280</v>
      </c>
      <c r="E118" s="5"/>
      <c r="F118" s="1"/>
      <c r="G118" s="5"/>
      <c r="H118" s="5">
        <f t="shared" si="22"/>
        <v>2280</v>
      </c>
      <c r="I118" s="5">
        <f t="shared" si="23"/>
        <v>0</v>
      </c>
      <c r="J118" s="5">
        <f>Table14[[#This Row],[Enrolment S.Y. 2025-2026 ]]*8</f>
        <v>2280</v>
      </c>
      <c r="K118" s="5"/>
      <c r="L118" s="1"/>
      <c r="M118" s="5"/>
      <c r="N118" s="5">
        <f t="shared" si="20"/>
        <v>2280</v>
      </c>
      <c r="O118" s="5">
        <f t="shared" si="21"/>
        <v>0</v>
      </c>
      <c r="P118" s="5">
        <f>Table14[[#This Row],[Enrolment S.Y. 2025-2026 ]]*8</f>
        <v>2280</v>
      </c>
      <c r="Q118" s="5"/>
      <c r="R118" s="1"/>
      <c r="S118" s="5"/>
      <c r="T118" s="5">
        <f t="shared" si="16"/>
        <v>2280</v>
      </c>
      <c r="U118" s="5">
        <f t="shared" si="17"/>
        <v>0</v>
      </c>
      <c r="V118" s="5">
        <f>Table14[[#This Row],[Enrolment S.Y. 2025-2026 ]]*8</f>
        <v>2280</v>
      </c>
      <c r="W118" s="5"/>
      <c r="X118" s="1"/>
      <c r="Y118" s="5"/>
      <c r="Z118" s="5">
        <f t="shared" si="18"/>
        <v>2280</v>
      </c>
      <c r="AA118" s="5">
        <f t="shared" si="19"/>
        <v>0</v>
      </c>
    </row>
    <row r="119" spans="1:27" ht="19.5">
      <c r="A119" s="1" t="s">
        <v>25</v>
      </c>
      <c r="B119" s="9" t="s">
        <v>29</v>
      </c>
      <c r="C119" s="1">
        <v>285</v>
      </c>
      <c r="D119" s="5">
        <f>Table14[[#This Row],[Enrolment S.Y. 2025-2026 ]]*8</f>
        <v>2280</v>
      </c>
      <c r="E119" s="5"/>
      <c r="F119" s="1"/>
      <c r="G119" s="5"/>
      <c r="H119" s="5">
        <f t="shared" si="22"/>
        <v>2280</v>
      </c>
      <c r="I119" s="5">
        <f t="shared" si="23"/>
        <v>0</v>
      </c>
      <c r="J119" s="5">
        <f>Table14[[#This Row],[Enrolment S.Y. 2025-2026 ]]*8</f>
        <v>2280</v>
      </c>
      <c r="K119" s="5"/>
      <c r="L119" s="1"/>
      <c r="M119" s="5"/>
      <c r="N119" s="5">
        <f t="shared" si="20"/>
        <v>2280</v>
      </c>
      <c r="O119" s="5">
        <f t="shared" si="21"/>
        <v>0</v>
      </c>
      <c r="P119" s="5">
        <f>Table14[[#This Row],[Enrolment S.Y. 2025-2026 ]]*8</f>
        <v>2280</v>
      </c>
      <c r="Q119" s="5"/>
      <c r="R119" s="1"/>
      <c r="S119" s="5"/>
      <c r="T119" s="5">
        <f t="shared" si="16"/>
        <v>2280</v>
      </c>
      <c r="U119" s="5">
        <f t="shared" si="17"/>
        <v>0</v>
      </c>
      <c r="V119" s="5">
        <f>Table14[[#This Row],[Enrolment S.Y. 2025-2026 ]]*8</f>
        <v>2280</v>
      </c>
      <c r="W119" s="5"/>
      <c r="X119" s="1"/>
      <c r="Y119" s="5"/>
      <c r="Z119" s="5">
        <f t="shared" si="18"/>
        <v>2280</v>
      </c>
      <c r="AA119" s="5">
        <f t="shared" si="19"/>
        <v>0</v>
      </c>
    </row>
    <row r="120" spans="1:27" ht="38.25">
      <c r="A120" s="1" t="s">
        <v>25</v>
      </c>
      <c r="B120" s="9" t="s">
        <v>30</v>
      </c>
      <c r="C120" s="1">
        <v>285</v>
      </c>
      <c r="D120" s="5">
        <f>Table14[[#This Row],[Enrolment S.Y. 2025-2026 ]]*8</f>
        <v>2280</v>
      </c>
      <c r="E120" s="5"/>
      <c r="F120" s="1"/>
      <c r="G120" s="5"/>
      <c r="H120" s="5">
        <f t="shared" si="22"/>
        <v>2280</v>
      </c>
      <c r="I120" s="5">
        <f t="shared" si="23"/>
        <v>0</v>
      </c>
      <c r="J120" s="5">
        <f>Table14[[#This Row],[Enrolment S.Y. 2025-2026 ]]*8</f>
        <v>2280</v>
      </c>
      <c r="K120" s="5"/>
      <c r="L120" s="1"/>
      <c r="M120" s="5"/>
      <c r="N120" s="5">
        <f t="shared" si="20"/>
        <v>2280</v>
      </c>
      <c r="O120" s="5">
        <f t="shared" si="21"/>
        <v>0</v>
      </c>
      <c r="P120" s="5">
        <f>Table14[[#This Row],[Enrolment S.Y. 2025-2026 ]]*8</f>
        <v>2280</v>
      </c>
      <c r="Q120" s="5"/>
      <c r="R120" s="1"/>
      <c r="S120" s="5"/>
      <c r="T120" s="5">
        <f t="shared" si="16"/>
        <v>2280</v>
      </c>
      <c r="U120" s="5">
        <f t="shared" si="17"/>
        <v>0</v>
      </c>
      <c r="V120" s="5">
        <f>Table14[[#This Row],[Enrolment S.Y. 2025-2026 ]]*8</f>
        <v>2280</v>
      </c>
      <c r="W120" s="5"/>
      <c r="X120" s="1"/>
      <c r="Y120" s="5"/>
      <c r="Z120" s="5">
        <f t="shared" si="18"/>
        <v>2280</v>
      </c>
      <c r="AA120" s="5">
        <f t="shared" si="19"/>
        <v>0</v>
      </c>
    </row>
    <row r="121" spans="1:27" ht="38.25">
      <c r="A121" s="1" t="s">
        <v>25</v>
      </c>
      <c r="B121" s="9" t="s">
        <v>31</v>
      </c>
      <c r="C121" s="1">
        <v>285</v>
      </c>
      <c r="D121" s="5">
        <f>Table14[[#This Row],[Enrolment S.Y. 2025-2026 ]]*8</f>
        <v>2280</v>
      </c>
      <c r="E121" s="5"/>
      <c r="F121" s="1"/>
      <c r="G121" s="5"/>
      <c r="H121" s="5">
        <f t="shared" si="22"/>
        <v>2280</v>
      </c>
      <c r="I121" s="5">
        <f t="shared" si="23"/>
        <v>0</v>
      </c>
      <c r="J121" s="5">
        <f>Table14[[#This Row],[Enrolment S.Y. 2025-2026 ]]*8</f>
        <v>2280</v>
      </c>
      <c r="K121" s="5"/>
      <c r="L121" s="1"/>
      <c r="M121" s="5"/>
      <c r="N121" s="5">
        <f t="shared" si="20"/>
        <v>2280</v>
      </c>
      <c r="O121" s="5">
        <f t="shared" si="21"/>
        <v>0</v>
      </c>
      <c r="P121" s="5">
        <f>Table14[[#This Row],[Enrolment S.Y. 2025-2026 ]]*8</f>
        <v>2280</v>
      </c>
      <c r="Q121" s="5"/>
      <c r="R121" s="1"/>
      <c r="S121" s="5"/>
      <c r="T121" s="5">
        <f t="shared" si="16"/>
        <v>2280</v>
      </c>
      <c r="U121" s="5">
        <f t="shared" si="17"/>
        <v>0</v>
      </c>
      <c r="V121" s="5">
        <f>Table14[[#This Row],[Enrolment S.Y. 2025-2026 ]]*8</f>
        <v>2280</v>
      </c>
      <c r="W121" s="5"/>
      <c r="X121" s="1"/>
      <c r="Y121" s="5"/>
      <c r="Z121" s="5">
        <f t="shared" si="18"/>
        <v>2280</v>
      </c>
      <c r="AA121" s="5">
        <f t="shared" si="19"/>
        <v>0</v>
      </c>
    </row>
    <row r="122" spans="1:27" ht="57.75">
      <c r="A122" s="1" t="s">
        <v>25</v>
      </c>
      <c r="B122" s="9" t="s">
        <v>32</v>
      </c>
      <c r="C122" s="1">
        <v>285</v>
      </c>
      <c r="D122" s="5">
        <f>Table14[[#This Row],[Enrolment S.Y. 2025-2026 ]]*8</f>
        <v>2280</v>
      </c>
      <c r="E122" s="5"/>
      <c r="F122" s="1"/>
      <c r="G122" s="5"/>
      <c r="H122" s="5">
        <f t="shared" si="22"/>
        <v>2280</v>
      </c>
      <c r="I122" s="5">
        <f t="shared" si="23"/>
        <v>0</v>
      </c>
      <c r="J122" s="5">
        <f>Table14[[#This Row],[Enrolment S.Y. 2025-2026 ]]*8</f>
        <v>2280</v>
      </c>
      <c r="K122" s="5"/>
      <c r="L122" s="1"/>
      <c r="M122" s="5"/>
      <c r="N122" s="5">
        <f t="shared" si="20"/>
        <v>2280</v>
      </c>
      <c r="O122" s="5">
        <f t="shared" si="21"/>
        <v>0</v>
      </c>
      <c r="P122" s="5">
        <f>Table14[[#This Row],[Enrolment S.Y. 2025-2026 ]]*8</f>
        <v>2280</v>
      </c>
      <c r="Q122" s="5"/>
      <c r="R122" s="1"/>
      <c r="S122" s="5"/>
      <c r="T122" s="5">
        <f t="shared" si="16"/>
        <v>2280</v>
      </c>
      <c r="U122" s="5">
        <f t="shared" si="17"/>
        <v>0</v>
      </c>
      <c r="V122" s="5">
        <f>Table14[[#This Row],[Enrolment S.Y. 2025-2026 ]]*8</f>
        <v>2280</v>
      </c>
      <c r="W122" s="5"/>
      <c r="X122" s="1"/>
      <c r="Y122" s="5"/>
      <c r="Z122" s="5">
        <f t="shared" si="18"/>
        <v>2280</v>
      </c>
      <c r="AA122" s="5">
        <f t="shared" si="19"/>
        <v>0</v>
      </c>
    </row>
    <row r="123" spans="1:27" ht="38.25">
      <c r="A123" s="29" t="s">
        <v>25</v>
      </c>
      <c r="B123" s="30" t="s">
        <v>33</v>
      </c>
      <c r="C123" s="29">
        <v>285</v>
      </c>
      <c r="D123" s="31">
        <f>Table14[[#This Row],[Enrolment S.Y. 2025-2026 ]]*8</f>
        <v>2280</v>
      </c>
      <c r="E123" s="31"/>
      <c r="F123" s="29"/>
      <c r="G123" s="31"/>
      <c r="H123" s="31">
        <f t="shared" si="22"/>
        <v>2280</v>
      </c>
      <c r="I123" s="31">
        <f t="shared" si="23"/>
        <v>0</v>
      </c>
      <c r="J123" s="31">
        <f>Table14[[#This Row],[Enrolment S.Y. 2025-2026 ]]*8</f>
        <v>2280</v>
      </c>
      <c r="K123" s="31"/>
      <c r="L123" s="29"/>
      <c r="M123" s="31"/>
      <c r="N123" s="31">
        <f t="shared" si="20"/>
        <v>2280</v>
      </c>
      <c r="O123" s="31">
        <f t="shared" si="21"/>
        <v>0</v>
      </c>
      <c r="P123" s="31">
        <f>Table14[[#This Row],[Enrolment S.Y. 2025-2026 ]]*8</f>
        <v>2280</v>
      </c>
      <c r="Q123" s="31"/>
      <c r="R123" s="29"/>
      <c r="S123" s="31"/>
      <c r="T123" s="31">
        <f t="shared" si="16"/>
        <v>2280</v>
      </c>
      <c r="U123" s="31">
        <f t="shared" si="17"/>
        <v>0</v>
      </c>
      <c r="V123" s="31">
        <f>Table14[[#This Row],[Enrolment S.Y. 2025-2026 ]]*8</f>
        <v>2280</v>
      </c>
      <c r="W123" s="31"/>
      <c r="X123" s="29"/>
      <c r="Y123" s="31"/>
      <c r="Z123" s="31">
        <f t="shared" si="18"/>
        <v>2280</v>
      </c>
      <c r="AA123" s="31">
        <f t="shared" si="19"/>
        <v>0</v>
      </c>
    </row>
    <row r="124" spans="1:27" s="63" customFormat="1"/>
    <row r="125" spans="1:27" s="63" customFormat="1"/>
    <row r="126" spans="1:27" s="63" customFormat="1" ht="15"/>
    <row r="127" spans="1:27" s="63" customFormat="1" ht="15"/>
    <row r="128" spans="1:27" s="63" customFormat="1" ht="26.25">
      <c r="E128" s="54" t="s">
        <v>34</v>
      </c>
      <c r="F128" s="54"/>
      <c r="G128" s="54"/>
      <c r="H128" s="54"/>
      <c r="I128" s="64"/>
      <c r="J128" s="64"/>
      <c r="K128" s="64"/>
    </row>
    <row r="129" spans="5:11" s="63" customFormat="1" ht="26.25">
      <c r="E129" s="56"/>
      <c r="F129" s="54"/>
      <c r="G129" s="56"/>
      <c r="H129" s="54"/>
      <c r="I129" s="64"/>
      <c r="J129" s="64"/>
      <c r="K129" s="64"/>
    </row>
    <row r="130" spans="5:11" s="63" customFormat="1" ht="26.25">
      <c r="E130" s="56" t="s">
        <v>35</v>
      </c>
      <c r="F130" s="54"/>
      <c r="G130" s="65"/>
      <c r="H130" s="65"/>
      <c r="I130" s="64"/>
      <c r="J130" s="56" t="s">
        <v>36</v>
      </c>
      <c r="K130" s="54"/>
    </row>
    <row r="131" spans="5:11" s="63" customFormat="1" ht="26.25">
      <c r="E131" s="54" t="s">
        <v>37</v>
      </c>
      <c r="F131" s="54"/>
      <c r="G131" s="65"/>
      <c r="H131" s="65"/>
      <c r="I131" s="64"/>
      <c r="J131" s="54" t="s">
        <v>38</v>
      </c>
      <c r="K131" s="54"/>
    </row>
    <row r="132" spans="5:11" s="63" customFormat="1" ht="26.25">
      <c r="E132" s="54"/>
      <c r="F132" s="54"/>
      <c r="G132" s="65"/>
      <c r="H132" s="65"/>
      <c r="I132" s="64"/>
      <c r="J132" s="54"/>
      <c r="K132" s="54"/>
    </row>
    <row r="133" spans="5:11" s="63" customFormat="1" ht="26.25">
      <c r="E133" s="54"/>
      <c r="F133" s="54"/>
      <c r="G133" s="65"/>
      <c r="H133" s="65"/>
      <c r="I133" s="64"/>
      <c r="J133" s="54"/>
      <c r="K133" s="54"/>
    </row>
    <row r="134" spans="5:11" s="63" customFormat="1" ht="26.25">
      <c r="E134" s="54"/>
      <c r="F134" s="54"/>
      <c r="G134" s="65"/>
      <c r="H134" s="65"/>
      <c r="I134" s="64"/>
      <c r="J134" s="54"/>
      <c r="K134" s="54"/>
    </row>
    <row r="135" spans="5:11" s="63" customFormat="1" ht="26.25">
      <c r="E135" s="54" t="s">
        <v>39</v>
      </c>
      <c r="F135" s="54"/>
      <c r="G135" s="65"/>
      <c r="H135" s="65"/>
      <c r="I135" s="64"/>
      <c r="J135" s="54" t="s">
        <v>40</v>
      </c>
      <c r="K135" s="54"/>
    </row>
    <row r="136" spans="5:11" s="63" customFormat="1" ht="26.25">
      <c r="E136" s="54"/>
      <c r="F136" s="54"/>
      <c r="G136" s="65"/>
      <c r="H136" s="65"/>
      <c r="I136" s="64"/>
      <c r="J136" s="54"/>
      <c r="K136" s="54"/>
    </row>
    <row r="137" spans="5:11" s="63" customFormat="1" ht="26.25">
      <c r="E137" s="56" t="s">
        <v>41</v>
      </c>
      <c r="F137" s="54"/>
      <c r="G137" s="65"/>
      <c r="H137" s="65"/>
      <c r="I137" s="64"/>
      <c r="J137" s="56" t="s">
        <v>42</v>
      </c>
      <c r="K137" s="54"/>
    </row>
    <row r="138" spans="5:11" s="63" customFormat="1" ht="26.25">
      <c r="E138" s="54" t="s">
        <v>43</v>
      </c>
      <c r="F138" s="54"/>
      <c r="G138" s="65"/>
      <c r="H138" s="65"/>
      <c r="I138" s="64"/>
      <c r="J138" s="54" t="s">
        <v>44</v>
      </c>
      <c r="K138" s="54"/>
    </row>
    <row r="139" spans="5:11" s="63" customFormat="1" ht="26.25">
      <c r="E139" s="54"/>
      <c r="F139" s="54"/>
      <c r="G139" s="65"/>
      <c r="H139" s="65"/>
      <c r="I139" s="64"/>
      <c r="J139" s="54"/>
      <c r="K139" s="54"/>
    </row>
    <row r="140" spans="5:11" s="63" customFormat="1"/>
    <row r="141" spans="5:11" s="63" customFormat="1"/>
    <row r="142" spans="5:11" s="63" customFormat="1"/>
    <row r="143" spans="5:11" s="63" customFormat="1"/>
    <row r="144" spans="5:11" s="63" customFormat="1"/>
    <row r="145" s="63" customFormat="1"/>
    <row r="146" s="63" customFormat="1"/>
  </sheetData>
  <protectedRanges>
    <protectedRange sqref="C3:C11 C13:C20 C22:C30 C32:C42 C44:C54 C56:C66 C68:C78 C80:C90 C92:C102 C104:C114 C116:C123" name="Textbooks"/>
    <protectedRange sqref="J3:L3 D3:F11 D13:F20 D22:F30 D32:F42 D44:F54 D56:F66 D68:F78 D80:F90 D116:F123 P3:R11 N4:O11 V3:X11 T4:U11 N13:R20 T13:X20 H4:L11 Z4:AA11 Z13:AA20 H13:L20 N22:R30 T22:X30 Z22:AA30 H22:L30 T32:X42 Z32:AA42 H32:L42 T44:X54 Z44:AA54 H44:L54 T56:X66 Z56:AA66 H56:L66 T68:X78 Z68:AA78 H68:L78 T80:X90 Z80:AA90 H80:L90 T92:X102 Z92:AA102 Z104:AA114 N116:R123 T116:X123 Z116:AA123 H116:L123 N32:R42 N44:R54 N56:R66 N68:R78 N80:R90 D104:F114 H104:L114 N104:R114 T104:X114 D92:F102 N92:R102 H92:L102" name="LAS"/>
    <protectedRange sqref="G3:I3 M3:O3 S3:U3 Y3:AA3 G4:G11 M4:M11 S4:S11 Y4:Y11 Y13:Y20 G13:G20 M13:M20 S13:S20 Y22:Y30 G22:G30 M22:M30 S22:S30 Y32:Y42 G32:G42 M32:M42 S32:S42 Y44:Y54 G44:G54 M44:M54 S44:S54 Y56:Y66 G56:G66 M56:M66 S56:S66 Y68:Y78 G68:G78 M68:M78 S68:S78 Y80:Y90 G80:G90 M80:M90 S80:S90 G104:G114 M104:M114 S104:S114 Y116:Y123 G116:G123 M116:M123 S116:S123 Y104:Y114 S92:S102 M92:M102 G92:G102 Y92:Y102" name="SOURCE"/>
  </protectedRanges>
  <dataConsolidate/>
  <mergeCells count="5">
    <mergeCell ref="D2:I2"/>
    <mergeCell ref="J2:O2"/>
    <mergeCell ref="P2:U2"/>
    <mergeCell ref="V2:AA2"/>
    <mergeCell ref="A1:AA1"/>
  </mergeCells>
  <dataValidations count="2">
    <dataValidation type="list" allowBlank="1" showInputMessage="1" showErrorMessage="1" sqref="S116:S123 Y116:Y123 G116:G123 Y4:Y11 S4:S11 M4:M11 G4:G11 G13:G20 Y13:Y20 S13:S20 M13:M20 M22:M30 G22:G30 Y22:Y30 S22:S30 S32:S42 M32:M42 G32:G42 Y32:Y42 Y44:Y54 S44:S54 M44:M54 G44:G54 G56:G66 Y56:Y66 S56:S66 M56:M66 M68:M78 G68:G78 Y68:Y78 S68:S78 S80:S90 M80:M90 G80:G90 Y80:Y90 G92:G102 Y104:Y114 S92:S102 M92:M102 G104:G114 M116:M123 S104:S114 M104:M114 Y92:Y102" xr:uid="{CBD486C7-A5DB-48F1-B496-5027CC51E830}">
      <formula1>"CO,RO,SDO,LGU,SCHOOL"</formula1>
    </dataValidation>
    <dataValidation type="list" allowBlank="1" showInputMessage="1" showErrorMessage="1" sqref="F116:F123 F104:F114 F92:F102 F80:F90 F68:F78 F56:F66 F44:F54 F32:F42 F22:F30 F13:F20 F4:F11 L116:L123 L104:L114 L92:L102 L80:L90 L68:L78 L56:L66 L44:L54 L32:L42 L22:L30 L13:L20 L4:L11 R116:R123 R104:R114 R92:R102 R80:R90 R68:R78 R56:R66 R44:R54 R32:R42 R22:R30 R13:R20 R4:R11 X116:X123 X104:X114 X92:X102 X80:X90 X68:X78 X56:X66 X44:X54 X32:X42 X22:X30 X13:X20 X4:X11" xr:uid="{77F72D89-8371-4D0C-A323-BD25723C617C}">
      <formula1>"2024,2025,2026"</formula1>
    </dataValidation>
  </dataValidations>
  <pageMargins left="0.7" right="0.7" top="0.75" bottom="0.75" header="0.3" footer="0.3"/>
  <pageSetup paperSize="5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2026-02-24T07:45:19Z</dcterms:modified>
  <cp:category/>
  <cp:contentStatus/>
</cp:coreProperties>
</file>