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38" documentId="13_ncr:1_{BFB59F67-F0DC-4675-A682-EB0734A8026A}" xr6:coauthVersionLast="47" xr6:coauthVersionMax="47" xr10:uidLastSave="{27FBA279-D2BE-4050-95EE-65B0261EB35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definedNames>
    <definedName name="_xlnm.Print_Area" localSheetId="2">'ADM-SLM'!$A$1:$U$65</definedName>
    <definedName name="_xlnm.Print_Area" localSheetId="1">LAS!$A$1:$I$61</definedName>
    <definedName name="_xlnm.Print_Area" localSheetId="0">TextBooks!$A$1:$H$49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5" i="5" l="1"/>
  <c r="T125" i="5" s="1"/>
  <c r="P126" i="5"/>
  <c r="U126" i="5" s="1"/>
  <c r="P127" i="5"/>
  <c r="P128" i="5"/>
  <c r="P129" i="5"/>
  <c r="P113" i="5"/>
  <c r="T113" i="5" s="1"/>
  <c r="P114" i="5"/>
  <c r="P115" i="5"/>
  <c r="P116" i="5"/>
  <c r="P117" i="5"/>
  <c r="P100" i="5"/>
  <c r="P101" i="5"/>
  <c r="P102" i="5"/>
  <c r="P103" i="5"/>
  <c r="P104" i="5"/>
  <c r="P105" i="5"/>
  <c r="P87" i="5"/>
  <c r="P88" i="5"/>
  <c r="P89" i="5"/>
  <c r="P90" i="5"/>
  <c r="P91" i="5"/>
  <c r="P92" i="5"/>
  <c r="P93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28" i="5"/>
  <c r="H128" i="5" s="1"/>
  <c r="J128" i="5"/>
  <c r="U128" i="5"/>
  <c r="T128" i="5"/>
  <c r="V128" i="5"/>
  <c r="Z128" i="5" s="1"/>
  <c r="D125" i="5"/>
  <c r="H125" i="5" s="1"/>
  <c r="J125" i="5"/>
  <c r="U125" i="5"/>
  <c r="V125" i="5"/>
  <c r="Z125" i="5" s="1"/>
  <c r="D104" i="5"/>
  <c r="H104" i="5" s="1"/>
  <c r="J104" i="5"/>
  <c r="T104" i="5"/>
  <c r="V104" i="5"/>
  <c r="Z104" i="5" s="1"/>
  <c r="D116" i="5"/>
  <c r="H116" i="5" s="1"/>
  <c r="J116" i="5"/>
  <c r="T116" i="5"/>
  <c r="V116" i="5"/>
  <c r="Z116" i="5" s="1"/>
  <c r="D113" i="5"/>
  <c r="H113" i="5" s="1"/>
  <c r="J113" i="5"/>
  <c r="V113" i="5"/>
  <c r="Z113" i="5" s="1"/>
  <c r="D101" i="5"/>
  <c r="H101" i="5" s="1"/>
  <c r="J101" i="5"/>
  <c r="T101" i="5"/>
  <c r="V101" i="5"/>
  <c r="Z101" i="5" s="1"/>
  <c r="D92" i="5"/>
  <c r="H92" i="5" s="1"/>
  <c r="J92" i="5"/>
  <c r="T92" i="5"/>
  <c r="V92" i="5"/>
  <c r="Z92" i="5" s="1"/>
  <c r="D89" i="5"/>
  <c r="H89" i="5" s="1"/>
  <c r="J89" i="5"/>
  <c r="T89" i="5"/>
  <c r="V89" i="5"/>
  <c r="Z89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V3" i="4"/>
  <c r="Z3" i="4" s="1"/>
  <c r="D3" i="4"/>
  <c r="H3" i="4" s="1"/>
  <c r="P3" i="4"/>
  <c r="AB3" i="4"/>
  <c r="AF3" i="4" s="1"/>
  <c r="V138" i="5"/>
  <c r="AA138" i="5" s="1"/>
  <c r="P138" i="5"/>
  <c r="T138" i="5" s="1"/>
  <c r="J138" i="5"/>
  <c r="O138" i="5" s="1"/>
  <c r="D138" i="5"/>
  <c r="I138" i="5" s="1"/>
  <c r="V137" i="5"/>
  <c r="Z137" i="5" s="1"/>
  <c r="P137" i="5"/>
  <c r="J137" i="5"/>
  <c r="N137" i="5" s="1"/>
  <c r="D137" i="5"/>
  <c r="I137" i="5" s="1"/>
  <c r="V136" i="5"/>
  <c r="AA136" i="5" s="1"/>
  <c r="P136" i="5"/>
  <c r="U136" i="5" s="1"/>
  <c r="J136" i="5"/>
  <c r="O136" i="5" s="1"/>
  <c r="D136" i="5"/>
  <c r="I136" i="5" s="1"/>
  <c r="V135" i="5"/>
  <c r="Z135" i="5" s="1"/>
  <c r="P135" i="5"/>
  <c r="J135" i="5"/>
  <c r="N135" i="5" s="1"/>
  <c r="D135" i="5"/>
  <c r="I135" i="5" s="1"/>
  <c r="V134" i="5"/>
  <c r="AA134" i="5" s="1"/>
  <c r="P134" i="5"/>
  <c r="U134" i="5" s="1"/>
  <c r="J134" i="5"/>
  <c r="O134" i="5" s="1"/>
  <c r="D134" i="5"/>
  <c r="I134" i="5" s="1"/>
  <c r="V133" i="5"/>
  <c r="Z133" i="5" s="1"/>
  <c r="P133" i="5"/>
  <c r="J133" i="5"/>
  <c r="N133" i="5" s="1"/>
  <c r="D133" i="5"/>
  <c r="I133" i="5" s="1"/>
  <c r="V132" i="5"/>
  <c r="AA132" i="5" s="1"/>
  <c r="P132" i="5"/>
  <c r="U132" i="5" s="1"/>
  <c r="J132" i="5"/>
  <c r="O132" i="5" s="1"/>
  <c r="D132" i="5"/>
  <c r="I132" i="5" s="1"/>
  <c r="V131" i="5"/>
  <c r="Z131" i="5" s="1"/>
  <c r="P131" i="5"/>
  <c r="J131" i="5"/>
  <c r="N131" i="5" s="1"/>
  <c r="D131" i="5"/>
  <c r="I131" i="5" s="1"/>
  <c r="V129" i="5"/>
  <c r="AA129" i="5" s="1"/>
  <c r="U129" i="5"/>
  <c r="J129" i="5"/>
  <c r="D129" i="5"/>
  <c r="I129" i="5" s="1"/>
  <c r="V127" i="5"/>
  <c r="Z127" i="5" s="1"/>
  <c r="J127" i="5"/>
  <c r="D127" i="5"/>
  <c r="I127" i="5" s="1"/>
  <c r="V126" i="5"/>
  <c r="AA126" i="5" s="1"/>
  <c r="J126" i="5"/>
  <c r="D126" i="5"/>
  <c r="I126" i="5" s="1"/>
  <c r="V124" i="5"/>
  <c r="Z124" i="5" s="1"/>
  <c r="P124" i="5"/>
  <c r="J124" i="5"/>
  <c r="N124" i="5" s="1"/>
  <c r="D124" i="5"/>
  <c r="I124" i="5" s="1"/>
  <c r="V123" i="5"/>
  <c r="AA123" i="5" s="1"/>
  <c r="P123" i="5"/>
  <c r="U123" i="5" s="1"/>
  <c r="J123" i="5"/>
  <c r="O123" i="5" s="1"/>
  <c r="D123" i="5"/>
  <c r="I123" i="5" s="1"/>
  <c r="V122" i="5"/>
  <c r="Z122" i="5" s="1"/>
  <c r="P122" i="5"/>
  <c r="J122" i="5"/>
  <c r="N122" i="5" s="1"/>
  <c r="D122" i="5"/>
  <c r="I122" i="5" s="1"/>
  <c r="V121" i="5"/>
  <c r="AA121" i="5" s="1"/>
  <c r="P121" i="5"/>
  <c r="U121" i="5" s="1"/>
  <c r="J121" i="5"/>
  <c r="O121" i="5" s="1"/>
  <c r="D121" i="5"/>
  <c r="I121" i="5" s="1"/>
  <c r="V120" i="5"/>
  <c r="AA120" i="5" s="1"/>
  <c r="P120" i="5"/>
  <c r="J120" i="5"/>
  <c r="N120" i="5" s="1"/>
  <c r="D120" i="5"/>
  <c r="I120" i="5" s="1"/>
  <c r="V119" i="5"/>
  <c r="AA119" i="5" s="1"/>
  <c r="P119" i="5"/>
  <c r="U119" i="5" s="1"/>
  <c r="J119" i="5"/>
  <c r="O119" i="5" s="1"/>
  <c r="D119" i="5"/>
  <c r="I119" i="5" s="1"/>
  <c r="V117" i="5"/>
  <c r="AA117" i="5" s="1"/>
  <c r="J117" i="5"/>
  <c r="D117" i="5"/>
  <c r="I117" i="5" s="1"/>
  <c r="V115" i="5"/>
  <c r="AA115" i="5" s="1"/>
  <c r="U115" i="5"/>
  <c r="J115" i="5"/>
  <c r="D115" i="5"/>
  <c r="I115" i="5" s="1"/>
  <c r="V114" i="5"/>
  <c r="AA114" i="5" s="1"/>
  <c r="J114" i="5"/>
  <c r="D114" i="5"/>
  <c r="I114" i="5" s="1"/>
  <c r="V112" i="5"/>
  <c r="AA112" i="5" s="1"/>
  <c r="P112" i="5"/>
  <c r="U112" i="5" s="1"/>
  <c r="J112" i="5"/>
  <c r="O112" i="5" s="1"/>
  <c r="D112" i="5"/>
  <c r="I112" i="5" s="1"/>
  <c r="V111" i="5"/>
  <c r="AA111" i="5" s="1"/>
  <c r="P111" i="5"/>
  <c r="J111" i="5"/>
  <c r="N111" i="5" s="1"/>
  <c r="D111" i="5"/>
  <c r="H111" i="5" s="1"/>
  <c r="V110" i="5"/>
  <c r="AA110" i="5" s="1"/>
  <c r="P110" i="5"/>
  <c r="U110" i="5" s="1"/>
  <c r="J110" i="5"/>
  <c r="O110" i="5" s="1"/>
  <c r="D110" i="5"/>
  <c r="H110" i="5" s="1"/>
  <c r="V109" i="5"/>
  <c r="AA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AA107" i="5" s="1"/>
  <c r="P107" i="5"/>
  <c r="J107" i="5"/>
  <c r="N107" i="5" s="1"/>
  <c r="D107" i="5"/>
  <c r="I107" i="5" s="1"/>
  <c r="V105" i="5"/>
  <c r="AA105" i="5" s="1"/>
  <c r="U105" i="5"/>
  <c r="J105" i="5"/>
  <c r="D105" i="5"/>
  <c r="I105" i="5" s="1"/>
  <c r="V103" i="5"/>
  <c r="AA103" i="5" s="1"/>
  <c r="J103" i="5"/>
  <c r="D103" i="5"/>
  <c r="I103" i="5" s="1"/>
  <c r="V102" i="5"/>
  <c r="AA102" i="5" s="1"/>
  <c r="U102" i="5"/>
  <c r="J102" i="5"/>
  <c r="D102" i="5"/>
  <c r="I102" i="5" s="1"/>
  <c r="V100" i="5"/>
  <c r="AA100" i="5" s="1"/>
  <c r="J100" i="5"/>
  <c r="D100" i="5"/>
  <c r="I100" i="5" s="1"/>
  <c r="V99" i="5"/>
  <c r="AA99" i="5" s="1"/>
  <c r="P99" i="5"/>
  <c r="U99" i="5" s="1"/>
  <c r="J99" i="5"/>
  <c r="O99" i="5" s="1"/>
  <c r="D99" i="5"/>
  <c r="I99" i="5" s="1"/>
  <c r="V98" i="5"/>
  <c r="Z98" i="5" s="1"/>
  <c r="P98" i="5"/>
  <c r="J98" i="5"/>
  <c r="N98" i="5" s="1"/>
  <c r="D98" i="5"/>
  <c r="I98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U96" i="5" s="1"/>
  <c r="J96" i="5"/>
  <c r="N96" i="5" s="1"/>
  <c r="D96" i="5"/>
  <c r="I96" i="5" s="1"/>
  <c r="V95" i="5"/>
  <c r="AA95" i="5" s="1"/>
  <c r="P95" i="5"/>
  <c r="U95" i="5" s="1"/>
  <c r="J95" i="5"/>
  <c r="D95" i="5"/>
  <c r="I95" i="5" s="1"/>
  <c r="V93" i="5"/>
  <c r="AA93" i="5" s="1"/>
  <c r="U93" i="5"/>
  <c r="J93" i="5"/>
  <c r="D93" i="5"/>
  <c r="I93" i="5" s="1"/>
  <c r="V91" i="5"/>
  <c r="AA91" i="5" s="1"/>
  <c r="U91" i="5"/>
  <c r="J91" i="5"/>
  <c r="D91" i="5"/>
  <c r="H91" i="5" s="1"/>
  <c r="V90" i="5"/>
  <c r="Z90" i="5" s="1"/>
  <c r="U90" i="5"/>
  <c r="J90" i="5"/>
  <c r="D90" i="5"/>
  <c r="I90" i="5" s="1"/>
  <c r="V88" i="5"/>
  <c r="Z88" i="5" s="1"/>
  <c r="U88" i="5"/>
  <c r="J88" i="5"/>
  <c r="D88" i="5"/>
  <c r="I88" i="5" s="1"/>
  <c r="V87" i="5"/>
  <c r="AA87" i="5" s="1"/>
  <c r="U87" i="5"/>
  <c r="J87" i="5"/>
  <c r="D87" i="5"/>
  <c r="H87" i="5" s="1"/>
  <c r="V86" i="5"/>
  <c r="AA86" i="5" s="1"/>
  <c r="P86" i="5"/>
  <c r="U86" i="5" s="1"/>
  <c r="J86" i="5"/>
  <c r="D86" i="5"/>
  <c r="H86" i="5" s="1"/>
  <c r="V85" i="5"/>
  <c r="AA85" i="5" s="1"/>
  <c r="P85" i="5"/>
  <c r="U85" i="5" s="1"/>
  <c r="J85" i="5"/>
  <c r="N85" i="5" s="1"/>
  <c r="D85" i="5"/>
  <c r="I85" i="5" s="1"/>
  <c r="V84" i="5"/>
  <c r="AA84" i="5" s="1"/>
  <c r="P84" i="5"/>
  <c r="U84" i="5" s="1"/>
  <c r="J84" i="5"/>
  <c r="D84" i="5"/>
  <c r="I84" i="5" s="1"/>
  <c r="V83" i="5"/>
  <c r="AA83" i="5" s="1"/>
  <c r="P83" i="5"/>
  <c r="U83" i="5" s="1"/>
  <c r="J83" i="5"/>
  <c r="N83" i="5" s="1"/>
  <c r="D83" i="5"/>
  <c r="I83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AB6" i="4"/>
  <c r="AF6" i="4" s="1"/>
  <c r="AB7" i="4"/>
  <c r="AG7" i="4" s="1"/>
  <c r="AB8" i="4"/>
  <c r="AF8" i="4" s="1"/>
  <c r="AB9" i="4"/>
  <c r="AG9" i="4" s="1"/>
  <c r="AB10" i="4"/>
  <c r="AF10" i="4" s="1"/>
  <c r="AB11" i="4"/>
  <c r="AG11" i="4" s="1"/>
  <c r="AB12" i="4"/>
  <c r="AF12" i="4" s="1"/>
  <c r="AB14" i="4"/>
  <c r="AF14" i="4" s="1"/>
  <c r="AB15" i="4"/>
  <c r="AF15" i="4" s="1"/>
  <c r="AB16" i="4"/>
  <c r="AG16" i="4" s="1"/>
  <c r="AB17" i="4"/>
  <c r="AF17" i="4" s="1"/>
  <c r="AB18" i="4"/>
  <c r="AF18" i="4" s="1"/>
  <c r="AB19" i="4"/>
  <c r="AF19" i="4" s="1"/>
  <c r="AB20" i="4"/>
  <c r="AG20" i="4" s="1"/>
  <c r="AB21" i="4"/>
  <c r="AF21" i="4" s="1"/>
  <c r="AB23" i="4"/>
  <c r="AF23" i="4" s="1"/>
  <c r="AB24" i="4"/>
  <c r="AF24" i="4" s="1"/>
  <c r="AB25" i="4"/>
  <c r="AG25" i="4" s="1"/>
  <c r="AB26" i="4"/>
  <c r="AF26" i="4" s="1"/>
  <c r="AB27" i="4"/>
  <c r="AF27" i="4" s="1"/>
  <c r="AB28" i="4"/>
  <c r="AF28" i="4" s="1"/>
  <c r="AB29" i="4"/>
  <c r="AG29" i="4" s="1"/>
  <c r="AB30" i="4"/>
  <c r="AF30" i="4" s="1"/>
  <c r="AB31" i="4"/>
  <c r="AF31" i="4" s="1"/>
  <c r="AB33" i="4"/>
  <c r="AF33" i="4" s="1"/>
  <c r="AB34" i="4"/>
  <c r="AG34" i="4" s="1"/>
  <c r="AB35" i="4"/>
  <c r="AF35" i="4" s="1"/>
  <c r="AB36" i="4"/>
  <c r="AF36" i="4" s="1"/>
  <c r="AB37" i="4"/>
  <c r="AF37" i="4" s="1"/>
  <c r="AB38" i="4"/>
  <c r="AG38" i="4" s="1"/>
  <c r="AB39" i="4"/>
  <c r="AF39" i="4" s="1"/>
  <c r="AB40" i="4"/>
  <c r="AF40" i="4" s="1"/>
  <c r="AB41" i="4"/>
  <c r="AF41" i="4" s="1"/>
  <c r="AB43" i="4"/>
  <c r="AG43" i="4" s="1"/>
  <c r="AB44" i="4"/>
  <c r="AF44" i="4" s="1"/>
  <c r="AB45" i="4"/>
  <c r="AG45" i="4" s="1"/>
  <c r="AB46" i="4"/>
  <c r="AF46" i="4" s="1"/>
  <c r="AB47" i="4"/>
  <c r="AG47" i="4" s="1"/>
  <c r="AB48" i="4"/>
  <c r="AF48" i="4" s="1"/>
  <c r="AB49" i="4"/>
  <c r="AF49" i="4" s="1"/>
  <c r="AB50" i="4"/>
  <c r="AF50" i="4" s="1"/>
  <c r="AB51" i="4"/>
  <c r="AG51" i="4" s="1"/>
  <c r="AB53" i="4"/>
  <c r="AF53" i="4" s="1"/>
  <c r="AB54" i="4"/>
  <c r="AF54" i="4" s="1"/>
  <c r="AB55" i="4"/>
  <c r="AF55" i="4" s="1"/>
  <c r="AB56" i="4"/>
  <c r="AG56" i="4" s="1"/>
  <c r="AB57" i="4"/>
  <c r="AF57" i="4" s="1"/>
  <c r="AB58" i="4"/>
  <c r="AF58" i="4" s="1"/>
  <c r="AB59" i="4"/>
  <c r="AF59" i="4" s="1"/>
  <c r="AB60" i="4"/>
  <c r="AG60" i="4" s="1"/>
  <c r="AB61" i="4"/>
  <c r="AF61" i="4" s="1"/>
  <c r="AB63" i="4"/>
  <c r="AF63" i="4" s="1"/>
  <c r="AB64" i="4"/>
  <c r="AF64" i="4" s="1"/>
  <c r="AB65" i="4"/>
  <c r="AG65" i="4" s="1"/>
  <c r="AB66" i="4"/>
  <c r="AF66" i="4" s="1"/>
  <c r="AB67" i="4"/>
  <c r="AF67" i="4" s="1"/>
  <c r="AB68" i="4"/>
  <c r="AF68" i="4" s="1"/>
  <c r="AB69" i="4"/>
  <c r="AG69" i="4" s="1"/>
  <c r="AB70" i="4"/>
  <c r="AF70" i="4" s="1"/>
  <c r="AB71" i="4"/>
  <c r="AF71" i="4" s="1"/>
  <c r="AB73" i="4"/>
  <c r="AF73" i="4" s="1"/>
  <c r="AB74" i="4"/>
  <c r="AG74" i="4" s="1"/>
  <c r="AB75" i="4"/>
  <c r="AF75" i="4" s="1"/>
  <c r="AB76" i="4"/>
  <c r="AF76" i="4" s="1"/>
  <c r="AB77" i="4"/>
  <c r="AF77" i="4" s="1"/>
  <c r="AB78" i="4"/>
  <c r="AG78" i="4" s="1"/>
  <c r="AB79" i="4"/>
  <c r="AF79" i="4" s="1"/>
  <c r="AB80" i="4"/>
  <c r="AG80" i="4" s="1"/>
  <c r="AB81" i="4"/>
  <c r="AF81" i="4" s="1"/>
  <c r="AB83" i="4"/>
  <c r="AG83" i="4" s="1"/>
  <c r="AB84" i="4"/>
  <c r="AF84" i="4" s="1"/>
  <c r="AB85" i="4"/>
  <c r="AF85" i="4" s="1"/>
  <c r="AB86" i="4"/>
  <c r="AF86" i="4" s="1"/>
  <c r="AB87" i="4"/>
  <c r="AG87" i="4" s="1"/>
  <c r="AB88" i="4"/>
  <c r="AF88" i="4" s="1"/>
  <c r="AB89" i="4"/>
  <c r="AF89" i="4" s="1"/>
  <c r="AB90" i="4"/>
  <c r="AF90" i="4" s="1"/>
  <c r="AB91" i="4"/>
  <c r="AG91" i="4" s="1"/>
  <c r="AB93" i="4"/>
  <c r="AB94" i="4"/>
  <c r="AF94" i="4" s="1"/>
  <c r="AB95" i="4"/>
  <c r="AF95" i="4" s="1"/>
  <c r="AB96" i="4"/>
  <c r="AG96" i="4" s="1"/>
  <c r="AB97" i="4"/>
  <c r="AF97" i="4" s="1"/>
  <c r="AB98" i="4"/>
  <c r="AF98" i="4" s="1"/>
  <c r="AB99" i="4"/>
  <c r="AF99" i="4" s="1"/>
  <c r="AB100" i="4"/>
  <c r="AG100" i="4" s="1"/>
  <c r="AB101" i="4"/>
  <c r="AB103" i="4"/>
  <c r="AF103" i="4" s="1"/>
  <c r="AB104" i="4"/>
  <c r="AF104" i="4" s="1"/>
  <c r="AB105" i="4"/>
  <c r="AG105" i="4" s="1"/>
  <c r="AB106" i="4"/>
  <c r="AF106" i="4" s="1"/>
  <c r="AB107" i="4"/>
  <c r="AF107" i="4" s="1"/>
  <c r="AB108" i="4"/>
  <c r="AF108" i="4" s="1"/>
  <c r="AB109" i="4"/>
  <c r="AG109" i="4" s="1"/>
  <c r="AB110" i="4"/>
  <c r="AB112" i="4"/>
  <c r="AF112" i="4" s="1"/>
  <c r="AB113" i="4"/>
  <c r="AF113" i="4" s="1"/>
  <c r="AB114" i="4"/>
  <c r="AG114" i="4" s="1"/>
  <c r="AB115" i="4"/>
  <c r="AF115" i="4" s="1"/>
  <c r="AB116" i="4"/>
  <c r="AG116" i="4" s="1"/>
  <c r="AB117" i="4"/>
  <c r="AF117" i="4" s="1"/>
  <c r="AB118" i="4"/>
  <c r="AG118" i="4" s="1"/>
  <c r="AB119" i="4"/>
  <c r="AB120" i="4"/>
  <c r="AF120" i="4" s="1"/>
  <c r="AB121" i="4"/>
  <c r="AF121" i="4" s="1"/>
  <c r="AB122" i="4"/>
  <c r="AG122" i="4" s="1"/>
  <c r="AB123" i="4"/>
  <c r="AF123" i="4" s="1"/>
  <c r="AB124" i="4"/>
  <c r="AF124" i="4" s="1"/>
  <c r="AB125" i="4"/>
  <c r="AF125" i="4" s="1"/>
  <c r="AB126" i="4"/>
  <c r="AG126" i="4" s="1"/>
  <c r="Z127" i="4"/>
  <c r="AA127" i="4"/>
  <c r="AB127" i="4"/>
  <c r="V6" i="4"/>
  <c r="Z6" i="4" s="1"/>
  <c r="V7" i="4"/>
  <c r="Z7" i="4" s="1"/>
  <c r="V8" i="4"/>
  <c r="Z8" i="4" s="1"/>
  <c r="V9" i="4"/>
  <c r="Z9" i="4" s="1"/>
  <c r="V10" i="4"/>
  <c r="AA10" i="4" s="1"/>
  <c r="V11" i="4"/>
  <c r="Z11" i="4" s="1"/>
  <c r="V12" i="4"/>
  <c r="Z12" i="4" s="1"/>
  <c r="V14" i="4"/>
  <c r="V15" i="4"/>
  <c r="Z15" i="4" s="1"/>
  <c r="V16" i="4"/>
  <c r="Z16" i="4" s="1"/>
  <c r="V17" i="4"/>
  <c r="Z17" i="4" s="1"/>
  <c r="V18" i="4"/>
  <c r="V19" i="4"/>
  <c r="AA19" i="4" s="1"/>
  <c r="V20" i="4"/>
  <c r="Z20" i="4" s="1"/>
  <c r="V21" i="4"/>
  <c r="Z21" i="4" s="1"/>
  <c r="V23" i="4"/>
  <c r="V24" i="4"/>
  <c r="Z24" i="4" s="1"/>
  <c r="V25" i="4"/>
  <c r="Z25" i="4" s="1"/>
  <c r="V26" i="4"/>
  <c r="Z26" i="4" s="1"/>
  <c r="V27" i="4"/>
  <c r="V28" i="4"/>
  <c r="AA28" i="4" s="1"/>
  <c r="V29" i="4"/>
  <c r="Z29" i="4" s="1"/>
  <c r="V30" i="4"/>
  <c r="Z30" i="4" s="1"/>
  <c r="V31" i="4"/>
  <c r="V33" i="4"/>
  <c r="AA33" i="4" s="1"/>
  <c r="V34" i="4"/>
  <c r="Z34" i="4" s="1"/>
  <c r="V35" i="4"/>
  <c r="Z35" i="4" s="1"/>
  <c r="V36" i="4"/>
  <c r="V37" i="4"/>
  <c r="AA37" i="4" s="1"/>
  <c r="V38" i="4"/>
  <c r="Z38" i="4" s="1"/>
  <c r="V39" i="4"/>
  <c r="Z39" i="4" s="1"/>
  <c r="V40" i="4"/>
  <c r="V41" i="4"/>
  <c r="Z41" i="4" s="1"/>
  <c r="V43" i="4"/>
  <c r="Z43" i="4" s="1"/>
  <c r="V44" i="4"/>
  <c r="Z44" i="4" s="1"/>
  <c r="V45" i="4"/>
  <c r="V46" i="4"/>
  <c r="AA46" i="4" s="1"/>
  <c r="V47" i="4"/>
  <c r="Z47" i="4" s="1"/>
  <c r="V48" i="4"/>
  <c r="Z48" i="4" s="1"/>
  <c r="V49" i="4"/>
  <c r="V50" i="4"/>
  <c r="Z50" i="4" s="1"/>
  <c r="V51" i="4"/>
  <c r="Z51" i="4" s="1"/>
  <c r="V53" i="4"/>
  <c r="Z53" i="4" s="1"/>
  <c r="V54" i="4"/>
  <c r="V55" i="4"/>
  <c r="AA55" i="4" s="1"/>
  <c r="V56" i="4"/>
  <c r="Z56" i="4" s="1"/>
  <c r="V57" i="4"/>
  <c r="Z57" i="4" s="1"/>
  <c r="V58" i="4"/>
  <c r="V59" i="4"/>
  <c r="Z59" i="4" s="1"/>
  <c r="V60" i="4"/>
  <c r="Z60" i="4" s="1"/>
  <c r="V61" i="4"/>
  <c r="Z61" i="4" s="1"/>
  <c r="V63" i="4"/>
  <c r="V64" i="4"/>
  <c r="AA64" i="4" s="1"/>
  <c r="V65" i="4"/>
  <c r="Z65" i="4" s="1"/>
  <c r="V66" i="4"/>
  <c r="Z66" i="4" s="1"/>
  <c r="V67" i="4"/>
  <c r="V68" i="4"/>
  <c r="Z68" i="4" s="1"/>
  <c r="V69" i="4"/>
  <c r="Z69" i="4" s="1"/>
  <c r="V70" i="4"/>
  <c r="Z70" i="4" s="1"/>
  <c r="V71" i="4"/>
  <c r="V73" i="4"/>
  <c r="AA73" i="4" s="1"/>
  <c r="V74" i="4"/>
  <c r="Z74" i="4" s="1"/>
  <c r="V75" i="4"/>
  <c r="Z75" i="4" s="1"/>
  <c r="V76" i="4"/>
  <c r="V77" i="4"/>
  <c r="Z77" i="4" s="1"/>
  <c r="V78" i="4"/>
  <c r="Z78" i="4" s="1"/>
  <c r="V79" i="4"/>
  <c r="Z79" i="4" s="1"/>
  <c r="V80" i="4"/>
  <c r="V81" i="4"/>
  <c r="AA81" i="4" s="1"/>
  <c r="V83" i="4"/>
  <c r="Z83" i="4" s="1"/>
  <c r="V84" i="4"/>
  <c r="Z84" i="4" s="1"/>
  <c r="V85" i="4"/>
  <c r="V86" i="4"/>
  <c r="Z86" i="4" s="1"/>
  <c r="V87" i="4"/>
  <c r="Z87" i="4" s="1"/>
  <c r="V88" i="4"/>
  <c r="Z88" i="4" s="1"/>
  <c r="V89" i="4"/>
  <c r="V90" i="4"/>
  <c r="AA90" i="4" s="1"/>
  <c r="V91" i="4"/>
  <c r="Z91" i="4" s="1"/>
  <c r="V93" i="4"/>
  <c r="Z93" i="4" s="1"/>
  <c r="V94" i="4"/>
  <c r="V95" i="4"/>
  <c r="Z95" i="4" s="1"/>
  <c r="V96" i="4"/>
  <c r="Z96" i="4" s="1"/>
  <c r="V97" i="4"/>
  <c r="Z97" i="4" s="1"/>
  <c r="V98" i="4"/>
  <c r="V99" i="4"/>
  <c r="AA99" i="4" s="1"/>
  <c r="V100" i="4"/>
  <c r="Z100" i="4" s="1"/>
  <c r="V101" i="4"/>
  <c r="Z101" i="4" s="1"/>
  <c r="V103" i="4"/>
  <c r="V104" i="4"/>
  <c r="AA104" i="4" s="1"/>
  <c r="V105" i="4"/>
  <c r="Z105" i="4" s="1"/>
  <c r="V106" i="4"/>
  <c r="Z106" i="4" s="1"/>
  <c r="V107" i="4"/>
  <c r="V108" i="4"/>
  <c r="AA108" i="4" s="1"/>
  <c r="V109" i="4"/>
  <c r="Z109" i="4" s="1"/>
  <c r="V110" i="4"/>
  <c r="Z110" i="4" s="1"/>
  <c r="V112" i="4"/>
  <c r="V113" i="4"/>
  <c r="Z113" i="4" s="1"/>
  <c r="V114" i="4"/>
  <c r="Z114" i="4" s="1"/>
  <c r="V115" i="4"/>
  <c r="Z115" i="4" s="1"/>
  <c r="V116" i="4"/>
  <c r="V117" i="4"/>
  <c r="AA117" i="4" s="1"/>
  <c r="V118" i="4"/>
  <c r="Z118" i="4" s="1"/>
  <c r="V119" i="4"/>
  <c r="Z119" i="4" s="1"/>
  <c r="V120" i="4"/>
  <c r="V121" i="4"/>
  <c r="Z121" i="4" s="1"/>
  <c r="V122" i="4"/>
  <c r="Z122" i="4" s="1"/>
  <c r="V123" i="4"/>
  <c r="Z123" i="4" s="1"/>
  <c r="V124" i="4"/>
  <c r="V125" i="4"/>
  <c r="AA125" i="4" s="1"/>
  <c r="V126" i="4"/>
  <c r="Z126" i="4" s="1"/>
  <c r="P6" i="4"/>
  <c r="T6" i="4" s="1"/>
  <c r="P7" i="4"/>
  <c r="P8" i="4"/>
  <c r="T8" i="4" s="1"/>
  <c r="P9" i="4"/>
  <c r="T9" i="4" s="1"/>
  <c r="P10" i="4"/>
  <c r="U10" i="4" s="1"/>
  <c r="P11" i="4"/>
  <c r="U11" i="4" s="1"/>
  <c r="P12" i="4"/>
  <c r="T12" i="4" s="1"/>
  <c r="P14" i="4"/>
  <c r="T14" i="4" s="1"/>
  <c r="P15" i="4"/>
  <c r="T15" i="4" s="1"/>
  <c r="P16" i="4"/>
  <c r="U16" i="4" s="1"/>
  <c r="P17" i="4"/>
  <c r="T17" i="4" s="1"/>
  <c r="P18" i="4"/>
  <c r="T18" i="4" s="1"/>
  <c r="P19" i="4"/>
  <c r="U19" i="4" s="1"/>
  <c r="P20" i="4"/>
  <c r="U20" i="4" s="1"/>
  <c r="P21" i="4"/>
  <c r="T21" i="4" s="1"/>
  <c r="P23" i="4"/>
  <c r="T23" i="4" s="1"/>
  <c r="P24" i="4"/>
  <c r="T24" i="4" s="1"/>
  <c r="P25" i="4"/>
  <c r="U25" i="4" s="1"/>
  <c r="P26" i="4"/>
  <c r="T26" i="4" s="1"/>
  <c r="P27" i="4"/>
  <c r="T27" i="4" s="1"/>
  <c r="P28" i="4"/>
  <c r="U28" i="4" s="1"/>
  <c r="P29" i="4"/>
  <c r="U29" i="4" s="1"/>
  <c r="P30" i="4"/>
  <c r="T30" i="4" s="1"/>
  <c r="P31" i="4"/>
  <c r="T31" i="4" s="1"/>
  <c r="P33" i="4"/>
  <c r="T33" i="4" s="1"/>
  <c r="P34" i="4"/>
  <c r="U34" i="4" s="1"/>
  <c r="P35" i="4"/>
  <c r="T35" i="4" s="1"/>
  <c r="P36" i="4"/>
  <c r="T36" i="4" s="1"/>
  <c r="P37" i="4"/>
  <c r="U37" i="4" s="1"/>
  <c r="P38" i="4"/>
  <c r="U38" i="4" s="1"/>
  <c r="P39" i="4"/>
  <c r="T39" i="4" s="1"/>
  <c r="P40" i="4"/>
  <c r="T40" i="4" s="1"/>
  <c r="P41" i="4"/>
  <c r="T41" i="4" s="1"/>
  <c r="P43" i="4"/>
  <c r="U43" i="4" s="1"/>
  <c r="P44" i="4"/>
  <c r="T44" i="4" s="1"/>
  <c r="P45" i="4"/>
  <c r="T45" i="4" s="1"/>
  <c r="P46" i="4"/>
  <c r="U46" i="4" s="1"/>
  <c r="P47" i="4"/>
  <c r="U47" i="4" s="1"/>
  <c r="P48" i="4"/>
  <c r="T48" i="4" s="1"/>
  <c r="P49" i="4"/>
  <c r="T49" i="4" s="1"/>
  <c r="P50" i="4"/>
  <c r="T50" i="4" s="1"/>
  <c r="P51" i="4"/>
  <c r="U51" i="4" s="1"/>
  <c r="P53" i="4"/>
  <c r="T53" i="4" s="1"/>
  <c r="P54" i="4"/>
  <c r="T54" i="4" s="1"/>
  <c r="P55" i="4"/>
  <c r="U55" i="4" s="1"/>
  <c r="P56" i="4"/>
  <c r="U56" i="4" s="1"/>
  <c r="P57" i="4"/>
  <c r="T57" i="4" s="1"/>
  <c r="P58" i="4"/>
  <c r="T58" i="4" s="1"/>
  <c r="P59" i="4"/>
  <c r="T59" i="4" s="1"/>
  <c r="P60" i="4"/>
  <c r="U60" i="4" s="1"/>
  <c r="P61" i="4"/>
  <c r="T61" i="4" s="1"/>
  <c r="P63" i="4"/>
  <c r="T63" i="4" s="1"/>
  <c r="P64" i="4"/>
  <c r="U64" i="4" s="1"/>
  <c r="P65" i="4"/>
  <c r="U65" i="4" s="1"/>
  <c r="P66" i="4"/>
  <c r="T66" i="4" s="1"/>
  <c r="P67" i="4"/>
  <c r="T67" i="4" s="1"/>
  <c r="P68" i="4"/>
  <c r="T68" i="4" s="1"/>
  <c r="P69" i="4"/>
  <c r="U69" i="4" s="1"/>
  <c r="P70" i="4"/>
  <c r="T70" i="4" s="1"/>
  <c r="P71" i="4"/>
  <c r="T71" i="4" s="1"/>
  <c r="P73" i="4"/>
  <c r="U73" i="4" s="1"/>
  <c r="P74" i="4"/>
  <c r="U74" i="4" s="1"/>
  <c r="P75" i="4"/>
  <c r="T75" i="4" s="1"/>
  <c r="P76" i="4"/>
  <c r="T76" i="4" s="1"/>
  <c r="P77" i="4"/>
  <c r="T77" i="4" s="1"/>
  <c r="P78" i="4"/>
  <c r="U78" i="4" s="1"/>
  <c r="P79" i="4"/>
  <c r="T79" i="4" s="1"/>
  <c r="P80" i="4"/>
  <c r="T80" i="4" s="1"/>
  <c r="P81" i="4"/>
  <c r="U81" i="4" s="1"/>
  <c r="P83" i="4"/>
  <c r="U83" i="4" s="1"/>
  <c r="P84" i="4"/>
  <c r="T84" i="4" s="1"/>
  <c r="P85" i="4"/>
  <c r="T85" i="4" s="1"/>
  <c r="P86" i="4"/>
  <c r="T86" i="4" s="1"/>
  <c r="P87" i="4"/>
  <c r="U87" i="4" s="1"/>
  <c r="P88" i="4"/>
  <c r="T88" i="4" s="1"/>
  <c r="P89" i="4"/>
  <c r="T89" i="4" s="1"/>
  <c r="P90" i="4"/>
  <c r="U90" i="4" s="1"/>
  <c r="P91" i="4"/>
  <c r="U91" i="4" s="1"/>
  <c r="P93" i="4"/>
  <c r="T93" i="4" s="1"/>
  <c r="P94" i="4"/>
  <c r="T94" i="4" s="1"/>
  <c r="P95" i="4"/>
  <c r="T95" i="4" s="1"/>
  <c r="P96" i="4"/>
  <c r="U96" i="4" s="1"/>
  <c r="P97" i="4"/>
  <c r="T97" i="4" s="1"/>
  <c r="P98" i="4"/>
  <c r="T98" i="4" s="1"/>
  <c r="P99" i="4"/>
  <c r="U99" i="4" s="1"/>
  <c r="P100" i="4"/>
  <c r="U100" i="4" s="1"/>
  <c r="P101" i="4"/>
  <c r="T101" i="4" s="1"/>
  <c r="P103" i="4"/>
  <c r="T103" i="4" s="1"/>
  <c r="P104" i="4"/>
  <c r="T104" i="4" s="1"/>
  <c r="P105" i="4"/>
  <c r="U105" i="4" s="1"/>
  <c r="P106" i="4"/>
  <c r="T106" i="4" s="1"/>
  <c r="P107" i="4"/>
  <c r="T107" i="4" s="1"/>
  <c r="P108" i="4"/>
  <c r="U108" i="4" s="1"/>
  <c r="P109" i="4"/>
  <c r="U109" i="4" s="1"/>
  <c r="P110" i="4"/>
  <c r="T110" i="4" s="1"/>
  <c r="P112" i="4"/>
  <c r="T112" i="4" s="1"/>
  <c r="P113" i="4"/>
  <c r="T113" i="4" s="1"/>
  <c r="P114" i="4"/>
  <c r="U114" i="4" s="1"/>
  <c r="P115" i="4"/>
  <c r="T115" i="4" s="1"/>
  <c r="P116" i="4"/>
  <c r="T116" i="4" s="1"/>
  <c r="P117" i="4"/>
  <c r="U117" i="4" s="1"/>
  <c r="P118" i="4"/>
  <c r="U118" i="4" s="1"/>
  <c r="P119" i="4"/>
  <c r="T119" i="4" s="1"/>
  <c r="P120" i="4"/>
  <c r="T120" i="4" s="1"/>
  <c r="P121" i="4"/>
  <c r="T121" i="4" s="1"/>
  <c r="P122" i="4"/>
  <c r="U122" i="4" s="1"/>
  <c r="P123" i="4"/>
  <c r="T123" i="4" s="1"/>
  <c r="P124" i="4"/>
  <c r="T124" i="4" s="1"/>
  <c r="P125" i="4"/>
  <c r="U125" i="4" s="1"/>
  <c r="P126" i="4"/>
  <c r="U126" i="4" s="1"/>
  <c r="P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AB5" i="4"/>
  <c r="AG5" i="4" s="1"/>
  <c r="V5" i="4"/>
  <c r="Z5" i="4" s="1"/>
  <c r="P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87" i="5"/>
  <c r="O87" i="5"/>
  <c r="N88" i="5"/>
  <c r="O88" i="5"/>
  <c r="N90" i="5"/>
  <c r="O90" i="5"/>
  <c r="N91" i="5"/>
  <c r="O91" i="5"/>
  <c r="N93" i="5"/>
  <c r="O93" i="5"/>
  <c r="N100" i="5"/>
  <c r="O100" i="5"/>
  <c r="N102" i="5"/>
  <c r="O102" i="5"/>
  <c r="N103" i="5"/>
  <c r="O103" i="5"/>
  <c r="N105" i="5"/>
  <c r="O105" i="5"/>
  <c r="N114" i="5"/>
  <c r="O114" i="5"/>
  <c r="N115" i="5"/>
  <c r="O115" i="5"/>
  <c r="N117" i="5"/>
  <c r="O117" i="5"/>
  <c r="N126" i="5"/>
  <c r="O126" i="5"/>
  <c r="N127" i="5"/>
  <c r="O127" i="5"/>
  <c r="N129" i="5"/>
  <c r="O129" i="5"/>
  <c r="N37" i="5"/>
  <c r="O37" i="5"/>
  <c r="N40" i="5"/>
  <c r="O40" i="5"/>
  <c r="N49" i="5"/>
  <c r="O49" i="5"/>
  <c r="N52" i="5"/>
  <c r="O52" i="5"/>
  <c r="N61" i="5"/>
  <c r="O61" i="5"/>
  <c r="N64" i="5"/>
  <c r="O64" i="5"/>
  <c r="N89" i="5"/>
  <c r="O89" i="5"/>
  <c r="N92" i="5"/>
  <c r="O92" i="5"/>
  <c r="N101" i="5"/>
  <c r="O101" i="5"/>
  <c r="N113" i="5"/>
  <c r="O113" i="5"/>
  <c r="N116" i="5"/>
  <c r="O116" i="5"/>
  <c r="N104" i="5"/>
  <c r="O104" i="5"/>
  <c r="N125" i="5"/>
  <c r="O125" i="5"/>
  <c r="N128" i="5"/>
  <c r="O128" i="5"/>
  <c r="U3" i="4"/>
  <c r="T3" i="4"/>
  <c r="U12" i="4"/>
  <c r="Z104" i="4"/>
  <c r="AF126" i="4"/>
  <c r="AF116" i="4"/>
  <c r="AF9" i="4"/>
  <c r="Z81" i="4"/>
  <c r="AA65" i="4"/>
  <c r="Z33" i="4"/>
  <c r="AF45" i="4"/>
  <c r="AA114" i="4"/>
  <c r="AG31" i="4"/>
  <c r="U88" i="4"/>
  <c r="AG103" i="4"/>
  <c r="AA3" i="4"/>
  <c r="U26" i="4"/>
  <c r="Z10" i="4"/>
  <c r="AF80" i="4"/>
  <c r="AA59" i="4"/>
  <c r="AA43" i="4"/>
  <c r="AG67" i="4"/>
  <c r="U119" i="4"/>
  <c r="AF56" i="4"/>
  <c r="U104" i="5"/>
  <c r="I128" i="5"/>
  <c r="AA128" i="5"/>
  <c r="U113" i="5"/>
  <c r="U101" i="5"/>
  <c r="I125" i="5"/>
  <c r="AA125" i="5"/>
  <c r="U116" i="5"/>
  <c r="I104" i="5"/>
  <c r="AA104" i="5"/>
  <c r="I116" i="5"/>
  <c r="AA116" i="5"/>
  <c r="U92" i="5"/>
  <c r="I113" i="5"/>
  <c r="AA113" i="5"/>
  <c r="U61" i="5"/>
  <c r="I101" i="5"/>
  <c r="AA101" i="5"/>
  <c r="U89" i="5"/>
  <c r="I92" i="5"/>
  <c r="AA92" i="5"/>
  <c r="U64" i="5"/>
  <c r="I89" i="5"/>
  <c r="T52" i="5"/>
  <c r="AA89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33" i="5"/>
  <c r="I37" i="5"/>
  <c r="AA37" i="5"/>
  <c r="H119" i="5"/>
  <c r="AA127" i="5"/>
  <c r="I91" i="5"/>
  <c r="T108" i="5"/>
  <c r="Z87" i="5"/>
  <c r="AA90" i="5"/>
  <c r="H60" i="5"/>
  <c r="H95" i="5"/>
  <c r="T90" i="5"/>
  <c r="H99" i="5"/>
  <c r="T86" i="5"/>
  <c r="H93" i="5"/>
  <c r="I44" i="5"/>
  <c r="N27" i="5"/>
  <c r="Z60" i="5"/>
  <c r="O85" i="5"/>
  <c r="H62" i="5"/>
  <c r="Z93" i="5"/>
  <c r="O13" i="5"/>
  <c r="AA36" i="5"/>
  <c r="T39" i="5"/>
  <c r="O43" i="5"/>
  <c r="N9" i="5"/>
  <c r="H12" i="5"/>
  <c r="U19" i="5"/>
  <c r="AA34" i="5"/>
  <c r="H46" i="5"/>
  <c r="Z85" i="5"/>
  <c r="I87" i="5"/>
  <c r="H88" i="5"/>
  <c r="Z96" i="5"/>
  <c r="Z103" i="5"/>
  <c r="H117" i="5"/>
  <c r="AA135" i="5"/>
  <c r="T22" i="5"/>
  <c r="O32" i="5"/>
  <c r="AA33" i="5"/>
  <c r="Z47" i="5"/>
  <c r="T53" i="5"/>
  <c r="I86" i="5"/>
  <c r="H136" i="5"/>
  <c r="H21" i="5"/>
  <c r="Z29" i="5"/>
  <c r="I45" i="5"/>
  <c r="T87" i="5"/>
  <c r="H97" i="5"/>
  <c r="AA98" i="5"/>
  <c r="H103" i="5"/>
  <c r="H112" i="5"/>
  <c r="T28" i="5"/>
  <c r="AA32" i="5"/>
  <c r="O34" i="5"/>
  <c r="Z46" i="5"/>
  <c r="U138" i="5"/>
  <c r="AF20" i="4"/>
  <c r="U106" i="4"/>
  <c r="U75" i="4"/>
  <c r="T56" i="4"/>
  <c r="U44" i="4"/>
  <c r="T37" i="4"/>
  <c r="Z108" i="4"/>
  <c r="AA91" i="4"/>
  <c r="AA86" i="4"/>
  <c r="AA69" i="4"/>
  <c r="Z37" i="4"/>
  <c r="AA20" i="4"/>
  <c r="AA15" i="4"/>
  <c r="AG124" i="4"/>
  <c r="AF114" i="4"/>
  <c r="AG89" i="4"/>
  <c r="AF78" i="4"/>
  <c r="AG54" i="4"/>
  <c r="AF43" i="4"/>
  <c r="AG18" i="4"/>
  <c r="AF7" i="4"/>
  <c r="T125" i="4"/>
  <c r="T99" i="4"/>
  <c r="U93" i="4"/>
  <c r="U61" i="4"/>
  <c r="U30" i="4"/>
  <c r="AA118" i="4"/>
  <c r="AA113" i="4"/>
  <c r="AA96" i="4"/>
  <c r="Z64" i="4"/>
  <c r="AA47" i="4"/>
  <c r="AA41" i="4"/>
  <c r="AA25" i="4"/>
  <c r="AG112" i="4"/>
  <c r="AF100" i="4"/>
  <c r="AG76" i="4"/>
  <c r="AF65" i="4"/>
  <c r="AG40" i="4"/>
  <c r="AF29" i="4"/>
  <c r="T81" i="4"/>
  <c r="U123" i="4"/>
  <c r="T117" i="4"/>
  <c r="U110" i="4"/>
  <c r="T105" i="4"/>
  <c r="U79" i="4"/>
  <c r="T55" i="4"/>
  <c r="U48" i="4"/>
  <c r="U17" i="4"/>
  <c r="T10" i="4"/>
  <c r="AA122" i="4"/>
  <c r="Z90" i="4"/>
  <c r="AA74" i="4"/>
  <c r="AA68" i="4"/>
  <c r="AA51" i="4"/>
  <c r="Z19" i="4"/>
  <c r="AF122" i="4"/>
  <c r="AG98" i="4"/>
  <c r="AF87" i="4"/>
  <c r="AG63" i="4"/>
  <c r="AF51" i="4"/>
  <c r="AG27" i="4"/>
  <c r="AF16" i="4"/>
  <c r="T19" i="4"/>
  <c r="AF91" i="4"/>
  <c r="I31" i="4"/>
  <c r="T73" i="4"/>
  <c r="U66" i="4"/>
  <c r="U35" i="4"/>
  <c r="Z117" i="4"/>
  <c r="AA100" i="4"/>
  <c r="AA95" i="4"/>
  <c r="AA78" i="4"/>
  <c r="Z46" i="4"/>
  <c r="AA29" i="4"/>
  <c r="AA24" i="4"/>
  <c r="AA7" i="4"/>
  <c r="AG120" i="4"/>
  <c r="AF109" i="4"/>
  <c r="AG85" i="4"/>
  <c r="AF74" i="4"/>
  <c r="AG49" i="4"/>
  <c r="AF38" i="4"/>
  <c r="AG14" i="4"/>
  <c r="U97" i="4"/>
  <c r="T90" i="4"/>
  <c r="U84" i="4"/>
  <c r="T78" i="4"/>
  <c r="T28" i="4"/>
  <c r="U21" i="4"/>
  <c r="AA126" i="4"/>
  <c r="AA121" i="4"/>
  <c r="AA105" i="4"/>
  <c r="Z73" i="4"/>
  <c r="AA56" i="4"/>
  <c r="AA50" i="4"/>
  <c r="AA34" i="4"/>
  <c r="AG107" i="4"/>
  <c r="AF96" i="4"/>
  <c r="AG71" i="4"/>
  <c r="AF60" i="4"/>
  <c r="AG36" i="4"/>
  <c r="AF25" i="4"/>
  <c r="I3" i="4"/>
  <c r="T126" i="4"/>
  <c r="U115" i="4"/>
  <c r="T108" i="4"/>
  <c r="U53" i="4"/>
  <c r="T46" i="4"/>
  <c r="U39" i="4"/>
  <c r="T34" i="4"/>
  <c r="U8" i="4"/>
  <c r="Z99" i="4"/>
  <c r="AA83" i="4"/>
  <c r="AA77" i="4"/>
  <c r="AA60" i="4"/>
  <c r="Z28" i="4"/>
  <c r="AA11" i="4"/>
  <c r="AA6" i="4"/>
  <c r="AF118" i="4"/>
  <c r="AG94" i="4"/>
  <c r="AF83" i="4"/>
  <c r="AG58" i="4"/>
  <c r="AF47" i="4"/>
  <c r="AG23" i="4"/>
  <c r="AF11" i="4"/>
  <c r="AG3" i="4"/>
  <c r="U101" i="4"/>
  <c r="U70" i="4"/>
  <c r="T64" i="4"/>
  <c r="U57" i="4"/>
  <c r="Z125" i="4"/>
  <c r="AA109" i="4"/>
  <c r="AA87" i="4"/>
  <c r="Z55" i="4"/>
  <c r="AA38" i="4"/>
  <c r="AA16" i="4"/>
  <c r="AF105" i="4"/>
  <c r="AF69" i="4"/>
  <c r="AF34" i="4"/>
  <c r="Z71" i="4"/>
  <c r="AA71" i="4"/>
  <c r="Z112" i="4"/>
  <c r="AA112" i="4"/>
  <c r="T96" i="4"/>
  <c r="T74" i="4"/>
  <c r="Z63" i="4"/>
  <c r="AA63" i="4"/>
  <c r="Z40" i="4"/>
  <c r="AA40" i="4"/>
  <c r="T25" i="4"/>
  <c r="AF127" i="4"/>
  <c r="AG127" i="4"/>
  <c r="T122" i="4"/>
  <c r="T100" i="4"/>
  <c r="Z89" i="4"/>
  <c r="AA89" i="4"/>
  <c r="Z67" i="4"/>
  <c r="AA67" i="4"/>
  <c r="T51" i="4"/>
  <c r="T29" i="4"/>
  <c r="Z18" i="4"/>
  <c r="AA18" i="4"/>
  <c r="AF93" i="4"/>
  <c r="AG93" i="4"/>
  <c r="T83" i="4"/>
  <c r="T109" i="4"/>
  <c r="Z98" i="4"/>
  <c r="AA98" i="4"/>
  <c r="Z76" i="4"/>
  <c r="AA76" i="4"/>
  <c r="T60" i="4"/>
  <c r="T38" i="4"/>
  <c r="Z27" i="4"/>
  <c r="AA27" i="4"/>
  <c r="AF101" i="4"/>
  <c r="AG101" i="4"/>
  <c r="Z116" i="4"/>
  <c r="AA116" i="4"/>
  <c r="Z94" i="4"/>
  <c r="AA94" i="4"/>
  <c r="Z23" i="4"/>
  <c r="AA23" i="4"/>
  <c r="Z120" i="4"/>
  <c r="AA120" i="4"/>
  <c r="Z49" i="4"/>
  <c r="AA49" i="4"/>
  <c r="T11" i="4"/>
  <c r="Z124" i="4"/>
  <c r="AA124" i="4"/>
  <c r="Z103" i="4"/>
  <c r="AA103" i="4"/>
  <c r="T87" i="4"/>
  <c r="T65" i="4"/>
  <c r="Z54" i="4"/>
  <c r="AA54" i="4"/>
  <c r="Z31" i="4"/>
  <c r="AA31" i="4"/>
  <c r="T16" i="4"/>
  <c r="AF119" i="4"/>
  <c r="AG119" i="4"/>
  <c r="T114" i="4"/>
  <c r="T91" i="4"/>
  <c r="Z80" i="4"/>
  <c r="AA80" i="4"/>
  <c r="Z58" i="4"/>
  <c r="AA58" i="4"/>
  <c r="T43" i="4"/>
  <c r="T20" i="4"/>
  <c r="Z45" i="4"/>
  <c r="AA45" i="4"/>
  <c r="U7" i="4"/>
  <c r="T7" i="4"/>
  <c r="T118" i="4"/>
  <c r="Z107" i="4"/>
  <c r="AA107" i="4"/>
  <c r="Z85" i="4"/>
  <c r="AA85" i="4"/>
  <c r="T69" i="4"/>
  <c r="T47" i="4"/>
  <c r="Z36" i="4"/>
  <c r="AA36" i="4"/>
  <c r="Z14" i="4"/>
  <c r="AA14" i="4"/>
  <c r="AF110" i="4"/>
  <c r="AG110" i="4"/>
  <c r="U124" i="4"/>
  <c r="U116" i="4"/>
  <c r="U107" i="4"/>
  <c r="U98" i="4"/>
  <c r="U89" i="4"/>
  <c r="U80" i="4"/>
  <c r="U71" i="4"/>
  <c r="U63" i="4"/>
  <c r="U54" i="4"/>
  <c r="U45" i="4"/>
  <c r="U36" i="4"/>
  <c r="U27" i="4"/>
  <c r="U18" i="4"/>
  <c r="U9" i="4"/>
  <c r="AA123" i="4"/>
  <c r="AA115" i="4"/>
  <c r="AA106" i="4"/>
  <c r="AA97" i="4"/>
  <c r="AA88" i="4"/>
  <c r="AA79" i="4"/>
  <c r="AA70" i="4"/>
  <c r="AA61" i="4"/>
  <c r="AA53" i="4"/>
  <c r="AA44" i="4"/>
  <c r="AA35" i="4"/>
  <c r="AA26" i="4"/>
  <c r="AA17" i="4"/>
  <c r="AA8" i="4"/>
  <c r="AG123" i="4"/>
  <c r="AG115" i="4"/>
  <c r="AG106" i="4"/>
  <c r="AG97" i="4"/>
  <c r="AG88" i="4"/>
  <c r="AG84" i="4"/>
  <c r="AG79" i="4"/>
  <c r="AG75" i="4"/>
  <c r="AG70" i="4"/>
  <c r="AG66" i="4"/>
  <c r="AG61" i="4"/>
  <c r="AG57" i="4"/>
  <c r="AG53" i="4"/>
  <c r="AG48" i="4"/>
  <c r="AG44" i="4"/>
  <c r="AG39" i="4"/>
  <c r="AG35" i="4"/>
  <c r="AG30" i="4"/>
  <c r="AG26" i="4"/>
  <c r="AG21" i="4"/>
  <c r="AG17" i="4"/>
  <c r="AG12" i="4"/>
  <c r="AG8" i="4"/>
  <c r="U121" i="4"/>
  <c r="U113" i="4"/>
  <c r="U104" i="4"/>
  <c r="U95" i="4"/>
  <c r="U86" i="4"/>
  <c r="U77" i="4"/>
  <c r="U68" i="4"/>
  <c r="U59" i="4"/>
  <c r="U50" i="4"/>
  <c r="U41" i="4"/>
  <c r="U33" i="4"/>
  <c r="U24" i="4"/>
  <c r="U15" i="4"/>
  <c r="U6" i="4"/>
  <c r="U120" i="4"/>
  <c r="U112" i="4"/>
  <c r="U103" i="4"/>
  <c r="U94" i="4"/>
  <c r="U85" i="4"/>
  <c r="U76" i="4"/>
  <c r="U67" i="4"/>
  <c r="U58" i="4"/>
  <c r="U49" i="4"/>
  <c r="U40" i="4"/>
  <c r="U31" i="4"/>
  <c r="U23" i="4"/>
  <c r="U14" i="4"/>
  <c r="AA119" i="4"/>
  <c r="AA110" i="4"/>
  <c r="AA101" i="4"/>
  <c r="AA93" i="4"/>
  <c r="AA84" i="4"/>
  <c r="AA75" i="4"/>
  <c r="AA66" i="4"/>
  <c r="AA57" i="4"/>
  <c r="AA48" i="4"/>
  <c r="AA39" i="4"/>
  <c r="AA30" i="4"/>
  <c r="AA21" i="4"/>
  <c r="AA12" i="4"/>
  <c r="AG125" i="4"/>
  <c r="AG121" i="4"/>
  <c r="AG117" i="4"/>
  <c r="AG113" i="4"/>
  <c r="AG108" i="4"/>
  <c r="AG104" i="4"/>
  <c r="AG99" i="4"/>
  <c r="AG95" i="4"/>
  <c r="AG90" i="4"/>
  <c r="AG86" i="4"/>
  <c r="AG81" i="4"/>
  <c r="AG77" i="4"/>
  <c r="AG73" i="4"/>
  <c r="AG68" i="4"/>
  <c r="AG64" i="4"/>
  <c r="AG59" i="4"/>
  <c r="AG55" i="4"/>
  <c r="AG50" i="4"/>
  <c r="AG46" i="4"/>
  <c r="AG41" i="4"/>
  <c r="AG37" i="4"/>
  <c r="AG33" i="4"/>
  <c r="AG28" i="4"/>
  <c r="AG24" i="4"/>
  <c r="AG19" i="4"/>
  <c r="AG15" i="4"/>
  <c r="AG10" i="4"/>
  <c r="AG6" i="4"/>
  <c r="AA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Z83" i="5"/>
  <c r="AA88" i="5"/>
  <c r="H107" i="5"/>
  <c r="I110" i="5"/>
  <c r="O111" i="5"/>
  <c r="O120" i="5"/>
  <c r="T123" i="5"/>
  <c r="AA124" i="5"/>
  <c r="H3" i="5"/>
  <c r="T4" i="5"/>
  <c r="T10" i="5"/>
  <c r="N12" i="5"/>
  <c r="O22" i="5"/>
  <c r="AA27" i="5"/>
  <c r="N29" i="5"/>
  <c r="H31" i="5"/>
  <c r="H48" i="5"/>
  <c r="I57" i="5"/>
  <c r="H83" i="5"/>
  <c r="H84" i="5"/>
  <c r="T93" i="5"/>
  <c r="Z102" i="5"/>
  <c r="O107" i="5"/>
  <c r="T119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98" i="5"/>
  <c r="Z100" i="5"/>
  <c r="T110" i="5"/>
  <c r="Z111" i="5"/>
  <c r="H114" i="5"/>
  <c r="T115" i="5"/>
  <c r="Z120" i="5"/>
  <c r="AA131" i="5"/>
  <c r="H5" i="5"/>
  <c r="O6" i="5"/>
  <c r="Z10" i="5"/>
  <c r="H16" i="5"/>
  <c r="T17" i="5"/>
  <c r="T29" i="5"/>
  <c r="Z35" i="5"/>
  <c r="T46" i="5"/>
  <c r="T47" i="5"/>
  <c r="T50" i="5"/>
  <c r="O83" i="5"/>
  <c r="T84" i="5"/>
  <c r="T105" i="5"/>
  <c r="Z107" i="5"/>
  <c r="Z115" i="5"/>
  <c r="Z117" i="5"/>
  <c r="Z119" i="5"/>
  <c r="O124" i="5"/>
  <c r="T129" i="5"/>
  <c r="H132" i="5"/>
  <c r="T136" i="5"/>
  <c r="O96" i="5"/>
  <c r="H102" i="5"/>
  <c r="I111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85" i="5"/>
  <c r="Z86" i="5"/>
  <c r="T88" i="5"/>
  <c r="H96" i="5"/>
  <c r="H98" i="5"/>
  <c r="H100" i="5"/>
  <c r="Z108" i="5"/>
  <c r="Z109" i="5"/>
  <c r="T112" i="5"/>
  <c r="H120" i="5"/>
  <c r="Z121" i="5"/>
  <c r="AA122" i="5"/>
  <c r="Z126" i="5"/>
  <c r="H129" i="5"/>
  <c r="O133" i="5"/>
  <c r="AA137" i="5"/>
  <c r="H121" i="5"/>
  <c r="Z123" i="5"/>
  <c r="H126" i="5"/>
  <c r="O131" i="5"/>
  <c r="T134" i="5"/>
  <c r="N3" i="5"/>
  <c r="Z8" i="5"/>
  <c r="O15" i="5"/>
  <c r="N21" i="5"/>
  <c r="Z26" i="5"/>
  <c r="Z28" i="5"/>
  <c r="I43" i="5"/>
  <c r="T48" i="5"/>
  <c r="T62" i="5"/>
  <c r="T65" i="5"/>
  <c r="T91" i="5"/>
  <c r="H105" i="5"/>
  <c r="H108" i="5"/>
  <c r="H109" i="5"/>
  <c r="Z114" i="5"/>
  <c r="H122" i="5"/>
  <c r="H123" i="5"/>
  <c r="T132" i="5"/>
  <c r="Z136" i="5"/>
  <c r="H138" i="5"/>
  <c r="Z4" i="5"/>
  <c r="H9" i="5"/>
  <c r="O10" i="5"/>
  <c r="T15" i="5"/>
  <c r="N16" i="5"/>
  <c r="Z22" i="5"/>
  <c r="H27" i="5"/>
  <c r="I29" i="5"/>
  <c r="I32" i="5"/>
  <c r="H47" i="5"/>
  <c r="Z48" i="5"/>
  <c r="Z91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84" i="5"/>
  <c r="T85" i="5"/>
  <c r="H90" i="5"/>
  <c r="T95" i="5"/>
  <c r="T97" i="5"/>
  <c r="T99" i="5"/>
  <c r="T102" i="5"/>
  <c r="O109" i="5"/>
  <c r="H115" i="5"/>
  <c r="T121" i="5"/>
  <c r="O122" i="5"/>
  <c r="T126" i="5"/>
  <c r="Z132" i="5"/>
  <c r="H134" i="5"/>
  <c r="O137" i="5"/>
  <c r="O135" i="5"/>
  <c r="U109" i="5"/>
  <c r="T109" i="5"/>
  <c r="U120" i="5"/>
  <c r="T120" i="5"/>
  <c r="U127" i="5"/>
  <c r="T127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105" i="5"/>
  <c r="U124" i="5"/>
  <c r="T124" i="5"/>
  <c r="Z134" i="5"/>
  <c r="U122" i="5"/>
  <c r="T122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84" i="5"/>
  <c r="N84" i="5"/>
  <c r="Z95" i="5"/>
  <c r="T96" i="5"/>
  <c r="Z129" i="5"/>
  <c r="O59" i="5"/>
  <c r="N59" i="5"/>
  <c r="U111" i="5"/>
  <c r="T111" i="5"/>
  <c r="T34" i="5"/>
  <c r="T45" i="5"/>
  <c r="O55" i="5"/>
  <c r="N55" i="5"/>
  <c r="T59" i="5"/>
  <c r="O60" i="5"/>
  <c r="T83" i="5"/>
  <c r="U98" i="5"/>
  <c r="T98" i="5"/>
  <c r="Z110" i="5"/>
  <c r="U114" i="5"/>
  <c r="T114" i="5"/>
  <c r="U137" i="5"/>
  <c r="T137" i="5"/>
  <c r="U100" i="5"/>
  <c r="T100" i="5"/>
  <c r="U135" i="5"/>
  <c r="T135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86" i="5"/>
  <c r="N86" i="5"/>
  <c r="Z97" i="5"/>
  <c r="U103" i="5"/>
  <c r="T103" i="5"/>
  <c r="Z112" i="5"/>
  <c r="U117" i="5"/>
  <c r="T117" i="5"/>
  <c r="U133" i="5"/>
  <c r="T133" i="5"/>
  <c r="O31" i="5"/>
  <c r="N31" i="5"/>
  <c r="O57" i="5"/>
  <c r="N57" i="5"/>
  <c r="O95" i="5"/>
  <c r="N95" i="5"/>
  <c r="Z99" i="5"/>
  <c r="U107" i="5"/>
  <c r="T107" i="5"/>
  <c r="U131" i="5"/>
  <c r="T131" i="5"/>
  <c r="Z138" i="5"/>
  <c r="N97" i="5"/>
  <c r="N99" i="5"/>
  <c r="N108" i="5"/>
  <c r="N110" i="5"/>
  <c r="N112" i="5"/>
  <c r="N119" i="5"/>
  <c r="N121" i="5"/>
  <c r="N123" i="5"/>
  <c r="N132" i="5"/>
  <c r="N134" i="5"/>
  <c r="N136" i="5"/>
  <c r="N138" i="5"/>
  <c r="H124" i="5"/>
  <c r="H127" i="5"/>
  <c r="H131" i="5"/>
  <c r="H133" i="5"/>
  <c r="H135" i="5"/>
  <c r="H137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AF5" i="4"/>
  <c r="H86" i="4"/>
  <c r="H107" i="4"/>
  <c r="H68" i="4"/>
  <c r="I87" i="4"/>
  <c r="I34" i="4"/>
  <c r="H61" i="4"/>
  <c r="I81" i="4"/>
  <c r="I33" i="4"/>
  <c r="AA5" i="4"/>
  <c r="H43" i="4"/>
  <c r="I70" i="4"/>
  <c r="I24" i="4"/>
  <c r="H98" i="4"/>
  <c r="H18" i="4"/>
  <c r="I69" i="4"/>
  <c r="H49" i="4"/>
  <c r="U5" i="4"/>
  <c r="T5" i="4"/>
  <c r="U127" i="4"/>
  <c r="T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<sst xmlns="http://schemas.openxmlformats.org/spreadsheetml/2006/main" count="431" uniqueCount="111">
  <si>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</si>
  <si>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</si>
  <si>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</si>
  <si>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</si>
  <si>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</si>
  <si>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</si>
  <si>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</si>
  <si>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</si>
  <si>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</si>
  <si>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</si>
  <si>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</si>
  <si>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</si>
  <si>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</si>
  <si>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</si>
  <si>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</si>
  <si>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</si>
  <si>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</si>
  <si>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</si>
  <si>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</si>
  <si>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</si>
  <si>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</si>
  <si>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</si>
  <si>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</si>
  <si>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</si>
  <si>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</si>
  <si>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</si>
  <si>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</si>
  <si>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</si>
  <si>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</si>
  <si>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</si>
  <si>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</si>
  <si>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</si>
  <si>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</si>
  <si>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</si>
  <si>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</si>
  <si>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</si>
  <si>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</si>
  <si>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</si>
  <si>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</si>
  <si>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</si>
  <si>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</si>
  <si>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</si>
  <si>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</si>
  <si>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</si>
  <si>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SURPLUS - LAS - Q2</t>
  </si>
  <si>
    <t>SURPLUS - LAS - Q22</t>
  </si>
  <si>
    <t>SURPLUS - LAS - Q23</t>
  </si>
  <si>
    <t>SURPLUS - LAS - Q24</t>
  </si>
  <si>
    <t>SURPLUS - LAS - Q25</t>
  </si>
  <si>
    <t>SURPLUS - LAS - Q26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</si>
  <si>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</si>
  <si>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</si>
  <si>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</si>
  <si>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</si>
  <si>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</si>
  <si>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</si>
  <si>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</si>
  <si>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</si>
  <si>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</si>
  <si>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</si>
  <si>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</si>
  <si>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</si>
  <si>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</si>
  <si>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</si>
  <si>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</si>
  <si>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</si>
  <si>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</si>
  <si>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</si>
  <si>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</si>
  <si>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</si>
  <si>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</si>
  <si>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</si>
  <si>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</si>
  <si>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</si>
  <si>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</si>
  <si>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</si>
  <si>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</si>
  <si>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</si>
  <si>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</si>
  <si>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</si>
  <si>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</si>
  <si>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</si>
  <si>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</si>
  <si>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</si>
  <si>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</si>
  <si>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</si>
  <si>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</si>
  <si>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</si>
  <si>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</si>
  <si>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</si>
  <si>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</si>
  <si>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</si>
  <si>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</si>
  <si>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</si>
  <si>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</si>
  <si>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</si>
  <si>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</si>
  <si>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</si>
  <si>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 xml:space="preserve"> </t>
  </si>
  <si>
    <t>Prepared by:</t>
  </si>
  <si>
    <t>_________________________</t>
  </si>
  <si>
    <t xml:space="preserve">   CATHERINE S. SALVADOR</t>
  </si>
  <si>
    <r>
      <rPr>
        <sz val="15"/>
        <color rgb="FF000000"/>
        <rFont val="Bookman Old Style"/>
      </rPr>
      <t xml:space="preserve">       </t>
    </r>
    <r>
      <rPr>
        <sz val="11"/>
        <color rgb="FF000000"/>
        <rFont val="Bookman Old Style"/>
      </rPr>
      <t>LRMDS Coordinator</t>
    </r>
  </si>
  <si>
    <t>Noted by:</t>
  </si>
  <si>
    <t xml:space="preserve">                              _______________________ </t>
  </si>
  <si>
    <r>
      <rPr>
        <b/>
        <sz val="15"/>
        <color rgb="FF000000"/>
        <rFont val="Bookman Old Style"/>
      </rPr>
      <t xml:space="preserve">                              </t>
    </r>
    <r>
      <rPr>
        <b/>
        <sz val="12"/>
        <color rgb="FF000000"/>
        <rFont val="Bookman Old Style"/>
      </rPr>
      <t>MIMOSA V. LOMIBAO</t>
    </r>
  </si>
  <si>
    <r>
      <rPr>
        <sz val="15"/>
        <color rgb="FF000000"/>
        <rFont val="Bookman Old Style"/>
      </rPr>
      <t xml:space="preserve">                            </t>
    </r>
    <r>
      <rPr>
        <sz val="11"/>
        <color rgb="FF000000"/>
        <rFont val="Bookman Old Style"/>
      </rPr>
      <t>Principal II</t>
    </r>
  </si>
  <si>
    <t xml:space="preserve">     Checked  by:</t>
  </si>
  <si>
    <t xml:space="preserve">                                 ______________________</t>
  </si>
  <si>
    <t xml:space="preserve">                                         AILENE A. CANOY, Ed.D</t>
  </si>
  <si>
    <t xml:space="preserve">                                              Public Schools District 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</si>
</sst>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charset val="134"/>
    </font>
    <font>
      <b/>
      <sz val="12"/>
      <color rgb="FF000000"/>
      <name val="Bookman Old Style"/>
    </font>
    <font>
      <sz val="15"/>
      <color rgb="FF000000"/>
      <name val="Bookman Old Style"/>
    </font>
    <font>
      <sz val="11"/>
      <color rgb="FF000000"/>
      <name val="Bookman Old Style"/>
    </font>
    <font>
      <b/>
      <sz val="15"/>
      <color rgb="FF000000"/>
      <name val="Bookman Old Style"/>
    </font>
    <font>
      <b/>
      <sz val="12"/>
      <color theme="1"/>
      <name val="Bookman Old Style"/>
      <charset val="134"/>
    </font>
    <font>
      <sz val="11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11" fillId="7" borderId="4" xfId="0" applyFont="1" applyFill="1" applyBorder="1" applyAlignment="1">
      <alignment horizontal="center" vertical="center" wrapText="1"/>
    </xf>
    <xf numFmtId="0" fontId="11" fillId="8" borderId="0" xfId="0" applyFont="1" applyFill="1" applyAlignment="1">
      <alignment horizontal="center" vertical="center" wrapText="1"/>
    </xf>
    <xf numFmtId="0" fontId="12" fillId="8" borderId="0" xfId="0" applyFont="1" applyFill="1" applyAlignment="1">
      <alignment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5" fillId="8" borderId="0" xfId="0" applyFont="1" applyFill="1" applyAlignment="1">
      <alignment vertical="center"/>
    </xf>
    <xf numFmtId="0" fontId="11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vertical="center"/>
    </xf>
    <xf numFmtId="0" fontId="16" fillId="8" borderId="0" xfId="0" applyFont="1" applyFill="1" applyAlignment="1">
      <alignment vertical="center"/>
    </xf>
    <xf numFmtId="0" fontId="12" fillId="8" borderId="0" xfId="0" applyFont="1" applyFill="1" applyAlignment="1">
      <alignment horizontal="center" vertical="center" wrapText="1"/>
    </xf>
    <xf numFmtId="0" fontId="12" fillId="8" borderId="0" xfId="0" applyFont="1" applyFill="1" applyAlignment="1">
      <alignment horizontal="center" vertical="center"/>
    </xf>
    <xf numFmtId="0" fontId="17" fillId="8" borderId="0" xfId="0" applyFont="1" applyFill="1" applyAlignment="1">
      <alignment vertical="center"/>
    </xf>
    <xf numFmtId="0" fontId="19" fillId="8" borderId="0" xfId="0" applyFont="1" applyFill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 wrapText="1"/>
    </xf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wrapText="1"/>
    </xf>
    <xf numFmtId="0" fontId="21" fillId="8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9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8" headerRowBorderDxfId="66" tableBorderDxfId="67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G127" totalsRowShown="0" dataDxfId="65" headerRowBorderDxfId="63" tableBorderDxfId="64">
  <autoFilter ref="A2:AG127" xr:uid="{D7C37D80-F2E1-4395-8B6C-0FD477B4D8F8}"/>
  <tableColumns count="33">
    <tableColumn id="1" xr3:uid="{451CCD6B-9C4E-44A3-945A-DE807169F46B}" name="Grade Level" dataDxfId="62"/>
    <tableColumn id="2" xr3:uid="{C6CCCB1C-6639-4C28-A4BA-B187B2F73B59}" name="SUBJECTS" dataDxfId="61"/>
    <tableColumn id="3" xr3:uid="{945324E6-140A-476C-A8C3-23A16D4D262F}" name="Enrolment S.Y. 2025-2026 " dataDxfId="60"/>
    <tableColumn id="4" xr3:uid="{A2D4C0AF-3699-4D3C-A791-2D7D8004CC89}" name="Quantity based on Target LAS - Q1 " dataDxfId="59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8"/>
    <tableColumn id="6" xr3:uid="{FCD520AB-D938-4542-9B56-AEC07AB5F1DC}" name="Year of Delivery-LAS - Q1" dataDxfId="57"/>
    <tableColumn id="7" xr3:uid="{674474DE-9D20-41C1-8261-DA9C4A95671C}" name="SOURCE - LAS (CO,RO, SDO) - Q1" dataDxfId="56"/>
    <tableColumn id="8" xr3:uid="{58D9CB98-8F6F-4F61-9103-C27B8FFBDB51}" name="GAP - LAS - Q1" dataDxfId="55">
      <calculatedColumnFormula>IF((D3-E3)&lt;0,0,(D3-E3))</calculatedColumnFormula>
    </tableColumn>
    <tableColumn id="9" xr3:uid="{E6406FC4-4491-4FD6-9EA2-F088E94C44F4}" name="SURPLUS - LAS - Q1" dataDxfId="54">
      <calculatedColumnFormula>IF((E3-D3)&lt;0,0,(E3-D3))</calculatedColumnFormula>
    </tableColumn>
    <tableColumn id="28" xr3:uid="{64E3FC27-B9FB-4528-A71C-1F11FA384AAC}" name="SURPLUS - LAS - Q2" dataDxfId="53"/>
    <tableColumn id="29" xr3:uid="{BA6BFDDC-456A-4EC2-B25A-1C956FE030D9}" name="SURPLUS - LAS - Q22" dataDxfId="52"/>
    <tableColumn id="30" xr3:uid="{E3FE3EA5-29D0-4B61-BD1D-F5B0420792AC}" name="SURPLUS - LAS - Q23" dataDxfId="51"/>
    <tableColumn id="31" xr3:uid="{220D5899-CA1A-4FBC-880D-7F6A0EF155FF}" name="SURPLUS - LAS - Q24" dataDxfId="50"/>
    <tableColumn id="32" xr3:uid="{6DD342B4-070F-4726-A502-7C71FA1F80E2}" name="SURPLUS - LAS - Q25" dataDxfId="49"/>
    <tableColumn id="33" xr3:uid="{68A798A5-E592-4550-A965-54FE03F41E7F}" name="SURPLUS - LAS - Q26" dataDxfId="48"/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IF((V3-W3)&lt;0,0,(V3-W3))</calculatedColumnFormula>
    </tableColumn>
    <tableColumn id="21" xr3:uid="{DB598C6C-E489-4B0F-9BC6-B0981F7D2582}" name="SURPLUS - LAS - Q3" dataDxfId="36">
      <calculatedColumnFormula>IF((W3-V3)&lt;0,0,(W3-V3))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IF((AB3-AD5)&lt;0,0,(AB3-AD5))</calculatedColumnFormula>
    </tableColumn>
    <tableColumn id="27" xr3:uid="{38E9C5F3-3FF5-4B13-A9DA-0081A90F35C5}" name="SURPLUS - LAS - Q4" dataDxfId="30">
      <calculatedColumnFormula>IF((AD5-AB3)&lt;0,0,(AD5-AB3))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56" totalsRowShown="0" dataDxfId="29" headerRowBorderDxfId="27" tableBorderDxfId="28">
  <autoFilter ref="A2:AA15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6" activePane="topRight" state="frozen"/>
      <selection pane="topRight" activeCell="E91" sqref="E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219</v>
      </c>
      <c r="D2" s="1">
        <v>232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13</v>
      </c>
    </row>
    <row r="3" spans="1:8" ht="29.25" customHeight="1">
      <c r="A3" s="1">
        <v>1</v>
      </c>
      <c r="B3" s="2" t="s">
        <v>10</v>
      </c>
      <c r="C3" s="1">
        <v>219</v>
      </c>
      <c r="D3" s="1">
        <v>0</v>
      </c>
      <c r="E3" s="1"/>
      <c r="F3" s="5"/>
      <c r="G3" s="3">
        <f>IF((C3-D3)&lt;0,0,C3-D3)</f>
        <v>219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219</v>
      </c>
      <c r="D4" s="1">
        <v>232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13</v>
      </c>
    </row>
    <row r="5" spans="1:8" ht="25.5" customHeight="1">
      <c r="A5" s="1">
        <v>1</v>
      </c>
      <c r="B5" s="2" t="s">
        <v>12</v>
      </c>
      <c r="C5" s="1">
        <v>219</v>
      </c>
      <c r="D5" s="1">
        <v>232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</v>
      </c>
    </row>
    <row r="6" spans="1:8" ht="19.5">
      <c r="A6" s="1">
        <v>1</v>
      </c>
      <c r="B6" s="2" t="s">
        <v>13</v>
      </c>
      <c r="C6" s="1">
        <v>219</v>
      </c>
      <c r="D6" s="1">
        <v>0</v>
      </c>
      <c r="E6" s="1"/>
      <c r="F6" s="5"/>
      <c r="G6" s="3">
        <f t="shared" si="0"/>
        <v>219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265</v>
      </c>
      <c r="D8" s="1">
        <v>0</v>
      </c>
      <c r="E8" s="1"/>
      <c r="F8" s="5"/>
      <c r="G8" s="3">
        <f>IF((C8-D8)&lt;0,0,C8-D8)</f>
        <v>265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265</v>
      </c>
      <c r="D9" s="1">
        <v>0</v>
      </c>
      <c r="E9" s="1"/>
      <c r="F9" s="5"/>
      <c r="G9" s="3">
        <f>IF((C9-D9)&lt;0,0,C9-D9)</f>
        <v>265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265</v>
      </c>
      <c r="D10" s="1">
        <v>0</v>
      </c>
      <c r="E10" s="1"/>
      <c r="F10" s="5"/>
      <c r="G10" s="3">
        <f>IF((C10-D10)&lt;0,0,C10-D10)</f>
        <v>265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265</v>
      </c>
      <c r="D11" s="1">
        <v>0</v>
      </c>
      <c r="E11" s="1"/>
      <c r="F11" s="5"/>
      <c r="G11" s="3">
        <f>IF((C11-D11)&lt;0,0,C11-D11)</f>
        <v>265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265</v>
      </c>
      <c r="D12" s="1">
        <v>0</v>
      </c>
      <c r="E12" s="1"/>
      <c r="F12" s="5"/>
      <c r="G12" s="3">
        <f>IF((C12-D12)&lt;0,0,C12-D12)</f>
        <v>265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265</v>
      </c>
      <c r="D14" s="1">
        <v>0</v>
      </c>
      <c r="E14" s="1"/>
      <c r="F14" s="5"/>
      <c r="G14" s="3">
        <f t="shared" ref="G14:G19" si="2">IF((C14-D14)&lt;0,0,C14-D14)</f>
        <v>265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265</v>
      </c>
      <c r="D15" s="1">
        <v>0</v>
      </c>
      <c r="E15" s="1"/>
      <c r="F15" s="5"/>
      <c r="G15" s="3">
        <f t="shared" si="2"/>
        <v>265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265</v>
      </c>
      <c r="D16" s="1">
        <v>0</v>
      </c>
      <c r="E16" s="1"/>
      <c r="F16" s="5"/>
      <c r="G16" s="3">
        <f t="shared" si="2"/>
        <v>265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265</v>
      </c>
      <c r="D17" s="1">
        <v>0</v>
      </c>
      <c r="E17" s="1"/>
      <c r="F17" s="5"/>
      <c r="G17" s="3">
        <f t="shared" si="2"/>
        <v>265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265</v>
      </c>
      <c r="D18" s="1">
        <v>0</v>
      </c>
      <c r="E18" s="1"/>
      <c r="F18" s="5"/>
      <c r="G18" s="3">
        <f t="shared" si="2"/>
        <v>265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265</v>
      </c>
      <c r="D19" s="1">
        <v>0</v>
      </c>
      <c r="E19" s="1"/>
      <c r="F19" s="5"/>
      <c r="G19" s="3">
        <f t="shared" si="2"/>
        <v>265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270</v>
      </c>
      <c r="D21" s="1">
        <v>352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82</v>
      </c>
    </row>
    <row r="22" spans="1:8" ht="24" customHeight="1">
      <c r="A22" s="1">
        <v>4</v>
      </c>
      <c r="B22" s="9" t="s">
        <v>17</v>
      </c>
      <c r="C22" s="1">
        <v>270</v>
      </c>
      <c r="D22" s="1">
        <v>352</v>
      </c>
      <c r="E22" s="1">
        <v>2024</v>
      </c>
      <c r="F22" s="5" t="s">
        <v>16</v>
      </c>
      <c r="G22" s="3">
        <f t="shared" si="4"/>
        <v>0</v>
      </c>
      <c r="H22" s="4">
        <f t="shared" si="5"/>
        <v>82</v>
      </c>
    </row>
    <row r="23" spans="1:8" ht="19.5">
      <c r="A23" s="1">
        <v>4</v>
      </c>
      <c r="B23" s="9" t="s">
        <v>13</v>
      </c>
      <c r="C23" s="1">
        <v>270</v>
      </c>
      <c r="D23" s="1">
        <v>352</v>
      </c>
      <c r="E23" s="1">
        <v>2024</v>
      </c>
      <c r="F23" s="5" t="s">
        <v>16</v>
      </c>
      <c r="G23" s="3">
        <f t="shared" si="4"/>
        <v>0</v>
      </c>
      <c r="H23" s="4">
        <f t="shared" si="5"/>
        <v>82</v>
      </c>
    </row>
    <row r="24" spans="1:8" ht="27" customHeight="1">
      <c r="A24" s="1">
        <v>4</v>
      </c>
      <c r="B24" s="9" t="s">
        <v>11</v>
      </c>
      <c r="C24" s="1">
        <v>270</v>
      </c>
      <c r="D24" s="1">
        <v>352</v>
      </c>
      <c r="E24" s="1">
        <v>2024</v>
      </c>
      <c r="F24" s="5" t="s">
        <v>16</v>
      </c>
      <c r="G24" s="3">
        <f t="shared" si="4"/>
        <v>0</v>
      </c>
      <c r="H24" s="4">
        <f t="shared" si="5"/>
        <v>82</v>
      </c>
    </row>
    <row r="25" spans="1:8" ht="33.75" customHeight="1">
      <c r="A25" s="1">
        <v>4</v>
      </c>
      <c r="B25" s="9" t="s">
        <v>18</v>
      </c>
      <c r="C25" s="1">
        <v>270</v>
      </c>
      <c r="D25" s="1">
        <v>352</v>
      </c>
      <c r="E25" s="1">
        <v>2024</v>
      </c>
      <c r="F25" s="5" t="s">
        <v>16</v>
      </c>
      <c r="G25" s="3">
        <f t="shared" si="4"/>
        <v>0</v>
      </c>
      <c r="H25" s="4">
        <f t="shared" si="5"/>
        <v>82</v>
      </c>
    </row>
    <row r="26" spans="1:8" ht="33.75" customHeight="1">
      <c r="A26" s="1">
        <v>4</v>
      </c>
      <c r="B26" s="9" t="s">
        <v>14</v>
      </c>
      <c r="C26" s="1">
        <v>270</v>
      </c>
      <c r="D26" s="1">
        <v>352</v>
      </c>
      <c r="E26" s="1">
        <v>2024</v>
      </c>
      <c r="F26" s="5" t="s">
        <v>16</v>
      </c>
      <c r="G26" s="3">
        <f t="shared" si="4"/>
        <v>0</v>
      </c>
      <c r="H26" s="4">
        <f t="shared" si="5"/>
        <v>82</v>
      </c>
    </row>
    <row r="27" spans="1:8" ht="33.75" customHeight="1">
      <c r="A27" s="1">
        <v>4</v>
      </c>
      <c r="B27" s="9" t="s">
        <v>19</v>
      </c>
      <c r="C27" s="1">
        <v>270</v>
      </c>
      <c r="D27" s="1">
        <v>352</v>
      </c>
      <c r="E27" s="1">
        <v>2024</v>
      </c>
      <c r="F27" s="5" t="s">
        <v>16</v>
      </c>
      <c r="G27" s="3">
        <f t="shared" si="4"/>
        <v>0</v>
      </c>
      <c r="H27" s="4">
        <f t="shared" si="5"/>
        <v>82</v>
      </c>
    </row>
    <row r="28" spans="1:8" ht="27.75" customHeight="1">
      <c r="A28" s="1">
        <v>4</v>
      </c>
      <c r="B28" s="9" t="s">
        <v>20</v>
      </c>
      <c r="C28" s="1">
        <v>270</v>
      </c>
      <c r="D28" s="1">
        <v>0</v>
      </c>
      <c r="E28" s="1">
        <v>2024</v>
      </c>
      <c r="F28" s="5" t="s">
        <v>16</v>
      </c>
      <c r="G28" s="3">
        <f t="shared" si="4"/>
        <v>270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270</v>
      </c>
      <c r="D29" s="1">
        <v>0</v>
      </c>
      <c r="E29" s="1">
        <v>2024</v>
      </c>
      <c r="F29" s="5" t="s">
        <v>16</v>
      </c>
      <c r="G29" s="3">
        <f t="shared" si="4"/>
        <v>270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204</v>
      </c>
      <c r="D31" s="1">
        <v>400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196</v>
      </c>
    </row>
    <row r="32" spans="1:8" ht="27.75" customHeight="1">
      <c r="A32" s="1">
        <v>5</v>
      </c>
      <c r="B32" s="9" t="s">
        <v>17</v>
      </c>
      <c r="C32" s="1">
        <v>204</v>
      </c>
      <c r="D32" s="1">
        <v>0</v>
      </c>
      <c r="E32" s="1"/>
      <c r="F32" s="5"/>
      <c r="G32" s="3">
        <f t="shared" si="6"/>
        <v>204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204</v>
      </c>
      <c r="D33" s="1">
        <v>0</v>
      </c>
      <c r="E33" s="1"/>
      <c r="F33" s="5"/>
      <c r="G33" s="3">
        <f t="shared" si="6"/>
        <v>204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204</v>
      </c>
      <c r="D34" s="1">
        <v>0</v>
      </c>
      <c r="E34" s="1"/>
      <c r="F34" s="5"/>
      <c r="G34" s="3">
        <f t="shared" si="6"/>
        <v>204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204</v>
      </c>
      <c r="D35" s="1">
        <v>400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196</v>
      </c>
    </row>
    <row r="36" spans="1:8" ht="27.75" customHeight="1">
      <c r="A36" s="1">
        <v>5</v>
      </c>
      <c r="B36" s="9" t="s">
        <v>14</v>
      </c>
      <c r="C36" s="1">
        <v>204</v>
      </c>
      <c r="D36" s="1">
        <v>400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196</v>
      </c>
    </row>
    <row r="37" spans="1:8" ht="27.75" customHeight="1">
      <c r="A37" s="1">
        <v>5</v>
      </c>
      <c r="B37" s="9" t="s">
        <v>19</v>
      </c>
      <c r="C37" s="1">
        <v>204</v>
      </c>
      <c r="D37" s="1">
        <v>0</v>
      </c>
      <c r="E37" s="1"/>
      <c r="F37" s="5"/>
      <c r="G37" s="3">
        <f t="shared" si="6"/>
        <v>204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204</v>
      </c>
      <c r="D38" s="1">
        <v>0</v>
      </c>
      <c r="E38" s="1"/>
      <c r="F38" s="5"/>
      <c r="G38" s="3">
        <f t="shared" si="6"/>
        <v>204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204</v>
      </c>
      <c r="D39" s="1">
        <v>400</v>
      </c>
      <c r="E39" s="1">
        <v>2025</v>
      </c>
      <c r="F39" s="5" t="s">
        <v>16</v>
      </c>
      <c r="G39" s="3">
        <f t="shared" si="6"/>
        <v>0</v>
      </c>
      <c r="H39" s="4">
        <f t="shared" si="7"/>
        <v>196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218</v>
      </c>
      <c r="D41" s="1">
        <v>0</v>
      </c>
      <c r="E41" s="1"/>
      <c r="F41" s="5"/>
      <c r="G41" s="3">
        <f t="shared" ref="G41:G49" si="8">IF((C41-D41)&lt;0,0,C41-D41)</f>
        <v>218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218</v>
      </c>
      <c r="D42" s="1">
        <v>0</v>
      </c>
      <c r="E42" s="1"/>
      <c r="F42" s="5"/>
      <c r="G42" s="3">
        <f t="shared" si="8"/>
        <v>218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218</v>
      </c>
      <c r="D43" s="1">
        <v>0</v>
      </c>
      <c r="E43" s="1"/>
      <c r="F43" s="5"/>
      <c r="G43" s="3">
        <f t="shared" si="8"/>
        <v>218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218</v>
      </c>
      <c r="D44" s="1">
        <v>0</v>
      </c>
      <c r="E44" s="1"/>
      <c r="F44" s="5"/>
      <c r="G44" s="3">
        <f t="shared" si="8"/>
        <v>218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218</v>
      </c>
      <c r="D45" s="1">
        <v>0</v>
      </c>
      <c r="E45" s="1"/>
      <c r="F45" s="5"/>
      <c r="G45" s="3">
        <f t="shared" si="8"/>
        <v>218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218</v>
      </c>
      <c r="D46" s="1">
        <v>0</v>
      </c>
      <c r="E46" s="1"/>
      <c r="F46" s="5"/>
      <c r="G46" s="3">
        <f t="shared" si="8"/>
        <v>218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218</v>
      </c>
      <c r="D47" s="1">
        <v>0</v>
      </c>
      <c r="E47" s="1"/>
      <c r="F47" s="5"/>
      <c r="G47" s="3">
        <f t="shared" si="8"/>
        <v>218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218</v>
      </c>
      <c r="D48" s="1">
        <v>0</v>
      </c>
      <c r="E48" s="1"/>
      <c r="F48" s="5"/>
      <c r="G48" s="3">
        <f t="shared" si="8"/>
        <v>218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218</v>
      </c>
      <c r="D49" s="1">
        <v>0</v>
      </c>
      <c r="E49" s="1"/>
      <c r="F49" s="5"/>
      <c r="G49" s="3">
        <f t="shared" si="8"/>
        <v>218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81:E89 E71:E79 E51:E59 E61:E69" xr:uid="{1D5D38AA-FB7D-4EF2-BB04-F66B17D70DA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G157"/>
  <sheetViews>
    <sheetView zoomScale="70" zoomScaleNormal="70" workbookViewId="0">
      <pane xSplit="3" topLeftCell="D119" activePane="topRight" state="frozen"/>
      <selection pane="topRight" activeCell="F127" sqref="F127"/>
    </sheetView>
  </sheetViews>
  <sheetFormatPr defaultColWidth="9.140625" defaultRowHeight="15" customHeight="1"/>
  <cols>
    <col min="1" max="1" width="9.42578125" customWidth="1"/>
    <col min="2" max="2" width="27.85546875" customWidth="1"/>
    <col min="3" max="4" width="17.140625" customWidth="1"/>
    <col min="5" max="5" width="17.42578125" customWidth="1"/>
    <col min="6" max="6" width="17.7109375" customWidth="1"/>
    <col min="7" max="7" width="18.5703125" customWidth="1"/>
    <col min="8" max="8" width="18.42578125" customWidth="1"/>
    <col min="9" max="10" width="17.7109375" customWidth="1"/>
    <col min="11" max="11" width="17.85546875" customWidth="1"/>
    <col min="12" max="12" width="18.140625" customWidth="1"/>
    <col min="13" max="13" width="17.85546875" customWidth="1"/>
    <col min="14" max="14" width="18.28515625" customWidth="1"/>
    <col min="15" max="16" width="17.85546875" customWidth="1"/>
    <col min="17" max="17" width="17.7109375" customWidth="1"/>
    <col min="18" max="18" width="17.85546875" customWidth="1"/>
    <col min="19" max="21" width="17.7109375" customWidth="1"/>
    <col min="22" max="22" width="17.28515625" customWidth="1"/>
    <col min="23" max="23" width="17.42578125" customWidth="1"/>
    <col min="24" max="25" width="16.85546875" customWidth="1"/>
    <col min="26" max="26" width="16.7109375" customWidth="1"/>
    <col min="27" max="27" width="16.5703125" customWidth="1"/>
    <col min="28" max="28" width="16.140625" customWidth="1"/>
    <col min="29" max="29" width="25" customWidth="1"/>
    <col min="30" max="30" width="15.28515625" customWidth="1"/>
    <col min="31" max="31" width="20.85546875" customWidth="1"/>
    <col min="32" max="32" width="14.85546875" customWidth="1"/>
    <col min="33" max="33" width="15.140625" customWidth="1"/>
  </cols>
  <sheetData>
    <row r="1" spans="1:33" s="28" customFormat="1" ht="34.15" customHeight="1">
      <c r="D1" s="62" t="s">
        <v>34</v>
      </c>
      <c r="E1" s="62"/>
      <c r="F1" s="62"/>
      <c r="G1" s="62"/>
      <c r="H1" s="62"/>
      <c r="I1" s="62"/>
      <c r="J1" s="42"/>
      <c r="K1" s="42"/>
      <c r="L1" s="42"/>
      <c r="M1" s="42"/>
      <c r="N1" s="42"/>
      <c r="O1" s="42"/>
      <c r="P1" s="63" t="s">
        <v>35</v>
      </c>
      <c r="Q1" s="63"/>
      <c r="R1" s="63"/>
      <c r="S1" s="63"/>
      <c r="T1" s="63"/>
      <c r="U1" s="63"/>
      <c r="V1" s="64" t="s">
        <v>36</v>
      </c>
      <c r="W1" s="64"/>
      <c r="X1" s="64"/>
      <c r="Y1" s="64"/>
      <c r="Z1" s="64"/>
      <c r="AA1" s="64"/>
      <c r="AB1" s="65" t="s">
        <v>37</v>
      </c>
      <c r="AC1" s="65"/>
      <c r="AD1" s="65"/>
      <c r="AE1" s="65"/>
      <c r="AF1" s="65"/>
      <c r="AG1" s="65"/>
    </row>
    <row r="2" spans="1:33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4" t="s">
        <v>44</v>
      </c>
      <c r="K2" s="24" t="s">
        <v>45</v>
      </c>
      <c r="L2" s="24" t="s">
        <v>46</v>
      </c>
      <c r="M2" s="24" t="s">
        <v>47</v>
      </c>
      <c r="N2" s="24" t="s">
        <v>48</v>
      </c>
      <c r="O2" s="24" t="s">
        <v>49</v>
      </c>
      <c r="P2" s="22" t="s">
        <v>50</v>
      </c>
      <c r="Q2" s="22" t="s">
        <v>51</v>
      </c>
      <c r="R2" s="23" t="s">
        <v>52</v>
      </c>
      <c r="S2" s="40" t="s">
        <v>53</v>
      </c>
      <c r="T2" s="40" t="s">
        <v>54</v>
      </c>
      <c r="U2" s="22" t="s">
        <v>55</v>
      </c>
      <c r="V2" s="24" t="s">
        <v>56</v>
      </c>
      <c r="W2" s="24" t="s">
        <v>57</v>
      </c>
      <c r="X2" s="25" t="s">
        <v>58</v>
      </c>
      <c r="Y2" s="17" t="s">
        <v>59</v>
      </c>
      <c r="Z2" s="17" t="s">
        <v>60</v>
      </c>
      <c r="AA2" s="24" t="s">
        <v>61</v>
      </c>
      <c r="AB2" s="26" t="s">
        <v>62</v>
      </c>
      <c r="AC2" s="26" t="s">
        <v>63</v>
      </c>
      <c r="AD2" s="27" t="s">
        <v>64</v>
      </c>
      <c r="AE2" s="41" t="s">
        <v>65</v>
      </c>
      <c r="AF2" s="41" t="s">
        <v>66</v>
      </c>
      <c r="AG2" s="26" t="s">
        <v>67</v>
      </c>
    </row>
    <row r="3" spans="1:33" ht="30.6" customHeight="1">
      <c r="A3" s="39" t="s">
        <v>68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/>
      <c r="K3" s="34"/>
      <c r="L3" s="34"/>
      <c r="M3" s="34"/>
      <c r="N3" s="34"/>
      <c r="O3" s="34"/>
      <c r="P3" s="34">
        <f>Table1[[#This Row],[Enrolment S.Y. 2025-2026 ]]*8</f>
        <v>0</v>
      </c>
      <c r="Q3" s="34">
        <v>0</v>
      </c>
      <c r="R3" s="32"/>
      <c r="S3" s="34"/>
      <c r="T3" s="5">
        <f t="shared" ref="T3" si="0">IF((P3-Q3)&lt;0,0,(P3-Q3))</f>
        <v>0</v>
      </c>
      <c r="U3" s="5">
        <f t="shared" ref="U3" si="1">IF((Q3-P3)&lt;0,0,(Q3-P3))</f>
        <v>0</v>
      </c>
      <c r="V3" s="5">
        <f>Table1[[#This Row],[Enrolment S.Y. 2025-2026 ]]*8</f>
        <v>0</v>
      </c>
      <c r="W3" s="34">
        <v>0</v>
      </c>
      <c r="X3" s="32"/>
      <c r="Y3" s="34"/>
      <c r="Z3" s="34">
        <f>IF((V3-W3)&lt;0,0,(V3-W3))</f>
        <v>0</v>
      </c>
      <c r="AA3" s="34">
        <f>IF((W3-V3)&lt;0,0,(W3-V3))</f>
        <v>0</v>
      </c>
      <c r="AB3" s="34">
        <f>Table1[[#This Row],[Enrolment S.Y. 2025-2026 ]]*8</f>
        <v>0</v>
      </c>
      <c r="AC3" s="43">
        <v>0</v>
      </c>
      <c r="AD3" s="32"/>
      <c r="AE3" s="34"/>
      <c r="AF3" s="34">
        <f>IF((AB3-AD5)&lt;0,0,(AB3-AD5))</f>
        <v>0</v>
      </c>
      <c r="AG3" s="34">
        <f>IF((AD5-AB3)&lt;0,0,(AD5-AB3))</f>
        <v>0</v>
      </c>
    </row>
    <row r="4" spans="1:33" s="7" customFormat="1" ht="19.5">
      <c r="P4" s="13"/>
      <c r="T4" s="13"/>
      <c r="U4" s="13"/>
      <c r="V4" s="13"/>
      <c r="Y4" s="5"/>
      <c r="Z4" s="13"/>
      <c r="AA4" s="13"/>
      <c r="AB4" s="13"/>
      <c r="AF4" s="13"/>
      <c r="AG4" s="13"/>
    </row>
    <row r="5" spans="1:33" ht="38.25">
      <c r="A5" s="1">
        <v>1</v>
      </c>
      <c r="B5" s="2" t="s">
        <v>8</v>
      </c>
      <c r="C5" s="1">
        <v>219</v>
      </c>
      <c r="D5" s="5">
        <f>Table1[[#This Row],[Enrolment S.Y. 2025-2026 ]]*8</f>
        <v>1752</v>
      </c>
      <c r="E5" s="5">
        <v>0</v>
      </c>
      <c r="F5" s="1"/>
      <c r="G5" s="5"/>
      <c r="H5" s="5">
        <f t="shared" ref="H5:H77" si="2">IF((D5-E5)&lt;0,0,(D5-E5))</f>
        <v>1752</v>
      </c>
      <c r="I5" s="5">
        <f t="shared" ref="I5:I77" si="3">IF((E5-D5)&lt;0,0,(E5-D5))</f>
        <v>0</v>
      </c>
      <c r="J5" s="5"/>
      <c r="K5" s="5"/>
      <c r="L5" s="5"/>
      <c r="M5" s="5"/>
      <c r="N5" s="5"/>
      <c r="O5" s="5"/>
      <c r="P5" s="5">
        <f>Table1[[#This Row],[Enrolment S.Y. 2025-2026 ]]*8</f>
        <v>1752</v>
      </c>
      <c r="Q5" s="5">
        <v>0</v>
      </c>
      <c r="R5" s="1"/>
      <c r="S5" s="5"/>
      <c r="T5" s="5">
        <f t="shared" ref="T5" si="4">IF((P5-Q5)&lt;0,0,(P5-Q5))</f>
        <v>1752</v>
      </c>
      <c r="U5" s="5">
        <f t="shared" ref="U5" si="5">IF((Q5-P5)&lt;0,0,(Q5-P5))</f>
        <v>0</v>
      </c>
      <c r="V5" s="5">
        <f>Table1[[#This Row],[Enrolment S.Y. 2025-2026 ]]*8</f>
        <v>1752</v>
      </c>
      <c r="W5" s="5">
        <v>0</v>
      </c>
      <c r="X5" s="1"/>
      <c r="Y5" s="5"/>
      <c r="Z5" s="5">
        <f t="shared" ref="Z5" si="6">IF((V5-W5)&lt;0,0,(V5-W5))</f>
        <v>1752</v>
      </c>
      <c r="AA5" s="5">
        <f t="shared" ref="AA5" si="7">IF((W5-V5)&lt;0,0,(W5-V5))</f>
        <v>0</v>
      </c>
      <c r="AB5" s="5">
        <f>Table1[[#This Row],[Enrolment S.Y. 2025-2026 ]]*8</f>
        <v>1752</v>
      </c>
      <c r="AC5" s="5">
        <v>0</v>
      </c>
      <c r="AD5" s="34"/>
      <c r="AE5" s="5"/>
      <c r="AF5" s="5">
        <f t="shared" ref="AF5" si="8">IF((AB5-AC5)&lt;0,0,(AB5-AC5))</f>
        <v>1752</v>
      </c>
      <c r="AG5" s="5">
        <f t="shared" ref="AG5" si="9">IF((AC5-AB5)&lt;0,0,(AC5-AB5))</f>
        <v>0</v>
      </c>
    </row>
    <row r="6" spans="1:33" ht="19.5">
      <c r="A6" s="1">
        <v>1</v>
      </c>
      <c r="B6" s="2" t="s">
        <v>10</v>
      </c>
      <c r="C6" s="1">
        <v>219</v>
      </c>
      <c r="D6" s="5">
        <f>Table1[[#This Row],[Enrolment S.Y. 2025-2026 ]]*8</f>
        <v>1752</v>
      </c>
      <c r="E6" s="5">
        <v>0</v>
      </c>
      <c r="F6" s="1"/>
      <c r="G6" s="5"/>
      <c r="H6" s="5">
        <f t="shared" si="2"/>
        <v>1752</v>
      </c>
      <c r="I6" s="5">
        <f t="shared" si="3"/>
        <v>0</v>
      </c>
      <c r="J6" s="5"/>
      <c r="K6" s="5"/>
      <c r="L6" s="5"/>
      <c r="M6" s="5"/>
      <c r="N6" s="5"/>
      <c r="O6" s="5"/>
      <c r="P6" s="5">
        <f>Table1[[#This Row],[Enrolment S.Y. 2025-2026 ]]*8</f>
        <v>1752</v>
      </c>
      <c r="Q6" s="5">
        <v>0</v>
      </c>
      <c r="R6" s="1"/>
      <c r="S6" s="5"/>
      <c r="T6" s="5">
        <f t="shared" ref="T6:T69" si="10">IF((P6-Q6)&lt;0,0,(P6-Q6))</f>
        <v>1752</v>
      </c>
      <c r="U6" s="5">
        <f t="shared" ref="U6:U69" si="11">IF((Q6-P6)&lt;0,0,(Q6-P6))</f>
        <v>0</v>
      </c>
      <c r="V6" s="5">
        <f>Table1[[#This Row],[Enrolment S.Y. 2025-2026 ]]*8</f>
        <v>1752</v>
      </c>
      <c r="W6" s="5">
        <v>0</v>
      </c>
      <c r="X6" s="1"/>
      <c r="Y6" s="5"/>
      <c r="Z6" s="5">
        <f t="shared" ref="Z6:Z69" si="12">IF((V6-W6)&lt;0,0,(V6-W6))</f>
        <v>1752</v>
      </c>
      <c r="AA6" s="5">
        <f t="shared" ref="AA6:AA69" si="13">IF((W6-V6)&lt;0,0,(W6-V6))</f>
        <v>0</v>
      </c>
      <c r="AB6" s="5">
        <f>Table1[[#This Row],[Enrolment S.Y. 2025-2026 ]]*8</f>
        <v>1752</v>
      </c>
      <c r="AC6" s="5">
        <v>0</v>
      </c>
      <c r="AD6" s="1"/>
      <c r="AE6" s="5"/>
      <c r="AF6" s="5">
        <f t="shared" ref="AF6:AF69" si="14">IF((AB6-AC6)&lt;0,0,(AB6-AC6))</f>
        <v>1752</v>
      </c>
      <c r="AG6" s="5">
        <f t="shared" ref="AG6:AG69" si="15">IF((AC6-AB6)&lt;0,0,(AC6-AB6))</f>
        <v>0</v>
      </c>
    </row>
    <row r="7" spans="1:33" ht="19.5">
      <c r="A7" s="1">
        <v>1</v>
      </c>
      <c r="B7" s="2" t="s">
        <v>11</v>
      </c>
      <c r="C7" s="1">
        <v>219</v>
      </c>
      <c r="D7" s="5">
        <f>Table1[[#This Row],[Enrolment S.Y. 2025-2026 ]]*8</f>
        <v>1752</v>
      </c>
      <c r="E7" s="5">
        <v>0</v>
      </c>
      <c r="F7" s="1"/>
      <c r="G7" s="5"/>
      <c r="H7" s="5">
        <f t="shared" si="2"/>
        <v>1752</v>
      </c>
      <c r="I7" s="5">
        <f t="shared" si="3"/>
        <v>0</v>
      </c>
      <c r="J7" s="5"/>
      <c r="K7" s="5"/>
      <c r="L7" s="5"/>
      <c r="M7" s="5"/>
      <c r="N7" s="5"/>
      <c r="O7" s="5"/>
      <c r="P7" s="5">
        <f>Table1[[#This Row],[Enrolment S.Y. 2025-2026 ]]*8</f>
        <v>1752</v>
      </c>
      <c r="Q7" s="5">
        <v>0</v>
      </c>
      <c r="R7" s="1"/>
      <c r="S7" s="5"/>
      <c r="T7" s="5">
        <f t="shared" si="10"/>
        <v>1752</v>
      </c>
      <c r="U7" s="5">
        <f t="shared" si="11"/>
        <v>0</v>
      </c>
      <c r="V7" s="5">
        <f>Table1[[#This Row],[Enrolment S.Y. 2025-2026 ]]*8</f>
        <v>1752</v>
      </c>
      <c r="W7" s="5">
        <v>0</v>
      </c>
      <c r="X7" s="1"/>
      <c r="Y7" s="5"/>
      <c r="Z7" s="5">
        <f t="shared" si="12"/>
        <v>1752</v>
      </c>
      <c r="AA7" s="5">
        <f t="shared" si="13"/>
        <v>0</v>
      </c>
      <c r="AB7" s="5">
        <f>Table1[[#This Row],[Enrolment S.Y. 2025-2026 ]]*8</f>
        <v>1752</v>
      </c>
      <c r="AC7" s="5">
        <v>0</v>
      </c>
      <c r="AD7" s="1"/>
      <c r="AE7" s="5"/>
      <c r="AF7" s="5">
        <f t="shared" si="14"/>
        <v>1752</v>
      </c>
      <c r="AG7" s="5">
        <f t="shared" si="15"/>
        <v>0</v>
      </c>
    </row>
    <row r="8" spans="1:33" ht="19.5">
      <c r="A8" s="1">
        <v>1</v>
      </c>
      <c r="B8" s="2" t="s">
        <v>12</v>
      </c>
      <c r="C8" s="1">
        <v>219</v>
      </c>
      <c r="D8" s="5">
        <f>Table1[[#This Row],[Enrolment S.Y. 2025-2026 ]]*8</f>
        <v>1752</v>
      </c>
      <c r="E8" s="5">
        <v>0</v>
      </c>
      <c r="F8" s="1"/>
      <c r="G8" s="5"/>
      <c r="H8" s="5">
        <f t="shared" si="2"/>
        <v>1752</v>
      </c>
      <c r="I8" s="5">
        <f t="shared" si="3"/>
        <v>0</v>
      </c>
      <c r="J8" s="5"/>
      <c r="K8" s="5"/>
      <c r="L8" s="5"/>
      <c r="M8" s="5"/>
      <c r="N8" s="5"/>
      <c r="O8" s="5"/>
      <c r="P8" s="5">
        <f>Table1[[#This Row],[Enrolment S.Y. 2025-2026 ]]*8</f>
        <v>1752</v>
      </c>
      <c r="Q8" s="5">
        <v>0</v>
      </c>
      <c r="R8" s="1"/>
      <c r="S8" s="5"/>
      <c r="T8" s="5">
        <f t="shared" si="10"/>
        <v>1752</v>
      </c>
      <c r="U8" s="5">
        <f t="shared" si="11"/>
        <v>0</v>
      </c>
      <c r="V8" s="5">
        <f>Table1[[#This Row],[Enrolment S.Y. 2025-2026 ]]*8</f>
        <v>1752</v>
      </c>
      <c r="W8" s="5">
        <v>0</v>
      </c>
      <c r="X8" s="1"/>
      <c r="Y8" s="5"/>
      <c r="Z8" s="5">
        <f t="shared" si="12"/>
        <v>1752</v>
      </c>
      <c r="AA8" s="5">
        <f t="shared" si="13"/>
        <v>0</v>
      </c>
      <c r="AB8" s="5">
        <f>Table1[[#This Row],[Enrolment S.Y. 2025-2026 ]]*8</f>
        <v>1752</v>
      </c>
      <c r="AC8" s="5">
        <v>0</v>
      </c>
      <c r="AD8" s="1"/>
      <c r="AE8" s="5"/>
      <c r="AF8" s="5">
        <f t="shared" si="14"/>
        <v>1752</v>
      </c>
      <c r="AG8" s="5">
        <f t="shared" si="15"/>
        <v>0</v>
      </c>
    </row>
    <row r="9" spans="1:33" ht="19.5">
      <c r="A9" s="1">
        <v>1</v>
      </c>
      <c r="B9" s="2" t="s">
        <v>13</v>
      </c>
      <c r="C9" s="1">
        <v>219</v>
      </c>
      <c r="D9" s="5">
        <f>Table1[[#This Row],[Enrolment S.Y. 2025-2026 ]]*8</f>
        <v>1752</v>
      </c>
      <c r="E9" s="5">
        <v>0</v>
      </c>
      <c r="F9" s="1"/>
      <c r="G9" s="5"/>
      <c r="H9" s="5">
        <f t="shared" si="2"/>
        <v>1752</v>
      </c>
      <c r="I9" s="5">
        <f t="shared" si="3"/>
        <v>0</v>
      </c>
      <c r="J9" s="5"/>
      <c r="K9" s="5"/>
      <c r="L9" s="5"/>
      <c r="M9" s="5"/>
      <c r="N9" s="5"/>
      <c r="O9" s="5"/>
      <c r="P9" s="5">
        <f>Table1[[#This Row],[Enrolment S.Y. 2025-2026 ]]*8</f>
        <v>1752</v>
      </c>
      <c r="Q9" s="5">
        <v>0</v>
      </c>
      <c r="R9" s="1"/>
      <c r="S9" s="5"/>
      <c r="T9" s="5">
        <f t="shared" si="10"/>
        <v>1752</v>
      </c>
      <c r="U9" s="5">
        <f t="shared" si="11"/>
        <v>0</v>
      </c>
      <c r="V9" s="5">
        <f>Table1[[#This Row],[Enrolment S.Y. 2025-2026 ]]*8</f>
        <v>1752</v>
      </c>
      <c r="W9" s="5">
        <v>0</v>
      </c>
      <c r="X9" s="1"/>
      <c r="Y9" s="5"/>
      <c r="Z9" s="5">
        <f t="shared" si="12"/>
        <v>1752</v>
      </c>
      <c r="AA9" s="5">
        <f t="shared" si="13"/>
        <v>0</v>
      </c>
      <c r="AB9" s="5">
        <f>Table1[[#This Row],[Enrolment S.Y. 2025-2026 ]]*8</f>
        <v>1752</v>
      </c>
      <c r="AC9" s="5">
        <v>0</v>
      </c>
      <c r="AD9" s="1"/>
      <c r="AE9" s="5"/>
      <c r="AF9" s="5">
        <f t="shared" si="14"/>
        <v>1752</v>
      </c>
      <c r="AG9" s="5">
        <f t="shared" si="15"/>
        <v>0</v>
      </c>
    </row>
    <row r="10" spans="1:33" ht="19.5">
      <c r="A10" s="1">
        <v>1</v>
      </c>
      <c r="B10" s="9" t="s">
        <v>15</v>
      </c>
      <c r="C10" s="1">
        <v>219</v>
      </c>
      <c r="D10" s="5">
        <f>Table1[[#This Row],[Enrolment S.Y. 2025-2026 ]]*8</f>
        <v>1752</v>
      </c>
      <c r="E10" s="5">
        <v>0</v>
      </c>
      <c r="F10" s="1"/>
      <c r="G10" s="5"/>
      <c r="H10" s="5">
        <f>IF((D10-E10)&lt;0,0,(D10-E10))</f>
        <v>1752</v>
      </c>
      <c r="I10" s="5">
        <f>IF((E10-D10)&lt;0,0,(E10-D10))</f>
        <v>0</v>
      </c>
      <c r="J10" s="5"/>
      <c r="K10" s="5"/>
      <c r="L10" s="5"/>
      <c r="M10" s="5"/>
      <c r="N10" s="5"/>
      <c r="O10" s="5"/>
      <c r="P10" s="5">
        <f>Table1[[#This Row],[Enrolment S.Y. 2025-2026 ]]*8</f>
        <v>1752</v>
      </c>
      <c r="Q10" s="5">
        <v>0</v>
      </c>
      <c r="R10" s="1"/>
      <c r="S10" s="5"/>
      <c r="T10" s="5">
        <f t="shared" si="10"/>
        <v>1752</v>
      </c>
      <c r="U10" s="5">
        <f t="shared" si="11"/>
        <v>0</v>
      </c>
      <c r="V10" s="5">
        <f>Table1[[#This Row],[Enrolment S.Y. 2025-2026 ]]*8</f>
        <v>1752</v>
      </c>
      <c r="W10" s="5">
        <v>0</v>
      </c>
      <c r="X10" s="1"/>
      <c r="Y10" s="5"/>
      <c r="Z10" s="5">
        <f t="shared" si="12"/>
        <v>1752</v>
      </c>
      <c r="AA10" s="5">
        <f t="shared" si="13"/>
        <v>0</v>
      </c>
      <c r="AB10" s="5">
        <f>Table1[[#This Row],[Enrolment S.Y. 2025-2026 ]]*8</f>
        <v>1752</v>
      </c>
      <c r="AC10" s="5">
        <v>0</v>
      </c>
      <c r="AD10" s="1"/>
      <c r="AE10" s="5"/>
      <c r="AF10" s="5">
        <f t="shared" si="14"/>
        <v>1752</v>
      </c>
      <c r="AG10" s="5">
        <f t="shared" si="15"/>
        <v>0</v>
      </c>
    </row>
    <row r="11" spans="1:33" ht="19.5">
      <c r="A11" s="1">
        <v>1</v>
      </c>
      <c r="B11" s="9" t="s">
        <v>17</v>
      </c>
      <c r="C11" s="1">
        <v>219</v>
      </c>
      <c r="D11" s="5">
        <f>Table1[[#This Row],[Enrolment S.Y. 2025-2026 ]]*8</f>
        <v>1752</v>
      </c>
      <c r="E11" s="5">
        <v>0</v>
      </c>
      <c r="F11" s="1"/>
      <c r="G11" s="5"/>
      <c r="H11" s="5">
        <f>IF((D11-E11)&lt;0,0,(D11-E11))</f>
        <v>1752</v>
      </c>
      <c r="I11" s="5">
        <f>IF((E11-D11)&lt;0,0,(E11-D11))</f>
        <v>0</v>
      </c>
      <c r="J11" s="5"/>
      <c r="K11" s="5"/>
      <c r="L11" s="5"/>
      <c r="M11" s="5"/>
      <c r="N11" s="5"/>
      <c r="O11" s="5"/>
      <c r="P11" s="5">
        <f>Table1[[#This Row],[Enrolment S.Y. 2025-2026 ]]*8</f>
        <v>1752</v>
      </c>
      <c r="Q11" s="5">
        <v>0</v>
      </c>
      <c r="R11" s="1"/>
      <c r="S11" s="5"/>
      <c r="T11" s="5">
        <f t="shared" si="10"/>
        <v>1752</v>
      </c>
      <c r="U11" s="5">
        <f t="shared" si="11"/>
        <v>0</v>
      </c>
      <c r="V11" s="5">
        <f>Table1[[#This Row],[Enrolment S.Y. 2025-2026 ]]*8</f>
        <v>1752</v>
      </c>
      <c r="W11" s="5">
        <v>0</v>
      </c>
      <c r="X11" s="1"/>
      <c r="Y11" s="5"/>
      <c r="Z11" s="5">
        <f t="shared" si="12"/>
        <v>1752</v>
      </c>
      <c r="AA11" s="5">
        <f t="shared" si="13"/>
        <v>0</v>
      </c>
      <c r="AB11" s="5">
        <f>Table1[[#This Row],[Enrolment S.Y. 2025-2026 ]]*8</f>
        <v>1752</v>
      </c>
      <c r="AC11" s="5">
        <v>0</v>
      </c>
      <c r="AD11" s="1"/>
      <c r="AE11" s="5"/>
      <c r="AF11" s="5">
        <f t="shared" si="14"/>
        <v>1752</v>
      </c>
      <c r="AG11" s="5">
        <f t="shared" si="15"/>
        <v>0</v>
      </c>
    </row>
    <row r="12" spans="1:33" ht="19.5">
      <c r="A12" s="1">
        <v>1</v>
      </c>
      <c r="B12" s="9" t="s">
        <v>69</v>
      </c>
      <c r="C12" s="1">
        <v>219</v>
      </c>
      <c r="D12" s="5">
        <f>Table1[[#This Row],[Enrolment S.Y. 2025-2026 ]]*8</f>
        <v>1752</v>
      </c>
      <c r="E12" s="5">
        <v>0</v>
      </c>
      <c r="F12" s="1"/>
      <c r="G12" s="5"/>
      <c r="H12" s="5">
        <f>IF((D12-E12)&lt;0,0,(D12-E12))</f>
        <v>1752</v>
      </c>
      <c r="I12" s="5">
        <f>IF((E12-D12)&lt;0,0,(E12-D12))</f>
        <v>0</v>
      </c>
      <c r="J12" s="5"/>
      <c r="K12" s="5"/>
      <c r="L12" s="5"/>
      <c r="M12" s="5"/>
      <c r="N12" s="5"/>
      <c r="O12" s="5"/>
      <c r="P12" s="5">
        <f>Table1[[#This Row],[Enrolment S.Y. 2025-2026 ]]*8</f>
        <v>1752</v>
      </c>
      <c r="Q12" s="5">
        <v>0</v>
      </c>
      <c r="R12" s="1"/>
      <c r="S12" s="5"/>
      <c r="T12" s="5">
        <f t="shared" si="10"/>
        <v>1752</v>
      </c>
      <c r="U12" s="5">
        <f t="shared" si="11"/>
        <v>0</v>
      </c>
      <c r="V12" s="5">
        <f>Table1[[#This Row],[Enrolment S.Y. 2025-2026 ]]*8</f>
        <v>1752</v>
      </c>
      <c r="W12" s="5">
        <v>0</v>
      </c>
      <c r="X12" s="1"/>
      <c r="Y12" s="5"/>
      <c r="Z12" s="5">
        <f t="shared" si="12"/>
        <v>1752</v>
      </c>
      <c r="AA12" s="5">
        <f t="shared" si="13"/>
        <v>0</v>
      </c>
      <c r="AB12" s="5">
        <f>Table1[[#This Row],[Enrolment S.Y. 2025-2026 ]]*8</f>
        <v>1752</v>
      </c>
      <c r="AC12" s="5">
        <v>0</v>
      </c>
      <c r="AD12" s="1"/>
      <c r="AE12" s="5"/>
      <c r="AF12" s="5">
        <f t="shared" si="14"/>
        <v>1752</v>
      </c>
      <c r="AG12" s="5">
        <f t="shared" si="15"/>
        <v>0</v>
      </c>
    </row>
    <row r="13" spans="1:33" s="7" customFormat="1" ht="19.5">
      <c r="P13" s="13"/>
      <c r="T13" s="13"/>
      <c r="U13" s="13"/>
      <c r="V13" s="13"/>
      <c r="Y13" s="5"/>
      <c r="Z13" s="13"/>
      <c r="AA13" s="13"/>
      <c r="AB13" s="13"/>
      <c r="AE13" s="13"/>
      <c r="AF13" s="13"/>
      <c r="AG13" s="13"/>
    </row>
    <row r="14" spans="1:33" ht="38.25">
      <c r="A14" s="1">
        <v>2</v>
      </c>
      <c r="B14" s="2" t="s">
        <v>8</v>
      </c>
      <c r="C14" s="1">
        <v>265</v>
      </c>
      <c r="D14" s="5">
        <f>Table1[[#This Row],[Enrolment S.Y. 2025-2026 ]]*8</f>
        <v>2120</v>
      </c>
      <c r="E14" s="5">
        <v>0</v>
      </c>
      <c r="F14" s="1"/>
      <c r="G14" s="5"/>
      <c r="H14" s="5">
        <f t="shared" si="2"/>
        <v>2120</v>
      </c>
      <c r="I14" s="5">
        <f t="shared" si="3"/>
        <v>0</v>
      </c>
      <c r="J14" s="5"/>
      <c r="K14" s="5"/>
      <c r="L14" s="5"/>
      <c r="M14" s="5"/>
      <c r="N14" s="5"/>
      <c r="O14" s="5"/>
      <c r="P14" s="5">
        <f>Table1[[#This Row],[Enrolment S.Y. 2025-2026 ]]*8</f>
        <v>2120</v>
      </c>
      <c r="Q14" s="5">
        <v>0</v>
      </c>
      <c r="R14" s="1"/>
      <c r="S14" s="5"/>
      <c r="T14" s="5">
        <f t="shared" si="10"/>
        <v>2120</v>
      </c>
      <c r="U14" s="5">
        <f t="shared" si="11"/>
        <v>0</v>
      </c>
      <c r="V14" s="5">
        <f>Table1[[#This Row],[Enrolment S.Y. 2025-2026 ]]*8</f>
        <v>2120</v>
      </c>
      <c r="W14" s="5">
        <v>0</v>
      </c>
      <c r="X14" s="1"/>
      <c r="Y14" s="5"/>
      <c r="Z14" s="5">
        <f t="shared" si="12"/>
        <v>2120</v>
      </c>
      <c r="AA14" s="5">
        <f t="shared" si="13"/>
        <v>0</v>
      </c>
      <c r="AB14" s="5">
        <f>Table1[[#This Row],[Enrolment S.Y. 2025-2026 ]]*8</f>
        <v>2120</v>
      </c>
      <c r="AC14" s="5">
        <v>0</v>
      </c>
      <c r="AD14" s="1"/>
      <c r="AE14" s="5"/>
      <c r="AF14" s="5">
        <f t="shared" si="14"/>
        <v>2120</v>
      </c>
      <c r="AG14" s="5">
        <f t="shared" si="15"/>
        <v>0</v>
      </c>
    </row>
    <row r="15" spans="1:33" ht="19.5">
      <c r="A15" s="1">
        <v>2</v>
      </c>
      <c r="B15" s="2" t="s">
        <v>10</v>
      </c>
      <c r="C15" s="1">
        <v>265</v>
      </c>
      <c r="D15" s="5">
        <f>Table1[[#This Row],[Enrolment S.Y. 2025-2026 ]]*8</f>
        <v>2120</v>
      </c>
      <c r="E15" s="5">
        <v>0</v>
      </c>
      <c r="F15" s="1"/>
      <c r="G15" s="5"/>
      <c r="H15" s="5">
        <f t="shared" si="2"/>
        <v>2120</v>
      </c>
      <c r="I15" s="5">
        <f t="shared" si="3"/>
        <v>0</v>
      </c>
      <c r="J15" s="5"/>
      <c r="K15" s="5"/>
      <c r="L15" s="5"/>
      <c r="M15" s="5"/>
      <c r="N15" s="5"/>
      <c r="O15" s="5"/>
      <c r="P15" s="5">
        <f>Table1[[#This Row],[Enrolment S.Y. 2025-2026 ]]*8</f>
        <v>2120</v>
      </c>
      <c r="Q15" s="5">
        <v>0</v>
      </c>
      <c r="R15" s="1"/>
      <c r="S15" s="5"/>
      <c r="T15" s="5">
        <f t="shared" si="10"/>
        <v>2120</v>
      </c>
      <c r="U15" s="5">
        <f t="shared" si="11"/>
        <v>0</v>
      </c>
      <c r="V15" s="5">
        <f>Table1[[#This Row],[Enrolment S.Y. 2025-2026 ]]*8</f>
        <v>2120</v>
      </c>
      <c r="W15" s="5">
        <v>0</v>
      </c>
      <c r="X15" s="1"/>
      <c r="Y15" s="5"/>
      <c r="Z15" s="5">
        <f t="shared" si="12"/>
        <v>2120</v>
      </c>
      <c r="AA15" s="5">
        <f t="shared" si="13"/>
        <v>0</v>
      </c>
      <c r="AB15" s="5">
        <f>Table1[[#This Row],[Enrolment S.Y. 2025-2026 ]]*8</f>
        <v>2120</v>
      </c>
      <c r="AC15" s="5">
        <v>0</v>
      </c>
      <c r="AD15" s="1"/>
      <c r="AE15" s="5"/>
      <c r="AF15" s="5">
        <f t="shared" si="14"/>
        <v>2120</v>
      </c>
      <c r="AG15" s="5">
        <f t="shared" si="15"/>
        <v>0</v>
      </c>
    </row>
    <row r="16" spans="1:33" ht="19.5">
      <c r="A16" s="1">
        <v>2</v>
      </c>
      <c r="B16" s="2" t="s">
        <v>11</v>
      </c>
      <c r="C16" s="1">
        <v>265</v>
      </c>
      <c r="D16" s="5">
        <f>Table1[[#This Row],[Enrolment S.Y. 2025-2026 ]]*8</f>
        <v>2120</v>
      </c>
      <c r="E16" s="5">
        <v>0</v>
      </c>
      <c r="F16" s="1"/>
      <c r="G16" s="5"/>
      <c r="H16" s="5">
        <f t="shared" si="2"/>
        <v>2120</v>
      </c>
      <c r="I16" s="5">
        <f t="shared" si="3"/>
        <v>0</v>
      </c>
      <c r="J16" s="5"/>
      <c r="K16" s="5"/>
      <c r="L16" s="5"/>
      <c r="M16" s="5"/>
      <c r="N16" s="5"/>
      <c r="O16" s="5"/>
      <c r="P16" s="5">
        <f>Table1[[#This Row],[Enrolment S.Y. 2025-2026 ]]*8</f>
        <v>2120</v>
      </c>
      <c r="Q16" s="5">
        <v>0</v>
      </c>
      <c r="R16" s="1"/>
      <c r="S16" s="5"/>
      <c r="T16" s="5">
        <f t="shared" si="10"/>
        <v>2120</v>
      </c>
      <c r="U16" s="5">
        <f t="shared" si="11"/>
        <v>0</v>
      </c>
      <c r="V16" s="5">
        <f>Table1[[#This Row],[Enrolment S.Y. 2025-2026 ]]*8</f>
        <v>2120</v>
      </c>
      <c r="W16" s="5">
        <v>0</v>
      </c>
      <c r="X16" s="1"/>
      <c r="Y16" s="5"/>
      <c r="Z16" s="5">
        <f t="shared" si="12"/>
        <v>2120</v>
      </c>
      <c r="AA16" s="5">
        <f t="shared" si="13"/>
        <v>0</v>
      </c>
      <c r="AB16" s="5">
        <f>Table1[[#This Row],[Enrolment S.Y. 2025-2026 ]]*8</f>
        <v>2120</v>
      </c>
      <c r="AC16" s="5">
        <v>0</v>
      </c>
      <c r="AD16" s="1"/>
      <c r="AE16" s="5"/>
      <c r="AF16" s="5">
        <f t="shared" si="14"/>
        <v>2120</v>
      </c>
      <c r="AG16" s="5">
        <f t="shared" si="15"/>
        <v>0</v>
      </c>
    </row>
    <row r="17" spans="1:33" ht="19.5">
      <c r="A17" s="1">
        <v>2</v>
      </c>
      <c r="B17" s="2" t="s">
        <v>12</v>
      </c>
      <c r="C17" s="1">
        <v>265</v>
      </c>
      <c r="D17" s="5">
        <f>Table1[[#This Row],[Enrolment S.Y. 2025-2026 ]]*8</f>
        <v>2120</v>
      </c>
      <c r="E17" s="5">
        <v>0</v>
      </c>
      <c r="F17" s="1"/>
      <c r="G17" s="5"/>
      <c r="H17" s="5">
        <f t="shared" si="2"/>
        <v>2120</v>
      </c>
      <c r="I17" s="5">
        <f t="shared" si="3"/>
        <v>0</v>
      </c>
      <c r="J17" s="5"/>
      <c r="K17" s="5"/>
      <c r="L17" s="5"/>
      <c r="M17" s="5"/>
      <c r="N17" s="5"/>
      <c r="O17" s="5"/>
      <c r="P17" s="5">
        <f>Table1[[#This Row],[Enrolment S.Y. 2025-2026 ]]*8</f>
        <v>2120</v>
      </c>
      <c r="Q17" s="5">
        <v>0</v>
      </c>
      <c r="R17" s="1"/>
      <c r="S17" s="5"/>
      <c r="T17" s="5">
        <f t="shared" si="10"/>
        <v>2120</v>
      </c>
      <c r="U17" s="5">
        <f t="shared" si="11"/>
        <v>0</v>
      </c>
      <c r="V17" s="5">
        <f>Table1[[#This Row],[Enrolment S.Y. 2025-2026 ]]*8</f>
        <v>2120</v>
      </c>
      <c r="W17" s="5">
        <v>0</v>
      </c>
      <c r="X17" s="1"/>
      <c r="Y17" s="5"/>
      <c r="Z17" s="5">
        <f t="shared" si="12"/>
        <v>2120</v>
      </c>
      <c r="AA17" s="5">
        <f t="shared" si="13"/>
        <v>0</v>
      </c>
      <c r="AB17" s="5">
        <f>Table1[[#This Row],[Enrolment S.Y. 2025-2026 ]]*8</f>
        <v>2120</v>
      </c>
      <c r="AC17" s="5">
        <v>0</v>
      </c>
      <c r="AD17" s="1"/>
      <c r="AE17" s="5"/>
      <c r="AF17" s="5">
        <f t="shared" si="14"/>
        <v>2120</v>
      </c>
      <c r="AG17" s="5">
        <f t="shared" si="15"/>
        <v>0</v>
      </c>
    </row>
    <row r="18" spans="1:33" ht="19.5">
      <c r="A18" s="1">
        <v>2</v>
      </c>
      <c r="B18" s="2" t="s">
        <v>13</v>
      </c>
      <c r="C18" s="1">
        <v>265</v>
      </c>
      <c r="D18" s="5">
        <f>Table1[[#This Row],[Enrolment S.Y. 2025-2026 ]]*8</f>
        <v>2120</v>
      </c>
      <c r="E18" s="5">
        <v>0</v>
      </c>
      <c r="F18" s="1"/>
      <c r="G18" s="5"/>
      <c r="H18" s="5">
        <f t="shared" si="2"/>
        <v>2120</v>
      </c>
      <c r="I18" s="5">
        <f t="shared" si="3"/>
        <v>0</v>
      </c>
      <c r="J18" s="5"/>
      <c r="K18" s="5"/>
      <c r="L18" s="5"/>
      <c r="M18" s="5"/>
      <c r="N18" s="5"/>
      <c r="O18" s="5"/>
      <c r="P18" s="5">
        <f>Table1[[#This Row],[Enrolment S.Y. 2025-2026 ]]*8</f>
        <v>2120</v>
      </c>
      <c r="Q18" s="5">
        <v>0</v>
      </c>
      <c r="R18" s="1"/>
      <c r="S18" s="5"/>
      <c r="T18" s="5">
        <f t="shared" si="10"/>
        <v>2120</v>
      </c>
      <c r="U18" s="5">
        <f t="shared" si="11"/>
        <v>0</v>
      </c>
      <c r="V18" s="5">
        <f>Table1[[#This Row],[Enrolment S.Y. 2025-2026 ]]*8</f>
        <v>2120</v>
      </c>
      <c r="W18" s="5">
        <v>0</v>
      </c>
      <c r="X18" s="1"/>
      <c r="Y18" s="5"/>
      <c r="Z18" s="5">
        <f t="shared" si="12"/>
        <v>2120</v>
      </c>
      <c r="AA18" s="5">
        <f t="shared" si="13"/>
        <v>0</v>
      </c>
      <c r="AB18" s="5">
        <f>Table1[[#This Row],[Enrolment S.Y. 2025-2026 ]]*8</f>
        <v>2120</v>
      </c>
      <c r="AC18" s="5">
        <v>0</v>
      </c>
      <c r="AD18" s="1"/>
      <c r="AE18" s="5"/>
      <c r="AF18" s="5">
        <f t="shared" si="14"/>
        <v>2120</v>
      </c>
      <c r="AG18" s="5">
        <f t="shared" si="15"/>
        <v>0</v>
      </c>
    </row>
    <row r="19" spans="1:33" ht="19.5">
      <c r="A19" s="1">
        <v>2</v>
      </c>
      <c r="B19" s="9" t="s">
        <v>17</v>
      </c>
      <c r="C19" s="1">
        <v>265</v>
      </c>
      <c r="D19" s="5">
        <f>Table1[[#This Row],[Enrolment S.Y. 2025-2026 ]]*8</f>
        <v>2120</v>
      </c>
      <c r="E19" s="5">
        <v>0</v>
      </c>
      <c r="F19" s="1"/>
      <c r="G19" s="5"/>
      <c r="H19" s="5">
        <f>IF((D19-E19)&lt;0,0,(D19-E19))</f>
        <v>2120</v>
      </c>
      <c r="I19" s="5">
        <f>IF((E19-D19)&lt;0,0,(E19-D19))</f>
        <v>0</v>
      </c>
      <c r="J19" s="5"/>
      <c r="K19" s="5"/>
      <c r="L19" s="5"/>
      <c r="M19" s="5"/>
      <c r="N19" s="5"/>
      <c r="O19" s="5"/>
      <c r="P19" s="5">
        <f>Table1[[#This Row],[Enrolment S.Y. 2025-2026 ]]*8</f>
        <v>2120</v>
      </c>
      <c r="Q19" s="5">
        <v>0</v>
      </c>
      <c r="R19" s="1"/>
      <c r="S19" s="5"/>
      <c r="T19" s="5">
        <f t="shared" si="10"/>
        <v>2120</v>
      </c>
      <c r="U19" s="5">
        <f t="shared" si="11"/>
        <v>0</v>
      </c>
      <c r="V19" s="5">
        <f>Table1[[#This Row],[Enrolment S.Y. 2025-2026 ]]*8</f>
        <v>2120</v>
      </c>
      <c r="W19" s="5">
        <v>0</v>
      </c>
      <c r="X19" s="1"/>
      <c r="Y19" s="5"/>
      <c r="Z19" s="5">
        <f t="shared" si="12"/>
        <v>2120</v>
      </c>
      <c r="AA19" s="5">
        <f t="shared" si="13"/>
        <v>0</v>
      </c>
      <c r="AB19" s="5">
        <f>Table1[[#This Row],[Enrolment S.Y. 2025-2026 ]]*8</f>
        <v>2120</v>
      </c>
      <c r="AC19" s="5">
        <v>0</v>
      </c>
      <c r="AD19" s="1"/>
      <c r="AE19" s="5"/>
      <c r="AF19" s="5">
        <f t="shared" si="14"/>
        <v>2120</v>
      </c>
      <c r="AG19" s="5">
        <f t="shared" si="15"/>
        <v>0</v>
      </c>
    </row>
    <row r="20" spans="1:33" ht="19.5">
      <c r="A20" s="1">
        <v>2</v>
      </c>
      <c r="B20" s="9" t="s">
        <v>15</v>
      </c>
      <c r="C20" s="1">
        <v>265</v>
      </c>
      <c r="D20" s="5">
        <f>Table1[[#This Row],[Enrolment S.Y. 2025-2026 ]]*8</f>
        <v>2120</v>
      </c>
      <c r="E20" s="5">
        <v>0</v>
      </c>
      <c r="F20" s="1"/>
      <c r="G20" s="5"/>
      <c r="H20" s="5">
        <f>IF((D20-E20)&lt;0,0,(D20-E20))</f>
        <v>2120</v>
      </c>
      <c r="I20" s="5">
        <f>IF((E20-D20)&lt;0,0,(E20-D20))</f>
        <v>0</v>
      </c>
      <c r="J20" s="5"/>
      <c r="K20" s="5"/>
      <c r="L20" s="5"/>
      <c r="M20" s="5"/>
      <c r="N20" s="5"/>
      <c r="O20" s="5"/>
      <c r="P20" s="5">
        <f>Table1[[#This Row],[Enrolment S.Y. 2025-2026 ]]*8</f>
        <v>2120</v>
      </c>
      <c r="Q20" s="5">
        <v>0</v>
      </c>
      <c r="R20" s="1"/>
      <c r="S20" s="5"/>
      <c r="T20" s="5">
        <f t="shared" si="10"/>
        <v>2120</v>
      </c>
      <c r="U20" s="5">
        <f t="shared" si="11"/>
        <v>0</v>
      </c>
      <c r="V20" s="5">
        <f>Table1[[#This Row],[Enrolment S.Y. 2025-2026 ]]*8</f>
        <v>2120</v>
      </c>
      <c r="W20" s="5">
        <v>0</v>
      </c>
      <c r="X20" s="1"/>
      <c r="Y20" s="5"/>
      <c r="Z20" s="5">
        <f t="shared" si="12"/>
        <v>2120</v>
      </c>
      <c r="AA20" s="5">
        <f t="shared" si="13"/>
        <v>0</v>
      </c>
      <c r="AB20" s="5">
        <f>Table1[[#This Row],[Enrolment S.Y. 2025-2026 ]]*8</f>
        <v>2120</v>
      </c>
      <c r="AC20" s="5">
        <v>0</v>
      </c>
      <c r="AD20" s="1"/>
      <c r="AE20" s="5"/>
      <c r="AF20" s="5">
        <f t="shared" si="14"/>
        <v>2120</v>
      </c>
      <c r="AG20" s="5">
        <f t="shared" si="15"/>
        <v>0</v>
      </c>
    </row>
    <row r="21" spans="1:33" ht="19.5">
      <c r="A21" s="1">
        <v>2</v>
      </c>
      <c r="B21" s="9" t="s">
        <v>69</v>
      </c>
      <c r="C21" s="1">
        <v>265</v>
      </c>
      <c r="D21" s="5">
        <f>Table1[[#This Row],[Enrolment S.Y. 2025-2026 ]]*8</f>
        <v>2120</v>
      </c>
      <c r="E21" s="5">
        <v>0</v>
      </c>
      <c r="F21" s="1"/>
      <c r="G21" s="5"/>
      <c r="H21" s="5">
        <f>IF((D21-E21)&lt;0,0,(D21-E21))</f>
        <v>2120</v>
      </c>
      <c r="I21" s="5">
        <f>IF((E21-D21)&lt;0,0,(E21-D21))</f>
        <v>0</v>
      </c>
      <c r="J21" s="5"/>
      <c r="K21" s="5"/>
      <c r="L21" s="5"/>
      <c r="M21" s="5"/>
      <c r="N21" s="5"/>
      <c r="O21" s="5"/>
      <c r="P21" s="5">
        <f>Table1[[#This Row],[Enrolment S.Y. 2025-2026 ]]*8</f>
        <v>2120</v>
      </c>
      <c r="Q21" s="5">
        <v>0</v>
      </c>
      <c r="R21" s="1"/>
      <c r="S21" s="5"/>
      <c r="T21" s="5">
        <f t="shared" si="10"/>
        <v>2120</v>
      </c>
      <c r="U21" s="5">
        <f t="shared" si="11"/>
        <v>0</v>
      </c>
      <c r="V21" s="5">
        <f>Table1[[#This Row],[Enrolment S.Y. 2025-2026 ]]*8</f>
        <v>2120</v>
      </c>
      <c r="W21" s="5">
        <v>0</v>
      </c>
      <c r="X21" s="1"/>
      <c r="Y21" s="5"/>
      <c r="Z21" s="5">
        <f t="shared" si="12"/>
        <v>2120</v>
      </c>
      <c r="AA21" s="5">
        <f t="shared" si="13"/>
        <v>0</v>
      </c>
      <c r="AB21" s="5">
        <f>Table1[[#This Row],[Enrolment S.Y. 2025-2026 ]]*8</f>
        <v>2120</v>
      </c>
      <c r="AC21" s="5">
        <v>0</v>
      </c>
      <c r="AD21" s="1"/>
      <c r="AE21" s="5"/>
      <c r="AF21" s="5">
        <f t="shared" si="14"/>
        <v>2120</v>
      </c>
      <c r="AG21" s="5">
        <f t="shared" si="15"/>
        <v>0</v>
      </c>
    </row>
    <row r="22" spans="1:33" s="7" customFormat="1" ht="19.5">
      <c r="P22" s="13"/>
      <c r="S22" s="5"/>
      <c r="T22" s="13"/>
      <c r="U22" s="13"/>
      <c r="V22" s="13"/>
      <c r="Y22" s="5"/>
      <c r="Z22" s="13"/>
      <c r="AA22" s="13"/>
      <c r="AB22" s="13"/>
      <c r="AE22" s="5"/>
      <c r="AF22" s="13"/>
      <c r="AG22" s="13"/>
    </row>
    <row r="23" spans="1:33" ht="38.25">
      <c r="A23" s="1">
        <v>3</v>
      </c>
      <c r="B23" s="2" t="s">
        <v>8</v>
      </c>
      <c r="C23" s="1">
        <v>265</v>
      </c>
      <c r="D23" s="5">
        <f>Table1[[#This Row],[Enrolment S.Y. 2025-2026 ]]*8</f>
        <v>2120</v>
      </c>
      <c r="E23" s="5">
        <v>0</v>
      </c>
      <c r="F23" s="1"/>
      <c r="G23" s="5"/>
      <c r="H23" s="5">
        <f t="shared" si="2"/>
        <v>2120</v>
      </c>
      <c r="I23" s="5">
        <f t="shared" si="3"/>
        <v>0</v>
      </c>
      <c r="J23" s="5"/>
      <c r="K23" s="5"/>
      <c r="L23" s="5"/>
      <c r="M23" s="5"/>
      <c r="N23" s="5"/>
      <c r="O23" s="5"/>
      <c r="P23" s="5">
        <f>Table1[[#This Row],[Enrolment S.Y. 2025-2026 ]]*8</f>
        <v>2120</v>
      </c>
      <c r="Q23" s="5">
        <v>0</v>
      </c>
      <c r="R23" s="1"/>
      <c r="S23" s="5"/>
      <c r="T23" s="5">
        <f t="shared" si="10"/>
        <v>2120</v>
      </c>
      <c r="U23" s="5">
        <f t="shared" si="11"/>
        <v>0</v>
      </c>
      <c r="V23" s="5">
        <f>Table1[[#This Row],[Enrolment S.Y. 2025-2026 ]]*8</f>
        <v>2120</v>
      </c>
      <c r="W23" s="5">
        <v>0</v>
      </c>
      <c r="X23" s="1"/>
      <c r="Y23" s="5"/>
      <c r="Z23" s="5">
        <f t="shared" si="12"/>
        <v>2120</v>
      </c>
      <c r="AA23" s="5">
        <f t="shared" si="13"/>
        <v>0</v>
      </c>
      <c r="AB23" s="5">
        <f>Table1[[#This Row],[Enrolment S.Y. 2025-2026 ]]*8</f>
        <v>2120</v>
      </c>
      <c r="AC23" s="5">
        <v>0</v>
      </c>
      <c r="AD23" s="1"/>
      <c r="AE23" s="5"/>
      <c r="AF23" s="5">
        <f t="shared" si="14"/>
        <v>2120</v>
      </c>
      <c r="AG23" s="5">
        <f t="shared" si="15"/>
        <v>0</v>
      </c>
    </row>
    <row r="24" spans="1:33" ht="19.5">
      <c r="A24" s="1">
        <v>3</v>
      </c>
      <c r="B24" s="2" t="s">
        <v>10</v>
      </c>
      <c r="C24" s="1">
        <v>265</v>
      </c>
      <c r="D24" s="5">
        <f>Table1[[#This Row],[Enrolment S.Y. 2025-2026 ]]*8</f>
        <v>2120</v>
      </c>
      <c r="E24" s="5">
        <v>0</v>
      </c>
      <c r="F24" s="1"/>
      <c r="G24" s="5"/>
      <c r="H24" s="5">
        <f t="shared" si="2"/>
        <v>2120</v>
      </c>
      <c r="I24" s="5">
        <f t="shared" si="3"/>
        <v>0</v>
      </c>
      <c r="J24" s="5"/>
      <c r="K24" s="5"/>
      <c r="L24" s="5"/>
      <c r="M24" s="5"/>
      <c r="N24" s="5"/>
      <c r="O24" s="5"/>
      <c r="P24" s="5">
        <f>Table1[[#This Row],[Enrolment S.Y. 2025-2026 ]]*8</f>
        <v>2120</v>
      </c>
      <c r="Q24" s="5">
        <v>0</v>
      </c>
      <c r="R24" s="1"/>
      <c r="S24" s="5"/>
      <c r="T24" s="5">
        <f t="shared" si="10"/>
        <v>2120</v>
      </c>
      <c r="U24" s="5">
        <f t="shared" si="11"/>
        <v>0</v>
      </c>
      <c r="V24" s="5">
        <f>Table1[[#This Row],[Enrolment S.Y. 2025-2026 ]]*8</f>
        <v>2120</v>
      </c>
      <c r="W24" s="5">
        <v>0</v>
      </c>
      <c r="X24" s="1"/>
      <c r="Y24" s="5"/>
      <c r="Z24" s="5">
        <f t="shared" si="12"/>
        <v>2120</v>
      </c>
      <c r="AA24" s="5">
        <f t="shared" si="13"/>
        <v>0</v>
      </c>
      <c r="AB24" s="5">
        <f>Table1[[#This Row],[Enrolment S.Y. 2025-2026 ]]*8</f>
        <v>2120</v>
      </c>
      <c r="AC24" s="5">
        <v>0</v>
      </c>
      <c r="AD24" s="1"/>
      <c r="AE24" s="5"/>
      <c r="AF24" s="5">
        <f t="shared" si="14"/>
        <v>2120</v>
      </c>
      <c r="AG24" s="5">
        <f t="shared" si="15"/>
        <v>0</v>
      </c>
    </row>
    <row r="25" spans="1:33" ht="19.5">
      <c r="A25" s="1">
        <v>3</v>
      </c>
      <c r="B25" s="2" t="s">
        <v>11</v>
      </c>
      <c r="C25" s="1">
        <v>265</v>
      </c>
      <c r="D25" s="5">
        <f>Table1[[#This Row],[Enrolment S.Y. 2025-2026 ]]*8</f>
        <v>2120</v>
      </c>
      <c r="E25" s="5">
        <v>0</v>
      </c>
      <c r="F25" s="1"/>
      <c r="G25" s="5"/>
      <c r="H25" s="5">
        <f t="shared" si="2"/>
        <v>2120</v>
      </c>
      <c r="I25" s="5">
        <f t="shared" si="3"/>
        <v>0</v>
      </c>
      <c r="J25" s="5"/>
      <c r="K25" s="5"/>
      <c r="L25" s="5"/>
      <c r="M25" s="5"/>
      <c r="N25" s="5"/>
      <c r="O25" s="5"/>
      <c r="P25" s="5">
        <f>Table1[[#This Row],[Enrolment S.Y. 2025-2026 ]]*8</f>
        <v>2120</v>
      </c>
      <c r="Q25" s="5">
        <v>0</v>
      </c>
      <c r="R25" s="1"/>
      <c r="S25" s="5"/>
      <c r="T25" s="5">
        <f t="shared" si="10"/>
        <v>2120</v>
      </c>
      <c r="U25" s="5">
        <f t="shared" si="11"/>
        <v>0</v>
      </c>
      <c r="V25" s="5">
        <f>Table1[[#This Row],[Enrolment S.Y. 2025-2026 ]]*8</f>
        <v>2120</v>
      </c>
      <c r="W25" s="5">
        <v>0</v>
      </c>
      <c r="X25" s="1"/>
      <c r="Y25" s="5"/>
      <c r="Z25" s="5">
        <f t="shared" si="12"/>
        <v>2120</v>
      </c>
      <c r="AA25" s="5">
        <f t="shared" si="13"/>
        <v>0</v>
      </c>
      <c r="AB25" s="5">
        <f>Table1[[#This Row],[Enrolment S.Y. 2025-2026 ]]*8</f>
        <v>2120</v>
      </c>
      <c r="AC25" s="5">
        <v>0</v>
      </c>
      <c r="AD25" s="1"/>
      <c r="AE25" s="5"/>
      <c r="AF25" s="5">
        <f t="shared" si="14"/>
        <v>2120</v>
      </c>
      <c r="AG25" s="5">
        <f t="shared" si="15"/>
        <v>0</v>
      </c>
    </row>
    <row r="26" spans="1:33" ht="19.5">
      <c r="A26" s="1">
        <v>3</v>
      </c>
      <c r="B26" s="2" t="s">
        <v>14</v>
      </c>
      <c r="C26" s="1">
        <v>265</v>
      </c>
      <c r="D26" s="5">
        <f>Table1[[#This Row],[Enrolment S.Y. 2025-2026 ]]*8</f>
        <v>2120</v>
      </c>
      <c r="E26" s="5">
        <v>0</v>
      </c>
      <c r="F26" s="1"/>
      <c r="G26" s="5"/>
      <c r="H26" s="5">
        <f t="shared" si="2"/>
        <v>2120</v>
      </c>
      <c r="I26" s="5">
        <f t="shared" si="3"/>
        <v>0</v>
      </c>
      <c r="J26" s="5"/>
      <c r="K26" s="5"/>
      <c r="L26" s="5"/>
      <c r="M26" s="5"/>
      <c r="N26" s="5"/>
      <c r="O26" s="5"/>
      <c r="P26" s="5">
        <f>Table1[[#This Row],[Enrolment S.Y. 2025-2026 ]]*8</f>
        <v>2120</v>
      </c>
      <c r="Q26" s="5">
        <v>0</v>
      </c>
      <c r="R26" s="1"/>
      <c r="S26" s="5"/>
      <c r="T26" s="5">
        <f t="shared" si="10"/>
        <v>2120</v>
      </c>
      <c r="U26" s="5">
        <f t="shared" si="11"/>
        <v>0</v>
      </c>
      <c r="V26" s="5">
        <f>Table1[[#This Row],[Enrolment S.Y. 2025-2026 ]]*8</f>
        <v>2120</v>
      </c>
      <c r="W26" s="5">
        <v>0</v>
      </c>
      <c r="X26" s="1"/>
      <c r="Y26" s="5"/>
      <c r="Z26" s="5">
        <f t="shared" si="12"/>
        <v>2120</v>
      </c>
      <c r="AA26" s="5">
        <f t="shared" si="13"/>
        <v>0</v>
      </c>
      <c r="AB26" s="5">
        <f>Table1[[#This Row],[Enrolment S.Y. 2025-2026 ]]*8</f>
        <v>2120</v>
      </c>
      <c r="AC26" s="5">
        <v>0</v>
      </c>
      <c r="AD26" s="1"/>
      <c r="AE26" s="5"/>
      <c r="AF26" s="5">
        <f t="shared" si="14"/>
        <v>2120</v>
      </c>
      <c r="AG26" s="5">
        <f t="shared" si="15"/>
        <v>0</v>
      </c>
    </row>
    <row r="27" spans="1:33" ht="19.5">
      <c r="A27" s="1">
        <v>3</v>
      </c>
      <c r="B27" s="2" t="s">
        <v>12</v>
      </c>
      <c r="C27" s="1">
        <v>265</v>
      </c>
      <c r="D27" s="5">
        <f>Table1[[#This Row],[Enrolment S.Y. 2025-2026 ]]*8</f>
        <v>2120</v>
      </c>
      <c r="E27" s="5">
        <v>0</v>
      </c>
      <c r="F27" s="1"/>
      <c r="G27" s="5"/>
      <c r="H27" s="5">
        <f t="shared" si="2"/>
        <v>2120</v>
      </c>
      <c r="I27" s="5">
        <f t="shared" si="3"/>
        <v>0</v>
      </c>
      <c r="J27" s="5"/>
      <c r="K27" s="5"/>
      <c r="L27" s="5"/>
      <c r="M27" s="5"/>
      <c r="N27" s="5"/>
      <c r="O27" s="5"/>
      <c r="P27" s="5">
        <f>Table1[[#This Row],[Enrolment S.Y. 2025-2026 ]]*8</f>
        <v>2120</v>
      </c>
      <c r="Q27" s="5">
        <v>0</v>
      </c>
      <c r="R27" s="1"/>
      <c r="S27" s="5"/>
      <c r="T27" s="5">
        <f t="shared" si="10"/>
        <v>2120</v>
      </c>
      <c r="U27" s="5">
        <f t="shared" si="11"/>
        <v>0</v>
      </c>
      <c r="V27" s="5">
        <f>Table1[[#This Row],[Enrolment S.Y. 2025-2026 ]]*8</f>
        <v>2120</v>
      </c>
      <c r="W27" s="5">
        <v>0</v>
      </c>
      <c r="X27" s="1"/>
      <c r="Y27" s="5"/>
      <c r="Z27" s="5">
        <f t="shared" si="12"/>
        <v>2120</v>
      </c>
      <c r="AA27" s="5">
        <f t="shared" si="13"/>
        <v>0</v>
      </c>
      <c r="AB27" s="5">
        <f>Table1[[#This Row],[Enrolment S.Y. 2025-2026 ]]*8</f>
        <v>2120</v>
      </c>
      <c r="AC27" s="5">
        <v>0</v>
      </c>
      <c r="AD27" s="1"/>
      <c r="AE27" s="5"/>
      <c r="AF27" s="5">
        <f t="shared" si="14"/>
        <v>2120</v>
      </c>
      <c r="AG27" s="5">
        <f t="shared" si="15"/>
        <v>0</v>
      </c>
    </row>
    <row r="28" spans="1:33" ht="19.5">
      <c r="A28" s="1">
        <v>3</v>
      </c>
      <c r="B28" s="2" t="s">
        <v>13</v>
      </c>
      <c r="C28" s="1">
        <v>265</v>
      </c>
      <c r="D28" s="5">
        <f>Table1[[#This Row],[Enrolment S.Y. 2025-2026 ]]*8</f>
        <v>2120</v>
      </c>
      <c r="E28" s="5">
        <v>0</v>
      </c>
      <c r="F28" s="1"/>
      <c r="G28" s="5"/>
      <c r="H28" s="5">
        <f t="shared" si="2"/>
        <v>2120</v>
      </c>
      <c r="I28" s="5">
        <f t="shared" si="3"/>
        <v>0</v>
      </c>
      <c r="J28" s="5"/>
      <c r="K28" s="5"/>
      <c r="L28" s="5"/>
      <c r="M28" s="5"/>
      <c r="N28" s="5"/>
      <c r="O28" s="5"/>
      <c r="P28" s="5">
        <f>Table1[[#This Row],[Enrolment S.Y. 2025-2026 ]]*8</f>
        <v>2120</v>
      </c>
      <c r="Q28" s="5">
        <v>0</v>
      </c>
      <c r="R28" s="1"/>
      <c r="S28" s="5"/>
      <c r="T28" s="5">
        <f t="shared" si="10"/>
        <v>2120</v>
      </c>
      <c r="U28" s="5">
        <f t="shared" si="11"/>
        <v>0</v>
      </c>
      <c r="V28" s="5">
        <f>Table1[[#This Row],[Enrolment S.Y. 2025-2026 ]]*8</f>
        <v>2120</v>
      </c>
      <c r="W28" s="5">
        <v>0</v>
      </c>
      <c r="X28" s="1"/>
      <c r="Y28" s="5"/>
      <c r="Z28" s="5">
        <f t="shared" si="12"/>
        <v>2120</v>
      </c>
      <c r="AA28" s="5">
        <f t="shared" si="13"/>
        <v>0</v>
      </c>
      <c r="AB28" s="5">
        <f>Table1[[#This Row],[Enrolment S.Y. 2025-2026 ]]*8</f>
        <v>2120</v>
      </c>
      <c r="AC28" s="5">
        <v>0</v>
      </c>
      <c r="AD28" s="1"/>
      <c r="AE28" s="5"/>
      <c r="AF28" s="5">
        <f t="shared" si="14"/>
        <v>2120</v>
      </c>
      <c r="AG28" s="5">
        <f t="shared" si="15"/>
        <v>0</v>
      </c>
    </row>
    <row r="29" spans="1:33" ht="19.5">
      <c r="A29" s="1">
        <v>3</v>
      </c>
      <c r="B29" s="9" t="s">
        <v>15</v>
      </c>
      <c r="C29" s="1">
        <v>265</v>
      </c>
      <c r="D29" s="5">
        <f>Table1[[#This Row],[Enrolment S.Y. 2025-2026 ]]*8</f>
        <v>2120</v>
      </c>
      <c r="E29" s="5">
        <v>0</v>
      </c>
      <c r="F29" s="1"/>
      <c r="G29" s="5"/>
      <c r="H29" s="5">
        <f>IF((D29-E29)&lt;0,0,(D29-E29))</f>
        <v>2120</v>
      </c>
      <c r="I29" s="5">
        <f>IF((E29-D29)&lt;0,0,(E29-D29))</f>
        <v>0</v>
      </c>
      <c r="J29" s="5"/>
      <c r="K29" s="5"/>
      <c r="L29" s="5"/>
      <c r="M29" s="5"/>
      <c r="N29" s="5"/>
      <c r="O29" s="5"/>
      <c r="P29" s="5">
        <f>Table1[[#This Row],[Enrolment S.Y. 2025-2026 ]]*8</f>
        <v>2120</v>
      </c>
      <c r="Q29" s="5">
        <v>0</v>
      </c>
      <c r="R29" s="1"/>
      <c r="S29" s="5"/>
      <c r="T29" s="5">
        <f t="shared" si="10"/>
        <v>2120</v>
      </c>
      <c r="U29" s="5">
        <f t="shared" si="11"/>
        <v>0</v>
      </c>
      <c r="V29" s="5">
        <f>Table1[[#This Row],[Enrolment S.Y. 2025-2026 ]]*8</f>
        <v>2120</v>
      </c>
      <c r="W29" s="5">
        <v>0</v>
      </c>
      <c r="X29" s="1"/>
      <c r="Y29" s="5"/>
      <c r="Z29" s="5">
        <f t="shared" si="12"/>
        <v>2120</v>
      </c>
      <c r="AA29" s="5">
        <f t="shared" si="13"/>
        <v>0</v>
      </c>
      <c r="AB29" s="5">
        <f>Table1[[#This Row],[Enrolment S.Y. 2025-2026 ]]*8</f>
        <v>2120</v>
      </c>
      <c r="AC29" s="5">
        <v>0</v>
      </c>
      <c r="AD29" s="1"/>
      <c r="AE29" s="5"/>
      <c r="AF29" s="5">
        <f t="shared" si="14"/>
        <v>2120</v>
      </c>
      <c r="AG29" s="5">
        <f t="shared" si="15"/>
        <v>0</v>
      </c>
    </row>
    <row r="30" spans="1:33" ht="19.5">
      <c r="A30" s="1">
        <v>3</v>
      </c>
      <c r="B30" s="9" t="s">
        <v>17</v>
      </c>
      <c r="C30" s="1">
        <v>265</v>
      </c>
      <c r="D30" s="5">
        <f>Table1[[#This Row],[Enrolment S.Y. 2025-2026 ]]*8</f>
        <v>2120</v>
      </c>
      <c r="E30" s="5">
        <v>0</v>
      </c>
      <c r="F30" s="1"/>
      <c r="G30" s="5"/>
      <c r="H30" s="5">
        <f>IF((D30-E30)&lt;0,0,(D30-E30))</f>
        <v>2120</v>
      </c>
      <c r="I30" s="5">
        <f>IF((E30-D30)&lt;0,0,(E30-D30))</f>
        <v>0</v>
      </c>
      <c r="J30" s="5"/>
      <c r="K30" s="5"/>
      <c r="L30" s="5"/>
      <c r="M30" s="5"/>
      <c r="N30" s="5"/>
      <c r="O30" s="5"/>
      <c r="P30" s="5">
        <f>Table1[[#This Row],[Enrolment S.Y. 2025-2026 ]]*8</f>
        <v>2120</v>
      </c>
      <c r="Q30" s="5">
        <v>0</v>
      </c>
      <c r="R30" s="1"/>
      <c r="S30" s="5"/>
      <c r="T30" s="5">
        <f t="shared" si="10"/>
        <v>2120</v>
      </c>
      <c r="U30" s="5">
        <f t="shared" si="11"/>
        <v>0</v>
      </c>
      <c r="V30" s="5">
        <f>Table1[[#This Row],[Enrolment S.Y. 2025-2026 ]]*8</f>
        <v>2120</v>
      </c>
      <c r="W30" s="5">
        <v>0</v>
      </c>
      <c r="X30" s="1"/>
      <c r="Y30" s="5"/>
      <c r="Z30" s="5">
        <f t="shared" si="12"/>
        <v>2120</v>
      </c>
      <c r="AA30" s="5">
        <f t="shared" si="13"/>
        <v>0</v>
      </c>
      <c r="AB30" s="5">
        <f>Table1[[#This Row],[Enrolment S.Y. 2025-2026 ]]*8</f>
        <v>2120</v>
      </c>
      <c r="AC30" s="5">
        <v>0</v>
      </c>
      <c r="AD30" s="1"/>
      <c r="AE30" s="5"/>
      <c r="AF30" s="5">
        <f t="shared" si="14"/>
        <v>2120</v>
      </c>
      <c r="AG30" s="5">
        <f t="shared" si="15"/>
        <v>0</v>
      </c>
    </row>
    <row r="31" spans="1:33" ht="19.5">
      <c r="A31" s="1">
        <v>3</v>
      </c>
      <c r="B31" s="9" t="s">
        <v>69</v>
      </c>
      <c r="C31" s="1">
        <v>265</v>
      </c>
      <c r="D31" s="5">
        <f>Table1[[#This Row],[Enrolment S.Y. 2025-2026 ]]*8</f>
        <v>2120</v>
      </c>
      <c r="E31" s="5">
        <v>0</v>
      </c>
      <c r="F31" s="1"/>
      <c r="G31" s="5"/>
      <c r="H31" s="5">
        <f>IF((D31-E31)&lt;0,0,(D31-E31))</f>
        <v>2120</v>
      </c>
      <c r="I31" s="5">
        <f>IF((E31-D31)&lt;0,0,(E31-D31))</f>
        <v>0</v>
      </c>
      <c r="J31" s="5"/>
      <c r="K31" s="5"/>
      <c r="L31" s="5"/>
      <c r="M31" s="5"/>
      <c r="N31" s="5"/>
      <c r="O31" s="5"/>
      <c r="P31" s="5">
        <f>Table1[[#This Row],[Enrolment S.Y. 2025-2026 ]]*8</f>
        <v>2120</v>
      </c>
      <c r="Q31" s="5">
        <v>0</v>
      </c>
      <c r="R31" s="1"/>
      <c r="S31" s="5"/>
      <c r="T31" s="5">
        <f t="shared" si="10"/>
        <v>2120</v>
      </c>
      <c r="U31" s="5">
        <f t="shared" si="11"/>
        <v>0</v>
      </c>
      <c r="V31" s="5">
        <f>Table1[[#This Row],[Enrolment S.Y. 2025-2026 ]]*8</f>
        <v>2120</v>
      </c>
      <c r="W31" s="5">
        <v>0</v>
      </c>
      <c r="X31" s="1"/>
      <c r="Y31" s="5"/>
      <c r="Z31" s="5">
        <f t="shared" si="12"/>
        <v>2120</v>
      </c>
      <c r="AA31" s="5">
        <f t="shared" si="13"/>
        <v>0</v>
      </c>
      <c r="AB31" s="5">
        <f>Table1[[#This Row],[Enrolment S.Y. 2025-2026 ]]*8</f>
        <v>2120</v>
      </c>
      <c r="AC31" s="5">
        <v>0</v>
      </c>
      <c r="AD31" s="1"/>
      <c r="AE31" s="5"/>
      <c r="AF31" s="5">
        <f t="shared" si="14"/>
        <v>2120</v>
      </c>
      <c r="AG31" s="5">
        <f t="shared" si="15"/>
        <v>0</v>
      </c>
    </row>
    <row r="32" spans="1:33" s="7" customFormat="1" ht="19.5">
      <c r="P32" s="13"/>
      <c r="S32" s="5"/>
      <c r="T32" s="13"/>
      <c r="U32" s="13"/>
      <c r="V32" s="13"/>
      <c r="Y32" s="5"/>
      <c r="Z32" s="13"/>
      <c r="AA32" s="13"/>
      <c r="AB32" s="13"/>
      <c r="AE32" s="5"/>
      <c r="AF32" s="13"/>
      <c r="AG32" s="13"/>
    </row>
    <row r="33" spans="1:33" ht="19.5">
      <c r="A33" s="1">
        <v>4</v>
      </c>
      <c r="B33" s="9" t="s">
        <v>15</v>
      </c>
      <c r="C33" s="1">
        <v>270</v>
      </c>
      <c r="D33" s="5">
        <f>Table1[[#This Row],[Enrolment S.Y. 2025-2026 ]]*8</f>
        <v>2160</v>
      </c>
      <c r="E33" s="5">
        <v>0</v>
      </c>
      <c r="F33" s="1"/>
      <c r="G33" s="5"/>
      <c r="H33" s="5">
        <f t="shared" si="2"/>
        <v>2160</v>
      </c>
      <c r="I33" s="5">
        <f t="shared" si="3"/>
        <v>0</v>
      </c>
      <c r="J33" s="5"/>
      <c r="K33" s="5"/>
      <c r="L33" s="5"/>
      <c r="M33" s="5"/>
      <c r="N33" s="5"/>
      <c r="O33" s="5"/>
      <c r="P33" s="5">
        <f>Table1[[#This Row],[Enrolment S.Y. 2025-2026 ]]*8</f>
        <v>2160</v>
      </c>
      <c r="Q33" s="5">
        <v>0</v>
      </c>
      <c r="R33" s="1"/>
      <c r="S33" s="5"/>
      <c r="T33" s="5">
        <f t="shared" si="10"/>
        <v>2160</v>
      </c>
      <c r="U33" s="5">
        <f t="shared" si="11"/>
        <v>0</v>
      </c>
      <c r="V33" s="5">
        <f>Table1[[#This Row],[Enrolment S.Y. 2025-2026 ]]*8</f>
        <v>2160</v>
      </c>
      <c r="W33" s="5">
        <v>0</v>
      </c>
      <c r="X33" s="1"/>
      <c r="Y33" s="5"/>
      <c r="Z33" s="5">
        <f t="shared" si="12"/>
        <v>2160</v>
      </c>
      <c r="AA33" s="5">
        <f t="shared" si="13"/>
        <v>0</v>
      </c>
      <c r="AB33" s="5">
        <f>Table1[[#This Row],[Enrolment S.Y. 2025-2026 ]]*8</f>
        <v>2160</v>
      </c>
      <c r="AC33" s="5">
        <v>0</v>
      </c>
      <c r="AD33" s="1"/>
      <c r="AE33" s="5"/>
      <c r="AF33" s="5">
        <f t="shared" si="14"/>
        <v>2160</v>
      </c>
      <c r="AG33" s="5">
        <f t="shared" si="15"/>
        <v>0</v>
      </c>
    </row>
    <row r="34" spans="1:33" ht="19.5">
      <c r="A34" s="1">
        <v>4</v>
      </c>
      <c r="B34" s="9" t="s">
        <v>17</v>
      </c>
      <c r="C34" s="1">
        <v>270</v>
      </c>
      <c r="D34" s="5">
        <f>Table1[[#This Row],[Enrolment S.Y. 2025-2026 ]]*8</f>
        <v>2160</v>
      </c>
      <c r="E34" s="5">
        <v>0</v>
      </c>
      <c r="F34" s="1"/>
      <c r="G34" s="5"/>
      <c r="H34" s="5">
        <f t="shared" si="2"/>
        <v>2160</v>
      </c>
      <c r="I34" s="5">
        <f t="shared" si="3"/>
        <v>0</v>
      </c>
      <c r="J34" s="5"/>
      <c r="K34" s="5"/>
      <c r="L34" s="5"/>
      <c r="M34" s="5"/>
      <c r="N34" s="5"/>
      <c r="O34" s="5"/>
      <c r="P34" s="5">
        <f>Table1[[#This Row],[Enrolment S.Y. 2025-2026 ]]*8</f>
        <v>2160</v>
      </c>
      <c r="Q34" s="5">
        <v>0</v>
      </c>
      <c r="R34" s="1"/>
      <c r="S34" s="5"/>
      <c r="T34" s="5">
        <f t="shared" si="10"/>
        <v>2160</v>
      </c>
      <c r="U34" s="5">
        <f t="shared" si="11"/>
        <v>0</v>
      </c>
      <c r="V34" s="5">
        <f>Table1[[#This Row],[Enrolment S.Y. 2025-2026 ]]*8</f>
        <v>2160</v>
      </c>
      <c r="W34" s="5">
        <v>0</v>
      </c>
      <c r="X34" s="1"/>
      <c r="Y34" s="5"/>
      <c r="Z34" s="5">
        <f t="shared" si="12"/>
        <v>2160</v>
      </c>
      <c r="AA34" s="5">
        <f t="shared" si="13"/>
        <v>0</v>
      </c>
      <c r="AB34" s="5">
        <f>Table1[[#This Row],[Enrolment S.Y. 2025-2026 ]]*8</f>
        <v>2160</v>
      </c>
      <c r="AC34" s="5">
        <v>0</v>
      </c>
      <c r="AD34" s="1"/>
      <c r="AE34" s="5"/>
      <c r="AF34" s="5">
        <f t="shared" si="14"/>
        <v>2160</v>
      </c>
      <c r="AG34" s="5">
        <f t="shared" si="15"/>
        <v>0</v>
      </c>
    </row>
    <row r="35" spans="1:33" ht="19.5">
      <c r="A35" s="1">
        <v>4</v>
      </c>
      <c r="B35" s="9" t="s">
        <v>13</v>
      </c>
      <c r="C35" s="1">
        <v>270</v>
      </c>
      <c r="D35" s="5">
        <f>Table1[[#This Row],[Enrolment S.Y. 2025-2026 ]]*8</f>
        <v>2160</v>
      </c>
      <c r="E35" s="5">
        <v>0</v>
      </c>
      <c r="F35" s="1"/>
      <c r="G35" s="5"/>
      <c r="H35" s="5">
        <f t="shared" si="2"/>
        <v>2160</v>
      </c>
      <c r="I35" s="5">
        <f t="shared" si="3"/>
        <v>0</v>
      </c>
      <c r="J35" s="5"/>
      <c r="K35" s="5"/>
      <c r="L35" s="5"/>
      <c r="M35" s="5"/>
      <c r="N35" s="5"/>
      <c r="O35" s="5"/>
      <c r="P35" s="5">
        <f>Table1[[#This Row],[Enrolment S.Y. 2025-2026 ]]*8</f>
        <v>2160</v>
      </c>
      <c r="Q35" s="5">
        <v>0</v>
      </c>
      <c r="R35" s="1"/>
      <c r="S35" s="5"/>
      <c r="T35" s="5">
        <f t="shared" si="10"/>
        <v>2160</v>
      </c>
      <c r="U35" s="5">
        <f t="shared" si="11"/>
        <v>0</v>
      </c>
      <c r="V35" s="5">
        <f>Table1[[#This Row],[Enrolment S.Y. 2025-2026 ]]*8</f>
        <v>2160</v>
      </c>
      <c r="W35" s="5">
        <v>0</v>
      </c>
      <c r="X35" s="1"/>
      <c r="Y35" s="5"/>
      <c r="Z35" s="5">
        <f t="shared" si="12"/>
        <v>2160</v>
      </c>
      <c r="AA35" s="5">
        <f t="shared" si="13"/>
        <v>0</v>
      </c>
      <c r="AB35" s="5">
        <f>Table1[[#This Row],[Enrolment S.Y. 2025-2026 ]]*8</f>
        <v>2160</v>
      </c>
      <c r="AC35" s="5">
        <v>0</v>
      </c>
      <c r="AD35" s="1"/>
      <c r="AE35" s="5"/>
      <c r="AF35" s="5">
        <f t="shared" si="14"/>
        <v>2160</v>
      </c>
      <c r="AG35" s="5">
        <f t="shared" si="15"/>
        <v>0</v>
      </c>
    </row>
    <row r="36" spans="1:33" ht="19.5">
      <c r="A36" s="1">
        <v>4</v>
      </c>
      <c r="B36" s="9" t="s">
        <v>11</v>
      </c>
      <c r="C36" s="1">
        <v>270</v>
      </c>
      <c r="D36" s="5">
        <f>Table1[[#This Row],[Enrolment S.Y. 2025-2026 ]]*8</f>
        <v>2160</v>
      </c>
      <c r="E36" s="5">
        <v>0</v>
      </c>
      <c r="F36" s="1"/>
      <c r="G36" s="5"/>
      <c r="H36" s="5">
        <f t="shared" si="2"/>
        <v>2160</v>
      </c>
      <c r="I36" s="5">
        <f t="shared" si="3"/>
        <v>0</v>
      </c>
      <c r="J36" s="5"/>
      <c r="K36" s="5"/>
      <c r="L36" s="5"/>
      <c r="M36" s="5"/>
      <c r="N36" s="5"/>
      <c r="O36" s="5"/>
      <c r="P36" s="5">
        <f>Table1[[#This Row],[Enrolment S.Y. 2025-2026 ]]*8</f>
        <v>2160</v>
      </c>
      <c r="Q36" s="5">
        <v>0</v>
      </c>
      <c r="R36" s="1"/>
      <c r="S36" s="5"/>
      <c r="T36" s="5">
        <f t="shared" si="10"/>
        <v>2160</v>
      </c>
      <c r="U36" s="5">
        <f t="shared" si="11"/>
        <v>0</v>
      </c>
      <c r="V36" s="5">
        <f>Table1[[#This Row],[Enrolment S.Y. 2025-2026 ]]*8</f>
        <v>2160</v>
      </c>
      <c r="W36" s="5">
        <v>0</v>
      </c>
      <c r="X36" s="1"/>
      <c r="Y36" s="5"/>
      <c r="Z36" s="5">
        <f t="shared" si="12"/>
        <v>2160</v>
      </c>
      <c r="AA36" s="5">
        <f t="shared" si="13"/>
        <v>0</v>
      </c>
      <c r="AB36" s="5">
        <f>Table1[[#This Row],[Enrolment S.Y. 2025-2026 ]]*8</f>
        <v>2160</v>
      </c>
      <c r="AC36" s="5">
        <v>0</v>
      </c>
      <c r="AD36" s="1"/>
      <c r="AE36" s="5"/>
      <c r="AF36" s="5">
        <f t="shared" si="14"/>
        <v>2160</v>
      </c>
      <c r="AG36" s="5">
        <f t="shared" si="15"/>
        <v>0</v>
      </c>
    </row>
    <row r="37" spans="1:33" ht="38.25">
      <c r="A37" s="1">
        <v>4</v>
      </c>
      <c r="B37" s="9" t="s">
        <v>18</v>
      </c>
      <c r="C37" s="1">
        <v>270</v>
      </c>
      <c r="D37" s="5">
        <f>Table1[[#This Row],[Enrolment S.Y. 2025-2026 ]]*8</f>
        <v>2160</v>
      </c>
      <c r="E37" s="5">
        <v>0</v>
      </c>
      <c r="F37" s="1"/>
      <c r="G37" s="5"/>
      <c r="H37" s="5">
        <f t="shared" si="2"/>
        <v>2160</v>
      </c>
      <c r="I37" s="5">
        <f t="shared" si="3"/>
        <v>0</v>
      </c>
      <c r="J37" s="5"/>
      <c r="K37" s="5"/>
      <c r="L37" s="5"/>
      <c r="M37" s="5"/>
      <c r="N37" s="5"/>
      <c r="O37" s="5"/>
      <c r="P37" s="5">
        <f>Table1[[#This Row],[Enrolment S.Y. 2025-2026 ]]*8</f>
        <v>2160</v>
      </c>
      <c r="Q37" s="5">
        <v>0</v>
      </c>
      <c r="R37" s="1"/>
      <c r="S37" s="5"/>
      <c r="T37" s="5">
        <f t="shared" si="10"/>
        <v>2160</v>
      </c>
      <c r="U37" s="5">
        <f t="shared" si="11"/>
        <v>0</v>
      </c>
      <c r="V37" s="5">
        <f>Table1[[#This Row],[Enrolment S.Y. 2025-2026 ]]*8</f>
        <v>2160</v>
      </c>
      <c r="W37" s="5">
        <v>0</v>
      </c>
      <c r="X37" s="1"/>
      <c r="Y37" s="5"/>
      <c r="Z37" s="5">
        <f t="shared" si="12"/>
        <v>2160</v>
      </c>
      <c r="AA37" s="5">
        <f t="shared" si="13"/>
        <v>0</v>
      </c>
      <c r="AB37" s="5">
        <f>Table1[[#This Row],[Enrolment S.Y. 2025-2026 ]]*8</f>
        <v>2160</v>
      </c>
      <c r="AC37" s="5">
        <v>0</v>
      </c>
      <c r="AD37" s="1"/>
      <c r="AE37" s="5"/>
      <c r="AF37" s="5">
        <f t="shared" si="14"/>
        <v>2160</v>
      </c>
      <c r="AG37" s="5">
        <f t="shared" si="15"/>
        <v>0</v>
      </c>
    </row>
    <row r="38" spans="1:33" ht="19.5">
      <c r="A38" s="1">
        <v>4</v>
      </c>
      <c r="B38" s="9" t="s">
        <v>14</v>
      </c>
      <c r="C38" s="1">
        <v>270</v>
      </c>
      <c r="D38" s="5">
        <f>Table1[[#This Row],[Enrolment S.Y. 2025-2026 ]]*8</f>
        <v>2160</v>
      </c>
      <c r="E38" s="5">
        <v>0</v>
      </c>
      <c r="F38" s="1"/>
      <c r="G38" s="5"/>
      <c r="H38" s="5">
        <f t="shared" si="2"/>
        <v>2160</v>
      </c>
      <c r="I38" s="5">
        <f t="shared" si="3"/>
        <v>0</v>
      </c>
      <c r="J38" s="5"/>
      <c r="K38" s="5"/>
      <c r="L38" s="5"/>
      <c r="M38" s="5"/>
      <c r="N38" s="5"/>
      <c r="O38" s="5"/>
      <c r="P38" s="5">
        <f>Table1[[#This Row],[Enrolment S.Y. 2025-2026 ]]*8</f>
        <v>2160</v>
      </c>
      <c r="Q38" s="5">
        <v>0</v>
      </c>
      <c r="R38" s="1"/>
      <c r="S38" s="5"/>
      <c r="T38" s="5">
        <f t="shared" si="10"/>
        <v>2160</v>
      </c>
      <c r="U38" s="5">
        <f t="shared" si="11"/>
        <v>0</v>
      </c>
      <c r="V38" s="5">
        <f>Table1[[#This Row],[Enrolment S.Y. 2025-2026 ]]*8</f>
        <v>2160</v>
      </c>
      <c r="W38" s="5">
        <v>0</v>
      </c>
      <c r="X38" s="1"/>
      <c r="Y38" s="5"/>
      <c r="Z38" s="5">
        <f t="shared" si="12"/>
        <v>2160</v>
      </c>
      <c r="AA38" s="5">
        <f t="shared" si="13"/>
        <v>0</v>
      </c>
      <c r="AB38" s="5">
        <f>Table1[[#This Row],[Enrolment S.Y. 2025-2026 ]]*8</f>
        <v>2160</v>
      </c>
      <c r="AC38" s="5">
        <v>0</v>
      </c>
      <c r="AD38" s="1"/>
      <c r="AE38" s="5"/>
      <c r="AF38" s="5">
        <f t="shared" si="14"/>
        <v>2160</v>
      </c>
      <c r="AG38" s="5">
        <f t="shared" si="15"/>
        <v>0</v>
      </c>
    </row>
    <row r="39" spans="1:33" ht="19.5">
      <c r="A39" s="1">
        <v>4</v>
      </c>
      <c r="B39" s="9" t="s">
        <v>19</v>
      </c>
      <c r="C39" s="1">
        <v>270</v>
      </c>
      <c r="D39" s="5">
        <f>Table1[[#This Row],[Enrolment S.Y. 2025-2026 ]]*8</f>
        <v>2160</v>
      </c>
      <c r="E39" s="5">
        <v>0</v>
      </c>
      <c r="F39" s="1"/>
      <c r="G39" s="5"/>
      <c r="H39" s="5">
        <f t="shared" si="2"/>
        <v>2160</v>
      </c>
      <c r="I39" s="5">
        <f t="shared" si="3"/>
        <v>0</v>
      </c>
      <c r="J39" s="5"/>
      <c r="K39" s="5"/>
      <c r="L39" s="5"/>
      <c r="M39" s="5"/>
      <c r="N39" s="5"/>
      <c r="O39" s="5"/>
      <c r="P39" s="5">
        <f>Table1[[#This Row],[Enrolment S.Y. 2025-2026 ]]*8</f>
        <v>2160</v>
      </c>
      <c r="Q39" s="5">
        <v>0</v>
      </c>
      <c r="R39" s="1"/>
      <c r="S39" s="5"/>
      <c r="T39" s="5">
        <f t="shared" si="10"/>
        <v>2160</v>
      </c>
      <c r="U39" s="5">
        <f t="shared" si="11"/>
        <v>0</v>
      </c>
      <c r="V39" s="5">
        <f>Table1[[#This Row],[Enrolment S.Y. 2025-2026 ]]*8</f>
        <v>2160</v>
      </c>
      <c r="W39" s="5">
        <v>0</v>
      </c>
      <c r="X39" s="1"/>
      <c r="Y39" s="5"/>
      <c r="Z39" s="5">
        <f t="shared" si="12"/>
        <v>2160</v>
      </c>
      <c r="AA39" s="5">
        <f t="shared" si="13"/>
        <v>0</v>
      </c>
      <c r="AB39" s="5">
        <f>Table1[[#This Row],[Enrolment S.Y. 2025-2026 ]]*8</f>
        <v>2160</v>
      </c>
      <c r="AC39" s="5">
        <v>0</v>
      </c>
      <c r="AD39" s="1"/>
      <c r="AE39" s="5"/>
      <c r="AF39" s="5">
        <f t="shared" si="14"/>
        <v>2160</v>
      </c>
      <c r="AG39" s="5">
        <f t="shared" si="15"/>
        <v>0</v>
      </c>
    </row>
    <row r="40" spans="1:33" ht="19.5">
      <c r="A40" s="1">
        <v>4</v>
      </c>
      <c r="B40" s="9" t="s">
        <v>20</v>
      </c>
      <c r="C40" s="1">
        <v>270</v>
      </c>
      <c r="D40" s="5">
        <f>Table1[[#This Row],[Enrolment S.Y. 2025-2026 ]]*8</f>
        <v>2160</v>
      </c>
      <c r="E40" s="5">
        <v>0</v>
      </c>
      <c r="F40" s="1"/>
      <c r="G40" s="5"/>
      <c r="H40" s="5">
        <f t="shared" si="2"/>
        <v>2160</v>
      </c>
      <c r="I40" s="5">
        <f t="shared" si="3"/>
        <v>0</v>
      </c>
      <c r="J40" s="5"/>
      <c r="K40" s="5"/>
      <c r="L40" s="5"/>
      <c r="M40" s="5"/>
      <c r="N40" s="5"/>
      <c r="O40" s="5"/>
      <c r="P40" s="5">
        <f>Table1[[#This Row],[Enrolment S.Y. 2025-2026 ]]*8</f>
        <v>2160</v>
      </c>
      <c r="Q40" s="5">
        <v>0</v>
      </c>
      <c r="R40" s="1"/>
      <c r="S40" s="5"/>
      <c r="T40" s="5">
        <f t="shared" si="10"/>
        <v>2160</v>
      </c>
      <c r="U40" s="5">
        <f t="shared" si="11"/>
        <v>0</v>
      </c>
      <c r="V40" s="5">
        <f>Table1[[#This Row],[Enrolment S.Y. 2025-2026 ]]*8</f>
        <v>2160</v>
      </c>
      <c r="W40" s="5">
        <v>0</v>
      </c>
      <c r="X40" s="1"/>
      <c r="Y40" s="5"/>
      <c r="Z40" s="5">
        <f t="shared" si="12"/>
        <v>2160</v>
      </c>
      <c r="AA40" s="5">
        <f t="shared" si="13"/>
        <v>0</v>
      </c>
      <c r="AB40" s="5">
        <f>Table1[[#This Row],[Enrolment S.Y. 2025-2026 ]]*8</f>
        <v>2160</v>
      </c>
      <c r="AC40" s="5">
        <v>0</v>
      </c>
      <c r="AD40" s="1"/>
      <c r="AE40" s="5"/>
      <c r="AF40" s="5">
        <f t="shared" si="14"/>
        <v>2160</v>
      </c>
      <c r="AG40" s="5">
        <f t="shared" si="15"/>
        <v>0</v>
      </c>
    </row>
    <row r="41" spans="1:33" ht="19.5">
      <c r="A41" s="1">
        <v>4</v>
      </c>
      <c r="B41" s="9" t="s">
        <v>21</v>
      </c>
      <c r="C41" s="1">
        <v>270</v>
      </c>
      <c r="D41" s="5">
        <f>Table1[[#This Row],[Enrolment S.Y. 2025-2026 ]]*8</f>
        <v>2160</v>
      </c>
      <c r="E41" s="5">
        <v>0</v>
      </c>
      <c r="F41" s="1"/>
      <c r="G41" s="5"/>
      <c r="H41" s="5">
        <f t="shared" si="2"/>
        <v>2160</v>
      </c>
      <c r="I41" s="5">
        <f t="shared" si="3"/>
        <v>0</v>
      </c>
      <c r="J41" s="5"/>
      <c r="K41" s="5"/>
      <c r="L41" s="5"/>
      <c r="M41" s="5"/>
      <c r="N41" s="5"/>
      <c r="O41" s="5"/>
      <c r="P41" s="5">
        <f>Table1[[#This Row],[Enrolment S.Y. 2025-2026 ]]*8</f>
        <v>2160</v>
      </c>
      <c r="Q41" s="5">
        <v>0</v>
      </c>
      <c r="R41" s="1"/>
      <c r="S41" s="5"/>
      <c r="T41" s="5">
        <f t="shared" si="10"/>
        <v>2160</v>
      </c>
      <c r="U41" s="5">
        <f t="shared" si="11"/>
        <v>0</v>
      </c>
      <c r="V41" s="5">
        <f>Table1[[#This Row],[Enrolment S.Y. 2025-2026 ]]*8</f>
        <v>2160</v>
      </c>
      <c r="W41" s="5">
        <v>0</v>
      </c>
      <c r="X41" s="1"/>
      <c r="Y41" s="5"/>
      <c r="Z41" s="5">
        <f t="shared" si="12"/>
        <v>2160</v>
      </c>
      <c r="AA41" s="5">
        <f t="shared" si="13"/>
        <v>0</v>
      </c>
      <c r="AB41" s="5">
        <f>Table1[[#This Row],[Enrolment S.Y. 2025-2026 ]]*8</f>
        <v>2160</v>
      </c>
      <c r="AC41" s="5">
        <v>0</v>
      </c>
      <c r="AD41" s="1"/>
      <c r="AE41" s="5"/>
      <c r="AF41" s="5">
        <f t="shared" si="14"/>
        <v>2160</v>
      </c>
      <c r="AG41" s="5">
        <f t="shared" si="15"/>
        <v>0</v>
      </c>
    </row>
    <row r="42" spans="1:33" s="7" customFormat="1" ht="19.5">
      <c r="P42" s="13"/>
      <c r="S42" s="13"/>
      <c r="T42" s="13"/>
      <c r="U42" s="13"/>
      <c r="V42" s="13"/>
      <c r="Y42" s="5"/>
      <c r="Z42" s="13"/>
      <c r="AA42" s="13"/>
      <c r="AB42" s="13"/>
      <c r="AE42" s="5"/>
      <c r="AF42" s="13"/>
      <c r="AG42" s="13"/>
    </row>
    <row r="43" spans="1:33" ht="19.5">
      <c r="A43" s="1">
        <v>5</v>
      </c>
      <c r="B43" s="9" t="s">
        <v>15</v>
      </c>
      <c r="C43" s="1">
        <v>204</v>
      </c>
      <c r="D43" s="5">
        <f>Table1[[#This Row],[Enrolment S.Y. 2025-2026 ]]*8</f>
        <v>1632</v>
      </c>
      <c r="E43" s="5">
        <v>0</v>
      </c>
      <c r="F43" s="1"/>
      <c r="G43" s="5"/>
      <c r="H43" s="5">
        <f t="shared" si="2"/>
        <v>1632</v>
      </c>
      <c r="I43" s="5">
        <f t="shared" si="3"/>
        <v>0</v>
      </c>
      <c r="J43" s="5"/>
      <c r="K43" s="5"/>
      <c r="L43" s="5"/>
      <c r="M43" s="5"/>
      <c r="N43" s="5"/>
      <c r="O43" s="5"/>
      <c r="P43" s="5">
        <f>Table1[[#This Row],[Enrolment S.Y. 2025-2026 ]]*8</f>
        <v>1632</v>
      </c>
      <c r="Q43" s="5">
        <v>203</v>
      </c>
      <c r="R43" s="1">
        <v>2025</v>
      </c>
      <c r="S43" s="5" t="s">
        <v>16</v>
      </c>
      <c r="T43" s="5">
        <f t="shared" si="10"/>
        <v>1429</v>
      </c>
      <c r="U43" s="5">
        <f t="shared" si="11"/>
        <v>0</v>
      </c>
      <c r="V43" s="5">
        <f>Table1[[#This Row],[Enrolment S.Y. 2025-2026 ]]*8</f>
        <v>1632</v>
      </c>
      <c r="W43" s="5">
        <v>0</v>
      </c>
      <c r="X43" s="1"/>
      <c r="Y43" s="5"/>
      <c r="Z43" s="5">
        <f t="shared" si="12"/>
        <v>1632</v>
      </c>
      <c r="AA43" s="5">
        <f t="shared" si="13"/>
        <v>0</v>
      </c>
      <c r="AB43" s="5">
        <f>Table1[[#This Row],[Enrolment S.Y. 2025-2026 ]]*8</f>
        <v>1632</v>
      </c>
      <c r="AC43" s="5">
        <v>0</v>
      </c>
      <c r="AD43" s="1"/>
      <c r="AE43" s="5"/>
      <c r="AF43" s="5">
        <f t="shared" si="14"/>
        <v>1632</v>
      </c>
      <c r="AG43" s="5">
        <f t="shared" si="15"/>
        <v>0</v>
      </c>
    </row>
    <row r="44" spans="1:33" ht="19.5">
      <c r="A44" s="1">
        <v>5</v>
      </c>
      <c r="B44" s="9" t="s">
        <v>17</v>
      </c>
      <c r="C44" s="1">
        <v>204</v>
      </c>
      <c r="D44" s="5">
        <f>Table1[[#This Row],[Enrolment S.Y. 2025-2026 ]]*8</f>
        <v>1632</v>
      </c>
      <c r="E44" s="5">
        <v>0</v>
      </c>
      <c r="F44" s="1"/>
      <c r="G44" s="5"/>
      <c r="H44" s="5">
        <f t="shared" si="2"/>
        <v>1632</v>
      </c>
      <c r="I44" s="5">
        <f t="shared" si="3"/>
        <v>0</v>
      </c>
      <c r="J44" s="5"/>
      <c r="K44" s="5"/>
      <c r="L44" s="5"/>
      <c r="M44" s="5"/>
      <c r="N44" s="5"/>
      <c r="O44" s="5"/>
      <c r="P44" s="5">
        <f>Table1[[#This Row],[Enrolment S.Y. 2025-2026 ]]*8</f>
        <v>1632</v>
      </c>
      <c r="Q44" s="5">
        <v>0</v>
      </c>
      <c r="R44" s="1"/>
      <c r="S44" s="5"/>
      <c r="T44" s="5">
        <f t="shared" si="10"/>
        <v>1632</v>
      </c>
      <c r="U44" s="5">
        <f t="shared" si="11"/>
        <v>0</v>
      </c>
      <c r="V44" s="5">
        <f>Table1[[#This Row],[Enrolment S.Y. 2025-2026 ]]*8</f>
        <v>1632</v>
      </c>
      <c r="W44" s="5">
        <v>0</v>
      </c>
      <c r="X44" s="1"/>
      <c r="Y44" s="5"/>
      <c r="Z44" s="5">
        <f t="shared" si="12"/>
        <v>1632</v>
      </c>
      <c r="AA44" s="5">
        <f t="shared" si="13"/>
        <v>0</v>
      </c>
      <c r="AB44" s="5">
        <f>Table1[[#This Row],[Enrolment S.Y. 2025-2026 ]]*8</f>
        <v>1632</v>
      </c>
      <c r="AC44" s="5">
        <v>0</v>
      </c>
      <c r="AD44" s="1"/>
      <c r="AE44" s="5"/>
      <c r="AF44" s="5">
        <f t="shared" si="14"/>
        <v>1632</v>
      </c>
      <c r="AG44" s="5">
        <f t="shared" si="15"/>
        <v>0</v>
      </c>
    </row>
    <row r="45" spans="1:33" ht="19.5">
      <c r="A45" s="1">
        <v>5</v>
      </c>
      <c r="B45" s="9" t="s">
        <v>13</v>
      </c>
      <c r="C45" s="1">
        <v>204</v>
      </c>
      <c r="D45" s="5">
        <f>Table1[[#This Row],[Enrolment S.Y. 2025-2026 ]]*8</f>
        <v>1632</v>
      </c>
      <c r="E45" s="5">
        <v>0</v>
      </c>
      <c r="F45" s="1"/>
      <c r="G45" s="5"/>
      <c r="H45" s="5">
        <f t="shared" si="2"/>
        <v>1632</v>
      </c>
      <c r="I45" s="5">
        <f t="shared" si="3"/>
        <v>0</v>
      </c>
      <c r="J45" s="5"/>
      <c r="K45" s="5"/>
      <c r="L45" s="5"/>
      <c r="M45" s="5"/>
      <c r="N45" s="5"/>
      <c r="O45" s="5"/>
      <c r="P45" s="5">
        <f>Table1[[#This Row],[Enrolment S.Y. 2025-2026 ]]*8</f>
        <v>1632</v>
      </c>
      <c r="Q45" s="5">
        <v>0</v>
      </c>
      <c r="R45" s="1"/>
      <c r="S45" s="5"/>
      <c r="T45" s="5">
        <f t="shared" si="10"/>
        <v>1632</v>
      </c>
      <c r="U45" s="5">
        <f t="shared" si="11"/>
        <v>0</v>
      </c>
      <c r="V45" s="5">
        <f>Table1[[#This Row],[Enrolment S.Y. 2025-2026 ]]*8</f>
        <v>1632</v>
      </c>
      <c r="W45" s="5">
        <v>0</v>
      </c>
      <c r="X45" s="1"/>
      <c r="Y45" s="5"/>
      <c r="Z45" s="5">
        <f t="shared" si="12"/>
        <v>1632</v>
      </c>
      <c r="AA45" s="5">
        <f t="shared" si="13"/>
        <v>0</v>
      </c>
      <c r="AB45" s="5">
        <f>Table1[[#This Row],[Enrolment S.Y. 2025-2026 ]]*8</f>
        <v>1632</v>
      </c>
      <c r="AC45" s="5">
        <v>0</v>
      </c>
      <c r="AD45" s="1"/>
      <c r="AE45" s="5"/>
      <c r="AF45" s="5">
        <f t="shared" si="14"/>
        <v>1632</v>
      </c>
      <c r="AG45" s="5">
        <f t="shared" si="15"/>
        <v>0</v>
      </c>
    </row>
    <row r="46" spans="1:33" ht="19.5">
      <c r="A46" s="1">
        <v>5</v>
      </c>
      <c r="B46" s="9" t="s">
        <v>11</v>
      </c>
      <c r="C46" s="1">
        <v>204</v>
      </c>
      <c r="D46" s="5">
        <f>Table1[[#This Row],[Enrolment S.Y. 2025-2026 ]]*8</f>
        <v>1632</v>
      </c>
      <c r="E46" s="5">
        <v>0</v>
      </c>
      <c r="F46" s="1"/>
      <c r="G46" s="5"/>
      <c r="H46" s="5">
        <f t="shared" si="2"/>
        <v>1632</v>
      </c>
      <c r="I46" s="5">
        <f t="shared" si="3"/>
        <v>0</v>
      </c>
      <c r="J46" s="5"/>
      <c r="K46" s="5"/>
      <c r="L46" s="5"/>
      <c r="M46" s="5"/>
      <c r="N46" s="5"/>
      <c r="O46" s="5"/>
      <c r="P46" s="5">
        <f>Table1[[#This Row],[Enrolment S.Y. 2025-2026 ]]*8</f>
        <v>1632</v>
      </c>
      <c r="Q46" s="5">
        <v>0</v>
      </c>
      <c r="R46" s="1"/>
      <c r="S46" s="5"/>
      <c r="T46" s="5">
        <f t="shared" si="10"/>
        <v>1632</v>
      </c>
      <c r="U46" s="5">
        <f t="shared" si="11"/>
        <v>0</v>
      </c>
      <c r="V46" s="5">
        <f>Table1[[#This Row],[Enrolment S.Y. 2025-2026 ]]*8</f>
        <v>1632</v>
      </c>
      <c r="W46" s="5">
        <v>0</v>
      </c>
      <c r="X46" s="1"/>
      <c r="Y46" s="5"/>
      <c r="Z46" s="5">
        <f t="shared" si="12"/>
        <v>1632</v>
      </c>
      <c r="AA46" s="5">
        <f t="shared" si="13"/>
        <v>0</v>
      </c>
      <c r="AB46" s="5">
        <f>Table1[[#This Row],[Enrolment S.Y. 2025-2026 ]]*8</f>
        <v>1632</v>
      </c>
      <c r="AC46" s="5">
        <v>0</v>
      </c>
      <c r="AD46" s="1"/>
      <c r="AE46" s="5"/>
      <c r="AF46" s="5">
        <f t="shared" si="14"/>
        <v>1632</v>
      </c>
      <c r="AG46" s="5">
        <f t="shared" si="15"/>
        <v>0</v>
      </c>
    </row>
    <row r="47" spans="1:33" ht="38.25">
      <c r="A47" s="1">
        <v>5</v>
      </c>
      <c r="B47" s="9" t="s">
        <v>18</v>
      </c>
      <c r="C47" s="1">
        <v>204</v>
      </c>
      <c r="D47" s="5">
        <f>Table1[[#This Row],[Enrolment S.Y. 2025-2026 ]]*8</f>
        <v>1632</v>
      </c>
      <c r="E47" s="5">
        <v>0</v>
      </c>
      <c r="F47" s="1"/>
      <c r="G47" s="5"/>
      <c r="H47" s="5">
        <f t="shared" si="2"/>
        <v>1632</v>
      </c>
      <c r="I47" s="5">
        <f t="shared" si="3"/>
        <v>0</v>
      </c>
      <c r="J47" s="5"/>
      <c r="K47" s="5"/>
      <c r="L47" s="5"/>
      <c r="M47" s="5"/>
      <c r="N47" s="5"/>
      <c r="O47" s="5"/>
      <c r="P47" s="5">
        <f>Table1[[#This Row],[Enrolment S.Y. 2025-2026 ]]*8</f>
        <v>1632</v>
      </c>
      <c r="Q47" s="5">
        <v>0</v>
      </c>
      <c r="R47" s="1"/>
      <c r="S47" s="5"/>
      <c r="T47" s="5">
        <f t="shared" si="10"/>
        <v>1632</v>
      </c>
      <c r="U47" s="5">
        <f t="shared" si="11"/>
        <v>0</v>
      </c>
      <c r="V47" s="5">
        <f>Table1[[#This Row],[Enrolment S.Y. 2025-2026 ]]*8</f>
        <v>1632</v>
      </c>
      <c r="W47" s="5">
        <v>0</v>
      </c>
      <c r="X47" s="1"/>
      <c r="Y47" s="5"/>
      <c r="Z47" s="5">
        <f t="shared" si="12"/>
        <v>1632</v>
      </c>
      <c r="AA47" s="5">
        <f t="shared" si="13"/>
        <v>0</v>
      </c>
      <c r="AB47" s="5">
        <f>Table1[[#This Row],[Enrolment S.Y. 2025-2026 ]]*8</f>
        <v>1632</v>
      </c>
      <c r="AC47" s="5">
        <v>0</v>
      </c>
      <c r="AD47" s="1"/>
      <c r="AE47" s="5"/>
      <c r="AF47" s="5">
        <f t="shared" si="14"/>
        <v>1632</v>
      </c>
      <c r="AG47" s="5">
        <f t="shared" si="15"/>
        <v>0</v>
      </c>
    </row>
    <row r="48" spans="1:33" ht="19.5">
      <c r="A48" s="1">
        <v>5</v>
      </c>
      <c r="B48" s="9" t="s">
        <v>14</v>
      </c>
      <c r="C48" s="1">
        <v>204</v>
      </c>
      <c r="D48" s="5">
        <f>Table1[[#This Row],[Enrolment S.Y. 2025-2026 ]]*8</f>
        <v>1632</v>
      </c>
      <c r="E48" s="5">
        <v>0</v>
      </c>
      <c r="F48" s="1"/>
      <c r="G48" s="5"/>
      <c r="H48" s="5">
        <f t="shared" si="2"/>
        <v>1632</v>
      </c>
      <c r="I48" s="5">
        <f t="shared" si="3"/>
        <v>0</v>
      </c>
      <c r="J48" s="5"/>
      <c r="K48" s="5"/>
      <c r="L48" s="5"/>
      <c r="M48" s="5"/>
      <c r="N48" s="5"/>
      <c r="O48" s="5"/>
      <c r="P48" s="5">
        <f>Table1[[#This Row],[Enrolment S.Y. 2025-2026 ]]*8</f>
        <v>1632</v>
      </c>
      <c r="Q48" s="5">
        <v>0</v>
      </c>
      <c r="R48" s="1"/>
      <c r="S48" s="5"/>
      <c r="T48" s="5">
        <f t="shared" si="10"/>
        <v>1632</v>
      </c>
      <c r="U48" s="5">
        <f t="shared" si="11"/>
        <v>0</v>
      </c>
      <c r="V48" s="5">
        <f>Table1[[#This Row],[Enrolment S.Y. 2025-2026 ]]*8</f>
        <v>1632</v>
      </c>
      <c r="W48" s="5">
        <v>0</v>
      </c>
      <c r="X48" s="1"/>
      <c r="Y48" s="5"/>
      <c r="Z48" s="5">
        <f t="shared" si="12"/>
        <v>1632</v>
      </c>
      <c r="AA48" s="5">
        <f t="shared" si="13"/>
        <v>0</v>
      </c>
      <c r="AB48" s="5">
        <f>Table1[[#This Row],[Enrolment S.Y. 2025-2026 ]]*8</f>
        <v>1632</v>
      </c>
      <c r="AC48" s="5">
        <v>0</v>
      </c>
      <c r="AD48" s="1"/>
      <c r="AE48" s="5"/>
      <c r="AF48" s="5">
        <f t="shared" si="14"/>
        <v>1632</v>
      </c>
      <c r="AG48" s="5">
        <f t="shared" si="15"/>
        <v>0</v>
      </c>
    </row>
    <row r="49" spans="1:33" ht="19.5">
      <c r="A49" s="1">
        <v>5</v>
      </c>
      <c r="B49" s="9" t="s">
        <v>19</v>
      </c>
      <c r="C49" s="1">
        <v>204</v>
      </c>
      <c r="D49" s="5">
        <f>Table1[[#This Row],[Enrolment S.Y. 2025-2026 ]]*8</f>
        <v>1632</v>
      </c>
      <c r="E49" s="5">
        <v>0</v>
      </c>
      <c r="F49" s="1"/>
      <c r="G49" s="5"/>
      <c r="H49" s="5">
        <f t="shared" si="2"/>
        <v>1632</v>
      </c>
      <c r="I49" s="5">
        <f t="shared" si="3"/>
        <v>0</v>
      </c>
      <c r="J49" s="5"/>
      <c r="K49" s="5"/>
      <c r="L49" s="5"/>
      <c r="M49" s="5"/>
      <c r="N49" s="5"/>
      <c r="O49" s="5"/>
      <c r="P49" s="5">
        <f>Table1[[#This Row],[Enrolment S.Y. 2025-2026 ]]*8</f>
        <v>1632</v>
      </c>
      <c r="Q49" s="5">
        <v>0</v>
      </c>
      <c r="R49" s="1"/>
      <c r="S49" s="5"/>
      <c r="T49" s="5">
        <f t="shared" si="10"/>
        <v>1632</v>
      </c>
      <c r="U49" s="5">
        <f t="shared" si="11"/>
        <v>0</v>
      </c>
      <c r="V49" s="5">
        <f>Table1[[#This Row],[Enrolment S.Y. 2025-2026 ]]*8</f>
        <v>1632</v>
      </c>
      <c r="W49" s="5">
        <v>0</v>
      </c>
      <c r="X49" s="1"/>
      <c r="Y49" s="5"/>
      <c r="Z49" s="5">
        <f t="shared" si="12"/>
        <v>1632</v>
      </c>
      <c r="AA49" s="5">
        <f t="shared" si="13"/>
        <v>0</v>
      </c>
      <c r="AB49" s="5">
        <f>Table1[[#This Row],[Enrolment S.Y. 2025-2026 ]]*8</f>
        <v>1632</v>
      </c>
      <c r="AC49" s="5">
        <v>0</v>
      </c>
      <c r="AD49" s="1"/>
      <c r="AE49" s="5"/>
      <c r="AF49" s="5">
        <f t="shared" si="14"/>
        <v>1632</v>
      </c>
      <c r="AG49" s="5">
        <f t="shared" si="15"/>
        <v>0</v>
      </c>
    </row>
    <row r="50" spans="1:33" ht="19.5">
      <c r="A50" s="1">
        <v>5</v>
      </c>
      <c r="B50" s="9" t="s">
        <v>20</v>
      </c>
      <c r="C50" s="1">
        <v>204</v>
      </c>
      <c r="D50" s="5">
        <f>Table1[[#This Row],[Enrolment S.Y. 2025-2026 ]]*8</f>
        <v>1632</v>
      </c>
      <c r="E50" s="5">
        <v>0</v>
      </c>
      <c r="F50" s="1"/>
      <c r="G50" s="5"/>
      <c r="H50" s="5">
        <f t="shared" si="2"/>
        <v>1632</v>
      </c>
      <c r="I50" s="5">
        <f t="shared" si="3"/>
        <v>0</v>
      </c>
      <c r="J50" s="5"/>
      <c r="K50" s="5"/>
      <c r="L50" s="5"/>
      <c r="M50" s="5"/>
      <c r="N50" s="5"/>
      <c r="O50" s="5"/>
      <c r="P50" s="5">
        <f>Table1[[#This Row],[Enrolment S.Y. 2025-2026 ]]*8</f>
        <v>1632</v>
      </c>
      <c r="Q50" s="5">
        <v>0</v>
      </c>
      <c r="R50" s="1"/>
      <c r="S50" s="5"/>
      <c r="T50" s="5">
        <f t="shared" si="10"/>
        <v>1632</v>
      </c>
      <c r="U50" s="5">
        <f t="shared" si="11"/>
        <v>0</v>
      </c>
      <c r="V50" s="5">
        <f>Table1[[#This Row],[Enrolment S.Y. 2025-2026 ]]*8</f>
        <v>1632</v>
      </c>
      <c r="W50" s="5">
        <v>0</v>
      </c>
      <c r="X50" s="1"/>
      <c r="Y50" s="5"/>
      <c r="Z50" s="5">
        <f t="shared" si="12"/>
        <v>1632</v>
      </c>
      <c r="AA50" s="5">
        <f t="shared" si="13"/>
        <v>0</v>
      </c>
      <c r="AB50" s="5">
        <f>Table1[[#This Row],[Enrolment S.Y. 2025-2026 ]]*8</f>
        <v>1632</v>
      </c>
      <c r="AC50" s="5">
        <v>0</v>
      </c>
      <c r="AD50" s="1"/>
      <c r="AE50" s="5"/>
      <c r="AF50" s="5">
        <f t="shared" si="14"/>
        <v>1632</v>
      </c>
      <c r="AG50" s="5">
        <f t="shared" si="15"/>
        <v>0</v>
      </c>
    </row>
    <row r="51" spans="1:33" ht="19.5">
      <c r="A51" s="1">
        <v>5</v>
      </c>
      <c r="B51" s="9" t="s">
        <v>21</v>
      </c>
      <c r="C51" s="1">
        <v>204</v>
      </c>
      <c r="D51" s="5">
        <f>Table1[[#This Row],[Enrolment S.Y. 2025-2026 ]]*8</f>
        <v>1632</v>
      </c>
      <c r="E51" s="5">
        <v>0</v>
      </c>
      <c r="F51" s="1"/>
      <c r="G51" s="5"/>
      <c r="H51" s="5">
        <f t="shared" si="2"/>
        <v>1632</v>
      </c>
      <c r="I51" s="5">
        <f t="shared" si="3"/>
        <v>0</v>
      </c>
      <c r="J51" s="5"/>
      <c r="K51" s="5"/>
      <c r="L51" s="5"/>
      <c r="M51" s="5"/>
      <c r="N51" s="5"/>
      <c r="O51" s="5"/>
      <c r="P51" s="5">
        <f>Table1[[#This Row],[Enrolment S.Y. 2025-2026 ]]*8</f>
        <v>1632</v>
      </c>
      <c r="Q51" s="5">
        <v>0</v>
      </c>
      <c r="R51" s="1"/>
      <c r="S51" s="5"/>
      <c r="T51" s="5">
        <f t="shared" si="10"/>
        <v>1632</v>
      </c>
      <c r="U51" s="5">
        <f t="shared" si="11"/>
        <v>0</v>
      </c>
      <c r="V51" s="5">
        <f>Table1[[#This Row],[Enrolment S.Y. 2025-2026 ]]*8</f>
        <v>1632</v>
      </c>
      <c r="W51" s="5">
        <v>0</v>
      </c>
      <c r="X51" s="1"/>
      <c r="Y51" s="5"/>
      <c r="Z51" s="5">
        <f t="shared" si="12"/>
        <v>1632</v>
      </c>
      <c r="AA51" s="5">
        <f t="shared" si="13"/>
        <v>0</v>
      </c>
      <c r="AB51" s="5">
        <f>Table1[[#This Row],[Enrolment S.Y. 2025-2026 ]]*8</f>
        <v>1632</v>
      </c>
      <c r="AC51" s="5">
        <v>0</v>
      </c>
      <c r="AD51" s="1"/>
      <c r="AE51" s="5"/>
      <c r="AF51" s="5">
        <f t="shared" si="14"/>
        <v>1632</v>
      </c>
      <c r="AG51" s="5">
        <f t="shared" si="15"/>
        <v>0</v>
      </c>
    </row>
    <row r="52" spans="1:33" s="7" customFormat="1" ht="19.5">
      <c r="P52" s="13"/>
      <c r="S52" s="5"/>
      <c r="T52" s="13"/>
      <c r="U52" s="13"/>
      <c r="V52" s="13"/>
      <c r="Y52" s="5"/>
      <c r="Z52" s="13"/>
      <c r="AA52" s="13"/>
      <c r="AB52" s="13"/>
      <c r="AE52" s="5"/>
      <c r="AF52" s="13"/>
      <c r="AG52" s="13"/>
    </row>
    <row r="53" spans="1:33" ht="19.5">
      <c r="A53" s="1">
        <v>6</v>
      </c>
      <c r="B53" s="9" t="s">
        <v>15</v>
      </c>
      <c r="C53" s="1">
        <v>218</v>
      </c>
      <c r="D53" s="5"/>
      <c r="E53" s="5">
        <v>0</v>
      </c>
      <c r="F53" s="1"/>
      <c r="G53" s="5"/>
      <c r="H53" s="5">
        <f t="shared" si="2"/>
        <v>0</v>
      </c>
      <c r="I53" s="5">
        <f t="shared" si="3"/>
        <v>0</v>
      </c>
      <c r="J53" s="5"/>
      <c r="K53" s="5"/>
      <c r="L53" s="5"/>
      <c r="M53" s="5"/>
      <c r="N53" s="5"/>
      <c r="O53" s="5"/>
      <c r="P53" s="5">
        <f>Table1[[#This Row],[Enrolment S.Y. 2025-2026 ]]*8</f>
        <v>1744</v>
      </c>
      <c r="Q53" s="5">
        <v>0</v>
      </c>
      <c r="R53" s="1"/>
      <c r="S53" s="5"/>
      <c r="T53" s="5">
        <f t="shared" si="10"/>
        <v>1744</v>
      </c>
      <c r="U53" s="5">
        <f t="shared" si="11"/>
        <v>0</v>
      </c>
      <c r="V53" s="5">
        <f>Table1[[#This Row],[Enrolment S.Y. 2025-2026 ]]*8</f>
        <v>1744</v>
      </c>
      <c r="W53" s="5">
        <v>0</v>
      </c>
      <c r="X53" s="1"/>
      <c r="Y53" s="5"/>
      <c r="Z53" s="5">
        <f t="shared" si="12"/>
        <v>1744</v>
      </c>
      <c r="AA53" s="5">
        <f t="shared" si="13"/>
        <v>0</v>
      </c>
      <c r="AB53" s="5">
        <f>Table1[[#This Row],[Enrolment S.Y. 2025-2026 ]]*8</f>
        <v>1744</v>
      </c>
      <c r="AC53" s="5">
        <v>0</v>
      </c>
      <c r="AD53" s="1"/>
      <c r="AE53" s="5"/>
      <c r="AF53" s="5">
        <f t="shared" si="14"/>
        <v>1744</v>
      </c>
      <c r="AG53" s="5">
        <f t="shared" si="15"/>
        <v>0</v>
      </c>
    </row>
    <row r="54" spans="1:33" ht="19.5">
      <c r="A54" s="1">
        <v>6</v>
      </c>
      <c r="B54" s="9" t="s">
        <v>17</v>
      </c>
      <c r="C54" s="1">
        <v>218</v>
      </c>
      <c r="D54" s="5"/>
      <c r="E54" s="5">
        <v>0</v>
      </c>
      <c r="F54" s="1"/>
      <c r="G54" s="5"/>
      <c r="H54" s="5">
        <f t="shared" si="2"/>
        <v>0</v>
      </c>
      <c r="I54" s="5">
        <f t="shared" si="3"/>
        <v>0</v>
      </c>
      <c r="J54" s="5"/>
      <c r="K54" s="5"/>
      <c r="L54" s="5"/>
      <c r="M54" s="5"/>
      <c r="N54" s="5"/>
      <c r="O54" s="5"/>
      <c r="P54" s="5">
        <f>Table1[[#This Row],[Enrolment S.Y. 2025-2026 ]]*8</f>
        <v>1744</v>
      </c>
      <c r="Q54" s="5">
        <v>0</v>
      </c>
      <c r="R54" s="1"/>
      <c r="S54" s="5"/>
      <c r="T54" s="5">
        <f t="shared" si="10"/>
        <v>1744</v>
      </c>
      <c r="U54" s="5">
        <f t="shared" si="11"/>
        <v>0</v>
      </c>
      <c r="V54" s="5">
        <f>Table1[[#This Row],[Enrolment S.Y. 2025-2026 ]]*8</f>
        <v>1744</v>
      </c>
      <c r="W54" s="5">
        <v>0</v>
      </c>
      <c r="X54" s="1"/>
      <c r="Y54" s="5"/>
      <c r="Z54" s="5">
        <f t="shared" si="12"/>
        <v>1744</v>
      </c>
      <c r="AA54" s="5">
        <f t="shared" si="13"/>
        <v>0</v>
      </c>
      <c r="AB54" s="5">
        <f>Table1[[#This Row],[Enrolment S.Y. 2025-2026 ]]*8</f>
        <v>1744</v>
      </c>
      <c r="AC54" s="5">
        <v>0</v>
      </c>
      <c r="AD54" s="1"/>
      <c r="AE54" s="5"/>
      <c r="AF54" s="5">
        <f t="shared" si="14"/>
        <v>1744</v>
      </c>
      <c r="AG54" s="5">
        <f t="shared" si="15"/>
        <v>0</v>
      </c>
    </row>
    <row r="55" spans="1:33" ht="19.5">
      <c r="A55" s="1">
        <v>6</v>
      </c>
      <c r="B55" s="9" t="s">
        <v>13</v>
      </c>
      <c r="C55" s="1">
        <v>218</v>
      </c>
      <c r="D55" s="5"/>
      <c r="E55" s="5">
        <v>0</v>
      </c>
      <c r="F55" s="1"/>
      <c r="G55" s="5"/>
      <c r="H55" s="5">
        <f t="shared" si="2"/>
        <v>0</v>
      </c>
      <c r="I55" s="5">
        <f t="shared" si="3"/>
        <v>0</v>
      </c>
      <c r="J55" s="5"/>
      <c r="K55" s="5"/>
      <c r="L55" s="5"/>
      <c r="M55" s="5"/>
      <c r="N55" s="5"/>
      <c r="O55" s="5"/>
      <c r="P55" s="5">
        <f>Table1[[#This Row],[Enrolment S.Y. 2025-2026 ]]*8</f>
        <v>1744</v>
      </c>
      <c r="Q55" s="5">
        <v>0</v>
      </c>
      <c r="R55" s="1"/>
      <c r="S55" s="5"/>
      <c r="T55" s="5">
        <f t="shared" si="10"/>
        <v>1744</v>
      </c>
      <c r="U55" s="5">
        <f t="shared" si="11"/>
        <v>0</v>
      </c>
      <c r="V55" s="5">
        <f>Table1[[#This Row],[Enrolment S.Y. 2025-2026 ]]*8</f>
        <v>1744</v>
      </c>
      <c r="W55" s="5">
        <v>0</v>
      </c>
      <c r="X55" s="1"/>
      <c r="Y55" s="5"/>
      <c r="Z55" s="5">
        <f t="shared" si="12"/>
        <v>1744</v>
      </c>
      <c r="AA55" s="5">
        <f t="shared" si="13"/>
        <v>0</v>
      </c>
      <c r="AB55" s="5">
        <f>Table1[[#This Row],[Enrolment S.Y. 2025-2026 ]]*8</f>
        <v>1744</v>
      </c>
      <c r="AC55" s="5">
        <v>0</v>
      </c>
      <c r="AD55" s="1"/>
      <c r="AE55" s="5"/>
      <c r="AF55" s="5">
        <f t="shared" si="14"/>
        <v>1744</v>
      </c>
      <c r="AG55" s="5">
        <f t="shared" si="15"/>
        <v>0</v>
      </c>
    </row>
    <row r="56" spans="1:33" ht="19.5">
      <c r="A56" s="1">
        <v>6</v>
      </c>
      <c r="B56" s="9" t="s">
        <v>11</v>
      </c>
      <c r="C56" s="1">
        <v>218</v>
      </c>
      <c r="D56" s="5"/>
      <c r="E56" s="5">
        <v>0</v>
      </c>
      <c r="F56" s="1"/>
      <c r="G56" s="5"/>
      <c r="H56" s="5">
        <f t="shared" si="2"/>
        <v>0</v>
      </c>
      <c r="I56" s="5">
        <f t="shared" si="3"/>
        <v>0</v>
      </c>
      <c r="J56" s="5"/>
      <c r="K56" s="5"/>
      <c r="L56" s="5"/>
      <c r="M56" s="5"/>
      <c r="N56" s="5"/>
      <c r="O56" s="5"/>
      <c r="P56" s="5">
        <f>Table1[[#This Row],[Enrolment S.Y. 2025-2026 ]]*8</f>
        <v>1744</v>
      </c>
      <c r="Q56" s="5">
        <v>0</v>
      </c>
      <c r="R56" s="1"/>
      <c r="S56" s="5"/>
      <c r="T56" s="5">
        <f t="shared" si="10"/>
        <v>1744</v>
      </c>
      <c r="U56" s="5">
        <f t="shared" si="11"/>
        <v>0</v>
      </c>
      <c r="V56" s="5">
        <f>Table1[[#This Row],[Enrolment S.Y. 2025-2026 ]]*8</f>
        <v>1744</v>
      </c>
      <c r="W56" s="5">
        <v>0</v>
      </c>
      <c r="X56" s="1"/>
      <c r="Y56" s="5"/>
      <c r="Z56" s="5">
        <f t="shared" si="12"/>
        <v>1744</v>
      </c>
      <c r="AA56" s="5">
        <f t="shared" si="13"/>
        <v>0</v>
      </c>
      <c r="AB56" s="5">
        <f>Table1[[#This Row],[Enrolment S.Y. 2025-2026 ]]*8</f>
        <v>1744</v>
      </c>
      <c r="AC56" s="5">
        <v>0</v>
      </c>
      <c r="AD56" s="1"/>
      <c r="AE56" s="5"/>
      <c r="AF56" s="5">
        <f t="shared" si="14"/>
        <v>1744</v>
      </c>
      <c r="AG56" s="5">
        <f t="shared" si="15"/>
        <v>0</v>
      </c>
    </row>
    <row r="57" spans="1:33" ht="38.25">
      <c r="A57" s="1">
        <v>6</v>
      </c>
      <c r="B57" s="9" t="s">
        <v>18</v>
      </c>
      <c r="C57" s="1">
        <v>218</v>
      </c>
      <c r="D57" s="5"/>
      <c r="E57" s="5">
        <v>0</v>
      </c>
      <c r="F57" s="1"/>
      <c r="G57" s="5"/>
      <c r="H57" s="5">
        <f t="shared" si="2"/>
        <v>0</v>
      </c>
      <c r="I57" s="5">
        <f t="shared" si="3"/>
        <v>0</v>
      </c>
      <c r="J57" s="5"/>
      <c r="K57" s="5"/>
      <c r="L57" s="5"/>
      <c r="M57" s="5"/>
      <c r="N57" s="5"/>
      <c r="O57" s="5"/>
      <c r="P57" s="5">
        <f>Table1[[#This Row],[Enrolment S.Y. 2025-2026 ]]*8</f>
        <v>1744</v>
      </c>
      <c r="Q57" s="5">
        <v>0</v>
      </c>
      <c r="R57" s="1"/>
      <c r="S57" s="5"/>
      <c r="T57" s="5">
        <f t="shared" si="10"/>
        <v>1744</v>
      </c>
      <c r="U57" s="5">
        <f t="shared" si="11"/>
        <v>0</v>
      </c>
      <c r="V57" s="5">
        <f>Table1[[#This Row],[Enrolment S.Y. 2025-2026 ]]*8</f>
        <v>1744</v>
      </c>
      <c r="W57" s="5">
        <v>0</v>
      </c>
      <c r="X57" s="1"/>
      <c r="Y57" s="5"/>
      <c r="Z57" s="5">
        <f t="shared" si="12"/>
        <v>1744</v>
      </c>
      <c r="AA57" s="5">
        <f t="shared" si="13"/>
        <v>0</v>
      </c>
      <c r="AB57" s="5">
        <f>Table1[[#This Row],[Enrolment S.Y. 2025-2026 ]]*8</f>
        <v>1744</v>
      </c>
      <c r="AC57" s="5">
        <v>0</v>
      </c>
      <c r="AD57" s="1"/>
      <c r="AE57" s="5"/>
      <c r="AF57" s="5">
        <f t="shared" si="14"/>
        <v>1744</v>
      </c>
      <c r="AG57" s="5">
        <f t="shared" si="15"/>
        <v>0</v>
      </c>
    </row>
    <row r="58" spans="1:33" ht="19.5">
      <c r="A58" s="1">
        <v>6</v>
      </c>
      <c r="B58" s="9" t="s">
        <v>14</v>
      </c>
      <c r="C58" s="1">
        <v>218</v>
      </c>
      <c r="D58" s="5"/>
      <c r="E58" s="5">
        <v>0</v>
      </c>
      <c r="F58" s="1"/>
      <c r="G58" s="5"/>
      <c r="H58" s="5">
        <f t="shared" si="2"/>
        <v>0</v>
      </c>
      <c r="I58" s="5">
        <f t="shared" si="3"/>
        <v>0</v>
      </c>
      <c r="J58" s="5"/>
      <c r="K58" s="5"/>
      <c r="L58" s="5"/>
      <c r="M58" s="5"/>
      <c r="N58" s="5"/>
      <c r="O58" s="5"/>
      <c r="P58" s="5">
        <f>Table1[[#This Row],[Enrolment S.Y. 2025-2026 ]]*8</f>
        <v>1744</v>
      </c>
      <c r="Q58" s="5">
        <v>0</v>
      </c>
      <c r="R58" s="1"/>
      <c r="S58" s="5"/>
      <c r="T58" s="5">
        <f t="shared" si="10"/>
        <v>1744</v>
      </c>
      <c r="U58" s="5">
        <f t="shared" si="11"/>
        <v>0</v>
      </c>
      <c r="V58" s="5">
        <f>Table1[[#This Row],[Enrolment S.Y. 2025-2026 ]]*8</f>
        <v>1744</v>
      </c>
      <c r="W58" s="5">
        <v>0</v>
      </c>
      <c r="X58" s="1"/>
      <c r="Y58" s="5"/>
      <c r="Z58" s="5">
        <f t="shared" si="12"/>
        <v>1744</v>
      </c>
      <c r="AA58" s="5">
        <f t="shared" si="13"/>
        <v>0</v>
      </c>
      <c r="AB58" s="5">
        <f>Table1[[#This Row],[Enrolment S.Y. 2025-2026 ]]*8</f>
        <v>1744</v>
      </c>
      <c r="AC58" s="5">
        <v>0</v>
      </c>
      <c r="AD58" s="1"/>
      <c r="AE58" s="5"/>
      <c r="AF58" s="5">
        <f t="shared" si="14"/>
        <v>1744</v>
      </c>
      <c r="AG58" s="5">
        <f t="shared" si="15"/>
        <v>0</v>
      </c>
    </row>
    <row r="59" spans="1:33" ht="19.5">
      <c r="A59" s="1">
        <v>6</v>
      </c>
      <c r="B59" s="9" t="s">
        <v>19</v>
      </c>
      <c r="C59" s="1">
        <v>218</v>
      </c>
      <c r="D59" s="5"/>
      <c r="E59" s="5">
        <v>0</v>
      </c>
      <c r="F59" s="1"/>
      <c r="G59" s="5"/>
      <c r="H59" s="5">
        <f t="shared" si="2"/>
        <v>0</v>
      </c>
      <c r="I59" s="5">
        <f t="shared" si="3"/>
        <v>0</v>
      </c>
      <c r="J59" s="5"/>
      <c r="K59" s="5"/>
      <c r="L59" s="5"/>
      <c r="M59" s="5"/>
      <c r="N59" s="5"/>
      <c r="O59" s="5"/>
      <c r="P59" s="5">
        <f>Table1[[#This Row],[Enrolment S.Y. 2025-2026 ]]*8</f>
        <v>1744</v>
      </c>
      <c r="Q59" s="5">
        <v>0</v>
      </c>
      <c r="R59" s="1"/>
      <c r="S59" s="5"/>
      <c r="T59" s="5">
        <f t="shared" si="10"/>
        <v>1744</v>
      </c>
      <c r="U59" s="5">
        <f t="shared" si="11"/>
        <v>0</v>
      </c>
      <c r="V59" s="5">
        <f>Table1[[#This Row],[Enrolment S.Y. 2025-2026 ]]*8</f>
        <v>1744</v>
      </c>
      <c r="W59" s="5">
        <v>0</v>
      </c>
      <c r="X59" s="1"/>
      <c r="Y59" s="5"/>
      <c r="Z59" s="5">
        <f t="shared" si="12"/>
        <v>1744</v>
      </c>
      <c r="AA59" s="5">
        <f t="shared" si="13"/>
        <v>0</v>
      </c>
      <c r="AB59" s="5">
        <f>Table1[[#This Row],[Enrolment S.Y. 2025-2026 ]]*8</f>
        <v>1744</v>
      </c>
      <c r="AC59" s="5">
        <v>0</v>
      </c>
      <c r="AD59" s="1"/>
      <c r="AE59" s="5"/>
      <c r="AF59" s="5">
        <f t="shared" si="14"/>
        <v>1744</v>
      </c>
      <c r="AG59" s="5">
        <f t="shared" si="15"/>
        <v>0</v>
      </c>
    </row>
    <row r="60" spans="1:33" ht="19.5">
      <c r="A60" s="1">
        <v>6</v>
      </c>
      <c r="B60" s="9" t="s">
        <v>20</v>
      </c>
      <c r="C60" s="1">
        <v>218</v>
      </c>
      <c r="D60" s="5"/>
      <c r="E60" s="5">
        <v>0</v>
      </c>
      <c r="F60" s="1"/>
      <c r="G60" s="5"/>
      <c r="H60" s="5">
        <f t="shared" si="2"/>
        <v>0</v>
      </c>
      <c r="I60" s="5">
        <f t="shared" si="3"/>
        <v>0</v>
      </c>
      <c r="J60" s="5"/>
      <c r="K60" s="5"/>
      <c r="L60" s="5"/>
      <c r="M60" s="5"/>
      <c r="N60" s="5"/>
      <c r="O60" s="5"/>
      <c r="P60" s="5">
        <f>Table1[[#This Row],[Enrolment S.Y. 2025-2026 ]]*8</f>
        <v>1744</v>
      </c>
      <c r="Q60" s="5">
        <v>0</v>
      </c>
      <c r="R60" s="1"/>
      <c r="S60" s="5"/>
      <c r="T60" s="5">
        <f t="shared" si="10"/>
        <v>1744</v>
      </c>
      <c r="U60" s="5">
        <f t="shared" si="11"/>
        <v>0</v>
      </c>
      <c r="V60" s="5">
        <f>Table1[[#This Row],[Enrolment S.Y. 2025-2026 ]]*8</f>
        <v>1744</v>
      </c>
      <c r="W60" s="5">
        <v>0</v>
      </c>
      <c r="X60" s="1"/>
      <c r="Y60" s="5"/>
      <c r="Z60" s="5">
        <f t="shared" si="12"/>
        <v>1744</v>
      </c>
      <c r="AA60" s="5">
        <f t="shared" si="13"/>
        <v>0</v>
      </c>
      <c r="AB60" s="5">
        <f>Table1[[#This Row],[Enrolment S.Y. 2025-2026 ]]*8</f>
        <v>1744</v>
      </c>
      <c r="AC60" s="5">
        <v>0</v>
      </c>
      <c r="AD60" s="1"/>
      <c r="AE60" s="5"/>
      <c r="AF60" s="5">
        <f t="shared" si="14"/>
        <v>1744</v>
      </c>
      <c r="AG60" s="5">
        <f t="shared" si="15"/>
        <v>0</v>
      </c>
    </row>
    <row r="61" spans="1:33" ht="19.5">
      <c r="A61" s="1">
        <v>6</v>
      </c>
      <c r="B61" s="9" t="s">
        <v>21</v>
      </c>
      <c r="C61" s="1">
        <v>218</v>
      </c>
      <c r="D61" s="5"/>
      <c r="E61" s="5">
        <v>0</v>
      </c>
      <c r="F61" s="1"/>
      <c r="G61" s="5"/>
      <c r="H61" s="5">
        <f t="shared" si="2"/>
        <v>0</v>
      </c>
      <c r="I61" s="5">
        <f t="shared" si="3"/>
        <v>0</v>
      </c>
      <c r="J61" s="5"/>
      <c r="K61" s="5"/>
      <c r="L61" s="5"/>
      <c r="M61" s="5"/>
      <c r="N61" s="5"/>
      <c r="O61" s="5"/>
      <c r="P61" s="5">
        <f>Table1[[#This Row],[Enrolment S.Y. 2025-2026 ]]*8</f>
        <v>1744</v>
      </c>
      <c r="Q61" s="5">
        <v>0</v>
      </c>
      <c r="R61" s="1"/>
      <c r="S61" s="5"/>
      <c r="T61" s="5">
        <f t="shared" si="10"/>
        <v>1744</v>
      </c>
      <c r="U61" s="5">
        <f t="shared" si="11"/>
        <v>0</v>
      </c>
      <c r="V61" s="5">
        <f>Table1[[#This Row],[Enrolment S.Y. 2025-2026 ]]*8</f>
        <v>1744</v>
      </c>
      <c r="W61" s="5">
        <v>0</v>
      </c>
      <c r="X61" s="1"/>
      <c r="Y61" s="5"/>
      <c r="Z61" s="5">
        <f t="shared" si="12"/>
        <v>1744</v>
      </c>
      <c r="AA61" s="5">
        <f t="shared" si="13"/>
        <v>0</v>
      </c>
      <c r="AB61" s="5">
        <f>Table1[[#This Row],[Enrolment S.Y. 2025-2026 ]]*8</f>
        <v>1744</v>
      </c>
      <c r="AC61" s="5">
        <v>0</v>
      </c>
      <c r="AD61" s="1"/>
      <c r="AE61" s="5"/>
      <c r="AF61" s="5">
        <f t="shared" si="14"/>
        <v>1744</v>
      </c>
      <c r="AG61" s="5">
        <f t="shared" si="15"/>
        <v>0</v>
      </c>
    </row>
    <row r="62" spans="1:33" s="7" customFormat="1" ht="19.5">
      <c r="P62" s="13"/>
      <c r="S62" s="5"/>
      <c r="T62" s="13"/>
      <c r="U62" s="13"/>
      <c r="V62" s="13"/>
      <c r="Y62" s="5"/>
      <c r="Z62" s="13"/>
      <c r="AA62" s="13"/>
      <c r="AB62" s="13"/>
      <c r="AE62" s="5"/>
      <c r="AF62" s="13"/>
      <c r="AG62" s="13"/>
    </row>
    <row r="63" spans="1:33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/>
      <c r="K63" s="12"/>
      <c r="L63" s="12"/>
      <c r="M63" s="12"/>
      <c r="N63" s="12"/>
      <c r="O63" s="12"/>
      <c r="P63" s="12">
        <f>Table1[[#This Row],[Enrolment S.Y. 2025-2026 ]]*8</f>
        <v>0</v>
      </c>
      <c r="Q63" s="12"/>
      <c r="R63" s="10"/>
      <c r="S63" s="12"/>
      <c r="T63" s="12">
        <f t="shared" si="10"/>
        <v>0</v>
      </c>
      <c r="U63" s="12">
        <f t="shared" si="11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2"/>
        <v>0</v>
      </c>
      <c r="AA63" s="12">
        <f t="shared" si="13"/>
        <v>0</v>
      </c>
      <c r="AB63" s="12">
        <f>Table1[[#This Row],[Enrolment S.Y. 2025-2026 ]]*8</f>
        <v>0</v>
      </c>
      <c r="AC63" s="12"/>
      <c r="AD63" s="10"/>
      <c r="AE63" s="12"/>
      <c r="AF63" s="12">
        <f t="shared" si="14"/>
        <v>0</v>
      </c>
      <c r="AG63" s="12">
        <f t="shared" si="15"/>
        <v>0</v>
      </c>
    </row>
    <row r="64" spans="1:33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/>
      <c r="K64" s="12"/>
      <c r="L64" s="12"/>
      <c r="M64" s="12"/>
      <c r="N64" s="12"/>
      <c r="O64" s="12"/>
      <c r="P64" s="12">
        <f>Table1[[#This Row],[Enrolment S.Y. 2025-2026 ]]*8</f>
        <v>0</v>
      </c>
      <c r="Q64" s="12"/>
      <c r="R64" s="10"/>
      <c r="S64" s="12"/>
      <c r="T64" s="12">
        <f t="shared" si="10"/>
        <v>0</v>
      </c>
      <c r="U64" s="12">
        <f t="shared" si="11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2"/>
        <v>0</v>
      </c>
      <c r="AA64" s="12">
        <f t="shared" si="13"/>
        <v>0</v>
      </c>
      <c r="AB64" s="12">
        <f>Table1[[#This Row],[Enrolment S.Y. 2025-2026 ]]*8</f>
        <v>0</v>
      </c>
      <c r="AC64" s="12"/>
      <c r="AD64" s="10"/>
      <c r="AE64" s="12"/>
      <c r="AF64" s="12">
        <f t="shared" si="14"/>
        <v>0</v>
      </c>
      <c r="AG64" s="12">
        <f t="shared" si="15"/>
        <v>0</v>
      </c>
    </row>
    <row r="65" spans="1:33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/>
      <c r="K65" s="12"/>
      <c r="L65" s="12"/>
      <c r="M65" s="12"/>
      <c r="N65" s="12"/>
      <c r="O65" s="12"/>
      <c r="P65" s="12">
        <f>Table1[[#This Row],[Enrolment S.Y. 2025-2026 ]]*8</f>
        <v>0</v>
      </c>
      <c r="Q65" s="12"/>
      <c r="R65" s="10"/>
      <c r="S65" s="12"/>
      <c r="T65" s="12">
        <f t="shared" si="10"/>
        <v>0</v>
      </c>
      <c r="U65" s="12">
        <f t="shared" si="11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2"/>
        <v>0</v>
      </c>
      <c r="AA65" s="12">
        <f t="shared" si="13"/>
        <v>0</v>
      </c>
      <c r="AB65" s="12">
        <f>Table1[[#This Row],[Enrolment S.Y. 2025-2026 ]]*8</f>
        <v>0</v>
      </c>
      <c r="AC65" s="12"/>
      <c r="AD65" s="10"/>
      <c r="AE65" s="12"/>
      <c r="AF65" s="12">
        <f t="shared" si="14"/>
        <v>0</v>
      </c>
      <c r="AG65" s="12">
        <f t="shared" si="15"/>
        <v>0</v>
      </c>
    </row>
    <row r="66" spans="1:33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/>
      <c r="K66" s="12"/>
      <c r="L66" s="12"/>
      <c r="M66" s="12"/>
      <c r="N66" s="12"/>
      <c r="O66" s="12"/>
      <c r="P66" s="12">
        <f>Table1[[#This Row],[Enrolment S.Y. 2025-2026 ]]*8</f>
        <v>0</v>
      </c>
      <c r="Q66" s="12"/>
      <c r="R66" s="10"/>
      <c r="S66" s="12"/>
      <c r="T66" s="12">
        <f t="shared" si="10"/>
        <v>0</v>
      </c>
      <c r="U66" s="12">
        <f t="shared" si="11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2"/>
        <v>0</v>
      </c>
      <c r="AA66" s="12">
        <f t="shared" si="13"/>
        <v>0</v>
      </c>
      <c r="AB66" s="12">
        <f>Table1[[#This Row],[Enrolment S.Y. 2025-2026 ]]*8</f>
        <v>0</v>
      </c>
      <c r="AC66" s="12"/>
      <c r="AD66" s="10"/>
      <c r="AE66" s="12"/>
      <c r="AF66" s="12">
        <f t="shared" si="14"/>
        <v>0</v>
      </c>
      <c r="AG66" s="12">
        <f t="shared" si="15"/>
        <v>0</v>
      </c>
    </row>
    <row r="67" spans="1:33" ht="38.25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/>
      <c r="K67" s="12"/>
      <c r="L67" s="12"/>
      <c r="M67" s="12"/>
      <c r="N67" s="12"/>
      <c r="O67" s="12"/>
      <c r="P67" s="12">
        <f>Table1[[#This Row],[Enrolment S.Y. 2025-2026 ]]*8</f>
        <v>0</v>
      </c>
      <c r="Q67" s="12"/>
      <c r="R67" s="10"/>
      <c r="S67" s="12"/>
      <c r="T67" s="12">
        <f t="shared" si="10"/>
        <v>0</v>
      </c>
      <c r="U67" s="12">
        <f t="shared" si="11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2"/>
        <v>0</v>
      </c>
      <c r="AA67" s="12">
        <f t="shared" si="13"/>
        <v>0</v>
      </c>
      <c r="AB67" s="12">
        <f>Table1[[#This Row],[Enrolment S.Y. 2025-2026 ]]*8</f>
        <v>0</v>
      </c>
      <c r="AC67" s="12"/>
      <c r="AD67" s="10"/>
      <c r="AE67" s="12"/>
      <c r="AF67" s="12">
        <f t="shared" si="14"/>
        <v>0</v>
      </c>
      <c r="AG67" s="12">
        <f t="shared" si="15"/>
        <v>0</v>
      </c>
    </row>
    <row r="68" spans="1:33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/>
      <c r="K68" s="12"/>
      <c r="L68" s="12"/>
      <c r="M68" s="12"/>
      <c r="N68" s="12"/>
      <c r="O68" s="12"/>
      <c r="P68" s="12">
        <f>Table1[[#This Row],[Enrolment S.Y. 2025-2026 ]]*8</f>
        <v>0</v>
      </c>
      <c r="Q68" s="12"/>
      <c r="R68" s="10"/>
      <c r="S68" s="12"/>
      <c r="T68" s="12">
        <f t="shared" si="10"/>
        <v>0</v>
      </c>
      <c r="U68" s="12">
        <f t="shared" si="11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2"/>
        <v>0</v>
      </c>
      <c r="AA68" s="12">
        <f t="shared" si="13"/>
        <v>0</v>
      </c>
      <c r="AB68" s="12">
        <f>Table1[[#This Row],[Enrolment S.Y. 2025-2026 ]]*8</f>
        <v>0</v>
      </c>
      <c r="AC68" s="12"/>
      <c r="AD68" s="10"/>
      <c r="AE68" s="12"/>
      <c r="AF68" s="12">
        <f t="shared" si="14"/>
        <v>0</v>
      </c>
      <c r="AG68" s="12">
        <f t="shared" si="15"/>
        <v>0</v>
      </c>
    </row>
    <row r="69" spans="1:33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/>
      <c r="K69" s="12"/>
      <c r="L69" s="12"/>
      <c r="M69" s="12"/>
      <c r="N69" s="12"/>
      <c r="O69" s="12"/>
      <c r="P69" s="12">
        <f>Table1[[#This Row],[Enrolment S.Y. 2025-2026 ]]*8</f>
        <v>0</v>
      </c>
      <c r="Q69" s="12"/>
      <c r="R69" s="10"/>
      <c r="S69" s="12"/>
      <c r="T69" s="12">
        <f t="shared" si="10"/>
        <v>0</v>
      </c>
      <c r="U69" s="12">
        <f t="shared" si="11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2"/>
        <v>0</v>
      </c>
      <c r="AA69" s="12">
        <f t="shared" si="13"/>
        <v>0</v>
      </c>
      <c r="AB69" s="12">
        <f>Table1[[#This Row],[Enrolment S.Y. 2025-2026 ]]*8</f>
        <v>0</v>
      </c>
      <c r="AC69" s="12"/>
      <c r="AD69" s="10"/>
      <c r="AE69" s="12"/>
      <c r="AF69" s="12">
        <f t="shared" si="14"/>
        <v>0</v>
      </c>
      <c r="AG69" s="12">
        <f t="shared" si="15"/>
        <v>0</v>
      </c>
    </row>
    <row r="70" spans="1:33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/>
      <c r="K70" s="12"/>
      <c r="L70" s="12"/>
      <c r="M70" s="12"/>
      <c r="N70" s="12"/>
      <c r="O70" s="12"/>
      <c r="P70" s="12">
        <f>Table1[[#This Row],[Enrolment S.Y. 2025-2026 ]]*8</f>
        <v>0</v>
      </c>
      <c r="Q70" s="12"/>
      <c r="R70" s="10"/>
      <c r="S70" s="12"/>
      <c r="T70" s="12">
        <f t="shared" ref="T70:T126" si="16">IF((P70-Q70)&lt;0,0,(P70-Q70))</f>
        <v>0</v>
      </c>
      <c r="U70" s="12">
        <f t="shared" ref="U70:U126" si="17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18">IF((V70-W70)&lt;0,0,(V70-W70))</f>
        <v>0</v>
      </c>
      <c r="AA70" s="12">
        <f t="shared" ref="AA70:AA127" si="19">IF((W70-V70)&lt;0,0,(W70-V70))</f>
        <v>0</v>
      </c>
      <c r="AB70" s="12">
        <f>Table1[[#This Row],[Enrolment S.Y. 2025-2026 ]]*8</f>
        <v>0</v>
      </c>
      <c r="AC70" s="12"/>
      <c r="AD70" s="10"/>
      <c r="AE70" s="12"/>
      <c r="AF70" s="12">
        <f t="shared" ref="AF70:AF127" si="20">IF((AB70-AC70)&lt;0,0,(AB70-AC70))</f>
        <v>0</v>
      </c>
      <c r="AG70" s="12">
        <f t="shared" ref="AG70:AG127" si="21">IF((AC70-AB70)&lt;0,0,(AC70-AB70))</f>
        <v>0</v>
      </c>
    </row>
    <row r="71" spans="1:33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/>
      <c r="K71" s="12"/>
      <c r="L71" s="12"/>
      <c r="M71" s="12"/>
      <c r="N71" s="12"/>
      <c r="O71" s="12"/>
      <c r="P71" s="12">
        <f>Table1[[#This Row],[Enrolment S.Y. 2025-2026 ]]*8</f>
        <v>0</v>
      </c>
      <c r="Q71" s="12"/>
      <c r="R71" s="10"/>
      <c r="S71" s="12"/>
      <c r="T71" s="12">
        <f t="shared" si="16"/>
        <v>0</v>
      </c>
      <c r="U71" s="12">
        <f t="shared" si="17"/>
        <v>0</v>
      </c>
      <c r="V71" s="12">
        <f>Table1[[#This Row],[Enrolment S.Y. 2025-2026 ]]*8</f>
        <v>0</v>
      </c>
      <c r="W71" s="12"/>
      <c r="X71" s="10"/>
      <c r="Y71" s="12"/>
      <c r="Z71" s="12">
        <f t="shared" si="18"/>
        <v>0</v>
      </c>
      <c r="AA71" s="12">
        <f t="shared" si="19"/>
        <v>0</v>
      </c>
      <c r="AB71" s="12">
        <f>Table1[[#This Row],[Enrolment S.Y. 2025-2026 ]]*8</f>
        <v>0</v>
      </c>
      <c r="AC71" s="12"/>
      <c r="AD71" s="10"/>
      <c r="AE71" s="12"/>
      <c r="AF71" s="12">
        <f t="shared" si="20"/>
        <v>0</v>
      </c>
      <c r="AG71" s="12">
        <f t="shared" si="21"/>
        <v>0</v>
      </c>
    </row>
    <row r="72" spans="1:33" s="7" customFormat="1" ht="19.5">
      <c r="P72" s="13"/>
      <c r="S72" s="5"/>
      <c r="T72" s="13"/>
      <c r="U72" s="13"/>
      <c r="V72" s="13"/>
      <c r="Y72" s="5"/>
      <c r="Z72" s="13"/>
      <c r="AA72" s="13"/>
      <c r="AB72" s="13"/>
      <c r="AE72" s="5"/>
      <c r="AF72" s="13"/>
      <c r="AG72" s="13"/>
    </row>
    <row r="73" spans="1:33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/>
      <c r="K73" s="12"/>
      <c r="L73" s="12"/>
      <c r="M73" s="12"/>
      <c r="N73" s="12"/>
      <c r="O73" s="12"/>
      <c r="P73" s="12">
        <f>Table1[[#This Row],[Enrolment S.Y. 2025-2026 ]]*8</f>
        <v>0</v>
      </c>
      <c r="Q73" s="12"/>
      <c r="R73" s="10"/>
      <c r="S73" s="12"/>
      <c r="T73" s="12">
        <f t="shared" si="16"/>
        <v>0</v>
      </c>
      <c r="U73" s="12">
        <f t="shared" si="17"/>
        <v>0</v>
      </c>
      <c r="V73" s="12">
        <f>Table1[[#This Row],[Enrolment S.Y. 2025-2026 ]]*8</f>
        <v>0</v>
      </c>
      <c r="W73" s="12"/>
      <c r="X73" s="10"/>
      <c r="Y73" s="12"/>
      <c r="Z73" s="12">
        <f t="shared" si="18"/>
        <v>0</v>
      </c>
      <c r="AA73" s="12">
        <f t="shared" si="19"/>
        <v>0</v>
      </c>
      <c r="AB73" s="12">
        <f>Table1[[#This Row],[Enrolment S.Y. 2025-2026 ]]*8</f>
        <v>0</v>
      </c>
      <c r="AC73" s="12"/>
      <c r="AD73" s="10"/>
      <c r="AE73" s="12"/>
      <c r="AF73" s="12">
        <f t="shared" si="20"/>
        <v>0</v>
      </c>
      <c r="AG73" s="12">
        <f t="shared" si="21"/>
        <v>0</v>
      </c>
    </row>
    <row r="74" spans="1:33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/>
      <c r="K74" s="12"/>
      <c r="L74" s="12"/>
      <c r="M74" s="12"/>
      <c r="N74" s="12"/>
      <c r="O74" s="12"/>
      <c r="P74" s="12">
        <f>Table1[[#This Row],[Enrolment S.Y. 2025-2026 ]]*8</f>
        <v>0</v>
      </c>
      <c r="Q74" s="12"/>
      <c r="R74" s="10"/>
      <c r="S74" s="12"/>
      <c r="T74" s="12">
        <f t="shared" si="16"/>
        <v>0</v>
      </c>
      <c r="U74" s="12">
        <f t="shared" si="17"/>
        <v>0</v>
      </c>
      <c r="V74" s="12">
        <f>Table1[[#This Row],[Enrolment S.Y. 2025-2026 ]]*8</f>
        <v>0</v>
      </c>
      <c r="W74" s="12"/>
      <c r="X74" s="10"/>
      <c r="Y74" s="12"/>
      <c r="Z74" s="12">
        <f t="shared" si="18"/>
        <v>0</v>
      </c>
      <c r="AA74" s="12">
        <f t="shared" si="19"/>
        <v>0</v>
      </c>
      <c r="AB74" s="12">
        <f>Table1[[#This Row],[Enrolment S.Y. 2025-2026 ]]*8</f>
        <v>0</v>
      </c>
      <c r="AC74" s="12"/>
      <c r="AD74" s="10"/>
      <c r="AE74" s="12"/>
      <c r="AF74" s="12">
        <f t="shared" si="20"/>
        <v>0</v>
      </c>
      <c r="AG74" s="12">
        <f t="shared" si="21"/>
        <v>0</v>
      </c>
    </row>
    <row r="75" spans="1:33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/>
      <c r="K75" s="12"/>
      <c r="L75" s="12"/>
      <c r="M75" s="12"/>
      <c r="N75" s="12"/>
      <c r="O75" s="12"/>
      <c r="P75" s="12">
        <f>Table1[[#This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  <c r="AB75" s="12">
        <f>Table1[[#This Row],[Enrolment S.Y. 2025-2026 ]]*8</f>
        <v>0</v>
      </c>
      <c r="AC75" s="12"/>
      <c r="AD75" s="10"/>
      <c r="AE75" s="12"/>
      <c r="AF75" s="12">
        <f t="shared" si="20"/>
        <v>0</v>
      </c>
      <c r="AG75" s="12">
        <f t="shared" si="21"/>
        <v>0</v>
      </c>
    </row>
    <row r="76" spans="1:33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/>
      <c r="K76" s="12"/>
      <c r="L76" s="12"/>
      <c r="M76" s="12"/>
      <c r="N76" s="12"/>
      <c r="O76" s="12"/>
      <c r="P76" s="12">
        <f>Table1[[#This Row],[Enrolment S.Y. 2025-2026 ]]*8</f>
        <v>0</v>
      </c>
      <c r="Q76" s="12"/>
      <c r="R76" s="10"/>
      <c r="S76" s="12"/>
      <c r="T76" s="12">
        <f t="shared" si="16"/>
        <v>0</v>
      </c>
      <c r="U76" s="12">
        <f t="shared" si="17"/>
        <v>0</v>
      </c>
      <c r="V76" s="12">
        <f>Table1[[#This Row],[Enrolment S.Y. 2025-2026 ]]*8</f>
        <v>0</v>
      </c>
      <c r="W76" s="12"/>
      <c r="X76" s="10"/>
      <c r="Y76" s="12"/>
      <c r="Z76" s="12">
        <f t="shared" si="18"/>
        <v>0</v>
      </c>
      <c r="AA76" s="12">
        <f t="shared" si="19"/>
        <v>0</v>
      </c>
      <c r="AB76" s="12">
        <f>Table1[[#This Row],[Enrolment S.Y. 2025-2026 ]]*8</f>
        <v>0</v>
      </c>
      <c r="AC76" s="12"/>
      <c r="AD76" s="10"/>
      <c r="AE76" s="12"/>
      <c r="AF76" s="12">
        <f t="shared" si="20"/>
        <v>0</v>
      </c>
      <c r="AG76" s="12">
        <f t="shared" si="21"/>
        <v>0</v>
      </c>
    </row>
    <row r="77" spans="1:33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/>
      <c r="K77" s="12"/>
      <c r="L77" s="12"/>
      <c r="M77" s="12"/>
      <c r="N77" s="12"/>
      <c r="O77" s="12"/>
      <c r="P77" s="12">
        <f>Table1[[#This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  <c r="AB77" s="12">
        <f>Table1[[#This Row],[Enrolment S.Y. 2025-2026 ]]*8</f>
        <v>0</v>
      </c>
      <c r="AC77" s="12"/>
      <c r="AD77" s="10"/>
      <c r="AE77" s="12"/>
      <c r="AF77" s="12">
        <f t="shared" si="20"/>
        <v>0</v>
      </c>
      <c r="AG77" s="12">
        <f t="shared" si="21"/>
        <v>0</v>
      </c>
    </row>
    <row r="78" spans="1:33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/>
      <c r="K78" s="12"/>
      <c r="L78" s="12"/>
      <c r="M78" s="12"/>
      <c r="N78" s="12"/>
      <c r="O78" s="12"/>
      <c r="P78" s="12">
        <f>Table1[[#This Row],[Enrolment S.Y. 2025-2026 ]]*8</f>
        <v>0</v>
      </c>
      <c r="Q78" s="12"/>
      <c r="R78" s="10"/>
      <c r="S78" s="12"/>
      <c r="T78" s="12">
        <f t="shared" si="16"/>
        <v>0</v>
      </c>
      <c r="U78" s="12">
        <f t="shared" si="17"/>
        <v>0</v>
      </c>
      <c r="V78" s="12">
        <f>Table1[[#This Row],[Enrolment S.Y. 2025-2026 ]]*8</f>
        <v>0</v>
      </c>
      <c r="W78" s="12"/>
      <c r="X78" s="10"/>
      <c r="Y78" s="12"/>
      <c r="Z78" s="12">
        <f t="shared" si="18"/>
        <v>0</v>
      </c>
      <c r="AA78" s="12">
        <f t="shared" si="19"/>
        <v>0</v>
      </c>
      <c r="AB78" s="12">
        <f>Table1[[#This Row],[Enrolment S.Y. 2025-2026 ]]*8</f>
        <v>0</v>
      </c>
      <c r="AC78" s="12"/>
      <c r="AD78" s="10"/>
      <c r="AE78" s="12"/>
      <c r="AF78" s="12">
        <f t="shared" si="20"/>
        <v>0</v>
      </c>
      <c r="AG78" s="12">
        <f t="shared" si="21"/>
        <v>0</v>
      </c>
    </row>
    <row r="79" spans="1:33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/>
      <c r="K79" s="12"/>
      <c r="L79" s="12"/>
      <c r="M79" s="12"/>
      <c r="N79" s="12"/>
      <c r="O79" s="12"/>
      <c r="P79" s="12">
        <f>Table1[[#This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  <c r="AB79" s="12">
        <f>Table1[[#This Row],[Enrolment S.Y. 2025-2026 ]]*8</f>
        <v>0</v>
      </c>
      <c r="AC79" s="12"/>
      <c r="AD79" s="10"/>
      <c r="AE79" s="12"/>
      <c r="AF79" s="12">
        <f t="shared" si="20"/>
        <v>0</v>
      </c>
      <c r="AG79" s="12">
        <f t="shared" si="21"/>
        <v>0</v>
      </c>
    </row>
    <row r="80" spans="1:33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/>
      <c r="K80" s="12"/>
      <c r="L80" s="12"/>
      <c r="M80" s="12"/>
      <c r="N80" s="12"/>
      <c r="O80" s="12"/>
      <c r="P80" s="12">
        <f>Table1[[#This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  <c r="AB80" s="12">
        <f>Table1[[#This Row],[Enrolment S.Y. 2025-2026 ]]*8</f>
        <v>0</v>
      </c>
      <c r="AC80" s="12"/>
      <c r="AD80" s="10"/>
      <c r="AE80" s="12"/>
      <c r="AF80" s="12">
        <f t="shared" si="20"/>
        <v>0</v>
      </c>
      <c r="AG80" s="12">
        <f t="shared" si="21"/>
        <v>0</v>
      </c>
    </row>
    <row r="81" spans="1:33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/>
      <c r="K81" s="12"/>
      <c r="L81" s="12"/>
      <c r="M81" s="12"/>
      <c r="N81" s="12"/>
      <c r="O81" s="12"/>
      <c r="P81" s="12">
        <f>Table1[[#This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  <c r="AB81" s="12">
        <f>Table1[[#This Row],[Enrolment S.Y. 2025-2026 ]]*8</f>
        <v>0</v>
      </c>
      <c r="AC81" s="12"/>
      <c r="AD81" s="10"/>
      <c r="AE81" s="12"/>
      <c r="AF81" s="12">
        <f t="shared" si="20"/>
        <v>0</v>
      </c>
      <c r="AG81" s="12">
        <f t="shared" si="21"/>
        <v>0</v>
      </c>
    </row>
    <row r="82" spans="1:33" s="7" customFormat="1" ht="19.5">
      <c r="P82" s="13"/>
      <c r="S82" s="5"/>
      <c r="T82" s="13"/>
      <c r="U82" s="13"/>
      <c r="V82" s="13"/>
      <c r="Y82" s="5"/>
      <c r="Z82" s="13"/>
      <c r="AA82" s="13"/>
      <c r="AB82" s="13"/>
      <c r="AE82" s="5"/>
      <c r="AF82" s="13"/>
      <c r="AG82" s="13"/>
    </row>
    <row r="83" spans="1:33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/>
      <c r="K83" s="12"/>
      <c r="L83" s="12"/>
      <c r="M83" s="12"/>
      <c r="N83" s="12"/>
      <c r="O83" s="12"/>
      <c r="P83" s="12">
        <f>Table1[[#This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  <c r="AB83" s="12">
        <f>Table1[[#This Row],[Enrolment S.Y. 2025-2026 ]]*8</f>
        <v>0</v>
      </c>
      <c r="AC83" s="12"/>
      <c r="AD83" s="10"/>
      <c r="AE83" s="12"/>
      <c r="AF83" s="12">
        <f t="shared" si="20"/>
        <v>0</v>
      </c>
      <c r="AG83" s="12">
        <f t="shared" si="21"/>
        <v>0</v>
      </c>
    </row>
    <row r="84" spans="1:33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/>
      <c r="K84" s="12"/>
      <c r="L84" s="12"/>
      <c r="M84" s="12"/>
      <c r="N84" s="12"/>
      <c r="O84" s="12"/>
      <c r="P84" s="12">
        <f>Table1[[#This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  <c r="AB84" s="12">
        <f>Table1[[#This Row],[Enrolment S.Y. 2025-2026 ]]*8</f>
        <v>0</v>
      </c>
      <c r="AC84" s="12"/>
      <c r="AD84" s="10"/>
      <c r="AE84" s="12"/>
      <c r="AF84" s="12">
        <f t="shared" si="20"/>
        <v>0</v>
      </c>
      <c r="AG84" s="12">
        <f t="shared" si="21"/>
        <v>0</v>
      </c>
    </row>
    <row r="85" spans="1:33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/>
      <c r="K85" s="12"/>
      <c r="L85" s="12"/>
      <c r="M85" s="12"/>
      <c r="N85" s="12"/>
      <c r="O85" s="12"/>
      <c r="P85" s="12">
        <f>Table1[[#This Row],[Enrolment S.Y. 2025-2026 ]]*8</f>
        <v>0</v>
      </c>
      <c r="Q85" s="12"/>
      <c r="R85" s="10"/>
      <c r="S85" s="12"/>
      <c r="T85" s="12">
        <f t="shared" si="16"/>
        <v>0</v>
      </c>
      <c r="U85" s="12">
        <f t="shared" si="17"/>
        <v>0</v>
      </c>
      <c r="V85" s="12">
        <f>Table1[[#This Row],[Enrolment S.Y. 2025-2026 ]]*8</f>
        <v>0</v>
      </c>
      <c r="W85" s="12"/>
      <c r="X85" s="10"/>
      <c r="Y85" s="12"/>
      <c r="Z85" s="12">
        <f t="shared" si="18"/>
        <v>0</v>
      </c>
      <c r="AA85" s="12">
        <f t="shared" si="19"/>
        <v>0</v>
      </c>
      <c r="AB85" s="12">
        <f>Table1[[#This Row],[Enrolment S.Y. 2025-2026 ]]*8</f>
        <v>0</v>
      </c>
      <c r="AC85" s="12"/>
      <c r="AD85" s="10"/>
      <c r="AE85" s="12"/>
      <c r="AF85" s="12">
        <f t="shared" si="20"/>
        <v>0</v>
      </c>
      <c r="AG85" s="12">
        <f t="shared" si="21"/>
        <v>0</v>
      </c>
    </row>
    <row r="86" spans="1:33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/>
      <c r="K86" s="12"/>
      <c r="L86" s="12"/>
      <c r="M86" s="12"/>
      <c r="N86" s="12"/>
      <c r="O86" s="12"/>
      <c r="P86" s="12">
        <f>Table1[[#This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  <c r="AB86" s="12">
        <f>Table1[[#This Row],[Enrolment S.Y. 2025-2026 ]]*8</f>
        <v>0</v>
      </c>
      <c r="AC86" s="12"/>
      <c r="AD86" s="10"/>
      <c r="AE86" s="12"/>
      <c r="AF86" s="12">
        <f t="shared" si="20"/>
        <v>0</v>
      </c>
      <c r="AG86" s="12">
        <f t="shared" si="21"/>
        <v>0</v>
      </c>
    </row>
    <row r="87" spans="1:33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/>
      <c r="K87" s="12"/>
      <c r="L87" s="12"/>
      <c r="M87" s="12"/>
      <c r="N87" s="12"/>
      <c r="O87" s="12"/>
      <c r="P87" s="12">
        <f>Table1[[#This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  <c r="AB87" s="12">
        <f>Table1[[#This Row],[Enrolment S.Y. 2025-2026 ]]*8</f>
        <v>0</v>
      </c>
      <c r="AC87" s="12"/>
      <c r="AD87" s="10"/>
      <c r="AE87" s="12"/>
      <c r="AF87" s="12">
        <f t="shared" si="20"/>
        <v>0</v>
      </c>
      <c r="AG87" s="12">
        <f t="shared" si="21"/>
        <v>0</v>
      </c>
    </row>
    <row r="88" spans="1:33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/>
      <c r="K88" s="12"/>
      <c r="L88" s="12"/>
      <c r="M88" s="12"/>
      <c r="N88" s="12"/>
      <c r="O88" s="12"/>
      <c r="P88" s="12">
        <f>Table1[[#This Row],[Enrolment S.Y. 2025-2026 ]]*8</f>
        <v>0</v>
      </c>
      <c r="Q88" s="12"/>
      <c r="R88" s="10"/>
      <c r="S88" s="12"/>
      <c r="T88" s="12">
        <f t="shared" si="16"/>
        <v>0</v>
      </c>
      <c r="U88" s="12">
        <f t="shared" si="17"/>
        <v>0</v>
      </c>
      <c r="V88" s="12">
        <f>Table1[[#This Row],[Enrolment S.Y. 2025-2026 ]]*8</f>
        <v>0</v>
      </c>
      <c r="W88" s="12"/>
      <c r="X88" s="10"/>
      <c r="Y88" s="12"/>
      <c r="Z88" s="12">
        <f t="shared" si="18"/>
        <v>0</v>
      </c>
      <c r="AA88" s="12">
        <f t="shared" si="19"/>
        <v>0</v>
      </c>
      <c r="AB88" s="12">
        <f>Table1[[#This Row],[Enrolment S.Y. 2025-2026 ]]*8</f>
        <v>0</v>
      </c>
      <c r="AC88" s="12"/>
      <c r="AD88" s="10"/>
      <c r="AE88" s="12"/>
      <c r="AF88" s="12">
        <f t="shared" si="20"/>
        <v>0</v>
      </c>
      <c r="AG88" s="12">
        <f t="shared" si="21"/>
        <v>0</v>
      </c>
    </row>
    <row r="89" spans="1:33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/>
      <c r="K89" s="12"/>
      <c r="L89" s="12"/>
      <c r="M89" s="12"/>
      <c r="N89" s="12"/>
      <c r="O89" s="12"/>
      <c r="P89" s="12">
        <f>Table1[[#This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  <c r="AB89" s="12">
        <f>Table1[[#This Row],[Enrolment S.Y. 2025-2026 ]]*8</f>
        <v>0</v>
      </c>
      <c r="AC89" s="12"/>
      <c r="AD89" s="10"/>
      <c r="AE89" s="12"/>
      <c r="AF89" s="12">
        <f t="shared" si="20"/>
        <v>0</v>
      </c>
      <c r="AG89" s="12">
        <f t="shared" si="21"/>
        <v>0</v>
      </c>
    </row>
    <row r="90" spans="1:33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/>
      <c r="K90" s="12"/>
      <c r="L90" s="12"/>
      <c r="M90" s="12"/>
      <c r="N90" s="12"/>
      <c r="O90" s="12"/>
      <c r="P90" s="12">
        <f>Table1[[#This Row],[Enrolment S.Y. 2025-2026 ]]*8</f>
        <v>0</v>
      </c>
      <c r="Q90" s="12"/>
      <c r="R90" s="10"/>
      <c r="S90" s="12"/>
      <c r="T90" s="12">
        <f t="shared" si="16"/>
        <v>0</v>
      </c>
      <c r="U90" s="12">
        <f t="shared" si="17"/>
        <v>0</v>
      </c>
      <c r="V90" s="12">
        <f>Table1[[#This Row],[Enrolment S.Y. 2025-2026 ]]*8</f>
        <v>0</v>
      </c>
      <c r="W90" s="12"/>
      <c r="X90" s="10"/>
      <c r="Y90" s="12"/>
      <c r="Z90" s="12">
        <f t="shared" si="18"/>
        <v>0</v>
      </c>
      <c r="AA90" s="12">
        <f t="shared" si="19"/>
        <v>0</v>
      </c>
      <c r="AB90" s="12">
        <f>Table1[[#This Row],[Enrolment S.Y. 2025-2026 ]]*8</f>
        <v>0</v>
      </c>
      <c r="AC90" s="12"/>
      <c r="AD90" s="10"/>
      <c r="AE90" s="12"/>
      <c r="AF90" s="12">
        <f t="shared" si="20"/>
        <v>0</v>
      </c>
      <c r="AG90" s="12">
        <f t="shared" si="21"/>
        <v>0</v>
      </c>
    </row>
    <row r="91" spans="1:33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/>
      <c r="K91" s="12"/>
      <c r="L91" s="12"/>
      <c r="M91" s="12"/>
      <c r="N91" s="12"/>
      <c r="O91" s="12"/>
      <c r="P91" s="12">
        <f>Table1[[#This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  <c r="AB91" s="12">
        <f>Table1[[#This Row],[Enrolment S.Y. 2025-2026 ]]*8</f>
        <v>0</v>
      </c>
      <c r="AC91" s="12"/>
      <c r="AD91" s="10"/>
      <c r="AE91" s="12"/>
      <c r="AF91" s="12">
        <f t="shared" si="20"/>
        <v>0</v>
      </c>
      <c r="AG91" s="12">
        <f t="shared" si="21"/>
        <v>0</v>
      </c>
    </row>
    <row r="92" spans="1:33" s="7" customFormat="1" ht="19.5">
      <c r="P92" s="13"/>
      <c r="S92" s="5"/>
      <c r="T92" s="13"/>
      <c r="U92" s="13"/>
      <c r="V92" s="13"/>
      <c r="Y92" s="5"/>
      <c r="Z92" s="13"/>
      <c r="AA92" s="13"/>
      <c r="AB92" s="13"/>
      <c r="AE92" s="5"/>
      <c r="AF92" s="13"/>
      <c r="AG92" s="13"/>
    </row>
    <row r="93" spans="1:33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/>
      <c r="K93" s="12"/>
      <c r="L93" s="12"/>
      <c r="M93" s="12"/>
      <c r="N93" s="12"/>
      <c r="O93" s="12"/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  <c r="AB93" s="12">
        <f>Table1[[#This Row],[Enrolment S.Y. 2025-2026 ]]*8</f>
        <v>0</v>
      </c>
      <c r="AC93" s="12"/>
      <c r="AD93" s="10"/>
      <c r="AE93" s="12"/>
      <c r="AF93" s="12">
        <f>IF((AB93-AC93)&lt;0,0,(AB93-AC93))</f>
        <v>0</v>
      </c>
      <c r="AG93" s="12">
        <f>IF((AC93-AB93)&lt;0,0,(AC93-AB93))</f>
        <v>0</v>
      </c>
    </row>
    <row r="94" spans="1:33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/>
      <c r="K94" s="12"/>
      <c r="L94" s="12"/>
      <c r="M94" s="12"/>
      <c r="N94" s="12"/>
      <c r="O94" s="12"/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  <c r="AB94" s="12">
        <f>Table1[[#This Row],[Enrolment S.Y. 2025-2026 ]]*8</f>
        <v>0</v>
      </c>
      <c r="AC94" s="12"/>
      <c r="AD94" s="10"/>
      <c r="AE94" s="12"/>
      <c r="AF94" s="12">
        <f>IF((AB94-AC94)&lt;0,0,(AB94-AC94))</f>
        <v>0</v>
      </c>
      <c r="AG94" s="12">
        <f>IF((AC94-AB94)&lt;0,0,(AC94-AB94))</f>
        <v>0</v>
      </c>
    </row>
    <row r="95" spans="1:33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/>
      <c r="K95" s="12"/>
      <c r="L95" s="12"/>
      <c r="M95" s="12"/>
      <c r="N95" s="12"/>
      <c r="O95" s="12"/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  <c r="AB95" s="12">
        <f>Table1[[#This Row],[Enrolment S.Y. 2025-2026 ]]*8</f>
        <v>0</v>
      </c>
      <c r="AC95" s="12"/>
      <c r="AD95" s="10"/>
      <c r="AE95" s="12"/>
      <c r="AF95" s="12">
        <f>IF((AB95-AC95)&lt;0,0,(AB95-AC95))</f>
        <v>0</v>
      </c>
      <c r="AG95" s="12">
        <f>IF((AC95-AB95)&lt;0,0,(AC95-AB95))</f>
        <v>0</v>
      </c>
    </row>
    <row r="96" spans="1:33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/>
      <c r="K96" s="12"/>
      <c r="L96" s="12"/>
      <c r="M96" s="12"/>
      <c r="N96" s="12"/>
      <c r="O96" s="12"/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  <c r="AB96" s="12">
        <f>Table1[[#This Row],[Enrolment S.Y. 2025-2026 ]]*8</f>
        <v>0</v>
      </c>
      <c r="AC96" s="12"/>
      <c r="AD96" s="10"/>
      <c r="AE96" s="12"/>
      <c r="AF96" s="12">
        <f>IF((AB96-AC96)&lt;0,0,(AB96-AC96))</f>
        <v>0</v>
      </c>
      <c r="AG96" s="12">
        <f>IF((AC96-AB96)&lt;0,0,(AC96-AB96))</f>
        <v>0</v>
      </c>
    </row>
    <row r="97" spans="1:33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/>
      <c r="K97" s="12"/>
      <c r="L97" s="12"/>
      <c r="M97" s="12"/>
      <c r="N97" s="12"/>
      <c r="O97" s="12"/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  <c r="AB97" s="12">
        <f>Table1[[#This Row],[Enrolment S.Y. 2025-2026 ]]*8</f>
        <v>0</v>
      </c>
      <c r="AC97" s="12"/>
      <c r="AD97" s="10"/>
      <c r="AE97" s="12"/>
      <c r="AF97" s="12">
        <f>IF((AB97-AC97)&lt;0,0,(AB97-AC97))</f>
        <v>0</v>
      </c>
      <c r="AG97" s="12">
        <f>IF((AC97-AB97)&lt;0,0,(AC97-AB97))</f>
        <v>0</v>
      </c>
    </row>
    <row r="98" spans="1:33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/>
      <c r="K98" s="12"/>
      <c r="L98" s="12"/>
      <c r="M98" s="12"/>
      <c r="N98" s="12"/>
      <c r="O98" s="12"/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  <c r="AB98" s="12">
        <f>Table1[[#This Row],[Enrolment S.Y. 2025-2026 ]]*8</f>
        <v>0</v>
      </c>
      <c r="AC98" s="12"/>
      <c r="AD98" s="10"/>
      <c r="AE98" s="12"/>
      <c r="AF98" s="12">
        <f>IF((AB98-AC98)&lt;0,0,(AB98-AC98))</f>
        <v>0</v>
      </c>
      <c r="AG98" s="12">
        <f>IF((AC98-AB98)&lt;0,0,(AC98-AB98))</f>
        <v>0</v>
      </c>
    </row>
    <row r="99" spans="1:33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/>
      <c r="K99" s="12"/>
      <c r="L99" s="12"/>
      <c r="M99" s="12"/>
      <c r="N99" s="12"/>
      <c r="O99" s="12"/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  <c r="AB99" s="12">
        <f>Table1[[#This Row],[Enrolment S.Y. 2025-2026 ]]*8</f>
        <v>0</v>
      </c>
      <c r="AC99" s="12"/>
      <c r="AD99" s="10"/>
      <c r="AE99" s="12"/>
      <c r="AF99" s="12">
        <f>IF((AB99-AC99)&lt;0,0,(AB99-AC99))</f>
        <v>0</v>
      </c>
      <c r="AG99" s="12">
        <f>IF((AC99-AB99)&lt;0,0,(AC99-AB99))</f>
        <v>0</v>
      </c>
    </row>
    <row r="100" spans="1:33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/>
      <c r="K100" s="12"/>
      <c r="L100" s="12"/>
      <c r="M100" s="12"/>
      <c r="N100" s="12"/>
      <c r="O100" s="12"/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  <c r="AB100" s="12">
        <f>Table1[[#This Row],[Enrolment S.Y. 2025-2026 ]]*8</f>
        <v>0</v>
      </c>
      <c r="AC100" s="12"/>
      <c r="AD100" s="10"/>
      <c r="AE100" s="12"/>
      <c r="AF100" s="12">
        <f>IF((AB100-AC100)&lt;0,0,(AB100-AC100))</f>
        <v>0</v>
      </c>
      <c r="AG100" s="12">
        <f>IF((AC100-AB100)&lt;0,0,(AC100-AB100))</f>
        <v>0</v>
      </c>
    </row>
    <row r="101" spans="1:33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/>
      <c r="K101" s="12"/>
      <c r="L101" s="12"/>
      <c r="M101" s="12"/>
      <c r="N101" s="12"/>
      <c r="O101" s="12"/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  <c r="AB101" s="12">
        <f>Table1[[#This Row],[Enrolment S.Y. 2025-2026 ]]*8</f>
        <v>0</v>
      </c>
      <c r="AC101" s="12"/>
      <c r="AD101" s="10"/>
      <c r="AE101" s="12"/>
      <c r="AF101" s="12">
        <f>IF((AB101-AC101)&lt;0,0,(AB101-AC101))</f>
        <v>0</v>
      </c>
      <c r="AG101" s="12">
        <f>IF((AC101-AB101)&lt;0,0,(AC101-AB101))</f>
        <v>0</v>
      </c>
    </row>
    <row r="102" spans="1:33" s="7" customFormat="1" ht="19.5">
      <c r="P102" s="13"/>
      <c r="S102" s="5"/>
      <c r="T102" s="13"/>
      <c r="U102" s="13"/>
      <c r="V102" s="13"/>
      <c r="Y102" s="5"/>
      <c r="Z102" s="13"/>
      <c r="AA102" s="13"/>
      <c r="AB102" s="13"/>
      <c r="AE102" s="5"/>
      <c r="AF102" s="13"/>
      <c r="AG102" s="13"/>
    </row>
    <row r="103" spans="1:33" ht="38.25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/>
      <c r="K103" s="5"/>
      <c r="L103" s="5"/>
      <c r="M103" s="5"/>
      <c r="N103" s="5"/>
      <c r="O103" s="5"/>
      <c r="P103" s="5">
        <f>Table1[[#This Row],[Enrolment S.Y. 2025-2026 ]]*8</f>
        <v>0</v>
      </c>
      <c r="Q103" s="5"/>
      <c r="R103" s="1"/>
      <c r="S103" s="5"/>
      <c r="T103" s="5">
        <f t="shared" si="16"/>
        <v>0</v>
      </c>
      <c r="U103" s="5">
        <f t="shared" si="17"/>
        <v>0</v>
      </c>
      <c r="V103" s="5">
        <f>Table1[[#This Row],[Enrolment S.Y. 2025-2026 ]]*8</f>
        <v>0</v>
      </c>
      <c r="W103" s="5"/>
      <c r="X103" s="1"/>
      <c r="Y103" s="5"/>
      <c r="Z103" s="5">
        <f t="shared" si="18"/>
        <v>0</v>
      </c>
      <c r="AA103" s="5">
        <f t="shared" si="19"/>
        <v>0</v>
      </c>
      <c r="AB103" s="5">
        <f>Table1[[#This Row],[Enrolment S.Y. 2025-2026 ]]*8</f>
        <v>0</v>
      </c>
      <c r="AC103" s="5"/>
      <c r="AD103" s="1"/>
      <c r="AE103" s="5"/>
      <c r="AF103" s="5">
        <f t="shared" si="20"/>
        <v>0</v>
      </c>
      <c r="AG103" s="5">
        <f t="shared" si="21"/>
        <v>0</v>
      </c>
    </row>
    <row r="104" spans="1:33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/>
      <c r="K104" s="5"/>
      <c r="L104" s="5"/>
      <c r="M104" s="5"/>
      <c r="N104" s="5"/>
      <c r="O104" s="5"/>
      <c r="P104" s="5">
        <f>Table1[[#This Row],[Enrolment S.Y. 2025-2026 ]]*8</f>
        <v>0</v>
      </c>
      <c r="Q104" s="5"/>
      <c r="R104" s="1"/>
      <c r="S104" s="5"/>
      <c r="T104" s="5">
        <f t="shared" si="16"/>
        <v>0</v>
      </c>
      <c r="U104" s="5">
        <f t="shared" si="17"/>
        <v>0</v>
      </c>
      <c r="V104" s="5">
        <f>Table1[[#This Row],[Enrolment S.Y. 2025-2026 ]]*8</f>
        <v>0</v>
      </c>
      <c r="W104" s="5"/>
      <c r="X104" s="1"/>
      <c r="Y104" s="5"/>
      <c r="Z104" s="5">
        <f t="shared" si="18"/>
        <v>0</v>
      </c>
      <c r="AA104" s="5">
        <f t="shared" si="19"/>
        <v>0</v>
      </c>
      <c r="AB104" s="5">
        <f>Table1[[#This Row],[Enrolment S.Y. 2025-2026 ]]*8</f>
        <v>0</v>
      </c>
      <c r="AC104" s="5"/>
      <c r="AD104" s="1"/>
      <c r="AE104" s="5"/>
      <c r="AF104" s="5">
        <f t="shared" si="20"/>
        <v>0</v>
      </c>
      <c r="AG104" s="5">
        <f t="shared" si="21"/>
        <v>0</v>
      </c>
    </row>
    <row r="105" spans="1:33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/>
      <c r="K105" s="5"/>
      <c r="L105" s="5"/>
      <c r="M105" s="5"/>
      <c r="N105" s="5"/>
      <c r="O105" s="5"/>
      <c r="P105" s="5">
        <f>Table1[[#This Row],[Enrolment S.Y. 2025-2026 ]]*8</f>
        <v>0</v>
      </c>
      <c r="Q105" s="5"/>
      <c r="R105" s="1"/>
      <c r="S105" s="5"/>
      <c r="T105" s="5">
        <f t="shared" si="16"/>
        <v>0</v>
      </c>
      <c r="U105" s="5">
        <f t="shared" si="17"/>
        <v>0</v>
      </c>
      <c r="V105" s="5">
        <f>Table1[[#This Row],[Enrolment S.Y. 2025-2026 ]]*8</f>
        <v>0</v>
      </c>
      <c r="W105" s="5"/>
      <c r="X105" s="1"/>
      <c r="Y105" s="5"/>
      <c r="Z105" s="5">
        <f t="shared" si="18"/>
        <v>0</v>
      </c>
      <c r="AA105" s="5">
        <f t="shared" si="19"/>
        <v>0</v>
      </c>
      <c r="AB105" s="5">
        <f>Table1[[#This Row],[Enrolment S.Y. 2025-2026 ]]*8</f>
        <v>0</v>
      </c>
      <c r="AC105" s="5"/>
      <c r="AD105" s="1"/>
      <c r="AE105" s="5"/>
      <c r="AF105" s="5">
        <f t="shared" si="20"/>
        <v>0</v>
      </c>
      <c r="AG105" s="5">
        <f t="shared" si="21"/>
        <v>0</v>
      </c>
    </row>
    <row r="106" spans="1:33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/>
      <c r="K106" s="5"/>
      <c r="L106" s="5"/>
      <c r="M106" s="5"/>
      <c r="N106" s="5"/>
      <c r="O106" s="5"/>
      <c r="P106" s="5">
        <f>Table1[[#This Row],[Enrolment S.Y. 2025-2026 ]]*8</f>
        <v>0</v>
      </c>
      <c r="Q106" s="5"/>
      <c r="R106" s="1"/>
      <c r="S106" s="5"/>
      <c r="T106" s="5">
        <f t="shared" si="16"/>
        <v>0</v>
      </c>
      <c r="U106" s="5">
        <f t="shared" si="17"/>
        <v>0</v>
      </c>
      <c r="V106" s="5">
        <f>Table1[[#This Row],[Enrolment S.Y. 2025-2026 ]]*8</f>
        <v>0</v>
      </c>
      <c r="W106" s="5"/>
      <c r="X106" s="1"/>
      <c r="Y106" s="5"/>
      <c r="Z106" s="5">
        <f t="shared" si="18"/>
        <v>0</v>
      </c>
      <c r="AA106" s="5">
        <f t="shared" si="19"/>
        <v>0</v>
      </c>
      <c r="AB106" s="5">
        <f>Table1[[#This Row],[Enrolment S.Y. 2025-2026 ]]*8</f>
        <v>0</v>
      </c>
      <c r="AC106" s="5"/>
      <c r="AD106" s="1"/>
      <c r="AE106" s="5"/>
      <c r="AF106" s="5">
        <f t="shared" si="20"/>
        <v>0</v>
      </c>
      <c r="AG106" s="5">
        <f t="shared" si="21"/>
        <v>0</v>
      </c>
    </row>
    <row r="107" spans="1:33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/>
      <c r="K107" s="5"/>
      <c r="L107" s="5"/>
      <c r="M107" s="5"/>
      <c r="N107" s="5"/>
      <c r="O107" s="5"/>
      <c r="P107" s="5">
        <f>Table1[[#This Row],[Enrolment S.Y. 2025-2026 ]]*8</f>
        <v>0</v>
      </c>
      <c r="Q107" s="5"/>
      <c r="R107" s="1"/>
      <c r="S107" s="5"/>
      <c r="T107" s="5">
        <f t="shared" si="16"/>
        <v>0</v>
      </c>
      <c r="U107" s="5">
        <f t="shared" si="17"/>
        <v>0</v>
      </c>
      <c r="V107" s="5">
        <f>Table1[[#This Row],[Enrolment S.Y. 2025-2026 ]]*8</f>
        <v>0</v>
      </c>
      <c r="W107" s="5"/>
      <c r="X107" s="1"/>
      <c r="Y107" s="5"/>
      <c r="Z107" s="5">
        <f t="shared" si="18"/>
        <v>0</v>
      </c>
      <c r="AA107" s="5">
        <f t="shared" si="19"/>
        <v>0</v>
      </c>
      <c r="AB107" s="5">
        <f>Table1[[#This Row],[Enrolment S.Y. 2025-2026 ]]*8</f>
        <v>0</v>
      </c>
      <c r="AC107" s="5"/>
      <c r="AD107" s="1"/>
      <c r="AE107" s="5"/>
      <c r="AF107" s="5">
        <f t="shared" si="20"/>
        <v>0</v>
      </c>
      <c r="AG107" s="5">
        <f t="shared" si="21"/>
        <v>0</v>
      </c>
    </row>
    <row r="108" spans="1:33" ht="38.25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/>
      <c r="K108" s="5"/>
      <c r="L108" s="5"/>
      <c r="M108" s="5"/>
      <c r="N108" s="5"/>
      <c r="O108" s="5"/>
      <c r="P108" s="5">
        <f>Table1[[#This Row],[Enrolment S.Y. 2025-2026 ]]*8</f>
        <v>0</v>
      </c>
      <c r="Q108" s="5"/>
      <c r="R108" s="1"/>
      <c r="S108" s="5"/>
      <c r="T108" s="5">
        <f t="shared" si="16"/>
        <v>0</v>
      </c>
      <c r="U108" s="5">
        <f t="shared" si="17"/>
        <v>0</v>
      </c>
      <c r="V108" s="5">
        <f>Table1[[#This Row],[Enrolment S.Y. 2025-2026 ]]*8</f>
        <v>0</v>
      </c>
      <c r="W108" s="5"/>
      <c r="X108" s="1"/>
      <c r="Y108" s="5"/>
      <c r="Z108" s="5">
        <f t="shared" si="18"/>
        <v>0</v>
      </c>
      <c r="AA108" s="5">
        <f t="shared" si="19"/>
        <v>0</v>
      </c>
      <c r="AB108" s="5">
        <f>Table1[[#This Row],[Enrolment S.Y. 2025-2026 ]]*8</f>
        <v>0</v>
      </c>
      <c r="AC108" s="5"/>
      <c r="AD108" s="1"/>
      <c r="AE108" s="5"/>
      <c r="AF108" s="5">
        <f t="shared" si="20"/>
        <v>0</v>
      </c>
      <c r="AG108" s="5">
        <f t="shared" si="21"/>
        <v>0</v>
      </c>
    </row>
    <row r="109" spans="1:33" ht="57.7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/>
      <c r="K109" s="5"/>
      <c r="L109" s="5"/>
      <c r="M109" s="5"/>
      <c r="N109" s="5"/>
      <c r="O109" s="5"/>
      <c r="P109" s="5">
        <f>Table1[[#This Row],[Enrolment S.Y. 2025-2026 ]]*8</f>
        <v>0</v>
      </c>
      <c r="Q109" s="5"/>
      <c r="R109" s="1"/>
      <c r="S109" s="5"/>
      <c r="T109" s="5">
        <f t="shared" si="16"/>
        <v>0</v>
      </c>
      <c r="U109" s="5">
        <f t="shared" si="17"/>
        <v>0</v>
      </c>
      <c r="V109" s="5">
        <f>Table1[[#This Row],[Enrolment S.Y. 2025-2026 ]]*8</f>
        <v>0</v>
      </c>
      <c r="W109" s="5"/>
      <c r="X109" s="1"/>
      <c r="Y109" s="5"/>
      <c r="Z109" s="5">
        <f t="shared" si="18"/>
        <v>0</v>
      </c>
      <c r="AA109" s="5">
        <f t="shared" si="19"/>
        <v>0</v>
      </c>
      <c r="AB109" s="5">
        <f>Table1[[#This Row],[Enrolment S.Y. 2025-2026 ]]*8</f>
        <v>0</v>
      </c>
      <c r="AC109" s="5"/>
      <c r="AD109" s="1"/>
      <c r="AE109" s="5"/>
      <c r="AF109" s="5">
        <f t="shared" si="20"/>
        <v>0</v>
      </c>
      <c r="AG109" s="5">
        <f t="shared" si="21"/>
        <v>0</v>
      </c>
    </row>
    <row r="110" spans="1:33" ht="38.25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/>
      <c r="K110" s="5"/>
      <c r="L110" s="5"/>
      <c r="M110" s="5"/>
      <c r="N110" s="5"/>
      <c r="O110" s="5"/>
      <c r="P110" s="5">
        <f>Table1[[#This Row],[Enrolment S.Y. 2025-2026 ]]*8</f>
        <v>0</v>
      </c>
      <c r="Q110" s="5"/>
      <c r="R110" s="1"/>
      <c r="S110" s="5"/>
      <c r="T110" s="5">
        <f t="shared" si="16"/>
        <v>0</v>
      </c>
      <c r="U110" s="5">
        <f t="shared" si="17"/>
        <v>0</v>
      </c>
      <c r="V110" s="5">
        <f>Table1[[#This Row],[Enrolment S.Y. 2025-2026 ]]*8</f>
        <v>0</v>
      </c>
      <c r="W110" s="5"/>
      <c r="X110" s="1"/>
      <c r="Y110" s="5"/>
      <c r="Z110" s="5">
        <f t="shared" si="18"/>
        <v>0</v>
      </c>
      <c r="AA110" s="5">
        <f t="shared" si="19"/>
        <v>0</v>
      </c>
      <c r="AB110" s="5">
        <f>Table1[[#This Row],[Enrolment S.Y. 2025-2026 ]]*8</f>
        <v>0</v>
      </c>
      <c r="AC110" s="5"/>
      <c r="AD110" s="1"/>
      <c r="AE110" s="5"/>
      <c r="AF110" s="5">
        <f t="shared" si="20"/>
        <v>0</v>
      </c>
      <c r="AG110" s="5">
        <f t="shared" si="21"/>
        <v>0</v>
      </c>
    </row>
    <row r="111" spans="1:33" s="7" customFormat="1" ht="19.5">
      <c r="P111" s="13"/>
      <c r="T111" s="13"/>
      <c r="U111" s="13"/>
      <c r="V111" s="13"/>
      <c r="Z111" s="13"/>
      <c r="AA111" s="13"/>
      <c r="AB111" s="13"/>
      <c r="AF111" s="13"/>
      <c r="AG111" s="13"/>
    </row>
    <row r="112" spans="1:33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/>
      <c r="K112" s="5"/>
      <c r="L112" s="5"/>
      <c r="M112" s="5"/>
      <c r="N112" s="5"/>
      <c r="O112" s="5"/>
      <c r="P112" s="5">
        <f>Table1[[#This Row],[Enrolment S.Y. 2025-2026 ]]*8</f>
        <v>0</v>
      </c>
      <c r="Q112" s="5"/>
      <c r="R112" s="1"/>
      <c r="S112" s="5"/>
      <c r="T112" s="5">
        <f t="shared" si="16"/>
        <v>0</v>
      </c>
      <c r="U112" s="5">
        <f t="shared" si="17"/>
        <v>0</v>
      </c>
      <c r="V112" s="5">
        <f>Table1[[#This Row],[Enrolment S.Y. 2025-2026 ]]*8</f>
        <v>0</v>
      </c>
      <c r="W112" s="5"/>
      <c r="X112" s="1"/>
      <c r="Y112" s="5"/>
      <c r="Z112" s="5">
        <f t="shared" si="18"/>
        <v>0</v>
      </c>
      <c r="AA112" s="5">
        <f t="shared" si="19"/>
        <v>0</v>
      </c>
      <c r="AB112" s="5">
        <f>Table1[[#This Row],[Enrolment S.Y. 2025-2026 ]]*8</f>
        <v>0</v>
      </c>
      <c r="AC112" s="5"/>
      <c r="AD112" s="1"/>
      <c r="AE112" s="5"/>
      <c r="AF112" s="5">
        <f t="shared" si="20"/>
        <v>0</v>
      </c>
      <c r="AG112" s="5">
        <f t="shared" si="21"/>
        <v>0</v>
      </c>
    </row>
    <row r="113" spans="1:33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/>
      <c r="K113" s="5"/>
      <c r="L113" s="5"/>
      <c r="M113" s="5"/>
      <c r="N113" s="5"/>
      <c r="O113" s="5"/>
      <c r="P113" s="5">
        <f>Table1[[#This Row],[Enrolment S.Y. 2025-2026 ]]*8</f>
        <v>0</v>
      </c>
      <c r="Q113" s="5"/>
      <c r="R113" s="1"/>
      <c r="S113" s="5"/>
      <c r="T113" s="5">
        <f t="shared" si="16"/>
        <v>0</v>
      </c>
      <c r="U113" s="5">
        <f t="shared" si="17"/>
        <v>0</v>
      </c>
      <c r="V113" s="5">
        <f>Table1[[#This Row],[Enrolment S.Y. 2025-2026 ]]*8</f>
        <v>0</v>
      </c>
      <c r="W113" s="5"/>
      <c r="X113" s="1"/>
      <c r="Y113" s="5"/>
      <c r="Z113" s="5">
        <f t="shared" si="18"/>
        <v>0</v>
      </c>
      <c r="AA113" s="5">
        <f t="shared" si="19"/>
        <v>0</v>
      </c>
      <c r="AB113" s="5">
        <f>Table1[[#This Row],[Enrolment S.Y. 2025-2026 ]]*8</f>
        <v>0</v>
      </c>
      <c r="AC113" s="5"/>
      <c r="AD113" s="1"/>
      <c r="AE113" s="5"/>
      <c r="AF113" s="5">
        <f t="shared" si="20"/>
        <v>0</v>
      </c>
      <c r="AG113" s="5">
        <f t="shared" si="21"/>
        <v>0</v>
      </c>
    </row>
    <row r="114" spans="1:33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/>
      <c r="K114" s="5"/>
      <c r="L114" s="5"/>
      <c r="M114" s="5"/>
      <c r="N114" s="5"/>
      <c r="O114" s="5"/>
      <c r="P114" s="5">
        <f>Table1[[#This Row],[Enrolment S.Y. 2025-2026 ]]*8</f>
        <v>0</v>
      </c>
      <c r="Q114" s="5"/>
      <c r="R114" s="1"/>
      <c r="S114" s="5"/>
      <c r="T114" s="5">
        <f t="shared" si="16"/>
        <v>0</v>
      </c>
      <c r="U114" s="5">
        <f t="shared" si="17"/>
        <v>0</v>
      </c>
      <c r="V114" s="5">
        <f>Table1[[#This Row],[Enrolment S.Y. 2025-2026 ]]*8</f>
        <v>0</v>
      </c>
      <c r="W114" s="5"/>
      <c r="X114" s="1"/>
      <c r="Y114" s="5"/>
      <c r="Z114" s="5">
        <f t="shared" si="18"/>
        <v>0</v>
      </c>
      <c r="AA114" s="5">
        <f t="shared" si="19"/>
        <v>0</v>
      </c>
      <c r="AB114" s="5">
        <f>Table1[[#This Row],[Enrolment S.Y. 2025-2026 ]]*8</f>
        <v>0</v>
      </c>
      <c r="AC114" s="5"/>
      <c r="AD114" s="1"/>
      <c r="AE114" s="5"/>
      <c r="AF114" s="5">
        <f t="shared" si="20"/>
        <v>0</v>
      </c>
      <c r="AG114" s="5">
        <f t="shared" si="21"/>
        <v>0</v>
      </c>
    </row>
    <row r="115" spans="1:33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/>
      <c r="K115" s="5"/>
      <c r="L115" s="5"/>
      <c r="M115" s="5"/>
      <c r="N115" s="5"/>
      <c r="O115" s="5"/>
      <c r="P115" s="5">
        <f>Table1[[#This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  <c r="AB115" s="5">
        <f>Table1[[#This Row],[Enrolment S.Y. 2025-2026 ]]*8</f>
        <v>0</v>
      </c>
      <c r="AC115" s="5"/>
      <c r="AD115" s="1"/>
      <c r="AE115" s="5"/>
      <c r="AF115" s="5">
        <f t="shared" si="20"/>
        <v>0</v>
      </c>
      <c r="AG115" s="5">
        <f t="shared" si="21"/>
        <v>0</v>
      </c>
    </row>
    <row r="116" spans="1:33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/>
      <c r="K116" s="5"/>
      <c r="L116" s="5"/>
      <c r="M116" s="5"/>
      <c r="N116" s="5"/>
      <c r="O116" s="5"/>
      <c r="P116" s="5">
        <f>Table1[[#This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  <c r="AB116" s="5">
        <f>Table1[[#This Row],[Enrolment S.Y. 2025-2026 ]]*8</f>
        <v>0</v>
      </c>
      <c r="AC116" s="5"/>
      <c r="AD116" s="1"/>
      <c r="AE116" s="5"/>
      <c r="AF116" s="5">
        <f t="shared" si="20"/>
        <v>0</v>
      </c>
      <c r="AG116" s="5">
        <f t="shared" si="21"/>
        <v>0</v>
      </c>
    </row>
    <row r="117" spans="1:33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/>
      <c r="K117" s="5"/>
      <c r="L117" s="5"/>
      <c r="M117" s="5"/>
      <c r="N117" s="5"/>
      <c r="O117" s="5"/>
      <c r="P117" s="5">
        <f>Table1[[#This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  <c r="AB117" s="5">
        <f>Table1[[#This Row],[Enrolment S.Y. 2025-2026 ]]*8</f>
        <v>0</v>
      </c>
      <c r="AC117" s="5"/>
      <c r="AD117" s="1"/>
      <c r="AE117" s="5"/>
      <c r="AF117" s="5">
        <f t="shared" si="20"/>
        <v>0</v>
      </c>
      <c r="AG117" s="5">
        <f t="shared" si="21"/>
        <v>0</v>
      </c>
    </row>
    <row r="118" spans="1:33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/>
      <c r="K118" s="5"/>
      <c r="L118" s="5"/>
      <c r="M118" s="5"/>
      <c r="N118" s="5"/>
      <c r="O118" s="5"/>
      <c r="P118" s="5">
        <f>Table1[[#This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  <c r="AB118" s="5">
        <f>Table1[[#This Row],[Enrolment S.Y. 2025-2026 ]]*8</f>
        <v>0</v>
      </c>
      <c r="AC118" s="5"/>
      <c r="AD118" s="1"/>
      <c r="AE118" s="5"/>
      <c r="AF118" s="5">
        <f t="shared" si="20"/>
        <v>0</v>
      </c>
      <c r="AG118" s="5">
        <f t="shared" si="21"/>
        <v>0</v>
      </c>
    </row>
    <row r="119" spans="1:33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/>
      <c r="K119" s="5"/>
      <c r="L119" s="5"/>
      <c r="M119" s="5"/>
      <c r="N119" s="5"/>
      <c r="O119" s="5"/>
      <c r="P119" s="5">
        <f>Table1[[#This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  <c r="AB119" s="5">
        <f>Table1[[#This Row],[Enrolment S.Y. 2025-2026 ]]*8</f>
        <v>0</v>
      </c>
      <c r="AC119" s="5"/>
      <c r="AD119" s="1"/>
      <c r="AE119" s="5"/>
      <c r="AF119" s="5">
        <f t="shared" si="20"/>
        <v>0</v>
      </c>
      <c r="AG119" s="5">
        <f t="shared" si="21"/>
        <v>0</v>
      </c>
    </row>
    <row r="120" spans="1:33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/>
      <c r="K120" s="5"/>
      <c r="L120" s="5"/>
      <c r="M120" s="5"/>
      <c r="N120" s="5"/>
      <c r="O120" s="5"/>
      <c r="P120" s="5">
        <f>Table1[[#This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  <c r="AB120" s="5">
        <f>Table1[[#This Row],[Enrolment S.Y. 2025-2026 ]]*8</f>
        <v>0</v>
      </c>
      <c r="AC120" s="5"/>
      <c r="AD120" s="1"/>
      <c r="AE120" s="5"/>
      <c r="AF120" s="5">
        <f t="shared" si="20"/>
        <v>0</v>
      </c>
      <c r="AG120" s="5">
        <f t="shared" si="21"/>
        <v>0</v>
      </c>
    </row>
    <row r="121" spans="1:33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/>
      <c r="K121" s="5"/>
      <c r="L121" s="5"/>
      <c r="M121" s="5"/>
      <c r="N121" s="5"/>
      <c r="O121" s="5"/>
      <c r="P121" s="5">
        <f>Table1[[#This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  <c r="AB121" s="5">
        <f>Table1[[#This Row],[Enrolment S.Y. 2025-2026 ]]*8</f>
        <v>0</v>
      </c>
      <c r="AC121" s="5"/>
      <c r="AD121" s="1"/>
      <c r="AE121" s="5"/>
      <c r="AF121" s="5">
        <f t="shared" si="20"/>
        <v>0</v>
      </c>
      <c r="AG121" s="5">
        <f t="shared" si="21"/>
        <v>0</v>
      </c>
    </row>
    <row r="122" spans="1:33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/>
      <c r="K122" s="5"/>
      <c r="L122" s="5"/>
      <c r="M122" s="5"/>
      <c r="N122" s="5"/>
      <c r="O122" s="5"/>
      <c r="P122" s="5">
        <f>Table1[[#This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  <c r="AB122" s="5">
        <f>Table1[[#This Row],[Enrolment S.Y. 2025-2026 ]]*8</f>
        <v>0</v>
      </c>
      <c r="AC122" s="5"/>
      <c r="AD122" s="1"/>
      <c r="AE122" s="5"/>
      <c r="AF122" s="5">
        <f t="shared" si="20"/>
        <v>0</v>
      </c>
      <c r="AG122" s="5">
        <f t="shared" si="21"/>
        <v>0</v>
      </c>
    </row>
    <row r="123" spans="1:33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/>
      <c r="K123" s="5"/>
      <c r="L123" s="5"/>
      <c r="M123" s="5"/>
      <c r="N123" s="5"/>
      <c r="O123" s="5"/>
      <c r="P123" s="5">
        <f>Table1[[#This Row],[Enrolment S.Y. 2025-2026 ]]*8</f>
        <v>0</v>
      </c>
      <c r="Q123" s="5"/>
      <c r="R123" s="1"/>
      <c r="S123" s="5"/>
      <c r="T123" s="5">
        <f t="shared" si="16"/>
        <v>0</v>
      </c>
      <c r="U123" s="5">
        <f t="shared" si="17"/>
        <v>0</v>
      </c>
      <c r="V123" s="5">
        <f>Table1[[#This Row],[Enrolment S.Y. 2025-2026 ]]*8</f>
        <v>0</v>
      </c>
      <c r="W123" s="5"/>
      <c r="X123" s="1"/>
      <c r="Y123" s="5"/>
      <c r="Z123" s="5">
        <f t="shared" si="18"/>
        <v>0</v>
      </c>
      <c r="AA123" s="5">
        <f t="shared" si="19"/>
        <v>0</v>
      </c>
      <c r="AB123" s="5">
        <f>Table1[[#This Row],[Enrolment S.Y. 2025-2026 ]]*8</f>
        <v>0</v>
      </c>
      <c r="AC123" s="5"/>
      <c r="AD123" s="1"/>
      <c r="AE123" s="5"/>
      <c r="AF123" s="5">
        <f t="shared" si="20"/>
        <v>0</v>
      </c>
      <c r="AG123" s="5">
        <f t="shared" si="21"/>
        <v>0</v>
      </c>
    </row>
    <row r="124" spans="1:33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/>
      <c r="K124" s="5"/>
      <c r="L124" s="5"/>
      <c r="M124" s="5"/>
      <c r="N124" s="5"/>
      <c r="O124" s="5"/>
      <c r="P124" s="5">
        <f>Table1[[#This Row],[Enrolment S.Y. 2025-2026 ]]*8</f>
        <v>0</v>
      </c>
      <c r="Q124" s="5"/>
      <c r="R124" s="1"/>
      <c r="S124" s="5"/>
      <c r="T124" s="5">
        <f t="shared" si="16"/>
        <v>0</v>
      </c>
      <c r="U124" s="5">
        <f t="shared" si="17"/>
        <v>0</v>
      </c>
      <c r="V124" s="5">
        <f>Table1[[#This Row],[Enrolment S.Y. 2025-2026 ]]*8</f>
        <v>0</v>
      </c>
      <c r="W124" s="5"/>
      <c r="X124" s="1"/>
      <c r="Y124" s="5"/>
      <c r="Z124" s="5">
        <f t="shared" si="18"/>
        <v>0</v>
      </c>
      <c r="AA124" s="5">
        <f t="shared" si="19"/>
        <v>0</v>
      </c>
      <c r="AB124" s="5">
        <f>Table1[[#This Row],[Enrolment S.Y. 2025-2026 ]]*8</f>
        <v>0</v>
      </c>
      <c r="AC124" s="5"/>
      <c r="AD124" s="1"/>
      <c r="AE124" s="5"/>
      <c r="AF124" s="5">
        <f t="shared" si="20"/>
        <v>0</v>
      </c>
      <c r="AG124" s="5">
        <f t="shared" si="21"/>
        <v>0</v>
      </c>
    </row>
    <row r="125" spans="1:33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/>
      <c r="K125" s="5"/>
      <c r="L125" s="5"/>
      <c r="M125" s="5"/>
      <c r="N125" s="5"/>
      <c r="O125" s="5"/>
      <c r="P125" s="5">
        <f>Table1[[#This Row],[Enrolment S.Y. 2025-2026 ]]*8</f>
        <v>0</v>
      </c>
      <c r="Q125" s="5"/>
      <c r="R125" s="1"/>
      <c r="S125" s="5"/>
      <c r="T125" s="5">
        <f t="shared" si="16"/>
        <v>0</v>
      </c>
      <c r="U125" s="5">
        <f t="shared" si="17"/>
        <v>0</v>
      </c>
      <c r="V125" s="5">
        <f>Table1[[#This Row],[Enrolment S.Y. 2025-2026 ]]*8</f>
        <v>0</v>
      </c>
      <c r="W125" s="5"/>
      <c r="X125" s="1"/>
      <c r="Y125" s="5"/>
      <c r="Z125" s="5">
        <f t="shared" si="18"/>
        <v>0</v>
      </c>
      <c r="AA125" s="5">
        <f t="shared" si="19"/>
        <v>0</v>
      </c>
      <c r="AB125" s="5">
        <f>Table1[[#This Row],[Enrolment S.Y. 2025-2026 ]]*8</f>
        <v>0</v>
      </c>
      <c r="AC125" s="5"/>
      <c r="AD125" s="1"/>
      <c r="AE125" s="5"/>
      <c r="AF125" s="5">
        <f t="shared" si="20"/>
        <v>0</v>
      </c>
      <c r="AG125" s="5">
        <f t="shared" si="21"/>
        <v>0</v>
      </c>
    </row>
    <row r="126" spans="1:33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/>
      <c r="K126" s="5"/>
      <c r="L126" s="5"/>
      <c r="M126" s="5"/>
      <c r="N126" s="5"/>
      <c r="O126" s="5"/>
      <c r="P126" s="5">
        <f>Table1[[#This Row],[Enrolment S.Y. 2025-2026 ]]*8</f>
        <v>0</v>
      </c>
      <c r="Q126" s="5"/>
      <c r="R126" s="1"/>
      <c r="S126" s="5"/>
      <c r="T126" s="5">
        <f t="shared" si="16"/>
        <v>0</v>
      </c>
      <c r="U126" s="5">
        <f t="shared" si="17"/>
        <v>0</v>
      </c>
      <c r="V126" s="5">
        <f>Table1[[#This Row],[Enrolment S.Y. 2025-2026 ]]*8</f>
        <v>0</v>
      </c>
      <c r="W126" s="5"/>
      <c r="X126" s="1"/>
      <c r="Y126" s="5"/>
      <c r="Z126" s="5">
        <f t="shared" si="18"/>
        <v>0</v>
      </c>
      <c r="AA126" s="5">
        <f t="shared" si="19"/>
        <v>0</v>
      </c>
      <c r="AB126" s="5">
        <f>Table1[[#This Row],[Enrolment S.Y. 2025-2026 ]]*8</f>
        <v>0</v>
      </c>
      <c r="AC126" s="5"/>
      <c r="AD126" s="1"/>
      <c r="AE126" s="5"/>
      <c r="AF126" s="5">
        <f t="shared" si="20"/>
        <v>0</v>
      </c>
      <c r="AG126" s="5">
        <f t="shared" si="21"/>
        <v>0</v>
      </c>
    </row>
    <row r="127" spans="1:33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/>
      <c r="K127" s="5"/>
      <c r="L127" s="5"/>
      <c r="M127" s="5"/>
      <c r="N127" s="5"/>
      <c r="O127" s="5"/>
      <c r="P127" s="5">
        <f>Table1[[#This Row],[Enrolment S.Y. 2025-2026 ]]*8</f>
        <v>0</v>
      </c>
      <c r="Q127" s="31"/>
      <c r="R127" s="29"/>
      <c r="S127" s="31"/>
      <c r="T127" s="5">
        <f t="shared" ref="T127" si="24">IF((P127-Q127)&lt;0,0,(P127-Q127))</f>
        <v>0</v>
      </c>
      <c r="U127" s="5">
        <f t="shared" ref="U127" si="25">IF((Q127-P127)&lt;0,0,(Q127-P127))</f>
        <v>0</v>
      </c>
      <c r="V127" s="5"/>
      <c r="W127" s="31"/>
      <c r="X127" s="29"/>
      <c r="Y127" s="31"/>
      <c r="Z127" s="5">
        <f t="shared" si="18"/>
        <v>0</v>
      </c>
      <c r="AA127" s="5">
        <f t="shared" si="19"/>
        <v>0</v>
      </c>
      <c r="AB127" s="5">
        <f>Table1[[#This Row],[Enrolment S.Y. 2025-2026 ]]*8</f>
        <v>0</v>
      </c>
      <c r="AC127" s="31"/>
      <c r="AD127" s="29"/>
      <c r="AE127" s="31"/>
      <c r="AF127" s="5">
        <f t="shared" si="20"/>
        <v>0</v>
      </c>
      <c r="AG127" s="5">
        <f t="shared" si="21"/>
        <v>0</v>
      </c>
    </row>
    <row r="128" spans="1:33">
      <c r="P128" t="e">
        <f>#REF!*8</f>
        <v>#REF!</v>
      </c>
    </row>
    <row r="129" spans="16:16">
      <c r="P129" t="e">
        <f>#REF!*8</f>
        <v>#REF!</v>
      </c>
    </row>
    <row r="130" spans="16:16">
      <c r="P130" t="e">
        <f>#REF!*8</f>
        <v>#REF!</v>
      </c>
    </row>
    <row r="131" spans="16:16">
      <c r="P131" t="e">
        <f>#REF!*8</f>
        <v>#REF!</v>
      </c>
    </row>
    <row r="132" spans="16:16">
      <c r="P132" t="e">
        <f>#REF!*8</f>
        <v>#REF!</v>
      </c>
    </row>
    <row r="133" spans="16:16">
      <c r="P133" t="e">
        <f>#REF!*8</f>
        <v>#REF!</v>
      </c>
    </row>
    <row r="134" spans="16:16">
      <c r="P134" t="e">
        <f>#REF!*8</f>
        <v>#REF!</v>
      </c>
    </row>
    <row r="135" spans="16:16">
      <c r="P135" t="e">
        <f>#REF!*8</f>
        <v>#REF!</v>
      </c>
    </row>
    <row r="136" spans="16:16">
      <c r="P136" t="e">
        <f>#REF!*8</f>
        <v>#REF!</v>
      </c>
    </row>
    <row r="137" spans="16:16">
      <c r="P137" t="e">
        <f>#REF!*8</f>
        <v>#REF!</v>
      </c>
    </row>
    <row r="138" spans="16:16">
      <c r="P138" t="e">
        <f>#REF!*8</f>
        <v>#REF!</v>
      </c>
    </row>
    <row r="139" spans="16:16">
      <c r="P139" t="e">
        <f>#REF!*8</f>
        <v>#REF!</v>
      </c>
    </row>
    <row r="140" spans="16:16">
      <c r="P140" t="e">
        <f>#REF!*8</f>
        <v>#REF!</v>
      </c>
    </row>
    <row r="141" spans="16:16">
      <c r="P141" t="e">
        <f>#REF!*8</f>
        <v>#REF!</v>
      </c>
    </row>
    <row r="142" spans="16:16">
      <c r="P142" t="e">
        <f>#REF!*8</f>
        <v>#REF!</v>
      </c>
    </row>
    <row r="143" spans="16:16">
      <c r="P143" t="e">
        <f>#REF!*8</f>
        <v>#REF!</v>
      </c>
    </row>
    <row r="144" spans="16:16">
      <c r="P144" t="e">
        <f>#REF!*8</f>
        <v>#REF!</v>
      </c>
    </row>
    <row r="145" spans="16:16">
      <c r="P145" t="e">
        <f>#REF!*8</f>
        <v>#REF!</v>
      </c>
    </row>
    <row r="146" spans="16:16">
      <c r="P146" t="e">
        <f>#REF!*8</f>
        <v>#REF!</v>
      </c>
    </row>
    <row r="147" spans="16:16">
      <c r="P147" t="e">
        <f>#REF!*8</f>
        <v>#REF!</v>
      </c>
    </row>
    <row r="148" spans="16:16">
      <c r="P148" t="e">
        <f>#REF!*8</f>
        <v>#REF!</v>
      </c>
    </row>
    <row r="149" spans="16:16">
      <c r="P149" t="e">
        <f>#REF!*8</f>
        <v>#REF!</v>
      </c>
    </row>
    <row r="150" spans="16:16">
      <c r="P150" t="e">
        <f>#REF!*8</f>
        <v>#REF!</v>
      </c>
    </row>
    <row r="151" spans="16:16">
      <c r="P151" t="e">
        <f>#REF!*8</f>
        <v>#REF!</v>
      </c>
    </row>
    <row r="152" spans="16:16">
      <c r="P152" t="e">
        <f>#REF!*8</f>
        <v>#REF!</v>
      </c>
    </row>
    <row r="153" spans="16:16">
      <c r="P153" t="e">
        <f>#REF!*8</f>
        <v>#REF!</v>
      </c>
    </row>
    <row r="154" spans="16:16">
      <c r="P154" t="e">
        <f>#REF!*8</f>
        <v>#REF!</v>
      </c>
    </row>
    <row r="155" spans="16:16">
      <c r="P155" t="e">
        <f>#REF!*8</f>
        <v>#REF!</v>
      </c>
    </row>
    <row r="156" spans="16:16">
      <c r="P156" t="e">
        <f>#REF!*8</f>
        <v>#REF!</v>
      </c>
    </row>
    <row r="157" spans="16:16">
      <c r="P157" t="e">
        <f>#REF!*8</f>
        <v>#REF!</v>
      </c>
    </row>
  </sheetData>
  <protectedRanges>
    <protectedRange sqref="C2:C3 C63:C71 C73:C81 C83:C91 C93:C101 C103:C110 C112:C127 C43:C51 C5:C12 C14:C21 C23:C31 C33:C41 C53:C61" name="Textbooks"/>
    <protectedRange sqref="P2:R3 D2:F3 H5:R5 H33:O41 H43:O51 H53:O61 H63:O71 W63:X71 AC63:AD71 H73:O81 W73:X81 AC73:AD81 H83:O91 W83:X91 AC83:AD91 H93:O101 W93:X101 AC93:AD101 H103:O110 W103:X110 AC103:AD110 H112:O127 T127:X127 AC112:AD127 H14:O21 H23:O31 H6:O12 Q63:R71 Q73:R81 Q83:R91 Q93:R101 Q103:R110 Q112:R127 W112:X126 V2:X2 T13:V126 Z13:AB127 P6:P127 W53:X61 T4:V4 Z4:AB4 P4 AF4:AG127 T3:X3 AE13 Q6:R12 Q14:R21 Q23:R31 Q33:R41 Q43:R51 Q53:R61 T5:X12 W14:X21 W23:X31 W33:X41 W43:X51 Z5:AD12 AB2:AB3 AD2:AD3 AC2 AC14:AD21 AC23:AD31 AC33:AD41 AC43:AD51 AC53:AD61 D5:F12 D14:F21 D23:F31 D33:F41 D43:F51 D53:F61 D63:F71 D73:F81 D83:F91 D93:F101 D103:F110 D112:F127" name="LAS"/>
    <protectedRange sqref="G2:O3 S2:U2 Y2:AA3 AE2:AG3 G112:G127 S112:S127 Y112:Y127 AE112:AE127 G5:G12 S5:S12 Y4:Y110 AE5:AE12 G14:G21 S14:S110 S3 AE14:AE110 G23:G31 G33:G41 G43:G51 G53:G61 G63:G71 G73:G81 G83:G91 G93:G101 G103:G110" name="SOURCE"/>
  </protectedRanges>
  <dataConsolidate/>
  <mergeCells count="4">
    <mergeCell ref="D1:I1"/>
    <mergeCell ref="P1:U1"/>
    <mergeCell ref="V1:AA1"/>
    <mergeCell ref="AB1:AG1"/>
  </mergeCells>
  <dataValidations count="4">
    <dataValidation type="list" allowBlank="1" showInputMessage="1" showErrorMessage="1" sqref="Y112:Y127 S112:S127 AE112:AE127 G112:G127" xr:uid="{8289B4A9-982E-4C7E-A8E2-4BF3404561DB}">
      <formula1>"CO,RO,SDO"</formula1>
    </dataValidation>
    <dataValidation type="list" allowBlank="1" showInputMessage="1" showErrorMessage="1" sqref="AD23:AD31 AD33:AD41 AD43:AD51 AD63:AD71 AD73:AD81 AD53:AD61 R112:R127 AD83:AD91 AD93:AD101 AD14:AD21 AD5:AD12 R23:R31 R33:R41 R43:R51 R63:R71 R73:R81 R53:R61 X112:X127 R83:R91 R93:R101 R14:R21 R5:R12 X23:X31 X33:X41 X43:X51 X63:X71 X73:X81 X53:X61 AD112:AD127 X83:X91 X93:X101 X14:X21 X5:X12 AD103:AD110 X103:X110 R103:R110" xr:uid="{4ECCD083-8EC4-42EE-B46C-B614411F330D}">
      <formula1>"2024,2025"</formula1>
    </dataValidation>
    <dataValidation type="list" allowBlank="1" showInputMessage="1" showErrorMessage="1" sqref="S14:S110 AE14:AE110 Y4:Y110 G5:G12 S5:S12 AE5:AE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3F60B684-BFA8-4E98-9C1A-39BEC70F89D1}">
      <formula1>"2024,2025,2026"</formula1>
    </dataValidation>
  </dataValidations>
  <pageMargins left="0.7" right="0.7" top="0.75" bottom="0.75" header="0.3" footer="0.3"/>
  <ignoredErrors>
    <ignoredError sqref="P5 V5:V6 AB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86"/>
  <sheetViews>
    <sheetView tabSelected="1" topLeftCell="A131" zoomScale="55" zoomScaleNormal="55" workbookViewId="0">
      <selection activeCell="F91" sqref="F91"/>
    </sheetView>
  </sheetViews>
  <sheetFormatPr defaultColWidth="9.140625" defaultRowHeight="15" customHeight="1"/>
  <cols>
    <col min="1" max="1" width="9.42578125" customWidth="1"/>
    <col min="2" max="2" width="27.85546875" customWidth="1"/>
    <col min="3" max="3" width="17.140625" customWidth="1"/>
    <col min="4" max="4" width="14.42578125" customWidth="1"/>
    <col min="5" max="5" width="14.28515625" customWidth="1"/>
    <col min="6" max="6" width="14.140625" customWidth="1"/>
    <col min="7" max="7" width="14.28515625" customWidth="1"/>
    <col min="8" max="8" width="14.140625" customWidth="1"/>
    <col min="9" max="9" width="14.28515625" customWidth="1"/>
    <col min="10" max="11" width="14.42578125" customWidth="1"/>
    <col min="12" max="12" width="14.28515625" customWidth="1"/>
    <col min="13" max="14" width="14.140625" customWidth="1"/>
    <col min="15" max="15" width="14.28515625" customWidth="1"/>
    <col min="16" max="17" width="14.140625" customWidth="1"/>
    <col min="18" max="18" width="14.42578125" customWidth="1"/>
    <col min="19" max="19" width="14.28515625" customWidth="1"/>
    <col min="20" max="20" width="21.85546875" customWidth="1"/>
    <col min="21" max="21" width="15.14062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62" t="s">
        <v>34</v>
      </c>
      <c r="E1" s="62"/>
      <c r="F1" s="62"/>
      <c r="G1" s="62"/>
      <c r="H1" s="62"/>
      <c r="I1" s="62"/>
      <c r="J1" s="63" t="s">
        <v>35</v>
      </c>
      <c r="K1" s="63"/>
      <c r="L1" s="63"/>
      <c r="M1" s="63"/>
      <c r="N1" s="63"/>
      <c r="O1" s="63"/>
      <c r="P1" s="64" t="s">
        <v>36</v>
      </c>
      <c r="Q1" s="64"/>
      <c r="R1" s="64"/>
      <c r="S1" s="64"/>
      <c r="T1" s="64"/>
      <c r="U1" s="64"/>
      <c r="V1" s="65" t="s">
        <v>37</v>
      </c>
      <c r="W1" s="65"/>
      <c r="X1" s="65"/>
      <c r="Y1" s="65"/>
      <c r="Z1" s="65"/>
      <c r="AA1" s="6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70</v>
      </c>
      <c r="E2" s="20" t="s">
        <v>71</v>
      </c>
      <c r="F2" s="21" t="s">
        <v>72</v>
      </c>
      <c r="G2" s="24" t="s">
        <v>73</v>
      </c>
      <c r="H2" s="17" t="s">
        <v>74</v>
      </c>
      <c r="I2" s="24" t="s">
        <v>75</v>
      </c>
      <c r="J2" s="22" t="s">
        <v>76</v>
      </c>
      <c r="K2" s="22" t="s">
        <v>77</v>
      </c>
      <c r="L2" s="23" t="s">
        <v>78</v>
      </c>
      <c r="M2" s="40" t="s">
        <v>79</v>
      </c>
      <c r="N2" s="40" t="s">
        <v>80</v>
      </c>
      <c r="O2" s="22" t="s">
        <v>81</v>
      </c>
      <c r="P2" s="24" t="s">
        <v>82</v>
      </c>
      <c r="Q2" s="24" t="s">
        <v>83</v>
      </c>
      <c r="R2" s="25" t="s">
        <v>84</v>
      </c>
      <c r="S2" s="17" t="s">
        <v>85</v>
      </c>
      <c r="T2" s="17" t="s">
        <v>86</v>
      </c>
      <c r="U2" s="24" t="s">
        <v>87</v>
      </c>
      <c r="V2" s="26" t="s">
        <v>88</v>
      </c>
      <c r="W2" s="26" t="s">
        <v>89</v>
      </c>
      <c r="X2" s="27" t="s">
        <v>90</v>
      </c>
      <c r="Y2" s="41" t="s">
        <v>91</v>
      </c>
      <c r="Z2" s="41" t="s">
        <v>92</v>
      </c>
      <c r="AA2" s="26" t="s">
        <v>93</v>
      </c>
    </row>
    <row r="3" spans="1:27" ht="38.25">
      <c r="A3" s="1">
        <v>1</v>
      </c>
      <c r="B3" s="2" t="s">
        <v>8</v>
      </c>
      <c r="C3" s="1">
        <v>219</v>
      </c>
      <c r="D3" s="5">
        <f>Table14[[#This Row],[Enrolment S.Y. 2025-2026 ]]*8</f>
        <v>1752</v>
      </c>
      <c r="E3" s="5">
        <v>0</v>
      </c>
      <c r="F3" s="1"/>
      <c r="G3" s="5"/>
      <c r="H3" s="5">
        <f t="shared" ref="H3:H99" si="0">IF((D3-E3)&lt;0,0,(D3-E3))</f>
        <v>1752</v>
      </c>
      <c r="I3" s="5">
        <f t="shared" ref="I3:I99" si="1">IF((E3-D3)&lt;0,0,(E3-D3))</f>
        <v>0</v>
      </c>
      <c r="J3" s="5">
        <f>Table14[[#This Row],[Enrolment S.Y. 2025-2026 ]]*8</f>
        <v>1752</v>
      </c>
      <c r="K3" s="5">
        <v>0</v>
      </c>
      <c r="L3" s="1"/>
      <c r="M3" s="5"/>
      <c r="N3" s="5">
        <f t="shared" ref="N3:N86" si="2">IF((J3-K3)&lt;0,0,(J3-K3))</f>
        <v>1752</v>
      </c>
      <c r="O3" s="5">
        <f t="shared" ref="O3:O86" si="3">IF((K3-J3)&lt;0,0,(K3-J3))</f>
        <v>0</v>
      </c>
      <c r="P3" s="5">
        <f>Table14[[#This Row],[Enrolment S.Y. 2025-2026 ]]*8</f>
        <v>1752</v>
      </c>
      <c r="Q3" s="5">
        <v>0</v>
      </c>
      <c r="R3" s="1"/>
      <c r="S3" s="5"/>
      <c r="T3" s="5">
        <f t="shared" ref="T3:T88" si="4">IF((P3-Q3)&lt;0,0,(P3-Q3))</f>
        <v>1752</v>
      </c>
      <c r="U3" s="5">
        <f t="shared" ref="U3:U88" si="5">IF((Q3-P3)&lt;0,0,(Q3-P3))</f>
        <v>0</v>
      </c>
      <c r="V3" s="5">
        <f>Table14[[#This Row],[Enrolment S.Y. 2025-2026 ]]*8</f>
        <v>1752</v>
      </c>
      <c r="W3" s="5">
        <v>0</v>
      </c>
      <c r="X3" s="1"/>
      <c r="Y3" s="5"/>
      <c r="Z3" s="5">
        <f t="shared" ref="Z3:Z88" si="6">IF((V3-W3)&lt;0,0,(V3-W3))</f>
        <v>1752</v>
      </c>
      <c r="AA3" s="5">
        <f t="shared" ref="AA3:AA88" si="7">IF((W3-V3)&lt;0,0,(W3-V3))</f>
        <v>0</v>
      </c>
    </row>
    <row r="4" spans="1:27" ht="19.5">
      <c r="A4" s="1">
        <v>1</v>
      </c>
      <c r="B4" s="2" t="s">
        <v>10</v>
      </c>
      <c r="C4" s="1">
        <v>219</v>
      </c>
      <c r="D4" s="5">
        <f>Table14[[#This Row],[Enrolment S.Y. 2025-2026 ]]*8</f>
        <v>1752</v>
      </c>
      <c r="E4" s="5">
        <v>0</v>
      </c>
      <c r="F4" s="1"/>
      <c r="G4" s="5"/>
      <c r="H4" s="5">
        <f t="shared" si="0"/>
        <v>1752</v>
      </c>
      <c r="I4" s="5">
        <f t="shared" si="1"/>
        <v>0</v>
      </c>
      <c r="J4" s="5">
        <f>Table14[[#This Row],[Enrolment S.Y. 2025-2026 ]]*8</f>
        <v>1752</v>
      </c>
      <c r="K4" s="5">
        <v>0</v>
      </c>
      <c r="L4" s="1"/>
      <c r="M4" s="5"/>
      <c r="N4" s="5">
        <f t="shared" si="2"/>
        <v>1752</v>
      </c>
      <c r="O4" s="5">
        <f t="shared" si="3"/>
        <v>0</v>
      </c>
      <c r="P4" s="5">
        <f>Table14[[#This Row],[Enrolment S.Y. 2025-2026 ]]*8</f>
        <v>1752</v>
      </c>
      <c r="Q4" s="5">
        <v>0</v>
      </c>
      <c r="R4" s="1"/>
      <c r="S4" s="5"/>
      <c r="T4" s="5">
        <f t="shared" si="4"/>
        <v>1752</v>
      </c>
      <c r="U4" s="5">
        <f t="shared" si="5"/>
        <v>0</v>
      </c>
      <c r="V4" s="5">
        <f>Table14[[#This Row],[Enrolment S.Y. 2025-2026 ]]*8</f>
        <v>1752</v>
      </c>
      <c r="W4" s="5">
        <v>0</v>
      </c>
      <c r="X4" s="1"/>
      <c r="Y4" s="5"/>
      <c r="Z4" s="5">
        <f t="shared" si="6"/>
        <v>1752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219</v>
      </c>
      <c r="D5" s="5">
        <f>Table14[[#This Row],[Enrolment S.Y. 2025-2026 ]]*8</f>
        <v>1752</v>
      </c>
      <c r="E5" s="5">
        <v>0</v>
      </c>
      <c r="F5" s="1"/>
      <c r="G5" s="5"/>
      <c r="H5" s="5">
        <f t="shared" si="0"/>
        <v>1752</v>
      </c>
      <c r="I5" s="5">
        <f t="shared" si="1"/>
        <v>0</v>
      </c>
      <c r="J5" s="5">
        <f>Table14[[#This Row],[Enrolment S.Y. 2025-2026 ]]*8</f>
        <v>1752</v>
      </c>
      <c r="K5" s="5">
        <v>0</v>
      </c>
      <c r="L5" s="1"/>
      <c r="M5" s="5"/>
      <c r="N5" s="5">
        <f t="shared" si="2"/>
        <v>1752</v>
      </c>
      <c r="O5" s="5">
        <f t="shared" si="3"/>
        <v>0</v>
      </c>
      <c r="P5" s="5">
        <f>Table14[[#This Row],[Enrolment S.Y. 2025-2026 ]]*8</f>
        <v>1752</v>
      </c>
      <c r="Q5" s="5">
        <v>0</v>
      </c>
      <c r="R5" s="1"/>
      <c r="S5" s="5"/>
      <c r="T5" s="5">
        <f t="shared" si="4"/>
        <v>1752</v>
      </c>
      <c r="U5" s="5">
        <f t="shared" si="5"/>
        <v>0</v>
      </c>
      <c r="V5" s="5">
        <f>Table14[[#This Row],[Enrolment S.Y. 2025-2026 ]]*8</f>
        <v>1752</v>
      </c>
      <c r="W5" s="5">
        <v>0</v>
      </c>
      <c r="X5" s="1"/>
      <c r="Y5" s="5"/>
      <c r="Z5" s="5">
        <f t="shared" si="6"/>
        <v>1752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219</v>
      </c>
      <c r="D6" s="5">
        <f>Table14[[#This Row],[Enrolment S.Y. 2025-2026 ]]*8</f>
        <v>1752</v>
      </c>
      <c r="E6" s="5">
        <v>0</v>
      </c>
      <c r="F6" s="1"/>
      <c r="G6" s="5"/>
      <c r="H6" s="5">
        <f t="shared" si="0"/>
        <v>1752</v>
      </c>
      <c r="I6" s="5">
        <f t="shared" si="1"/>
        <v>0</v>
      </c>
      <c r="J6" s="5">
        <f>Table14[[#This Row],[Enrolment S.Y. 2025-2026 ]]*8</f>
        <v>1752</v>
      </c>
      <c r="K6" s="5">
        <v>0</v>
      </c>
      <c r="L6" s="1"/>
      <c r="M6" s="5"/>
      <c r="N6" s="5">
        <f t="shared" si="2"/>
        <v>1752</v>
      </c>
      <c r="O6" s="5">
        <f t="shared" si="3"/>
        <v>0</v>
      </c>
      <c r="P6" s="5">
        <f>Table14[[#This Row],[Enrolment S.Y. 2025-2026 ]]*8</f>
        <v>1752</v>
      </c>
      <c r="Q6" s="5">
        <v>0</v>
      </c>
      <c r="R6" s="1"/>
      <c r="S6" s="5"/>
      <c r="T6" s="5">
        <f t="shared" si="4"/>
        <v>1752</v>
      </c>
      <c r="U6" s="5">
        <f t="shared" si="5"/>
        <v>0</v>
      </c>
      <c r="V6" s="5">
        <f>Table14[[#This Row],[Enrolment S.Y. 2025-2026 ]]*8</f>
        <v>1752</v>
      </c>
      <c r="W6" s="5">
        <v>0</v>
      </c>
      <c r="X6" s="1"/>
      <c r="Y6" s="5"/>
      <c r="Z6" s="5">
        <f t="shared" si="6"/>
        <v>1752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219</v>
      </c>
      <c r="D7" s="5">
        <f>Table14[[#This Row],[Enrolment S.Y. 2025-2026 ]]*8</f>
        <v>1752</v>
      </c>
      <c r="E7" s="5">
        <v>0</v>
      </c>
      <c r="F7" s="1"/>
      <c r="G7" s="5"/>
      <c r="H7" s="5">
        <f t="shared" si="0"/>
        <v>1752</v>
      </c>
      <c r="I7" s="5">
        <f t="shared" si="1"/>
        <v>0</v>
      </c>
      <c r="J7" s="5">
        <f>Table14[[#This Row],[Enrolment S.Y. 2025-2026 ]]*8</f>
        <v>1752</v>
      </c>
      <c r="K7" s="5">
        <v>0</v>
      </c>
      <c r="L7" s="1"/>
      <c r="M7" s="5"/>
      <c r="N7" s="5">
        <f t="shared" si="2"/>
        <v>1752</v>
      </c>
      <c r="O7" s="5">
        <f t="shared" si="3"/>
        <v>0</v>
      </c>
      <c r="P7" s="5">
        <f>Table14[[#This Row],[Enrolment S.Y. 2025-2026 ]]*8</f>
        <v>1752</v>
      </c>
      <c r="Q7" s="5">
        <v>0</v>
      </c>
      <c r="R7" s="1"/>
      <c r="S7" s="5"/>
      <c r="T7" s="5">
        <f t="shared" si="4"/>
        <v>1752</v>
      </c>
      <c r="U7" s="5">
        <f t="shared" si="5"/>
        <v>0</v>
      </c>
      <c r="V7" s="5">
        <f>Table14[[#This Row],[Enrolment S.Y. 2025-2026 ]]*8</f>
        <v>1752</v>
      </c>
      <c r="W7" s="5">
        <v>0</v>
      </c>
      <c r="X7" s="1"/>
      <c r="Y7" s="5"/>
      <c r="Z7" s="5">
        <f t="shared" si="6"/>
        <v>1752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219</v>
      </c>
      <c r="D8" s="5">
        <f>Table14[[#This Row],[Enrolment S.Y. 2025-2026 ]]*8</f>
        <v>1752</v>
      </c>
      <c r="E8" s="5">
        <v>0</v>
      </c>
      <c r="F8" s="1"/>
      <c r="G8" s="5"/>
      <c r="H8" s="5">
        <f>IF((D8-E8)&lt;0,0,(D8-E8))</f>
        <v>1752</v>
      </c>
      <c r="I8" s="5">
        <f>IF((E8-D8)&lt;0,0,(E8-D8))</f>
        <v>0</v>
      </c>
      <c r="J8" s="5">
        <f>Table14[[#This Row],[Enrolment S.Y. 2025-2026 ]]*8</f>
        <v>1752</v>
      </c>
      <c r="K8" s="5">
        <v>0</v>
      </c>
      <c r="L8" s="1"/>
      <c r="M8" s="5"/>
      <c r="N8" s="5">
        <f t="shared" si="2"/>
        <v>1752</v>
      </c>
      <c r="O8" s="5">
        <f t="shared" si="3"/>
        <v>0</v>
      </c>
      <c r="P8" s="5">
        <f>Table14[[#This Row],[Enrolment S.Y. 2025-2026 ]]*8</f>
        <v>1752</v>
      </c>
      <c r="Q8" s="5">
        <v>0</v>
      </c>
      <c r="R8" s="1"/>
      <c r="S8" s="5"/>
      <c r="T8" s="5">
        <f t="shared" si="4"/>
        <v>1752</v>
      </c>
      <c r="U8" s="5">
        <f t="shared" si="5"/>
        <v>0</v>
      </c>
      <c r="V8" s="5">
        <f>Table14[[#This Row],[Enrolment S.Y. 2025-2026 ]]*8</f>
        <v>1752</v>
      </c>
      <c r="W8" s="5">
        <v>0</v>
      </c>
      <c r="X8" s="1"/>
      <c r="Y8" s="5"/>
      <c r="Z8" s="5">
        <f t="shared" si="6"/>
        <v>1752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219</v>
      </c>
      <c r="D9" s="5">
        <f>Table14[[#This Row],[Enrolment S.Y. 2025-2026 ]]*8</f>
        <v>1752</v>
      </c>
      <c r="E9" s="5">
        <v>0</v>
      </c>
      <c r="F9" s="1"/>
      <c r="G9" s="5"/>
      <c r="H9" s="5">
        <f>IF((D9-E9)&lt;0,0,(D9-E9))</f>
        <v>1752</v>
      </c>
      <c r="I9" s="5">
        <f>IF((E9-D9)&lt;0,0,(E9-D9))</f>
        <v>0</v>
      </c>
      <c r="J9" s="5">
        <f>Table14[[#This Row],[Enrolment S.Y. 2025-2026 ]]*8</f>
        <v>1752</v>
      </c>
      <c r="K9" s="5">
        <v>0</v>
      </c>
      <c r="L9" s="1"/>
      <c r="M9" s="5"/>
      <c r="N9" s="5">
        <f t="shared" si="2"/>
        <v>1752</v>
      </c>
      <c r="O9" s="5">
        <f t="shared" si="3"/>
        <v>0</v>
      </c>
      <c r="P9" s="5">
        <f>Table14[[#This Row],[Enrolment S.Y. 2025-2026 ]]*8</f>
        <v>1752</v>
      </c>
      <c r="Q9" s="5">
        <v>0</v>
      </c>
      <c r="R9" s="1"/>
      <c r="S9" s="5"/>
      <c r="T9" s="5">
        <f t="shared" si="4"/>
        <v>1752</v>
      </c>
      <c r="U9" s="5">
        <f t="shared" si="5"/>
        <v>0</v>
      </c>
      <c r="V9" s="5">
        <f>Table14[[#This Row],[Enrolment S.Y. 2025-2026 ]]*8</f>
        <v>1752</v>
      </c>
      <c r="W9" s="5">
        <v>0</v>
      </c>
      <c r="X9" s="1"/>
      <c r="Y9" s="5"/>
      <c r="Z9" s="5">
        <f t="shared" si="6"/>
        <v>1752</v>
      </c>
      <c r="AA9" s="5">
        <f t="shared" si="7"/>
        <v>0</v>
      </c>
    </row>
    <row r="10" spans="1:27" ht="19.5">
      <c r="A10" s="1">
        <v>1</v>
      </c>
      <c r="B10" s="9" t="s">
        <v>69</v>
      </c>
      <c r="C10" s="1">
        <v>219</v>
      </c>
      <c r="D10" s="5">
        <f>Table14[[#This Row],[Enrolment S.Y. 2025-2026 ]]*8</f>
        <v>1752</v>
      </c>
      <c r="E10" s="5">
        <v>0</v>
      </c>
      <c r="F10" s="1"/>
      <c r="G10" s="5"/>
      <c r="H10" s="5">
        <f>IF((D10-E10)&lt;0,0,(D10-E10))</f>
        <v>1752</v>
      </c>
      <c r="I10" s="5">
        <f>IF((E10-D10)&lt;0,0,(E10-D10))</f>
        <v>0</v>
      </c>
      <c r="J10" s="5">
        <f>Table14[[#This Row],[Enrolment S.Y. 2025-2026 ]]*8</f>
        <v>1752</v>
      </c>
      <c r="K10" s="5">
        <v>0</v>
      </c>
      <c r="L10" s="1"/>
      <c r="M10" s="5"/>
      <c r="N10" s="5">
        <f t="shared" si="2"/>
        <v>1752</v>
      </c>
      <c r="O10" s="5">
        <f t="shared" si="3"/>
        <v>0</v>
      </c>
      <c r="P10" s="5">
        <f>Table14[[#This Row],[Enrolment S.Y. 2025-2026 ]]*8</f>
        <v>1752</v>
      </c>
      <c r="Q10" s="5">
        <v>0</v>
      </c>
      <c r="R10" s="1"/>
      <c r="S10" s="5"/>
      <c r="T10" s="5">
        <f t="shared" si="4"/>
        <v>1752</v>
      </c>
      <c r="U10" s="5">
        <f t="shared" si="5"/>
        <v>0</v>
      </c>
      <c r="V10" s="5">
        <f>Table14[[#This Row],[Enrolment S.Y. 2025-2026 ]]*8</f>
        <v>1752</v>
      </c>
      <c r="W10" s="5">
        <v>0</v>
      </c>
      <c r="X10" s="1"/>
      <c r="Y10" s="5"/>
      <c r="Z10" s="5">
        <f t="shared" si="6"/>
        <v>1752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265</v>
      </c>
      <c r="D12" s="5">
        <f>Table14[[#This Row],[Enrolment S.Y. 2025-2026 ]]*8</f>
        <v>2120</v>
      </c>
      <c r="E12" s="5">
        <v>0</v>
      </c>
      <c r="F12" s="1"/>
      <c r="G12" s="5"/>
      <c r="H12" s="5">
        <f t="shared" si="0"/>
        <v>2120</v>
      </c>
      <c r="I12" s="5">
        <f t="shared" si="1"/>
        <v>0</v>
      </c>
      <c r="J12" s="5">
        <f>Table14[[#This Row],[Enrolment S.Y. 2025-2026 ]]*8</f>
        <v>2120</v>
      </c>
      <c r="K12" s="5">
        <v>0</v>
      </c>
      <c r="L12" s="1"/>
      <c r="M12" s="5"/>
      <c r="N12" s="5">
        <f t="shared" si="2"/>
        <v>2120</v>
      </c>
      <c r="O12" s="5">
        <f t="shared" si="3"/>
        <v>0</v>
      </c>
      <c r="P12" s="5">
        <f>Table14[[#This Row],[Enrolment S.Y. 2025-2026 ]]*8</f>
        <v>2120</v>
      </c>
      <c r="Q12" s="5">
        <v>0</v>
      </c>
      <c r="R12" s="1"/>
      <c r="S12" s="5"/>
      <c r="T12" s="5">
        <f t="shared" si="4"/>
        <v>2120</v>
      </c>
      <c r="U12" s="5">
        <f t="shared" si="5"/>
        <v>0</v>
      </c>
      <c r="V12" s="5">
        <f>Table14[[#This Row],[Enrolment S.Y. 2025-2026 ]]*8</f>
        <v>2120</v>
      </c>
      <c r="W12" s="5">
        <v>0</v>
      </c>
      <c r="X12" s="1"/>
      <c r="Y12" s="5"/>
      <c r="Z12" s="5">
        <f t="shared" si="6"/>
        <v>2120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265</v>
      </c>
      <c r="D13" s="5">
        <f>Table14[[#This Row],[Enrolment S.Y. 2025-2026 ]]*8</f>
        <v>2120</v>
      </c>
      <c r="E13" s="5">
        <v>0</v>
      </c>
      <c r="F13" s="1"/>
      <c r="G13" s="5"/>
      <c r="H13" s="5">
        <f t="shared" si="0"/>
        <v>2120</v>
      </c>
      <c r="I13" s="5">
        <f t="shared" si="1"/>
        <v>0</v>
      </c>
      <c r="J13" s="5">
        <f>Table14[[#This Row],[Enrolment S.Y. 2025-2026 ]]*8</f>
        <v>2120</v>
      </c>
      <c r="K13" s="5">
        <v>0</v>
      </c>
      <c r="L13" s="1"/>
      <c r="M13" s="5"/>
      <c r="N13" s="5">
        <f t="shared" si="2"/>
        <v>2120</v>
      </c>
      <c r="O13" s="5">
        <f t="shared" si="3"/>
        <v>0</v>
      </c>
      <c r="P13" s="5">
        <f>Table14[[#This Row],[Enrolment S.Y. 2025-2026 ]]*8</f>
        <v>2120</v>
      </c>
      <c r="Q13" s="5">
        <v>0</v>
      </c>
      <c r="R13" s="1"/>
      <c r="S13" s="5"/>
      <c r="T13" s="5">
        <f t="shared" si="4"/>
        <v>2120</v>
      </c>
      <c r="U13" s="5">
        <f t="shared" si="5"/>
        <v>0</v>
      </c>
      <c r="V13" s="5">
        <f>Table14[[#This Row],[Enrolment S.Y. 2025-2026 ]]*8</f>
        <v>2120</v>
      </c>
      <c r="W13" s="5">
        <v>0</v>
      </c>
      <c r="X13" s="1"/>
      <c r="Y13" s="5"/>
      <c r="Z13" s="5">
        <f t="shared" si="6"/>
        <v>2120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265</v>
      </c>
      <c r="D14" s="5">
        <f>Table14[[#This Row],[Enrolment S.Y. 2025-2026 ]]*8</f>
        <v>2120</v>
      </c>
      <c r="E14" s="5">
        <v>0</v>
      </c>
      <c r="F14" s="1"/>
      <c r="G14" s="5"/>
      <c r="H14" s="5">
        <f t="shared" si="0"/>
        <v>2120</v>
      </c>
      <c r="I14" s="5">
        <f t="shared" si="1"/>
        <v>0</v>
      </c>
      <c r="J14" s="5">
        <f>Table14[[#This Row],[Enrolment S.Y. 2025-2026 ]]*8</f>
        <v>2120</v>
      </c>
      <c r="K14" s="5">
        <v>0</v>
      </c>
      <c r="L14" s="1"/>
      <c r="M14" s="5"/>
      <c r="N14" s="5">
        <f t="shared" si="2"/>
        <v>2120</v>
      </c>
      <c r="O14" s="5">
        <f t="shared" si="3"/>
        <v>0</v>
      </c>
      <c r="P14" s="5">
        <f>Table14[[#This Row],[Enrolment S.Y. 2025-2026 ]]*8</f>
        <v>2120</v>
      </c>
      <c r="Q14" s="5">
        <v>0</v>
      </c>
      <c r="R14" s="1"/>
      <c r="S14" s="5"/>
      <c r="T14" s="5">
        <f t="shared" si="4"/>
        <v>2120</v>
      </c>
      <c r="U14" s="5">
        <f t="shared" si="5"/>
        <v>0</v>
      </c>
      <c r="V14" s="5">
        <f>Table14[[#This Row],[Enrolment S.Y. 2025-2026 ]]*8</f>
        <v>2120</v>
      </c>
      <c r="W14" s="5">
        <v>0</v>
      </c>
      <c r="X14" s="1"/>
      <c r="Y14" s="5"/>
      <c r="Z14" s="5">
        <f t="shared" si="6"/>
        <v>2120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265</v>
      </c>
      <c r="D15" s="5">
        <f>Table14[[#This Row],[Enrolment S.Y. 2025-2026 ]]*8</f>
        <v>2120</v>
      </c>
      <c r="E15" s="5">
        <v>0</v>
      </c>
      <c r="F15" s="1"/>
      <c r="G15" s="5"/>
      <c r="H15" s="5">
        <f t="shared" si="0"/>
        <v>2120</v>
      </c>
      <c r="I15" s="5">
        <f t="shared" si="1"/>
        <v>0</v>
      </c>
      <c r="J15" s="5">
        <f>Table14[[#This Row],[Enrolment S.Y. 2025-2026 ]]*8</f>
        <v>2120</v>
      </c>
      <c r="K15" s="5">
        <v>285</v>
      </c>
      <c r="L15" s="1">
        <v>2025</v>
      </c>
      <c r="M15" s="5" t="s">
        <v>16</v>
      </c>
      <c r="N15" s="5">
        <f t="shared" si="2"/>
        <v>1835</v>
      </c>
      <c r="O15" s="5">
        <f t="shared" si="3"/>
        <v>0</v>
      </c>
      <c r="P15" s="5">
        <f>Table14[[#This Row],[Enrolment S.Y. 2025-2026 ]]*8</f>
        <v>2120</v>
      </c>
      <c r="Q15" s="5">
        <v>0</v>
      </c>
      <c r="R15" s="1"/>
      <c r="S15" s="5"/>
      <c r="T15" s="5">
        <f t="shared" si="4"/>
        <v>2120</v>
      </c>
      <c r="U15" s="5">
        <f t="shared" si="5"/>
        <v>0</v>
      </c>
      <c r="V15" s="5">
        <f>Table14[[#This Row],[Enrolment S.Y. 2025-2026 ]]*8</f>
        <v>2120</v>
      </c>
      <c r="W15" s="5">
        <v>0</v>
      </c>
      <c r="X15" s="1"/>
      <c r="Y15" s="5"/>
      <c r="Z15" s="5">
        <f t="shared" si="6"/>
        <v>2120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265</v>
      </c>
      <c r="D16" s="5">
        <f>Table14[[#This Row],[Enrolment S.Y. 2025-2026 ]]*8</f>
        <v>2120</v>
      </c>
      <c r="E16" s="5">
        <v>0</v>
      </c>
      <c r="F16" s="1"/>
      <c r="G16" s="5"/>
      <c r="H16" s="5">
        <f t="shared" si="0"/>
        <v>2120</v>
      </c>
      <c r="I16" s="5">
        <f t="shared" si="1"/>
        <v>0</v>
      </c>
      <c r="J16" s="5">
        <f>Table14[[#This Row],[Enrolment S.Y. 2025-2026 ]]*8</f>
        <v>2120</v>
      </c>
      <c r="K16" s="5">
        <v>0</v>
      </c>
      <c r="L16" s="1"/>
      <c r="M16" s="5"/>
      <c r="N16" s="5">
        <f t="shared" si="2"/>
        <v>2120</v>
      </c>
      <c r="O16" s="5">
        <f t="shared" si="3"/>
        <v>0</v>
      </c>
      <c r="P16" s="5">
        <f>Table14[[#This Row],[Enrolment S.Y. 2025-2026 ]]*8</f>
        <v>2120</v>
      </c>
      <c r="Q16" s="5">
        <v>0</v>
      </c>
      <c r="R16" s="1"/>
      <c r="S16" s="5"/>
      <c r="T16" s="5">
        <f t="shared" si="4"/>
        <v>2120</v>
      </c>
      <c r="U16" s="5">
        <f t="shared" si="5"/>
        <v>0</v>
      </c>
      <c r="V16" s="5">
        <f>Table14[[#This Row],[Enrolment S.Y. 2025-2026 ]]*8</f>
        <v>2120</v>
      </c>
      <c r="W16" s="5">
        <v>0</v>
      </c>
      <c r="X16" s="1"/>
      <c r="Y16" s="5"/>
      <c r="Z16" s="5">
        <f t="shared" si="6"/>
        <v>2120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265</v>
      </c>
      <c r="D17" s="5">
        <f>Table14[[#This Row],[Enrolment S.Y. 2025-2026 ]]*8</f>
        <v>2120</v>
      </c>
      <c r="E17" s="5">
        <v>0</v>
      </c>
      <c r="F17" s="1"/>
      <c r="G17" s="5"/>
      <c r="H17" s="5">
        <f>IF((D17-E17)&lt;0,0,(D17-E17))</f>
        <v>2120</v>
      </c>
      <c r="I17" s="5">
        <f>IF((E17-D17)&lt;0,0,(E17-D17))</f>
        <v>0</v>
      </c>
      <c r="J17" s="5">
        <f>Table14[[#This Row],[Enrolment S.Y. 2025-2026 ]]*8</f>
        <v>2120</v>
      </c>
      <c r="K17" s="5">
        <v>0</v>
      </c>
      <c r="L17" s="1"/>
      <c r="M17" s="5"/>
      <c r="N17" s="5">
        <f t="shared" si="2"/>
        <v>2120</v>
      </c>
      <c r="O17" s="5">
        <f t="shared" si="3"/>
        <v>0</v>
      </c>
      <c r="P17" s="5">
        <f>Table14[[#This Row],[Enrolment S.Y. 2025-2026 ]]*8</f>
        <v>2120</v>
      </c>
      <c r="Q17" s="5">
        <v>0</v>
      </c>
      <c r="R17" s="1"/>
      <c r="S17" s="5"/>
      <c r="T17" s="5">
        <f t="shared" si="4"/>
        <v>2120</v>
      </c>
      <c r="U17" s="5">
        <f t="shared" si="5"/>
        <v>0</v>
      </c>
      <c r="V17" s="5">
        <f>Table14[[#This Row],[Enrolment S.Y. 2025-2026 ]]*8</f>
        <v>2120</v>
      </c>
      <c r="W17" s="5">
        <v>0</v>
      </c>
      <c r="X17" s="1"/>
      <c r="Y17" s="5"/>
      <c r="Z17" s="5">
        <f t="shared" si="6"/>
        <v>2120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265</v>
      </c>
      <c r="D18" s="5">
        <f>Table14[[#This Row],[Enrolment S.Y. 2025-2026 ]]*8</f>
        <v>2120</v>
      </c>
      <c r="E18" s="5">
        <v>0</v>
      </c>
      <c r="F18" s="1"/>
      <c r="G18" s="5"/>
      <c r="H18" s="5">
        <f>IF((D18-E18)&lt;0,0,(D18-E18))</f>
        <v>2120</v>
      </c>
      <c r="I18" s="5">
        <f>IF((E18-D18)&lt;0,0,(E18-D18))</f>
        <v>0</v>
      </c>
      <c r="J18" s="5">
        <f>Table14[[#This Row],[Enrolment S.Y. 2025-2026 ]]*8</f>
        <v>2120</v>
      </c>
      <c r="K18" s="5">
        <v>0</v>
      </c>
      <c r="L18" s="1"/>
      <c r="M18" s="5"/>
      <c r="N18" s="5">
        <f t="shared" si="2"/>
        <v>2120</v>
      </c>
      <c r="O18" s="5">
        <f t="shared" si="3"/>
        <v>0</v>
      </c>
      <c r="P18" s="5">
        <f>Table14[[#This Row],[Enrolment S.Y. 2025-2026 ]]*8</f>
        <v>2120</v>
      </c>
      <c r="Q18" s="5">
        <v>0</v>
      </c>
      <c r="R18" s="1"/>
      <c r="S18" s="5"/>
      <c r="T18" s="5">
        <f t="shared" si="4"/>
        <v>2120</v>
      </c>
      <c r="U18" s="5">
        <f t="shared" si="5"/>
        <v>0</v>
      </c>
      <c r="V18" s="5">
        <f>Table14[[#This Row],[Enrolment S.Y. 2025-2026 ]]*8</f>
        <v>2120</v>
      </c>
      <c r="W18" s="5">
        <v>0</v>
      </c>
      <c r="X18" s="1"/>
      <c r="Y18" s="5"/>
      <c r="Z18" s="5">
        <f t="shared" si="6"/>
        <v>2120</v>
      </c>
      <c r="AA18" s="5">
        <f t="shared" si="7"/>
        <v>0</v>
      </c>
    </row>
    <row r="19" spans="1:27" ht="19.5">
      <c r="A19" s="1">
        <v>2</v>
      </c>
      <c r="B19" s="9" t="s">
        <v>69</v>
      </c>
      <c r="C19" s="1">
        <v>265</v>
      </c>
      <c r="D19" s="5">
        <f>Table14[[#This Row],[Enrolment S.Y. 2025-2026 ]]*8</f>
        <v>2120</v>
      </c>
      <c r="E19" s="5">
        <v>0</v>
      </c>
      <c r="F19" s="1"/>
      <c r="G19" s="5"/>
      <c r="H19" s="5">
        <f>IF((D19-E19)&lt;0,0,(D19-E19))</f>
        <v>2120</v>
      </c>
      <c r="I19" s="5">
        <f>IF((E19-D19)&lt;0,0,(E19-D19))</f>
        <v>0</v>
      </c>
      <c r="J19" s="5">
        <f>Table14[[#This Row],[Enrolment S.Y. 2025-2026 ]]*8</f>
        <v>2120</v>
      </c>
      <c r="K19" s="5">
        <v>0</v>
      </c>
      <c r="L19" s="1"/>
      <c r="M19" s="5"/>
      <c r="N19" s="5">
        <f t="shared" si="2"/>
        <v>2120</v>
      </c>
      <c r="O19" s="5">
        <f t="shared" si="3"/>
        <v>0</v>
      </c>
      <c r="P19" s="5">
        <f>Table14[[#This Row],[Enrolment S.Y. 2025-2026 ]]*8</f>
        <v>2120</v>
      </c>
      <c r="Q19" s="5">
        <v>0</v>
      </c>
      <c r="R19" s="1"/>
      <c r="S19" s="5"/>
      <c r="T19" s="5">
        <f t="shared" si="4"/>
        <v>2120</v>
      </c>
      <c r="U19" s="5">
        <f t="shared" si="5"/>
        <v>0</v>
      </c>
      <c r="V19" s="5">
        <f>Table14[[#This Row],[Enrolment S.Y. 2025-2026 ]]*8</f>
        <v>2120</v>
      </c>
      <c r="W19" s="5">
        <v>0</v>
      </c>
      <c r="X19" s="1"/>
      <c r="Y19" s="5"/>
      <c r="Z19" s="5">
        <f t="shared" si="6"/>
        <v>2120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265</v>
      </c>
      <c r="D21" s="5">
        <f>Table14[[#This Row],[Enrolment S.Y. 2025-2026 ]]*8</f>
        <v>2120</v>
      </c>
      <c r="E21" s="5">
        <v>0</v>
      </c>
      <c r="F21" s="1"/>
      <c r="G21" s="5"/>
      <c r="H21" s="5">
        <f t="shared" si="0"/>
        <v>2120</v>
      </c>
      <c r="I21" s="5">
        <f t="shared" si="1"/>
        <v>0</v>
      </c>
      <c r="J21" s="5">
        <f>Table14[[#This Row],[Enrolment S.Y. 2025-2026 ]]*8</f>
        <v>2120</v>
      </c>
      <c r="K21" s="5">
        <v>0</v>
      </c>
      <c r="L21" s="1"/>
      <c r="M21" s="5"/>
      <c r="N21" s="5">
        <f t="shared" si="2"/>
        <v>2120</v>
      </c>
      <c r="O21" s="5">
        <f t="shared" si="3"/>
        <v>0</v>
      </c>
      <c r="P21" s="5">
        <f>Table14[[#This Row],[Enrolment S.Y. 2025-2026 ]]*8</f>
        <v>2120</v>
      </c>
      <c r="Q21" s="5">
        <v>0</v>
      </c>
      <c r="R21" s="1"/>
      <c r="S21" s="5"/>
      <c r="T21" s="5">
        <f t="shared" si="4"/>
        <v>2120</v>
      </c>
      <c r="U21" s="5">
        <f t="shared" si="5"/>
        <v>0</v>
      </c>
      <c r="V21" s="5">
        <f>Table14[[#This Row],[Enrolment S.Y. 2025-2026 ]]*8</f>
        <v>2120</v>
      </c>
      <c r="W21" s="5">
        <v>0</v>
      </c>
      <c r="X21" s="1"/>
      <c r="Y21" s="5"/>
      <c r="Z21" s="5">
        <f t="shared" si="6"/>
        <v>2120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265</v>
      </c>
      <c r="D22" s="5">
        <f>Table14[[#This Row],[Enrolment S.Y. 2025-2026 ]]*8</f>
        <v>2120</v>
      </c>
      <c r="E22" s="5">
        <v>0</v>
      </c>
      <c r="F22" s="1"/>
      <c r="G22" s="5"/>
      <c r="H22" s="5">
        <f t="shared" si="0"/>
        <v>2120</v>
      </c>
      <c r="I22" s="5">
        <f t="shared" si="1"/>
        <v>0</v>
      </c>
      <c r="J22" s="5">
        <f>Table14[[#This Row],[Enrolment S.Y. 2025-2026 ]]*8</f>
        <v>2120</v>
      </c>
      <c r="K22" s="5">
        <v>0</v>
      </c>
      <c r="L22" s="1"/>
      <c r="M22" s="5"/>
      <c r="N22" s="5">
        <f t="shared" si="2"/>
        <v>2120</v>
      </c>
      <c r="O22" s="5">
        <f t="shared" si="3"/>
        <v>0</v>
      </c>
      <c r="P22" s="5">
        <f>Table14[[#This Row],[Enrolment S.Y. 2025-2026 ]]*8</f>
        <v>2120</v>
      </c>
      <c r="Q22" s="5">
        <v>0</v>
      </c>
      <c r="R22" s="1"/>
      <c r="S22" s="5"/>
      <c r="T22" s="5">
        <f t="shared" si="4"/>
        <v>2120</v>
      </c>
      <c r="U22" s="5">
        <f t="shared" si="5"/>
        <v>0</v>
      </c>
      <c r="V22" s="5">
        <f>Table14[[#This Row],[Enrolment S.Y. 2025-2026 ]]*8</f>
        <v>2120</v>
      </c>
      <c r="W22" s="5">
        <v>0</v>
      </c>
      <c r="X22" s="1"/>
      <c r="Y22" s="5"/>
      <c r="Z22" s="5">
        <f t="shared" si="6"/>
        <v>2120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265</v>
      </c>
      <c r="D23" s="5">
        <f>Table14[[#This Row],[Enrolment S.Y. 2025-2026 ]]*8</f>
        <v>2120</v>
      </c>
      <c r="E23" s="5">
        <v>0</v>
      </c>
      <c r="F23" s="1"/>
      <c r="G23" s="5"/>
      <c r="H23" s="5">
        <f t="shared" si="0"/>
        <v>2120</v>
      </c>
      <c r="I23" s="5">
        <f t="shared" si="1"/>
        <v>0</v>
      </c>
      <c r="J23" s="5">
        <f>Table14[[#This Row],[Enrolment S.Y. 2025-2026 ]]*8</f>
        <v>2120</v>
      </c>
      <c r="K23" s="5">
        <v>0</v>
      </c>
      <c r="L23" s="1"/>
      <c r="M23" s="5"/>
      <c r="N23" s="5">
        <f t="shared" si="2"/>
        <v>2120</v>
      </c>
      <c r="O23" s="5">
        <f t="shared" si="3"/>
        <v>0</v>
      </c>
      <c r="P23" s="5">
        <f>Table14[[#This Row],[Enrolment S.Y. 2025-2026 ]]*8</f>
        <v>2120</v>
      </c>
      <c r="Q23" s="5">
        <v>0</v>
      </c>
      <c r="R23" s="1"/>
      <c r="S23" s="5"/>
      <c r="T23" s="5">
        <f t="shared" si="4"/>
        <v>2120</v>
      </c>
      <c r="U23" s="5">
        <f t="shared" si="5"/>
        <v>0</v>
      </c>
      <c r="V23" s="5">
        <f>Table14[[#This Row],[Enrolment S.Y. 2025-2026 ]]*8</f>
        <v>2120</v>
      </c>
      <c r="W23" s="5">
        <v>0</v>
      </c>
      <c r="X23" s="1"/>
      <c r="Y23" s="5"/>
      <c r="Z23" s="5">
        <f t="shared" si="6"/>
        <v>2120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265</v>
      </c>
      <c r="D24" s="5">
        <f>Table14[[#This Row],[Enrolment S.Y. 2025-2026 ]]*8</f>
        <v>2120</v>
      </c>
      <c r="E24" s="5">
        <v>0</v>
      </c>
      <c r="F24" s="1"/>
      <c r="G24" s="5"/>
      <c r="H24" s="5">
        <f t="shared" si="0"/>
        <v>2120</v>
      </c>
      <c r="I24" s="5">
        <f t="shared" si="1"/>
        <v>0</v>
      </c>
      <c r="J24" s="5">
        <f>Table14[[#This Row],[Enrolment S.Y. 2025-2026 ]]*8</f>
        <v>2120</v>
      </c>
      <c r="K24" s="5">
        <v>0</v>
      </c>
      <c r="L24" s="1"/>
      <c r="M24" s="5"/>
      <c r="N24" s="5">
        <f t="shared" si="2"/>
        <v>2120</v>
      </c>
      <c r="O24" s="5">
        <f t="shared" si="3"/>
        <v>0</v>
      </c>
      <c r="P24" s="5">
        <f>Table14[[#This Row],[Enrolment S.Y. 2025-2026 ]]*8</f>
        <v>2120</v>
      </c>
      <c r="Q24" s="5">
        <v>0</v>
      </c>
      <c r="R24" s="1"/>
      <c r="S24" s="5"/>
      <c r="T24" s="5">
        <f t="shared" si="4"/>
        <v>2120</v>
      </c>
      <c r="U24" s="5">
        <f t="shared" si="5"/>
        <v>0</v>
      </c>
      <c r="V24" s="5">
        <f>Table14[[#This Row],[Enrolment S.Y. 2025-2026 ]]*8</f>
        <v>2120</v>
      </c>
      <c r="W24" s="5">
        <v>0</v>
      </c>
      <c r="X24" s="1"/>
      <c r="Y24" s="5"/>
      <c r="Z24" s="5">
        <f t="shared" si="6"/>
        <v>2120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265</v>
      </c>
      <c r="D25" s="5">
        <f>Table14[[#This Row],[Enrolment S.Y. 2025-2026 ]]*8</f>
        <v>2120</v>
      </c>
      <c r="E25" s="5">
        <v>0</v>
      </c>
      <c r="F25" s="1"/>
      <c r="G25" s="5"/>
      <c r="H25" s="5">
        <f t="shared" si="0"/>
        <v>2120</v>
      </c>
      <c r="I25" s="5">
        <f t="shared" si="1"/>
        <v>0</v>
      </c>
      <c r="J25" s="5">
        <f>Table14[[#This Row],[Enrolment S.Y. 2025-2026 ]]*8</f>
        <v>2120</v>
      </c>
      <c r="K25" s="5">
        <v>0</v>
      </c>
      <c r="L25" s="1"/>
      <c r="M25" s="5"/>
      <c r="N25" s="5">
        <f t="shared" si="2"/>
        <v>2120</v>
      </c>
      <c r="O25" s="5">
        <f t="shared" si="3"/>
        <v>0</v>
      </c>
      <c r="P25" s="5">
        <f>Table14[[#This Row],[Enrolment S.Y. 2025-2026 ]]*8</f>
        <v>2120</v>
      </c>
      <c r="Q25" s="5">
        <v>0</v>
      </c>
      <c r="R25" s="1"/>
      <c r="S25" s="5"/>
      <c r="T25" s="5">
        <f t="shared" si="4"/>
        <v>2120</v>
      </c>
      <c r="U25" s="5">
        <f t="shared" si="5"/>
        <v>0</v>
      </c>
      <c r="V25" s="5">
        <f>Table14[[#This Row],[Enrolment S.Y. 2025-2026 ]]*8</f>
        <v>2120</v>
      </c>
      <c r="W25" s="5">
        <v>0</v>
      </c>
      <c r="X25" s="1"/>
      <c r="Y25" s="5"/>
      <c r="Z25" s="5">
        <f t="shared" si="6"/>
        <v>2120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265</v>
      </c>
      <c r="D26" s="5">
        <f>Table14[[#This Row],[Enrolment S.Y. 2025-2026 ]]*8</f>
        <v>2120</v>
      </c>
      <c r="E26" s="5">
        <v>0</v>
      </c>
      <c r="F26" s="1"/>
      <c r="G26" s="5"/>
      <c r="H26" s="5">
        <f t="shared" si="0"/>
        <v>2120</v>
      </c>
      <c r="I26" s="5">
        <f t="shared" si="1"/>
        <v>0</v>
      </c>
      <c r="J26" s="5">
        <f>Table14[[#This Row],[Enrolment S.Y. 2025-2026 ]]*8</f>
        <v>2120</v>
      </c>
      <c r="K26" s="5">
        <v>0</v>
      </c>
      <c r="L26" s="1"/>
      <c r="M26" s="5"/>
      <c r="N26" s="5">
        <f t="shared" si="2"/>
        <v>2120</v>
      </c>
      <c r="O26" s="5">
        <f t="shared" si="3"/>
        <v>0</v>
      </c>
      <c r="P26" s="5">
        <f>Table14[[#This Row],[Enrolment S.Y. 2025-2026 ]]*8</f>
        <v>2120</v>
      </c>
      <c r="Q26" s="5">
        <v>0</v>
      </c>
      <c r="R26" s="1"/>
      <c r="S26" s="5"/>
      <c r="T26" s="5">
        <f t="shared" si="4"/>
        <v>2120</v>
      </c>
      <c r="U26" s="5">
        <f t="shared" si="5"/>
        <v>0</v>
      </c>
      <c r="V26" s="5">
        <f>Table14[[#This Row],[Enrolment S.Y. 2025-2026 ]]*8</f>
        <v>2120</v>
      </c>
      <c r="W26" s="5">
        <v>0</v>
      </c>
      <c r="X26" s="1"/>
      <c r="Y26" s="5"/>
      <c r="Z26" s="5">
        <f t="shared" si="6"/>
        <v>2120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265</v>
      </c>
      <c r="D27" s="5">
        <f>Table14[[#This Row],[Enrolment S.Y. 2025-2026 ]]*8</f>
        <v>2120</v>
      </c>
      <c r="E27" s="5">
        <v>0</v>
      </c>
      <c r="F27" s="1"/>
      <c r="G27" s="5"/>
      <c r="H27" s="5">
        <f>IF((D27-E27)&lt;0,0,(D27-E27))</f>
        <v>2120</v>
      </c>
      <c r="I27" s="5">
        <f>IF((E27-D27)&lt;0,0,(E27-D27))</f>
        <v>0</v>
      </c>
      <c r="J27" s="5">
        <f>Table14[[#This Row],[Enrolment S.Y. 2025-2026 ]]*8</f>
        <v>2120</v>
      </c>
      <c r="K27" s="5">
        <v>0</v>
      </c>
      <c r="L27" s="1"/>
      <c r="M27" s="5"/>
      <c r="N27" s="5">
        <f t="shared" si="2"/>
        <v>2120</v>
      </c>
      <c r="O27" s="5">
        <f t="shared" si="3"/>
        <v>0</v>
      </c>
      <c r="P27" s="5">
        <f>Table14[[#This Row],[Enrolment S.Y. 2025-2026 ]]*8</f>
        <v>2120</v>
      </c>
      <c r="Q27" s="5">
        <v>0</v>
      </c>
      <c r="R27" s="1"/>
      <c r="S27" s="5"/>
      <c r="T27" s="5">
        <f t="shared" si="4"/>
        <v>2120</v>
      </c>
      <c r="U27" s="5">
        <f t="shared" si="5"/>
        <v>0</v>
      </c>
      <c r="V27" s="5">
        <f>Table14[[#This Row],[Enrolment S.Y. 2025-2026 ]]*8</f>
        <v>2120</v>
      </c>
      <c r="W27" s="5">
        <v>0</v>
      </c>
      <c r="X27" s="1"/>
      <c r="Y27" s="5"/>
      <c r="Z27" s="5">
        <f t="shared" si="6"/>
        <v>2120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265</v>
      </c>
      <c r="D28" s="5">
        <f>Table14[[#This Row],[Enrolment S.Y. 2025-2026 ]]*8</f>
        <v>2120</v>
      </c>
      <c r="E28" s="5">
        <v>0</v>
      </c>
      <c r="F28" s="1"/>
      <c r="G28" s="5"/>
      <c r="H28" s="5">
        <f>IF((D28-E28)&lt;0,0,(D28-E28))</f>
        <v>2120</v>
      </c>
      <c r="I28" s="5">
        <f>IF((E28-D28)&lt;0,0,(E28-D28))</f>
        <v>0</v>
      </c>
      <c r="J28" s="5">
        <f>Table14[[#This Row],[Enrolment S.Y. 2025-2026 ]]*8</f>
        <v>2120</v>
      </c>
      <c r="K28" s="5">
        <v>0</v>
      </c>
      <c r="L28" s="1"/>
      <c r="M28" s="5"/>
      <c r="N28" s="5">
        <f t="shared" si="2"/>
        <v>2120</v>
      </c>
      <c r="O28" s="5">
        <f t="shared" si="3"/>
        <v>0</v>
      </c>
      <c r="P28" s="5">
        <f>Table14[[#This Row],[Enrolment S.Y. 2025-2026 ]]*8</f>
        <v>2120</v>
      </c>
      <c r="Q28" s="5">
        <v>0</v>
      </c>
      <c r="R28" s="1"/>
      <c r="S28" s="5"/>
      <c r="T28" s="5">
        <f t="shared" si="4"/>
        <v>2120</v>
      </c>
      <c r="U28" s="5">
        <f t="shared" si="5"/>
        <v>0</v>
      </c>
      <c r="V28" s="5">
        <f>Table14[[#This Row],[Enrolment S.Y. 2025-2026 ]]*8</f>
        <v>2120</v>
      </c>
      <c r="W28" s="5">
        <v>0</v>
      </c>
      <c r="X28" s="1"/>
      <c r="Y28" s="5"/>
      <c r="Z28" s="5">
        <f t="shared" si="6"/>
        <v>2120</v>
      </c>
      <c r="AA28" s="5">
        <f t="shared" si="7"/>
        <v>0</v>
      </c>
    </row>
    <row r="29" spans="1:27" ht="19.5">
      <c r="A29" s="1">
        <v>3</v>
      </c>
      <c r="B29" s="9" t="s">
        <v>69</v>
      </c>
      <c r="C29" s="1">
        <v>265</v>
      </c>
      <c r="D29" s="5">
        <f>Table14[[#This Row],[Enrolment S.Y. 2025-2026 ]]*8</f>
        <v>2120</v>
      </c>
      <c r="E29" s="5">
        <v>0</v>
      </c>
      <c r="F29" s="1"/>
      <c r="G29" s="5"/>
      <c r="H29" s="5">
        <f>IF((D29-E29)&lt;0,0,(D29-E29))</f>
        <v>2120</v>
      </c>
      <c r="I29" s="5">
        <f>IF((E29-D29)&lt;0,0,(E29-D29))</f>
        <v>0</v>
      </c>
      <c r="J29" s="5">
        <f>Table14[[#This Row],[Enrolment S.Y. 2025-2026 ]]*8</f>
        <v>2120</v>
      </c>
      <c r="K29" s="5">
        <v>0</v>
      </c>
      <c r="L29" s="1"/>
      <c r="M29" s="5"/>
      <c r="N29" s="5">
        <f t="shared" si="2"/>
        <v>2120</v>
      </c>
      <c r="O29" s="5">
        <f t="shared" si="3"/>
        <v>0</v>
      </c>
      <c r="P29" s="5">
        <f>Table14[[#This Row],[Enrolment S.Y. 2025-2026 ]]*8</f>
        <v>2120</v>
      </c>
      <c r="Q29" s="5">
        <v>0</v>
      </c>
      <c r="R29" s="1"/>
      <c r="S29" s="5"/>
      <c r="T29" s="5">
        <f t="shared" si="4"/>
        <v>2120</v>
      </c>
      <c r="U29" s="5">
        <f t="shared" si="5"/>
        <v>0</v>
      </c>
      <c r="V29" s="5">
        <f>Table14[[#This Row],[Enrolment S.Y. 2025-2026 ]]*8</f>
        <v>2120</v>
      </c>
      <c r="W29" s="5">
        <v>0</v>
      </c>
      <c r="X29" s="1"/>
      <c r="Y29" s="5"/>
      <c r="Z29" s="5">
        <f t="shared" si="6"/>
        <v>2120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270</v>
      </c>
      <c r="D31" s="5">
        <f>Table14[[#This Row],[Enrolment S.Y. 2025-2026 ]]*8</f>
        <v>2160</v>
      </c>
      <c r="E31" s="5">
        <v>0</v>
      </c>
      <c r="F31" s="1"/>
      <c r="G31" s="5"/>
      <c r="H31" s="5">
        <f t="shared" si="0"/>
        <v>2160</v>
      </c>
      <c r="I31" s="5">
        <f t="shared" si="1"/>
        <v>0</v>
      </c>
      <c r="J31" s="5">
        <f>Table14[[#This Row],[Enrolment S.Y. 2025-2026 ]]*8</f>
        <v>2160</v>
      </c>
      <c r="K31" s="5">
        <v>0</v>
      </c>
      <c r="L31" s="1"/>
      <c r="M31" s="5"/>
      <c r="N31" s="5">
        <f t="shared" si="2"/>
        <v>2160</v>
      </c>
      <c r="O31" s="5">
        <f t="shared" si="3"/>
        <v>0</v>
      </c>
      <c r="P31" s="5">
        <f>Table14[[#This Row],[Enrolment S.Y. 2025-2026 ]]*8</f>
        <v>2160</v>
      </c>
      <c r="Q31" s="5">
        <v>0</v>
      </c>
      <c r="R31" s="1"/>
      <c r="S31" s="5"/>
      <c r="T31" s="5">
        <f t="shared" si="4"/>
        <v>2160</v>
      </c>
      <c r="U31" s="5">
        <f t="shared" si="5"/>
        <v>0</v>
      </c>
      <c r="V31" s="5">
        <f>Table14[[#This Row],[Enrolment S.Y. 2025-2026 ]]*8</f>
        <v>2160</v>
      </c>
      <c r="W31" s="5">
        <v>0</v>
      </c>
      <c r="X31" s="1"/>
      <c r="Y31" s="5"/>
      <c r="Z31" s="5">
        <f t="shared" si="6"/>
        <v>2160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270</v>
      </c>
      <c r="D32" s="5">
        <f>Table14[[#This Row],[Enrolment S.Y. 2025-2026 ]]*8</f>
        <v>2160</v>
      </c>
      <c r="E32" s="5">
        <v>0</v>
      </c>
      <c r="F32" s="1"/>
      <c r="G32" s="5"/>
      <c r="H32" s="5">
        <f t="shared" si="0"/>
        <v>2160</v>
      </c>
      <c r="I32" s="5">
        <f t="shared" si="1"/>
        <v>0</v>
      </c>
      <c r="J32" s="5">
        <f>Table14[[#This Row],[Enrolment S.Y. 2025-2026 ]]*8</f>
        <v>2160</v>
      </c>
      <c r="K32" s="5">
        <v>0</v>
      </c>
      <c r="L32" s="1"/>
      <c r="M32" s="5"/>
      <c r="N32" s="5">
        <f t="shared" si="2"/>
        <v>2160</v>
      </c>
      <c r="O32" s="5">
        <f t="shared" si="3"/>
        <v>0</v>
      </c>
      <c r="P32" s="5">
        <f>Table14[[#This Row],[Enrolment S.Y. 2025-2026 ]]*8</f>
        <v>2160</v>
      </c>
      <c r="Q32" s="5">
        <v>0</v>
      </c>
      <c r="R32" s="1"/>
      <c r="S32" s="5"/>
      <c r="T32" s="5">
        <f t="shared" si="4"/>
        <v>2160</v>
      </c>
      <c r="U32" s="5">
        <f t="shared" si="5"/>
        <v>0</v>
      </c>
      <c r="V32" s="5">
        <f>Table14[[#This Row],[Enrolment S.Y. 2025-2026 ]]*8</f>
        <v>2160</v>
      </c>
      <c r="W32" s="5">
        <v>0</v>
      </c>
      <c r="X32" s="1"/>
      <c r="Y32" s="5"/>
      <c r="Z32" s="5">
        <f t="shared" si="6"/>
        <v>2160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270</v>
      </c>
      <c r="D33" s="5">
        <f>Table14[[#This Row],[Enrolment S.Y. 2025-2026 ]]*8</f>
        <v>2160</v>
      </c>
      <c r="E33" s="5">
        <v>0</v>
      </c>
      <c r="F33" s="1"/>
      <c r="G33" s="5"/>
      <c r="H33" s="5">
        <f t="shared" si="0"/>
        <v>2160</v>
      </c>
      <c r="I33" s="5">
        <f t="shared" si="1"/>
        <v>0</v>
      </c>
      <c r="J33" s="5">
        <f>Table14[[#This Row],[Enrolment S.Y. 2025-2026 ]]*8</f>
        <v>2160</v>
      </c>
      <c r="K33" s="5">
        <v>0</v>
      </c>
      <c r="L33" s="1"/>
      <c r="M33" s="5"/>
      <c r="N33" s="5">
        <f t="shared" si="2"/>
        <v>2160</v>
      </c>
      <c r="O33" s="5">
        <f t="shared" si="3"/>
        <v>0</v>
      </c>
      <c r="P33" s="5">
        <f>Table14[[#This Row],[Enrolment S.Y. 2025-2026 ]]*8</f>
        <v>2160</v>
      </c>
      <c r="Q33" s="5">
        <v>0</v>
      </c>
      <c r="R33" s="1"/>
      <c r="S33" s="5"/>
      <c r="T33" s="5">
        <f t="shared" si="4"/>
        <v>2160</v>
      </c>
      <c r="U33" s="5">
        <f t="shared" si="5"/>
        <v>0</v>
      </c>
      <c r="V33" s="5">
        <f>Table14[[#This Row],[Enrolment S.Y. 2025-2026 ]]*8</f>
        <v>2160</v>
      </c>
      <c r="W33" s="5">
        <v>0</v>
      </c>
      <c r="X33" s="1"/>
      <c r="Y33" s="5"/>
      <c r="Z33" s="5">
        <f t="shared" si="6"/>
        <v>2160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270</v>
      </c>
      <c r="D34" s="5">
        <f>Table14[[#This Row],[Enrolment S.Y. 2025-2026 ]]*8</f>
        <v>2160</v>
      </c>
      <c r="E34" s="5">
        <v>0</v>
      </c>
      <c r="F34" s="1"/>
      <c r="G34" s="5"/>
      <c r="H34" s="5">
        <f t="shared" si="0"/>
        <v>2160</v>
      </c>
      <c r="I34" s="5">
        <f t="shared" si="1"/>
        <v>0</v>
      </c>
      <c r="J34" s="5">
        <f>Table14[[#This Row],[Enrolment S.Y. 2025-2026 ]]*8</f>
        <v>2160</v>
      </c>
      <c r="K34" s="5">
        <v>0</v>
      </c>
      <c r="L34" s="1"/>
      <c r="M34" s="5"/>
      <c r="N34" s="5">
        <f t="shared" si="2"/>
        <v>2160</v>
      </c>
      <c r="O34" s="5">
        <f t="shared" si="3"/>
        <v>0</v>
      </c>
      <c r="P34" s="5">
        <f>Table14[[#This Row],[Enrolment S.Y. 2025-2026 ]]*8</f>
        <v>2160</v>
      </c>
      <c r="Q34" s="5">
        <v>0</v>
      </c>
      <c r="R34" s="1"/>
      <c r="S34" s="5"/>
      <c r="T34" s="5">
        <f t="shared" si="4"/>
        <v>2160</v>
      </c>
      <c r="U34" s="5">
        <f t="shared" si="5"/>
        <v>0</v>
      </c>
      <c r="V34" s="5">
        <f>Table14[[#This Row],[Enrolment S.Y. 2025-2026 ]]*8</f>
        <v>2160</v>
      </c>
      <c r="W34" s="5">
        <v>0</v>
      </c>
      <c r="X34" s="1"/>
      <c r="Y34" s="5"/>
      <c r="Z34" s="5">
        <f t="shared" si="6"/>
        <v>2160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270</v>
      </c>
      <c r="D35" s="5">
        <f>Table14[[#This Row],[Enrolment S.Y. 2025-2026 ]]*8</f>
        <v>2160</v>
      </c>
      <c r="E35" s="5">
        <v>0</v>
      </c>
      <c r="F35" s="1"/>
      <c r="G35" s="5"/>
      <c r="H35" s="5">
        <f t="shared" si="0"/>
        <v>2160</v>
      </c>
      <c r="I35" s="5">
        <f t="shared" si="1"/>
        <v>0</v>
      </c>
      <c r="J35" s="5">
        <f>Table14[[#This Row],[Enrolment S.Y. 2025-2026 ]]*8</f>
        <v>2160</v>
      </c>
      <c r="K35" s="5">
        <v>0</v>
      </c>
      <c r="L35" s="1"/>
      <c r="M35" s="5"/>
      <c r="N35" s="5">
        <f t="shared" si="2"/>
        <v>2160</v>
      </c>
      <c r="O35" s="5">
        <f t="shared" si="3"/>
        <v>0</v>
      </c>
      <c r="P35" s="5">
        <f>Table14[[#This Row],[Enrolment S.Y. 2025-2026 ]]*8</f>
        <v>2160</v>
      </c>
      <c r="Q35" s="5">
        <v>0</v>
      </c>
      <c r="R35" s="1"/>
      <c r="S35" s="5"/>
      <c r="T35" s="5">
        <f t="shared" si="4"/>
        <v>2160</v>
      </c>
      <c r="U35" s="5">
        <f t="shared" si="5"/>
        <v>0</v>
      </c>
      <c r="V35" s="5">
        <f>Table14[[#This Row],[Enrolment S.Y. 2025-2026 ]]*8</f>
        <v>2160</v>
      </c>
      <c r="W35" s="5">
        <v>0</v>
      </c>
      <c r="X35" s="1"/>
      <c r="Y35" s="5"/>
      <c r="Z35" s="5">
        <f t="shared" si="6"/>
        <v>2160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270</v>
      </c>
      <c r="D36" s="5">
        <f>Table14[[#This Row],[Enrolment S.Y. 2025-2026 ]]*8</f>
        <v>2160</v>
      </c>
      <c r="E36" s="5">
        <v>0</v>
      </c>
      <c r="F36" s="1"/>
      <c r="G36" s="5"/>
      <c r="H36" s="5">
        <f t="shared" si="0"/>
        <v>2160</v>
      </c>
      <c r="I36" s="5">
        <f t="shared" si="1"/>
        <v>0</v>
      </c>
      <c r="J36" s="5">
        <f>Table14[[#This Row],[Enrolment S.Y. 2025-2026 ]]*8</f>
        <v>2160</v>
      </c>
      <c r="K36" s="5">
        <v>0</v>
      </c>
      <c r="L36" s="1"/>
      <c r="M36" s="5"/>
      <c r="N36" s="5">
        <f t="shared" ref="N36:N41" si="8">IF((J36-K36)&lt;0,0,(J36-K36))</f>
        <v>2160</v>
      </c>
      <c r="O36" s="5">
        <f t="shared" ref="O36:O41" si="9">IF((K36-J36)&lt;0,0,(K36-J36))</f>
        <v>0</v>
      </c>
      <c r="P36" s="5">
        <f>Table14[[#This Row],[Enrolment S.Y. 2025-2026 ]]*8</f>
        <v>2160</v>
      </c>
      <c r="Q36" s="5">
        <v>0</v>
      </c>
      <c r="R36" s="1"/>
      <c r="S36" s="5"/>
      <c r="T36" s="5">
        <f t="shared" si="4"/>
        <v>2160</v>
      </c>
      <c r="U36" s="5">
        <f t="shared" si="5"/>
        <v>0</v>
      </c>
      <c r="V36" s="5">
        <f>Table14[[#This Row],[Enrolment S.Y. 2025-2026 ]]*8</f>
        <v>2160</v>
      </c>
      <c r="W36" s="5">
        <v>0</v>
      </c>
      <c r="X36" s="1"/>
      <c r="Y36" s="5"/>
      <c r="Z36" s="5">
        <f t="shared" si="6"/>
        <v>2160</v>
      </c>
      <c r="AA36" s="5">
        <f t="shared" si="7"/>
        <v>0</v>
      </c>
    </row>
    <row r="37" spans="1:27" ht="19.5">
      <c r="A37" s="37">
        <v>4</v>
      </c>
      <c r="B37" s="9" t="s">
        <v>94</v>
      </c>
      <c r="C37" s="1">
        <v>270</v>
      </c>
      <c r="D37" s="5">
        <f>Table14[[#This Row],[Enrolment S.Y. 2025-2026 ]]*8</f>
        <v>2160</v>
      </c>
      <c r="E37" s="5">
        <v>0</v>
      </c>
      <c r="F37" s="1"/>
      <c r="G37" s="5"/>
      <c r="H37" s="5">
        <f>IF((D37-E37)&lt;0,0,(D37-E37))</f>
        <v>2160</v>
      </c>
      <c r="I37" s="5">
        <f>IF((E37-D37)&lt;0,0,(E37-D37))</f>
        <v>0</v>
      </c>
      <c r="J37" s="5">
        <f>Table14[[#This Row],[Enrolment S.Y. 2025-2026 ]]*8</f>
        <v>2160</v>
      </c>
      <c r="K37" s="5">
        <v>0</v>
      </c>
      <c r="L37" s="1"/>
      <c r="M37" s="5"/>
      <c r="N37" s="5">
        <f t="shared" si="8"/>
        <v>2160</v>
      </c>
      <c r="O37" s="5">
        <f t="shared" si="9"/>
        <v>0</v>
      </c>
      <c r="P37" s="5">
        <f>Table14[[#This Row],[Enrolment S.Y. 2025-2026 ]]*8</f>
        <v>2160</v>
      </c>
      <c r="Q37" s="5">
        <v>0</v>
      </c>
      <c r="R37" s="1"/>
      <c r="S37" s="5"/>
      <c r="T37" s="5">
        <f>IF((P37-Q37)&lt;0,0,(P37-Q37))</f>
        <v>2160</v>
      </c>
      <c r="U37" s="5">
        <f>IF((Q37-P37)&lt;0,0,(Q37-P37))</f>
        <v>0</v>
      </c>
      <c r="V37" s="5">
        <f>Table14[[#This Row],[Enrolment S.Y. 2025-2026 ]]*8</f>
        <v>2160</v>
      </c>
      <c r="W37" s="5">
        <v>0</v>
      </c>
      <c r="X37" s="1"/>
      <c r="Y37" s="5"/>
      <c r="Z37" s="5">
        <f>IF((V37-W37)&lt;0,0,(V37-W37))</f>
        <v>2160</v>
      </c>
      <c r="AA37" s="5">
        <f>IF((W37-V37)&lt;0,0,(W37-V37))</f>
        <v>0</v>
      </c>
    </row>
    <row r="38" spans="1:27" ht="19.5">
      <c r="A38" s="1">
        <v>4</v>
      </c>
      <c r="B38" s="9" t="s">
        <v>95</v>
      </c>
      <c r="C38" s="1">
        <v>270</v>
      </c>
      <c r="D38" s="5">
        <f>Table14[[#This Row],[Enrolment S.Y. 2025-2026 ]]*8</f>
        <v>2160</v>
      </c>
      <c r="E38" s="5">
        <v>0</v>
      </c>
      <c r="F38" s="1"/>
      <c r="G38" s="5"/>
      <c r="H38" s="5">
        <f t="shared" si="0"/>
        <v>2160</v>
      </c>
      <c r="I38" s="5">
        <f t="shared" si="1"/>
        <v>0</v>
      </c>
      <c r="J38" s="5">
        <f>Table14[[#This Row],[Enrolment S.Y. 2025-2026 ]]*8</f>
        <v>2160</v>
      </c>
      <c r="K38" s="5">
        <v>0</v>
      </c>
      <c r="L38" s="1"/>
      <c r="M38" s="5"/>
      <c r="N38" s="5">
        <f t="shared" si="8"/>
        <v>2160</v>
      </c>
      <c r="O38" s="5">
        <f t="shared" si="9"/>
        <v>0</v>
      </c>
      <c r="P38" s="5">
        <f>Table14[[#This Row],[Enrolment S.Y. 2025-2026 ]]*8</f>
        <v>2160</v>
      </c>
      <c r="Q38" s="5">
        <v>0</v>
      </c>
      <c r="R38" s="1"/>
      <c r="S38" s="5"/>
      <c r="T38" s="5">
        <f t="shared" si="4"/>
        <v>2160</v>
      </c>
      <c r="U38" s="5">
        <f t="shared" si="5"/>
        <v>0</v>
      </c>
      <c r="V38" s="5">
        <f>Table14[[#This Row],[Enrolment S.Y. 2025-2026 ]]*8</f>
        <v>2160</v>
      </c>
      <c r="W38" s="5">
        <v>0</v>
      </c>
      <c r="X38" s="1"/>
      <c r="Y38" s="5"/>
      <c r="Z38" s="5">
        <f t="shared" si="6"/>
        <v>2160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270</v>
      </c>
      <c r="D39" s="5">
        <f>Table14[[#This Row],[Enrolment S.Y. 2025-2026 ]]*8</f>
        <v>2160</v>
      </c>
      <c r="E39" s="5">
        <v>0</v>
      </c>
      <c r="F39" s="1"/>
      <c r="G39" s="5"/>
      <c r="H39" s="5">
        <f t="shared" si="0"/>
        <v>2160</v>
      </c>
      <c r="I39" s="5">
        <f t="shared" si="1"/>
        <v>0</v>
      </c>
      <c r="J39" s="5">
        <f>Table14[[#This Row],[Enrolment S.Y. 2025-2026 ]]*8</f>
        <v>2160</v>
      </c>
      <c r="K39" s="5">
        <v>0</v>
      </c>
      <c r="L39" s="1"/>
      <c r="M39" s="5"/>
      <c r="N39" s="5">
        <f t="shared" si="8"/>
        <v>2160</v>
      </c>
      <c r="O39" s="5">
        <f t="shared" si="9"/>
        <v>0</v>
      </c>
      <c r="P39" s="5">
        <f>Table14[[#This Row],[Enrolment S.Y. 2025-2026 ]]*8</f>
        <v>2160</v>
      </c>
      <c r="Q39" s="5">
        <v>0</v>
      </c>
      <c r="R39" s="1"/>
      <c r="S39" s="5"/>
      <c r="T39" s="5">
        <f t="shared" si="4"/>
        <v>2160</v>
      </c>
      <c r="U39" s="5">
        <f t="shared" si="5"/>
        <v>0</v>
      </c>
      <c r="V39" s="5">
        <f>Table14[[#This Row],[Enrolment S.Y. 2025-2026 ]]*8</f>
        <v>2160</v>
      </c>
      <c r="W39" s="5">
        <v>0</v>
      </c>
      <c r="X39" s="1"/>
      <c r="Y39" s="5"/>
      <c r="Z39" s="5">
        <f t="shared" si="6"/>
        <v>2160</v>
      </c>
      <c r="AA39" s="5">
        <f t="shared" si="7"/>
        <v>0</v>
      </c>
    </row>
    <row r="40" spans="1:27" ht="19.5">
      <c r="A40" s="37">
        <v>4</v>
      </c>
      <c r="B40" s="9" t="s">
        <v>96</v>
      </c>
      <c r="C40" s="1">
        <v>270</v>
      </c>
      <c r="D40" s="5">
        <f>Table14[[#This Row],[Enrolment S.Y. 2025-2026 ]]*8</f>
        <v>2160</v>
      </c>
      <c r="E40" s="5">
        <v>0</v>
      </c>
      <c r="F40" s="1"/>
      <c r="G40" s="5"/>
      <c r="H40" s="5">
        <f>IF((D40-E40)&lt;0,0,(D40-E40))</f>
        <v>2160</v>
      </c>
      <c r="I40" s="5">
        <f>IF((E40-D40)&lt;0,0,(E40-D40))</f>
        <v>0</v>
      </c>
      <c r="J40" s="5">
        <f>Table14[[#This Row],[Enrolment S.Y. 2025-2026 ]]*8</f>
        <v>2160</v>
      </c>
      <c r="K40" s="5">
        <v>0</v>
      </c>
      <c r="L40" s="1"/>
      <c r="M40" s="5"/>
      <c r="N40" s="5">
        <f t="shared" si="8"/>
        <v>2160</v>
      </c>
      <c r="O40" s="5">
        <f t="shared" si="9"/>
        <v>0</v>
      </c>
      <c r="P40" s="5">
        <f>Table14[[#This Row],[Enrolment S.Y. 2025-2026 ]]*8</f>
        <v>2160</v>
      </c>
      <c r="Q40" s="5">
        <v>0</v>
      </c>
      <c r="R40" s="1"/>
      <c r="S40" s="5"/>
      <c r="T40" s="5">
        <f>IF((P40-Q40)&lt;0,0,(P40-Q40))</f>
        <v>2160</v>
      </c>
      <c r="U40" s="5">
        <f>IF((Q40-P40)&lt;0,0,(Q40-P40))</f>
        <v>0</v>
      </c>
      <c r="V40" s="5">
        <f>Table14[[#This Row],[Enrolment S.Y. 2025-2026 ]]*8</f>
        <v>2160</v>
      </c>
      <c r="W40" s="5">
        <v>0</v>
      </c>
      <c r="X40" s="1"/>
      <c r="Y40" s="5"/>
      <c r="Z40" s="5">
        <f>IF((V40-W40)&lt;0,0,(V40-W40))</f>
        <v>2160</v>
      </c>
      <c r="AA40" s="5">
        <f>IF((W40-V40)&lt;0,0,(W40-V40))</f>
        <v>0</v>
      </c>
    </row>
    <row r="41" spans="1:27" ht="19.5">
      <c r="A41" s="1">
        <v>4</v>
      </c>
      <c r="B41" s="9" t="s">
        <v>97</v>
      </c>
      <c r="C41" s="1">
        <v>270</v>
      </c>
      <c r="D41" s="5">
        <f>Table14[[#This Row],[Enrolment S.Y. 2025-2026 ]]*8</f>
        <v>2160</v>
      </c>
      <c r="E41" s="5">
        <v>0</v>
      </c>
      <c r="F41" s="1"/>
      <c r="G41" s="5"/>
      <c r="H41" s="5">
        <f t="shared" si="0"/>
        <v>2160</v>
      </c>
      <c r="I41" s="5">
        <f t="shared" si="1"/>
        <v>0</v>
      </c>
      <c r="J41" s="5">
        <f>Table14[[#This Row],[Enrolment S.Y. 2025-2026 ]]*8</f>
        <v>2160</v>
      </c>
      <c r="K41" s="5">
        <v>0</v>
      </c>
      <c r="L41" s="1"/>
      <c r="M41" s="5"/>
      <c r="N41" s="5">
        <f t="shared" si="8"/>
        <v>2160</v>
      </c>
      <c r="O41" s="5">
        <f t="shared" si="9"/>
        <v>0</v>
      </c>
      <c r="P41" s="5">
        <f>Table14[[#This Row],[Enrolment S.Y. 2025-2026 ]]*8</f>
        <v>2160</v>
      </c>
      <c r="Q41" s="5">
        <v>0</v>
      </c>
      <c r="R41" s="1"/>
      <c r="S41" s="5"/>
      <c r="T41" s="5">
        <f t="shared" si="4"/>
        <v>2160</v>
      </c>
      <c r="U41" s="5">
        <f t="shared" si="5"/>
        <v>0</v>
      </c>
      <c r="V41" s="5">
        <f>Table14[[#This Row],[Enrolment S.Y. 2025-2026 ]]*8</f>
        <v>2160</v>
      </c>
      <c r="W41" s="5">
        <v>0</v>
      </c>
      <c r="X41" s="1"/>
      <c r="Y41" s="5"/>
      <c r="Z41" s="5">
        <f t="shared" si="6"/>
        <v>2160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204</v>
      </c>
      <c r="D43" s="5">
        <f>Table14[[#This Row],[Enrolment S.Y. 2025-2026 ]]*8</f>
        <v>1632</v>
      </c>
      <c r="E43" s="5">
        <v>0</v>
      </c>
      <c r="F43" s="1"/>
      <c r="G43" s="5"/>
      <c r="H43" s="5">
        <f t="shared" si="0"/>
        <v>1632</v>
      </c>
      <c r="I43" s="5">
        <f t="shared" si="1"/>
        <v>0</v>
      </c>
      <c r="J43" s="5">
        <f>Table14[[#This Row],[Enrolment S.Y. 2025-2026 ]]*8</f>
        <v>1632</v>
      </c>
      <c r="K43" s="5">
        <v>0</v>
      </c>
      <c r="L43" s="1"/>
      <c r="M43" s="5"/>
      <c r="N43" s="5">
        <f t="shared" si="2"/>
        <v>1632</v>
      </c>
      <c r="O43" s="5">
        <f t="shared" si="3"/>
        <v>0</v>
      </c>
      <c r="P43" s="5">
        <f>Table14[[#This Row],[Enrolment S.Y. 2025-2026 ]]*8</f>
        <v>1632</v>
      </c>
      <c r="Q43" s="5">
        <v>0</v>
      </c>
      <c r="R43" s="1"/>
      <c r="S43" s="5"/>
      <c r="T43" s="5">
        <f t="shared" si="4"/>
        <v>1632</v>
      </c>
      <c r="U43" s="5">
        <f t="shared" si="5"/>
        <v>0</v>
      </c>
      <c r="V43" s="5">
        <f>Table14[[#This Row],[Enrolment S.Y. 2025-2026 ]]*8</f>
        <v>1632</v>
      </c>
      <c r="W43" s="5">
        <v>0</v>
      </c>
      <c r="X43" s="1"/>
      <c r="Y43" s="5"/>
      <c r="Z43" s="5">
        <f t="shared" si="6"/>
        <v>1632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204</v>
      </c>
      <c r="D44" s="5">
        <f>Table14[[#This Row],[Enrolment S.Y. 2025-2026 ]]*8</f>
        <v>1632</v>
      </c>
      <c r="E44" s="5">
        <v>0</v>
      </c>
      <c r="F44" s="1"/>
      <c r="G44" s="5"/>
      <c r="H44" s="5">
        <f t="shared" si="0"/>
        <v>1632</v>
      </c>
      <c r="I44" s="5">
        <f t="shared" si="1"/>
        <v>0</v>
      </c>
      <c r="J44" s="5">
        <f>Table14[[#This Row],[Enrolment S.Y. 2025-2026 ]]*8</f>
        <v>1632</v>
      </c>
      <c r="K44" s="5">
        <v>0</v>
      </c>
      <c r="L44" s="1"/>
      <c r="M44" s="5"/>
      <c r="N44" s="5">
        <f t="shared" si="2"/>
        <v>1632</v>
      </c>
      <c r="O44" s="5">
        <f t="shared" si="3"/>
        <v>0</v>
      </c>
      <c r="P44" s="5">
        <f>Table14[[#This Row],[Enrolment S.Y. 2025-2026 ]]*8</f>
        <v>1632</v>
      </c>
      <c r="Q44" s="5">
        <v>0</v>
      </c>
      <c r="R44" s="1"/>
      <c r="S44" s="5"/>
      <c r="T44" s="5">
        <f t="shared" si="4"/>
        <v>1632</v>
      </c>
      <c r="U44" s="5">
        <f t="shared" si="5"/>
        <v>0</v>
      </c>
      <c r="V44" s="5">
        <f>Table14[[#This Row],[Enrolment S.Y. 2025-2026 ]]*8</f>
        <v>1632</v>
      </c>
      <c r="W44" s="5">
        <v>0</v>
      </c>
      <c r="X44" s="1"/>
      <c r="Y44" s="5"/>
      <c r="Z44" s="5">
        <f t="shared" si="6"/>
        <v>1632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204</v>
      </c>
      <c r="D45" s="5">
        <f>Table14[[#This Row],[Enrolment S.Y. 2025-2026 ]]*8</f>
        <v>1632</v>
      </c>
      <c r="E45" s="5">
        <v>0</v>
      </c>
      <c r="F45" s="1"/>
      <c r="G45" s="5"/>
      <c r="H45" s="5">
        <f t="shared" si="0"/>
        <v>1632</v>
      </c>
      <c r="I45" s="5">
        <f t="shared" si="1"/>
        <v>0</v>
      </c>
      <c r="J45" s="5">
        <f>Table14[[#This Row],[Enrolment S.Y. 2025-2026 ]]*8</f>
        <v>1632</v>
      </c>
      <c r="K45" s="5">
        <v>0</v>
      </c>
      <c r="L45" s="1"/>
      <c r="M45" s="5"/>
      <c r="N45" s="5">
        <f t="shared" si="2"/>
        <v>1632</v>
      </c>
      <c r="O45" s="5">
        <f t="shared" si="3"/>
        <v>0</v>
      </c>
      <c r="P45" s="5">
        <f>Table14[[#This Row],[Enrolment S.Y. 2025-2026 ]]*8</f>
        <v>1632</v>
      </c>
      <c r="Q45" s="5">
        <v>0</v>
      </c>
      <c r="R45" s="1"/>
      <c r="S45" s="5"/>
      <c r="T45" s="5">
        <f t="shared" si="4"/>
        <v>1632</v>
      </c>
      <c r="U45" s="5">
        <f t="shared" si="5"/>
        <v>0</v>
      </c>
      <c r="V45" s="5">
        <f>Table14[[#This Row],[Enrolment S.Y. 2025-2026 ]]*8</f>
        <v>1632</v>
      </c>
      <c r="W45" s="5">
        <v>0</v>
      </c>
      <c r="X45" s="1"/>
      <c r="Y45" s="5"/>
      <c r="Z45" s="5">
        <f t="shared" si="6"/>
        <v>1632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204</v>
      </c>
      <c r="D46" s="5">
        <f>Table14[[#This Row],[Enrolment S.Y. 2025-2026 ]]*8</f>
        <v>1632</v>
      </c>
      <c r="E46" s="5">
        <v>0</v>
      </c>
      <c r="F46" s="1"/>
      <c r="G46" s="5"/>
      <c r="H46" s="5">
        <f t="shared" si="0"/>
        <v>1632</v>
      </c>
      <c r="I46" s="5">
        <f t="shared" si="1"/>
        <v>0</v>
      </c>
      <c r="J46" s="5">
        <f>Table14[[#This Row],[Enrolment S.Y. 2025-2026 ]]*8</f>
        <v>1632</v>
      </c>
      <c r="K46" s="5">
        <v>0</v>
      </c>
      <c r="L46" s="1"/>
      <c r="M46" s="5"/>
      <c r="N46" s="5">
        <f t="shared" si="2"/>
        <v>1632</v>
      </c>
      <c r="O46" s="5">
        <f t="shared" si="3"/>
        <v>0</v>
      </c>
      <c r="P46" s="5">
        <f>Table14[[#This Row],[Enrolment S.Y. 2025-2026 ]]*8</f>
        <v>1632</v>
      </c>
      <c r="Q46" s="5">
        <v>0</v>
      </c>
      <c r="R46" s="1"/>
      <c r="S46" s="5"/>
      <c r="T46" s="5">
        <f t="shared" si="4"/>
        <v>1632</v>
      </c>
      <c r="U46" s="5">
        <f t="shared" si="5"/>
        <v>0</v>
      </c>
      <c r="V46" s="5">
        <f>Table14[[#This Row],[Enrolment S.Y. 2025-2026 ]]*8</f>
        <v>1632</v>
      </c>
      <c r="W46" s="5">
        <v>0</v>
      </c>
      <c r="X46" s="1"/>
      <c r="Y46" s="5"/>
      <c r="Z46" s="5">
        <f t="shared" si="6"/>
        <v>1632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204</v>
      </c>
      <c r="D47" s="5">
        <f>Table14[[#This Row],[Enrolment S.Y. 2025-2026 ]]*8</f>
        <v>1632</v>
      </c>
      <c r="E47" s="5">
        <v>0</v>
      </c>
      <c r="F47" s="1"/>
      <c r="G47" s="5"/>
      <c r="H47" s="5">
        <f t="shared" si="0"/>
        <v>1632</v>
      </c>
      <c r="I47" s="5">
        <f t="shared" si="1"/>
        <v>0</v>
      </c>
      <c r="J47" s="5">
        <f>Table14[[#This Row],[Enrolment S.Y. 2025-2026 ]]*8</f>
        <v>1632</v>
      </c>
      <c r="K47" s="5">
        <v>0</v>
      </c>
      <c r="L47" s="1"/>
      <c r="M47" s="5"/>
      <c r="N47" s="5">
        <f t="shared" si="2"/>
        <v>1632</v>
      </c>
      <c r="O47" s="5">
        <f t="shared" si="3"/>
        <v>0</v>
      </c>
      <c r="P47" s="5">
        <f>Table14[[#This Row],[Enrolment S.Y. 2025-2026 ]]*8</f>
        <v>1632</v>
      </c>
      <c r="Q47" s="5">
        <v>0</v>
      </c>
      <c r="R47" s="1"/>
      <c r="S47" s="5"/>
      <c r="T47" s="5">
        <f t="shared" si="4"/>
        <v>1632</v>
      </c>
      <c r="U47" s="5">
        <f t="shared" si="5"/>
        <v>0</v>
      </c>
      <c r="V47" s="5">
        <f>Table14[[#This Row],[Enrolment S.Y. 2025-2026 ]]*8</f>
        <v>1632</v>
      </c>
      <c r="W47" s="5">
        <v>0</v>
      </c>
      <c r="X47" s="1"/>
      <c r="Y47" s="5"/>
      <c r="Z47" s="5">
        <f t="shared" si="6"/>
        <v>1632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204</v>
      </c>
      <c r="D48" s="5">
        <f>Table14[[#This Row],[Enrolment S.Y. 2025-2026 ]]*8</f>
        <v>1632</v>
      </c>
      <c r="E48" s="5">
        <v>0</v>
      </c>
      <c r="F48" s="1"/>
      <c r="G48" s="5"/>
      <c r="H48" s="5">
        <f t="shared" si="0"/>
        <v>1632</v>
      </c>
      <c r="I48" s="5">
        <f t="shared" si="1"/>
        <v>0</v>
      </c>
      <c r="J48" s="5">
        <f>Table14[[#This Row],[Enrolment S.Y. 2025-2026 ]]*8</f>
        <v>1632</v>
      </c>
      <c r="K48" s="5">
        <v>0</v>
      </c>
      <c r="L48" s="1"/>
      <c r="M48" s="5"/>
      <c r="N48" s="5">
        <f t="shared" ref="N48:N53" si="10">IF((J48-K48)&lt;0,0,(J48-K48))</f>
        <v>1632</v>
      </c>
      <c r="O48" s="5">
        <f t="shared" ref="O48:O53" si="11">IF((K48-J48)&lt;0,0,(K48-J48))</f>
        <v>0</v>
      </c>
      <c r="P48" s="5">
        <f>Table14[[#This Row],[Enrolment S.Y. 2025-2026 ]]*8</f>
        <v>1632</v>
      </c>
      <c r="Q48" s="5">
        <v>0</v>
      </c>
      <c r="R48" s="1"/>
      <c r="S48" s="5"/>
      <c r="T48" s="5">
        <f t="shared" si="4"/>
        <v>1632</v>
      </c>
      <c r="U48" s="5">
        <f t="shared" si="5"/>
        <v>0</v>
      </c>
      <c r="V48" s="5">
        <f>Table14[[#This Row],[Enrolment S.Y. 2025-2026 ]]*8</f>
        <v>1632</v>
      </c>
      <c r="W48" s="5">
        <v>0</v>
      </c>
      <c r="X48" s="1"/>
      <c r="Y48" s="5"/>
      <c r="Z48" s="5">
        <f t="shared" si="6"/>
        <v>1632</v>
      </c>
      <c r="AA48" s="5">
        <f t="shared" si="7"/>
        <v>0</v>
      </c>
    </row>
    <row r="49" spans="1:27" ht="19.5">
      <c r="A49" s="37">
        <v>5</v>
      </c>
      <c r="B49" s="9" t="s">
        <v>94</v>
      </c>
      <c r="C49" s="1">
        <v>204</v>
      </c>
      <c r="D49" s="5">
        <f>Table14[[#This Row],[Enrolment S.Y. 2025-2026 ]]*8</f>
        <v>1632</v>
      </c>
      <c r="E49" s="5">
        <v>0</v>
      </c>
      <c r="F49" s="1"/>
      <c r="G49" s="5"/>
      <c r="H49" s="5">
        <f>IF((D49-E49)&lt;0,0,(D49-E49))</f>
        <v>1632</v>
      </c>
      <c r="I49" s="5">
        <f>IF((E49-D49)&lt;0,0,(E49-D49))</f>
        <v>0</v>
      </c>
      <c r="J49" s="5">
        <f>Table14[[#This Row],[Enrolment S.Y. 2025-2026 ]]*8</f>
        <v>1632</v>
      </c>
      <c r="K49" s="5">
        <v>0</v>
      </c>
      <c r="L49" s="1"/>
      <c r="M49" s="5"/>
      <c r="N49" s="5">
        <f t="shared" si="10"/>
        <v>1632</v>
      </c>
      <c r="O49" s="5">
        <f t="shared" si="11"/>
        <v>0</v>
      </c>
      <c r="P49" s="5">
        <f>Table14[[#This Row],[Enrolment S.Y. 2025-2026 ]]*8</f>
        <v>1632</v>
      </c>
      <c r="Q49" s="5">
        <v>0</v>
      </c>
      <c r="R49" s="1"/>
      <c r="S49" s="5"/>
      <c r="T49" s="5">
        <f>IF((P49-Q49)&lt;0,0,(P49-Q49))</f>
        <v>1632</v>
      </c>
      <c r="U49" s="5">
        <f>IF((Q49-P49)&lt;0,0,(Q49-P49))</f>
        <v>0</v>
      </c>
      <c r="V49" s="5">
        <f>Table14[[#This Row],[Enrolment S.Y. 2025-2026 ]]*8</f>
        <v>1632</v>
      </c>
      <c r="W49" s="5">
        <v>0</v>
      </c>
      <c r="X49" s="1"/>
      <c r="Y49" s="5"/>
      <c r="Z49" s="5">
        <f>IF((V49-W49)&lt;0,0,(V49-W49))</f>
        <v>1632</v>
      </c>
      <c r="AA49" s="5">
        <f>IF((W49-V49)&lt;0,0,(W49-V49))</f>
        <v>0</v>
      </c>
    </row>
    <row r="50" spans="1:27" ht="19.5">
      <c r="A50" s="1">
        <v>5</v>
      </c>
      <c r="B50" s="9" t="s">
        <v>95</v>
      </c>
      <c r="C50" s="1">
        <v>204</v>
      </c>
      <c r="D50" s="5">
        <f>Table14[[#This Row],[Enrolment S.Y. 2025-2026 ]]*8</f>
        <v>1632</v>
      </c>
      <c r="E50" s="5">
        <v>0</v>
      </c>
      <c r="F50" s="1"/>
      <c r="G50" s="5"/>
      <c r="H50" s="5">
        <f t="shared" si="0"/>
        <v>1632</v>
      </c>
      <c r="I50" s="5">
        <f t="shared" si="1"/>
        <v>0</v>
      </c>
      <c r="J50" s="5">
        <f>Table14[[#This Row],[Enrolment S.Y. 2025-2026 ]]*8</f>
        <v>1632</v>
      </c>
      <c r="K50" s="5">
        <v>0</v>
      </c>
      <c r="L50" s="1"/>
      <c r="M50" s="5"/>
      <c r="N50" s="5">
        <f t="shared" si="10"/>
        <v>1632</v>
      </c>
      <c r="O50" s="5">
        <f t="shared" si="11"/>
        <v>0</v>
      </c>
      <c r="P50" s="5">
        <f>Table14[[#This Row],[Enrolment S.Y. 2025-2026 ]]*8</f>
        <v>1632</v>
      </c>
      <c r="Q50" s="5">
        <v>0</v>
      </c>
      <c r="R50" s="1"/>
      <c r="S50" s="5"/>
      <c r="T50" s="5">
        <f t="shared" si="4"/>
        <v>1632</v>
      </c>
      <c r="U50" s="5">
        <f t="shared" si="5"/>
        <v>0</v>
      </c>
      <c r="V50" s="5">
        <f>Table14[[#This Row],[Enrolment S.Y. 2025-2026 ]]*8</f>
        <v>1632</v>
      </c>
      <c r="W50" s="5">
        <v>0</v>
      </c>
      <c r="X50" s="1"/>
      <c r="Y50" s="5"/>
      <c r="Z50" s="5">
        <f t="shared" si="6"/>
        <v>1632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204</v>
      </c>
      <c r="D51" s="5">
        <f>Table14[[#This Row],[Enrolment S.Y. 2025-2026 ]]*8</f>
        <v>1632</v>
      </c>
      <c r="E51" s="5">
        <v>0</v>
      </c>
      <c r="F51" s="1"/>
      <c r="G51" s="5"/>
      <c r="H51" s="5">
        <f t="shared" si="0"/>
        <v>1632</v>
      </c>
      <c r="I51" s="5">
        <f t="shared" si="1"/>
        <v>0</v>
      </c>
      <c r="J51" s="5">
        <f>Table14[[#This Row],[Enrolment S.Y. 2025-2026 ]]*8</f>
        <v>1632</v>
      </c>
      <c r="K51" s="5">
        <v>0</v>
      </c>
      <c r="L51" s="1"/>
      <c r="M51" s="5"/>
      <c r="N51" s="5">
        <f t="shared" si="10"/>
        <v>1632</v>
      </c>
      <c r="O51" s="5">
        <f t="shared" si="11"/>
        <v>0</v>
      </c>
      <c r="P51" s="5">
        <f>Table14[[#This Row],[Enrolment S.Y. 2025-2026 ]]*8</f>
        <v>1632</v>
      </c>
      <c r="Q51" s="5">
        <v>0</v>
      </c>
      <c r="R51" s="1"/>
      <c r="S51" s="5"/>
      <c r="T51" s="5">
        <f t="shared" si="4"/>
        <v>1632</v>
      </c>
      <c r="U51" s="5">
        <f t="shared" si="5"/>
        <v>0</v>
      </c>
      <c r="V51" s="5">
        <f>Table14[[#This Row],[Enrolment S.Y. 2025-2026 ]]*8</f>
        <v>1632</v>
      </c>
      <c r="W51" s="5">
        <v>0</v>
      </c>
      <c r="X51" s="1"/>
      <c r="Y51" s="5"/>
      <c r="Z51" s="5">
        <f t="shared" si="6"/>
        <v>1632</v>
      </c>
      <c r="AA51" s="5">
        <f t="shared" si="7"/>
        <v>0</v>
      </c>
    </row>
    <row r="52" spans="1:27" ht="19.5">
      <c r="A52" s="37">
        <v>5</v>
      </c>
      <c r="B52" s="9" t="s">
        <v>96</v>
      </c>
      <c r="C52" s="1">
        <v>204</v>
      </c>
      <c r="D52" s="5">
        <f>Table14[[#This Row],[Enrolment S.Y. 2025-2026 ]]*8</f>
        <v>1632</v>
      </c>
      <c r="E52" s="5">
        <v>0</v>
      </c>
      <c r="F52" s="1"/>
      <c r="G52" s="5"/>
      <c r="H52" s="5">
        <f>IF((D52-E52)&lt;0,0,(D52-E52))</f>
        <v>1632</v>
      </c>
      <c r="I52" s="5">
        <f>IF((E52-D52)&lt;0,0,(E52-D52))</f>
        <v>0</v>
      </c>
      <c r="J52" s="5">
        <f>Table14[[#This Row],[Enrolment S.Y. 2025-2026 ]]*8</f>
        <v>1632</v>
      </c>
      <c r="K52" s="5">
        <v>0</v>
      </c>
      <c r="L52" s="1"/>
      <c r="M52" s="5"/>
      <c r="N52" s="5">
        <f t="shared" si="10"/>
        <v>1632</v>
      </c>
      <c r="O52" s="5">
        <f t="shared" si="11"/>
        <v>0</v>
      </c>
      <c r="P52" s="5">
        <f>Table14[[#This Row],[Enrolment S.Y. 2025-2026 ]]*8</f>
        <v>1632</v>
      </c>
      <c r="Q52" s="5">
        <v>0</v>
      </c>
      <c r="R52" s="1"/>
      <c r="S52" s="5"/>
      <c r="T52" s="5">
        <f>IF((P52-Q52)&lt;0,0,(P52-Q52))</f>
        <v>1632</v>
      </c>
      <c r="U52" s="5">
        <f>IF((Q52-P52)&lt;0,0,(Q52-P52))</f>
        <v>0</v>
      </c>
      <c r="V52" s="5">
        <f>Table14[[#This Row],[Enrolment S.Y. 2025-2026 ]]*8</f>
        <v>1632</v>
      </c>
      <c r="W52" s="5">
        <v>0</v>
      </c>
      <c r="X52" s="1"/>
      <c r="Y52" s="5"/>
      <c r="Z52" s="5">
        <f>IF((V52-W52)&lt;0,0,(V52-W52))</f>
        <v>1632</v>
      </c>
      <c r="AA52" s="5">
        <f>IF((W52-V52)&lt;0,0,(W52-V52))</f>
        <v>0</v>
      </c>
    </row>
    <row r="53" spans="1:27" ht="19.5">
      <c r="A53" s="1">
        <v>5</v>
      </c>
      <c r="B53" s="9" t="s">
        <v>97</v>
      </c>
      <c r="C53" s="1">
        <v>204</v>
      </c>
      <c r="D53" s="5">
        <f>Table14[[#This Row],[Enrolment S.Y. 2025-2026 ]]*8</f>
        <v>1632</v>
      </c>
      <c r="E53" s="5">
        <v>0</v>
      </c>
      <c r="F53" s="1"/>
      <c r="G53" s="5"/>
      <c r="H53" s="5">
        <f t="shared" si="0"/>
        <v>1632</v>
      </c>
      <c r="I53" s="5">
        <f t="shared" si="1"/>
        <v>0</v>
      </c>
      <c r="J53" s="5">
        <f>Table14[[#This Row],[Enrolment S.Y. 2025-2026 ]]*8</f>
        <v>1632</v>
      </c>
      <c r="K53" s="5">
        <v>0</v>
      </c>
      <c r="L53" s="1"/>
      <c r="M53" s="5"/>
      <c r="N53" s="5">
        <f t="shared" si="10"/>
        <v>1632</v>
      </c>
      <c r="O53" s="5">
        <f t="shared" si="11"/>
        <v>0</v>
      </c>
      <c r="P53" s="5">
        <f>Table14[[#This Row],[Enrolment S.Y. 2025-2026 ]]*8</f>
        <v>1632</v>
      </c>
      <c r="Q53" s="5">
        <v>0</v>
      </c>
      <c r="R53" s="1"/>
      <c r="S53" s="5"/>
      <c r="T53" s="5">
        <f t="shared" si="4"/>
        <v>1632</v>
      </c>
      <c r="U53" s="5">
        <f t="shared" si="5"/>
        <v>0</v>
      </c>
      <c r="V53" s="5">
        <f>Table14[[#This Row],[Enrolment S.Y. 2025-2026 ]]*8</f>
        <v>1632</v>
      </c>
      <c r="W53" s="5">
        <v>0</v>
      </c>
      <c r="X53" s="1"/>
      <c r="Y53" s="5"/>
      <c r="Z53" s="5">
        <f t="shared" si="6"/>
        <v>1632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218</v>
      </c>
      <c r="D55" s="5">
        <f>Table14[[#This Row],[Enrolment S.Y. 2025-2026 ]]*8</f>
        <v>1744</v>
      </c>
      <c r="E55" s="5">
        <v>100</v>
      </c>
      <c r="F55" s="1">
        <v>2025</v>
      </c>
      <c r="G55" s="5" t="s">
        <v>16</v>
      </c>
      <c r="H55" s="5">
        <f t="shared" si="0"/>
        <v>1644</v>
      </c>
      <c r="I55" s="5">
        <f t="shared" si="1"/>
        <v>0</v>
      </c>
      <c r="J55" s="5">
        <f>Table14[[#This Row],[Enrolment S.Y. 2025-2026 ]]*8</f>
        <v>1744</v>
      </c>
      <c r="K55" s="5">
        <v>50</v>
      </c>
      <c r="L55" s="1">
        <v>2025</v>
      </c>
      <c r="M55" s="5" t="s">
        <v>16</v>
      </c>
      <c r="N55" s="5">
        <f t="shared" si="2"/>
        <v>1694</v>
      </c>
      <c r="O55" s="5">
        <f t="shared" si="3"/>
        <v>0</v>
      </c>
      <c r="P55" s="5">
        <f>Table14[[#This Row],[Enrolment S.Y. 2025-2026 ]]*8</f>
        <v>1744</v>
      </c>
      <c r="Q55" s="5">
        <v>0</v>
      </c>
      <c r="R55" s="1"/>
      <c r="S55" s="5"/>
      <c r="T55" s="5">
        <f t="shared" si="4"/>
        <v>1744</v>
      </c>
      <c r="U55" s="5">
        <f t="shared" si="5"/>
        <v>0</v>
      </c>
      <c r="V55" s="5">
        <f>Table14[[#This Row],[Enrolment S.Y. 2025-2026 ]]*8</f>
        <v>1744</v>
      </c>
      <c r="W55" s="5">
        <v>0</v>
      </c>
      <c r="X55" s="1"/>
      <c r="Y55" s="5"/>
      <c r="Z55" s="5">
        <f t="shared" si="6"/>
        <v>1744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218</v>
      </c>
      <c r="D56" s="5">
        <f>Table14[[#This Row],[Enrolment S.Y. 2025-2026 ]]*8</f>
        <v>1744</v>
      </c>
      <c r="E56" s="5">
        <v>100</v>
      </c>
      <c r="F56" s="1">
        <v>2025</v>
      </c>
      <c r="G56" s="5" t="s">
        <v>16</v>
      </c>
      <c r="H56" s="5">
        <f t="shared" si="0"/>
        <v>1644</v>
      </c>
      <c r="I56" s="5">
        <f t="shared" si="1"/>
        <v>0</v>
      </c>
      <c r="J56" s="5">
        <f>Table14[[#This Row],[Enrolment S.Y. 2025-2026 ]]*8</f>
        <v>1744</v>
      </c>
      <c r="K56" s="5">
        <v>50</v>
      </c>
      <c r="L56" s="1">
        <v>2025</v>
      </c>
      <c r="M56" s="5" t="s">
        <v>16</v>
      </c>
      <c r="N56" s="5">
        <f t="shared" si="2"/>
        <v>1694</v>
      </c>
      <c r="O56" s="5">
        <f t="shared" si="3"/>
        <v>0</v>
      </c>
      <c r="P56" s="5">
        <f>Table14[[#This Row],[Enrolment S.Y. 2025-2026 ]]*8</f>
        <v>1744</v>
      </c>
      <c r="Q56" s="5">
        <v>0</v>
      </c>
      <c r="R56" s="1"/>
      <c r="S56" s="5"/>
      <c r="T56" s="5">
        <f t="shared" si="4"/>
        <v>1744</v>
      </c>
      <c r="U56" s="5">
        <f t="shared" si="5"/>
        <v>0</v>
      </c>
      <c r="V56" s="5">
        <f>Table14[[#This Row],[Enrolment S.Y. 2025-2026 ]]*8</f>
        <v>1744</v>
      </c>
      <c r="W56" s="5">
        <v>0</v>
      </c>
      <c r="X56" s="1"/>
      <c r="Y56" s="5"/>
      <c r="Z56" s="5">
        <f t="shared" si="6"/>
        <v>1744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218</v>
      </c>
      <c r="D57" s="5">
        <f>Table14[[#This Row],[Enrolment S.Y. 2025-2026 ]]*8</f>
        <v>1744</v>
      </c>
      <c r="E57" s="5">
        <v>100</v>
      </c>
      <c r="F57" s="1">
        <v>2025</v>
      </c>
      <c r="G57" s="5" t="s">
        <v>16</v>
      </c>
      <c r="H57" s="5">
        <f t="shared" si="0"/>
        <v>1644</v>
      </c>
      <c r="I57" s="5">
        <f t="shared" si="1"/>
        <v>0</v>
      </c>
      <c r="J57" s="5">
        <f>Table14[[#This Row],[Enrolment S.Y. 2025-2026 ]]*8</f>
        <v>1744</v>
      </c>
      <c r="K57" s="5">
        <v>50</v>
      </c>
      <c r="L57" s="1">
        <v>2025</v>
      </c>
      <c r="M57" s="5" t="s">
        <v>16</v>
      </c>
      <c r="N57" s="5">
        <f t="shared" si="2"/>
        <v>1694</v>
      </c>
      <c r="O57" s="5">
        <f t="shared" si="3"/>
        <v>0</v>
      </c>
      <c r="P57" s="5">
        <f>Table14[[#This Row],[Enrolment S.Y. 2025-2026 ]]*8</f>
        <v>1744</v>
      </c>
      <c r="Q57" s="5">
        <v>0</v>
      </c>
      <c r="R57" s="1"/>
      <c r="S57" s="5"/>
      <c r="T57" s="5">
        <f t="shared" si="4"/>
        <v>1744</v>
      </c>
      <c r="U57" s="5">
        <f t="shared" si="5"/>
        <v>0</v>
      </c>
      <c r="V57" s="5">
        <f>Table14[[#This Row],[Enrolment S.Y. 2025-2026 ]]*8</f>
        <v>1744</v>
      </c>
      <c r="W57" s="5">
        <v>0</v>
      </c>
      <c r="X57" s="1"/>
      <c r="Y57" s="5"/>
      <c r="Z57" s="5">
        <f t="shared" si="6"/>
        <v>1744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218</v>
      </c>
      <c r="D58" s="5">
        <f>Table14[[#This Row],[Enrolment S.Y. 2025-2026 ]]*8</f>
        <v>1744</v>
      </c>
      <c r="E58" s="5">
        <v>0</v>
      </c>
      <c r="F58" s="1"/>
      <c r="G58" s="5"/>
      <c r="H58" s="5">
        <f t="shared" si="0"/>
        <v>1744</v>
      </c>
      <c r="I58" s="5">
        <f t="shared" si="1"/>
        <v>0</v>
      </c>
      <c r="J58" s="5">
        <f>Table14[[#This Row],[Enrolment S.Y. 2025-2026 ]]*8</f>
        <v>1744</v>
      </c>
      <c r="K58" s="5">
        <v>0</v>
      </c>
      <c r="L58" s="1"/>
      <c r="M58" s="5"/>
      <c r="N58" s="5">
        <f t="shared" si="2"/>
        <v>1744</v>
      </c>
      <c r="O58" s="5">
        <f t="shared" si="3"/>
        <v>0</v>
      </c>
      <c r="P58" s="5">
        <f>Table14[[#This Row],[Enrolment S.Y. 2025-2026 ]]*8</f>
        <v>1744</v>
      </c>
      <c r="Q58" s="5">
        <v>0</v>
      </c>
      <c r="R58" s="1"/>
      <c r="S58" s="5"/>
      <c r="T58" s="5">
        <f t="shared" si="4"/>
        <v>1744</v>
      </c>
      <c r="U58" s="5">
        <f t="shared" si="5"/>
        <v>0</v>
      </c>
      <c r="V58" s="5">
        <f>Table14[[#This Row],[Enrolment S.Y. 2025-2026 ]]*8</f>
        <v>1744</v>
      </c>
      <c r="W58" s="5">
        <v>0</v>
      </c>
      <c r="X58" s="1"/>
      <c r="Y58" s="5"/>
      <c r="Z58" s="5">
        <f t="shared" si="6"/>
        <v>1744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218</v>
      </c>
      <c r="D59" s="5">
        <f>Table14[[#This Row],[Enrolment S.Y. 2025-2026 ]]*8</f>
        <v>1744</v>
      </c>
      <c r="E59" s="5">
        <v>0</v>
      </c>
      <c r="F59" s="1"/>
      <c r="G59" s="5"/>
      <c r="H59" s="5">
        <f t="shared" si="0"/>
        <v>1744</v>
      </c>
      <c r="I59" s="5">
        <f t="shared" si="1"/>
        <v>0</v>
      </c>
      <c r="J59" s="5">
        <f>Table14[[#This Row],[Enrolment S.Y. 2025-2026 ]]*8</f>
        <v>1744</v>
      </c>
      <c r="K59" s="5">
        <v>0</v>
      </c>
      <c r="L59" s="1"/>
      <c r="M59" s="5"/>
      <c r="N59" s="5">
        <f t="shared" si="2"/>
        <v>1744</v>
      </c>
      <c r="O59" s="5">
        <f t="shared" si="3"/>
        <v>0</v>
      </c>
      <c r="P59" s="5">
        <f>Table14[[#This Row],[Enrolment S.Y. 2025-2026 ]]*8</f>
        <v>1744</v>
      </c>
      <c r="Q59" s="5">
        <v>0</v>
      </c>
      <c r="R59" s="1"/>
      <c r="S59" s="5"/>
      <c r="T59" s="5">
        <f t="shared" si="4"/>
        <v>1744</v>
      </c>
      <c r="U59" s="5">
        <f t="shared" si="5"/>
        <v>0</v>
      </c>
      <c r="V59" s="5">
        <f>Table14[[#This Row],[Enrolment S.Y. 2025-2026 ]]*8</f>
        <v>1744</v>
      </c>
      <c r="W59" s="5">
        <v>0</v>
      </c>
      <c r="X59" s="1"/>
      <c r="Y59" s="5"/>
      <c r="Z59" s="5">
        <f t="shared" si="6"/>
        <v>1744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218</v>
      </c>
      <c r="D60" s="5">
        <f>Table14[[#This Row],[Enrolment S.Y. 2025-2026 ]]*8</f>
        <v>1744</v>
      </c>
      <c r="E60" s="5">
        <v>0</v>
      </c>
      <c r="F60" s="1"/>
      <c r="G60" s="5"/>
      <c r="H60" s="5">
        <f t="shared" si="0"/>
        <v>1744</v>
      </c>
      <c r="I60" s="5">
        <f t="shared" si="1"/>
        <v>0</v>
      </c>
      <c r="J60" s="5">
        <f>Table14[[#This Row],[Enrolment S.Y. 2025-2026 ]]*8</f>
        <v>1744</v>
      </c>
      <c r="K60" s="5">
        <v>0</v>
      </c>
      <c r="L60" s="1"/>
      <c r="M60" s="5"/>
      <c r="N60" s="5">
        <f t="shared" si="2"/>
        <v>1744</v>
      </c>
      <c r="O60" s="5">
        <f t="shared" si="3"/>
        <v>0</v>
      </c>
      <c r="P60" s="5">
        <f>Table14[[#This Row],[Enrolment S.Y. 2025-2026 ]]*8</f>
        <v>1744</v>
      </c>
      <c r="Q60" s="5">
        <v>0</v>
      </c>
      <c r="R60" s="1"/>
      <c r="S60" s="5"/>
      <c r="T60" s="5">
        <f t="shared" si="4"/>
        <v>1744</v>
      </c>
      <c r="U60" s="5">
        <f t="shared" si="5"/>
        <v>0</v>
      </c>
      <c r="V60" s="5">
        <f>Table14[[#This Row],[Enrolment S.Y. 2025-2026 ]]*8</f>
        <v>1744</v>
      </c>
      <c r="W60" s="5">
        <v>0</v>
      </c>
      <c r="X60" s="1"/>
      <c r="Y60" s="5"/>
      <c r="Z60" s="5">
        <f t="shared" si="6"/>
        <v>1744</v>
      </c>
      <c r="AA60" s="5">
        <f t="shared" si="7"/>
        <v>0</v>
      </c>
    </row>
    <row r="61" spans="1:27" ht="19.5">
      <c r="A61" s="37">
        <v>6</v>
      </c>
      <c r="B61" s="9" t="s">
        <v>94</v>
      </c>
      <c r="C61" s="1">
        <v>218</v>
      </c>
      <c r="D61" s="5">
        <f>Table14[[#This Row],[Enrolment S.Y. 2025-2026 ]]*8</f>
        <v>1744</v>
      </c>
      <c r="E61" s="5">
        <v>0</v>
      </c>
      <c r="F61" s="1"/>
      <c r="G61" s="5"/>
      <c r="H61" s="5">
        <f>IF((D61-E61)&lt;0,0,(D61-E61))</f>
        <v>1744</v>
      </c>
      <c r="I61" s="5">
        <f>IF((E61-D61)&lt;0,0,(E61-D61))</f>
        <v>0</v>
      </c>
      <c r="J61" s="5">
        <f>Table14[[#This Row],[Enrolment S.Y. 2025-2026 ]]*8</f>
        <v>1744</v>
      </c>
      <c r="K61" s="5">
        <v>0</v>
      </c>
      <c r="L61" s="1"/>
      <c r="M61" s="5"/>
      <c r="N61" s="5">
        <f t="shared" ref="N61:N65" si="12">IF((J61-K61)&lt;0,0,(J61-K61))</f>
        <v>1744</v>
      </c>
      <c r="O61" s="5">
        <f t="shared" ref="O61:O65" si="13">IF((K61-J61)&lt;0,0,(K61-J61))</f>
        <v>0</v>
      </c>
      <c r="P61" s="5">
        <f>Table14[[#This Row],[Enrolment S.Y. 2025-2026 ]]*8</f>
        <v>1744</v>
      </c>
      <c r="Q61" s="5">
        <v>0</v>
      </c>
      <c r="R61" s="1"/>
      <c r="S61" s="5"/>
      <c r="T61" s="5">
        <f>IF((P61-Q61)&lt;0,0,(P61-Q61))</f>
        <v>1744</v>
      </c>
      <c r="U61" s="5">
        <f>IF((Q61-P61)&lt;0,0,(Q61-P61))</f>
        <v>0</v>
      </c>
      <c r="V61" s="5">
        <f>Table14[[#This Row],[Enrolment S.Y. 2025-2026 ]]*8</f>
        <v>1744</v>
      </c>
      <c r="W61" s="5">
        <v>0</v>
      </c>
      <c r="X61" s="1"/>
      <c r="Y61" s="5"/>
      <c r="Z61" s="5">
        <f>IF((V61-W61)&lt;0,0,(V61-W61))</f>
        <v>1744</v>
      </c>
      <c r="AA61" s="5">
        <f>IF((W61-V61)&lt;0,0,(W61-V61))</f>
        <v>0</v>
      </c>
    </row>
    <row r="62" spans="1:27" ht="19.5">
      <c r="A62" s="1">
        <v>6</v>
      </c>
      <c r="B62" s="9" t="s">
        <v>95</v>
      </c>
      <c r="C62" s="1">
        <v>218</v>
      </c>
      <c r="D62" s="5">
        <f>Table14[[#This Row],[Enrolment S.Y. 2025-2026 ]]*8</f>
        <v>1744</v>
      </c>
      <c r="E62" s="5">
        <v>0</v>
      </c>
      <c r="F62" s="1"/>
      <c r="G62" s="5"/>
      <c r="H62" s="5">
        <f t="shared" si="0"/>
        <v>1744</v>
      </c>
      <c r="I62" s="5">
        <f t="shared" si="1"/>
        <v>0</v>
      </c>
      <c r="J62" s="5">
        <f>Table14[[#This Row],[Enrolment S.Y. 2025-2026 ]]*8</f>
        <v>1744</v>
      </c>
      <c r="K62" s="5">
        <v>0</v>
      </c>
      <c r="L62" s="1"/>
      <c r="M62" s="5"/>
      <c r="N62" s="5">
        <f t="shared" si="12"/>
        <v>1744</v>
      </c>
      <c r="O62" s="5">
        <f t="shared" si="13"/>
        <v>0</v>
      </c>
      <c r="P62" s="5">
        <f>Table14[[#This Row],[Enrolment S.Y. 2025-2026 ]]*8</f>
        <v>1744</v>
      </c>
      <c r="Q62" s="5">
        <v>0</v>
      </c>
      <c r="R62" s="1"/>
      <c r="S62" s="5"/>
      <c r="T62" s="5">
        <f t="shared" si="4"/>
        <v>1744</v>
      </c>
      <c r="U62" s="5">
        <f t="shared" si="5"/>
        <v>0</v>
      </c>
      <c r="V62" s="5">
        <f>Table14[[#This Row],[Enrolment S.Y. 2025-2026 ]]*8</f>
        <v>1744</v>
      </c>
      <c r="W62" s="5">
        <v>0</v>
      </c>
      <c r="X62" s="1"/>
      <c r="Y62" s="5"/>
      <c r="Z62" s="5">
        <f t="shared" si="6"/>
        <v>1744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218</v>
      </c>
      <c r="D63" s="5">
        <f>Table14[[#This Row],[Enrolment S.Y. 2025-2026 ]]*8</f>
        <v>1744</v>
      </c>
      <c r="E63" s="5">
        <v>0</v>
      </c>
      <c r="F63" s="1"/>
      <c r="G63" s="5"/>
      <c r="H63" s="5">
        <f t="shared" si="0"/>
        <v>1744</v>
      </c>
      <c r="I63" s="5">
        <f t="shared" si="1"/>
        <v>0</v>
      </c>
      <c r="J63" s="5">
        <f>Table14[[#This Row],[Enrolment S.Y. 2025-2026 ]]*8</f>
        <v>1744</v>
      </c>
      <c r="K63" s="5">
        <v>0</v>
      </c>
      <c r="L63" s="1"/>
      <c r="M63" s="5"/>
      <c r="N63" s="5">
        <f t="shared" si="12"/>
        <v>1744</v>
      </c>
      <c r="O63" s="5">
        <f t="shared" si="13"/>
        <v>0</v>
      </c>
      <c r="P63" s="5">
        <f>Table14[[#This Row],[Enrolment S.Y. 2025-2026 ]]*8</f>
        <v>1744</v>
      </c>
      <c r="Q63" s="5">
        <v>0</v>
      </c>
      <c r="R63" s="1"/>
      <c r="S63" s="5"/>
      <c r="T63" s="5">
        <f t="shared" si="4"/>
        <v>1744</v>
      </c>
      <c r="U63" s="5">
        <f t="shared" si="5"/>
        <v>0</v>
      </c>
      <c r="V63" s="5">
        <f>Table14[[#This Row],[Enrolment S.Y. 2025-2026 ]]*8</f>
        <v>1744</v>
      </c>
      <c r="W63" s="5">
        <v>0</v>
      </c>
      <c r="X63" s="1"/>
      <c r="Y63" s="5"/>
      <c r="Z63" s="5">
        <f t="shared" si="6"/>
        <v>1744</v>
      </c>
      <c r="AA63" s="5">
        <f t="shared" si="7"/>
        <v>0</v>
      </c>
    </row>
    <row r="64" spans="1:27" ht="19.5">
      <c r="A64" s="37">
        <v>6</v>
      </c>
      <c r="B64" s="9" t="s">
        <v>96</v>
      </c>
      <c r="C64" s="1">
        <v>218</v>
      </c>
      <c r="D64" s="5">
        <f>Table14[[#This Row],[Enrolment S.Y. 2025-2026 ]]*8</f>
        <v>1744</v>
      </c>
      <c r="E64" s="5">
        <v>0</v>
      </c>
      <c r="F64" s="1"/>
      <c r="G64" s="5"/>
      <c r="H64" s="5">
        <f>IF((D64-E64)&lt;0,0,(D64-E64))</f>
        <v>1744</v>
      </c>
      <c r="I64" s="5">
        <f>IF((E64-D64)&lt;0,0,(E64-D64))</f>
        <v>0</v>
      </c>
      <c r="J64" s="5">
        <f>Table14[[#This Row],[Enrolment S.Y. 2025-2026 ]]*8</f>
        <v>1744</v>
      </c>
      <c r="K64" s="5">
        <v>0</v>
      </c>
      <c r="L64" s="1"/>
      <c r="M64" s="5"/>
      <c r="N64" s="5">
        <f t="shared" si="12"/>
        <v>1744</v>
      </c>
      <c r="O64" s="5">
        <f t="shared" si="13"/>
        <v>0</v>
      </c>
      <c r="P64" s="5">
        <f>Table14[[#This Row],[Enrolment S.Y. 2025-2026 ]]*8</f>
        <v>1744</v>
      </c>
      <c r="Q64" s="5">
        <v>0</v>
      </c>
      <c r="R64" s="1"/>
      <c r="S64" s="5"/>
      <c r="T64" s="5">
        <f>IF((P64-Q64)&lt;0,0,(P64-Q64))</f>
        <v>1744</v>
      </c>
      <c r="U64" s="5">
        <f>IF((Q64-P64)&lt;0,0,(Q64-P64))</f>
        <v>0</v>
      </c>
      <c r="V64" s="5">
        <f>Table14[[#This Row],[Enrolment S.Y. 2025-2026 ]]*8</f>
        <v>1744</v>
      </c>
      <c r="W64" s="5">
        <v>0</v>
      </c>
      <c r="X64" s="1"/>
      <c r="Y64" s="5"/>
      <c r="Z64" s="5">
        <f>IF((V64-W64)&lt;0,0,(V64-W64))</f>
        <v>1744</v>
      </c>
      <c r="AA64" s="5">
        <f>IF((W64-V64)&lt;0,0,(W64-V64))</f>
        <v>0</v>
      </c>
    </row>
    <row r="65" spans="1:27" ht="19.5">
      <c r="A65" s="1">
        <v>6</v>
      </c>
      <c r="B65" s="9" t="s">
        <v>97</v>
      </c>
      <c r="C65" s="1">
        <v>218</v>
      </c>
      <c r="D65" s="5">
        <f>Table14[[#This Row],[Enrolment S.Y. 2025-2026 ]]*8</f>
        <v>1744</v>
      </c>
      <c r="E65" s="5">
        <v>0</v>
      </c>
      <c r="F65" s="1"/>
      <c r="G65" s="5"/>
      <c r="H65" s="5">
        <f t="shared" si="0"/>
        <v>1744</v>
      </c>
      <c r="I65" s="5">
        <f t="shared" si="1"/>
        <v>0</v>
      </c>
      <c r="J65" s="5">
        <f>Table14[[#This Row],[Enrolment S.Y. 2025-2026 ]]*8</f>
        <v>1744</v>
      </c>
      <c r="K65" s="5">
        <v>0</v>
      </c>
      <c r="L65" s="1"/>
      <c r="M65" s="5"/>
      <c r="N65" s="5">
        <f t="shared" si="12"/>
        <v>1744</v>
      </c>
      <c r="O65" s="5">
        <f t="shared" si="13"/>
        <v>0</v>
      </c>
      <c r="P65" s="5">
        <f>Table14[[#This Row],[Enrolment S.Y. 2025-2026 ]]*8</f>
        <v>1744</v>
      </c>
      <c r="Q65" s="5">
        <v>0</v>
      </c>
      <c r="R65" s="1"/>
      <c r="S65" s="5"/>
      <c r="T65" s="5">
        <f t="shared" si="4"/>
        <v>1744</v>
      </c>
      <c r="U65" s="5">
        <f t="shared" si="5"/>
        <v>0</v>
      </c>
      <c r="V65" s="5">
        <f>Table14[[#This Row],[Enrolment S.Y. 2025-2026 ]]*8</f>
        <v>1744</v>
      </c>
      <c r="W65" s="5">
        <v>0</v>
      </c>
      <c r="X65" s="1"/>
      <c r="Y65" s="5"/>
      <c r="Z65" s="5">
        <f t="shared" si="6"/>
        <v>1744</v>
      </c>
      <c r="AA65" s="5" t="s">
        <v>98</v>
      </c>
    </row>
    <row r="66" spans="1:27" s="7" customFormat="1"/>
    <row r="67" spans="1:27" s="7" customFormat="1" ht="18" hidden="1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</row>
    <row r="68" spans="1:27" s="7" customFormat="1" ht="18" hidden="1">
      <c r="A68" s="44"/>
      <c r="B68" s="49" t="s">
        <v>99</v>
      </c>
      <c r="C68" s="50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</row>
    <row r="69" spans="1:27" s="7" customFormat="1" ht="18" hidden="1">
      <c r="A69" s="44"/>
      <c r="B69" s="51" t="s">
        <v>100</v>
      </c>
      <c r="C69" s="50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</row>
    <row r="70" spans="1:27" s="7" customFormat="1" ht="18" hidden="1">
      <c r="A70" s="44"/>
      <c r="B70" s="52" t="s">
        <v>101</v>
      </c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</row>
    <row r="71" spans="1:27" s="7" customFormat="1" ht="21" hidden="1">
      <c r="A71" s="53"/>
      <c r="B71" s="55" t="s">
        <v>102</v>
      </c>
      <c r="C71" s="54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 t="s">
        <v>103</v>
      </c>
      <c r="Z71" s="53"/>
      <c r="AA71" s="53"/>
    </row>
    <row r="72" spans="1:27" s="7" customFormat="1" ht="18" hidden="1">
      <c r="A72" s="53"/>
      <c r="B72" s="45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4" t="s">
        <v>104</v>
      </c>
      <c r="Z72" s="54"/>
      <c r="AA72" s="53"/>
    </row>
    <row r="73" spans="1:27" s="7" customFormat="1" ht="19.5" hidden="1">
      <c r="A73" s="53"/>
      <c r="B73" s="45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6" t="s">
        <v>105</v>
      </c>
      <c r="Z73" s="50"/>
      <c r="AA73" s="44"/>
    </row>
    <row r="74" spans="1:27" s="7" customFormat="1" ht="19.5" hidden="1">
      <c r="A74" s="53"/>
      <c r="B74" s="45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7" t="s">
        <v>106</v>
      </c>
      <c r="Z74" s="54"/>
      <c r="AA74" s="53"/>
    </row>
    <row r="75" spans="1:27" s="7" customFormat="1" ht="18" hidden="1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</row>
    <row r="76" spans="1:27" s="7" customFormat="1" ht="18" hidden="1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</row>
    <row r="77" spans="1:27" s="7" customFormat="1" ht="18" hidden="1">
      <c r="A77" s="53"/>
      <c r="B77" s="45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4" t="s">
        <v>107</v>
      </c>
      <c r="Z77" s="54"/>
      <c r="AA77" s="53"/>
    </row>
    <row r="78" spans="1:27" s="7" customFormat="1" ht="18" hidden="1">
      <c r="A78" s="53"/>
      <c r="B78" s="45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4" t="s">
        <v>108</v>
      </c>
      <c r="Z78" s="54"/>
      <c r="AA78" s="53"/>
    </row>
    <row r="79" spans="1:27" s="7" customFormat="1" ht="18" hidden="1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58"/>
      <c r="Y79" s="59" t="s">
        <v>109</v>
      </c>
      <c r="Z79" s="50"/>
      <c r="AA79" s="44"/>
    </row>
    <row r="80" spans="1:27" s="7" customFormat="1" ht="18" hidden="1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60"/>
      <c r="Y80" s="61" t="s">
        <v>110</v>
      </c>
      <c r="Z80" s="54"/>
      <c r="AA80" s="44"/>
    </row>
    <row r="81" spans="1:27" s="7" customFormat="1" ht="18" hidden="1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</row>
    <row r="82" spans="1:27" s="7" customFormat="1" ht="18" hidden="1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</row>
    <row r="83" spans="1:27" ht="19.5">
      <c r="A83" s="46">
        <v>7</v>
      </c>
      <c r="B83" s="47" t="s">
        <v>15</v>
      </c>
      <c r="C83" s="46"/>
      <c r="D83" s="48">
        <f>Table14[[#This Row],[Enrolment S.Y. 2025-2026 ]]*8</f>
        <v>0</v>
      </c>
      <c r="E83" s="48"/>
      <c r="F83" s="46"/>
      <c r="G83" s="48"/>
      <c r="H83" s="48">
        <f t="shared" si="0"/>
        <v>0</v>
      </c>
      <c r="I83" s="48">
        <f t="shared" si="1"/>
        <v>0</v>
      </c>
      <c r="J83" s="48">
        <f>Table14[[#This Row],[Enrolment S.Y. 2025-2026 ]]*8</f>
        <v>0</v>
      </c>
      <c r="K83" s="48"/>
      <c r="L83" s="46"/>
      <c r="M83" s="48"/>
      <c r="N83" s="48">
        <f t="shared" si="2"/>
        <v>0</v>
      </c>
      <c r="O83" s="48">
        <f t="shared" si="3"/>
        <v>0</v>
      </c>
      <c r="P83" s="48">
        <f>Table14[[#This Row],[Enrolment S.Y. 2025-2026 ]]*8</f>
        <v>0</v>
      </c>
      <c r="Q83" s="48"/>
      <c r="R83" s="46"/>
      <c r="S83" s="48"/>
      <c r="T83" s="48">
        <f t="shared" si="4"/>
        <v>0</v>
      </c>
      <c r="U83" s="48">
        <f t="shared" si="5"/>
        <v>0</v>
      </c>
      <c r="V83" s="48">
        <f>Table14[[#This Row],[Enrolment S.Y. 2025-2026 ]]*8</f>
        <v>0</v>
      </c>
      <c r="W83" s="48"/>
      <c r="X83" s="46"/>
      <c r="Y83" s="48"/>
      <c r="Z83" s="48">
        <f t="shared" si="6"/>
        <v>0</v>
      </c>
      <c r="AA83" s="48">
        <f t="shared" si="7"/>
        <v>0</v>
      </c>
    </row>
    <row r="84" spans="1:27" ht="19.5">
      <c r="A84" s="10">
        <v>7</v>
      </c>
      <c r="B84" s="11" t="s">
        <v>17</v>
      </c>
      <c r="C84" s="10"/>
      <c r="D84" s="12">
        <f>Table14[[#This Row],[Enrolment S.Y. 2025-2026 ]]*8</f>
        <v>0</v>
      </c>
      <c r="E84" s="12"/>
      <c r="F84" s="46"/>
      <c r="G84" s="12"/>
      <c r="H84" s="12">
        <f t="shared" si="0"/>
        <v>0</v>
      </c>
      <c r="I84" s="12">
        <f t="shared" si="1"/>
        <v>0</v>
      </c>
      <c r="J84" s="12">
        <f>Table14[[#This Row],[Enrolment S.Y. 2025-2026 ]]*8</f>
        <v>0</v>
      </c>
      <c r="K84" s="12"/>
      <c r="L84" s="10"/>
      <c r="M84" s="12"/>
      <c r="N84" s="12">
        <f t="shared" si="2"/>
        <v>0</v>
      </c>
      <c r="O84" s="12">
        <f t="shared" si="3"/>
        <v>0</v>
      </c>
      <c r="P84" s="12">
        <f>Table14[[#This Row],[Enrolment S.Y. 2025-2026 ]]*8</f>
        <v>0</v>
      </c>
      <c r="Q84" s="12"/>
      <c r="R84" s="10"/>
      <c r="S84" s="12"/>
      <c r="T84" s="12">
        <f t="shared" si="4"/>
        <v>0</v>
      </c>
      <c r="U84" s="12">
        <f t="shared" si="5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6"/>
        <v>0</v>
      </c>
      <c r="AA84" s="12">
        <f t="shared" si="7"/>
        <v>0</v>
      </c>
    </row>
    <row r="85" spans="1:27" ht="19.5">
      <c r="A85" s="10">
        <v>7</v>
      </c>
      <c r="B85" s="11" t="s">
        <v>13</v>
      </c>
      <c r="C85" s="10"/>
      <c r="D85" s="12">
        <f>Table14[[#This Row],[Enrolment S.Y. 2025-2026 ]]*8</f>
        <v>0</v>
      </c>
      <c r="E85" s="12"/>
      <c r="F85" s="46"/>
      <c r="G85" s="12"/>
      <c r="H85" s="12">
        <f t="shared" si="0"/>
        <v>0</v>
      </c>
      <c r="I85" s="12">
        <f t="shared" si="1"/>
        <v>0</v>
      </c>
      <c r="J85" s="12">
        <f>Table14[[#This Row],[Enrolment S.Y. 2025-2026 ]]*8</f>
        <v>0</v>
      </c>
      <c r="K85" s="12"/>
      <c r="L85" s="10"/>
      <c r="M85" s="12"/>
      <c r="N85" s="12">
        <f t="shared" si="2"/>
        <v>0</v>
      </c>
      <c r="O85" s="12">
        <f t="shared" si="3"/>
        <v>0</v>
      </c>
      <c r="P85" s="12">
        <f>Table14[[#This Row],[Enrolment S.Y. 2025-2026 ]]*8</f>
        <v>0</v>
      </c>
      <c r="Q85" s="12"/>
      <c r="R85" s="10"/>
      <c r="S85" s="12"/>
      <c r="T85" s="12">
        <f t="shared" si="4"/>
        <v>0</v>
      </c>
      <c r="U85" s="12">
        <f t="shared" si="5"/>
        <v>0</v>
      </c>
      <c r="V85" s="12">
        <f>Table14[[#This Row],[Enrolment S.Y. 2025-2026 ]]*8</f>
        <v>0</v>
      </c>
      <c r="W85" s="12"/>
      <c r="X85" s="10"/>
      <c r="Y85" s="12"/>
      <c r="Z85" s="12">
        <f t="shared" si="6"/>
        <v>0</v>
      </c>
      <c r="AA85" s="12">
        <f t="shared" si="7"/>
        <v>0</v>
      </c>
    </row>
    <row r="86" spans="1:27" ht="19.5">
      <c r="A86" s="10">
        <v>7</v>
      </c>
      <c r="B86" s="11" t="s">
        <v>22</v>
      </c>
      <c r="C86" s="10"/>
      <c r="D86" s="12">
        <f>Table14[[#This Row],[Enrolment S.Y. 2025-2026 ]]*8</f>
        <v>0</v>
      </c>
      <c r="E86" s="12"/>
      <c r="F86" s="46"/>
      <c r="G86" s="12"/>
      <c r="H86" s="12">
        <f t="shared" si="0"/>
        <v>0</v>
      </c>
      <c r="I86" s="12">
        <f t="shared" si="1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"/>
        <v>0</v>
      </c>
      <c r="O86" s="12">
        <f t="shared" si="3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4"/>
        <v>0</v>
      </c>
      <c r="U86" s="12">
        <f t="shared" si="5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6"/>
        <v>0</v>
      </c>
      <c r="AA86" s="12">
        <f t="shared" si="7"/>
        <v>0</v>
      </c>
    </row>
    <row r="87" spans="1:27" ht="38.25">
      <c r="A87" s="10">
        <v>7</v>
      </c>
      <c r="B87" s="11" t="s">
        <v>18</v>
      </c>
      <c r="C87" s="10"/>
      <c r="D87" s="12">
        <f>Table14[[#This Row],[Enrolment S.Y. 2025-2026 ]]*8</f>
        <v>0</v>
      </c>
      <c r="E87" s="12"/>
      <c r="F87" s="46"/>
      <c r="G87" s="12"/>
      <c r="H87" s="12">
        <f t="shared" si="0"/>
        <v>0</v>
      </c>
      <c r="I87" s="12">
        <f t="shared" si="1"/>
        <v>0</v>
      </c>
      <c r="J87" s="12">
        <f>Table14[[#This Row],[Enrolment S.Y. 2025-2026 ]]*8</f>
        <v>0</v>
      </c>
      <c r="K87" s="12"/>
      <c r="L87" s="10"/>
      <c r="M87" s="12"/>
      <c r="N87" s="12">
        <f t="shared" ref="N87:N93" si="14">IF((J87-K87)&lt;0,0,(J87-K87))</f>
        <v>0</v>
      </c>
      <c r="O87" s="12">
        <f t="shared" ref="O87:O93" si="15">IF((K87-J87)&lt;0,0,(K87-J87))</f>
        <v>0</v>
      </c>
      <c r="P87" s="12">
        <f>Table14[[#This Row],[Enrolment S.Y. 2025-2026 ]]*8</f>
        <v>0</v>
      </c>
      <c r="Q87" s="12"/>
      <c r="R87" s="10"/>
      <c r="S87" s="12"/>
      <c r="T87" s="12">
        <f t="shared" si="4"/>
        <v>0</v>
      </c>
      <c r="U87" s="12">
        <f t="shared" si="5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6"/>
        <v>0</v>
      </c>
      <c r="AA87" s="12">
        <f t="shared" si="7"/>
        <v>0</v>
      </c>
    </row>
    <row r="88" spans="1:27" ht="19.5">
      <c r="A88" s="10">
        <v>7</v>
      </c>
      <c r="B88" s="11" t="s">
        <v>14</v>
      </c>
      <c r="C88" s="10"/>
      <c r="D88" s="12">
        <f>Table14[[#This Row],[Enrolment S.Y. 2025-2026 ]]*8</f>
        <v>0</v>
      </c>
      <c r="E88" s="12"/>
      <c r="F88" s="46"/>
      <c r="G88" s="12"/>
      <c r="H88" s="12">
        <f t="shared" si="0"/>
        <v>0</v>
      </c>
      <c r="I88" s="12">
        <f t="shared" si="1"/>
        <v>0</v>
      </c>
      <c r="J88" s="12">
        <f>Table14[[#This Row],[Enrolment S.Y. 2025-2026 ]]*8</f>
        <v>0</v>
      </c>
      <c r="K88" s="12"/>
      <c r="L88" s="10"/>
      <c r="M88" s="12"/>
      <c r="N88" s="12">
        <f t="shared" si="14"/>
        <v>0</v>
      </c>
      <c r="O88" s="12">
        <f t="shared" si="15"/>
        <v>0</v>
      </c>
      <c r="P88" s="12">
        <f>Table14[[#This Row],[Enrolment S.Y. 2025-2026 ]]*8</f>
        <v>0</v>
      </c>
      <c r="Q88" s="12"/>
      <c r="R88" s="10"/>
      <c r="S88" s="12"/>
      <c r="T88" s="12">
        <f t="shared" si="4"/>
        <v>0</v>
      </c>
      <c r="U88" s="12">
        <f t="shared" si="5"/>
        <v>0</v>
      </c>
      <c r="V88" s="12">
        <f>Table14[[#This Row],[Enrolment S.Y. 2025-2026 ]]*8</f>
        <v>0</v>
      </c>
      <c r="W88" s="12"/>
      <c r="X88" s="10"/>
      <c r="Y88" s="12"/>
      <c r="Z88" s="12">
        <f t="shared" si="6"/>
        <v>0</v>
      </c>
      <c r="AA88" s="12">
        <f t="shared" si="7"/>
        <v>0</v>
      </c>
    </row>
    <row r="89" spans="1:27" ht="19.5">
      <c r="A89" s="38">
        <v>7</v>
      </c>
      <c r="B89" s="11" t="s">
        <v>94</v>
      </c>
      <c r="C89" s="12"/>
      <c r="D89" s="12">
        <f>Table14[[#This Row],[Enrolment S.Y. 2025-2026 ]]*8</f>
        <v>0</v>
      </c>
      <c r="E89" s="12"/>
      <c r="F89" s="46"/>
      <c r="G89" s="12"/>
      <c r="H89" s="12">
        <f>IF((D89-E89)&lt;0,0,(D89-E89))</f>
        <v>0</v>
      </c>
      <c r="I89" s="12">
        <f>IF((E89-D89)&lt;0,0,(E89-D89))</f>
        <v>0</v>
      </c>
      <c r="J89" s="12">
        <f>Table14[[#This Row],[Enrolment S.Y. 2025-2026 ]]*8</f>
        <v>0</v>
      </c>
      <c r="K89" s="12"/>
      <c r="L89" s="10"/>
      <c r="M89" s="12"/>
      <c r="N89" s="12">
        <f t="shared" si="14"/>
        <v>0</v>
      </c>
      <c r="O89" s="12">
        <f t="shared" si="15"/>
        <v>0</v>
      </c>
      <c r="P89" s="12">
        <f>Table14[[#This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Table14[[#This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5">
      <c r="A90" s="10">
        <v>7</v>
      </c>
      <c r="B90" s="11" t="s">
        <v>95</v>
      </c>
      <c r="C90" s="10"/>
      <c r="D90" s="12">
        <f>Table14[[#This Row],[Enrolment S.Y. 2025-2026 ]]*8</f>
        <v>0</v>
      </c>
      <c r="E90" s="12"/>
      <c r="F90" s="46"/>
      <c r="G90" s="12"/>
      <c r="H90" s="12">
        <f t="shared" si="0"/>
        <v>0</v>
      </c>
      <c r="I90" s="12">
        <f t="shared" si="1"/>
        <v>0</v>
      </c>
      <c r="J90" s="12">
        <f>Table14[[#This Row],[Enrolment S.Y. 2025-2026 ]]*8</f>
        <v>0</v>
      </c>
      <c r="K90" s="12"/>
      <c r="L90" s="10"/>
      <c r="M90" s="12"/>
      <c r="N90" s="12">
        <f t="shared" si="14"/>
        <v>0</v>
      </c>
      <c r="O90" s="12">
        <f t="shared" si="15"/>
        <v>0</v>
      </c>
      <c r="P90" s="12">
        <f>Table14[[#This Row],[Enrolment S.Y. 2025-2026 ]]*8</f>
        <v>0</v>
      </c>
      <c r="Q90" s="12"/>
      <c r="R90" s="10"/>
      <c r="S90" s="12"/>
      <c r="T90" s="12">
        <f t="shared" ref="T90:T138" si="16">IF((P90-Q90)&lt;0,0,(P90-Q90))</f>
        <v>0</v>
      </c>
      <c r="U90" s="12">
        <f t="shared" ref="U90:U138" si="17">IF((Q90-P90)&lt;0,0,(Q90-P90))</f>
        <v>0</v>
      </c>
      <c r="V90" s="12">
        <f>Table14[[#This Row],[Enrolment S.Y. 2025-2026 ]]*8</f>
        <v>0</v>
      </c>
      <c r="W90" s="12"/>
      <c r="X90" s="10"/>
      <c r="Y90" s="12"/>
      <c r="Z90" s="12">
        <f t="shared" ref="Z90:Z138" si="18">IF((V90-W90)&lt;0,0,(V90-W90))</f>
        <v>0</v>
      </c>
      <c r="AA90" s="12">
        <f t="shared" ref="AA90:AA138" si="19">IF((W90-V90)&lt;0,0,(W90-V90))</f>
        <v>0</v>
      </c>
    </row>
    <row r="91" spans="1:27" ht="19.5">
      <c r="A91" s="10">
        <v>7</v>
      </c>
      <c r="B91" s="11" t="s">
        <v>23</v>
      </c>
      <c r="C91" s="10"/>
      <c r="D91" s="12">
        <f>Table14[[#This Row],[Enrolment S.Y. 2025-2026 ]]*8</f>
        <v>0</v>
      </c>
      <c r="E91" s="12"/>
      <c r="F91" s="46"/>
      <c r="G91" s="12"/>
      <c r="H91" s="12">
        <f t="shared" si="0"/>
        <v>0</v>
      </c>
      <c r="I91" s="12">
        <f t="shared" si="1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14"/>
        <v>0</v>
      </c>
      <c r="O91" s="12">
        <f t="shared" si="15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38">
        <v>7</v>
      </c>
      <c r="B92" s="11" t="s">
        <v>96</v>
      </c>
      <c r="C92" s="12"/>
      <c r="D92" s="12">
        <f>Table14[[#This Row],[Enrolment S.Y. 2025-2026 ]]*8</f>
        <v>0</v>
      </c>
      <c r="E92" s="12"/>
      <c r="F92" s="46"/>
      <c r="G92" s="12"/>
      <c r="H92" s="12">
        <f>IF((D92-E92)&lt;0,0,(D92-E92))</f>
        <v>0</v>
      </c>
      <c r="I92" s="12">
        <f>IF((E92-D92)&lt;0,0,(E92-D92))</f>
        <v>0</v>
      </c>
      <c r="J92" s="12">
        <f>Table14[[#This Row],[Enrolment S.Y. 2025-2026 ]]*8</f>
        <v>0</v>
      </c>
      <c r="K92" s="12"/>
      <c r="L92" s="10"/>
      <c r="M92" s="12"/>
      <c r="N92" s="12">
        <f t="shared" si="14"/>
        <v>0</v>
      </c>
      <c r="O92" s="12">
        <f t="shared" si="15"/>
        <v>0</v>
      </c>
      <c r="P92" s="12">
        <f>Table14[[#This Row],[Enrolment S.Y. 2025-2026 ]]*8</f>
        <v>0</v>
      </c>
      <c r="Q92" s="12"/>
      <c r="R92" s="10"/>
      <c r="S92" s="12"/>
      <c r="T92" s="12">
        <f>IF((P92-Q92)&lt;0,0,(P92-Q92))</f>
        <v>0</v>
      </c>
      <c r="U92" s="12">
        <f>IF((Q92-P92)&lt;0,0,(Q92-P92))</f>
        <v>0</v>
      </c>
      <c r="V92" s="12">
        <f>Table14[[#This Row],[Enrolment S.Y. 2025-2026 ]]*8</f>
        <v>0</v>
      </c>
      <c r="W92" s="12"/>
      <c r="X92" s="10"/>
      <c r="Y92" s="12"/>
      <c r="Z92" s="12">
        <f>IF((V92-W92)&lt;0,0,(V92-W92))</f>
        <v>0</v>
      </c>
      <c r="AA92" s="12">
        <f>IF((W92-V92)&lt;0,0,(W92-V92))</f>
        <v>0</v>
      </c>
    </row>
    <row r="93" spans="1:27" ht="19.5">
      <c r="A93" s="10">
        <v>7</v>
      </c>
      <c r="B93" s="11" t="s">
        <v>97</v>
      </c>
      <c r="C93" s="10"/>
      <c r="D93" s="12">
        <f>Table14[[#This Row],[Enrolment S.Y. 2025-2026 ]]*8</f>
        <v>0</v>
      </c>
      <c r="E93" s="12"/>
      <c r="F93" s="46"/>
      <c r="G93" s="12"/>
      <c r="H93" s="12">
        <f t="shared" si="0"/>
        <v>0</v>
      </c>
      <c r="I93" s="12">
        <f t="shared" si="1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14"/>
        <v>0</v>
      </c>
      <c r="O93" s="12">
        <f t="shared" si="15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s="7" customFormat="1"/>
    <row r="95" spans="1:27" ht="19.5">
      <c r="A95" s="10">
        <v>8</v>
      </c>
      <c r="B95" s="11" t="s">
        <v>15</v>
      </c>
      <c r="C95" s="10"/>
      <c r="D95" s="12">
        <f>Table14[[#This Row],[Enrolment S.Y. 2025-2026 ]]*8</f>
        <v>0</v>
      </c>
      <c r="E95" s="12"/>
      <c r="F95" s="46"/>
      <c r="G95" s="12"/>
      <c r="H95" s="12">
        <f t="shared" si="0"/>
        <v>0</v>
      </c>
      <c r="I95" s="12">
        <f t="shared" si="1"/>
        <v>0</v>
      </c>
      <c r="J95" s="12">
        <f>Table14[[#This Row],[Enrolment S.Y. 2025-2026 ]]*8</f>
        <v>0</v>
      </c>
      <c r="K95" s="12"/>
      <c r="L95" s="10"/>
      <c r="M95" s="12"/>
      <c r="N95" s="12">
        <f t="shared" ref="N90:N138" si="20">IF((J95-K95)&lt;0,0,(J95-K95))</f>
        <v>0</v>
      </c>
      <c r="O95" s="12">
        <f t="shared" ref="O90:O138" si="21">IF((K95-J95)&lt;0,0,(K95-J95))</f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8</v>
      </c>
      <c r="B96" s="11" t="s">
        <v>17</v>
      </c>
      <c r="C96" s="10"/>
      <c r="D96" s="12">
        <f>Table14[[#This Row],[Enrolment S.Y. 2025-2026 ]]*8</f>
        <v>0</v>
      </c>
      <c r="E96" s="12"/>
      <c r="F96" s="46"/>
      <c r="G96" s="12"/>
      <c r="H96" s="12">
        <f t="shared" si="0"/>
        <v>0</v>
      </c>
      <c r="I96" s="12">
        <f t="shared" si="1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10">
        <v>8</v>
      </c>
      <c r="B97" s="11" t="s">
        <v>13</v>
      </c>
      <c r="C97" s="10"/>
      <c r="D97" s="12">
        <f>Table14[[#This Row],[Enrolment S.Y. 2025-2026 ]]*8</f>
        <v>0</v>
      </c>
      <c r="E97" s="12"/>
      <c r="F97" s="46"/>
      <c r="G97" s="12"/>
      <c r="H97" s="12">
        <f t="shared" si="0"/>
        <v>0</v>
      </c>
      <c r="I97" s="12">
        <f t="shared" si="1"/>
        <v>0</v>
      </c>
      <c r="J97" s="12">
        <f>Table14[[#This Row],[Enrolment S.Y. 2025-2026 ]]*8</f>
        <v>0</v>
      </c>
      <c r="K97" s="12"/>
      <c r="L97" s="10"/>
      <c r="M97" s="12"/>
      <c r="N97" s="12">
        <f t="shared" si="20"/>
        <v>0</v>
      </c>
      <c r="O97" s="12">
        <f t="shared" si="21"/>
        <v>0</v>
      </c>
      <c r="P97" s="12">
        <f>Table14[[#This Row],[Enrolment S.Y. 2025-2026 ]]*8</f>
        <v>0</v>
      </c>
      <c r="Q97" s="12"/>
      <c r="R97" s="10"/>
      <c r="S97" s="12"/>
      <c r="T97" s="12">
        <f t="shared" si="16"/>
        <v>0</v>
      </c>
      <c r="U97" s="12">
        <f t="shared" si="17"/>
        <v>0</v>
      </c>
      <c r="V97" s="12">
        <f>Table14[[#This Row],[Enrolment S.Y. 2025-2026 ]]*8</f>
        <v>0</v>
      </c>
      <c r="W97" s="12"/>
      <c r="X97" s="10"/>
      <c r="Y97" s="12"/>
      <c r="Z97" s="12">
        <f t="shared" si="18"/>
        <v>0</v>
      </c>
      <c r="AA97" s="12">
        <f t="shared" si="19"/>
        <v>0</v>
      </c>
    </row>
    <row r="98" spans="1:27" ht="19.5">
      <c r="A98" s="10">
        <v>8</v>
      </c>
      <c r="B98" s="11" t="s">
        <v>22</v>
      </c>
      <c r="C98" s="10"/>
      <c r="D98" s="12">
        <f>Table14[[#This Row],[Enrolment S.Y. 2025-2026 ]]*8</f>
        <v>0</v>
      </c>
      <c r="E98" s="12"/>
      <c r="F98" s="46"/>
      <c r="G98" s="12"/>
      <c r="H98" s="12">
        <f t="shared" si="0"/>
        <v>0</v>
      </c>
      <c r="I98" s="12">
        <f t="shared" si="1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0"/>
        <v>0</v>
      </c>
      <c r="O98" s="12">
        <f t="shared" si="21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8</v>
      </c>
      <c r="B99" s="11" t="s">
        <v>24</v>
      </c>
      <c r="C99" s="10"/>
      <c r="D99" s="12">
        <f>Table14[[#This Row],[Enrolment S.Y. 2025-2026 ]]*8</f>
        <v>0</v>
      </c>
      <c r="E99" s="12"/>
      <c r="F99" s="46"/>
      <c r="G99" s="12"/>
      <c r="H99" s="12">
        <f t="shared" si="0"/>
        <v>0</v>
      </c>
      <c r="I99" s="12">
        <f t="shared" si="1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0"/>
        <v>0</v>
      </c>
      <c r="O99" s="12">
        <f t="shared" si="21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10">
        <v>8</v>
      </c>
      <c r="B100" s="11" t="s">
        <v>14</v>
      </c>
      <c r="C100" s="10"/>
      <c r="D100" s="12">
        <f>Table14[[#This Row],[Enrolment S.Y. 2025-2026 ]]*8</f>
        <v>0</v>
      </c>
      <c r="E100" s="12"/>
      <c r="F100" s="46"/>
      <c r="G100" s="12"/>
      <c r="H100" s="12">
        <f t="shared" ref="H100:H138" si="22">IF((D100-E100)&lt;0,0,(D100-E100))</f>
        <v>0</v>
      </c>
      <c r="I100" s="12">
        <f t="shared" ref="I100:I138" si="23"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ref="N100:N105" si="24">IF((J100-K100)&lt;0,0,(J100-K100))</f>
        <v>0</v>
      </c>
      <c r="O100" s="12">
        <f t="shared" ref="O100:O105" si="25">IF((K100-J100)&lt;0,0,(K100-J100))</f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16"/>
        <v>0</v>
      </c>
      <c r="U100" s="12">
        <f t="shared" si="17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18"/>
        <v>0</v>
      </c>
      <c r="AA100" s="12">
        <f t="shared" si="19"/>
        <v>0</v>
      </c>
    </row>
    <row r="101" spans="1:27" ht="19.5">
      <c r="A101" s="38">
        <v>8</v>
      </c>
      <c r="B101" s="11" t="s">
        <v>94</v>
      </c>
      <c r="C101" s="12"/>
      <c r="D101" s="12">
        <f>Table14[[#This Row],[Enrolment S.Y. 2025-2026 ]]*8</f>
        <v>0</v>
      </c>
      <c r="E101" s="12"/>
      <c r="F101" s="46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4"/>
        <v>0</v>
      </c>
      <c r="O101" s="12">
        <f t="shared" si="25"/>
        <v>0</v>
      </c>
      <c r="P101" s="12">
        <f>Table14[[#This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Table14[[#This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5">
      <c r="A102" s="10">
        <v>8</v>
      </c>
      <c r="B102" s="11" t="s">
        <v>95</v>
      </c>
      <c r="C102" s="10"/>
      <c r="D102" s="12">
        <f>Table14[[#This Row],[Enrolment S.Y. 2025-2026 ]]*8</f>
        <v>0</v>
      </c>
      <c r="E102" s="12"/>
      <c r="F102" s="46"/>
      <c r="G102" s="12"/>
      <c r="H102" s="12">
        <f t="shared" si="22"/>
        <v>0</v>
      </c>
      <c r="I102" s="12">
        <f t="shared" si="23"/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24"/>
        <v>0</v>
      </c>
      <c r="O102" s="12">
        <f t="shared" si="25"/>
        <v>0</v>
      </c>
      <c r="P102" s="12">
        <f>Table14[[#This Row],[Enrolment S.Y. 2025-2026 ]]*8</f>
        <v>0</v>
      </c>
      <c r="Q102" s="12"/>
      <c r="R102" s="10"/>
      <c r="S102" s="12"/>
      <c r="T102" s="12">
        <f t="shared" si="16"/>
        <v>0</v>
      </c>
      <c r="U102" s="12">
        <f t="shared" si="17"/>
        <v>0</v>
      </c>
      <c r="V102" s="12">
        <f>Table14[[#This Row],[Enrolment S.Y. 2025-2026 ]]*8</f>
        <v>0</v>
      </c>
      <c r="W102" s="12"/>
      <c r="X102" s="10"/>
      <c r="Y102" s="12"/>
      <c r="Z102" s="12">
        <f t="shared" si="18"/>
        <v>0</v>
      </c>
      <c r="AA102" s="12">
        <f t="shared" si="19"/>
        <v>0</v>
      </c>
    </row>
    <row r="103" spans="1:27" ht="19.5">
      <c r="A103" s="10">
        <v>8</v>
      </c>
      <c r="B103" s="11" t="s">
        <v>23</v>
      </c>
      <c r="C103" s="10"/>
      <c r="D103" s="12">
        <f>Table14[[#This Row],[Enrolment S.Y. 2025-2026 ]]*8</f>
        <v>0</v>
      </c>
      <c r="E103" s="12"/>
      <c r="F103" s="46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4"/>
        <v>0</v>
      </c>
      <c r="O103" s="12">
        <f t="shared" si="25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38">
        <v>8</v>
      </c>
      <c r="B104" s="11" t="s">
        <v>96</v>
      </c>
      <c r="C104" s="12"/>
      <c r="D104" s="12">
        <f>Table14[[#This Row],[Enrolment S.Y. 2025-2026 ]]*8</f>
        <v>0</v>
      </c>
      <c r="E104" s="12"/>
      <c r="F104" s="46"/>
      <c r="G104" s="12"/>
      <c r="H104" s="12">
        <f>IF((D104-E104)&lt;0,0,(D104-E104))</f>
        <v>0</v>
      </c>
      <c r="I104" s="12">
        <f>IF((E104-D104)&lt;0,0,(E104-D104))</f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4"/>
        <v>0</v>
      </c>
      <c r="O104" s="12">
        <f t="shared" si="25"/>
        <v>0</v>
      </c>
      <c r="P104" s="12">
        <f>Table14[[#This Row],[Enrolment S.Y. 2025-2026 ]]*8</f>
        <v>0</v>
      </c>
      <c r="Q104" s="12"/>
      <c r="R104" s="10"/>
      <c r="S104" s="12"/>
      <c r="T104" s="12">
        <f>IF((P104-Q104)&lt;0,0,(P104-Q104))</f>
        <v>0</v>
      </c>
      <c r="U104" s="12">
        <f>IF((Q104-P104)&lt;0,0,(Q104-P104))</f>
        <v>0</v>
      </c>
      <c r="V104" s="12">
        <f>Table14[[#This Row],[Enrolment S.Y. 2025-2026 ]]*8</f>
        <v>0</v>
      </c>
      <c r="W104" s="12"/>
      <c r="X104" s="10"/>
      <c r="Y104" s="12"/>
      <c r="Z104" s="12">
        <f>IF((V104-W104)&lt;0,0,(V104-W104))</f>
        <v>0</v>
      </c>
      <c r="AA104" s="12">
        <f>IF((W104-V104)&lt;0,0,(W104-V104))</f>
        <v>0</v>
      </c>
    </row>
    <row r="105" spans="1:27" ht="19.5">
      <c r="A105" s="10">
        <v>8</v>
      </c>
      <c r="B105" s="11" t="s">
        <v>97</v>
      </c>
      <c r="C105" s="10"/>
      <c r="D105" s="12">
        <f>Table14[[#This Row],[Enrolment S.Y. 2025-2026 ]]*8</f>
        <v>0</v>
      </c>
      <c r="E105" s="12"/>
      <c r="F105" s="46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4"/>
        <v>0</v>
      </c>
      <c r="O105" s="12">
        <f t="shared" si="25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s="7" customFormat="1"/>
    <row r="107" spans="1:27" ht="19.5">
      <c r="A107" s="10">
        <v>9</v>
      </c>
      <c r="B107" s="11" t="s">
        <v>15</v>
      </c>
      <c r="C107" s="10"/>
      <c r="D107" s="12">
        <f>Table14[[#This Row],[Enrolment S.Y. 2025-2026 ]]*8</f>
        <v>0</v>
      </c>
      <c r="E107" s="12"/>
      <c r="F107" s="46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9</v>
      </c>
      <c r="B108" s="11" t="s">
        <v>17</v>
      </c>
      <c r="C108" s="10"/>
      <c r="D108" s="12">
        <f>Table14[[#This Row],[Enrolment S.Y. 2025-2026 ]]*8</f>
        <v>0</v>
      </c>
      <c r="E108" s="12"/>
      <c r="F108" s="46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10">
        <v>9</v>
      </c>
      <c r="B109" s="11" t="s">
        <v>13</v>
      </c>
      <c r="C109" s="10"/>
      <c r="D109" s="12">
        <f>Table14[[#This Row],[Enrolment S.Y. 2025-2026 ]]*8</f>
        <v>0</v>
      </c>
      <c r="E109" s="12"/>
      <c r="F109" s="46"/>
      <c r="G109" s="12"/>
      <c r="H109" s="12">
        <f t="shared" si="22"/>
        <v>0</v>
      </c>
      <c r="I109" s="12">
        <f t="shared" si="23"/>
        <v>0</v>
      </c>
      <c r="J109" s="12">
        <f>Table14[[#This Row],[Enrolment S.Y. 2025-2026 ]]*8</f>
        <v>0</v>
      </c>
      <c r="K109" s="12"/>
      <c r="L109" s="10"/>
      <c r="M109" s="12"/>
      <c r="N109" s="12">
        <f t="shared" si="20"/>
        <v>0</v>
      </c>
      <c r="O109" s="12">
        <f t="shared" si="21"/>
        <v>0</v>
      </c>
      <c r="P109" s="12">
        <f>Table14[[#This Row],[Enrolment S.Y. 2025-2026 ]]*8</f>
        <v>0</v>
      </c>
      <c r="Q109" s="12"/>
      <c r="R109" s="10"/>
      <c r="S109" s="12"/>
      <c r="T109" s="12">
        <f t="shared" si="16"/>
        <v>0</v>
      </c>
      <c r="U109" s="12">
        <f t="shared" si="17"/>
        <v>0</v>
      </c>
      <c r="V109" s="12">
        <f>Table14[[#This Row],[Enrolment S.Y. 2025-2026 ]]*8</f>
        <v>0</v>
      </c>
      <c r="W109" s="12"/>
      <c r="X109" s="10"/>
      <c r="Y109" s="12"/>
      <c r="Z109" s="12">
        <f t="shared" si="18"/>
        <v>0</v>
      </c>
      <c r="AA109" s="12">
        <f t="shared" si="19"/>
        <v>0</v>
      </c>
    </row>
    <row r="110" spans="1:27" ht="19.5">
      <c r="A110" s="10">
        <v>9</v>
      </c>
      <c r="B110" s="11" t="s">
        <v>22</v>
      </c>
      <c r="C110" s="10"/>
      <c r="D110" s="12">
        <f>Table14[[#This Row],[Enrolment S.Y. 2025-2026 ]]*8</f>
        <v>0</v>
      </c>
      <c r="E110" s="12"/>
      <c r="F110" s="46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0"/>
        <v>0</v>
      </c>
      <c r="O110" s="12">
        <f t="shared" si="21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9</v>
      </c>
      <c r="B111" s="11" t="s">
        <v>24</v>
      </c>
      <c r="C111" s="10"/>
      <c r="D111" s="12">
        <f>Table14[[#This Row],[Enrolment S.Y. 2025-2026 ]]*8</f>
        <v>0</v>
      </c>
      <c r="E111" s="12"/>
      <c r="F111" s="46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0"/>
        <v>0</v>
      </c>
      <c r="O111" s="12">
        <f t="shared" si="21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10">
        <v>9</v>
      </c>
      <c r="B112" s="11" t="s">
        <v>14</v>
      </c>
      <c r="C112" s="10"/>
      <c r="D112" s="12">
        <f>Table14[[#This Row],[Enrolment S.Y. 2025-2026 ]]*8</f>
        <v>0</v>
      </c>
      <c r="E112" s="12"/>
      <c r="F112" s="46"/>
      <c r="G112" s="12"/>
      <c r="H112" s="12">
        <f t="shared" si="22"/>
        <v>0</v>
      </c>
      <c r="I112" s="12">
        <f t="shared" si="23"/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0"/>
        <v>0</v>
      </c>
      <c r="O112" s="12">
        <f t="shared" si="21"/>
        <v>0</v>
      </c>
      <c r="P112" s="12">
        <f>Table14[[#This Row],[Enrolment S.Y. 2025-2026 ]]*8</f>
        <v>0</v>
      </c>
      <c r="Q112" s="12"/>
      <c r="R112" s="10"/>
      <c r="S112" s="12"/>
      <c r="T112" s="12">
        <f t="shared" si="16"/>
        <v>0</v>
      </c>
      <c r="U112" s="12">
        <f t="shared" si="17"/>
        <v>0</v>
      </c>
      <c r="V112" s="12">
        <f>Table14[[#This Row],[Enrolment S.Y. 2025-2026 ]]*8</f>
        <v>0</v>
      </c>
      <c r="W112" s="12"/>
      <c r="X112" s="10"/>
      <c r="Y112" s="12"/>
      <c r="Z112" s="12">
        <f t="shared" si="18"/>
        <v>0</v>
      </c>
      <c r="AA112" s="12">
        <f t="shared" si="19"/>
        <v>0</v>
      </c>
    </row>
    <row r="113" spans="1:27" ht="19.5">
      <c r="A113" s="38">
        <v>9</v>
      </c>
      <c r="B113" s="11" t="s">
        <v>94</v>
      </c>
      <c r="C113" s="10"/>
      <c r="D113" s="12">
        <f>Table14[[#This Row],[Enrolment S.Y. 2025-2026 ]]*8</f>
        <v>0</v>
      </c>
      <c r="E113" s="12"/>
      <c r="F113" s="46"/>
      <c r="G113" s="12"/>
      <c r="H113" s="12">
        <f>IF((D113-E113)&lt;0,0,(D113-E113))</f>
        <v>0</v>
      </c>
      <c r="I113" s="12">
        <f>IF((E113-D113)&lt;0,0,(E113-D113))</f>
        <v>0</v>
      </c>
      <c r="J113" s="12">
        <f>Table14[[#This Row],[Enrolment S.Y. 2025-2026 ]]*8</f>
        <v>0</v>
      </c>
      <c r="K113" s="12"/>
      <c r="L113" s="10"/>
      <c r="M113" s="12"/>
      <c r="N113" s="12">
        <f t="shared" ref="N113:N117" si="26">IF((J113-K113)&lt;0,0,(J113-K113))</f>
        <v>0</v>
      </c>
      <c r="O113" s="12">
        <f t="shared" ref="O113:O117" si="27">IF((K113-J113)&lt;0,0,(K113-J113))</f>
        <v>0</v>
      </c>
      <c r="P113" s="12">
        <f>Table14[[#This Row],[Enrolment S.Y. 2025-2026 ]]*8</f>
        <v>0</v>
      </c>
      <c r="Q113" s="12"/>
      <c r="R113" s="10"/>
      <c r="S113" s="12"/>
      <c r="T113" s="12">
        <f>IF((P113-Q113)&lt;0,0,(P113-Q113))</f>
        <v>0</v>
      </c>
      <c r="U113" s="12">
        <f>IF((Q113-P113)&lt;0,0,(Q113-P113))</f>
        <v>0</v>
      </c>
      <c r="V113" s="12">
        <f>Table14[[#This Row],[Enrolment S.Y. 2025-2026 ]]*8</f>
        <v>0</v>
      </c>
      <c r="W113" s="12"/>
      <c r="X113" s="10"/>
      <c r="Y113" s="12"/>
      <c r="Z113" s="12">
        <f>IF((V113-W113)&lt;0,0,(V113-W113))</f>
        <v>0</v>
      </c>
      <c r="AA113" s="12">
        <f>IF((W113-V113)&lt;0,0,(W113-V113))</f>
        <v>0</v>
      </c>
    </row>
    <row r="114" spans="1:27" ht="19.5">
      <c r="A114" s="10">
        <v>9</v>
      </c>
      <c r="B114" s="11" t="s">
        <v>95</v>
      </c>
      <c r="C114" s="10"/>
      <c r="D114" s="12">
        <f>Table14[[#This Row],[Enrolment S.Y. 2025-2026 ]]*8</f>
        <v>0</v>
      </c>
      <c r="E114" s="12"/>
      <c r="F114" s="46"/>
      <c r="G114" s="12"/>
      <c r="H114" s="12">
        <f t="shared" si="22"/>
        <v>0</v>
      </c>
      <c r="I114" s="12">
        <f t="shared" si="23"/>
        <v>0</v>
      </c>
      <c r="J114" s="12">
        <f>Table14[[#This Row],[Enrolment S.Y. 2025-2026 ]]*8</f>
        <v>0</v>
      </c>
      <c r="K114" s="12"/>
      <c r="L114" s="10"/>
      <c r="M114" s="12"/>
      <c r="N114" s="12">
        <f t="shared" si="26"/>
        <v>0</v>
      </c>
      <c r="O114" s="12">
        <f t="shared" si="27"/>
        <v>0</v>
      </c>
      <c r="P114" s="12">
        <f>Table14[[#This Row],[Enrolment S.Y. 2025-2026 ]]*8</f>
        <v>0</v>
      </c>
      <c r="Q114" s="12"/>
      <c r="R114" s="10"/>
      <c r="S114" s="12"/>
      <c r="T114" s="12">
        <f t="shared" si="16"/>
        <v>0</v>
      </c>
      <c r="U114" s="12">
        <f t="shared" si="17"/>
        <v>0</v>
      </c>
      <c r="V114" s="12">
        <f>Table14[[#This Row],[Enrolment S.Y. 2025-2026 ]]*8</f>
        <v>0</v>
      </c>
      <c r="W114" s="12"/>
      <c r="X114" s="10"/>
      <c r="Y114" s="12"/>
      <c r="Z114" s="12">
        <f t="shared" si="18"/>
        <v>0</v>
      </c>
      <c r="AA114" s="12">
        <f t="shared" si="19"/>
        <v>0</v>
      </c>
    </row>
    <row r="115" spans="1:27" ht="19.5">
      <c r="A115" s="10">
        <v>9</v>
      </c>
      <c r="B115" s="11" t="s">
        <v>23</v>
      </c>
      <c r="C115" s="10"/>
      <c r="D115" s="12">
        <f>Table14[[#This Row],[Enrolment S.Y. 2025-2026 ]]*8</f>
        <v>0</v>
      </c>
      <c r="E115" s="12"/>
      <c r="F115" s="46"/>
      <c r="G115" s="12"/>
      <c r="H115" s="12">
        <f t="shared" si="22"/>
        <v>0</v>
      </c>
      <c r="I115" s="12">
        <f t="shared" si="23"/>
        <v>0</v>
      </c>
      <c r="J115" s="12">
        <f>Table14[[#This Row],[Enrolment S.Y. 2025-2026 ]]*8</f>
        <v>0</v>
      </c>
      <c r="K115" s="12"/>
      <c r="L115" s="10"/>
      <c r="M115" s="12"/>
      <c r="N115" s="12">
        <f t="shared" si="26"/>
        <v>0</v>
      </c>
      <c r="O115" s="12">
        <f t="shared" si="27"/>
        <v>0</v>
      </c>
      <c r="P115" s="12">
        <f>Table14[[#This Row],[Enrolment S.Y. 2025-2026 ]]*8</f>
        <v>0</v>
      </c>
      <c r="Q115" s="12"/>
      <c r="R115" s="10"/>
      <c r="S115" s="12"/>
      <c r="T115" s="12">
        <f t="shared" si="16"/>
        <v>0</v>
      </c>
      <c r="U115" s="12">
        <f t="shared" si="17"/>
        <v>0</v>
      </c>
      <c r="V115" s="12">
        <f>Table14[[#This Row],[Enrolment S.Y. 2025-2026 ]]*8</f>
        <v>0</v>
      </c>
      <c r="W115" s="12"/>
      <c r="X115" s="10"/>
      <c r="Y115" s="12"/>
      <c r="Z115" s="12">
        <f t="shared" si="18"/>
        <v>0</v>
      </c>
      <c r="AA115" s="12">
        <f t="shared" si="19"/>
        <v>0</v>
      </c>
    </row>
    <row r="116" spans="1:27" ht="19.5">
      <c r="A116" s="38">
        <v>9</v>
      </c>
      <c r="B116" s="11" t="s">
        <v>96</v>
      </c>
      <c r="C116" s="10"/>
      <c r="D116" s="12">
        <f>Table14[[#This Row],[Enrolment S.Y. 2025-2026 ]]*8</f>
        <v>0</v>
      </c>
      <c r="E116" s="12"/>
      <c r="F116" s="46"/>
      <c r="G116" s="12"/>
      <c r="H116" s="12">
        <f>IF((D116-E116)&lt;0,0,(D116-E116))</f>
        <v>0</v>
      </c>
      <c r="I116" s="12">
        <f>IF((E116-D116)&lt;0,0,(E116-D116))</f>
        <v>0</v>
      </c>
      <c r="J116" s="12">
        <f>Table14[[#This Row],[Enrolment S.Y. 2025-2026 ]]*8</f>
        <v>0</v>
      </c>
      <c r="K116" s="12"/>
      <c r="L116" s="10"/>
      <c r="M116" s="12"/>
      <c r="N116" s="12">
        <f t="shared" si="26"/>
        <v>0</v>
      </c>
      <c r="O116" s="12">
        <f t="shared" si="27"/>
        <v>0</v>
      </c>
      <c r="P116" s="12">
        <f>Table14[[#This Row],[Enrolment S.Y. 2025-2026 ]]*8</f>
        <v>0</v>
      </c>
      <c r="Q116" s="12"/>
      <c r="R116" s="10"/>
      <c r="S116" s="12"/>
      <c r="T116" s="12">
        <f>IF((P116-Q116)&lt;0,0,(P116-Q116))</f>
        <v>0</v>
      </c>
      <c r="U116" s="12">
        <f>IF((Q116-P116)&lt;0,0,(Q116-P116))</f>
        <v>0</v>
      </c>
      <c r="V116" s="12">
        <f>Table14[[#This Row],[Enrolment S.Y. 2025-2026 ]]*8</f>
        <v>0</v>
      </c>
      <c r="W116" s="12"/>
      <c r="X116" s="10"/>
      <c r="Y116" s="12"/>
      <c r="Z116" s="12">
        <f>IF((V116-W116)&lt;0,0,(V116-W116))</f>
        <v>0</v>
      </c>
      <c r="AA116" s="12">
        <f>IF((W116-V116)&lt;0,0,(W116-V116))</f>
        <v>0</v>
      </c>
    </row>
    <row r="117" spans="1:27" ht="19.5">
      <c r="A117" s="10">
        <v>9</v>
      </c>
      <c r="B117" s="11" t="s">
        <v>97</v>
      </c>
      <c r="C117" s="10"/>
      <c r="D117" s="12">
        <f>Table14[[#This Row],[Enrolment S.Y. 2025-2026 ]]*8</f>
        <v>0</v>
      </c>
      <c r="E117" s="12"/>
      <c r="F117" s="46"/>
      <c r="G117" s="12"/>
      <c r="H117" s="12">
        <f t="shared" si="22"/>
        <v>0</v>
      </c>
      <c r="I117" s="12">
        <f t="shared" si="23"/>
        <v>0</v>
      </c>
      <c r="J117" s="12">
        <f>Table14[[#This Row],[Enrolment S.Y. 2025-2026 ]]*8</f>
        <v>0</v>
      </c>
      <c r="K117" s="12"/>
      <c r="L117" s="10"/>
      <c r="M117" s="12"/>
      <c r="N117" s="12">
        <f t="shared" si="26"/>
        <v>0</v>
      </c>
      <c r="O117" s="12">
        <f t="shared" si="27"/>
        <v>0</v>
      </c>
      <c r="P117" s="12">
        <f>Table14[[#This Row],[Enrolment S.Y. 2025-2026 ]]*8</f>
        <v>0</v>
      </c>
      <c r="Q117" s="12"/>
      <c r="R117" s="10"/>
      <c r="S117" s="12"/>
      <c r="T117" s="12">
        <f t="shared" si="16"/>
        <v>0</v>
      </c>
      <c r="U117" s="12">
        <f t="shared" si="17"/>
        <v>0</v>
      </c>
      <c r="V117" s="12">
        <f>Table14[[#This Row],[Enrolment S.Y. 2025-2026 ]]*8</f>
        <v>0</v>
      </c>
      <c r="W117" s="12"/>
      <c r="X117" s="10"/>
      <c r="Y117" s="12"/>
      <c r="Z117" s="12">
        <f t="shared" si="18"/>
        <v>0</v>
      </c>
      <c r="AA117" s="12">
        <f t="shared" si="19"/>
        <v>0</v>
      </c>
    </row>
    <row r="118" spans="1:27" s="7" customFormat="1"/>
    <row r="119" spans="1:27" ht="19.5">
      <c r="A119" s="10">
        <v>10</v>
      </c>
      <c r="B119" s="11" t="s">
        <v>15</v>
      </c>
      <c r="C119" s="10"/>
      <c r="D119" s="12">
        <f>Table14[[#This Row],[Enrolment S.Y. 2025-2026 ]]*8</f>
        <v>0</v>
      </c>
      <c r="E119" s="12"/>
      <c r="F119" s="46"/>
      <c r="G119" s="12"/>
      <c r="H119" s="12">
        <f t="shared" si="22"/>
        <v>0</v>
      </c>
      <c r="I119" s="12">
        <f t="shared" si="23"/>
        <v>0</v>
      </c>
      <c r="J119" s="12">
        <f>Table14[[#This Row],[Enrolment S.Y. 2025-2026 ]]*8</f>
        <v>0</v>
      </c>
      <c r="K119" s="12"/>
      <c r="L119" s="10"/>
      <c r="M119" s="12"/>
      <c r="N119" s="12">
        <f t="shared" si="20"/>
        <v>0</v>
      </c>
      <c r="O119" s="12">
        <f t="shared" si="21"/>
        <v>0</v>
      </c>
      <c r="P119" s="12">
        <f>Table14[[#This Row],[Enrolment S.Y. 2025-2026 ]]*8</f>
        <v>0</v>
      </c>
      <c r="Q119" s="12"/>
      <c r="R119" s="10"/>
      <c r="S119" s="12"/>
      <c r="T119" s="12">
        <f t="shared" si="16"/>
        <v>0</v>
      </c>
      <c r="U119" s="12">
        <f t="shared" si="17"/>
        <v>0</v>
      </c>
      <c r="V119" s="12">
        <f>Table14[[#This Row],[Enrolment S.Y. 2025-2026 ]]*8</f>
        <v>0</v>
      </c>
      <c r="W119" s="12"/>
      <c r="X119" s="10"/>
      <c r="Y119" s="12"/>
      <c r="Z119" s="12">
        <f t="shared" si="18"/>
        <v>0</v>
      </c>
      <c r="AA119" s="12">
        <f t="shared" si="19"/>
        <v>0</v>
      </c>
    </row>
    <row r="120" spans="1:27" ht="19.5">
      <c r="A120" s="10">
        <v>10</v>
      </c>
      <c r="B120" s="11" t="s">
        <v>17</v>
      </c>
      <c r="C120" s="10"/>
      <c r="D120" s="12">
        <f>Table14[[#This Row],[Enrolment S.Y. 2025-2026 ]]*8</f>
        <v>0</v>
      </c>
      <c r="E120" s="12"/>
      <c r="F120" s="46"/>
      <c r="G120" s="12"/>
      <c r="H120" s="12">
        <f t="shared" si="22"/>
        <v>0</v>
      </c>
      <c r="I120" s="12">
        <f t="shared" si="23"/>
        <v>0</v>
      </c>
      <c r="J120" s="12">
        <f>Table14[[#This Row],[Enrolment S.Y. 2025-2026 ]]*8</f>
        <v>0</v>
      </c>
      <c r="K120" s="12"/>
      <c r="L120" s="10"/>
      <c r="M120" s="12"/>
      <c r="N120" s="12">
        <f t="shared" si="20"/>
        <v>0</v>
      </c>
      <c r="O120" s="12">
        <f t="shared" si="21"/>
        <v>0</v>
      </c>
      <c r="P120" s="12">
        <f>Table14[[#This Row],[Enrolment S.Y. 2025-2026 ]]*8</f>
        <v>0</v>
      </c>
      <c r="Q120" s="12"/>
      <c r="R120" s="10"/>
      <c r="S120" s="12"/>
      <c r="T120" s="12">
        <f t="shared" si="16"/>
        <v>0</v>
      </c>
      <c r="U120" s="12">
        <f t="shared" si="17"/>
        <v>0</v>
      </c>
      <c r="V120" s="12">
        <f>Table14[[#This Row],[Enrolment S.Y. 2025-2026 ]]*8</f>
        <v>0</v>
      </c>
      <c r="W120" s="12"/>
      <c r="X120" s="10"/>
      <c r="Y120" s="12"/>
      <c r="Z120" s="12">
        <f t="shared" si="18"/>
        <v>0</v>
      </c>
      <c r="AA120" s="12">
        <f t="shared" si="19"/>
        <v>0</v>
      </c>
    </row>
    <row r="121" spans="1:27" ht="19.5">
      <c r="A121" s="10">
        <v>10</v>
      </c>
      <c r="B121" s="11" t="s">
        <v>13</v>
      </c>
      <c r="C121" s="10"/>
      <c r="D121" s="12">
        <f>Table14[[#This Row],[Enrolment S.Y. 2025-2026 ]]*8</f>
        <v>0</v>
      </c>
      <c r="E121" s="12"/>
      <c r="F121" s="46"/>
      <c r="G121" s="12"/>
      <c r="H121" s="12">
        <f t="shared" si="22"/>
        <v>0</v>
      </c>
      <c r="I121" s="12">
        <f t="shared" si="23"/>
        <v>0</v>
      </c>
      <c r="J121" s="12">
        <f>Table14[[#This Row],[Enrolment S.Y. 2025-2026 ]]*8</f>
        <v>0</v>
      </c>
      <c r="K121" s="12"/>
      <c r="L121" s="10"/>
      <c r="M121" s="12"/>
      <c r="N121" s="12">
        <f t="shared" si="20"/>
        <v>0</v>
      </c>
      <c r="O121" s="12">
        <f t="shared" si="21"/>
        <v>0</v>
      </c>
      <c r="P121" s="12">
        <f>Table14[[#This Row],[Enrolment S.Y. 2025-2026 ]]*8</f>
        <v>0</v>
      </c>
      <c r="Q121" s="12"/>
      <c r="R121" s="10"/>
      <c r="S121" s="12"/>
      <c r="T121" s="12">
        <f t="shared" si="16"/>
        <v>0</v>
      </c>
      <c r="U121" s="12">
        <f t="shared" si="17"/>
        <v>0</v>
      </c>
      <c r="V121" s="12">
        <f>Table14[[#This Row],[Enrolment S.Y. 2025-2026 ]]*8</f>
        <v>0</v>
      </c>
      <c r="W121" s="12"/>
      <c r="X121" s="10"/>
      <c r="Y121" s="12"/>
      <c r="Z121" s="12">
        <f t="shared" si="18"/>
        <v>0</v>
      </c>
      <c r="AA121" s="12">
        <f t="shared" si="19"/>
        <v>0</v>
      </c>
    </row>
    <row r="122" spans="1:27" ht="19.5">
      <c r="A122" s="10">
        <v>10</v>
      </c>
      <c r="B122" s="11" t="s">
        <v>22</v>
      </c>
      <c r="C122" s="10"/>
      <c r="D122" s="12">
        <f>Table14[[#This Row],[Enrolment S.Y. 2025-2026 ]]*8</f>
        <v>0</v>
      </c>
      <c r="E122" s="12"/>
      <c r="F122" s="46"/>
      <c r="G122" s="12"/>
      <c r="H122" s="12">
        <f t="shared" si="22"/>
        <v>0</v>
      </c>
      <c r="I122" s="12">
        <f t="shared" si="23"/>
        <v>0</v>
      </c>
      <c r="J122" s="12">
        <f>Table14[[#This Row],[Enrolment S.Y. 2025-2026 ]]*8</f>
        <v>0</v>
      </c>
      <c r="K122" s="12"/>
      <c r="L122" s="10"/>
      <c r="M122" s="12"/>
      <c r="N122" s="12">
        <f t="shared" si="20"/>
        <v>0</v>
      </c>
      <c r="O122" s="12">
        <f t="shared" si="21"/>
        <v>0</v>
      </c>
      <c r="P122" s="12">
        <f>Table14[[#This Row],[Enrolment S.Y. 2025-2026 ]]*8</f>
        <v>0</v>
      </c>
      <c r="Q122" s="12"/>
      <c r="R122" s="10"/>
      <c r="S122" s="12"/>
      <c r="T122" s="12">
        <f t="shared" si="16"/>
        <v>0</v>
      </c>
      <c r="U122" s="12">
        <f t="shared" si="17"/>
        <v>0</v>
      </c>
      <c r="V122" s="12">
        <f>Table14[[#This Row],[Enrolment S.Y. 2025-2026 ]]*8</f>
        <v>0</v>
      </c>
      <c r="W122" s="12"/>
      <c r="X122" s="10"/>
      <c r="Y122" s="12"/>
      <c r="Z122" s="12">
        <f t="shared" si="18"/>
        <v>0</v>
      </c>
      <c r="AA122" s="12">
        <f t="shared" si="19"/>
        <v>0</v>
      </c>
    </row>
    <row r="123" spans="1:27" ht="19.5">
      <c r="A123" s="10">
        <v>10</v>
      </c>
      <c r="B123" s="11" t="s">
        <v>24</v>
      </c>
      <c r="C123" s="10"/>
      <c r="D123" s="12">
        <f>Table14[[#This Row],[Enrolment S.Y. 2025-2026 ]]*8</f>
        <v>0</v>
      </c>
      <c r="E123" s="12"/>
      <c r="F123" s="46"/>
      <c r="G123" s="12"/>
      <c r="H123" s="12">
        <f t="shared" si="22"/>
        <v>0</v>
      </c>
      <c r="I123" s="12">
        <f t="shared" si="23"/>
        <v>0</v>
      </c>
      <c r="J123" s="12">
        <f>Table14[[#This Row],[Enrolment S.Y. 2025-2026 ]]*8</f>
        <v>0</v>
      </c>
      <c r="K123" s="12"/>
      <c r="L123" s="10"/>
      <c r="M123" s="12"/>
      <c r="N123" s="12">
        <f t="shared" si="20"/>
        <v>0</v>
      </c>
      <c r="O123" s="12">
        <f t="shared" si="21"/>
        <v>0</v>
      </c>
      <c r="P123" s="12">
        <f>Table14[[#This Row],[Enrolment S.Y. 2025-2026 ]]*8</f>
        <v>0</v>
      </c>
      <c r="Q123" s="12"/>
      <c r="R123" s="10"/>
      <c r="S123" s="12"/>
      <c r="T123" s="12">
        <f t="shared" si="16"/>
        <v>0</v>
      </c>
      <c r="U123" s="12">
        <f t="shared" si="17"/>
        <v>0</v>
      </c>
      <c r="V123" s="12">
        <f>Table14[[#This Row],[Enrolment S.Y. 2025-2026 ]]*8</f>
        <v>0</v>
      </c>
      <c r="W123" s="12"/>
      <c r="X123" s="10"/>
      <c r="Y123" s="12"/>
      <c r="Z123" s="12">
        <f t="shared" si="18"/>
        <v>0</v>
      </c>
      <c r="AA123" s="12">
        <f t="shared" si="19"/>
        <v>0</v>
      </c>
    </row>
    <row r="124" spans="1:27" ht="19.5">
      <c r="A124" s="10">
        <v>10</v>
      </c>
      <c r="B124" s="11" t="s">
        <v>14</v>
      </c>
      <c r="C124" s="10"/>
      <c r="D124" s="12">
        <f>Table14[[#This Row],[Enrolment S.Y. 2025-2026 ]]*8</f>
        <v>0</v>
      </c>
      <c r="E124" s="12"/>
      <c r="F124" s="46"/>
      <c r="G124" s="12"/>
      <c r="H124" s="12">
        <f t="shared" si="22"/>
        <v>0</v>
      </c>
      <c r="I124" s="12">
        <f t="shared" si="23"/>
        <v>0</v>
      </c>
      <c r="J124" s="12">
        <f>Table14[[#This Row],[Enrolment S.Y. 2025-2026 ]]*8</f>
        <v>0</v>
      </c>
      <c r="K124" s="12"/>
      <c r="L124" s="10"/>
      <c r="M124" s="12"/>
      <c r="N124" s="12">
        <f t="shared" si="20"/>
        <v>0</v>
      </c>
      <c r="O124" s="12">
        <f t="shared" si="21"/>
        <v>0</v>
      </c>
      <c r="P124" s="12">
        <f>Table14[[#This Row],[Enrolment S.Y. 2025-2026 ]]*8</f>
        <v>0</v>
      </c>
      <c r="Q124" s="12"/>
      <c r="R124" s="10"/>
      <c r="S124" s="12"/>
      <c r="T124" s="12">
        <f t="shared" si="16"/>
        <v>0</v>
      </c>
      <c r="U124" s="12">
        <f t="shared" si="17"/>
        <v>0</v>
      </c>
      <c r="V124" s="12">
        <f>Table14[[#This Row],[Enrolment S.Y. 2025-2026 ]]*8</f>
        <v>0</v>
      </c>
      <c r="W124" s="12"/>
      <c r="X124" s="10"/>
      <c r="Y124" s="12"/>
      <c r="Z124" s="12">
        <f t="shared" si="18"/>
        <v>0</v>
      </c>
      <c r="AA124" s="12">
        <f t="shared" si="19"/>
        <v>0</v>
      </c>
    </row>
    <row r="125" spans="1:27" ht="19.5">
      <c r="A125" s="38">
        <v>10</v>
      </c>
      <c r="B125" s="11" t="s">
        <v>94</v>
      </c>
      <c r="C125" s="10"/>
      <c r="D125" s="12">
        <f>Table14[[#This Row],[Enrolment S.Y. 2025-2026 ]]*8</f>
        <v>0</v>
      </c>
      <c r="E125" s="12"/>
      <c r="F125" s="46"/>
      <c r="G125" s="12"/>
      <c r="H125" s="12">
        <f>IF((D125-E125)&lt;0,0,(D125-E125))</f>
        <v>0</v>
      </c>
      <c r="I125" s="12">
        <f>IF((E125-D125)&lt;0,0,(E125-D125))</f>
        <v>0</v>
      </c>
      <c r="J125" s="12">
        <f>Table14[[#This Row],[Enrolment S.Y. 2025-2026 ]]*8</f>
        <v>0</v>
      </c>
      <c r="K125" s="12"/>
      <c r="L125" s="10"/>
      <c r="M125" s="12"/>
      <c r="N125" s="12">
        <f t="shared" ref="N125:N129" si="28">IF((J125-K125)&lt;0,0,(J125-K125))</f>
        <v>0</v>
      </c>
      <c r="O125" s="12">
        <f t="shared" ref="O125:O129" si="29">IF((K125-J125)&lt;0,0,(K125-J125))</f>
        <v>0</v>
      </c>
      <c r="P125" s="12">
        <f>Table14[[#This Row],[Enrolment S.Y. 2025-2026 ]]*8</f>
        <v>0</v>
      </c>
      <c r="Q125" s="12"/>
      <c r="R125" s="10"/>
      <c r="S125" s="12"/>
      <c r="T125" s="12">
        <f>IF((P125-Q125)&lt;0,0,(P125-Q125))</f>
        <v>0</v>
      </c>
      <c r="U125" s="12">
        <f>IF((Q125-P125)&lt;0,0,(Q125-P125))</f>
        <v>0</v>
      </c>
      <c r="V125" s="12">
        <f>Table14[[#This Row],[Enrolment S.Y. 2025-2026 ]]*8</f>
        <v>0</v>
      </c>
      <c r="W125" s="12"/>
      <c r="X125" s="10"/>
      <c r="Y125" s="12"/>
      <c r="Z125" s="12">
        <f>IF((V125-W125)&lt;0,0,(V125-W125))</f>
        <v>0</v>
      </c>
      <c r="AA125" s="12">
        <f>IF((W125-V125)&lt;0,0,(W125-V125))</f>
        <v>0</v>
      </c>
    </row>
    <row r="126" spans="1:27" ht="19.5">
      <c r="A126" s="10">
        <v>10</v>
      </c>
      <c r="B126" s="11" t="s">
        <v>95</v>
      </c>
      <c r="C126" s="10"/>
      <c r="D126" s="12">
        <f>Table14[[#This Row],[Enrolment S.Y. 2025-2026 ]]*8</f>
        <v>0</v>
      </c>
      <c r="E126" s="12"/>
      <c r="F126" s="46"/>
      <c r="G126" s="12"/>
      <c r="H126" s="12">
        <f t="shared" si="22"/>
        <v>0</v>
      </c>
      <c r="I126" s="12">
        <f t="shared" si="23"/>
        <v>0</v>
      </c>
      <c r="J126" s="12">
        <f>Table14[[#This Row],[Enrolment S.Y. 2025-2026 ]]*8</f>
        <v>0</v>
      </c>
      <c r="K126" s="12"/>
      <c r="L126" s="10"/>
      <c r="M126" s="12"/>
      <c r="N126" s="12">
        <f t="shared" si="28"/>
        <v>0</v>
      </c>
      <c r="O126" s="12">
        <f t="shared" si="29"/>
        <v>0</v>
      </c>
      <c r="P126" s="12">
        <f>Table14[[#This Row],[Enrolment S.Y. 2025-2026 ]]*8</f>
        <v>0</v>
      </c>
      <c r="Q126" s="12"/>
      <c r="R126" s="10"/>
      <c r="S126" s="12"/>
      <c r="T126" s="12">
        <f t="shared" si="16"/>
        <v>0</v>
      </c>
      <c r="U126" s="12">
        <f t="shared" si="17"/>
        <v>0</v>
      </c>
      <c r="V126" s="12">
        <f>Table14[[#This Row],[Enrolment S.Y. 2025-2026 ]]*8</f>
        <v>0</v>
      </c>
      <c r="W126" s="12"/>
      <c r="X126" s="10"/>
      <c r="Y126" s="12"/>
      <c r="Z126" s="12">
        <f t="shared" si="18"/>
        <v>0</v>
      </c>
      <c r="AA126" s="12">
        <f t="shared" si="19"/>
        <v>0</v>
      </c>
    </row>
    <row r="127" spans="1:27" ht="19.5">
      <c r="A127" s="10">
        <v>10</v>
      </c>
      <c r="B127" s="11" t="s">
        <v>23</v>
      </c>
      <c r="C127" s="10"/>
      <c r="D127" s="12">
        <f>Table14[[#This Row],[Enrolment S.Y. 2025-2026 ]]*8</f>
        <v>0</v>
      </c>
      <c r="E127" s="12"/>
      <c r="F127" s="46"/>
      <c r="G127" s="12"/>
      <c r="H127" s="12">
        <f t="shared" si="22"/>
        <v>0</v>
      </c>
      <c r="I127" s="12">
        <f t="shared" si="23"/>
        <v>0</v>
      </c>
      <c r="J127" s="12">
        <f>Table14[[#This Row],[Enrolment S.Y. 2025-2026 ]]*8</f>
        <v>0</v>
      </c>
      <c r="K127" s="12"/>
      <c r="L127" s="10"/>
      <c r="M127" s="12"/>
      <c r="N127" s="12">
        <f t="shared" si="28"/>
        <v>0</v>
      </c>
      <c r="O127" s="12">
        <f t="shared" si="29"/>
        <v>0</v>
      </c>
      <c r="P127" s="12">
        <f>Table14[[#This Row],[Enrolment S.Y. 2025-2026 ]]*8</f>
        <v>0</v>
      </c>
      <c r="Q127" s="12"/>
      <c r="R127" s="10"/>
      <c r="S127" s="12"/>
      <c r="T127" s="12">
        <f t="shared" si="16"/>
        <v>0</v>
      </c>
      <c r="U127" s="12">
        <f t="shared" si="17"/>
        <v>0</v>
      </c>
      <c r="V127" s="12">
        <f>Table14[[#This Row],[Enrolment S.Y. 2025-2026 ]]*8</f>
        <v>0</v>
      </c>
      <c r="W127" s="12"/>
      <c r="X127" s="10"/>
      <c r="Y127" s="12"/>
      <c r="Z127" s="12">
        <f t="shared" si="18"/>
        <v>0</v>
      </c>
      <c r="AA127" s="12">
        <f t="shared" si="19"/>
        <v>0</v>
      </c>
    </row>
    <row r="128" spans="1:27" ht="19.5">
      <c r="A128" s="38">
        <v>10</v>
      </c>
      <c r="B128" s="11" t="s">
        <v>96</v>
      </c>
      <c r="C128" s="10"/>
      <c r="D128" s="12">
        <f>Table14[[#This Row],[Enrolment S.Y. 2025-2026 ]]*8</f>
        <v>0</v>
      </c>
      <c r="E128" s="12"/>
      <c r="F128" s="46"/>
      <c r="G128" s="12"/>
      <c r="H128" s="12">
        <f>IF((D128-E128)&lt;0,0,(D128-E128))</f>
        <v>0</v>
      </c>
      <c r="I128" s="12">
        <f>IF((E128-D128)&lt;0,0,(E128-D128))</f>
        <v>0</v>
      </c>
      <c r="J128" s="12">
        <f>Table14[[#This Row],[Enrolment S.Y. 2025-2026 ]]*8</f>
        <v>0</v>
      </c>
      <c r="K128" s="12"/>
      <c r="L128" s="10"/>
      <c r="M128" s="12"/>
      <c r="N128" s="12">
        <f t="shared" si="28"/>
        <v>0</v>
      </c>
      <c r="O128" s="12">
        <f t="shared" si="29"/>
        <v>0</v>
      </c>
      <c r="P128" s="12">
        <f>Table14[[#This Row],[Enrolment S.Y. 2025-2026 ]]*8</f>
        <v>0</v>
      </c>
      <c r="Q128" s="12"/>
      <c r="R128" s="10"/>
      <c r="S128" s="12"/>
      <c r="T128" s="12">
        <f>IF((P128-Q128)&lt;0,0,(P128-Q128))</f>
        <v>0</v>
      </c>
      <c r="U128" s="12">
        <f>IF((Q128-P128)&lt;0,0,(Q128-P128))</f>
        <v>0</v>
      </c>
      <c r="V128" s="12">
        <f>Table14[[#This Row],[Enrolment S.Y. 2025-2026 ]]*8</f>
        <v>0</v>
      </c>
      <c r="W128" s="12"/>
      <c r="X128" s="10"/>
      <c r="Y128" s="12"/>
      <c r="Z128" s="12">
        <f>IF((V128-W128)&lt;0,0,(V128-W128))</f>
        <v>0</v>
      </c>
      <c r="AA128" s="12">
        <f>IF((W128-V128)&lt;0,0,(W128-V128))</f>
        <v>0</v>
      </c>
    </row>
    <row r="129" spans="1:28" ht="19.5">
      <c r="A129" s="10">
        <v>10</v>
      </c>
      <c r="B129" s="11" t="s">
        <v>97</v>
      </c>
      <c r="C129" s="10"/>
      <c r="D129" s="12">
        <f>Table14[[#This Row],[Enrolment S.Y. 2025-2026 ]]*8</f>
        <v>0</v>
      </c>
      <c r="E129" s="12"/>
      <c r="F129" s="46"/>
      <c r="G129" s="12"/>
      <c r="H129" s="12">
        <f t="shared" si="22"/>
        <v>0</v>
      </c>
      <c r="I129" s="12">
        <f t="shared" si="23"/>
        <v>0</v>
      </c>
      <c r="J129" s="12">
        <f>Table14[[#This Row],[Enrolment S.Y. 2025-2026 ]]*8</f>
        <v>0</v>
      </c>
      <c r="K129" s="12"/>
      <c r="L129" s="10"/>
      <c r="M129" s="12"/>
      <c r="N129" s="12">
        <f t="shared" si="28"/>
        <v>0</v>
      </c>
      <c r="O129" s="12">
        <f t="shared" si="29"/>
        <v>0</v>
      </c>
      <c r="P129" s="12">
        <f>Table14[[#This Row],[Enrolment S.Y. 2025-2026 ]]*8</f>
        <v>0</v>
      </c>
      <c r="Q129" s="12"/>
      <c r="R129" s="10"/>
      <c r="S129" s="12"/>
      <c r="T129" s="12">
        <f t="shared" si="16"/>
        <v>0</v>
      </c>
      <c r="U129" s="12">
        <f t="shared" si="17"/>
        <v>0</v>
      </c>
      <c r="V129" s="12">
        <f>Table14[[#This Row],[Enrolment S.Y. 2025-2026 ]]*8</f>
        <v>0</v>
      </c>
      <c r="W129" s="12"/>
      <c r="X129" s="10"/>
      <c r="Y129" s="12"/>
      <c r="Z129" s="12">
        <f t="shared" si="18"/>
        <v>0</v>
      </c>
      <c r="AA129" s="12">
        <f t="shared" si="19"/>
        <v>0</v>
      </c>
    </row>
    <row r="130" spans="1:28" s="7" customFormat="1"/>
    <row r="131" spans="1:28" ht="38.25">
      <c r="A131" s="1" t="s">
        <v>25</v>
      </c>
      <c r="B131" s="9" t="s">
        <v>26</v>
      </c>
      <c r="C131" s="1"/>
      <c r="D131" s="5">
        <f>Table14[[#This Row],[Enrolment S.Y. 2025-2026 ]]*8</f>
        <v>0</v>
      </c>
      <c r="E131" s="5"/>
      <c r="F131" s="1"/>
      <c r="G131" s="5"/>
      <c r="H131" s="5">
        <f t="shared" si="22"/>
        <v>0</v>
      </c>
      <c r="I131" s="5">
        <f t="shared" si="23"/>
        <v>0</v>
      </c>
      <c r="J131" s="5">
        <f>Table14[[#This Row],[Enrolment S.Y. 2025-2026 ]]*8</f>
        <v>0</v>
      </c>
      <c r="K131" s="5"/>
      <c r="L131" s="1"/>
      <c r="M131" s="5"/>
      <c r="N131" s="5">
        <f t="shared" si="20"/>
        <v>0</v>
      </c>
      <c r="O131" s="5">
        <f t="shared" si="21"/>
        <v>0</v>
      </c>
      <c r="P131" s="5">
        <f>Table14[[#This Row],[Enrolment S.Y. 2025-2026 ]]*8</f>
        <v>0</v>
      </c>
      <c r="Q131" s="5"/>
      <c r="R131" s="1"/>
      <c r="S131" s="5"/>
      <c r="T131" s="5">
        <f t="shared" si="16"/>
        <v>0</v>
      </c>
      <c r="U131" s="5">
        <f t="shared" si="17"/>
        <v>0</v>
      </c>
      <c r="V131" s="5">
        <f>Table14[[#This Row],[Enrolment S.Y. 2025-2026 ]]*8</f>
        <v>0</v>
      </c>
      <c r="W131" s="5"/>
      <c r="X131" s="1"/>
      <c r="Y131" s="5"/>
      <c r="Z131" s="5">
        <f t="shared" si="18"/>
        <v>0</v>
      </c>
      <c r="AA131" s="5">
        <f t="shared" si="19"/>
        <v>0</v>
      </c>
    </row>
    <row r="132" spans="1:28" ht="19.5">
      <c r="A132" s="1" t="s">
        <v>25</v>
      </c>
      <c r="B132" s="9" t="s">
        <v>27</v>
      </c>
      <c r="C132" s="1"/>
      <c r="D132" s="5">
        <f>Table14[[#This Row],[Enrolment S.Y. 2025-2026 ]]*8</f>
        <v>0</v>
      </c>
      <c r="E132" s="5"/>
      <c r="F132" s="1"/>
      <c r="G132" s="5"/>
      <c r="H132" s="5">
        <f t="shared" si="22"/>
        <v>0</v>
      </c>
      <c r="I132" s="5">
        <f t="shared" si="23"/>
        <v>0</v>
      </c>
      <c r="J132" s="5">
        <f>Table14[[#This Row],[Enrolment S.Y. 2025-2026 ]]*8</f>
        <v>0</v>
      </c>
      <c r="K132" s="5"/>
      <c r="L132" s="1"/>
      <c r="M132" s="5"/>
      <c r="N132" s="5">
        <f t="shared" si="20"/>
        <v>0</v>
      </c>
      <c r="O132" s="5">
        <f t="shared" si="21"/>
        <v>0</v>
      </c>
      <c r="P132" s="5">
        <f>Table14[[#This Row],[Enrolment S.Y. 2025-2026 ]]*8</f>
        <v>0</v>
      </c>
      <c r="Q132" s="5"/>
      <c r="R132" s="1"/>
      <c r="S132" s="5"/>
      <c r="T132" s="5">
        <f t="shared" si="16"/>
        <v>0</v>
      </c>
      <c r="U132" s="5">
        <f t="shared" si="17"/>
        <v>0</v>
      </c>
      <c r="V132" s="5">
        <f>Table14[[#This Row],[Enrolment S.Y. 2025-2026 ]]*8</f>
        <v>0</v>
      </c>
      <c r="W132" s="5"/>
      <c r="X132" s="1"/>
      <c r="Y132" s="5"/>
      <c r="Z132" s="5">
        <f t="shared" si="18"/>
        <v>0</v>
      </c>
      <c r="AA132" s="5">
        <f t="shared" si="19"/>
        <v>0</v>
      </c>
    </row>
    <row r="133" spans="1:28" ht="19.5">
      <c r="A133" s="1" t="s">
        <v>25</v>
      </c>
      <c r="B133" s="9" t="s">
        <v>28</v>
      </c>
      <c r="C133" s="1"/>
      <c r="D133" s="5">
        <f>Table14[[#This Row],[Enrolment S.Y. 2025-2026 ]]*8</f>
        <v>0</v>
      </c>
      <c r="E133" s="5"/>
      <c r="F133" s="1"/>
      <c r="G133" s="5"/>
      <c r="H133" s="5">
        <f t="shared" si="22"/>
        <v>0</v>
      </c>
      <c r="I133" s="5">
        <f t="shared" si="23"/>
        <v>0</v>
      </c>
      <c r="J133" s="5">
        <f>Table14[[#This Row],[Enrolment S.Y. 2025-2026 ]]*8</f>
        <v>0</v>
      </c>
      <c r="K133" s="5"/>
      <c r="L133" s="1"/>
      <c r="M133" s="5"/>
      <c r="N133" s="5">
        <f t="shared" si="20"/>
        <v>0</v>
      </c>
      <c r="O133" s="5">
        <f t="shared" si="21"/>
        <v>0</v>
      </c>
      <c r="P133" s="5">
        <f>Table14[[#This Row],[Enrolment S.Y. 2025-2026 ]]*8</f>
        <v>0</v>
      </c>
      <c r="Q133" s="5"/>
      <c r="R133" s="1"/>
      <c r="S133" s="5"/>
      <c r="T133" s="5">
        <f t="shared" si="16"/>
        <v>0</v>
      </c>
      <c r="U133" s="5">
        <f t="shared" si="17"/>
        <v>0</v>
      </c>
      <c r="V133" s="5">
        <f>Table14[[#This Row],[Enrolment S.Y. 2025-2026 ]]*8</f>
        <v>0</v>
      </c>
      <c r="W133" s="5"/>
      <c r="X133" s="1"/>
      <c r="Y133" s="5"/>
      <c r="Z133" s="5">
        <f t="shared" si="18"/>
        <v>0</v>
      </c>
      <c r="AA133" s="5">
        <f t="shared" si="19"/>
        <v>0</v>
      </c>
    </row>
    <row r="134" spans="1:28" ht="19.5">
      <c r="A134" s="1" t="s">
        <v>25</v>
      </c>
      <c r="B134" s="9" t="s">
        <v>29</v>
      </c>
      <c r="C134" s="1"/>
      <c r="D134" s="5">
        <f>Table14[[#This Row],[Enrolment S.Y. 2025-2026 ]]*8</f>
        <v>0</v>
      </c>
      <c r="E134" s="5"/>
      <c r="F134" s="1"/>
      <c r="G134" s="5"/>
      <c r="H134" s="5">
        <f t="shared" si="22"/>
        <v>0</v>
      </c>
      <c r="I134" s="5">
        <f t="shared" si="23"/>
        <v>0</v>
      </c>
      <c r="J134" s="5">
        <f>Table14[[#This Row],[Enrolment S.Y. 2025-2026 ]]*8</f>
        <v>0</v>
      </c>
      <c r="K134" s="5"/>
      <c r="L134" s="1"/>
      <c r="M134" s="5"/>
      <c r="N134" s="5">
        <f t="shared" si="20"/>
        <v>0</v>
      </c>
      <c r="O134" s="5">
        <f t="shared" si="21"/>
        <v>0</v>
      </c>
      <c r="P134" s="5">
        <f>Table14[[#This Row],[Enrolment S.Y. 2025-2026 ]]*8</f>
        <v>0</v>
      </c>
      <c r="Q134" s="5"/>
      <c r="R134" s="1"/>
      <c r="S134" s="5"/>
      <c r="T134" s="5">
        <f t="shared" si="16"/>
        <v>0</v>
      </c>
      <c r="U134" s="5">
        <f t="shared" si="17"/>
        <v>0</v>
      </c>
      <c r="V134" s="5">
        <f>Table14[[#This Row],[Enrolment S.Y. 2025-2026 ]]*8</f>
        <v>0</v>
      </c>
      <c r="W134" s="5"/>
      <c r="X134" s="1"/>
      <c r="Y134" s="5"/>
      <c r="Z134" s="5">
        <f t="shared" si="18"/>
        <v>0</v>
      </c>
      <c r="AA134" s="5">
        <f t="shared" si="19"/>
        <v>0</v>
      </c>
    </row>
    <row r="135" spans="1:28" ht="38.25">
      <c r="A135" s="1" t="s">
        <v>25</v>
      </c>
      <c r="B135" s="9" t="s">
        <v>30</v>
      </c>
      <c r="C135" s="1"/>
      <c r="D135" s="5">
        <f>Table14[[#This Row],[Enrolment S.Y. 2025-2026 ]]*8</f>
        <v>0</v>
      </c>
      <c r="E135" s="5"/>
      <c r="F135" s="1"/>
      <c r="G135" s="5"/>
      <c r="H135" s="5">
        <f t="shared" si="22"/>
        <v>0</v>
      </c>
      <c r="I135" s="5">
        <f t="shared" si="23"/>
        <v>0</v>
      </c>
      <c r="J135" s="5">
        <f>Table14[[#This Row],[Enrolment S.Y. 2025-2026 ]]*8</f>
        <v>0</v>
      </c>
      <c r="K135" s="5"/>
      <c r="L135" s="1"/>
      <c r="M135" s="5"/>
      <c r="N135" s="5">
        <f t="shared" si="20"/>
        <v>0</v>
      </c>
      <c r="O135" s="5">
        <f t="shared" si="21"/>
        <v>0</v>
      </c>
      <c r="P135" s="5">
        <f>Table14[[#This Row],[Enrolment S.Y. 2025-2026 ]]*8</f>
        <v>0</v>
      </c>
      <c r="Q135" s="5"/>
      <c r="R135" s="1"/>
      <c r="S135" s="5"/>
      <c r="T135" s="5">
        <f t="shared" si="16"/>
        <v>0</v>
      </c>
      <c r="U135" s="5">
        <f t="shared" si="17"/>
        <v>0</v>
      </c>
      <c r="V135" s="5">
        <f>Table14[[#This Row],[Enrolment S.Y. 2025-2026 ]]*8</f>
        <v>0</v>
      </c>
      <c r="W135" s="5"/>
      <c r="X135" s="1"/>
      <c r="Y135" s="5"/>
      <c r="Z135" s="5">
        <f t="shared" si="18"/>
        <v>0</v>
      </c>
      <c r="AA135" s="5">
        <f t="shared" si="19"/>
        <v>0</v>
      </c>
    </row>
    <row r="136" spans="1:28" ht="38.25">
      <c r="A136" s="1" t="s">
        <v>25</v>
      </c>
      <c r="B136" s="9" t="s">
        <v>31</v>
      </c>
      <c r="C136" s="1"/>
      <c r="D136" s="5">
        <f>Table14[[#This Row],[Enrolment S.Y. 2025-2026 ]]*8</f>
        <v>0</v>
      </c>
      <c r="E136" s="5"/>
      <c r="F136" s="1"/>
      <c r="G136" s="5"/>
      <c r="H136" s="5">
        <f t="shared" si="22"/>
        <v>0</v>
      </c>
      <c r="I136" s="5">
        <f t="shared" si="23"/>
        <v>0</v>
      </c>
      <c r="J136" s="5">
        <f>Table14[[#This Row],[Enrolment S.Y. 2025-2026 ]]*8</f>
        <v>0</v>
      </c>
      <c r="K136" s="5"/>
      <c r="L136" s="1"/>
      <c r="M136" s="5"/>
      <c r="N136" s="5">
        <f t="shared" si="20"/>
        <v>0</v>
      </c>
      <c r="O136" s="5">
        <f t="shared" si="21"/>
        <v>0</v>
      </c>
      <c r="P136" s="5">
        <f>Table14[[#This Row],[Enrolment S.Y. 2025-2026 ]]*8</f>
        <v>0</v>
      </c>
      <c r="Q136" s="5"/>
      <c r="R136" s="1"/>
      <c r="S136" s="5"/>
      <c r="T136" s="5">
        <f t="shared" si="16"/>
        <v>0</v>
      </c>
      <c r="U136" s="5">
        <f t="shared" si="17"/>
        <v>0</v>
      </c>
      <c r="V136" s="5">
        <f>Table14[[#This Row],[Enrolment S.Y. 2025-2026 ]]*8</f>
        <v>0</v>
      </c>
      <c r="W136" s="5"/>
      <c r="X136" s="1"/>
      <c r="Y136" s="5"/>
      <c r="Z136" s="5">
        <f t="shared" si="18"/>
        <v>0</v>
      </c>
      <c r="AA136" s="5">
        <f t="shared" si="19"/>
        <v>0</v>
      </c>
    </row>
    <row r="137" spans="1:28" ht="57.75">
      <c r="A137" s="1" t="s">
        <v>25</v>
      </c>
      <c r="B137" s="9" t="s">
        <v>32</v>
      </c>
      <c r="C137" s="1"/>
      <c r="D137" s="5">
        <f>Table14[[#This Row],[Enrolment S.Y. 2025-2026 ]]*8</f>
        <v>0</v>
      </c>
      <c r="E137" s="5"/>
      <c r="F137" s="1"/>
      <c r="G137" s="5"/>
      <c r="H137" s="5">
        <f t="shared" si="22"/>
        <v>0</v>
      </c>
      <c r="I137" s="5">
        <f t="shared" si="23"/>
        <v>0</v>
      </c>
      <c r="J137" s="5">
        <f>Table14[[#This Row],[Enrolment S.Y. 2025-2026 ]]*8</f>
        <v>0</v>
      </c>
      <c r="K137" s="5"/>
      <c r="L137" s="1"/>
      <c r="M137" s="5"/>
      <c r="N137" s="5">
        <f t="shared" si="20"/>
        <v>0</v>
      </c>
      <c r="O137" s="5">
        <f t="shared" si="21"/>
        <v>0</v>
      </c>
      <c r="P137" s="5">
        <f>Table14[[#This Row],[Enrolment S.Y. 2025-2026 ]]*8</f>
        <v>0</v>
      </c>
      <c r="Q137" s="5"/>
      <c r="R137" s="1"/>
      <c r="S137" s="5"/>
      <c r="T137" s="5">
        <f t="shared" si="16"/>
        <v>0</v>
      </c>
      <c r="U137" s="5">
        <f t="shared" si="17"/>
        <v>0</v>
      </c>
      <c r="V137" s="5">
        <f>Table14[[#This Row],[Enrolment S.Y. 2025-2026 ]]*8</f>
        <v>0</v>
      </c>
      <c r="W137" s="5"/>
      <c r="X137" s="1"/>
      <c r="Y137" s="5"/>
      <c r="Z137" s="5">
        <f t="shared" si="18"/>
        <v>0</v>
      </c>
      <c r="AA137" s="5">
        <f t="shared" si="19"/>
        <v>0</v>
      </c>
    </row>
    <row r="138" spans="1:28" ht="38.25">
      <c r="A138" s="1" t="s">
        <v>25</v>
      </c>
      <c r="B138" s="9" t="s">
        <v>33</v>
      </c>
      <c r="C138" s="1"/>
      <c r="D138" s="5">
        <f>Table14[[#This Row],[Enrolment S.Y. 2025-2026 ]]*8</f>
        <v>0</v>
      </c>
      <c r="E138" s="5"/>
      <c r="F138" s="1"/>
      <c r="G138" s="5"/>
      <c r="H138" s="5">
        <f t="shared" si="22"/>
        <v>0</v>
      </c>
      <c r="I138" s="5">
        <f t="shared" si="23"/>
        <v>0</v>
      </c>
      <c r="J138" s="5">
        <f>Table14[[#This Row],[Enrolment S.Y. 2025-2026 ]]*8</f>
        <v>0</v>
      </c>
      <c r="K138" s="5"/>
      <c r="L138" s="1"/>
      <c r="M138" s="5"/>
      <c r="N138" s="5">
        <f t="shared" si="20"/>
        <v>0</v>
      </c>
      <c r="O138" s="5">
        <f t="shared" si="21"/>
        <v>0</v>
      </c>
      <c r="P138" s="5">
        <f>Table14[[#This Row],[Enrolment S.Y. 2025-2026 ]]*8</f>
        <v>0</v>
      </c>
      <c r="Q138" s="5"/>
      <c r="R138" s="1"/>
      <c r="S138" s="5"/>
      <c r="T138" s="5">
        <f t="shared" si="16"/>
        <v>0</v>
      </c>
      <c r="U138" s="5">
        <f t="shared" si="17"/>
        <v>0</v>
      </c>
      <c r="V138" s="5">
        <f>Table14[[#This Row],[Enrolment S.Y. 2025-2026 ]]*8</f>
        <v>0</v>
      </c>
      <c r="W138" s="5"/>
      <c r="X138" s="1"/>
      <c r="Y138" s="5"/>
      <c r="Z138" s="5">
        <f t="shared" si="18"/>
        <v>0</v>
      </c>
      <c r="AA138" s="5">
        <f t="shared" si="19"/>
        <v>0</v>
      </c>
    </row>
    <row r="139" spans="1:28" s="7" customFormat="1"/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spans="1:28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spans="1:28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spans="1:28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spans="1:28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spans="1:28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spans="1:2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spans="1:28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spans="1:28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spans="1:28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spans="1:28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spans="1:28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spans="1:28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spans="1:28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spans="1:28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spans="1:28"/>
    <row r="158" spans="1:28"/>
    <row r="159" spans="1:28"/>
    <row r="160" spans="1:28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</sheetData>
  <protectedRanges>
    <protectedRange sqref="C83:C93 C95:C105 C131:C138 C119:C129 C107:C117 C55:C65 C12:C19 C2:C10 C21:C29 C31:C41 C43:C53" name="Textbooks"/>
    <protectedRange sqref="J2:L2 N3:O10 T3:U10 Z3:AA10 Z12:AA19 Z21:AA29 Z31:AA41 Z43:AA53 Z55:AA65 T83:X93 Z83:AA93 H83:L93 T95:X105 Z95:AA105 H95:L105 T107:X117 Z107:AA117 H107:L117 T119:X129 Z119:AA129 H119:L129 N131:R138 T131:X138 Z131:AA138 H131:L138 N83:R93 N95:R105 N107:R117 N119:R129 H3:L10 H12:L19 H21:L29 H31:L41 H43:L53 H55:L65 P2:R10 N12:R19 N21:R29 N31:R41 N43:R53 N55:R65 V2:X10 T12:X19 T21:X29 T31:X41 T43:X53 T55:X65 D2:F10 D43:F53 D31:F41 D21:F29 D12:F19 D55:F65 D83:F93 D119:F129 D107:F117 D95:F105 D131:F138" name="LAS"/>
    <protectedRange sqref="G2:I2 M2:O2 S2:U2 Y2:AA2 G3:G10 M3:M10 S3:S10 Y3:Y10 Y12:Y19 G12:G19 M12:M19 S12:S19 Y21:Y29 G21:G29 M21:M29 S21:S29 Y31:Y41 G31:G41 M31:M41 S31:S41 Y43:Y53 G43:G53 M43:M53 S43:S53 Y55:Y65 G55:G65 M55:M65 S55:S65 Y83:Y93 G83:G93 M83:M93 S83:S93 Y95:Y105 G95:G105 M95:M105 S95:S105 Y107:Y117 G107:G117 M107:M117 S107:S117 Y119:Y129 G119:G129 M119:M129 S119:S129 Y131:Y138 G131:G138 M131:M138 S131:S138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31:S138 Y131:Y138 G131:G138 Y3:Y10 S3:S10 M3:M10 G3:G10 G12:G19 Y12:Y19 S12:S19 M12:M19 M21:M29 G21:G29 Y21:Y29 S21:S29 S31:S41 M31:M41 G31:G41 Y31:Y41 Y43:Y53 S43:S53 M43:M53 G43:G53 G55:G65 Y55:Y65 S55:S65 M55:M65 M83:M93 G83:G93 Y83:Y93 S83:S93 S95:S105 M95:M105 G95:G105 Y95:Y105 Y107:Y117 S107:S117 M107:M117 G107:G117 G119:G129 Y119:Y129 S119:S129 M119:M129 M131:M138" xr:uid="{CBD486C7-A5DB-48F1-B496-5027CC51E830}">
      <formula1>"CO,RO,SDO,LGU,SCHOOL"</formula1>
    </dataValidation>
    <dataValidation type="list" allowBlank="1" showInputMessage="1" showErrorMessage="1" sqref="X21:X29 X31:X41 X43:X53 X83:X93 X95:X105 X55:X65 X107:X117 X119:X129 X12:X19 X3:X10 L21:L29 L31:L41 L43:L53 L83:L93 L95:L105 L55:L65 L107:L117 L119:L129 L12:L19 L3:L10 R21:R29 R31:R41 R43:R53 R83:R93 R95:R105 R55:R65 R107:R117 R119:R129 R12:R19 R3:R10 X131:X138 R131:R138 L131:L138" xr:uid="{77F72D89-8371-4D0C-A323-BD25723C617C}">
      <formula1>"2024,2025"</formula1>
    </dataValidation>
    <dataValidation type="list" allowBlank="1" showInputMessage="1" showErrorMessage="1" sqref="F43:F53 F31:F41 F21:F29 F3:F10 F12:F19 F55:F65 F119:F129 F107:F117 F83:F93 F95:F105 F131:F138" xr:uid="{752A108F-029B-4153-A03C-5205FDE9F713}">
      <formula1>"2024,2025,2026"</formula1>
    </dataValidation>
  </dataValidations>
  <pageMargins left="0.7" right="0.7" top="0.75" bottom="0.75" header="0.3" footer="0.3"/>
  <pageSetup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2026-02-19T02:58:09Z</dcterms:modified>
  <cp:category/>
  <cp:contentStatus/>
</cp:coreProperties>
</file>