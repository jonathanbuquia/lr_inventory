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1" documentId="13_ncr:1_{BFB59F67-F0DC-4675-A682-EB0734A8026A}" xr6:coauthVersionLast="47" xr6:coauthVersionMax="47" xr10:uidLastSave="{756C1108-0CE1-42CA-AF00-BDFAE4AA8B1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<sst xmlns="http://schemas.openxmlformats.org/spreadsheetml/2006/main" count="289" uniqueCount="80">
  <si>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</si>
  <si>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</si>
  <si>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</si>
  <si>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</si>
  <si>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</si>
  <si>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</si>
  <si>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</si>
  <si>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</si>
  <si>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</si>
  <si>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</si>
  <si>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</si>
  <si>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</si>
  <si>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</si>
  <si>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</si>
  <si>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</si>
  <si>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</si>
  <si>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</si>
  <si>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</si>
  <si>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</si>
  <si>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</si>
  <si>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</si>
  <si>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</si>
  <si>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</si>
  <si>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</si>
  <si>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</si>
  <si>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</si>
  <si>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</si>
  <si>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</si>
  <si>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</si>
  <si>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</si>
  <si>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</si>
  <si>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</si>
  <si>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</si>
  <si>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</si>
  <si>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</si>
  <si>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</si>
  <si>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</si>
  <si>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</si>
  <si>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</si>
  <si>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</si>
  <si>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</si>
  <si>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</si>
  <si>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</si>
  <si>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</si>
  <si>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</si>
  <si>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</si>
  <si>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</si>
  <si>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</si>
  <si>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</si>
  <si>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</si>
  <si>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</si>
  <si>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CO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</si>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</sst>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zoomScale="85" zoomScaleNormal="85" workbookViewId="0">
      <pane xSplit="2" topLeftCell="C44" activePane="topRight" state="frozen"/>
      <selection pane="topRight" activeCell="D55" sqref="D5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39</v>
      </c>
      <c r="D2" s="1"/>
      <c r="E2" s="1"/>
      <c r="F2" s="5"/>
      <c r="G2" s="3">
        <f>IF((C2-D2)&lt;0,0,C2-D2)</f>
        <v>39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39</v>
      </c>
      <c r="D3" s="1"/>
      <c r="E3" s="1"/>
      <c r="F3" s="5"/>
      <c r="G3" s="3">
        <f>IF((C3-D3)&lt;0,0,C3-D3)</f>
        <v>39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39</v>
      </c>
      <c r="D4" s="1"/>
      <c r="E4" s="1"/>
      <c r="F4" s="5"/>
      <c r="G4" s="3">
        <f>IF((C4-D4)&lt;0,0,C4-D4)</f>
        <v>39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39</v>
      </c>
      <c r="D5" s="1"/>
      <c r="E5" s="1"/>
      <c r="F5" s="5"/>
      <c r="G5" s="3">
        <f t="shared" ref="G5:G6" si="0">IF((C5-D5)&lt;0,0,C5-D5)</f>
        <v>39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39</v>
      </c>
      <c r="D6" s="1"/>
      <c r="E6" s="1"/>
      <c r="F6" s="5"/>
      <c r="G6" s="3">
        <f t="shared" si="0"/>
        <v>39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29</v>
      </c>
      <c r="D8" s="1"/>
      <c r="E8" s="1"/>
      <c r="F8" s="5"/>
      <c r="G8" s="3">
        <f>IF((C8-D8)&lt;0,0,C8-D8)</f>
        <v>29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29</v>
      </c>
      <c r="D9" s="1"/>
      <c r="E9" s="1"/>
      <c r="F9" s="5"/>
      <c r="G9" s="3">
        <f>IF((C9-D9)&lt;0,0,C9-D9)</f>
        <v>29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29</v>
      </c>
      <c r="D10" s="1"/>
      <c r="E10" s="1"/>
      <c r="F10" s="5"/>
      <c r="G10" s="3">
        <f>IF((C10-D10)&lt;0,0,C10-D10)</f>
        <v>29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29</v>
      </c>
      <c r="D11" s="1"/>
      <c r="E11" s="1"/>
      <c r="F11" s="5"/>
      <c r="G11" s="3">
        <f>IF((C11-D11)&lt;0,0,C11-D11)</f>
        <v>29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29</v>
      </c>
      <c r="D12" s="1"/>
      <c r="E12" s="1"/>
      <c r="F12" s="5"/>
      <c r="G12" s="3">
        <f>IF((C12-D12)&lt;0,0,C12-D12)</f>
        <v>29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44</v>
      </c>
      <c r="D14" s="1"/>
      <c r="E14" s="1"/>
      <c r="F14" s="5"/>
      <c r="G14" s="3">
        <f t="shared" ref="G14:G19" si="2">IF((C14-D14)&lt;0,0,C14-D14)</f>
        <v>44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44</v>
      </c>
      <c r="D15" s="1"/>
      <c r="E15" s="1"/>
      <c r="F15" s="5"/>
      <c r="G15" s="3">
        <f t="shared" si="2"/>
        <v>44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44</v>
      </c>
      <c r="D16" s="1"/>
      <c r="E16" s="1"/>
      <c r="F16" s="5"/>
      <c r="G16" s="3">
        <f t="shared" si="2"/>
        <v>44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44</v>
      </c>
      <c r="D17" s="1"/>
      <c r="E17" s="1"/>
      <c r="F17" s="5"/>
      <c r="G17" s="3">
        <f t="shared" si="2"/>
        <v>44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44</v>
      </c>
      <c r="D18" s="1"/>
      <c r="E18" s="1"/>
      <c r="F18" s="5"/>
      <c r="G18" s="3">
        <f t="shared" si="2"/>
        <v>44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44</v>
      </c>
      <c r="D19" s="1"/>
      <c r="E19" s="1"/>
      <c r="F19" s="5"/>
      <c r="G19" s="3">
        <f t="shared" si="2"/>
        <v>44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57</v>
      </c>
      <c r="D21" s="1">
        <v>60</v>
      </c>
      <c r="E21" s="1">
        <v>2025</v>
      </c>
      <c r="F21" s="5" t="s">
        <v>15</v>
      </c>
      <c r="G21" s="3">
        <f t="shared" ref="G21:G29" si="4">IF((C21-D21)&lt;0,0,C21-D21)</f>
        <v>0</v>
      </c>
      <c r="H21" s="4">
        <f t="shared" ref="H21:H29" si="5">IF((D21-C21)&lt;0,0,D21-C21)</f>
        <v>3</v>
      </c>
    </row>
    <row r="22" spans="1:8" ht="24" customHeight="1">
      <c r="A22" s="1">
        <v>4</v>
      </c>
      <c r="B22" s="9" t="s">
        <v>16</v>
      </c>
      <c r="C22" s="1">
        <v>57</v>
      </c>
      <c r="D22" s="1">
        <v>60</v>
      </c>
      <c r="E22" s="1">
        <v>2025</v>
      </c>
      <c r="F22" s="5" t="s">
        <v>15</v>
      </c>
      <c r="G22" s="3">
        <f t="shared" si="4"/>
        <v>0</v>
      </c>
      <c r="H22" s="4">
        <f t="shared" si="5"/>
        <v>3</v>
      </c>
    </row>
    <row r="23" spans="1:8" ht="19.5">
      <c r="A23" s="1">
        <v>4</v>
      </c>
      <c r="B23" s="9" t="s">
        <v>12</v>
      </c>
      <c r="C23" s="1">
        <v>57</v>
      </c>
      <c r="D23" s="1">
        <v>60</v>
      </c>
      <c r="E23" s="1">
        <v>2025</v>
      </c>
      <c r="F23" s="5" t="s">
        <v>15</v>
      </c>
      <c r="G23" s="3">
        <f t="shared" si="4"/>
        <v>0</v>
      </c>
      <c r="H23" s="4">
        <f t="shared" si="5"/>
        <v>3</v>
      </c>
    </row>
    <row r="24" spans="1:8" ht="27" customHeight="1">
      <c r="A24" s="1">
        <v>4</v>
      </c>
      <c r="B24" s="9" t="s">
        <v>10</v>
      </c>
      <c r="C24" s="1">
        <v>57</v>
      </c>
      <c r="D24" s="1">
        <v>60</v>
      </c>
      <c r="E24" s="1">
        <v>2025</v>
      </c>
      <c r="F24" s="5" t="s">
        <v>15</v>
      </c>
      <c r="G24" s="3">
        <f t="shared" si="4"/>
        <v>0</v>
      </c>
      <c r="H24" s="4">
        <f t="shared" si="5"/>
        <v>3</v>
      </c>
    </row>
    <row r="25" spans="1:8" ht="33.75" customHeight="1">
      <c r="A25" s="1">
        <v>4</v>
      </c>
      <c r="B25" s="9" t="s">
        <v>17</v>
      </c>
      <c r="C25" s="1">
        <v>57</v>
      </c>
      <c r="D25" s="1">
        <v>60</v>
      </c>
      <c r="E25" s="1">
        <v>2025</v>
      </c>
      <c r="F25" s="5" t="s">
        <v>15</v>
      </c>
      <c r="G25" s="3">
        <f t="shared" si="4"/>
        <v>0</v>
      </c>
      <c r="H25" s="4">
        <f t="shared" si="5"/>
        <v>3</v>
      </c>
    </row>
    <row r="26" spans="1:8" ht="33.75" customHeight="1">
      <c r="A26" s="1">
        <v>4</v>
      </c>
      <c r="B26" s="9" t="s">
        <v>13</v>
      </c>
      <c r="C26" s="1">
        <v>57</v>
      </c>
      <c r="D26" s="1">
        <v>60</v>
      </c>
      <c r="E26" s="1">
        <v>2025</v>
      </c>
      <c r="F26" s="5" t="s">
        <v>15</v>
      </c>
      <c r="G26" s="3">
        <f t="shared" si="4"/>
        <v>0</v>
      </c>
      <c r="H26" s="4">
        <f t="shared" si="5"/>
        <v>3</v>
      </c>
    </row>
    <row r="27" spans="1:8" ht="33.75" customHeight="1">
      <c r="A27" s="1">
        <v>4</v>
      </c>
      <c r="B27" s="9" t="s">
        <v>18</v>
      </c>
      <c r="C27" s="1">
        <v>57</v>
      </c>
      <c r="D27" s="1">
        <v>60</v>
      </c>
      <c r="E27" s="1">
        <v>2025</v>
      </c>
      <c r="F27" s="5" t="s">
        <v>15</v>
      </c>
      <c r="G27" s="3">
        <f t="shared" si="4"/>
        <v>0</v>
      </c>
      <c r="H27" s="4">
        <f t="shared" si="5"/>
        <v>3</v>
      </c>
    </row>
    <row r="28" spans="1:8" ht="27.75" customHeight="1">
      <c r="A28" s="1">
        <v>4</v>
      </c>
      <c r="B28" s="9" t="s">
        <v>19</v>
      </c>
      <c r="C28" s="1">
        <v>57</v>
      </c>
      <c r="D28" s="1">
        <v>60</v>
      </c>
      <c r="E28" s="1">
        <v>2025</v>
      </c>
      <c r="F28" s="5" t="s">
        <v>15</v>
      </c>
      <c r="G28" s="3">
        <f t="shared" si="4"/>
        <v>0</v>
      </c>
      <c r="H28" s="4">
        <f t="shared" si="5"/>
        <v>3</v>
      </c>
    </row>
    <row r="29" spans="1:8" ht="27.75" customHeight="1">
      <c r="A29" s="1">
        <v>4</v>
      </c>
      <c r="B29" s="9" t="s">
        <v>20</v>
      </c>
      <c r="C29" s="1">
        <v>57</v>
      </c>
      <c r="D29" s="1"/>
      <c r="E29" s="1"/>
      <c r="F29" s="5"/>
      <c r="G29" s="3">
        <f t="shared" si="4"/>
        <v>57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44</v>
      </c>
      <c r="D31" s="1">
        <v>60</v>
      </c>
      <c r="E31" s="1">
        <v>2025</v>
      </c>
      <c r="F31" s="5" t="s">
        <v>15</v>
      </c>
      <c r="G31" s="3">
        <f t="shared" ref="G31:G39" si="6">IF((C31-D31)&lt;0,0,C31-D31)</f>
        <v>0</v>
      </c>
      <c r="H31" s="4">
        <f t="shared" ref="H31:H39" si="7">IF((D31-C31)&lt;0,0,D31-C31)</f>
        <v>16</v>
      </c>
    </row>
    <row r="32" spans="1:8" ht="27.75" customHeight="1">
      <c r="A32" s="1">
        <v>5</v>
      </c>
      <c r="B32" s="9" t="s">
        <v>16</v>
      </c>
      <c r="C32" s="1">
        <v>44</v>
      </c>
      <c r="D32" s="1">
        <v>60</v>
      </c>
      <c r="E32" s="1">
        <v>2025</v>
      </c>
      <c r="F32" s="5" t="s">
        <v>15</v>
      </c>
      <c r="G32" s="3">
        <f t="shared" si="6"/>
        <v>0</v>
      </c>
      <c r="H32" s="4">
        <f t="shared" si="7"/>
        <v>16</v>
      </c>
    </row>
    <row r="33" spans="1:8" ht="27.75" customHeight="1">
      <c r="A33" s="1">
        <v>5</v>
      </c>
      <c r="B33" s="9" t="s">
        <v>12</v>
      </c>
      <c r="C33" s="1">
        <v>44</v>
      </c>
      <c r="D33" s="1">
        <v>60</v>
      </c>
      <c r="E33" s="1">
        <v>2025</v>
      </c>
      <c r="F33" s="5" t="s">
        <v>15</v>
      </c>
      <c r="G33" s="3">
        <f t="shared" si="6"/>
        <v>0</v>
      </c>
      <c r="H33" s="4">
        <f t="shared" si="7"/>
        <v>16</v>
      </c>
    </row>
    <row r="34" spans="1:8" ht="27.75" customHeight="1">
      <c r="A34" s="1">
        <v>5</v>
      </c>
      <c r="B34" s="9" t="s">
        <v>10</v>
      </c>
      <c r="C34" s="1">
        <v>44</v>
      </c>
      <c r="D34" s="1">
        <v>60</v>
      </c>
      <c r="E34" s="1">
        <v>2025</v>
      </c>
      <c r="F34" s="5" t="s">
        <v>15</v>
      </c>
      <c r="G34" s="3">
        <f t="shared" si="6"/>
        <v>0</v>
      </c>
      <c r="H34" s="4">
        <f t="shared" si="7"/>
        <v>16</v>
      </c>
    </row>
    <row r="35" spans="1:8" ht="39" customHeight="1">
      <c r="A35" s="1">
        <v>5</v>
      </c>
      <c r="B35" s="9" t="s">
        <v>17</v>
      </c>
      <c r="C35" s="1">
        <v>44</v>
      </c>
      <c r="D35" s="1">
        <v>60</v>
      </c>
      <c r="E35" s="1">
        <v>2025</v>
      </c>
      <c r="F35" s="5" t="s">
        <v>15</v>
      </c>
      <c r="G35" s="3">
        <f t="shared" si="6"/>
        <v>0</v>
      </c>
      <c r="H35" s="4">
        <f t="shared" si="7"/>
        <v>16</v>
      </c>
    </row>
    <row r="36" spans="1:8" ht="27.75" customHeight="1">
      <c r="A36" s="1">
        <v>5</v>
      </c>
      <c r="B36" s="9" t="s">
        <v>13</v>
      </c>
      <c r="C36" s="1">
        <v>44</v>
      </c>
      <c r="D36" s="1">
        <v>60</v>
      </c>
      <c r="E36" s="1">
        <v>2025</v>
      </c>
      <c r="F36" s="5" t="s">
        <v>15</v>
      </c>
      <c r="G36" s="3">
        <f t="shared" si="6"/>
        <v>0</v>
      </c>
      <c r="H36" s="4">
        <f t="shared" si="7"/>
        <v>16</v>
      </c>
    </row>
    <row r="37" spans="1:8" ht="27.75" customHeight="1">
      <c r="A37" s="1">
        <v>5</v>
      </c>
      <c r="B37" s="9" t="s">
        <v>18</v>
      </c>
      <c r="C37" s="1">
        <v>44</v>
      </c>
      <c r="D37" s="1">
        <v>60</v>
      </c>
      <c r="E37" s="1">
        <v>2025</v>
      </c>
      <c r="F37" s="5" t="s">
        <v>15</v>
      </c>
      <c r="G37" s="3">
        <f t="shared" si="6"/>
        <v>0</v>
      </c>
      <c r="H37" s="4">
        <f t="shared" si="7"/>
        <v>16</v>
      </c>
    </row>
    <row r="38" spans="1:8" ht="27.75" customHeight="1">
      <c r="A38" s="1">
        <v>5</v>
      </c>
      <c r="B38" s="9" t="s">
        <v>19</v>
      </c>
      <c r="C38" s="1">
        <v>44</v>
      </c>
      <c r="D38" s="1"/>
      <c r="E38" s="1"/>
      <c r="F38" s="5"/>
      <c r="G38" s="3">
        <f t="shared" si="6"/>
        <v>44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44</v>
      </c>
      <c r="D39" s="1"/>
      <c r="E39" s="1"/>
      <c r="F39" s="5"/>
      <c r="G39" s="3">
        <f t="shared" si="6"/>
        <v>44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41</v>
      </c>
      <c r="D41" s="1"/>
      <c r="E41" s="1"/>
      <c r="F41" s="5"/>
      <c r="G41" s="3">
        <f t="shared" ref="G41:G49" si="8">IF((C41-D41)&lt;0,0,C41-D41)</f>
        <v>41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41</v>
      </c>
      <c r="D42" s="1"/>
      <c r="E42" s="1"/>
      <c r="F42" s="5"/>
      <c r="G42" s="3">
        <f t="shared" si="8"/>
        <v>41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41</v>
      </c>
      <c r="D43" s="1"/>
      <c r="E43" s="1"/>
      <c r="F43" s="5"/>
      <c r="G43" s="3">
        <f t="shared" si="8"/>
        <v>41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41</v>
      </c>
      <c r="D44" s="1"/>
      <c r="E44" s="1"/>
      <c r="F44" s="5"/>
      <c r="G44" s="3">
        <f t="shared" si="8"/>
        <v>41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41</v>
      </c>
      <c r="D45" s="1"/>
      <c r="E45" s="1"/>
      <c r="F45" s="5"/>
      <c r="G45" s="3">
        <f t="shared" si="8"/>
        <v>41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41</v>
      </c>
      <c r="D46" s="1"/>
      <c r="E46" s="1"/>
      <c r="F46" s="5"/>
      <c r="G46" s="3">
        <f t="shared" si="8"/>
        <v>41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41</v>
      </c>
      <c r="D47" s="1"/>
      <c r="E47" s="1"/>
      <c r="F47" s="5"/>
      <c r="G47" s="3">
        <f t="shared" si="8"/>
        <v>41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41</v>
      </c>
      <c r="D48" s="1"/>
      <c r="E48" s="1"/>
      <c r="F48" s="5"/>
      <c r="G48" s="3">
        <f t="shared" si="8"/>
        <v>41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41</v>
      </c>
      <c r="D49" s="1"/>
      <c r="E49" s="1"/>
      <c r="F49" s="5"/>
      <c r="G49" s="3">
        <f t="shared" si="8"/>
        <v>41</v>
      </c>
      <c r="H49" s="4">
        <f t="shared" si="9"/>
        <v>0</v>
      </c>
    </row>
    <row r="50" spans="1:8" ht="15"/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2:E6 E8:E12 E14:E19 E21:E29 E31:E39" xr:uid="{B46E7B13-721E-4D49-837E-C02BF9777D48}">
      <formula1>"2024,2025 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X53" sqref="X53:X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29</v>
      </c>
      <c r="D16" s="5">
        <f>Table1[[#This Row],[Enrolment S.Y. 2025-2026 ]]*8</f>
        <v>232</v>
      </c>
      <c r="E16" s="5">
        <v>48</v>
      </c>
      <c r="F16" s="1">
        <v>2025</v>
      </c>
      <c r="G16" s="5" t="s">
        <v>51</v>
      </c>
      <c r="H16" s="5">
        <f t="shared" si="2"/>
        <v>184</v>
      </c>
      <c r="I16" s="5">
        <f t="shared" si="3"/>
        <v>0</v>
      </c>
      <c r="J16" s="5">
        <f>Table1[[#This Row],[Enrolment S.Y. 2025-2026 ]]*8</f>
        <v>232</v>
      </c>
      <c r="K16" s="5"/>
      <c r="L16" s="1"/>
      <c r="M16" s="5"/>
      <c r="N16" s="5">
        <f t="shared" si="10"/>
        <v>232</v>
      </c>
      <c r="O16" s="5">
        <f t="shared" si="11"/>
        <v>0</v>
      </c>
      <c r="P16" s="5">
        <f>Table1[[#This Row],[Enrolment S.Y. 2025-2026 ]]*8</f>
        <v>232</v>
      </c>
      <c r="Q16" s="5"/>
      <c r="R16" s="1"/>
      <c r="S16" s="5"/>
      <c r="T16" s="5">
        <f t="shared" si="12"/>
        <v>232</v>
      </c>
      <c r="U16" s="5">
        <f t="shared" si="13"/>
        <v>0</v>
      </c>
      <c r="V16" s="5">
        <f>Table1[[#This Row],[Enrolment S.Y. 2025-2026 ]]*8</f>
        <v>232</v>
      </c>
      <c r="W16" s="5"/>
      <c r="X16" s="1"/>
      <c r="Y16" s="5"/>
      <c r="Z16" s="5">
        <f t="shared" si="14"/>
        <v>232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29</v>
      </c>
      <c r="D17" s="5">
        <f>Table1[[#This Row],[Enrolment S.Y. 2025-2026 ]]*8</f>
        <v>232</v>
      </c>
      <c r="E17" s="5">
        <v>48</v>
      </c>
      <c r="F17" s="1">
        <v>2025</v>
      </c>
      <c r="G17" s="5" t="s">
        <v>51</v>
      </c>
      <c r="H17" s="5">
        <f t="shared" si="2"/>
        <v>184</v>
      </c>
      <c r="I17" s="5">
        <f t="shared" si="3"/>
        <v>0</v>
      </c>
      <c r="J17" s="5">
        <f>Table1[[#This Row],[Enrolment S.Y. 2025-2026 ]]*8</f>
        <v>232</v>
      </c>
      <c r="K17" s="5">
        <v>28</v>
      </c>
      <c r="L17" s="1">
        <v>2025</v>
      </c>
      <c r="M17" s="5" t="s">
        <v>51</v>
      </c>
      <c r="N17" s="5">
        <f t="shared" si="10"/>
        <v>204</v>
      </c>
      <c r="O17" s="5">
        <f t="shared" si="11"/>
        <v>0</v>
      </c>
      <c r="P17" s="5">
        <f>Table1[[#This Row],[Enrolment S.Y. 2025-2026 ]]*8</f>
        <v>232</v>
      </c>
      <c r="Q17" s="5"/>
      <c r="R17" s="1"/>
      <c r="S17" s="5"/>
      <c r="T17" s="5">
        <f t="shared" si="12"/>
        <v>232</v>
      </c>
      <c r="U17" s="5">
        <f t="shared" si="13"/>
        <v>0</v>
      </c>
      <c r="V17" s="5">
        <f>Table1[[#This Row],[Enrolment S.Y. 2025-2026 ]]*8</f>
        <v>232</v>
      </c>
      <c r="W17" s="5"/>
      <c r="X17" s="1"/>
      <c r="Y17" s="5"/>
      <c r="Z17" s="5">
        <f t="shared" si="14"/>
        <v>232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29</v>
      </c>
      <c r="D18" s="5">
        <f>Table1[[#This Row],[Enrolment S.Y. 2025-2026 ]]*8</f>
        <v>232</v>
      </c>
      <c r="E18" s="5">
        <v>48</v>
      </c>
      <c r="F18" s="1">
        <v>2025</v>
      </c>
      <c r="G18" s="5" t="s">
        <v>51</v>
      </c>
      <c r="H18" s="5">
        <f t="shared" si="2"/>
        <v>184</v>
      </c>
      <c r="I18" s="5">
        <f t="shared" si="3"/>
        <v>0</v>
      </c>
      <c r="J18" s="5">
        <f>Table1[[#This Row],[Enrolment S.Y. 2025-2026 ]]*8</f>
        <v>232</v>
      </c>
      <c r="K18" s="5"/>
      <c r="L18" s="1"/>
      <c r="M18" s="5"/>
      <c r="N18" s="5">
        <f t="shared" si="10"/>
        <v>232</v>
      </c>
      <c r="O18" s="5">
        <f t="shared" si="11"/>
        <v>0</v>
      </c>
      <c r="P18" s="5">
        <f>Table1[[#This Row],[Enrolment S.Y. 2025-2026 ]]*8</f>
        <v>232</v>
      </c>
      <c r="Q18" s="5"/>
      <c r="R18" s="1"/>
      <c r="S18" s="5"/>
      <c r="T18" s="5">
        <f t="shared" si="12"/>
        <v>232</v>
      </c>
      <c r="U18" s="5">
        <f t="shared" si="13"/>
        <v>0</v>
      </c>
      <c r="V18" s="5">
        <f>Table1[[#This Row],[Enrolment S.Y. 2025-2026 ]]*8</f>
        <v>232</v>
      </c>
      <c r="W18" s="5"/>
      <c r="X18" s="1"/>
      <c r="Y18" s="5"/>
      <c r="Z18" s="5">
        <f t="shared" si="14"/>
        <v>232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29</v>
      </c>
      <c r="D19" s="5">
        <f>Table1[[#This Row],[Enrolment S.Y. 2025-2026 ]]*8</f>
        <v>232</v>
      </c>
      <c r="E19" s="5">
        <v>48</v>
      </c>
      <c r="F19" s="1">
        <v>2025</v>
      </c>
      <c r="G19" s="5" t="s">
        <v>51</v>
      </c>
      <c r="H19" s="5">
        <f>IF((D19-E19)&lt;0,0,(D19-E19))</f>
        <v>184</v>
      </c>
      <c r="I19" s="5">
        <f>IF((E19-D19)&lt;0,0,(E19-D19))</f>
        <v>0</v>
      </c>
      <c r="J19" s="5">
        <f>Table1[[#This Row],[Enrolment S.Y. 2025-2026 ]]*8</f>
        <v>232</v>
      </c>
      <c r="K19" s="5">
        <v>28</v>
      </c>
      <c r="L19" s="1">
        <v>2025</v>
      </c>
      <c r="M19" s="5" t="s">
        <v>51</v>
      </c>
      <c r="N19" s="5">
        <f t="shared" si="10"/>
        <v>204</v>
      </c>
      <c r="O19" s="5">
        <f t="shared" si="11"/>
        <v>0</v>
      </c>
      <c r="P19" s="5">
        <f>Table1[[#This Row],[Enrolment S.Y. 2025-2026 ]]*8</f>
        <v>232</v>
      </c>
      <c r="Q19" s="5"/>
      <c r="R19" s="1"/>
      <c r="S19" s="5"/>
      <c r="T19" s="5">
        <f t="shared" si="12"/>
        <v>232</v>
      </c>
      <c r="U19" s="5">
        <f t="shared" si="13"/>
        <v>0</v>
      </c>
      <c r="V19" s="5">
        <f>Table1[[#This Row],[Enrolment S.Y. 2025-2026 ]]*8</f>
        <v>232</v>
      </c>
      <c r="W19" s="5"/>
      <c r="X19" s="1"/>
      <c r="Y19" s="5"/>
      <c r="Z19" s="5">
        <f t="shared" si="14"/>
        <v>232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29</v>
      </c>
      <c r="D20" s="5">
        <f>Table1[[#This Row],[Enrolment S.Y. 2025-2026 ]]*8</f>
        <v>232</v>
      </c>
      <c r="E20" s="5">
        <v>48</v>
      </c>
      <c r="F20" s="1">
        <v>2025</v>
      </c>
      <c r="G20" s="5" t="s">
        <v>51</v>
      </c>
      <c r="H20" s="5">
        <f>IF((D20-E20)&lt;0,0,(D20-E20))</f>
        <v>184</v>
      </c>
      <c r="I20" s="5">
        <f>IF((E20-D20)&lt;0,0,(E20-D20))</f>
        <v>0</v>
      </c>
      <c r="J20" s="5">
        <f>Table1[[#This Row],[Enrolment S.Y. 2025-2026 ]]*8</f>
        <v>232</v>
      </c>
      <c r="K20" s="5"/>
      <c r="L20" s="1"/>
      <c r="M20" s="5"/>
      <c r="N20" s="5">
        <f t="shared" si="10"/>
        <v>232</v>
      </c>
      <c r="O20" s="5">
        <f t="shared" si="11"/>
        <v>0</v>
      </c>
      <c r="P20" s="5">
        <f>Table1[[#This Row],[Enrolment S.Y. 2025-2026 ]]*8</f>
        <v>232</v>
      </c>
      <c r="Q20" s="5"/>
      <c r="R20" s="1"/>
      <c r="S20" s="5"/>
      <c r="T20" s="5">
        <f t="shared" si="12"/>
        <v>232</v>
      </c>
      <c r="U20" s="5">
        <f t="shared" si="13"/>
        <v>0</v>
      </c>
      <c r="V20" s="5">
        <f>Table1[[#This Row],[Enrolment S.Y. 2025-2026 ]]*8</f>
        <v>232</v>
      </c>
      <c r="W20" s="5"/>
      <c r="X20" s="1"/>
      <c r="Y20" s="5"/>
      <c r="Z20" s="5">
        <f t="shared" si="14"/>
        <v>232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44</v>
      </c>
      <c r="D25" s="5">
        <f>Table1[[#This Row],[Enrolment S.Y. 2025-2026 ]]*8</f>
        <v>352</v>
      </c>
      <c r="E25" s="5">
        <v>57</v>
      </c>
      <c r="F25" s="1">
        <v>2025</v>
      </c>
      <c r="G25" s="5" t="s">
        <v>51</v>
      </c>
      <c r="H25" s="5">
        <f t="shared" si="2"/>
        <v>295</v>
      </c>
      <c r="I25" s="5">
        <f t="shared" si="3"/>
        <v>0</v>
      </c>
      <c r="J25" s="5">
        <f>Table1[[#This Row],[Enrolment S.Y. 2025-2026 ]]*8</f>
        <v>352</v>
      </c>
      <c r="K25" s="5"/>
      <c r="L25" s="1"/>
      <c r="M25" s="5"/>
      <c r="N25" s="5">
        <f t="shared" si="10"/>
        <v>352</v>
      </c>
      <c r="O25" s="5">
        <f t="shared" si="11"/>
        <v>0</v>
      </c>
      <c r="P25" s="5">
        <f>Table1[[#This Row],[Enrolment S.Y. 2025-2026 ]]*8</f>
        <v>352</v>
      </c>
      <c r="Q25" s="5"/>
      <c r="R25" s="1"/>
      <c r="S25" s="5"/>
      <c r="T25" s="5">
        <f t="shared" si="12"/>
        <v>352</v>
      </c>
      <c r="U25" s="5">
        <f t="shared" si="13"/>
        <v>0</v>
      </c>
      <c r="V25" s="5">
        <f>Table1[[#This Row],[Enrolment S.Y. 2025-2026 ]]*8</f>
        <v>352</v>
      </c>
      <c r="W25" s="5"/>
      <c r="X25" s="1"/>
      <c r="Y25" s="5"/>
      <c r="Z25" s="5">
        <f t="shared" si="14"/>
        <v>352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44</v>
      </c>
      <c r="D26" s="5">
        <f>Table1[[#This Row],[Enrolment S.Y. 2025-2026 ]]*8</f>
        <v>352</v>
      </c>
      <c r="E26" s="5">
        <v>57</v>
      </c>
      <c r="F26" s="1">
        <v>2025</v>
      </c>
      <c r="G26" s="5" t="s">
        <v>51</v>
      </c>
      <c r="H26" s="5">
        <f t="shared" si="2"/>
        <v>295</v>
      </c>
      <c r="I26" s="5">
        <f t="shared" si="3"/>
        <v>0</v>
      </c>
      <c r="J26" s="5">
        <f>Table1[[#This Row],[Enrolment S.Y. 2025-2026 ]]*8</f>
        <v>352</v>
      </c>
      <c r="K26" s="5"/>
      <c r="L26" s="1"/>
      <c r="M26" s="5"/>
      <c r="N26" s="5">
        <f t="shared" si="10"/>
        <v>352</v>
      </c>
      <c r="O26" s="5">
        <f t="shared" si="11"/>
        <v>0</v>
      </c>
      <c r="P26" s="5">
        <f>Table1[[#This Row],[Enrolment S.Y. 2025-2026 ]]*8</f>
        <v>352</v>
      </c>
      <c r="Q26" s="5"/>
      <c r="R26" s="1"/>
      <c r="S26" s="5"/>
      <c r="T26" s="5">
        <f t="shared" si="12"/>
        <v>352</v>
      </c>
      <c r="U26" s="5">
        <f t="shared" si="13"/>
        <v>0</v>
      </c>
      <c r="V26" s="5">
        <f>Table1[[#This Row],[Enrolment S.Y. 2025-2026 ]]*8</f>
        <v>352</v>
      </c>
      <c r="W26" s="5"/>
      <c r="X26" s="1"/>
      <c r="Y26" s="5"/>
      <c r="Z26" s="5">
        <f t="shared" si="14"/>
        <v>352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44</v>
      </c>
      <c r="D27" s="5">
        <f>Table1[[#This Row],[Enrolment S.Y. 2025-2026 ]]*8</f>
        <v>352</v>
      </c>
      <c r="E27" s="5">
        <v>57</v>
      </c>
      <c r="F27" s="1">
        <v>2025</v>
      </c>
      <c r="G27" s="5" t="s">
        <v>51</v>
      </c>
      <c r="H27" s="5">
        <f t="shared" si="2"/>
        <v>295</v>
      </c>
      <c r="I27" s="5">
        <f t="shared" si="3"/>
        <v>0</v>
      </c>
      <c r="J27" s="5">
        <f>Table1[[#This Row],[Enrolment S.Y. 2025-2026 ]]*8</f>
        <v>352</v>
      </c>
      <c r="K27" s="5"/>
      <c r="L27" s="1"/>
      <c r="M27" s="5"/>
      <c r="N27" s="5">
        <f t="shared" si="10"/>
        <v>352</v>
      </c>
      <c r="O27" s="5">
        <f t="shared" si="11"/>
        <v>0</v>
      </c>
      <c r="P27" s="5">
        <f>Table1[[#This Row],[Enrolment S.Y. 2025-2026 ]]*8</f>
        <v>352</v>
      </c>
      <c r="Q27" s="5"/>
      <c r="R27" s="1"/>
      <c r="S27" s="5"/>
      <c r="T27" s="5">
        <f t="shared" si="12"/>
        <v>352</v>
      </c>
      <c r="U27" s="5">
        <f t="shared" si="13"/>
        <v>0</v>
      </c>
      <c r="V27" s="5">
        <f>Table1[[#This Row],[Enrolment S.Y. 2025-2026 ]]*8</f>
        <v>352</v>
      </c>
      <c r="W27" s="5"/>
      <c r="X27" s="1"/>
      <c r="Y27" s="5"/>
      <c r="Z27" s="5">
        <f t="shared" si="14"/>
        <v>352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44</v>
      </c>
      <c r="D28" s="5">
        <f>Table1[[#This Row],[Enrolment S.Y. 2025-2026 ]]*8</f>
        <v>352</v>
      </c>
      <c r="E28" s="5">
        <v>57</v>
      </c>
      <c r="F28" s="1">
        <v>2025</v>
      </c>
      <c r="G28" s="5" t="s">
        <v>51</v>
      </c>
      <c r="H28" s="5">
        <f t="shared" si="2"/>
        <v>295</v>
      </c>
      <c r="I28" s="5">
        <f t="shared" si="3"/>
        <v>0</v>
      </c>
      <c r="J28" s="5">
        <f>Table1[[#This Row],[Enrolment S.Y. 2025-2026 ]]*8</f>
        <v>352</v>
      </c>
      <c r="K28" s="5"/>
      <c r="L28" s="1"/>
      <c r="M28" s="5"/>
      <c r="N28" s="5">
        <f t="shared" si="10"/>
        <v>352</v>
      </c>
      <c r="O28" s="5">
        <f t="shared" si="11"/>
        <v>0</v>
      </c>
      <c r="P28" s="5">
        <f>Table1[[#This Row],[Enrolment S.Y. 2025-2026 ]]*8</f>
        <v>352</v>
      </c>
      <c r="Q28" s="5"/>
      <c r="R28" s="1"/>
      <c r="S28" s="5"/>
      <c r="T28" s="5">
        <f t="shared" si="12"/>
        <v>352</v>
      </c>
      <c r="U28" s="5">
        <f t="shared" si="13"/>
        <v>0</v>
      </c>
      <c r="V28" s="5">
        <f>Table1[[#This Row],[Enrolment S.Y. 2025-2026 ]]*8</f>
        <v>352</v>
      </c>
      <c r="W28" s="5"/>
      <c r="X28" s="1"/>
      <c r="Y28" s="5"/>
      <c r="Z28" s="5">
        <f t="shared" si="14"/>
        <v>352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44</v>
      </c>
      <c r="D29" s="5">
        <f>Table1[[#This Row],[Enrolment S.Y. 2025-2026 ]]*8</f>
        <v>352</v>
      </c>
      <c r="E29" s="5">
        <v>57</v>
      </c>
      <c r="F29" s="1">
        <v>2025</v>
      </c>
      <c r="G29" s="5" t="s">
        <v>51</v>
      </c>
      <c r="H29" s="5">
        <f>IF((D29-E29)&lt;0,0,(D29-E29))</f>
        <v>295</v>
      </c>
      <c r="I29" s="5">
        <f>IF((E29-D29)&lt;0,0,(E29-D29))</f>
        <v>0</v>
      </c>
      <c r="J29" s="5">
        <f>Table1[[#This Row],[Enrolment S.Y. 2025-2026 ]]*8</f>
        <v>352</v>
      </c>
      <c r="K29" s="5"/>
      <c r="L29" s="1"/>
      <c r="M29" s="5"/>
      <c r="N29" s="5">
        <f t="shared" si="10"/>
        <v>352</v>
      </c>
      <c r="O29" s="5">
        <f t="shared" si="11"/>
        <v>0</v>
      </c>
      <c r="P29" s="5">
        <f>Table1[[#This Row],[Enrolment S.Y. 2025-2026 ]]*8</f>
        <v>352</v>
      </c>
      <c r="Q29" s="5"/>
      <c r="R29" s="1"/>
      <c r="S29" s="5"/>
      <c r="T29" s="5">
        <f t="shared" si="12"/>
        <v>352</v>
      </c>
      <c r="U29" s="5">
        <f t="shared" si="13"/>
        <v>0</v>
      </c>
      <c r="V29" s="5">
        <f>Table1[[#This Row],[Enrolment S.Y. 2025-2026 ]]*8</f>
        <v>352</v>
      </c>
      <c r="W29" s="5"/>
      <c r="X29" s="1"/>
      <c r="Y29" s="5"/>
      <c r="Z29" s="5">
        <f t="shared" si="14"/>
        <v>352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44</v>
      </c>
      <c r="D30" s="5">
        <f>Table1[[#This Row],[Enrolment S.Y. 2025-2026 ]]*8</f>
        <v>352</v>
      </c>
      <c r="E30" s="5">
        <v>57</v>
      </c>
      <c r="F30" s="1">
        <v>2025</v>
      </c>
      <c r="G30" s="5" t="s">
        <v>51</v>
      </c>
      <c r="H30" s="5">
        <f>IF((D30-E30)&lt;0,0,(D30-E30))</f>
        <v>295</v>
      </c>
      <c r="I30" s="5">
        <f>IF((E30-D30)&lt;0,0,(E30-D30))</f>
        <v>0</v>
      </c>
      <c r="J30" s="5">
        <f>Table1[[#This Row],[Enrolment S.Y. 2025-2026 ]]*8</f>
        <v>352</v>
      </c>
      <c r="K30" s="5"/>
      <c r="L30" s="1"/>
      <c r="M30" s="5"/>
      <c r="N30" s="5">
        <f t="shared" si="10"/>
        <v>352</v>
      </c>
      <c r="O30" s="5">
        <f t="shared" si="11"/>
        <v>0</v>
      </c>
      <c r="P30" s="5">
        <f>Table1[[#This Row],[Enrolment S.Y. 2025-2026 ]]*8</f>
        <v>352</v>
      </c>
      <c r="Q30" s="5"/>
      <c r="R30" s="1"/>
      <c r="S30" s="5"/>
      <c r="T30" s="5">
        <f t="shared" si="12"/>
        <v>352</v>
      </c>
      <c r="U30" s="5">
        <f t="shared" si="13"/>
        <v>0</v>
      </c>
      <c r="V30" s="5">
        <f>Table1[[#This Row],[Enrolment S.Y. 2025-2026 ]]*8</f>
        <v>352</v>
      </c>
      <c r="W30" s="5"/>
      <c r="X30" s="1"/>
      <c r="Y30" s="5"/>
      <c r="Z30" s="5">
        <f t="shared" si="14"/>
        <v>352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44</v>
      </c>
      <c r="D43" s="5">
        <f>Table1[[#This Row],[Enrolment S.Y. 2025-2026 ]]*8</f>
        <v>352</v>
      </c>
      <c r="E43" s="5">
        <v>43</v>
      </c>
      <c r="F43" s="1">
        <v>2025</v>
      </c>
      <c r="G43" s="5" t="s">
        <v>51</v>
      </c>
      <c r="H43" s="5">
        <f t="shared" si="2"/>
        <v>309</v>
      </c>
      <c r="I43" s="5">
        <f t="shared" si="3"/>
        <v>0</v>
      </c>
      <c r="J43" s="5">
        <f>Table1[[#This Row],[Enrolment S.Y. 2025-2026 ]]*8</f>
        <v>352</v>
      </c>
      <c r="K43" s="5">
        <v>41</v>
      </c>
      <c r="L43" s="1">
        <v>2025</v>
      </c>
      <c r="M43" s="5" t="s">
        <v>51</v>
      </c>
      <c r="N43" s="5">
        <f t="shared" si="10"/>
        <v>311</v>
      </c>
      <c r="O43" s="5">
        <f t="shared" si="11"/>
        <v>0</v>
      </c>
      <c r="P43" s="5">
        <f>Table1[[#This Row],[Enrolment S.Y. 2025-2026 ]]*8</f>
        <v>352</v>
      </c>
      <c r="Q43" s="5"/>
      <c r="R43" s="1"/>
      <c r="S43" s="5"/>
      <c r="T43" s="5">
        <f t="shared" si="12"/>
        <v>352</v>
      </c>
      <c r="U43" s="5">
        <f t="shared" si="13"/>
        <v>0</v>
      </c>
      <c r="V43" s="5">
        <f>Table1[[#This Row],[Enrolment S.Y. 2025-2026 ]]*8</f>
        <v>352</v>
      </c>
      <c r="W43" s="5"/>
      <c r="X43" s="1"/>
      <c r="Y43" s="5"/>
      <c r="Z43" s="5">
        <f t="shared" si="14"/>
        <v>352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44</v>
      </c>
      <c r="D44" s="5">
        <f>Table1[[#This Row],[Enrolment S.Y. 2025-2026 ]]*8</f>
        <v>352</v>
      </c>
      <c r="E44" s="5">
        <v>43</v>
      </c>
      <c r="F44" s="1">
        <v>2025</v>
      </c>
      <c r="G44" s="5" t="s">
        <v>51</v>
      </c>
      <c r="H44" s="5">
        <f t="shared" si="2"/>
        <v>309</v>
      </c>
      <c r="I44" s="5">
        <f t="shared" si="3"/>
        <v>0</v>
      </c>
      <c r="J44" s="5">
        <f>Table1[[#This Row],[Enrolment S.Y. 2025-2026 ]]*8</f>
        <v>352</v>
      </c>
      <c r="K44" s="5"/>
      <c r="L44" s="1"/>
      <c r="M44" s="5"/>
      <c r="N44" s="5">
        <f t="shared" si="10"/>
        <v>352</v>
      </c>
      <c r="O44" s="5">
        <f t="shared" si="11"/>
        <v>0</v>
      </c>
      <c r="P44" s="5">
        <f>Table1[[#This Row],[Enrolment S.Y. 2025-2026 ]]*8</f>
        <v>352</v>
      </c>
      <c r="Q44" s="5"/>
      <c r="R44" s="1"/>
      <c r="S44" s="5"/>
      <c r="T44" s="5">
        <f t="shared" si="12"/>
        <v>352</v>
      </c>
      <c r="U44" s="5">
        <f t="shared" si="13"/>
        <v>0</v>
      </c>
      <c r="V44" s="5">
        <f>Table1[[#This Row],[Enrolment S.Y. 2025-2026 ]]*8</f>
        <v>352</v>
      </c>
      <c r="W44" s="5"/>
      <c r="X44" s="1"/>
      <c r="Y44" s="5"/>
      <c r="Z44" s="5">
        <f t="shared" si="14"/>
        <v>352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44</v>
      </c>
      <c r="D45" s="5">
        <f>Table1[[#This Row],[Enrolment S.Y. 2025-2026 ]]*8</f>
        <v>352</v>
      </c>
      <c r="E45" s="5">
        <v>43</v>
      </c>
      <c r="F45" s="1">
        <v>2025</v>
      </c>
      <c r="G45" s="5" t="s">
        <v>51</v>
      </c>
      <c r="H45" s="5">
        <f t="shared" si="2"/>
        <v>309</v>
      </c>
      <c r="I45" s="5">
        <f t="shared" si="3"/>
        <v>0</v>
      </c>
      <c r="J45" s="5">
        <f>Table1[[#This Row],[Enrolment S.Y. 2025-2026 ]]*8</f>
        <v>352</v>
      </c>
      <c r="K45" s="5">
        <v>41</v>
      </c>
      <c r="L45" s="1">
        <v>2025</v>
      </c>
      <c r="M45" s="5" t="s">
        <v>51</v>
      </c>
      <c r="N45" s="5">
        <f t="shared" si="10"/>
        <v>311</v>
      </c>
      <c r="O45" s="5">
        <f t="shared" si="11"/>
        <v>0</v>
      </c>
      <c r="P45" s="5">
        <f>Table1[[#This Row],[Enrolment S.Y. 2025-2026 ]]*8</f>
        <v>352</v>
      </c>
      <c r="Q45" s="5"/>
      <c r="R45" s="1"/>
      <c r="S45" s="5"/>
      <c r="T45" s="5">
        <f t="shared" si="12"/>
        <v>352</v>
      </c>
      <c r="U45" s="5">
        <f t="shared" si="13"/>
        <v>0</v>
      </c>
      <c r="V45" s="5">
        <f>Table1[[#This Row],[Enrolment S.Y. 2025-2026 ]]*8</f>
        <v>352</v>
      </c>
      <c r="W45" s="5"/>
      <c r="X45" s="1"/>
      <c r="Y45" s="5"/>
      <c r="Z45" s="5">
        <f t="shared" si="14"/>
        <v>352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44</v>
      </c>
      <c r="D46" s="5">
        <f>Table1[[#This Row],[Enrolment S.Y. 2025-2026 ]]*8</f>
        <v>352</v>
      </c>
      <c r="E46" s="5">
        <v>43</v>
      </c>
      <c r="F46" s="1">
        <v>2025</v>
      </c>
      <c r="G46" s="5" t="s">
        <v>51</v>
      </c>
      <c r="H46" s="5">
        <f t="shared" si="2"/>
        <v>309</v>
      </c>
      <c r="I46" s="5">
        <f t="shared" si="3"/>
        <v>0</v>
      </c>
      <c r="J46" s="5">
        <f>Table1[[#This Row],[Enrolment S.Y. 2025-2026 ]]*8</f>
        <v>352</v>
      </c>
      <c r="K46" s="5"/>
      <c r="L46" s="1"/>
      <c r="M46" s="5"/>
      <c r="N46" s="5">
        <f t="shared" si="10"/>
        <v>352</v>
      </c>
      <c r="O46" s="5">
        <f t="shared" si="11"/>
        <v>0</v>
      </c>
      <c r="P46" s="5">
        <f>Table1[[#This Row],[Enrolment S.Y. 2025-2026 ]]*8</f>
        <v>352</v>
      </c>
      <c r="Q46" s="5"/>
      <c r="R46" s="1"/>
      <c r="S46" s="5"/>
      <c r="T46" s="5">
        <f t="shared" si="12"/>
        <v>352</v>
      </c>
      <c r="U46" s="5">
        <f t="shared" si="13"/>
        <v>0</v>
      </c>
      <c r="V46" s="5">
        <f>Table1[[#This Row],[Enrolment S.Y. 2025-2026 ]]*8</f>
        <v>352</v>
      </c>
      <c r="W46" s="5"/>
      <c r="X46" s="1"/>
      <c r="Y46" s="5"/>
      <c r="Z46" s="5">
        <f t="shared" si="14"/>
        <v>352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44</v>
      </c>
      <c r="D47" s="5">
        <f>Table1[[#This Row],[Enrolment S.Y. 2025-2026 ]]*8</f>
        <v>352</v>
      </c>
      <c r="E47" s="5">
        <v>43</v>
      </c>
      <c r="F47" s="1">
        <v>2025</v>
      </c>
      <c r="G47" s="5" t="s">
        <v>51</v>
      </c>
      <c r="H47" s="5">
        <f t="shared" si="2"/>
        <v>309</v>
      </c>
      <c r="I47" s="5">
        <f t="shared" si="3"/>
        <v>0</v>
      </c>
      <c r="J47" s="5">
        <f>Table1[[#This Row],[Enrolment S.Y. 2025-2026 ]]*8</f>
        <v>352</v>
      </c>
      <c r="K47" s="5"/>
      <c r="L47" s="1"/>
      <c r="M47" s="5"/>
      <c r="N47" s="5">
        <f t="shared" si="10"/>
        <v>352</v>
      </c>
      <c r="O47" s="5">
        <f t="shared" si="11"/>
        <v>0</v>
      </c>
      <c r="P47" s="5">
        <f>Table1[[#This Row],[Enrolment S.Y. 2025-2026 ]]*8</f>
        <v>352</v>
      </c>
      <c r="Q47" s="5"/>
      <c r="R47" s="1"/>
      <c r="S47" s="5"/>
      <c r="T47" s="5">
        <f t="shared" si="12"/>
        <v>352</v>
      </c>
      <c r="U47" s="5">
        <f t="shared" si="13"/>
        <v>0</v>
      </c>
      <c r="V47" s="5">
        <f>Table1[[#This Row],[Enrolment S.Y. 2025-2026 ]]*8</f>
        <v>352</v>
      </c>
      <c r="W47" s="5"/>
      <c r="X47" s="1"/>
      <c r="Y47" s="5"/>
      <c r="Z47" s="5">
        <f t="shared" si="14"/>
        <v>352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44</v>
      </c>
      <c r="D48" s="5">
        <f>Table1[[#This Row],[Enrolment S.Y. 2025-2026 ]]*8</f>
        <v>352</v>
      </c>
      <c r="E48" s="5">
        <v>43</v>
      </c>
      <c r="F48" s="1">
        <v>2025</v>
      </c>
      <c r="G48" s="5" t="s">
        <v>51</v>
      </c>
      <c r="H48" s="5">
        <f t="shared" si="2"/>
        <v>309</v>
      </c>
      <c r="I48" s="5">
        <f t="shared" si="3"/>
        <v>0</v>
      </c>
      <c r="J48" s="5">
        <f>Table1[[#This Row],[Enrolment S.Y. 2025-2026 ]]*8</f>
        <v>352</v>
      </c>
      <c r="K48" s="5"/>
      <c r="L48" s="1"/>
      <c r="M48" s="5"/>
      <c r="N48" s="5">
        <f t="shared" si="10"/>
        <v>352</v>
      </c>
      <c r="O48" s="5">
        <f t="shared" si="11"/>
        <v>0</v>
      </c>
      <c r="P48" s="5">
        <f>Table1[[#This Row],[Enrolment S.Y. 2025-2026 ]]*8</f>
        <v>352</v>
      </c>
      <c r="Q48" s="5"/>
      <c r="R48" s="1"/>
      <c r="S48" s="5"/>
      <c r="T48" s="5">
        <f t="shared" si="12"/>
        <v>352</v>
      </c>
      <c r="U48" s="5">
        <f t="shared" si="13"/>
        <v>0</v>
      </c>
      <c r="V48" s="5">
        <f>Table1[[#This Row],[Enrolment S.Y. 2025-2026 ]]*8</f>
        <v>352</v>
      </c>
      <c r="W48" s="5"/>
      <c r="X48" s="1"/>
      <c r="Y48" s="5"/>
      <c r="Z48" s="5">
        <f t="shared" si="14"/>
        <v>352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44</v>
      </c>
      <c r="D49" s="5">
        <f>Table1[[#This Row],[Enrolment S.Y. 2025-2026 ]]*8</f>
        <v>352</v>
      </c>
      <c r="E49" s="5">
        <v>43</v>
      </c>
      <c r="F49" s="1">
        <v>2025</v>
      </c>
      <c r="G49" s="5" t="s">
        <v>51</v>
      </c>
      <c r="H49" s="5">
        <f t="shared" si="2"/>
        <v>309</v>
      </c>
      <c r="I49" s="5">
        <f t="shared" si="3"/>
        <v>0</v>
      </c>
      <c r="J49" s="5">
        <f>Table1[[#This Row],[Enrolment S.Y. 2025-2026 ]]*8</f>
        <v>352</v>
      </c>
      <c r="K49" s="5"/>
      <c r="L49" s="1"/>
      <c r="M49" s="5"/>
      <c r="N49" s="5">
        <f t="shared" si="10"/>
        <v>352</v>
      </c>
      <c r="O49" s="5">
        <f t="shared" si="11"/>
        <v>0</v>
      </c>
      <c r="P49" s="5">
        <f>Table1[[#This Row],[Enrolment S.Y. 2025-2026 ]]*8</f>
        <v>352</v>
      </c>
      <c r="Q49" s="5"/>
      <c r="R49" s="1"/>
      <c r="S49" s="5"/>
      <c r="T49" s="5">
        <f t="shared" si="12"/>
        <v>352</v>
      </c>
      <c r="U49" s="5">
        <f t="shared" si="13"/>
        <v>0</v>
      </c>
      <c r="V49" s="5">
        <f>Table1[[#This Row],[Enrolment S.Y. 2025-2026 ]]*8</f>
        <v>352</v>
      </c>
      <c r="W49" s="5"/>
      <c r="X49" s="1"/>
      <c r="Y49" s="5"/>
      <c r="Z49" s="5">
        <f t="shared" si="14"/>
        <v>352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44</v>
      </c>
      <c r="D50" s="5">
        <f>Table1[[#This Row],[Enrolment S.Y. 2025-2026 ]]*8</f>
        <v>352</v>
      </c>
      <c r="E50" s="5">
        <v>43</v>
      </c>
      <c r="F50" s="1">
        <v>2025</v>
      </c>
      <c r="G50" s="5" t="s">
        <v>51</v>
      </c>
      <c r="H50" s="5">
        <f t="shared" si="2"/>
        <v>309</v>
      </c>
      <c r="I50" s="5">
        <f t="shared" si="3"/>
        <v>0</v>
      </c>
      <c r="J50" s="5">
        <f>Table1[[#This Row],[Enrolment S.Y. 2025-2026 ]]*8</f>
        <v>352</v>
      </c>
      <c r="K50" s="5"/>
      <c r="L50" s="1"/>
      <c r="M50" s="5"/>
      <c r="N50" s="5">
        <f t="shared" si="10"/>
        <v>352</v>
      </c>
      <c r="O50" s="5">
        <f t="shared" si="11"/>
        <v>0</v>
      </c>
      <c r="P50" s="5">
        <f>Table1[[#This Row],[Enrolment S.Y. 2025-2026 ]]*8</f>
        <v>352</v>
      </c>
      <c r="Q50" s="5"/>
      <c r="R50" s="1"/>
      <c r="S50" s="5"/>
      <c r="T50" s="5">
        <f t="shared" si="12"/>
        <v>352</v>
      </c>
      <c r="U50" s="5">
        <f t="shared" si="13"/>
        <v>0</v>
      </c>
      <c r="V50" s="5">
        <f>Table1[[#This Row],[Enrolment S.Y. 2025-2026 ]]*8</f>
        <v>352</v>
      </c>
      <c r="W50" s="5"/>
      <c r="X50" s="1"/>
      <c r="Y50" s="5"/>
      <c r="Z50" s="5">
        <f t="shared" si="14"/>
        <v>352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44</v>
      </c>
      <c r="D51" s="5">
        <f>Table1[[#This Row],[Enrolment S.Y. 2025-2026 ]]*8</f>
        <v>352</v>
      </c>
      <c r="E51" s="5">
        <v>43</v>
      </c>
      <c r="F51" s="1">
        <v>2025</v>
      </c>
      <c r="G51" s="5" t="s">
        <v>51</v>
      </c>
      <c r="H51" s="5">
        <f t="shared" si="2"/>
        <v>309</v>
      </c>
      <c r="I51" s="5">
        <f t="shared" si="3"/>
        <v>0</v>
      </c>
      <c r="J51" s="5">
        <f>Table1[[#This Row],[Enrolment S.Y. 2025-2026 ]]*8</f>
        <v>352</v>
      </c>
      <c r="K51" s="5"/>
      <c r="L51" s="1"/>
      <c r="M51" s="5"/>
      <c r="N51" s="5">
        <f t="shared" si="10"/>
        <v>352</v>
      </c>
      <c r="O51" s="5">
        <f t="shared" si="11"/>
        <v>0</v>
      </c>
      <c r="P51" s="5">
        <f>Table1[[#This Row],[Enrolment S.Y. 2025-2026 ]]*8</f>
        <v>352</v>
      </c>
      <c r="Q51" s="5"/>
      <c r="R51" s="1"/>
      <c r="S51" s="5"/>
      <c r="T51" s="5">
        <f t="shared" si="12"/>
        <v>352</v>
      </c>
      <c r="U51" s="5">
        <f t="shared" si="13"/>
        <v>0</v>
      </c>
      <c r="V51" s="5">
        <f>Table1[[#This Row],[Enrolment S.Y. 2025-2026 ]]*8</f>
        <v>352</v>
      </c>
      <c r="W51" s="5"/>
      <c r="X51" s="1"/>
      <c r="Y51" s="5"/>
      <c r="Z51" s="5">
        <f t="shared" si="14"/>
        <v>352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33:C41 C53:C61 C5:C12 C23:C31 C14:C21 C43:C51" name="Textbooks"/>
    <protectedRange sqref="J2:L3 D2:F3 H5:L5 Q14:R21 W14:X21 Q23:R31 W23:X31 D33:F41 H33:I41 Q33:R41 W33:X41 H43:I51 Q43:R51 W43:X51 D53:F61 H53:I61 Q53:R61 W53:X61 N5:R12 H14:I21 H23:I31 H6:I12 K6:L12 K33:L41 K43:L51 K53:L61 T5:X12 N4:P4 T4:V4 J4 Y13 N3:R3 K14:L21 K23:L31 N13:P62 P2:R2 V2:X3 T13:V62 J6:J62 Z4:AA62 D5:F12 D43:F51 D23:F31 D14:F21" name="LAS"/>
    <protectedRange sqref="G2:I3 M2:O2 S2:U3 Y2:AA3 G33:G41 S4:S62 G5:G12 M5:M12 M14:M62 Y5:Y12 Y14:Y62 M3 G53:G61 G43:G51 G23:G31 G14:G2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F5:F12 F14:F21 F23:F31 F33:F41 F43:F51 F53:F61 L5:L12 L14:L21 L23:L31 L33:L41 L43:L51 L53:L61 R5:R12 R14:R21 R23:R31 R33:R41 R43:R51 R53:R61 X5:X12 X14:X21 X23:X31 X33:X41 X43:X51" xr:uid="{4ECCD083-8EC4-42EE-B46C-B614411F330D}">
      <formula1>"2024,2025  ,2026"</formula1>
    </dataValidation>
    <dataValidation type="list" allowBlank="1" showInputMessage="1" showErrorMessage="1" sqref="M14:M62 Y14:Y62 S4:S62 G5:G12 M5:M12 Y5:Y12 G23:G31 G43:G51 G33:G41 G53:G61 G14:G2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A122"/>
  <sheetViews>
    <sheetView tabSelected="1" topLeftCell="A63" zoomScale="55" zoomScaleNormal="55" workbookViewId="0">
      <selection activeCell="X69" sqref="X6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40</v>
      </c>
      <c r="D55" s="5">
        <f>Table14[[#This Row],[Enrolment S.Y. 2025-2026 ]]*8</f>
        <v>320</v>
      </c>
      <c r="E55" s="5">
        <v>50</v>
      </c>
      <c r="F55" s="1">
        <v>2025</v>
      </c>
      <c r="G55" s="5" t="s">
        <v>51</v>
      </c>
      <c r="H55" s="5">
        <f t="shared" si="0"/>
        <v>270</v>
      </c>
      <c r="I55" s="5">
        <f t="shared" si="1"/>
        <v>0</v>
      </c>
      <c r="J55" s="5">
        <f>Table14[[#This Row],[Enrolment S.Y. 2025-2026 ]]*8</f>
        <v>320</v>
      </c>
      <c r="K55" s="5">
        <v>50</v>
      </c>
      <c r="L55" s="1">
        <v>2025</v>
      </c>
      <c r="M55" s="5" t="s">
        <v>51</v>
      </c>
      <c r="N55" s="5">
        <f t="shared" si="2"/>
        <v>270</v>
      </c>
      <c r="O55" s="5">
        <f t="shared" si="3"/>
        <v>0</v>
      </c>
      <c r="P55" s="5">
        <f>Table14[[#This Row],[Enrolment S.Y. 2025-2026 ]]*8</f>
        <v>320</v>
      </c>
      <c r="Q55" s="5">
        <v>50</v>
      </c>
      <c r="R55" s="1">
        <v>2025</v>
      </c>
      <c r="S55" s="5" t="s">
        <v>51</v>
      </c>
      <c r="T55" s="5">
        <f t="shared" si="4"/>
        <v>270</v>
      </c>
      <c r="U55" s="5">
        <f t="shared" si="5"/>
        <v>0</v>
      </c>
      <c r="V55" s="5">
        <f>Table14[[#This Row],[Enrolment S.Y. 2025-2026 ]]*8</f>
        <v>320</v>
      </c>
      <c r="W55" s="5">
        <v>50</v>
      </c>
      <c r="X55" s="1">
        <v>2025</v>
      </c>
      <c r="Y55" s="5" t="s">
        <v>51</v>
      </c>
      <c r="Z55" s="5">
        <f t="shared" si="6"/>
        <v>270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40</v>
      </c>
      <c r="D56" s="5">
        <f>Table14[[#This Row],[Enrolment S.Y. 2025-2026 ]]*8</f>
        <v>320</v>
      </c>
      <c r="E56" s="5">
        <v>50</v>
      </c>
      <c r="F56" s="1">
        <v>2025</v>
      </c>
      <c r="G56" s="5" t="s">
        <v>51</v>
      </c>
      <c r="H56" s="5">
        <f t="shared" si="0"/>
        <v>270</v>
      </c>
      <c r="I56" s="5">
        <f t="shared" si="1"/>
        <v>0</v>
      </c>
      <c r="J56" s="5">
        <f>Table14[[#This Row],[Enrolment S.Y. 2025-2026 ]]*8</f>
        <v>320</v>
      </c>
      <c r="K56" s="5">
        <v>50</v>
      </c>
      <c r="L56" s="1">
        <v>2025</v>
      </c>
      <c r="M56" s="5" t="s">
        <v>51</v>
      </c>
      <c r="N56" s="5">
        <f t="shared" si="2"/>
        <v>270</v>
      </c>
      <c r="O56" s="5">
        <f t="shared" si="3"/>
        <v>0</v>
      </c>
      <c r="P56" s="5">
        <f>Table14[[#This Row],[Enrolment S.Y. 2025-2026 ]]*8</f>
        <v>320</v>
      </c>
      <c r="Q56" s="5">
        <v>50</v>
      </c>
      <c r="R56" s="1">
        <v>2025</v>
      </c>
      <c r="S56" s="5" t="s">
        <v>51</v>
      </c>
      <c r="T56" s="5">
        <f t="shared" si="4"/>
        <v>270</v>
      </c>
      <c r="U56" s="5">
        <f t="shared" si="5"/>
        <v>0</v>
      </c>
      <c r="V56" s="5">
        <f>Table14[[#This Row],[Enrolment S.Y. 2025-2026 ]]*8</f>
        <v>320</v>
      </c>
      <c r="W56" s="5">
        <v>50</v>
      </c>
      <c r="X56" s="1">
        <v>2025</v>
      </c>
      <c r="Y56" s="5" t="s">
        <v>51</v>
      </c>
      <c r="Z56" s="5">
        <f t="shared" si="6"/>
        <v>270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40</v>
      </c>
      <c r="D57" s="5">
        <f>Table14[[#This Row],[Enrolment S.Y. 2025-2026 ]]*8</f>
        <v>320</v>
      </c>
      <c r="E57" s="5">
        <v>50</v>
      </c>
      <c r="F57" s="1">
        <v>2025</v>
      </c>
      <c r="G57" s="5" t="s">
        <v>51</v>
      </c>
      <c r="H57" s="5">
        <f t="shared" si="0"/>
        <v>270</v>
      </c>
      <c r="I57" s="5">
        <f t="shared" si="1"/>
        <v>0</v>
      </c>
      <c r="J57" s="5">
        <f>Table14[[#This Row],[Enrolment S.Y. 2025-2026 ]]*8</f>
        <v>320</v>
      </c>
      <c r="K57" s="5">
        <v>50</v>
      </c>
      <c r="L57" s="1">
        <v>2025</v>
      </c>
      <c r="M57" s="5" t="s">
        <v>51</v>
      </c>
      <c r="N57" s="5">
        <f t="shared" si="2"/>
        <v>270</v>
      </c>
      <c r="O57" s="5">
        <f t="shared" si="3"/>
        <v>0</v>
      </c>
      <c r="P57" s="5">
        <f>Table14[[#This Row],[Enrolment S.Y. 2025-2026 ]]*8</f>
        <v>320</v>
      </c>
      <c r="Q57" s="5">
        <v>50</v>
      </c>
      <c r="R57" s="1">
        <v>2025</v>
      </c>
      <c r="S57" s="5" t="s">
        <v>51</v>
      </c>
      <c r="T57" s="5">
        <f t="shared" si="4"/>
        <v>270</v>
      </c>
      <c r="U57" s="5">
        <f t="shared" si="5"/>
        <v>0</v>
      </c>
      <c r="V57" s="5">
        <f>Table14[[#This Row],[Enrolment S.Y. 2025-2026 ]]*8</f>
        <v>320</v>
      </c>
      <c r="W57" s="5">
        <v>50</v>
      </c>
      <c r="X57" s="1">
        <v>2025</v>
      </c>
      <c r="Y57" s="5" t="s">
        <v>51</v>
      </c>
      <c r="Z57" s="5">
        <f t="shared" si="6"/>
        <v>270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40</v>
      </c>
      <c r="D58" s="5">
        <f>Table14[[#This Row],[Enrolment S.Y. 2025-2026 ]]*8</f>
        <v>320</v>
      </c>
      <c r="E58" s="5"/>
      <c r="F58" s="1"/>
      <c r="G58" s="5"/>
      <c r="H58" s="5">
        <f t="shared" si="0"/>
        <v>320</v>
      </c>
      <c r="I58" s="5">
        <f t="shared" si="1"/>
        <v>0</v>
      </c>
      <c r="J58" s="5">
        <f>Table14[[#This Row],[Enrolment S.Y. 2025-2026 ]]*8</f>
        <v>320</v>
      </c>
      <c r="K58" s="5"/>
      <c r="L58" s="1"/>
      <c r="M58" s="5"/>
      <c r="N58" s="5">
        <f t="shared" si="2"/>
        <v>320</v>
      </c>
      <c r="O58" s="5">
        <f t="shared" si="3"/>
        <v>0</v>
      </c>
      <c r="P58" s="5">
        <f>Table14[[#This Row],[Enrolment S.Y. 2025-2026 ]]*8</f>
        <v>320</v>
      </c>
      <c r="Q58" s="5">
        <v>50</v>
      </c>
      <c r="R58" s="1">
        <v>2025</v>
      </c>
      <c r="S58" s="5" t="s">
        <v>51</v>
      </c>
      <c r="T58" s="5">
        <f t="shared" si="4"/>
        <v>270</v>
      </c>
      <c r="U58" s="5">
        <f t="shared" si="5"/>
        <v>0</v>
      </c>
      <c r="V58" s="5">
        <f>Table14[[#This Row],[Enrolment S.Y. 2025-2026 ]]*8</f>
        <v>320</v>
      </c>
      <c r="W58" s="5">
        <v>50</v>
      </c>
      <c r="X58" s="1">
        <v>2025</v>
      </c>
      <c r="Y58" s="5" t="s">
        <v>51</v>
      </c>
      <c r="Z58" s="5">
        <f t="shared" si="6"/>
        <v>270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40</v>
      </c>
      <c r="D59" s="5">
        <f>Table14[[#This Row],[Enrolment S.Y. 2025-2026 ]]*8</f>
        <v>320</v>
      </c>
      <c r="E59" s="5"/>
      <c r="F59" s="1"/>
      <c r="G59" s="5"/>
      <c r="H59" s="5">
        <f t="shared" si="0"/>
        <v>320</v>
      </c>
      <c r="I59" s="5">
        <f t="shared" si="1"/>
        <v>0</v>
      </c>
      <c r="J59" s="5">
        <f>Table14[[#This Row],[Enrolment S.Y. 2025-2026 ]]*8</f>
        <v>320</v>
      </c>
      <c r="K59" s="5"/>
      <c r="L59" s="1"/>
      <c r="M59" s="5"/>
      <c r="N59" s="5">
        <f t="shared" si="2"/>
        <v>320</v>
      </c>
      <c r="O59" s="5">
        <f t="shared" si="3"/>
        <v>0</v>
      </c>
      <c r="P59" s="5">
        <f>Table14[[#This Row],[Enrolment S.Y. 2025-2026 ]]*8</f>
        <v>320</v>
      </c>
      <c r="Q59" s="5">
        <v>50</v>
      </c>
      <c r="R59" s="1">
        <v>2025</v>
      </c>
      <c r="S59" s="5" t="s">
        <v>51</v>
      </c>
      <c r="T59" s="5">
        <f t="shared" si="4"/>
        <v>270</v>
      </c>
      <c r="U59" s="5">
        <f t="shared" si="5"/>
        <v>0</v>
      </c>
      <c r="V59" s="5">
        <f>Table14[[#This Row],[Enrolment S.Y. 2025-2026 ]]*8</f>
        <v>320</v>
      </c>
      <c r="W59" s="5">
        <v>50</v>
      </c>
      <c r="X59" s="1">
        <v>2025</v>
      </c>
      <c r="Y59" s="5" t="s">
        <v>51</v>
      </c>
      <c r="Z59" s="5">
        <f t="shared" si="6"/>
        <v>270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40</v>
      </c>
      <c r="D60" s="5">
        <f>Table14[[#This Row],[Enrolment S.Y. 2025-2026 ]]*8</f>
        <v>320</v>
      </c>
      <c r="E60" s="5"/>
      <c r="F60" s="1"/>
      <c r="G60" s="5"/>
      <c r="H60" s="5">
        <f t="shared" si="0"/>
        <v>320</v>
      </c>
      <c r="I60" s="5">
        <f t="shared" si="1"/>
        <v>0</v>
      </c>
      <c r="J60" s="5">
        <f>Table14[[#This Row],[Enrolment S.Y. 2025-2026 ]]*8</f>
        <v>320</v>
      </c>
      <c r="K60" s="5"/>
      <c r="L60" s="1"/>
      <c r="M60" s="5"/>
      <c r="N60" s="5">
        <f t="shared" si="2"/>
        <v>320</v>
      </c>
      <c r="O60" s="5">
        <f t="shared" si="3"/>
        <v>0</v>
      </c>
      <c r="P60" s="5">
        <f>Table14[[#This Row],[Enrolment S.Y. 2025-2026 ]]*8</f>
        <v>320</v>
      </c>
      <c r="Q60" s="5">
        <v>50</v>
      </c>
      <c r="R60" s="1">
        <v>2025</v>
      </c>
      <c r="S60" s="5" t="s">
        <v>51</v>
      </c>
      <c r="T60" s="5">
        <f t="shared" si="4"/>
        <v>270</v>
      </c>
      <c r="U60" s="5">
        <f t="shared" si="5"/>
        <v>0</v>
      </c>
      <c r="V60" s="5">
        <f>Table14[[#This Row],[Enrolment S.Y. 2025-2026 ]]*8</f>
        <v>320</v>
      </c>
      <c r="W60" s="5">
        <v>50</v>
      </c>
      <c r="X60" s="1">
        <v>2025</v>
      </c>
      <c r="Y60" s="5" t="s">
        <v>51</v>
      </c>
      <c r="Z60" s="5">
        <f t="shared" si="6"/>
        <v>270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40</v>
      </c>
      <c r="D61" s="5">
        <f>Table14[[#This Row],[Enrolment S.Y. 2025-2026 ]]*8</f>
        <v>320</v>
      </c>
      <c r="E61" s="5"/>
      <c r="F61" s="1"/>
      <c r="G61" s="5"/>
      <c r="H61" s="5">
        <f>IF((D61-E61)&lt;0,0,(D61-E61))</f>
        <v>320</v>
      </c>
      <c r="I61" s="5">
        <f>IF((E61-D61)&lt;0,0,(E61-D61))</f>
        <v>0</v>
      </c>
      <c r="J61" s="5">
        <f>Table14[[#This Row],[Enrolment S.Y. 2025-2026 ]]*8</f>
        <v>320</v>
      </c>
      <c r="K61" s="5"/>
      <c r="L61" s="1"/>
      <c r="M61" s="5"/>
      <c r="N61" s="5">
        <f t="shared" ref="N61:N65" si="12">IF((J61-K61)&lt;0,0,(J61-K61))</f>
        <v>320</v>
      </c>
      <c r="O61" s="5">
        <f t="shared" ref="O61:O65" si="13">IF((K61-J61)&lt;0,0,(K61-J61))</f>
        <v>0</v>
      </c>
      <c r="P61" s="5">
        <f>Table14[[#This Row],[Enrolment S.Y. 2025-2026 ]]*8</f>
        <v>320</v>
      </c>
      <c r="Q61" s="5">
        <v>50</v>
      </c>
      <c r="R61" s="1">
        <v>2025</v>
      </c>
      <c r="S61" s="5" t="s">
        <v>51</v>
      </c>
      <c r="T61" s="5">
        <f>IF((P61-Q61)&lt;0,0,(P61-Q61))</f>
        <v>270</v>
      </c>
      <c r="U61" s="5">
        <f>IF((Q61-P61)&lt;0,0,(Q61-P61))</f>
        <v>0</v>
      </c>
      <c r="V61" s="5">
        <f>Table14[[#This Row],[Enrolment S.Y. 2025-2026 ]]*8</f>
        <v>320</v>
      </c>
      <c r="W61" s="5">
        <v>50</v>
      </c>
      <c r="X61" s="1">
        <v>2025</v>
      </c>
      <c r="Y61" s="5" t="s">
        <v>51</v>
      </c>
      <c r="Z61" s="5">
        <f>IF((V61-W61)&lt;0,0,(V61-W61))</f>
        <v>270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40</v>
      </c>
      <c r="D62" s="5">
        <f>Table14[[#This Row],[Enrolment S.Y. 2025-2026 ]]*8</f>
        <v>320</v>
      </c>
      <c r="E62" s="5"/>
      <c r="F62" s="1"/>
      <c r="G62" s="5"/>
      <c r="H62" s="5">
        <f t="shared" si="0"/>
        <v>320</v>
      </c>
      <c r="I62" s="5">
        <f t="shared" si="1"/>
        <v>0</v>
      </c>
      <c r="J62" s="5">
        <f>Table14[[#This Row],[Enrolment S.Y. 2025-2026 ]]*8</f>
        <v>320</v>
      </c>
      <c r="K62" s="5"/>
      <c r="L62" s="1"/>
      <c r="M62" s="5"/>
      <c r="N62" s="5">
        <f t="shared" si="12"/>
        <v>320</v>
      </c>
      <c r="O62" s="5">
        <f t="shared" si="13"/>
        <v>0</v>
      </c>
      <c r="P62" s="5">
        <f>Table14[[#This Row],[Enrolment S.Y. 2025-2026 ]]*8</f>
        <v>320</v>
      </c>
      <c r="Q62" s="5">
        <v>50</v>
      </c>
      <c r="R62" s="1">
        <v>2025</v>
      </c>
      <c r="S62" s="5" t="s">
        <v>51</v>
      </c>
      <c r="T62" s="5">
        <f t="shared" si="4"/>
        <v>270</v>
      </c>
      <c r="U62" s="5">
        <f t="shared" si="5"/>
        <v>0</v>
      </c>
      <c r="V62" s="5">
        <f>Table14[[#This Row],[Enrolment S.Y. 2025-2026 ]]*8</f>
        <v>320</v>
      </c>
      <c r="W62" s="5">
        <v>50</v>
      </c>
      <c r="X62" s="1">
        <v>2025</v>
      </c>
      <c r="Y62" s="5" t="s">
        <v>51</v>
      </c>
      <c r="Z62" s="5">
        <f t="shared" si="6"/>
        <v>270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40</v>
      </c>
      <c r="D63" s="5">
        <f>Table14[[#This Row],[Enrolment S.Y. 2025-2026 ]]*8</f>
        <v>320</v>
      </c>
      <c r="E63" s="5"/>
      <c r="F63" s="1"/>
      <c r="G63" s="5"/>
      <c r="H63" s="5">
        <f t="shared" si="0"/>
        <v>320</v>
      </c>
      <c r="I63" s="5">
        <f t="shared" si="1"/>
        <v>0</v>
      </c>
      <c r="J63" s="5">
        <f>Table14[[#This Row],[Enrolment S.Y. 2025-2026 ]]*8</f>
        <v>320</v>
      </c>
      <c r="K63" s="5"/>
      <c r="L63" s="1"/>
      <c r="M63" s="5"/>
      <c r="N63" s="5">
        <f t="shared" si="12"/>
        <v>320</v>
      </c>
      <c r="O63" s="5">
        <f t="shared" si="13"/>
        <v>0</v>
      </c>
      <c r="P63" s="5">
        <f>Table14[[#This Row],[Enrolment S.Y. 2025-2026 ]]*8</f>
        <v>320</v>
      </c>
      <c r="Q63" s="5"/>
      <c r="R63" s="1"/>
      <c r="S63" s="5"/>
      <c r="T63" s="5">
        <f t="shared" si="4"/>
        <v>320</v>
      </c>
      <c r="U63" s="5">
        <f t="shared" si="5"/>
        <v>0</v>
      </c>
      <c r="V63" s="5">
        <f>Table14[[#This Row],[Enrolment S.Y. 2025-2026 ]]*8</f>
        <v>320</v>
      </c>
      <c r="W63" s="5"/>
      <c r="X63" s="1"/>
      <c r="Y63" s="5"/>
      <c r="Z63" s="5">
        <f t="shared" si="6"/>
        <v>320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40</v>
      </c>
      <c r="D64" s="5">
        <f>Table14[[#This Row],[Enrolment S.Y. 2025-2026 ]]*8</f>
        <v>320</v>
      </c>
      <c r="E64" s="5"/>
      <c r="F64" s="1"/>
      <c r="G64" s="5"/>
      <c r="H64" s="5">
        <f>IF((D64-E64)&lt;0,0,(D64-E64))</f>
        <v>320</v>
      </c>
      <c r="I64" s="5">
        <f>IF((E64-D64)&lt;0,0,(E64-D64))</f>
        <v>0</v>
      </c>
      <c r="J64" s="5">
        <f>Table14[[#This Row],[Enrolment S.Y. 2025-2026 ]]*8</f>
        <v>320</v>
      </c>
      <c r="K64" s="5"/>
      <c r="L64" s="1"/>
      <c r="M64" s="5"/>
      <c r="N64" s="5">
        <f t="shared" si="12"/>
        <v>320</v>
      </c>
      <c r="O64" s="5">
        <f t="shared" si="13"/>
        <v>0</v>
      </c>
      <c r="P64" s="5">
        <f>Table14[[#This Row],[Enrolment S.Y. 2025-2026 ]]*8</f>
        <v>320</v>
      </c>
      <c r="Q64" s="5">
        <v>50</v>
      </c>
      <c r="R64" s="1">
        <v>2025</v>
      </c>
      <c r="S64" s="5" t="s">
        <v>51</v>
      </c>
      <c r="T64" s="5">
        <f>IF((P64-Q64)&lt;0,0,(P64-Q64))</f>
        <v>270</v>
      </c>
      <c r="U64" s="5">
        <f>IF((Q64-P64)&lt;0,0,(Q64-P64))</f>
        <v>0</v>
      </c>
      <c r="V64" s="5">
        <f>Table14[[#This Row],[Enrolment S.Y. 2025-2026 ]]*8</f>
        <v>320</v>
      </c>
      <c r="W64" s="5">
        <v>50</v>
      </c>
      <c r="X64" s="1">
        <v>2025</v>
      </c>
      <c r="Y64" s="5" t="s">
        <v>51</v>
      </c>
      <c r="Z64" s="5">
        <f>IF((V64-W64)&lt;0,0,(V64-W64))</f>
        <v>270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40</v>
      </c>
      <c r="D65" s="5">
        <f>Table14[[#This Row],[Enrolment S.Y. 2025-2026 ]]*8</f>
        <v>320</v>
      </c>
      <c r="E65" s="5"/>
      <c r="F65" s="1"/>
      <c r="G65" s="5"/>
      <c r="H65" s="5">
        <f t="shared" si="0"/>
        <v>320</v>
      </c>
      <c r="I65" s="5">
        <f t="shared" si="1"/>
        <v>0</v>
      </c>
      <c r="J65" s="5">
        <f>Table14[[#This Row],[Enrolment S.Y. 2025-2026 ]]*8</f>
        <v>320</v>
      </c>
      <c r="K65" s="5"/>
      <c r="L65" s="1"/>
      <c r="M65" s="5"/>
      <c r="N65" s="5">
        <f t="shared" si="12"/>
        <v>320</v>
      </c>
      <c r="O65" s="5">
        <f t="shared" si="13"/>
        <v>0</v>
      </c>
      <c r="P65" s="5">
        <f>Table14[[#This Row],[Enrolment S.Y. 2025-2026 ]]*8</f>
        <v>320</v>
      </c>
      <c r="Q65" s="5">
        <v>50</v>
      </c>
      <c r="R65" s="1">
        <v>2025</v>
      </c>
      <c r="S65" s="5" t="s">
        <v>51</v>
      </c>
      <c r="T65" s="5">
        <f t="shared" si="4"/>
        <v>270</v>
      </c>
      <c r="U65" s="5">
        <f t="shared" si="5"/>
        <v>0</v>
      </c>
      <c r="V65" s="5">
        <f>Table14[[#This Row],[Enrolment S.Y. 2025-2026 ]]*8</f>
        <v>320</v>
      </c>
      <c r="W65" s="5">
        <v>50</v>
      </c>
      <c r="X65" s="1">
        <v>2025</v>
      </c>
      <c r="Y65" s="5" t="s">
        <v>51</v>
      </c>
      <c r="Z65" s="5">
        <f t="shared" si="6"/>
        <v>270</v>
      </c>
      <c r="AA65" s="5">
        <f t="shared" si="7"/>
        <v>0</v>
      </c>
    </row>
    <row r="66" spans="1:27" s="7" customFormat="1"/>
    <row r="97" ht="15"/>
    <row r="98" ht="15"/>
    <row r="99" ht="15"/>
    <row r="100" ht="15"/>
    <row r="101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5" ht="15"/>
    <row r="116" ht="15"/>
    <row r="117" ht="15"/>
    <row r="118" ht="15"/>
    <row r="119" ht="15"/>
    <row r="120" ht="15"/>
    <row r="121" ht="15"/>
    <row r="122" ht="15"/>
  </sheetData>
  <protectedRanges>
    <protectedRange sqref="C2:C10 C12:C19 C21:C29 C31:C41 C43:C53 C55:C65" name="Textbooks"/>
    <protectedRange sqref="J2:L2 D2:F10 D12:F19 D21:F29 D31:F41 D43:F53 D55:F65 N31:R41 P2:R10 N3:O10 V2:X10 T3:U10 N12:R19 T12:X19 H3:L10 Z3:AA10 Z12:AA19 H12:L19 N21:R29 T21:X29 Z21:AA29 H21:L29 T31:X41 Z31:AA41 H31:L41 T43:X53 Z43:AA53 H43:L53 Z55:AA65 H55:L65 N43:R53 N55:R65 T55:X65" name="LAS"/>
    <protectedRange sqref="G2:I2 M2:O2 S2:U2 Y2:AA2 G3:G10 M3:M10 S3:S10 Y3:Y10 Y12:Y19 G12:G19 M12:M19 S12:S19 Y21:Y29 G21:G29 M21:M29 S21:S29 Y31:Y41 G31:G41 M31:M41 S31:S41 Y43:Y53 G43:G53 M43:M53 S43:S53 G55:G65 M55:M65 Y55:Y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Y55:Y65 M55:M65 G55:G65 S55:S65" xr:uid="{CBD486C7-A5DB-48F1-B496-5027CC51E830}">
      <formula1>"CO,RO,SDO,LGU,SCHOOL"</formula1>
    </dataValidation>
    <dataValidation type="list" allowBlank="1" showInputMessage="1" showErrorMessage="1" sqref="X55:X65 F3:F10 F12:F19 F21:F29 F31:F41 F43:F53 F55:F65 L3:L10 L12:L19 L21:L29 L31:L41 L43:L53 L55:L65 R3:R10 R12:R19 R21:R29 R31:R41 R43:R53 R55:R65 X3:X10 X12:X19 X21:X29 X31:X41 X43:X53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2026-04-07T01:48:21Z</dcterms:modified>
  <cp:category/>
  <cp:contentStatus/>
</cp:coreProperties>
</file>