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67" documentId="13_ncr:1_{BFB59F67-F0DC-4675-A682-EB0734A8026A}" xr6:coauthVersionLast="47" xr6:coauthVersionMax="47" xr10:uidLastSave="{0D008665-C531-4B0E-AC13-95F27E40C46B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" i="5" l="1"/>
  <c r="E11" i="5" s="1"/>
  <c r="Q20" i="5"/>
  <c r="E20" i="5" s="1"/>
  <c r="Q30" i="5"/>
  <c r="E30" i="5" s="1"/>
  <c r="Q42" i="5"/>
  <c r="E42" i="5" s="1"/>
  <c r="Q54" i="5"/>
  <c r="E54" i="5" s="1"/>
  <c r="Q66" i="5"/>
  <c r="E66" i="5" s="1"/>
  <c r="P61" i="5"/>
  <c r="P62" i="5"/>
  <c r="P63" i="5"/>
  <c r="P64" i="5"/>
  <c r="P65" i="5"/>
  <c r="P48" i="5"/>
  <c r="P49" i="5"/>
  <c r="P50" i="5"/>
  <c r="P51" i="5"/>
  <c r="P52" i="5"/>
  <c r="P53" i="5"/>
  <c r="P36" i="5"/>
  <c r="P37" i="5"/>
  <c r="P38" i="5"/>
  <c r="P39" i="5"/>
  <c r="P40" i="5"/>
  <c r="P41" i="5"/>
  <c r="D64" i="5"/>
  <c r="J64" i="5"/>
  <c r="V64" i="5"/>
  <c r="Z64" i="5" s="1"/>
  <c r="D61" i="5"/>
  <c r="J61" i="5"/>
  <c r="V61" i="5"/>
  <c r="Z61" i="5" s="1"/>
  <c r="D52" i="5"/>
  <c r="J52" i="5"/>
  <c r="V52" i="5"/>
  <c r="Z52" i="5" s="1"/>
  <c r="D49" i="5"/>
  <c r="J49" i="5"/>
  <c r="V49" i="5"/>
  <c r="Z49" i="5" s="1"/>
  <c r="D40" i="5"/>
  <c r="J40" i="5"/>
  <c r="V40" i="5"/>
  <c r="Z40" i="5" s="1"/>
  <c r="D37" i="5"/>
  <c r="J37" i="5"/>
  <c r="V37" i="5"/>
  <c r="Z37" i="5" s="1"/>
  <c r="P3" i="4"/>
  <c r="T3" i="4" s="1"/>
  <c r="H3" i="4"/>
  <c r="J3" i="4"/>
  <c r="V3" i="4"/>
  <c r="Z3" i="4" s="1"/>
  <c r="V65" i="5"/>
  <c r="Z65" i="5" s="1"/>
  <c r="J65" i="5"/>
  <c r="D65" i="5"/>
  <c r="V63" i="5"/>
  <c r="AA63" i="5" s="1"/>
  <c r="J63" i="5"/>
  <c r="D63" i="5"/>
  <c r="V62" i="5"/>
  <c r="AA62" i="5" s="1"/>
  <c r="J62" i="5"/>
  <c r="D62" i="5"/>
  <c r="V60" i="5"/>
  <c r="AA60" i="5" s="1"/>
  <c r="P60" i="5"/>
  <c r="J60" i="5"/>
  <c r="N60" i="5" s="1"/>
  <c r="D60" i="5"/>
  <c r="V59" i="5"/>
  <c r="AA59" i="5" s="1"/>
  <c r="P59" i="5"/>
  <c r="J59" i="5"/>
  <c r="D59" i="5"/>
  <c r="V58" i="5"/>
  <c r="AA58" i="5" s="1"/>
  <c r="P58" i="5"/>
  <c r="J58" i="5"/>
  <c r="N58" i="5" s="1"/>
  <c r="D58" i="5"/>
  <c r="V57" i="5"/>
  <c r="AA57" i="5" s="1"/>
  <c r="P57" i="5"/>
  <c r="J57" i="5"/>
  <c r="D57" i="5"/>
  <c r="V56" i="5"/>
  <c r="AA56" i="5" s="1"/>
  <c r="P56" i="5"/>
  <c r="J56" i="5"/>
  <c r="N56" i="5" s="1"/>
  <c r="D56" i="5"/>
  <c r="V55" i="5"/>
  <c r="AA55" i="5" s="1"/>
  <c r="P55" i="5"/>
  <c r="J55" i="5"/>
  <c r="D55" i="5"/>
  <c r="V53" i="5"/>
  <c r="AA53" i="5" s="1"/>
  <c r="J53" i="5"/>
  <c r="D53" i="5"/>
  <c r="V51" i="5"/>
  <c r="AA51" i="5" s="1"/>
  <c r="J51" i="5"/>
  <c r="D51" i="5"/>
  <c r="V50" i="5"/>
  <c r="AA50" i="5" s="1"/>
  <c r="J50" i="5"/>
  <c r="D50" i="5"/>
  <c r="V48" i="5"/>
  <c r="AA48" i="5" s="1"/>
  <c r="J48" i="5"/>
  <c r="D48" i="5"/>
  <c r="V47" i="5"/>
  <c r="AA47" i="5" s="1"/>
  <c r="P47" i="5"/>
  <c r="J47" i="5"/>
  <c r="N47" i="5" s="1"/>
  <c r="D47" i="5"/>
  <c r="V46" i="5"/>
  <c r="AA46" i="5" s="1"/>
  <c r="P46" i="5"/>
  <c r="J46" i="5"/>
  <c r="D46" i="5"/>
  <c r="V45" i="5"/>
  <c r="AA45" i="5" s="1"/>
  <c r="P45" i="5"/>
  <c r="J45" i="5"/>
  <c r="N45" i="5" s="1"/>
  <c r="D45" i="5"/>
  <c r="V44" i="5"/>
  <c r="AA44" i="5" s="1"/>
  <c r="P44" i="5"/>
  <c r="J44" i="5"/>
  <c r="D44" i="5"/>
  <c r="V43" i="5"/>
  <c r="AA43" i="5" s="1"/>
  <c r="P43" i="5"/>
  <c r="J43" i="5"/>
  <c r="N43" i="5" s="1"/>
  <c r="D43" i="5"/>
  <c r="V41" i="5"/>
  <c r="AA41" i="5" s="1"/>
  <c r="J41" i="5"/>
  <c r="D41" i="5"/>
  <c r="V39" i="5"/>
  <c r="AA39" i="5" s="1"/>
  <c r="J39" i="5"/>
  <c r="D39" i="5"/>
  <c r="V38" i="5"/>
  <c r="AA38" i="5" s="1"/>
  <c r="J38" i="5"/>
  <c r="D38" i="5"/>
  <c r="V36" i="5"/>
  <c r="Z36" i="5" s="1"/>
  <c r="J36" i="5"/>
  <c r="D36" i="5"/>
  <c r="V35" i="5"/>
  <c r="AA35" i="5" s="1"/>
  <c r="P35" i="5"/>
  <c r="J35" i="5"/>
  <c r="D35" i="5"/>
  <c r="V34" i="5"/>
  <c r="Z34" i="5" s="1"/>
  <c r="P34" i="5"/>
  <c r="J34" i="5"/>
  <c r="N34" i="5" s="1"/>
  <c r="D34" i="5"/>
  <c r="V33" i="5"/>
  <c r="Z33" i="5" s="1"/>
  <c r="P33" i="5"/>
  <c r="J33" i="5"/>
  <c r="D33" i="5"/>
  <c r="V32" i="5"/>
  <c r="Z32" i="5" s="1"/>
  <c r="P32" i="5"/>
  <c r="J32" i="5"/>
  <c r="N32" i="5" s="1"/>
  <c r="D32" i="5"/>
  <c r="V31" i="5"/>
  <c r="AA31" i="5" s="1"/>
  <c r="P31" i="5"/>
  <c r="J31" i="5"/>
  <c r="D31" i="5"/>
  <c r="V29" i="5"/>
  <c r="AA29" i="5" s="1"/>
  <c r="P29" i="5"/>
  <c r="J29" i="5"/>
  <c r="O29" i="5" s="1"/>
  <c r="D29" i="5"/>
  <c r="V28" i="5"/>
  <c r="AA28" i="5" s="1"/>
  <c r="P28" i="5"/>
  <c r="J28" i="5"/>
  <c r="D28" i="5"/>
  <c r="V27" i="5"/>
  <c r="Z27" i="5" s="1"/>
  <c r="P27" i="5"/>
  <c r="J27" i="5"/>
  <c r="O27" i="5" s="1"/>
  <c r="D27" i="5"/>
  <c r="V26" i="5"/>
  <c r="AA26" i="5" s="1"/>
  <c r="P26" i="5"/>
  <c r="J26" i="5"/>
  <c r="N26" i="5" s="1"/>
  <c r="D26" i="5"/>
  <c r="V25" i="5"/>
  <c r="AA25" i="5" s="1"/>
  <c r="P25" i="5"/>
  <c r="J25" i="5"/>
  <c r="O25" i="5" s="1"/>
  <c r="D25" i="5"/>
  <c r="V24" i="5"/>
  <c r="AA24" i="5" s="1"/>
  <c r="P24" i="5"/>
  <c r="J24" i="5"/>
  <c r="N24" i="5" s="1"/>
  <c r="D24" i="5"/>
  <c r="V23" i="5"/>
  <c r="AA23" i="5" s="1"/>
  <c r="P23" i="5"/>
  <c r="J23" i="5"/>
  <c r="O23" i="5" s="1"/>
  <c r="D23" i="5"/>
  <c r="V22" i="5"/>
  <c r="AA22" i="5" s="1"/>
  <c r="P22" i="5"/>
  <c r="J22" i="5"/>
  <c r="N22" i="5" s="1"/>
  <c r="D22" i="5"/>
  <c r="V21" i="5"/>
  <c r="AA21" i="5" s="1"/>
  <c r="P21" i="5"/>
  <c r="J21" i="5"/>
  <c r="O21" i="5" s="1"/>
  <c r="D21" i="5"/>
  <c r="V19" i="5"/>
  <c r="AA19" i="5" s="1"/>
  <c r="P19" i="5"/>
  <c r="J19" i="5"/>
  <c r="N19" i="5" s="1"/>
  <c r="D19" i="5"/>
  <c r="V18" i="5"/>
  <c r="AA18" i="5" s="1"/>
  <c r="P18" i="5"/>
  <c r="J18" i="5"/>
  <c r="O18" i="5" s="1"/>
  <c r="D18" i="5"/>
  <c r="V17" i="5"/>
  <c r="AA17" i="5" s="1"/>
  <c r="P17" i="5"/>
  <c r="J17" i="5"/>
  <c r="N17" i="5" s="1"/>
  <c r="D17" i="5"/>
  <c r="V16" i="5"/>
  <c r="AA16" i="5" s="1"/>
  <c r="P16" i="5"/>
  <c r="J16" i="5"/>
  <c r="O16" i="5" s="1"/>
  <c r="D16" i="5"/>
  <c r="V15" i="5"/>
  <c r="AA15" i="5" s="1"/>
  <c r="P15" i="5"/>
  <c r="J15" i="5"/>
  <c r="N15" i="5" s="1"/>
  <c r="D15" i="5"/>
  <c r="V14" i="5"/>
  <c r="AA14" i="5" s="1"/>
  <c r="P14" i="5"/>
  <c r="J14" i="5"/>
  <c r="O14" i="5" s="1"/>
  <c r="D14" i="5"/>
  <c r="V13" i="5"/>
  <c r="AA13" i="5" s="1"/>
  <c r="P13" i="5"/>
  <c r="J13" i="5"/>
  <c r="N13" i="5" s="1"/>
  <c r="D13" i="5"/>
  <c r="V12" i="5"/>
  <c r="AA12" i="5" s="1"/>
  <c r="P12" i="5"/>
  <c r="J12" i="5"/>
  <c r="O12" i="5" s="1"/>
  <c r="D12" i="5"/>
  <c r="V10" i="5"/>
  <c r="AA10" i="5" s="1"/>
  <c r="P10" i="5"/>
  <c r="J10" i="5"/>
  <c r="N10" i="5" s="1"/>
  <c r="D10" i="5"/>
  <c r="V9" i="5"/>
  <c r="AA9" i="5" s="1"/>
  <c r="P9" i="5"/>
  <c r="J9" i="5"/>
  <c r="O9" i="5" s="1"/>
  <c r="D9" i="5"/>
  <c r="V8" i="5"/>
  <c r="AA8" i="5" s="1"/>
  <c r="P8" i="5"/>
  <c r="J8" i="5"/>
  <c r="N8" i="5" s="1"/>
  <c r="D8" i="5"/>
  <c r="V7" i="5"/>
  <c r="AA7" i="5" s="1"/>
  <c r="P7" i="5"/>
  <c r="J7" i="5"/>
  <c r="O7" i="5" s="1"/>
  <c r="D7" i="5"/>
  <c r="V6" i="5"/>
  <c r="AA6" i="5" s="1"/>
  <c r="P6" i="5"/>
  <c r="J6" i="5"/>
  <c r="N6" i="5" s="1"/>
  <c r="D6" i="5"/>
  <c r="V5" i="5"/>
  <c r="AA5" i="5" s="1"/>
  <c r="P5" i="5"/>
  <c r="J5" i="5"/>
  <c r="O5" i="5" s="1"/>
  <c r="D5" i="5"/>
  <c r="V4" i="5"/>
  <c r="AA4" i="5" s="1"/>
  <c r="P4" i="5"/>
  <c r="J4" i="5"/>
  <c r="N4" i="5" s="1"/>
  <c r="D4" i="5"/>
  <c r="V3" i="5"/>
  <c r="AA3" i="5" s="1"/>
  <c r="P3" i="5"/>
  <c r="J3" i="5"/>
  <c r="O3" i="5" s="1"/>
  <c r="D3" i="5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Q27" i="5" l="1"/>
  <c r="E27" i="5" s="1"/>
  <c r="I27" i="5" s="1"/>
  <c r="U27" i="5"/>
  <c r="Q32" i="5"/>
  <c r="E32" i="5" s="1"/>
  <c r="H32" i="5" s="1"/>
  <c r="U32" i="5"/>
  <c r="Q33" i="5"/>
  <c r="E33" i="5" s="1"/>
  <c r="I33" i="5" s="1"/>
  <c r="U33" i="5"/>
  <c r="Q34" i="5"/>
  <c r="E34" i="5" s="1"/>
  <c r="H34" i="5" s="1"/>
  <c r="U34" i="5"/>
  <c r="Q36" i="5"/>
  <c r="Q65" i="5"/>
  <c r="Q37" i="5"/>
  <c r="Q40" i="5"/>
  <c r="Q49" i="5"/>
  <c r="E49" i="5" s="1"/>
  <c r="H49" i="5" s="1"/>
  <c r="Q52" i="5"/>
  <c r="E52" i="5" s="1"/>
  <c r="H52" i="5" s="1"/>
  <c r="Q61" i="5"/>
  <c r="E61" i="5" s="1"/>
  <c r="H61" i="5" s="1"/>
  <c r="Q64" i="5"/>
  <c r="U52" i="5"/>
  <c r="U49" i="5"/>
  <c r="T61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AA64" i="5"/>
  <c r="T49" i="5"/>
  <c r="AA61" i="5"/>
  <c r="T40" i="5"/>
  <c r="I52" i="5"/>
  <c r="AA52" i="5"/>
  <c r="T37" i="5"/>
  <c r="I49" i="5"/>
  <c r="AA49" i="5"/>
  <c r="AA40" i="5"/>
  <c r="AA37" i="5"/>
  <c r="N27" i="5"/>
  <c r="Z60" i="5"/>
  <c r="Q60" i="5" s="1"/>
  <c r="O13" i="5"/>
  <c r="AA36" i="5"/>
  <c r="O43" i="5"/>
  <c r="N9" i="5"/>
  <c r="AA34" i="5"/>
  <c r="O32" i="5"/>
  <c r="AA33" i="5"/>
  <c r="Z47" i="5"/>
  <c r="Q47" i="5" s="1"/>
  <c r="Z29" i="5"/>
  <c r="Q29" i="5" s="1"/>
  <c r="AA32" i="5"/>
  <c r="O34" i="5"/>
  <c r="Z46" i="5"/>
  <c r="Q46" i="5" s="1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Q6" i="5" s="1"/>
  <c r="Z17" i="5"/>
  <c r="Q17" i="5" s="1"/>
  <c r="O24" i="5"/>
  <c r="Z39" i="5"/>
  <c r="Q39" i="5" s="1"/>
  <c r="E39" i="5" s="1"/>
  <c r="H39" i="5" s="1"/>
  <c r="Z53" i="5"/>
  <c r="Q53" i="5" s="1"/>
  <c r="E53" i="5" s="1"/>
  <c r="I53" i="5" s="1"/>
  <c r="Z55" i="5"/>
  <c r="Q55" i="5" s="1"/>
  <c r="Z56" i="5"/>
  <c r="Q56" i="5" s="1"/>
  <c r="Z63" i="5"/>
  <c r="Q63" i="5" s="1"/>
  <c r="AA65" i="5"/>
  <c r="N12" i="5"/>
  <c r="O22" i="5"/>
  <c r="AA27" i="5"/>
  <c r="N29" i="5"/>
  <c r="Z15" i="5"/>
  <c r="Q15" i="5" s="1"/>
  <c r="O17" i="5"/>
  <c r="N18" i="5"/>
  <c r="N23" i="5"/>
  <c r="Z24" i="5"/>
  <c r="Q24" i="5" s="1"/>
  <c r="I39" i="5"/>
  <c r="O47" i="5"/>
  <c r="O6" i="5"/>
  <c r="Z10" i="5"/>
  <c r="Q10" i="5" s="1"/>
  <c r="E10" i="5" s="1"/>
  <c r="I10" i="5" s="1"/>
  <c r="T17" i="5"/>
  <c r="T29" i="5"/>
  <c r="Z35" i="5"/>
  <c r="Q35" i="5" s="1"/>
  <c r="E35" i="5" s="1"/>
  <c r="I35" i="5" s="1"/>
  <c r="T46" i="5"/>
  <c r="T47" i="5"/>
  <c r="T6" i="5"/>
  <c r="N7" i="5"/>
  <c r="Z13" i="5"/>
  <c r="Q13" i="5" s="1"/>
  <c r="O19" i="5"/>
  <c r="T24" i="5"/>
  <c r="N25" i="5"/>
  <c r="T32" i="5"/>
  <c r="Z43" i="5"/>
  <c r="Q43" i="5" s="1"/>
  <c r="E43" i="5" s="1"/>
  <c r="H43" i="5" s="1"/>
  <c r="Z44" i="5"/>
  <c r="Q44" i="5" s="1"/>
  <c r="Z45" i="5"/>
  <c r="Q45" i="5" s="1"/>
  <c r="H53" i="5"/>
  <c r="N3" i="5"/>
  <c r="Z8" i="5"/>
  <c r="Q8" i="5" s="1"/>
  <c r="E8" i="5" s="1"/>
  <c r="I8" i="5" s="1"/>
  <c r="O15" i="5"/>
  <c r="N21" i="5"/>
  <c r="Z26" i="5"/>
  <c r="Q26" i="5" s="1"/>
  <c r="E26" i="5" s="1"/>
  <c r="I26" i="5" s="1"/>
  <c r="Z28" i="5"/>
  <c r="Q28" i="5" s="1"/>
  <c r="E28" i="5" s="1"/>
  <c r="I28" i="5" s="1"/>
  <c r="I43" i="5"/>
  <c r="T65" i="5"/>
  <c r="Z4" i="5"/>
  <c r="Q4" i="5" s="1"/>
  <c r="E4" i="5" s="1"/>
  <c r="I4" i="5" s="1"/>
  <c r="O10" i="5"/>
  <c r="T15" i="5"/>
  <c r="N16" i="5"/>
  <c r="Z22" i="5"/>
  <c r="Q22" i="5" s="1"/>
  <c r="E22" i="5" s="1"/>
  <c r="I22" i="5" s="1"/>
  <c r="H27" i="5"/>
  <c r="I32" i="5"/>
  <c r="Z48" i="5"/>
  <c r="Q48" i="5" s="1"/>
  <c r="E48" i="5" s="1"/>
  <c r="O8" i="5"/>
  <c r="T13" i="5"/>
  <c r="N14" i="5"/>
  <c r="Z19" i="5"/>
  <c r="Q19" i="5" s="1"/>
  <c r="E19" i="5" s="1"/>
  <c r="I19" i="5" s="1"/>
  <c r="O26" i="5"/>
  <c r="H33" i="5"/>
  <c r="I34" i="5"/>
  <c r="H35" i="5"/>
  <c r="O45" i="5"/>
  <c r="Z50" i="5"/>
  <c r="Q50" i="5" s="1"/>
  <c r="E50" i="5" s="1"/>
  <c r="Z51" i="5"/>
  <c r="Q51" i="5" s="1"/>
  <c r="T56" i="5"/>
  <c r="Z58" i="5"/>
  <c r="Q58" i="5" s="1"/>
  <c r="H4" i="5"/>
  <c r="H8" i="5"/>
  <c r="H10" i="5"/>
  <c r="H19" i="5"/>
  <c r="H22" i="5"/>
  <c r="H26" i="5"/>
  <c r="H28" i="5"/>
  <c r="O33" i="5"/>
  <c r="N33" i="5"/>
  <c r="Z38" i="5"/>
  <c r="Q38" i="5" s="1"/>
  <c r="E38" i="5" s="1"/>
  <c r="O44" i="5"/>
  <c r="N44" i="5"/>
  <c r="O58" i="5"/>
  <c r="Z62" i="5"/>
  <c r="Q62" i="5" s="1"/>
  <c r="E62" i="5" s="1"/>
  <c r="T63" i="5"/>
  <c r="T27" i="5"/>
  <c r="O28" i="5"/>
  <c r="N28" i="5"/>
  <c r="Z31" i="5"/>
  <c r="Q31" i="5" s="1"/>
  <c r="E31" i="5" s="1"/>
  <c r="T33" i="5"/>
  <c r="O35" i="5"/>
  <c r="N35" i="5"/>
  <c r="Z41" i="5"/>
  <c r="Q41" i="5" s="1"/>
  <c r="E41" i="5" s="1"/>
  <c r="T44" i="5"/>
  <c r="O46" i="5"/>
  <c r="N46" i="5"/>
  <c r="T51" i="5"/>
  <c r="Z57" i="5"/>
  <c r="Q57" i="5" s="1"/>
  <c r="E57" i="5" s="1"/>
  <c r="T58" i="5"/>
  <c r="O59" i="5"/>
  <c r="N59" i="5"/>
  <c r="T34" i="5"/>
  <c r="T45" i="5"/>
  <c r="O55" i="5"/>
  <c r="N55" i="5"/>
  <c r="O60" i="5"/>
  <c r="Z3" i="5"/>
  <c r="Q3" i="5" s="1"/>
  <c r="E3" i="5" s="1"/>
  <c r="Z5" i="5"/>
  <c r="Q5" i="5" s="1"/>
  <c r="E5" i="5" s="1"/>
  <c r="Z7" i="5"/>
  <c r="Q7" i="5" s="1"/>
  <c r="E7" i="5" s="1"/>
  <c r="Z9" i="5"/>
  <c r="Q9" i="5" s="1"/>
  <c r="E9" i="5" s="1"/>
  <c r="Z12" i="5"/>
  <c r="Q12" i="5" s="1"/>
  <c r="E12" i="5" s="1"/>
  <c r="Z14" i="5"/>
  <c r="Q14" i="5" s="1"/>
  <c r="E14" i="5" s="1"/>
  <c r="Z16" i="5"/>
  <c r="Q16" i="5" s="1"/>
  <c r="E16" i="5" s="1"/>
  <c r="Z18" i="5"/>
  <c r="Q18" i="5" s="1"/>
  <c r="E18" i="5" s="1"/>
  <c r="Z21" i="5"/>
  <c r="Q21" i="5" s="1"/>
  <c r="E21" i="5" s="1"/>
  <c r="Z23" i="5"/>
  <c r="Q23" i="5" s="1"/>
  <c r="E23" i="5" s="1"/>
  <c r="Z25" i="5"/>
  <c r="Q25" i="5" s="1"/>
  <c r="E25" i="5" s="1"/>
  <c r="T36" i="5"/>
  <c r="T55" i="5"/>
  <c r="O56" i="5"/>
  <c r="Z59" i="5"/>
  <c r="Q59" i="5" s="1"/>
  <c r="E59" i="5" s="1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I59" i="5" l="1"/>
  <c r="H59" i="5"/>
  <c r="I25" i="5"/>
  <c r="H25" i="5"/>
  <c r="I23" i="5"/>
  <c r="H23" i="5"/>
  <c r="I21" i="5"/>
  <c r="H21" i="5"/>
  <c r="I18" i="5"/>
  <c r="H18" i="5"/>
  <c r="I16" i="5"/>
  <c r="H16" i="5"/>
  <c r="H14" i="5"/>
  <c r="I14" i="5"/>
  <c r="I12" i="5"/>
  <c r="H12" i="5"/>
  <c r="I9" i="5"/>
  <c r="H9" i="5"/>
  <c r="I7" i="5"/>
  <c r="H7" i="5"/>
  <c r="I5" i="5"/>
  <c r="H5" i="5"/>
  <c r="I3" i="5"/>
  <c r="H3" i="5"/>
  <c r="H57" i="5"/>
  <c r="I57" i="5"/>
  <c r="I41" i="5"/>
  <c r="H41" i="5"/>
  <c r="I31" i="5"/>
  <c r="H31" i="5"/>
  <c r="I62" i="5"/>
  <c r="H62" i="5"/>
  <c r="I38" i="5"/>
  <c r="H38" i="5"/>
  <c r="U58" i="5"/>
  <c r="E58" i="5"/>
  <c r="U51" i="5"/>
  <c r="E51" i="5"/>
  <c r="I50" i="5"/>
  <c r="H50" i="5"/>
  <c r="I48" i="5"/>
  <c r="H48" i="5"/>
  <c r="U45" i="5"/>
  <c r="E45" i="5"/>
  <c r="U44" i="5"/>
  <c r="E44" i="5"/>
  <c r="U13" i="5"/>
  <c r="E13" i="5"/>
  <c r="U24" i="5"/>
  <c r="E24" i="5"/>
  <c r="U15" i="5"/>
  <c r="E15" i="5"/>
  <c r="U63" i="5"/>
  <c r="E63" i="5"/>
  <c r="U56" i="5"/>
  <c r="E56" i="5"/>
  <c r="U55" i="5"/>
  <c r="E55" i="5"/>
  <c r="U17" i="5"/>
  <c r="E17" i="5"/>
  <c r="U6" i="5"/>
  <c r="E6" i="5"/>
  <c r="U46" i="5"/>
  <c r="E46" i="5"/>
  <c r="U29" i="5"/>
  <c r="E29" i="5"/>
  <c r="U47" i="5"/>
  <c r="E47" i="5"/>
  <c r="U60" i="5"/>
  <c r="E60" i="5"/>
  <c r="T64" i="5"/>
  <c r="E64" i="5"/>
  <c r="U40" i="5"/>
  <c r="E40" i="5"/>
  <c r="U37" i="5"/>
  <c r="E37" i="5"/>
  <c r="U65" i="5"/>
  <c r="E65" i="5"/>
  <c r="U36" i="5"/>
  <c r="E36" i="5"/>
  <c r="U59" i="5"/>
  <c r="T59" i="5"/>
  <c r="U25" i="5"/>
  <c r="T25" i="5"/>
  <c r="U23" i="5"/>
  <c r="T23" i="5"/>
  <c r="U21" i="5"/>
  <c r="T21" i="5"/>
  <c r="U18" i="5"/>
  <c r="T18" i="5"/>
  <c r="U16" i="5"/>
  <c r="T16" i="5"/>
  <c r="U14" i="5"/>
  <c r="T14" i="5"/>
  <c r="U12" i="5"/>
  <c r="T12" i="5"/>
  <c r="U9" i="5"/>
  <c r="T9" i="5"/>
  <c r="U7" i="5"/>
  <c r="T7" i="5"/>
  <c r="U5" i="5"/>
  <c r="T5" i="5"/>
  <c r="U3" i="5"/>
  <c r="T3" i="5"/>
  <c r="U57" i="5"/>
  <c r="T57" i="5"/>
  <c r="U41" i="5"/>
  <c r="T41" i="5"/>
  <c r="U31" i="5"/>
  <c r="T31" i="5"/>
  <c r="U62" i="5"/>
  <c r="T62" i="5"/>
  <c r="U38" i="5"/>
  <c r="T38" i="5"/>
  <c r="U50" i="5"/>
  <c r="T50" i="5"/>
  <c r="T19" i="5"/>
  <c r="U19" i="5"/>
  <c r="U48" i="5"/>
  <c r="T48" i="5"/>
  <c r="U22" i="5"/>
  <c r="T22" i="5"/>
  <c r="U4" i="5"/>
  <c r="T4" i="5"/>
  <c r="U28" i="5"/>
  <c r="T28" i="5"/>
  <c r="U26" i="5"/>
  <c r="T26" i="5"/>
  <c r="U8" i="5"/>
  <c r="T8" i="5"/>
  <c r="U43" i="5"/>
  <c r="T43" i="5"/>
  <c r="U35" i="5"/>
  <c r="T35" i="5"/>
  <c r="U10" i="5"/>
  <c r="T10" i="5"/>
  <c r="U53" i="5"/>
  <c r="T53" i="5"/>
  <c r="U39" i="5"/>
  <c r="T39" i="5"/>
  <c r="H36" i="5" l="1"/>
  <c r="I36" i="5"/>
  <c r="I65" i="5"/>
  <c r="H65" i="5"/>
  <c r="H37" i="5"/>
  <c r="I37" i="5"/>
  <c r="H40" i="5"/>
  <c r="I40" i="5"/>
  <c r="H64" i="5"/>
  <c r="I64" i="5"/>
  <c r="I60" i="5"/>
  <c r="H60" i="5"/>
  <c r="I47" i="5"/>
  <c r="H47" i="5"/>
  <c r="H29" i="5"/>
  <c r="I29" i="5"/>
  <c r="I46" i="5"/>
  <c r="H46" i="5"/>
  <c r="I6" i="5"/>
  <c r="H6" i="5"/>
  <c r="I17" i="5"/>
  <c r="H17" i="5"/>
  <c r="I55" i="5"/>
  <c r="H55" i="5"/>
  <c r="I56" i="5"/>
  <c r="H56" i="5"/>
  <c r="I63" i="5"/>
  <c r="H63" i="5"/>
  <c r="I15" i="5"/>
  <c r="H15" i="5"/>
  <c r="I24" i="5"/>
  <c r="H24" i="5"/>
  <c r="I13" i="5"/>
  <c r="H13" i="5"/>
  <c r="H44" i="5"/>
  <c r="I44" i="5"/>
  <c r="H45" i="5"/>
  <c r="I45" i="5"/>
  <c r="I51" i="5"/>
  <c r="H51" i="5"/>
  <c r="I58" i="5"/>
  <c r="H58" i="5"/>
</calcChain>
</file>

<file path=xl/sharedStrings.xml><?xml version="1.0" encoding="utf-8"?>
<sst xmlns="http://schemas.openxmlformats.org/spreadsheetml/2006/main" count="284" uniqueCount="80">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</sst>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>
      <calculatedColumnFormula>Table14[[#This Row],[Quantity of ADM-SLM Received (Quantity received x No. of ADM-SLM) - Q3]] * 2</calculatedColumnFormula>
    </tableColumn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>
      <calculatedColumnFormula>Table14[[#This Row],[Quantity based on Target ADM-SLM - Q1 ]] - Table14[[#This Row],[GAP - ADM-SLM - Q4]]</calculatedColumnFormula>
    </tableColumn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95" activePane="topRight" state="frozen"/>
      <selection pane="topRight" activeCell="M149" sqref="M1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486</v>
      </c>
      <c r="D2" s="1">
        <v>817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331</v>
      </c>
    </row>
    <row r="3" spans="1:8" ht="29.25" customHeight="1">
      <c r="A3" s="1">
        <v>1</v>
      </c>
      <c r="B3" s="2" t="s">
        <v>10</v>
      </c>
      <c r="C3" s="1">
        <v>486</v>
      </c>
      <c r="D3" s="1">
        <v>0</v>
      </c>
      <c r="E3" s="1"/>
      <c r="F3" s="5"/>
      <c r="G3" s="3">
        <f>IF((C3-D3)&lt;0,0,C3-D3)</f>
        <v>486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486</v>
      </c>
      <c r="D4" s="1">
        <v>817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331</v>
      </c>
    </row>
    <row r="5" spans="1:8" ht="25.5" customHeight="1">
      <c r="A5" s="1">
        <v>1</v>
      </c>
      <c r="B5" s="2" t="s">
        <v>12</v>
      </c>
      <c r="C5" s="1">
        <v>486</v>
      </c>
      <c r="D5" s="1">
        <v>817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331</v>
      </c>
    </row>
    <row r="6" spans="1:8" ht="19.5">
      <c r="A6" s="1">
        <v>1</v>
      </c>
      <c r="B6" s="2" t="s">
        <v>13</v>
      </c>
      <c r="C6" s="1">
        <v>486</v>
      </c>
      <c r="D6" s="1">
        <v>0</v>
      </c>
      <c r="E6" s="1"/>
      <c r="F6" s="5"/>
      <c r="G6" s="3">
        <f t="shared" si="0"/>
        <v>486</v>
      </c>
      <c r="H6" s="4">
        <f t="shared" si="1"/>
        <v>0</v>
      </c>
    </row>
    <row r="7" spans="1:8" ht="19.5">
      <c r="C7" s="3"/>
      <c r="D7" s="6"/>
      <c r="E7" s="6"/>
    </row>
    <row r="8" spans="1:8" ht="39.75" customHeight="1">
      <c r="A8" s="1">
        <v>2</v>
      </c>
      <c r="B8" s="2" t="s">
        <v>8</v>
      </c>
      <c r="C8" s="1">
        <v>627</v>
      </c>
      <c r="D8" s="1"/>
      <c r="E8" s="1"/>
      <c r="F8" s="5"/>
      <c r="G8" s="3">
        <f>IF((C8-D8)&lt;0,0,C8-D8)</f>
        <v>627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627</v>
      </c>
      <c r="D9" s="1">
        <v>0</v>
      </c>
      <c r="E9" s="1"/>
      <c r="F9" s="5"/>
      <c r="G9" s="3">
        <f>IF((C9-D9)&lt;0,0,C9-D9)</f>
        <v>627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627</v>
      </c>
      <c r="D10" s="1">
        <v>0</v>
      </c>
      <c r="E10" s="1"/>
      <c r="F10" s="5"/>
      <c r="G10" s="3">
        <f>IF((C10-D10)&lt;0,0,C10-D10)</f>
        <v>627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627</v>
      </c>
      <c r="D11" s="1">
        <v>0</v>
      </c>
      <c r="E11" s="1"/>
      <c r="F11" s="5"/>
      <c r="G11" s="3">
        <f>IF((C11-D11)&lt;0,0,C11-D11)</f>
        <v>627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627</v>
      </c>
      <c r="D12" s="1">
        <v>0</v>
      </c>
      <c r="E12" s="1"/>
      <c r="F12" s="5"/>
      <c r="G12" s="3">
        <f>IF((C12-D12)&lt;0,0,C12-D12)</f>
        <v>627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613</v>
      </c>
      <c r="D14" s="1">
        <v>0</v>
      </c>
      <c r="E14" s="1"/>
      <c r="F14" s="5"/>
      <c r="G14" s="3">
        <f t="shared" ref="G14:G19" si="2">IF((C14-D14)&lt;0,0,C14-D14)</f>
        <v>613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613</v>
      </c>
      <c r="D15" s="1">
        <v>0</v>
      </c>
      <c r="E15" s="1"/>
      <c r="F15" s="5"/>
      <c r="G15" s="3">
        <f t="shared" si="2"/>
        <v>613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613</v>
      </c>
      <c r="D16" s="1">
        <v>0</v>
      </c>
      <c r="E16" s="1"/>
      <c r="F16" s="5"/>
      <c r="G16" s="3">
        <f t="shared" si="2"/>
        <v>613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613</v>
      </c>
      <c r="D17" s="5">
        <v>0</v>
      </c>
      <c r="E17" s="1"/>
      <c r="F17" s="5"/>
      <c r="G17" s="3">
        <f t="shared" si="2"/>
        <v>613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613</v>
      </c>
      <c r="D18" s="1">
        <v>0</v>
      </c>
      <c r="E18" s="1"/>
      <c r="F18" s="5"/>
      <c r="G18" s="3">
        <f t="shared" si="2"/>
        <v>613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613</v>
      </c>
      <c r="D19" s="1">
        <v>0</v>
      </c>
      <c r="E19" s="1"/>
      <c r="F19" s="5"/>
      <c r="G19" s="3">
        <f t="shared" si="2"/>
        <v>613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672</v>
      </c>
      <c r="D21" s="1">
        <v>612</v>
      </c>
      <c r="E21" s="1">
        <v>2024</v>
      </c>
      <c r="F21" s="5" t="s">
        <v>16</v>
      </c>
      <c r="G21" s="3">
        <f t="shared" ref="G21:G29" si="4">IF((C21-D21)&lt;0,0,C21-D21)</f>
        <v>60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672</v>
      </c>
      <c r="D22" s="1">
        <v>612</v>
      </c>
      <c r="E22" s="1">
        <v>2024</v>
      </c>
      <c r="F22" s="5" t="s">
        <v>16</v>
      </c>
      <c r="G22" s="3">
        <f t="shared" si="4"/>
        <v>60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672</v>
      </c>
      <c r="D23" s="1">
        <v>612</v>
      </c>
      <c r="E23" s="1">
        <v>2024</v>
      </c>
      <c r="F23" s="5" t="s">
        <v>16</v>
      </c>
      <c r="G23" s="3">
        <f t="shared" si="4"/>
        <v>60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672</v>
      </c>
      <c r="D24" s="1">
        <v>612</v>
      </c>
      <c r="E24" s="1">
        <v>2024</v>
      </c>
      <c r="F24" s="5" t="s">
        <v>16</v>
      </c>
      <c r="G24" s="3">
        <f t="shared" si="4"/>
        <v>60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672</v>
      </c>
      <c r="D25" s="1">
        <v>612</v>
      </c>
      <c r="E25" s="1">
        <v>2024</v>
      </c>
      <c r="F25" s="5" t="s">
        <v>16</v>
      </c>
      <c r="G25" s="3">
        <f t="shared" si="4"/>
        <v>60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672</v>
      </c>
      <c r="D26" s="1">
        <v>612</v>
      </c>
      <c r="E26" s="1">
        <v>2024</v>
      </c>
      <c r="F26" s="5" t="s">
        <v>16</v>
      </c>
      <c r="G26" s="3">
        <f t="shared" si="4"/>
        <v>60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672</v>
      </c>
      <c r="D27" s="1">
        <v>612</v>
      </c>
      <c r="E27" s="1">
        <v>2024</v>
      </c>
      <c r="F27" s="5" t="s">
        <v>16</v>
      </c>
      <c r="G27" s="3">
        <f t="shared" si="4"/>
        <v>60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672</v>
      </c>
      <c r="D28" s="1">
        <v>0</v>
      </c>
      <c r="E28" s="1"/>
      <c r="F28" s="5"/>
      <c r="G28" s="3">
        <f t="shared" si="4"/>
        <v>672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672</v>
      </c>
      <c r="D29" s="1">
        <v>0</v>
      </c>
      <c r="E29" s="1"/>
      <c r="F29" s="5"/>
      <c r="G29" s="3">
        <f t="shared" si="4"/>
        <v>672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515</v>
      </c>
      <c r="D31" s="1">
        <v>0</v>
      </c>
      <c r="E31" s="1"/>
      <c r="F31" s="5"/>
      <c r="G31" s="3">
        <f t="shared" ref="G31:G39" si="6">IF((C31-D31)&lt;0,0,C31-D31)</f>
        <v>515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515</v>
      </c>
      <c r="D32" s="1">
        <v>0</v>
      </c>
      <c r="E32" s="1"/>
      <c r="F32" s="5"/>
      <c r="G32" s="3">
        <f t="shared" si="6"/>
        <v>515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515</v>
      </c>
      <c r="D33" s="1">
        <v>0</v>
      </c>
      <c r="E33" s="1"/>
      <c r="F33" s="5"/>
      <c r="G33" s="3">
        <f t="shared" si="6"/>
        <v>515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515</v>
      </c>
      <c r="D34" s="1">
        <v>0</v>
      </c>
      <c r="E34" s="1"/>
      <c r="F34" s="5"/>
      <c r="G34" s="3">
        <f t="shared" si="6"/>
        <v>515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515</v>
      </c>
      <c r="D35" s="1">
        <v>612</v>
      </c>
      <c r="E35" s="1">
        <v>2025</v>
      </c>
      <c r="F35" s="5" t="s">
        <v>16</v>
      </c>
      <c r="G35" s="3">
        <f t="shared" si="6"/>
        <v>0</v>
      </c>
      <c r="H35" s="4">
        <f t="shared" si="7"/>
        <v>97</v>
      </c>
    </row>
    <row r="36" spans="1:8" ht="27.75" customHeight="1">
      <c r="A36" s="1">
        <v>5</v>
      </c>
      <c r="B36" s="9" t="s">
        <v>14</v>
      </c>
      <c r="C36" s="1">
        <v>515</v>
      </c>
      <c r="D36" s="1">
        <v>0</v>
      </c>
      <c r="E36" s="1"/>
      <c r="F36" s="5"/>
      <c r="G36" s="3">
        <f t="shared" si="6"/>
        <v>515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515</v>
      </c>
      <c r="D37" s="1">
        <v>612</v>
      </c>
      <c r="E37" s="1">
        <v>2025</v>
      </c>
      <c r="F37" s="5" t="s">
        <v>16</v>
      </c>
      <c r="G37" s="3">
        <f t="shared" si="6"/>
        <v>0</v>
      </c>
      <c r="H37" s="4">
        <f t="shared" si="7"/>
        <v>97</v>
      </c>
    </row>
    <row r="38" spans="1:8" ht="27.75" customHeight="1">
      <c r="A38" s="1">
        <v>5</v>
      </c>
      <c r="B38" s="9" t="s">
        <v>20</v>
      </c>
      <c r="C38" s="1">
        <v>515</v>
      </c>
      <c r="D38" s="1">
        <v>0</v>
      </c>
      <c r="E38" s="1"/>
      <c r="F38" s="5"/>
      <c r="G38" s="3">
        <f t="shared" si="6"/>
        <v>515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515</v>
      </c>
      <c r="D39" s="1">
        <v>0</v>
      </c>
      <c r="E39" s="1"/>
      <c r="F39" s="5"/>
      <c r="G39" s="3">
        <f t="shared" si="6"/>
        <v>515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566</v>
      </c>
      <c r="D41" s="1">
        <v>0</v>
      </c>
      <c r="E41" s="1"/>
      <c r="F41" s="5"/>
      <c r="G41" s="3">
        <f t="shared" ref="G41:G49" si="8">IF((C41-D41)&lt;0,0,C41-D41)</f>
        <v>566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566</v>
      </c>
      <c r="D42" s="1">
        <v>0</v>
      </c>
      <c r="E42" s="1"/>
      <c r="F42" s="5"/>
      <c r="G42" s="3">
        <f t="shared" si="8"/>
        <v>566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566</v>
      </c>
      <c r="D43" s="1">
        <v>0</v>
      </c>
      <c r="E43" s="1"/>
      <c r="F43" s="5"/>
      <c r="G43" s="3">
        <f t="shared" si="8"/>
        <v>566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566</v>
      </c>
      <c r="D44" s="1">
        <v>0</v>
      </c>
      <c r="E44" s="1"/>
      <c r="F44" s="5"/>
      <c r="G44" s="3">
        <f t="shared" si="8"/>
        <v>566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566</v>
      </c>
      <c r="D45" s="1">
        <v>0</v>
      </c>
      <c r="E45" s="1"/>
      <c r="F45" s="5"/>
      <c r="G45" s="3">
        <f t="shared" si="8"/>
        <v>566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566</v>
      </c>
      <c r="D46" s="1">
        <v>0</v>
      </c>
      <c r="E46" s="1"/>
      <c r="F46" s="5"/>
      <c r="G46" s="3">
        <f t="shared" si="8"/>
        <v>566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566</v>
      </c>
      <c r="D47" s="1">
        <v>0</v>
      </c>
      <c r="E47" s="1"/>
      <c r="F47" s="5"/>
      <c r="G47" s="3">
        <f t="shared" si="8"/>
        <v>566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566</v>
      </c>
      <c r="D48" s="1">
        <v>0</v>
      </c>
      <c r="E48" s="1"/>
      <c r="F48" s="5"/>
      <c r="G48" s="3">
        <f t="shared" si="8"/>
        <v>566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566</v>
      </c>
      <c r="D49" s="1">
        <v>0</v>
      </c>
      <c r="E49" s="1"/>
      <c r="F49" s="5"/>
      <c r="G49" s="3">
        <f t="shared" si="8"/>
        <v>566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 C13:E13 C20:E20 D14:E16 E17 D18:E19 D21:E29 D2:E12 C30:E49" name="Textbooks"/>
    <protectedRange sqref="F1:F49" name="SOURCE"/>
    <protectedRange sqref="C2:C7" name="Textbooks_1"/>
    <protectedRange sqref="C8" name="Textbooks_2"/>
    <protectedRange sqref="C9" name="Textbooks_3"/>
    <protectedRange sqref="C10" name="Textbooks_4"/>
    <protectedRange sqref="C11" name="Textbooks_5"/>
    <protectedRange sqref="C12" name="Textbooks_6"/>
    <protectedRange sqref="C14" name="Textbooks_7"/>
    <protectedRange sqref="C15" name="Textbooks_8"/>
    <protectedRange sqref="C16" name="Textbooks_9"/>
    <protectedRange sqref="C17" name="Textbooks_10"/>
    <protectedRange sqref="C18" name="Textbooks_11"/>
    <protectedRange sqref="C19" name="Textbooks_12"/>
    <protectedRange sqref="D17" name="LAS"/>
    <protectedRange sqref="C21 C23:C29" name="Textbooks_13"/>
    <protectedRange sqref="C22" name="Textbooks_14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,2026"</formula1>
    </dataValidation>
    <dataValidation type="list" allowBlank="1" showInputMessage="1" showErrorMessage="1" sqref="F14:F19 F2:F6 F21:F29 F41:F49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7" zoomScale="70" zoomScaleNormal="70" workbookViewId="0">
      <selection activeCell="A62" sqref="A62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468</v>
      </c>
      <c r="D3" s="28"/>
      <c r="E3" s="28">
        <v>700</v>
      </c>
      <c r="F3" s="26"/>
      <c r="G3" s="28"/>
      <c r="H3" s="28">
        <f>IF((D3-E3)&lt;0,0,(D3-E3))</f>
        <v>0</v>
      </c>
      <c r="I3" s="28">
        <f>IF((E3-D3)&lt;0,0,(E3-D3))</f>
        <v>700</v>
      </c>
      <c r="J3" s="28">
        <f>Table1[[#This Row],[Enrolment S.Y. 2025-2026 ]]*8</f>
        <v>3744</v>
      </c>
      <c r="K3" s="28"/>
      <c r="L3" s="26"/>
      <c r="M3" s="28"/>
      <c r="N3" s="5">
        <f t="shared" ref="N3" si="0">IF((J3-K3)&lt;0,0,(J3-K3))</f>
        <v>3744</v>
      </c>
      <c r="O3" s="5">
        <f t="shared" ref="O3" si="1">IF((K3-J3)&lt;0,0,(K3-J3))</f>
        <v>0</v>
      </c>
      <c r="P3" s="5">
        <f>Table1[[#This Row],[Enrolment S.Y. 2025-2026 ]]*8</f>
        <v>3744</v>
      </c>
      <c r="Q3" s="28"/>
      <c r="R3" s="26"/>
      <c r="S3" s="28"/>
      <c r="T3" s="28">
        <f>IF((P3-Q3)&lt;0,0,(P3-Q3))</f>
        <v>3744</v>
      </c>
      <c r="U3" s="28">
        <f>IF((Q3-P3)&lt;0,0,(Q3-P3))</f>
        <v>0</v>
      </c>
      <c r="V3" s="28">
        <f>Table1[[#This Row],[Enrolment S.Y. 2025-2026 ]]*8</f>
        <v>3744</v>
      </c>
      <c r="W3" s="28"/>
      <c r="X3" s="26"/>
      <c r="Y3" s="28"/>
      <c r="Z3" s="28">
        <f>IF((V3-W3)&lt;0,0,(V3-W3))</f>
        <v>3744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486</v>
      </c>
      <c r="D5" s="5">
        <f>Table1[[#This Row],[Enrolment S.Y. 2025-2026 ]]*8</f>
        <v>3888</v>
      </c>
      <c r="E5" s="5">
        <v>0</v>
      </c>
      <c r="F5" s="1"/>
      <c r="G5" s="5"/>
      <c r="H5" s="5">
        <f t="shared" ref="H5:H61" si="2">IF((D5-E5)&lt;0,0,(D5-E5))</f>
        <v>3888</v>
      </c>
      <c r="I5" s="5">
        <f t="shared" ref="I5:I61" si="3">IF((E5-D5)&lt;0,0,(E5-D5))</f>
        <v>0</v>
      </c>
      <c r="J5" s="5">
        <f>Table1[[#This Row],[Enrolment S.Y. 2025-2026 ]]*8</f>
        <v>3888</v>
      </c>
      <c r="K5" s="5"/>
      <c r="L5" s="1"/>
      <c r="M5" s="5"/>
      <c r="N5" s="5">
        <f t="shared" ref="N5" si="4">IF((J5-K5)&lt;0,0,(J5-K5))</f>
        <v>3888</v>
      </c>
      <c r="O5" s="5">
        <f t="shared" ref="O5" si="5">IF((K5-J5)&lt;0,0,(K5-J5))</f>
        <v>0</v>
      </c>
      <c r="P5" s="5">
        <f>Table1[[#This Row],[Enrolment S.Y. 2025-2026 ]]*8</f>
        <v>3888</v>
      </c>
      <c r="Q5" s="5"/>
      <c r="R5" s="1"/>
      <c r="S5" s="5"/>
      <c r="T5" s="5">
        <f t="shared" ref="T5" si="6">IF((P5-Q5)&lt;0,0,(P5-Q5))</f>
        <v>3888</v>
      </c>
      <c r="U5" s="5">
        <f t="shared" ref="U5" si="7">IF((Q5-P5)&lt;0,0,(Q5-P5))</f>
        <v>0</v>
      </c>
      <c r="V5" s="5">
        <f>Table1[[#This Row],[Enrolment S.Y. 2025-2026 ]]*8</f>
        <v>3888</v>
      </c>
      <c r="W5" s="5"/>
      <c r="X5" s="1"/>
      <c r="Y5" s="5"/>
      <c r="Z5" s="5">
        <f t="shared" ref="Z5" si="8">IF((V5-W5)&lt;0,0,(V5-W5))</f>
        <v>3888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486</v>
      </c>
      <c r="D6" s="5">
        <f>Table1[[#This Row],[Enrolment S.Y. 2025-2026 ]]*8</f>
        <v>3888</v>
      </c>
      <c r="E6" s="5">
        <v>0</v>
      </c>
      <c r="F6" s="1"/>
      <c r="G6" s="5"/>
      <c r="H6" s="5">
        <f t="shared" si="2"/>
        <v>3888</v>
      </c>
      <c r="I6" s="5">
        <f t="shared" si="3"/>
        <v>0</v>
      </c>
      <c r="J6" s="5">
        <f>Table1[[#This Row],[Enrolment S.Y. 2025-2026 ]]*8</f>
        <v>3888</v>
      </c>
      <c r="K6" s="5"/>
      <c r="L6" s="1"/>
      <c r="M6" s="5"/>
      <c r="N6" s="5">
        <f t="shared" ref="N6:N61" si="10">IF((J6-K6)&lt;0,0,(J6-K6))</f>
        <v>3888</v>
      </c>
      <c r="O6" s="5">
        <f t="shared" ref="O6:O61" si="11">IF((K6-J6)&lt;0,0,(K6-J6))</f>
        <v>0</v>
      </c>
      <c r="P6" s="5">
        <f>Table1[[#This Row],[Enrolment S.Y. 2025-2026 ]]*8</f>
        <v>3888</v>
      </c>
      <c r="Q6" s="5"/>
      <c r="R6" s="1"/>
      <c r="S6" s="5"/>
      <c r="T6" s="5">
        <f t="shared" ref="T6:T61" si="12">IF((P6-Q6)&lt;0,0,(P6-Q6))</f>
        <v>3888</v>
      </c>
      <c r="U6" s="5">
        <f t="shared" ref="U6:U61" si="13">IF((Q6-P6)&lt;0,0,(Q6-P6))</f>
        <v>0</v>
      </c>
      <c r="V6" s="5">
        <f>Table1[[#This Row],[Enrolment S.Y. 2025-2026 ]]*8</f>
        <v>3888</v>
      </c>
      <c r="W6" s="5"/>
      <c r="X6" s="1"/>
      <c r="Y6" s="5"/>
      <c r="Z6" s="5">
        <f t="shared" ref="Z6:Z61" si="14">IF((V6-W6)&lt;0,0,(V6-W6))</f>
        <v>3888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486</v>
      </c>
      <c r="D7" s="5">
        <f>Table1[[#This Row],[Enrolment S.Y. 2025-2026 ]]*8</f>
        <v>3888</v>
      </c>
      <c r="E7" s="5">
        <v>0</v>
      </c>
      <c r="F7" s="1"/>
      <c r="G7" s="5"/>
      <c r="H7" s="5">
        <f t="shared" si="2"/>
        <v>3888</v>
      </c>
      <c r="I7" s="5">
        <f t="shared" si="3"/>
        <v>0</v>
      </c>
      <c r="J7" s="5">
        <f>Table1[[#This Row],[Enrolment S.Y. 2025-2026 ]]*8</f>
        <v>3888</v>
      </c>
      <c r="K7" s="5"/>
      <c r="L7" s="1"/>
      <c r="M7" s="5"/>
      <c r="N7" s="5">
        <f t="shared" si="10"/>
        <v>3888</v>
      </c>
      <c r="O7" s="5">
        <f t="shared" si="11"/>
        <v>0</v>
      </c>
      <c r="P7" s="5">
        <f>Table1[[#This Row],[Enrolment S.Y. 2025-2026 ]]*8</f>
        <v>3888</v>
      </c>
      <c r="Q7" s="5"/>
      <c r="R7" s="1"/>
      <c r="S7" s="5"/>
      <c r="T7" s="5">
        <f t="shared" si="12"/>
        <v>3888</v>
      </c>
      <c r="U7" s="5">
        <f t="shared" si="13"/>
        <v>0</v>
      </c>
      <c r="V7" s="5">
        <f>Table1[[#This Row],[Enrolment S.Y. 2025-2026 ]]*8</f>
        <v>3888</v>
      </c>
      <c r="W7" s="5"/>
      <c r="X7" s="1"/>
      <c r="Y7" s="5"/>
      <c r="Z7" s="5">
        <f t="shared" si="14"/>
        <v>3888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486</v>
      </c>
      <c r="D8" s="5">
        <f>Table1[[#This Row],[Enrolment S.Y. 2025-2026 ]]*8</f>
        <v>3888</v>
      </c>
      <c r="E8" s="5">
        <v>0</v>
      </c>
      <c r="F8" s="1"/>
      <c r="G8" s="5"/>
      <c r="H8" s="5">
        <f t="shared" si="2"/>
        <v>3888</v>
      </c>
      <c r="I8" s="5">
        <f t="shared" si="3"/>
        <v>0</v>
      </c>
      <c r="J8" s="5">
        <f>Table1[[#This Row],[Enrolment S.Y. 2025-2026 ]]*8</f>
        <v>3888</v>
      </c>
      <c r="K8" s="5"/>
      <c r="L8" s="1"/>
      <c r="M8" s="5"/>
      <c r="N8" s="5">
        <f t="shared" si="10"/>
        <v>3888</v>
      </c>
      <c r="O8" s="5">
        <f t="shared" si="11"/>
        <v>0</v>
      </c>
      <c r="P8" s="5">
        <f>Table1[[#This Row],[Enrolment S.Y. 2025-2026 ]]*8</f>
        <v>3888</v>
      </c>
      <c r="Q8" s="5"/>
      <c r="R8" s="1"/>
      <c r="S8" s="5"/>
      <c r="T8" s="5">
        <f t="shared" si="12"/>
        <v>3888</v>
      </c>
      <c r="U8" s="5">
        <f t="shared" si="13"/>
        <v>0</v>
      </c>
      <c r="V8" s="5">
        <f>Table1[[#This Row],[Enrolment S.Y. 2025-2026 ]]*8</f>
        <v>3888</v>
      </c>
      <c r="W8" s="5"/>
      <c r="X8" s="1"/>
      <c r="Y8" s="5"/>
      <c r="Z8" s="5">
        <f t="shared" si="14"/>
        <v>3888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486</v>
      </c>
      <c r="D9" s="5">
        <f>Table1[[#This Row],[Enrolment S.Y. 2025-2026 ]]*8</f>
        <v>3888</v>
      </c>
      <c r="E9" s="5">
        <v>0</v>
      </c>
      <c r="F9" s="1"/>
      <c r="G9" s="5"/>
      <c r="H9" s="5">
        <f t="shared" si="2"/>
        <v>3888</v>
      </c>
      <c r="I9" s="5">
        <f t="shared" si="3"/>
        <v>0</v>
      </c>
      <c r="J9" s="5">
        <f>Table1[[#This Row],[Enrolment S.Y. 2025-2026 ]]*8</f>
        <v>3888</v>
      </c>
      <c r="K9" s="5"/>
      <c r="L9" s="1"/>
      <c r="M9" s="5"/>
      <c r="N9" s="5">
        <f t="shared" si="10"/>
        <v>3888</v>
      </c>
      <c r="O9" s="5">
        <f t="shared" si="11"/>
        <v>0</v>
      </c>
      <c r="P9" s="5">
        <f>Table1[[#This Row],[Enrolment S.Y. 2025-2026 ]]*8</f>
        <v>3888</v>
      </c>
      <c r="Q9" s="5"/>
      <c r="R9" s="1"/>
      <c r="S9" s="5"/>
      <c r="T9" s="5">
        <f t="shared" si="12"/>
        <v>3888</v>
      </c>
      <c r="U9" s="5">
        <f t="shared" si="13"/>
        <v>0</v>
      </c>
      <c r="V9" s="5">
        <f>Table1[[#This Row],[Enrolment S.Y. 2025-2026 ]]*8</f>
        <v>3888</v>
      </c>
      <c r="W9" s="5"/>
      <c r="X9" s="1"/>
      <c r="Y9" s="5"/>
      <c r="Z9" s="5">
        <f t="shared" si="14"/>
        <v>3888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486</v>
      </c>
      <c r="D10" s="5">
        <f>Table1[[#This Row],[Enrolment S.Y. 2025-2026 ]]*8</f>
        <v>3888</v>
      </c>
      <c r="E10" s="5">
        <v>0</v>
      </c>
      <c r="F10" s="1"/>
      <c r="G10" s="5"/>
      <c r="H10" s="5">
        <f>IF((D10-E10)&lt;0,0,(D10-E10))</f>
        <v>3888</v>
      </c>
      <c r="I10" s="5">
        <f>IF((E10-D10)&lt;0,0,(E10-D10))</f>
        <v>0</v>
      </c>
      <c r="J10" s="5">
        <f>Table1[[#This Row],[Enrolment S.Y. 2025-2026 ]]*8</f>
        <v>3888</v>
      </c>
      <c r="K10" s="5"/>
      <c r="L10" s="1"/>
      <c r="M10" s="5"/>
      <c r="N10" s="5">
        <f t="shared" si="10"/>
        <v>3888</v>
      </c>
      <c r="O10" s="5">
        <f t="shared" si="11"/>
        <v>0</v>
      </c>
      <c r="P10" s="5">
        <f>Table1[[#This Row],[Enrolment S.Y. 2025-2026 ]]*8</f>
        <v>3888</v>
      </c>
      <c r="Q10" s="5"/>
      <c r="R10" s="1"/>
      <c r="S10" s="5"/>
      <c r="T10" s="5">
        <f t="shared" si="12"/>
        <v>3888</v>
      </c>
      <c r="U10" s="5">
        <f t="shared" si="13"/>
        <v>0</v>
      </c>
      <c r="V10" s="5">
        <f>Table1[[#This Row],[Enrolment S.Y. 2025-2026 ]]*8</f>
        <v>3888</v>
      </c>
      <c r="W10" s="5"/>
      <c r="X10" s="1"/>
      <c r="Y10" s="5"/>
      <c r="Z10" s="5">
        <f t="shared" si="14"/>
        <v>3888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486</v>
      </c>
      <c r="D11" s="5">
        <f>Table1[[#This Row],[Enrolment S.Y. 2025-2026 ]]*8</f>
        <v>3888</v>
      </c>
      <c r="E11" s="5">
        <v>0</v>
      </c>
      <c r="F11" s="1"/>
      <c r="G11" s="5"/>
      <c r="H11" s="5">
        <f>IF((D11-E11)&lt;0,0,(D11-E11))</f>
        <v>3888</v>
      </c>
      <c r="I11" s="5">
        <f>IF((E11-D11)&lt;0,0,(E11-D11))</f>
        <v>0</v>
      </c>
      <c r="J11" s="5">
        <f>Table1[[#This Row],[Enrolment S.Y. 2025-2026 ]]*8</f>
        <v>3888</v>
      </c>
      <c r="K11" s="5"/>
      <c r="L11" s="1"/>
      <c r="M11" s="5"/>
      <c r="N11" s="5">
        <f t="shared" si="10"/>
        <v>3888</v>
      </c>
      <c r="O11" s="5">
        <f t="shared" si="11"/>
        <v>0</v>
      </c>
      <c r="P11" s="5">
        <f>Table1[[#This Row],[Enrolment S.Y. 2025-2026 ]]*8</f>
        <v>3888</v>
      </c>
      <c r="Q11" s="5"/>
      <c r="R11" s="1"/>
      <c r="S11" s="5"/>
      <c r="T11" s="5">
        <f t="shared" si="12"/>
        <v>3888</v>
      </c>
      <c r="U11" s="5">
        <f t="shared" si="13"/>
        <v>0</v>
      </c>
      <c r="V11" s="5">
        <f>Table1[[#This Row],[Enrolment S.Y. 2025-2026 ]]*8</f>
        <v>3888</v>
      </c>
      <c r="W11" s="5"/>
      <c r="X11" s="1"/>
      <c r="Y11" s="5"/>
      <c r="Z11" s="5">
        <f t="shared" si="14"/>
        <v>3888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486</v>
      </c>
      <c r="D12" s="5">
        <f>Table1[[#This Row],[Enrolment S.Y. 2025-2026 ]]*8</f>
        <v>3888</v>
      </c>
      <c r="E12" s="5">
        <v>0</v>
      </c>
      <c r="F12" s="1"/>
      <c r="G12" s="5"/>
      <c r="H12" s="5">
        <f>IF((D12-E12)&lt;0,0,(D12-E12))</f>
        <v>3888</v>
      </c>
      <c r="I12" s="5">
        <f>IF((E12-D12)&lt;0,0,(E12-D12))</f>
        <v>0</v>
      </c>
      <c r="J12" s="5">
        <f>Table1[[#This Row],[Enrolment S.Y. 2025-2026 ]]*8</f>
        <v>3888</v>
      </c>
      <c r="K12" s="5"/>
      <c r="L12" s="1"/>
      <c r="M12" s="5"/>
      <c r="N12" s="5">
        <f t="shared" si="10"/>
        <v>3888</v>
      </c>
      <c r="O12" s="5">
        <f t="shared" si="11"/>
        <v>0</v>
      </c>
      <c r="P12" s="5">
        <f>Table1[[#This Row],[Enrolment S.Y. 2025-2026 ]]*8</f>
        <v>3888</v>
      </c>
      <c r="Q12" s="5"/>
      <c r="R12" s="1"/>
      <c r="S12" s="5"/>
      <c r="T12" s="5">
        <f t="shared" si="12"/>
        <v>3888</v>
      </c>
      <c r="U12" s="5">
        <f t="shared" si="13"/>
        <v>0</v>
      </c>
      <c r="V12" s="5">
        <f>Table1[[#This Row],[Enrolment S.Y. 2025-2026 ]]*8</f>
        <v>3888</v>
      </c>
      <c r="W12" s="5"/>
      <c r="X12" s="1"/>
      <c r="Y12" s="5"/>
      <c r="Z12" s="5">
        <f t="shared" si="14"/>
        <v>3888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627</v>
      </c>
      <c r="D14" s="5">
        <f>Table1[[#This Row],[Enrolment S.Y. 2025-2026 ]]*8</f>
        <v>5016</v>
      </c>
      <c r="E14" s="5">
        <v>0</v>
      </c>
      <c r="F14" s="1"/>
      <c r="G14" s="5"/>
      <c r="H14" s="5">
        <f t="shared" si="2"/>
        <v>5016</v>
      </c>
      <c r="I14" s="5">
        <f t="shared" si="3"/>
        <v>0</v>
      </c>
      <c r="J14" s="5">
        <f>Table1[[#This Row],[Enrolment S.Y. 2025-2026 ]]*8</f>
        <v>5016</v>
      </c>
      <c r="K14" s="5"/>
      <c r="L14" s="1"/>
      <c r="M14" s="5"/>
      <c r="N14" s="5">
        <f t="shared" si="10"/>
        <v>5016</v>
      </c>
      <c r="O14" s="5">
        <f t="shared" si="11"/>
        <v>0</v>
      </c>
      <c r="P14" s="5">
        <f>Table1[[#This Row],[Enrolment S.Y. 2025-2026 ]]*8</f>
        <v>5016</v>
      </c>
      <c r="Q14" s="5"/>
      <c r="R14" s="1"/>
      <c r="S14" s="5"/>
      <c r="T14" s="5">
        <f t="shared" si="12"/>
        <v>5016</v>
      </c>
      <c r="U14" s="5">
        <f t="shared" si="13"/>
        <v>0</v>
      </c>
      <c r="V14" s="5">
        <f>Table1[[#This Row],[Enrolment S.Y. 2025-2026 ]]*8</f>
        <v>5016</v>
      </c>
      <c r="W14" s="5"/>
      <c r="X14" s="1"/>
      <c r="Y14" s="5"/>
      <c r="Z14" s="5">
        <f t="shared" si="14"/>
        <v>5016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627</v>
      </c>
      <c r="D15" s="5">
        <f>Table1[[#This Row],[Enrolment S.Y. 2025-2026 ]]*8</f>
        <v>5016</v>
      </c>
      <c r="E15" s="5">
        <v>0</v>
      </c>
      <c r="F15" s="1"/>
      <c r="G15" s="5"/>
      <c r="H15" s="5">
        <f t="shared" si="2"/>
        <v>5016</v>
      </c>
      <c r="I15" s="5">
        <f t="shared" si="3"/>
        <v>0</v>
      </c>
      <c r="J15" s="5">
        <f>Table1[[#This Row],[Enrolment S.Y. 2025-2026 ]]*8</f>
        <v>5016</v>
      </c>
      <c r="K15" s="5"/>
      <c r="L15" s="1"/>
      <c r="M15" s="5"/>
      <c r="N15" s="5">
        <f t="shared" si="10"/>
        <v>5016</v>
      </c>
      <c r="O15" s="5">
        <f t="shared" si="11"/>
        <v>0</v>
      </c>
      <c r="P15" s="5">
        <f>Table1[[#This Row],[Enrolment S.Y. 2025-2026 ]]*8</f>
        <v>5016</v>
      </c>
      <c r="Q15" s="5"/>
      <c r="R15" s="1"/>
      <c r="S15" s="5"/>
      <c r="T15" s="5">
        <f t="shared" si="12"/>
        <v>5016</v>
      </c>
      <c r="U15" s="5">
        <f t="shared" si="13"/>
        <v>0</v>
      </c>
      <c r="V15" s="5">
        <f>Table1[[#This Row],[Enrolment S.Y. 2025-2026 ]]*8</f>
        <v>5016</v>
      </c>
      <c r="W15" s="5"/>
      <c r="X15" s="1"/>
      <c r="Y15" s="5"/>
      <c r="Z15" s="5">
        <f t="shared" si="14"/>
        <v>5016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627</v>
      </c>
      <c r="D16" s="5">
        <f>Table1[[#This Row],[Enrolment S.Y. 2025-2026 ]]*8</f>
        <v>5016</v>
      </c>
      <c r="E16" s="5">
        <v>527</v>
      </c>
      <c r="F16" s="1">
        <v>2025</v>
      </c>
      <c r="G16" s="5" t="s">
        <v>9</v>
      </c>
      <c r="H16" s="5">
        <f t="shared" si="2"/>
        <v>4489</v>
      </c>
      <c r="I16" s="5">
        <f t="shared" si="3"/>
        <v>0</v>
      </c>
      <c r="J16" s="5">
        <f>Table1[[#This Row],[Enrolment S.Y. 2025-2026 ]]*8</f>
        <v>5016</v>
      </c>
      <c r="K16" s="5"/>
      <c r="L16" s="1"/>
      <c r="M16" s="5"/>
      <c r="N16" s="5">
        <f t="shared" si="10"/>
        <v>5016</v>
      </c>
      <c r="O16" s="5">
        <f t="shared" si="11"/>
        <v>0</v>
      </c>
      <c r="P16" s="5">
        <f>Table1[[#This Row],[Enrolment S.Y. 2025-2026 ]]*8</f>
        <v>5016</v>
      </c>
      <c r="Q16" s="5"/>
      <c r="R16" s="1"/>
      <c r="S16" s="5"/>
      <c r="T16" s="5">
        <f t="shared" si="12"/>
        <v>5016</v>
      </c>
      <c r="U16" s="5">
        <f t="shared" si="13"/>
        <v>0</v>
      </c>
      <c r="V16" s="5">
        <f>Table1[[#This Row],[Enrolment S.Y. 2025-2026 ]]*8</f>
        <v>5016</v>
      </c>
      <c r="W16" s="5"/>
      <c r="X16" s="1"/>
      <c r="Y16" s="5"/>
      <c r="Z16" s="5">
        <f t="shared" si="14"/>
        <v>5016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627</v>
      </c>
      <c r="D17" s="5">
        <f>Table1[[#This Row],[Enrolment S.Y. 2025-2026 ]]*8</f>
        <v>5016</v>
      </c>
      <c r="E17" s="5">
        <v>527</v>
      </c>
      <c r="F17" s="1">
        <v>2025</v>
      </c>
      <c r="G17" s="5" t="s">
        <v>9</v>
      </c>
      <c r="H17" s="5">
        <f t="shared" si="2"/>
        <v>4489</v>
      </c>
      <c r="I17" s="5">
        <f t="shared" si="3"/>
        <v>0</v>
      </c>
      <c r="J17" s="5">
        <f>Table1[[#This Row],[Enrolment S.Y. 2025-2026 ]]*8</f>
        <v>5016</v>
      </c>
      <c r="K17" s="5">
        <v>629</v>
      </c>
      <c r="L17" s="1">
        <v>2025</v>
      </c>
      <c r="M17" s="5" t="s">
        <v>9</v>
      </c>
      <c r="N17" s="5">
        <f t="shared" si="10"/>
        <v>4387</v>
      </c>
      <c r="O17" s="5">
        <f t="shared" si="11"/>
        <v>0</v>
      </c>
      <c r="P17" s="5">
        <f>Table1[[#This Row],[Enrolment S.Y. 2025-2026 ]]*8</f>
        <v>5016</v>
      </c>
      <c r="Q17" s="5"/>
      <c r="R17" s="1"/>
      <c r="S17" s="5"/>
      <c r="T17" s="5">
        <f t="shared" si="12"/>
        <v>5016</v>
      </c>
      <c r="U17" s="5">
        <f t="shared" si="13"/>
        <v>0</v>
      </c>
      <c r="V17" s="5">
        <f>Table1[[#This Row],[Enrolment S.Y. 2025-2026 ]]*8</f>
        <v>5016</v>
      </c>
      <c r="W17" s="5"/>
      <c r="X17" s="1"/>
      <c r="Y17" s="5"/>
      <c r="Z17" s="5">
        <f t="shared" si="14"/>
        <v>5016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627</v>
      </c>
      <c r="D18" s="5">
        <f>Table1[[#This Row],[Enrolment S.Y. 2025-2026 ]]*8</f>
        <v>5016</v>
      </c>
      <c r="E18" s="5">
        <v>527</v>
      </c>
      <c r="F18" s="1">
        <v>2025</v>
      </c>
      <c r="G18" s="5" t="s">
        <v>9</v>
      </c>
      <c r="H18" s="5">
        <f t="shared" si="2"/>
        <v>4489</v>
      </c>
      <c r="I18" s="5">
        <f t="shared" si="3"/>
        <v>0</v>
      </c>
      <c r="J18" s="5">
        <f>Table1[[#This Row],[Enrolment S.Y. 2025-2026 ]]*8</f>
        <v>5016</v>
      </c>
      <c r="K18" s="5"/>
      <c r="L18" s="1"/>
      <c r="M18" s="5"/>
      <c r="N18" s="5">
        <f t="shared" si="10"/>
        <v>5016</v>
      </c>
      <c r="O18" s="5">
        <f t="shared" si="11"/>
        <v>0</v>
      </c>
      <c r="P18" s="5">
        <f>Table1[[#This Row],[Enrolment S.Y. 2025-2026 ]]*8</f>
        <v>5016</v>
      </c>
      <c r="Q18" s="5"/>
      <c r="R18" s="1"/>
      <c r="S18" s="5"/>
      <c r="T18" s="5">
        <f t="shared" si="12"/>
        <v>5016</v>
      </c>
      <c r="U18" s="5">
        <f t="shared" si="13"/>
        <v>0</v>
      </c>
      <c r="V18" s="5">
        <f>Table1[[#This Row],[Enrolment S.Y. 2025-2026 ]]*8</f>
        <v>5016</v>
      </c>
      <c r="W18" s="5"/>
      <c r="X18" s="1"/>
      <c r="Y18" s="5"/>
      <c r="Z18" s="5">
        <f t="shared" si="14"/>
        <v>5016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627</v>
      </c>
      <c r="D19" s="5">
        <f>Table1[[#This Row],[Enrolment S.Y. 2025-2026 ]]*8</f>
        <v>5016</v>
      </c>
      <c r="E19" s="5">
        <v>527</v>
      </c>
      <c r="F19" s="1">
        <v>2025</v>
      </c>
      <c r="G19" s="5" t="s">
        <v>9</v>
      </c>
      <c r="H19" s="5">
        <f>IF((D19-E19)&lt;0,0,(D19-E19))</f>
        <v>4489</v>
      </c>
      <c r="I19" s="5">
        <f>IF((E19-D19)&lt;0,0,(E19-D19))</f>
        <v>0</v>
      </c>
      <c r="J19" s="5">
        <f>Table1[[#This Row],[Enrolment S.Y. 2025-2026 ]]*8</f>
        <v>5016</v>
      </c>
      <c r="K19" s="5">
        <v>629</v>
      </c>
      <c r="L19" s="1">
        <v>2025</v>
      </c>
      <c r="M19" s="5" t="s">
        <v>9</v>
      </c>
      <c r="N19" s="5">
        <f t="shared" si="10"/>
        <v>4387</v>
      </c>
      <c r="O19" s="5">
        <f t="shared" si="11"/>
        <v>0</v>
      </c>
      <c r="P19" s="5">
        <f>Table1[[#This Row],[Enrolment S.Y. 2025-2026 ]]*8</f>
        <v>5016</v>
      </c>
      <c r="Q19" s="5"/>
      <c r="R19" s="1"/>
      <c r="S19" s="5"/>
      <c r="T19" s="5">
        <f t="shared" si="12"/>
        <v>5016</v>
      </c>
      <c r="U19" s="5">
        <f t="shared" si="13"/>
        <v>0</v>
      </c>
      <c r="V19" s="5">
        <f>Table1[[#This Row],[Enrolment S.Y. 2025-2026 ]]*8</f>
        <v>5016</v>
      </c>
      <c r="W19" s="5"/>
      <c r="X19" s="1"/>
      <c r="Y19" s="5"/>
      <c r="Z19" s="5">
        <f t="shared" si="14"/>
        <v>5016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627</v>
      </c>
      <c r="D20" s="5">
        <f>Table1[[#This Row],[Enrolment S.Y. 2025-2026 ]]*8</f>
        <v>5016</v>
      </c>
      <c r="E20" s="5">
        <v>527</v>
      </c>
      <c r="F20" s="1">
        <v>2025</v>
      </c>
      <c r="G20" s="5" t="s">
        <v>9</v>
      </c>
      <c r="H20" s="5">
        <f>IF((D20-E20)&lt;0,0,(D20-E20))</f>
        <v>4489</v>
      </c>
      <c r="I20" s="5">
        <f>IF((E20-D20)&lt;0,0,(E20-D20))</f>
        <v>0</v>
      </c>
      <c r="J20" s="5">
        <f>Table1[[#This Row],[Enrolment S.Y. 2025-2026 ]]*8</f>
        <v>5016</v>
      </c>
      <c r="K20" s="5"/>
      <c r="L20" s="1"/>
      <c r="M20" s="5"/>
      <c r="N20" s="5">
        <f t="shared" si="10"/>
        <v>5016</v>
      </c>
      <c r="O20" s="5">
        <f t="shared" si="11"/>
        <v>0</v>
      </c>
      <c r="P20" s="5">
        <f>Table1[[#This Row],[Enrolment S.Y. 2025-2026 ]]*8</f>
        <v>5016</v>
      </c>
      <c r="Q20" s="5"/>
      <c r="R20" s="1"/>
      <c r="S20" s="5"/>
      <c r="T20" s="5">
        <f t="shared" si="12"/>
        <v>5016</v>
      </c>
      <c r="U20" s="5">
        <f t="shared" si="13"/>
        <v>0</v>
      </c>
      <c r="V20" s="5">
        <f>Table1[[#This Row],[Enrolment S.Y. 2025-2026 ]]*8</f>
        <v>5016</v>
      </c>
      <c r="W20" s="5"/>
      <c r="X20" s="1"/>
      <c r="Y20" s="5"/>
      <c r="Z20" s="5">
        <f t="shared" si="14"/>
        <v>5016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627</v>
      </c>
      <c r="D21" s="5">
        <f>Table1[[#This Row],[Enrolment S.Y. 2025-2026 ]]*8</f>
        <v>5016</v>
      </c>
      <c r="E21" s="5">
        <v>0</v>
      </c>
      <c r="F21" s="1"/>
      <c r="G21" s="5"/>
      <c r="H21" s="5">
        <f>IF((D21-E21)&lt;0,0,(D21-E21))</f>
        <v>5016</v>
      </c>
      <c r="I21" s="5">
        <f>IF((E21-D21)&lt;0,0,(E21-D21))</f>
        <v>0</v>
      </c>
      <c r="J21" s="5">
        <f>Table1[[#This Row],[Enrolment S.Y. 2025-2026 ]]*8</f>
        <v>5016</v>
      </c>
      <c r="K21" s="5"/>
      <c r="L21" s="1"/>
      <c r="M21" s="5"/>
      <c r="N21" s="5">
        <f t="shared" si="10"/>
        <v>5016</v>
      </c>
      <c r="O21" s="5">
        <f t="shared" si="11"/>
        <v>0</v>
      </c>
      <c r="P21" s="5">
        <f>Table1[[#This Row],[Enrolment S.Y. 2025-2026 ]]*8</f>
        <v>5016</v>
      </c>
      <c r="Q21" s="5"/>
      <c r="R21" s="1"/>
      <c r="S21" s="5"/>
      <c r="T21" s="5">
        <f t="shared" si="12"/>
        <v>5016</v>
      </c>
      <c r="U21" s="5">
        <f t="shared" si="13"/>
        <v>0</v>
      </c>
      <c r="V21" s="5">
        <f>Table1[[#This Row],[Enrolment S.Y. 2025-2026 ]]*8</f>
        <v>5016</v>
      </c>
      <c r="W21" s="5"/>
      <c r="X21" s="1"/>
      <c r="Y21" s="5"/>
      <c r="Z21" s="5">
        <f t="shared" si="14"/>
        <v>5016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613</v>
      </c>
      <c r="D23" s="5">
        <f>Table1[[#This Row],[Enrolment S.Y. 2025-2026 ]]*8</f>
        <v>4904</v>
      </c>
      <c r="E23" s="5">
        <v>0</v>
      </c>
      <c r="F23" s="1"/>
      <c r="G23" s="5"/>
      <c r="H23" s="5">
        <f t="shared" si="2"/>
        <v>4904</v>
      </c>
      <c r="I23" s="5">
        <f t="shared" si="3"/>
        <v>0</v>
      </c>
      <c r="J23" s="5">
        <f>Table1[[#This Row],[Enrolment S.Y. 2025-2026 ]]*8</f>
        <v>4904</v>
      </c>
      <c r="K23" s="5"/>
      <c r="L23" s="1"/>
      <c r="M23" s="5"/>
      <c r="N23" s="5">
        <f t="shared" si="10"/>
        <v>4904</v>
      </c>
      <c r="O23" s="5">
        <f t="shared" si="11"/>
        <v>0</v>
      </c>
      <c r="P23" s="5">
        <f>Table1[[#This Row],[Enrolment S.Y. 2025-2026 ]]*8</f>
        <v>4904</v>
      </c>
      <c r="Q23" s="5"/>
      <c r="R23" s="1"/>
      <c r="S23" s="5"/>
      <c r="T23" s="5">
        <f t="shared" si="12"/>
        <v>4904</v>
      </c>
      <c r="U23" s="5">
        <f t="shared" si="13"/>
        <v>0</v>
      </c>
      <c r="V23" s="5">
        <f>Table1[[#This Row],[Enrolment S.Y. 2025-2026 ]]*8</f>
        <v>4904</v>
      </c>
      <c r="W23" s="5"/>
      <c r="X23" s="1"/>
      <c r="Y23" s="5"/>
      <c r="Z23" s="5">
        <f t="shared" si="14"/>
        <v>4904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613</v>
      </c>
      <c r="D24" s="5">
        <f>Table1[[#This Row],[Enrolment S.Y. 2025-2026 ]]*8</f>
        <v>4904</v>
      </c>
      <c r="E24" s="5">
        <v>0</v>
      </c>
      <c r="F24" s="1"/>
      <c r="G24" s="5"/>
      <c r="H24" s="5">
        <f t="shared" si="2"/>
        <v>4904</v>
      </c>
      <c r="I24" s="5">
        <f t="shared" si="3"/>
        <v>0</v>
      </c>
      <c r="J24" s="5">
        <f>Table1[[#This Row],[Enrolment S.Y. 2025-2026 ]]*8</f>
        <v>4904</v>
      </c>
      <c r="K24" s="5"/>
      <c r="L24" s="1"/>
      <c r="M24" s="5"/>
      <c r="N24" s="5">
        <f t="shared" si="10"/>
        <v>4904</v>
      </c>
      <c r="O24" s="5">
        <f t="shared" si="11"/>
        <v>0</v>
      </c>
      <c r="P24" s="5">
        <f>Table1[[#This Row],[Enrolment S.Y. 2025-2026 ]]*8</f>
        <v>4904</v>
      </c>
      <c r="Q24" s="5"/>
      <c r="R24" s="1"/>
      <c r="S24" s="5"/>
      <c r="T24" s="5">
        <f t="shared" si="12"/>
        <v>4904</v>
      </c>
      <c r="U24" s="5">
        <f t="shared" si="13"/>
        <v>0</v>
      </c>
      <c r="V24" s="5">
        <f>Table1[[#This Row],[Enrolment S.Y. 2025-2026 ]]*8</f>
        <v>4904</v>
      </c>
      <c r="W24" s="5"/>
      <c r="X24" s="1"/>
      <c r="Y24" s="5"/>
      <c r="Z24" s="5">
        <f t="shared" si="14"/>
        <v>4904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613</v>
      </c>
      <c r="D25" s="5">
        <f>Table1[[#This Row],[Enrolment S.Y. 2025-2026 ]]*8</f>
        <v>4904</v>
      </c>
      <c r="E25" s="5">
        <v>591</v>
      </c>
      <c r="F25" s="1">
        <v>2025</v>
      </c>
      <c r="G25" s="5" t="s">
        <v>9</v>
      </c>
      <c r="H25" s="5">
        <f t="shared" si="2"/>
        <v>4313</v>
      </c>
      <c r="I25" s="5">
        <f t="shared" si="3"/>
        <v>0</v>
      </c>
      <c r="J25" s="5">
        <f>Table1[[#This Row],[Enrolment S.Y. 2025-2026 ]]*8</f>
        <v>4904</v>
      </c>
      <c r="K25" s="5"/>
      <c r="L25" s="1"/>
      <c r="M25" s="5"/>
      <c r="N25" s="5">
        <f t="shared" si="10"/>
        <v>4904</v>
      </c>
      <c r="O25" s="5">
        <f t="shared" si="11"/>
        <v>0</v>
      </c>
      <c r="P25" s="5">
        <f>Table1[[#This Row],[Enrolment S.Y. 2025-2026 ]]*8</f>
        <v>4904</v>
      </c>
      <c r="Q25" s="5"/>
      <c r="R25" s="1"/>
      <c r="S25" s="5"/>
      <c r="T25" s="5">
        <f t="shared" si="12"/>
        <v>4904</v>
      </c>
      <c r="U25" s="5">
        <f t="shared" si="13"/>
        <v>0</v>
      </c>
      <c r="V25" s="5">
        <f>Table1[[#This Row],[Enrolment S.Y. 2025-2026 ]]*8</f>
        <v>4904</v>
      </c>
      <c r="W25" s="5"/>
      <c r="X25" s="1"/>
      <c r="Y25" s="5"/>
      <c r="Z25" s="5">
        <f t="shared" si="14"/>
        <v>4904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613</v>
      </c>
      <c r="D26" s="5">
        <f>Table1[[#This Row],[Enrolment S.Y. 2025-2026 ]]*8</f>
        <v>4904</v>
      </c>
      <c r="E26" s="5">
        <v>591</v>
      </c>
      <c r="F26" s="1">
        <v>2025</v>
      </c>
      <c r="G26" s="5" t="s">
        <v>9</v>
      </c>
      <c r="H26" s="5">
        <f t="shared" si="2"/>
        <v>4313</v>
      </c>
      <c r="I26" s="5">
        <f t="shared" si="3"/>
        <v>0</v>
      </c>
      <c r="J26" s="5">
        <f>Table1[[#This Row],[Enrolment S.Y. 2025-2026 ]]*8</f>
        <v>4904</v>
      </c>
      <c r="K26" s="5"/>
      <c r="L26" s="1"/>
      <c r="M26" s="5"/>
      <c r="N26" s="5">
        <f t="shared" si="10"/>
        <v>4904</v>
      </c>
      <c r="O26" s="5">
        <f t="shared" si="11"/>
        <v>0</v>
      </c>
      <c r="P26" s="5">
        <f>Table1[[#This Row],[Enrolment S.Y. 2025-2026 ]]*8</f>
        <v>4904</v>
      </c>
      <c r="Q26" s="5"/>
      <c r="R26" s="1"/>
      <c r="S26" s="5"/>
      <c r="T26" s="5">
        <f t="shared" si="12"/>
        <v>4904</v>
      </c>
      <c r="U26" s="5">
        <f t="shared" si="13"/>
        <v>0</v>
      </c>
      <c r="V26" s="5">
        <f>Table1[[#This Row],[Enrolment S.Y. 2025-2026 ]]*8</f>
        <v>4904</v>
      </c>
      <c r="W26" s="5"/>
      <c r="X26" s="1"/>
      <c r="Y26" s="5"/>
      <c r="Z26" s="5">
        <f t="shared" si="14"/>
        <v>4904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613</v>
      </c>
      <c r="D27" s="5">
        <f>Table1[[#This Row],[Enrolment S.Y. 2025-2026 ]]*8</f>
        <v>4904</v>
      </c>
      <c r="E27" s="5">
        <v>591</v>
      </c>
      <c r="F27" s="1">
        <v>2025</v>
      </c>
      <c r="G27" s="5" t="s">
        <v>9</v>
      </c>
      <c r="H27" s="5">
        <f t="shared" si="2"/>
        <v>4313</v>
      </c>
      <c r="I27" s="5">
        <f t="shared" si="3"/>
        <v>0</v>
      </c>
      <c r="J27" s="5">
        <f>Table1[[#This Row],[Enrolment S.Y. 2025-2026 ]]*8</f>
        <v>4904</v>
      </c>
      <c r="K27" s="5"/>
      <c r="L27" s="1"/>
      <c r="M27" s="5"/>
      <c r="N27" s="5">
        <f t="shared" si="10"/>
        <v>4904</v>
      </c>
      <c r="O27" s="5">
        <f t="shared" si="11"/>
        <v>0</v>
      </c>
      <c r="P27" s="5">
        <f>Table1[[#This Row],[Enrolment S.Y. 2025-2026 ]]*8</f>
        <v>4904</v>
      </c>
      <c r="Q27" s="5"/>
      <c r="R27" s="1"/>
      <c r="S27" s="5"/>
      <c r="T27" s="5">
        <f t="shared" si="12"/>
        <v>4904</v>
      </c>
      <c r="U27" s="5">
        <f t="shared" si="13"/>
        <v>0</v>
      </c>
      <c r="V27" s="5">
        <f>Table1[[#This Row],[Enrolment S.Y. 2025-2026 ]]*8</f>
        <v>4904</v>
      </c>
      <c r="W27" s="5"/>
      <c r="X27" s="1"/>
      <c r="Y27" s="5"/>
      <c r="Z27" s="5">
        <f t="shared" si="14"/>
        <v>4904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613</v>
      </c>
      <c r="D28" s="5">
        <f>Table1[[#This Row],[Enrolment S.Y. 2025-2026 ]]*8</f>
        <v>4904</v>
      </c>
      <c r="E28" s="5">
        <v>591</v>
      </c>
      <c r="F28" s="1">
        <v>2025</v>
      </c>
      <c r="G28" s="5" t="s">
        <v>9</v>
      </c>
      <c r="H28" s="5">
        <f t="shared" si="2"/>
        <v>4313</v>
      </c>
      <c r="I28" s="5">
        <f t="shared" si="3"/>
        <v>0</v>
      </c>
      <c r="J28" s="5">
        <f>Table1[[#This Row],[Enrolment S.Y. 2025-2026 ]]*8</f>
        <v>4904</v>
      </c>
      <c r="K28" s="5"/>
      <c r="L28" s="1"/>
      <c r="M28" s="5"/>
      <c r="N28" s="5">
        <f t="shared" si="10"/>
        <v>4904</v>
      </c>
      <c r="O28" s="5">
        <f t="shared" si="11"/>
        <v>0</v>
      </c>
      <c r="P28" s="5">
        <f>Table1[[#This Row],[Enrolment S.Y. 2025-2026 ]]*8</f>
        <v>4904</v>
      </c>
      <c r="Q28" s="5"/>
      <c r="R28" s="1"/>
      <c r="S28" s="5"/>
      <c r="T28" s="5">
        <f t="shared" si="12"/>
        <v>4904</v>
      </c>
      <c r="U28" s="5">
        <f t="shared" si="13"/>
        <v>0</v>
      </c>
      <c r="V28" s="5">
        <f>Table1[[#This Row],[Enrolment S.Y. 2025-2026 ]]*8</f>
        <v>4904</v>
      </c>
      <c r="W28" s="5"/>
      <c r="X28" s="1"/>
      <c r="Y28" s="5"/>
      <c r="Z28" s="5">
        <f t="shared" si="14"/>
        <v>4904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613</v>
      </c>
      <c r="D29" s="5">
        <f>Table1[[#This Row],[Enrolment S.Y. 2025-2026 ]]*8</f>
        <v>4904</v>
      </c>
      <c r="E29" s="5">
        <v>591</v>
      </c>
      <c r="F29" s="1">
        <v>2025</v>
      </c>
      <c r="G29" s="5" t="s">
        <v>9</v>
      </c>
      <c r="H29" s="5">
        <f>IF((D29-E29)&lt;0,0,(D29-E29))</f>
        <v>4313</v>
      </c>
      <c r="I29" s="5">
        <f>IF((E29-D29)&lt;0,0,(E29-D29))</f>
        <v>0</v>
      </c>
      <c r="J29" s="5">
        <f>Table1[[#This Row],[Enrolment S.Y. 2025-2026 ]]*8</f>
        <v>4904</v>
      </c>
      <c r="K29" s="5"/>
      <c r="L29" s="1"/>
      <c r="M29" s="5"/>
      <c r="N29" s="5">
        <f t="shared" si="10"/>
        <v>4904</v>
      </c>
      <c r="O29" s="5">
        <f t="shared" si="11"/>
        <v>0</v>
      </c>
      <c r="P29" s="5">
        <f>Table1[[#This Row],[Enrolment S.Y. 2025-2026 ]]*8</f>
        <v>4904</v>
      </c>
      <c r="Q29" s="5"/>
      <c r="R29" s="1"/>
      <c r="S29" s="5"/>
      <c r="T29" s="5">
        <f t="shared" si="12"/>
        <v>4904</v>
      </c>
      <c r="U29" s="5">
        <f t="shared" si="13"/>
        <v>0</v>
      </c>
      <c r="V29" s="5">
        <f>Table1[[#This Row],[Enrolment S.Y. 2025-2026 ]]*8</f>
        <v>4904</v>
      </c>
      <c r="W29" s="5"/>
      <c r="X29" s="1"/>
      <c r="Y29" s="5"/>
      <c r="Z29" s="5">
        <f t="shared" si="14"/>
        <v>4904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613</v>
      </c>
      <c r="D30" s="5">
        <f>Table1[[#This Row],[Enrolment S.Y. 2025-2026 ]]*8</f>
        <v>4904</v>
      </c>
      <c r="E30" s="5">
        <v>591</v>
      </c>
      <c r="F30" s="1">
        <v>2025</v>
      </c>
      <c r="G30" s="5" t="s">
        <v>9</v>
      </c>
      <c r="H30" s="5">
        <f>IF((D30-E30)&lt;0,0,(D30-E30))</f>
        <v>4313</v>
      </c>
      <c r="I30" s="5">
        <f>IF((E30-D30)&lt;0,0,(E30-D30))</f>
        <v>0</v>
      </c>
      <c r="J30" s="5">
        <f>Table1[[#This Row],[Enrolment S.Y. 2025-2026 ]]*8</f>
        <v>4904</v>
      </c>
      <c r="K30" s="5"/>
      <c r="L30" s="1"/>
      <c r="M30" s="5"/>
      <c r="N30" s="5">
        <f t="shared" si="10"/>
        <v>4904</v>
      </c>
      <c r="O30" s="5">
        <f t="shared" si="11"/>
        <v>0</v>
      </c>
      <c r="P30" s="5">
        <f>Table1[[#This Row],[Enrolment S.Y. 2025-2026 ]]*8</f>
        <v>4904</v>
      </c>
      <c r="Q30" s="5"/>
      <c r="R30" s="1"/>
      <c r="S30" s="5"/>
      <c r="T30" s="5">
        <f t="shared" si="12"/>
        <v>4904</v>
      </c>
      <c r="U30" s="5">
        <f t="shared" si="13"/>
        <v>0</v>
      </c>
      <c r="V30" s="5">
        <f>Table1[[#This Row],[Enrolment S.Y. 2025-2026 ]]*8</f>
        <v>4904</v>
      </c>
      <c r="W30" s="5"/>
      <c r="X30" s="1"/>
      <c r="Y30" s="5"/>
      <c r="Z30" s="5">
        <f t="shared" si="14"/>
        <v>4904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613</v>
      </c>
      <c r="D31" s="5">
        <f>Table1[[#This Row],[Enrolment S.Y. 2025-2026 ]]*8</f>
        <v>4904</v>
      </c>
      <c r="E31" s="5">
        <v>0</v>
      </c>
      <c r="F31" s="1"/>
      <c r="G31" s="5"/>
      <c r="H31" s="5">
        <f>IF((D31-E31)&lt;0,0,(D31-E31))</f>
        <v>4904</v>
      </c>
      <c r="I31" s="5">
        <f>IF((E31-D31)&lt;0,0,(E31-D31))</f>
        <v>0</v>
      </c>
      <c r="J31" s="5">
        <f>Table1[[#This Row],[Enrolment S.Y. 2025-2026 ]]*8</f>
        <v>4904</v>
      </c>
      <c r="K31" s="5"/>
      <c r="L31" s="1"/>
      <c r="M31" s="5"/>
      <c r="N31" s="5">
        <f t="shared" si="10"/>
        <v>4904</v>
      </c>
      <c r="O31" s="5">
        <f t="shared" si="11"/>
        <v>0</v>
      </c>
      <c r="P31" s="5">
        <f>Table1[[#This Row],[Enrolment S.Y. 2025-2026 ]]*8</f>
        <v>4904</v>
      </c>
      <c r="Q31" s="5"/>
      <c r="R31" s="1"/>
      <c r="S31" s="5"/>
      <c r="T31" s="5">
        <f t="shared" si="12"/>
        <v>4904</v>
      </c>
      <c r="U31" s="5">
        <f t="shared" si="13"/>
        <v>0</v>
      </c>
      <c r="V31" s="5">
        <f>Table1[[#This Row],[Enrolment S.Y. 2025-2026 ]]*8</f>
        <v>4904</v>
      </c>
      <c r="W31" s="5"/>
      <c r="X31" s="1"/>
      <c r="Y31" s="5"/>
      <c r="Z31" s="5">
        <f t="shared" si="14"/>
        <v>4904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672</v>
      </c>
      <c r="D33" s="5">
        <f>Table1[[#This Row],[Enrolment S.Y. 2025-2026 ]]*8</f>
        <v>5376</v>
      </c>
      <c r="E33" s="5">
        <v>0</v>
      </c>
      <c r="F33" s="1"/>
      <c r="G33" s="5"/>
      <c r="H33" s="5">
        <f t="shared" si="2"/>
        <v>5376</v>
      </c>
      <c r="I33" s="5">
        <f t="shared" si="3"/>
        <v>0</v>
      </c>
      <c r="J33" s="5">
        <f>Table1[[#This Row],[Enrolment S.Y. 2025-2026 ]]*8</f>
        <v>5376</v>
      </c>
      <c r="K33" s="5"/>
      <c r="L33" s="1"/>
      <c r="M33" s="5"/>
      <c r="N33" s="5">
        <f t="shared" si="10"/>
        <v>5376</v>
      </c>
      <c r="O33" s="5">
        <f t="shared" si="11"/>
        <v>0</v>
      </c>
      <c r="P33" s="5">
        <f>Table1[[#This Row],[Enrolment S.Y. 2025-2026 ]]*8</f>
        <v>5376</v>
      </c>
      <c r="Q33" s="5"/>
      <c r="R33" s="1"/>
      <c r="S33" s="5"/>
      <c r="T33" s="5">
        <f t="shared" si="12"/>
        <v>5376</v>
      </c>
      <c r="U33" s="5">
        <f t="shared" si="13"/>
        <v>0</v>
      </c>
      <c r="V33" s="5">
        <f>Table1[[#This Row],[Enrolment S.Y. 2025-2026 ]]*8</f>
        <v>5376</v>
      </c>
      <c r="W33" s="5"/>
      <c r="X33" s="1"/>
      <c r="Y33" s="5"/>
      <c r="Z33" s="5">
        <f t="shared" si="14"/>
        <v>5376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672</v>
      </c>
      <c r="D34" s="5">
        <f>Table1[[#This Row],[Enrolment S.Y. 2025-2026 ]]*8</f>
        <v>5376</v>
      </c>
      <c r="E34" s="5">
        <v>0</v>
      </c>
      <c r="F34" s="1"/>
      <c r="G34" s="5"/>
      <c r="H34" s="5">
        <f t="shared" si="2"/>
        <v>5376</v>
      </c>
      <c r="I34" s="5">
        <f t="shared" si="3"/>
        <v>0</v>
      </c>
      <c r="J34" s="5">
        <f>Table1[[#This Row],[Enrolment S.Y. 2025-2026 ]]*8</f>
        <v>5376</v>
      </c>
      <c r="K34" s="5"/>
      <c r="L34" s="1"/>
      <c r="M34" s="5"/>
      <c r="N34" s="5">
        <f t="shared" si="10"/>
        <v>5376</v>
      </c>
      <c r="O34" s="5">
        <f t="shared" si="11"/>
        <v>0</v>
      </c>
      <c r="P34" s="5">
        <f>Table1[[#This Row],[Enrolment S.Y. 2025-2026 ]]*8</f>
        <v>5376</v>
      </c>
      <c r="Q34" s="5"/>
      <c r="R34" s="1"/>
      <c r="S34" s="5"/>
      <c r="T34" s="5">
        <f t="shared" si="12"/>
        <v>5376</v>
      </c>
      <c r="U34" s="5">
        <f t="shared" si="13"/>
        <v>0</v>
      </c>
      <c r="V34" s="5">
        <f>Table1[[#This Row],[Enrolment S.Y. 2025-2026 ]]*8</f>
        <v>5376</v>
      </c>
      <c r="W34" s="5"/>
      <c r="X34" s="1"/>
      <c r="Y34" s="5"/>
      <c r="Z34" s="5">
        <f t="shared" si="14"/>
        <v>5376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672</v>
      </c>
      <c r="D35" s="5">
        <f>Table1[[#This Row],[Enrolment S.Y. 2025-2026 ]]*8</f>
        <v>5376</v>
      </c>
      <c r="E35" s="5">
        <v>0</v>
      </c>
      <c r="F35" s="1"/>
      <c r="G35" s="5"/>
      <c r="H35" s="5">
        <f t="shared" si="2"/>
        <v>5376</v>
      </c>
      <c r="I35" s="5">
        <f t="shared" si="3"/>
        <v>0</v>
      </c>
      <c r="J35" s="5">
        <f>Table1[[#This Row],[Enrolment S.Y. 2025-2026 ]]*8</f>
        <v>5376</v>
      </c>
      <c r="K35" s="5"/>
      <c r="L35" s="1"/>
      <c r="M35" s="5"/>
      <c r="N35" s="5">
        <f t="shared" si="10"/>
        <v>5376</v>
      </c>
      <c r="O35" s="5">
        <f t="shared" si="11"/>
        <v>0</v>
      </c>
      <c r="P35" s="5">
        <f>Table1[[#This Row],[Enrolment S.Y. 2025-2026 ]]*8</f>
        <v>5376</v>
      </c>
      <c r="Q35" s="5"/>
      <c r="R35" s="1"/>
      <c r="S35" s="5"/>
      <c r="T35" s="5">
        <f t="shared" si="12"/>
        <v>5376</v>
      </c>
      <c r="U35" s="5">
        <f t="shared" si="13"/>
        <v>0</v>
      </c>
      <c r="V35" s="5">
        <f>Table1[[#This Row],[Enrolment S.Y. 2025-2026 ]]*8</f>
        <v>5376</v>
      </c>
      <c r="W35" s="5"/>
      <c r="X35" s="1"/>
      <c r="Y35" s="5"/>
      <c r="Z35" s="5">
        <f t="shared" si="14"/>
        <v>5376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672</v>
      </c>
      <c r="D36" s="5">
        <f>Table1[[#This Row],[Enrolment S.Y. 2025-2026 ]]*8</f>
        <v>5376</v>
      </c>
      <c r="E36" s="5">
        <v>0</v>
      </c>
      <c r="F36" s="1"/>
      <c r="G36" s="5"/>
      <c r="H36" s="5">
        <f t="shared" si="2"/>
        <v>5376</v>
      </c>
      <c r="I36" s="5">
        <f t="shared" si="3"/>
        <v>0</v>
      </c>
      <c r="J36" s="5">
        <f>Table1[[#This Row],[Enrolment S.Y. 2025-2026 ]]*8</f>
        <v>5376</v>
      </c>
      <c r="K36" s="5"/>
      <c r="L36" s="1"/>
      <c r="M36" s="5"/>
      <c r="N36" s="5">
        <f t="shared" si="10"/>
        <v>5376</v>
      </c>
      <c r="O36" s="5">
        <f t="shared" si="11"/>
        <v>0</v>
      </c>
      <c r="P36" s="5">
        <f>Table1[[#This Row],[Enrolment S.Y. 2025-2026 ]]*8</f>
        <v>5376</v>
      </c>
      <c r="Q36" s="5"/>
      <c r="R36" s="1"/>
      <c r="S36" s="5"/>
      <c r="T36" s="5">
        <f t="shared" si="12"/>
        <v>5376</v>
      </c>
      <c r="U36" s="5">
        <f t="shared" si="13"/>
        <v>0</v>
      </c>
      <c r="V36" s="5">
        <f>Table1[[#This Row],[Enrolment S.Y. 2025-2026 ]]*8</f>
        <v>5376</v>
      </c>
      <c r="W36" s="5"/>
      <c r="X36" s="1"/>
      <c r="Y36" s="5"/>
      <c r="Z36" s="5">
        <f t="shared" si="14"/>
        <v>5376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672</v>
      </c>
      <c r="D37" s="5">
        <f>Table1[[#This Row],[Enrolment S.Y. 2025-2026 ]]*8</f>
        <v>5376</v>
      </c>
      <c r="E37" s="5">
        <v>0</v>
      </c>
      <c r="F37" s="1"/>
      <c r="G37" s="5"/>
      <c r="H37" s="5">
        <f t="shared" si="2"/>
        <v>5376</v>
      </c>
      <c r="I37" s="5">
        <f t="shared" si="3"/>
        <v>0</v>
      </c>
      <c r="J37" s="5">
        <f>Table1[[#This Row],[Enrolment S.Y. 2025-2026 ]]*8</f>
        <v>5376</v>
      </c>
      <c r="K37" s="5"/>
      <c r="L37" s="1"/>
      <c r="M37" s="5"/>
      <c r="N37" s="5">
        <f t="shared" si="10"/>
        <v>5376</v>
      </c>
      <c r="O37" s="5">
        <f t="shared" si="11"/>
        <v>0</v>
      </c>
      <c r="P37" s="5">
        <f>Table1[[#This Row],[Enrolment S.Y. 2025-2026 ]]*8</f>
        <v>5376</v>
      </c>
      <c r="Q37" s="5"/>
      <c r="R37" s="1"/>
      <c r="S37" s="5"/>
      <c r="T37" s="5">
        <f t="shared" si="12"/>
        <v>5376</v>
      </c>
      <c r="U37" s="5">
        <f t="shared" si="13"/>
        <v>0</v>
      </c>
      <c r="V37" s="5">
        <f>Table1[[#This Row],[Enrolment S.Y. 2025-2026 ]]*8</f>
        <v>5376</v>
      </c>
      <c r="W37" s="5"/>
      <c r="X37" s="1"/>
      <c r="Y37" s="5"/>
      <c r="Z37" s="5">
        <f t="shared" si="14"/>
        <v>5376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672</v>
      </c>
      <c r="D38" s="5">
        <f>Table1[[#This Row],[Enrolment S.Y. 2025-2026 ]]*8</f>
        <v>5376</v>
      </c>
      <c r="E38" s="5">
        <v>0</v>
      </c>
      <c r="F38" s="1"/>
      <c r="G38" s="5"/>
      <c r="H38" s="5">
        <f t="shared" si="2"/>
        <v>5376</v>
      </c>
      <c r="I38" s="5">
        <f t="shared" si="3"/>
        <v>0</v>
      </c>
      <c r="J38" s="5">
        <f>Table1[[#This Row],[Enrolment S.Y. 2025-2026 ]]*8</f>
        <v>5376</v>
      </c>
      <c r="K38" s="5"/>
      <c r="L38" s="1"/>
      <c r="M38" s="5"/>
      <c r="N38" s="5">
        <f t="shared" si="10"/>
        <v>5376</v>
      </c>
      <c r="O38" s="5">
        <f t="shared" si="11"/>
        <v>0</v>
      </c>
      <c r="P38" s="5">
        <f>Table1[[#This Row],[Enrolment S.Y. 2025-2026 ]]*8</f>
        <v>5376</v>
      </c>
      <c r="Q38" s="5"/>
      <c r="R38" s="1"/>
      <c r="S38" s="5"/>
      <c r="T38" s="5">
        <f t="shared" si="12"/>
        <v>5376</v>
      </c>
      <c r="U38" s="5">
        <f t="shared" si="13"/>
        <v>0</v>
      </c>
      <c r="V38" s="5">
        <f>Table1[[#This Row],[Enrolment S.Y. 2025-2026 ]]*8</f>
        <v>5376</v>
      </c>
      <c r="W38" s="5"/>
      <c r="X38" s="1"/>
      <c r="Y38" s="5"/>
      <c r="Z38" s="5">
        <f t="shared" si="14"/>
        <v>5376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672</v>
      </c>
      <c r="D39" s="5">
        <f>Table1[[#This Row],[Enrolment S.Y. 2025-2026 ]]*8</f>
        <v>5376</v>
      </c>
      <c r="E39" s="5">
        <v>0</v>
      </c>
      <c r="F39" s="1"/>
      <c r="G39" s="5"/>
      <c r="H39" s="5">
        <f t="shared" si="2"/>
        <v>5376</v>
      </c>
      <c r="I39" s="5">
        <f t="shared" si="3"/>
        <v>0</v>
      </c>
      <c r="J39" s="5">
        <f>Table1[[#This Row],[Enrolment S.Y. 2025-2026 ]]*8</f>
        <v>5376</v>
      </c>
      <c r="K39" s="5"/>
      <c r="L39" s="1"/>
      <c r="M39" s="5"/>
      <c r="N39" s="5">
        <f t="shared" si="10"/>
        <v>5376</v>
      </c>
      <c r="O39" s="5">
        <f t="shared" si="11"/>
        <v>0</v>
      </c>
      <c r="P39" s="5">
        <f>Table1[[#This Row],[Enrolment S.Y. 2025-2026 ]]*8</f>
        <v>5376</v>
      </c>
      <c r="Q39" s="5"/>
      <c r="R39" s="1"/>
      <c r="S39" s="5"/>
      <c r="T39" s="5">
        <f t="shared" si="12"/>
        <v>5376</v>
      </c>
      <c r="U39" s="5">
        <f t="shared" si="13"/>
        <v>0</v>
      </c>
      <c r="V39" s="5">
        <f>Table1[[#This Row],[Enrolment S.Y. 2025-2026 ]]*8</f>
        <v>5376</v>
      </c>
      <c r="W39" s="5"/>
      <c r="X39" s="1"/>
      <c r="Y39" s="5"/>
      <c r="Z39" s="5">
        <f t="shared" si="14"/>
        <v>5376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672</v>
      </c>
      <c r="D40" s="5">
        <f>Table1[[#This Row],[Enrolment S.Y. 2025-2026 ]]*8</f>
        <v>5376</v>
      </c>
      <c r="E40" s="5">
        <v>0</v>
      </c>
      <c r="F40" s="1"/>
      <c r="G40" s="5"/>
      <c r="H40" s="5">
        <f t="shared" si="2"/>
        <v>5376</v>
      </c>
      <c r="I40" s="5">
        <f t="shared" si="3"/>
        <v>0</v>
      </c>
      <c r="J40" s="5">
        <f>Table1[[#This Row],[Enrolment S.Y. 2025-2026 ]]*8</f>
        <v>5376</v>
      </c>
      <c r="K40" s="5"/>
      <c r="L40" s="1"/>
      <c r="M40" s="5"/>
      <c r="N40" s="5">
        <f t="shared" si="10"/>
        <v>5376</v>
      </c>
      <c r="O40" s="5">
        <f t="shared" si="11"/>
        <v>0</v>
      </c>
      <c r="P40" s="5">
        <f>Table1[[#This Row],[Enrolment S.Y. 2025-2026 ]]*8</f>
        <v>5376</v>
      </c>
      <c r="Q40" s="5"/>
      <c r="R40" s="1"/>
      <c r="S40" s="5"/>
      <c r="T40" s="5">
        <f t="shared" si="12"/>
        <v>5376</v>
      </c>
      <c r="U40" s="5">
        <f t="shared" si="13"/>
        <v>0</v>
      </c>
      <c r="V40" s="5">
        <f>Table1[[#This Row],[Enrolment S.Y. 2025-2026 ]]*8</f>
        <v>5376</v>
      </c>
      <c r="W40" s="5"/>
      <c r="X40" s="1"/>
      <c r="Y40" s="5"/>
      <c r="Z40" s="5">
        <f t="shared" si="14"/>
        <v>5376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672</v>
      </c>
      <c r="D41" s="5">
        <f>Table1[[#This Row],[Enrolment S.Y. 2025-2026 ]]*8</f>
        <v>5376</v>
      </c>
      <c r="E41" s="5">
        <v>0</v>
      </c>
      <c r="F41" s="1"/>
      <c r="G41" s="5"/>
      <c r="H41" s="5">
        <f t="shared" si="2"/>
        <v>5376</v>
      </c>
      <c r="I41" s="5">
        <f t="shared" si="3"/>
        <v>0</v>
      </c>
      <c r="J41" s="5">
        <f>Table1[[#This Row],[Enrolment S.Y. 2025-2026 ]]*8</f>
        <v>5376</v>
      </c>
      <c r="K41" s="5"/>
      <c r="L41" s="1"/>
      <c r="M41" s="5"/>
      <c r="N41" s="5">
        <f t="shared" si="10"/>
        <v>5376</v>
      </c>
      <c r="O41" s="5">
        <f t="shared" si="11"/>
        <v>0</v>
      </c>
      <c r="P41" s="5">
        <f>Table1[[#This Row],[Enrolment S.Y. 2025-2026 ]]*8</f>
        <v>5376</v>
      </c>
      <c r="Q41" s="5"/>
      <c r="R41" s="1"/>
      <c r="S41" s="5"/>
      <c r="T41" s="5">
        <f t="shared" si="12"/>
        <v>5376</v>
      </c>
      <c r="U41" s="5">
        <f t="shared" si="13"/>
        <v>0</v>
      </c>
      <c r="V41" s="5">
        <f>Table1[[#This Row],[Enrolment S.Y. 2025-2026 ]]*8</f>
        <v>5376</v>
      </c>
      <c r="W41" s="5"/>
      <c r="X41" s="1"/>
      <c r="Y41" s="5"/>
      <c r="Z41" s="5">
        <f t="shared" si="14"/>
        <v>5376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515</v>
      </c>
      <c r="D43" s="5">
        <f>Table1[[#This Row],[Enrolment S.Y. 2025-2026 ]]*8</f>
        <v>4120</v>
      </c>
      <c r="E43" s="5">
        <v>191</v>
      </c>
      <c r="F43" s="1">
        <v>2025</v>
      </c>
      <c r="G43" s="5" t="s">
        <v>9</v>
      </c>
      <c r="H43" s="5">
        <f t="shared" si="2"/>
        <v>3929</v>
      </c>
      <c r="I43" s="5">
        <f t="shared" si="3"/>
        <v>0</v>
      </c>
      <c r="J43" s="5">
        <f>Table1[[#This Row],[Enrolment S.Y. 2025-2026 ]]*8</f>
        <v>4120</v>
      </c>
      <c r="K43" s="5">
        <v>524</v>
      </c>
      <c r="L43" s="1">
        <v>2025</v>
      </c>
      <c r="M43" s="5" t="s">
        <v>9</v>
      </c>
      <c r="N43" s="5">
        <f t="shared" si="10"/>
        <v>3596</v>
      </c>
      <c r="O43" s="5">
        <f t="shared" si="11"/>
        <v>0</v>
      </c>
      <c r="P43" s="5">
        <f>Table1[[#This Row],[Enrolment S.Y. 2025-2026 ]]*8</f>
        <v>4120</v>
      </c>
      <c r="Q43" s="5"/>
      <c r="R43" s="1"/>
      <c r="S43" s="5"/>
      <c r="T43" s="5">
        <f t="shared" si="12"/>
        <v>4120</v>
      </c>
      <c r="U43" s="5">
        <f t="shared" si="13"/>
        <v>0</v>
      </c>
      <c r="V43" s="5">
        <f>Table1[[#This Row],[Enrolment S.Y. 2025-2026 ]]*8</f>
        <v>4120</v>
      </c>
      <c r="W43" s="5"/>
      <c r="X43" s="1"/>
      <c r="Y43" s="5"/>
      <c r="Z43" s="5">
        <f t="shared" si="14"/>
        <v>4120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515</v>
      </c>
      <c r="D44" s="5">
        <f>Table1[[#This Row],[Enrolment S.Y. 2025-2026 ]]*8</f>
        <v>4120</v>
      </c>
      <c r="E44" s="5">
        <v>191</v>
      </c>
      <c r="F44" s="1">
        <v>2025</v>
      </c>
      <c r="G44" s="5" t="s">
        <v>9</v>
      </c>
      <c r="H44" s="5">
        <f t="shared" si="2"/>
        <v>3929</v>
      </c>
      <c r="I44" s="5">
        <f t="shared" si="3"/>
        <v>0</v>
      </c>
      <c r="J44" s="5">
        <f>Table1[[#This Row],[Enrolment S.Y. 2025-2026 ]]*8</f>
        <v>4120</v>
      </c>
      <c r="K44" s="5"/>
      <c r="L44" s="1"/>
      <c r="M44" s="5"/>
      <c r="N44" s="5">
        <f t="shared" si="10"/>
        <v>4120</v>
      </c>
      <c r="O44" s="5">
        <f t="shared" si="11"/>
        <v>0</v>
      </c>
      <c r="P44" s="5">
        <f>Table1[[#This Row],[Enrolment S.Y. 2025-2026 ]]*8</f>
        <v>4120</v>
      </c>
      <c r="Q44" s="5"/>
      <c r="R44" s="1"/>
      <c r="S44" s="5"/>
      <c r="T44" s="5">
        <f t="shared" si="12"/>
        <v>4120</v>
      </c>
      <c r="U44" s="5">
        <f t="shared" si="13"/>
        <v>0</v>
      </c>
      <c r="V44" s="5">
        <f>Table1[[#This Row],[Enrolment S.Y. 2025-2026 ]]*8</f>
        <v>4120</v>
      </c>
      <c r="W44" s="5"/>
      <c r="X44" s="1"/>
      <c r="Y44" s="5"/>
      <c r="Z44" s="5">
        <f t="shared" si="14"/>
        <v>4120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515</v>
      </c>
      <c r="D45" s="5">
        <f>Table1[[#This Row],[Enrolment S.Y. 2025-2026 ]]*8</f>
        <v>4120</v>
      </c>
      <c r="E45" s="5">
        <v>191</v>
      </c>
      <c r="F45" s="1">
        <v>2025</v>
      </c>
      <c r="G45" s="5" t="s">
        <v>9</v>
      </c>
      <c r="H45" s="5">
        <f t="shared" si="2"/>
        <v>3929</v>
      </c>
      <c r="I45" s="5">
        <f t="shared" si="3"/>
        <v>0</v>
      </c>
      <c r="J45" s="5">
        <f>Table1[[#This Row],[Enrolment S.Y. 2025-2026 ]]*8</f>
        <v>4120</v>
      </c>
      <c r="K45" s="5">
        <v>524</v>
      </c>
      <c r="L45" s="1">
        <v>2025</v>
      </c>
      <c r="M45" s="5" t="s">
        <v>9</v>
      </c>
      <c r="N45" s="5">
        <f t="shared" si="10"/>
        <v>3596</v>
      </c>
      <c r="O45" s="5">
        <f t="shared" si="11"/>
        <v>0</v>
      </c>
      <c r="P45" s="5">
        <f>Table1[[#This Row],[Enrolment S.Y. 2025-2026 ]]*8</f>
        <v>4120</v>
      </c>
      <c r="Q45" s="5"/>
      <c r="R45" s="1"/>
      <c r="S45" s="5"/>
      <c r="T45" s="5">
        <f t="shared" si="12"/>
        <v>4120</v>
      </c>
      <c r="U45" s="5">
        <f t="shared" si="13"/>
        <v>0</v>
      </c>
      <c r="V45" s="5">
        <f>Table1[[#This Row],[Enrolment S.Y. 2025-2026 ]]*8</f>
        <v>4120</v>
      </c>
      <c r="W45" s="5"/>
      <c r="X45" s="1"/>
      <c r="Y45" s="5"/>
      <c r="Z45" s="5">
        <f t="shared" si="14"/>
        <v>4120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515</v>
      </c>
      <c r="D46" s="5">
        <f>Table1[[#This Row],[Enrolment S.Y. 2025-2026 ]]*8</f>
        <v>4120</v>
      </c>
      <c r="E46" s="5">
        <v>191</v>
      </c>
      <c r="F46" s="1">
        <v>2025</v>
      </c>
      <c r="G46" s="5" t="s">
        <v>9</v>
      </c>
      <c r="H46" s="5">
        <f t="shared" si="2"/>
        <v>3929</v>
      </c>
      <c r="I46" s="5">
        <f t="shared" si="3"/>
        <v>0</v>
      </c>
      <c r="J46" s="5">
        <f>Table1[[#This Row],[Enrolment S.Y. 2025-2026 ]]*8</f>
        <v>4120</v>
      </c>
      <c r="K46" s="5"/>
      <c r="L46" s="1"/>
      <c r="M46" s="5"/>
      <c r="N46" s="5">
        <f t="shared" si="10"/>
        <v>4120</v>
      </c>
      <c r="O46" s="5">
        <f t="shared" si="11"/>
        <v>0</v>
      </c>
      <c r="P46" s="5">
        <f>Table1[[#This Row],[Enrolment S.Y. 2025-2026 ]]*8</f>
        <v>4120</v>
      </c>
      <c r="Q46" s="5"/>
      <c r="R46" s="1"/>
      <c r="S46" s="5"/>
      <c r="T46" s="5">
        <f t="shared" si="12"/>
        <v>4120</v>
      </c>
      <c r="U46" s="5">
        <f t="shared" si="13"/>
        <v>0</v>
      </c>
      <c r="V46" s="5">
        <f>Table1[[#This Row],[Enrolment S.Y. 2025-2026 ]]*8</f>
        <v>4120</v>
      </c>
      <c r="W46" s="5"/>
      <c r="X46" s="1"/>
      <c r="Y46" s="5"/>
      <c r="Z46" s="5">
        <f t="shared" si="14"/>
        <v>4120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515</v>
      </c>
      <c r="D47" s="5">
        <f>Table1[[#This Row],[Enrolment S.Y. 2025-2026 ]]*8</f>
        <v>4120</v>
      </c>
      <c r="E47" s="5">
        <v>191</v>
      </c>
      <c r="F47" s="1">
        <v>2025</v>
      </c>
      <c r="G47" s="5" t="s">
        <v>9</v>
      </c>
      <c r="H47" s="5">
        <f t="shared" si="2"/>
        <v>3929</v>
      </c>
      <c r="I47" s="5">
        <f t="shared" si="3"/>
        <v>0</v>
      </c>
      <c r="J47" s="5">
        <f>Table1[[#This Row],[Enrolment S.Y. 2025-2026 ]]*8</f>
        <v>4120</v>
      </c>
      <c r="K47" s="5"/>
      <c r="L47" s="1"/>
      <c r="M47" s="5"/>
      <c r="N47" s="5">
        <f t="shared" si="10"/>
        <v>4120</v>
      </c>
      <c r="O47" s="5">
        <f t="shared" si="11"/>
        <v>0</v>
      </c>
      <c r="P47" s="5">
        <f>Table1[[#This Row],[Enrolment S.Y. 2025-2026 ]]*8</f>
        <v>4120</v>
      </c>
      <c r="Q47" s="5"/>
      <c r="R47" s="1"/>
      <c r="S47" s="5"/>
      <c r="T47" s="5">
        <f t="shared" si="12"/>
        <v>4120</v>
      </c>
      <c r="U47" s="5">
        <f t="shared" si="13"/>
        <v>0</v>
      </c>
      <c r="V47" s="5">
        <f>Table1[[#This Row],[Enrolment S.Y. 2025-2026 ]]*8</f>
        <v>4120</v>
      </c>
      <c r="W47" s="5"/>
      <c r="X47" s="1"/>
      <c r="Y47" s="5"/>
      <c r="Z47" s="5">
        <f t="shared" si="14"/>
        <v>4120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515</v>
      </c>
      <c r="D48" s="5">
        <f>Table1[[#This Row],[Enrolment S.Y. 2025-2026 ]]*8</f>
        <v>4120</v>
      </c>
      <c r="E48" s="5">
        <v>191</v>
      </c>
      <c r="F48" s="1">
        <v>2025</v>
      </c>
      <c r="G48" s="5" t="s">
        <v>9</v>
      </c>
      <c r="H48" s="5">
        <f t="shared" si="2"/>
        <v>3929</v>
      </c>
      <c r="I48" s="5">
        <f t="shared" si="3"/>
        <v>0</v>
      </c>
      <c r="J48" s="5">
        <f>Table1[[#This Row],[Enrolment S.Y. 2025-2026 ]]*8</f>
        <v>4120</v>
      </c>
      <c r="K48" s="5"/>
      <c r="L48" s="1"/>
      <c r="M48" s="5"/>
      <c r="N48" s="5">
        <f t="shared" si="10"/>
        <v>4120</v>
      </c>
      <c r="O48" s="5">
        <f t="shared" si="11"/>
        <v>0</v>
      </c>
      <c r="P48" s="5">
        <f>Table1[[#This Row],[Enrolment S.Y. 2025-2026 ]]*8</f>
        <v>4120</v>
      </c>
      <c r="Q48" s="5"/>
      <c r="R48" s="1"/>
      <c r="S48" s="5"/>
      <c r="T48" s="5">
        <f t="shared" si="12"/>
        <v>4120</v>
      </c>
      <c r="U48" s="5">
        <f t="shared" si="13"/>
        <v>0</v>
      </c>
      <c r="V48" s="5">
        <f>Table1[[#This Row],[Enrolment S.Y. 2025-2026 ]]*8</f>
        <v>4120</v>
      </c>
      <c r="W48" s="5"/>
      <c r="X48" s="1"/>
      <c r="Y48" s="5"/>
      <c r="Z48" s="5">
        <f t="shared" si="14"/>
        <v>4120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515</v>
      </c>
      <c r="D49" s="5">
        <f>Table1[[#This Row],[Enrolment S.Y. 2025-2026 ]]*8</f>
        <v>4120</v>
      </c>
      <c r="E49" s="5">
        <v>191</v>
      </c>
      <c r="F49" s="1">
        <v>2025</v>
      </c>
      <c r="G49" s="5" t="s">
        <v>9</v>
      </c>
      <c r="H49" s="5">
        <f t="shared" si="2"/>
        <v>3929</v>
      </c>
      <c r="I49" s="5">
        <f t="shared" si="3"/>
        <v>0</v>
      </c>
      <c r="J49" s="5">
        <f>Table1[[#This Row],[Enrolment S.Y. 2025-2026 ]]*8</f>
        <v>4120</v>
      </c>
      <c r="K49" s="5"/>
      <c r="L49" s="1"/>
      <c r="M49" s="5"/>
      <c r="N49" s="5">
        <f t="shared" si="10"/>
        <v>4120</v>
      </c>
      <c r="O49" s="5">
        <f t="shared" si="11"/>
        <v>0</v>
      </c>
      <c r="P49" s="5">
        <f>Table1[[#This Row],[Enrolment S.Y. 2025-2026 ]]*8</f>
        <v>4120</v>
      </c>
      <c r="Q49" s="5"/>
      <c r="R49" s="1"/>
      <c r="S49" s="5"/>
      <c r="T49" s="5">
        <f t="shared" si="12"/>
        <v>4120</v>
      </c>
      <c r="U49" s="5">
        <f t="shared" si="13"/>
        <v>0</v>
      </c>
      <c r="V49" s="5">
        <f>Table1[[#This Row],[Enrolment S.Y. 2025-2026 ]]*8</f>
        <v>4120</v>
      </c>
      <c r="W49" s="5"/>
      <c r="X49" s="1"/>
      <c r="Y49" s="5"/>
      <c r="Z49" s="5">
        <f t="shared" si="14"/>
        <v>4120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515</v>
      </c>
      <c r="D50" s="5">
        <f>Table1[[#This Row],[Enrolment S.Y. 2025-2026 ]]*8</f>
        <v>4120</v>
      </c>
      <c r="E50" s="5">
        <v>191</v>
      </c>
      <c r="F50" s="1">
        <v>2025</v>
      </c>
      <c r="G50" s="5" t="s">
        <v>9</v>
      </c>
      <c r="H50" s="5">
        <f t="shared" si="2"/>
        <v>3929</v>
      </c>
      <c r="I50" s="5">
        <f t="shared" si="3"/>
        <v>0</v>
      </c>
      <c r="J50" s="5">
        <f>Table1[[#This Row],[Enrolment S.Y. 2025-2026 ]]*8</f>
        <v>4120</v>
      </c>
      <c r="K50" s="5"/>
      <c r="L50" s="1"/>
      <c r="M50" s="5"/>
      <c r="N50" s="5">
        <f t="shared" si="10"/>
        <v>4120</v>
      </c>
      <c r="O50" s="5">
        <f t="shared" si="11"/>
        <v>0</v>
      </c>
      <c r="P50" s="5">
        <f>Table1[[#This Row],[Enrolment S.Y. 2025-2026 ]]*8</f>
        <v>4120</v>
      </c>
      <c r="Q50" s="5"/>
      <c r="R50" s="1"/>
      <c r="S50" s="5"/>
      <c r="T50" s="5">
        <f t="shared" si="12"/>
        <v>4120</v>
      </c>
      <c r="U50" s="5">
        <f t="shared" si="13"/>
        <v>0</v>
      </c>
      <c r="V50" s="5">
        <f>Table1[[#This Row],[Enrolment S.Y. 2025-2026 ]]*8</f>
        <v>4120</v>
      </c>
      <c r="W50" s="5"/>
      <c r="X50" s="1"/>
      <c r="Y50" s="5"/>
      <c r="Z50" s="5">
        <f t="shared" si="14"/>
        <v>4120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515</v>
      </c>
      <c r="D51" s="5">
        <f>Table1[[#This Row],[Enrolment S.Y. 2025-2026 ]]*8</f>
        <v>4120</v>
      </c>
      <c r="E51" s="5">
        <v>191</v>
      </c>
      <c r="F51" s="1">
        <v>2025</v>
      </c>
      <c r="G51" s="5" t="s">
        <v>9</v>
      </c>
      <c r="H51" s="5">
        <f t="shared" si="2"/>
        <v>3929</v>
      </c>
      <c r="I51" s="5">
        <f t="shared" si="3"/>
        <v>0</v>
      </c>
      <c r="J51" s="5">
        <f>Table1[[#This Row],[Enrolment S.Y. 2025-2026 ]]*8</f>
        <v>4120</v>
      </c>
      <c r="K51" s="5"/>
      <c r="L51" s="1"/>
      <c r="M51" s="5"/>
      <c r="N51" s="5">
        <f t="shared" si="10"/>
        <v>4120</v>
      </c>
      <c r="O51" s="5">
        <f t="shared" si="11"/>
        <v>0</v>
      </c>
      <c r="P51" s="5">
        <f>Table1[[#This Row],[Enrolment S.Y. 2025-2026 ]]*8</f>
        <v>4120</v>
      </c>
      <c r="Q51" s="5"/>
      <c r="R51" s="1"/>
      <c r="S51" s="5"/>
      <c r="T51" s="5">
        <f t="shared" si="12"/>
        <v>4120</v>
      </c>
      <c r="U51" s="5">
        <f t="shared" si="13"/>
        <v>0</v>
      </c>
      <c r="V51" s="5">
        <f>Table1[[#This Row],[Enrolment S.Y. 2025-2026 ]]*8</f>
        <v>4120</v>
      </c>
      <c r="W51" s="5"/>
      <c r="X51" s="1"/>
      <c r="Y51" s="5"/>
      <c r="Z51" s="5">
        <f t="shared" si="14"/>
        <v>4120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566</v>
      </c>
      <c r="D53" s="5">
        <f>Table1[[#This Row],[Enrolment S.Y. 2025-2026 ]]*8</f>
        <v>4528</v>
      </c>
      <c r="E53" s="5">
        <v>0</v>
      </c>
      <c r="F53" s="1"/>
      <c r="G53" s="5"/>
      <c r="H53" s="5">
        <f t="shared" si="2"/>
        <v>4528</v>
      </c>
      <c r="I53" s="5">
        <f t="shared" si="3"/>
        <v>0</v>
      </c>
      <c r="J53" s="5">
        <f>Table1[[#This Row],[Enrolment S.Y. 2025-2026 ]]*8</f>
        <v>4528</v>
      </c>
      <c r="K53" s="5"/>
      <c r="L53" s="1"/>
      <c r="M53" s="5"/>
      <c r="N53" s="5">
        <f t="shared" si="10"/>
        <v>4528</v>
      </c>
      <c r="O53" s="5">
        <f t="shared" si="11"/>
        <v>0</v>
      </c>
      <c r="P53" s="5">
        <f>Table1[[#This Row],[Enrolment S.Y. 2025-2026 ]]*8</f>
        <v>4528</v>
      </c>
      <c r="Q53" s="5"/>
      <c r="R53" s="1"/>
      <c r="S53" s="5"/>
      <c r="T53" s="5">
        <f t="shared" si="12"/>
        <v>4528</v>
      </c>
      <c r="U53" s="5">
        <f t="shared" si="13"/>
        <v>0</v>
      </c>
      <c r="V53" s="5">
        <f>Table1[[#This Row],[Enrolment S.Y. 2025-2026 ]]*8</f>
        <v>4528</v>
      </c>
      <c r="W53" s="5"/>
      <c r="X53" s="1"/>
      <c r="Y53" s="5"/>
      <c r="Z53" s="5">
        <f t="shared" si="14"/>
        <v>4528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566</v>
      </c>
      <c r="D54" s="5">
        <f>Table1[[#This Row],[Enrolment S.Y. 2025-2026 ]]*8</f>
        <v>4528</v>
      </c>
      <c r="E54" s="5">
        <v>0</v>
      </c>
      <c r="F54" s="1"/>
      <c r="G54" s="5"/>
      <c r="H54" s="5">
        <f t="shared" si="2"/>
        <v>4528</v>
      </c>
      <c r="I54" s="5">
        <f t="shared" si="3"/>
        <v>0</v>
      </c>
      <c r="J54" s="5">
        <f>Table1[[#This Row],[Enrolment S.Y. 2025-2026 ]]*8</f>
        <v>4528</v>
      </c>
      <c r="K54" s="5"/>
      <c r="L54" s="1"/>
      <c r="M54" s="5"/>
      <c r="N54" s="5">
        <f t="shared" si="10"/>
        <v>4528</v>
      </c>
      <c r="O54" s="5">
        <f t="shared" si="11"/>
        <v>0</v>
      </c>
      <c r="P54" s="5">
        <f>Table1[[#This Row],[Enrolment S.Y. 2025-2026 ]]*8</f>
        <v>4528</v>
      </c>
      <c r="Q54" s="5"/>
      <c r="R54" s="1"/>
      <c r="S54" s="5"/>
      <c r="T54" s="5">
        <f t="shared" si="12"/>
        <v>4528</v>
      </c>
      <c r="U54" s="5">
        <f t="shared" si="13"/>
        <v>0</v>
      </c>
      <c r="V54" s="5">
        <f>Table1[[#This Row],[Enrolment S.Y. 2025-2026 ]]*8</f>
        <v>4528</v>
      </c>
      <c r="W54" s="5"/>
      <c r="X54" s="1"/>
      <c r="Y54" s="5"/>
      <c r="Z54" s="5">
        <f t="shared" si="14"/>
        <v>4528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566</v>
      </c>
      <c r="D55" s="5">
        <f>Table1[[#This Row],[Enrolment S.Y. 2025-2026 ]]*8</f>
        <v>4528</v>
      </c>
      <c r="E55" s="5">
        <v>0</v>
      </c>
      <c r="F55" s="1"/>
      <c r="G55" s="5"/>
      <c r="H55" s="5">
        <f t="shared" si="2"/>
        <v>4528</v>
      </c>
      <c r="I55" s="5">
        <f t="shared" si="3"/>
        <v>0</v>
      </c>
      <c r="J55" s="5">
        <f>Table1[[#This Row],[Enrolment S.Y. 2025-2026 ]]*8</f>
        <v>4528</v>
      </c>
      <c r="K55" s="5"/>
      <c r="L55" s="1"/>
      <c r="M55" s="5"/>
      <c r="N55" s="5">
        <f t="shared" si="10"/>
        <v>4528</v>
      </c>
      <c r="O55" s="5">
        <f t="shared" si="11"/>
        <v>0</v>
      </c>
      <c r="P55" s="5">
        <f>Table1[[#This Row],[Enrolment S.Y. 2025-2026 ]]*8</f>
        <v>4528</v>
      </c>
      <c r="Q55" s="5"/>
      <c r="R55" s="1"/>
      <c r="S55" s="5"/>
      <c r="T55" s="5">
        <f t="shared" si="12"/>
        <v>4528</v>
      </c>
      <c r="U55" s="5">
        <f t="shared" si="13"/>
        <v>0</v>
      </c>
      <c r="V55" s="5">
        <f>Table1[[#This Row],[Enrolment S.Y. 2025-2026 ]]*8</f>
        <v>4528</v>
      </c>
      <c r="W55" s="5"/>
      <c r="X55" s="1"/>
      <c r="Y55" s="5"/>
      <c r="Z55" s="5">
        <f t="shared" si="14"/>
        <v>4528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566</v>
      </c>
      <c r="D56" s="5">
        <f>Table1[[#This Row],[Enrolment S.Y. 2025-2026 ]]*8</f>
        <v>4528</v>
      </c>
      <c r="E56" s="5">
        <v>0</v>
      </c>
      <c r="F56" s="1"/>
      <c r="G56" s="5"/>
      <c r="H56" s="5">
        <f t="shared" si="2"/>
        <v>4528</v>
      </c>
      <c r="I56" s="5">
        <f t="shared" si="3"/>
        <v>0</v>
      </c>
      <c r="J56" s="5">
        <f>Table1[[#This Row],[Enrolment S.Y. 2025-2026 ]]*8</f>
        <v>4528</v>
      </c>
      <c r="K56" s="5"/>
      <c r="L56" s="1"/>
      <c r="M56" s="5"/>
      <c r="N56" s="5">
        <f t="shared" si="10"/>
        <v>4528</v>
      </c>
      <c r="O56" s="5">
        <f t="shared" si="11"/>
        <v>0</v>
      </c>
      <c r="P56" s="5">
        <f>Table1[[#This Row],[Enrolment S.Y. 2025-2026 ]]*8</f>
        <v>4528</v>
      </c>
      <c r="Q56" s="5"/>
      <c r="R56" s="1"/>
      <c r="S56" s="5"/>
      <c r="T56" s="5">
        <f t="shared" si="12"/>
        <v>4528</v>
      </c>
      <c r="U56" s="5">
        <f t="shared" si="13"/>
        <v>0</v>
      </c>
      <c r="V56" s="5">
        <f>Table1[[#This Row],[Enrolment S.Y. 2025-2026 ]]*8</f>
        <v>4528</v>
      </c>
      <c r="W56" s="5"/>
      <c r="X56" s="1"/>
      <c r="Y56" s="5"/>
      <c r="Z56" s="5">
        <f t="shared" si="14"/>
        <v>4528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566</v>
      </c>
      <c r="D57" s="5">
        <f>Table1[[#This Row],[Enrolment S.Y. 2025-2026 ]]*8</f>
        <v>4528</v>
      </c>
      <c r="E57" s="5">
        <v>0</v>
      </c>
      <c r="F57" s="1"/>
      <c r="G57" s="5"/>
      <c r="H57" s="5">
        <f t="shared" si="2"/>
        <v>4528</v>
      </c>
      <c r="I57" s="5">
        <f t="shared" si="3"/>
        <v>0</v>
      </c>
      <c r="J57" s="5">
        <f>Table1[[#This Row],[Enrolment S.Y. 2025-2026 ]]*8</f>
        <v>4528</v>
      </c>
      <c r="K57" s="5"/>
      <c r="L57" s="1"/>
      <c r="M57" s="5"/>
      <c r="N57" s="5">
        <f t="shared" si="10"/>
        <v>4528</v>
      </c>
      <c r="O57" s="5">
        <f t="shared" si="11"/>
        <v>0</v>
      </c>
      <c r="P57" s="5">
        <f>Table1[[#This Row],[Enrolment S.Y. 2025-2026 ]]*8</f>
        <v>4528</v>
      </c>
      <c r="Q57" s="5"/>
      <c r="R57" s="1"/>
      <c r="S57" s="5"/>
      <c r="T57" s="5">
        <f t="shared" si="12"/>
        <v>4528</v>
      </c>
      <c r="U57" s="5">
        <f t="shared" si="13"/>
        <v>0</v>
      </c>
      <c r="V57" s="5">
        <f>Table1[[#This Row],[Enrolment S.Y. 2025-2026 ]]*8</f>
        <v>4528</v>
      </c>
      <c r="W57" s="5"/>
      <c r="X57" s="1"/>
      <c r="Y57" s="5"/>
      <c r="Z57" s="5">
        <f t="shared" si="14"/>
        <v>4528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566</v>
      </c>
      <c r="D58" s="5">
        <f>Table1[[#This Row],[Enrolment S.Y. 2025-2026 ]]*8</f>
        <v>4528</v>
      </c>
      <c r="E58" s="5">
        <v>0</v>
      </c>
      <c r="F58" s="1"/>
      <c r="G58" s="5"/>
      <c r="H58" s="5">
        <f t="shared" si="2"/>
        <v>4528</v>
      </c>
      <c r="I58" s="5">
        <f t="shared" si="3"/>
        <v>0</v>
      </c>
      <c r="J58" s="5">
        <f>Table1[[#This Row],[Enrolment S.Y. 2025-2026 ]]*8</f>
        <v>4528</v>
      </c>
      <c r="K58" s="5"/>
      <c r="L58" s="1"/>
      <c r="M58" s="5"/>
      <c r="N58" s="5">
        <f t="shared" si="10"/>
        <v>4528</v>
      </c>
      <c r="O58" s="5">
        <f t="shared" si="11"/>
        <v>0</v>
      </c>
      <c r="P58" s="5">
        <f>Table1[[#This Row],[Enrolment S.Y. 2025-2026 ]]*8</f>
        <v>4528</v>
      </c>
      <c r="Q58" s="5"/>
      <c r="R58" s="1"/>
      <c r="S58" s="5"/>
      <c r="T58" s="5">
        <f t="shared" si="12"/>
        <v>4528</v>
      </c>
      <c r="U58" s="5">
        <f t="shared" si="13"/>
        <v>0</v>
      </c>
      <c r="V58" s="5">
        <f>Table1[[#This Row],[Enrolment S.Y. 2025-2026 ]]*8</f>
        <v>4528</v>
      </c>
      <c r="W58" s="5"/>
      <c r="X58" s="1"/>
      <c r="Y58" s="5"/>
      <c r="Z58" s="5">
        <f t="shared" si="14"/>
        <v>4528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566</v>
      </c>
      <c r="D59" s="5">
        <f>Table1[[#This Row],[Enrolment S.Y. 2025-2026 ]]*8</f>
        <v>4528</v>
      </c>
      <c r="E59" s="5">
        <v>0</v>
      </c>
      <c r="F59" s="1"/>
      <c r="G59" s="5"/>
      <c r="H59" s="5">
        <f t="shared" si="2"/>
        <v>4528</v>
      </c>
      <c r="I59" s="5">
        <f t="shared" si="3"/>
        <v>0</v>
      </c>
      <c r="J59" s="5">
        <f>Table1[[#This Row],[Enrolment S.Y. 2025-2026 ]]*8</f>
        <v>4528</v>
      </c>
      <c r="K59" s="5"/>
      <c r="L59" s="1"/>
      <c r="M59" s="5"/>
      <c r="N59" s="5">
        <f t="shared" si="10"/>
        <v>4528</v>
      </c>
      <c r="O59" s="5">
        <f t="shared" si="11"/>
        <v>0</v>
      </c>
      <c r="P59" s="5">
        <f>Table1[[#This Row],[Enrolment S.Y. 2025-2026 ]]*8</f>
        <v>4528</v>
      </c>
      <c r="Q59" s="5"/>
      <c r="R59" s="1"/>
      <c r="S59" s="5"/>
      <c r="T59" s="5">
        <f t="shared" si="12"/>
        <v>4528</v>
      </c>
      <c r="U59" s="5">
        <f t="shared" si="13"/>
        <v>0</v>
      </c>
      <c r="V59" s="5">
        <f>Table1[[#This Row],[Enrolment S.Y. 2025-2026 ]]*8</f>
        <v>4528</v>
      </c>
      <c r="W59" s="5"/>
      <c r="X59" s="1"/>
      <c r="Y59" s="5"/>
      <c r="Z59" s="5">
        <f t="shared" si="14"/>
        <v>4528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566</v>
      </c>
      <c r="D60" s="5">
        <f>Table1[[#This Row],[Enrolment S.Y. 2025-2026 ]]*8</f>
        <v>4528</v>
      </c>
      <c r="E60" s="5">
        <v>0</v>
      </c>
      <c r="F60" s="1"/>
      <c r="G60" s="5"/>
      <c r="H60" s="5">
        <f t="shared" si="2"/>
        <v>4528</v>
      </c>
      <c r="I60" s="5">
        <f t="shared" si="3"/>
        <v>0</v>
      </c>
      <c r="J60" s="5">
        <f>Table1[[#This Row],[Enrolment S.Y. 2025-2026 ]]*8</f>
        <v>4528</v>
      </c>
      <c r="K60" s="5"/>
      <c r="L60" s="1"/>
      <c r="M60" s="5"/>
      <c r="N60" s="5">
        <f t="shared" si="10"/>
        <v>4528</v>
      </c>
      <c r="O60" s="5">
        <f t="shared" si="11"/>
        <v>0</v>
      </c>
      <c r="P60" s="5">
        <f>Table1[[#This Row],[Enrolment S.Y. 2025-2026 ]]*8</f>
        <v>4528</v>
      </c>
      <c r="Q60" s="5"/>
      <c r="R60" s="1"/>
      <c r="S60" s="5"/>
      <c r="T60" s="5">
        <f t="shared" si="12"/>
        <v>4528</v>
      </c>
      <c r="U60" s="5">
        <f t="shared" si="13"/>
        <v>0</v>
      </c>
      <c r="V60" s="5">
        <f>Table1[[#This Row],[Enrolment S.Y. 2025-2026 ]]*8</f>
        <v>4528</v>
      </c>
      <c r="W60" s="5"/>
      <c r="X60" s="1"/>
      <c r="Y60" s="5"/>
      <c r="Z60" s="5">
        <f t="shared" si="14"/>
        <v>4528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566</v>
      </c>
      <c r="D61" s="5">
        <f>Table1[[#This Row],[Enrolment S.Y. 2025-2026 ]]*8</f>
        <v>4528</v>
      </c>
      <c r="E61" s="5">
        <v>0</v>
      </c>
      <c r="F61" s="1"/>
      <c r="G61" s="5"/>
      <c r="H61" s="5">
        <f t="shared" si="2"/>
        <v>4528</v>
      </c>
      <c r="I61" s="5">
        <f t="shared" si="3"/>
        <v>0</v>
      </c>
      <c r="J61" s="5">
        <f>Table1[[#This Row],[Enrolment S.Y. 2025-2026 ]]*8</f>
        <v>4528</v>
      </c>
      <c r="K61" s="5"/>
      <c r="L61" s="1"/>
      <c r="M61" s="5"/>
      <c r="N61" s="5">
        <f t="shared" si="10"/>
        <v>4528</v>
      </c>
      <c r="O61" s="5">
        <f t="shared" si="11"/>
        <v>0</v>
      </c>
      <c r="P61" s="5">
        <f>Table1[[#This Row],[Enrolment S.Y. 2025-2026 ]]*8</f>
        <v>4528</v>
      </c>
      <c r="Q61" s="5"/>
      <c r="R61" s="1"/>
      <c r="S61" s="5"/>
      <c r="T61" s="5">
        <f t="shared" si="12"/>
        <v>4528</v>
      </c>
      <c r="U61" s="5">
        <f t="shared" si="13"/>
        <v>0</v>
      </c>
      <c r="V61" s="5">
        <f>Table1[[#This Row],[Enrolment S.Y. 2025-2026 ]]*8</f>
        <v>4528</v>
      </c>
      <c r="W61" s="5"/>
      <c r="X61" s="1"/>
      <c r="Y61" s="5"/>
      <c r="Z61" s="5">
        <f t="shared" si="14"/>
        <v>4528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Q14:R21 W14:X21 Q23:R31 W23:X31 D33:F41 H33:I41 Q33:R41 W33:X41 H43:I51 Q43:R51 W43:X51 D53:F61 H53:I61 Q53:R61 W53:X61 H6:I12 K6:L12 K33:L41 K53:L61 D14:F21 N3:R3 Y13 K43:L51 D43:F51 D23:F31 K14:L21 K23:L31 N13:P61 P2:R2 V2:X3 T13:V61 J6:J61 Z4:AA61 D5:F12 N5:R12 T5:X12 N4:P4 T4:V4 J4 H14:I21 H23:I31" name="LAS"/>
    <protectedRange sqref="G2:I3 M2:O2 S2:U3 Y2:AA3 M14:M61 G14:G21 G43:G51 S4:S61 G5:G12 M5:M12 Y14:Y61 Y5:Y12 M3 G23:G31 G33:G41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L14:L21 L23:L31 L33:L41 L43:L51 L53:L61 R5:R12 R14:R21 R23:R31 R33:R41 R43:R51 R53:R61 X5:X12 X14:X21 X23:X31 X33:X41 X43:X51 X53:X61 F5:F12 F14:F21 F23:F31 F33:F41 F43:F51 F53:F61" xr:uid="{4ECCD083-8EC4-42EE-B46C-B614411F330D}">
      <formula1>"2024,2025 ,2026"</formula1>
    </dataValidation>
    <dataValidation type="list" allowBlank="1" showInputMessage="1" showErrorMessage="1" sqref="Y14:Y61 S4:S61 G5:G12 M5:M12 Y5:Y12 G43:G51 G23:G31 G33:G41 M14:M61 G53:G61 G14:G21" xr:uid="{5129D80C-83DF-45BE-B6AD-F21CA596CBA5}">
      <formula1>"CO,RO,SDO,LGU,SCHOOL"</formula1>
    </dataValidation>
    <dataValidation type="list" allowBlank="1" showInputMessage="1" showErrorMessage="1" sqref="L5:L12" xr:uid="{D38E671B-4193-413E-BD97-EB6A7F426B5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56" zoomScale="55" zoomScaleNormal="55" workbookViewId="0">
      <selection activeCell="AD130" sqref="AD13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486</v>
      </c>
      <c r="D3" s="5">
        <f>Table14[[#This Row],[Enrolment S.Y. 2025-2026 ]]*8</f>
        <v>3888</v>
      </c>
      <c r="E3" s="5">
        <f>Table14[[#This Row],[Quantity of ADM-SLM Received (Quantity received x No. of ADM-SLM) - Q3]] * 2</f>
        <v>0</v>
      </c>
      <c r="F3" s="1"/>
      <c r="G3" s="5"/>
      <c r="H3" s="5">
        <f t="shared" ref="H3:H65" si="0">IF((D3-E3)&lt;0,0,(D3-E3))</f>
        <v>3888</v>
      </c>
      <c r="I3" s="5">
        <f t="shared" ref="I3:I65" si="1">IF((E3-D3)&lt;0,0,(E3-D3))</f>
        <v>0</v>
      </c>
      <c r="J3" s="5">
        <f>Table14[[#This Row],[Enrolment S.Y. 2025-2026 ]]*8</f>
        <v>3888</v>
      </c>
      <c r="K3" s="5">
        <v>0</v>
      </c>
      <c r="L3" s="1"/>
      <c r="M3" s="5"/>
      <c r="N3" s="5">
        <f t="shared" ref="N3:N60" si="2">IF((J3-K3)&lt;0,0,(J3-K3))</f>
        <v>3888</v>
      </c>
      <c r="O3" s="5">
        <f t="shared" ref="O3:O60" si="3">IF((K3-J3)&lt;0,0,(K3-J3))</f>
        <v>0</v>
      </c>
      <c r="P3" s="5">
        <f>Table14[[#This Row],[Enrolment S.Y. 2025-2026 ]]*8</f>
        <v>3888</v>
      </c>
      <c r="Q3" s="5">
        <f>Table14[[#This Row],[Quantity based on Target ADM-SLM - Q1 ]] - Table14[[#This Row],[GAP - ADM-SLM - Q4]]</f>
        <v>0</v>
      </c>
      <c r="R3" s="1"/>
      <c r="S3" s="5"/>
      <c r="T3" s="5">
        <f t="shared" ref="T3:T65" si="4">IF((P3-Q3)&lt;0,0,(P3-Q3))</f>
        <v>3888</v>
      </c>
      <c r="U3" s="5">
        <f t="shared" ref="U3:U65" si="5">IF((Q3-P3)&lt;0,0,(Q3-P3))</f>
        <v>0</v>
      </c>
      <c r="V3" s="5">
        <f>Table14[[#This Row],[Enrolment S.Y. 2025-2026 ]]*8</f>
        <v>3888</v>
      </c>
      <c r="W3" s="5">
        <v>0</v>
      </c>
      <c r="X3" s="1"/>
      <c r="Y3" s="5"/>
      <c r="Z3" s="5">
        <f t="shared" ref="Z3:Z65" si="6">IF((V3-W3)&lt;0,0,(V3-W3))</f>
        <v>3888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486</v>
      </c>
      <c r="D4" s="5">
        <f>Table14[[#This Row],[Enrolment S.Y. 2025-2026 ]]*8</f>
        <v>3888</v>
      </c>
      <c r="E4" s="5">
        <f>Table14[[#This Row],[Quantity of ADM-SLM Received (Quantity received x No. of ADM-SLM) - Q3]] * 2</f>
        <v>0</v>
      </c>
      <c r="F4" s="1"/>
      <c r="G4" s="5"/>
      <c r="H4" s="5">
        <f t="shared" si="0"/>
        <v>3888</v>
      </c>
      <c r="I4" s="5">
        <f t="shared" si="1"/>
        <v>0</v>
      </c>
      <c r="J4" s="5">
        <f>Table14[[#This Row],[Enrolment S.Y. 2025-2026 ]]*8</f>
        <v>3888</v>
      </c>
      <c r="K4" s="5">
        <v>0</v>
      </c>
      <c r="L4" s="1"/>
      <c r="M4" s="5"/>
      <c r="N4" s="5">
        <f t="shared" si="2"/>
        <v>3888</v>
      </c>
      <c r="O4" s="5">
        <f t="shared" si="3"/>
        <v>0</v>
      </c>
      <c r="P4" s="5">
        <f>Table14[[#This Row],[Enrolment S.Y. 2025-2026 ]]*8</f>
        <v>3888</v>
      </c>
      <c r="Q4" s="5">
        <f>Table14[[#This Row],[Quantity based on Target ADM-SLM - Q1 ]] - Table14[[#This Row],[GAP - ADM-SLM - Q4]]</f>
        <v>0</v>
      </c>
      <c r="R4" s="1"/>
      <c r="S4" s="5"/>
      <c r="T4" s="5">
        <f t="shared" si="4"/>
        <v>3888</v>
      </c>
      <c r="U4" s="5">
        <f t="shared" si="5"/>
        <v>0</v>
      </c>
      <c r="V4" s="5">
        <f>Table14[[#This Row],[Enrolment S.Y. 2025-2026 ]]*8</f>
        <v>3888</v>
      </c>
      <c r="W4" s="5">
        <v>0</v>
      </c>
      <c r="X4" s="1"/>
      <c r="Y4" s="5"/>
      <c r="Z4" s="5">
        <f t="shared" si="6"/>
        <v>3888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486</v>
      </c>
      <c r="D5" s="5">
        <f>Table14[[#This Row],[Enrolment S.Y. 2025-2026 ]]*8</f>
        <v>3888</v>
      </c>
      <c r="E5" s="5">
        <f>Table14[[#This Row],[Quantity of ADM-SLM Received (Quantity received x No. of ADM-SLM) - Q3]] * 2</f>
        <v>0</v>
      </c>
      <c r="F5" s="1"/>
      <c r="G5" s="5"/>
      <c r="H5" s="5">
        <f t="shared" si="0"/>
        <v>3888</v>
      </c>
      <c r="I5" s="5">
        <f t="shared" si="1"/>
        <v>0</v>
      </c>
      <c r="J5" s="5">
        <f>Table14[[#This Row],[Enrolment S.Y. 2025-2026 ]]*8</f>
        <v>3888</v>
      </c>
      <c r="K5" s="5">
        <v>0</v>
      </c>
      <c r="L5" s="1"/>
      <c r="M5" s="5"/>
      <c r="N5" s="5">
        <f t="shared" si="2"/>
        <v>3888</v>
      </c>
      <c r="O5" s="5">
        <f t="shared" si="3"/>
        <v>0</v>
      </c>
      <c r="P5" s="5">
        <f>Table14[[#This Row],[Enrolment S.Y. 2025-2026 ]]*8</f>
        <v>3888</v>
      </c>
      <c r="Q5" s="5">
        <f>Table14[[#This Row],[Quantity based on Target ADM-SLM - Q1 ]] - Table14[[#This Row],[GAP - ADM-SLM - Q4]]</f>
        <v>0</v>
      </c>
      <c r="R5" s="1"/>
      <c r="S5" s="5"/>
      <c r="T5" s="5">
        <f t="shared" si="4"/>
        <v>3888</v>
      </c>
      <c r="U5" s="5">
        <f t="shared" si="5"/>
        <v>0</v>
      </c>
      <c r="V5" s="5">
        <f>Table14[[#This Row],[Enrolment S.Y. 2025-2026 ]]*8</f>
        <v>3888</v>
      </c>
      <c r="W5" s="5">
        <v>0</v>
      </c>
      <c r="X5" s="1"/>
      <c r="Y5" s="5"/>
      <c r="Z5" s="5">
        <f t="shared" si="6"/>
        <v>3888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486</v>
      </c>
      <c r="D6" s="5">
        <f>Table14[[#This Row],[Enrolment S.Y. 2025-2026 ]]*8</f>
        <v>3888</v>
      </c>
      <c r="E6" s="5">
        <f>Table14[[#This Row],[Quantity of ADM-SLM Received (Quantity received x No. of ADM-SLM) - Q3]] * 2</f>
        <v>0</v>
      </c>
      <c r="F6" s="1"/>
      <c r="G6" s="5"/>
      <c r="H6" s="5">
        <f t="shared" si="0"/>
        <v>3888</v>
      </c>
      <c r="I6" s="5">
        <f t="shared" si="1"/>
        <v>0</v>
      </c>
      <c r="J6" s="5">
        <f>Table14[[#This Row],[Enrolment S.Y. 2025-2026 ]]*8</f>
        <v>3888</v>
      </c>
      <c r="K6" s="5">
        <v>0</v>
      </c>
      <c r="L6" s="1"/>
      <c r="M6" s="5"/>
      <c r="N6" s="5">
        <f t="shared" si="2"/>
        <v>3888</v>
      </c>
      <c r="O6" s="5">
        <f t="shared" si="3"/>
        <v>0</v>
      </c>
      <c r="P6" s="5">
        <f>Table14[[#This Row],[Enrolment S.Y. 2025-2026 ]]*8</f>
        <v>3888</v>
      </c>
      <c r="Q6" s="5">
        <f>Table14[[#This Row],[Quantity based on Target ADM-SLM - Q1 ]] - Table14[[#This Row],[GAP - ADM-SLM - Q4]]</f>
        <v>0</v>
      </c>
      <c r="R6" s="1"/>
      <c r="S6" s="5"/>
      <c r="T6" s="5">
        <f t="shared" si="4"/>
        <v>3888</v>
      </c>
      <c r="U6" s="5">
        <f t="shared" si="5"/>
        <v>0</v>
      </c>
      <c r="V6" s="5">
        <f>Table14[[#This Row],[Enrolment S.Y. 2025-2026 ]]*8</f>
        <v>3888</v>
      </c>
      <c r="W6" s="5">
        <v>0</v>
      </c>
      <c r="X6" s="1"/>
      <c r="Y6" s="5"/>
      <c r="Z6" s="5">
        <f t="shared" si="6"/>
        <v>3888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486</v>
      </c>
      <c r="D7" s="5">
        <f>Table14[[#This Row],[Enrolment S.Y. 2025-2026 ]]*8</f>
        <v>3888</v>
      </c>
      <c r="E7" s="5">
        <f>Table14[[#This Row],[Quantity of ADM-SLM Received (Quantity received x No. of ADM-SLM) - Q3]] * 2</f>
        <v>0</v>
      </c>
      <c r="F7" s="1"/>
      <c r="G7" s="5"/>
      <c r="H7" s="5">
        <f t="shared" si="0"/>
        <v>3888</v>
      </c>
      <c r="I7" s="5">
        <f t="shared" si="1"/>
        <v>0</v>
      </c>
      <c r="J7" s="5">
        <f>Table14[[#This Row],[Enrolment S.Y. 2025-2026 ]]*8</f>
        <v>3888</v>
      </c>
      <c r="K7" s="5">
        <v>0</v>
      </c>
      <c r="L7" s="1"/>
      <c r="M7" s="5"/>
      <c r="N7" s="5">
        <f t="shared" si="2"/>
        <v>3888</v>
      </c>
      <c r="O7" s="5">
        <f t="shared" si="3"/>
        <v>0</v>
      </c>
      <c r="P7" s="5">
        <f>Table14[[#This Row],[Enrolment S.Y. 2025-2026 ]]*8</f>
        <v>3888</v>
      </c>
      <c r="Q7" s="5">
        <f>Table14[[#This Row],[Quantity based on Target ADM-SLM - Q1 ]] - Table14[[#This Row],[GAP - ADM-SLM - Q4]]</f>
        <v>0</v>
      </c>
      <c r="R7" s="1"/>
      <c r="S7" s="5"/>
      <c r="T7" s="5">
        <f t="shared" si="4"/>
        <v>3888</v>
      </c>
      <c r="U7" s="5">
        <f t="shared" si="5"/>
        <v>0</v>
      </c>
      <c r="V7" s="5">
        <f>Table14[[#This Row],[Enrolment S.Y. 2025-2026 ]]*8</f>
        <v>3888</v>
      </c>
      <c r="W7" s="5">
        <v>0</v>
      </c>
      <c r="X7" s="1"/>
      <c r="Y7" s="5"/>
      <c r="Z7" s="5">
        <f t="shared" si="6"/>
        <v>3888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486</v>
      </c>
      <c r="D8" s="5">
        <f>Table14[[#This Row],[Enrolment S.Y. 2025-2026 ]]*8</f>
        <v>3888</v>
      </c>
      <c r="E8" s="5">
        <f>Table14[[#This Row],[Quantity of ADM-SLM Received (Quantity received x No. of ADM-SLM) - Q3]] * 2</f>
        <v>0</v>
      </c>
      <c r="F8" s="1"/>
      <c r="G8" s="5"/>
      <c r="H8" s="5">
        <f>IF((D8-E8)&lt;0,0,(D8-E8))</f>
        <v>3888</v>
      </c>
      <c r="I8" s="5">
        <f>IF((E8-D8)&lt;0,0,(E8-D8))</f>
        <v>0</v>
      </c>
      <c r="J8" s="5">
        <f>Table14[[#This Row],[Enrolment S.Y. 2025-2026 ]]*8</f>
        <v>3888</v>
      </c>
      <c r="K8" s="5">
        <v>0</v>
      </c>
      <c r="L8" s="1"/>
      <c r="M8" s="5"/>
      <c r="N8" s="5">
        <f t="shared" si="2"/>
        <v>3888</v>
      </c>
      <c r="O8" s="5">
        <f t="shared" si="3"/>
        <v>0</v>
      </c>
      <c r="P8" s="5">
        <f>Table14[[#This Row],[Enrolment S.Y. 2025-2026 ]]*8</f>
        <v>3888</v>
      </c>
      <c r="Q8" s="5">
        <f>Table14[[#This Row],[Quantity based on Target ADM-SLM - Q1 ]] - Table14[[#This Row],[GAP - ADM-SLM - Q4]]</f>
        <v>0</v>
      </c>
      <c r="R8" s="1"/>
      <c r="S8" s="5"/>
      <c r="T8" s="5">
        <f t="shared" si="4"/>
        <v>3888</v>
      </c>
      <c r="U8" s="5">
        <f t="shared" si="5"/>
        <v>0</v>
      </c>
      <c r="V8" s="5">
        <f>Table14[[#This Row],[Enrolment S.Y. 2025-2026 ]]*8</f>
        <v>3888</v>
      </c>
      <c r="W8" s="5">
        <v>0</v>
      </c>
      <c r="X8" s="1"/>
      <c r="Y8" s="5"/>
      <c r="Z8" s="5">
        <f t="shared" si="6"/>
        <v>3888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486</v>
      </c>
      <c r="D9" s="5">
        <f>Table14[[#This Row],[Enrolment S.Y. 2025-2026 ]]*8</f>
        <v>3888</v>
      </c>
      <c r="E9" s="5">
        <f>Table14[[#This Row],[Quantity of ADM-SLM Received (Quantity received x No. of ADM-SLM) - Q3]] * 2</f>
        <v>0</v>
      </c>
      <c r="F9" s="1"/>
      <c r="G9" s="5"/>
      <c r="H9" s="5">
        <f>IF((D9-E9)&lt;0,0,(D9-E9))</f>
        <v>3888</v>
      </c>
      <c r="I9" s="5">
        <f>IF((E9-D9)&lt;0,0,(E9-D9))</f>
        <v>0</v>
      </c>
      <c r="J9" s="5">
        <f>Table14[[#This Row],[Enrolment S.Y. 2025-2026 ]]*8</f>
        <v>3888</v>
      </c>
      <c r="K9" s="5">
        <v>0</v>
      </c>
      <c r="L9" s="1"/>
      <c r="M9" s="5"/>
      <c r="N9" s="5">
        <f t="shared" si="2"/>
        <v>3888</v>
      </c>
      <c r="O9" s="5">
        <f t="shared" si="3"/>
        <v>0</v>
      </c>
      <c r="P9" s="5">
        <f>Table14[[#This Row],[Enrolment S.Y. 2025-2026 ]]*8</f>
        <v>3888</v>
      </c>
      <c r="Q9" s="5">
        <f>Table14[[#This Row],[Quantity based on Target ADM-SLM - Q1 ]] - Table14[[#This Row],[GAP - ADM-SLM - Q4]]</f>
        <v>0</v>
      </c>
      <c r="R9" s="1"/>
      <c r="S9" s="5"/>
      <c r="T9" s="5">
        <f t="shared" si="4"/>
        <v>3888</v>
      </c>
      <c r="U9" s="5">
        <f t="shared" si="5"/>
        <v>0</v>
      </c>
      <c r="V9" s="5">
        <f>Table14[[#This Row],[Enrolment S.Y. 2025-2026 ]]*8</f>
        <v>3888</v>
      </c>
      <c r="W9" s="5">
        <v>0</v>
      </c>
      <c r="X9" s="1"/>
      <c r="Y9" s="5"/>
      <c r="Z9" s="5">
        <f t="shared" si="6"/>
        <v>3888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486</v>
      </c>
      <c r="D10" s="5">
        <f>Table14[[#This Row],[Enrolment S.Y. 2025-2026 ]]*8</f>
        <v>3888</v>
      </c>
      <c r="E10" s="5">
        <f>Table14[[#This Row],[Quantity of ADM-SLM Received (Quantity received x No. of ADM-SLM) - Q3]] * 2</f>
        <v>0</v>
      </c>
      <c r="F10" s="1"/>
      <c r="G10" s="5"/>
      <c r="H10" s="5">
        <f>IF((D10-E10)&lt;0,0,(D10-E10))</f>
        <v>3888</v>
      </c>
      <c r="I10" s="5">
        <f>IF((E10-D10)&lt;0,0,(E10-D10))</f>
        <v>0</v>
      </c>
      <c r="J10" s="5">
        <f>Table14[[#This Row],[Enrolment S.Y. 2025-2026 ]]*8</f>
        <v>3888</v>
      </c>
      <c r="K10" s="5">
        <v>0</v>
      </c>
      <c r="L10" s="1"/>
      <c r="M10" s="5"/>
      <c r="N10" s="5">
        <f t="shared" si="2"/>
        <v>3888</v>
      </c>
      <c r="O10" s="5">
        <f t="shared" si="3"/>
        <v>0</v>
      </c>
      <c r="P10" s="5">
        <f>Table14[[#This Row],[Enrolment S.Y. 2025-2026 ]]*8</f>
        <v>3888</v>
      </c>
      <c r="Q10" s="5">
        <f>Table14[[#This Row],[Quantity based on Target ADM-SLM - Q1 ]] - Table14[[#This Row],[GAP - ADM-SLM - Q4]]</f>
        <v>0</v>
      </c>
      <c r="R10" s="1"/>
      <c r="S10" s="5"/>
      <c r="T10" s="5">
        <f t="shared" si="4"/>
        <v>3888</v>
      </c>
      <c r="U10" s="5">
        <f t="shared" si="5"/>
        <v>0</v>
      </c>
      <c r="V10" s="5">
        <f>Table14[[#This Row],[Enrolment S.Y. 2025-2026 ]]*8</f>
        <v>3888</v>
      </c>
      <c r="W10" s="5">
        <v>0</v>
      </c>
      <c r="X10" s="1"/>
      <c r="Y10" s="5"/>
      <c r="Z10" s="5">
        <f t="shared" si="6"/>
        <v>3888</v>
      </c>
      <c r="AA10" s="5">
        <f t="shared" si="7"/>
        <v>0</v>
      </c>
    </row>
    <row r="11" spans="1:27" s="7" customFormat="1">
      <c r="E11" s="7">
        <f>Table14[[#This Row],[Quantity of ADM-SLM Received (Quantity received x No. of ADM-SLM) - Q3]] * 2</f>
        <v>0</v>
      </c>
      <c r="Q11" s="7">
        <f>Table14[[#This Row],[Quantity based on Target ADM-SLM - Q1 ]] - Table14[[#This Row],[GAP - ADM-SLM - Q4]]</f>
        <v>0</v>
      </c>
    </row>
    <row r="12" spans="1:27" ht="38.25">
      <c r="A12" s="1">
        <v>2</v>
      </c>
      <c r="B12" s="2" t="s">
        <v>8</v>
      </c>
      <c r="C12" s="1">
        <v>627</v>
      </c>
      <c r="D12" s="5">
        <f>Table14[[#This Row],[Enrolment S.Y. 2025-2026 ]]*8</f>
        <v>5016</v>
      </c>
      <c r="E12" s="5">
        <f>Table14[[#This Row],[Quantity of ADM-SLM Received (Quantity received x No. of ADM-SLM) - Q3]] * 2</f>
        <v>0</v>
      </c>
      <c r="F12" s="1"/>
      <c r="G12" s="5"/>
      <c r="H12" s="5">
        <f t="shared" si="0"/>
        <v>5016</v>
      </c>
      <c r="I12" s="5">
        <f t="shared" si="1"/>
        <v>0</v>
      </c>
      <c r="J12" s="5">
        <f>Table14[[#This Row],[Enrolment S.Y. 2025-2026 ]]*8</f>
        <v>5016</v>
      </c>
      <c r="K12" s="5">
        <v>0</v>
      </c>
      <c r="L12" s="1"/>
      <c r="M12" s="5"/>
      <c r="N12" s="5">
        <f t="shared" si="2"/>
        <v>5016</v>
      </c>
      <c r="O12" s="5">
        <f t="shared" si="3"/>
        <v>0</v>
      </c>
      <c r="P12" s="5">
        <f>Table14[[#This Row],[Enrolment S.Y. 2025-2026 ]]*8</f>
        <v>5016</v>
      </c>
      <c r="Q12" s="5">
        <f>Table14[[#This Row],[Quantity based on Target ADM-SLM - Q1 ]] - Table14[[#This Row],[GAP - ADM-SLM - Q4]]</f>
        <v>0</v>
      </c>
      <c r="R12" s="1"/>
      <c r="S12" s="5"/>
      <c r="T12" s="5">
        <f t="shared" si="4"/>
        <v>5016</v>
      </c>
      <c r="U12" s="5">
        <f t="shared" si="5"/>
        <v>0</v>
      </c>
      <c r="V12" s="5">
        <f>Table14[[#This Row],[Enrolment S.Y. 2025-2026 ]]*8</f>
        <v>5016</v>
      </c>
      <c r="W12" s="5">
        <v>0</v>
      </c>
      <c r="X12" s="1"/>
      <c r="Y12" s="5"/>
      <c r="Z12" s="5">
        <f t="shared" si="6"/>
        <v>5016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627</v>
      </c>
      <c r="D13" s="5">
        <f>Table14[[#This Row],[Enrolment S.Y. 2025-2026 ]]*8</f>
        <v>5016</v>
      </c>
      <c r="E13" s="5">
        <f>Table14[[#This Row],[Quantity of ADM-SLM Received (Quantity received x No. of ADM-SLM) - Q3]] * 2</f>
        <v>0</v>
      </c>
      <c r="F13" s="1"/>
      <c r="G13" s="5"/>
      <c r="H13" s="5">
        <f t="shared" si="0"/>
        <v>5016</v>
      </c>
      <c r="I13" s="5">
        <f t="shared" si="1"/>
        <v>0</v>
      </c>
      <c r="J13" s="5">
        <f>Table14[[#This Row],[Enrolment S.Y. 2025-2026 ]]*8</f>
        <v>5016</v>
      </c>
      <c r="K13" s="5">
        <v>0</v>
      </c>
      <c r="L13" s="1"/>
      <c r="M13" s="5"/>
      <c r="N13" s="5">
        <f t="shared" si="2"/>
        <v>5016</v>
      </c>
      <c r="O13" s="5">
        <f t="shared" si="3"/>
        <v>0</v>
      </c>
      <c r="P13" s="5">
        <f>Table14[[#This Row],[Enrolment S.Y. 2025-2026 ]]*8</f>
        <v>5016</v>
      </c>
      <c r="Q13" s="5">
        <f>Table14[[#This Row],[Quantity based on Target ADM-SLM - Q1 ]] - Table14[[#This Row],[GAP - ADM-SLM - Q4]]</f>
        <v>0</v>
      </c>
      <c r="R13" s="1"/>
      <c r="S13" s="5"/>
      <c r="T13" s="5">
        <f t="shared" si="4"/>
        <v>5016</v>
      </c>
      <c r="U13" s="5">
        <f t="shared" si="5"/>
        <v>0</v>
      </c>
      <c r="V13" s="5">
        <f>Table14[[#This Row],[Enrolment S.Y. 2025-2026 ]]*8</f>
        <v>5016</v>
      </c>
      <c r="W13" s="5">
        <v>0</v>
      </c>
      <c r="X13" s="1"/>
      <c r="Y13" s="5"/>
      <c r="Z13" s="5">
        <f t="shared" si="6"/>
        <v>5016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627</v>
      </c>
      <c r="D14" s="5">
        <f>Table14[[#This Row],[Enrolment S.Y. 2025-2026 ]]*8</f>
        <v>5016</v>
      </c>
      <c r="E14" s="5">
        <f>Table14[[#This Row],[Quantity of ADM-SLM Received (Quantity received x No. of ADM-SLM) - Q3]] * 2</f>
        <v>0</v>
      </c>
      <c r="F14" s="1"/>
      <c r="G14" s="5"/>
      <c r="H14" s="5">
        <f t="shared" si="0"/>
        <v>5016</v>
      </c>
      <c r="I14" s="5">
        <f t="shared" si="1"/>
        <v>0</v>
      </c>
      <c r="J14" s="5">
        <f>Table14[[#This Row],[Enrolment S.Y. 2025-2026 ]]*8</f>
        <v>5016</v>
      </c>
      <c r="K14" s="5">
        <v>0</v>
      </c>
      <c r="L14" s="1"/>
      <c r="M14" s="5"/>
      <c r="N14" s="5">
        <f t="shared" si="2"/>
        <v>5016</v>
      </c>
      <c r="O14" s="5">
        <f t="shared" si="3"/>
        <v>0</v>
      </c>
      <c r="P14" s="5">
        <f>Table14[[#This Row],[Enrolment S.Y. 2025-2026 ]]*8</f>
        <v>5016</v>
      </c>
      <c r="Q14" s="5">
        <f>Table14[[#This Row],[Quantity based on Target ADM-SLM - Q1 ]] - Table14[[#This Row],[GAP - ADM-SLM - Q4]]</f>
        <v>0</v>
      </c>
      <c r="R14" s="1"/>
      <c r="S14" s="5"/>
      <c r="T14" s="5">
        <f t="shared" si="4"/>
        <v>5016</v>
      </c>
      <c r="U14" s="5">
        <f t="shared" si="5"/>
        <v>0</v>
      </c>
      <c r="V14" s="5">
        <f>Table14[[#This Row],[Enrolment S.Y. 2025-2026 ]]*8</f>
        <v>5016</v>
      </c>
      <c r="W14" s="5">
        <v>0</v>
      </c>
      <c r="X14" s="1"/>
      <c r="Y14" s="5"/>
      <c r="Z14" s="5">
        <f t="shared" si="6"/>
        <v>5016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627</v>
      </c>
      <c r="D15" s="5">
        <f>Table14[[#This Row],[Enrolment S.Y. 2025-2026 ]]*8</f>
        <v>5016</v>
      </c>
      <c r="E15" s="5">
        <f>Table14[[#This Row],[Quantity of ADM-SLM Received (Quantity received x No. of ADM-SLM) - Q3]] * 2</f>
        <v>0</v>
      </c>
      <c r="F15" s="1"/>
      <c r="G15" s="5"/>
      <c r="H15" s="5">
        <f t="shared" si="0"/>
        <v>5016</v>
      </c>
      <c r="I15" s="5">
        <f t="shared" si="1"/>
        <v>0</v>
      </c>
      <c r="J15" s="5">
        <f>Table14[[#This Row],[Enrolment S.Y. 2025-2026 ]]*8</f>
        <v>5016</v>
      </c>
      <c r="K15" s="5">
        <v>0</v>
      </c>
      <c r="L15" s="1"/>
      <c r="M15" s="5"/>
      <c r="N15" s="5">
        <f t="shared" si="2"/>
        <v>5016</v>
      </c>
      <c r="O15" s="5">
        <f t="shared" si="3"/>
        <v>0</v>
      </c>
      <c r="P15" s="5">
        <f>Table14[[#This Row],[Enrolment S.Y. 2025-2026 ]]*8</f>
        <v>5016</v>
      </c>
      <c r="Q15" s="5">
        <f>Table14[[#This Row],[Quantity based on Target ADM-SLM - Q1 ]] - Table14[[#This Row],[GAP - ADM-SLM - Q4]]</f>
        <v>0</v>
      </c>
      <c r="R15" s="1"/>
      <c r="S15" s="5"/>
      <c r="T15" s="5">
        <f t="shared" si="4"/>
        <v>5016</v>
      </c>
      <c r="U15" s="5">
        <f t="shared" si="5"/>
        <v>0</v>
      </c>
      <c r="V15" s="5">
        <f>Table14[[#This Row],[Enrolment S.Y. 2025-2026 ]]*8</f>
        <v>5016</v>
      </c>
      <c r="W15" s="5">
        <v>0</v>
      </c>
      <c r="X15" s="1"/>
      <c r="Y15" s="5"/>
      <c r="Z15" s="5">
        <f t="shared" si="6"/>
        <v>5016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627</v>
      </c>
      <c r="D16" s="5">
        <f>Table14[[#This Row],[Enrolment S.Y. 2025-2026 ]]*8</f>
        <v>5016</v>
      </c>
      <c r="E16" s="5">
        <f>Table14[[#This Row],[Quantity of ADM-SLM Received (Quantity received x No. of ADM-SLM) - Q3]] * 2</f>
        <v>0</v>
      </c>
      <c r="F16" s="1"/>
      <c r="G16" s="5"/>
      <c r="H16" s="5">
        <f t="shared" si="0"/>
        <v>5016</v>
      </c>
      <c r="I16" s="5">
        <f t="shared" si="1"/>
        <v>0</v>
      </c>
      <c r="J16" s="5">
        <f>Table14[[#This Row],[Enrolment S.Y. 2025-2026 ]]*8</f>
        <v>5016</v>
      </c>
      <c r="K16" s="5">
        <v>0</v>
      </c>
      <c r="L16" s="1"/>
      <c r="M16" s="5"/>
      <c r="N16" s="5">
        <f t="shared" si="2"/>
        <v>5016</v>
      </c>
      <c r="O16" s="5">
        <f t="shared" si="3"/>
        <v>0</v>
      </c>
      <c r="P16" s="5">
        <f>Table14[[#This Row],[Enrolment S.Y. 2025-2026 ]]*8</f>
        <v>5016</v>
      </c>
      <c r="Q16" s="5">
        <f>Table14[[#This Row],[Quantity based on Target ADM-SLM - Q1 ]] - Table14[[#This Row],[GAP - ADM-SLM - Q4]]</f>
        <v>0</v>
      </c>
      <c r="R16" s="1"/>
      <c r="S16" s="5"/>
      <c r="T16" s="5">
        <f t="shared" si="4"/>
        <v>5016</v>
      </c>
      <c r="U16" s="5">
        <f t="shared" si="5"/>
        <v>0</v>
      </c>
      <c r="V16" s="5">
        <f>Table14[[#This Row],[Enrolment S.Y. 2025-2026 ]]*8</f>
        <v>5016</v>
      </c>
      <c r="W16" s="5">
        <v>0</v>
      </c>
      <c r="X16" s="1"/>
      <c r="Y16" s="5"/>
      <c r="Z16" s="5">
        <f t="shared" si="6"/>
        <v>5016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627</v>
      </c>
      <c r="D17" s="5">
        <f>Table14[[#This Row],[Enrolment S.Y. 2025-2026 ]]*8</f>
        <v>5016</v>
      </c>
      <c r="E17" s="5">
        <f>Table14[[#This Row],[Quantity of ADM-SLM Received (Quantity received x No. of ADM-SLM) - Q3]] * 2</f>
        <v>0</v>
      </c>
      <c r="F17" s="1"/>
      <c r="G17" s="5"/>
      <c r="H17" s="5">
        <f>IF((D17-E17)&lt;0,0,(D17-E17))</f>
        <v>5016</v>
      </c>
      <c r="I17" s="5">
        <f>IF((E17-D17)&lt;0,0,(E17-D17))</f>
        <v>0</v>
      </c>
      <c r="J17" s="5">
        <f>Table14[[#This Row],[Enrolment S.Y. 2025-2026 ]]*8</f>
        <v>5016</v>
      </c>
      <c r="K17" s="5">
        <v>0</v>
      </c>
      <c r="L17" s="1"/>
      <c r="M17" s="5"/>
      <c r="N17" s="5">
        <f t="shared" si="2"/>
        <v>5016</v>
      </c>
      <c r="O17" s="5">
        <f t="shared" si="3"/>
        <v>0</v>
      </c>
      <c r="P17" s="5">
        <f>Table14[[#This Row],[Enrolment S.Y. 2025-2026 ]]*8</f>
        <v>5016</v>
      </c>
      <c r="Q17" s="5">
        <f>Table14[[#This Row],[Quantity based on Target ADM-SLM - Q1 ]] - Table14[[#This Row],[GAP - ADM-SLM - Q4]]</f>
        <v>0</v>
      </c>
      <c r="R17" s="1"/>
      <c r="S17" s="5"/>
      <c r="T17" s="5">
        <f t="shared" si="4"/>
        <v>5016</v>
      </c>
      <c r="U17" s="5">
        <f t="shared" si="5"/>
        <v>0</v>
      </c>
      <c r="V17" s="5">
        <f>Table14[[#This Row],[Enrolment S.Y. 2025-2026 ]]*8</f>
        <v>5016</v>
      </c>
      <c r="W17" s="5">
        <v>0</v>
      </c>
      <c r="X17" s="1"/>
      <c r="Y17" s="5"/>
      <c r="Z17" s="5">
        <f t="shared" si="6"/>
        <v>5016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627</v>
      </c>
      <c r="D18" s="5">
        <f>Table14[[#This Row],[Enrolment S.Y. 2025-2026 ]]*8</f>
        <v>5016</v>
      </c>
      <c r="E18" s="5">
        <f>Table14[[#This Row],[Quantity of ADM-SLM Received (Quantity received x No. of ADM-SLM) - Q3]] * 2</f>
        <v>0</v>
      </c>
      <c r="F18" s="1"/>
      <c r="G18" s="5"/>
      <c r="H18" s="5">
        <f>IF((D18-E18)&lt;0,0,(D18-E18))</f>
        <v>5016</v>
      </c>
      <c r="I18" s="5">
        <f>IF((E18-D18)&lt;0,0,(E18-D18))</f>
        <v>0</v>
      </c>
      <c r="J18" s="5">
        <f>Table14[[#This Row],[Enrolment S.Y. 2025-2026 ]]*8</f>
        <v>5016</v>
      </c>
      <c r="K18" s="5">
        <v>0</v>
      </c>
      <c r="L18" s="1"/>
      <c r="M18" s="5"/>
      <c r="N18" s="5">
        <f t="shared" si="2"/>
        <v>5016</v>
      </c>
      <c r="O18" s="5">
        <f t="shared" si="3"/>
        <v>0</v>
      </c>
      <c r="P18" s="5">
        <f>Table14[[#This Row],[Enrolment S.Y. 2025-2026 ]]*8</f>
        <v>5016</v>
      </c>
      <c r="Q18" s="5">
        <f>Table14[[#This Row],[Quantity based on Target ADM-SLM - Q1 ]] - Table14[[#This Row],[GAP - ADM-SLM - Q4]]</f>
        <v>0</v>
      </c>
      <c r="R18" s="1"/>
      <c r="S18" s="5"/>
      <c r="T18" s="5">
        <f t="shared" si="4"/>
        <v>5016</v>
      </c>
      <c r="U18" s="5">
        <f t="shared" si="5"/>
        <v>0</v>
      </c>
      <c r="V18" s="5">
        <f>Table14[[#This Row],[Enrolment S.Y. 2025-2026 ]]*8</f>
        <v>5016</v>
      </c>
      <c r="W18" s="5">
        <v>0</v>
      </c>
      <c r="X18" s="1"/>
      <c r="Y18" s="5"/>
      <c r="Z18" s="5">
        <f t="shared" si="6"/>
        <v>5016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627</v>
      </c>
      <c r="D19" s="5">
        <f>Table14[[#This Row],[Enrolment S.Y. 2025-2026 ]]*8</f>
        <v>5016</v>
      </c>
      <c r="E19" s="5">
        <f>Table14[[#This Row],[Quantity of ADM-SLM Received (Quantity received x No. of ADM-SLM) - Q3]] * 2</f>
        <v>0</v>
      </c>
      <c r="F19" s="1"/>
      <c r="G19" s="5"/>
      <c r="H19" s="5">
        <f>IF((D19-E19)&lt;0,0,(D19-E19))</f>
        <v>5016</v>
      </c>
      <c r="I19" s="5">
        <f>IF((E19-D19)&lt;0,0,(E19-D19))</f>
        <v>0</v>
      </c>
      <c r="J19" s="5">
        <f>Table14[[#This Row],[Enrolment S.Y. 2025-2026 ]]*8</f>
        <v>5016</v>
      </c>
      <c r="K19" s="5">
        <v>0</v>
      </c>
      <c r="L19" s="1"/>
      <c r="M19" s="5"/>
      <c r="N19" s="5">
        <f t="shared" si="2"/>
        <v>5016</v>
      </c>
      <c r="O19" s="5">
        <f t="shared" si="3"/>
        <v>0</v>
      </c>
      <c r="P19" s="5">
        <f>Table14[[#This Row],[Enrolment S.Y. 2025-2026 ]]*8</f>
        <v>5016</v>
      </c>
      <c r="Q19" s="5">
        <f>Table14[[#This Row],[Quantity based on Target ADM-SLM - Q1 ]] - Table14[[#This Row],[GAP - ADM-SLM - Q4]]</f>
        <v>0</v>
      </c>
      <c r="R19" s="1"/>
      <c r="S19" s="5"/>
      <c r="T19" s="5">
        <f t="shared" si="4"/>
        <v>5016</v>
      </c>
      <c r="U19" s="5">
        <f t="shared" si="5"/>
        <v>0</v>
      </c>
      <c r="V19" s="5">
        <f>Table14[[#This Row],[Enrolment S.Y. 2025-2026 ]]*8</f>
        <v>5016</v>
      </c>
      <c r="W19" s="5">
        <v>0</v>
      </c>
      <c r="X19" s="1"/>
      <c r="Y19" s="5"/>
      <c r="Z19" s="5">
        <f t="shared" si="6"/>
        <v>5016</v>
      </c>
      <c r="AA19" s="5">
        <f t="shared" si="7"/>
        <v>0</v>
      </c>
    </row>
    <row r="20" spans="1:27" s="7" customFormat="1">
      <c r="E20" s="7">
        <f>Table14[[#This Row],[Quantity of ADM-SLM Received (Quantity received x No. of ADM-SLM) - Q3]] * 2</f>
        <v>0</v>
      </c>
      <c r="Q20" s="7">
        <f>Table14[[#This Row],[Quantity based on Target ADM-SLM - Q1 ]] - Table14[[#This Row],[GAP - ADM-SLM - Q4]]</f>
        <v>0</v>
      </c>
    </row>
    <row r="21" spans="1:27" ht="38.25">
      <c r="A21" s="1">
        <v>3</v>
      </c>
      <c r="B21" s="2" t="s">
        <v>8</v>
      </c>
      <c r="C21" s="1">
        <v>613</v>
      </c>
      <c r="D21" s="5">
        <f>Table14[[#This Row],[Enrolment S.Y. 2025-2026 ]]*8</f>
        <v>4904</v>
      </c>
      <c r="E21" s="5">
        <f>Table14[[#This Row],[Quantity of ADM-SLM Received (Quantity received x No. of ADM-SLM) - Q3]] * 2</f>
        <v>0</v>
      </c>
      <c r="F21" s="1"/>
      <c r="G21" s="5"/>
      <c r="H21" s="5">
        <f t="shared" si="0"/>
        <v>4904</v>
      </c>
      <c r="I21" s="5">
        <f t="shared" si="1"/>
        <v>0</v>
      </c>
      <c r="J21" s="5">
        <f>Table14[[#This Row],[Enrolment S.Y. 2025-2026 ]]*8</f>
        <v>4904</v>
      </c>
      <c r="K21" s="5">
        <v>0</v>
      </c>
      <c r="L21" s="1"/>
      <c r="M21" s="5"/>
      <c r="N21" s="5">
        <f t="shared" si="2"/>
        <v>4904</v>
      </c>
      <c r="O21" s="5">
        <f t="shared" si="3"/>
        <v>0</v>
      </c>
      <c r="P21" s="5">
        <f>Table14[[#This Row],[Enrolment S.Y. 2025-2026 ]]*8</f>
        <v>4904</v>
      </c>
      <c r="Q21" s="5">
        <f>Table14[[#This Row],[Quantity based on Target ADM-SLM - Q1 ]] - Table14[[#This Row],[GAP - ADM-SLM - Q4]]</f>
        <v>0</v>
      </c>
      <c r="R21" s="1"/>
      <c r="S21" s="5"/>
      <c r="T21" s="5">
        <f t="shared" si="4"/>
        <v>4904</v>
      </c>
      <c r="U21" s="5">
        <f t="shared" si="5"/>
        <v>0</v>
      </c>
      <c r="V21" s="5">
        <f>Table14[[#This Row],[Enrolment S.Y. 2025-2026 ]]*8</f>
        <v>4904</v>
      </c>
      <c r="W21" s="5">
        <v>0</v>
      </c>
      <c r="X21" s="1"/>
      <c r="Y21" s="5"/>
      <c r="Z21" s="5">
        <f t="shared" si="6"/>
        <v>4904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613</v>
      </c>
      <c r="D22" s="5">
        <f>Table14[[#This Row],[Enrolment S.Y. 2025-2026 ]]*8</f>
        <v>4904</v>
      </c>
      <c r="E22" s="5">
        <f>Table14[[#This Row],[Quantity of ADM-SLM Received (Quantity received x No. of ADM-SLM) - Q3]] * 2</f>
        <v>0</v>
      </c>
      <c r="F22" s="1"/>
      <c r="G22" s="5"/>
      <c r="H22" s="5">
        <f t="shared" si="0"/>
        <v>4904</v>
      </c>
      <c r="I22" s="5">
        <f t="shared" si="1"/>
        <v>0</v>
      </c>
      <c r="J22" s="5">
        <f>Table14[[#This Row],[Enrolment S.Y. 2025-2026 ]]*8</f>
        <v>4904</v>
      </c>
      <c r="K22" s="5">
        <v>0</v>
      </c>
      <c r="L22" s="1"/>
      <c r="M22" s="5"/>
      <c r="N22" s="5">
        <f t="shared" si="2"/>
        <v>4904</v>
      </c>
      <c r="O22" s="5">
        <f t="shared" si="3"/>
        <v>0</v>
      </c>
      <c r="P22" s="5">
        <f>Table14[[#This Row],[Enrolment S.Y. 2025-2026 ]]*8</f>
        <v>4904</v>
      </c>
      <c r="Q22" s="5">
        <f>Table14[[#This Row],[Quantity based on Target ADM-SLM - Q1 ]] - Table14[[#This Row],[GAP - ADM-SLM - Q4]]</f>
        <v>0</v>
      </c>
      <c r="R22" s="1"/>
      <c r="S22" s="5"/>
      <c r="T22" s="5">
        <f t="shared" si="4"/>
        <v>4904</v>
      </c>
      <c r="U22" s="5">
        <f t="shared" si="5"/>
        <v>0</v>
      </c>
      <c r="V22" s="5">
        <f>Table14[[#This Row],[Enrolment S.Y. 2025-2026 ]]*8</f>
        <v>4904</v>
      </c>
      <c r="W22" s="5">
        <v>0</v>
      </c>
      <c r="X22" s="1"/>
      <c r="Y22" s="5"/>
      <c r="Z22" s="5">
        <f t="shared" si="6"/>
        <v>4904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613</v>
      </c>
      <c r="D23" s="5">
        <f>Table14[[#This Row],[Enrolment S.Y. 2025-2026 ]]*8</f>
        <v>4904</v>
      </c>
      <c r="E23" s="5">
        <f>Table14[[#This Row],[Quantity of ADM-SLM Received (Quantity received x No. of ADM-SLM) - Q3]] * 2</f>
        <v>0</v>
      </c>
      <c r="F23" s="1"/>
      <c r="G23" s="5"/>
      <c r="H23" s="5">
        <f t="shared" si="0"/>
        <v>4904</v>
      </c>
      <c r="I23" s="5">
        <f t="shared" si="1"/>
        <v>0</v>
      </c>
      <c r="J23" s="5">
        <f>Table14[[#This Row],[Enrolment S.Y. 2025-2026 ]]*8</f>
        <v>4904</v>
      </c>
      <c r="K23" s="5">
        <v>0</v>
      </c>
      <c r="L23" s="1"/>
      <c r="M23" s="5"/>
      <c r="N23" s="5">
        <f t="shared" si="2"/>
        <v>4904</v>
      </c>
      <c r="O23" s="5">
        <f t="shared" si="3"/>
        <v>0</v>
      </c>
      <c r="P23" s="5">
        <f>Table14[[#This Row],[Enrolment S.Y. 2025-2026 ]]*8</f>
        <v>4904</v>
      </c>
      <c r="Q23" s="5">
        <f>Table14[[#This Row],[Quantity based on Target ADM-SLM - Q1 ]] - Table14[[#This Row],[GAP - ADM-SLM - Q4]]</f>
        <v>0</v>
      </c>
      <c r="R23" s="1"/>
      <c r="S23" s="5"/>
      <c r="T23" s="5">
        <f t="shared" si="4"/>
        <v>4904</v>
      </c>
      <c r="U23" s="5">
        <f t="shared" si="5"/>
        <v>0</v>
      </c>
      <c r="V23" s="5">
        <f>Table14[[#This Row],[Enrolment S.Y. 2025-2026 ]]*8</f>
        <v>4904</v>
      </c>
      <c r="W23" s="5">
        <v>0</v>
      </c>
      <c r="X23" s="1"/>
      <c r="Y23" s="5"/>
      <c r="Z23" s="5">
        <f t="shared" si="6"/>
        <v>4904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613</v>
      </c>
      <c r="D24" s="5">
        <f>Table14[[#This Row],[Enrolment S.Y. 2025-2026 ]]*8</f>
        <v>4904</v>
      </c>
      <c r="E24" s="5">
        <f>Table14[[#This Row],[Quantity of ADM-SLM Received (Quantity received x No. of ADM-SLM) - Q3]] * 2</f>
        <v>0</v>
      </c>
      <c r="F24" s="1"/>
      <c r="G24" s="5"/>
      <c r="H24" s="5">
        <f t="shared" si="0"/>
        <v>4904</v>
      </c>
      <c r="I24" s="5">
        <f t="shared" si="1"/>
        <v>0</v>
      </c>
      <c r="J24" s="5">
        <f>Table14[[#This Row],[Enrolment S.Y. 2025-2026 ]]*8</f>
        <v>4904</v>
      </c>
      <c r="K24" s="5">
        <v>0</v>
      </c>
      <c r="L24" s="1"/>
      <c r="M24" s="5"/>
      <c r="N24" s="5">
        <f t="shared" si="2"/>
        <v>4904</v>
      </c>
      <c r="O24" s="5">
        <f t="shared" si="3"/>
        <v>0</v>
      </c>
      <c r="P24" s="5">
        <f>Table14[[#This Row],[Enrolment S.Y. 2025-2026 ]]*8</f>
        <v>4904</v>
      </c>
      <c r="Q24" s="5">
        <f>Table14[[#This Row],[Quantity based on Target ADM-SLM - Q1 ]] - Table14[[#This Row],[GAP - ADM-SLM - Q4]]</f>
        <v>0</v>
      </c>
      <c r="R24" s="1"/>
      <c r="S24" s="5"/>
      <c r="T24" s="5">
        <f t="shared" si="4"/>
        <v>4904</v>
      </c>
      <c r="U24" s="5">
        <f t="shared" si="5"/>
        <v>0</v>
      </c>
      <c r="V24" s="5">
        <f>Table14[[#This Row],[Enrolment S.Y. 2025-2026 ]]*8</f>
        <v>4904</v>
      </c>
      <c r="W24" s="5">
        <v>0</v>
      </c>
      <c r="X24" s="1"/>
      <c r="Y24" s="5"/>
      <c r="Z24" s="5">
        <f t="shared" si="6"/>
        <v>4904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613</v>
      </c>
      <c r="D25" s="5">
        <f>Table14[[#This Row],[Enrolment S.Y. 2025-2026 ]]*8</f>
        <v>4904</v>
      </c>
      <c r="E25" s="5">
        <f>Table14[[#This Row],[Quantity of ADM-SLM Received (Quantity received x No. of ADM-SLM) - Q3]] * 2</f>
        <v>0</v>
      </c>
      <c r="F25" s="1"/>
      <c r="G25" s="5"/>
      <c r="H25" s="5">
        <f t="shared" si="0"/>
        <v>4904</v>
      </c>
      <c r="I25" s="5">
        <f t="shared" si="1"/>
        <v>0</v>
      </c>
      <c r="J25" s="5">
        <f>Table14[[#This Row],[Enrolment S.Y. 2025-2026 ]]*8</f>
        <v>4904</v>
      </c>
      <c r="K25" s="5">
        <v>0</v>
      </c>
      <c r="L25" s="1"/>
      <c r="M25" s="5"/>
      <c r="N25" s="5">
        <f t="shared" si="2"/>
        <v>4904</v>
      </c>
      <c r="O25" s="5">
        <f t="shared" si="3"/>
        <v>0</v>
      </c>
      <c r="P25" s="5">
        <f>Table14[[#This Row],[Enrolment S.Y. 2025-2026 ]]*8</f>
        <v>4904</v>
      </c>
      <c r="Q25" s="5">
        <f>Table14[[#This Row],[Quantity based on Target ADM-SLM - Q1 ]] - Table14[[#This Row],[GAP - ADM-SLM - Q4]]</f>
        <v>0</v>
      </c>
      <c r="R25" s="1"/>
      <c r="S25" s="5"/>
      <c r="T25" s="5">
        <f t="shared" si="4"/>
        <v>4904</v>
      </c>
      <c r="U25" s="5">
        <f t="shared" si="5"/>
        <v>0</v>
      </c>
      <c r="V25" s="5">
        <f>Table14[[#This Row],[Enrolment S.Y. 2025-2026 ]]*8</f>
        <v>4904</v>
      </c>
      <c r="W25" s="5">
        <v>0</v>
      </c>
      <c r="X25" s="1"/>
      <c r="Y25" s="5"/>
      <c r="Z25" s="5">
        <f t="shared" si="6"/>
        <v>4904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613</v>
      </c>
      <c r="D26" s="5">
        <f>Table14[[#This Row],[Enrolment S.Y. 2025-2026 ]]*8</f>
        <v>4904</v>
      </c>
      <c r="E26" s="5">
        <f>Table14[[#This Row],[Quantity of ADM-SLM Received (Quantity received x No. of ADM-SLM) - Q3]] * 2</f>
        <v>0</v>
      </c>
      <c r="F26" s="1"/>
      <c r="G26" s="5"/>
      <c r="H26" s="5">
        <f t="shared" si="0"/>
        <v>4904</v>
      </c>
      <c r="I26" s="5">
        <f t="shared" si="1"/>
        <v>0</v>
      </c>
      <c r="J26" s="5">
        <f>Table14[[#This Row],[Enrolment S.Y. 2025-2026 ]]*8</f>
        <v>4904</v>
      </c>
      <c r="K26" s="5">
        <v>0</v>
      </c>
      <c r="L26" s="1"/>
      <c r="M26" s="5"/>
      <c r="N26" s="5">
        <f t="shared" si="2"/>
        <v>4904</v>
      </c>
      <c r="O26" s="5">
        <f t="shared" si="3"/>
        <v>0</v>
      </c>
      <c r="P26" s="5">
        <f>Table14[[#This Row],[Enrolment S.Y. 2025-2026 ]]*8</f>
        <v>4904</v>
      </c>
      <c r="Q26" s="5">
        <f>Table14[[#This Row],[Quantity based on Target ADM-SLM - Q1 ]] - Table14[[#This Row],[GAP - ADM-SLM - Q4]]</f>
        <v>0</v>
      </c>
      <c r="R26" s="1"/>
      <c r="S26" s="5"/>
      <c r="T26" s="5">
        <f t="shared" si="4"/>
        <v>4904</v>
      </c>
      <c r="U26" s="5">
        <f t="shared" si="5"/>
        <v>0</v>
      </c>
      <c r="V26" s="5">
        <f>Table14[[#This Row],[Enrolment S.Y. 2025-2026 ]]*8</f>
        <v>4904</v>
      </c>
      <c r="W26" s="5">
        <v>0</v>
      </c>
      <c r="X26" s="1"/>
      <c r="Y26" s="5"/>
      <c r="Z26" s="5">
        <f t="shared" si="6"/>
        <v>4904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613</v>
      </c>
      <c r="D27" s="5">
        <f>Table14[[#This Row],[Enrolment S.Y. 2025-2026 ]]*8</f>
        <v>4904</v>
      </c>
      <c r="E27" s="5">
        <f>Table14[[#This Row],[Quantity of ADM-SLM Received (Quantity received x No. of ADM-SLM) - Q3]] * 2</f>
        <v>0</v>
      </c>
      <c r="F27" s="1"/>
      <c r="G27" s="5"/>
      <c r="H27" s="5">
        <f>IF((D27-E27)&lt;0,0,(D27-E27))</f>
        <v>4904</v>
      </c>
      <c r="I27" s="5">
        <f>IF((E27-D27)&lt;0,0,(E27-D27))</f>
        <v>0</v>
      </c>
      <c r="J27" s="5">
        <f>Table14[[#This Row],[Enrolment S.Y. 2025-2026 ]]*8</f>
        <v>4904</v>
      </c>
      <c r="K27" s="5">
        <v>0</v>
      </c>
      <c r="L27" s="1"/>
      <c r="M27" s="5"/>
      <c r="N27" s="5">
        <f t="shared" si="2"/>
        <v>4904</v>
      </c>
      <c r="O27" s="5">
        <f t="shared" si="3"/>
        <v>0</v>
      </c>
      <c r="P27" s="5">
        <f>Table14[[#This Row],[Enrolment S.Y. 2025-2026 ]]*8</f>
        <v>4904</v>
      </c>
      <c r="Q27" s="5">
        <f>Table14[[#This Row],[Quantity based on Target ADM-SLM - Q1 ]] - Table14[[#This Row],[GAP - ADM-SLM - Q4]]</f>
        <v>0</v>
      </c>
      <c r="R27" s="1"/>
      <c r="S27" s="5"/>
      <c r="T27" s="5">
        <f t="shared" si="4"/>
        <v>4904</v>
      </c>
      <c r="U27" s="5">
        <f t="shared" si="5"/>
        <v>0</v>
      </c>
      <c r="V27" s="5">
        <f>Table14[[#This Row],[Enrolment S.Y. 2025-2026 ]]*8</f>
        <v>4904</v>
      </c>
      <c r="W27" s="5">
        <v>0</v>
      </c>
      <c r="X27" s="1"/>
      <c r="Y27" s="5"/>
      <c r="Z27" s="5">
        <f t="shared" si="6"/>
        <v>4904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613</v>
      </c>
      <c r="D28" s="5">
        <f>Table14[[#This Row],[Enrolment S.Y. 2025-2026 ]]*8</f>
        <v>4904</v>
      </c>
      <c r="E28" s="5">
        <f>Table14[[#This Row],[Quantity of ADM-SLM Received (Quantity received x No. of ADM-SLM) - Q3]] * 2</f>
        <v>0</v>
      </c>
      <c r="F28" s="1"/>
      <c r="G28" s="5"/>
      <c r="H28" s="5">
        <f>IF((D28-E28)&lt;0,0,(D28-E28))</f>
        <v>4904</v>
      </c>
      <c r="I28" s="5">
        <f>IF((E28-D28)&lt;0,0,(E28-D28))</f>
        <v>0</v>
      </c>
      <c r="J28" s="5">
        <f>Table14[[#This Row],[Enrolment S.Y. 2025-2026 ]]*8</f>
        <v>4904</v>
      </c>
      <c r="K28" s="5">
        <v>0</v>
      </c>
      <c r="L28" s="1"/>
      <c r="M28" s="5"/>
      <c r="N28" s="5">
        <f t="shared" si="2"/>
        <v>4904</v>
      </c>
      <c r="O28" s="5">
        <f t="shared" si="3"/>
        <v>0</v>
      </c>
      <c r="P28" s="5">
        <f>Table14[[#This Row],[Enrolment S.Y. 2025-2026 ]]*8</f>
        <v>4904</v>
      </c>
      <c r="Q28" s="5">
        <f>Table14[[#This Row],[Quantity based on Target ADM-SLM - Q1 ]] - Table14[[#This Row],[GAP - ADM-SLM - Q4]]</f>
        <v>0</v>
      </c>
      <c r="R28" s="1"/>
      <c r="S28" s="5"/>
      <c r="T28" s="5">
        <f t="shared" si="4"/>
        <v>4904</v>
      </c>
      <c r="U28" s="5">
        <f t="shared" si="5"/>
        <v>0</v>
      </c>
      <c r="V28" s="5">
        <f>Table14[[#This Row],[Enrolment S.Y. 2025-2026 ]]*8</f>
        <v>4904</v>
      </c>
      <c r="W28" s="5">
        <v>0</v>
      </c>
      <c r="X28" s="1"/>
      <c r="Y28" s="5"/>
      <c r="Z28" s="5">
        <f t="shared" si="6"/>
        <v>4904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613</v>
      </c>
      <c r="D29" s="5">
        <f>Table14[[#This Row],[Enrolment S.Y. 2025-2026 ]]*8</f>
        <v>4904</v>
      </c>
      <c r="E29" s="5">
        <f>Table14[[#This Row],[Quantity of ADM-SLM Received (Quantity received x No. of ADM-SLM) - Q3]] * 2</f>
        <v>0</v>
      </c>
      <c r="F29" s="1"/>
      <c r="G29" s="5"/>
      <c r="H29" s="5">
        <f>IF((D29-E29)&lt;0,0,(D29-E29))</f>
        <v>4904</v>
      </c>
      <c r="I29" s="5">
        <f>IF((E29-D29)&lt;0,0,(E29-D29))</f>
        <v>0</v>
      </c>
      <c r="J29" s="5">
        <f>Table14[[#This Row],[Enrolment S.Y. 2025-2026 ]]*8</f>
        <v>4904</v>
      </c>
      <c r="K29" s="5">
        <v>0</v>
      </c>
      <c r="L29" s="1"/>
      <c r="M29" s="5"/>
      <c r="N29" s="5">
        <f t="shared" si="2"/>
        <v>4904</v>
      </c>
      <c r="O29" s="5">
        <f t="shared" si="3"/>
        <v>0</v>
      </c>
      <c r="P29" s="5">
        <f>Table14[[#This Row],[Enrolment S.Y. 2025-2026 ]]*8</f>
        <v>4904</v>
      </c>
      <c r="Q29" s="5">
        <f>Table14[[#This Row],[Quantity based on Target ADM-SLM - Q1 ]] - Table14[[#This Row],[GAP - ADM-SLM - Q4]]</f>
        <v>0</v>
      </c>
      <c r="R29" s="1"/>
      <c r="S29" s="5"/>
      <c r="T29" s="5">
        <f t="shared" si="4"/>
        <v>4904</v>
      </c>
      <c r="U29" s="5">
        <f t="shared" si="5"/>
        <v>0</v>
      </c>
      <c r="V29" s="5">
        <f>Table14[[#This Row],[Enrolment S.Y. 2025-2026 ]]*8</f>
        <v>4904</v>
      </c>
      <c r="W29" s="5">
        <v>0</v>
      </c>
      <c r="X29" s="1"/>
      <c r="Y29" s="5"/>
      <c r="Z29" s="5">
        <f t="shared" si="6"/>
        <v>4904</v>
      </c>
      <c r="AA29" s="5">
        <f t="shared" si="7"/>
        <v>0</v>
      </c>
    </row>
    <row r="30" spans="1:27" s="7" customFormat="1">
      <c r="E30" s="7">
        <f>Table14[[#This Row],[Quantity of ADM-SLM Received (Quantity received x No. of ADM-SLM) - Q3]] * 2</f>
        <v>0</v>
      </c>
      <c r="Q30" s="7">
        <f>Table14[[#This Row],[Quantity based on Target ADM-SLM - Q1 ]] - Table14[[#This Row],[GAP - ADM-SLM - Q4]]</f>
        <v>0</v>
      </c>
    </row>
    <row r="31" spans="1:27" ht="19.5">
      <c r="A31" s="1">
        <v>4</v>
      </c>
      <c r="B31" s="9" t="s">
        <v>15</v>
      </c>
      <c r="C31" s="1">
        <v>672</v>
      </c>
      <c r="D31" s="5">
        <f>Table14[[#This Row],[Enrolment S.Y. 2025-2026 ]]*8</f>
        <v>5376</v>
      </c>
      <c r="E31" s="5">
        <f>Table14[[#This Row],[Quantity of ADM-SLM Received (Quantity received x No. of ADM-SLM) - Q3]] * 2</f>
        <v>0</v>
      </c>
      <c r="F31" s="1"/>
      <c r="G31" s="5"/>
      <c r="H31" s="5">
        <f t="shared" si="0"/>
        <v>5376</v>
      </c>
      <c r="I31" s="5">
        <f t="shared" si="1"/>
        <v>0</v>
      </c>
      <c r="J31" s="5">
        <f>Table14[[#This Row],[Enrolment S.Y. 2025-2026 ]]*8</f>
        <v>5376</v>
      </c>
      <c r="K31" s="5">
        <v>0</v>
      </c>
      <c r="L31" s="1"/>
      <c r="M31" s="5"/>
      <c r="N31" s="5">
        <f t="shared" si="2"/>
        <v>5376</v>
      </c>
      <c r="O31" s="5">
        <f t="shared" si="3"/>
        <v>0</v>
      </c>
      <c r="P31" s="5">
        <f>Table14[[#This Row],[Enrolment S.Y. 2025-2026 ]]*8</f>
        <v>5376</v>
      </c>
      <c r="Q31" s="5">
        <f>Table14[[#This Row],[Quantity based on Target ADM-SLM - Q1 ]] - Table14[[#This Row],[GAP - ADM-SLM - Q4]]</f>
        <v>0</v>
      </c>
      <c r="R31" s="1"/>
      <c r="S31" s="5"/>
      <c r="T31" s="5">
        <f t="shared" si="4"/>
        <v>5376</v>
      </c>
      <c r="U31" s="5">
        <f t="shared" si="5"/>
        <v>0</v>
      </c>
      <c r="V31" s="5">
        <f>Table14[[#This Row],[Enrolment S.Y. 2025-2026 ]]*8</f>
        <v>5376</v>
      </c>
      <c r="W31" s="5">
        <v>0</v>
      </c>
      <c r="X31" s="1"/>
      <c r="Y31" s="5"/>
      <c r="Z31" s="5">
        <f t="shared" si="6"/>
        <v>5376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672</v>
      </c>
      <c r="D32" s="5">
        <f>Table14[[#This Row],[Enrolment S.Y. 2025-2026 ]]*8</f>
        <v>5376</v>
      </c>
      <c r="E32" s="5">
        <f>Table14[[#This Row],[Quantity of ADM-SLM Received (Quantity received x No. of ADM-SLM) - Q3]] * 2</f>
        <v>0</v>
      </c>
      <c r="F32" s="1"/>
      <c r="G32" s="5"/>
      <c r="H32" s="5">
        <f t="shared" si="0"/>
        <v>5376</v>
      </c>
      <c r="I32" s="5">
        <f t="shared" si="1"/>
        <v>0</v>
      </c>
      <c r="J32" s="5">
        <f>Table14[[#This Row],[Enrolment S.Y. 2025-2026 ]]*8</f>
        <v>5376</v>
      </c>
      <c r="K32" s="5">
        <v>0</v>
      </c>
      <c r="L32" s="1"/>
      <c r="M32" s="5"/>
      <c r="N32" s="5">
        <f t="shared" si="2"/>
        <v>5376</v>
      </c>
      <c r="O32" s="5">
        <f t="shared" si="3"/>
        <v>0</v>
      </c>
      <c r="P32" s="5">
        <f>Table14[[#This Row],[Enrolment S.Y. 2025-2026 ]]*8</f>
        <v>5376</v>
      </c>
      <c r="Q32" s="5">
        <f>Table14[[#This Row],[Quantity based on Target ADM-SLM - Q1 ]] - Table14[[#This Row],[GAP - ADM-SLM - Q4]]</f>
        <v>0</v>
      </c>
      <c r="R32" s="1"/>
      <c r="S32" s="5"/>
      <c r="T32" s="5">
        <f t="shared" si="4"/>
        <v>5376</v>
      </c>
      <c r="U32" s="5">
        <f t="shared" si="5"/>
        <v>0</v>
      </c>
      <c r="V32" s="5">
        <f>Table14[[#This Row],[Enrolment S.Y. 2025-2026 ]]*8</f>
        <v>5376</v>
      </c>
      <c r="W32" s="5">
        <v>0</v>
      </c>
      <c r="X32" s="1"/>
      <c r="Y32" s="5"/>
      <c r="Z32" s="5">
        <f t="shared" si="6"/>
        <v>5376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672</v>
      </c>
      <c r="D33" s="5">
        <f>Table14[[#This Row],[Enrolment S.Y. 2025-2026 ]]*8</f>
        <v>5376</v>
      </c>
      <c r="E33" s="5">
        <f>Table14[[#This Row],[Quantity of ADM-SLM Received (Quantity received x No. of ADM-SLM) - Q3]] * 2</f>
        <v>0</v>
      </c>
      <c r="F33" s="1"/>
      <c r="G33" s="5"/>
      <c r="H33" s="5">
        <f t="shared" si="0"/>
        <v>5376</v>
      </c>
      <c r="I33" s="5">
        <f t="shared" si="1"/>
        <v>0</v>
      </c>
      <c r="J33" s="5">
        <f>Table14[[#This Row],[Enrolment S.Y. 2025-2026 ]]*8</f>
        <v>5376</v>
      </c>
      <c r="K33" s="5">
        <v>0</v>
      </c>
      <c r="L33" s="1"/>
      <c r="M33" s="5"/>
      <c r="N33" s="5">
        <f t="shared" si="2"/>
        <v>5376</v>
      </c>
      <c r="O33" s="5">
        <f t="shared" si="3"/>
        <v>0</v>
      </c>
      <c r="P33" s="5">
        <f>Table14[[#This Row],[Enrolment S.Y. 2025-2026 ]]*8</f>
        <v>5376</v>
      </c>
      <c r="Q33" s="5">
        <f>Table14[[#This Row],[Quantity based on Target ADM-SLM - Q1 ]] - Table14[[#This Row],[GAP - ADM-SLM - Q4]]</f>
        <v>0</v>
      </c>
      <c r="R33" s="1"/>
      <c r="S33" s="5"/>
      <c r="T33" s="5">
        <f t="shared" si="4"/>
        <v>5376</v>
      </c>
      <c r="U33" s="5">
        <f t="shared" si="5"/>
        <v>0</v>
      </c>
      <c r="V33" s="5">
        <f>Table14[[#This Row],[Enrolment S.Y. 2025-2026 ]]*8</f>
        <v>5376</v>
      </c>
      <c r="W33" s="5">
        <v>0</v>
      </c>
      <c r="X33" s="1"/>
      <c r="Y33" s="5"/>
      <c r="Z33" s="5">
        <f t="shared" si="6"/>
        <v>5376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672</v>
      </c>
      <c r="D34" s="5">
        <f>Table14[[#This Row],[Enrolment S.Y. 2025-2026 ]]*8</f>
        <v>5376</v>
      </c>
      <c r="E34" s="5">
        <f>Table14[[#This Row],[Quantity of ADM-SLM Received (Quantity received x No. of ADM-SLM) - Q3]] * 2</f>
        <v>0</v>
      </c>
      <c r="F34" s="1"/>
      <c r="G34" s="5"/>
      <c r="H34" s="5">
        <f t="shared" si="0"/>
        <v>5376</v>
      </c>
      <c r="I34" s="5">
        <f t="shared" si="1"/>
        <v>0</v>
      </c>
      <c r="J34" s="5">
        <f>Table14[[#This Row],[Enrolment S.Y. 2025-2026 ]]*8</f>
        <v>5376</v>
      </c>
      <c r="K34" s="5">
        <v>0</v>
      </c>
      <c r="L34" s="1"/>
      <c r="M34" s="5"/>
      <c r="N34" s="5">
        <f t="shared" si="2"/>
        <v>5376</v>
      </c>
      <c r="O34" s="5">
        <f t="shared" si="3"/>
        <v>0</v>
      </c>
      <c r="P34" s="5">
        <f>Table14[[#This Row],[Enrolment S.Y. 2025-2026 ]]*8</f>
        <v>5376</v>
      </c>
      <c r="Q34" s="5">
        <f>Table14[[#This Row],[Quantity based on Target ADM-SLM - Q1 ]] - Table14[[#This Row],[GAP - ADM-SLM - Q4]]</f>
        <v>0</v>
      </c>
      <c r="R34" s="1"/>
      <c r="S34" s="5"/>
      <c r="T34" s="5">
        <f t="shared" si="4"/>
        <v>5376</v>
      </c>
      <c r="U34" s="5">
        <f t="shared" si="5"/>
        <v>0</v>
      </c>
      <c r="V34" s="5">
        <f>Table14[[#This Row],[Enrolment S.Y. 2025-2026 ]]*8</f>
        <v>5376</v>
      </c>
      <c r="W34" s="5">
        <v>0</v>
      </c>
      <c r="X34" s="1"/>
      <c r="Y34" s="5"/>
      <c r="Z34" s="5">
        <f t="shared" si="6"/>
        <v>5376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672</v>
      </c>
      <c r="D35" s="5">
        <f>Table14[[#This Row],[Enrolment S.Y. 2025-2026 ]]*8</f>
        <v>5376</v>
      </c>
      <c r="E35" s="5">
        <f>Table14[[#This Row],[Quantity of ADM-SLM Received (Quantity received x No. of ADM-SLM) - Q3]] * 2</f>
        <v>0</v>
      </c>
      <c r="F35" s="1"/>
      <c r="G35" s="5"/>
      <c r="H35" s="5">
        <f t="shared" si="0"/>
        <v>5376</v>
      </c>
      <c r="I35" s="5">
        <f t="shared" si="1"/>
        <v>0</v>
      </c>
      <c r="J35" s="5">
        <f>Table14[[#This Row],[Enrolment S.Y. 2025-2026 ]]*8</f>
        <v>5376</v>
      </c>
      <c r="K35" s="5">
        <v>0</v>
      </c>
      <c r="L35" s="1"/>
      <c r="M35" s="5"/>
      <c r="N35" s="5">
        <f t="shared" si="2"/>
        <v>5376</v>
      </c>
      <c r="O35" s="5">
        <f t="shared" si="3"/>
        <v>0</v>
      </c>
      <c r="P35" s="5">
        <f>Table14[[#This Row],[Enrolment S.Y. 2025-2026 ]]*8</f>
        <v>5376</v>
      </c>
      <c r="Q35" s="5">
        <f>Table14[[#This Row],[Quantity based on Target ADM-SLM - Q1 ]] - Table14[[#This Row],[GAP - ADM-SLM - Q4]]</f>
        <v>0</v>
      </c>
      <c r="R35" s="1"/>
      <c r="S35" s="5"/>
      <c r="T35" s="5">
        <f t="shared" si="4"/>
        <v>5376</v>
      </c>
      <c r="U35" s="5">
        <f t="shared" si="5"/>
        <v>0</v>
      </c>
      <c r="V35" s="5">
        <f>Table14[[#This Row],[Enrolment S.Y. 2025-2026 ]]*8</f>
        <v>5376</v>
      </c>
      <c r="W35" s="5">
        <v>0</v>
      </c>
      <c r="X35" s="1"/>
      <c r="Y35" s="5"/>
      <c r="Z35" s="5">
        <f t="shared" si="6"/>
        <v>5376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672</v>
      </c>
      <c r="D36" s="5">
        <f>Table14[[#This Row],[Enrolment S.Y. 2025-2026 ]]*8</f>
        <v>5376</v>
      </c>
      <c r="E36" s="5">
        <f>Table14[[#This Row],[Quantity of ADM-SLM Received (Quantity received x No. of ADM-SLM) - Q3]] * 2</f>
        <v>0</v>
      </c>
      <c r="F36" s="1"/>
      <c r="G36" s="5"/>
      <c r="H36" s="5">
        <f t="shared" si="0"/>
        <v>5376</v>
      </c>
      <c r="I36" s="5">
        <f t="shared" si="1"/>
        <v>0</v>
      </c>
      <c r="J36" s="5">
        <f>Table14[[#This Row],[Enrolment S.Y. 2025-2026 ]]*8</f>
        <v>5376</v>
      </c>
      <c r="K36" s="5">
        <v>0</v>
      </c>
      <c r="L36" s="1"/>
      <c r="M36" s="5"/>
      <c r="N36" s="5">
        <f t="shared" ref="N36:N41" si="8">IF((J36-K36)&lt;0,0,(J36-K36))</f>
        <v>5376</v>
      </c>
      <c r="O36" s="5">
        <f t="shared" ref="O36:O41" si="9">IF((K36-J36)&lt;0,0,(K36-J36))</f>
        <v>0</v>
      </c>
      <c r="P36" s="5">
        <f>Table14[[#This Row],[Enrolment S.Y. 2025-2026 ]]*8</f>
        <v>5376</v>
      </c>
      <c r="Q36" s="5">
        <f>Table14[[#This Row],[Quantity based on Target ADM-SLM - Q1 ]] - Table14[[#This Row],[GAP - ADM-SLM - Q4]]</f>
        <v>0</v>
      </c>
      <c r="R36" s="1"/>
      <c r="S36" s="5"/>
      <c r="T36" s="5">
        <f t="shared" si="4"/>
        <v>5376</v>
      </c>
      <c r="U36" s="5">
        <f t="shared" si="5"/>
        <v>0</v>
      </c>
      <c r="V36" s="5">
        <f>Table14[[#This Row],[Enrolment S.Y. 2025-2026 ]]*8</f>
        <v>5376</v>
      </c>
      <c r="W36" s="5">
        <v>0</v>
      </c>
      <c r="X36" s="1"/>
      <c r="Y36" s="5"/>
      <c r="Z36" s="5">
        <f t="shared" si="6"/>
        <v>5376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672</v>
      </c>
      <c r="D37" s="5">
        <f>Table14[[#This Row],[Enrolment S.Y. 2025-2026 ]]*8</f>
        <v>5376</v>
      </c>
      <c r="E37" s="5">
        <f>Table14[[#This Row],[Quantity of ADM-SLM Received (Quantity received x No. of ADM-SLM) - Q3]] * 2</f>
        <v>0</v>
      </c>
      <c r="F37" s="1"/>
      <c r="G37" s="5"/>
      <c r="H37" s="5">
        <f>IF((D37-E37)&lt;0,0,(D37-E37))</f>
        <v>5376</v>
      </c>
      <c r="I37" s="5">
        <f>IF((E37-D37)&lt;0,0,(E37-D37))</f>
        <v>0</v>
      </c>
      <c r="J37" s="5">
        <f>Table14[[#This Row],[Enrolment S.Y. 2025-2026 ]]*8</f>
        <v>5376</v>
      </c>
      <c r="K37" s="5">
        <v>0</v>
      </c>
      <c r="L37" s="1"/>
      <c r="M37" s="5"/>
      <c r="N37" s="5">
        <f t="shared" si="8"/>
        <v>5376</v>
      </c>
      <c r="O37" s="5">
        <f t="shared" si="9"/>
        <v>0</v>
      </c>
      <c r="P37" s="5">
        <f>Table14[[#This Row],[Enrolment S.Y. 2025-2026 ]]*8</f>
        <v>5376</v>
      </c>
      <c r="Q37" s="5">
        <f>Table14[[#This Row],[Quantity based on Target ADM-SLM - Q1 ]] - Table14[[#This Row],[GAP - ADM-SLM - Q4]]</f>
        <v>0</v>
      </c>
      <c r="R37" s="1"/>
      <c r="S37" s="5"/>
      <c r="T37" s="5">
        <f>IF((P37-Q37)&lt;0,0,(P37-Q37))</f>
        <v>5376</v>
      </c>
      <c r="U37" s="5">
        <f>IF((Q37-P37)&lt;0,0,(Q37-P37))</f>
        <v>0</v>
      </c>
      <c r="V37" s="5">
        <f>Table14[[#This Row],[Enrolment S.Y. 2025-2026 ]]*8</f>
        <v>5376</v>
      </c>
      <c r="W37" s="5">
        <v>0</v>
      </c>
      <c r="X37" s="1"/>
      <c r="Y37" s="5"/>
      <c r="Z37" s="5">
        <f>IF((V37-W37)&lt;0,0,(V37-W37))</f>
        <v>5376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672</v>
      </c>
      <c r="D38" s="5">
        <f>Table14[[#This Row],[Enrolment S.Y. 2025-2026 ]]*8</f>
        <v>5376</v>
      </c>
      <c r="E38" s="5">
        <f>Table14[[#This Row],[Quantity of ADM-SLM Received (Quantity received x No. of ADM-SLM) - Q3]] * 2</f>
        <v>0</v>
      </c>
      <c r="F38" s="1"/>
      <c r="G38" s="5"/>
      <c r="H38" s="5">
        <f t="shared" si="0"/>
        <v>5376</v>
      </c>
      <c r="I38" s="5">
        <f t="shared" si="1"/>
        <v>0</v>
      </c>
      <c r="J38" s="5">
        <f>Table14[[#This Row],[Enrolment S.Y. 2025-2026 ]]*8</f>
        <v>5376</v>
      </c>
      <c r="K38" s="5">
        <v>0</v>
      </c>
      <c r="L38" s="1"/>
      <c r="M38" s="5"/>
      <c r="N38" s="5">
        <f t="shared" si="8"/>
        <v>5376</v>
      </c>
      <c r="O38" s="5">
        <f t="shared" si="9"/>
        <v>0</v>
      </c>
      <c r="P38" s="5">
        <f>Table14[[#This Row],[Enrolment S.Y. 2025-2026 ]]*8</f>
        <v>5376</v>
      </c>
      <c r="Q38" s="5">
        <f>Table14[[#This Row],[Quantity based on Target ADM-SLM - Q1 ]] - Table14[[#This Row],[GAP - ADM-SLM - Q4]]</f>
        <v>0</v>
      </c>
      <c r="R38" s="1"/>
      <c r="S38" s="5"/>
      <c r="T38" s="5">
        <f t="shared" si="4"/>
        <v>5376</v>
      </c>
      <c r="U38" s="5">
        <f t="shared" si="5"/>
        <v>0</v>
      </c>
      <c r="V38" s="5">
        <f>Table14[[#This Row],[Enrolment S.Y. 2025-2026 ]]*8</f>
        <v>5376</v>
      </c>
      <c r="W38" s="5">
        <v>0</v>
      </c>
      <c r="X38" s="1"/>
      <c r="Y38" s="5"/>
      <c r="Z38" s="5">
        <f t="shared" si="6"/>
        <v>5376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672</v>
      </c>
      <c r="D39" s="5">
        <f>Table14[[#This Row],[Enrolment S.Y. 2025-2026 ]]*8</f>
        <v>5376</v>
      </c>
      <c r="E39" s="5">
        <f>Table14[[#This Row],[Quantity of ADM-SLM Received (Quantity received x No. of ADM-SLM) - Q3]] * 2</f>
        <v>0</v>
      </c>
      <c r="F39" s="1"/>
      <c r="G39" s="5"/>
      <c r="H39" s="5">
        <f t="shared" si="0"/>
        <v>5376</v>
      </c>
      <c r="I39" s="5">
        <f t="shared" si="1"/>
        <v>0</v>
      </c>
      <c r="J39" s="5">
        <f>Table14[[#This Row],[Enrolment S.Y. 2025-2026 ]]*8</f>
        <v>5376</v>
      </c>
      <c r="K39" s="5">
        <v>0</v>
      </c>
      <c r="L39" s="1"/>
      <c r="M39" s="5"/>
      <c r="N39" s="5">
        <f t="shared" si="8"/>
        <v>5376</v>
      </c>
      <c r="O39" s="5">
        <f t="shared" si="9"/>
        <v>0</v>
      </c>
      <c r="P39" s="5">
        <f>Table14[[#This Row],[Enrolment S.Y. 2025-2026 ]]*8</f>
        <v>5376</v>
      </c>
      <c r="Q39" s="5">
        <f>Table14[[#This Row],[Quantity based on Target ADM-SLM - Q1 ]] - Table14[[#This Row],[GAP - ADM-SLM - Q4]]</f>
        <v>0</v>
      </c>
      <c r="R39" s="1"/>
      <c r="S39" s="5"/>
      <c r="T39" s="5">
        <f t="shared" si="4"/>
        <v>5376</v>
      </c>
      <c r="U39" s="5">
        <f t="shared" si="5"/>
        <v>0</v>
      </c>
      <c r="V39" s="5">
        <f>Table14[[#This Row],[Enrolment S.Y. 2025-2026 ]]*8</f>
        <v>5376</v>
      </c>
      <c r="W39" s="5">
        <v>0</v>
      </c>
      <c r="X39" s="1"/>
      <c r="Y39" s="5"/>
      <c r="Z39" s="5">
        <f t="shared" si="6"/>
        <v>5376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672</v>
      </c>
      <c r="D40" s="5">
        <f>Table14[[#This Row],[Enrolment S.Y. 2025-2026 ]]*8</f>
        <v>5376</v>
      </c>
      <c r="E40" s="5">
        <f>Table14[[#This Row],[Quantity of ADM-SLM Received (Quantity received x No. of ADM-SLM) - Q3]] * 2</f>
        <v>0</v>
      </c>
      <c r="F40" s="1"/>
      <c r="G40" s="5"/>
      <c r="H40" s="5">
        <f>IF((D40-E40)&lt;0,0,(D40-E40))</f>
        <v>5376</v>
      </c>
      <c r="I40" s="5">
        <f>IF((E40-D40)&lt;0,0,(E40-D40))</f>
        <v>0</v>
      </c>
      <c r="J40" s="5">
        <f>Table14[[#This Row],[Enrolment S.Y. 2025-2026 ]]*8</f>
        <v>5376</v>
      </c>
      <c r="K40" s="5">
        <v>0</v>
      </c>
      <c r="L40" s="1"/>
      <c r="M40" s="5"/>
      <c r="N40" s="5">
        <f t="shared" si="8"/>
        <v>5376</v>
      </c>
      <c r="O40" s="5">
        <f t="shared" si="9"/>
        <v>0</v>
      </c>
      <c r="P40" s="5">
        <f>Table14[[#This Row],[Enrolment S.Y. 2025-2026 ]]*8</f>
        <v>5376</v>
      </c>
      <c r="Q40" s="5">
        <f>Table14[[#This Row],[Quantity based on Target ADM-SLM - Q1 ]] - Table14[[#This Row],[GAP - ADM-SLM - Q4]]</f>
        <v>0</v>
      </c>
      <c r="R40" s="1"/>
      <c r="S40" s="5"/>
      <c r="T40" s="5">
        <f>IF((P40-Q40)&lt;0,0,(P40-Q40))</f>
        <v>5376</v>
      </c>
      <c r="U40" s="5">
        <f>IF((Q40-P40)&lt;0,0,(Q40-P40))</f>
        <v>0</v>
      </c>
      <c r="V40" s="5">
        <f>Table14[[#This Row],[Enrolment S.Y. 2025-2026 ]]*8</f>
        <v>5376</v>
      </c>
      <c r="W40" s="5">
        <v>0</v>
      </c>
      <c r="X40" s="1"/>
      <c r="Y40" s="5"/>
      <c r="Z40" s="5">
        <f>IF((V40-W40)&lt;0,0,(V40-W40))</f>
        <v>5376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672</v>
      </c>
      <c r="D41" s="5">
        <f>Table14[[#This Row],[Enrolment S.Y. 2025-2026 ]]*8</f>
        <v>5376</v>
      </c>
      <c r="E41" s="5">
        <f>Table14[[#This Row],[Quantity of ADM-SLM Received (Quantity received x No. of ADM-SLM) - Q3]] * 2</f>
        <v>0</v>
      </c>
      <c r="F41" s="1"/>
      <c r="G41" s="5"/>
      <c r="H41" s="5">
        <f t="shared" si="0"/>
        <v>5376</v>
      </c>
      <c r="I41" s="5">
        <f t="shared" si="1"/>
        <v>0</v>
      </c>
      <c r="J41" s="5">
        <f>Table14[[#This Row],[Enrolment S.Y. 2025-2026 ]]*8</f>
        <v>5376</v>
      </c>
      <c r="K41" s="5">
        <v>0</v>
      </c>
      <c r="L41" s="1"/>
      <c r="M41" s="5"/>
      <c r="N41" s="5">
        <f t="shared" si="8"/>
        <v>5376</v>
      </c>
      <c r="O41" s="5">
        <f t="shared" si="9"/>
        <v>0</v>
      </c>
      <c r="P41" s="5">
        <f>Table14[[#This Row],[Enrolment S.Y. 2025-2026 ]]*8</f>
        <v>5376</v>
      </c>
      <c r="Q41" s="5">
        <f>Table14[[#This Row],[Quantity based on Target ADM-SLM - Q1 ]] - Table14[[#This Row],[GAP - ADM-SLM - Q4]]</f>
        <v>0</v>
      </c>
      <c r="R41" s="1"/>
      <c r="S41" s="5"/>
      <c r="T41" s="5">
        <f t="shared" si="4"/>
        <v>5376</v>
      </c>
      <c r="U41" s="5">
        <f t="shared" si="5"/>
        <v>0</v>
      </c>
      <c r="V41" s="5">
        <f>Table14[[#This Row],[Enrolment S.Y. 2025-2026 ]]*8</f>
        <v>5376</v>
      </c>
      <c r="W41" s="5">
        <v>0</v>
      </c>
      <c r="X41" s="1"/>
      <c r="Y41" s="5"/>
      <c r="Z41" s="5">
        <f t="shared" si="6"/>
        <v>5376</v>
      </c>
      <c r="AA41" s="5">
        <f t="shared" si="7"/>
        <v>0</v>
      </c>
    </row>
    <row r="42" spans="1:27" s="7" customFormat="1">
      <c r="E42" s="7">
        <f>Table14[[#This Row],[Quantity of ADM-SLM Received (Quantity received x No. of ADM-SLM) - Q3]] * 2</f>
        <v>0</v>
      </c>
      <c r="Q42" s="7">
        <f>Table14[[#This Row],[Quantity based on Target ADM-SLM - Q1 ]] - Table14[[#This Row],[GAP - ADM-SLM - Q4]]</f>
        <v>0</v>
      </c>
    </row>
    <row r="43" spans="1:27" ht="19.5">
      <c r="A43" s="1">
        <v>5</v>
      </c>
      <c r="B43" s="9" t="s">
        <v>15</v>
      </c>
      <c r="C43" s="1">
        <v>515</v>
      </c>
      <c r="D43" s="5">
        <f>Table14[[#This Row],[Enrolment S.Y. 2025-2026 ]]*8</f>
        <v>4120</v>
      </c>
      <c r="E43" s="5">
        <f>Table14[[#This Row],[Quantity of ADM-SLM Received (Quantity received x No. of ADM-SLM) - Q3]] * 2</f>
        <v>0</v>
      </c>
      <c r="F43" s="1"/>
      <c r="G43" s="5"/>
      <c r="H43" s="5">
        <f t="shared" si="0"/>
        <v>4120</v>
      </c>
      <c r="I43" s="5">
        <f t="shared" si="1"/>
        <v>0</v>
      </c>
      <c r="J43" s="5">
        <f>Table14[[#This Row],[Enrolment S.Y. 2025-2026 ]]*8</f>
        <v>4120</v>
      </c>
      <c r="K43" s="5">
        <v>0</v>
      </c>
      <c r="L43" s="1"/>
      <c r="M43" s="5"/>
      <c r="N43" s="5">
        <f t="shared" si="2"/>
        <v>4120</v>
      </c>
      <c r="O43" s="5">
        <f t="shared" si="3"/>
        <v>0</v>
      </c>
      <c r="P43" s="5">
        <f>Table14[[#This Row],[Enrolment S.Y. 2025-2026 ]]*8</f>
        <v>4120</v>
      </c>
      <c r="Q43" s="5">
        <f>Table14[[#This Row],[Quantity based on Target ADM-SLM - Q1 ]] - Table14[[#This Row],[GAP - ADM-SLM - Q4]]</f>
        <v>0</v>
      </c>
      <c r="R43" s="1"/>
      <c r="S43" s="5"/>
      <c r="T43" s="5">
        <f t="shared" si="4"/>
        <v>4120</v>
      </c>
      <c r="U43" s="5">
        <f t="shared" si="5"/>
        <v>0</v>
      </c>
      <c r="V43" s="5">
        <f>Table14[[#This Row],[Enrolment S.Y. 2025-2026 ]]*8</f>
        <v>4120</v>
      </c>
      <c r="W43" s="5">
        <v>0</v>
      </c>
      <c r="X43" s="1"/>
      <c r="Y43" s="5"/>
      <c r="Z43" s="5">
        <f t="shared" si="6"/>
        <v>4120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515</v>
      </c>
      <c r="D44" s="5">
        <f>Table14[[#This Row],[Enrolment S.Y. 2025-2026 ]]*8</f>
        <v>4120</v>
      </c>
      <c r="E44" s="5">
        <f>Table14[[#This Row],[Quantity of ADM-SLM Received (Quantity received x No. of ADM-SLM) - Q3]] * 2</f>
        <v>0</v>
      </c>
      <c r="F44" s="1"/>
      <c r="G44" s="5"/>
      <c r="H44" s="5">
        <f t="shared" si="0"/>
        <v>4120</v>
      </c>
      <c r="I44" s="5">
        <f t="shared" si="1"/>
        <v>0</v>
      </c>
      <c r="J44" s="5">
        <f>Table14[[#This Row],[Enrolment S.Y. 2025-2026 ]]*8</f>
        <v>4120</v>
      </c>
      <c r="K44" s="5">
        <v>0</v>
      </c>
      <c r="L44" s="1"/>
      <c r="M44" s="5"/>
      <c r="N44" s="5">
        <f t="shared" si="2"/>
        <v>4120</v>
      </c>
      <c r="O44" s="5">
        <f t="shared" si="3"/>
        <v>0</v>
      </c>
      <c r="P44" s="5">
        <f>Table14[[#This Row],[Enrolment S.Y. 2025-2026 ]]*8</f>
        <v>4120</v>
      </c>
      <c r="Q44" s="5">
        <f>Table14[[#This Row],[Quantity based on Target ADM-SLM - Q1 ]] - Table14[[#This Row],[GAP - ADM-SLM - Q4]]</f>
        <v>0</v>
      </c>
      <c r="R44" s="1"/>
      <c r="S44" s="5"/>
      <c r="T44" s="5">
        <f t="shared" si="4"/>
        <v>4120</v>
      </c>
      <c r="U44" s="5">
        <f t="shared" si="5"/>
        <v>0</v>
      </c>
      <c r="V44" s="5">
        <f>Table14[[#This Row],[Enrolment S.Y. 2025-2026 ]]*8</f>
        <v>4120</v>
      </c>
      <c r="W44" s="5">
        <v>0</v>
      </c>
      <c r="X44" s="1"/>
      <c r="Y44" s="5"/>
      <c r="Z44" s="5">
        <f t="shared" si="6"/>
        <v>4120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515</v>
      </c>
      <c r="D45" s="5">
        <f>Table14[[#This Row],[Enrolment S.Y. 2025-2026 ]]*8</f>
        <v>4120</v>
      </c>
      <c r="E45" s="5">
        <f>Table14[[#This Row],[Quantity of ADM-SLM Received (Quantity received x No. of ADM-SLM) - Q3]] * 2</f>
        <v>0</v>
      </c>
      <c r="F45" s="1"/>
      <c r="G45" s="5"/>
      <c r="H45" s="5">
        <f t="shared" si="0"/>
        <v>4120</v>
      </c>
      <c r="I45" s="5">
        <f t="shared" si="1"/>
        <v>0</v>
      </c>
      <c r="J45" s="5">
        <f>Table14[[#This Row],[Enrolment S.Y. 2025-2026 ]]*8</f>
        <v>4120</v>
      </c>
      <c r="K45" s="5">
        <v>0</v>
      </c>
      <c r="L45" s="1"/>
      <c r="M45" s="5"/>
      <c r="N45" s="5">
        <f t="shared" si="2"/>
        <v>4120</v>
      </c>
      <c r="O45" s="5">
        <f t="shared" si="3"/>
        <v>0</v>
      </c>
      <c r="P45" s="5">
        <f>Table14[[#This Row],[Enrolment S.Y. 2025-2026 ]]*8</f>
        <v>4120</v>
      </c>
      <c r="Q45" s="5">
        <f>Table14[[#This Row],[Quantity based on Target ADM-SLM - Q1 ]] - Table14[[#This Row],[GAP - ADM-SLM - Q4]]</f>
        <v>0</v>
      </c>
      <c r="R45" s="1"/>
      <c r="S45" s="5"/>
      <c r="T45" s="5">
        <f t="shared" si="4"/>
        <v>4120</v>
      </c>
      <c r="U45" s="5">
        <f t="shared" si="5"/>
        <v>0</v>
      </c>
      <c r="V45" s="5">
        <f>Table14[[#This Row],[Enrolment S.Y. 2025-2026 ]]*8</f>
        <v>4120</v>
      </c>
      <c r="W45" s="5">
        <v>0</v>
      </c>
      <c r="X45" s="1"/>
      <c r="Y45" s="5"/>
      <c r="Z45" s="5">
        <f t="shared" si="6"/>
        <v>4120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515</v>
      </c>
      <c r="D46" s="5">
        <f>Table14[[#This Row],[Enrolment S.Y. 2025-2026 ]]*8</f>
        <v>4120</v>
      </c>
      <c r="E46" s="5">
        <f>Table14[[#This Row],[Quantity of ADM-SLM Received (Quantity received x No. of ADM-SLM) - Q3]] * 2</f>
        <v>0</v>
      </c>
      <c r="F46" s="1"/>
      <c r="G46" s="5"/>
      <c r="H46" s="5">
        <f t="shared" si="0"/>
        <v>4120</v>
      </c>
      <c r="I46" s="5">
        <f t="shared" si="1"/>
        <v>0</v>
      </c>
      <c r="J46" s="5">
        <f>Table14[[#This Row],[Enrolment S.Y. 2025-2026 ]]*8</f>
        <v>4120</v>
      </c>
      <c r="K46" s="5">
        <v>0</v>
      </c>
      <c r="L46" s="1"/>
      <c r="M46" s="5"/>
      <c r="N46" s="5">
        <f t="shared" si="2"/>
        <v>4120</v>
      </c>
      <c r="O46" s="5">
        <f t="shared" si="3"/>
        <v>0</v>
      </c>
      <c r="P46" s="5">
        <f>Table14[[#This Row],[Enrolment S.Y. 2025-2026 ]]*8</f>
        <v>4120</v>
      </c>
      <c r="Q46" s="5">
        <f>Table14[[#This Row],[Quantity based on Target ADM-SLM - Q1 ]] - Table14[[#This Row],[GAP - ADM-SLM - Q4]]</f>
        <v>0</v>
      </c>
      <c r="R46" s="1"/>
      <c r="S46" s="5"/>
      <c r="T46" s="5">
        <f t="shared" si="4"/>
        <v>4120</v>
      </c>
      <c r="U46" s="5">
        <f t="shared" si="5"/>
        <v>0</v>
      </c>
      <c r="V46" s="5">
        <f>Table14[[#This Row],[Enrolment S.Y. 2025-2026 ]]*8</f>
        <v>4120</v>
      </c>
      <c r="W46" s="5">
        <v>0</v>
      </c>
      <c r="X46" s="1"/>
      <c r="Y46" s="5"/>
      <c r="Z46" s="5">
        <f t="shared" si="6"/>
        <v>4120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515</v>
      </c>
      <c r="D47" s="5">
        <f>Table14[[#This Row],[Enrolment S.Y. 2025-2026 ]]*8</f>
        <v>4120</v>
      </c>
      <c r="E47" s="5">
        <f>Table14[[#This Row],[Quantity of ADM-SLM Received (Quantity received x No. of ADM-SLM) - Q3]] * 2</f>
        <v>0</v>
      </c>
      <c r="F47" s="1"/>
      <c r="G47" s="5"/>
      <c r="H47" s="5">
        <f t="shared" si="0"/>
        <v>4120</v>
      </c>
      <c r="I47" s="5">
        <f t="shared" si="1"/>
        <v>0</v>
      </c>
      <c r="J47" s="5">
        <f>Table14[[#This Row],[Enrolment S.Y. 2025-2026 ]]*8</f>
        <v>4120</v>
      </c>
      <c r="K47" s="5">
        <v>0</v>
      </c>
      <c r="L47" s="1"/>
      <c r="M47" s="5"/>
      <c r="N47" s="5">
        <f t="shared" si="2"/>
        <v>4120</v>
      </c>
      <c r="O47" s="5">
        <f t="shared" si="3"/>
        <v>0</v>
      </c>
      <c r="P47" s="5">
        <f>Table14[[#This Row],[Enrolment S.Y. 2025-2026 ]]*8</f>
        <v>4120</v>
      </c>
      <c r="Q47" s="5">
        <f>Table14[[#This Row],[Quantity based on Target ADM-SLM - Q1 ]] - Table14[[#This Row],[GAP - ADM-SLM - Q4]]</f>
        <v>0</v>
      </c>
      <c r="R47" s="1"/>
      <c r="S47" s="5"/>
      <c r="T47" s="5">
        <f t="shared" si="4"/>
        <v>4120</v>
      </c>
      <c r="U47" s="5">
        <f t="shared" si="5"/>
        <v>0</v>
      </c>
      <c r="V47" s="5">
        <f>Table14[[#This Row],[Enrolment S.Y. 2025-2026 ]]*8</f>
        <v>4120</v>
      </c>
      <c r="W47" s="5">
        <v>0</v>
      </c>
      <c r="X47" s="1"/>
      <c r="Y47" s="5"/>
      <c r="Z47" s="5">
        <f t="shared" si="6"/>
        <v>4120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515</v>
      </c>
      <c r="D48" s="5">
        <f>Table14[[#This Row],[Enrolment S.Y. 2025-2026 ]]*8</f>
        <v>4120</v>
      </c>
      <c r="E48" s="5">
        <f>Table14[[#This Row],[Quantity of ADM-SLM Received (Quantity received x No. of ADM-SLM) - Q3]] * 2</f>
        <v>0</v>
      </c>
      <c r="F48" s="1"/>
      <c r="G48" s="5"/>
      <c r="H48" s="5">
        <f t="shared" si="0"/>
        <v>4120</v>
      </c>
      <c r="I48" s="5">
        <f t="shared" si="1"/>
        <v>0</v>
      </c>
      <c r="J48" s="5">
        <f>Table14[[#This Row],[Enrolment S.Y. 2025-2026 ]]*8</f>
        <v>4120</v>
      </c>
      <c r="K48" s="5">
        <v>0</v>
      </c>
      <c r="L48" s="1"/>
      <c r="M48" s="5"/>
      <c r="N48" s="5">
        <f t="shared" ref="N48:N53" si="10">IF((J48-K48)&lt;0,0,(J48-K48))</f>
        <v>4120</v>
      </c>
      <c r="O48" s="5">
        <f t="shared" ref="O48:O53" si="11">IF((K48-J48)&lt;0,0,(K48-J48))</f>
        <v>0</v>
      </c>
      <c r="P48" s="5">
        <f>Table14[[#This Row],[Enrolment S.Y. 2025-2026 ]]*8</f>
        <v>4120</v>
      </c>
      <c r="Q48" s="5">
        <f>Table14[[#This Row],[Quantity based on Target ADM-SLM - Q1 ]] - Table14[[#This Row],[GAP - ADM-SLM - Q4]]</f>
        <v>0</v>
      </c>
      <c r="R48" s="1"/>
      <c r="S48" s="5"/>
      <c r="T48" s="5">
        <f t="shared" si="4"/>
        <v>4120</v>
      </c>
      <c r="U48" s="5">
        <f t="shared" si="5"/>
        <v>0</v>
      </c>
      <c r="V48" s="5">
        <f>Table14[[#This Row],[Enrolment S.Y. 2025-2026 ]]*8</f>
        <v>4120</v>
      </c>
      <c r="W48" s="5">
        <v>0</v>
      </c>
      <c r="X48" s="1"/>
      <c r="Y48" s="5"/>
      <c r="Z48" s="5">
        <f t="shared" si="6"/>
        <v>4120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515</v>
      </c>
      <c r="D49" s="5">
        <f>Table14[[#This Row],[Enrolment S.Y. 2025-2026 ]]*8</f>
        <v>4120</v>
      </c>
      <c r="E49" s="5">
        <f>Table14[[#This Row],[Quantity of ADM-SLM Received (Quantity received x No. of ADM-SLM) - Q3]] * 2</f>
        <v>0</v>
      </c>
      <c r="F49" s="1"/>
      <c r="G49" s="5"/>
      <c r="H49" s="5">
        <f>IF((D49-E49)&lt;0,0,(D49-E49))</f>
        <v>4120</v>
      </c>
      <c r="I49" s="5">
        <f>IF((E49-D49)&lt;0,0,(E49-D49))</f>
        <v>0</v>
      </c>
      <c r="J49" s="5">
        <f>Table14[[#This Row],[Enrolment S.Y. 2025-2026 ]]*8</f>
        <v>4120</v>
      </c>
      <c r="K49" s="5">
        <v>0</v>
      </c>
      <c r="L49" s="1"/>
      <c r="M49" s="5"/>
      <c r="N49" s="5">
        <f t="shared" si="10"/>
        <v>4120</v>
      </c>
      <c r="O49" s="5">
        <f t="shared" si="11"/>
        <v>0</v>
      </c>
      <c r="P49" s="5">
        <f>Table14[[#This Row],[Enrolment S.Y. 2025-2026 ]]*8</f>
        <v>4120</v>
      </c>
      <c r="Q49" s="5">
        <f>Table14[[#This Row],[Quantity based on Target ADM-SLM - Q1 ]] - Table14[[#This Row],[GAP - ADM-SLM - Q4]]</f>
        <v>0</v>
      </c>
      <c r="R49" s="1"/>
      <c r="S49" s="5"/>
      <c r="T49" s="5">
        <f>IF((P49-Q49)&lt;0,0,(P49-Q49))</f>
        <v>4120</v>
      </c>
      <c r="U49" s="5">
        <f>IF((Q49-P49)&lt;0,0,(Q49-P49))</f>
        <v>0</v>
      </c>
      <c r="V49" s="5">
        <f>Table14[[#This Row],[Enrolment S.Y. 2025-2026 ]]*8</f>
        <v>4120</v>
      </c>
      <c r="W49" s="5">
        <v>0</v>
      </c>
      <c r="X49" s="1"/>
      <c r="Y49" s="5"/>
      <c r="Z49" s="5">
        <f>IF((V49-W49)&lt;0,0,(V49-W49))</f>
        <v>4120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515</v>
      </c>
      <c r="D50" s="5">
        <f>Table14[[#This Row],[Enrolment S.Y. 2025-2026 ]]*8</f>
        <v>4120</v>
      </c>
      <c r="E50" s="5">
        <f>Table14[[#This Row],[Quantity of ADM-SLM Received (Quantity received x No. of ADM-SLM) - Q3]] * 2</f>
        <v>0</v>
      </c>
      <c r="F50" s="1"/>
      <c r="G50" s="5"/>
      <c r="H50" s="5">
        <f t="shared" si="0"/>
        <v>4120</v>
      </c>
      <c r="I50" s="5">
        <f t="shared" si="1"/>
        <v>0</v>
      </c>
      <c r="J50" s="5">
        <f>Table14[[#This Row],[Enrolment S.Y. 2025-2026 ]]*8</f>
        <v>4120</v>
      </c>
      <c r="K50" s="5">
        <v>0</v>
      </c>
      <c r="L50" s="1"/>
      <c r="M50" s="5"/>
      <c r="N50" s="5">
        <f t="shared" si="10"/>
        <v>4120</v>
      </c>
      <c r="O50" s="5">
        <f t="shared" si="11"/>
        <v>0</v>
      </c>
      <c r="P50" s="5">
        <f>Table14[[#This Row],[Enrolment S.Y. 2025-2026 ]]*8</f>
        <v>4120</v>
      </c>
      <c r="Q50" s="5">
        <f>Table14[[#This Row],[Quantity based on Target ADM-SLM - Q1 ]] - Table14[[#This Row],[GAP - ADM-SLM - Q4]]</f>
        <v>0</v>
      </c>
      <c r="R50" s="1"/>
      <c r="S50" s="5"/>
      <c r="T50" s="5">
        <f t="shared" si="4"/>
        <v>4120</v>
      </c>
      <c r="U50" s="5">
        <f t="shared" si="5"/>
        <v>0</v>
      </c>
      <c r="V50" s="5">
        <f>Table14[[#This Row],[Enrolment S.Y. 2025-2026 ]]*8</f>
        <v>4120</v>
      </c>
      <c r="W50" s="5">
        <v>0</v>
      </c>
      <c r="X50" s="1"/>
      <c r="Y50" s="5"/>
      <c r="Z50" s="5">
        <f t="shared" si="6"/>
        <v>4120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515</v>
      </c>
      <c r="D51" s="5">
        <f>Table14[[#This Row],[Enrolment S.Y. 2025-2026 ]]*8</f>
        <v>4120</v>
      </c>
      <c r="E51" s="5">
        <f>Table14[[#This Row],[Quantity of ADM-SLM Received (Quantity received x No. of ADM-SLM) - Q3]] * 2</f>
        <v>0</v>
      </c>
      <c r="F51" s="1"/>
      <c r="G51" s="5"/>
      <c r="H51" s="5">
        <f t="shared" si="0"/>
        <v>4120</v>
      </c>
      <c r="I51" s="5">
        <f t="shared" si="1"/>
        <v>0</v>
      </c>
      <c r="J51" s="5">
        <f>Table14[[#This Row],[Enrolment S.Y. 2025-2026 ]]*8</f>
        <v>4120</v>
      </c>
      <c r="K51" s="5">
        <v>0</v>
      </c>
      <c r="L51" s="1"/>
      <c r="M51" s="5"/>
      <c r="N51" s="5">
        <f t="shared" si="10"/>
        <v>4120</v>
      </c>
      <c r="O51" s="5">
        <f t="shared" si="11"/>
        <v>0</v>
      </c>
      <c r="P51" s="5">
        <f>Table14[[#This Row],[Enrolment S.Y. 2025-2026 ]]*8</f>
        <v>4120</v>
      </c>
      <c r="Q51" s="5">
        <f>Table14[[#This Row],[Quantity based on Target ADM-SLM - Q1 ]] - Table14[[#This Row],[GAP - ADM-SLM - Q4]]</f>
        <v>0</v>
      </c>
      <c r="R51" s="1"/>
      <c r="S51" s="5"/>
      <c r="T51" s="5">
        <f t="shared" si="4"/>
        <v>4120</v>
      </c>
      <c r="U51" s="5">
        <f t="shared" si="5"/>
        <v>0</v>
      </c>
      <c r="V51" s="5">
        <f>Table14[[#This Row],[Enrolment S.Y. 2025-2026 ]]*8</f>
        <v>4120</v>
      </c>
      <c r="W51" s="5">
        <v>0</v>
      </c>
      <c r="X51" s="1"/>
      <c r="Y51" s="5"/>
      <c r="Z51" s="5">
        <f t="shared" si="6"/>
        <v>4120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515</v>
      </c>
      <c r="D52" s="5">
        <f>Table14[[#This Row],[Enrolment S.Y. 2025-2026 ]]*8</f>
        <v>4120</v>
      </c>
      <c r="E52" s="5">
        <f>Table14[[#This Row],[Quantity of ADM-SLM Received (Quantity received x No. of ADM-SLM) - Q3]] * 2</f>
        <v>0</v>
      </c>
      <c r="F52" s="1"/>
      <c r="G52" s="5"/>
      <c r="H52" s="5">
        <f>IF((D52-E52)&lt;0,0,(D52-E52))</f>
        <v>4120</v>
      </c>
      <c r="I52" s="5">
        <f>IF((E52-D52)&lt;0,0,(E52-D52))</f>
        <v>0</v>
      </c>
      <c r="J52" s="5">
        <f>Table14[[#This Row],[Enrolment S.Y. 2025-2026 ]]*8</f>
        <v>4120</v>
      </c>
      <c r="K52" s="5">
        <v>0</v>
      </c>
      <c r="L52" s="1"/>
      <c r="M52" s="5"/>
      <c r="N52" s="5">
        <f t="shared" si="10"/>
        <v>4120</v>
      </c>
      <c r="O52" s="5">
        <f t="shared" si="11"/>
        <v>0</v>
      </c>
      <c r="P52" s="5">
        <f>Table14[[#This Row],[Enrolment S.Y. 2025-2026 ]]*8</f>
        <v>4120</v>
      </c>
      <c r="Q52" s="5">
        <f>Table14[[#This Row],[Quantity based on Target ADM-SLM - Q1 ]] - Table14[[#This Row],[GAP - ADM-SLM - Q4]]</f>
        <v>0</v>
      </c>
      <c r="R52" s="1"/>
      <c r="S52" s="5"/>
      <c r="T52" s="5">
        <f>IF((P52-Q52)&lt;0,0,(P52-Q52))</f>
        <v>4120</v>
      </c>
      <c r="U52" s="5">
        <f>IF((Q52-P52)&lt;0,0,(Q52-P52))</f>
        <v>0</v>
      </c>
      <c r="V52" s="5">
        <f>Table14[[#This Row],[Enrolment S.Y. 2025-2026 ]]*8</f>
        <v>4120</v>
      </c>
      <c r="W52" s="5">
        <v>0</v>
      </c>
      <c r="X52" s="1"/>
      <c r="Y52" s="5"/>
      <c r="Z52" s="5">
        <f>IF((V52-W52)&lt;0,0,(V52-W52))</f>
        <v>4120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515</v>
      </c>
      <c r="D53" s="5">
        <f>Table14[[#This Row],[Enrolment S.Y. 2025-2026 ]]*8</f>
        <v>4120</v>
      </c>
      <c r="E53" s="5">
        <f>Table14[[#This Row],[Quantity of ADM-SLM Received (Quantity received x No. of ADM-SLM) - Q3]] * 2</f>
        <v>0</v>
      </c>
      <c r="F53" s="1"/>
      <c r="G53" s="5"/>
      <c r="H53" s="5">
        <f t="shared" si="0"/>
        <v>4120</v>
      </c>
      <c r="I53" s="5">
        <f t="shared" si="1"/>
        <v>0</v>
      </c>
      <c r="J53" s="5">
        <f>Table14[[#This Row],[Enrolment S.Y. 2025-2026 ]]*8</f>
        <v>4120</v>
      </c>
      <c r="K53" s="5">
        <v>0</v>
      </c>
      <c r="L53" s="1"/>
      <c r="M53" s="5"/>
      <c r="N53" s="5">
        <f t="shared" si="10"/>
        <v>4120</v>
      </c>
      <c r="O53" s="5">
        <f t="shared" si="11"/>
        <v>0</v>
      </c>
      <c r="P53" s="5">
        <f>Table14[[#This Row],[Enrolment S.Y. 2025-2026 ]]*8</f>
        <v>4120</v>
      </c>
      <c r="Q53" s="5">
        <f>Table14[[#This Row],[Quantity based on Target ADM-SLM - Q1 ]] - Table14[[#This Row],[GAP - ADM-SLM - Q4]]</f>
        <v>0</v>
      </c>
      <c r="R53" s="1"/>
      <c r="S53" s="5"/>
      <c r="T53" s="5">
        <f t="shared" si="4"/>
        <v>4120</v>
      </c>
      <c r="U53" s="5">
        <f t="shared" si="5"/>
        <v>0</v>
      </c>
      <c r="V53" s="5">
        <f>Table14[[#This Row],[Enrolment S.Y. 2025-2026 ]]*8</f>
        <v>4120</v>
      </c>
      <c r="W53" s="5">
        <v>0</v>
      </c>
      <c r="X53" s="1"/>
      <c r="Y53" s="5"/>
      <c r="Z53" s="5">
        <f t="shared" si="6"/>
        <v>4120</v>
      </c>
      <c r="AA53" s="5">
        <f t="shared" si="7"/>
        <v>0</v>
      </c>
    </row>
    <row r="54" spans="1:27" s="7" customFormat="1">
      <c r="E54" s="7">
        <f>Table14[[#This Row],[Quantity of ADM-SLM Received (Quantity received x No. of ADM-SLM) - Q3]] * 2</f>
        <v>0</v>
      </c>
      <c r="Q54" s="7">
        <f>Table14[[#This Row],[Quantity based on Target ADM-SLM - Q1 ]] - Table14[[#This Row],[GAP - ADM-SLM - Q4]]</f>
        <v>0</v>
      </c>
    </row>
    <row r="55" spans="1:27" ht="19.5">
      <c r="A55" s="1">
        <v>6</v>
      </c>
      <c r="B55" s="9" t="s">
        <v>15</v>
      </c>
      <c r="C55" s="1">
        <v>566</v>
      </c>
      <c r="D55" s="5">
        <f>Table14[[#This Row],[Enrolment S.Y. 2025-2026 ]]*8</f>
        <v>4528</v>
      </c>
      <c r="E55" s="5">
        <f>Table14[[#This Row],[Quantity of ADM-SLM Received (Quantity received x No. of ADM-SLM) - Q3]] * 2</f>
        <v>200</v>
      </c>
      <c r="F55" s="1">
        <v>2025</v>
      </c>
      <c r="G55" s="5" t="s">
        <v>9</v>
      </c>
      <c r="H55" s="5">
        <f t="shared" si="0"/>
        <v>4328</v>
      </c>
      <c r="I55" s="5">
        <f t="shared" si="1"/>
        <v>0</v>
      </c>
      <c r="J55" s="5">
        <f>Table14[[#This Row],[Enrolment S.Y. 2025-2026 ]]*8</f>
        <v>4528</v>
      </c>
      <c r="K55" s="5">
        <v>100</v>
      </c>
      <c r="L55" s="1">
        <v>2025</v>
      </c>
      <c r="M55" s="5" t="s">
        <v>9</v>
      </c>
      <c r="N55" s="5">
        <f t="shared" si="2"/>
        <v>4428</v>
      </c>
      <c r="O55" s="5">
        <f t="shared" si="3"/>
        <v>0</v>
      </c>
      <c r="P55" s="5">
        <f>Table14[[#This Row],[Enrolment S.Y. 2025-2026 ]]*8</f>
        <v>4528</v>
      </c>
      <c r="Q55" s="5">
        <f>Table14[[#This Row],[Quantity based on Target ADM-SLM - Q1 ]] - Table14[[#This Row],[GAP - ADM-SLM - Q4]]</f>
        <v>100</v>
      </c>
      <c r="R55" s="1">
        <v>2025</v>
      </c>
      <c r="S55" s="5" t="s">
        <v>9</v>
      </c>
      <c r="T55" s="5">
        <f t="shared" si="4"/>
        <v>4428</v>
      </c>
      <c r="U55" s="5">
        <f t="shared" si="5"/>
        <v>0</v>
      </c>
      <c r="V55" s="5">
        <f>Table14[[#This Row],[Enrolment S.Y. 2025-2026 ]]*8</f>
        <v>4528</v>
      </c>
      <c r="W55" s="5">
        <v>100</v>
      </c>
      <c r="X55" s="1">
        <v>2025</v>
      </c>
      <c r="Y55" s="5" t="s">
        <v>9</v>
      </c>
      <c r="Z55" s="5">
        <f t="shared" si="6"/>
        <v>4428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566</v>
      </c>
      <c r="D56" s="5">
        <f>Table14[[#This Row],[Enrolment S.Y. 2025-2026 ]]*8</f>
        <v>4528</v>
      </c>
      <c r="E56" s="5">
        <f>Table14[[#This Row],[Quantity of ADM-SLM Received (Quantity received x No. of ADM-SLM) - Q3]] * 2</f>
        <v>200</v>
      </c>
      <c r="F56" s="1">
        <v>2025</v>
      </c>
      <c r="G56" s="5" t="s">
        <v>9</v>
      </c>
      <c r="H56" s="5">
        <f t="shared" si="0"/>
        <v>4328</v>
      </c>
      <c r="I56" s="5">
        <f t="shared" si="1"/>
        <v>0</v>
      </c>
      <c r="J56" s="5">
        <f>Table14[[#This Row],[Enrolment S.Y. 2025-2026 ]]*8</f>
        <v>4528</v>
      </c>
      <c r="K56" s="5">
        <v>100</v>
      </c>
      <c r="L56" s="1">
        <v>2025</v>
      </c>
      <c r="M56" s="5" t="s">
        <v>9</v>
      </c>
      <c r="N56" s="5">
        <f t="shared" si="2"/>
        <v>4428</v>
      </c>
      <c r="O56" s="5">
        <f t="shared" si="3"/>
        <v>0</v>
      </c>
      <c r="P56" s="5">
        <f>Table14[[#This Row],[Enrolment S.Y. 2025-2026 ]]*8</f>
        <v>4528</v>
      </c>
      <c r="Q56" s="5">
        <f>Table14[[#This Row],[Quantity based on Target ADM-SLM - Q1 ]] - Table14[[#This Row],[GAP - ADM-SLM - Q4]]</f>
        <v>100</v>
      </c>
      <c r="R56" s="1">
        <v>2025</v>
      </c>
      <c r="S56" s="5" t="s">
        <v>9</v>
      </c>
      <c r="T56" s="5">
        <f t="shared" si="4"/>
        <v>4428</v>
      </c>
      <c r="U56" s="5">
        <f t="shared" si="5"/>
        <v>0</v>
      </c>
      <c r="V56" s="5">
        <f>Table14[[#This Row],[Enrolment S.Y. 2025-2026 ]]*8</f>
        <v>4528</v>
      </c>
      <c r="W56" s="5">
        <v>100</v>
      </c>
      <c r="X56" s="1">
        <v>2025</v>
      </c>
      <c r="Y56" s="5" t="s">
        <v>9</v>
      </c>
      <c r="Z56" s="5">
        <f t="shared" si="6"/>
        <v>4428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566</v>
      </c>
      <c r="D57" s="5">
        <f>Table14[[#This Row],[Enrolment S.Y. 2025-2026 ]]*8</f>
        <v>4528</v>
      </c>
      <c r="E57" s="5">
        <f>Table14[[#This Row],[Quantity of ADM-SLM Received (Quantity received x No. of ADM-SLM) - Q3]] * 2</f>
        <v>200</v>
      </c>
      <c r="F57" s="1">
        <v>2025</v>
      </c>
      <c r="G57" s="5" t="s">
        <v>9</v>
      </c>
      <c r="H57" s="5">
        <f t="shared" si="0"/>
        <v>4328</v>
      </c>
      <c r="I57" s="5">
        <f t="shared" si="1"/>
        <v>0</v>
      </c>
      <c r="J57" s="5">
        <f>Table14[[#This Row],[Enrolment S.Y. 2025-2026 ]]*8</f>
        <v>4528</v>
      </c>
      <c r="K57" s="5">
        <v>100</v>
      </c>
      <c r="L57" s="1">
        <v>2025</v>
      </c>
      <c r="M57" s="5" t="s">
        <v>9</v>
      </c>
      <c r="N57" s="5">
        <f t="shared" si="2"/>
        <v>4428</v>
      </c>
      <c r="O57" s="5">
        <f t="shared" si="3"/>
        <v>0</v>
      </c>
      <c r="P57" s="5">
        <f>Table14[[#This Row],[Enrolment S.Y. 2025-2026 ]]*8</f>
        <v>4528</v>
      </c>
      <c r="Q57" s="5">
        <f>Table14[[#This Row],[Quantity based on Target ADM-SLM - Q1 ]] - Table14[[#This Row],[GAP - ADM-SLM - Q4]]</f>
        <v>100</v>
      </c>
      <c r="R57" s="1">
        <v>2025</v>
      </c>
      <c r="S57" s="5" t="s">
        <v>9</v>
      </c>
      <c r="T57" s="5">
        <f t="shared" si="4"/>
        <v>4428</v>
      </c>
      <c r="U57" s="5">
        <f t="shared" si="5"/>
        <v>0</v>
      </c>
      <c r="V57" s="5">
        <f>Table14[[#This Row],[Enrolment S.Y. 2025-2026 ]]*8</f>
        <v>4528</v>
      </c>
      <c r="W57" s="5">
        <v>100</v>
      </c>
      <c r="X57" s="1">
        <v>2025</v>
      </c>
      <c r="Y57" s="5" t="s">
        <v>9</v>
      </c>
      <c r="Z57" s="5">
        <f t="shared" si="6"/>
        <v>4428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566</v>
      </c>
      <c r="D58" s="5">
        <f>Table14[[#This Row],[Enrolment S.Y. 2025-2026 ]]*8</f>
        <v>4528</v>
      </c>
      <c r="E58" s="5">
        <f>Table14[[#This Row],[Quantity of ADM-SLM Received (Quantity received x No. of ADM-SLM) - Q3]] * 2</f>
        <v>0</v>
      </c>
      <c r="F58" s="1"/>
      <c r="G58" s="5"/>
      <c r="H58" s="5">
        <f t="shared" si="0"/>
        <v>4528</v>
      </c>
      <c r="I58" s="5">
        <f t="shared" si="1"/>
        <v>0</v>
      </c>
      <c r="J58" s="5">
        <f>Table14[[#This Row],[Enrolment S.Y. 2025-2026 ]]*8</f>
        <v>4528</v>
      </c>
      <c r="K58" s="5">
        <v>0</v>
      </c>
      <c r="L58" s="1"/>
      <c r="M58" s="5"/>
      <c r="N58" s="5">
        <f t="shared" si="2"/>
        <v>4528</v>
      </c>
      <c r="O58" s="5">
        <f t="shared" si="3"/>
        <v>0</v>
      </c>
      <c r="P58" s="5">
        <f>Table14[[#This Row],[Enrolment S.Y. 2025-2026 ]]*8</f>
        <v>4528</v>
      </c>
      <c r="Q58" s="5">
        <f>Table14[[#This Row],[Quantity based on Target ADM-SLM - Q1 ]] - Table14[[#This Row],[GAP - ADM-SLM - Q4]]</f>
        <v>0</v>
      </c>
      <c r="R58" s="1"/>
      <c r="S58" s="5"/>
      <c r="T58" s="5">
        <f t="shared" si="4"/>
        <v>4528</v>
      </c>
      <c r="U58" s="5">
        <f t="shared" si="5"/>
        <v>0</v>
      </c>
      <c r="V58" s="5">
        <f>Table14[[#This Row],[Enrolment S.Y. 2025-2026 ]]*8</f>
        <v>4528</v>
      </c>
      <c r="W58" s="5">
        <v>0</v>
      </c>
      <c r="X58" s="1"/>
      <c r="Y58" s="5"/>
      <c r="Z58" s="5">
        <f t="shared" si="6"/>
        <v>4528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566</v>
      </c>
      <c r="D59" s="5">
        <f>Table14[[#This Row],[Enrolment S.Y. 2025-2026 ]]*8</f>
        <v>4528</v>
      </c>
      <c r="E59" s="5">
        <f>Table14[[#This Row],[Quantity of ADM-SLM Received (Quantity received x No. of ADM-SLM) - Q3]] * 2</f>
        <v>200</v>
      </c>
      <c r="F59" s="1"/>
      <c r="G59" s="5"/>
      <c r="H59" s="5">
        <f t="shared" si="0"/>
        <v>4328</v>
      </c>
      <c r="I59" s="5">
        <f t="shared" si="1"/>
        <v>0</v>
      </c>
      <c r="J59" s="5">
        <f>Table14[[#This Row],[Enrolment S.Y. 2025-2026 ]]*8</f>
        <v>4528</v>
      </c>
      <c r="K59" s="5">
        <v>0</v>
      </c>
      <c r="L59" s="1"/>
      <c r="M59" s="5"/>
      <c r="N59" s="5">
        <f t="shared" si="2"/>
        <v>4528</v>
      </c>
      <c r="O59" s="5">
        <f t="shared" si="3"/>
        <v>0</v>
      </c>
      <c r="P59" s="5">
        <f>Table14[[#This Row],[Enrolment S.Y. 2025-2026 ]]*8</f>
        <v>4528</v>
      </c>
      <c r="Q59" s="5">
        <f>Table14[[#This Row],[Quantity based on Target ADM-SLM - Q1 ]] - Table14[[#This Row],[GAP - ADM-SLM - Q4]]</f>
        <v>100</v>
      </c>
      <c r="R59" s="1">
        <v>2025</v>
      </c>
      <c r="S59" s="5" t="s">
        <v>9</v>
      </c>
      <c r="T59" s="5">
        <f t="shared" si="4"/>
        <v>4428</v>
      </c>
      <c r="U59" s="5">
        <f t="shared" si="5"/>
        <v>0</v>
      </c>
      <c r="V59" s="5">
        <f>Table14[[#This Row],[Enrolment S.Y. 2025-2026 ]]*8</f>
        <v>4528</v>
      </c>
      <c r="W59" s="5">
        <v>100</v>
      </c>
      <c r="X59" s="1">
        <v>2025</v>
      </c>
      <c r="Y59" s="5" t="s">
        <v>9</v>
      </c>
      <c r="Z59" s="5">
        <f t="shared" si="6"/>
        <v>4428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566</v>
      </c>
      <c r="D60" s="5">
        <f>Table14[[#This Row],[Enrolment S.Y. 2025-2026 ]]*8</f>
        <v>4528</v>
      </c>
      <c r="E60" s="5">
        <f>Table14[[#This Row],[Quantity of ADM-SLM Received (Quantity received x No. of ADM-SLM) - Q3]] * 2</f>
        <v>200</v>
      </c>
      <c r="F60" s="1"/>
      <c r="G60" s="5"/>
      <c r="H60" s="5">
        <f t="shared" si="0"/>
        <v>4328</v>
      </c>
      <c r="I60" s="5">
        <f t="shared" si="1"/>
        <v>0</v>
      </c>
      <c r="J60" s="5">
        <f>Table14[[#This Row],[Enrolment S.Y. 2025-2026 ]]*8</f>
        <v>4528</v>
      </c>
      <c r="K60" s="5">
        <v>0</v>
      </c>
      <c r="L60" s="1"/>
      <c r="M60" s="5"/>
      <c r="N60" s="5">
        <f t="shared" si="2"/>
        <v>4528</v>
      </c>
      <c r="O60" s="5">
        <f t="shared" si="3"/>
        <v>0</v>
      </c>
      <c r="P60" s="5">
        <f>Table14[[#This Row],[Enrolment S.Y. 2025-2026 ]]*8</f>
        <v>4528</v>
      </c>
      <c r="Q60" s="5">
        <f>Table14[[#This Row],[Quantity based on Target ADM-SLM - Q1 ]] - Table14[[#This Row],[GAP - ADM-SLM - Q4]]</f>
        <v>100</v>
      </c>
      <c r="R60" s="1">
        <v>2025</v>
      </c>
      <c r="S60" s="5" t="s">
        <v>9</v>
      </c>
      <c r="T60" s="5">
        <f t="shared" si="4"/>
        <v>4428</v>
      </c>
      <c r="U60" s="5">
        <f t="shared" si="5"/>
        <v>0</v>
      </c>
      <c r="V60" s="5">
        <f>Table14[[#This Row],[Enrolment S.Y. 2025-2026 ]]*8</f>
        <v>4528</v>
      </c>
      <c r="W60" s="5">
        <v>100</v>
      </c>
      <c r="X60" s="1">
        <v>2025</v>
      </c>
      <c r="Y60" s="5" t="s">
        <v>9</v>
      </c>
      <c r="Z60" s="5">
        <f t="shared" si="6"/>
        <v>4428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566</v>
      </c>
      <c r="D61" s="5">
        <f>Table14[[#This Row],[Enrolment S.Y. 2025-2026 ]]*8</f>
        <v>4528</v>
      </c>
      <c r="E61" s="5">
        <f>Table14[[#This Row],[Quantity of ADM-SLM Received (Quantity received x No. of ADM-SLM) - Q3]] * 2</f>
        <v>200</v>
      </c>
      <c r="F61" s="1"/>
      <c r="G61" s="5"/>
      <c r="H61" s="5">
        <f>IF((D61-E61)&lt;0,0,(D61-E61))</f>
        <v>4328</v>
      </c>
      <c r="I61" s="5">
        <f>IF((E61-D61)&lt;0,0,(E61-D61))</f>
        <v>0</v>
      </c>
      <c r="J61" s="5">
        <f>Table14[[#This Row],[Enrolment S.Y. 2025-2026 ]]*8</f>
        <v>4528</v>
      </c>
      <c r="K61" s="5">
        <v>0</v>
      </c>
      <c r="L61" s="1"/>
      <c r="M61" s="5"/>
      <c r="N61" s="5">
        <f t="shared" ref="N61:N65" si="12">IF((J61-K61)&lt;0,0,(J61-K61))</f>
        <v>4528</v>
      </c>
      <c r="O61" s="5">
        <f t="shared" ref="O61:O65" si="13">IF((K61-J61)&lt;0,0,(K61-J61))</f>
        <v>0</v>
      </c>
      <c r="P61" s="5">
        <f>Table14[[#This Row],[Enrolment S.Y. 2025-2026 ]]*8</f>
        <v>4528</v>
      </c>
      <c r="Q61" s="5">
        <f>Table14[[#This Row],[Quantity based on Target ADM-SLM - Q1 ]] - Table14[[#This Row],[GAP - ADM-SLM - Q4]]</f>
        <v>100</v>
      </c>
      <c r="R61" s="1">
        <v>2025</v>
      </c>
      <c r="S61" s="5" t="s">
        <v>9</v>
      </c>
      <c r="T61" s="5">
        <f>IF((P61-Q61)&lt;0,0,(P61-Q61))</f>
        <v>4428</v>
      </c>
      <c r="U61" s="5">
        <f>IF((Q61-P61)&lt;0,0,(Q61-P61))</f>
        <v>0</v>
      </c>
      <c r="V61" s="5">
        <f>Table14[[#This Row],[Enrolment S.Y. 2025-2026 ]]*8</f>
        <v>4528</v>
      </c>
      <c r="W61" s="5">
        <v>100</v>
      </c>
      <c r="X61" s="1">
        <v>2025</v>
      </c>
      <c r="Y61" s="5" t="s">
        <v>9</v>
      </c>
      <c r="Z61" s="5">
        <f>IF((V61-W61)&lt;0,0,(V61-W61))</f>
        <v>4428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566</v>
      </c>
      <c r="D62" s="5">
        <f>Table14[[#This Row],[Enrolment S.Y. 2025-2026 ]]*8</f>
        <v>4528</v>
      </c>
      <c r="E62" s="5">
        <f>Table14[[#This Row],[Quantity of ADM-SLM Received (Quantity received x No. of ADM-SLM) - Q3]] * 2</f>
        <v>200</v>
      </c>
      <c r="F62" s="1"/>
      <c r="G62" s="5"/>
      <c r="H62" s="5">
        <f t="shared" si="0"/>
        <v>4328</v>
      </c>
      <c r="I62" s="5">
        <f t="shared" si="1"/>
        <v>0</v>
      </c>
      <c r="J62" s="5">
        <f>Table14[[#This Row],[Enrolment S.Y. 2025-2026 ]]*8</f>
        <v>4528</v>
      </c>
      <c r="K62" s="5">
        <v>0</v>
      </c>
      <c r="L62" s="1"/>
      <c r="M62" s="5"/>
      <c r="N62" s="5">
        <f t="shared" si="12"/>
        <v>4528</v>
      </c>
      <c r="O62" s="5">
        <f t="shared" si="13"/>
        <v>0</v>
      </c>
      <c r="P62" s="5">
        <f>Table14[[#This Row],[Enrolment S.Y. 2025-2026 ]]*8</f>
        <v>4528</v>
      </c>
      <c r="Q62" s="5">
        <f>Table14[[#This Row],[Quantity based on Target ADM-SLM - Q1 ]] - Table14[[#This Row],[GAP - ADM-SLM - Q4]]</f>
        <v>100</v>
      </c>
      <c r="R62" s="1">
        <v>2025</v>
      </c>
      <c r="S62" s="5" t="s">
        <v>9</v>
      </c>
      <c r="T62" s="5">
        <f t="shared" si="4"/>
        <v>4428</v>
      </c>
      <c r="U62" s="5">
        <f t="shared" si="5"/>
        <v>0</v>
      </c>
      <c r="V62" s="5">
        <f>Table14[[#This Row],[Enrolment S.Y. 2025-2026 ]]*8</f>
        <v>4528</v>
      </c>
      <c r="W62" s="5">
        <v>100</v>
      </c>
      <c r="X62" s="1">
        <v>2025</v>
      </c>
      <c r="Y62" s="5" t="s">
        <v>9</v>
      </c>
      <c r="Z62" s="5">
        <f t="shared" si="6"/>
        <v>4428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566</v>
      </c>
      <c r="D63" s="5">
        <f>Table14[[#This Row],[Enrolment S.Y. 2025-2026 ]]*8</f>
        <v>4528</v>
      </c>
      <c r="E63" s="5">
        <f>Table14[[#This Row],[Quantity of ADM-SLM Received (Quantity received x No. of ADM-SLM) - Q3]] * 2</f>
        <v>0</v>
      </c>
      <c r="F63" s="1"/>
      <c r="G63" s="5"/>
      <c r="H63" s="5">
        <f t="shared" si="0"/>
        <v>4528</v>
      </c>
      <c r="I63" s="5">
        <f t="shared" si="1"/>
        <v>0</v>
      </c>
      <c r="J63" s="5">
        <f>Table14[[#This Row],[Enrolment S.Y. 2025-2026 ]]*8</f>
        <v>4528</v>
      </c>
      <c r="K63" s="5">
        <v>0</v>
      </c>
      <c r="L63" s="1"/>
      <c r="M63" s="5"/>
      <c r="N63" s="5">
        <f t="shared" si="12"/>
        <v>4528</v>
      </c>
      <c r="O63" s="5">
        <f t="shared" si="13"/>
        <v>0</v>
      </c>
      <c r="P63" s="5">
        <f>Table14[[#This Row],[Enrolment S.Y. 2025-2026 ]]*8</f>
        <v>4528</v>
      </c>
      <c r="Q63" s="5">
        <f>Table14[[#This Row],[Quantity based on Target ADM-SLM - Q1 ]] - Table14[[#This Row],[GAP - ADM-SLM - Q4]]</f>
        <v>0</v>
      </c>
      <c r="R63" s="1"/>
      <c r="S63" s="5"/>
      <c r="T63" s="5">
        <f t="shared" si="4"/>
        <v>4528</v>
      </c>
      <c r="U63" s="5">
        <f t="shared" si="5"/>
        <v>0</v>
      </c>
      <c r="V63" s="5">
        <f>Table14[[#This Row],[Enrolment S.Y. 2025-2026 ]]*8</f>
        <v>4528</v>
      </c>
      <c r="W63" s="5">
        <v>0</v>
      </c>
      <c r="X63" s="1"/>
      <c r="Y63" s="5"/>
      <c r="Z63" s="5">
        <f t="shared" si="6"/>
        <v>4528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566</v>
      </c>
      <c r="D64" s="5">
        <f>Table14[[#This Row],[Enrolment S.Y. 2025-2026 ]]*8</f>
        <v>4528</v>
      </c>
      <c r="E64" s="5">
        <f>Table14[[#This Row],[Quantity of ADM-SLM Received (Quantity received x No. of ADM-SLM) - Q3]] * 2</f>
        <v>200</v>
      </c>
      <c r="F64" s="1"/>
      <c r="G64" s="5"/>
      <c r="H64" s="5">
        <f>IF((D64-E64)&lt;0,0,(D64-E64))</f>
        <v>4328</v>
      </c>
      <c r="I64" s="5">
        <f>IF((E64-D64)&lt;0,0,(E64-D64))</f>
        <v>0</v>
      </c>
      <c r="J64" s="5">
        <f>Table14[[#This Row],[Enrolment S.Y. 2025-2026 ]]*8</f>
        <v>4528</v>
      </c>
      <c r="K64" s="5">
        <v>0</v>
      </c>
      <c r="L64" s="1"/>
      <c r="M64" s="5"/>
      <c r="N64" s="5">
        <f t="shared" si="12"/>
        <v>4528</v>
      </c>
      <c r="O64" s="5">
        <f t="shared" si="13"/>
        <v>0</v>
      </c>
      <c r="P64" s="5">
        <f>Table14[[#This Row],[Enrolment S.Y. 2025-2026 ]]*8</f>
        <v>4528</v>
      </c>
      <c r="Q64" s="5">
        <f>Table14[[#This Row],[Quantity based on Target ADM-SLM - Q1 ]] - Table14[[#This Row],[GAP - ADM-SLM - Q4]]</f>
        <v>100</v>
      </c>
      <c r="R64" s="1">
        <v>2025</v>
      </c>
      <c r="S64" s="5" t="s">
        <v>9</v>
      </c>
      <c r="T64" s="5">
        <f>IF((P64-Q64)&lt;0,0,(P64-Q64))</f>
        <v>4428</v>
      </c>
      <c r="U64" s="5">
        <f>IF((Q64-P64)&lt;0,0,(Q64-P64))</f>
        <v>0</v>
      </c>
      <c r="V64" s="5">
        <f>Table14[[#This Row],[Enrolment S.Y. 2025-2026 ]]*8</f>
        <v>4528</v>
      </c>
      <c r="W64" s="5">
        <v>100</v>
      </c>
      <c r="X64" s="1">
        <v>2025</v>
      </c>
      <c r="Y64" s="5" t="s">
        <v>9</v>
      </c>
      <c r="Z64" s="5">
        <f>IF((V64-W64)&lt;0,0,(V64-W64))</f>
        <v>4428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566</v>
      </c>
      <c r="D65" s="5">
        <f>Table14[[#This Row],[Enrolment S.Y. 2025-2026 ]]*8</f>
        <v>4528</v>
      </c>
      <c r="E65" s="5">
        <f>Table14[[#This Row],[Quantity of ADM-SLM Received (Quantity received x No. of ADM-SLM) - Q3]] * 2</f>
        <v>200</v>
      </c>
      <c r="F65" s="1"/>
      <c r="G65" s="5"/>
      <c r="H65" s="5">
        <f t="shared" si="0"/>
        <v>4328</v>
      </c>
      <c r="I65" s="5">
        <f t="shared" si="1"/>
        <v>0</v>
      </c>
      <c r="J65" s="5">
        <f>Table14[[#This Row],[Enrolment S.Y. 2025-2026 ]]*8</f>
        <v>4528</v>
      </c>
      <c r="K65" s="5">
        <v>0</v>
      </c>
      <c r="L65" s="1"/>
      <c r="M65" s="5"/>
      <c r="N65" s="5">
        <f t="shared" si="12"/>
        <v>4528</v>
      </c>
      <c r="O65" s="5">
        <f t="shared" si="13"/>
        <v>0</v>
      </c>
      <c r="P65" s="5">
        <f>Table14[[#This Row],[Enrolment S.Y. 2025-2026 ]]*8</f>
        <v>4528</v>
      </c>
      <c r="Q65" s="5">
        <f>Table14[[#This Row],[Quantity based on Target ADM-SLM - Q1 ]] - Table14[[#This Row],[GAP - ADM-SLM - Q4]]</f>
        <v>100</v>
      </c>
      <c r="R65" s="1">
        <v>2025</v>
      </c>
      <c r="S65" s="5" t="s">
        <v>9</v>
      </c>
      <c r="T65" s="5">
        <f t="shared" si="4"/>
        <v>4428</v>
      </c>
      <c r="U65" s="5">
        <f t="shared" si="5"/>
        <v>0</v>
      </c>
      <c r="V65" s="5">
        <f>Table14[[#This Row],[Enrolment S.Y. 2025-2026 ]]*8</f>
        <v>4528</v>
      </c>
      <c r="W65" s="5">
        <v>100</v>
      </c>
      <c r="X65" s="1">
        <v>2025</v>
      </c>
      <c r="Y65" s="5" t="s">
        <v>9</v>
      </c>
      <c r="Z65" s="5">
        <f t="shared" si="6"/>
        <v>4428</v>
      </c>
      <c r="AA65" s="5">
        <f t="shared" si="7"/>
        <v>0</v>
      </c>
    </row>
    <row r="66" spans="1:27" s="7" customFormat="1">
      <c r="E66" s="7">
        <f>Table14[[#This Row],[Quantity of ADM-SLM Received (Quantity received x No. of ADM-SLM) - Q3]] * 2</f>
        <v>0</v>
      </c>
      <c r="Q66" s="7">
        <f>Table14[[#This Row],[Quantity based on Target ADM-SLM - Q1 ]] - Table14[[#This Row],[GAP - ADM-SLM - Q4]]</f>
        <v>0</v>
      </c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N55:R65 N31:R41 N43:R53 T55:X65 P2:R10 N3:O10 V2:X10 T3:U10 N12:R19 T12:X19 H3:L10 Z3:AA10 Z12:AA19 H12:L19 N21:R29 T21:X29 Z21:AA29 H21:L29 T31:X41 Z31:AA41 H31:L41 T43:X53 Z43:AA53 H43:L53 Z55:AA65 H55:L65 D55:F65" name="LAS"/>
    <protectedRange sqref="G2:I2 M2:O2 S2:U2 Y2:AA2 G3:G10 M3:M10 S3:S10 Y3:Y10 Y12:Y19 G12:G19 M12:M19 S12:S19 Y21:Y29 G21:G29 M21:M29 S21:S29 Y31:Y41 G31:G41 M31:M41 S31:S41 Y43:Y53 G43:G53 M43:M53 S43:S53 M55:M65 S55:S65 Y55:Y65 G55:G65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Y3:Y10 S3:S10 M3:M10 G3:G10 G12:G19 Y12:Y19 S12:S19 M12:M19 M21:M29 G21:G29 Y21:Y29 S21:S29 S31:S41 M31:M41 G31:G41 Y31:Y41 Y43:Y53 S43:S53 M43:M53 G43:G53 S55:S65 G55:G65 M55:M65 Y55:Y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55:L65 R3:R10 R12:R19 R21:R29 X3:X10 X12:X19 X21:X29 X31:X41 X43:X53 X55:X65" xr:uid="{A552DD77-7DC1-420F-BCC5-EA41A0903E69}">
      <formula1>"2024,2025 ,2026"</formula1>
    </dataValidation>
    <dataValidation type="list" allowBlank="1" showInputMessage="1" showErrorMessage="1" sqref="L43:L53" xr:uid="{5AB26C17-9FEA-4574-BF32-BB3B083EAD35}">
      <formula1>"2024,2025 ,2025"</formula1>
    </dataValidation>
    <dataValidation type="list" allowBlank="1" showInputMessage="1" showErrorMessage="1" sqref="R31:R41 R55:R65 R43:R53" xr:uid="{E993E88E-7B67-4EB9-899B-958A03C9710A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2026-04-07T00:49:37Z</dcterms:modified>
  <cp:category/>
  <cp:contentStatus/>
</cp:coreProperties>
</file>