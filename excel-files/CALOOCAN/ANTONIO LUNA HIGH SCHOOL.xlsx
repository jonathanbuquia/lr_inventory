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471" documentId="13_ncr:1_{BFB59F67-F0DC-4675-A682-EB0734A8026A}" xr6:coauthVersionLast="47" xr6:coauthVersionMax="47" xr10:uidLastSave="{EDB6D4EA-CDF6-4C7C-B702-95504312CF00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4" i="5" l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I104" i="5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<sst xmlns="http://schemas.openxmlformats.org/spreadsheetml/2006/main" count="443" uniqueCount="92">
  <si>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</si>
  <si>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</si>
  <si>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</si>
  <si>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</si>
  <si>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</si>
  <si>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</si>
  <si>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</si>
  <si>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</si>
  <si>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</si>
  <si>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</si>
  <si>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</si>
  <si>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</si>
  <si>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</si>
  <si>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</si>
  <si>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</si>
  <si>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</si>
  <si>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</si>
  <si>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</si>
  <si>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</si>
  <si>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</si>
  <si>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</si>
  <si>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</si>
  <si>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</si>
  <si>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</si>
  <si>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</si>
  <si>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</si>
  <si>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</si>
  <si>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</si>
  <si>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</si>
  <si>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</si>
  <si>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</si>
  <si>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</si>
  <si>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</si>
  <si>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</si>
  <si>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</si>
  <si>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</si>
  <si>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</si>
  <si>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</si>
  <si>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</si>
  <si>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</si>
  <si>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</si>
  <si>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</si>
  <si>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</si>
  <si>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</si>
  <si>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</si>
  <si>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</si>
  <si>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</si>
  <si>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</si>
  <si>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</si>
  <si>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</si>
  <si>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</si>
  <si>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</si>
  <si>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</si>
  <si>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</si>
  <si>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</si>
  <si>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</si>
  <si>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</si>
  <si>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</si>
  <si>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</si>
  <si>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</si>
  <si>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</si>
  <si>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</si>
  <si>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RO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</si>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</sst>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25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 ht="15">
      <c r="C7" s="6"/>
      <c r="D7" s="6"/>
      <c r="E7" s="8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 ht="15">
      <c r="C13" s="6"/>
      <c r="D13" s="6"/>
      <c r="E13" s="8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 ht="15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197</v>
      </c>
      <c r="D51" s="10">
        <v>184</v>
      </c>
      <c r="E51" s="10">
        <v>2025</v>
      </c>
      <c r="F51" s="12" t="s">
        <v>20</v>
      </c>
      <c r="G51" s="3">
        <f t="shared" ref="G51:G59" si="10">IF((C51-D51)&lt;0,0,C51-D51)</f>
        <v>13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>
        <v>197</v>
      </c>
      <c r="D52" s="10"/>
      <c r="E52" s="10"/>
      <c r="F52" s="12"/>
      <c r="G52" s="3">
        <f t="shared" si="10"/>
        <v>197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197</v>
      </c>
      <c r="D53" s="10">
        <v>184</v>
      </c>
      <c r="E53" s="10">
        <v>2024</v>
      </c>
      <c r="F53" s="12" t="s">
        <v>20</v>
      </c>
      <c r="G53" s="3">
        <f t="shared" si="10"/>
        <v>13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>
        <v>197</v>
      </c>
      <c r="D54" s="10"/>
      <c r="E54" s="10"/>
      <c r="F54" s="12"/>
      <c r="G54" s="3">
        <f t="shared" si="10"/>
        <v>197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197</v>
      </c>
      <c r="D55" s="10">
        <v>184</v>
      </c>
      <c r="E55" s="10">
        <v>2025</v>
      </c>
      <c r="F55" s="12" t="s">
        <v>20</v>
      </c>
      <c r="G55" s="3">
        <f t="shared" si="10"/>
        <v>13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>
        <v>197</v>
      </c>
      <c r="D56" s="10">
        <v>184</v>
      </c>
      <c r="E56" s="10">
        <v>2024</v>
      </c>
      <c r="F56" s="12"/>
      <c r="G56" s="3">
        <f t="shared" si="10"/>
        <v>13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>
        <v>197</v>
      </c>
      <c r="D57" s="10">
        <v>184</v>
      </c>
      <c r="E57" s="10">
        <v>2025</v>
      </c>
      <c r="F57" s="12" t="s">
        <v>20</v>
      </c>
      <c r="G57" s="3">
        <f t="shared" si="10"/>
        <v>13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>
        <v>197</v>
      </c>
      <c r="D58" s="10">
        <v>184</v>
      </c>
      <c r="E58" s="10">
        <v>2025</v>
      </c>
      <c r="F58" s="12" t="s">
        <v>20</v>
      </c>
      <c r="G58" s="3">
        <f t="shared" si="10"/>
        <v>13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>
        <v>197</v>
      </c>
      <c r="D59" s="10">
        <v>184</v>
      </c>
      <c r="E59" s="10">
        <v>2025</v>
      </c>
      <c r="F59" s="12" t="s">
        <v>20</v>
      </c>
      <c r="G59" s="3">
        <f t="shared" si="10"/>
        <v>13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164</v>
      </c>
      <c r="D63" s="10">
        <v>209</v>
      </c>
      <c r="E63" s="10">
        <v>2025</v>
      </c>
      <c r="F63" s="12" t="s">
        <v>20</v>
      </c>
      <c r="G63" s="3">
        <f t="shared" si="12"/>
        <v>0</v>
      </c>
      <c r="H63" s="4">
        <f t="shared" si="13"/>
        <v>45</v>
      </c>
    </row>
    <row r="64" spans="1:8" ht="27.75" customHeight="1">
      <c r="A64" s="10">
        <v>8</v>
      </c>
      <c r="B64" s="11" t="s">
        <v>21</v>
      </c>
      <c r="C64" s="10">
        <v>164</v>
      </c>
      <c r="D64" s="10">
        <v>209</v>
      </c>
      <c r="E64" s="10">
        <v>2025</v>
      </c>
      <c r="F64" s="12" t="s">
        <v>20</v>
      </c>
      <c r="G64" s="3">
        <f t="shared" si="12"/>
        <v>0</v>
      </c>
      <c r="H64" s="4">
        <f t="shared" si="13"/>
        <v>45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41:E49 E31:E39 E21:E29 E14:E19 E2:E6 E8:E12 E51:E59 E81:E89 E61:E69 E71:E79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U1" zoomScale="70" zoomScaleNormal="70" workbookViewId="0">
      <selection activeCell="X125" sqref="X12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500</v>
      </c>
      <c r="D5" s="5">
        <f>Table1[[#This Row],[Enrolment S.Y. 2025-2026 ]]*8</f>
        <v>4000</v>
      </c>
      <c r="E5" s="5">
        <v>300</v>
      </c>
      <c r="F5" s="1">
        <v>2025</v>
      </c>
      <c r="G5" s="5" t="s">
        <v>62</v>
      </c>
      <c r="H5" s="5">
        <f t="shared" ref="H5:H77" si="2">IF((D5-E5)&lt;0,0,(D5-E5))</f>
        <v>3700</v>
      </c>
      <c r="I5" s="5">
        <f t="shared" ref="I5:I77" si="3">IF((E5-D5)&lt;0,0,(E5-D5))</f>
        <v>0</v>
      </c>
      <c r="J5" s="5">
        <f>Table1[[#This Row],[Enrolment S.Y. 2025-2026 ]]*8</f>
        <v>4000</v>
      </c>
      <c r="K5" s="5">
        <v>500</v>
      </c>
      <c r="L5" s="1">
        <v>2024</v>
      </c>
      <c r="M5" s="5" t="s">
        <v>62</v>
      </c>
      <c r="N5" s="5">
        <f t="shared" ref="N5" si="4">IF((J5-K5)&lt;0,0,(J5-K5))</f>
        <v>3500</v>
      </c>
      <c r="O5" s="5">
        <f t="shared" ref="O5" si="5">IF((K5-J5)&lt;0,0,(K5-J5))</f>
        <v>0</v>
      </c>
      <c r="P5" s="5">
        <f>Table1[[#This Row],[Enrolment S.Y. 2025-2026 ]]*8</f>
        <v>4000</v>
      </c>
      <c r="Q5" s="5"/>
      <c r="R5" s="1"/>
      <c r="S5" s="5"/>
      <c r="T5" s="5">
        <f t="shared" ref="T5" si="6">IF((P5-Q5)&lt;0,0,(P5-Q5))</f>
        <v>4000</v>
      </c>
      <c r="U5" s="5">
        <f t="shared" ref="U5" si="7">IF((Q5-P5)&lt;0,0,(Q5-P5))</f>
        <v>0</v>
      </c>
      <c r="V5" s="5">
        <f>Table1[[#This Row],[Enrolment S.Y. 2025-2026 ]]*8</f>
        <v>4000</v>
      </c>
      <c r="W5" s="5"/>
      <c r="X5" s="1"/>
      <c r="Y5" s="5"/>
      <c r="Z5" s="5">
        <f t="shared" ref="Z5" si="8">IF((V5-W5)&lt;0,0,(V5-W5))</f>
        <v>4000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>
        <v>164</v>
      </c>
      <c r="D73" s="12">
        <f>Table1[[#This Row],[Enrolment S.Y. 2025-2026 ]]*8</f>
        <v>1312</v>
      </c>
      <c r="E73" s="12">
        <v>31</v>
      </c>
      <c r="F73" s="10">
        <v>2025</v>
      </c>
      <c r="G73" s="12" t="s">
        <v>20</v>
      </c>
      <c r="H73" s="12">
        <f t="shared" si="2"/>
        <v>1281</v>
      </c>
      <c r="I73" s="12">
        <f t="shared" si="3"/>
        <v>0</v>
      </c>
      <c r="J73" s="12">
        <f>Table1[[#This Row],[Enrolment S.Y. 2025-2026 ]]*8</f>
        <v>1312</v>
      </c>
      <c r="K73" s="12"/>
      <c r="L73" s="10"/>
      <c r="M73" s="12"/>
      <c r="N73" s="12">
        <f t="shared" si="16"/>
        <v>1312</v>
      </c>
      <c r="O73" s="12">
        <f t="shared" si="17"/>
        <v>0</v>
      </c>
      <c r="P73" s="12">
        <f>Table1[[#This Row],[Enrolment S.Y. 2025-2026 ]]*8</f>
        <v>1312</v>
      </c>
      <c r="Q73" s="12"/>
      <c r="R73" s="10"/>
      <c r="S73" s="12"/>
      <c r="T73" s="12">
        <f t="shared" si="18"/>
        <v>1312</v>
      </c>
      <c r="U73" s="12">
        <f t="shared" si="19"/>
        <v>0</v>
      </c>
      <c r="V73" s="12">
        <f>Table1[[#This Row],[Enrolment S.Y. 2025-2026 ]]*8</f>
        <v>1312</v>
      </c>
      <c r="W73" s="12"/>
      <c r="X73" s="10"/>
      <c r="Y73" s="12"/>
      <c r="Z73" s="12">
        <f t="shared" si="20"/>
        <v>1312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>
        <v>164</v>
      </c>
      <c r="D74" s="12">
        <f>Table1[[#This Row],[Enrolment S.Y. 2025-2026 ]]*8</f>
        <v>1312</v>
      </c>
      <c r="E74" s="12">
        <v>31</v>
      </c>
      <c r="F74" s="10">
        <v>2025</v>
      </c>
      <c r="G74" s="12" t="s">
        <v>20</v>
      </c>
      <c r="H74" s="12">
        <f t="shared" si="2"/>
        <v>1281</v>
      </c>
      <c r="I74" s="12">
        <f t="shared" si="3"/>
        <v>0</v>
      </c>
      <c r="J74" s="12">
        <f>Table1[[#This Row],[Enrolment S.Y. 2025-2026 ]]*8</f>
        <v>1312</v>
      </c>
      <c r="K74" s="12"/>
      <c r="L74" s="10"/>
      <c r="M74" s="12"/>
      <c r="N74" s="12">
        <f t="shared" si="16"/>
        <v>1312</v>
      </c>
      <c r="O74" s="12">
        <f t="shared" si="17"/>
        <v>0</v>
      </c>
      <c r="P74" s="12">
        <f>Table1[[#This Row],[Enrolment S.Y. 2025-2026 ]]*8</f>
        <v>1312</v>
      </c>
      <c r="Q74" s="12"/>
      <c r="R74" s="10"/>
      <c r="S74" s="12"/>
      <c r="T74" s="12">
        <f t="shared" si="18"/>
        <v>1312</v>
      </c>
      <c r="U74" s="12">
        <f t="shared" si="19"/>
        <v>0</v>
      </c>
      <c r="V74" s="12">
        <f>Table1[[#This Row],[Enrolment S.Y. 2025-2026 ]]*8</f>
        <v>1312</v>
      </c>
      <c r="W74" s="12"/>
      <c r="X74" s="10"/>
      <c r="Y74" s="12"/>
      <c r="Z74" s="12">
        <f t="shared" si="20"/>
        <v>1312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>
        <v>164</v>
      </c>
      <c r="D75" s="12">
        <f>Table1[[#This Row],[Enrolment S.Y. 2025-2026 ]]*8</f>
        <v>1312</v>
      </c>
      <c r="E75" s="12">
        <v>31</v>
      </c>
      <c r="F75" s="10">
        <v>2025</v>
      </c>
      <c r="G75" s="12" t="s">
        <v>20</v>
      </c>
      <c r="H75" s="12">
        <f t="shared" si="2"/>
        <v>1281</v>
      </c>
      <c r="I75" s="12">
        <f t="shared" si="3"/>
        <v>0</v>
      </c>
      <c r="J75" s="12">
        <f>Table1[[#This Row],[Enrolment S.Y. 2025-2026 ]]*8</f>
        <v>1312</v>
      </c>
      <c r="K75" s="12"/>
      <c r="L75" s="10"/>
      <c r="M75" s="12"/>
      <c r="N75" s="12">
        <f t="shared" si="16"/>
        <v>1312</v>
      </c>
      <c r="O75" s="12">
        <f t="shared" si="17"/>
        <v>0</v>
      </c>
      <c r="P75" s="12">
        <f>Table1[[#This Row],[Enrolment S.Y. 2025-2026 ]]*8</f>
        <v>1312</v>
      </c>
      <c r="Q75" s="12"/>
      <c r="R75" s="10"/>
      <c r="S75" s="12"/>
      <c r="T75" s="12">
        <f t="shared" si="18"/>
        <v>1312</v>
      </c>
      <c r="U75" s="12">
        <f t="shared" si="19"/>
        <v>0</v>
      </c>
      <c r="V75" s="12">
        <f>Table1[[#This Row],[Enrolment S.Y. 2025-2026 ]]*8</f>
        <v>1312</v>
      </c>
      <c r="W75" s="12"/>
      <c r="X75" s="10"/>
      <c r="Y75" s="12"/>
      <c r="Z75" s="12">
        <f t="shared" si="20"/>
        <v>1312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>
        <v>164</v>
      </c>
      <c r="D76" s="12">
        <f>Table1[[#This Row],[Enrolment S.Y. 2025-2026 ]]*8</f>
        <v>1312</v>
      </c>
      <c r="E76" s="12">
        <v>31</v>
      </c>
      <c r="F76" s="10">
        <v>2025</v>
      </c>
      <c r="G76" s="12" t="s">
        <v>20</v>
      </c>
      <c r="H76" s="12">
        <f t="shared" si="2"/>
        <v>1281</v>
      </c>
      <c r="I76" s="12">
        <f t="shared" si="3"/>
        <v>0</v>
      </c>
      <c r="J76" s="12">
        <f>Table1[[#This Row],[Enrolment S.Y. 2025-2026 ]]*8</f>
        <v>1312</v>
      </c>
      <c r="K76" s="12"/>
      <c r="L76" s="10"/>
      <c r="M76" s="12"/>
      <c r="N76" s="12">
        <f t="shared" si="16"/>
        <v>1312</v>
      </c>
      <c r="O76" s="12">
        <f t="shared" si="17"/>
        <v>0</v>
      </c>
      <c r="P76" s="12">
        <f>Table1[[#This Row],[Enrolment S.Y. 2025-2026 ]]*8</f>
        <v>1312</v>
      </c>
      <c r="Q76" s="12"/>
      <c r="R76" s="10"/>
      <c r="S76" s="12"/>
      <c r="T76" s="12">
        <f t="shared" si="18"/>
        <v>1312</v>
      </c>
      <c r="U76" s="12">
        <f t="shared" si="19"/>
        <v>0</v>
      </c>
      <c r="V76" s="12">
        <f>Table1[[#This Row],[Enrolment S.Y. 2025-2026 ]]*8</f>
        <v>1312</v>
      </c>
      <c r="W76" s="12"/>
      <c r="X76" s="10"/>
      <c r="Y76" s="12"/>
      <c r="Z76" s="12">
        <f t="shared" si="20"/>
        <v>1312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>
        <v>164</v>
      </c>
      <c r="D77" s="12">
        <f>Table1[[#This Row],[Enrolment S.Y. 2025-2026 ]]*8</f>
        <v>1312</v>
      </c>
      <c r="E77" s="12">
        <v>31</v>
      </c>
      <c r="F77" s="10">
        <v>2025</v>
      </c>
      <c r="G77" s="12" t="s">
        <v>20</v>
      </c>
      <c r="H77" s="12">
        <f t="shared" si="2"/>
        <v>1281</v>
      </c>
      <c r="I77" s="12">
        <f t="shared" si="3"/>
        <v>0</v>
      </c>
      <c r="J77" s="12">
        <f>Table1[[#This Row],[Enrolment S.Y. 2025-2026 ]]*8</f>
        <v>1312</v>
      </c>
      <c r="K77" s="12"/>
      <c r="L77" s="10"/>
      <c r="M77" s="12"/>
      <c r="N77" s="12">
        <f t="shared" si="16"/>
        <v>1312</v>
      </c>
      <c r="O77" s="12">
        <f t="shared" si="17"/>
        <v>0</v>
      </c>
      <c r="P77" s="12">
        <f>Table1[[#This Row],[Enrolment S.Y. 2025-2026 ]]*8</f>
        <v>1312</v>
      </c>
      <c r="Q77" s="12"/>
      <c r="R77" s="10"/>
      <c r="S77" s="12"/>
      <c r="T77" s="12">
        <f t="shared" si="18"/>
        <v>1312</v>
      </c>
      <c r="U77" s="12">
        <f t="shared" si="19"/>
        <v>0</v>
      </c>
      <c r="V77" s="12">
        <f>Table1[[#This Row],[Enrolment S.Y. 2025-2026 ]]*8</f>
        <v>1312</v>
      </c>
      <c r="W77" s="12"/>
      <c r="X77" s="10"/>
      <c r="Y77" s="12"/>
      <c r="Z77" s="12">
        <f t="shared" si="20"/>
        <v>1312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>
        <v>164</v>
      </c>
      <c r="D78" s="12">
        <f>Table1[[#This Row],[Enrolment S.Y. 2025-2026 ]]*8</f>
        <v>1312</v>
      </c>
      <c r="E78" s="12">
        <v>31</v>
      </c>
      <c r="F78" s="10">
        <v>2025</v>
      </c>
      <c r="G78" s="12" t="s">
        <v>20</v>
      </c>
      <c r="H78" s="12">
        <f t="shared" ref="H78:H127" si="22">IF((D78-E78)&lt;0,0,(D78-E78))</f>
        <v>1281</v>
      </c>
      <c r="I78" s="12">
        <f t="shared" ref="I78:I127" si="23">IF((E78-D78)&lt;0,0,(E78-D78))</f>
        <v>0</v>
      </c>
      <c r="J78" s="12">
        <f>Table1[[#This Row],[Enrolment S.Y. 2025-2026 ]]*8</f>
        <v>1312</v>
      </c>
      <c r="K78" s="12"/>
      <c r="L78" s="10"/>
      <c r="M78" s="12"/>
      <c r="N78" s="12">
        <f t="shared" si="16"/>
        <v>1312</v>
      </c>
      <c r="O78" s="12">
        <f t="shared" si="17"/>
        <v>0</v>
      </c>
      <c r="P78" s="12">
        <f>Table1[[#This Row],[Enrolment S.Y. 2025-2026 ]]*8</f>
        <v>1312</v>
      </c>
      <c r="Q78" s="12"/>
      <c r="R78" s="10"/>
      <c r="S78" s="12"/>
      <c r="T78" s="12">
        <f t="shared" si="18"/>
        <v>1312</v>
      </c>
      <c r="U78" s="12">
        <f t="shared" si="19"/>
        <v>0</v>
      </c>
      <c r="V78" s="12">
        <f>Table1[[#This Row],[Enrolment S.Y. 2025-2026 ]]*8</f>
        <v>1312</v>
      </c>
      <c r="W78" s="12"/>
      <c r="X78" s="10"/>
      <c r="Y78" s="12"/>
      <c r="Z78" s="12">
        <f t="shared" si="20"/>
        <v>1312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>
        <v>164</v>
      </c>
      <c r="D79" s="12">
        <f>Table1[[#This Row],[Enrolment S.Y. 2025-2026 ]]*8</f>
        <v>1312</v>
      </c>
      <c r="E79" s="12">
        <v>31</v>
      </c>
      <c r="F79" s="10">
        <v>2025</v>
      </c>
      <c r="G79" s="12" t="s">
        <v>20</v>
      </c>
      <c r="H79" s="12">
        <f t="shared" si="22"/>
        <v>1281</v>
      </c>
      <c r="I79" s="12">
        <f t="shared" si="23"/>
        <v>0</v>
      </c>
      <c r="J79" s="12">
        <f>Table1[[#This Row],[Enrolment S.Y. 2025-2026 ]]*8</f>
        <v>1312</v>
      </c>
      <c r="K79" s="12"/>
      <c r="L79" s="10"/>
      <c r="M79" s="12"/>
      <c r="N79" s="12">
        <f t="shared" si="16"/>
        <v>1312</v>
      </c>
      <c r="O79" s="12">
        <f t="shared" si="17"/>
        <v>0</v>
      </c>
      <c r="P79" s="12">
        <f>Table1[[#This Row],[Enrolment S.Y. 2025-2026 ]]*8</f>
        <v>1312</v>
      </c>
      <c r="Q79" s="12"/>
      <c r="R79" s="10"/>
      <c r="S79" s="12"/>
      <c r="T79" s="12">
        <f t="shared" si="18"/>
        <v>1312</v>
      </c>
      <c r="U79" s="12">
        <f t="shared" si="19"/>
        <v>0</v>
      </c>
      <c r="V79" s="12">
        <f>Table1[[#This Row],[Enrolment S.Y. 2025-2026 ]]*8</f>
        <v>1312</v>
      </c>
      <c r="W79" s="12"/>
      <c r="X79" s="10"/>
      <c r="Y79" s="12"/>
      <c r="Z79" s="12">
        <f t="shared" si="20"/>
        <v>1312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>
        <v>164</v>
      </c>
      <c r="D80" s="12">
        <f>Table1[[#This Row],[Enrolment S.Y. 2025-2026 ]]*8</f>
        <v>1312</v>
      </c>
      <c r="E80" s="12">
        <v>31</v>
      </c>
      <c r="F80" s="10">
        <v>2025</v>
      </c>
      <c r="G80" s="12" t="s">
        <v>20</v>
      </c>
      <c r="H80" s="12">
        <f t="shared" si="22"/>
        <v>1281</v>
      </c>
      <c r="I80" s="12">
        <f t="shared" si="23"/>
        <v>0</v>
      </c>
      <c r="J80" s="12">
        <f>Table1[[#This Row],[Enrolment S.Y. 2025-2026 ]]*8</f>
        <v>1312</v>
      </c>
      <c r="K80" s="12"/>
      <c r="L80" s="10"/>
      <c r="M80" s="12"/>
      <c r="N80" s="12">
        <f t="shared" si="16"/>
        <v>1312</v>
      </c>
      <c r="O80" s="12">
        <f t="shared" si="17"/>
        <v>0</v>
      </c>
      <c r="P80" s="12">
        <f>Table1[[#This Row],[Enrolment S.Y. 2025-2026 ]]*8</f>
        <v>1312</v>
      </c>
      <c r="Q80" s="12"/>
      <c r="R80" s="10"/>
      <c r="S80" s="12"/>
      <c r="T80" s="12">
        <f t="shared" si="18"/>
        <v>1312</v>
      </c>
      <c r="U80" s="12">
        <f t="shared" si="19"/>
        <v>0</v>
      </c>
      <c r="V80" s="12">
        <f>Table1[[#This Row],[Enrolment S.Y. 2025-2026 ]]*8</f>
        <v>1312</v>
      </c>
      <c r="W80" s="12"/>
      <c r="X80" s="10"/>
      <c r="Y80" s="12"/>
      <c r="Z80" s="12">
        <f t="shared" si="20"/>
        <v>1312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>
        <v>164</v>
      </c>
      <c r="D81" s="12">
        <f>Table1[[#This Row],[Enrolment S.Y. 2025-2026 ]]*8</f>
        <v>1312</v>
      </c>
      <c r="E81" s="12">
        <v>31</v>
      </c>
      <c r="F81" s="10">
        <v>2025</v>
      </c>
      <c r="G81" s="12" t="s">
        <v>20</v>
      </c>
      <c r="H81" s="12">
        <f t="shared" si="22"/>
        <v>1281</v>
      </c>
      <c r="I81" s="12">
        <f t="shared" si="23"/>
        <v>0</v>
      </c>
      <c r="J81" s="12">
        <f>Table1[[#This Row],[Enrolment S.Y. 2025-2026 ]]*8</f>
        <v>1312</v>
      </c>
      <c r="K81" s="12"/>
      <c r="L81" s="10"/>
      <c r="M81" s="12"/>
      <c r="N81" s="12">
        <f t="shared" si="16"/>
        <v>1312</v>
      </c>
      <c r="O81" s="12">
        <f t="shared" si="17"/>
        <v>0</v>
      </c>
      <c r="P81" s="12">
        <f>Table1[[#This Row],[Enrolment S.Y. 2025-2026 ]]*8</f>
        <v>1312</v>
      </c>
      <c r="Q81" s="12"/>
      <c r="R81" s="10"/>
      <c r="S81" s="12"/>
      <c r="T81" s="12">
        <f t="shared" si="18"/>
        <v>1312</v>
      </c>
      <c r="U81" s="12">
        <f t="shared" si="19"/>
        <v>0</v>
      </c>
      <c r="V81" s="12">
        <f>Table1[[#This Row],[Enrolment S.Y. 2025-2026 ]]*8</f>
        <v>1312</v>
      </c>
      <c r="W81" s="12"/>
      <c r="X81" s="10"/>
      <c r="Y81" s="12"/>
      <c r="Z81" s="12">
        <f t="shared" si="20"/>
        <v>1312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5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5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5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5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25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25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8.25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7.75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25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5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1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Q14:R21 W14:X21 Q23:R31 W23:X31 H33:I41 Q33:R41 W33:X41 H43:I51 Q43:R51 W43:X51 H53:I61 Q53:R61 W53:X61 H63:I71 Q63:R71 W63:X71 H73:I81 Q73:R81 W73:X81 H83:I91 Q83:R91 W83:X91 H93:I101 Q93:R101 W93:X101 H103:I110 Q103:R110 W103:X110 H112:I127 N127:R127 W112:X127 H14:I21 H23:I31 H6:I12 K6:L12 K33:L41 K43:L51 K53:L61 K63:L71 K73:L81 K83:L91 K93:L101 K103:L110 K112:L127 K14:L21 K23:L31 Q112:R126 P2:R2 V2:X3 N13:P126 T13:V127 J6:J127 N5:R12 T5:X12 N4:P4 T4:V4 J4 Z4:AA127 N3:R3 Y13 D5:F12 D53:F61 D43:F51 D33:F41 D23:F31 D14:F21 D63:F71 D73:F81 D83:F91 D93:F101 D103:F110 D112:F127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5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" xr:uid="{4ECCD083-8EC4-42EE-B46C-B614411F330D}">
      <formula1>"2024,2025 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3:F61 F43:F51 F33:F41 F23:F31 F5:F12 F14:F21 F63:F71 F73:F81 F83:F91 F93:F101 F103:F110 F112:F127" xr:uid="{6E2633F4-CF1B-42F2-AEB5-53C53119DFFF}">
      <formula1>"2024,2025,2026"</formula1>
    </dataValidation>
    <dataValidation type="list" allowBlank="1" showInputMessage="1" showErrorMessage="1" sqref="L5:L12 L14:L21 L23:L31 L33:L41 L43:L51 L53:L61 L63:L71 L73:L81 L83:L91 L93:L101 L103:L110 L112:L127 R5:R12 R14:R21 R23:R31 R33:R41 R43:R51 R53:R61 R63:R71 R73:R81 R83:R91 R93:R101 R103:R110 R112:R127 X5:X12 X14:X21 X23:X31 X33:X41 X43:X51 X53:X61 X63:X71 X73:X81 X83:X91 X93:X101 X103:X110" xr:uid="{BBC3AA51-1E03-42BE-9EE3-79402F38C779}">
      <formula1>"2024,2025 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S117" zoomScale="55" zoomScaleNormal="55" workbookViewId="0">
      <selection activeCell="X115" sqref="X115:X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8.2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 ht="15"/>
    <row r="12" spans="1:27" ht="38.2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 ht="15"/>
    <row r="21" spans="1:27" ht="38.2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 ht="15"/>
    <row r="31" spans="1:27" ht="19.5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 ht="15"/>
    <row r="43" spans="1:27" ht="19.5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 ht="15"/>
    <row r="55" spans="1:27" ht="19.5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8.25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 ht="19.5">
      <c r="F78" s="10"/>
    </row>
    <row r="79" spans="1:27" ht="19.5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 ht="15"/>
    <row r="91" spans="1:27" ht="19.5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>
        <v>165</v>
      </c>
      <c r="D92" s="12">
        <f>Table14[[#This Row],[Enrolment S.Y. 2025-2026 ]]*8</f>
        <v>1320</v>
      </c>
      <c r="E92" s="12">
        <v>84</v>
      </c>
      <c r="F92" s="10">
        <v>2025</v>
      </c>
      <c r="G92" s="12" t="s">
        <v>20</v>
      </c>
      <c r="H92" s="12">
        <f t="shared" si="22"/>
        <v>1236</v>
      </c>
      <c r="I92" s="12">
        <f t="shared" si="23"/>
        <v>0</v>
      </c>
      <c r="J92" s="12">
        <f>Table14[[#This Row],[Enrolment S.Y. 2025-2026 ]]*8</f>
        <v>1320</v>
      </c>
      <c r="K92" s="12">
        <v>50</v>
      </c>
      <c r="L92" s="10">
        <v>2025</v>
      </c>
      <c r="M92" s="12" t="s">
        <v>20</v>
      </c>
      <c r="N92" s="12">
        <f t="shared" si="20"/>
        <v>1270</v>
      </c>
      <c r="O92" s="12">
        <f t="shared" si="21"/>
        <v>0</v>
      </c>
      <c r="P92" s="12">
        <f>Table14[[#This Row],[Enrolment S.Y. 2025-2026 ]]*8</f>
        <v>1320</v>
      </c>
      <c r="Q92" s="12">
        <v>50</v>
      </c>
      <c r="R92" s="10">
        <v>2025</v>
      </c>
      <c r="S92" s="12" t="s">
        <v>20</v>
      </c>
      <c r="T92" s="12">
        <f t="shared" si="16"/>
        <v>1270</v>
      </c>
      <c r="U92" s="12">
        <f t="shared" si="17"/>
        <v>0</v>
      </c>
      <c r="V92" s="12">
        <f>Table14[[#This Row],[Enrolment S.Y. 2025-2026 ]]*8</f>
        <v>1320</v>
      </c>
      <c r="W92" s="12"/>
      <c r="X92" s="10"/>
      <c r="Y92" s="12"/>
      <c r="Z92" s="12">
        <f t="shared" si="18"/>
        <v>1320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>
        <v>165</v>
      </c>
      <c r="D93" s="12">
        <f>Table14[[#This Row],[Enrolment S.Y. 2025-2026 ]]*8</f>
        <v>1320</v>
      </c>
      <c r="E93" s="12">
        <v>84</v>
      </c>
      <c r="F93" s="10">
        <v>2025</v>
      </c>
      <c r="G93" s="12" t="s">
        <v>20</v>
      </c>
      <c r="H93" s="12">
        <f t="shared" si="22"/>
        <v>1236</v>
      </c>
      <c r="I93" s="12">
        <f t="shared" si="23"/>
        <v>0</v>
      </c>
      <c r="J93" s="12">
        <f>Table14[[#This Row],[Enrolment S.Y. 2025-2026 ]]*8</f>
        <v>1320</v>
      </c>
      <c r="K93" s="12">
        <v>50</v>
      </c>
      <c r="L93" s="10">
        <v>2025</v>
      </c>
      <c r="M93" s="12" t="s">
        <v>20</v>
      </c>
      <c r="N93" s="12">
        <f t="shared" si="20"/>
        <v>1270</v>
      </c>
      <c r="O93" s="12">
        <f t="shared" si="21"/>
        <v>0</v>
      </c>
      <c r="P93" s="12">
        <f>Table14[[#This Row],[Enrolment S.Y. 2025-2026 ]]*8</f>
        <v>1320</v>
      </c>
      <c r="Q93" s="12">
        <v>50</v>
      </c>
      <c r="R93" s="10">
        <v>2025</v>
      </c>
      <c r="S93" s="12" t="s">
        <v>20</v>
      </c>
      <c r="T93" s="12">
        <f t="shared" si="16"/>
        <v>1270</v>
      </c>
      <c r="U93" s="12">
        <f t="shared" si="17"/>
        <v>0</v>
      </c>
      <c r="V93" s="12">
        <f>Table14[[#This Row],[Enrolment S.Y. 2025-2026 ]]*8</f>
        <v>1320</v>
      </c>
      <c r="W93" s="12"/>
      <c r="X93" s="10"/>
      <c r="Y93" s="12"/>
      <c r="Z93" s="12">
        <f t="shared" si="18"/>
        <v>1320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>
        <v>165</v>
      </c>
      <c r="D94" s="12">
        <f>Table14[[#This Row],[Enrolment S.Y. 2025-2026 ]]*8</f>
        <v>1320</v>
      </c>
      <c r="E94" s="12"/>
      <c r="F94" s="10"/>
      <c r="G94" s="12"/>
      <c r="H94" s="12">
        <f t="shared" si="22"/>
        <v>1320</v>
      </c>
      <c r="I94" s="12">
        <f t="shared" si="23"/>
        <v>0</v>
      </c>
      <c r="J94" s="12">
        <f>Table14[[#This Row],[Enrolment S.Y. 2025-2026 ]]*8</f>
        <v>1320</v>
      </c>
      <c r="K94" s="12"/>
      <c r="L94" s="10"/>
      <c r="M94" s="12"/>
      <c r="N94" s="12">
        <f t="shared" si="20"/>
        <v>1320</v>
      </c>
      <c r="O94" s="12">
        <f t="shared" si="21"/>
        <v>0</v>
      </c>
      <c r="P94" s="12">
        <f>Table14[[#This Row],[Enrolment S.Y. 2025-2026 ]]*8</f>
        <v>1320</v>
      </c>
      <c r="Q94" s="12">
        <v>50</v>
      </c>
      <c r="R94" s="10">
        <v>2025</v>
      </c>
      <c r="S94" s="12" t="s">
        <v>20</v>
      </c>
      <c r="T94" s="12">
        <f t="shared" si="16"/>
        <v>1270</v>
      </c>
      <c r="U94" s="12">
        <f t="shared" si="17"/>
        <v>0</v>
      </c>
      <c r="V94" s="12">
        <f>Table14[[#This Row],[Enrolment S.Y. 2025-2026 ]]*8</f>
        <v>1320</v>
      </c>
      <c r="W94" s="12"/>
      <c r="X94" s="10"/>
      <c r="Y94" s="12"/>
      <c r="Z94" s="12">
        <f t="shared" si="18"/>
        <v>1320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>
        <v>165</v>
      </c>
      <c r="D95" s="12">
        <f>Table14[[#This Row],[Enrolment S.Y. 2025-2026 ]]*8</f>
        <v>1320</v>
      </c>
      <c r="E95" s="12"/>
      <c r="F95" s="10"/>
      <c r="G95" s="12"/>
      <c r="H95" s="12">
        <f t="shared" si="22"/>
        <v>1320</v>
      </c>
      <c r="I95" s="12">
        <f t="shared" si="23"/>
        <v>0</v>
      </c>
      <c r="J95" s="12">
        <f>Table14[[#This Row],[Enrolment S.Y. 2025-2026 ]]*8</f>
        <v>1320</v>
      </c>
      <c r="K95" s="12"/>
      <c r="L95" s="10"/>
      <c r="M95" s="12"/>
      <c r="N95" s="12">
        <f t="shared" si="20"/>
        <v>1320</v>
      </c>
      <c r="O95" s="12">
        <f t="shared" si="21"/>
        <v>0</v>
      </c>
      <c r="P95" s="12">
        <f>Table14[[#This Row],[Enrolment S.Y. 2025-2026 ]]*8</f>
        <v>1320</v>
      </c>
      <c r="Q95" s="12">
        <v>50</v>
      </c>
      <c r="R95" s="10">
        <v>2025</v>
      </c>
      <c r="S95" s="12" t="s">
        <v>20</v>
      </c>
      <c r="T95" s="12">
        <f t="shared" si="16"/>
        <v>1270</v>
      </c>
      <c r="U95" s="12">
        <f t="shared" si="17"/>
        <v>0</v>
      </c>
      <c r="V95" s="12">
        <f>Table14[[#This Row],[Enrolment S.Y. 2025-2026 ]]*8</f>
        <v>1320</v>
      </c>
      <c r="W95" s="12"/>
      <c r="X95" s="10"/>
      <c r="Y95" s="12"/>
      <c r="Z95" s="12">
        <f t="shared" si="18"/>
        <v>1320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>
        <v>165</v>
      </c>
      <c r="D96" s="12">
        <f>Table14[[#This Row],[Enrolment S.Y. 2025-2026 ]]*8</f>
        <v>1320</v>
      </c>
      <c r="E96" s="12"/>
      <c r="F96" s="10"/>
      <c r="G96" s="12"/>
      <c r="H96" s="12">
        <f t="shared" si="22"/>
        <v>1320</v>
      </c>
      <c r="I96" s="12">
        <f t="shared" si="23"/>
        <v>0</v>
      </c>
      <c r="J96" s="12">
        <f>Table14[[#This Row],[Enrolment S.Y. 2025-2026 ]]*8</f>
        <v>1320</v>
      </c>
      <c r="K96" s="12"/>
      <c r="L96" s="10"/>
      <c r="M96" s="12"/>
      <c r="N96" s="12">
        <f t="shared" si="20"/>
        <v>1320</v>
      </c>
      <c r="O96" s="12">
        <f t="shared" si="21"/>
        <v>0</v>
      </c>
      <c r="P96" s="12">
        <f>Table14[[#This Row],[Enrolment S.Y. 2025-2026 ]]*8</f>
        <v>1320</v>
      </c>
      <c r="Q96" s="12">
        <v>50</v>
      </c>
      <c r="R96" s="10">
        <v>2025</v>
      </c>
      <c r="S96" s="12" t="s">
        <v>20</v>
      </c>
      <c r="T96" s="12">
        <f t="shared" si="16"/>
        <v>1270</v>
      </c>
      <c r="U96" s="12">
        <f t="shared" si="17"/>
        <v>0</v>
      </c>
      <c r="V96" s="12">
        <f>Table14[[#This Row],[Enrolment S.Y. 2025-2026 ]]*8</f>
        <v>1320</v>
      </c>
      <c r="W96" s="12"/>
      <c r="X96" s="10"/>
      <c r="Y96" s="12"/>
      <c r="Z96" s="12">
        <f t="shared" si="18"/>
        <v>1320</v>
      </c>
      <c r="AA96" s="12">
        <f t="shared" si="19"/>
        <v>0</v>
      </c>
    </row>
    <row r="97" spans="1:27" ht="19.5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90</v>
      </c>
      <c r="C100" s="10">
        <v>165</v>
      </c>
      <c r="D100" s="12">
        <f>Table14[[#This Row],[Enrolment S.Y. 2025-2026 ]]*8</f>
        <v>1320</v>
      </c>
      <c r="E100" s="12"/>
      <c r="F100" s="10"/>
      <c r="G100" s="12"/>
      <c r="H100" s="12">
        <f>IF((D100-E100)&lt;0,0,(D100-E100))</f>
        <v>1320</v>
      </c>
      <c r="I100" s="12">
        <f>IF((E100-D100)&lt;0,0,(E100-D100))</f>
        <v>0</v>
      </c>
      <c r="J100" s="12">
        <f>Table14[[#This Row],[Enrolment S.Y. 2025-2026 ]]*8</f>
        <v>1320</v>
      </c>
      <c r="K100" s="12"/>
      <c r="L100" s="10"/>
      <c r="M100" s="12"/>
      <c r="N100" s="12">
        <f t="shared" si="26"/>
        <v>1320</v>
      </c>
      <c r="O100" s="12">
        <f t="shared" si="27"/>
        <v>0</v>
      </c>
      <c r="P100" s="12">
        <f>Table14[[#This Row],[Enrolment S.Y. 2025-2026 ]]*8</f>
        <v>1320</v>
      </c>
      <c r="Q100" s="12">
        <v>50</v>
      </c>
      <c r="R100" s="10">
        <v>2025</v>
      </c>
      <c r="S100" s="12" t="s">
        <v>20</v>
      </c>
      <c r="T100" s="12">
        <f>IF((P100-Q100)&lt;0,0,(P100-Q100))</f>
        <v>1270</v>
      </c>
      <c r="U100" s="12">
        <f>IF((Q100-P100)&lt;0,0,(Q100-P100))</f>
        <v>0</v>
      </c>
      <c r="V100" s="12">
        <f>Table14[[#This Row],[Enrolment S.Y. 2025-2026 ]]*8</f>
        <v>1320</v>
      </c>
      <c r="W100" s="12"/>
      <c r="X100" s="10"/>
      <c r="Y100" s="12"/>
      <c r="Z100" s="12">
        <f>IF((V100-W100)&lt;0,0,(V100-W100))</f>
        <v>1320</v>
      </c>
      <c r="AA100" s="12">
        <f>IF((W100-V100)&lt;0,0,(W100-V100))</f>
        <v>0</v>
      </c>
    </row>
    <row r="101" spans="1:27" ht="19.5">
      <c r="A101" s="10">
        <v>9</v>
      </c>
      <c r="B101" s="11" t="s">
        <v>91</v>
      </c>
      <c r="C101" s="10">
        <v>165</v>
      </c>
      <c r="D101" s="12">
        <f>Table14[[#This Row],[Enrolment S.Y. 2025-2026 ]]*8</f>
        <v>1320</v>
      </c>
      <c r="E101" s="12"/>
      <c r="F101" s="10"/>
      <c r="G101" s="12"/>
      <c r="H101" s="12">
        <f t="shared" si="22"/>
        <v>1320</v>
      </c>
      <c r="I101" s="12">
        <f t="shared" si="23"/>
        <v>0</v>
      </c>
      <c r="J101" s="12">
        <f>Table14[[#This Row],[Enrolment S.Y. 2025-2026 ]]*8</f>
        <v>1320</v>
      </c>
      <c r="K101" s="12"/>
      <c r="L101" s="10"/>
      <c r="M101" s="12"/>
      <c r="N101" s="12">
        <f t="shared" si="26"/>
        <v>1320</v>
      </c>
      <c r="O101" s="12">
        <f t="shared" si="27"/>
        <v>0</v>
      </c>
      <c r="P101" s="12">
        <f>Table14[[#This Row],[Enrolment S.Y. 2025-2026 ]]*8</f>
        <v>1320</v>
      </c>
      <c r="Q101" s="12">
        <v>50</v>
      </c>
      <c r="R101" s="10">
        <v>2025</v>
      </c>
      <c r="S101" s="12" t="s">
        <v>20</v>
      </c>
      <c r="T101" s="12">
        <f t="shared" si="16"/>
        <v>1270</v>
      </c>
      <c r="U101" s="12">
        <f t="shared" si="17"/>
        <v>0</v>
      </c>
      <c r="V101" s="12">
        <f>Table14[[#This Row],[Enrolment S.Y. 2025-2026 ]]*8</f>
        <v>1320</v>
      </c>
      <c r="W101" s="12"/>
      <c r="X101" s="10"/>
      <c r="Y101" s="12"/>
      <c r="Z101" s="12">
        <f t="shared" si="18"/>
        <v>1320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14</v>
      </c>
      <c r="C103" s="10">
        <v>180</v>
      </c>
      <c r="D103" s="12">
        <f>Table14[[#This Row],[Enrolment S.Y. 2025-2026 ]]*8</f>
        <v>1440</v>
      </c>
      <c r="E103" s="12">
        <v>70</v>
      </c>
      <c r="F103" s="10">
        <v>2025</v>
      </c>
      <c r="G103" s="12" t="s">
        <v>20</v>
      </c>
      <c r="H103" s="12">
        <f t="shared" si="22"/>
        <v>1370</v>
      </c>
      <c r="I103" s="12">
        <f t="shared" si="23"/>
        <v>0</v>
      </c>
      <c r="J103" s="12">
        <f>Table14[[#This Row],[Enrolment S.Y. 2025-2026 ]]*8</f>
        <v>1440</v>
      </c>
      <c r="K103" s="12">
        <v>50</v>
      </c>
      <c r="L103" s="10">
        <v>2025</v>
      </c>
      <c r="M103" s="12" t="s">
        <v>20</v>
      </c>
      <c r="N103" s="12">
        <f t="shared" si="20"/>
        <v>1390</v>
      </c>
      <c r="O103" s="12">
        <f t="shared" si="21"/>
        <v>0</v>
      </c>
      <c r="P103" s="12">
        <f>Table14[[#This Row],[Enrolment S.Y. 2025-2026 ]]*8</f>
        <v>1440</v>
      </c>
      <c r="Q103" s="12">
        <v>50</v>
      </c>
      <c r="R103" s="10">
        <v>2025</v>
      </c>
      <c r="S103" s="12" t="s">
        <v>20</v>
      </c>
      <c r="T103" s="12">
        <f t="shared" si="16"/>
        <v>1390</v>
      </c>
      <c r="U103" s="12">
        <f t="shared" si="17"/>
        <v>0</v>
      </c>
      <c r="V103" s="12">
        <f>Table14[[#This Row],[Enrolment S.Y. 2025-2026 ]]*8</f>
        <v>1440</v>
      </c>
      <c r="W103" s="12">
        <v>50</v>
      </c>
      <c r="X103" s="10">
        <v>2025</v>
      </c>
      <c r="Y103" s="12" t="s">
        <v>20</v>
      </c>
      <c r="Z103" s="12">
        <f t="shared" si="18"/>
        <v>1390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>
        <v>180</v>
      </c>
      <c r="D104" s="12">
        <f>Table14[[#This Row],[Enrolment S.Y. 2025-2026 ]]*8</f>
        <v>1440</v>
      </c>
      <c r="E104" s="12">
        <v>70</v>
      </c>
      <c r="F104" s="10">
        <v>2025</v>
      </c>
      <c r="G104" s="12" t="s">
        <v>20</v>
      </c>
      <c r="H104" s="12">
        <f t="shared" si="22"/>
        <v>1370</v>
      </c>
      <c r="I104" s="12">
        <f t="shared" si="23"/>
        <v>0</v>
      </c>
      <c r="J104" s="12">
        <f>Table14[[#This Row],[Enrolment S.Y. 2025-2026 ]]*8</f>
        <v>1440</v>
      </c>
      <c r="K104" s="12"/>
      <c r="L104" s="10"/>
      <c r="M104" s="12"/>
      <c r="N104" s="12">
        <f t="shared" si="20"/>
        <v>1440</v>
      </c>
      <c r="O104" s="12">
        <f t="shared" si="21"/>
        <v>0</v>
      </c>
      <c r="P104" s="12">
        <f>Table14[[#This Row],[Enrolment S.Y. 2025-2026 ]]*8</f>
        <v>1440</v>
      </c>
      <c r="Q104" s="12">
        <v>50</v>
      </c>
      <c r="R104" s="10">
        <v>2025</v>
      </c>
      <c r="S104" s="12" t="s">
        <v>20</v>
      </c>
      <c r="T104" s="12">
        <f t="shared" si="16"/>
        <v>1390</v>
      </c>
      <c r="U104" s="12">
        <f t="shared" si="17"/>
        <v>0</v>
      </c>
      <c r="V104" s="12">
        <f>Table14[[#This Row],[Enrolment S.Y. 2025-2026 ]]*8</f>
        <v>1440</v>
      </c>
      <c r="W104" s="12">
        <v>50</v>
      </c>
      <c r="X104" s="10">
        <v>2025</v>
      </c>
      <c r="Y104" s="12" t="s">
        <v>20</v>
      </c>
      <c r="Z104" s="12">
        <f t="shared" si="18"/>
        <v>1390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>
        <v>180</v>
      </c>
      <c r="D105" s="12">
        <f>Table14[[#This Row],[Enrolment S.Y. 2025-2026 ]]*8</f>
        <v>1440</v>
      </c>
      <c r="E105" s="12">
        <v>70</v>
      </c>
      <c r="F105" s="10">
        <v>2025</v>
      </c>
      <c r="G105" s="12" t="s">
        <v>20</v>
      </c>
      <c r="H105" s="12">
        <f t="shared" si="22"/>
        <v>1370</v>
      </c>
      <c r="I105" s="12">
        <f t="shared" si="23"/>
        <v>0</v>
      </c>
      <c r="J105" s="12">
        <f>Table14[[#This Row],[Enrolment S.Y. 2025-2026 ]]*8</f>
        <v>1440</v>
      </c>
      <c r="K105" s="12">
        <v>50</v>
      </c>
      <c r="L105" s="10">
        <v>2025</v>
      </c>
      <c r="M105" s="12" t="s">
        <v>20</v>
      </c>
      <c r="N105" s="12">
        <f t="shared" si="20"/>
        <v>1390</v>
      </c>
      <c r="O105" s="12">
        <f t="shared" si="21"/>
        <v>0</v>
      </c>
      <c r="P105" s="12">
        <f>Table14[[#This Row],[Enrolment S.Y. 2025-2026 ]]*8</f>
        <v>1440</v>
      </c>
      <c r="Q105" s="12">
        <v>50</v>
      </c>
      <c r="R105" s="10">
        <v>2025</v>
      </c>
      <c r="S105" s="12" t="s">
        <v>20</v>
      </c>
      <c r="T105" s="12">
        <f t="shared" si="16"/>
        <v>1390</v>
      </c>
      <c r="U105" s="12">
        <f t="shared" si="17"/>
        <v>0</v>
      </c>
      <c r="V105" s="12">
        <f>Table14[[#This Row],[Enrolment S.Y. 2025-2026 ]]*8</f>
        <v>1440</v>
      </c>
      <c r="W105" s="12">
        <v>50</v>
      </c>
      <c r="X105" s="10">
        <v>2025</v>
      </c>
      <c r="Y105" s="12" t="s">
        <v>20</v>
      </c>
      <c r="Z105" s="12">
        <f t="shared" si="18"/>
        <v>1390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>
        <v>180</v>
      </c>
      <c r="D106" s="12">
        <f>Table14[[#This Row],[Enrolment S.Y. 2025-2026 ]]*8</f>
        <v>1440</v>
      </c>
      <c r="E106" s="12"/>
      <c r="F106" s="10"/>
      <c r="G106" s="12"/>
      <c r="H106" s="12">
        <f t="shared" si="22"/>
        <v>1440</v>
      </c>
      <c r="I106" s="12">
        <f t="shared" si="23"/>
        <v>0</v>
      </c>
      <c r="J106" s="12">
        <f>Table14[[#This Row],[Enrolment S.Y. 2025-2026 ]]*8</f>
        <v>1440</v>
      </c>
      <c r="K106" s="12"/>
      <c r="L106" s="10"/>
      <c r="M106" s="12"/>
      <c r="N106" s="12">
        <f t="shared" si="20"/>
        <v>1440</v>
      </c>
      <c r="O106" s="12">
        <f t="shared" si="21"/>
        <v>0</v>
      </c>
      <c r="P106" s="12">
        <f>Table14[[#This Row],[Enrolment S.Y. 2025-2026 ]]*8</f>
        <v>1440</v>
      </c>
      <c r="Q106" s="12">
        <v>50</v>
      </c>
      <c r="R106" s="10">
        <v>2025</v>
      </c>
      <c r="S106" s="12" t="s">
        <v>20</v>
      </c>
      <c r="T106" s="12">
        <f t="shared" si="16"/>
        <v>1390</v>
      </c>
      <c r="U106" s="12">
        <f t="shared" si="17"/>
        <v>0</v>
      </c>
      <c r="V106" s="12">
        <f>Table14[[#This Row],[Enrolment S.Y. 2025-2026 ]]*8</f>
        <v>1440</v>
      </c>
      <c r="W106" s="12">
        <v>50</v>
      </c>
      <c r="X106" s="10">
        <v>2025</v>
      </c>
      <c r="Y106" s="12" t="s">
        <v>20</v>
      </c>
      <c r="Z106" s="12">
        <f t="shared" si="18"/>
        <v>1390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>
        <v>180</v>
      </c>
      <c r="D107" s="12">
        <f>Table14[[#This Row],[Enrolment S.Y. 2025-2026 ]]*8</f>
        <v>1440</v>
      </c>
      <c r="E107" s="12"/>
      <c r="F107" s="10"/>
      <c r="G107" s="12"/>
      <c r="H107" s="12">
        <f t="shared" si="22"/>
        <v>1440</v>
      </c>
      <c r="I107" s="12">
        <f t="shared" si="23"/>
        <v>0</v>
      </c>
      <c r="J107" s="12">
        <f>Table14[[#This Row],[Enrolment S.Y. 2025-2026 ]]*8</f>
        <v>1440</v>
      </c>
      <c r="K107" s="12"/>
      <c r="L107" s="10"/>
      <c r="M107" s="12"/>
      <c r="N107" s="12">
        <f t="shared" si="20"/>
        <v>1440</v>
      </c>
      <c r="O107" s="12">
        <f t="shared" si="21"/>
        <v>0</v>
      </c>
      <c r="P107" s="12">
        <f>Table14[[#This Row],[Enrolment S.Y. 2025-2026 ]]*8</f>
        <v>1440</v>
      </c>
      <c r="Q107" s="12">
        <v>50</v>
      </c>
      <c r="R107" s="10">
        <v>2025</v>
      </c>
      <c r="S107" s="12" t="s">
        <v>20</v>
      </c>
      <c r="T107" s="12">
        <f t="shared" si="16"/>
        <v>1390</v>
      </c>
      <c r="U107" s="12">
        <f t="shared" si="17"/>
        <v>0</v>
      </c>
      <c r="V107" s="12">
        <f>Table14[[#This Row],[Enrolment S.Y. 2025-2026 ]]*8</f>
        <v>1440</v>
      </c>
      <c r="W107" s="12">
        <v>50</v>
      </c>
      <c r="X107" s="10">
        <v>2025</v>
      </c>
      <c r="Y107" s="12" t="s">
        <v>20</v>
      </c>
      <c r="Z107" s="12">
        <f t="shared" si="18"/>
        <v>1390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>
        <v>180</v>
      </c>
      <c r="D108" s="12">
        <f>Table14[[#This Row],[Enrolment S.Y. 2025-2026 ]]*8</f>
        <v>1440</v>
      </c>
      <c r="E108" s="12"/>
      <c r="F108" s="10"/>
      <c r="G108" s="12"/>
      <c r="H108" s="12">
        <f t="shared" si="22"/>
        <v>1440</v>
      </c>
      <c r="I108" s="12">
        <f t="shared" si="23"/>
        <v>0</v>
      </c>
      <c r="J108" s="12">
        <f>Table14[[#This Row],[Enrolment S.Y. 2025-2026 ]]*8</f>
        <v>1440</v>
      </c>
      <c r="K108" s="12"/>
      <c r="L108" s="10"/>
      <c r="M108" s="12"/>
      <c r="N108" s="12">
        <f t="shared" si="20"/>
        <v>1440</v>
      </c>
      <c r="O108" s="12">
        <f t="shared" si="21"/>
        <v>0</v>
      </c>
      <c r="P108" s="12">
        <f>Table14[[#This Row],[Enrolment S.Y. 2025-2026 ]]*8</f>
        <v>1440</v>
      </c>
      <c r="Q108" s="12">
        <v>50</v>
      </c>
      <c r="R108" s="10">
        <v>2025</v>
      </c>
      <c r="S108" s="12" t="s">
        <v>20</v>
      </c>
      <c r="T108" s="12">
        <f t="shared" si="16"/>
        <v>1390</v>
      </c>
      <c r="U108" s="12">
        <f t="shared" si="17"/>
        <v>0</v>
      </c>
      <c r="V108" s="12">
        <f>Table14[[#This Row],[Enrolment S.Y. 2025-2026 ]]*8</f>
        <v>1440</v>
      </c>
      <c r="W108" s="12">
        <v>50</v>
      </c>
      <c r="X108" s="10">
        <v>2025</v>
      </c>
      <c r="Y108" s="12" t="s">
        <v>20</v>
      </c>
      <c r="Z108" s="12">
        <f t="shared" si="18"/>
        <v>1390</v>
      </c>
      <c r="AA108" s="12">
        <f t="shared" si="19"/>
        <v>0</v>
      </c>
    </row>
    <row r="109" spans="1:27" ht="19.5">
      <c r="A109" s="38">
        <v>10</v>
      </c>
      <c r="B109" s="11" t="s">
        <v>88</v>
      </c>
      <c r="C109" s="10">
        <v>180</v>
      </c>
      <c r="D109" s="12">
        <f>Table14[[#This Row],[Enrolment S.Y. 2025-2026 ]]*8</f>
        <v>1440</v>
      </c>
      <c r="E109" s="12"/>
      <c r="F109" s="10"/>
      <c r="G109" s="12"/>
      <c r="H109" s="12">
        <f>IF((D109-E109)&lt;0,0,(D109-E109))</f>
        <v>1440</v>
      </c>
      <c r="I109" s="12">
        <f>IF((E109-D109)&lt;0,0,(E109-D109))</f>
        <v>0</v>
      </c>
      <c r="J109" s="12">
        <f>Table14[[#This Row],[Enrolment S.Y. 2025-2026 ]]*8</f>
        <v>1440</v>
      </c>
      <c r="K109" s="12"/>
      <c r="L109" s="10"/>
      <c r="M109" s="12"/>
      <c r="N109" s="12">
        <f t="shared" ref="N109:N113" si="28">IF((J109-K109)&lt;0,0,(J109-K109))</f>
        <v>1440</v>
      </c>
      <c r="O109" s="12">
        <f t="shared" ref="O109:O113" si="29">IF((K109-J109)&lt;0,0,(K109-J109))</f>
        <v>0</v>
      </c>
      <c r="P109" s="12">
        <f>Table14[[#This Row],[Enrolment S.Y. 2025-2026 ]]*8</f>
        <v>1440</v>
      </c>
      <c r="Q109" s="12">
        <v>50</v>
      </c>
      <c r="R109" s="10">
        <v>2025</v>
      </c>
      <c r="S109" s="12" t="s">
        <v>20</v>
      </c>
      <c r="T109" s="12">
        <f>IF((P109-Q109)&lt;0,0,(P109-Q109))</f>
        <v>1390</v>
      </c>
      <c r="U109" s="12">
        <f>IF((Q109-P109)&lt;0,0,(Q109-P109))</f>
        <v>0</v>
      </c>
      <c r="V109" s="12">
        <f>Table14[[#This Row],[Enrolment S.Y. 2025-2026 ]]*8</f>
        <v>1440</v>
      </c>
      <c r="W109" s="12">
        <v>50</v>
      </c>
      <c r="X109" s="10">
        <v>2025</v>
      </c>
      <c r="Y109" s="12" t="s">
        <v>20</v>
      </c>
      <c r="Z109" s="12">
        <f>IF((V109-W109)&lt;0,0,(V109-W109))</f>
        <v>1390</v>
      </c>
      <c r="AA109" s="12">
        <f>IF((W109-V109)&lt;0,0,(W109-V109))</f>
        <v>0</v>
      </c>
    </row>
    <row r="110" spans="1:27" ht="19.5">
      <c r="A110" s="10">
        <v>10</v>
      </c>
      <c r="B110" s="11" t="s">
        <v>89</v>
      </c>
      <c r="C110" s="10">
        <v>180</v>
      </c>
      <c r="D110" s="12">
        <f>Table14[[#This Row],[Enrolment S.Y. 2025-2026 ]]*8</f>
        <v>1440</v>
      </c>
      <c r="E110" s="12"/>
      <c r="F110" s="10"/>
      <c r="G110" s="12"/>
      <c r="H110" s="12">
        <f t="shared" si="22"/>
        <v>1440</v>
      </c>
      <c r="I110" s="12">
        <f t="shared" si="23"/>
        <v>0</v>
      </c>
      <c r="J110" s="12">
        <f>Table14[[#This Row],[Enrolment S.Y. 2025-2026 ]]*8</f>
        <v>1440</v>
      </c>
      <c r="K110" s="12"/>
      <c r="L110" s="10"/>
      <c r="M110" s="12"/>
      <c r="N110" s="12">
        <f t="shared" si="28"/>
        <v>1440</v>
      </c>
      <c r="O110" s="12">
        <f t="shared" si="29"/>
        <v>0</v>
      </c>
      <c r="P110" s="12">
        <f>Table14[[#This Row],[Enrolment S.Y. 2025-2026 ]]*8</f>
        <v>1440</v>
      </c>
      <c r="Q110" s="12">
        <v>50</v>
      </c>
      <c r="R110" s="10">
        <v>2025</v>
      </c>
      <c r="S110" s="12" t="s">
        <v>20</v>
      </c>
      <c r="T110" s="12">
        <f t="shared" si="16"/>
        <v>1390</v>
      </c>
      <c r="U110" s="12">
        <f t="shared" si="17"/>
        <v>0</v>
      </c>
      <c r="V110" s="12">
        <f>Table14[[#This Row],[Enrolment S.Y. 2025-2026 ]]*8</f>
        <v>1440</v>
      </c>
      <c r="W110" s="12">
        <v>50</v>
      </c>
      <c r="X110" s="10">
        <v>2025</v>
      </c>
      <c r="Y110" s="12" t="s">
        <v>20</v>
      </c>
      <c r="Z110" s="12">
        <f t="shared" si="18"/>
        <v>1390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8">
        <v>10</v>
      </c>
      <c r="B112" s="11" t="s">
        <v>90</v>
      </c>
      <c r="C112" s="10">
        <v>180</v>
      </c>
      <c r="D112" s="12">
        <f>Table14[[#This Row],[Enrolment S.Y. 2025-2026 ]]*8</f>
        <v>1440</v>
      </c>
      <c r="E112" s="12"/>
      <c r="F112" s="10"/>
      <c r="G112" s="12"/>
      <c r="H112" s="12">
        <f>IF((D112-E112)&lt;0,0,(D112-E112))</f>
        <v>1440</v>
      </c>
      <c r="I112" s="12">
        <f>IF((E112-D112)&lt;0,0,(E112-D112))</f>
        <v>0</v>
      </c>
      <c r="J112" s="12">
        <f>Table14[[#This Row],[Enrolment S.Y. 2025-2026 ]]*8</f>
        <v>1440</v>
      </c>
      <c r="K112" s="12"/>
      <c r="L112" s="10"/>
      <c r="M112" s="12"/>
      <c r="N112" s="12">
        <f t="shared" si="28"/>
        <v>1440</v>
      </c>
      <c r="O112" s="12">
        <f t="shared" si="29"/>
        <v>0</v>
      </c>
      <c r="P112" s="12">
        <f>Table14[[#This Row],[Enrolment S.Y. 2025-2026 ]]*8</f>
        <v>1440</v>
      </c>
      <c r="Q112" s="12">
        <v>50</v>
      </c>
      <c r="R112" s="10">
        <v>2025</v>
      </c>
      <c r="S112" s="12" t="s">
        <v>20</v>
      </c>
      <c r="T112" s="12">
        <f>IF((P112-Q112)&lt;0,0,(P112-Q112))</f>
        <v>1390</v>
      </c>
      <c r="U112" s="12">
        <f>IF((Q112-P112)&lt;0,0,(Q112-P112))</f>
        <v>0</v>
      </c>
      <c r="V112" s="12">
        <f>Table14[[#This Row],[Enrolment S.Y. 2025-2026 ]]*8</f>
        <v>1440</v>
      </c>
      <c r="W112" s="12">
        <v>50</v>
      </c>
      <c r="X112" s="10">
        <v>2025</v>
      </c>
      <c r="Y112" s="12" t="s">
        <v>20</v>
      </c>
      <c r="Z112" s="12">
        <f>IF((V112-W112)&lt;0,0,(V112-W112))</f>
        <v>1390</v>
      </c>
      <c r="AA112" s="12">
        <f>IF((W112-V112)&lt;0,0,(W112-V112))</f>
        <v>0</v>
      </c>
    </row>
    <row r="113" spans="1:28" ht="19.5">
      <c r="A113" s="10">
        <v>10</v>
      </c>
      <c r="B113" s="11" t="s">
        <v>91</v>
      </c>
      <c r="C113" s="10">
        <v>180</v>
      </c>
      <c r="D113" s="12">
        <f>Table14[[#This Row],[Enrolment S.Y. 2025-2026 ]]*8</f>
        <v>1440</v>
      </c>
      <c r="E113" s="12"/>
      <c r="F113" s="10"/>
      <c r="G113" s="12"/>
      <c r="H113" s="12">
        <f t="shared" si="22"/>
        <v>1440</v>
      </c>
      <c r="I113" s="12">
        <f t="shared" si="23"/>
        <v>0</v>
      </c>
      <c r="J113" s="12">
        <f>Table14[[#This Row],[Enrolment S.Y. 2025-2026 ]]*8</f>
        <v>1440</v>
      </c>
      <c r="K113" s="12"/>
      <c r="L113" s="10"/>
      <c r="M113" s="12"/>
      <c r="N113" s="12">
        <f t="shared" si="28"/>
        <v>1440</v>
      </c>
      <c r="O113" s="12">
        <f t="shared" si="29"/>
        <v>0</v>
      </c>
      <c r="P113" s="12">
        <f>Table14[[#This Row],[Enrolment S.Y. 2025-2026 ]]*8</f>
        <v>1440</v>
      </c>
      <c r="Q113" s="12">
        <v>50</v>
      </c>
      <c r="R113" s="10">
        <v>2025</v>
      </c>
      <c r="S113" s="12" t="s">
        <v>20</v>
      </c>
      <c r="T113" s="12">
        <f t="shared" si="16"/>
        <v>1390</v>
      </c>
      <c r="U113" s="12">
        <f t="shared" si="17"/>
        <v>0</v>
      </c>
      <c r="V113" s="12">
        <f>Table14[[#This Row],[Enrolment S.Y. 2025-2026 ]]*8</f>
        <v>1440</v>
      </c>
      <c r="W113" s="12">
        <v>50</v>
      </c>
      <c r="X113" s="10">
        <v>2025</v>
      </c>
      <c r="Y113" s="12" t="s">
        <v>20</v>
      </c>
      <c r="Z113" s="12">
        <f t="shared" si="18"/>
        <v>1390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25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8.25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7.75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91:C101 C103:C113" name="Textbooks"/>
    <protectedRange sqref="J2:L2 D67:F67 D79:E89 P2:R10 N3:O10 V2:X10 T3:U10 N12:R19 T12:X19 H3:L10 Z3:AA10 Z12:AA19 H12:L19 N21:R29 T21:X29 Z21:AA29 H21:L29 T31:X41 Z31:AA41 H31:L41 T43:X53 Z43:AA53 H43:L53 T55:X65 Z55:AA65 H55:L65 T67:X77 Z67:AA77 H67:L77 T79:X89 Z79:AA89 H79:L89 T91:X101 Z91:AA101 H91:L101 Z103:AA113 H103:L113 N115:R122 T115:X122 Z115:AA122 H115:L122 N31:R41 N43:R53 N55:R65 N67:R77 N79:R89 N91:R101 N103:R113 T103:X113 D2:F10 D55:F65 D43:F53 D31:F41 D21:F29 D12:F19 D68:E77 F68:F89 D91:F101 D103:F113 D115:F122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M103:M113 Y115:Y122 G115:G122 M115:M122 S115:S122 G103:G113 S103:S113 Y103:Y113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M115:M122 S103:S113 G103:G113 M103:M113 Y103:Y113" xr:uid="{CBD486C7-A5DB-48F1-B496-5027CC51E830}">
      <formula1>"CO,RO,SDO,LGU,SCHOOL"</formula1>
    </dataValidation>
    <dataValidation type="list" allowBlank="1" showInputMessage="1" showErrorMessage="1" sqref="X115:X122" xr:uid="{77F72D89-8371-4D0C-A323-BD25723C617C}">
      <formula1>"2024,2025 ,2026"</formula1>
    </dataValidation>
    <dataValidation type="list" allowBlank="1" showInputMessage="1" showErrorMessage="1" sqref="F55:F65 F43:F53 F31:F41 F21:F29 F3:F10 F12:F19 F67:F89 F91:F101 F103:F113 F115:F122" xr:uid="{C4E23294-9F41-41D4-814B-402D2A468339}">
      <formula1>"2024,2025,2026"</formula1>
    </dataValidation>
    <dataValidation type="list" allowBlank="1" showInputMessage="1" showErrorMessage="1" sqref="L3:L10 L12:L19 L21:L29 L31:L41 L43:L53 L55:L65 L67:L77 L79:L89 L91:L101 L103:L113 L115:L122 R3:R10 R12:R19 R21:R29 R31:R41 R43:R53 R55:R65 R67:R77 R79:R89 R91:R101 R103:R113 R115:R122 X3:X10 X12:X19 X21:X29 X31:X41 X43:X53 X55:X65 X67:X77 X79:X89 X91:X101 X103:X113" xr:uid="{597FBA46-60D0-4563-BBD5-B514C8135CFD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2026-02-20T00:57:31Z</dcterms:modified>
  <cp:category/>
  <cp:contentStatus/>
</cp:coreProperties>
</file>