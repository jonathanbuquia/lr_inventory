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8" documentId="13_ncr:1_{BFB59F67-F0DC-4675-A682-EB0734A8026A}" xr6:coauthVersionLast="47" xr6:coauthVersionMax="47" xr10:uidLastSave="{9B5DF313-AD75-4684-9A40-03FFF4623020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4" i="5" l="1"/>
  <c r="J145" i="5"/>
  <c r="J146" i="5"/>
  <c r="J147" i="5"/>
  <c r="J148" i="5"/>
  <c r="J149" i="5"/>
  <c r="J150" i="5"/>
  <c r="J151" i="5"/>
  <c r="J152" i="5"/>
  <c r="J153" i="5"/>
  <c r="D16" i="4"/>
  <c r="D17" i="4"/>
  <c r="D18" i="4"/>
  <c r="D19" i="4"/>
  <c r="D20" i="4"/>
  <c r="D21" i="4"/>
  <c r="D15" i="4"/>
  <c r="D14" i="4"/>
  <c r="D12" i="4"/>
  <c r="D25" i="4"/>
  <c r="D26" i="4"/>
  <c r="D27" i="4"/>
  <c r="D28" i="4"/>
  <c r="D29" i="4"/>
  <c r="D30" i="4"/>
  <c r="D31" i="4"/>
  <c r="D24" i="4"/>
  <c r="D23" i="4"/>
  <c r="D44" i="4"/>
  <c r="D45" i="4"/>
  <c r="D46" i="4"/>
  <c r="D47" i="4"/>
  <c r="D48" i="4"/>
  <c r="D49" i="4"/>
  <c r="D50" i="4"/>
  <c r="D51" i="4"/>
  <c r="D43" i="4"/>
  <c r="D41" i="4"/>
  <c r="J9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N9" i="4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O29" i="4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D10" i="4"/>
  <c r="H10" i="4" s="1"/>
  <c r="D11" i="4"/>
  <c r="H11" i="4" s="1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I15" i="4"/>
  <c r="I16" i="4"/>
  <c r="I17" i="4"/>
  <c r="I18" i="4"/>
  <c r="H23" i="4"/>
  <c r="H24" i="4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I41" i="4"/>
  <c r="I43" i="4"/>
  <c r="H44" i="4"/>
  <c r="H45" i="4"/>
  <c r="I48" i="4"/>
  <c r="I49" i="4"/>
  <c r="H50" i="4"/>
  <c r="H51" i="4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<sst xmlns="http://schemas.openxmlformats.org/spreadsheetml/2006/main" count="446" uniqueCount="100">
  <si>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</si>
  <si>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</si>
  <si>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</si>
  <si>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</si>
  <si>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</si>
  <si>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</si>
  <si>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</si>
  <si>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</si>
  <si>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</si>
  <si>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</si>
  <si>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</si>
  <si>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</si>
  <si>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</si>
  <si>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</si>
  <si>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</si>
  <si>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</si>
  <si>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RO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</si>
  <si>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</si>
  <si>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</si>
  <si>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</si>
  <si>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</si>
  <si>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</si>
  <si>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</si>
  <si>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</si>
  <si>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</si>
  <si>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</si>
  <si>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</si>
  <si>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</si>
  <si>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</si>
  <si>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</si>
  <si>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</si>
  <si>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</si>
  <si>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</si>
  <si>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MARIA MILAGROS D. LAPITAN</t>
  </si>
  <si>
    <t>LR COORDINATOR/PROPERTY CUSTODIAN</t>
  </si>
  <si>
    <t>Prepared by:</t>
  </si>
  <si>
    <t>DOLORES P. OLIVEROS</t>
  </si>
  <si>
    <t>SCHOOL HEAD</t>
  </si>
  <si>
    <t>VERIFIED BY:</t>
  </si>
  <si>
    <t>MARK CHRISTIAN SIWA</t>
  </si>
  <si>
    <t>PSDS</t>
  </si>
  <si>
    <t xml:space="preserve">REVIEWED BY: 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</si>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</sst>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8" borderId="10" xfId="0" applyFont="1" applyFill="1" applyBorder="1"/>
    <xf numFmtId="0" fontId="3" fillId="8" borderId="10" xfId="0" applyFont="1" applyFill="1" applyBorder="1"/>
    <xf numFmtId="0" fontId="0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="85" zoomScaleNormal="85" workbookViewId="0">
      <pane xSplit="2" topLeftCell="C1" activePane="topRight" state="frozen"/>
      <selection pane="topRight" activeCell="F103" sqref="F103:G10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28.28515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379</v>
      </c>
      <c r="D2" s="1"/>
      <c r="E2" s="1"/>
      <c r="F2" s="5"/>
      <c r="G2" s="3">
        <f>IF((C2-D2)&lt;0,0,C2-D2)</f>
        <v>379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379</v>
      </c>
      <c r="D3" s="1"/>
      <c r="E3" s="1"/>
      <c r="F3" s="5"/>
      <c r="G3" s="3">
        <f>IF((C3-D3)&lt;0,0,C3-D3)</f>
        <v>379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379</v>
      </c>
      <c r="D4" s="1"/>
      <c r="E4" s="1"/>
      <c r="F4" s="5"/>
      <c r="G4" s="3">
        <f>IF((C4-D4)&lt;0,0,C4-D4)</f>
        <v>379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379</v>
      </c>
      <c r="D5" s="1"/>
      <c r="E5" s="1"/>
      <c r="F5" s="5"/>
      <c r="G5" s="3">
        <f t="shared" ref="G5:G6" si="0">IF((C5-D5)&lt;0,0,C5-D5)</f>
        <v>379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379</v>
      </c>
      <c r="D6" s="1"/>
      <c r="E6" s="1"/>
      <c r="F6" s="5"/>
      <c r="G6" s="3">
        <f t="shared" si="0"/>
        <v>379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440</v>
      </c>
      <c r="D8" s="1"/>
      <c r="E8" s="1"/>
      <c r="F8" s="5"/>
      <c r="G8" s="3">
        <f>IF((C8-D8)&lt;0,0,C8-D8)</f>
        <v>440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440</v>
      </c>
      <c r="D9" s="1"/>
      <c r="E9" s="1"/>
      <c r="F9" s="5"/>
      <c r="G9" s="3">
        <f>IF((C9-D9)&lt;0,0,C9-D9)</f>
        <v>440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440</v>
      </c>
      <c r="D10" s="1"/>
      <c r="E10" s="1"/>
      <c r="F10" s="5"/>
      <c r="G10" s="3">
        <f>IF((C10-D10)&lt;0,0,C10-D10)</f>
        <v>440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440</v>
      </c>
      <c r="D11" s="1"/>
      <c r="E11" s="1"/>
      <c r="F11" s="5"/>
      <c r="G11" s="3">
        <f>IF((C11-D11)&lt;0,0,C11-D11)</f>
        <v>440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440</v>
      </c>
      <c r="D12" s="1"/>
      <c r="E12" s="1"/>
      <c r="F12" s="5"/>
      <c r="G12" s="3">
        <f>IF((C12-D12)&lt;0,0,C12-D12)</f>
        <v>440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493</v>
      </c>
      <c r="D14" s="1"/>
      <c r="E14" s="1"/>
      <c r="F14" s="5"/>
      <c r="G14" s="3">
        <f t="shared" ref="G14:G19" si="2">IF((C14-D14)&lt;0,0,C14-D14)</f>
        <v>493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493</v>
      </c>
      <c r="D15" s="1"/>
      <c r="E15" s="1"/>
      <c r="F15" s="5"/>
      <c r="G15" s="3">
        <f t="shared" si="2"/>
        <v>493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493</v>
      </c>
      <c r="D16" s="1"/>
      <c r="E16" s="1"/>
      <c r="F16" s="5"/>
      <c r="G16" s="3">
        <f t="shared" si="2"/>
        <v>493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493</v>
      </c>
      <c r="D17" s="1"/>
      <c r="E17" s="1"/>
      <c r="F17" s="5"/>
      <c r="G17" s="3">
        <f t="shared" si="2"/>
        <v>493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493</v>
      </c>
      <c r="D18" s="1"/>
      <c r="E18" s="1"/>
      <c r="F18" s="5"/>
      <c r="G18" s="3">
        <f t="shared" si="2"/>
        <v>493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493</v>
      </c>
      <c r="D19" s="1"/>
      <c r="E19" s="1"/>
      <c r="F19" s="5"/>
      <c r="G19" s="3">
        <f t="shared" si="2"/>
        <v>493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550</v>
      </c>
      <c r="D21" s="1"/>
      <c r="E21" s="1"/>
      <c r="F21" s="5"/>
      <c r="G21" s="3">
        <f t="shared" ref="G21:G29" si="4">IF((C21-D21)&lt;0,0,C21-D21)</f>
        <v>550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550</v>
      </c>
      <c r="D22" s="1"/>
      <c r="E22" s="1"/>
      <c r="F22" s="5"/>
      <c r="G22" s="3">
        <f t="shared" si="4"/>
        <v>550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550</v>
      </c>
      <c r="D23" s="1">
        <v>494</v>
      </c>
      <c r="E23" s="1">
        <v>2025</v>
      </c>
      <c r="F23" s="5" t="s">
        <v>16</v>
      </c>
      <c r="G23" s="3">
        <f t="shared" si="4"/>
        <v>56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550</v>
      </c>
      <c r="D24" s="1">
        <v>494</v>
      </c>
      <c r="E24" s="1">
        <v>2025</v>
      </c>
      <c r="F24" s="5" t="s">
        <v>16</v>
      </c>
      <c r="G24" s="3">
        <f t="shared" si="4"/>
        <v>56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550</v>
      </c>
      <c r="D25" s="1"/>
      <c r="E25" s="1"/>
      <c r="F25" s="5"/>
      <c r="G25" s="3">
        <f t="shared" si="4"/>
        <v>550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550</v>
      </c>
      <c r="D26" s="1"/>
      <c r="E26" s="1"/>
      <c r="F26" s="5"/>
      <c r="G26" s="3">
        <f t="shared" si="4"/>
        <v>550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550</v>
      </c>
      <c r="D27" s="1"/>
      <c r="E27" s="1"/>
      <c r="F27" s="5"/>
      <c r="G27" s="3">
        <f t="shared" si="4"/>
        <v>550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550</v>
      </c>
      <c r="D28" s="1"/>
      <c r="E28" s="1"/>
      <c r="F28" s="5"/>
      <c r="G28" s="3">
        <f t="shared" si="4"/>
        <v>550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550</v>
      </c>
      <c r="D29" s="1"/>
      <c r="E29" s="1"/>
      <c r="F29" s="5"/>
      <c r="G29" s="3">
        <f t="shared" si="4"/>
        <v>550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431</v>
      </c>
      <c r="D31" s="1">
        <v>530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99</v>
      </c>
    </row>
    <row r="32" spans="1:8" ht="27.75" customHeight="1">
      <c r="A32" s="1">
        <v>5</v>
      </c>
      <c r="B32" s="9" t="s">
        <v>15</v>
      </c>
      <c r="C32" s="1">
        <v>431</v>
      </c>
      <c r="D32" s="1"/>
      <c r="E32" s="1"/>
      <c r="F32" s="5"/>
      <c r="G32" s="3">
        <f t="shared" si="6"/>
        <v>431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431</v>
      </c>
      <c r="D33" s="1"/>
      <c r="E33" s="1"/>
      <c r="F33" s="5"/>
      <c r="G33" s="3">
        <f t="shared" si="6"/>
        <v>431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431</v>
      </c>
      <c r="D34" s="1"/>
      <c r="E34" s="1"/>
      <c r="F34" s="5"/>
      <c r="G34" s="3">
        <f t="shared" si="6"/>
        <v>431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431</v>
      </c>
      <c r="D35" s="1"/>
      <c r="E35" s="1"/>
      <c r="F35" s="5"/>
      <c r="G35" s="3">
        <f t="shared" si="6"/>
        <v>431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431</v>
      </c>
      <c r="D36" s="1">
        <v>530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99</v>
      </c>
    </row>
    <row r="37" spans="1:8" ht="27.75" customHeight="1">
      <c r="A37" s="1">
        <v>5</v>
      </c>
      <c r="B37" s="9" t="s">
        <v>18</v>
      </c>
      <c r="C37" s="1">
        <v>431</v>
      </c>
      <c r="D37" s="1">
        <v>530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99</v>
      </c>
    </row>
    <row r="38" spans="1:8" ht="27.75" customHeight="1">
      <c r="A38" s="1">
        <v>5</v>
      </c>
      <c r="B38" s="9" t="s">
        <v>19</v>
      </c>
      <c r="C38" s="1">
        <v>431</v>
      </c>
      <c r="D38" s="1"/>
      <c r="E38" s="1"/>
      <c r="F38" s="5"/>
      <c r="G38" s="3">
        <f t="shared" si="6"/>
        <v>431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431</v>
      </c>
      <c r="D39" s="1"/>
      <c r="E39" s="1"/>
      <c r="F39" s="5"/>
      <c r="G39" s="3">
        <f t="shared" si="6"/>
        <v>431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484</v>
      </c>
      <c r="D41" s="1"/>
      <c r="E41" s="1"/>
      <c r="F41" s="5"/>
      <c r="G41" s="3">
        <f t="shared" ref="G41:G49" si="8">IF((C41-D41)&lt;0,0,C41-D41)</f>
        <v>484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484</v>
      </c>
      <c r="D42" s="1"/>
      <c r="E42" s="1"/>
      <c r="F42" s="5"/>
      <c r="G42" s="3">
        <f t="shared" si="8"/>
        <v>484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484</v>
      </c>
      <c r="D43" s="1"/>
      <c r="E43" s="1"/>
      <c r="F43" s="5"/>
      <c r="G43" s="3">
        <f t="shared" si="8"/>
        <v>484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484</v>
      </c>
      <c r="D44" s="1"/>
      <c r="E44" s="1"/>
      <c r="F44" s="5"/>
      <c r="G44" s="3">
        <f t="shared" si="8"/>
        <v>484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484</v>
      </c>
      <c r="D45" s="1"/>
      <c r="E45" s="1"/>
      <c r="F45" s="5"/>
      <c r="G45" s="3">
        <f t="shared" si="8"/>
        <v>484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484</v>
      </c>
      <c r="D46" s="1"/>
      <c r="E46" s="1"/>
      <c r="F46" s="5"/>
      <c r="G46" s="3">
        <f t="shared" si="8"/>
        <v>484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484</v>
      </c>
      <c r="D47" s="1"/>
      <c r="E47" s="1"/>
      <c r="F47" s="5"/>
      <c r="G47" s="3">
        <f t="shared" si="8"/>
        <v>484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484</v>
      </c>
      <c r="D48" s="1"/>
      <c r="E48" s="1"/>
      <c r="F48" s="5"/>
      <c r="G48" s="3">
        <f t="shared" si="8"/>
        <v>484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484</v>
      </c>
      <c r="D49" s="1"/>
      <c r="E49" s="1"/>
      <c r="F49" s="5"/>
      <c r="G49" s="3">
        <f t="shared" si="8"/>
        <v>484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100" spans="1:8">
      <c r="C100" t="s">
        <v>33</v>
      </c>
    </row>
    <row r="101" spans="1:8">
      <c r="C101" t="s">
        <v>34</v>
      </c>
    </row>
    <row r="102" spans="1:8">
      <c r="C102" t="s">
        <v>35</v>
      </c>
    </row>
    <row r="103" spans="1:8" ht="15">
      <c r="F103" s="6" t="s">
        <v>36</v>
      </c>
    </row>
    <row r="104" spans="1:8">
      <c r="F104" s="46" t="s">
        <v>37</v>
      </c>
    </row>
    <row r="105" spans="1:8">
      <c r="F105" s="46" t="s">
        <v>38</v>
      </c>
    </row>
    <row r="106" spans="1:8" ht="15">
      <c r="C106" s="47" t="s">
        <v>39</v>
      </c>
    </row>
    <row r="107" spans="1:8">
      <c r="C107" s="46" t="s">
        <v>40</v>
      </c>
    </row>
    <row r="108" spans="1:8">
      <c r="C108" s="46" t="s">
        <v>41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B130" sqref="B130:L139"/>
    </sheetView>
  </sheetViews>
  <sheetFormatPr defaultRowHeight="13.9"/>
  <cols>
    <col min="1" max="1" width="9.42578125" customWidth="1"/>
    <col min="2" max="2" width="27.85546875" customWidth="1"/>
    <col min="3" max="3" width="17.140625" hidden="1" customWidth="1"/>
    <col min="4" max="4" width="26.140625" hidden="1" customWidth="1"/>
    <col min="5" max="5" width="23.140625" hidden="1" customWidth="1"/>
    <col min="6" max="6" width="24.85546875" hidden="1" customWidth="1"/>
    <col min="7" max="7" width="18.5703125" hidden="1" customWidth="1"/>
    <col min="8" max="9" width="20.85546875" hidden="1" customWidth="1"/>
    <col min="10" max="10" width="13.7109375" hidden="1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42</v>
      </c>
      <c r="E1" s="42"/>
      <c r="F1" s="42"/>
      <c r="G1" s="42"/>
      <c r="H1" s="42"/>
      <c r="I1" s="42"/>
      <c r="J1" s="43" t="s">
        <v>43</v>
      </c>
      <c r="K1" s="43"/>
      <c r="L1" s="43"/>
      <c r="M1" s="43"/>
      <c r="N1" s="43"/>
      <c r="O1" s="43"/>
      <c r="P1" s="44" t="s">
        <v>44</v>
      </c>
      <c r="Q1" s="44"/>
      <c r="R1" s="44"/>
      <c r="S1" s="44"/>
      <c r="T1" s="44"/>
      <c r="U1" s="44"/>
      <c r="V1" s="45" t="s">
        <v>45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46</v>
      </c>
      <c r="E2" s="20" t="s">
        <v>47</v>
      </c>
      <c r="F2" s="21" t="s">
        <v>48</v>
      </c>
      <c r="G2" s="24" t="s">
        <v>49</v>
      </c>
      <c r="H2" s="17" t="s">
        <v>50</v>
      </c>
      <c r="I2" s="24" t="s">
        <v>51</v>
      </c>
      <c r="J2" s="22" t="s">
        <v>52</v>
      </c>
      <c r="K2" s="22" t="s">
        <v>53</v>
      </c>
      <c r="L2" s="23" t="s">
        <v>54</v>
      </c>
      <c r="M2" s="40" t="s">
        <v>55</v>
      </c>
      <c r="N2" s="40" t="s">
        <v>56</v>
      </c>
      <c r="O2" s="22" t="s">
        <v>57</v>
      </c>
      <c r="P2" s="24" t="s">
        <v>58</v>
      </c>
      <c r="Q2" s="24" t="s">
        <v>59</v>
      </c>
      <c r="R2" s="25" t="s">
        <v>60</v>
      </c>
      <c r="S2" s="17" t="s">
        <v>61</v>
      </c>
      <c r="T2" s="17" t="s">
        <v>62</v>
      </c>
      <c r="U2" s="24" t="s">
        <v>63</v>
      </c>
      <c r="V2" s="26" t="s">
        <v>64</v>
      </c>
      <c r="W2" s="26" t="s">
        <v>65</v>
      </c>
      <c r="X2" s="27" t="s">
        <v>66</v>
      </c>
      <c r="Y2" s="41" t="s">
        <v>67</v>
      </c>
      <c r="Z2" s="41" t="s">
        <v>68</v>
      </c>
      <c r="AA2" s="26" t="s">
        <v>69</v>
      </c>
    </row>
    <row r="3" spans="1:27" ht="30.6" customHeight="1">
      <c r="A3" s="39" t="s">
        <v>70</v>
      </c>
      <c r="B3" s="33"/>
      <c r="C3" s="32">
        <v>360</v>
      </c>
      <c r="D3" s="34">
        <f>Table1[[#This Row],[Enrolment S.Y. 2025-2026 ]]*8</f>
        <v>2880</v>
      </c>
      <c r="E3" s="34"/>
      <c r="F3" s="32"/>
      <c r="G3" s="34"/>
      <c r="H3" s="34">
        <f>IF((D3-E3)&lt;0,0,(D3-E3))</f>
        <v>2880</v>
      </c>
      <c r="I3" s="34">
        <f>IF((E3-D3)&lt;0,0,(E3-D3))</f>
        <v>0</v>
      </c>
      <c r="J3" s="34">
        <f>Table1[[#This Row],[Enrolment S.Y. 2025-2026 ]]*8</f>
        <v>2880</v>
      </c>
      <c r="K3" s="34"/>
      <c r="L3" s="32"/>
      <c r="M3" s="34"/>
      <c r="N3" s="5">
        <f t="shared" ref="N3" si="0">IF((J3-K3)&lt;0,0,(J3-K3))</f>
        <v>2880</v>
      </c>
      <c r="O3" s="5">
        <f t="shared" ref="O3" si="1">IF((K3-J3)&lt;0,0,(K3-J3))</f>
        <v>0</v>
      </c>
      <c r="P3" s="5">
        <f>Table1[[#This Row],[Enrolment S.Y. 2025-2026 ]]*8</f>
        <v>2880</v>
      </c>
      <c r="Q3" s="34"/>
      <c r="R3" s="32"/>
      <c r="S3" s="34"/>
      <c r="T3" s="34">
        <f>IF((P3-Q3)&lt;0,0,(P3-Q3))</f>
        <v>2880</v>
      </c>
      <c r="U3" s="34">
        <f>IF((Q3-P3)&lt;0,0,(Q3-P3))</f>
        <v>0</v>
      </c>
      <c r="V3" s="34">
        <f>Table1[[#This Row],[Enrolment S.Y. 2025-2026 ]]*8</f>
        <v>2880</v>
      </c>
      <c r="W3" s="34"/>
      <c r="X3" s="32"/>
      <c r="Y3" s="34"/>
      <c r="Z3" s="34">
        <f>IF((V3-W3)&lt;0,0,(V3-W3))</f>
        <v>2880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379</v>
      </c>
      <c r="D5" s="5">
        <f>Table1[[#This Row],[Enrolment S.Y. 2025-2026 ]]*8</f>
        <v>3032</v>
      </c>
      <c r="E5" s="5">
        <v>24256</v>
      </c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21224</v>
      </c>
      <c r="J5" s="5">
        <f>Table1[[#This Row],[Enrolment S.Y. 2025-2026 ]]*8</f>
        <v>3032</v>
      </c>
      <c r="K5" s="5"/>
      <c r="L5" s="1"/>
      <c r="M5" s="5"/>
      <c r="N5" s="5">
        <f t="shared" ref="N5" si="4">IF((J5-K5)&lt;0,0,(J5-K5))</f>
        <v>3032</v>
      </c>
      <c r="O5" s="5">
        <f t="shared" ref="O5" si="5">IF((K5-J5)&lt;0,0,(K5-J5))</f>
        <v>0</v>
      </c>
      <c r="P5" s="5">
        <f>Table1[[#This Row],[Enrolment S.Y. 2025-2026 ]]*8</f>
        <v>3032</v>
      </c>
      <c r="Q5" s="5"/>
      <c r="R5" s="1"/>
      <c r="S5" s="5"/>
      <c r="T5" s="5">
        <f t="shared" ref="T5" si="6">IF((P5-Q5)&lt;0,0,(P5-Q5))</f>
        <v>3032</v>
      </c>
      <c r="U5" s="5">
        <f t="shared" ref="U5" si="7">IF((Q5-P5)&lt;0,0,(Q5-P5))</f>
        <v>0</v>
      </c>
      <c r="V5" s="5">
        <f>Table1[[#This Row],[Enrolment S.Y. 2025-2026 ]]*8</f>
        <v>3032</v>
      </c>
      <c r="W5" s="5"/>
      <c r="X5" s="1"/>
      <c r="Y5" s="5"/>
      <c r="Z5" s="5">
        <f t="shared" ref="Z5" si="8">IF((V5-W5)&lt;0,0,(V5-W5))</f>
        <v>3032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379</v>
      </c>
      <c r="D6" s="5">
        <f>Table1[[#This Row],[Enrolment S.Y. 2025-2026 ]]*8</f>
        <v>3032</v>
      </c>
      <c r="E6" s="5">
        <v>24256</v>
      </c>
      <c r="F6" s="1"/>
      <c r="G6" s="5"/>
      <c r="H6" s="5">
        <f t="shared" si="2"/>
        <v>0</v>
      </c>
      <c r="I6" s="5">
        <f t="shared" si="3"/>
        <v>21224</v>
      </c>
      <c r="J6" s="5">
        <f>Table1[[#This Row],[Enrolment S.Y. 2025-2026 ]]*8</f>
        <v>3032</v>
      </c>
      <c r="K6" s="5"/>
      <c r="L6" s="1"/>
      <c r="M6" s="5"/>
      <c r="N6" s="5">
        <f t="shared" ref="N6:N69" si="10">IF((J6-K6)&lt;0,0,(J6-K6))</f>
        <v>3032</v>
      </c>
      <c r="O6" s="5">
        <f t="shared" ref="O6:O69" si="11">IF((K6-J6)&lt;0,0,(K6-J6))</f>
        <v>0</v>
      </c>
      <c r="P6" s="5">
        <f>Table1[[#This Row],[Enrolment S.Y. 2025-2026 ]]*8</f>
        <v>3032</v>
      </c>
      <c r="Q6" s="5"/>
      <c r="R6" s="1"/>
      <c r="S6" s="5"/>
      <c r="T6" s="5">
        <f t="shared" ref="T6:T69" si="12">IF((P6-Q6)&lt;0,0,(P6-Q6))</f>
        <v>3032</v>
      </c>
      <c r="U6" s="5">
        <f t="shared" ref="U6:U69" si="13">IF((Q6-P6)&lt;0,0,(Q6-P6))</f>
        <v>0</v>
      </c>
      <c r="V6" s="5">
        <f>Table1[[#This Row],[Enrolment S.Y. 2025-2026 ]]*8</f>
        <v>3032</v>
      </c>
      <c r="W6" s="5"/>
      <c r="X6" s="1"/>
      <c r="Y6" s="5"/>
      <c r="Z6" s="5">
        <f t="shared" ref="Z6:Z69" si="14">IF((V6-W6)&lt;0,0,(V6-W6))</f>
        <v>3032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379</v>
      </c>
      <c r="D7" s="5">
        <f>Table1[[#This Row],[Enrolment S.Y. 2025-2026 ]]*8</f>
        <v>3032</v>
      </c>
      <c r="E7" s="5">
        <v>24256</v>
      </c>
      <c r="F7" s="1"/>
      <c r="G7" s="5"/>
      <c r="H7" s="5">
        <f t="shared" si="2"/>
        <v>0</v>
      </c>
      <c r="I7" s="5">
        <f t="shared" si="3"/>
        <v>21224</v>
      </c>
      <c r="J7" s="5">
        <f>Table1[[#This Row],[Enrolment S.Y. 2025-2026 ]]*8</f>
        <v>3032</v>
      </c>
      <c r="K7" s="5"/>
      <c r="L7" s="1"/>
      <c r="M7" s="5"/>
      <c r="N7" s="5">
        <f t="shared" si="10"/>
        <v>3032</v>
      </c>
      <c r="O7" s="5">
        <f t="shared" si="11"/>
        <v>0</v>
      </c>
      <c r="P7" s="5">
        <f>Table1[[#This Row],[Enrolment S.Y. 2025-2026 ]]*8</f>
        <v>3032</v>
      </c>
      <c r="Q7" s="5"/>
      <c r="R7" s="1"/>
      <c r="S7" s="5"/>
      <c r="T7" s="5">
        <f t="shared" si="12"/>
        <v>3032</v>
      </c>
      <c r="U7" s="5">
        <f t="shared" si="13"/>
        <v>0</v>
      </c>
      <c r="V7" s="5">
        <f>Table1[[#This Row],[Enrolment S.Y. 2025-2026 ]]*8</f>
        <v>3032</v>
      </c>
      <c r="W7" s="5"/>
      <c r="X7" s="1"/>
      <c r="Y7" s="5"/>
      <c r="Z7" s="5">
        <f t="shared" si="14"/>
        <v>3032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379</v>
      </c>
      <c r="D8" s="5">
        <f>Table1[[#This Row],[Enrolment S.Y. 2025-2026 ]]*8</f>
        <v>3032</v>
      </c>
      <c r="E8" s="5">
        <v>24256</v>
      </c>
      <c r="F8" s="1"/>
      <c r="G8" s="5"/>
      <c r="H8" s="5">
        <f t="shared" si="2"/>
        <v>0</v>
      </c>
      <c r="I8" s="5">
        <f t="shared" si="3"/>
        <v>21224</v>
      </c>
      <c r="J8" s="5">
        <f>Table1[[#This Row],[Enrolment S.Y. 2025-2026 ]]*8</f>
        <v>3032</v>
      </c>
      <c r="K8" s="5"/>
      <c r="L8" s="1"/>
      <c r="M8" s="5"/>
      <c r="N8" s="5">
        <f t="shared" si="10"/>
        <v>3032</v>
      </c>
      <c r="O8" s="5">
        <f t="shared" si="11"/>
        <v>0</v>
      </c>
      <c r="P8" s="5">
        <f>Table1[[#This Row],[Enrolment S.Y. 2025-2026 ]]*8</f>
        <v>3032</v>
      </c>
      <c r="Q8" s="5"/>
      <c r="R8" s="1"/>
      <c r="S8" s="5"/>
      <c r="T8" s="5">
        <f t="shared" si="12"/>
        <v>3032</v>
      </c>
      <c r="U8" s="5">
        <f t="shared" si="13"/>
        <v>0</v>
      </c>
      <c r="V8" s="5">
        <f>Table1[[#This Row],[Enrolment S.Y. 2025-2026 ]]*8</f>
        <v>3032</v>
      </c>
      <c r="W8" s="5"/>
      <c r="X8" s="1"/>
      <c r="Y8" s="5"/>
      <c r="Z8" s="5">
        <f t="shared" si="14"/>
        <v>3032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379</v>
      </c>
      <c r="D9" s="5">
        <f>Table1[[#This Row],[Enrolment S.Y. 2025-2026 ]]*8</f>
        <v>3032</v>
      </c>
      <c r="E9" s="5">
        <v>24256</v>
      </c>
      <c r="F9" s="1"/>
      <c r="G9" s="5"/>
      <c r="H9" s="5">
        <f t="shared" si="2"/>
        <v>0</v>
      </c>
      <c r="I9" s="5">
        <f t="shared" si="3"/>
        <v>21224</v>
      </c>
      <c r="J9" s="5">
        <f>Table1[[#This Row],[Enrolment S.Y. 2025-2026 ]]*8</f>
        <v>3032</v>
      </c>
      <c r="K9" s="5"/>
      <c r="L9" s="1"/>
      <c r="M9" s="5"/>
      <c r="N9" s="5">
        <f t="shared" si="10"/>
        <v>3032</v>
      </c>
      <c r="O9" s="5">
        <f t="shared" si="11"/>
        <v>0</v>
      </c>
      <c r="P9" s="5">
        <f>Table1[[#This Row],[Enrolment S.Y. 2025-2026 ]]*8</f>
        <v>3032</v>
      </c>
      <c r="Q9" s="5"/>
      <c r="R9" s="1"/>
      <c r="S9" s="5"/>
      <c r="T9" s="5">
        <f t="shared" si="12"/>
        <v>3032</v>
      </c>
      <c r="U9" s="5">
        <f t="shared" si="13"/>
        <v>0</v>
      </c>
      <c r="V9" s="5">
        <f>Table1[[#This Row],[Enrolment S.Y. 2025-2026 ]]*8</f>
        <v>3032</v>
      </c>
      <c r="W9" s="5"/>
      <c r="X9" s="1"/>
      <c r="Y9" s="5"/>
      <c r="Z9" s="5">
        <f t="shared" si="14"/>
        <v>3032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379</v>
      </c>
      <c r="D10" s="5">
        <f>Table1[[#This Row],[Enrolment S.Y. 2025-2026 ]]*8</f>
        <v>3032</v>
      </c>
      <c r="E10" s="5">
        <v>24256</v>
      </c>
      <c r="F10" s="1"/>
      <c r="G10" s="5"/>
      <c r="H10" s="5">
        <f>IF((D10-E10)&lt;0,0,(D10-E10))</f>
        <v>0</v>
      </c>
      <c r="I10" s="5">
        <f>IF((E10-D10)&lt;0,0,(E10-D10))</f>
        <v>21224</v>
      </c>
      <c r="J10" s="5">
        <f>Table1[[#This Row],[Enrolment S.Y. 2025-2026 ]]*8</f>
        <v>3032</v>
      </c>
      <c r="K10" s="5"/>
      <c r="L10" s="1"/>
      <c r="M10" s="5"/>
      <c r="N10" s="5">
        <f t="shared" si="10"/>
        <v>3032</v>
      </c>
      <c r="O10" s="5">
        <f t="shared" si="11"/>
        <v>0</v>
      </c>
      <c r="P10" s="5">
        <f>Table1[[#This Row],[Enrolment S.Y. 2025-2026 ]]*8</f>
        <v>3032</v>
      </c>
      <c r="Q10" s="5"/>
      <c r="R10" s="1"/>
      <c r="S10" s="5"/>
      <c r="T10" s="5">
        <f t="shared" si="12"/>
        <v>3032</v>
      </c>
      <c r="U10" s="5">
        <f t="shared" si="13"/>
        <v>0</v>
      </c>
      <c r="V10" s="5">
        <f>Table1[[#This Row],[Enrolment S.Y. 2025-2026 ]]*8</f>
        <v>3032</v>
      </c>
      <c r="W10" s="5"/>
      <c r="X10" s="1"/>
      <c r="Y10" s="5"/>
      <c r="Z10" s="5">
        <f t="shared" si="14"/>
        <v>3032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379</v>
      </c>
      <c r="D11" s="5">
        <f>Table1[[#This Row],[Enrolment S.Y. 2025-2026 ]]*8</f>
        <v>3032</v>
      </c>
      <c r="E11" s="5">
        <v>24256</v>
      </c>
      <c r="F11" s="1"/>
      <c r="G11" s="5"/>
      <c r="H11" s="5">
        <f>IF((D11-E11)&lt;0,0,(D11-E11))</f>
        <v>0</v>
      </c>
      <c r="I11" s="5">
        <f>IF((E11-D11)&lt;0,0,(E11-D11))</f>
        <v>21224</v>
      </c>
      <c r="J11" s="5">
        <f>Table1[[#This Row],[Enrolment S.Y. 2025-2026 ]]*8</f>
        <v>3032</v>
      </c>
      <c r="K11" s="5">
        <v>3592</v>
      </c>
      <c r="L11" s="1">
        <v>2025</v>
      </c>
      <c r="M11" s="5" t="s">
        <v>16</v>
      </c>
      <c r="N11" s="5">
        <f t="shared" si="10"/>
        <v>0</v>
      </c>
      <c r="O11" s="5">
        <f t="shared" si="11"/>
        <v>560</v>
      </c>
      <c r="P11" s="5">
        <f>Table1[[#This Row],[Enrolment S.Y. 2025-2026 ]]*8</f>
        <v>3032</v>
      </c>
      <c r="Q11" s="5"/>
      <c r="R11" s="1"/>
      <c r="S11" s="5"/>
      <c r="T11" s="5">
        <f t="shared" si="12"/>
        <v>3032</v>
      </c>
      <c r="U11" s="5">
        <f t="shared" si="13"/>
        <v>0</v>
      </c>
      <c r="V11" s="5">
        <f>Table1[[#This Row],[Enrolment S.Y. 2025-2026 ]]*8</f>
        <v>3032</v>
      </c>
      <c r="W11" s="5"/>
      <c r="X11" s="1"/>
      <c r="Y11" s="5"/>
      <c r="Z11" s="5">
        <f t="shared" si="14"/>
        <v>3032</v>
      </c>
      <c r="AA11" s="5">
        <f t="shared" si="15"/>
        <v>0</v>
      </c>
    </row>
    <row r="12" spans="1:27" ht="19.5">
      <c r="A12" s="1">
        <v>1</v>
      </c>
      <c r="B12" s="9" t="s">
        <v>71</v>
      </c>
      <c r="C12" s="1">
        <v>379</v>
      </c>
      <c r="D12" s="5">
        <f>Table1[[#This Row],[Enrolment S.Y. 2025-2026 ]]*8</f>
        <v>3032</v>
      </c>
      <c r="E12" s="5">
        <v>24256</v>
      </c>
      <c r="F12" s="1"/>
      <c r="G12" s="5"/>
      <c r="H12" s="5">
        <f>IF((D12-E12)&lt;0,0,(D12-E12))</f>
        <v>0</v>
      </c>
      <c r="I12" s="5">
        <f>IF((E12-D12)&lt;0,0,(E12-D12))</f>
        <v>21224</v>
      </c>
      <c r="J12" s="5">
        <f>Table1[[#This Row],[Enrolment S.Y. 2025-2026 ]]*8</f>
        <v>3032</v>
      </c>
      <c r="K12" s="5"/>
      <c r="L12" s="1"/>
      <c r="M12" s="5"/>
      <c r="N12" s="5">
        <f t="shared" si="10"/>
        <v>3032</v>
      </c>
      <c r="O12" s="5">
        <f t="shared" si="11"/>
        <v>0</v>
      </c>
      <c r="P12" s="5">
        <f>Table1[[#This Row],[Enrolment S.Y. 2025-2026 ]]*8</f>
        <v>3032</v>
      </c>
      <c r="Q12" s="5"/>
      <c r="R12" s="1"/>
      <c r="S12" s="5"/>
      <c r="T12" s="5">
        <f t="shared" si="12"/>
        <v>3032</v>
      </c>
      <c r="U12" s="5">
        <f t="shared" si="13"/>
        <v>0</v>
      </c>
      <c r="V12" s="5">
        <f>Table1[[#This Row],[Enrolment S.Y. 2025-2026 ]]*8</f>
        <v>3032</v>
      </c>
      <c r="W12" s="5"/>
      <c r="X12" s="1"/>
      <c r="Y12" s="5"/>
      <c r="Z12" s="5">
        <f t="shared" si="14"/>
        <v>3032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440</v>
      </c>
      <c r="D14" s="34">
        <f>Table1[[#This Row],[Enrolment S.Y. 2025-2026 ]]*8</f>
        <v>3520</v>
      </c>
      <c r="E14" s="5"/>
      <c r="F14" s="1"/>
      <c r="G14" s="5"/>
      <c r="H14" s="5">
        <f>IF((D21-E14)&lt;0,0,(D21-E14))</f>
        <v>3520</v>
      </c>
      <c r="I14" s="5">
        <f>IF((E14-D21)&lt;0,0,(E14-D21))</f>
        <v>0</v>
      </c>
      <c r="J14" s="5">
        <f>Table1[[#This Row],[Enrolment S.Y. 2025-2026 ]]*8</f>
        <v>3520</v>
      </c>
      <c r="K14" s="5"/>
      <c r="L14" s="1"/>
      <c r="M14" s="5"/>
      <c r="N14" s="5">
        <f t="shared" si="10"/>
        <v>3520</v>
      </c>
      <c r="O14" s="5">
        <f t="shared" si="11"/>
        <v>0</v>
      </c>
      <c r="P14" s="5">
        <f>Table1[[#This Row],[Enrolment S.Y. 2025-2026 ]]*8</f>
        <v>3520</v>
      </c>
      <c r="Q14" s="5"/>
      <c r="R14" s="1"/>
      <c r="S14" s="5"/>
      <c r="T14" s="5">
        <f t="shared" si="12"/>
        <v>3520</v>
      </c>
      <c r="U14" s="5">
        <f t="shared" si="13"/>
        <v>0</v>
      </c>
      <c r="V14" s="5">
        <f>Table1[[#This Row],[Enrolment S.Y. 2025-2026 ]]*8</f>
        <v>3520</v>
      </c>
      <c r="W14" s="5"/>
      <c r="X14" s="1"/>
      <c r="Y14" s="5"/>
      <c r="Z14" s="5">
        <f t="shared" si="14"/>
        <v>3520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440</v>
      </c>
      <c r="D15" s="5">
        <f>Table1[[#This Row],[Enrolment S.Y. 2025-2026 ]]*8</f>
        <v>3520</v>
      </c>
      <c r="E15" s="5"/>
      <c r="F15" s="1"/>
      <c r="G15" s="5"/>
      <c r="H15" s="5">
        <f t="shared" si="2"/>
        <v>3520</v>
      </c>
      <c r="I15" s="5">
        <f t="shared" si="3"/>
        <v>0</v>
      </c>
      <c r="J15" s="5">
        <f>Table1[[#This Row],[Enrolment S.Y. 2025-2026 ]]*8</f>
        <v>3520</v>
      </c>
      <c r="K15" s="5"/>
      <c r="L15" s="1"/>
      <c r="M15" s="5"/>
      <c r="N15" s="5">
        <f t="shared" si="10"/>
        <v>3520</v>
      </c>
      <c r="O15" s="5">
        <f t="shared" si="11"/>
        <v>0</v>
      </c>
      <c r="P15" s="5">
        <f>Table1[[#This Row],[Enrolment S.Y. 2025-2026 ]]*8</f>
        <v>3520</v>
      </c>
      <c r="Q15" s="5"/>
      <c r="R15" s="1"/>
      <c r="S15" s="5"/>
      <c r="T15" s="5">
        <f t="shared" si="12"/>
        <v>3520</v>
      </c>
      <c r="U15" s="5">
        <f t="shared" si="13"/>
        <v>0</v>
      </c>
      <c r="V15" s="5">
        <f>Table1[[#This Row],[Enrolment S.Y. 2025-2026 ]]*8</f>
        <v>3520</v>
      </c>
      <c r="W15" s="5"/>
      <c r="X15" s="1"/>
      <c r="Y15" s="5"/>
      <c r="Z15" s="5">
        <f t="shared" si="14"/>
        <v>3520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440</v>
      </c>
      <c r="D16" s="5">
        <f>Table1[[#This Row],[Enrolment S.Y. 2025-2026 ]]*8</f>
        <v>3520</v>
      </c>
      <c r="E16" s="5">
        <v>3752</v>
      </c>
      <c r="F16" s="1">
        <v>2025</v>
      </c>
      <c r="G16" s="5"/>
      <c r="H16" s="5">
        <f t="shared" si="2"/>
        <v>0</v>
      </c>
      <c r="I16" s="5">
        <f t="shared" si="3"/>
        <v>232</v>
      </c>
      <c r="J16" s="5">
        <f>Table1[[#This Row],[Enrolment S.Y. 2025-2026 ]]*8</f>
        <v>3520</v>
      </c>
      <c r="K16" s="5"/>
      <c r="L16" s="1"/>
      <c r="M16" s="5"/>
      <c r="N16" s="5">
        <f t="shared" si="10"/>
        <v>3520</v>
      </c>
      <c r="O16" s="5">
        <f t="shared" si="11"/>
        <v>0</v>
      </c>
      <c r="P16" s="5">
        <f>Table1[[#This Row],[Enrolment S.Y. 2025-2026 ]]*8</f>
        <v>3520</v>
      </c>
      <c r="Q16" s="5"/>
      <c r="R16" s="1"/>
      <c r="S16" s="5"/>
      <c r="T16" s="5">
        <f t="shared" si="12"/>
        <v>3520</v>
      </c>
      <c r="U16" s="5">
        <f t="shared" si="13"/>
        <v>0</v>
      </c>
      <c r="V16" s="5">
        <f>Table1[[#This Row],[Enrolment S.Y. 2025-2026 ]]*8</f>
        <v>3520</v>
      </c>
      <c r="W16" s="5"/>
      <c r="X16" s="1"/>
      <c r="Y16" s="5"/>
      <c r="Z16" s="5">
        <f t="shared" si="14"/>
        <v>3520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440</v>
      </c>
      <c r="D17" s="5">
        <f>Table1[[#This Row],[Enrolment S.Y. 2025-2026 ]]*8</f>
        <v>3520</v>
      </c>
      <c r="E17" s="5">
        <v>3752</v>
      </c>
      <c r="F17" s="1">
        <v>2025</v>
      </c>
      <c r="G17" s="5"/>
      <c r="H17" s="5">
        <f t="shared" si="2"/>
        <v>0</v>
      </c>
      <c r="I17" s="5">
        <f t="shared" si="3"/>
        <v>232</v>
      </c>
      <c r="J17" s="5">
        <f>Table1[[#This Row],[Enrolment S.Y. 2025-2026 ]]*8</f>
        <v>3520</v>
      </c>
      <c r="K17" s="5">
        <v>3592</v>
      </c>
      <c r="L17" s="1">
        <v>2025</v>
      </c>
      <c r="M17" s="5" t="s">
        <v>16</v>
      </c>
      <c r="N17" s="5">
        <f t="shared" si="10"/>
        <v>0</v>
      </c>
      <c r="O17" s="5">
        <f t="shared" si="11"/>
        <v>72</v>
      </c>
      <c r="P17" s="5">
        <f>Table1[[#This Row],[Enrolment S.Y. 2025-2026 ]]*8</f>
        <v>3520</v>
      </c>
      <c r="Q17" s="5"/>
      <c r="R17" s="1"/>
      <c r="S17" s="5"/>
      <c r="T17" s="5">
        <f t="shared" si="12"/>
        <v>3520</v>
      </c>
      <c r="U17" s="5">
        <f t="shared" si="13"/>
        <v>0</v>
      </c>
      <c r="V17" s="5">
        <f>Table1[[#This Row],[Enrolment S.Y. 2025-2026 ]]*8</f>
        <v>3520</v>
      </c>
      <c r="W17" s="5"/>
      <c r="X17" s="1"/>
      <c r="Y17" s="5"/>
      <c r="Z17" s="5">
        <f t="shared" si="14"/>
        <v>3520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440</v>
      </c>
      <c r="D18" s="5">
        <f>Table1[[#This Row],[Enrolment S.Y. 2025-2026 ]]*8</f>
        <v>3520</v>
      </c>
      <c r="E18" s="5">
        <v>3752</v>
      </c>
      <c r="F18" s="1">
        <v>2025</v>
      </c>
      <c r="G18" s="5" t="s">
        <v>16</v>
      </c>
      <c r="H18" s="5">
        <f t="shared" si="2"/>
        <v>0</v>
      </c>
      <c r="I18" s="5">
        <f t="shared" si="3"/>
        <v>232</v>
      </c>
      <c r="J18" s="5">
        <f>Table1[[#This Row],[Enrolment S.Y. 2025-2026 ]]*8</f>
        <v>3520</v>
      </c>
      <c r="K18" s="5"/>
      <c r="L18" s="1"/>
      <c r="M18" s="5"/>
      <c r="N18" s="5">
        <f t="shared" si="10"/>
        <v>3520</v>
      </c>
      <c r="O18" s="5">
        <f t="shared" si="11"/>
        <v>0</v>
      </c>
      <c r="P18" s="5">
        <f>Table1[[#This Row],[Enrolment S.Y. 2025-2026 ]]*8</f>
        <v>3520</v>
      </c>
      <c r="Q18" s="5"/>
      <c r="R18" s="1"/>
      <c r="S18" s="5"/>
      <c r="T18" s="5">
        <f t="shared" si="12"/>
        <v>3520</v>
      </c>
      <c r="U18" s="5">
        <f t="shared" si="13"/>
        <v>0</v>
      </c>
      <c r="V18" s="5">
        <f>Table1[[#This Row],[Enrolment S.Y. 2025-2026 ]]*8</f>
        <v>3520</v>
      </c>
      <c r="W18" s="5"/>
      <c r="X18" s="1"/>
      <c r="Y18" s="5"/>
      <c r="Z18" s="5">
        <f t="shared" si="14"/>
        <v>3520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440</v>
      </c>
      <c r="D19" s="5">
        <f>Table1[[#This Row],[Enrolment S.Y. 2025-2026 ]]*8</f>
        <v>3520</v>
      </c>
      <c r="E19" s="5">
        <v>3752</v>
      </c>
      <c r="F19" s="1">
        <v>2025</v>
      </c>
      <c r="G19" s="5" t="s">
        <v>16</v>
      </c>
      <c r="H19" s="5">
        <f>IF((D19-E19)&lt;0,0,(D19-E19))</f>
        <v>0</v>
      </c>
      <c r="I19" s="5">
        <f>IF((E19-D19)&lt;0,0,(E19-D19))</f>
        <v>232</v>
      </c>
      <c r="J19" s="5">
        <f>Table1[[#This Row],[Enrolment S.Y. 2025-2026 ]]*8</f>
        <v>3520</v>
      </c>
      <c r="K19" s="5"/>
      <c r="L19" s="1"/>
      <c r="M19" s="5"/>
      <c r="N19" s="5">
        <f t="shared" si="10"/>
        <v>3520</v>
      </c>
      <c r="O19" s="5">
        <f t="shared" si="11"/>
        <v>0</v>
      </c>
      <c r="P19" s="5">
        <f>Table1[[#This Row],[Enrolment S.Y. 2025-2026 ]]*8</f>
        <v>3520</v>
      </c>
      <c r="Q19" s="5"/>
      <c r="R19" s="1"/>
      <c r="S19" s="5"/>
      <c r="T19" s="5">
        <f t="shared" si="12"/>
        <v>3520</v>
      </c>
      <c r="U19" s="5">
        <f t="shared" si="13"/>
        <v>0</v>
      </c>
      <c r="V19" s="5">
        <f>Table1[[#This Row],[Enrolment S.Y. 2025-2026 ]]*8</f>
        <v>3520</v>
      </c>
      <c r="W19" s="5"/>
      <c r="X19" s="1"/>
      <c r="Y19" s="5"/>
      <c r="Z19" s="5">
        <f t="shared" si="14"/>
        <v>3520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32">
        <v>440</v>
      </c>
      <c r="D20" s="5">
        <f>Table1[[#This Row],[Enrolment S.Y. 2025-2026 ]]*8</f>
        <v>3520</v>
      </c>
      <c r="E20" s="5">
        <v>3752</v>
      </c>
      <c r="F20" s="1">
        <v>2025</v>
      </c>
      <c r="G20" s="5" t="s">
        <v>16</v>
      </c>
      <c r="H20" s="5">
        <f>IF((D20-E20)&lt;0,0,(D20-E20))</f>
        <v>0</v>
      </c>
      <c r="I20" s="5">
        <f>IF((E20-D20)&lt;0,0,(E20-D20))</f>
        <v>232</v>
      </c>
      <c r="J20" s="5">
        <f>Table1[[#This Row],[Enrolment S.Y. 2025-2026 ]]*8</f>
        <v>3520</v>
      </c>
      <c r="K20" s="5">
        <v>3480</v>
      </c>
      <c r="L20" s="1">
        <v>2025</v>
      </c>
      <c r="M20" s="5" t="s">
        <v>16</v>
      </c>
      <c r="N20" s="5">
        <f t="shared" si="10"/>
        <v>40</v>
      </c>
      <c r="O20" s="5">
        <f t="shared" si="11"/>
        <v>0</v>
      </c>
      <c r="P20" s="5">
        <f>Table1[[#This Row],[Enrolment S.Y. 2025-2026 ]]*8</f>
        <v>3520</v>
      </c>
      <c r="Q20" s="5"/>
      <c r="R20" s="1"/>
      <c r="S20" s="5"/>
      <c r="T20" s="5">
        <f t="shared" si="12"/>
        <v>3520</v>
      </c>
      <c r="U20" s="5">
        <f t="shared" si="13"/>
        <v>0</v>
      </c>
      <c r="V20" s="5">
        <f>Table1[[#This Row],[Enrolment S.Y. 2025-2026 ]]*8</f>
        <v>3520</v>
      </c>
      <c r="W20" s="5"/>
      <c r="X20" s="1"/>
      <c r="Y20" s="5"/>
      <c r="Z20" s="5">
        <f t="shared" si="14"/>
        <v>3520</v>
      </c>
      <c r="AA20" s="5">
        <f t="shared" si="15"/>
        <v>0</v>
      </c>
    </row>
    <row r="21" spans="1:27" ht="19.5">
      <c r="A21" s="1">
        <v>2</v>
      </c>
      <c r="B21" s="9" t="s">
        <v>71</v>
      </c>
      <c r="C21" s="1">
        <v>440</v>
      </c>
      <c r="D21" s="5">
        <f>Table1[[#This Row],[Enrolment S.Y. 2025-2026 ]]*8</f>
        <v>3520</v>
      </c>
      <c r="E21" s="5"/>
      <c r="F21" s="1"/>
      <c r="G21" s="5"/>
      <c r="H21" s="5" t="e">
        <f>IF((#REF!-E21)&lt;0,0,(#REF!-E21))</f>
        <v>#REF!</v>
      </c>
      <c r="I21" s="5" t="e">
        <f>IF((E21-#REF!)&lt;0,0,(E21-#REF!))</f>
        <v>#REF!</v>
      </c>
      <c r="J21" s="5">
        <f>Table1[[#This Row],[Enrolment S.Y. 2025-2026 ]]*8</f>
        <v>3520</v>
      </c>
      <c r="K21" s="5"/>
      <c r="L21" s="1"/>
      <c r="M21" s="5"/>
      <c r="N21" s="5">
        <f t="shared" si="10"/>
        <v>3520</v>
      </c>
      <c r="O21" s="5">
        <f t="shared" si="11"/>
        <v>0</v>
      </c>
      <c r="P21" s="5">
        <f>Table1[[#This Row],[Enrolment S.Y. 2025-2026 ]]*8</f>
        <v>3520</v>
      </c>
      <c r="Q21" s="5"/>
      <c r="R21" s="1"/>
      <c r="S21" s="5"/>
      <c r="T21" s="5">
        <f t="shared" si="12"/>
        <v>3520</v>
      </c>
      <c r="U21" s="5">
        <f t="shared" si="13"/>
        <v>0</v>
      </c>
      <c r="V21" s="5">
        <f>Table1[[#This Row],[Enrolment S.Y. 2025-2026 ]]*8</f>
        <v>3520</v>
      </c>
      <c r="W21" s="5"/>
      <c r="X21" s="1"/>
      <c r="Y21" s="5"/>
      <c r="Z21" s="5">
        <f t="shared" si="14"/>
        <v>3520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493</v>
      </c>
      <c r="D23" s="5">
        <f>Table1[[#This Row],[Enrolment S.Y. 2025-2026 ]]*8</f>
        <v>3944</v>
      </c>
      <c r="E23" s="5"/>
      <c r="F23" s="1"/>
      <c r="G23" s="5"/>
      <c r="H23" s="5">
        <f t="shared" si="2"/>
        <v>3944</v>
      </c>
      <c r="I23" s="5">
        <f t="shared" si="3"/>
        <v>0</v>
      </c>
      <c r="J23" s="5">
        <f>Table1[[#This Row],[Enrolment S.Y. 2025-2026 ]]*8</f>
        <v>3944</v>
      </c>
      <c r="K23" s="5"/>
      <c r="L23" s="1"/>
      <c r="M23" s="5"/>
      <c r="N23" s="5">
        <f t="shared" si="10"/>
        <v>3944</v>
      </c>
      <c r="O23" s="5">
        <f t="shared" si="11"/>
        <v>0</v>
      </c>
      <c r="P23" s="5">
        <f>Table1[[#This Row],[Enrolment S.Y. 2025-2026 ]]*8</f>
        <v>3944</v>
      </c>
      <c r="Q23" s="5"/>
      <c r="R23" s="1"/>
      <c r="S23" s="5"/>
      <c r="T23" s="5">
        <f t="shared" si="12"/>
        <v>3944</v>
      </c>
      <c r="U23" s="5">
        <f t="shared" si="13"/>
        <v>0</v>
      </c>
      <c r="V23" s="5">
        <f>Table1[[#This Row],[Enrolment S.Y. 2025-2026 ]]*8</f>
        <v>3944</v>
      </c>
      <c r="W23" s="5"/>
      <c r="X23" s="1"/>
      <c r="Y23" s="5"/>
      <c r="Z23" s="5">
        <f t="shared" si="14"/>
        <v>3944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493</v>
      </c>
      <c r="D24" s="5">
        <f>Table1[[#This Row],[Enrolment S.Y. 2025-2026 ]]*8</f>
        <v>3944</v>
      </c>
      <c r="E24" s="5"/>
      <c r="F24" s="1"/>
      <c r="G24" s="5"/>
      <c r="H24" s="5">
        <f t="shared" si="2"/>
        <v>3944</v>
      </c>
      <c r="I24" s="5">
        <f t="shared" si="3"/>
        <v>0</v>
      </c>
      <c r="J24" s="5">
        <f>Table1[[#This Row],[Enrolment S.Y. 2025-2026 ]]*8</f>
        <v>3944</v>
      </c>
      <c r="K24" s="5"/>
      <c r="L24" s="1"/>
      <c r="M24" s="5"/>
      <c r="N24" s="5">
        <f t="shared" si="10"/>
        <v>3944</v>
      </c>
      <c r="O24" s="5">
        <f t="shared" si="11"/>
        <v>0</v>
      </c>
      <c r="P24" s="5">
        <f>Table1[[#This Row],[Enrolment S.Y. 2025-2026 ]]*8</f>
        <v>3944</v>
      </c>
      <c r="Q24" s="5"/>
      <c r="R24" s="1"/>
      <c r="S24" s="5"/>
      <c r="T24" s="5">
        <f t="shared" si="12"/>
        <v>3944</v>
      </c>
      <c r="U24" s="5">
        <f t="shared" si="13"/>
        <v>0</v>
      </c>
      <c r="V24" s="5">
        <f>Table1[[#This Row],[Enrolment S.Y. 2025-2026 ]]*8</f>
        <v>3944</v>
      </c>
      <c r="W24" s="5"/>
      <c r="X24" s="1"/>
      <c r="Y24" s="5"/>
      <c r="Z24" s="5">
        <f t="shared" si="14"/>
        <v>3944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493</v>
      </c>
      <c r="D25" s="5">
        <f>Table1[[#This Row],[Enrolment S.Y. 2025-2026 ]]*8</f>
        <v>3944</v>
      </c>
      <c r="E25" s="5">
        <v>3800</v>
      </c>
      <c r="F25" s="1">
        <v>2025</v>
      </c>
      <c r="G25" s="5"/>
      <c r="H25" s="5">
        <f t="shared" si="2"/>
        <v>144</v>
      </c>
      <c r="I25" s="5">
        <f t="shared" si="3"/>
        <v>0</v>
      </c>
      <c r="J25" s="5">
        <f>Table1[[#This Row],[Enrolment S.Y. 2025-2026 ]]*8</f>
        <v>3944</v>
      </c>
      <c r="K25" s="5"/>
      <c r="L25" s="1"/>
      <c r="M25" s="5"/>
      <c r="N25" s="5">
        <f t="shared" si="10"/>
        <v>3944</v>
      </c>
      <c r="O25" s="5">
        <f t="shared" si="11"/>
        <v>0</v>
      </c>
      <c r="P25" s="5">
        <f>Table1[[#This Row],[Enrolment S.Y. 2025-2026 ]]*8</f>
        <v>3944</v>
      </c>
      <c r="Q25" s="5"/>
      <c r="R25" s="1"/>
      <c r="S25" s="5"/>
      <c r="T25" s="5">
        <f t="shared" si="12"/>
        <v>3944</v>
      </c>
      <c r="U25" s="5">
        <f t="shared" si="13"/>
        <v>0</v>
      </c>
      <c r="V25" s="5">
        <f>Table1[[#This Row],[Enrolment S.Y. 2025-2026 ]]*8</f>
        <v>3944</v>
      </c>
      <c r="W25" s="5"/>
      <c r="X25" s="1"/>
      <c r="Y25" s="5"/>
      <c r="Z25" s="5">
        <f t="shared" si="14"/>
        <v>3944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493</v>
      </c>
      <c r="D26" s="5">
        <f>Table1[[#This Row],[Enrolment S.Y. 2025-2026 ]]*8</f>
        <v>3944</v>
      </c>
      <c r="E26" s="5"/>
      <c r="F26" s="1">
        <v>2025</v>
      </c>
      <c r="G26" s="5" t="s">
        <v>16</v>
      </c>
      <c r="H26" s="5">
        <f t="shared" si="2"/>
        <v>3944</v>
      </c>
      <c r="I26" s="5">
        <f t="shared" si="3"/>
        <v>0</v>
      </c>
      <c r="J26" s="5">
        <f>Table1[[#This Row],[Enrolment S.Y. 2025-2026 ]]*8</f>
        <v>3944</v>
      </c>
      <c r="K26" s="5"/>
      <c r="L26" s="1"/>
      <c r="M26" s="5"/>
      <c r="N26" s="5">
        <f t="shared" si="10"/>
        <v>3944</v>
      </c>
      <c r="O26" s="5">
        <f t="shared" si="11"/>
        <v>0</v>
      </c>
      <c r="P26" s="5">
        <f>Table1[[#This Row],[Enrolment S.Y. 2025-2026 ]]*8</f>
        <v>3944</v>
      </c>
      <c r="Q26" s="5"/>
      <c r="R26" s="1"/>
      <c r="S26" s="5"/>
      <c r="T26" s="5">
        <f t="shared" si="12"/>
        <v>3944</v>
      </c>
      <c r="U26" s="5">
        <f t="shared" si="13"/>
        <v>0</v>
      </c>
      <c r="V26" s="5">
        <f>Table1[[#This Row],[Enrolment S.Y. 2025-2026 ]]*8</f>
        <v>3944</v>
      </c>
      <c r="W26" s="5"/>
      <c r="X26" s="1"/>
      <c r="Y26" s="5"/>
      <c r="Z26" s="5">
        <f t="shared" si="14"/>
        <v>3944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493</v>
      </c>
      <c r="D27" s="5">
        <f>Table1[[#This Row],[Enrolment S.Y. 2025-2026 ]]*8</f>
        <v>3944</v>
      </c>
      <c r="E27" s="5">
        <v>3800</v>
      </c>
      <c r="F27" s="1">
        <v>2025</v>
      </c>
      <c r="G27" s="5" t="s">
        <v>16</v>
      </c>
      <c r="H27" s="5">
        <f t="shared" si="2"/>
        <v>144</v>
      </c>
      <c r="I27" s="5">
        <f t="shared" si="3"/>
        <v>0</v>
      </c>
      <c r="J27" s="5">
        <f>Table1[[#This Row],[Enrolment S.Y. 2025-2026 ]]*8</f>
        <v>3944</v>
      </c>
      <c r="K27" s="5"/>
      <c r="L27" s="1"/>
      <c r="M27" s="5"/>
      <c r="N27" s="5">
        <f t="shared" si="10"/>
        <v>3944</v>
      </c>
      <c r="O27" s="5">
        <f t="shared" si="11"/>
        <v>0</v>
      </c>
      <c r="P27" s="5">
        <f>Table1[[#This Row],[Enrolment S.Y. 2025-2026 ]]*8</f>
        <v>3944</v>
      </c>
      <c r="Q27" s="5"/>
      <c r="R27" s="1"/>
      <c r="S27" s="5"/>
      <c r="T27" s="5">
        <f t="shared" si="12"/>
        <v>3944</v>
      </c>
      <c r="U27" s="5">
        <f t="shared" si="13"/>
        <v>0</v>
      </c>
      <c r="V27" s="5">
        <f>Table1[[#This Row],[Enrolment S.Y. 2025-2026 ]]*8</f>
        <v>3944</v>
      </c>
      <c r="W27" s="5"/>
      <c r="X27" s="1"/>
      <c r="Y27" s="5"/>
      <c r="Z27" s="5">
        <f t="shared" si="14"/>
        <v>3944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493</v>
      </c>
      <c r="D28" s="5">
        <f>Table1[[#This Row],[Enrolment S.Y. 2025-2026 ]]*8</f>
        <v>3944</v>
      </c>
      <c r="E28" s="5">
        <v>3800</v>
      </c>
      <c r="F28" s="1">
        <v>2025</v>
      </c>
      <c r="G28" s="5" t="s">
        <v>16</v>
      </c>
      <c r="H28" s="5">
        <f t="shared" si="2"/>
        <v>144</v>
      </c>
      <c r="I28" s="5">
        <f t="shared" si="3"/>
        <v>0</v>
      </c>
      <c r="J28" s="5">
        <f>Table1[[#This Row],[Enrolment S.Y. 2025-2026 ]]*8</f>
        <v>3944</v>
      </c>
      <c r="K28" s="5"/>
      <c r="L28" s="1"/>
      <c r="M28" s="5"/>
      <c r="N28" s="5">
        <f t="shared" si="10"/>
        <v>3944</v>
      </c>
      <c r="O28" s="5">
        <f t="shared" si="11"/>
        <v>0</v>
      </c>
      <c r="P28" s="5">
        <f>Table1[[#This Row],[Enrolment S.Y. 2025-2026 ]]*8</f>
        <v>3944</v>
      </c>
      <c r="Q28" s="5"/>
      <c r="R28" s="1"/>
      <c r="S28" s="5"/>
      <c r="T28" s="5">
        <f t="shared" si="12"/>
        <v>3944</v>
      </c>
      <c r="U28" s="5">
        <f t="shared" si="13"/>
        <v>0</v>
      </c>
      <c r="V28" s="5">
        <f>Table1[[#This Row],[Enrolment S.Y. 2025-2026 ]]*8</f>
        <v>3944</v>
      </c>
      <c r="W28" s="5"/>
      <c r="X28" s="1"/>
      <c r="Y28" s="5"/>
      <c r="Z28" s="5">
        <f t="shared" si="14"/>
        <v>3944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493</v>
      </c>
      <c r="D29" s="5">
        <f>Table1[[#This Row],[Enrolment S.Y. 2025-2026 ]]*8</f>
        <v>3944</v>
      </c>
      <c r="E29" s="5">
        <v>3800</v>
      </c>
      <c r="F29" s="1">
        <v>2025</v>
      </c>
      <c r="G29" s="5" t="s">
        <v>16</v>
      </c>
      <c r="H29" s="5">
        <f>IF((D29-E29)&lt;0,0,(D29-E29))</f>
        <v>144</v>
      </c>
      <c r="I29" s="5">
        <f>IF((E29-D29)&lt;0,0,(E29-D29))</f>
        <v>0</v>
      </c>
      <c r="J29" s="5"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3944</v>
      </c>
      <c r="Q29" s="5"/>
      <c r="R29" s="1"/>
      <c r="S29" s="5"/>
      <c r="T29" s="5">
        <f t="shared" si="12"/>
        <v>3944</v>
      </c>
      <c r="U29" s="5">
        <f t="shared" si="13"/>
        <v>0</v>
      </c>
      <c r="V29" s="5">
        <f>Table1[[#This Row],[Enrolment S.Y. 2025-2026 ]]*8</f>
        <v>3944</v>
      </c>
      <c r="W29" s="5"/>
      <c r="X29" s="1"/>
      <c r="Y29" s="5"/>
      <c r="Z29" s="5">
        <f t="shared" si="14"/>
        <v>3944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493</v>
      </c>
      <c r="D30" s="5">
        <f>Table1[[#This Row],[Enrolment S.Y. 2025-2026 ]]*8</f>
        <v>3944</v>
      </c>
      <c r="E30" s="5">
        <v>3800</v>
      </c>
      <c r="F30" s="1">
        <v>2025</v>
      </c>
      <c r="G30" s="5" t="s">
        <v>16</v>
      </c>
      <c r="H30" s="5">
        <f>IF((D30-E30)&lt;0,0,(D30-E30))</f>
        <v>144</v>
      </c>
      <c r="I30" s="5">
        <f>IF((E30-D30)&lt;0,0,(E30-D30))</f>
        <v>0</v>
      </c>
      <c r="J30" s="5">
        <f>Table1[[#This Row],[Enrolment S.Y. 2025-2026 ]]*8</f>
        <v>3944</v>
      </c>
      <c r="K30" s="5"/>
      <c r="L30" s="1"/>
      <c r="M30" s="5"/>
      <c r="N30" s="5">
        <f t="shared" si="10"/>
        <v>3944</v>
      </c>
      <c r="O30" s="5">
        <f t="shared" si="11"/>
        <v>0</v>
      </c>
      <c r="P30" s="5">
        <f>Table1[[#This Row],[Enrolment S.Y. 2025-2026 ]]*8</f>
        <v>3944</v>
      </c>
      <c r="Q30" s="5"/>
      <c r="R30" s="1"/>
      <c r="S30" s="5"/>
      <c r="T30" s="5">
        <f t="shared" si="12"/>
        <v>3944</v>
      </c>
      <c r="U30" s="5">
        <f t="shared" si="13"/>
        <v>0</v>
      </c>
      <c r="V30" s="5">
        <f>Table1[[#This Row],[Enrolment S.Y. 2025-2026 ]]*8</f>
        <v>3944</v>
      </c>
      <c r="W30" s="5"/>
      <c r="X30" s="1"/>
      <c r="Y30" s="5"/>
      <c r="Z30" s="5">
        <f t="shared" si="14"/>
        <v>3944</v>
      </c>
      <c r="AA30" s="5">
        <f t="shared" si="15"/>
        <v>0</v>
      </c>
    </row>
    <row r="31" spans="1:27" ht="19.5">
      <c r="A31" s="1">
        <v>3</v>
      </c>
      <c r="B31" s="9" t="s">
        <v>71</v>
      </c>
      <c r="C31" s="1">
        <v>493</v>
      </c>
      <c r="D31" s="5">
        <f>Table1[[#This Row],[Enrolment S.Y. 2025-2026 ]]*8</f>
        <v>3944</v>
      </c>
      <c r="E31" s="5"/>
      <c r="F31" s="1"/>
      <c r="G31" s="5"/>
      <c r="H31" s="5">
        <f>IF((D31-E31)&lt;0,0,(D31-E31))</f>
        <v>3944</v>
      </c>
      <c r="I31" s="5">
        <f>IF((E31-D31)&lt;0,0,(E31-D31))</f>
        <v>0</v>
      </c>
      <c r="J31" s="5">
        <f>Table1[[#This Row],[Enrolment S.Y. 2025-2026 ]]*8</f>
        <v>3944</v>
      </c>
      <c r="K31" s="5"/>
      <c r="L31" s="1"/>
      <c r="M31" s="5"/>
      <c r="N31" s="5">
        <f t="shared" si="10"/>
        <v>3944</v>
      </c>
      <c r="O31" s="5">
        <f t="shared" si="11"/>
        <v>0</v>
      </c>
      <c r="P31" s="5">
        <f>Table1[[#This Row],[Enrolment S.Y. 2025-2026 ]]*8</f>
        <v>3944</v>
      </c>
      <c r="Q31" s="5"/>
      <c r="R31" s="1"/>
      <c r="S31" s="5"/>
      <c r="T31" s="5">
        <f t="shared" si="12"/>
        <v>3944</v>
      </c>
      <c r="U31" s="5">
        <f t="shared" si="13"/>
        <v>0</v>
      </c>
      <c r="V31" s="5">
        <f>Table1[[#This Row],[Enrolment S.Y. 2025-2026 ]]*8</f>
        <v>3944</v>
      </c>
      <c r="W31" s="5"/>
      <c r="X31" s="1"/>
      <c r="Y31" s="5"/>
      <c r="Z31" s="5">
        <f t="shared" si="14"/>
        <v>3944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550</v>
      </c>
      <c r="D33" s="5">
        <f>Table1[[#This Row],[Enrolment S.Y. 2025-2026 ]]*8</f>
        <v>4400</v>
      </c>
      <c r="E33" s="5"/>
      <c r="F33" s="1"/>
      <c r="G33" s="5"/>
      <c r="H33" s="5">
        <f t="shared" si="2"/>
        <v>4400</v>
      </c>
      <c r="I33" s="5">
        <f t="shared" si="3"/>
        <v>0</v>
      </c>
      <c r="J33" s="5">
        <f>Table1[[#This Row],[Enrolment S.Y. 2025-2026 ]]*8</f>
        <v>4400</v>
      </c>
      <c r="K33" s="5"/>
      <c r="L33" s="1"/>
      <c r="M33" s="5"/>
      <c r="N33" s="5">
        <f t="shared" si="10"/>
        <v>4400</v>
      </c>
      <c r="O33" s="5">
        <f t="shared" si="11"/>
        <v>0</v>
      </c>
      <c r="P33" s="5">
        <f>Table1[[#This Row],[Enrolment S.Y. 2025-2026 ]]*8</f>
        <v>4400</v>
      </c>
      <c r="Q33" s="5"/>
      <c r="R33" s="1"/>
      <c r="S33" s="5"/>
      <c r="T33" s="5">
        <f t="shared" si="12"/>
        <v>4400</v>
      </c>
      <c r="U33" s="5">
        <f t="shared" si="13"/>
        <v>0</v>
      </c>
      <c r="V33" s="5">
        <f>Table1[[#This Row],[Enrolment S.Y. 2025-2026 ]]*8</f>
        <v>4400</v>
      </c>
      <c r="W33" s="5"/>
      <c r="X33" s="1"/>
      <c r="Y33" s="5"/>
      <c r="Z33" s="5">
        <f t="shared" si="14"/>
        <v>4400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550</v>
      </c>
      <c r="D34" s="5">
        <f>Table1[[#This Row],[Enrolment S.Y. 2025-2026 ]]*8</f>
        <v>4400</v>
      </c>
      <c r="E34" s="5"/>
      <c r="F34" s="1"/>
      <c r="G34" s="5"/>
      <c r="H34" s="5">
        <f t="shared" si="2"/>
        <v>4400</v>
      </c>
      <c r="I34" s="5">
        <f t="shared" si="3"/>
        <v>0</v>
      </c>
      <c r="J34" s="5">
        <f>Table1[[#This Row],[Enrolment S.Y. 2025-2026 ]]*8</f>
        <v>4400</v>
      </c>
      <c r="K34" s="5"/>
      <c r="L34" s="1"/>
      <c r="M34" s="5"/>
      <c r="N34" s="5">
        <f t="shared" si="10"/>
        <v>4400</v>
      </c>
      <c r="O34" s="5">
        <f t="shared" si="11"/>
        <v>0</v>
      </c>
      <c r="P34" s="5">
        <f>Table1[[#This Row],[Enrolment S.Y. 2025-2026 ]]*8</f>
        <v>4400</v>
      </c>
      <c r="Q34" s="5"/>
      <c r="R34" s="1"/>
      <c r="S34" s="5"/>
      <c r="T34" s="5">
        <f t="shared" si="12"/>
        <v>4400</v>
      </c>
      <c r="U34" s="5">
        <f t="shared" si="13"/>
        <v>0</v>
      </c>
      <c r="V34" s="5">
        <f>Table1[[#This Row],[Enrolment S.Y. 2025-2026 ]]*8</f>
        <v>4400</v>
      </c>
      <c r="W34" s="5"/>
      <c r="X34" s="1"/>
      <c r="Y34" s="5"/>
      <c r="Z34" s="5">
        <f t="shared" si="14"/>
        <v>4400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550</v>
      </c>
      <c r="D35" s="5">
        <f>Table1[[#This Row],[Enrolment S.Y. 2025-2026 ]]*8</f>
        <v>4400</v>
      </c>
      <c r="E35" s="5"/>
      <c r="F35" s="1"/>
      <c r="G35" s="5"/>
      <c r="H35" s="5">
        <f t="shared" si="2"/>
        <v>4400</v>
      </c>
      <c r="I35" s="5">
        <f t="shared" si="3"/>
        <v>0</v>
      </c>
      <c r="J35" s="5">
        <f>Table1[[#This Row],[Enrolment S.Y. 2025-2026 ]]*8</f>
        <v>4400</v>
      </c>
      <c r="K35" s="5"/>
      <c r="L35" s="1"/>
      <c r="M35" s="5"/>
      <c r="N35" s="5">
        <f t="shared" si="10"/>
        <v>4400</v>
      </c>
      <c r="O35" s="5">
        <f t="shared" si="11"/>
        <v>0</v>
      </c>
      <c r="P35" s="5">
        <f>Table1[[#This Row],[Enrolment S.Y. 2025-2026 ]]*8</f>
        <v>4400</v>
      </c>
      <c r="Q35" s="5"/>
      <c r="R35" s="1"/>
      <c r="S35" s="5"/>
      <c r="T35" s="5">
        <f t="shared" si="12"/>
        <v>4400</v>
      </c>
      <c r="U35" s="5">
        <f t="shared" si="13"/>
        <v>0</v>
      </c>
      <c r="V35" s="5">
        <f>Table1[[#This Row],[Enrolment S.Y. 2025-2026 ]]*8</f>
        <v>4400</v>
      </c>
      <c r="W35" s="5"/>
      <c r="X35" s="1"/>
      <c r="Y35" s="5"/>
      <c r="Z35" s="5">
        <f t="shared" si="14"/>
        <v>4400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550</v>
      </c>
      <c r="D36" s="5">
        <f>Table1[[#This Row],[Enrolment S.Y. 2025-2026 ]]*8</f>
        <v>4400</v>
      </c>
      <c r="E36" s="5"/>
      <c r="F36" s="1"/>
      <c r="G36" s="5"/>
      <c r="H36" s="5">
        <f t="shared" si="2"/>
        <v>4400</v>
      </c>
      <c r="I36" s="5">
        <f t="shared" si="3"/>
        <v>0</v>
      </c>
      <c r="J36" s="5">
        <f>Table1[[#This Row],[Enrolment S.Y. 2025-2026 ]]*8</f>
        <v>4400</v>
      </c>
      <c r="K36" s="5"/>
      <c r="L36" s="1"/>
      <c r="M36" s="5"/>
      <c r="N36" s="5">
        <f t="shared" si="10"/>
        <v>4400</v>
      </c>
      <c r="O36" s="5">
        <f t="shared" si="11"/>
        <v>0</v>
      </c>
      <c r="P36" s="5">
        <f>Table1[[#This Row],[Enrolment S.Y. 2025-2026 ]]*8</f>
        <v>4400</v>
      </c>
      <c r="Q36" s="5"/>
      <c r="R36" s="1"/>
      <c r="S36" s="5"/>
      <c r="T36" s="5">
        <f t="shared" si="12"/>
        <v>4400</v>
      </c>
      <c r="U36" s="5">
        <f t="shared" si="13"/>
        <v>0</v>
      </c>
      <c r="V36" s="5">
        <f>Table1[[#This Row],[Enrolment S.Y. 2025-2026 ]]*8</f>
        <v>4400</v>
      </c>
      <c r="W36" s="5"/>
      <c r="X36" s="1"/>
      <c r="Y36" s="5"/>
      <c r="Z36" s="5">
        <f t="shared" si="14"/>
        <v>4400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550</v>
      </c>
      <c r="D37" s="5">
        <f>Table1[[#This Row],[Enrolment S.Y. 2025-2026 ]]*8</f>
        <v>4400</v>
      </c>
      <c r="E37" s="5"/>
      <c r="F37" s="1"/>
      <c r="G37" s="5"/>
      <c r="H37" s="5">
        <f t="shared" si="2"/>
        <v>4400</v>
      </c>
      <c r="I37" s="5">
        <f t="shared" si="3"/>
        <v>0</v>
      </c>
      <c r="J37" s="5">
        <f>Table1[[#This Row],[Enrolment S.Y. 2025-2026 ]]*8</f>
        <v>4400</v>
      </c>
      <c r="K37" s="5"/>
      <c r="L37" s="1"/>
      <c r="M37" s="5"/>
      <c r="N37" s="5">
        <f t="shared" si="10"/>
        <v>4400</v>
      </c>
      <c r="O37" s="5">
        <f t="shared" si="11"/>
        <v>0</v>
      </c>
      <c r="P37" s="5">
        <f>Table1[[#This Row],[Enrolment S.Y. 2025-2026 ]]*8</f>
        <v>4400</v>
      </c>
      <c r="Q37" s="5"/>
      <c r="R37" s="1"/>
      <c r="S37" s="5"/>
      <c r="T37" s="5">
        <f t="shared" si="12"/>
        <v>4400</v>
      </c>
      <c r="U37" s="5">
        <f t="shared" si="13"/>
        <v>0</v>
      </c>
      <c r="V37" s="5">
        <f>Table1[[#This Row],[Enrolment S.Y. 2025-2026 ]]*8</f>
        <v>4400</v>
      </c>
      <c r="W37" s="5"/>
      <c r="X37" s="1"/>
      <c r="Y37" s="5"/>
      <c r="Z37" s="5">
        <f t="shared" si="14"/>
        <v>4400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550</v>
      </c>
      <c r="D38" s="5">
        <f>Table1[[#This Row],[Enrolment S.Y. 2025-2026 ]]*8</f>
        <v>4400</v>
      </c>
      <c r="E38" s="5"/>
      <c r="F38" s="1"/>
      <c r="G38" s="5"/>
      <c r="H38" s="5">
        <f t="shared" si="2"/>
        <v>4400</v>
      </c>
      <c r="I38" s="5">
        <f t="shared" si="3"/>
        <v>0</v>
      </c>
      <c r="J38" s="5">
        <f>Table1[[#This Row],[Enrolment S.Y. 2025-2026 ]]*8</f>
        <v>4400</v>
      </c>
      <c r="K38" s="5"/>
      <c r="L38" s="1"/>
      <c r="M38" s="5"/>
      <c r="N38" s="5">
        <f t="shared" si="10"/>
        <v>4400</v>
      </c>
      <c r="O38" s="5">
        <f t="shared" si="11"/>
        <v>0</v>
      </c>
      <c r="P38" s="5">
        <f>Table1[[#This Row],[Enrolment S.Y. 2025-2026 ]]*8</f>
        <v>4400</v>
      </c>
      <c r="Q38" s="5"/>
      <c r="R38" s="1"/>
      <c r="S38" s="5"/>
      <c r="T38" s="5">
        <f t="shared" si="12"/>
        <v>4400</v>
      </c>
      <c r="U38" s="5">
        <f t="shared" si="13"/>
        <v>0</v>
      </c>
      <c r="V38" s="5">
        <f>Table1[[#This Row],[Enrolment S.Y. 2025-2026 ]]*8</f>
        <v>4400</v>
      </c>
      <c r="W38" s="5"/>
      <c r="X38" s="1"/>
      <c r="Y38" s="5"/>
      <c r="Z38" s="5">
        <f t="shared" si="14"/>
        <v>4400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550</v>
      </c>
      <c r="D39" s="5">
        <f>Table1[[#This Row],[Enrolment S.Y. 2025-2026 ]]*8</f>
        <v>4400</v>
      </c>
      <c r="E39" s="5"/>
      <c r="F39" s="1"/>
      <c r="G39" s="5"/>
      <c r="H39" s="5">
        <f t="shared" si="2"/>
        <v>4400</v>
      </c>
      <c r="I39" s="5">
        <f t="shared" si="3"/>
        <v>0</v>
      </c>
      <c r="J39" s="5">
        <f>Table1[[#This Row],[Enrolment S.Y. 2025-2026 ]]*8</f>
        <v>4400</v>
      </c>
      <c r="K39" s="5"/>
      <c r="L39" s="1"/>
      <c r="M39" s="5"/>
      <c r="N39" s="5">
        <f t="shared" si="10"/>
        <v>4400</v>
      </c>
      <c r="O39" s="5">
        <f t="shared" si="11"/>
        <v>0</v>
      </c>
      <c r="P39" s="5">
        <f>Table1[[#This Row],[Enrolment S.Y. 2025-2026 ]]*8</f>
        <v>4400</v>
      </c>
      <c r="Q39" s="5"/>
      <c r="R39" s="1"/>
      <c r="S39" s="5"/>
      <c r="T39" s="5">
        <f t="shared" si="12"/>
        <v>4400</v>
      </c>
      <c r="U39" s="5">
        <f t="shared" si="13"/>
        <v>0</v>
      </c>
      <c r="V39" s="5">
        <f>Table1[[#This Row],[Enrolment S.Y. 2025-2026 ]]*8</f>
        <v>4400</v>
      </c>
      <c r="W39" s="5"/>
      <c r="X39" s="1"/>
      <c r="Y39" s="5"/>
      <c r="Z39" s="5">
        <f t="shared" si="14"/>
        <v>4400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550</v>
      </c>
      <c r="D40" s="5">
        <f>Table1[[#This Row],[Enrolment S.Y. 2025-2026 ]]*8</f>
        <v>4400</v>
      </c>
      <c r="E40" s="5"/>
      <c r="F40" s="1"/>
      <c r="G40" s="5"/>
      <c r="H40" s="5">
        <f t="shared" si="2"/>
        <v>4400</v>
      </c>
      <c r="I40" s="5">
        <f t="shared" si="3"/>
        <v>0</v>
      </c>
      <c r="J40" s="5">
        <f>Table1[[#This Row],[Enrolment S.Y. 2025-2026 ]]*8</f>
        <v>4400</v>
      </c>
      <c r="K40" s="5"/>
      <c r="L40" s="1"/>
      <c r="M40" s="5"/>
      <c r="N40" s="5">
        <f t="shared" si="10"/>
        <v>4400</v>
      </c>
      <c r="O40" s="5">
        <f t="shared" si="11"/>
        <v>0</v>
      </c>
      <c r="P40" s="5">
        <f>Table1[[#This Row],[Enrolment S.Y. 2025-2026 ]]*8</f>
        <v>4400</v>
      </c>
      <c r="Q40" s="5"/>
      <c r="R40" s="1"/>
      <c r="S40" s="5"/>
      <c r="T40" s="5">
        <f t="shared" si="12"/>
        <v>4400</v>
      </c>
      <c r="U40" s="5">
        <f t="shared" si="13"/>
        <v>0</v>
      </c>
      <c r="V40" s="5">
        <f>Table1[[#This Row],[Enrolment S.Y. 2025-2026 ]]*8</f>
        <v>4400</v>
      </c>
      <c r="W40" s="5"/>
      <c r="X40" s="1"/>
      <c r="Y40" s="5"/>
      <c r="Z40" s="5">
        <f t="shared" si="14"/>
        <v>4400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550</v>
      </c>
      <c r="D41" s="5">
        <f>Table1[[#This Row],[Enrolment S.Y. 2025-2026 ]]*8</f>
        <v>4400</v>
      </c>
      <c r="E41" s="5"/>
      <c r="F41" s="1"/>
      <c r="G41" s="5"/>
      <c r="H41" s="5">
        <f t="shared" si="2"/>
        <v>4400</v>
      </c>
      <c r="I41" s="5">
        <f t="shared" si="3"/>
        <v>0</v>
      </c>
      <c r="J41" s="5">
        <f>Table1[[#This Row],[Enrolment S.Y. 2025-2026 ]]*8</f>
        <v>4400</v>
      </c>
      <c r="K41" s="5"/>
      <c r="L41" s="1"/>
      <c r="M41" s="5"/>
      <c r="N41" s="5">
        <f t="shared" si="10"/>
        <v>4400</v>
      </c>
      <c r="O41" s="5">
        <f t="shared" si="11"/>
        <v>0</v>
      </c>
      <c r="P41" s="5">
        <f>Table1[[#This Row],[Enrolment S.Y. 2025-2026 ]]*8</f>
        <v>4400</v>
      </c>
      <c r="Q41" s="5"/>
      <c r="R41" s="1"/>
      <c r="S41" s="5"/>
      <c r="T41" s="5">
        <f t="shared" si="12"/>
        <v>4400</v>
      </c>
      <c r="U41" s="5">
        <f t="shared" si="13"/>
        <v>0</v>
      </c>
      <c r="V41" s="5">
        <f>Table1[[#This Row],[Enrolment S.Y. 2025-2026 ]]*8</f>
        <v>4400</v>
      </c>
      <c r="W41" s="5"/>
      <c r="X41" s="1"/>
      <c r="Y41" s="5"/>
      <c r="Z41" s="5">
        <f t="shared" si="14"/>
        <v>4400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431</v>
      </c>
      <c r="D43" s="5">
        <f>Table1[[#This Row],[Enrolment S.Y. 2025-2026 ]]*8</f>
        <v>3448</v>
      </c>
      <c r="E43" s="5">
        <v>1104</v>
      </c>
      <c r="F43" s="1">
        <v>2025</v>
      </c>
      <c r="G43" s="5" t="s">
        <v>16</v>
      </c>
      <c r="H43" s="5">
        <f t="shared" si="2"/>
        <v>2344</v>
      </c>
      <c r="I43" s="5">
        <f t="shared" si="3"/>
        <v>0</v>
      </c>
      <c r="J43" s="5">
        <f>Table1[[#This Row],[Enrolment S.Y. 2025-2026 ]]*8</f>
        <v>3448</v>
      </c>
      <c r="K43" s="5"/>
      <c r="L43" s="1"/>
      <c r="M43" s="5"/>
      <c r="N43" s="5">
        <f t="shared" si="10"/>
        <v>3448</v>
      </c>
      <c r="O43" s="5">
        <f t="shared" si="11"/>
        <v>0</v>
      </c>
      <c r="P43" s="5">
        <f>Table1[[#This Row],[Enrolment S.Y. 2025-2026 ]]*8</f>
        <v>3448</v>
      </c>
      <c r="Q43" s="5"/>
      <c r="R43" s="1"/>
      <c r="S43" s="5"/>
      <c r="T43" s="5">
        <f t="shared" si="12"/>
        <v>3448</v>
      </c>
      <c r="U43" s="5">
        <f t="shared" si="13"/>
        <v>0</v>
      </c>
      <c r="V43" s="5">
        <f>Table1[[#This Row],[Enrolment S.Y. 2025-2026 ]]*8</f>
        <v>3448</v>
      </c>
      <c r="W43" s="5"/>
      <c r="X43" s="1"/>
      <c r="Y43" s="5"/>
      <c r="Z43" s="5">
        <f t="shared" si="14"/>
        <v>3448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431</v>
      </c>
      <c r="D44" s="5">
        <f>Table1[[#This Row],[Enrolment S.Y. 2025-2026 ]]*8</f>
        <v>3448</v>
      </c>
      <c r="E44" s="5">
        <v>1104</v>
      </c>
      <c r="F44" s="1">
        <v>2025</v>
      </c>
      <c r="G44" s="5" t="s">
        <v>16</v>
      </c>
      <c r="H44" s="5">
        <f t="shared" si="2"/>
        <v>2344</v>
      </c>
      <c r="I44" s="5">
        <f t="shared" si="3"/>
        <v>0</v>
      </c>
      <c r="J44" s="5">
        <f>Table1[[#This Row],[Enrolment S.Y. 2025-2026 ]]*8</f>
        <v>3448</v>
      </c>
      <c r="K44" s="5"/>
      <c r="L44" s="1"/>
      <c r="M44" s="5"/>
      <c r="N44" s="5">
        <f t="shared" si="10"/>
        <v>3448</v>
      </c>
      <c r="O44" s="5">
        <f t="shared" si="11"/>
        <v>0</v>
      </c>
      <c r="P44" s="5">
        <f>Table1[[#This Row],[Enrolment S.Y. 2025-2026 ]]*8</f>
        <v>3448</v>
      </c>
      <c r="Q44" s="5"/>
      <c r="R44" s="1"/>
      <c r="S44" s="5"/>
      <c r="T44" s="5">
        <f t="shared" si="12"/>
        <v>3448</v>
      </c>
      <c r="U44" s="5">
        <f t="shared" si="13"/>
        <v>0</v>
      </c>
      <c r="V44" s="5">
        <f>Table1[[#This Row],[Enrolment S.Y. 2025-2026 ]]*8</f>
        <v>3448</v>
      </c>
      <c r="W44" s="5"/>
      <c r="X44" s="1"/>
      <c r="Y44" s="5"/>
      <c r="Z44" s="5">
        <f t="shared" si="14"/>
        <v>3448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431</v>
      </c>
      <c r="D45" s="5">
        <f>Table1[[#This Row],[Enrolment S.Y. 2025-2026 ]]*8</f>
        <v>3448</v>
      </c>
      <c r="E45" s="5">
        <v>1104</v>
      </c>
      <c r="F45" s="1">
        <v>2025</v>
      </c>
      <c r="G45" s="5" t="s">
        <v>16</v>
      </c>
      <c r="H45" s="5">
        <f t="shared" si="2"/>
        <v>2344</v>
      </c>
      <c r="I45" s="5">
        <f t="shared" si="3"/>
        <v>0</v>
      </c>
      <c r="J45" s="5">
        <f>Table1[[#This Row],[Enrolment S.Y. 2025-2026 ]]*8</f>
        <v>3448</v>
      </c>
      <c r="K45" s="5">
        <v>3480</v>
      </c>
      <c r="L45" s="1">
        <v>2025</v>
      </c>
      <c r="M45" s="5" t="s">
        <v>16</v>
      </c>
      <c r="N45" s="5">
        <f t="shared" si="10"/>
        <v>0</v>
      </c>
      <c r="O45" s="5">
        <f t="shared" si="11"/>
        <v>32</v>
      </c>
      <c r="P45" s="5">
        <f>Table1[[#This Row],[Enrolment S.Y. 2025-2026 ]]*8</f>
        <v>3448</v>
      </c>
      <c r="Q45" s="5"/>
      <c r="R45" s="1"/>
      <c r="S45" s="5"/>
      <c r="T45" s="5">
        <f t="shared" si="12"/>
        <v>3448</v>
      </c>
      <c r="U45" s="5">
        <f t="shared" si="13"/>
        <v>0</v>
      </c>
      <c r="V45" s="5">
        <f>Table1[[#This Row],[Enrolment S.Y. 2025-2026 ]]*8</f>
        <v>3448</v>
      </c>
      <c r="W45" s="5"/>
      <c r="X45" s="1"/>
      <c r="Y45" s="5"/>
      <c r="Z45" s="5">
        <f t="shared" si="14"/>
        <v>3448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431</v>
      </c>
      <c r="D46" s="5">
        <f>Table1[[#This Row],[Enrolment S.Y. 2025-2026 ]]*8</f>
        <v>3448</v>
      </c>
      <c r="E46" s="5">
        <v>1104</v>
      </c>
      <c r="F46" s="1">
        <v>2025</v>
      </c>
      <c r="G46" s="5" t="s">
        <v>16</v>
      </c>
      <c r="H46" s="5">
        <f t="shared" si="2"/>
        <v>2344</v>
      </c>
      <c r="I46" s="5">
        <f t="shared" si="3"/>
        <v>0</v>
      </c>
      <c r="J46" s="5">
        <f>Table1[[#This Row],[Enrolment S.Y. 2025-2026 ]]*8</f>
        <v>3448</v>
      </c>
      <c r="K46" s="5"/>
      <c r="L46" s="1"/>
      <c r="M46" s="5"/>
      <c r="N46" s="5">
        <f t="shared" si="10"/>
        <v>3448</v>
      </c>
      <c r="O46" s="5">
        <f t="shared" si="11"/>
        <v>0</v>
      </c>
      <c r="P46" s="5">
        <f>Table1[[#This Row],[Enrolment S.Y. 2025-2026 ]]*8</f>
        <v>3448</v>
      </c>
      <c r="Q46" s="5"/>
      <c r="R46" s="1"/>
      <c r="S46" s="5"/>
      <c r="T46" s="5">
        <f t="shared" si="12"/>
        <v>3448</v>
      </c>
      <c r="U46" s="5">
        <f t="shared" si="13"/>
        <v>0</v>
      </c>
      <c r="V46" s="5">
        <f>Table1[[#This Row],[Enrolment S.Y. 2025-2026 ]]*8</f>
        <v>3448</v>
      </c>
      <c r="W46" s="5"/>
      <c r="X46" s="1"/>
      <c r="Y46" s="5"/>
      <c r="Z46" s="5">
        <f t="shared" si="14"/>
        <v>3448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431</v>
      </c>
      <c r="D47" s="5">
        <f>Table1[[#This Row],[Enrolment S.Y. 2025-2026 ]]*8</f>
        <v>3448</v>
      </c>
      <c r="E47" s="5">
        <v>1104</v>
      </c>
      <c r="F47" s="1">
        <v>2025</v>
      </c>
      <c r="G47" s="5" t="s">
        <v>16</v>
      </c>
      <c r="H47" s="5">
        <f t="shared" si="2"/>
        <v>2344</v>
      </c>
      <c r="I47" s="5">
        <f t="shared" si="3"/>
        <v>0</v>
      </c>
      <c r="J47" s="5">
        <f>Table1[[#This Row],[Enrolment S.Y. 2025-2026 ]]*8</f>
        <v>3448</v>
      </c>
      <c r="K47" s="5"/>
      <c r="L47" s="1"/>
      <c r="M47" s="5"/>
      <c r="N47" s="5">
        <f t="shared" si="10"/>
        <v>3448</v>
      </c>
      <c r="O47" s="5">
        <f t="shared" si="11"/>
        <v>0</v>
      </c>
      <c r="P47" s="5">
        <f>Table1[[#This Row],[Enrolment S.Y. 2025-2026 ]]*8</f>
        <v>3448</v>
      </c>
      <c r="Q47" s="5"/>
      <c r="R47" s="1"/>
      <c r="S47" s="5"/>
      <c r="T47" s="5">
        <f t="shared" si="12"/>
        <v>3448</v>
      </c>
      <c r="U47" s="5">
        <f t="shared" si="13"/>
        <v>0</v>
      </c>
      <c r="V47" s="5">
        <f>Table1[[#This Row],[Enrolment S.Y. 2025-2026 ]]*8</f>
        <v>3448</v>
      </c>
      <c r="W47" s="5"/>
      <c r="X47" s="1"/>
      <c r="Y47" s="5"/>
      <c r="Z47" s="5">
        <f t="shared" si="14"/>
        <v>3448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431</v>
      </c>
      <c r="D48" s="5">
        <f>Table1[[#This Row],[Enrolment S.Y. 2025-2026 ]]*8</f>
        <v>3448</v>
      </c>
      <c r="E48" s="5">
        <v>1104</v>
      </c>
      <c r="F48" s="1">
        <v>2025</v>
      </c>
      <c r="G48" s="5" t="s">
        <v>16</v>
      </c>
      <c r="H48" s="5">
        <f t="shared" si="2"/>
        <v>2344</v>
      </c>
      <c r="I48" s="5">
        <f t="shared" si="3"/>
        <v>0</v>
      </c>
      <c r="J48" s="5">
        <f>Table1[[#This Row],[Enrolment S.Y. 2025-2026 ]]*8</f>
        <v>3448</v>
      </c>
      <c r="K48" s="5"/>
      <c r="L48" s="1"/>
      <c r="M48" s="5"/>
      <c r="N48" s="5">
        <f t="shared" si="10"/>
        <v>3448</v>
      </c>
      <c r="O48" s="5">
        <f t="shared" si="11"/>
        <v>0</v>
      </c>
      <c r="P48" s="5">
        <f>Table1[[#This Row],[Enrolment S.Y. 2025-2026 ]]*8</f>
        <v>3448</v>
      </c>
      <c r="Q48" s="5"/>
      <c r="R48" s="1"/>
      <c r="S48" s="5"/>
      <c r="T48" s="5">
        <f t="shared" si="12"/>
        <v>3448</v>
      </c>
      <c r="U48" s="5">
        <f t="shared" si="13"/>
        <v>0</v>
      </c>
      <c r="V48" s="5">
        <f>Table1[[#This Row],[Enrolment S.Y. 2025-2026 ]]*8</f>
        <v>3448</v>
      </c>
      <c r="W48" s="5"/>
      <c r="X48" s="1"/>
      <c r="Y48" s="5"/>
      <c r="Z48" s="5">
        <f t="shared" si="14"/>
        <v>3448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431</v>
      </c>
      <c r="D49" s="5">
        <f>Table1[[#This Row],[Enrolment S.Y. 2025-2026 ]]*8</f>
        <v>3448</v>
      </c>
      <c r="E49" s="5">
        <v>1104</v>
      </c>
      <c r="F49" s="1">
        <v>2025</v>
      </c>
      <c r="G49" s="5" t="s">
        <v>16</v>
      </c>
      <c r="H49" s="5">
        <f t="shared" si="2"/>
        <v>2344</v>
      </c>
      <c r="I49" s="5">
        <f t="shared" si="3"/>
        <v>0</v>
      </c>
      <c r="J49" s="5">
        <f>Table1[[#This Row],[Enrolment S.Y. 2025-2026 ]]*8</f>
        <v>3448</v>
      </c>
      <c r="K49" s="5"/>
      <c r="L49" s="1"/>
      <c r="M49" s="5"/>
      <c r="N49" s="5">
        <f t="shared" si="10"/>
        <v>3448</v>
      </c>
      <c r="O49" s="5">
        <f t="shared" si="11"/>
        <v>0</v>
      </c>
      <c r="P49" s="5">
        <f>Table1[[#This Row],[Enrolment S.Y. 2025-2026 ]]*8</f>
        <v>3448</v>
      </c>
      <c r="Q49" s="5"/>
      <c r="R49" s="1"/>
      <c r="S49" s="5"/>
      <c r="T49" s="5">
        <f t="shared" si="12"/>
        <v>3448</v>
      </c>
      <c r="U49" s="5">
        <f t="shared" si="13"/>
        <v>0</v>
      </c>
      <c r="V49" s="5">
        <f>Table1[[#This Row],[Enrolment S.Y. 2025-2026 ]]*8</f>
        <v>3448</v>
      </c>
      <c r="W49" s="5"/>
      <c r="X49" s="1"/>
      <c r="Y49" s="5"/>
      <c r="Z49" s="5">
        <f t="shared" si="14"/>
        <v>3448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431</v>
      </c>
      <c r="D50" s="5">
        <f>Table1[[#This Row],[Enrolment S.Y. 2025-2026 ]]*8</f>
        <v>3448</v>
      </c>
      <c r="E50" s="5"/>
      <c r="F50" s="1"/>
      <c r="G50" s="5"/>
      <c r="H50" s="5">
        <f t="shared" si="2"/>
        <v>3448</v>
      </c>
      <c r="I50" s="5">
        <f t="shared" si="3"/>
        <v>0</v>
      </c>
      <c r="J50" s="5">
        <f>Table1[[#This Row],[Enrolment S.Y. 2025-2026 ]]*8</f>
        <v>3448</v>
      </c>
      <c r="K50" s="5"/>
      <c r="L50" s="1"/>
      <c r="M50" s="5"/>
      <c r="N50" s="5">
        <f t="shared" si="10"/>
        <v>3448</v>
      </c>
      <c r="O50" s="5">
        <f t="shared" si="11"/>
        <v>0</v>
      </c>
      <c r="P50" s="5">
        <f>Table1[[#This Row],[Enrolment S.Y. 2025-2026 ]]*8</f>
        <v>3448</v>
      </c>
      <c r="Q50" s="5"/>
      <c r="R50" s="1"/>
      <c r="S50" s="5"/>
      <c r="T50" s="5">
        <f t="shared" si="12"/>
        <v>3448</v>
      </c>
      <c r="U50" s="5">
        <f t="shared" si="13"/>
        <v>0</v>
      </c>
      <c r="V50" s="5">
        <f>Table1[[#This Row],[Enrolment S.Y. 2025-2026 ]]*8</f>
        <v>3448</v>
      </c>
      <c r="W50" s="5"/>
      <c r="X50" s="1"/>
      <c r="Y50" s="5"/>
      <c r="Z50" s="5">
        <f t="shared" si="14"/>
        <v>3448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431</v>
      </c>
      <c r="D51" s="5">
        <f>Table1[[#This Row],[Enrolment S.Y. 2025-2026 ]]*8</f>
        <v>3448</v>
      </c>
      <c r="E51" s="5">
        <v>1104</v>
      </c>
      <c r="F51" s="1">
        <v>2025</v>
      </c>
      <c r="G51" s="5" t="s">
        <v>16</v>
      </c>
      <c r="H51" s="5">
        <f t="shared" si="2"/>
        <v>2344</v>
      </c>
      <c r="I51" s="5">
        <f t="shared" si="3"/>
        <v>0</v>
      </c>
      <c r="J51" s="5">
        <f>Table1[[#This Row],[Enrolment S.Y. 2025-2026 ]]*8</f>
        <v>3448</v>
      </c>
      <c r="K51" s="5"/>
      <c r="L51" s="1"/>
      <c r="M51" s="5"/>
      <c r="N51" s="5">
        <f t="shared" si="10"/>
        <v>3448</v>
      </c>
      <c r="O51" s="5">
        <f t="shared" si="11"/>
        <v>0</v>
      </c>
      <c r="P51" s="5">
        <f>Table1[[#This Row],[Enrolment S.Y. 2025-2026 ]]*8</f>
        <v>3448</v>
      </c>
      <c r="Q51" s="5"/>
      <c r="R51" s="1"/>
      <c r="S51" s="5"/>
      <c r="T51" s="5">
        <f t="shared" si="12"/>
        <v>3448</v>
      </c>
      <c r="U51" s="5">
        <f t="shared" si="13"/>
        <v>0</v>
      </c>
      <c r="V51" s="5">
        <f>Table1[[#This Row],[Enrolment S.Y. 2025-2026 ]]*8</f>
        <v>3448</v>
      </c>
      <c r="W51" s="5"/>
      <c r="X51" s="1"/>
      <c r="Y51" s="5"/>
      <c r="Z51" s="5">
        <f t="shared" si="14"/>
        <v>3448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484</v>
      </c>
      <c r="D53" s="5">
        <f>Table1[[#This Row],[Enrolment S.Y. 2025-2026 ]]*8</f>
        <v>3872</v>
      </c>
      <c r="E53" s="5"/>
      <c r="F53" s="1"/>
      <c r="G53" s="5"/>
      <c r="H53" s="5">
        <f t="shared" si="2"/>
        <v>3872</v>
      </c>
      <c r="I53" s="5">
        <f t="shared" si="3"/>
        <v>0</v>
      </c>
      <c r="J53" s="5">
        <f>Table1[[#This Row],[Enrolment S.Y. 2025-2026 ]]*8</f>
        <v>3872</v>
      </c>
      <c r="K53" s="5"/>
      <c r="L53" s="1"/>
      <c r="M53" s="5"/>
      <c r="N53" s="5">
        <f t="shared" si="10"/>
        <v>3872</v>
      </c>
      <c r="O53" s="5">
        <f t="shared" si="11"/>
        <v>0</v>
      </c>
      <c r="P53" s="5">
        <f>Table1[[#This Row],[Enrolment S.Y. 2025-2026 ]]*8</f>
        <v>3872</v>
      </c>
      <c r="Q53" s="5"/>
      <c r="R53" s="1"/>
      <c r="S53" s="5"/>
      <c r="T53" s="5">
        <f t="shared" si="12"/>
        <v>3872</v>
      </c>
      <c r="U53" s="5">
        <f t="shared" si="13"/>
        <v>0</v>
      </c>
      <c r="V53" s="5">
        <f>Table1[[#This Row],[Enrolment S.Y. 2025-2026 ]]*8</f>
        <v>3872</v>
      </c>
      <c r="W53" s="5"/>
      <c r="X53" s="1"/>
      <c r="Y53" s="5"/>
      <c r="Z53" s="5">
        <f t="shared" si="14"/>
        <v>3872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484</v>
      </c>
      <c r="D54" s="5">
        <f>Table1[[#This Row],[Enrolment S.Y. 2025-2026 ]]*8</f>
        <v>3872</v>
      </c>
      <c r="E54" s="5"/>
      <c r="F54" s="1"/>
      <c r="G54" s="5"/>
      <c r="H54" s="5">
        <f t="shared" si="2"/>
        <v>3872</v>
      </c>
      <c r="I54" s="5">
        <f t="shared" si="3"/>
        <v>0</v>
      </c>
      <c r="J54" s="5">
        <f>Table1[[#This Row],[Enrolment S.Y. 2025-2026 ]]*8</f>
        <v>3872</v>
      </c>
      <c r="K54" s="5"/>
      <c r="L54" s="1"/>
      <c r="M54" s="5"/>
      <c r="N54" s="5">
        <f t="shared" si="10"/>
        <v>3872</v>
      </c>
      <c r="O54" s="5">
        <f t="shared" si="11"/>
        <v>0</v>
      </c>
      <c r="P54" s="5">
        <f>Table1[[#This Row],[Enrolment S.Y. 2025-2026 ]]*8</f>
        <v>3872</v>
      </c>
      <c r="Q54" s="5"/>
      <c r="R54" s="1"/>
      <c r="S54" s="5"/>
      <c r="T54" s="5">
        <f t="shared" si="12"/>
        <v>3872</v>
      </c>
      <c r="U54" s="5">
        <f t="shared" si="13"/>
        <v>0</v>
      </c>
      <c r="V54" s="5">
        <f>Table1[[#This Row],[Enrolment S.Y. 2025-2026 ]]*8</f>
        <v>3872</v>
      </c>
      <c r="W54" s="5"/>
      <c r="X54" s="1"/>
      <c r="Y54" s="5"/>
      <c r="Z54" s="5">
        <f t="shared" si="14"/>
        <v>3872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484</v>
      </c>
      <c r="D55" s="5">
        <f>Table1[[#This Row],[Enrolment S.Y. 2025-2026 ]]*8</f>
        <v>3872</v>
      </c>
      <c r="E55" s="5"/>
      <c r="F55" s="1"/>
      <c r="G55" s="5"/>
      <c r="H55" s="5">
        <f t="shared" si="2"/>
        <v>3872</v>
      </c>
      <c r="I55" s="5">
        <f t="shared" si="3"/>
        <v>0</v>
      </c>
      <c r="J55" s="5">
        <f>Table1[[#This Row],[Enrolment S.Y. 2025-2026 ]]*8</f>
        <v>3872</v>
      </c>
      <c r="K55" s="5"/>
      <c r="L55" s="1"/>
      <c r="M55" s="5"/>
      <c r="N55" s="5">
        <f t="shared" si="10"/>
        <v>3872</v>
      </c>
      <c r="O55" s="5">
        <f t="shared" si="11"/>
        <v>0</v>
      </c>
      <c r="P55" s="5">
        <f>Table1[[#This Row],[Enrolment S.Y. 2025-2026 ]]*8</f>
        <v>3872</v>
      </c>
      <c r="Q55" s="5"/>
      <c r="R55" s="1"/>
      <c r="S55" s="5"/>
      <c r="T55" s="5">
        <f t="shared" si="12"/>
        <v>3872</v>
      </c>
      <c r="U55" s="5">
        <f t="shared" si="13"/>
        <v>0</v>
      </c>
      <c r="V55" s="5">
        <f>Table1[[#This Row],[Enrolment S.Y. 2025-2026 ]]*8</f>
        <v>3872</v>
      </c>
      <c r="W55" s="5"/>
      <c r="X55" s="1"/>
      <c r="Y55" s="5"/>
      <c r="Z55" s="5">
        <f t="shared" si="14"/>
        <v>3872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484</v>
      </c>
      <c r="D56" s="5">
        <f>Table1[[#This Row],[Enrolment S.Y. 2025-2026 ]]*8</f>
        <v>3872</v>
      </c>
      <c r="E56" s="5"/>
      <c r="F56" s="1"/>
      <c r="G56" s="5"/>
      <c r="H56" s="5">
        <f t="shared" si="2"/>
        <v>3872</v>
      </c>
      <c r="I56" s="5">
        <f t="shared" si="3"/>
        <v>0</v>
      </c>
      <c r="J56" s="5">
        <f>Table1[[#This Row],[Enrolment S.Y. 2025-2026 ]]*8</f>
        <v>3872</v>
      </c>
      <c r="K56" s="5"/>
      <c r="L56" s="1"/>
      <c r="M56" s="5"/>
      <c r="N56" s="5">
        <f t="shared" si="10"/>
        <v>3872</v>
      </c>
      <c r="O56" s="5">
        <f t="shared" si="11"/>
        <v>0</v>
      </c>
      <c r="P56" s="5">
        <f>Table1[[#This Row],[Enrolment S.Y. 2025-2026 ]]*8</f>
        <v>3872</v>
      </c>
      <c r="Q56" s="5"/>
      <c r="R56" s="1"/>
      <c r="S56" s="5"/>
      <c r="T56" s="5">
        <f t="shared" si="12"/>
        <v>3872</v>
      </c>
      <c r="U56" s="5">
        <f t="shared" si="13"/>
        <v>0</v>
      </c>
      <c r="V56" s="5">
        <f>Table1[[#This Row],[Enrolment S.Y. 2025-2026 ]]*8</f>
        <v>3872</v>
      </c>
      <c r="W56" s="5"/>
      <c r="X56" s="1"/>
      <c r="Y56" s="5"/>
      <c r="Z56" s="5">
        <f t="shared" si="14"/>
        <v>3872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484</v>
      </c>
      <c r="D57" s="5">
        <f>Table1[[#This Row],[Enrolment S.Y. 2025-2026 ]]*8</f>
        <v>3872</v>
      </c>
      <c r="E57" s="5"/>
      <c r="F57" s="1"/>
      <c r="G57" s="5"/>
      <c r="H57" s="5">
        <f t="shared" si="2"/>
        <v>3872</v>
      </c>
      <c r="I57" s="5">
        <f t="shared" si="3"/>
        <v>0</v>
      </c>
      <c r="J57" s="5">
        <f>Table1[[#This Row],[Enrolment S.Y. 2025-2026 ]]*8</f>
        <v>3872</v>
      </c>
      <c r="K57" s="5"/>
      <c r="L57" s="1"/>
      <c r="M57" s="5"/>
      <c r="N57" s="5">
        <f t="shared" si="10"/>
        <v>3872</v>
      </c>
      <c r="O57" s="5">
        <f t="shared" si="11"/>
        <v>0</v>
      </c>
      <c r="P57" s="5">
        <f>Table1[[#This Row],[Enrolment S.Y. 2025-2026 ]]*8</f>
        <v>3872</v>
      </c>
      <c r="Q57" s="5"/>
      <c r="R57" s="1"/>
      <c r="S57" s="5"/>
      <c r="T57" s="5">
        <f t="shared" si="12"/>
        <v>3872</v>
      </c>
      <c r="U57" s="5">
        <f t="shared" si="13"/>
        <v>0</v>
      </c>
      <c r="V57" s="5">
        <f>Table1[[#This Row],[Enrolment S.Y. 2025-2026 ]]*8</f>
        <v>3872</v>
      </c>
      <c r="W57" s="5"/>
      <c r="X57" s="1"/>
      <c r="Y57" s="5"/>
      <c r="Z57" s="5">
        <f t="shared" si="14"/>
        <v>3872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484</v>
      </c>
      <c r="D58" s="5">
        <f>Table1[[#This Row],[Enrolment S.Y. 2025-2026 ]]*8</f>
        <v>3872</v>
      </c>
      <c r="E58" s="5"/>
      <c r="F58" s="1"/>
      <c r="G58" s="5"/>
      <c r="H58" s="5">
        <f t="shared" si="2"/>
        <v>3872</v>
      </c>
      <c r="I58" s="5">
        <f t="shared" si="3"/>
        <v>0</v>
      </c>
      <c r="J58" s="5">
        <f>Table1[[#This Row],[Enrolment S.Y. 2025-2026 ]]*8</f>
        <v>3872</v>
      </c>
      <c r="K58" s="5"/>
      <c r="L58" s="1"/>
      <c r="M58" s="5"/>
      <c r="N58" s="5">
        <f t="shared" si="10"/>
        <v>3872</v>
      </c>
      <c r="O58" s="5">
        <f t="shared" si="11"/>
        <v>0</v>
      </c>
      <c r="P58" s="5">
        <f>Table1[[#This Row],[Enrolment S.Y. 2025-2026 ]]*8</f>
        <v>3872</v>
      </c>
      <c r="Q58" s="5"/>
      <c r="R58" s="1"/>
      <c r="S58" s="5"/>
      <c r="T58" s="5">
        <f t="shared" si="12"/>
        <v>3872</v>
      </c>
      <c r="U58" s="5">
        <f t="shared" si="13"/>
        <v>0</v>
      </c>
      <c r="V58" s="5">
        <f>Table1[[#This Row],[Enrolment S.Y. 2025-2026 ]]*8</f>
        <v>3872</v>
      </c>
      <c r="W58" s="5"/>
      <c r="X58" s="1"/>
      <c r="Y58" s="5"/>
      <c r="Z58" s="5">
        <f t="shared" si="14"/>
        <v>3872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484</v>
      </c>
      <c r="D59" s="5">
        <f>Table1[[#This Row],[Enrolment S.Y. 2025-2026 ]]*8</f>
        <v>3872</v>
      </c>
      <c r="E59" s="5"/>
      <c r="F59" s="1"/>
      <c r="G59" s="5"/>
      <c r="H59" s="5">
        <f t="shared" si="2"/>
        <v>3872</v>
      </c>
      <c r="I59" s="5">
        <f t="shared" si="3"/>
        <v>0</v>
      </c>
      <c r="J59" s="5">
        <f>Table1[[#This Row],[Enrolment S.Y. 2025-2026 ]]*8</f>
        <v>3872</v>
      </c>
      <c r="K59" s="5"/>
      <c r="L59" s="1"/>
      <c r="M59" s="5"/>
      <c r="N59" s="5">
        <f t="shared" si="10"/>
        <v>3872</v>
      </c>
      <c r="O59" s="5">
        <f t="shared" si="11"/>
        <v>0</v>
      </c>
      <c r="P59" s="5">
        <f>Table1[[#This Row],[Enrolment S.Y. 2025-2026 ]]*8</f>
        <v>3872</v>
      </c>
      <c r="Q59" s="5"/>
      <c r="R59" s="1"/>
      <c r="S59" s="5"/>
      <c r="T59" s="5">
        <f t="shared" si="12"/>
        <v>3872</v>
      </c>
      <c r="U59" s="5">
        <f t="shared" si="13"/>
        <v>0</v>
      </c>
      <c r="V59" s="5">
        <f>Table1[[#This Row],[Enrolment S.Y. 2025-2026 ]]*8</f>
        <v>3872</v>
      </c>
      <c r="W59" s="5"/>
      <c r="X59" s="1"/>
      <c r="Y59" s="5"/>
      <c r="Z59" s="5">
        <f t="shared" si="14"/>
        <v>3872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484</v>
      </c>
      <c r="D60" s="5">
        <f>Table1[[#This Row],[Enrolment S.Y. 2025-2026 ]]*8</f>
        <v>3872</v>
      </c>
      <c r="E60" s="5"/>
      <c r="F60" s="1"/>
      <c r="G60" s="5"/>
      <c r="H60" s="5">
        <f t="shared" si="2"/>
        <v>3872</v>
      </c>
      <c r="I60" s="5">
        <f t="shared" si="3"/>
        <v>0</v>
      </c>
      <c r="J60" s="5">
        <f>Table1[[#This Row],[Enrolment S.Y. 2025-2026 ]]*8</f>
        <v>3872</v>
      </c>
      <c r="K60" s="5"/>
      <c r="L60" s="1"/>
      <c r="M60" s="5"/>
      <c r="N60" s="5">
        <f t="shared" si="10"/>
        <v>3872</v>
      </c>
      <c r="O60" s="5">
        <f t="shared" si="11"/>
        <v>0</v>
      </c>
      <c r="P60" s="5">
        <f>Table1[[#This Row],[Enrolment S.Y. 2025-2026 ]]*8</f>
        <v>3872</v>
      </c>
      <c r="Q60" s="5"/>
      <c r="R60" s="1"/>
      <c r="S60" s="5"/>
      <c r="T60" s="5">
        <f t="shared" si="12"/>
        <v>3872</v>
      </c>
      <c r="U60" s="5">
        <f t="shared" si="13"/>
        <v>0</v>
      </c>
      <c r="V60" s="5">
        <f>Table1[[#This Row],[Enrolment S.Y. 2025-2026 ]]*8</f>
        <v>3872</v>
      </c>
      <c r="W60" s="5"/>
      <c r="X60" s="1"/>
      <c r="Y60" s="5"/>
      <c r="Z60" s="5">
        <f t="shared" si="14"/>
        <v>3872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484</v>
      </c>
      <c r="D61" s="5">
        <f>Table1[[#This Row],[Enrolment S.Y. 2025-2026 ]]*8</f>
        <v>3872</v>
      </c>
      <c r="E61" s="5"/>
      <c r="F61" s="1"/>
      <c r="G61" s="5"/>
      <c r="H61" s="5">
        <f t="shared" si="2"/>
        <v>3872</v>
      </c>
      <c r="I61" s="5">
        <f t="shared" si="3"/>
        <v>0</v>
      </c>
      <c r="J61" s="5">
        <f>Table1[[#This Row],[Enrolment S.Y. 2025-2026 ]]*8</f>
        <v>3872</v>
      </c>
      <c r="K61" s="5"/>
      <c r="L61" s="1"/>
      <c r="M61" s="5"/>
      <c r="N61" s="5">
        <f t="shared" si="10"/>
        <v>3872</v>
      </c>
      <c r="O61" s="5">
        <f t="shared" si="11"/>
        <v>0</v>
      </c>
      <c r="P61" s="5">
        <f>Table1[[#This Row],[Enrolment S.Y. 2025-2026 ]]*8</f>
        <v>3872</v>
      </c>
      <c r="Q61" s="5"/>
      <c r="R61" s="1"/>
      <c r="S61" s="5"/>
      <c r="T61" s="5">
        <f t="shared" si="12"/>
        <v>3872</v>
      </c>
      <c r="U61" s="5">
        <f t="shared" si="13"/>
        <v>0</v>
      </c>
      <c r="V61" s="5">
        <f>Table1[[#This Row],[Enrolment S.Y. 2025-2026 ]]*8</f>
        <v>3872</v>
      </c>
      <c r="W61" s="5"/>
      <c r="X61" s="1"/>
      <c r="Y61" s="5"/>
      <c r="Z61" s="5">
        <f t="shared" si="14"/>
        <v>3872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2:13">
      <c r="J129" t="e">
        <f>#REF!*8</f>
        <v>#REF!</v>
      </c>
    </row>
    <row r="130" spans="2:13">
      <c r="B130" s="48" t="s">
        <v>33</v>
      </c>
      <c r="C130" s="48"/>
      <c r="D130" s="48"/>
      <c r="E130" s="48"/>
      <c r="F130" s="7"/>
      <c r="G130" s="7"/>
      <c r="H130" s="7"/>
      <c r="I130" s="7"/>
      <c r="J130" s="7" t="e">
        <f>#REF!*8</f>
        <v>#REF!</v>
      </c>
      <c r="K130" s="7"/>
      <c r="L130" s="7"/>
      <c r="M130" s="7"/>
    </row>
    <row r="131" spans="2:13">
      <c r="B131" s="48" t="s">
        <v>34</v>
      </c>
      <c r="C131" s="48"/>
      <c r="D131" s="48"/>
      <c r="E131" s="48"/>
      <c r="F131" s="7"/>
      <c r="G131" s="7"/>
      <c r="H131" s="7"/>
      <c r="I131" s="7"/>
      <c r="J131" s="7" t="e">
        <f>#REF!*8</f>
        <v>#REF!</v>
      </c>
      <c r="K131" s="7"/>
      <c r="L131" s="7"/>
      <c r="M131" s="7"/>
    </row>
    <row r="132" spans="2:13">
      <c r="B132" s="48" t="s">
        <v>35</v>
      </c>
      <c r="C132" s="48"/>
      <c r="D132" s="48"/>
      <c r="E132" s="48"/>
      <c r="F132" s="7"/>
      <c r="G132" s="7"/>
      <c r="H132" s="7"/>
      <c r="I132" s="7"/>
      <c r="J132" s="7" t="e">
        <f>#REF!*8</f>
        <v>#REF!</v>
      </c>
      <c r="K132" s="7"/>
      <c r="L132" s="7"/>
      <c r="M132" s="7"/>
    </row>
    <row r="133" spans="2:13" ht="15">
      <c r="B133" s="48"/>
      <c r="C133" s="48"/>
      <c r="D133" s="48"/>
      <c r="E133" s="49" t="s">
        <v>36</v>
      </c>
      <c r="F133" s="7"/>
      <c r="G133" s="7"/>
      <c r="H133" s="7"/>
      <c r="I133" s="7"/>
      <c r="J133" s="7" t="e">
        <f>#REF!*8</f>
        <v>#REF!</v>
      </c>
      <c r="K133" s="7"/>
      <c r="L133" s="7"/>
      <c r="M133" s="7"/>
    </row>
    <row r="134" spans="2:13" ht="15">
      <c r="B134" s="48"/>
      <c r="C134" s="48"/>
      <c r="D134" s="48"/>
      <c r="E134" s="50" t="s">
        <v>37</v>
      </c>
      <c r="F134" s="7"/>
      <c r="G134" s="7"/>
      <c r="H134" s="7"/>
      <c r="I134" s="7"/>
      <c r="J134" s="7" t="e">
        <f>#REF!*8</f>
        <v>#REF!</v>
      </c>
      <c r="K134" s="7"/>
      <c r="L134" s="49" t="s">
        <v>36</v>
      </c>
      <c r="M134" s="48"/>
    </row>
    <row r="135" spans="2:13">
      <c r="B135" s="48"/>
      <c r="C135" s="48"/>
      <c r="D135" s="48"/>
      <c r="E135" s="50" t="s">
        <v>38</v>
      </c>
      <c r="F135" s="7"/>
      <c r="G135" s="7"/>
      <c r="H135" s="7"/>
      <c r="I135" s="7"/>
      <c r="J135" s="7" t="e">
        <f>#REF!*8</f>
        <v>#REF!</v>
      </c>
      <c r="K135" s="7"/>
      <c r="L135" s="50" t="s">
        <v>37</v>
      </c>
      <c r="M135" s="48"/>
    </row>
    <row r="136" spans="2:13" ht="15">
      <c r="B136" s="51" t="s">
        <v>39</v>
      </c>
      <c r="C136" s="48"/>
      <c r="D136" s="48"/>
      <c r="E136" s="48"/>
      <c r="F136" s="7"/>
      <c r="G136" s="7"/>
      <c r="H136" s="7"/>
      <c r="I136" s="7"/>
      <c r="J136" s="7" t="e">
        <f>#REF!*8</f>
        <v>#REF!</v>
      </c>
      <c r="K136" s="7"/>
      <c r="L136" s="50" t="s">
        <v>38</v>
      </c>
      <c r="M136" s="48"/>
    </row>
    <row r="137" spans="2:13">
      <c r="B137" s="50" t="s">
        <v>40</v>
      </c>
      <c r="C137" s="48"/>
      <c r="D137" s="48"/>
      <c r="E137" s="48"/>
      <c r="F137" s="7"/>
      <c r="G137" s="7"/>
      <c r="H137" s="7"/>
      <c r="I137" s="7"/>
      <c r="J137" s="7" t="e">
        <f>#REF!*8</f>
        <v>#REF!</v>
      </c>
      <c r="K137" s="7"/>
      <c r="L137" s="48"/>
      <c r="M137" s="48"/>
    </row>
    <row r="138" spans="2:13">
      <c r="B138" s="50" t="s">
        <v>41</v>
      </c>
      <c r="C138" s="48"/>
      <c r="D138" s="48"/>
      <c r="E138" s="48"/>
      <c r="F138" s="7"/>
      <c r="G138" s="7"/>
      <c r="H138" s="7"/>
      <c r="I138" s="7"/>
      <c r="J138" s="7" t="e">
        <f>#REF!*8</f>
        <v>#REF!</v>
      </c>
      <c r="K138" s="7"/>
      <c r="L138" s="48"/>
      <c r="M138" s="48"/>
    </row>
    <row r="139" spans="2:13">
      <c r="B139" s="7"/>
      <c r="C139" s="7"/>
      <c r="D139" s="7"/>
      <c r="E139" s="7"/>
      <c r="F139" s="7"/>
      <c r="G139" s="7"/>
      <c r="H139" s="7"/>
      <c r="I139" s="7"/>
      <c r="J139" s="7" t="e">
        <f>#REF!*8</f>
        <v>#REF!</v>
      </c>
      <c r="K139" s="7"/>
      <c r="L139" s="48"/>
      <c r="M139" s="48"/>
    </row>
    <row r="140" spans="2:13">
      <c r="B140" s="7"/>
      <c r="C140" s="7"/>
      <c r="D140" s="7"/>
      <c r="E140" s="7"/>
      <c r="F140" s="7"/>
      <c r="G140" s="7"/>
      <c r="H140" s="7"/>
      <c r="I140" s="7"/>
      <c r="J140" s="7" t="e">
        <f>#REF!*8</f>
        <v>#REF!</v>
      </c>
      <c r="K140" s="7"/>
      <c r="L140" s="7"/>
      <c r="M140" s="7"/>
    </row>
    <row r="141" spans="2:13">
      <c r="J141" t="e">
        <f>#REF!*8</f>
        <v>#REF!</v>
      </c>
    </row>
    <row r="142" spans="2:13">
      <c r="J142" t="e">
        <f>#REF!*8</f>
        <v>#REF!</v>
      </c>
    </row>
    <row r="143" spans="2:13">
      <c r="J143" t="e">
        <f>#REF!*8</f>
        <v>#REF!</v>
      </c>
    </row>
    <row r="144" spans="2:13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21 C33:C41 C43:C51 C63:C71 C73:C81 C83:C91 C93:C101 C103:C110 C112:C127 C5:C12 C14:C19 C23:C3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N5:R12 T5:X12 N4:P4 T4:V4 J4 Z4:AA127 N3:R3 Y13 D5:F12 J6:J127 D43:F51 D23:F31 D15:D21 E14:F21" name="LAS"/>
    <protectedRange sqref="G2:I3 M2:O2 S2:U3 Y2:AA3 G112:G127 M112:M127 S112:S127 Y112:Y127 G5:G12 M5:M12 S4:S110 Y5:Y12 G14:G21 M14:M110 M3 Y14:Y110 G33:G41 G43:G51 G53:G61 G63:G71 G73:G81 G83:G91 G93:G101 G103:G110 G23:G3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X112:X127 F33:F41 F43:F51 F63:F71 F73:F81 F53:F61 F5:F12 F83:F91 F93:F101 F23:F31 F103:F110 R103:R110 L103:L110 X103:X110 F14:F21" xr:uid="{4ECCD083-8EC4-42EE-B46C-B614411F330D}">
      <formula1>"2024,2025"</formula1>
    </dataValidation>
    <dataValidation type="list" allowBlank="1" showInputMessage="1" showErrorMessage="1" sqref="M14:M110 Y14:Y110 S4:S110 G5:G12 M5:M12 Y5:Y12 G14:G21 G103:G110 G33:G41 G43:G51 G53:G61 G63:G71 G73:G81 G83:G91 G93:G10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D134" sqref="D134:D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42</v>
      </c>
      <c r="E1" s="42"/>
      <c r="F1" s="42"/>
      <c r="G1" s="42"/>
      <c r="H1" s="42"/>
      <c r="I1" s="42"/>
      <c r="J1" s="43" t="s">
        <v>43</v>
      </c>
      <c r="K1" s="43"/>
      <c r="L1" s="43"/>
      <c r="M1" s="43"/>
      <c r="N1" s="43"/>
      <c r="O1" s="43"/>
      <c r="P1" s="44" t="s">
        <v>44</v>
      </c>
      <c r="Q1" s="44"/>
      <c r="R1" s="44"/>
      <c r="S1" s="44"/>
      <c r="T1" s="44"/>
      <c r="U1" s="44"/>
      <c r="V1" s="45" t="s">
        <v>45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72</v>
      </c>
      <c r="E2" s="20" t="s">
        <v>73</v>
      </c>
      <c r="F2" s="21" t="s">
        <v>74</v>
      </c>
      <c r="G2" s="24" t="s">
        <v>75</v>
      </c>
      <c r="H2" s="17" t="s">
        <v>76</v>
      </c>
      <c r="I2" s="24" t="s">
        <v>77</v>
      </c>
      <c r="J2" s="22" t="s">
        <v>78</v>
      </c>
      <c r="K2" s="22" t="s">
        <v>79</v>
      </c>
      <c r="L2" s="23" t="s">
        <v>80</v>
      </c>
      <c r="M2" s="40" t="s">
        <v>81</v>
      </c>
      <c r="N2" s="40" t="s">
        <v>82</v>
      </c>
      <c r="O2" s="22" t="s">
        <v>83</v>
      </c>
      <c r="P2" s="24" t="s">
        <v>84</v>
      </c>
      <c r="Q2" s="24" t="s">
        <v>85</v>
      </c>
      <c r="R2" s="25" t="s">
        <v>86</v>
      </c>
      <c r="S2" s="17" t="s">
        <v>87</v>
      </c>
      <c r="T2" s="17" t="s">
        <v>88</v>
      </c>
      <c r="U2" s="24" t="s">
        <v>89</v>
      </c>
      <c r="V2" s="26" t="s">
        <v>90</v>
      </c>
      <c r="W2" s="26" t="s">
        <v>91</v>
      </c>
      <c r="X2" s="27" t="s">
        <v>92</v>
      </c>
      <c r="Y2" s="41" t="s">
        <v>93</v>
      </c>
      <c r="Z2" s="41" t="s">
        <v>94</v>
      </c>
      <c r="AA2" s="26" t="s">
        <v>95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71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71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71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484</v>
      </c>
      <c r="D55" s="5">
        <f>Table14[[#This Row],[Enrolment S.Y. 2025-2026 ]]*8</f>
        <v>3872</v>
      </c>
      <c r="E55" s="5">
        <v>800</v>
      </c>
      <c r="F55" s="1">
        <v>2025</v>
      </c>
      <c r="G55" s="5" t="s">
        <v>16</v>
      </c>
      <c r="H55" s="5">
        <f t="shared" si="0"/>
        <v>3072</v>
      </c>
      <c r="I55" s="5">
        <f t="shared" si="1"/>
        <v>0</v>
      </c>
      <c r="J55" s="5">
        <f>Table14[[#This Row],[Enrolment S.Y. 2025-2026 ]]*8</f>
        <v>3872</v>
      </c>
      <c r="K55" s="5"/>
      <c r="L55" s="1"/>
      <c r="M55" s="5"/>
      <c r="N55" s="5">
        <f t="shared" si="2"/>
        <v>3872</v>
      </c>
      <c r="O55" s="5">
        <f t="shared" si="3"/>
        <v>0</v>
      </c>
      <c r="P55" s="5">
        <f>Table14[[#This Row],[Enrolment S.Y. 2025-2026 ]]*8</f>
        <v>3872</v>
      </c>
      <c r="Q55" s="5"/>
      <c r="R55" s="1"/>
      <c r="S55" s="5"/>
      <c r="T55" s="5">
        <f t="shared" si="4"/>
        <v>3872</v>
      </c>
      <c r="U55" s="5">
        <f t="shared" si="5"/>
        <v>0</v>
      </c>
      <c r="V55" s="5">
        <f>Table14[[#This Row],[Enrolment S.Y. 2025-2026 ]]*8</f>
        <v>3872</v>
      </c>
      <c r="W55" s="5">
        <v>400</v>
      </c>
      <c r="X55" s="1">
        <v>2025</v>
      </c>
      <c r="Y55" s="5" t="s">
        <v>16</v>
      </c>
      <c r="Z55" s="5">
        <f t="shared" si="6"/>
        <v>3472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484</v>
      </c>
      <c r="D56" s="5">
        <f>Table14[[#This Row],[Enrolment S.Y. 2025-2026 ]]*8</f>
        <v>3872</v>
      </c>
      <c r="E56" s="5">
        <v>800</v>
      </c>
      <c r="F56" s="1">
        <v>2025</v>
      </c>
      <c r="G56" s="5" t="s">
        <v>16</v>
      </c>
      <c r="H56" s="5">
        <f t="shared" si="0"/>
        <v>3072</v>
      </c>
      <c r="I56" s="5">
        <f t="shared" si="1"/>
        <v>0</v>
      </c>
      <c r="J56" s="5">
        <f>Table14[[#This Row],[Enrolment S.Y. 2025-2026 ]]*8</f>
        <v>3872</v>
      </c>
      <c r="K56" s="5"/>
      <c r="L56" s="1"/>
      <c r="M56" s="5"/>
      <c r="N56" s="5">
        <f t="shared" si="2"/>
        <v>3872</v>
      </c>
      <c r="O56" s="5">
        <f t="shared" si="3"/>
        <v>0</v>
      </c>
      <c r="P56" s="5">
        <f>Table14[[#This Row],[Enrolment S.Y. 2025-2026 ]]*8</f>
        <v>3872</v>
      </c>
      <c r="Q56" s="5"/>
      <c r="R56" s="1"/>
      <c r="S56" s="5"/>
      <c r="T56" s="5">
        <f t="shared" si="4"/>
        <v>3872</v>
      </c>
      <c r="U56" s="5">
        <f t="shared" si="5"/>
        <v>0</v>
      </c>
      <c r="V56" s="5">
        <f>Table14[[#This Row],[Enrolment S.Y. 2025-2026 ]]*8</f>
        <v>3872</v>
      </c>
      <c r="W56" s="5">
        <v>400</v>
      </c>
      <c r="X56" s="1">
        <v>2025</v>
      </c>
      <c r="Y56" s="5" t="s">
        <v>16</v>
      </c>
      <c r="Z56" s="5">
        <f t="shared" si="6"/>
        <v>3472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484</v>
      </c>
      <c r="D57" s="5">
        <f>Table14[[#This Row],[Enrolment S.Y. 2025-2026 ]]*8</f>
        <v>3872</v>
      </c>
      <c r="E57" s="5">
        <v>800</v>
      </c>
      <c r="F57" s="1">
        <v>2025</v>
      </c>
      <c r="G57" s="5" t="s">
        <v>16</v>
      </c>
      <c r="H57" s="5">
        <f t="shared" si="0"/>
        <v>3072</v>
      </c>
      <c r="I57" s="5">
        <f t="shared" si="1"/>
        <v>0</v>
      </c>
      <c r="J57" s="5">
        <f>Table14[[#This Row],[Enrolment S.Y. 2025-2026 ]]*8</f>
        <v>3872</v>
      </c>
      <c r="K57" s="5"/>
      <c r="L57" s="1"/>
      <c r="M57" s="5"/>
      <c r="N57" s="5">
        <f t="shared" si="2"/>
        <v>3872</v>
      </c>
      <c r="O57" s="5">
        <f t="shared" si="3"/>
        <v>0</v>
      </c>
      <c r="P57" s="5">
        <f>Table14[[#This Row],[Enrolment S.Y. 2025-2026 ]]*8</f>
        <v>3872</v>
      </c>
      <c r="Q57" s="5"/>
      <c r="R57" s="1"/>
      <c r="S57" s="5"/>
      <c r="T57" s="5">
        <f t="shared" si="4"/>
        <v>3872</v>
      </c>
      <c r="U57" s="5">
        <f t="shared" si="5"/>
        <v>0</v>
      </c>
      <c r="V57" s="5">
        <f>Table14[[#This Row],[Enrolment S.Y. 2025-2026 ]]*8</f>
        <v>3872</v>
      </c>
      <c r="W57" s="5">
        <v>400</v>
      </c>
      <c r="X57" s="1">
        <v>2025</v>
      </c>
      <c r="Y57" s="5" t="s">
        <v>16</v>
      </c>
      <c r="Z57" s="5">
        <f t="shared" si="6"/>
        <v>3472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484</v>
      </c>
      <c r="D58" s="5">
        <f>Table14[[#This Row],[Enrolment S.Y. 2025-2026 ]]*8</f>
        <v>3872</v>
      </c>
      <c r="E58" s="5"/>
      <c r="F58" s="1"/>
      <c r="G58" s="5"/>
      <c r="H58" s="5">
        <f t="shared" si="0"/>
        <v>3872</v>
      </c>
      <c r="I58" s="5">
        <f t="shared" si="1"/>
        <v>0</v>
      </c>
      <c r="J58" s="5">
        <f>Table14[[#This Row],[Enrolment S.Y. 2025-2026 ]]*8</f>
        <v>3872</v>
      </c>
      <c r="K58" s="5"/>
      <c r="L58" s="1"/>
      <c r="M58" s="5"/>
      <c r="N58" s="5">
        <f t="shared" si="2"/>
        <v>3872</v>
      </c>
      <c r="O58" s="5">
        <f t="shared" si="3"/>
        <v>0</v>
      </c>
      <c r="P58" s="5">
        <f>Table14[[#This Row],[Enrolment S.Y. 2025-2026 ]]*8</f>
        <v>3872</v>
      </c>
      <c r="Q58" s="5"/>
      <c r="R58" s="1"/>
      <c r="S58" s="5"/>
      <c r="T58" s="5">
        <f t="shared" si="4"/>
        <v>3872</v>
      </c>
      <c r="U58" s="5">
        <f t="shared" si="5"/>
        <v>0</v>
      </c>
      <c r="V58" s="5">
        <f>Table14[[#This Row],[Enrolment S.Y. 2025-2026 ]]*8</f>
        <v>3872</v>
      </c>
      <c r="W58" s="5">
        <v>400</v>
      </c>
      <c r="X58" s="1">
        <v>2025</v>
      </c>
      <c r="Y58" s="5" t="s">
        <v>16</v>
      </c>
      <c r="Z58" s="5">
        <f t="shared" si="6"/>
        <v>3472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484</v>
      </c>
      <c r="D59" s="5">
        <f>Table14[[#This Row],[Enrolment S.Y. 2025-2026 ]]*8</f>
        <v>3872</v>
      </c>
      <c r="E59" s="5"/>
      <c r="F59" s="1"/>
      <c r="G59" s="5"/>
      <c r="H59" s="5">
        <f t="shared" si="0"/>
        <v>3872</v>
      </c>
      <c r="I59" s="5">
        <f t="shared" si="1"/>
        <v>0</v>
      </c>
      <c r="J59" s="5">
        <f>Table14[[#This Row],[Enrolment S.Y. 2025-2026 ]]*8</f>
        <v>3872</v>
      </c>
      <c r="K59" s="5"/>
      <c r="L59" s="1"/>
      <c r="M59" s="5"/>
      <c r="N59" s="5">
        <f t="shared" si="2"/>
        <v>3872</v>
      </c>
      <c r="O59" s="5">
        <f t="shared" si="3"/>
        <v>0</v>
      </c>
      <c r="P59" s="5">
        <f>Table14[[#This Row],[Enrolment S.Y. 2025-2026 ]]*8</f>
        <v>3872</v>
      </c>
      <c r="Q59" s="5"/>
      <c r="R59" s="1"/>
      <c r="S59" s="5"/>
      <c r="T59" s="5">
        <f t="shared" si="4"/>
        <v>3872</v>
      </c>
      <c r="U59" s="5">
        <f t="shared" si="5"/>
        <v>0</v>
      </c>
      <c r="V59" s="5">
        <f>Table14[[#This Row],[Enrolment S.Y. 2025-2026 ]]*8</f>
        <v>3872</v>
      </c>
      <c r="W59" s="5">
        <v>400</v>
      </c>
      <c r="X59" s="1">
        <v>2025</v>
      </c>
      <c r="Y59" s="5" t="s">
        <v>16</v>
      </c>
      <c r="Z59" s="5">
        <f t="shared" si="6"/>
        <v>3472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484</v>
      </c>
      <c r="D60" s="5">
        <f>Table14[[#This Row],[Enrolment S.Y. 2025-2026 ]]*8</f>
        <v>3872</v>
      </c>
      <c r="E60" s="5"/>
      <c r="F60" s="1"/>
      <c r="G60" s="5"/>
      <c r="H60" s="5">
        <f t="shared" si="0"/>
        <v>3872</v>
      </c>
      <c r="I60" s="5">
        <f t="shared" si="1"/>
        <v>0</v>
      </c>
      <c r="J60" s="5">
        <f>Table14[[#This Row],[Enrolment S.Y. 2025-2026 ]]*8</f>
        <v>3872</v>
      </c>
      <c r="K60" s="5"/>
      <c r="L60" s="1"/>
      <c r="M60" s="5"/>
      <c r="N60" s="5">
        <f t="shared" si="2"/>
        <v>3872</v>
      </c>
      <c r="O60" s="5">
        <f t="shared" si="3"/>
        <v>0</v>
      </c>
      <c r="P60" s="5">
        <f>Table14[[#This Row],[Enrolment S.Y. 2025-2026 ]]*8</f>
        <v>3872</v>
      </c>
      <c r="Q60" s="5"/>
      <c r="R60" s="1"/>
      <c r="S60" s="5"/>
      <c r="T60" s="5">
        <f t="shared" si="4"/>
        <v>3872</v>
      </c>
      <c r="U60" s="5">
        <f t="shared" si="5"/>
        <v>0</v>
      </c>
      <c r="V60" s="5">
        <f>Table14[[#This Row],[Enrolment S.Y. 2025-2026 ]]*8</f>
        <v>3872</v>
      </c>
      <c r="W60" s="5">
        <v>400</v>
      </c>
      <c r="X60" s="1">
        <v>2025</v>
      </c>
      <c r="Y60" s="5" t="s">
        <v>16</v>
      </c>
      <c r="Z60" s="5">
        <f t="shared" si="6"/>
        <v>3472</v>
      </c>
      <c r="AA60" s="5">
        <f t="shared" si="7"/>
        <v>0</v>
      </c>
    </row>
    <row r="61" spans="1:27" ht="19.5">
      <c r="A61" s="37">
        <v>6</v>
      </c>
      <c r="B61" s="9" t="s">
        <v>96</v>
      </c>
      <c r="C61" s="5">
        <v>484</v>
      </c>
      <c r="D61" s="5">
        <f>Table14[[#This Row],[Enrolment S.Y. 2025-2026 ]]*8</f>
        <v>3872</v>
      </c>
      <c r="E61" s="5"/>
      <c r="F61" s="1"/>
      <c r="G61" s="5"/>
      <c r="H61" s="5">
        <f>IF((D61-E61)&lt;0,0,(D61-E61))</f>
        <v>3872</v>
      </c>
      <c r="I61" s="5">
        <f>IF((E61-D61)&lt;0,0,(E61-D61))</f>
        <v>0</v>
      </c>
      <c r="J61" s="5">
        <f>Table14[[#This Row],[Enrolment S.Y. 2025-2026 ]]*8</f>
        <v>3872</v>
      </c>
      <c r="K61" s="5"/>
      <c r="L61" s="1"/>
      <c r="M61" s="5"/>
      <c r="N61" s="5">
        <f t="shared" ref="N61:N65" si="12">IF((J61-K61)&lt;0,0,(J61-K61))</f>
        <v>3872</v>
      </c>
      <c r="O61" s="5">
        <f t="shared" ref="O61:O65" si="13">IF((K61-J61)&lt;0,0,(K61-J61))</f>
        <v>0</v>
      </c>
      <c r="P61" s="5">
        <f>Table14[[#This Row],[Enrolment S.Y. 2025-2026 ]]*8</f>
        <v>3872</v>
      </c>
      <c r="Q61" s="5"/>
      <c r="R61" s="1"/>
      <c r="S61" s="5"/>
      <c r="T61" s="5">
        <f>IF((P61-Q61)&lt;0,0,(P61-Q61))</f>
        <v>3872</v>
      </c>
      <c r="U61" s="5">
        <f>IF((Q61-P61)&lt;0,0,(Q61-P61))</f>
        <v>0</v>
      </c>
      <c r="V61" s="5">
        <f>Table14[[#This Row],[Enrolment S.Y. 2025-2026 ]]*8</f>
        <v>3872</v>
      </c>
      <c r="W61" s="5">
        <v>400</v>
      </c>
      <c r="X61" s="1">
        <v>2025</v>
      </c>
      <c r="Y61" s="5" t="s">
        <v>16</v>
      </c>
      <c r="Z61" s="5">
        <f>IF((V61-W61)&lt;0,0,(V61-W61))</f>
        <v>3472</v>
      </c>
      <c r="AA61" s="5">
        <f>IF((W61-V61)&lt;0,0,(W61-V61))</f>
        <v>0</v>
      </c>
    </row>
    <row r="62" spans="1:27" ht="19.5">
      <c r="A62" s="1">
        <v>6</v>
      </c>
      <c r="B62" s="9" t="s">
        <v>97</v>
      </c>
      <c r="C62" s="1">
        <v>484</v>
      </c>
      <c r="D62" s="5">
        <f>Table14[[#This Row],[Enrolment S.Y. 2025-2026 ]]*8</f>
        <v>3872</v>
      </c>
      <c r="E62" s="5"/>
      <c r="F62" s="1"/>
      <c r="G62" s="5"/>
      <c r="H62" s="5">
        <f t="shared" si="0"/>
        <v>3872</v>
      </c>
      <c r="I62" s="5">
        <f t="shared" si="1"/>
        <v>0</v>
      </c>
      <c r="J62" s="5">
        <f>Table14[[#This Row],[Enrolment S.Y. 2025-2026 ]]*8</f>
        <v>3872</v>
      </c>
      <c r="K62" s="5"/>
      <c r="L62" s="1"/>
      <c r="M62" s="5"/>
      <c r="N62" s="5">
        <f t="shared" si="12"/>
        <v>3872</v>
      </c>
      <c r="O62" s="5">
        <f t="shared" si="13"/>
        <v>0</v>
      </c>
      <c r="P62" s="5">
        <f>Table14[[#This Row],[Enrolment S.Y. 2025-2026 ]]*8</f>
        <v>3872</v>
      </c>
      <c r="Q62" s="5"/>
      <c r="R62" s="1"/>
      <c r="S62" s="5"/>
      <c r="T62" s="5">
        <f t="shared" si="4"/>
        <v>3872</v>
      </c>
      <c r="U62" s="5">
        <f t="shared" si="5"/>
        <v>0</v>
      </c>
      <c r="V62" s="5">
        <f>Table14[[#This Row],[Enrolment S.Y. 2025-2026 ]]*8</f>
        <v>3872</v>
      </c>
      <c r="W62" s="5">
        <v>400</v>
      </c>
      <c r="X62" s="1">
        <v>2025</v>
      </c>
      <c r="Y62" s="5" t="s">
        <v>16</v>
      </c>
      <c r="Z62" s="5">
        <f t="shared" si="6"/>
        <v>3472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484</v>
      </c>
      <c r="D63" s="5">
        <f>Table14[[#This Row],[Enrolment S.Y. 2025-2026 ]]*8</f>
        <v>3872</v>
      </c>
      <c r="E63" s="5"/>
      <c r="F63" s="1"/>
      <c r="G63" s="5"/>
      <c r="H63" s="5">
        <f t="shared" si="0"/>
        <v>3872</v>
      </c>
      <c r="I63" s="5">
        <f t="shared" si="1"/>
        <v>0</v>
      </c>
      <c r="J63" s="5">
        <f>Table14[[#This Row],[Enrolment S.Y. 2025-2026 ]]*8</f>
        <v>3872</v>
      </c>
      <c r="K63" s="5"/>
      <c r="L63" s="1"/>
      <c r="M63" s="5"/>
      <c r="N63" s="5">
        <f t="shared" si="12"/>
        <v>3872</v>
      </c>
      <c r="O63" s="5">
        <f t="shared" si="13"/>
        <v>0</v>
      </c>
      <c r="P63" s="5">
        <f>Table14[[#This Row],[Enrolment S.Y. 2025-2026 ]]*8</f>
        <v>3872</v>
      </c>
      <c r="Q63" s="5"/>
      <c r="R63" s="1"/>
      <c r="S63" s="5"/>
      <c r="T63" s="5">
        <f t="shared" si="4"/>
        <v>3872</v>
      </c>
      <c r="U63" s="5">
        <f t="shared" si="5"/>
        <v>0</v>
      </c>
      <c r="V63" s="5">
        <f>Table14[[#This Row],[Enrolment S.Y. 2025-2026 ]]*8</f>
        <v>3872</v>
      </c>
      <c r="W63" s="5"/>
      <c r="X63" s="1"/>
      <c r="Y63" s="5"/>
      <c r="Z63" s="5">
        <f t="shared" si="6"/>
        <v>3872</v>
      </c>
      <c r="AA63" s="5">
        <f t="shared" si="7"/>
        <v>0</v>
      </c>
    </row>
    <row r="64" spans="1:27" ht="19.5">
      <c r="A64" s="37">
        <v>6</v>
      </c>
      <c r="B64" s="9" t="s">
        <v>98</v>
      </c>
      <c r="C64" s="5">
        <v>484</v>
      </c>
      <c r="D64" s="5">
        <f>Table14[[#This Row],[Enrolment S.Y. 2025-2026 ]]*8</f>
        <v>3872</v>
      </c>
      <c r="E64" s="5"/>
      <c r="F64" s="1"/>
      <c r="G64" s="5"/>
      <c r="H64" s="5">
        <f>IF((D64-E64)&lt;0,0,(D64-E64))</f>
        <v>3872</v>
      </c>
      <c r="I64" s="5">
        <f>IF((E64-D64)&lt;0,0,(E64-D64))</f>
        <v>0</v>
      </c>
      <c r="J64" s="5">
        <f>Table14[[#This Row],[Enrolment S.Y. 2025-2026 ]]*8</f>
        <v>3872</v>
      </c>
      <c r="K64" s="5"/>
      <c r="L64" s="1"/>
      <c r="M64" s="5"/>
      <c r="N64" s="5">
        <f t="shared" si="12"/>
        <v>3872</v>
      </c>
      <c r="O64" s="5">
        <f t="shared" si="13"/>
        <v>0</v>
      </c>
      <c r="P64" s="5">
        <f>Table14[[#This Row],[Enrolment S.Y. 2025-2026 ]]*8</f>
        <v>3872</v>
      </c>
      <c r="Q64" s="5"/>
      <c r="R64" s="1"/>
      <c r="S64" s="5"/>
      <c r="T64" s="5">
        <f>IF((P64-Q64)&lt;0,0,(P64-Q64))</f>
        <v>3872</v>
      </c>
      <c r="U64" s="5">
        <f>IF((Q64-P64)&lt;0,0,(Q64-P64))</f>
        <v>0</v>
      </c>
      <c r="V64" s="5">
        <f>Table14[[#This Row],[Enrolment S.Y. 2025-2026 ]]*8</f>
        <v>3872</v>
      </c>
      <c r="W64" s="5">
        <v>400</v>
      </c>
      <c r="X64" s="1">
        <v>2025</v>
      </c>
      <c r="Y64" s="5" t="s">
        <v>16</v>
      </c>
      <c r="Z64" s="5">
        <f>IF((V64-W64)&lt;0,0,(V64-W64))</f>
        <v>3472</v>
      </c>
      <c r="AA64" s="5">
        <f>IF((W64-V64)&lt;0,0,(W64-V64))</f>
        <v>0</v>
      </c>
    </row>
    <row r="65" spans="1:27" ht="19.5">
      <c r="A65" s="1">
        <v>6</v>
      </c>
      <c r="B65" s="9" t="s">
        <v>99</v>
      </c>
      <c r="C65" s="1">
        <v>484</v>
      </c>
      <c r="D65" s="5">
        <f>Table14[[#This Row],[Enrolment S.Y. 2025-2026 ]]*8</f>
        <v>3872</v>
      </c>
      <c r="E65" s="5"/>
      <c r="F65" s="1"/>
      <c r="G65" s="5"/>
      <c r="H65" s="5">
        <f t="shared" si="0"/>
        <v>3872</v>
      </c>
      <c r="I65" s="5">
        <f t="shared" si="1"/>
        <v>0</v>
      </c>
      <c r="J65" s="5">
        <f>Table14[[#This Row],[Enrolment S.Y. 2025-2026 ]]*8</f>
        <v>3872</v>
      </c>
      <c r="K65" s="5"/>
      <c r="L65" s="1"/>
      <c r="M65" s="5"/>
      <c r="N65" s="5">
        <f t="shared" si="12"/>
        <v>3872</v>
      </c>
      <c r="O65" s="5">
        <f t="shared" si="13"/>
        <v>0</v>
      </c>
      <c r="P65" s="5">
        <f>Table14[[#This Row],[Enrolment S.Y. 2025-2026 ]]*8</f>
        <v>3872</v>
      </c>
      <c r="Q65" s="5"/>
      <c r="R65" s="1"/>
      <c r="S65" s="5"/>
      <c r="T65" s="5">
        <f t="shared" si="4"/>
        <v>3872</v>
      </c>
      <c r="U65" s="5">
        <f t="shared" si="5"/>
        <v>0</v>
      </c>
      <c r="V65" s="5">
        <f>Table14[[#This Row],[Enrolment S.Y. 2025-2026 ]]*8</f>
        <v>3872</v>
      </c>
      <c r="W65" s="5">
        <v>400</v>
      </c>
      <c r="X65" s="1">
        <v>2025</v>
      </c>
      <c r="Y65" s="5" t="s">
        <v>16</v>
      </c>
      <c r="Z65" s="5">
        <f t="shared" si="6"/>
        <v>3472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 ht="15">
      <c r="J147" t="e">
        <f>#REF!*8</f>
        <v>#REF!</v>
      </c>
    </row>
    <row r="148" spans="10:10" ht="15">
      <c r="J148" t="e">
        <f>#REF!*8</f>
        <v>#REF!</v>
      </c>
    </row>
    <row r="149" spans="10:10">
      <c r="J149" t="e">
        <f>#REF!*8</f>
        <v>#REF!</v>
      </c>
    </row>
    <row r="150" spans="10:10" ht="15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2026-01-16T04:21:02Z</dcterms:modified>
  <cp:category/>
  <cp:contentStatus/>
</cp:coreProperties>
</file>