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9" documentId="13_ncr:1_{BFB59F67-F0DC-4675-A682-EB0734A8026A}" xr6:coauthVersionLast="47" xr6:coauthVersionMax="47" xr10:uidLastSave="{10998D85-291C-44FA-B01A-A2E0EC33A690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<sst xmlns="http://schemas.openxmlformats.org/spreadsheetml/2006/main" count="415" uniqueCount="91">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</sst>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sqref="E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183</v>
      </c>
      <c r="D2" s="1">
        <v>331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148</v>
      </c>
    </row>
    <row r="3" spans="1:8" ht="29.25" customHeight="1">
      <c r="A3" s="1">
        <v>1</v>
      </c>
      <c r="B3" s="2" t="s">
        <v>10</v>
      </c>
      <c r="C3" s="1">
        <v>183</v>
      </c>
      <c r="D3" s="1">
        <v>331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148</v>
      </c>
    </row>
    <row r="4" spans="1:8" ht="21" customHeight="1">
      <c r="A4" s="1">
        <v>1</v>
      </c>
      <c r="B4" s="2" t="s">
        <v>11</v>
      </c>
      <c r="C4" s="1">
        <v>183</v>
      </c>
      <c r="D4" s="1">
        <v>331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148</v>
      </c>
    </row>
    <row r="5" spans="1:8" ht="25.5" customHeight="1">
      <c r="A5" s="1">
        <v>1</v>
      </c>
      <c r="B5" s="2" t="s">
        <v>12</v>
      </c>
      <c r="C5" s="1">
        <v>183</v>
      </c>
      <c r="D5" s="1">
        <v>331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148</v>
      </c>
    </row>
    <row r="6" spans="1:8" ht="19.5">
      <c r="A6" s="1">
        <v>1</v>
      </c>
      <c r="B6" s="2" t="s">
        <v>13</v>
      </c>
      <c r="C6" s="1">
        <v>183</v>
      </c>
      <c r="D6" s="1"/>
      <c r="E6" s="1"/>
      <c r="F6" s="5"/>
      <c r="G6" s="3">
        <f t="shared" si="0"/>
        <v>183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235</v>
      </c>
      <c r="D8" s="1">
        <v>0</v>
      </c>
      <c r="E8" s="1"/>
      <c r="F8" s="5"/>
      <c r="G8" s="3">
        <f>IF((C8-D8)&lt;0,0,C8-D8)</f>
        <v>235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235</v>
      </c>
      <c r="D9" s="1">
        <v>0</v>
      </c>
      <c r="E9" s="1"/>
      <c r="F9" s="5"/>
      <c r="G9" s="3">
        <f>IF((C9-D9)&lt;0,0,C9-D9)</f>
        <v>235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235</v>
      </c>
      <c r="D10" s="1">
        <v>0</v>
      </c>
      <c r="E10" s="1"/>
      <c r="F10" s="5"/>
      <c r="G10" s="3">
        <f>IF((C10-D10)&lt;0,0,C10-D10)</f>
        <v>235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235</v>
      </c>
      <c r="D11" s="1">
        <v>0</v>
      </c>
      <c r="E11" s="1"/>
      <c r="F11" s="5"/>
      <c r="G11" s="3">
        <f>IF((C11-D11)&lt;0,0,C11-D11)</f>
        <v>235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235</v>
      </c>
      <c r="D12" s="1">
        <v>0</v>
      </c>
      <c r="E12" s="1"/>
      <c r="F12" s="5"/>
      <c r="G12" s="3">
        <f>IF((C12-D12)&lt;0,0,C12-D12)</f>
        <v>235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295</v>
      </c>
      <c r="D14" s="1"/>
      <c r="E14" s="1"/>
      <c r="F14" s="5"/>
      <c r="G14" s="3">
        <f t="shared" ref="G14:G19" si="2">IF((C14-D14)&lt;0,0,C14-D14)</f>
        <v>295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295</v>
      </c>
      <c r="D15" s="1"/>
      <c r="E15" s="1"/>
      <c r="F15" s="5"/>
      <c r="G15" s="3">
        <f t="shared" si="2"/>
        <v>295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295</v>
      </c>
      <c r="D16" s="1"/>
      <c r="E16" s="1"/>
      <c r="F16" s="5"/>
      <c r="G16" s="3">
        <f t="shared" si="2"/>
        <v>295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295</v>
      </c>
      <c r="D17" s="1"/>
      <c r="E17" s="1"/>
      <c r="F17" s="5"/>
      <c r="G17" s="3">
        <f t="shared" si="2"/>
        <v>295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295</v>
      </c>
      <c r="D18" s="1"/>
      <c r="E18" s="1"/>
      <c r="F18" s="5"/>
      <c r="G18" s="3">
        <f t="shared" si="2"/>
        <v>295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295</v>
      </c>
      <c r="D19" s="1"/>
      <c r="E19" s="1"/>
      <c r="F19" s="5"/>
      <c r="G19" s="3">
        <f t="shared" si="2"/>
        <v>295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287</v>
      </c>
      <c r="D21" s="1">
        <v>309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22</v>
      </c>
    </row>
    <row r="22" spans="1:8" ht="24" customHeight="1">
      <c r="A22" s="1">
        <v>4</v>
      </c>
      <c r="B22" s="9" t="s">
        <v>16</v>
      </c>
      <c r="C22" s="1">
        <v>287</v>
      </c>
      <c r="D22" s="1">
        <v>309</v>
      </c>
      <c r="E22" s="1">
        <v>2024</v>
      </c>
      <c r="F22" s="5"/>
      <c r="G22" s="3">
        <f t="shared" si="4"/>
        <v>0</v>
      </c>
      <c r="H22" s="4">
        <f t="shared" si="5"/>
        <v>22</v>
      </c>
    </row>
    <row r="23" spans="1:8" ht="19.5">
      <c r="A23" s="1">
        <v>4</v>
      </c>
      <c r="B23" s="9" t="s">
        <v>13</v>
      </c>
      <c r="C23" s="1">
        <v>287</v>
      </c>
      <c r="D23" s="1">
        <v>309</v>
      </c>
      <c r="E23" s="1">
        <v>2025</v>
      </c>
      <c r="F23" s="5"/>
      <c r="G23" s="3">
        <f t="shared" si="4"/>
        <v>0</v>
      </c>
      <c r="H23" s="4">
        <f t="shared" si="5"/>
        <v>22</v>
      </c>
    </row>
    <row r="24" spans="1:8" ht="27" customHeight="1">
      <c r="A24" s="1">
        <v>4</v>
      </c>
      <c r="B24" s="9" t="s">
        <v>11</v>
      </c>
      <c r="C24" s="1">
        <v>287</v>
      </c>
      <c r="D24" s="1">
        <v>309</v>
      </c>
      <c r="E24" s="1">
        <v>2024</v>
      </c>
      <c r="F24" s="5"/>
      <c r="G24" s="3">
        <f t="shared" si="4"/>
        <v>0</v>
      </c>
      <c r="H24" s="4">
        <f t="shared" si="5"/>
        <v>22</v>
      </c>
    </row>
    <row r="25" spans="1:8" ht="33.75" customHeight="1">
      <c r="A25" s="1">
        <v>4</v>
      </c>
      <c r="B25" s="9" t="s">
        <v>17</v>
      </c>
      <c r="C25" s="1">
        <v>287</v>
      </c>
      <c r="D25" s="1">
        <v>309</v>
      </c>
      <c r="E25" s="1">
        <v>2024</v>
      </c>
      <c r="F25" s="5"/>
      <c r="G25" s="3">
        <f t="shared" si="4"/>
        <v>0</v>
      </c>
      <c r="H25" s="4">
        <f t="shared" si="5"/>
        <v>22</v>
      </c>
    </row>
    <row r="26" spans="1:8" ht="33.75" customHeight="1">
      <c r="A26" s="1">
        <v>4</v>
      </c>
      <c r="B26" s="9" t="s">
        <v>14</v>
      </c>
      <c r="C26" s="1">
        <v>287</v>
      </c>
      <c r="D26" s="1">
        <v>309</v>
      </c>
      <c r="E26" s="1">
        <v>2024</v>
      </c>
      <c r="F26" s="5"/>
      <c r="G26" s="3">
        <f t="shared" si="4"/>
        <v>0</v>
      </c>
      <c r="H26" s="4">
        <f t="shared" si="5"/>
        <v>22</v>
      </c>
    </row>
    <row r="27" spans="1:8" ht="33.75" customHeight="1">
      <c r="A27" s="1">
        <v>4</v>
      </c>
      <c r="B27" s="9" t="s">
        <v>18</v>
      </c>
      <c r="C27" s="1">
        <v>287</v>
      </c>
      <c r="D27" s="1">
        <v>309</v>
      </c>
      <c r="E27" s="1">
        <v>2024</v>
      </c>
      <c r="F27" s="5"/>
      <c r="G27" s="3">
        <f t="shared" si="4"/>
        <v>0</v>
      </c>
      <c r="H27" s="4">
        <f t="shared" si="5"/>
        <v>22</v>
      </c>
    </row>
    <row r="28" spans="1:8" ht="27.75" customHeight="1">
      <c r="A28" s="1">
        <v>4</v>
      </c>
      <c r="B28" s="9" t="s">
        <v>19</v>
      </c>
      <c r="C28" s="1">
        <v>287</v>
      </c>
      <c r="D28" s="1">
        <v>0</v>
      </c>
      <c r="E28" s="1"/>
      <c r="F28" s="5"/>
      <c r="G28" s="3">
        <f t="shared" si="4"/>
        <v>287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287</v>
      </c>
      <c r="D29" s="1">
        <v>0</v>
      </c>
      <c r="E29" s="1"/>
      <c r="F29" s="5"/>
      <c r="G29" s="3">
        <f t="shared" si="4"/>
        <v>287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232</v>
      </c>
      <c r="D31" s="1">
        <v>233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16</v>
      </c>
      <c r="C32" s="1">
        <v>232</v>
      </c>
      <c r="D32" s="1">
        <v>0</v>
      </c>
      <c r="E32" s="1"/>
      <c r="F32" s="5"/>
      <c r="G32" s="3">
        <f t="shared" si="6"/>
        <v>232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232</v>
      </c>
      <c r="D33" s="1">
        <v>0</v>
      </c>
      <c r="E33" s="1"/>
      <c r="F33" s="5"/>
      <c r="G33" s="3">
        <f t="shared" si="6"/>
        <v>232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232</v>
      </c>
      <c r="D34" s="1">
        <v>0</v>
      </c>
      <c r="E34" s="1"/>
      <c r="F34" s="5"/>
      <c r="G34" s="3">
        <f t="shared" si="6"/>
        <v>232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232</v>
      </c>
      <c r="D35" s="1">
        <v>233</v>
      </c>
      <c r="E35" s="1">
        <v>2025</v>
      </c>
      <c r="F35" s="5"/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14</v>
      </c>
      <c r="C36" s="1">
        <v>232</v>
      </c>
      <c r="D36" s="1">
        <v>233</v>
      </c>
      <c r="E36" s="1">
        <v>2025</v>
      </c>
      <c r="F36" s="5"/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18</v>
      </c>
      <c r="C37" s="1">
        <v>232</v>
      </c>
      <c r="D37" s="1">
        <v>233</v>
      </c>
      <c r="E37" s="1">
        <v>2025</v>
      </c>
      <c r="F37" s="5"/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19</v>
      </c>
      <c r="C38" s="1">
        <v>232</v>
      </c>
      <c r="D38" s="1">
        <v>0</v>
      </c>
      <c r="E38" s="1"/>
      <c r="F38" s="5"/>
      <c r="G38" s="3">
        <f t="shared" si="6"/>
        <v>232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232</v>
      </c>
      <c r="D39" s="1">
        <v>0</v>
      </c>
      <c r="E39" s="1"/>
      <c r="F39" s="5"/>
      <c r="G39" s="3">
        <f t="shared" si="6"/>
        <v>232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198</v>
      </c>
      <c r="D41" s="1">
        <v>0</v>
      </c>
      <c r="E41" s="1"/>
      <c r="F41" s="5"/>
      <c r="G41" s="3">
        <f t="shared" ref="G41:G49" si="8">IF((C41-D41)&lt;0,0,C41-D41)</f>
        <v>198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198</v>
      </c>
      <c r="D42" s="1">
        <v>0</v>
      </c>
      <c r="E42" s="1"/>
      <c r="F42" s="5"/>
      <c r="G42" s="3">
        <f t="shared" si="8"/>
        <v>198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198</v>
      </c>
      <c r="D43" s="1">
        <v>0</v>
      </c>
      <c r="E43" s="1"/>
      <c r="F43" s="5"/>
      <c r="G43" s="3">
        <f t="shared" si="8"/>
        <v>198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198</v>
      </c>
      <c r="D44" s="1">
        <v>0</v>
      </c>
      <c r="E44" s="1"/>
      <c r="F44" s="5"/>
      <c r="G44" s="3">
        <f t="shared" si="8"/>
        <v>198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198</v>
      </c>
      <c r="D45" s="1">
        <v>0</v>
      </c>
      <c r="E45" s="1"/>
      <c r="F45" s="5"/>
      <c r="G45" s="3">
        <f t="shared" si="8"/>
        <v>198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198</v>
      </c>
      <c r="D46" s="1">
        <v>0</v>
      </c>
      <c r="E46" s="1"/>
      <c r="F46" s="5"/>
      <c r="G46" s="3">
        <f t="shared" si="8"/>
        <v>198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198</v>
      </c>
      <c r="D47" s="1">
        <v>0</v>
      </c>
      <c r="E47" s="1"/>
      <c r="F47" s="5"/>
      <c r="G47" s="3">
        <f t="shared" si="8"/>
        <v>198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198</v>
      </c>
      <c r="D48" s="1">
        <v>0</v>
      </c>
      <c r="E48" s="1"/>
      <c r="F48" s="5"/>
      <c r="G48" s="3">
        <f t="shared" si="8"/>
        <v>198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198</v>
      </c>
      <c r="D49" s="1">
        <v>0</v>
      </c>
      <c r="E49" s="1"/>
      <c r="F49" s="5"/>
      <c r="G49" s="3">
        <f t="shared" si="8"/>
        <v>198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C13" sqref="AC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>
        <v>0</v>
      </c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>
        <v>0</v>
      </c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235</v>
      </c>
      <c r="D16" s="5">
        <f>Table1[[#This Row],[Enrolment S.Y. 2025-2026 ]]*8</f>
        <v>1880</v>
      </c>
      <c r="E16" s="5">
        <v>257</v>
      </c>
      <c r="F16" s="1">
        <v>2025</v>
      </c>
      <c r="G16" s="5" t="s">
        <v>9</v>
      </c>
      <c r="H16" s="5">
        <f t="shared" si="2"/>
        <v>1623</v>
      </c>
      <c r="I16" s="5">
        <f t="shared" si="3"/>
        <v>0</v>
      </c>
      <c r="J16" s="5">
        <f>Table1[[#This Row],[Enrolment S.Y. 2025-2026 ]]*8</f>
        <v>1880</v>
      </c>
      <c r="K16" s="5"/>
      <c r="L16" s="1"/>
      <c r="M16" s="5"/>
      <c r="N16" s="5">
        <f t="shared" si="10"/>
        <v>1880</v>
      </c>
      <c r="O16" s="5">
        <f t="shared" si="11"/>
        <v>0</v>
      </c>
      <c r="P16" s="5">
        <f>Table1[[#This Row],[Enrolment S.Y. 2025-2026 ]]*8</f>
        <v>1880</v>
      </c>
      <c r="Q16" s="5"/>
      <c r="R16" s="1"/>
      <c r="S16" s="5"/>
      <c r="T16" s="5">
        <f t="shared" si="12"/>
        <v>1880</v>
      </c>
      <c r="U16" s="5">
        <f t="shared" si="13"/>
        <v>0</v>
      </c>
      <c r="V16" s="5">
        <f>Table1[[#This Row],[Enrolment S.Y. 2025-2026 ]]*8</f>
        <v>1880</v>
      </c>
      <c r="W16" s="5"/>
      <c r="X16" s="1"/>
      <c r="Y16" s="5"/>
      <c r="Z16" s="5">
        <f t="shared" si="14"/>
        <v>1880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235</v>
      </c>
      <c r="D17" s="5">
        <f>Table1[[#This Row],[Enrolment S.Y. 2025-2026 ]]*8</f>
        <v>1880</v>
      </c>
      <c r="E17" s="5">
        <v>257</v>
      </c>
      <c r="F17" s="1">
        <v>2025</v>
      </c>
      <c r="G17" s="5" t="s">
        <v>9</v>
      </c>
      <c r="H17" s="5">
        <f t="shared" si="2"/>
        <v>1623</v>
      </c>
      <c r="I17" s="5">
        <f t="shared" si="3"/>
        <v>0</v>
      </c>
      <c r="J17" s="5">
        <f>Table1[[#This Row],[Enrolment S.Y. 2025-2026 ]]*8</f>
        <v>1880</v>
      </c>
      <c r="K17" s="5"/>
      <c r="L17" s="1"/>
      <c r="M17" s="5"/>
      <c r="N17" s="5">
        <f t="shared" si="10"/>
        <v>1880</v>
      </c>
      <c r="O17" s="5">
        <f t="shared" si="11"/>
        <v>0</v>
      </c>
      <c r="P17" s="5">
        <f>Table1[[#This Row],[Enrolment S.Y. 2025-2026 ]]*8</f>
        <v>1880</v>
      </c>
      <c r="Q17" s="5"/>
      <c r="R17" s="1"/>
      <c r="S17" s="5"/>
      <c r="T17" s="5">
        <f t="shared" si="12"/>
        <v>1880</v>
      </c>
      <c r="U17" s="5">
        <f t="shared" si="13"/>
        <v>0</v>
      </c>
      <c r="V17" s="5">
        <f>Table1[[#This Row],[Enrolment S.Y. 2025-2026 ]]*8</f>
        <v>1880</v>
      </c>
      <c r="W17" s="5"/>
      <c r="X17" s="1"/>
      <c r="Y17" s="5"/>
      <c r="Z17" s="5">
        <f t="shared" si="14"/>
        <v>1880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235</v>
      </c>
      <c r="D18" s="5">
        <f>Table1[[#This Row],[Enrolment S.Y. 2025-2026 ]]*8</f>
        <v>1880</v>
      </c>
      <c r="E18" s="5">
        <v>257</v>
      </c>
      <c r="F18" s="1">
        <v>2025</v>
      </c>
      <c r="G18" s="5" t="s">
        <v>9</v>
      </c>
      <c r="H18" s="5">
        <f t="shared" si="2"/>
        <v>1623</v>
      </c>
      <c r="I18" s="5">
        <f t="shared" si="3"/>
        <v>0</v>
      </c>
      <c r="J18" s="5">
        <f>Table1[[#This Row],[Enrolment S.Y. 2025-2026 ]]*8</f>
        <v>1880</v>
      </c>
      <c r="K18" s="5"/>
      <c r="L18" s="1"/>
      <c r="M18" s="5"/>
      <c r="N18" s="5">
        <f t="shared" si="10"/>
        <v>1880</v>
      </c>
      <c r="O18" s="5">
        <f t="shared" si="11"/>
        <v>0</v>
      </c>
      <c r="P18" s="5">
        <f>Table1[[#This Row],[Enrolment S.Y. 2025-2026 ]]*8</f>
        <v>1880</v>
      </c>
      <c r="Q18" s="5"/>
      <c r="R18" s="1"/>
      <c r="S18" s="5"/>
      <c r="T18" s="5">
        <f t="shared" si="12"/>
        <v>1880</v>
      </c>
      <c r="U18" s="5">
        <f t="shared" si="13"/>
        <v>0</v>
      </c>
      <c r="V18" s="5">
        <f>Table1[[#This Row],[Enrolment S.Y. 2025-2026 ]]*8</f>
        <v>1880</v>
      </c>
      <c r="W18" s="5"/>
      <c r="X18" s="1"/>
      <c r="Y18" s="5"/>
      <c r="Z18" s="5">
        <f t="shared" si="14"/>
        <v>1880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235</v>
      </c>
      <c r="D19" s="5">
        <f>Table1[[#This Row],[Enrolment S.Y. 2025-2026 ]]*8</f>
        <v>1880</v>
      </c>
      <c r="E19" s="5">
        <v>257</v>
      </c>
      <c r="F19" s="1">
        <v>2025</v>
      </c>
      <c r="G19" s="5" t="s">
        <v>9</v>
      </c>
      <c r="H19" s="5">
        <f>IF((D19-E19)&lt;0,0,(D19-E19))</f>
        <v>1623</v>
      </c>
      <c r="I19" s="5">
        <f>IF((E19-D19)&lt;0,0,(E19-D19))</f>
        <v>0</v>
      </c>
      <c r="J19" s="5">
        <f>Table1[[#This Row],[Enrolment S.Y. 2025-2026 ]]*8</f>
        <v>1880</v>
      </c>
      <c r="K19" s="5"/>
      <c r="L19" s="1"/>
      <c r="M19" s="5"/>
      <c r="N19" s="5">
        <f t="shared" si="10"/>
        <v>1880</v>
      </c>
      <c r="O19" s="5">
        <f t="shared" si="11"/>
        <v>0</v>
      </c>
      <c r="P19" s="5">
        <f>Table1[[#This Row],[Enrolment S.Y. 2025-2026 ]]*8</f>
        <v>1880</v>
      </c>
      <c r="Q19" s="5"/>
      <c r="R19" s="1"/>
      <c r="S19" s="5"/>
      <c r="T19" s="5">
        <f t="shared" si="12"/>
        <v>1880</v>
      </c>
      <c r="U19" s="5">
        <f t="shared" si="13"/>
        <v>0</v>
      </c>
      <c r="V19" s="5">
        <f>Table1[[#This Row],[Enrolment S.Y. 2025-2026 ]]*8</f>
        <v>1880</v>
      </c>
      <c r="W19" s="5"/>
      <c r="X19" s="1"/>
      <c r="Y19" s="5"/>
      <c r="Z19" s="5">
        <f t="shared" si="14"/>
        <v>1880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235</v>
      </c>
      <c r="D20" s="5">
        <f>Table1[[#This Row],[Enrolment S.Y. 2025-2026 ]]*8</f>
        <v>1880</v>
      </c>
      <c r="E20" s="5">
        <v>257</v>
      </c>
      <c r="F20" s="1">
        <v>2025</v>
      </c>
      <c r="G20" s="5" t="s">
        <v>9</v>
      </c>
      <c r="H20" s="5">
        <f>IF((D20-E20)&lt;0,0,(D20-E20))</f>
        <v>1623</v>
      </c>
      <c r="I20" s="5">
        <f>IF((E20-D20)&lt;0,0,(E20-D20))</f>
        <v>0</v>
      </c>
      <c r="J20" s="5">
        <f>Table1[[#This Row],[Enrolment S.Y. 2025-2026 ]]*8</f>
        <v>1880</v>
      </c>
      <c r="K20" s="5"/>
      <c r="L20" s="1"/>
      <c r="M20" s="5"/>
      <c r="N20" s="5">
        <f t="shared" si="10"/>
        <v>1880</v>
      </c>
      <c r="O20" s="5">
        <f t="shared" si="11"/>
        <v>0</v>
      </c>
      <c r="P20" s="5">
        <f>Table1[[#This Row],[Enrolment S.Y. 2025-2026 ]]*8</f>
        <v>1880</v>
      </c>
      <c r="Q20" s="5"/>
      <c r="R20" s="1"/>
      <c r="S20" s="5"/>
      <c r="T20" s="5">
        <f t="shared" si="12"/>
        <v>1880</v>
      </c>
      <c r="U20" s="5">
        <f t="shared" si="13"/>
        <v>0</v>
      </c>
      <c r="V20" s="5">
        <f>Table1[[#This Row],[Enrolment S.Y. 2025-2026 ]]*8</f>
        <v>1880</v>
      </c>
      <c r="W20" s="5"/>
      <c r="X20" s="1"/>
      <c r="Y20" s="5"/>
      <c r="Z20" s="5">
        <f t="shared" si="14"/>
        <v>1880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>
        <v>0</v>
      </c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295</v>
      </c>
      <c r="D23" s="5">
        <f>Table1[[#This Row],[Enrolment S.Y. 2025-2026 ]]*8</f>
        <v>2360</v>
      </c>
      <c r="E23" s="5">
        <v>0</v>
      </c>
      <c r="F23" s="1"/>
      <c r="G23" s="5"/>
      <c r="H23" s="5">
        <f t="shared" si="2"/>
        <v>2360</v>
      </c>
      <c r="I23" s="5">
        <f t="shared" si="3"/>
        <v>0</v>
      </c>
      <c r="J23" s="5">
        <f>Table1[[#This Row],[Enrolment S.Y. 2025-2026 ]]*8</f>
        <v>2360</v>
      </c>
      <c r="K23" s="5"/>
      <c r="L23" s="1"/>
      <c r="M23" s="5"/>
      <c r="N23" s="5">
        <f t="shared" si="10"/>
        <v>2360</v>
      </c>
      <c r="O23" s="5">
        <f t="shared" si="11"/>
        <v>0</v>
      </c>
      <c r="P23" s="5">
        <f>Table1[[#This Row],[Enrolment S.Y. 2025-2026 ]]*8</f>
        <v>2360</v>
      </c>
      <c r="Q23" s="5"/>
      <c r="R23" s="1"/>
      <c r="S23" s="5"/>
      <c r="T23" s="5">
        <f t="shared" si="12"/>
        <v>2360</v>
      </c>
      <c r="U23" s="5">
        <f t="shared" si="13"/>
        <v>0</v>
      </c>
      <c r="V23" s="5">
        <f>Table1[[#This Row],[Enrolment S.Y. 2025-2026 ]]*8</f>
        <v>2360</v>
      </c>
      <c r="W23" s="5"/>
      <c r="X23" s="1"/>
      <c r="Y23" s="5"/>
      <c r="Z23" s="5">
        <f t="shared" si="14"/>
        <v>2360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295</v>
      </c>
      <c r="D24" s="5">
        <f>Table1[[#This Row],[Enrolment S.Y. 2025-2026 ]]*8</f>
        <v>2360</v>
      </c>
      <c r="E24" s="5">
        <v>0</v>
      </c>
      <c r="F24" s="1"/>
      <c r="G24" s="5"/>
      <c r="H24" s="5">
        <f t="shared" si="2"/>
        <v>2360</v>
      </c>
      <c r="I24" s="5">
        <f t="shared" si="3"/>
        <v>0</v>
      </c>
      <c r="J24" s="5">
        <f>Table1[[#This Row],[Enrolment S.Y. 2025-2026 ]]*8</f>
        <v>2360</v>
      </c>
      <c r="K24" s="5"/>
      <c r="L24" s="1"/>
      <c r="M24" s="5"/>
      <c r="N24" s="5">
        <f t="shared" si="10"/>
        <v>2360</v>
      </c>
      <c r="O24" s="5">
        <f t="shared" si="11"/>
        <v>0</v>
      </c>
      <c r="P24" s="5">
        <f>Table1[[#This Row],[Enrolment S.Y. 2025-2026 ]]*8</f>
        <v>2360</v>
      </c>
      <c r="Q24" s="5"/>
      <c r="R24" s="1"/>
      <c r="S24" s="5"/>
      <c r="T24" s="5">
        <f t="shared" si="12"/>
        <v>2360</v>
      </c>
      <c r="U24" s="5">
        <f t="shared" si="13"/>
        <v>0</v>
      </c>
      <c r="V24" s="5">
        <f>Table1[[#This Row],[Enrolment S.Y. 2025-2026 ]]*8</f>
        <v>2360</v>
      </c>
      <c r="W24" s="5"/>
      <c r="X24" s="1"/>
      <c r="Y24" s="5"/>
      <c r="Z24" s="5">
        <f t="shared" si="14"/>
        <v>2360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295</v>
      </c>
      <c r="D25" s="5">
        <f>Table1[[#This Row],[Enrolment S.Y. 2025-2026 ]]*8</f>
        <v>2360</v>
      </c>
      <c r="E25" s="5">
        <v>189</v>
      </c>
      <c r="F25" s="1">
        <v>2025</v>
      </c>
      <c r="G25" s="5" t="s">
        <v>9</v>
      </c>
      <c r="H25" s="5">
        <f t="shared" si="2"/>
        <v>2171</v>
      </c>
      <c r="I25" s="5">
        <f t="shared" si="3"/>
        <v>0</v>
      </c>
      <c r="J25" s="5">
        <f>Table1[[#This Row],[Enrolment S.Y. 2025-2026 ]]*8</f>
        <v>2360</v>
      </c>
      <c r="K25" s="5"/>
      <c r="L25" s="1"/>
      <c r="M25" s="5"/>
      <c r="N25" s="5">
        <f t="shared" si="10"/>
        <v>2360</v>
      </c>
      <c r="O25" s="5">
        <f t="shared" si="11"/>
        <v>0</v>
      </c>
      <c r="P25" s="5">
        <f>Table1[[#This Row],[Enrolment S.Y. 2025-2026 ]]*8</f>
        <v>2360</v>
      </c>
      <c r="Q25" s="5"/>
      <c r="R25" s="1"/>
      <c r="S25" s="5"/>
      <c r="T25" s="5">
        <f t="shared" si="12"/>
        <v>2360</v>
      </c>
      <c r="U25" s="5">
        <f t="shared" si="13"/>
        <v>0</v>
      </c>
      <c r="V25" s="5">
        <f>Table1[[#This Row],[Enrolment S.Y. 2025-2026 ]]*8</f>
        <v>2360</v>
      </c>
      <c r="W25" s="5"/>
      <c r="X25" s="1"/>
      <c r="Y25" s="5"/>
      <c r="Z25" s="5">
        <f t="shared" si="14"/>
        <v>2360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295</v>
      </c>
      <c r="D26" s="5">
        <f>Table1[[#This Row],[Enrolment S.Y. 2025-2026 ]]*8</f>
        <v>2360</v>
      </c>
      <c r="E26" s="5">
        <v>189</v>
      </c>
      <c r="F26" s="1">
        <v>2025</v>
      </c>
      <c r="G26" s="5" t="s">
        <v>9</v>
      </c>
      <c r="H26" s="5">
        <f t="shared" si="2"/>
        <v>2171</v>
      </c>
      <c r="I26" s="5">
        <f t="shared" si="3"/>
        <v>0</v>
      </c>
      <c r="J26" s="5">
        <f>Table1[[#This Row],[Enrolment S.Y. 2025-2026 ]]*8</f>
        <v>2360</v>
      </c>
      <c r="K26" s="5"/>
      <c r="L26" s="1"/>
      <c r="M26" s="5"/>
      <c r="N26" s="5">
        <f t="shared" si="10"/>
        <v>2360</v>
      </c>
      <c r="O26" s="5">
        <f t="shared" si="11"/>
        <v>0</v>
      </c>
      <c r="P26" s="5">
        <f>Table1[[#This Row],[Enrolment S.Y. 2025-2026 ]]*8</f>
        <v>2360</v>
      </c>
      <c r="Q26" s="5"/>
      <c r="R26" s="1"/>
      <c r="S26" s="5"/>
      <c r="T26" s="5">
        <f t="shared" si="12"/>
        <v>2360</v>
      </c>
      <c r="U26" s="5">
        <f t="shared" si="13"/>
        <v>0</v>
      </c>
      <c r="V26" s="5">
        <f>Table1[[#This Row],[Enrolment S.Y. 2025-2026 ]]*8</f>
        <v>2360</v>
      </c>
      <c r="W26" s="5"/>
      <c r="X26" s="1"/>
      <c r="Y26" s="5"/>
      <c r="Z26" s="5">
        <f t="shared" si="14"/>
        <v>2360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295</v>
      </c>
      <c r="D27" s="5">
        <f>Table1[[#This Row],[Enrolment S.Y. 2025-2026 ]]*8</f>
        <v>2360</v>
      </c>
      <c r="E27" s="5">
        <v>189</v>
      </c>
      <c r="F27" s="1">
        <v>2025</v>
      </c>
      <c r="G27" s="5" t="s">
        <v>9</v>
      </c>
      <c r="H27" s="5">
        <f t="shared" si="2"/>
        <v>2171</v>
      </c>
      <c r="I27" s="5">
        <f t="shared" si="3"/>
        <v>0</v>
      </c>
      <c r="J27" s="5">
        <f>Table1[[#This Row],[Enrolment S.Y. 2025-2026 ]]*8</f>
        <v>2360</v>
      </c>
      <c r="K27" s="5"/>
      <c r="L27" s="1"/>
      <c r="M27" s="5"/>
      <c r="N27" s="5">
        <f t="shared" si="10"/>
        <v>2360</v>
      </c>
      <c r="O27" s="5">
        <f t="shared" si="11"/>
        <v>0</v>
      </c>
      <c r="P27" s="5">
        <f>Table1[[#This Row],[Enrolment S.Y. 2025-2026 ]]*8</f>
        <v>2360</v>
      </c>
      <c r="Q27" s="5"/>
      <c r="R27" s="1"/>
      <c r="S27" s="5"/>
      <c r="T27" s="5">
        <f t="shared" si="12"/>
        <v>2360</v>
      </c>
      <c r="U27" s="5">
        <f t="shared" si="13"/>
        <v>0</v>
      </c>
      <c r="V27" s="5">
        <f>Table1[[#This Row],[Enrolment S.Y. 2025-2026 ]]*8</f>
        <v>2360</v>
      </c>
      <c r="W27" s="5"/>
      <c r="X27" s="1"/>
      <c r="Y27" s="5"/>
      <c r="Z27" s="5">
        <f t="shared" si="14"/>
        <v>2360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295</v>
      </c>
      <c r="D28" s="5">
        <f>Table1[[#This Row],[Enrolment S.Y. 2025-2026 ]]*8</f>
        <v>2360</v>
      </c>
      <c r="E28" s="5">
        <v>189</v>
      </c>
      <c r="F28" s="1">
        <v>2025</v>
      </c>
      <c r="G28" s="5" t="s">
        <v>9</v>
      </c>
      <c r="H28" s="5">
        <f t="shared" si="2"/>
        <v>2171</v>
      </c>
      <c r="I28" s="5">
        <f t="shared" si="3"/>
        <v>0</v>
      </c>
      <c r="J28" s="5">
        <f>Table1[[#This Row],[Enrolment S.Y. 2025-2026 ]]*8</f>
        <v>2360</v>
      </c>
      <c r="K28" s="5"/>
      <c r="L28" s="1"/>
      <c r="M28" s="5"/>
      <c r="N28" s="5">
        <f t="shared" si="10"/>
        <v>2360</v>
      </c>
      <c r="O28" s="5">
        <f t="shared" si="11"/>
        <v>0</v>
      </c>
      <c r="P28" s="5">
        <f>Table1[[#This Row],[Enrolment S.Y. 2025-2026 ]]*8</f>
        <v>2360</v>
      </c>
      <c r="Q28" s="5"/>
      <c r="R28" s="1"/>
      <c r="S28" s="5"/>
      <c r="T28" s="5">
        <f t="shared" si="12"/>
        <v>2360</v>
      </c>
      <c r="U28" s="5">
        <f t="shared" si="13"/>
        <v>0</v>
      </c>
      <c r="V28" s="5">
        <f>Table1[[#This Row],[Enrolment S.Y. 2025-2026 ]]*8</f>
        <v>2360</v>
      </c>
      <c r="W28" s="5"/>
      <c r="X28" s="1"/>
      <c r="Y28" s="5"/>
      <c r="Z28" s="5">
        <f t="shared" si="14"/>
        <v>2360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295</v>
      </c>
      <c r="D29" s="5">
        <f>Table1[[#This Row],[Enrolment S.Y. 2025-2026 ]]*8</f>
        <v>2360</v>
      </c>
      <c r="E29" s="5">
        <v>189</v>
      </c>
      <c r="F29" s="1">
        <v>2025</v>
      </c>
      <c r="G29" s="5" t="s">
        <v>9</v>
      </c>
      <c r="H29" s="5">
        <f>IF((D29-E29)&lt;0,0,(D29-E29))</f>
        <v>2171</v>
      </c>
      <c r="I29" s="5">
        <f>IF((E29-D29)&lt;0,0,(E29-D29))</f>
        <v>0</v>
      </c>
      <c r="J29" s="5">
        <f>Table1[[#This Row],[Enrolment S.Y. 2025-2026 ]]*8</f>
        <v>2360</v>
      </c>
      <c r="K29" s="5"/>
      <c r="L29" s="1"/>
      <c r="M29" s="5"/>
      <c r="N29" s="5">
        <f t="shared" si="10"/>
        <v>2360</v>
      </c>
      <c r="O29" s="5">
        <f t="shared" si="11"/>
        <v>0</v>
      </c>
      <c r="P29" s="5">
        <f>Table1[[#This Row],[Enrolment S.Y. 2025-2026 ]]*8</f>
        <v>2360</v>
      </c>
      <c r="Q29" s="5"/>
      <c r="R29" s="1"/>
      <c r="S29" s="5"/>
      <c r="T29" s="5">
        <f t="shared" si="12"/>
        <v>2360</v>
      </c>
      <c r="U29" s="5">
        <f t="shared" si="13"/>
        <v>0</v>
      </c>
      <c r="V29" s="5">
        <f>Table1[[#This Row],[Enrolment S.Y. 2025-2026 ]]*8</f>
        <v>2360</v>
      </c>
      <c r="W29" s="5"/>
      <c r="X29" s="1"/>
      <c r="Y29" s="5"/>
      <c r="Z29" s="5">
        <f t="shared" si="14"/>
        <v>2360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295</v>
      </c>
      <c r="D30" s="5">
        <f>Table1[[#This Row],[Enrolment S.Y. 2025-2026 ]]*8</f>
        <v>2360</v>
      </c>
      <c r="E30" s="5">
        <v>189</v>
      </c>
      <c r="F30" s="1">
        <v>2025</v>
      </c>
      <c r="G30" s="5" t="s">
        <v>9</v>
      </c>
      <c r="H30" s="5">
        <f>IF((D30-E30)&lt;0,0,(D30-E30))</f>
        <v>2171</v>
      </c>
      <c r="I30" s="5">
        <f>IF((E30-D30)&lt;0,0,(E30-D30))</f>
        <v>0</v>
      </c>
      <c r="J30" s="5">
        <f>Table1[[#This Row],[Enrolment S.Y. 2025-2026 ]]*8</f>
        <v>2360</v>
      </c>
      <c r="K30" s="5"/>
      <c r="L30" s="1"/>
      <c r="M30" s="5"/>
      <c r="N30" s="5">
        <f t="shared" si="10"/>
        <v>2360</v>
      </c>
      <c r="O30" s="5">
        <f t="shared" si="11"/>
        <v>0</v>
      </c>
      <c r="P30" s="5">
        <f>Table1[[#This Row],[Enrolment S.Y. 2025-2026 ]]*8</f>
        <v>2360</v>
      </c>
      <c r="Q30" s="5"/>
      <c r="R30" s="1"/>
      <c r="S30" s="5"/>
      <c r="T30" s="5">
        <f t="shared" si="12"/>
        <v>2360</v>
      </c>
      <c r="U30" s="5">
        <f t="shared" si="13"/>
        <v>0</v>
      </c>
      <c r="V30" s="5">
        <f>Table1[[#This Row],[Enrolment S.Y. 2025-2026 ]]*8</f>
        <v>2360</v>
      </c>
      <c r="W30" s="5"/>
      <c r="X30" s="1"/>
      <c r="Y30" s="5"/>
      <c r="Z30" s="5">
        <f t="shared" si="14"/>
        <v>2360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295</v>
      </c>
      <c r="D31" s="5">
        <f>Table1[[#This Row],[Enrolment S.Y. 2025-2026 ]]*8</f>
        <v>2360</v>
      </c>
      <c r="E31" s="5">
        <v>0</v>
      </c>
      <c r="F31" s="1"/>
      <c r="G31" s="5"/>
      <c r="H31" s="5">
        <f>IF((D31-E31)&lt;0,0,(D31-E31))</f>
        <v>2360</v>
      </c>
      <c r="I31" s="5">
        <f>IF((E31-D31)&lt;0,0,(E31-D31))</f>
        <v>0</v>
      </c>
      <c r="J31" s="5">
        <f>Table1[[#This Row],[Enrolment S.Y. 2025-2026 ]]*8</f>
        <v>2360</v>
      </c>
      <c r="K31" s="5"/>
      <c r="L31" s="1"/>
      <c r="M31" s="5"/>
      <c r="N31" s="5">
        <f t="shared" si="10"/>
        <v>2360</v>
      </c>
      <c r="O31" s="5">
        <f t="shared" si="11"/>
        <v>0</v>
      </c>
      <c r="P31" s="5">
        <f>Table1[[#This Row],[Enrolment S.Y. 2025-2026 ]]*8</f>
        <v>2360</v>
      </c>
      <c r="Q31" s="5"/>
      <c r="R31" s="1"/>
      <c r="S31" s="5"/>
      <c r="T31" s="5">
        <f t="shared" si="12"/>
        <v>2360</v>
      </c>
      <c r="U31" s="5">
        <f t="shared" si="13"/>
        <v>0</v>
      </c>
      <c r="V31" s="5">
        <f>Table1[[#This Row],[Enrolment S.Y. 2025-2026 ]]*8</f>
        <v>2360</v>
      </c>
      <c r="W31" s="5"/>
      <c r="X31" s="1"/>
      <c r="Y31" s="5"/>
      <c r="Z31" s="5">
        <f t="shared" si="14"/>
        <v>2360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232</v>
      </c>
      <c r="D43" s="5">
        <f>Table1[[#This Row],[Enrolment S.Y. 2025-2026 ]]*8</f>
        <v>1856</v>
      </c>
      <c r="E43" s="5">
        <v>99</v>
      </c>
      <c r="F43" s="1">
        <v>2025</v>
      </c>
      <c r="G43" s="5" t="s">
        <v>9</v>
      </c>
      <c r="H43" s="5">
        <f t="shared" si="2"/>
        <v>1757</v>
      </c>
      <c r="I43" s="5">
        <f t="shared" si="3"/>
        <v>0</v>
      </c>
      <c r="J43" s="5">
        <f>Table1[[#This Row],[Enrolment S.Y. 2025-2026 ]]*8</f>
        <v>1856</v>
      </c>
      <c r="K43" s="5"/>
      <c r="L43" s="1"/>
      <c r="M43" s="5"/>
      <c r="N43" s="5">
        <f t="shared" si="10"/>
        <v>1856</v>
      </c>
      <c r="O43" s="5">
        <f t="shared" si="11"/>
        <v>0</v>
      </c>
      <c r="P43" s="5">
        <f>Table1[[#This Row],[Enrolment S.Y. 2025-2026 ]]*8</f>
        <v>1856</v>
      </c>
      <c r="Q43" s="5"/>
      <c r="R43" s="1"/>
      <c r="S43" s="5"/>
      <c r="T43" s="5">
        <f t="shared" si="12"/>
        <v>1856</v>
      </c>
      <c r="U43" s="5">
        <f t="shared" si="13"/>
        <v>0</v>
      </c>
      <c r="V43" s="5">
        <f>Table1[[#This Row],[Enrolment S.Y. 2025-2026 ]]*8</f>
        <v>1856</v>
      </c>
      <c r="W43" s="5"/>
      <c r="X43" s="1"/>
      <c r="Y43" s="5"/>
      <c r="Z43" s="5">
        <f t="shared" si="14"/>
        <v>1856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232</v>
      </c>
      <c r="D44" s="5">
        <f>Table1[[#This Row],[Enrolment S.Y. 2025-2026 ]]*8</f>
        <v>1856</v>
      </c>
      <c r="E44" s="5">
        <v>99</v>
      </c>
      <c r="F44" s="1">
        <v>2025</v>
      </c>
      <c r="G44" s="5" t="s">
        <v>9</v>
      </c>
      <c r="H44" s="5">
        <f t="shared" si="2"/>
        <v>1757</v>
      </c>
      <c r="I44" s="5">
        <f t="shared" si="3"/>
        <v>0</v>
      </c>
      <c r="J44" s="5">
        <f>Table1[[#This Row],[Enrolment S.Y. 2025-2026 ]]*8</f>
        <v>1856</v>
      </c>
      <c r="K44" s="5"/>
      <c r="L44" s="1"/>
      <c r="M44" s="5"/>
      <c r="N44" s="5">
        <f t="shared" si="10"/>
        <v>1856</v>
      </c>
      <c r="O44" s="5">
        <f t="shared" si="11"/>
        <v>0</v>
      </c>
      <c r="P44" s="5">
        <f>Table1[[#This Row],[Enrolment S.Y. 2025-2026 ]]*8</f>
        <v>1856</v>
      </c>
      <c r="Q44" s="5"/>
      <c r="R44" s="1"/>
      <c r="S44" s="5"/>
      <c r="T44" s="5">
        <f t="shared" si="12"/>
        <v>1856</v>
      </c>
      <c r="U44" s="5">
        <f t="shared" si="13"/>
        <v>0</v>
      </c>
      <c r="V44" s="5">
        <f>Table1[[#This Row],[Enrolment S.Y. 2025-2026 ]]*8</f>
        <v>1856</v>
      </c>
      <c r="W44" s="5"/>
      <c r="X44" s="1"/>
      <c r="Y44" s="5"/>
      <c r="Z44" s="5">
        <f t="shared" si="14"/>
        <v>1856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232</v>
      </c>
      <c r="D45" s="5">
        <f>Table1[[#This Row],[Enrolment S.Y. 2025-2026 ]]*8</f>
        <v>1856</v>
      </c>
      <c r="E45" s="5">
        <v>99</v>
      </c>
      <c r="F45" s="1">
        <v>2025</v>
      </c>
      <c r="G45" s="5" t="s">
        <v>9</v>
      </c>
      <c r="H45" s="5">
        <f t="shared" si="2"/>
        <v>1757</v>
      </c>
      <c r="I45" s="5">
        <f t="shared" si="3"/>
        <v>0</v>
      </c>
      <c r="J45" s="5">
        <f>Table1[[#This Row],[Enrolment S.Y. 2025-2026 ]]*8</f>
        <v>1856</v>
      </c>
      <c r="K45" s="5"/>
      <c r="L45" s="1"/>
      <c r="M45" s="5"/>
      <c r="N45" s="5">
        <f t="shared" si="10"/>
        <v>1856</v>
      </c>
      <c r="O45" s="5">
        <f t="shared" si="11"/>
        <v>0</v>
      </c>
      <c r="P45" s="5">
        <f>Table1[[#This Row],[Enrolment S.Y. 2025-2026 ]]*8</f>
        <v>1856</v>
      </c>
      <c r="Q45" s="5"/>
      <c r="R45" s="1"/>
      <c r="S45" s="5"/>
      <c r="T45" s="5">
        <f t="shared" si="12"/>
        <v>1856</v>
      </c>
      <c r="U45" s="5">
        <f t="shared" si="13"/>
        <v>0</v>
      </c>
      <c r="V45" s="5">
        <f>Table1[[#This Row],[Enrolment S.Y. 2025-2026 ]]*8</f>
        <v>1856</v>
      </c>
      <c r="W45" s="5"/>
      <c r="X45" s="1"/>
      <c r="Y45" s="5"/>
      <c r="Z45" s="5">
        <f t="shared" si="14"/>
        <v>1856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232</v>
      </c>
      <c r="D46" s="5">
        <f>Table1[[#This Row],[Enrolment S.Y. 2025-2026 ]]*8</f>
        <v>1856</v>
      </c>
      <c r="E46" s="5">
        <v>99</v>
      </c>
      <c r="F46" s="1">
        <v>2025</v>
      </c>
      <c r="G46" s="5" t="s">
        <v>9</v>
      </c>
      <c r="H46" s="5">
        <f t="shared" si="2"/>
        <v>1757</v>
      </c>
      <c r="I46" s="5">
        <f t="shared" si="3"/>
        <v>0</v>
      </c>
      <c r="J46" s="5">
        <f>Table1[[#This Row],[Enrolment S.Y. 2025-2026 ]]*8</f>
        <v>1856</v>
      </c>
      <c r="K46" s="5"/>
      <c r="L46" s="1"/>
      <c r="M46" s="5"/>
      <c r="N46" s="5">
        <f t="shared" si="10"/>
        <v>1856</v>
      </c>
      <c r="O46" s="5">
        <f t="shared" si="11"/>
        <v>0</v>
      </c>
      <c r="P46" s="5">
        <f>Table1[[#This Row],[Enrolment S.Y. 2025-2026 ]]*8</f>
        <v>1856</v>
      </c>
      <c r="Q46" s="5"/>
      <c r="R46" s="1"/>
      <c r="S46" s="5"/>
      <c r="T46" s="5">
        <f t="shared" si="12"/>
        <v>1856</v>
      </c>
      <c r="U46" s="5">
        <f t="shared" si="13"/>
        <v>0</v>
      </c>
      <c r="V46" s="5">
        <f>Table1[[#This Row],[Enrolment S.Y. 2025-2026 ]]*8</f>
        <v>1856</v>
      </c>
      <c r="W46" s="5"/>
      <c r="X46" s="1"/>
      <c r="Y46" s="5"/>
      <c r="Z46" s="5">
        <f t="shared" si="14"/>
        <v>1856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232</v>
      </c>
      <c r="D47" s="5">
        <f>Table1[[#This Row],[Enrolment S.Y. 2025-2026 ]]*8</f>
        <v>1856</v>
      </c>
      <c r="E47" s="5">
        <v>99</v>
      </c>
      <c r="F47" s="1">
        <v>2025</v>
      </c>
      <c r="G47" s="5" t="s">
        <v>9</v>
      </c>
      <c r="H47" s="5">
        <f t="shared" si="2"/>
        <v>1757</v>
      </c>
      <c r="I47" s="5">
        <f t="shared" si="3"/>
        <v>0</v>
      </c>
      <c r="J47" s="5">
        <f>Table1[[#This Row],[Enrolment S.Y. 2025-2026 ]]*8</f>
        <v>1856</v>
      </c>
      <c r="K47" s="5"/>
      <c r="L47" s="1"/>
      <c r="M47" s="5"/>
      <c r="N47" s="5">
        <f t="shared" si="10"/>
        <v>1856</v>
      </c>
      <c r="O47" s="5">
        <f t="shared" si="11"/>
        <v>0</v>
      </c>
      <c r="P47" s="5">
        <f>Table1[[#This Row],[Enrolment S.Y. 2025-2026 ]]*8</f>
        <v>1856</v>
      </c>
      <c r="Q47" s="5"/>
      <c r="R47" s="1"/>
      <c r="S47" s="5"/>
      <c r="T47" s="5">
        <f t="shared" si="12"/>
        <v>1856</v>
      </c>
      <c r="U47" s="5">
        <f t="shared" si="13"/>
        <v>0</v>
      </c>
      <c r="V47" s="5">
        <f>Table1[[#This Row],[Enrolment S.Y. 2025-2026 ]]*8</f>
        <v>1856</v>
      </c>
      <c r="W47" s="5"/>
      <c r="X47" s="1"/>
      <c r="Y47" s="5"/>
      <c r="Z47" s="5">
        <f t="shared" si="14"/>
        <v>1856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232</v>
      </c>
      <c r="D48" s="5">
        <f>Table1[[#This Row],[Enrolment S.Y. 2025-2026 ]]*8</f>
        <v>1856</v>
      </c>
      <c r="E48" s="5">
        <v>99</v>
      </c>
      <c r="F48" s="1">
        <v>2025</v>
      </c>
      <c r="G48" s="5" t="s">
        <v>9</v>
      </c>
      <c r="H48" s="5">
        <f t="shared" si="2"/>
        <v>1757</v>
      </c>
      <c r="I48" s="5">
        <f t="shared" si="3"/>
        <v>0</v>
      </c>
      <c r="J48" s="5">
        <f>Table1[[#This Row],[Enrolment S.Y. 2025-2026 ]]*8</f>
        <v>1856</v>
      </c>
      <c r="K48" s="5"/>
      <c r="L48" s="1"/>
      <c r="M48" s="5"/>
      <c r="N48" s="5">
        <f t="shared" si="10"/>
        <v>1856</v>
      </c>
      <c r="O48" s="5">
        <f t="shared" si="11"/>
        <v>0</v>
      </c>
      <c r="P48" s="5">
        <f>Table1[[#This Row],[Enrolment S.Y. 2025-2026 ]]*8</f>
        <v>1856</v>
      </c>
      <c r="Q48" s="5"/>
      <c r="R48" s="1"/>
      <c r="S48" s="5"/>
      <c r="T48" s="5">
        <f t="shared" si="12"/>
        <v>1856</v>
      </c>
      <c r="U48" s="5">
        <f t="shared" si="13"/>
        <v>0</v>
      </c>
      <c r="V48" s="5">
        <f>Table1[[#This Row],[Enrolment S.Y. 2025-2026 ]]*8</f>
        <v>1856</v>
      </c>
      <c r="W48" s="5"/>
      <c r="X48" s="1"/>
      <c r="Y48" s="5"/>
      <c r="Z48" s="5">
        <f t="shared" si="14"/>
        <v>1856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232</v>
      </c>
      <c r="D49" s="5">
        <f>Table1[[#This Row],[Enrolment S.Y. 2025-2026 ]]*8</f>
        <v>1856</v>
      </c>
      <c r="E49" s="5">
        <v>99</v>
      </c>
      <c r="F49" s="1">
        <v>2025</v>
      </c>
      <c r="G49" s="5" t="s">
        <v>9</v>
      </c>
      <c r="H49" s="5">
        <f t="shared" si="2"/>
        <v>1757</v>
      </c>
      <c r="I49" s="5">
        <f t="shared" si="3"/>
        <v>0</v>
      </c>
      <c r="J49" s="5">
        <f>Table1[[#This Row],[Enrolment S.Y. 2025-2026 ]]*8</f>
        <v>1856</v>
      </c>
      <c r="K49" s="5"/>
      <c r="L49" s="1"/>
      <c r="M49" s="5"/>
      <c r="N49" s="5">
        <f t="shared" si="10"/>
        <v>1856</v>
      </c>
      <c r="O49" s="5">
        <f t="shared" si="11"/>
        <v>0</v>
      </c>
      <c r="P49" s="5">
        <f>Table1[[#This Row],[Enrolment S.Y. 2025-2026 ]]*8</f>
        <v>1856</v>
      </c>
      <c r="Q49" s="5"/>
      <c r="R49" s="1"/>
      <c r="S49" s="5"/>
      <c r="T49" s="5">
        <f t="shared" si="12"/>
        <v>1856</v>
      </c>
      <c r="U49" s="5">
        <f t="shared" si="13"/>
        <v>0</v>
      </c>
      <c r="V49" s="5">
        <f>Table1[[#This Row],[Enrolment S.Y. 2025-2026 ]]*8</f>
        <v>1856</v>
      </c>
      <c r="W49" s="5"/>
      <c r="X49" s="1"/>
      <c r="Y49" s="5"/>
      <c r="Z49" s="5">
        <f t="shared" si="14"/>
        <v>1856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232</v>
      </c>
      <c r="D50" s="5">
        <f>Table1[[#This Row],[Enrolment S.Y. 2025-2026 ]]*8</f>
        <v>1856</v>
      </c>
      <c r="E50" s="5">
        <v>99</v>
      </c>
      <c r="F50" s="1">
        <v>2025</v>
      </c>
      <c r="G50" s="5" t="s">
        <v>9</v>
      </c>
      <c r="H50" s="5">
        <f t="shared" si="2"/>
        <v>1757</v>
      </c>
      <c r="I50" s="5">
        <f t="shared" si="3"/>
        <v>0</v>
      </c>
      <c r="J50" s="5">
        <f>Table1[[#This Row],[Enrolment S.Y. 2025-2026 ]]*8</f>
        <v>1856</v>
      </c>
      <c r="K50" s="5"/>
      <c r="L50" s="1"/>
      <c r="M50" s="5"/>
      <c r="N50" s="5">
        <f t="shared" si="10"/>
        <v>1856</v>
      </c>
      <c r="O50" s="5">
        <f t="shared" si="11"/>
        <v>0</v>
      </c>
      <c r="P50" s="5">
        <f>Table1[[#This Row],[Enrolment S.Y. 2025-2026 ]]*8</f>
        <v>1856</v>
      </c>
      <c r="Q50" s="5"/>
      <c r="R50" s="1"/>
      <c r="S50" s="5"/>
      <c r="T50" s="5">
        <f t="shared" si="12"/>
        <v>1856</v>
      </c>
      <c r="U50" s="5">
        <f t="shared" si="13"/>
        <v>0</v>
      </c>
      <c r="V50" s="5">
        <f>Table1[[#This Row],[Enrolment S.Y. 2025-2026 ]]*8</f>
        <v>1856</v>
      </c>
      <c r="W50" s="5"/>
      <c r="X50" s="1"/>
      <c r="Y50" s="5"/>
      <c r="Z50" s="5">
        <f t="shared" si="14"/>
        <v>1856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232</v>
      </c>
      <c r="D51" s="5">
        <f>Table1[[#This Row],[Enrolment S.Y. 2025-2026 ]]*8</f>
        <v>1856</v>
      </c>
      <c r="E51" s="5">
        <v>99</v>
      </c>
      <c r="F51" s="1">
        <v>2025</v>
      </c>
      <c r="G51" s="5" t="s">
        <v>9</v>
      </c>
      <c r="H51" s="5">
        <f t="shared" si="2"/>
        <v>1757</v>
      </c>
      <c r="I51" s="5">
        <f t="shared" si="3"/>
        <v>0</v>
      </c>
      <c r="J51" s="5">
        <f>Table1[[#This Row],[Enrolment S.Y. 2025-2026 ]]*8</f>
        <v>1856</v>
      </c>
      <c r="K51" s="5"/>
      <c r="L51" s="1"/>
      <c r="M51" s="5"/>
      <c r="N51" s="5">
        <f t="shared" si="10"/>
        <v>1856</v>
      </c>
      <c r="O51" s="5">
        <f t="shared" si="11"/>
        <v>0</v>
      </c>
      <c r="P51" s="5">
        <f>Table1[[#This Row],[Enrolment S.Y. 2025-2026 ]]*8</f>
        <v>1856</v>
      </c>
      <c r="Q51" s="5"/>
      <c r="R51" s="1"/>
      <c r="S51" s="5"/>
      <c r="T51" s="5">
        <f t="shared" si="12"/>
        <v>1856</v>
      </c>
      <c r="U51" s="5">
        <f t="shared" si="13"/>
        <v>0</v>
      </c>
      <c r="V51" s="5">
        <f>Table1[[#This Row],[Enrolment S.Y. 2025-2026 ]]*8</f>
        <v>1856</v>
      </c>
      <c r="W51" s="5"/>
      <c r="X51" s="1"/>
      <c r="Y51" s="5"/>
      <c r="Z51" s="5">
        <f t="shared" si="14"/>
        <v>1856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33:C41 C53:C61 C63:C71 C73:C81 C83:C91 C93:C101 C103:C110 C112:C127 C10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43:F51 D23:F31" name="LAS"/>
    <protectedRange sqref="G2:I3 M2:O2 S2:U3 Y2:AA3 G112:G127 M112:M127 S112:S127 Y112:Y127 G5:G12 M5:M12 S4:S110 Y5:Y12 M14:M110 M3 Y14:Y110 G33:G41 G53:G61 G63:G71 G73:G81 G83:G91 G93:G101 G103:G110 G14:G21 G43:G51 G23:G31" name="SOURCE"/>
    <protectedRange sqref="C5:C9" name="Textbooks_1"/>
    <protectedRange sqref="C14:C21" name="Textbooks_2"/>
    <protectedRange sqref="C23:C31" name="Textbooks_3"/>
    <protectedRange sqref="C43:C51" name="Textbooks_4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03:G110 G43:G51 G33:G41 G14:G21 G53:G61 G63:G71 G73:G81 G83:G91 G93:G101 G23:G31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925D0407-B57D-4CD8-9F91-AE54675E0FE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Q1" zoomScale="55" zoomScaleNormal="55" workbookViewId="0">
      <selection activeCell="X3" activeCellId="10" sqref="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198</v>
      </c>
      <c r="D55" s="5">
        <f>Table14[[#This Row],[Enrolment S.Y. 2025-2026 ]]*8</f>
        <v>1584</v>
      </c>
      <c r="E55" s="5">
        <v>100</v>
      </c>
      <c r="F55" s="1">
        <v>2025</v>
      </c>
      <c r="G55" s="5" t="s">
        <v>9</v>
      </c>
      <c r="H55" s="5">
        <f t="shared" si="0"/>
        <v>1484</v>
      </c>
      <c r="I55" s="5">
        <f t="shared" si="1"/>
        <v>0</v>
      </c>
      <c r="J55" s="5">
        <f>Table14[[#This Row],[Enrolment S.Y. 2025-2026 ]]*8</f>
        <v>1584</v>
      </c>
      <c r="K55" s="5">
        <v>50</v>
      </c>
      <c r="L55" s="1">
        <v>2025</v>
      </c>
      <c r="M55" s="5"/>
      <c r="N55" s="5">
        <f t="shared" si="2"/>
        <v>1534</v>
      </c>
      <c r="O55" s="5">
        <f t="shared" si="3"/>
        <v>0</v>
      </c>
      <c r="P55" s="5">
        <f>Table14[[#This Row],[Enrolment S.Y. 2025-2026 ]]*8</f>
        <v>1584</v>
      </c>
      <c r="Q55" s="5">
        <v>50</v>
      </c>
      <c r="R55" s="1">
        <v>2025</v>
      </c>
      <c r="S55" s="5"/>
      <c r="T55" s="5">
        <f t="shared" si="4"/>
        <v>1534</v>
      </c>
      <c r="U55" s="5">
        <f t="shared" si="5"/>
        <v>0</v>
      </c>
      <c r="V55" s="5">
        <f>Table14[[#This Row],[Enrolment S.Y. 2025-2026 ]]*8</f>
        <v>1584</v>
      </c>
      <c r="W55" s="5">
        <v>50</v>
      </c>
      <c r="X55" s="1">
        <v>2025</v>
      </c>
      <c r="Y55" s="5"/>
      <c r="Z55" s="5">
        <f t="shared" si="6"/>
        <v>1534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198</v>
      </c>
      <c r="D56" s="5">
        <f>Table14[[#This Row],[Enrolment S.Y. 2025-2026 ]]*8</f>
        <v>1584</v>
      </c>
      <c r="E56" s="5">
        <v>100</v>
      </c>
      <c r="F56" s="1">
        <v>2025</v>
      </c>
      <c r="G56" s="5" t="s">
        <v>9</v>
      </c>
      <c r="H56" s="5">
        <f t="shared" si="0"/>
        <v>1484</v>
      </c>
      <c r="I56" s="5">
        <f t="shared" si="1"/>
        <v>0</v>
      </c>
      <c r="J56" s="5">
        <f>Table14[[#This Row],[Enrolment S.Y. 2025-2026 ]]*8</f>
        <v>1584</v>
      </c>
      <c r="K56" s="5">
        <v>50</v>
      </c>
      <c r="L56" s="1">
        <v>2025</v>
      </c>
      <c r="M56" s="5"/>
      <c r="N56" s="5">
        <f t="shared" si="2"/>
        <v>1534</v>
      </c>
      <c r="O56" s="5">
        <f t="shared" si="3"/>
        <v>0</v>
      </c>
      <c r="P56" s="5">
        <f>Table14[[#This Row],[Enrolment S.Y. 2025-2026 ]]*8</f>
        <v>1584</v>
      </c>
      <c r="Q56" s="5">
        <v>50</v>
      </c>
      <c r="R56" s="1">
        <v>2025</v>
      </c>
      <c r="S56" s="5"/>
      <c r="T56" s="5">
        <f t="shared" si="4"/>
        <v>1534</v>
      </c>
      <c r="U56" s="5">
        <f t="shared" si="5"/>
        <v>0</v>
      </c>
      <c r="V56" s="5">
        <f>Table14[[#This Row],[Enrolment S.Y. 2025-2026 ]]*8</f>
        <v>1584</v>
      </c>
      <c r="W56" s="5">
        <v>50</v>
      </c>
      <c r="X56" s="1">
        <v>2025</v>
      </c>
      <c r="Y56" s="5"/>
      <c r="Z56" s="5">
        <f t="shared" si="6"/>
        <v>1534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198</v>
      </c>
      <c r="D57" s="5">
        <f>Table14[[#This Row],[Enrolment S.Y. 2025-2026 ]]*8</f>
        <v>1584</v>
      </c>
      <c r="E57" s="5">
        <v>100</v>
      </c>
      <c r="F57" s="1">
        <v>2025</v>
      </c>
      <c r="G57" s="5" t="s">
        <v>9</v>
      </c>
      <c r="H57" s="5">
        <f t="shared" si="0"/>
        <v>1484</v>
      </c>
      <c r="I57" s="5">
        <f t="shared" si="1"/>
        <v>0</v>
      </c>
      <c r="J57" s="5">
        <f>Table14[[#This Row],[Enrolment S.Y. 2025-2026 ]]*8</f>
        <v>1584</v>
      </c>
      <c r="K57" s="5">
        <v>50</v>
      </c>
      <c r="L57" s="1">
        <v>2025</v>
      </c>
      <c r="M57" s="5"/>
      <c r="N57" s="5">
        <f t="shared" si="2"/>
        <v>1534</v>
      </c>
      <c r="O57" s="5">
        <f t="shared" si="3"/>
        <v>0</v>
      </c>
      <c r="P57" s="5">
        <f>Table14[[#This Row],[Enrolment S.Y. 2025-2026 ]]*8</f>
        <v>1584</v>
      </c>
      <c r="Q57" s="5">
        <v>50</v>
      </c>
      <c r="R57" s="1">
        <v>2025</v>
      </c>
      <c r="S57" s="5"/>
      <c r="T57" s="5">
        <f t="shared" si="4"/>
        <v>1534</v>
      </c>
      <c r="U57" s="5">
        <f t="shared" si="5"/>
        <v>0</v>
      </c>
      <c r="V57" s="5">
        <f>Table14[[#This Row],[Enrolment S.Y. 2025-2026 ]]*8</f>
        <v>1584</v>
      </c>
      <c r="W57" s="5">
        <v>50</v>
      </c>
      <c r="X57" s="1">
        <v>2025</v>
      </c>
      <c r="Y57" s="5"/>
      <c r="Z57" s="5">
        <f t="shared" si="6"/>
        <v>1534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198</v>
      </c>
      <c r="D58" s="5">
        <f>Table14[[#This Row],[Enrolment S.Y. 2025-2026 ]]*8</f>
        <v>1584</v>
      </c>
      <c r="E58" s="5"/>
      <c r="F58" s="1"/>
      <c r="G58" s="5"/>
      <c r="H58" s="5">
        <f t="shared" si="0"/>
        <v>1584</v>
      </c>
      <c r="I58" s="5">
        <f t="shared" si="1"/>
        <v>0</v>
      </c>
      <c r="J58" s="5">
        <f>Table14[[#This Row],[Enrolment S.Y. 2025-2026 ]]*8</f>
        <v>1584</v>
      </c>
      <c r="K58" s="5"/>
      <c r="L58" s="1"/>
      <c r="M58" s="5"/>
      <c r="N58" s="5">
        <f t="shared" si="2"/>
        <v>1584</v>
      </c>
      <c r="O58" s="5">
        <f t="shared" si="3"/>
        <v>0</v>
      </c>
      <c r="P58" s="5">
        <f>Table14[[#This Row],[Enrolment S.Y. 2025-2026 ]]*8</f>
        <v>1584</v>
      </c>
      <c r="Q58" s="5">
        <v>50</v>
      </c>
      <c r="R58" s="1">
        <v>2025</v>
      </c>
      <c r="S58" s="5"/>
      <c r="T58" s="5">
        <f t="shared" si="4"/>
        <v>1534</v>
      </c>
      <c r="U58" s="5">
        <f t="shared" si="5"/>
        <v>0</v>
      </c>
      <c r="V58" s="5">
        <f>Table14[[#This Row],[Enrolment S.Y. 2025-2026 ]]*8</f>
        <v>1584</v>
      </c>
      <c r="W58" s="5">
        <v>50</v>
      </c>
      <c r="X58" s="1">
        <v>2025</v>
      </c>
      <c r="Y58" s="5"/>
      <c r="Z58" s="5">
        <f t="shared" si="6"/>
        <v>1534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198</v>
      </c>
      <c r="D59" s="5">
        <f>Table14[[#This Row],[Enrolment S.Y. 2025-2026 ]]*8</f>
        <v>1584</v>
      </c>
      <c r="E59" s="5"/>
      <c r="F59" s="1"/>
      <c r="G59" s="5"/>
      <c r="H59" s="5">
        <f t="shared" si="0"/>
        <v>1584</v>
      </c>
      <c r="I59" s="5">
        <f t="shared" si="1"/>
        <v>0</v>
      </c>
      <c r="J59" s="5">
        <f>Table14[[#This Row],[Enrolment S.Y. 2025-2026 ]]*8</f>
        <v>1584</v>
      </c>
      <c r="K59" s="5"/>
      <c r="L59" s="1"/>
      <c r="M59" s="5"/>
      <c r="N59" s="5">
        <f t="shared" si="2"/>
        <v>1584</v>
      </c>
      <c r="O59" s="5">
        <f t="shared" si="3"/>
        <v>0</v>
      </c>
      <c r="P59" s="5">
        <f>Table14[[#This Row],[Enrolment S.Y. 2025-2026 ]]*8</f>
        <v>1584</v>
      </c>
      <c r="Q59" s="5">
        <v>50</v>
      </c>
      <c r="R59" s="1">
        <v>2025</v>
      </c>
      <c r="S59" s="5"/>
      <c r="T59" s="5">
        <f t="shared" si="4"/>
        <v>1534</v>
      </c>
      <c r="U59" s="5">
        <f t="shared" si="5"/>
        <v>0</v>
      </c>
      <c r="V59" s="5">
        <f>Table14[[#This Row],[Enrolment S.Y. 2025-2026 ]]*8</f>
        <v>1584</v>
      </c>
      <c r="W59" s="5">
        <v>50</v>
      </c>
      <c r="X59" s="1">
        <v>2025</v>
      </c>
      <c r="Y59" s="5"/>
      <c r="Z59" s="5">
        <f t="shared" si="6"/>
        <v>1534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198</v>
      </c>
      <c r="D60" s="5">
        <f>Table14[[#This Row],[Enrolment S.Y. 2025-2026 ]]*8</f>
        <v>1584</v>
      </c>
      <c r="E60" s="5"/>
      <c r="F60" s="1"/>
      <c r="G60" s="5"/>
      <c r="H60" s="5">
        <f t="shared" si="0"/>
        <v>1584</v>
      </c>
      <c r="I60" s="5">
        <f t="shared" si="1"/>
        <v>0</v>
      </c>
      <c r="J60" s="5">
        <f>Table14[[#This Row],[Enrolment S.Y. 2025-2026 ]]*8</f>
        <v>1584</v>
      </c>
      <c r="K60" s="5"/>
      <c r="L60" s="1"/>
      <c r="M60" s="5"/>
      <c r="N60" s="5">
        <f t="shared" si="2"/>
        <v>1584</v>
      </c>
      <c r="O60" s="5">
        <f t="shared" si="3"/>
        <v>0</v>
      </c>
      <c r="P60" s="5">
        <f>Table14[[#This Row],[Enrolment S.Y. 2025-2026 ]]*8</f>
        <v>1584</v>
      </c>
      <c r="Q60" s="5">
        <v>50</v>
      </c>
      <c r="R60" s="1">
        <v>2025</v>
      </c>
      <c r="S60" s="5"/>
      <c r="T60" s="5">
        <f t="shared" si="4"/>
        <v>1534</v>
      </c>
      <c r="U60" s="5">
        <f t="shared" si="5"/>
        <v>0</v>
      </c>
      <c r="V60" s="5">
        <f>Table14[[#This Row],[Enrolment S.Y. 2025-2026 ]]*8</f>
        <v>1584</v>
      </c>
      <c r="W60" s="5">
        <v>50</v>
      </c>
      <c r="X60" s="1">
        <v>2025</v>
      </c>
      <c r="Y60" s="5"/>
      <c r="Z60" s="5">
        <f t="shared" si="6"/>
        <v>1534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198</v>
      </c>
      <c r="D61" s="5">
        <f>Table14[[#This Row],[Enrolment S.Y. 2025-2026 ]]*8</f>
        <v>1584</v>
      </c>
      <c r="E61" s="5"/>
      <c r="F61" s="1"/>
      <c r="G61" s="5"/>
      <c r="H61" s="5">
        <f>IF((D61-E61)&lt;0,0,(D61-E61))</f>
        <v>1584</v>
      </c>
      <c r="I61" s="5">
        <f>IF((E61-D61)&lt;0,0,(E61-D61))</f>
        <v>0</v>
      </c>
      <c r="J61" s="5">
        <f>Table14[[#This Row],[Enrolment S.Y. 2025-2026 ]]*8</f>
        <v>1584</v>
      </c>
      <c r="K61" s="5"/>
      <c r="L61" s="1"/>
      <c r="M61" s="5"/>
      <c r="N61" s="5">
        <f t="shared" ref="N61:N65" si="12">IF((J61-K61)&lt;0,0,(J61-K61))</f>
        <v>1584</v>
      </c>
      <c r="O61" s="5">
        <f t="shared" ref="O61:O65" si="13">IF((K61-J61)&lt;0,0,(K61-J61))</f>
        <v>0</v>
      </c>
      <c r="P61" s="5">
        <f>Table14[[#This Row],[Enrolment S.Y. 2025-2026 ]]*8</f>
        <v>1584</v>
      </c>
      <c r="Q61" s="5">
        <v>50</v>
      </c>
      <c r="R61" s="1">
        <v>2025</v>
      </c>
      <c r="S61" s="5"/>
      <c r="T61" s="5">
        <f>IF((P61-Q61)&lt;0,0,(P61-Q61))</f>
        <v>1534</v>
      </c>
      <c r="U61" s="5">
        <f>IF((Q61-P61)&lt;0,0,(Q61-P61))</f>
        <v>0</v>
      </c>
      <c r="V61" s="5">
        <f>Table14[[#This Row],[Enrolment S.Y. 2025-2026 ]]*8</f>
        <v>1584</v>
      </c>
      <c r="W61" s="5">
        <v>50</v>
      </c>
      <c r="X61" s="1">
        <v>2025</v>
      </c>
      <c r="Y61" s="5"/>
      <c r="Z61" s="5">
        <f>IF((V61-W61)&lt;0,0,(V61-W61))</f>
        <v>1534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198</v>
      </c>
      <c r="D62" s="5">
        <f>Table14[[#This Row],[Enrolment S.Y. 2025-2026 ]]*8</f>
        <v>1584</v>
      </c>
      <c r="E62" s="5"/>
      <c r="F62" s="1"/>
      <c r="G62" s="5"/>
      <c r="H62" s="5">
        <f t="shared" si="0"/>
        <v>1584</v>
      </c>
      <c r="I62" s="5">
        <f t="shared" si="1"/>
        <v>0</v>
      </c>
      <c r="J62" s="5">
        <f>Table14[[#This Row],[Enrolment S.Y. 2025-2026 ]]*8</f>
        <v>1584</v>
      </c>
      <c r="K62" s="5"/>
      <c r="L62" s="1"/>
      <c r="M62" s="5"/>
      <c r="N62" s="5">
        <f t="shared" si="12"/>
        <v>1584</v>
      </c>
      <c r="O62" s="5">
        <f t="shared" si="13"/>
        <v>0</v>
      </c>
      <c r="P62" s="5">
        <f>Table14[[#This Row],[Enrolment S.Y. 2025-2026 ]]*8</f>
        <v>1584</v>
      </c>
      <c r="Q62" s="5">
        <v>50</v>
      </c>
      <c r="R62" s="1">
        <v>2025</v>
      </c>
      <c r="S62" s="5"/>
      <c r="T62" s="5">
        <f t="shared" si="4"/>
        <v>1534</v>
      </c>
      <c r="U62" s="5">
        <f t="shared" si="5"/>
        <v>0</v>
      </c>
      <c r="V62" s="5">
        <f>Table14[[#This Row],[Enrolment S.Y. 2025-2026 ]]*8</f>
        <v>1584</v>
      </c>
      <c r="W62" s="5">
        <v>50</v>
      </c>
      <c r="X62" s="1">
        <v>2025</v>
      </c>
      <c r="Y62" s="5"/>
      <c r="Z62" s="5">
        <f t="shared" si="6"/>
        <v>1534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198</v>
      </c>
      <c r="D63" s="5">
        <f>Table14[[#This Row],[Enrolment S.Y. 2025-2026 ]]*8</f>
        <v>1584</v>
      </c>
      <c r="E63" s="5"/>
      <c r="F63" s="1"/>
      <c r="G63" s="5"/>
      <c r="H63" s="5">
        <f t="shared" si="0"/>
        <v>1584</v>
      </c>
      <c r="I63" s="5">
        <f t="shared" si="1"/>
        <v>0</v>
      </c>
      <c r="J63" s="5">
        <f>Table14[[#This Row],[Enrolment S.Y. 2025-2026 ]]*8</f>
        <v>1584</v>
      </c>
      <c r="K63" s="5"/>
      <c r="L63" s="1"/>
      <c r="M63" s="5"/>
      <c r="N63" s="5">
        <f t="shared" si="12"/>
        <v>1584</v>
      </c>
      <c r="O63" s="5">
        <f t="shared" si="13"/>
        <v>0</v>
      </c>
      <c r="P63" s="5">
        <f>Table14[[#This Row],[Enrolment S.Y. 2025-2026 ]]*8</f>
        <v>1584</v>
      </c>
      <c r="Q63" s="5">
        <v>50</v>
      </c>
      <c r="R63" s="1">
        <v>2025</v>
      </c>
      <c r="S63" s="5"/>
      <c r="T63" s="5">
        <f t="shared" si="4"/>
        <v>1534</v>
      </c>
      <c r="U63" s="5">
        <f t="shared" si="5"/>
        <v>0</v>
      </c>
      <c r="V63" s="5">
        <f>Table14[[#This Row],[Enrolment S.Y. 2025-2026 ]]*8</f>
        <v>1584</v>
      </c>
      <c r="W63" s="5">
        <v>50</v>
      </c>
      <c r="X63" s="1">
        <v>2025</v>
      </c>
      <c r="Y63" s="5"/>
      <c r="Z63" s="5">
        <f t="shared" si="6"/>
        <v>1534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198</v>
      </c>
      <c r="D64" s="5">
        <f>Table14[[#This Row],[Enrolment S.Y. 2025-2026 ]]*8</f>
        <v>1584</v>
      </c>
      <c r="E64" s="5"/>
      <c r="F64" s="1"/>
      <c r="G64" s="5"/>
      <c r="H64" s="5">
        <f>IF((D64-E64)&lt;0,0,(D64-E64))</f>
        <v>1584</v>
      </c>
      <c r="I64" s="5">
        <f>IF((E64-D64)&lt;0,0,(E64-D64))</f>
        <v>0</v>
      </c>
      <c r="J64" s="5">
        <f>Table14[[#This Row],[Enrolment S.Y. 2025-2026 ]]*8</f>
        <v>1584</v>
      </c>
      <c r="K64" s="5"/>
      <c r="L64" s="1"/>
      <c r="M64" s="5"/>
      <c r="N64" s="5">
        <f t="shared" si="12"/>
        <v>1584</v>
      </c>
      <c r="O64" s="5">
        <f t="shared" si="13"/>
        <v>0</v>
      </c>
      <c r="P64" s="5">
        <f>Table14[[#This Row],[Enrolment S.Y. 2025-2026 ]]*8</f>
        <v>1584</v>
      </c>
      <c r="Q64" s="5">
        <v>50</v>
      </c>
      <c r="R64" s="1">
        <v>2025</v>
      </c>
      <c r="S64" s="5"/>
      <c r="T64" s="5">
        <f>IF((P64-Q64)&lt;0,0,(P64-Q64))</f>
        <v>1534</v>
      </c>
      <c r="U64" s="5">
        <f>IF((Q64-P64)&lt;0,0,(Q64-P64))</f>
        <v>0</v>
      </c>
      <c r="V64" s="5">
        <f>Table14[[#This Row],[Enrolment S.Y. 2025-2026 ]]*8</f>
        <v>1584</v>
      </c>
      <c r="W64" s="5">
        <v>50</v>
      </c>
      <c r="X64" s="1">
        <v>2025</v>
      </c>
      <c r="Y64" s="5"/>
      <c r="Z64" s="5">
        <f>IF((V64-W64)&lt;0,0,(V64-W64))</f>
        <v>1534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198</v>
      </c>
      <c r="D65" s="5">
        <f>Table14[[#This Row],[Enrolment S.Y. 2025-2026 ]]*8</f>
        <v>1584</v>
      </c>
      <c r="E65" s="5"/>
      <c r="F65" s="1"/>
      <c r="G65" s="5"/>
      <c r="H65" s="5">
        <f t="shared" si="0"/>
        <v>1584</v>
      </c>
      <c r="I65" s="5">
        <f t="shared" si="1"/>
        <v>0</v>
      </c>
      <c r="J65" s="5">
        <f>Table14[[#This Row],[Enrolment S.Y. 2025-2026 ]]*8</f>
        <v>1584</v>
      </c>
      <c r="K65" s="5"/>
      <c r="L65" s="1"/>
      <c r="M65" s="5"/>
      <c r="N65" s="5">
        <f t="shared" si="12"/>
        <v>1584</v>
      </c>
      <c r="O65" s="5">
        <f t="shared" si="13"/>
        <v>0</v>
      </c>
      <c r="P65" s="5">
        <f>Table14[[#This Row],[Enrolment S.Y. 2025-2026 ]]*8</f>
        <v>1584</v>
      </c>
      <c r="Q65" s="5">
        <v>50</v>
      </c>
      <c r="R65" s="1">
        <v>2025</v>
      </c>
      <c r="S65" s="5"/>
      <c r="T65" s="5">
        <f t="shared" si="4"/>
        <v>1534</v>
      </c>
      <c r="U65" s="5">
        <f t="shared" si="5"/>
        <v>0</v>
      </c>
      <c r="V65" s="5">
        <f>Table14[[#This Row],[Enrolment S.Y. 2025-2026 ]]*8</f>
        <v>1584</v>
      </c>
      <c r="W65" s="5">
        <v>50</v>
      </c>
      <c r="X65" s="1">
        <v>2025</v>
      </c>
      <c r="Y65" s="5"/>
      <c r="Z65" s="5">
        <f t="shared" si="6"/>
        <v>1534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67:C77 C79:C89 C115:C122 C103:C113 C91:C101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1A80E2FF-C1E4-4DCC-886C-68965C50E88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2026-02-23T07:54:44Z</dcterms:modified>
  <cp:category/>
  <cp:contentStatus/>
</cp:coreProperties>
</file>