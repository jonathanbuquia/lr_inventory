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09" documentId="13_ncr:1_{BFB59F67-F0DC-4675-A682-EB0734A8026A}" xr6:coauthVersionLast="47" xr6:coauthVersionMax="47" xr10:uidLastSave="{4F84ADE7-0FD0-43A4-86D9-732667C90D1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2" i="5" l="1"/>
  <c r="H91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I92" i="5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<sst xmlns="http://schemas.openxmlformats.org/spreadsheetml/2006/main" count="425" uniqueCount="94">
  <si>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</si>
  <si>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</si>
  <si>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</si>
  <si>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</si>
  <si>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</si>
  <si>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</si>
  <si>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</si>
  <si>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</si>
  <si>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</si>
  <si>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</si>
  <si>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</si>
  <si>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</si>
  <si>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</si>
  <si>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</si>
  <si>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</si>
  <si>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</si>
  <si>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</si>
  <si>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</si>
  <si>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</si>
  <si>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</si>
  <si>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</si>
  <si>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</si>
  <si>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</si>
  <si>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Filipino(Noli Me Tanger)</t>
  </si>
  <si>
    <t>Filipino (El Fili)</t>
  </si>
  <si>
    <t>SHS</t>
  </si>
  <si>
    <t>Personal Development</t>
  </si>
  <si>
    <t>CO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</si>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</sst>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08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1791</v>
      </c>
      <c r="D51" s="10">
        <v>3065</v>
      </c>
      <c r="E51" s="10">
        <v>2025</v>
      </c>
      <c r="F51" s="12"/>
      <c r="G51" s="3">
        <f t="shared" ref="G51:G59" si="10">IF((C51-D51)&lt;0,0,C51-D51)</f>
        <v>0</v>
      </c>
      <c r="H51" s="4">
        <f t="shared" ref="H51:H59" si="11">IF((D51-C51)&lt;0,0,D51-C51)</f>
        <v>1274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1791</v>
      </c>
      <c r="D53" s="10">
        <v>3065</v>
      </c>
      <c r="E53" s="10">
        <v>2024</v>
      </c>
      <c r="F53" s="12"/>
      <c r="G53" s="3">
        <f t="shared" si="10"/>
        <v>0</v>
      </c>
      <c r="H53" s="4">
        <f t="shared" si="11"/>
        <v>1274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1791</v>
      </c>
      <c r="D55" s="10">
        <v>3065</v>
      </c>
      <c r="E55" s="10">
        <v>2025</v>
      </c>
      <c r="F55" s="12"/>
      <c r="G55" s="3">
        <f t="shared" si="10"/>
        <v>0</v>
      </c>
      <c r="H55" s="4">
        <f t="shared" si="11"/>
        <v>1274</v>
      </c>
    </row>
    <row r="56" spans="1:8" ht="27.75" customHeight="1">
      <c r="A56" s="10">
        <v>7</v>
      </c>
      <c r="B56" s="11" t="s">
        <v>13</v>
      </c>
      <c r="C56" s="10">
        <v>1791</v>
      </c>
      <c r="D56" s="10">
        <v>3065</v>
      </c>
      <c r="E56" s="10">
        <v>2024</v>
      </c>
      <c r="F56" s="12"/>
      <c r="G56" s="3">
        <f t="shared" si="10"/>
        <v>0</v>
      </c>
      <c r="H56" s="4">
        <f t="shared" si="11"/>
        <v>1274</v>
      </c>
    </row>
    <row r="57" spans="1:8" ht="27.75" customHeight="1">
      <c r="A57" s="10">
        <v>7</v>
      </c>
      <c r="B57" s="11" t="s">
        <v>17</v>
      </c>
      <c r="C57" s="10">
        <v>1791</v>
      </c>
      <c r="D57" s="10">
        <v>3065</v>
      </c>
      <c r="E57" s="10">
        <v>2024</v>
      </c>
      <c r="F57" s="12"/>
      <c r="G57" s="3">
        <f t="shared" si="10"/>
        <v>0</v>
      </c>
      <c r="H57" s="4">
        <f t="shared" si="11"/>
        <v>1274</v>
      </c>
    </row>
    <row r="58" spans="1:8" ht="27.75" customHeight="1">
      <c r="A58" s="10">
        <v>7</v>
      </c>
      <c r="B58" s="11" t="s">
        <v>21</v>
      </c>
      <c r="C58" s="10">
        <v>1791</v>
      </c>
      <c r="D58" s="10">
        <v>3065</v>
      </c>
      <c r="E58" s="10">
        <v>2025</v>
      </c>
      <c r="F58" s="12"/>
      <c r="G58" s="3">
        <f t="shared" si="10"/>
        <v>0</v>
      </c>
      <c r="H58" s="4">
        <f t="shared" si="11"/>
        <v>1274</v>
      </c>
    </row>
    <row r="59" spans="1:8" ht="27.75" customHeight="1">
      <c r="A59" s="10">
        <v>7</v>
      </c>
      <c r="B59" s="11" t="s">
        <v>19</v>
      </c>
      <c r="C59" s="10">
        <v>1791</v>
      </c>
      <c r="D59" s="10">
        <v>3065</v>
      </c>
      <c r="E59" s="10">
        <v>2025</v>
      </c>
      <c r="F59" s="12"/>
      <c r="G59" s="3">
        <f t="shared" si="10"/>
        <v>0</v>
      </c>
      <c r="H59" s="4">
        <f t="shared" si="11"/>
        <v>1274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1687</v>
      </c>
      <c r="D63" s="10">
        <v>2397</v>
      </c>
      <c r="E63" s="10">
        <v>2025</v>
      </c>
      <c r="F63" s="12"/>
      <c r="G63" s="3">
        <f t="shared" si="12"/>
        <v>0</v>
      </c>
      <c r="H63" s="4">
        <f t="shared" si="13"/>
        <v>710</v>
      </c>
    </row>
    <row r="64" spans="1:8" ht="27.75" customHeight="1">
      <c r="A64" s="10">
        <v>8</v>
      </c>
      <c r="B64" s="11" t="s">
        <v>20</v>
      </c>
      <c r="C64" s="10">
        <v>1687</v>
      </c>
      <c r="D64" s="10">
        <v>2397</v>
      </c>
      <c r="E64" s="10">
        <v>2025</v>
      </c>
      <c r="F64" s="12"/>
      <c r="G64" s="3">
        <f t="shared" si="12"/>
        <v>0</v>
      </c>
      <c r="H64" s="4">
        <f t="shared" si="13"/>
        <v>710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23</v>
      </c>
      <c r="C72" s="10">
        <v>1673</v>
      </c>
      <c r="D72" s="10">
        <v>2296</v>
      </c>
      <c r="E72" s="10">
        <v>2024</v>
      </c>
      <c r="F72" s="12"/>
      <c r="G72" s="3">
        <f t="shared" si="14"/>
        <v>0</v>
      </c>
      <c r="H72" s="4">
        <f t="shared" si="15"/>
        <v>623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24</v>
      </c>
      <c r="C82" s="10">
        <v>1946</v>
      </c>
      <c r="D82" s="10">
        <v>2093</v>
      </c>
      <c r="E82" s="10">
        <v>2024</v>
      </c>
      <c r="F82" s="12"/>
      <c r="G82" s="3">
        <f t="shared" si="16"/>
        <v>0</v>
      </c>
      <c r="H82" s="4">
        <f t="shared" si="17"/>
        <v>147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>
        <v>323</v>
      </c>
      <c r="D91" s="1">
        <v>754</v>
      </c>
      <c r="E91" s="1">
        <v>2024</v>
      </c>
      <c r="F91" s="5" t="s">
        <v>27</v>
      </c>
      <c r="G91" s="3">
        <f t="shared" ref="G91:G98" si="18">IF((C91-D91)&lt;0,0,C91-D91)</f>
        <v>0</v>
      </c>
      <c r="H91" s="4">
        <f>Table2[[#This Row],[Quantity of Textbooks Received]]-Table2[[#This Row],[Enrolment S.Y. 2025-2026 ]]</f>
        <v>431</v>
      </c>
    </row>
    <row r="92" spans="1:8" ht="27.75" customHeight="1">
      <c r="A92" s="1" t="s">
        <v>25</v>
      </c>
      <c r="B92" s="9" t="s">
        <v>28</v>
      </c>
      <c r="C92" s="1"/>
      <c r="D92" s="1"/>
      <c r="E92" s="1"/>
      <c r="F92" s="5"/>
      <c r="G92" s="3">
        <f t="shared" si="18"/>
        <v>0</v>
      </c>
      <c r="H92" s="4">
        <f t="shared" ref="H91:H98" si="19">IF((D92-C92)&lt;0,0,D92-C92)</f>
        <v>0</v>
      </c>
    </row>
    <row r="93" spans="1:8" ht="27.75" customHeight="1">
      <c r="A93" s="1" t="s">
        <v>25</v>
      </c>
      <c r="B93" s="9" t="s">
        <v>29</v>
      </c>
      <c r="C93" s="1">
        <v>459</v>
      </c>
      <c r="D93" s="1">
        <v>754</v>
      </c>
      <c r="E93" s="1">
        <v>2024</v>
      </c>
      <c r="F93" s="5"/>
      <c r="G93" s="3">
        <f t="shared" si="18"/>
        <v>0</v>
      </c>
      <c r="H93" s="4">
        <f t="shared" si="19"/>
        <v>295</v>
      </c>
    </row>
    <row r="94" spans="1:8" ht="27.75" customHeight="1">
      <c r="A94" s="1" t="s">
        <v>25</v>
      </c>
      <c r="B94" s="9" t="s">
        <v>30</v>
      </c>
      <c r="C94" s="1">
        <v>459</v>
      </c>
      <c r="D94" s="1">
        <v>754</v>
      </c>
      <c r="E94" s="1">
        <v>2025</v>
      </c>
      <c r="F94" s="5"/>
      <c r="G94" s="3">
        <f t="shared" si="18"/>
        <v>0</v>
      </c>
      <c r="H94" s="4">
        <f t="shared" si="19"/>
        <v>295</v>
      </c>
    </row>
    <row r="95" spans="1:8" ht="40.5" customHeight="1">
      <c r="A95" s="1" t="s">
        <v>25</v>
      </c>
      <c r="B95" s="9" t="s">
        <v>31</v>
      </c>
      <c r="C95" s="1">
        <v>459</v>
      </c>
      <c r="D95" s="1">
        <v>754</v>
      </c>
      <c r="E95" s="1">
        <v>2025</v>
      </c>
      <c r="F95" s="5"/>
      <c r="G95" s="3">
        <f t="shared" si="18"/>
        <v>0</v>
      </c>
      <c r="H95" s="4">
        <f t="shared" si="19"/>
        <v>295</v>
      </c>
    </row>
    <row r="96" spans="1:8" ht="38.25" customHeight="1">
      <c r="A96" s="1" t="s">
        <v>25</v>
      </c>
      <c r="B96" s="9" t="s">
        <v>32</v>
      </c>
      <c r="C96" s="1">
        <v>323</v>
      </c>
      <c r="D96" s="1">
        <v>754</v>
      </c>
      <c r="E96" s="1">
        <v>2025</v>
      </c>
      <c r="F96" s="5"/>
      <c r="G96" s="3">
        <f t="shared" si="18"/>
        <v>0</v>
      </c>
      <c r="H96" s="4">
        <f t="shared" si="19"/>
        <v>431</v>
      </c>
    </row>
    <row r="97" spans="1:8" ht="27.75" customHeight="1">
      <c r="A97" s="1" t="s">
        <v>25</v>
      </c>
      <c r="B97" s="9" t="s">
        <v>33</v>
      </c>
      <c r="C97" s="1">
        <v>459</v>
      </c>
      <c r="D97" s="1">
        <v>754</v>
      </c>
      <c r="E97" s="1">
        <v>2025</v>
      </c>
      <c r="F97" s="5"/>
      <c r="G97" s="3">
        <f t="shared" si="18"/>
        <v>0</v>
      </c>
      <c r="H97" s="4">
        <f t="shared" si="19"/>
        <v>295</v>
      </c>
    </row>
    <row r="98" spans="1:8" ht="47.25" customHeight="1">
      <c r="A98" s="1" t="s">
        <v>25</v>
      </c>
      <c r="B98" s="9" t="s">
        <v>34</v>
      </c>
      <c r="C98" s="1">
        <v>323</v>
      </c>
      <c r="D98" s="1">
        <v>754</v>
      </c>
      <c r="E98" s="1">
        <v>2025</v>
      </c>
      <c r="F98" s="5"/>
      <c r="G98" s="3">
        <f t="shared" si="18"/>
        <v>0</v>
      </c>
      <c r="H98" s="4">
        <f t="shared" si="19"/>
        <v>431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CACFDCC0-C069-4CC0-9C8D-78C90CC289EF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T1" zoomScale="70" zoomScaleNormal="70" workbookViewId="0">
      <selection activeCell="X93" sqref="X93:X10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64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64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93:X101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112:X127 X103:X110 X5:X12 X14:X21 X23:X31 X33:X41 X43:X51 X53:X61 X63:X71 X73:X81 X83:X91" xr:uid="{F4FEAA47-E5B0-42D2-BC0E-B9E9C58391DE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T111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1673</v>
      </c>
      <c r="D92" s="12">
        <f>Table14[[#This Row],[Enrolment S.Y. 2025-2026 ]]*8</f>
        <v>13384</v>
      </c>
      <c r="E92" s="12">
        <v>500</v>
      </c>
      <c r="F92" s="10">
        <v>2025</v>
      </c>
      <c r="G92" s="12" t="s">
        <v>93</v>
      </c>
      <c r="H92" s="12">
        <f t="shared" si="22"/>
        <v>12884</v>
      </c>
      <c r="I92" s="12">
        <f t="shared" si="23"/>
        <v>0</v>
      </c>
      <c r="J92" s="12">
        <f>Table14[[#This Row],[Enrolment S.Y. 2025-2026 ]]*8</f>
        <v>13384</v>
      </c>
      <c r="K92" s="12">
        <v>250</v>
      </c>
      <c r="L92" s="10">
        <v>2025</v>
      </c>
      <c r="M92" s="12" t="s">
        <v>93</v>
      </c>
      <c r="N92" s="12">
        <f t="shared" si="20"/>
        <v>13134</v>
      </c>
      <c r="O92" s="12">
        <f t="shared" si="21"/>
        <v>0</v>
      </c>
      <c r="P92" s="12">
        <f>Table14[[#This Row],[Enrolment S.Y. 2025-2026 ]]*8</f>
        <v>13384</v>
      </c>
      <c r="Q92" s="12">
        <v>250</v>
      </c>
      <c r="R92" s="10">
        <v>2025</v>
      </c>
      <c r="S92" s="12" t="s">
        <v>93</v>
      </c>
      <c r="T92" s="12">
        <f t="shared" si="16"/>
        <v>13134</v>
      </c>
      <c r="U92" s="12">
        <f t="shared" si="17"/>
        <v>0</v>
      </c>
      <c r="V92" s="12">
        <f>Table14[[#This Row],[Enrolment S.Y. 2025-2026 ]]*8</f>
        <v>13384</v>
      </c>
      <c r="W92" s="12"/>
      <c r="X92" s="10"/>
      <c r="Y92" s="12"/>
      <c r="Z92" s="12">
        <f t="shared" si="18"/>
        <v>13384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1673</v>
      </c>
      <c r="D93" s="12">
        <f>Table14[[#This Row],[Enrolment S.Y. 2025-2026 ]]*8</f>
        <v>13384</v>
      </c>
      <c r="E93" s="12">
        <v>500</v>
      </c>
      <c r="F93" s="10">
        <v>2025</v>
      </c>
      <c r="G93" s="12" t="s">
        <v>93</v>
      </c>
      <c r="H93" s="12">
        <f t="shared" si="22"/>
        <v>12884</v>
      </c>
      <c r="I93" s="12">
        <f t="shared" si="23"/>
        <v>0</v>
      </c>
      <c r="J93" s="12">
        <f>Table14[[#This Row],[Enrolment S.Y. 2025-2026 ]]*8</f>
        <v>13384</v>
      </c>
      <c r="K93" s="12">
        <v>250</v>
      </c>
      <c r="L93" s="10">
        <v>2025</v>
      </c>
      <c r="M93" s="12" t="s">
        <v>93</v>
      </c>
      <c r="N93" s="12">
        <f t="shared" si="20"/>
        <v>13134</v>
      </c>
      <c r="O93" s="12">
        <f t="shared" si="21"/>
        <v>0</v>
      </c>
      <c r="P93" s="12">
        <f>Table14[[#This Row],[Enrolment S.Y. 2025-2026 ]]*8</f>
        <v>13384</v>
      </c>
      <c r="Q93" s="12">
        <v>250</v>
      </c>
      <c r="R93" s="10">
        <v>2025</v>
      </c>
      <c r="S93" s="12" t="s">
        <v>93</v>
      </c>
      <c r="T93" s="12">
        <f t="shared" si="16"/>
        <v>13134</v>
      </c>
      <c r="U93" s="12">
        <f t="shared" si="17"/>
        <v>0</v>
      </c>
      <c r="V93" s="12">
        <f>Table14[[#This Row],[Enrolment S.Y. 2025-2026 ]]*8</f>
        <v>13384</v>
      </c>
      <c r="W93" s="12"/>
      <c r="X93" s="10"/>
      <c r="Y93" s="12"/>
      <c r="Z93" s="12">
        <f t="shared" si="18"/>
        <v>13384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>
        <v>1673</v>
      </c>
      <c r="D94" s="12">
        <f>Table14[[#This Row],[Enrolment S.Y. 2025-2026 ]]*8</f>
        <v>13384</v>
      </c>
      <c r="E94" s="12"/>
      <c r="F94" s="10"/>
      <c r="G94" s="12"/>
      <c r="H94" s="12">
        <f t="shared" si="22"/>
        <v>13384</v>
      </c>
      <c r="I94" s="12">
        <f t="shared" si="23"/>
        <v>0</v>
      </c>
      <c r="J94" s="12">
        <f>Table14[[#This Row],[Enrolment S.Y. 2025-2026 ]]*8</f>
        <v>13384</v>
      </c>
      <c r="K94" s="12"/>
      <c r="L94" s="10"/>
      <c r="M94" s="12"/>
      <c r="N94" s="12">
        <f t="shared" si="20"/>
        <v>13384</v>
      </c>
      <c r="O94" s="12">
        <f t="shared" si="21"/>
        <v>0</v>
      </c>
      <c r="P94" s="12">
        <f>Table14[[#This Row],[Enrolment S.Y. 2025-2026 ]]*8</f>
        <v>13384</v>
      </c>
      <c r="Q94" s="12">
        <v>250</v>
      </c>
      <c r="R94" s="10">
        <v>2025</v>
      </c>
      <c r="S94" s="12" t="s">
        <v>93</v>
      </c>
      <c r="T94" s="12">
        <f t="shared" si="16"/>
        <v>13134</v>
      </c>
      <c r="U94" s="12">
        <f t="shared" si="17"/>
        <v>0</v>
      </c>
      <c r="V94" s="12">
        <f>Table14[[#This Row],[Enrolment S.Y. 2025-2026 ]]*8</f>
        <v>13384</v>
      </c>
      <c r="W94" s="12"/>
      <c r="X94" s="10"/>
      <c r="Y94" s="12"/>
      <c r="Z94" s="12">
        <f t="shared" si="18"/>
        <v>13384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>
        <v>1673</v>
      </c>
      <c r="D95" s="12">
        <f>Table14[[#This Row],[Enrolment S.Y. 2025-2026 ]]*8</f>
        <v>13384</v>
      </c>
      <c r="E95" s="12"/>
      <c r="F95" s="10"/>
      <c r="G95" s="12"/>
      <c r="H95" s="12">
        <f t="shared" si="22"/>
        <v>13384</v>
      </c>
      <c r="I95" s="12">
        <f t="shared" si="23"/>
        <v>0</v>
      </c>
      <c r="J95" s="12">
        <f>Table14[[#This Row],[Enrolment S.Y. 2025-2026 ]]*8</f>
        <v>13384</v>
      </c>
      <c r="K95" s="12"/>
      <c r="L95" s="10"/>
      <c r="M95" s="12"/>
      <c r="N95" s="12">
        <f t="shared" si="20"/>
        <v>13384</v>
      </c>
      <c r="O95" s="12">
        <f t="shared" si="21"/>
        <v>0</v>
      </c>
      <c r="P95" s="12">
        <f>Table14[[#This Row],[Enrolment S.Y. 2025-2026 ]]*8</f>
        <v>13384</v>
      </c>
      <c r="Q95" s="12">
        <v>250</v>
      </c>
      <c r="R95" s="10">
        <v>2025</v>
      </c>
      <c r="S95" s="12" t="s">
        <v>93</v>
      </c>
      <c r="T95" s="12">
        <f t="shared" si="16"/>
        <v>13134</v>
      </c>
      <c r="U95" s="12">
        <f t="shared" si="17"/>
        <v>0</v>
      </c>
      <c r="V95" s="12">
        <f>Table14[[#This Row],[Enrolment S.Y. 2025-2026 ]]*8</f>
        <v>13384</v>
      </c>
      <c r="W95" s="12"/>
      <c r="X95" s="10"/>
      <c r="Y95" s="12"/>
      <c r="Z95" s="12">
        <f t="shared" si="18"/>
        <v>13384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1673</v>
      </c>
      <c r="D96" s="12">
        <f>Table14[[#This Row],[Enrolment S.Y. 2025-2026 ]]*8</f>
        <v>13384</v>
      </c>
      <c r="E96" s="12"/>
      <c r="F96" s="10"/>
      <c r="G96" s="12"/>
      <c r="H96" s="12">
        <f t="shared" si="22"/>
        <v>13384</v>
      </c>
      <c r="I96" s="12">
        <f t="shared" si="23"/>
        <v>0</v>
      </c>
      <c r="J96" s="12">
        <f>Table14[[#This Row],[Enrolment S.Y. 2025-2026 ]]*8</f>
        <v>13384</v>
      </c>
      <c r="K96" s="12"/>
      <c r="L96" s="10"/>
      <c r="M96" s="12"/>
      <c r="N96" s="12">
        <f t="shared" si="20"/>
        <v>13384</v>
      </c>
      <c r="O96" s="12">
        <f t="shared" si="21"/>
        <v>0</v>
      </c>
      <c r="P96" s="12">
        <f>Table14[[#This Row],[Enrolment S.Y. 2025-2026 ]]*8</f>
        <v>13384</v>
      </c>
      <c r="Q96" s="12">
        <v>250</v>
      </c>
      <c r="R96" s="10">
        <v>2025</v>
      </c>
      <c r="S96" s="12" t="s">
        <v>93</v>
      </c>
      <c r="T96" s="12">
        <f t="shared" si="16"/>
        <v>13134</v>
      </c>
      <c r="U96" s="12">
        <f t="shared" si="17"/>
        <v>0</v>
      </c>
      <c r="V96" s="12">
        <f>Table14[[#This Row],[Enrolment S.Y. 2025-2026 ]]*8</f>
        <v>13384</v>
      </c>
      <c r="W96" s="12"/>
      <c r="X96" s="10"/>
      <c r="Y96" s="12"/>
      <c r="Z96" s="12">
        <f t="shared" si="18"/>
        <v>13384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91</v>
      </c>
      <c r="C100" s="10">
        <v>1673</v>
      </c>
      <c r="D100" s="12">
        <f>Table14[[#This Row],[Enrolment S.Y. 2025-2026 ]]*8</f>
        <v>13384</v>
      </c>
      <c r="E100" s="12"/>
      <c r="F100" s="10"/>
      <c r="G100" s="12"/>
      <c r="H100" s="12">
        <f>IF((D100-E100)&lt;0,0,(D100-E100))</f>
        <v>13384</v>
      </c>
      <c r="I100" s="12">
        <f>IF((E100-D100)&lt;0,0,(E100-D100))</f>
        <v>0</v>
      </c>
      <c r="J100" s="12">
        <f>Table14[[#This Row],[Enrolment S.Y. 2025-2026 ]]*8</f>
        <v>13384</v>
      </c>
      <c r="K100" s="12"/>
      <c r="L100" s="10"/>
      <c r="M100" s="12"/>
      <c r="N100" s="12">
        <f t="shared" si="26"/>
        <v>13384</v>
      </c>
      <c r="O100" s="12">
        <f t="shared" si="27"/>
        <v>0</v>
      </c>
      <c r="P100" s="12">
        <f>Table14[[#This Row],[Enrolment S.Y. 2025-2026 ]]*8</f>
        <v>13384</v>
      </c>
      <c r="Q100" s="12">
        <v>250</v>
      </c>
      <c r="R100" s="10">
        <v>2025</v>
      </c>
      <c r="S100" s="12" t="s">
        <v>93</v>
      </c>
      <c r="T100" s="12">
        <f>IF((P100-Q100)&lt;0,0,(P100-Q100))</f>
        <v>13134</v>
      </c>
      <c r="U100" s="12">
        <f>IF((Q100-P100)&lt;0,0,(Q100-P100))</f>
        <v>0</v>
      </c>
      <c r="V100" s="12">
        <f>Table14[[#This Row],[Enrolment S.Y. 2025-2026 ]]*8</f>
        <v>13384</v>
      </c>
      <c r="W100" s="12"/>
      <c r="X100" s="10"/>
      <c r="Y100" s="12"/>
      <c r="Z100" s="12">
        <f>IF((V100-W100)&lt;0,0,(V100-W100))</f>
        <v>13384</v>
      </c>
      <c r="AA100" s="12">
        <f>IF((W100-V100)&lt;0,0,(W100-V100))</f>
        <v>0</v>
      </c>
    </row>
    <row r="101" spans="1:27" ht="19.5">
      <c r="A101" s="10">
        <v>9</v>
      </c>
      <c r="B101" s="11" t="s">
        <v>92</v>
      </c>
      <c r="C101" s="10">
        <v>1673</v>
      </c>
      <c r="D101" s="12">
        <f>Table14[[#This Row],[Enrolment S.Y. 2025-2026 ]]*8</f>
        <v>13384</v>
      </c>
      <c r="E101" s="12"/>
      <c r="F101" s="10"/>
      <c r="G101" s="12"/>
      <c r="H101" s="12">
        <f t="shared" si="22"/>
        <v>13384</v>
      </c>
      <c r="I101" s="12">
        <f t="shared" si="23"/>
        <v>0</v>
      </c>
      <c r="J101" s="12">
        <f>Table14[[#This Row],[Enrolment S.Y. 2025-2026 ]]*8</f>
        <v>13384</v>
      </c>
      <c r="K101" s="12"/>
      <c r="L101" s="10"/>
      <c r="M101" s="12"/>
      <c r="N101" s="12">
        <f t="shared" si="26"/>
        <v>13384</v>
      </c>
      <c r="O101" s="12">
        <f t="shared" si="27"/>
        <v>0</v>
      </c>
      <c r="P101" s="12">
        <f>Table14[[#This Row],[Enrolment S.Y. 2025-2026 ]]*8</f>
        <v>13384</v>
      </c>
      <c r="Q101" s="12">
        <v>250</v>
      </c>
      <c r="R101" s="10">
        <v>2025</v>
      </c>
      <c r="S101" s="12" t="s">
        <v>93</v>
      </c>
      <c r="T101" s="12">
        <f t="shared" si="16"/>
        <v>13134</v>
      </c>
      <c r="U101" s="12">
        <f t="shared" si="17"/>
        <v>0</v>
      </c>
      <c r="V101" s="12">
        <f>Table14[[#This Row],[Enrolment S.Y. 2025-2026 ]]*8</f>
        <v>13384</v>
      </c>
      <c r="W101" s="12"/>
      <c r="X101" s="10"/>
      <c r="Y101" s="12"/>
      <c r="Z101" s="12">
        <f t="shared" si="18"/>
        <v>13384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1946</v>
      </c>
      <c r="D103" s="12">
        <f>Table14[[#This Row],[Enrolment S.Y. 2025-2026 ]]*8</f>
        <v>15568</v>
      </c>
      <c r="E103" s="12">
        <v>600</v>
      </c>
      <c r="F103" s="10">
        <v>2025</v>
      </c>
      <c r="G103" s="12" t="s">
        <v>93</v>
      </c>
      <c r="H103" s="12">
        <f t="shared" si="22"/>
        <v>14968</v>
      </c>
      <c r="I103" s="12">
        <f t="shared" si="23"/>
        <v>0</v>
      </c>
      <c r="J103" s="12">
        <f>Table14[[#This Row],[Enrolment S.Y. 2025-2026 ]]*8</f>
        <v>15568</v>
      </c>
      <c r="K103" s="12">
        <v>200</v>
      </c>
      <c r="L103" s="10">
        <v>2025</v>
      </c>
      <c r="M103" s="12" t="s">
        <v>93</v>
      </c>
      <c r="N103" s="12">
        <f t="shared" si="20"/>
        <v>15368</v>
      </c>
      <c r="O103" s="12">
        <f t="shared" si="21"/>
        <v>0</v>
      </c>
      <c r="P103" s="12">
        <f>Table14[[#This Row],[Enrolment S.Y. 2025-2026 ]]*8</f>
        <v>15568</v>
      </c>
      <c r="Q103" s="12">
        <v>200</v>
      </c>
      <c r="R103" s="10">
        <v>2025</v>
      </c>
      <c r="S103" s="12" t="s">
        <v>93</v>
      </c>
      <c r="T103" s="12">
        <f t="shared" si="16"/>
        <v>15368</v>
      </c>
      <c r="U103" s="12">
        <f t="shared" si="17"/>
        <v>0</v>
      </c>
      <c r="V103" s="12">
        <f>Table14[[#This Row],[Enrolment S.Y. 2025-2026 ]]*8</f>
        <v>15568</v>
      </c>
      <c r="W103" s="12">
        <v>200</v>
      </c>
      <c r="X103" s="10">
        <v>2025</v>
      </c>
      <c r="Y103" s="12" t="s">
        <v>93</v>
      </c>
      <c r="Z103" s="12">
        <f t="shared" si="18"/>
        <v>15368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1946</v>
      </c>
      <c r="D104" s="12">
        <f>Table14[[#This Row],[Enrolment S.Y. 2025-2026 ]]*8</f>
        <v>15568</v>
      </c>
      <c r="E104" s="12">
        <v>600</v>
      </c>
      <c r="F104" s="10">
        <v>2025</v>
      </c>
      <c r="G104" s="12" t="s">
        <v>93</v>
      </c>
      <c r="H104" s="12">
        <f t="shared" si="22"/>
        <v>14968</v>
      </c>
      <c r="I104" s="12">
        <f t="shared" si="23"/>
        <v>0</v>
      </c>
      <c r="J104" s="12">
        <f>Table14[[#This Row],[Enrolment S.Y. 2025-2026 ]]*8</f>
        <v>15568</v>
      </c>
      <c r="K104" s="12"/>
      <c r="L104" s="10"/>
      <c r="M104" s="12"/>
      <c r="N104" s="12">
        <f t="shared" si="20"/>
        <v>15568</v>
      </c>
      <c r="O104" s="12">
        <f t="shared" si="21"/>
        <v>0</v>
      </c>
      <c r="P104" s="12">
        <f>Table14[[#This Row],[Enrolment S.Y. 2025-2026 ]]*8</f>
        <v>15568</v>
      </c>
      <c r="Q104" s="12">
        <v>200</v>
      </c>
      <c r="R104" s="10">
        <v>2025</v>
      </c>
      <c r="S104" s="12" t="s">
        <v>93</v>
      </c>
      <c r="T104" s="12">
        <f t="shared" si="16"/>
        <v>15368</v>
      </c>
      <c r="U104" s="12">
        <f t="shared" si="17"/>
        <v>0</v>
      </c>
      <c r="V104" s="12">
        <f>Table14[[#This Row],[Enrolment S.Y. 2025-2026 ]]*8</f>
        <v>15568</v>
      </c>
      <c r="W104" s="12">
        <v>200</v>
      </c>
      <c r="X104" s="10">
        <v>2025</v>
      </c>
      <c r="Y104" s="12" t="s">
        <v>93</v>
      </c>
      <c r="Z104" s="12">
        <f t="shared" si="18"/>
        <v>15368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1946</v>
      </c>
      <c r="D105" s="12">
        <f>Table14[[#This Row],[Enrolment S.Y. 2025-2026 ]]*8</f>
        <v>15568</v>
      </c>
      <c r="E105" s="12">
        <v>600</v>
      </c>
      <c r="F105" s="10">
        <v>2025</v>
      </c>
      <c r="G105" s="12" t="s">
        <v>93</v>
      </c>
      <c r="H105" s="12">
        <f t="shared" si="22"/>
        <v>14968</v>
      </c>
      <c r="I105" s="12">
        <f t="shared" si="23"/>
        <v>0</v>
      </c>
      <c r="J105" s="12">
        <f>Table14[[#This Row],[Enrolment S.Y. 2025-2026 ]]*8</f>
        <v>15568</v>
      </c>
      <c r="K105" s="12">
        <v>200</v>
      </c>
      <c r="L105" s="10">
        <v>2025</v>
      </c>
      <c r="M105" s="12" t="s">
        <v>93</v>
      </c>
      <c r="N105" s="12">
        <f t="shared" si="20"/>
        <v>15368</v>
      </c>
      <c r="O105" s="12">
        <f t="shared" si="21"/>
        <v>0</v>
      </c>
      <c r="P105" s="12">
        <f>Table14[[#This Row],[Enrolment S.Y. 2025-2026 ]]*8</f>
        <v>15568</v>
      </c>
      <c r="Q105" s="12">
        <v>200</v>
      </c>
      <c r="R105" s="10">
        <v>2025</v>
      </c>
      <c r="S105" s="12" t="s">
        <v>93</v>
      </c>
      <c r="T105" s="12">
        <f t="shared" si="16"/>
        <v>15368</v>
      </c>
      <c r="U105" s="12">
        <f t="shared" si="17"/>
        <v>0</v>
      </c>
      <c r="V105" s="12">
        <f>Table14[[#This Row],[Enrolment S.Y. 2025-2026 ]]*8</f>
        <v>15568</v>
      </c>
      <c r="W105" s="12">
        <v>200</v>
      </c>
      <c r="X105" s="10">
        <v>2025</v>
      </c>
      <c r="Y105" s="12" t="s">
        <v>93</v>
      </c>
      <c r="Z105" s="12">
        <f t="shared" si="18"/>
        <v>15368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>
        <v>1946</v>
      </c>
      <c r="D106" s="12">
        <f>Table14[[#This Row],[Enrolment S.Y. 2025-2026 ]]*8</f>
        <v>15568</v>
      </c>
      <c r="E106" s="12"/>
      <c r="F106" s="10"/>
      <c r="G106" s="12"/>
      <c r="H106" s="12">
        <f t="shared" si="22"/>
        <v>15568</v>
      </c>
      <c r="I106" s="12">
        <f t="shared" si="23"/>
        <v>0</v>
      </c>
      <c r="J106" s="12">
        <f>Table14[[#This Row],[Enrolment S.Y. 2025-2026 ]]*8</f>
        <v>15568</v>
      </c>
      <c r="K106" s="12"/>
      <c r="L106" s="10"/>
      <c r="M106" s="12"/>
      <c r="N106" s="12">
        <f t="shared" si="20"/>
        <v>15568</v>
      </c>
      <c r="O106" s="12">
        <f t="shared" si="21"/>
        <v>0</v>
      </c>
      <c r="P106" s="12">
        <f>Table14[[#This Row],[Enrolment S.Y. 2025-2026 ]]*8</f>
        <v>15568</v>
      </c>
      <c r="Q106" s="12">
        <v>200</v>
      </c>
      <c r="R106" s="10">
        <v>2025</v>
      </c>
      <c r="S106" s="12" t="s">
        <v>93</v>
      </c>
      <c r="T106" s="12">
        <f t="shared" si="16"/>
        <v>15368</v>
      </c>
      <c r="U106" s="12">
        <f t="shared" si="17"/>
        <v>0</v>
      </c>
      <c r="V106" s="12">
        <f>Table14[[#This Row],[Enrolment S.Y. 2025-2026 ]]*8</f>
        <v>15568</v>
      </c>
      <c r="W106" s="12">
        <v>200</v>
      </c>
      <c r="X106" s="10">
        <v>2025</v>
      </c>
      <c r="Y106" s="12" t="s">
        <v>93</v>
      </c>
      <c r="Z106" s="12">
        <f t="shared" si="18"/>
        <v>15368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>
        <v>1946</v>
      </c>
      <c r="D107" s="12">
        <f>Table14[[#This Row],[Enrolment S.Y. 2025-2026 ]]*8</f>
        <v>15568</v>
      </c>
      <c r="E107" s="12"/>
      <c r="F107" s="10"/>
      <c r="G107" s="12"/>
      <c r="H107" s="12">
        <f t="shared" si="22"/>
        <v>15568</v>
      </c>
      <c r="I107" s="12">
        <f t="shared" si="23"/>
        <v>0</v>
      </c>
      <c r="J107" s="12">
        <f>Table14[[#This Row],[Enrolment S.Y. 2025-2026 ]]*8</f>
        <v>15568</v>
      </c>
      <c r="K107" s="12"/>
      <c r="L107" s="10"/>
      <c r="M107" s="12"/>
      <c r="N107" s="12">
        <f t="shared" si="20"/>
        <v>15568</v>
      </c>
      <c r="O107" s="12">
        <f t="shared" si="21"/>
        <v>0</v>
      </c>
      <c r="P107" s="12">
        <f>Table14[[#This Row],[Enrolment S.Y. 2025-2026 ]]*8</f>
        <v>15568</v>
      </c>
      <c r="Q107" s="12">
        <v>200</v>
      </c>
      <c r="R107" s="10">
        <v>2025</v>
      </c>
      <c r="S107" s="12" t="s">
        <v>93</v>
      </c>
      <c r="T107" s="12">
        <f t="shared" si="16"/>
        <v>15368</v>
      </c>
      <c r="U107" s="12">
        <f t="shared" si="17"/>
        <v>0</v>
      </c>
      <c r="V107" s="12">
        <f>Table14[[#This Row],[Enrolment S.Y. 2025-2026 ]]*8</f>
        <v>15568</v>
      </c>
      <c r="W107" s="12">
        <v>200</v>
      </c>
      <c r="X107" s="10">
        <v>2025</v>
      </c>
      <c r="Y107" s="12" t="s">
        <v>93</v>
      </c>
      <c r="Z107" s="12">
        <f t="shared" si="18"/>
        <v>15368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1946</v>
      </c>
      <c r="D108" s="12">
        <f>Table14[[#This Row],[Enrolment S.Y. 2025-2026 ]]*8</f>
        <v>15568</v>
      </c>
      <c r="E108" s="12"/>
      <c r="F108" s="10"/>
      <c r="G108" s="12"/>
      <c r="H108" s="12">
        <f t="shared" si="22"/>
        <v>15568</v>
      </c>
      <c r="I108" s="12">
        <f t="shared" si="23"/>
        <v>0</v>
      </c>
      <c r="J108" s="12">
        <f>Table14[[#This Row],[Enrolment S.Y. 2025-2026 ]]*8</f>
        <v>15568</v>
      </c>
      <c r="K108" s="12"/>
      <c r="L108" s="10"/>
      <c r="M108" s="12"/>
      <c r="N108" s="12">
        <f t="shared" si="20"/>
        <v>15568</v>
      </c>
      <c r="O108" s="12">
        <f t="shared" si="21"/>
        <v>0</v>
      </c>
      <c r="P108" s="12">
        <f>Table14[[#This Row],[Enrolment S.Y. 2025-2026 ]]*8</f>
        <v>15568</v>
      </c>
      <c r="Q108" s="12">
        <v>200</v>
      </c>
      <c r="R108" s="10">
        <v>2025</v>
      </c>
      <c r="S108" s="12" t="s">
        <v>93</v>
      </c>
      <c r="T108" s="12">
        <f t="shared" si="16"/>
        <v>15368</v>
      </c>
      <c r="U108" s="12">
        <f t="shared" si="17"/>
        <v>0</v>
      </c>
      <c r="V108" s="12">
        <f>Table14[[#This Row],[Enrolment S.Y. 2025-2026 ]]*8</f>
        <v>15568</v>
      </c>
      <c r="W108" s="12">
        <v>200</v>
      </c>
      <c r="X108" s="10">
        <v>2025</v>
      </c>
      <c r="Y108" s="12" t="s">
        <v>93</v>
      </c>
      <c r="Z108" s="12">
        <f t="shared" si="18"/>
        <v>15368</v>
      </c>
      <c r="AA108" s="12">
        <f t="shared" si="19"/>
        <v>0</v>
      </c>
    </row>
    <row r="109" spans="1:27" ht="19.5">
      <c r="A109" s="38">
        <v>10</v>
      </c>
      <c r="B109" s="11" t="s">
        <v>89</v>
      </c>
      <c r="C109" s="10">
        <v>1946</v>
      </c>
      <c r="D109" s="12">
        <f>Table14[[#This Row],[Enrolment S.Y. 2025-2026 ]]*8</f>
        <v>15568</v>
      </c>
      <c r="E109" s="12"/>
      <c r="F109" s="10"/>
      <c r="G109" s="12"/>
      <c r="H109" s="12">
        <f>IF((D109-E109)&lt;0,0,(D109-E109))</f>
        <v>15568</v>
      </c>
      <c r="I109" s="12">
        <f>IF((E109-D109)&lt;0,0,(E109-D109))</f>
        <v>0</v>
      </c>
      <c r="J109" s="12">
        <f>Table14[[#This Row],[Enrolment S.Y. 2025-2026 ]]*8</f>
        <v>15568</v>
      </c>
      <c r="K109" s="12"/>
      <c r="L109" s="10"/>
      <c r="M109" s="12"/>
      <c r="N109" s="12">
        <f t="shared" ref="N109:N113" si="28">IF((J109-K109)&lt;0,0,(J109-K109))</f>
        <v>15568</v>
      </c>
      <c r="O109" s="12">
        <f t="shared" ref="O109:O113" si="29">IF((K109-J109)&lt;0,0,(K109-J109))</f>
        <v>0</v>
      </c>
      <c r="P109" s="12">
        <f>Table14[[#This Row],[Enrolment S.Y. 2025-2026 ]]*8</f>
        <v>15568</v>
      </c>
      <c r="Q109" s="12">
        <v>200</v>
      </c>
      <c r="R109" s="10">
        <v>2025</v>
      </c>
      <c r="S109" s="12" t="s">
        <v>93</v>
      </c>
      <c r="T109" s="12">
        <f>IF((P109-Q109)&lt;0,0,(P109-Q109))</f>
        <v>15368</v>
      </c>
      <c r="U109" s="12">
        <f>IF((Q109-P109)&lt;0,0,(Q109-P109))</f>
        <v>0</v>
      </c>
      <c r="V109" s="12">
        <f>Table14[[#This Row],[Enrolment S.Y. 2025-2026 ]]*8</f>
        <v>15568</v>
      </c>
      <c r="W109" s="12">
        <v>200</v>
      </c>
      <c r="X109" s="10">
        <v>2025</v>
      </c>
      <c r="Y109" s="12" t="s">
        <v>93</v>
      </c>
      <c r="Z109" s="12">
        <f>IF((V109-W109)&lt;0,0,(V109-W109))</f>
        <v>15368</v>
      </c>
      <c r="AA109" s="12">
        <f>IF((W109-V109)&lt;0,0,(W109-V109))</f>
        <v>0</v>
      </c>
    </row>
    <row r="110" spans="1:27" ht="19.5">
      <c r="A110" s="10">
        <v>10</v>
      </c>
      <c r="B110" s="11" t="s">
        <v>90</v>
      </c>
      <c r="C110" s="10">
        <v>1946</v>
      </c>
      <c r="D110" s="12">
        <f>Table14[[#This Row],[Enrolment S.Y. 2025-2026 ]]*8</f>
        <v>15568</v>
      </c>
      <c r="E110" s="12"/>
      <c r="F110" s="10"/>
      <c r="G110" s="12"/>
      <c r="H110" s="12">
        <f t="shared" si="22"/>
        <v>15568</v>
      </c>
      <c r="I110" s="12">
        <f t="shared" si="23"/>
        <v>0</v>
      </c>
      <c r="J110" s="12">
        <f>Table14[[#This Row],[Enrolment S.Y. 2025-2026 ]]*8</f>
        <v>15568</v>
      </c>
      <c r="K110" s="12"/>
      <c r="L110" s="10"/>
      <c r="M110" s="12"/>
      <c r="N110" s="12">
        <f t="shared" si="28"/>
        <v>15568</v>
      </c>
      <c r="O110" s="12">
        <f t="shared" si="29"/>
        <v>0</v>
      </c>
      <c r="P110" s="12">
        <f>Table14[[#This Row],[Enrolment S.Y. 2025-2026 ]]*8</f>
        <v>15568</v>
      </c>
      <c r="Q110" s="12">
        <v>200</v>
      </c>
      <c r="R110" s="10">
        <v>2025</v>
      </c>
      <c r="S110" s="12" t="s">
        <v>93</v>
      </c>
      <c r="T110" s="12">
        <f t="shared" si="16"/>
        <v>15368</v>
      </c>
      <c r="U110" s="12">
        <f t="shared" si="17"/>
        <v>0</v>
      </c>
      <c r="V110" s="12">
        <f>Table14[[#This Row],[Enrolment S.Y. 2025-2026 ]]*8</f>
        <v>15568</v>
      </c>
      <c r="W110" s="12">
        <v>200</v>
      </c>
      <c r="X110" s="10">
        <v>2025</v>
      </c>
      <c r="Y110" s="12" t="s">
        <v>93</v>
      </c>
      <c r="Z110" s="12">
        <f t="shared" si="18"/>
        <v>15368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91</v>
      </c>
      <c r="C112" s="10">
        <v>1946</v>
      </c>
      <c r="D112" s="12">
        <f>Table14[[#This Row],[Enrolment S.Y. 2025-2026 ]]*8</f>
        <v>15568</v>
      </c>
      <c r="E112" s="12"/>
      <c r="F112" s="10"/>
      <c r="G112" s="12"/>
      <c r="H112" s="12">
        <f>IF((D112-E112)&lt;0,0,(D112-E112))</f>
        <v>15568</v>
      </c>
      <c r="I112" s="12">
        <f>IF((E112-D112)&lt;0,0,(E112-D112))</f>
        <v>0</v>
      </c>
      <c r="J112" s="12">
        <f>Table14[[#This Row],[Enrolment S.Y. 2025-2026 ]]*8</f>
        <v>15568</v>
      </c>
      <c r="K112" s="12"/>
      <c r="L112" s="10"/>
      <c r="M112" s="12"/>
      <c r="N112" s="12">
        <f t="shared" si="28"/>
        <v>15568</v>
      </c>
      <c r="O112" s="12">
        <f t="shared" si="29"/>
        <v>0</v>
      </c>
      <c r="P112" s="12">
        <f>Table14[[#This Row],[Enrolment S.Y. 2025-2026 ]]*8</f>
        <v>15568</v>
      </c>
      <c r="Q112" s="12">
        <v>200</v>
      </c>
      <c r="R112" s="10">
        <v>2025</v>
      </c>
      <c r="S112" s="12" t="s">
        <v>93</v>
      </c>
      <c r="T112" s="12">
        <f>IF((P112-Q112)&lt;0,0,(P112-Q112))</f>
        <v>15368</v>
      </c>
      <c r="U112" s="12">
        <f>IF((Q112-P112)&lt;0,0,(Q112-P112))</f>
        <v>0</v>
      </c>
      <c r="V112" s="12">
        <f>Table14[[#This Row],[Enrolment S.Y. 2025-2026 ]]*8</f>
        <v>15568</v>
      </c>
      <c r="W112" s="12">
        <v>200</v>
      </c>
      <c r="X112" s="10">
        <v>2025</v>
      </c>
      <c r="Y112" s="12" t="s">
        <v>93</v>
      </c>
      <c r="Z112" s="12">
        <f>IF((V112-W112)&lt;0,0,(V112-W112))</f>
        <v>15368</v>
      </c>
      <c r="AA112" s="12">
        <f>IF((W112-V112)&lt;0,0,(W112-V112))</f>
        <v>0</v>
      </c>
    </row>
    <row r="113" spans="1:28" ht="19.5">
      <c r="A113" s="10">
        <v>10</v>
      </c>
      <c r="B113" s="11" t="s">
        <v>92</v>
      </c>
      <c r="C113" s="10">
        <v>1946</v>
      </c>
      <c r="D113" s="12">
        <f>Table14[[#This Row],[Enrolment S.Y. 2025-2026 ]]*8</f>
        <v>15568</v>
      </c>
      <c r="E113" s="12"/>
      <c r="F113" s="10"/>
      <c r="G113" s="12"/>
      <c r="H113" s="12">
        <f t="shared" si="22"/>
        <v>15568</v>
      </c>
      <c r="I113" s="12">
        <f t="shared" si="23"/>
        <v>0</v>
      </c>
      <c r="J113" s="12">
        <f>Table14[[#This Row],[Enrolment S.Y. 2025-2026 ]]*8</f>
        <v>15568</v>
      </c>
      <c r="K113" s="12"/>
      <c r="L113" s="10"/>
      <c r="M113" s="12"/>
      <c r="N113" s="12">
        <f t="shared" si="28"/>
        <v>15568</v>
      </c>
      <c r="O113" s="12">
        <f t="shared" si="29"/>
        <v>0</v>
      </c>
      <c r="P113" s="12">
        <f>Table14[[#This Row],[Enrolment S.Y. 2025-2026 ]]*8</f>
        <v>15568</v>
      </c>
      <c r="Q113" s="12">
        <v>200</v>
      </c>
      <c r="R113" s="10">
        <v>2025</v>
      </c>
      <c r="S113" s="12" t="s">
        <v>93</v>
      </c>
      <c r="T113" s="12">
        <f t="shared" si="16"/>
        <v>15368</v>
      </c>
      <c r="U113" s="12">
        <f t="shared" si="17"/>
        <v>0</v>
      </c>
      <c r="V113" s="12">
        <f>Table14[[#This Row],[Enrolment S.Y. 2025-2026 ]]*8</f>
        <v>15568</v>
      </c>
      <c r="W113" s="12">
        <v>200</v>
      </c>
      <c r="X113" s="10">
        <v>2025</v>
      </c>
      <c r="Y113" s="12" t="s">
        <v>93</v>
      </c>
      <c r="Z113" s="12">
        <f t="shared" si="18"/>
        <v>15368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7892D25E-D30F-477C-8E21-5FBA6EB4E1D6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2026-02-20T07:20:16Z</dcterms:modified>
  <cp:category/>
  <cp:contentStatus/>
</cp:coreProperties>
</file>