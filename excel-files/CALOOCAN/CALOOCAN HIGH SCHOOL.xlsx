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5" documentId="13_ncr:1_{BFB59F67-F0DC-4675-A682-EB0734A8026A}" xr6:coauthVersionLast="47" xr6:coauthVersionMax="47" xr10:uidLastSave="{B0E0A32A-4D78-4AEE-B005-3B02CD3C03B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5" l="1"/>
  <c r="H42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I28" i="5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<sst xmlns="http://schemas.openxmlformats.org/spreadsheetml/2006/main" count="271" uniqueCount="87">
  <si>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</si>
  <si>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</si>
  <si>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</si>
  <si>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</si>
  <si>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</si>
  <si>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</si>
  <si>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</si>
  <si>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</si>
  <si>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</si>
  <si>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</si>
  <si>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</si>
  <si>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</si>
  <si>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</si>
  <si>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</si>
  <si>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</si>
  <si>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</si>
  <si>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</si>
  <si>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</si>
  <si>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Filipino(Noli Me Tanger)</t>
  </si>
  <si>
    <t>Filipino (El Fili)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</si>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</sst>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100" sqref="L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1791</v>
      </c>
      <c r="D2" s="8">
        <v>3065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1274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1791</v>
      </c>
      <c r="D4" s="8">
        <v>3065</v>
      </c>
      <c r="E4" s="8">
        <v>2024</v>
      </c>
      <c r="F4" s="10"/>
      <c r="G4" s="2">
        <f t="shared" si="0"/>
        <v>0</v>
      </c>
      <c r="H4" s="3">
        <f t="shared" si="1"/>
        <v>1274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1791</v>
      </c>
      <c r="D6" s="8">
        <v>3065</v>
      </c>
      <c r="E6" s="8">
        <v>2025</v>
      </c>
      <c r="F6" s="10"/>
      <c r="G6" s="2">
        <f t="shared" si="0"/>
        <v>0</v>
      </c>
      <c r="H6" s="3">
        <f t="shared" si="1"/>
        <v>1274</v>
      </c>
    </row>
    <row r="7" spans="1:8" ht="19.5">
      <c r="A7" s="8">
        <v>7</v>
      </c>
      <c r="B7" s="9" t="s">
        <v>13</v>
      </c>
      <c r="C7" s="8">
        <v>1791</v>
      </c>
      <c r="D7" s="8">
        <v>3065</v>
      </c>
      <c r="E7" s="8">
        <v>2024</v>
      </c>
      <c r="F7" s="10"/>
      <c r="G7" s="2">
        <f t="shared" si="0"/>
        <v>0</v>
      </c>
      <c r="H7" s="3">
        <f t="shared" si="1"/>
        <v>1274</v>
      </c>
    </row>
    <row r="8" spans="1:8" ht="39.75" customHeight="1">
      <c r="A8" s="8">
        <v>7</v>
      </c>
      <c r="B8" s="9" t="s">
        <v>14</v>
      </c>
      <c r="C8" s="8">
        <v>1791</v>
      </c>
      <c r="D8" s="8">
        <v>3065</v>
      </c>
      <c r="E8" s="8">
        <v>2024</v>
      </c>
      <c r="F8" s="10"/>
      <c r="G8" s="2">
        <f t="shared" si="0"/>
        <v>0</v>
      </c>
      <c r="H8" s="3">
        <f t="shared" si="1"/>
        <v>1274</v>
      </c>
    </row>
    <row r="9" spans="1:8" ht="29.25" customHeight="1">
      <c r="A9" s="8">
        <v>7</v>
      </c>
      <c r="B9" s="9" t="s">
        <v>15</v>
      </c>
      <c r="C9" s="8">
        <v>1791</v>
      </c>
      <c r="D9" s="8">
        <v>3065</v>
      </c>
      <c r="E9" s="8">
        <v>2025</v>
      </c>
      <c r="F9" s="10"/>
      <c r="G9" s="2">
        <f t="shared" si="0"/>
        <v>0</v>
      </c>
      <c r="H9" s="3">
        <f t="shared" si="1"/>
        <v>1274</v>
      </c>
    </row>
    <row r="10" spans="1:8" ht="28.5" customHeight="1">
      <c r="A10" s="8">
        <v>7</v>
      </c>
      <c r="B10" s="9" t="s">
        <v>16</v>
      </c>
      <c r="C10" s="8">
        <v>1791</v>
      </c>
      <c r="D10" s="8">
        <v>3065</v>
      </c>
      <c r="E10" s="8">
        <v>2025</v>
      </c>
      <c r="F10" s="10"/>
      <c r="G10" s="2">
        <f t="shared" si="0"/>
        <v>0</v>
      </c>
      <c r="H10" s="3">
        <f t="shared" si="1"/>
        <v>1274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1687</v>
      </c>
      <c r="D14" s="8">
        <v>2397</v>
      </c>
      <c r="E14" s="8">
        <v>2025</v>
      </c>
      <c r="F14" s="10"/>
      <c r="G14" s="2">
        <f t="shared" si="2"/>
        <v>0</v>
      </c>
      <c r="H14" s="3">
        <f t="shared" si="3"/>
        <v>710</v>
      </c>
    </row>
    <row r="15" spans="1:8" ht="29.25" customHeight="1">
      <c r="A15" s="8">
        <v>8</v>
      </c>
      <c r="B15" s="9" t="s">
        <v>11</v>
      </c>
      <c r="C15" s="8">
        <v>1687</v>
      </c>
      <c r="D15" s="8">
        <v>2397</v>
      </c>
      <c r="E15" s="8">
        <v>2025</v>
      </c>
      <c r="F15" s="10"/>
      <c r="G15" s="2">
        <f t="shared" si="2"/>
        <v>0</v>
      </c>
      <c r="H15" s="3">
        <f t="shared" si="3"/>
        <v>710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38.25">
      <c r="A23" s="8">
        <v>9</v>
      </c>
      <c r="B23" s="9" t="s">
        <v>18</v>
      </c>
      <c r="C23" s="8">
        <v>1673</v>
      </c>
      <c r="D23" s="8">
        <v>2296</v>
      </c>
      <c r="E23" s="8">
        <v>2024</v>
      </c>
      <c r="F23" s="10"/>
      <c r="G23" s="2">
        <f t="shared" si="4"/>
        <v>0</v>
      </c>
      <c r="H23" s="3">
        <f t="shared" si="5"/>
        <v>623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19</v>
      </c>
      <c r="C33" s="8">
        <v>1946</v>
      </c>
      <c r="D33" s="8">
        <v>2093</v>
      </c>
      <c r="E33" s="8">
        <v>2024</v>
      </c>
      <c r="F33" s="10"/>
      <c r="G33" s="2">
        <f t="shared" si="6"/>
        <v>0</v>
      </c>
      <c r="H33" s="3">
        <f t="shared" si="7"/>
        <v>147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>
        <v>323</v>
      </c>
      <c r="D42" s="1">
        <v>754</v>
      </c>
      <c r="E42" s="1">
        <v>2024</v>
      </c>
      <c r="F42" s="4" t="s">
        <v>22</v>
      </c>
      <c r="G42" s="2">
        <f t="shared" ref="G42:G49" si="8">IF((C42-D42)&lt;0,0,C42-D42)</f>
        <v>0</v>
      </c>
      <c r="H42" s="3">
        <f>Table2[[#This Row],[Quantity of Textbooks Received]]-Table2[[#This Row],[Enrolment S.Y. 2025-2026 ]]</f>
        <v>431</v>
      </c>
    </row>
    <row r="43" spans="1:8" ht="27.75" customHeight="1">
      <c r="A43" s="1" t="s">
        <v>20</v>
      </c>
      <c r="B43" s="7" t="s">
        <v>23</v>
      </c>
      <c r="C43" s="1"/>
      <c r="D43" s="1"/>
      <c r="E43" s="1"/>
      <c r="F43" s="4"/>
      <c r="G43" s="2">
        <f t="shared" si="8"/>
        <v>0</v>
      </c>
      <c r="H43" s="3">
        <f t="shared" ref="H42:H49" si="9">IF((D43-C43)&lt;0,0,D43-C43)</f>
        <v>0</v>
      </c>
    </row>
    <row r="44" spans="1:8" ht="27.75" customHeight="1">
      <c r="A44" s="1" t="s">
        <v>20</v>
      </c>
      <c r="B44" s="7" t="s">
        <v>24</v>
      </c>
      <c r="C44" s="1">
        <v>459</v>
      </c>
      <c r="D44" s="1">
        <v>754</v>
      </c>
      <c r="E44" s="1">
        <v>2024</v>
      </c>
      <c r="F44" s="4"/>
      <c r="G44" s="2">
        <f t="shared" si="8"/>
        <v>0</v>
      </c>
      <c r="H44" s="3">
        <f t="shared" si="9"/>
        <v>295</v>
      </c>
    </row>
    <row r="45" spans="1:8" ht="36.75" customHeight="1">
      <c r="A45" s="1" t="s">
        <v>20</v>
      </c>
      <c r="B45" s="7" t="s">
        <v>25</v>
      </c>
      <c r="C45" s="1">
        <v>459</v>
      </c>
      <c r="D45" s="1">
        <v>754</v>
      </c>
      <c r="E45" s="1">
        <v>2025</v>
      </c>
      <c r="F45" s="4"/>
      <c r="G45" s="2">
        <f t="shared" si="8"/>
        <v>0</v>
      </c>
      <c r="H45" s="3">
        <f t="shared" si="9"/>
        <v>295</v>
      </c>
    </row>
    <row r="46" spans="1:8" ht="27.75" customHeight="1">
      <c r="A46" s="1" t="s">
        <v>20</v>
      </c>
      <c r="B46" s="7" t="s">
        <v>26</v>
      </c>
      <c r="C46" s="1">
        <v>459</v>
      </c>
      <c r="D46" s="1">
        <v>754</v>
      </c>
      <c r="E46" s="1">
        <v>2025</v>
      </c>
      <c r="F46" s="4"/>
      <c r="G46" s="2">
        <f t="shared" si="8"/>
        <v>0</v>
      </c>
      <c r="H46" s="3">
        <f t="shared" si="9"/>
        <v>295</v>
      </c>
    </row>
    <row r="47" spans="1:8" ht="27.75" customHeight="1">
      <c r="A47" s="1" t="s">
        <v>20</v>
      </c>
      <c r="B47" s="7" t="s">
        <v>27</v>
      </c>
      <c r="C47" s="1">
        <v>323</v>
      </c>
      <c r="D47" s="1">
        <v>754</v>
      </c>
      <c r="E47" s="1">
        <v>2025</v>
      </c>
      <c r="F47" s="4"/>
      <c r="G47" s="2">
        <f t="shared" si="8"/>
        <v>0</v>
      </c>
      <c r="H47" s="3">
        <f t="shared" si="9"/>
        <v>431</v>
      </c>
    </row>
    <row r="48" spans="1:8" ht="27.75" customHeight="1">
      <c r="A48" s="1" t="s">
        <v>20</v>
      </c>
      <c r="B48" s="7" t="s">
        <v>28</v>
      </c>
      <c r="C48" s="1">
        <v>459</v>
      </c>
      <c r="D48" s="1">
        <v>754</v>
      </c>
      <c r="E48" s="1">
        <v>2025</v>
      </c>
      <c r="F48" s="4"/>
      <c r="G48" s="2">
        <f t="shared" si="8"/>
        <v>0</v>
      </c>
      <c r="H48" s="3">
        <f t="shared" si="9"/>
        <v>295</v>
      </c>
    </row>
    <row r="49" spans="1:8" ht="27.75" customHeight="1">
      <c r="A49" s="1" t="s">
        <v>20</v>
      </c>
      <c r="B49" s="7" t="s">
        <v>29</v>
      </c>
      <c r="C49" s="1">
        <v>323</v>
      </c>
      <c r="D49" s="1">
        <v>754</v>
      </c>
      <c r="E49" s="1">
        <v>2025</v>
      </c>
      <c r="F49" s="4"/>
      <c r="G49" s="2">
        <f t="shared" si="8"/>
        <v>0</v>
      </c>
      <c r="H49" s="3">
        <f t="shared" si="9"/>
        <v>431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S77" sqref="S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30</v>
      </c>
      <c r="E1" s="35"/>
      <c r="F1" s="35"/>
      <c r="G1" s="35"/>
      <c r="H1" s="35"/>
      <c r="I1" s="35"/>
      <c r="J1" s="36" t="s">
        <v>31</v>
      </c>
      <c r="K1" s="36"/>
      <c r="L1" s="36"/>
      <c r="M1" s="36"/>
      <c r="N1" s="36"/>
      <c r="O1" s="36"/>
      <c r="P1" s="37" t="s">
        <v>32</v>
      </c>
      <c r="Q1" s="37"/>
      <c r="R1" s="37"/>
      <c r="S1" s="37"/>
      <c r="T1" s="37"/>
      <c r="U1" s="37"/>
      <c r="V1" s="38" t="s">
        <v>33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3" t="s">
        <v>43</v>
      </c>
      <c r="N2" s="33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4" t="s">
        <v>55</v>
      </c>
      <c r="Z2" s="34" t="s">
        <v>56</v>
      </c>
      <c r="AA2" s="24" t="s">
        <v>57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20</v>
      </c>
      <c r="B44" s="7" t="s">
        <v>23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20</v>
      </c>
      <c r="B45" s="7" t="s">
        <v>24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20</v>
      </c>
      <c r="B46" s="7" t="s">
        <v>25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20</v>
      </c>
      <c r="B47" s="7" t="s">
        <v>26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20</v>
      </c>
      <c r="B48" s="7" t="s">
        <v>27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20</v>
      </c>
      <c r="B49" s="7" t="s">
        <v>28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20</v>
      </c>
      <c r="B50" s="7" t="s">
        <v>29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33:X41 F3:F11 F13:F21 F23:F31 F33:F41 F43:F50 F52:F67 L3:L11 L13:L21 L23:L31 L33:L41 L43:L50 L52:L67 R3:R11 R13:R21 R23:R31 R33:R41 R43:R50 R52:R67 X52:X67 X43:X50 X3:X11 X13:X21 X23:X31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H81" sqref="H8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30</v>
      </c>
      <c r="E1" s="35"/>
      <c r="F1" s="35"/>
      <c r="G1" s="35"/>
      <c r="H1" s="35"/>
      <c r="I1" s="35"/>
      <c r="J1" s="36" t="s">
        <v>31</v>
      </c>
      <c r="K1" s="36"/>
      <c r="L1" s="36"/>
      <c r="M1" s="36"/>
      <c r="N1" s="36"/>
      <c r="O1" s="36"/>
      <c r="P1" s="37" t="s">
        <v>32</v>
      </c>
      <c r="Q1" s="37"/>
      <c r="R1" s="37"/>
      <c r="S1" s="37"/>
      <c r="T1" s="37"/>
      <c r="U1" s="37"/>
      <c r="V1" s="38" t="s">
        <v>33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3" t="s">
        <v>67</v>
      </c>
      <c r="N2" s="33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4" t="s">
        <v>79</v>
      </c>
      <c r="Z2" s="34" t="s">
        <v>80</v>
      </c>
      <c r="AA2" s="24" t="s">
        <v>81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1673</v>
      </c>
      <c r="D28" s="10">
        <f>Table14[[#This Row],[Enrolment S.Y. 2025-2026 ]]*8</f>
        <v>13384</v>
      </c>
      <c r="E28" s="10">
        <v>500</v>
      </c>
      <c r="F28" s="8">
        <v>2025</v>
      </c>
      <c r="G28" s="10" t="s">
        <v>86</v>
      </c>
      <c r="H28" s="10">
        <f t="shared" si="16"/>
        <v>12884</v>
      </c>
      <c r="I28" s="10">
        <f t="shared" si="17"/>
        <v>0</v>
      </c>
      <c r="J28" s="10">
        <f>Table14[[#This Row],[Enrolment S.Y. 2025-2026 ]]*8</f>
        <v>13384</v>
      </c>
      <c r="K28" s="10">
        <v>250</v>
      </c>
      <c r="L28" s="8">
        <v>2025</v>
      </c>
      <c r="M28" s="10" t="s">
        <v>86</v>
      </c>
      <c r="N28" s="10">
        <f t="shared" si="14"/>
        <v>13134</v>
      </c>
      <c r="O28" s="10">
        <f t="shared" si="15"/>
        <v>0</v>
      </c>
      <c r="P28" s="10">
        <f>Table14[[#This Row],[Enrolment S.Y. 2025-2026 ]]*8</f>
        <v>13384</v>
      </c>
      <c r="Q28" s="10">
        <v>250</v>
      </c>
      <c r="R28" s="8">
        <v>2025</v>
      </c>
      <c r="S28" s="10" t="s">
        <v>86</v>
      </c>
      <c r="T28" s="10">
        <f t="shared" si="10"/>
        <v>13134</v>
      </c>
      <c r="U28" s="10">
        <f t="shared" si="11"/>
        <v>0</v>
      </c>
      <c r="V28" s="10">
        <f>Table14[[#This Row],[Enrolment S.Y. 2025-2026 ]]*8</f>
        <v>13384</v>
      </c>
      <c r="W28" s="10"/>
      <c r="X28" s="8"/>
      <c r="Y28" s="10"/>
      <c r="Z28" s="10">
        <f t="shared" si="12"/>
        <v>13384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1673</v>
      </c>
      <c r="D29" s="10">
        <f>Table14[[#This Row],[Enrolment S.Y. 2025-2026 ]]*8</f>
        <v>13384</v>
      </c>
      <c r="E29" s="10">
        <v>500</v>
      </c>
      <c r="F29" s="8">
        <v>2025</v>
      </c>
      <c r="G29" s="10" t="s">
        <v>86</v>
      </c>
      <c r="H29" s="10">
        <f t="shared" si="16"/>
        <v>12884</v>
      </c>
      <c r="I29" s="10">
        <f t="shared" si="17"/>
        <v>0</v>
      </c>
      <c r="J29" s="10">
        <f>Table14[[#This Row],[Enrolment S.Y. 2025-2026 ]]*8</f>
        <v>13384</v>
      </c>
      <c r="K29" s="10">
        <v>250</v>
      </c>
      <c r="L29" s="8">
        <v>2025</v>
      </c>
      <c r="M29" s="10" t="s">
        <v>86</v>
      </c>
      <c r="N29" s="10">
        <f t="shared" si="14"/>
        <v>13134</v>
      </c>
      <c r="O29" s="10">
        <f t="shared" si="15"/>
        <v>0</v>
      </c>
      <c r="P29" s="10">
        <f>Table14[[#This Row],[Enrolment S.Y. 2025-2026 ]]*8</f>
        <v>13384</v>
      </c>
      <c r="Q29" s="10">
        <v>250</v>
      </c>
      <c r="R29" s="8">
        <v>2025</v>
      </c>
      <c r="S29" s="10" t="s">
        <v>86</v>
      </c>
      <c r="T29" s="10">
        <f t="shared" si="10"/>
        <v>13134</v>
      </c>
      <c r="U29" s="10">
        <f t="shared" si="11"/>
        <v>0</v>
      </c>
      <c r="V29" s="10">
        <f>Table14[[#This Row],[Enrolment S.Y. 2025-2026 ]]*8</f>
        <v>13384</v>
      </c>
      <c r="W29" s="10"/>
      <c r="X29" s="8"/>
      <c r="Y29" s="10"/>
      <c r="Z29" s="10">
        <f t="shared" si="12"/>
        <v>13384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1673</v>
      </c>
      <c r="D30" s="10">
        <f>Table14[[#This Row],[Enrolment S.Y. 2025-2026 ]]*8</f>
        <v>13384</v>
      </c>
      <c r="E30" s="10"/>
      <c r="F30" s="8"/>
      <c r="G30" s="10"/>
      <c r="H30" s="10">
        <f t="shared" si="16"/>
        <v>13384</v>
      </c>
      <c r="I30" s="10">
        <f t="shared" si="17"/>
        <v>0</v>
      </c>
      <c r="J30" s="10">
        <f>Table14[[#This Row],[Enrolment S.Y. 2025-2026 ]]*8</f>
        <v>13384</v>
      </c>
      <c r="K30" s="10"/>
      <c r="L30" s="8"/>
      <c r="M30" s="10"/>
      <c r="N30" s="10">
        <f t="shared" si="14"/>
        <v>13384</v>
      </c>
      <c r="O30" s="10">
        <f t="shared" si="15"/>
        <v>0</v>
      </c>
      <c r="P30" s="10">
        <f>Table14[[#This Row],[Enrolment S.Y. 2025-2026 ]]*8</f>
        <v>13384</v>
      </c>
      <c r="Q30" s="10">
        <v>250</v>
      </c>
      <c r="R30" s="8">
        <v>2025</v>
      </c>
      <c r="S30" s="10" t="s">
        <v>86</v>
      </c>
      <c r="T30" s="10">
        <f t="shared" si="10"/>
        <v>13134</v>
      </c>
      <c r="U30" s="10">
        <f t="shared" si="11"/>
        <v>0</v>
      </c>
      <c r="V30" s="10">
        <f>Table14[[#This Row],[Enrolment S.Y. 2025-2026 ]]*8</f>
        <v>13384</v>
      </c>
      <c r="W30" s="10"/>
      <c r="X30" s="8"/>
      <c r="Y30" s="10"/>
      <c r="Z30" s="10">
        <f t="shared" si="12"/>
        <v>13384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1673</v>
      </c>
      <c r="D31" s="10">
        <f>Table14[[#This Row],[Enrolment S.Y. 2025-2026 ]]*8</f>
        <v>13384</v>
      </c>
      <c r="E31" s="10"/>
      <c r="F31" s="8"/>
      <c r="G31" s="10"/>
      <c r="H31" s="10">
        <f t="shared" si="16"/>
        <v>13384</v>
      </c>
      <c r="I31" s="10">
        <f t="shared" si="17"/>
        <v>0</v>
      </c>
      <c r="J31" s="10">
        <f>Table14[[#This Row],[Enrolment S.Y. 2025-2026 ]]*8</f>
        <v>13384</v>
      </c>
      <c r="K31" s="10"/>
      <c r="L31" s="8"/>
      <c r="M31" s="10"/>
      <c r="N31" s="10">
        <f t="shared" si="14"/>
        <v>13384</v>
      </c>
      <c r="O31" s="10">
        <f t="shared" si="15"/>
        <v>0</v>
      </c>
      <c r="P31" s="10">
        <f>Table14[[#This Row],[Enrolment S.Y. 2025-2026 ]]*8</f>
        <v>13384</v>
      </c>
      <c r="Q31" s="10">
        <v>250</v>
      </c>
      <c r="R31" s="8">
        <v>2025</v>
      </c>
      <c r="S31" s="10" t="s">
        <v>86</v>
      </c>
      <c r="T31" s="10">
        <f t="shared" si="10"/>
        <v>13134</v>
      </c>
      <c r="U31" s="10">
        <f t="shared" si="11"/>
        <v>0</v>
      </c>
      <c r="V31" s="10">
        <f>Table14[[#This Row],[Enrolment S.Y. 2025-2026 ]]*8</f>
        <v>13384</v>
      </c>
      <c r="W31" s="10"/>
      <c r="X31" s="8"/>
      <c r="Y31" s="10"/>
      <c r="Z31" s="10">
        <f t="shared" si="12"/>
        <v>13384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1673</v>
      </c>
      <c r="D32" s="10">
        <f>Table14[[#This Row],[Enrolment S.Y. 2025-2026 ]]*8</f>
        <v>13384</v>
      </c>
      <c r="E32" s="10"/>
      <c r="F32" s="8"/>
      <c r="G32" s="10"/>
      <c r="H32" s="10">
        <f t="shared" si="16"/>
        <v>13384</v>
      </c>
      <c r="I32" s="10">
        <f t="shared" si="17"/>
        <v>0</v>
      </c>
      <c r="J32" s="10">
        <f>Table14[[#This Row],[Enrolment S.Y. 2025-2026 ]]*8</f>
        <v>13384</v>
      </c>
      <c r="K32" s="10"/>
      <c r="L32" s="8"/>
      <c r="M32" s="10"/>
      <c r="N32" s="10">
        <f t="shared" si="14"/>
        <v>13384</v>
      </c>
      <c r="O32" s="10">
        <f t="shared" si="15"/>
        <v>0</v>
      </c>
      <c r="P32" s="10">
        <f>Table14[[#This Row],[Enrolment S.Y. 2025-2026 ]]*8</f>
        <v>13384</v>
      </c>
      <c r="Q32" s="10">
        <v>250</v>
      </c>
      <c r="R32" s="8">
        <v>2025</v>
      </c>
      <c r="S32" s="10" t="s">
        <v>86</v>
      </c>
      <c r="T32" s="10">
        <f t="shared" si="10"/>
        <v>13134</v>
      </c>
      <c r="U32" s="10">
        <f t="shared" si="11"/>
        <v>0</v>
      </c>
      <c r="V32" s="10">
        <f>Table14[[#This Row],[Enrolment S.Y. 2025-2026 ]]*8</f>
        <v>13384</v>
      </c>
      <c r="W32" s="10"/>
      <c r="X32" s="8"/>
      <c r="Y32" s="10"/>
      <c r="Z32" s="10">
        <f t="shared" si="12"/>
        <v>13384</v>
      </c>
      <c r="AA32" s="10">
        <f t="shared" si="13"/>
        <v>0</v>
      </c>
    </row>
    <row r="33" spans="1:27" ht="19.5">
      <c r="A33" s="32">
        <v>9</v>
      </c>
      <c r="B33" s="9" t="s">
        <v>82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84</v>
      </c>
      <c r="C36" s="8">
        <v>1673</v>
      </c>
      <c r="D36" s="10">
        <f>Table14[[#This Row],[Enrolment S.Y. 2025-2026 ]]*8</f>
        <v>13384</v>
      </c>
      <c r="E36" s="10"/>
      <c r="F36" s="8"/>
      <c r="G36" s="10"/>
      <c r="H36" s="10">
        <f>IF((D36-E36)&lt;0,0,(D36-E36))</f>
        <v>13384</v>
      </c>
      <c r="I36" s="10">
        <f>IF((E36-D36)&lt;0,0,(E36-D36))</f>
        <v>0</v>
      </c>
      <c r="J36" s="10">
        <f>Table14[[#This Row],[Enrolment S.Y. 2025-2026 ]]*8</f>
        <v>13384</v>
      </c>
      <c r="K36" s="10"/>
      <c r="L36" s="8"/>
      <c r="M36" s="10"/>
      <c r="N36" s="10">
        <f t="shared" si="20"/>
        <v>13384</v>
      </c>
      <c r="O36" s="10">
        <f t="shared" si="21"/>
        <v>0</v>
      </c>
      <c r="P36" s="10">
        <f>Table14[[#This Row],[Enrolment S.Y. 2025-2026 ]]*8</f>
        <v>13384</v>
      </c>
      <c r="Q36" s="10">
        <v>250</v>
      </c>
      <c r="R36" s="8">
        <v>2025</v>
      </c>
      <c r="S36" s="10" t="s">
        <v>86</v>
      </c>
      <c r="T36" s="10">
        <f>IF((P36-Q36)&lt;0,0,(P36-Q36))</f>
        <v>13134</v>
      </c>
      <c r="U36" s="10">
        <f>IF((Q36-P36)&lt;0,0,(Q36-P36))</f>
        <v>0</v>
      </c>
      <c r="V36" s="10">
        <f>Table14[[#This Row],[Enrolment S.Y. 2025-2026 ]]*8</f>
        <v>13384</v>
      </c>
      <c r="W36" s="10"/>
      <c r="X36" s="8"/>
      <c r="Y36" s="10"/>
      <c r="Z36" s="10">
        <f>IF((V36-W36)&lt;0,0,(V36-W36))</f>
        <v>13384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>
        <v>1673</v>
      </c>
      <c r="D37" s="10">
        <f>Table14[[#This Row],[Enrolment S.Y. 2025-2026 ]]*8</f>
        <v>13384</v>
      </c>
      <c r="E37" s="10"/>
      <c r="F37" s="8"/>
      <c r="G37" s="10"/>
      <c r="H37" s="10">
        <f t="shared" si="16"/>
        <v>13384</v>
      </c>
      <c r="I37" s="10">
        <f t="shared" si="17"/>
        <v>0</v>
      </c>
      <c r="J37" s="10">
        <f>Table14[[#This Row],[Enrolment S.Y. 2025-2026 ]]*8</f>
        <v>13384</v>
      </c>
      <c r="K37" s="10"/>
      <c r="L37" s="8"/>
      <c r="M37" s="10"/>
      <c r="N37" s="10">
        <f t="shared" si="20"/>
        <v>13384</v>
      </c>
      <c r="O37" s="10">
        <f t="shared" si="21"/>
        <v>0</v>
      </c>
      <c r="P37" s="10">
        <f>Table14[[#This Row],[Enrolment S.Y. 2025-2026 ]]*8</f>
        <v>13384</v>
      </c>
      <c r="Q37" s="10">
        <v>250</v>
      </c>
      <c r="R37" s="8">
        <v>2025</v>
      </c>
      <c r="S37" s="10" t="s">
        <v>86</v>
      </c>
      <c r="T37" s="10">
        <f t="shared" si="10"/>
        <v>13134</v>
      </c>
      <c r="U37" s="10">
        <f t="shared" si="11"/>
        <v>0</v>
      </c>
      <c r="V37" s="10">
        <f>Table14[[#This Row],[Enrolment S.Y. 2025-2026 ]]*8</f>
        <v>13384</v>
      </c>
      <c r="W37" s="10"/>
      <c r="X37" s="8"/>
      <c r="Y37" s="10"/>
      <c r="Z37" s="10">
        <f t="shared" si="12"/>
        <v>13384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1946</v>
      </c>
      <c r="D39" s="10">
        <f>Table14[[#This Row],[Enrolment S.Y. 2025-2026 ]]*8</f>
        <v>15568</v>
      </c>
      <c r="E39" s="10">
        <v>600</v>
      </c>
      <c r="F39" s="8">
        <v>2025</v>
      </c>
      <c r="G39" s="10" t="s">
        <v>86</v>
      </c>
      <c r="H39" s="10">
        <f t="shared" si="16"/>
        <v>14968</v>
      </c>
      <c r="I39" s="10">
        <f t="shared" si="17"/>
        <v>0</v>
      </c>
      <c r="J39" s="10">
        <f>Table14[[#This Row],[Enrolment S.Y. 2025-2026 ]]*8</f>
        <v>15568</v>
      </c>
      <c r="K39" s="10">
        <v>200</v>
      </c>
      <c r="L39" s="8">
        <v>2025</v>
      </c>
      <c r="M39" s="10" t="s">
        <v>86</v>
      </c>
      <c r="N39" s="10">
        <f t="shared" si="14"/>
        <v>15368</v>
      </c>
      <c r="O39" s="10">
        <f t="shared" si="15"/>
        <v>0</v>
      </c>
      <c r="P39" s="10">
        <f>Table14[[#This Row],[Enrolment S.Y. 2025-2026 ]]*8</f>
        <v>15568</v>
      </c>
      <c r="Q39" s="10">
        <v>200</v>
      </c>
      <c r="R39" s="8">
        <v>2025</v>
      </c>
      <c r="S39" s="10" t="s">
        <v>86</v>
      </c>
      <c r="T39" s="10">
        <f t="shared" si="10"/>
        <v>15368</v>
      </c>
      <c r="U39" s="10">
        <f t="shared" si="11"/>
        <v>0</v>
      </c>
      <c r="V39" s="10">
        <f>Table14[[#This Row],[Enrolment S.Y. 2025-2026 ]]*8</f>
        <v>15568</v>
      </c>
      <c r="W39" s="10">
        <v>200</v>
      </c>
      <c r="X39" s="8">
        <v>2025</v>
      </c>
      <c r="Y39" s="10" t="s">
        <v>86</v>
      </c>
      <c r="Z39" s="10">
        <f t="shared" si="12"/>
        <v>15368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1946</v>
      </c>
      <c r="D40" s="10">
        <f>Table14[[#This Row],[Enrolment S.Y. 2025-2026 ]]*8</f>
        <v>15568</v>
      </c>
      <c r="E40" s="10">
        <v>600</v>
      </c>
      <c r="F40" s="8">
        <v>2025</v>
      </c>
      <c r="G40" s="10" t="s">
        <v>86</v>
      </c>
      <c r="H40" s="10">
        <f t="shared" si="16"/>
        <v>14968</v>
      </c>
      <c r="I40" s="10">
        <f t="shared" si="17"/>
        <v>0</v>
      </c>
      <c r="J40" s="10">
        <f>Table14[[#This Row],[Enrolment S.Y. 2025-2026 ]]*8</f>
        <v>15568</v>
      </c>
      <c r="K40" s="10"/>
      <c r="L40" s="8"/>
      <c r="M40" s="10"/>
      <c r="N40" s="10">
        <f t="shared" si="14"/>
        <v>15568</v>
      </c>
      <c r="O40" s="10">
        <f t="shared" si="15"/>
        <v>0</v>
      </c>
      <c r="P40" s="10">
        <f>Table14[[#This Row],[Enrolment S.Y. 2025-2026 ]]*8</f>
        <v>15568</v>
      </c>
      <c r="Q40" s="10">
        <v>200</v>
      </c>
      <c r="R40" s="8">
        <v>2025</v>
      </c>
      <c r="S40" s="10" t="s">
        <v>86</v>
      </c>
      <c r="T40" s="10">
        <f t="shared" si="10"/>
        <v>15368</v>
      </c>
      <c r="U40" s="10">
        <f t="shared" si="11"/>
        <v>0</v>
      </c>
      <c r="V40" s="10">
        <f>Table14[[#This Row],[Enrolment S.Y. 2025-2026 ]]*8</f>
        <v>15568</v>
      </c>
      <c r="W40" s="10">
        <v>200</v>
      </c>
      <c r="X40" s="8">
        <v>2025</v>
      </c>
      <c r="Y40" s="10" t="s">
        <v>86</v>
      </c>
      <c r="Z40" s="10">
        <f t="shared" si="12"/>
        <v>15368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1946</v>
      </c>
      <c r="D41" s="10">
        <f>Table14[[#This Row],[Enrolment S.Y. 2025-2026 ]]*8</f>
        <v>15568</v>
      </c>
      <c r="E41" s="10">
        <v>600</v>
      </c>
      <c r="F41" s="8">
        <v>2025</v>
      </c>
      <c r="G41" s="10" t="s">
        <v>86</v>
      </c>
      <c r="H41" s="10">
        <f t="shared" si="16"/>
        <v>14968</v>
      </c>
      <c r="I41" s="10">
        <f t="shared" si="17"/>
        <v>0</v>
      </c>
      <c r="J41" s="10">
        <f>Table14[[#This Row],[Enrolment S.Y. 2025-2026 ]]*8</f>
        <v>15568</v>
      </c>
      <c r="K41" s="10">
        <v>200</v>
      </c>
      <c r="L41" s="8">
        <v>2025</v>
      </c>
      <c r="M41" s="10" t="s">
        <v>86</v>
      </c>
      <c r="N41" s="10">
        <f t="shared" si="14"/>
        <v>15368</v>
      </c>
      <c r="O41" s="10">
        <f t="shared" si="15"/>
        <v>0</v>
      </c>
      <c r="P41" s="10">
        <f>Table14[[#This Row],[Enrolment S.Y. 2025-2026 ]]*8</f>
        <v>15568</v>
      </c>
      <c r="Q41" s="10">
        <v>200</v>
      </c>
      <c r="R41" s="8">
        <v>2025</v>
      </c>
      <c r="S41" s="10" t="s">
        <v>86</v>
      </c>
      <c r="T41" s="10">
        <f t="shared" si="10"/>
        <v>15368</v>
      </c>
      <c r="U41" s="10">
        <f t="shared" si="11"/>
        <v>0</v>
      </c>
      <c r="V41" s="10">
        <f>Table14[[#This Row],[Enrolment S.Y. 2025-2026 ]]*8</f>
        <v>15568</v>
      </c>
      <c r="W41" s="10">
        <v>200</v>
      </c>
      <c r="X41" s="8">
        <v>2025</v>
      </c>
      <c r="Y41" s="10" t="s">
        <v>86</v>
      </c>
      <c r="Z41" s="10">
        <f t="shared" si="12"/>
        <v>15368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1946</v>
      </c>
      <c r="D42" s="10">
        <f>Table14[[#This Row],[Enrolment S.Y. 2025-2026 ]]*8</f>
        <v>15568</v>
      </c>
      <c r="E42" s="10"/>
      <c r="F42" s="8"/>
      <c r="G42" s="10"/>
      <c r="H42" s="10">
        <f t="shared" si="16"/>
        <v>15568</v>
      </c>
      <c r="I42" s="10">
        <f t="shared" si="17"/>
        <v>0</v>
      </c>
      <c r="J42" s="10">
        <f>Table14[[#This Row],[Enrolment S.Y. 2025-2026 ]]*8</f>
        <v>15568</v>
      </c>
      <c r="K42" s="10"/>
      <c r="L42" s="8"/>
      <c r="M42" s="10"/>
      <c r="N42" s="10">
        <f t="shared" si="14"/>
        <v>15568</v>
      </c>
      <c r="O42" s="10">
        <f t="shared" si="15"/>
        <v>0</v>
      </c>
      <c r="P42" s="10">
        <f>Table14[[#This Row],[Enrolment S.Y. 2025-2026 ]]*8</f>
        <v>15568</v>
      </c>
      <c r="Q42" s="10">
        <v>200</v>
      </c>
      <c r="R42" s="8">
        <v>2025</v>
      </c>
      <c r="S42" s="10" t="s">
        <v>86</v>
      </c>
      <c r="T42" s="10">
        <f t="shared" si="10"/>
        <v>15368</v>
      </c>
      <c r="U42" s="10">
        <f t="shared" si="11"/>
        <v>0</v>
      </c>
      <c r="V42" s="10">
        <f>Table14[[#This Row],[Enrolment S.Y. 2025-2026 ]]*8</f>
        <v>15568</v>
      </c>
      <c r="W42" s="10">
        <v>200</v>
      </c>
      <c r="X42" s="8">
        <v>2025</v>
      </c>
      <c r="Y42" s="10" t="s">
        <v>86</v>
      </c>
      <c r="Z42" s="10">
        <f t="shared" si="12"/>
        <v>15368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1946</v>
      </c>
      <c r="D43" s="10">
        <f>Table14[[#This Row],[Enrolment S.Y. 2025-2026 ]]*8</f>
        <v>15568</v>
      </c>
      <c r="E43" s="10"/>
      <c r="F43" s="8"/>
      <c r="G43" s="10"/>
      <c r="H43" s="10">
        <f t="shared" si="16"/>
        <v>15568</v>
      </c>
      <c r="I43" s="10">
        <f t="shared" si="17"/>
        <v>0</v>
      </c>
      <c r="J43" s="10">
        <f>Table14[[#This Row],[Enrolment S.Y. 2025-2026 ]]*8</f>
        <v>15568</v>
      </c>
      <c r="K43" s="10"/>
      <c r="L43" s="8"/>
      <c r="M43" s="10"/>
      <c r="N43" s="10">
        <f t="shared" si="14"/>
        <v>15568</v>
      </c>
      <c r="O43" s="10">
        <f t="shared" si="15"/>
        <v>0</v>
      </c>
      <c r="P43" s="10">
        <f>Table14[[#This Row],[Enrolment S.Y. 2025-2026 ]]*8</f>
        <v>15568</v>
      </c>
      <c r="Q43" s="10">
        <v>200</v>
      </c>
      <c r="R43" s="8">
        <v>2025</v>
      </c>
      <c r="S43" s="10" t="s">
        <v>86</v>
      </c>
      <c r="T43" s="10">
        <f t="shared" si="10"/>
        <v>15368</v>
      </c>
      <c r="U43" s="10">
        <f t="shared" si="11"/>
        <v>0</v>
      </c>
      <c r="V43" s="10">
        <f>Table14[[#This Row],[Enrolment S.Y. 2025-2026 ]]*8</f>
        <v>15568</v>
      </c>
      <c r="W43" s="10">
        <v>200</v>
      </c>
      <c r="X43" s="8">
        <v>2025</v>
      </c>
      <c r="Y43" s="10" t="s">
        <v>86</v>
      </c>
      <c r="Z43" s="10">
        <f t="shared" si="12"/>
        <v>15368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1946</v>
      </c>
      <c r="D44" s="10">
        <f>Table14[[#This Row],[Enrolment S.Y. 2025-2026 ]]*8</f>
        <v>15568</v>
      </c>
      <c r="E44" s="10"/>
      <c r="F44" s="8"/>
      <c r="G44" s="10"/>
      <c r="H44" s="10">
        <f t="shared" si="16"/>
        <v>15568</v>
      </c>
      <c r="I44" s="10">
        <f t="shared" si="17"/>
        <v>0</v>
      </c>
      <c r="J44" s="10">
        <f>Table14[[#This Row],[Enrolment S.Y. 2025-2026 ]]*8</f>
        <v>15568</v>
      </c>
      <c r="K44" s="10"/>
      <c r="L44" s="8"/>
      <c r="M44" s="10"/>
      <c r="N44" s="10">
        <f t="shared" si="14"/>
        <v>15568</v>
      </c>
      <c r="O44" s="10">
        <f t="shared" si="15"/>
        <v>0</v>
      </c>
      <c r="P44" s="10">
        <f>Table14[[#This Row],[Enrolment S.Y. 2025-2026 ]]*8</f>
        <v>15568</v>
      </c>
      <c r="Q44" s="10">
        <v>200</v>
      </c>
      <c r="R44" s="8">
        <v>2025</v>
      </c>
      <c r="S44" s="10" t="s">
        <v>86</v>
      </c>
      <c r="T44" s="10">
        <f t="shared" si="10"/>
        <v>15368</v>
      </c>
      <c r="U44" s="10">
        <f t="shared" si="11"/>
        <v>0</v>
      </c>
      <c r="V44" s="10">
        <f>Table14[[#This Row],[Enrolment S.Y. 2025-2026 ]]*8</f>
        <v>15568</v>
      </c>
      <c r="W44" s="10">
        <v>200</v>
      </c>
      <c r="X44" s="8">
        <v>2025</v>
      </c>
      <c r="Y44" s="10" t="s">
        <v>86</v>
      </c>
      <c r="Z44" s="10">
        <f t="shared" si="12"/>
        <v>15368</v>
      </c>
      <c r="AA44" s="10">
        <f t="shared" si="13"/>
        <v>0</v>
      </c>
    </row>
    <row r="45" spans="1:27" ht="19.5">
      <c r="A45" s="32">
        <v>10</v>
      </c>
      <c r="B45" s="9" t="s">
        <v>82</v>
      </c>
      <c r="C45" s="8">
        <v>1946</v>
      </c>
      <c r="D45" s="10">
        <f>Table14[[#This Row],[Enrolment S.Y. 2025-2026 ]]*8</f>
        <v>15568</v>
      </c>
      <c r="E45" s="10"/>
      <c r="F45" s="8"/>
      <c r="G45" s="10"/>
      <c r="H45" s="10">
        <f>IF((D45-E45)&lt;0,0,(D45-E45))</f>
        <v>15568</v>
      </c>
      <c r="I45" s="10">
        <f>IF((E45-D45)&lt;0,0,(E45-D45))</f>
        <v>0</v>
      </c>
      <c r="J45" s="10">
        <f>Table14[[#This Row],[Enrolment S.Y. 2025-2026 ]]*8</f>
        <v>15568</v>
      </c>
      <c r="K45" s="10"/>
      <c r="L45" s="8"/>
      <c r="M45" s="10"/>
      <c r="N45" s="10">
        <f t="shared" ref="N45:N49" si="22">IF((J45-K45)&lt;0,0,(J45-K45))</f>
        <v>15568</v>
      </c>
      <c r="O45" s="10">
        <f t="shared" ref="O45:O49" si="23">IF((K45-J45)&lt;0,0,(K45-J45))</f>
        <v>0</v>
      </c>
      <c r="P45" s="10">
        <f>Table14[[#This Row],[Enrolment S.Y. 2025-2026 ]]*8</f>
        <v>15568</v>
      </c>
      <c r="Q45" s="10">
        <v>200</v>
      </c>
      <c r="R45" s="8">
        <v>2025</v>
      </c>
      <c r="S45" s="10" t="s">
        <v>86</v>
      </c>
      <c r="T45" s="10">
        <f>IF((P45-Q45)&lt;0,0,(P45-Q45))</f>
        <v>15368</v>
      </c>
      <c r="U45" s="10">
        <f>IF((Q45-P45)&lt;0,0,(Q45-P45))</f>
        <v>0</v>
      </c>
      <c r="V45" s="10">
        <f>Table14[[#This Row],[Enrolment S.Y. 2025-2026 ]]*8</f>
        <v>15568</v>
      </c>
      <c r="W45" s="10">
        <v>200</v>
      </c>
      <c r="X45" s="8">
        <v>2025</v>
      </c>
      <c r="Y45" s="10" t="s">
        <v>86</v>
      </c>
      <c r="Z45" s="10">
        <f>IF((V45-W45)&lt;0,0,(V45-W45))</f>
        <v>15368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>
        <v>1946</v>
      </c>
      <c r="D46" s="10">
        <f>Table14[[#This Row],[Enrolment S.Y. 2025-2026 ]]*8</f>
        <v>15568</v>
      </c>
      <c r="E46" s="10"/>
      <c r="F46" s="8"/>
      <c r="G46" s="10"/>
      <c r="H46" s="10">
        <f t="shared" si="16"/>
        <v>15568</v>
      </c>
      <c r="I46" s="10">
        <f t="shared" si="17"/>
        <v>0</v>
      </c>
      <c r="J46" s="10">
        <f>Table14[[#This Row],[Enrolment S.Y. 2025-2026 ]]*8</f>
        <v>15568</v>
      </c>
      <c r="K46" s="10"/>
      <c r="L46" s="8"/>
      <c r="M46" s="10"/>
      <c r="N46" s="10">
        <f t="shared" si="22"/>
        <v>15568</v>
      </c>
      <c r="O46" s="10">
        <f t="shared" si="23"/>
        <v>0</v>
      </c>
      <c r="P46" s="10">
        <f>Table14[[#This Row],[Enrolment S.Y. 2025-2026 ]]*8</f>
        <v>15568</v>
      </c>
      <c r="Q46" s="10">
        <v>200</v>
      </c>
      <c r="R46" s="8">
        <v>2025</v>
      </c>
      <c r="S46" s="10" t="s">
        <v>86</v>
      </c>
      <c r="T46" s="10">
        <f t="shared" si="10"/>
        <v>15368</v>
      </c>
      <c r="U46" s="10">
        <f t="shared" si="11"/>
        <v>0</v>
      </c>
      <c r="V46" s="10">
        <f>Table14[[#This Row],[Enrolment S.Y. 2025-2026 ]]*8</f>
        <v>15568</v>
      </c>
      <c r="W46" s="10">
        <v>200</v>
      </c>
      <c r="X46" s="8">
        <v>2025</v>
      </c>
      <c r="Y46" s="10" t="s">
        <v>86</v>
      </c>
      <c r="Z46" s="10">
        <f t="shared" si="12"/>
        <v>15368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84</v>
      </c>
      <c r="C48" s="8">
        <v>1946</v>
      </c>
      <c r="D48" s="10">
        <f>Table14[[#This Row],[Enrolment S.Y. 2025-2026 ]]*8</f>
        <v>15568</v>
      </c>
      <c r="E48" s="10"/>
      <c r="F48" s="8"/>
      <c r="G48" s="10"/>
      <c r="H48" s="10">
        <f>IF((D48-E48)&lt;0,0,(D48-E48))</f>
        <v>15568</v>
      </c>
      <c r="I48" s="10">
        <f>IF((E48-D48)&lt;0,0,(E48-D48))</f>
        <v>0</v>
      </c>
      <c r="J48" s="10">
        <f>Table14[[#This Row],[Enrolment S.Y. 2025-2026 ]]*8</f>
        <v>15568</v>
      </c>
      <c r="K48" s="10"/>
      <c r="L48" s="8"/>
      <c r="M48" s="10"/>
      <c r="N48" s="10">
        <f t="shared" si="22"/>
        <v>15568</v>
      </c>
      <c r="O48" s="10">
        <f t="shared" si="23"/>
        <v>0</v>
      </c>
      <c r="P48" s="10">
        <f>Table14[[#This Row],[Enrolment S.Y. 2025-2026 ]]*8</f>
        <v>15568</v>
      </c>
      <c r="Q48" s="10">
        <v>200</v>
      </c>
      <c r="R48" s="8">
        <v>2025</v>
      </c>
      <c r="S48" s="10" t="s">
        <v>86</v>
      </c>
      <c r="T48" s="10">
        <f>IF((P48-Q48)&lt;0,0,(P48-Q48))</f>
        <v>15368</v>
      </c>
      <c r="U48" s="10">
        <f>IF((Q48-P48)&lt;0,0,(Q48-P48))</f>
        <v>0</v>
      </c>
      <c r="V48" s="10">
        <f>Table14[[#This Row],[Enrolment S.Y. 2025-2026 ]]*8</f>
        <v>15568</v>
      </c>
      <c r="W48" s="10">
        <v>200</v>
      </c>
      <c r="X48" s="8">
        <v>2025</v>
      </c>
      <c r="Y48" s="10" t="s">
        <v>86</v>
      </c>
      <c r="Z48" s="10">
        <f>IF((V48-W48)&lt;0,0,(V48-W48))</f>
        <v>15368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>
        <v>1946</v>
      </c>
      <c r="D49" s="10">
        <f>Table14[[#This Row],[Enrolment S.Y. 2025-2026 ]]*8</f>
        <v>15568</v>
      </c>
      <c r="E49" s="10"/>
      <c r="F49" s="8"/>
      <c r="G49" s="10"/>
      <c r="H49" s="10">
        <f t="shared" si="16"/>
        <v>15568</v>
      </c>
      <c r="I49" s="10">
        <f t="shared" si="17"/>
        <v>0</v>
      </c>
      <c r="J49" s="10">
        <f>Table14[[#This Row],[Enrolment S.Y. 2025-2026 ]]*8</f>
        <v>15568</v>
      </c>
      <c r="K49" s="10"/>
      <c r="L49" s="8"/>
      <c r="M49" s="10"/>
      <c r="N49" s="10">
        <f t="shared" si="22"/>
        <v>15568</v>
      </c>
      <c r="O49" s="10">
        <f t="shared" si="23"/>
        <v>0</v>
      </c>
      <c r="P49" s="10">
        <f>Table14[[#This Row],[Enrolment S.Y. 2025-2026 ]]*8</f>
        <v>15568</v>
      </c>
      <c r="Q49" s="10">
        <v>200</v>
      </c>
      <c r="R49" s="8">
        <v>2025</v>
      </c>
      <c r="S49" s="10" t="s">
        <v>86</v>
      </c>
      <c r="T49" s="10">
        <f t="shared" si="10"/>
        <v>15368</v>
      </c>
      <c r="U49" s="10">
        <f t="shared" si="11"/>
        <v>0</v>
      </c>
      <c r="V49" s="10">
        <f>Table14[[#This Row],[Enrolment S.Y. 2025-2026 ]]*8</f>
        <v>15568</v>
      </c>
      <c r="W49" s="10">
        <v>200</v>
      </c>
      <c r="X49" s="8">
        <v>2025</v>
      </c>
      <c r="Y49" s="10" t="s">
        <v>86</v>
      </c>
      <c r="Z49" s="10">
        <f t="shared" si="12"/>
        <v>15368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20</v>
      </c>
      <c r="B52" s="7" t="s">
        <v>23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20</v>
      </c>
      <c r="B53" s="7" t="s">
        <v>24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20</v>
      </c>
      <c r="B54" s="7" t="s">
        <v>25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20</v>
      </c>
      <c r="B55" s="7" t="s">
        <v>26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20</v>
      </c>
      <c r="B56" s="7" t="s">
        <v>27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20</v>
      </c>
      <c r="B57" s="7" t="s">
        <v>28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20</v>
      </c>
      <c r="B58" s="7" t="s">
        <v>29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2026-04-07T01:15:12Z</dcterms:modified>
  <cp:category/>
  <cp:contentStatus/>
</cp:coreProperties>
</file>