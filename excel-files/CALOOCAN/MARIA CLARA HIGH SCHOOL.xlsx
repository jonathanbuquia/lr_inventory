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ABD4CBEB-EC8E-410C-B551-F209A6D2552B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<sst xmlns="http://schemas.openxmlformats.org/spreadsheetml/2006/main" count="246" uniqueCount="87">
  <si>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</si>
  <si>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</si>
  <si>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</si>
  <si>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</si>
  <si>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</si>
  <si>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</si>
  <si>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</si>
  <si>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</si>
  <si>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</si>
  <si>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</si>
  <si>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</si>
  <si>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</si>
  <si>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</si>
  <si>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</si>
  <si>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</si>
  <si>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</si>
  <si>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</si>
  <si>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</si>
  <si>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</si>
  <si>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Filipino (NOLI)</t>
  </si>
  <si>
    <t>Filipino (EL FILI)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</si>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</sst>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519</v>
      </c>
      <c r="D3" s="8">
        <v>628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109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519</v>
      </c>
      <c r="D5" s="8">
        <v>628</v>
      </c>
      <c r="E5" s="8">
        <v>2024</v>
      </c>
      <c r="F5" s="10" t="s">
        <v>9</v>
      </c>
      <c r="G5" s="2">
        <f t="shared" si="0"/>
        <v>0</v>
      </c>
      <c r="H5" s="3">
        <f t="shared" si="1"/>
        <v>109</v>
      </c>
    </row>
    <row r="6" spans="1:8" ht="19.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519</v>
      </c>
      <c r="D7" s="8">
        <v>628</v>
      </c>
      <c r="E7" s="8">
        <v>2025</v>
      </c>
      <c r="F7" s="10" t="s">
        <v>9</v>
      </c>
      <c r="G7" s="2">
        <f t="shared" si="0"/>
        <v>0</v>
      </c>
      <c r="H7" s="3">
        <f t="shared" si="1"/>
        <v>109</v>
      </c>
    </row>
    <row r="8" spans="1:8" ht="39.75" customHeight="1">
      <c r="A8" s="8">
        <v>7</v>
      </c>
      <c r="B8" s="9" t="s">
        <v>14</v>
      </c>
      <c r="C8" s="8">
        <v>519</v>
      </c>
      <c r="D8" s="8">
        <v>628</v>
      </c>
      <c r="E8" s="8">
        <v>2025</v>
      </c>
      <c r="F8" s="10" t="s">
        <v>9</v>
      </c>
      <c r="G8" s="2">
        <f t="shared" si="0"/>
        <v>0</v>
      </c>
      <c r="H8" s="3">
        <f t="shared" si="1"/>
        <v>109</v>
      </c>
    </row>
    <row r="9" spans="1:8" ht="29.25" customHeight="1">
      <c r="A9" s="8">
        <v>7</v>
      </c>
      <c r="B9" s="9" t="s">
        <v>15</v>
      </c>
      <c r="C9" s="8">
        <v>519</v>
      </c>
      <c r="D9" s="8">
        <v>628</v>
      </c>
      <c r="E9" s="8">
        <v>2025</v>
      </c>
      <c r="F9" s="10" t="s">
        <v>9</v>
      </c>
      <c r="G9" s="2">
        <f t="shared" si="0"/>
        <v>0</v>
      </c>
      <c r="H9" s="3">
        <f t="shared" si="1"/>
        <v>109</v>
      </c>
    </row>
    <row r="10" spans="1:8" ht="28.5" customHeight="1">
      <c r="A10" s="8">
        <v>7</v>
      </c>
      <c r="B10" s="9" t="s">
        <v>16</v>
      </c>
      <c r="C10" s="8">
        <v>519</v>
      </c>
      <c r="D10" s="8">
        <v>628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109</v>
      </c>
    </row>
    <row r="11" spans="1:8" ht="24" customHeight="1">
      <c r="A11" s="8">
        <v>7</v>
      </c>
      <c r="B11" s="9" t="s">
        <v>17</v>
      </c>
      <c r="C11" s="8">
        <v>519</v>
      </c>
      <c r="D11" s="8">
        <v>628</v>
      </c>
      <c r="E11" s="8">
        <v>2025</v>
      </c>
      <c r="F11" s="10" t="s">
        <v>9</v>
      </c>
      <c r="G11" s="2">
        <f t="shared" si="0"/>
        <v>0</v>
      </c>
      <c r="H11" s="3">
        <f t="shared" si="1"/>
        <v>109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573</v>
      </c>
      <c r="D15" s="8">
        <v>532</v>
      </c>
      <c r="E15" s="8">
        <v>2025</v>
      </c>
      <c r="F15" s="10" t="s">
        <v>9</v>
      </c>
      <c r="G15" s="2">
        <f t="shared" si="2"/>
        <v>41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573</v>
      </c>
      <c r="D16" s="8">
        <v>532</v>
      </c>
      <c r="E16" s="8">
        <v>2025</v>
      </c>
      <c r="F16" s="10" t="s">
        <v>9</v>
      </c>
      <c r="G16" s="2">
        <f t="shared" si="2"/>
        <v>41</v>
      </c>
      <c r="H16" s="3">
        <f t="shared" si="3"/>
        <v>0</v>
      </c>
    </row>
    <row r="17" spans="1:8" ht="23.25" customHeight="1">
      <c r="A17" s="8">
        <v>8</v>
      </c>
      <c r="B17" s="9" t="s">
        <v>18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19</v>
      </c>
      <c r="C24" s="8">
        <v>445</v>
      </c>
      <c r="D24" s="8">
        <v>789</v>
      </c>
      <c r="E24" s="8">
        <v>2024</v>
      </c>
      <c r="F24" s="10" t="s">
        <v>9</v>
      </c>
      <c r="G24" s="2">
        <f t="shared" si="4"/>
        <v>0</v>
      </c>
      <c r="H24" s="3">
        <f t="shared" si="5"/>
        <v>344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/>
      <c r="D33" s="8"/>
      <c r="E33" s="8"/>
      <c r="F33" s="10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20</v>
      </c>
      <c r="C34" s="8">
        <v>470</v>
      </c>
      <c r="D34" s="8">
        <v>616</v>
      </c>
      <c r="E34" s="8">
        <v>2024</v>
      </c>
      <c r="F34" s="10" t="s">
        <v>9</v>
      </c>
      <c r="G34" s="2">
        <f t="shared" si="6"/>
        <v>0</v>
      </c>
      <c r="H34" s="3">
        <f t="shared" si="7"/>
        <v>146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/>
      <c r="D41" s="8"/>
      <c r="E41" s="8"/>
      <c r="F41" s="10"/>
      <c r="G41" s="2">
        <f t="shared" si="6"/>
        <v>0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21</v>
      </c>
      <c r="B43" s="7" t="s">
        <v>22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21</v>
      </c>
      <c r="B44" s="7" t="s">
        <v>23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21</v>
      </c>
      <c r="B45" s="7" t="s">
        <v>24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21</v>
      </c>
      <c r="B46" s="7" t="s">
        <v>25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21</v>
      </c>
      <c r="B47" s="7" t="s">
        <v>26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21</v>
      </c>
      <c r="B48" s="7" t="s">
        <v>27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21</v>
      </c>
      <c r="B49" s="7" t="s">
        <v>28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21</v>
      </c>
      <c r="B50" s="7" t="s">
        <v>29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15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30</v>
      </c>
      <c r="E1" s="39"/>
      <c r="F1" s="39"/>
      <c r="G1" s="39"/>
      <c r="H1" s="39"/>
      <c r="I1" s="39"/>
      <c r="J1" s="40" t="s">
        <v>31</v>
      </c>
      <c r="K1" s="40"/>
      <c r="L1" s="40"/>
      <c r="M1" s="40"/>
      <c r="N1" s="40"/>
      <c r="O1" s="40"/>
      <c r="P1" s="41" t="s">
        <v>32</v>
      </c>
      <c r="Q1" s="41"/>
      <c r="R1" s="41"/>
      <c r="S1" s="41"/>
      <c r="T1" s="41"/>
      <c r="U1" s="41"/>
      <c r="V1" s="42" t="s">
        <v>33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7" t="s">
        <v>43</v>
      </c>
      <c r="N2" s="37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8" t="s">
        <v>55</v>
      </c>
      <c r="Z2" s="38" t="s">
        <v>56</v>
      </c>
      <c r="AA2" s="24" t="s">
        <v>57</v>
      </c>
    </row>
    <row r="3" spans="1:27" ht="30.6" customHeight="1">
      <c r="A3" s="36" t="s">
        <v>58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21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21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21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21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21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21</v>
      </c>
      <c r="B51" s="7" t="s">
        <v>27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21</v>
      </c>
      <c r="B52" s="7" t="s">
        <v>28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21</v>
      </c>
      <c r="B53" s="7" t="s">
        <v>29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X46:X53 X36:X44 X26:X34 X16:X24 X6:X14 F55:F70 F46:F53 F36:F44 F26:F34 F16:F24 F6:F14 L55:L70 L46:L53 L36:L44 L26:L34 L16:L24 L6:L14 R55:R70 R46:R53 R36:R44 R26:R34 R16:R24 R6:R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B14" sqref="B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30</v>
      </c>
      <c r="E1" s="39"/>
      <c r="F1" s="39"/>
      <c r="G1" s="39"/>
      <c r="H1" s="39"/>
      <c r="I1" s="39"/>
      <c r="J1" s="40" t="s">
        <v>31</v>
      </c>
      <c r="K1" s="40"/>
      <c r="L1" s="40"/>
      <c r="M1" s="40"/>
      <c r="N1" s="40"/>
      <c r="O1" s="40"/>
      <c r="P1" s="41" t="s">
        <v>32</v>
      </c>
      <c r="Q1" s="41"/>
      <c r="R1" s="41"/>
      <c r="S1" s="41"/>
      <c r="T1" s="41"/>
      <c r="U1" s="41"/>
      <c r="V1" s="42" t="s">
        <v>33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59</v>
      </c>
      <c r="E2" s="18" t="s">
        <v>60</v>
      </c>
      <c r="F2" s="19" t="s">
        <v>61</v>
      </c>
      <c r="G2" s="22" t="s">
        <v>62</v>
      </c>
      <c r="H2" s="15" t="s">
        <v>63</v>
      </c>
      <c r="I2" s="22" t="s">
        <v>64</v>
      </c>
      <c r="J2" s="20" t="s">
        <v>65</v>
      </c>
      <c r="K2" s="20" t="s">
        <v>66</v>
      </c>
      <c r="L2" s="21" t="s">
        <v>67</v>
      </c>
      <c r="M2" s="37" t="s">
        <v>68</v>
      </c>
      <c r="N2" s="37" t="s">
        <v>69</v>
      </c>
      <c r="O2" s="20" t="s">
        <v>70</v>
      </c>
      <c r="P2" s="22" t="s">
        <v>71</v>
      </c>
      <c r="Q2" s="22" t="s">
        <v>72</v>
      </c>
      <c r="R2" s="23" t="s">
        <v>73</v>
      </c>
      <c r="S2" s="15" t="s">
        <v>74</v>
      </c>
      <c r="T2" s="15" t="s">
        <v>75</v>
      </c>
      <c r="U2" s="22" t="s">
        <v>76</v>
      </c>
      <c r="V2" s="24" t="s">
        <v>77</v>
      </c>
      <c r="W2" s="24" t="s">
        <v>78</v>
      </c>
      <c r="X2" s="25" t="s">
        <v>79</v>
      </c>
      <c r="Y2" s="38" t="s">
        <v>80</v>
      </c>
      <c r="Z2" s="38" t="s">
        <v>81</v>
      </c>
      <c r="AA2" s="24" t="s">
        <v>82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83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84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85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86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83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84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85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86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/>
      <c r="D33" s="10">
        <f>Table14[[#This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Table14[[#This Row],[Enrolment S.Y. 2025-2026 ]]*8</f>
        <v>0</v>
      </c>
      <c r="K33" s="10"/>
      <c r="L33" s="8"/>
      <c r="M33" s="10"/>
      <c r="N33" s="10">
        <f t="shared" si="14"/>
        <v>0</v>
      </c>
      <c r="O33" s="10">
        <f t="shared" si="15"/>
        <v>0</v>
      </c>
      <c r="P33" s="10">
        <f>Table14[[#This Row],[Enrolment S.Y. 2025-2026 ]]*8</f>
        <v>0</v>
      </c>
      <c r="Q33" s="10"/>
      <c r="R33" s="8"/>
      <c r="S33" s="10"/>
      <c r="T33" s="10">
        <f t="shared" si="10"/>
        <v>0</v>
      </c>
      <c r="U33" s="10">
        <f t="shared" si="11"/>
        <v>0</v>
      </c>
      <c r="V33" s="10">
        <f>Table14[[#This Row],[Enrolment S.Y. 2025-2026 ]]*8</f>
        <v>0</v>
      </c>
      <c r="W33" s="10"/>
      <c r="X33" s="8"/>
      <c r="Y33" s="10"/>
      <c r="Z33" s="10">
        <f t="shared" si="12"/>
        <v>0</v>
      </c>
      <c r="AA33" s="10">
        <f t="shared" si="13"/>
        <v>0</v>
      </c>
    </row>
    <row r="34" spans="1:27" ht="19.5">
      <c r="A34" s="35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Table14[[#This Row],[Enrolment S.Y. 2025-2026 ]]*8</f>
        <v>0</v>
      </c>
      <c r="K34" s="10"/>
      <c r="L34" s="8"/>
      <c r="M34" s="10"/>
      <c r="N34" s="10">
        <f t="shared" ref="N34:N38" si="20">IF((J34-K34)&lt;0,0,(J34-K34))</f>
        <v>0</v>
      </c>
      <c r="O34" s="10">
        <f t="shared" ref="O34:O38" si="21">IF((K34-J34)&lt;0,0,(K34-J34))</f>
        <v>0</v>
      </c>
      <c r="P34" s="10">
        <f>Table14[[#This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Table14[[#This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9</v>
      </c>
      <c r="B35" s="9" t="s">
        <v>84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/>
      <c r="D36" s="10">
        <f>Table14[[#This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85</v>
      </c>
      <c r="C37" s="8"/>
      <c r="D37" s="10">
        <f>Table14[[#This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Table14[[#This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9</v>
      </c>
      <c r="B38" s="9" t="s">
        <v>86</v>
      </c>
      <c r="C38" s="8"/>
      <c r="D38" s="10">
        <f>Table14[[#This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Table14[[#This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Table14[[#This Row],[Enrolment S.Y. 2025-2026 ]]*8</f>
        <v>0</v>
      </c>
      <c r="Q38" s="10"/>
      <c r="R38" s="8"/>
      <c r="S38" s="10"/>
      <c r="T38" s="10">
        <f t="shared" si="10"/>
        <v>0</v>
      </c>
      <c r="U38" s="10">
        <f t="shared" si="11"/>
        <v>0</v>
      </c>
      <c r="V38" s="10">
        <f>Table14[[#This Row],[Enrolment S.Y. 2025-2026 ]]*8</f>
        <v>0</v>
      </c>
      <c r="W38" s="10"/>
      <c r="X38" s="8"/>
      <c r="Y38" s="10"/>
      <c r="Z38" s="10">
        <f t="shared" si="12"/>
        <v>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/>
      <c r="D45" s="10">
        <f>Table14[[#This Row],[Enrolment S.Y. 2025-2026 ]]*8</f>
        <v>0</v>
      </c>
      <c r="E45" s="10"/>
      <c r="F45" s="8"/>
      <c r="G45" s="10"/>
      <c r="H45" s="10">
        <f t="shared" si="16"/>
        <v>0</v>
      </c>
      <c r="I45" s="10">
        <f t="shared" si="17"/>
        <v>0</v>
      </c>
      <c r="J45" s="10">
        <f>Table14[[#This Row],[Enrolment S.Y. 2025-2026 ]]*8</f>
        <v>0</v>
      </c>
      <c r="K45" s="10"/>
      <c r="L45" s="8"/>
      <c r="M45" s="10"/>
      <c r="N45" s="10">
        <f t="shared" si="14"/>
        <v>0</v>
      </c>
      <c r="O45" s="10">
        <f t="shared" si="15"/>
        <v>0</v>
      </c>
      <c r="P45" s="10">
        <f>Table14[[#This Row],[Enrolment S.Y. 2025-2026 ]]*8</f>
        <v>0</v>
      </c>
      <c r="Q45" s="10"/>
      <c r="R45" s="8"/>
      <c r="S45" s="10"/>
      <c r="T45" s="10">
        <f t="shared" si="10"/>
        <v>0</v>
      </c>
      <c r="U45" s="10">
        <f t="shared" si="11"/>
        <v>0</v>
      </c>
      <c r="V45" s="10">
        <f>Table14[[#This Row],[Enrolment S.Y. 2025-2026 ]]*8</f>
        <v>0</v>
      </c>
      <c r="W45" s="10"/>
      <c r="X45" s="8"/>
      <c r="Y45" s="10"/>
      <c r="Z45" s="10">
        <f t="shared" si="12"/>
        <v>0</v>
      </c>
      <c r="AA45" s="10">
        <f t="shared" si="13"/>
        <v>0</v>
      </c>
    </row>
    <row r="46" spans="1:27" ht="19.5">
      <c r="A46" s="35">
        <v>10</v>
      </c>
      <c r="B46" s="9" t="s">
        <v>83</v>
      </c>
      <c r="C46" s="8"/>
      <c r="D46" s="10">
        <f>Table14[[#This Row],[Enrolment S.Y. 2025-2026 ]]*8</f>
        <v>0</v>
      </c>
      <c r="E46" s="10"/>
      <c r="F46" s="8"/>
      <c r="G46" s="10"/>
      <c r="H46" s="10">
        <f>IF((D46-E46)&lt;0,0,(D46-E46))</f>
        <v>0</v>
      </c>
      <c r="I46" s="10">
        <f>IF((E46-D46)&lt;0,0,(E46-D46))</f>
        <v>0</v>
      </c>
      <c r="J46" s="10">
        <f>Table14[[#This Row],[Enrolment S.Y. 2025-2026 ]]*8</f>
        <v>0</v>
      </c>
      <c r="K46" s="10"/>
      <c r="L46" s="8"/>
      <c r="M46" s="10"/>
      <c r="N46" s="10">
        <f t="shared" ref="N46:N50" si="22">IF((J46-K46)&lt;0,0,(J46-K46))</f>
        <v>0</v>
      </c>
      <c r="O46" s="10">
        <f t="shared" ref="O46:O50" si="23">IF((K46-J46)&lt;0,0,(K46-J46))</f>
        <v>0</v>
      </c>
      <c r="P46" s="10">
        <f>Table14[[#This Row],[Enrolment S.Y. 2025-2026 ]]*8</f>
        <v>0</v>
      </c>
      <c r="Q46" s="10"/>
      <c r="R46" s="8"/>
      <c r="S46" s="10"/>
      <c r="T46" s="10">
        <f>IF((P46-Q46)&lt;0,0,(P46-Q46))</f>
        <v>0</v>
      </c>
      <c r="U46" s="10">
        <f>IF((Q46-P46)&lt;0,0,(Q46-P46))</f>
        <v>0</v>
      </c>
      <c r="V46" s="10">
        <f>Table14[[#This Row],[Enrolment S.Y. 2025-2026 ]]*8</f>
        <v>0</v>
      </c>
      <c r="W46" s="10"/>
      <c r="X46" s="8"/>
      <c r="Y46" s="10"/>
      <c r="Z46" s="10">
        <f>IF((V46-W46)&lt;0,0,(V46-W46))</f>
        <v>0</v>
      </c>
      <c r="AA46" s="10">
        <f>IF((W46-V46)&lt;0,0,(W46-V46))</f>
        <v>0</v>
      </c>
    </row>
    <row r="47" spans="1:27" ht="19.5">
      <c r="A47" s="8">
        <v>10</v>
      </c>
      <c r="B47" s="9" t="s">
        <v>84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/>
      <c r="D48" s="10">
        <f>Table14[[#This Row],[Enrolment S.Y. 2025-2026 ]]*8</f>
        <v>0</v>
      </c>
      <c r="E48" s="10"/>
      <c r="F48" s="8"/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>IF((D49-E49)&lt;0,0,(D49-E49))</f>
        <v>0</v>
      </c>
      <c r="I49" s="10">
        <f>IF((E49-D49)&lt;0,0,(E49-D49))</f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>IF((P49-Q49)&lt;0,0,(P49-Q49))</f>
        <v>0</v>
      </c>
      <c r="U49" s="10">
        <f>IF((Q49-P49)&lt;0,0,(Q49-P49))</f>
        <v>0</v>
      </c>
      <c r="V49" s="10">
        <f>Table14[[#This Row],[Enrolment S.Y. 2025-2026 ]]*8</f>
        <v>0</v>
      </c>
      <c r="W49" s="10"/>
      <c r="X49" s="8"/>
      <c r="Y49" s="10"/>
      <c r="Z49" s="10">
        <f>IF((V49-W49)&lt;0,0,(V49-W49))</f>
        <v>0</v>
      </c>
      <c r="AA49" s="10">
        <f>IF((W49-V49)&lt;0,0,(W49-V49))</f>
        <v>0</v>
      </c>
    </row>
    <row r="50" spans="1:27" ht="19.5">
      <c r="A50" s="8">
        <v>10</v>
      </c>
      <c r="B50" s="9" t="s">
        <v>86</v>
      </c>
      <c r="C50" s="8"/>
      <c r="D50" s="10">
        <f>Table14[[#This Row],[Enrolment S.Y. 2025-2026 ]]*8</f>
        <v>0</v>
      </c>
      <c r="E50" s="10"/>
      <c r="F50" s="8"/>
      <c r="G50" s="10"/>
      <c r="H50" s="10">
        <f t="shared" si="16"/>
        <v>0</v>
      </c>
      <c r="I50" s="10">
        <f t="shared" si="17"/>
        <v>0</v>
      </c>
      <c r="J50" s="10">
        <f>Table14[[#This Row],[Enrolment S.Y. 2025-2026 ]]*8</f>
        <v>0</v>
      </c>
      <c r="K50" s="10"/>
      <c r="L50" s="8"/>
      <c r="M50" s="10"/>
      <c r="N50" s="10">
        <f t="shared" si="22"/>
        <v>0</v>
      </c>
      <c r="O50" s="10">
        <f t="shared" si="23"/>
        <v>0</v>
      </c>
      <c r="P50" s="10">
        <f>Table14[[#This Row],[Enrolment S.Y. 2025-2026 ]]*8</f>
        <v>0</v>
      </c>
      <c r="Q50" s="10"/>
      <c r="R50" s="8"/>
      <c r="S50" s="10"/>
      <c r="T50" s="10">
        <f t="shared" si="10"/>
        <v>0</v>
      </c>
      <c r="U50" s="10">
        <f t="shared" si="11"/>
        <v>0</v>
      </c>
      <c r="V50" s="10">
        <f>Table14[[#This Row],[Enrolment S.Y. 2025-2026 ]]*8</f>
        <v>0</v>
      </c>
      <c r="W50" s="10"/>
      <c r="X50" s="8"/>
      <c r="Y50" s="10"/>
      <c r="Z50" s="10">
        <f t="shared" si="12"/>
        <v>0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21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21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21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21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21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21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21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21</v>
      </c>
      <c r="B59" s="7" t="s">
        <v>29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X52:X59 X40:X50 X28:X38 X16:X26 X4:X14 F52:F59 F40:F50 F28:F38 F16:F26 F4:F14 L52:L59 L40:L50 L28:L38 L4:L14 L16:L26 R52:R59 R40:R50 R28:R38 R16:R26 R4:R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2026-04-07T03:14:57Z</dcterms:modified>
  <cp:category/>
  <cp:contentStatus/>
</cp:coreProperties>
</file>