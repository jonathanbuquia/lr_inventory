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92" documentId="13_ncr:1_{BFB59F67-F0DC-4675-A682-EB0734A8026A}" xr6:coauthVersionLast="47" xr6:coauthVersionMax="47" xr10:uidLastSave="{ADABE977-38D1-4A3E-9B7B-4C121C7161FA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<sst xmlns="http://schemas.openxmlformats.org/spreadsheetml/2006/main" count="438" uniqueCount="91">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</sst>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3" activePane="topRight" state="frozen"/>
      <selection pane="topRight" activeCell="F37" sqref="F3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416</v>
      </c>
      <c r="D2" s="1"/>
      <c r="E2" s="1"/>
      <c r="F2" s="5"/>
      <c r="G2" s="3">
        <f>IF((C2-D2)&lt;0,0,C2-D2)</f>
        <v>416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416</v>
      </c>
      <c r="D3" s="1"/>
      <c r="E3" s="1"/>
      <c r="F3" s="5"/>
      <c r="G3" s="3">
        <f>IF((C3-D3)&lt;0,0,C3-D3)</f>
        <v>416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416</v>
      </c>
      <c r="D4" s="1"/>
      <c r="E4" s="1"/>
      <c r="F4" s="5"/>
      <c r="G4" s="3">
        <f>IF((C4-D4)&lt;0,0,C4-D4)</f>
        <v>416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416</v>
      </c>
      <c r="D5" s="1"/>
      <c r="E5" s="1"/>
      <c r="F5" s="5"/>
      <c r="G5" s="3">
        <f t="shared" ref="G5:G6" si="0">IF((C5-D5)&lt;0,0,C5-D5)</f>
        <v>416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416</v>
      </c>
      <c r="D6" s="1"/>
      <c r="E6" s="1"/>
      <c r="F6" s="5"/>
      <c r="G6" s="3">
        <f t="shared" si="0"/>
        <v>416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459</v>
      </c>
      <c r="D8" s="1"/>
      <c r="E8" s="1"/>
      <c r="F8" s="5"/>
      <c r="G8" s="3">
        <f>IF((C8-D8)&lt;0,0,C8-D8)</f>
        <v>459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459</v>
      </c>
      <c r="D9" s="1"/>
      <c r="E9" s="1"/>
      <c r="F9" s="5"/>
      <c r="G9" s="3">
        <f>IF((C9-D9)&lt;0,0,C9-D9)</f>
        <v>459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459</v>
      </c>
      <c r="D10" s="1"/>
      <c r="E10" s="1"/>
      <c r="F10" s="5"/>
      <c r="G10" s="3">
        <f>IF((C10-D10)&lt;0,0,C10-D10)</f>
        <v>459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459</v>
      </c>
      <c r="D11" s="1"/>
      <c r="E11" s="1"/>
      <c r="F11" s="5"/>
      <c r="G11" s="3">
        <f>IF((C11-D11)&lt;0,0,C11-D11)</f>
        <v>459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459</v>
      </c>
      <c r="D12" s="1"/>
      <c r="E12" s="1"/>
      <c r="F12" s="5"/>
      <c r="G12" s="3">
        <f>IF((C12-D12)&lt;0,0,C12-D12)</f>
        <v>459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543</v>
      </c>
      <c r="D14" s="1"/>
      <c r="E14" s="1"/>
      <c r="F14" s="5"/>
      <c r="G14" s="3">
        <f t="shared" ref="G14:G19" si="2">IF((C14-D14)&lt;0,0,C14-D14)</f>
        <v>543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543</v>
      </c>
      <c r="D15" s="1"/>
      <c r="E15" s="1"/>
      <c r="F15" s="5"/>
      <c r="G15" s="3">
        <f t="shared" si="2"/>
        <v>543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543</v>
      </c>
      <c r="D16" s="1"/>
      <c r="E16" s="1"/>
      <c r="F16" s="5"/>
      <c r="G16" s="3">
        <f t="shared" si="2"/>
        <v>543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543</v>
      </c>
      <c r="D17" s="1"/>
      <c r="E17" s="1"/>
      <c r="F17" s="5"/>
      <c r="G17" s="3">
        <f t="shared" si="2"/>
        <v>543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543</v>
      </c>
      <c r="D18" s="1"/>
      <c r="E18" s="1"/>
      <c r="F18" s="5"/>
      <c r="G18" s="3">
        <f t="shared" si="2"/>
        <v>543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543</v>
      </c>
      <c r="D19" s="1"/>
      <c r="E19" s="1"/>
      <c r="F19" s="5"/>
      <c r="G19" s="3">
        <f t="shared" si="2"/>
        <v>543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533</v>
      </c>
      <c r="D21" s="1"/>
      <c r="E21" s="1"/>
      <c r="F21" s="5"/>
      <c r="G21" s="3">
        <f t="shared" ref="G21:G29" si="4">IF((C21-D21)&lt;0,0,C21-D21)</f>
        <v>533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533</v>
      </c>
      <c r="D22" s="1"/>
      <c r="E22" s="1"/>
      <c r="F22" s="5"/>
      <c r="G22" s="3">
        <f t="shared" si="4"/>
        <v>533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533</v>
      </c>
      <c r="D23" s="1"/>
      <c r="E23" s="1"/>
      <c r="F23" s="5"/>
      <c r="G23" s="3">
        <f t="shared" si="4"/>
        <v>533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533</v>
      </c>
      <c r="D24" s="1"/>
      <c r="E24" s="1"/>
      <c r="F24" s="5"/>
      <c r="G24" s="3">
        <f t="shared" si="4"/>
        <v>533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533</v>
      </c>
      <c r="D25" s="1"/>
      <c r="E25" s="1"/>
      <c r="F25" s="5"/>
      <c r="G25" s="3">
        <f t="shared" si="4"/>
        <v>533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533</v>
      </c>
      <c r="D26" s="1"/>
      <c r="E26" s="1"/>
      <c r="F26" s="5"/>
      <c r="G26" s="3">
        <f t="shared" si="4"/>
        <v>533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533</v>
      </c>
      <c r="D27" s="1"/>
      <c r="E27" s="1"/>
      <c r="F27" s="5"/>
      <c r="G27" s="3">
        <f t="shared" si="4"/>
        <v>533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533</v>
      </c>
      <c r="D28" s="1"/>
      <c r="E28" s="1"/>
      <c r="F28" s="5"/>
      <c r="G28" s="3">
        <f t="shared" si="4"/>
        <v>533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533</v>
      </c>
      <c r="D29" s="1"/>
      <c r="E29" s="1"/>
      <c r="F29" s="5"/>
      <c r="G29" s="3">
        <f t="shared" si="4"/>
        <v>533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423</v>
      </c>
      <c r="D31" s="1">
        <v>800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377</v>
      </c>
    </row>
    <row r="32" spans="1:8" ht="27.75" customHeight="1">
      <c r="A32" s="1">
        <v>5</v>
      </c>
      <c r="B32" s="9" t="s">
        <v>15</v>
      </c>
      <c r="C32" s="1">
        <v>423</v>
      </c>
      <c r="D32" s="1"/>
      <c r="E32" s="1"/>
      <c r="F32" s="5"/>
      <c r="G32" s="3">
        <f t="shared" si="6"/>
        <v>423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423</v>
      </c>
      <c r="D33" s="1"/>
      <c r="E33" s="1"/>
      <c r="F33" s="5"/>
      <c r="G33" s="3">
        <f t="shared" si="6"/>
        <v>423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423</v>
      </c>
      <c r="D34" s="1"/>
      <c r="E34" s="1"/>
      <c r="F34" s="5"/>
      <c r="G34" s="3">
        <f t="shared" si="6"/>
        <v>423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423</v>
      </c>
      <c r="D35" s="1">
        <v>800</v>
      </c>
      <c r="E35" s="1">
        <v>2025</v>
      </c>
      <c r="F35" s="5"/>
      <c r="G35" s="3">
        <f t="shared" si="6"/>
        <v>0</v>
      </c>
      <c r="H35" s="4">
        <f t="shared" si="7"/>
        <v>377</v>
      </c>
    </row>
    <row r="36" spans="1:8" ht="27.75" customHeight="1">
      <c r="A36" s="1">
        <v>5</v>
      </c>
      <c r="B36" s="9" t="s">
        <v>13</v>
      </c>
      <c r="C36" s="1">
        <v>423</v>
      </c>
      <c r="D36" s="1">
        <v>800</v>
      </c>
      <c r="E36" s="1">
        <v>2025</v>
      </c>
      <c r="F36" s="5"/>
      <c r="G36" s="3">
        <f t="shared" si="6"/>
        <v>0</v>
      </c>
      <c r="H36" s="4">
        <f t="shared" si="7"/>
        <v>377</v>
      </c>
    </row>
    <row r="37" spans="1:8" ht="27.75" customHeight="1">
      <c r="A37" s="1">
        <v>5</v>
      </c>
      <c r="B37" s="9" t="s">
        <v>17</v>
      </c>
      <c r="C37" s="1">
        <v>423</v>
      </c>
      <c r="D37" s="1">
        <v>800</v>
      </c>
      <c r="E37" s="1">
        <v>2025</v>
      </c>
      <c r="F37" s="5"/>
      <c r="G37" s="3">
        <f t="shared" si="6"/>
        <v>0</v>
      </c>
      <c r="H37" s="4">
        <f t="shared" si="7"/>
        <v>377</v>
      </c>
    </row>
    <row r="38" spans="1:8" ht="27.75" customHeight="1">
      <c r="A38" s="1">
        <v>5</v>
      </c>
      <c r="B38" s="9" t="s">
        <v>18</v>
      </c>
      <c r="C38" s="1">
        <v>423</v>
      </c>
      <c r="D38" s="1"/>
      <c r="E38" s="1"/>
      <c r="F38" s="5"/>
      <c r="G38" s="3">
        <f t="shared" si="6"/>
        <v>423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423</v>
      </c>
      <c r="D39" s="1"/>
      <c r="E39" s="1"/>
      <c r="F39" s="5"/>
      <c r="G39" s="3">
        <f t="shared" si="6"/>
        <v>423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401</v>
      </c>
      <c r="D41" s="1"/>
      <c r="E41" s="1"/>
      <c r="F41" s="5"/>
      <c r="G41" s="3">
        <f t="shared" ref="G41:G49" si="8">IF((C41-D41)&lt;0,0,C41-D41)</f>
        <v>401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401</v>
      </c>
      <c r="D42" s="1"/>
      <c r="E42" s="1"/>
      <c r="F42" s="5"/>
      <c r="G42" s="3">
        <f t="shared" si="8"/>
        <v>401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401</v>
      </c>
      <c r="D43" s="1"/>
      <c r="E43" s="1"/>
      <c r="F43" s="5"/>
      <c r="G43" s="3">
        <f t="shared" si="8"/>
        <v>401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401</v>
      </c>
      <c r="D44" s="1"/>
      <c r="E44" s="1"/>
      <c r="F44" s="5"/>
      <c r="G44" s="3">
        <f t="shared" si="8"/>
        <v>401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401</v>
      </c>
      <c r="D45" s="1"/>
      <c r="E45" s="1"/>
      <c r="F45" s="5"/>
      <c r="G45" s="3">
        <f t="shared" si="8"/>
        <v>401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401</v>
      </c>
      <c r="D46" s="1"/>
      <c r="E46" s="1"/>
      <c r="F46" s="5"/>
      <c r="G46" s="3">
        <f t="shared" si="8"/>
        <v>401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401</v>
      </c>
      <c r="D47" s="1"/>
      <c r="E47" s="1"/>
      <c r="F47" s="5"/>
      <c r="G47" s="3">
        <f t="shared" si="8"/>
        <v>401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401</v>
      </c>
      <c r="D48" s="1"/>
      <c r="E48" s="1"/>
      <c r="F48" s="5"/>
      <c r="G48" s="3">
        <f t="shared" si="8"/>
        <v>401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401</v>
      </c>
      <c r="D49" s="1"/>
      <c r="E49" s="1"/>
      <c r="F49" s="5"/>
      <c r="G49" s="3">
        <f t="shared" si="8"/>
        <v>401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40" zoomScale="70" zoomScaleNormal="70" workbookViewId="0">
      <selection activeCell="A47" sqref="A4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5">
        <v>792</v>
      </c>
      <c r="F16" s="1">
        <v>2025</v>
      </c>
      <c r="G16" s="5" t="s">
        <v>62</v>
      </c>
      <c r="H16" s="5">
        <f t="shared" si="2"/>
        <v>0</v>
      </c>
      <c r="I16" s="5">
        <f t="shared" si="3"/>
        <v>792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>
        <v>792</v>
      </c>
      <c r="F17" s="1">
        <v>2025</v>
      </c>
      <c r="G17" s="5" t="s">
        <v>62</v>
      </c>
      <c r="H17" s="5">
        <f t="shared" si="2"/>
        <v>0</v>
      </c>
      <c r="I17" s="5">
        <f t="shared" si="3"/>
        <v>792</v>
      </c>
      <c r="J17" s="5">
        <f>Table1[[#This Row],[Enrolment S.Y. 2025-2026 ]]*8</f>
        <v>0</v>
      </c>
      <c r="K17" s="5">
        <v>759</v>
      </c>
      <c r="L17" s="1">
        <v>2025</v>
      </c>
      <c r="M17" s="5" t="s">
        <v>62</v>
      </c>
      <c r="N17" s="5">
        <f t="shared" si="10"/>
        <v>0</v>
      </c>
      <c r="O17" s="5">
        <f t="shared" si="11"/>
        <v>759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>
        <v>792</v>
      </c>
      <c r="F18" s="1">
        <v>2025</v>
      </c>
      <c r="G18" s="5" t="s">
        <v>62</v>
      </c>
      <c r="H18" s="5">
        <f t="shared" si="2"/>
        <v>0</v>
      </c>
      <c r="I18" s="5">
        <f t="shared" si="3"/>
        <v>792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>
        <v>792</v>
      </c>
      <c r="F19" s="1">
        <v>2025</v>
      </c>
      <c r="G19" s="5" t="s">
        <v>62</v>
      </c>
      <c r="H19" s="5">
        <f>IF((D19-E19)&lt;0,0,(D19-E19))</f>
        <v>0</v>
      </c>
      <c r="I19" s="5">
        <f>IF((E19-D19)&lt;0,0,(E19-D19))</f>
        <v>792</v>
      </c>
      <c r="J19" s="5">
        <f>Table1[[#This Row],[Enrolment S.Y. 2025-2026 ]]*8</f>
        <v>0</v>
      </c>
      <c r="K19" s="5">
        <v>759</v>
      </c>
      <c r="L19" s="1">
        <v>2025</v>
      </c>
      <c r="M19" s="5" t="s">
        <v>62</v>
      </c>
      <c r="N19" s="5">
        <f t="shared" si="10"/>
        <v>0</v>
      </c>
      <c r="O19" s="5">
        <f t="shared" si="11"/>
        <v>759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>
        <v>792</v>
      </c>
      <c r="F20" s="1">
        <v>2025</v>
      </c>
      <c r="G20" s="5" t="s">
        <v>62</v>
      </c>
      <c r="H20" s="5">
        <f>IF((D20-E20)&lt;0,0,(D20-E20))</f>
        <v>0</v>
      </c>
      <c r="I20" s="5">
        <f>IF((E20-D20)&lt;0,0,(E20-D20))</f>
        <v>792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>
        <v>713</v>
      </c>
      <c r="F25" s="1">
        <v>2025</v>
      </c>
      <c r="G25" s="5" t="s">
        <v>62</v>
      </c>
      <c r="H25" s="5">
        <f t="shared" si="2"/>
        <v>0</v>
      </c>
      <c r="I25" s="5">
        <f t="shared" si="3"/>
        <v>713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>
        <v>713</v>
      </c>
      <c r="F26" s="1">
        <v>2025</v>
      </c>
      <c r="G26" s="5" t="s">
        <v>62</v>
      </c>
      <c r="H26" s="5">
        <f t="shared" si="2"/>
        <v>0</v>
      </c>
      <c r="I26" s="5">
        <f t="shared" si="3"/>
        <v>713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>
        <v>713</v>
      </c>
      <c r="F27" s="1">
        <v>2025</v>
      </c>
      <c r="G27" s="5" t="s">
        <v>62</v>
      </c>
      <c r="H27" s="5">
        <f t="shared" si="2"/>
        <v>0</v>
      </c>
      <c r="I27" s="5">
        <f t="shared" si="3"/>
        <v>713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>
        <v>713</v>
      </c>
      <c r="F28" s="1">
        <v>2025</v>
      </c>
      <c r="G28" s="5" t="s">
        <v>62</v>
      </c>
      <c r="H28" s="5">
        <f t="shared" si="2"/>
        <v>0</v>
      </c>
      <c r="I28" s="5">
        <f t="shared" si="3"/>
        <v>713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>
        <v>713</v>
      </c>
      <c r="F29" s="1">
        <v>2025</v>
      </c>
      <c r="G29" s="5" t="s">
        <v>62</v>
      </c>
      <c r="H29" s="5">
        <f>IF((D29-E29)&lt;0,0,(D29-E29))</f>
        <v>0</v>
      </c>
      <c r="I29" s="5">
        <f>IF((E29-D29)&lt;0,0,(E29-D29))</f>
        <v>713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>
        <v>713</v>
      </c>
      <c r="F30" s="1">
        <v>2025</v>
      </c>
      <c r="G30" s="5" t="s">
        <v>62</v>
      </c>
      <c r="H30" s="5">
        <f>IF((D30-E30)&lt;0,0,(D30-E30))</f>
        <v>0</v>
      </c>
      <c r="I30" s="5">
        <f>IF((E30-D30)&lt;0,0,(E30-D30))</f>
        <v>713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>
        <v>241</v>
      </c>
      <c r="F43" s="1">
        <v>2025</v>
      </c>
      <c r="G43" s="5" t="s">
        <v>62</v>
      </c>
      <c r="H43" s="5">
        <f t="shared" si="2"/>
        <v>0</v>
      </c>
      <c r="I43" s="5">
        <f t="shared" si="3"/>
        <v>241</v>
      </c>
      <c r="J43" s="5">
        <f>Table1[[#This Row],[Enrolment S.Y. 2025-2026 ]]*8</f>
        <v>0</v>
      </c>
      <c r="K43" s="5">
        <v>724</v>
      </c>
      <c r="L43" s="1">
        <v>2025</v>
      </c>
      <c r="M43" s="5" t="s">
        <v>62</v>
      </c>
      <c r="N43" s="5">
        <f t="shared" si="10"/>
        <v>0</v>
      </c>
      <c r="O43" s="5">
        <f t="shared" si="11"/>
        <v>724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>
        <v>241</v>
      </c>
      <c r="F44" s="1">
        <v>2025</v>
      </c>
      <c r="G44" s="5" t="s">
        <v>62</v>
      </c>
      <c r="H44" s="5">
        <f t="shared" si="2"/>
        <v>0</v>
      </c>
      <c r="I44" s="5">
        <f t="shared" si="3"/>
        <v>241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>
        <v>241</v>
      </c>
      <c r="F45" s="1">
        <v>2025</v>
      </c>
      <c r="G45" s="5" t="s">
        <v>62</v>
      </c>
      <c r="H45" s="5">
        <f t="shared" si="2"/>
        <v>0</v>
      </c>
      <c r="I45" s="5">
        <f t="shared" si="3"/>
        <v>241</v>
      </c>
      <c r="J45" s="5">
        <f>Table1[[#This Row],[Enrolment S.Y. 2025-2026 ]]*8</f>
        <v>0</v>
      </c>
      <c r="K45" s="5">
        <v>724</v>
      </c>
      <c r="L45" s="1">
        <v>2025</v>
      </c>
      <c r="M45" s="5" t="s">
        <v>62</v>
      </c>
      <c r="N45" s="5">
        <f t="shared" si="10"/>
        <v>0</v>
      </c>
      <c r="O45" s="5">
        <f t="shared" si="11"/>
        <v>724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>
        <v>241</v>
      </c>
      <c r="F46" s="1">
        <v>2025</v>
      </c>
      <c r="G46" s="5" t="s">
        <v>62</v>
      </c>
      <c r="H46" s="5">
        <f t="shared" si="2"/>
        <v>0</v>
      </c>
      <c r="I46" s="5">
        <f t="shared" si="3"/>
        <v>241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>
        <v>241</v>
      </c>
      <c r="F47" s="1">
        <v>2025</v>
      </c>
      <c r="G47" s="5" t="s">
        <v>62</v>
      </c>
      <c r="H47" s="5">
        <f t="shared" si="2"/>
        <v>0</v>
      </c>
      <c r="I47" s="5">
        <f t="shared" si="3"/>
        <v>241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>
        <v>241</v>
      </c>
      <c r="F48" s="1">
        <v>2025</v>
      </c>
      <c r="G48" s="5" t="s">
        <v>62</v>
      </c>
      <c r="H48" s="5">
        <f t="shared" si="2"/>
        <v>0</v>
      </c>
      <c r="I48" s="5">
        <f t="shared" si="3"/>
        <v>241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>
        <v>241</v>
      </c>
      <c r="F49" s="1">
        <v>2025</v>
      </c>
      <c r="G49" s="5" t="s">
        <v>62</v>
      </c>
      <c r="H49" s="5">
        <f t="shared" si="2"/>
        <v>0</v>
      </c>
      <c r="I49" s="5">
        <f t="shared" si="3"/>
        <v>241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>
        <v>241</v>
      </c>
      <c r="F50" s="1">
        <v>2025</v>
      </c>
      <c r="G50" s="5" t="s">
        <v>62</v>
      </c>
      <c r="H50" s="5">
        <f t="shared" si="2"/>
        <v>0</v>
      </c>
      <c r="I50" s="5">
        <f t="shared" si="3"/>
        <v>241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>
        <v>241</v>
      </c>
      <c r="F51" s="1">
        <v>2025</v>
      </c>
      <c r="G51" s="5" t="s">
        <v>62</v>
      </c>
      <c r="H51" s="5">
        <f t="shared" si="2"/>
        <v>0</v>
      </c>
      <c r="I51" s="5">
        <f t="shared" si="3"/>
        <v>241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R59" zoomScale="55" zoomScaleNormal="55" workbookViewId="0">
      <selection activeCell="Y65" sqref="Y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>
        <v>250</v>
      </c>
      <c r="F55" s="1">
        <v>2025</v>
      </c>
      <c r="G55" s="5" t="s">
        <v>62</v>
      </c>
      <c r="H55" s="5">
        <f t="shared" si="0"/>
        <v>0</v>
      </c>
      <c r="I55" s="5">
        <f t="shared" si="1"/>
        <v>250</v>
      </c>
      <c r="J55" s="5">
        <f>Table14[[#This Row],[Enrolment S.Y. 2025-2026 ]]*8</f>
        <v>0</v>
      </c>
      <c r="K55" s="5">
        <v>100</v>
      </c>
      <c r="L55" s="1">
        <v>2025</v>
      </c>
      <c r="M55" s="5" t="s">
        <v>62</v>
      </c>
      <c r="N55" s="5">
        <f t="shared" si="2"/>
        <v>0</v>
      </c>
      <c r="O55" s="5">
        <f t="shared" si="3"/>
        <v>100</v>
      </c>
      <c r="P55" s="5">
        <f>Table14[[#This Row],[Enrolment S.Y. 2025-2026 ]]*8</f>
        <v>0</v>
      </c>
      <c r="Q55" s="5">
        <v>100</v>
      </c>
      <c r="R55" s="1">
        <v>2025</v>
      </c>
      <c r="S55" s="5" t="s">
        <v>62</v>
      </c>
      <c r="T55" s="5">
        <f t="shared" si="4"/>
        <v>0</v>
      </c>
      <c r="U55" s="5">
        <f t="shared" si="5"/>
        <v>100</v>
      </c>
      <c r="V55" s="5">
        <f>Table14[[#This Row],[Enrolment S.Y. 2025-2026 ]]*8</f>
        <v>0</v>
      </c>
      <c r="W55" s="5">
        <v>100</v>
      </c>
      <c r="X55" s="1">
        <v>2025</v>
      </c>
      <c r="Y55" s="5" t="s">
        <v>62</v>
      </c>
      <c r="Z55" s="5">
        <f t="shared" si="6"/>
        <v>0</v>
      </c>
      <c r="AA55" s="5">
        <f t="shared" si="7"/>
        <v>100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>
        <v>250</v>
      </c>
      <c r="F56" s="1">
        <v>2025</v>
      </c>
      <c r="G56" s="5" t="s">
        <v>62</v>
      </c>
      <c r="H56" s="5">
        <f t="shared" si="0"/>
        <v>0</v>
      </c>
      <c r="I56" s="5">
        <f t="shared" si="1"/>
        <v>250</v>
      </c>
      <c r="J56" s="5">
        <f>Table14[[#This Row],[Enrolment S.Y. 2025-2026 ]]*8</f>
        <v>0</v>
      </c>
      <c r="K56" s="5">
        <v>100</v>
      </c>
      <c r="L56" s="1">
        <v>2025</v>
      </c>
      <c r="M56" s="5" t="s">
        <v>62</v>
      </c>
      <c r="N56" s="5">
        <f t="shared" si="2"/>
        <v>0</v>
      </c>
      <c r="O56" s="5">
        <f t="shared" si="3"/>
        <v>100</v>
      </c>
      <c r="P56" s="5">
        <f>Table14[[#This Row],[Enrolment S.Y. 2025-2026 ]]*8</f>
        <v>0</v>
      </c>
      <c r="Q56" s="5">
        <v>100</v>
      </c>
      <c r="R56" s="1">
        <v>2025</v>
      </c>
      <c r="S56" s="5" t="s">
        <v>62</v>
      </c>
      <c r="T56" s="5">
        <f t="shared" si="4"/>
        <v>0</v>
      </c>
      <c r="U56" s="5">
        <f t="shared" si="5"/>
        <v>100</v>
      </c>
      <c r="V56" s="5">
        <f>Table14[[#This Row],[Enrolment S.Y. 2025-2026 ]]*8</f>
        <v>0</v>
      </c>
      <c r="W56" s="5">
        <v>100</v>
      </c>
      <c r="X56" s="1">
        <v>2025</v>
      </c>
      <c r="Y56" s="5" t="s">
        <v>62</v>
      </c>
      <c r="Z56" s="5">
        <f t="shared" si="6"/>
        <v>0</v>
      </c>
      <c r="AA56" s="5">
        <f t="shared" si="7"/>
        <v>100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>
        <v>250</v>
      </c>
      <c r="F57" s="1">
        <v>2025</v>
      </c>
      <c r="G57" s="5" t="s">
        <v>62</v>
      </c>
      <c r="H57" s="5">
        <f t="shared" si="0"/>
        <v>0</v>
      </c>
      <c r="I57" s="5">
        <f t="shared" si="1"/>
        <v>250</v>
      </c>
      <c r="J57" s="5">
        <f>Table14[[#This Row],[Enrolment S.Y. 2025-2026 ]]*8</f>
        <v>0</v>
      </c>
      <c r="K57" s="5">
        <v>100</v>
      </c>
      <c r="L57" s="1">
        <v>2025</v>
      </c>
      <c r="M57" s="5" t="s">
        <v>62</v>
      </c>
      <c r="N57" s="5">
        <f t="shared" si="2"/>
        <v>0</v>
      </c>
      <c r="O57" s="5">
        <f t="shared" si="3"/>
        <v>100</v>
      </c>
      <c r="P57" s="5">
        <f>Table14[[#This Row],[Enrolment S.Y. 2025-2026 ]]*8</f>
        <v>0</v>
      </c>
      <c r="Q57" s="5">
        <v>100</v>
      </c>
      <c r="R57" s="1">
        <v>2025</v>
      </c>
      <c r="S57" s="5" t="s">
        <v>62</v>
      </c>
      <c r="T57" s="5">
        <f t="shared" si="4"/>
        <v>0</v>
      </c>
      <c r="U57" s="5">
        <f t="shared" si="5"/>
        <v>100</v>
      </c>
      <c r="V57" s="5">
        <f>Table14[[#This Row],[Enrolment S.Y. 2025-2026 ]]*8</f>
        <v>0</v>
      </c>
      <c r="W57" s="5">
        <v>100</v>
      </c>
      <c r="X57" s="1">
        <v>2025</v>
      </c>
      <c r="Y57" s="5" t="s">
        <v>62</v>
      </c>
      <c r="Z57" s="5">
        <f t="shared" si="6"/>
        <v>0</v>
      </c>
      <c r="AA57" s="5">
        <f t="shared" si="7"/>
        <v>100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>
        <v>100</v>
      </c>
      <c r="R58" s="1">
        <v>2025</v>
      </c>
      <c r="S58" s="5" t="s">
        <v>62</v>
      </c>
      <c r="T58" s="5">
        <f t="shared" si="4"/>
        <v>0</v>
      </c>
      <c r="U58" s="5">
        <f t="shared" si="5"/>
        <v>100</v>
      </c>
      <c r="V58" s="5">
        <f>Table14[[#This Row],[Enrolment S.Y. 2025-2026 ]]*8</f>
        <v>0</v>
      </c>
      <c r="W58" s="5">
        <v>100</v>
      </c>
      <c r="X58" s="1">
        <v>2025</v>
      </c>
      <c r="Y58" s="5" t="s">
        <v>62</v>
      </c>
      <c r="Z58" s="5">
        <f t="shared" si="6"/>
        <v>0</v>
      </c>
      <c r="AA58" s="5">
        <f t="shared" si="7"/>
        <v>100</v>
      </c>
    </row>
    <row r="59" spans="1:27" ht="38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>
        <v>100</v>
      </c>
      <c r="R59" s="1">
        <v>2025</v>
      </c>
      <c r="S59" s="5" t="s">
        <v>62</v>
      </c>
      <c r="T59" s="5">
        <f t="shared" si="4"/>
        <v>0</v>
      </c>
      <c r="U59" s="5">
        <f t="shared" si="5"/>
        <v>100</v>
      </c>
      <c r="V59" s="5">
        <f>Table14[[#This Row],[Enrolment S.Y. 2025-2026 ]]*8</f>
        <v>0</v>
      </c>
      <c r="W59" s="5">
        <v>100</v>
      </c>
      <c r="X59" s="1">
        <v>2025</v>
      </c>
      <c r="Y59" s="5" t="s">
        <v>62</v>
      </c>
      <c r="Z59" s="5">
        <f t="shared" si="6"/>
        <v>0</v>
      </c>
      <c r="AA59" s="5">
        <f t="shared" si="7"/>
        <v>100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>
        <v>100</v>
      </c>
      <c r="R60" s="1">
        <v>2025</v>
      </c>
      <c r="S60" s="5" t="s">
        <v>62</v>
      </c>
      <c r="T60" s="5">
        <f t="shared" si="4"/>
        <v>0</v>
      </c>
      <c r="U60" s="5">
        <f t="shared" si="5"/>
        <v>100</v>
      </c>
      <c r="V60" s="5">
        <f>Table14[[#This Row],[Enrolment S.Y. 2025-2026 ]]*8</f>
        <v>0</v>
      </c>
      <c r="W60" s="5">
        <v>100</v>
      </c>
      <c r="X60" s="1">
        <v>2025</v>
      </c>
      <c r="Y60" s="5" t="s">
        <v>62</v>
      </c>
      <c r="Z60" s="5">
        <f t="shared" si="6"/>
        <v>0</v>
      </c>
      <c r="AA60" s="5">
        <f t="shared" si="7"/>
        <v>100</v>
      </c>
    </row>
    <row r="61" spans="1:27" ht="19.5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>
        <v>100</v>
      </c>
      <c r="R61" s="1">
        <v>2025</v>
      </c>
      <c r="S61" s="5" t="s">
        <v>62</v>
      </c>
      <c r="T61" s="5">
        <f>IF((P61-Q61)&lt;0,0,(P61-Q61))</f>
        <v>0</v>
      </c>
      <c r="U61" s="5">
        <f>IF((Q61-P61)&lt;0,0,(Q61-P61))</f>
        <v>100</v>
      </c>
      <c r="V61" s="5">
        <f>Table14[[#This Row],[Enrolment S.Y. 2025-2026 ]]*8</f>
        <v>0</v>
      </c>
      <c r="W61" s="5">
        <v>100</v>
      </c>
      <c r="X61" s="1">
        <v>2025</v>
      </c>
      <c r="Y61" s="5" t="s">
        <v>62</v>
      </c>
      <c r="Z61" s="5">
        <f>IF((V61-W61)&lt;0,0,(V61-W61))</f>
        <v>0</v>
      </c>
      <c r="AA61" s="5">
        <f>IF((W61-V61)&lt;0,0,(W61-V61))</f>
        <v>100</v>
      </c>
    </row>
    <row r="62" spans="1:27" ht="19.5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>
        <v>100</v>
      </c>
      <c r="R62" s="1">
        <v>2025</v>
      </c>
      <c r="S62" s="5" t="s">
        <v>62</v>
      </c>
      <c r="T62" s="5">
        <f t="shared" si="4"/>
        <v>0</v>
      </c>
      <c r="U62" s="5">
        <f t="shared" si="5"/>
        <v>100</v>
      </c>
      <c r="V62" s="5">
        <f>Table14[[#This Row],[Enrolment S.Y. 2025-2026 ]]*8</f>
        <v>0</v>
      </c>
      <c r="W62" s="5">
        <v>100</v>
      </c>
      <c r="X62" s="1">
        <v>2025</v>
      </c>
      <c r="Y62" s="5" t="s">
        <v>62</v>
      </c>
      <c r="Z62" s="5">
        <f t="shared" si="6"/>
        <v>0</v>
      </c>
      <c r="AA62" s="5">
        <f t="shared" si="7"/>
        <v>100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>
        <v>100</v>
      </c>
      <c r="R64" s="1">
        <v>2025</v>
      </c>
      <c r="S64" s="5" t="s">
        <v>62</v>
      </c>
      <c r="T64" s="5">
        <f>IF((P64-Q64)&lt;0,0,(P64-Q64))</f>
        <v>0</v>
      </c>
      <c r="U64" s="5">
        <f>IF((Q64-P64)&lt;0,0,(Q64-P64))</f>
        <v>100</v>
      </c>
      <c r="V64" s="5">
        <f>Table14[[#This Row],[Enrolment S.Y. 2025-2026 ]]*8</f>
        <v>0</v>
      </c>
      <c r="W64" s="5">
        <v>100</v>
      </c>
      <c r="X64" s="1">
        <v>2025</v>
      </c>
      <c r="Y64" s="5" t="s">
        <v>62</v>
      </c>
      <c r="Z64" s="5">
        <f>IF((V64-W64)&lt;0,0,(V64-W64))</f>
        <v>0</v>
      </c>
      <c r="AA64" s="5">
        <f>IF((W64-V64)&lt;0,0,(W64-V64))</f>
        <v>100</v>
      </c>
    </row>
    <row r="65" spans="1:27" ht="19.5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>
        <v>100</v>
      </c>
      <c r="R65" s="1">
        <v>2025</v>
      </c>
      <c r="S65" s="5" t="s">
        <v>62</v>
      </c>
      <c r="T65" s="5">
        <f t="shared" si="4"/>
        <v>0</v>
      </c>
      <c r="U65" s="5">
        <f t="shared" si="5"/>
        <v>100</v>
      </c>
      <c r="V65" s="5">
        <f>Table14[[#This Row],[Enrolment S.Y. 2025-2026 ]]*8</f>
        <v>0</v>
      </c>
      <c r="W65" s="5">
        <v>100</v>
      </c>
      <c r="X65" s="1">
        <v>2025</v>
      </c>
      <c r="Y65" s="5" t="s">
        <v>62</v>
      </c>
      <c r="Z65" s="5">
        <f t="shared" si="6"/>
        <v>0</v>
      </c>
      <c r="AA65" s="5">
        <f t="shared" si="7"/>
        <v>100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Z55:AA65 H55:L65 T67:X77 Z67:AA77 H67:L77 T79:X89 Z79:AA89 H79:L89 T91:X101 Z91:AA101 H91:L101 T103:X113 Z103:AA113 H103:L113 N115:R122 T115:X122 Z115:AA122 H115:L122 D103:F113 N31:R41 N43:R53 N55:R65 N67:R77 N79:R89 N91:R101 N103:R113 T55:X65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2026-01-13T05:53:27Z</dcterms:modified>
  <cp:category/>
  <cp:contentStatus/>
</cp:coreProperties>
</file>