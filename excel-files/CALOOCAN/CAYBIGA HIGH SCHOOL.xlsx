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10" documentId="13_ncr:1_{BFB59F67-F0DC-4675-A682-EB0734A8026A}" xr6:coauthVersionLast="47" xr6:coauthVersionMax="47" xr10:uidLastSave="{68EA86CD-B662-4655-BCA7-1FB8E34772A4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V52" i="4"/>
  <c r="Z52" i="4" s="1"/>
  <c r="V53" i="4"/>
  <c r="Z53" i="4" s="1"/>
  <c r="V54" i="4"/>
  <c r="AA54" i="4" s="1"/>
  <c r="V55" i="4"/>
  <c r="Z55" i="4" s="1"/>
  <c r="V56" i="4"/>
  <c r="AA56" i="4" s="1"/>
  <c r="V57" i="4"/>
  <c r="Z57" i="4" s="1"/>
  <c r="V58" i="4"/>
  <c r="AA58" i="4" s="1"/>
  <c r="V59" i="4"/>
  <c r="V60" i="4"/>
  <c r="Z60" i="4" s="1"/>
  <c r="V61" i="4"/>
  <c r="Z61" i="4" s="1"/>
  <c r="V62" i="4"/>
  <c r="AA62" i="4" s="1"/>
  <c r="V63" i="4"/>
  <c r="Z63" i="4" s="1"/>
  <c r="V64" i="4"/>
  <c r="Z64" i="4" s="1"/>
  <c r="V65" i="4"/>
  <c r="Z65" i="4" s="1"/>
  <c r="V66" i="4"/>
  <c r="AA66" i="4" s="1"/>
  <c r="T67" i="4"/>
  <c r="U67" i="4"/>
  <c r="V67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P52" i="4"/>
  <c r="P53" i="4"/>
  <c r="T53" i="4" s="1"/>
  <c r="P54" i="4"/>
  <c r="T54" i="4" s="1"/>
  <c r="P55" i="4"/>
  <c r="T55" i="4" s="1"/>
  <c r="P56" i="4"/>
  <c r="P57" i="4"/>
  <c r="U57" i="4" s="1"/>
  <c r="P58" i="4"/>
  <c r="T58" i="4" s="1"/>
  <c r="P59" i="4"/>
  <c r="T59" i="4" s="1"/>
  <c r="P60" i="4"/>
  <c r="P61" i="4"/>
  <c r="T61" i="4" s="1"/>
  <c r="P62" i="4"/>
  <c r="T62" i="4" s="1"/>
  <c r="P63" i="4"/>
  <c r="T63" i="4" s="1"/>
  <c r="P64" i="4"/>
  <c r="P65" i="4"/>
  <c r="U65" i="4" s="1"/>
  <c r="P66" i="4"/>
  <c r="T66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J52" i="4"/>
  <c r="N52" i="4" s="1"/>
  <c r="J53" i="4"/>
  <c r="N53" i="4" s="1"/>
  <c r="J54" i="4"/>
  <c r="O54" i="4" s="1"/>
  <c r="J55" i="4"/>
  <c r="N55" i="4" s="1"/>
  <c r="J56" i="4"/>
  <c r="N56" i="4" s="1"/>
  <c r="J57" i="4"/>
  <c r="O57" i="4" s="1"/>
  <c r="J58" i="4"/>
  <c r="O58" i="4" s="1"/>
  <c r="J59" i="4"/>
  <c r="N59" i="4" s="1"/>
  <c r="J60" i="4"/>
  <c r="N60" i="4" s="1"/>
  <c r="J61" i="4"/>
  <c r="N61" i="4" s="1"/>
  <c r="J62" i="4"/>
  <c r="O62" i="4" s="1"/>
  <c r="J63" i="4"/>
  <c r="N63" i="4" s="1"/>
  <c r="J64" i="4"/>
  <c r="N64" i="4" s="1"/>
  <c r="J65" i="4"/>
  <c r="O65" i="4" s="1"/>
  <c r="J66" i="4"/>
  <c r="O66" i="4" s="1"/>
  <c r="J67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Z66" i="4"/>
  <c r="Z56" i="4"/>
  <c r="T21" i="4"/>
  <c r="U5" i="4"/>
  <c r="U54" i="4"/>
  <c r="O28" i="4"/>
  <c r="AA43" i="4"/>
  <c r="Z20" i="4"/>
  <c r="AA7" i="4"/>
  <c r="O59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64" i="4"/>
  <c r="Z54" i="4"/>
  <c r="AA29" i="4"/>
  <c r="Z18" i="4"/>
  <c r="N65" i="4"/>
  <c r="N39" i="4"/>
  <c r="O33" i="4"/>
  <c r="U58" i="4"/>
  <c r="U53" i="4"/>
  <c r="U36" i="4"/>
  <c r="T4" i="4"/>
  <c r="AA52" i="4"/>
  <c r="Z40" i="4"/>
  <c r="AA16" i="4"/>
  <c r="Z5" i="4"/>
  <c r="N21" i="4"/>
  <c r="O63" i="4"/>
  <c r="N57" i="4"/>
  <c r="O50" i="4"/>
  <c r="N45" i="4"/>
  <c r="O19" i="4"/>
  <c r="U62" i="4"/>
  <c r="T30" i="4"/>
  <c r="U14" i="4"/>
  <c r="U8" i="4"/>
  <c r="Z62" i="4"/>
  <c r="AA38" i="4"/>
  <c r="Z27" i="4"/>
  <c r="AA3" i="4"/>
  <c r="Z31" i="4"/>
  <c r="N13" i="4"/>
  <c r="O6" i="4"/>
  <c r="T57" i="4"/>
  <c r="U40" i="4"/>
  <c r="U35" i="4"/>
  <c r="U18" i="4"/>
  <c r="AA60" i="4"/>
  <c r="Z49" i="4"/>
  <c r="AA25" i="4"/>
  <c r="Z14" i="4"/>
  <c r="O37" i="4"/>
  <c r="N30" i="4"/>
  <c r="O24" i="4"/>
  <c r="N18" i="4"/>
  <c r="U66" i="4"/>
  <c r="U61" i="4"/>
  <c r="U45" i="4"/>
  <c r="T13" i="4"/>
  <c r="AA47" i="4"/>
  <c r="Z36" i="4"/>
  <c r="AA11" i="4"/>
  <c r="N66" i="4"/>
  <c r="O55" i="4"/>
  <c r="N48" i="4"/>
  <c r="T39" i="4"/>
  <c r="U23" i="4"/>
  <c r="U17" i="4"/>
  <c r="Z58" i="4"/>
  <c r="AA34" i="4"/>
  <c r="Z23" i="4"/>
  <c r="O41" i="4"/>
  <c r="O10" i="4"/>
  <c r="N4" i="4"/>
  <c r="T65" i="4"/>
  <c r="U49" i="4"/>
  <c r="U27" i="4"/>
  <c r="Z45" i="4"/>
  <c r="Z9" i="4"/>
  <c r="T11" i="4"/>
  <c r="U11" i="4"/>
  <c r="T52" i="4"/>
  <c r="U52" i="4"/>
  <c r="N36" i="4"/>
  <c r="N14" i="4"/>
  <c r="T3" i="4"/>
  <c r="U3" i="4"/>
  <c r="Z67" i="4"/>
  <c r="AA67" i="4"/>
  <c r="N62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56" i="4"/>
  <c r="U56" i="4"/>
  <c r="T34" i="4"/>
  <c r="U34" i="4"/>
  <c r="T60" i="4"/>
  <c r="U60" i="4"/>
  <c r="T64" i="4"/>
  <c r="U64" i="4"/>
  <c r="T43" i="4"/>
  <c r="U43" i="4"/>
  <c r="N27" i="4"/>
  <c r="N5" i="4"/>
  <c r="Z59" i="4"/>
  <c r="AA59" i="4"/>
  <c r="N54" i="4"/>
  <c r="N31" i="4"/>
  <c r="T20" i="4"/>
  <c r="U20" i="4"/>
  <c r="N58" i="4"/>
  <c r="T47" i="4"/>
  <c r="U47" i="4"/>
  <c r="T25" i="4"/>
  <c r="U25" i="4"/>
  <c r="N9" i="4"/>
  <c r="Z50" i="4"/>
  <c r="AA50" i="4"/>
  <c r="O64" i="4"/>
  <c r="O56" i="4"/>
  <c r="O47" i="4"/>
  <c r="O38" i="4"/>
  <c r="O29" i="4"/>
  <c r="O20" i="4"/>
  <c r="O11" i="4"/>
  <c r="O3" i="4"/>
  <c r="U63" i="4"/>
  <c r="U55" i="4"/>
  <c r="U46" i="4"/>
  <c r="U37" i="4"/>
  <c r="U28" i="4"/>
  <c r="U19" i="4"/>
  <c r="U10" i="4"/>
  <c r="AA63" i="4"/>
  <c r="AA55" i="4"/>
  <c r="AA46" i="4"/>
  <c r="AA37" i="4"/>
  <c r="AA28" i="4"/>
  <c r="AA24" i="4"/>
  <c r="AA19" i="4"/>
  <c r="AA15" i="4"/>
  <c r="AA10" i="4"/>
  <c r="AA6" i="4"/>
  <c r="O61" i="4"/>
  <c r="O53" i="4"/>
  <c r="O44" i="4"/>
  <c r="O35" i="4"/>
  <c r="O26" i="4"/>
  <c r="O17" i="4"/>
  <c r="O8" i="4"/>
  <c r="O60" i="4"/>
  <c r="O52" i="4"/>
  <c r="O43" i="4"/>
  <c r="O34" i="4"/>
  <c r="O25" i="4"/>
  <c r="O16" i="4"/>
  <c r="O7" i="4"/>
  <c r="U59" i="4"/>
  <c r="U50" i="4"/>
  <c r="U41" i="4"/>
  <c r="U33" i="4"/>
  <c r="U24" i="4"/>
  <c r="U15" i="4"/>
  <c r="U6" i="4"/>
  <c r="AA65" i="4"/>
  <c r="AA61" i="4"/>
  <c r="AA57" i="4"/>
  <c r="AA53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O67" i="4"/>
  <c r="N67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<sst xmlns="http://schemas.openxmlformats.org/spreadsheetml/2006/main" count="234" uniqueCount="83">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</sst>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7" totalsRowShown="0" dataDxfId="59" headerRowBorderDxfId="57" tableBorderDxfId="58">
  <autoFilter ref="A2:AA6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58" totalsRowShown="0" dataDxfId="29" headerRowBorderDxfId="27" tableBorderDxfId="28">
  <autoFilter ref="A2:AA58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G98" sqref="G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/>
      <c r="D2" s="8"/>
      <c r="E2" s="8"/>
      <c r="F2" s="10"/>
      <c r="G2" s="2">
        <f t="shared" ref="G2:G10" si="0">IF((C2-D2)&lt;0,0,C2-D2)</f>
        <v>0</v>
      </c>
      <c r="H2" s="3">
        <f t="shared" ref="H2:H10" si="1">IF((D2-C2)&lt;0,0,D2-C2)</f>
        <v>0</v>
      </c>
    </row>
    <row r="3" spans="1:8" ht="29.25" customHeight="1">
      <c r="A3" s="8">
        <v>7</v>
      </c>
      <c r="B3" s="9" t="s">
        <v>9</v>
      </c>
      <c r="C3" s="8"/>
      <c r="D3" s="8"/>
      <c r="E3" s="8"/>
      <c r="F3" s="10"/>
      <c r="G3" s="2">
        <f t="shared" si="0"/>
        <v>0</v>
      </c>
      <c r="H3" s="3">
        <f t="shared" si="1"/>
        <v>0</v>
      </c>
    </row>
    <row r="4" spans="1:8" ht="21" customHeight="1">
      <c r="A4" s="8">
        <v>7</v>
      </c>
      <c r="B4" s="9" t="s">
        <v>10</v>
      </c>
      <c r="C4" s="8"/>
      <c r="D4" s="8"/>
      <c r="E4" s="8"/>
      <c r="F4" s="10"/>
      <c r="G4" s="2">
        <f t="shared" si="0"/>
        <v>0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38.25">
      <c r="A6" s="8">
        <v>7</v>
      </c>
      <c r="B6" s="9" t="s">
        <v>12</v>
      </c>
      <c r="C6" s="8"/>
      <c r="D6" s="8"/>
      <c r="E6" s="8"/>
      <c r="F6" s="10"/>
      <c r="G6" s="2">
        <f t="shared" si="0"/>
        <v>0</v>
      </c>
      <c r="H6" s="3">
        <f t="shared" si="1"/>
        <v>0</v>
      </c>
    </row>
    <row r="7" spans="1:8" ht="19.5">
      <c r="A7" s="8">
        <v>7</v>
      </c>
      <c r="B7" s="9" t="s">
        <v>13</v>
      </c>
      <c r="C7" s="8"/>
      <c r="D7" s="8"/>
      <c r="E7" s="8"/>
      <c r="F7" s="10"/>
      <c r="G7" s="2">
        <f t="shared" si="0"/>
        <v>0</v>
      </c>
      <c r="H7" s="3">
        <f t="shared" si="1"/>
        <v>0</v>
      </c>
    </row>
    <row r="8" spans="1:8" ht="39.75" customHeight="1">
      <c r="A8" s="8">
        <v>7</v>
      </c>
      <c r="B8" s="9" t="s">
        <v>14</v>
      </c>
      <c r="C8" s="8"/>
      <c r="D8" s="8"/>
      <c r="E8" s="8"/>
      <c r="F8" s="10"/>
      <c r="G8" s="2">
        <f t="shared" si="0"/>
        <v>0</v>
      </c>
      <c r="H8" s="3">
        <f t="shared" si="1"/>
        <v>0</v>
      </c>
    </row>
    <row r="9" spans="1:8" ht="29.25" customHeight="1">
      <c r="A9" s="8">
        <v>7</v>
      </c>
      <c r="B9" s="9" t="s">
        <v>15</v>
      </c>
      <c r="C9" s="8"/>
      <c r="D9" s="8"/>
      <c r="E9" s="8"/>
      <c r="F9" s="10"/>
      <c r="G9" s="2">
        <f t="shared" si="0"/>
        <v>0</v>
      </c>
      <c r="H9" s="3">
        <f t="shared" si="1"/>
        <v>0</v>
      </c>
    </row>
    <row r="10" spans="1:8" ht="28.5" customHeight="1">
      <c r="A10" s="8">
        <v>7</v>
      </c>
      <c r="B10" s="9" t="s">
        <v>16</v>
      </c>
      <c r="C10" s="8"/>
      <c r="D10" s="8"/>
      <c r="E10" s="8"/>
      <c r="F10" s="10"/>
      <c r="G10" s="2">
        <f t="shared" si="0"/>
        <v>0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/>
      <c r="D12" s="8"/>
      <c r="E12" s="8"/>
      <c r="F12" s="10"/>
      <c r="G12" s="2">
        <f t="shared" ref="G12:G20" si="2">IF((C12-D12)&lt;0,0,C12-D12)</f>
        <v>0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9</v>
      </c>
      <c r="C13" s="8"/>
      <c r="D13" s="8"/>
      <c r="E13" s="8"/>
      <c r="F13" s="10"/>
      <c r="G13" s="2">
        <f t="shared" si="2"/>
        <v>0</v>
      </c>
      <c r="H13" s="3">
        <f t="shared" si="3"/>
        <v>0</v>
      </c>
    </row>
    <row r="14" spans="1:8" ht="49.5" customHeight="1">
      <c r="A14" s="8">
        <v>8</v>
      </c>
      <c r="B14" s="9" t="s">
        <v>10</v>
      </c>
      <c r="C14" s="8"/>
      <c r="D14" s="8"/>
      <c r="E14" s="8"/>
      <c r="F14" s="10"/>
      <c r="G14" s="2">
        <f t="shared" si="2"/>
        <v>0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/>
      <c r="D15" s="8"/>
      <c r="E15" s="8"/>
      <c r="F15" s="10"/>
      <c r="G15" s="2">
        <f t="shared" si="2"/>
        <v>0</v>
      </c>
      <c r="H15" s="3">
        <f t="shared" si="3"/>
        <v>0</v>
      </c>
    </row>
    <row r="16" spans="1:8" ht="27" customHeight="1">
      <c r="A16" s="8">
        <v>8</v>
      </c>
      <c r="B16" s="9" t="s">
        <v>17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13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/>
      <c r="D22" s="8"/>
      <c r="E22" s="8"/>
      <c r="F22" s="10"/>
      <c r="G22" s="2">
        <f t="shared" ref="G22:G30" si="4">IF((C22-D22)&lt;0,0,C22-D22)</f>
        <v>0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9</v>
      </c>
      <c r="C23" s="8"/>
      <c r="D23" s="8"/>
      <c r="E23" s="8"/>
      <c r="F23" s="10"/>
      <c r="G23" s="2">
        <f t="shared" si="4"/>
        <v>0</v>
      </c>
      <c r="H23" s="3">
        <f t="shared" si="5"/>
        <v>0</v>
      </c>
    </row>
    <row r="24" spans="1:8" ht="27" customHeight="1">
      <c r="A24" s="8">
        <v>9</v>
      </c>
      <c r="B24" s="9" t="s">
        <v>10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17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13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/>
      <c r="D32" s="8"/>
      <c r="E32" s="8"/>
      <c r="F32" s="10"/>
      <c r="G32" s="2">
        <f t="shared" ref="G32:G40" si="6">IF((C32-D32)&lt;0,0,C32-D32)</f>
        <v>0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9</v>
      </c>
      <c r="C33" s="8"/>
      <c r="D33" s="8"/>
      <c r="E33" s="8"/>
      <c r="F33" s="10"/>
      <c r="G33" s="2">
        <f t="shared" si="6"/>
        <v>0</v>
      </c>
      <c r="H33" s="3">
        <f t="shared" si="7"/>
        <v>0</v>
      </c>
    </row>
    <row r="34" spans="1:8" ht="27.75" customHeight="1">
      <c r="A34" s="8">
        <v>10</v>
      </c>
      <c r="B34" s="9" t="s">
        <v>10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17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13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18</v>
      </c>
      <c r="B42" s="7" t="s">
        <v>19</v>
      </c>
      <c r="C42" s="1"/>
      <c r="D42" s="1"/>
      <c r="E42" s="1"/>
      <c r="F42" s="4"/>
      <c r="G42" s="2">
        <f t="shared" ref="G42:G49" si="8">IF((C42-D42)&lt;0,0,C42-D42)</f>
        <v>0</v>
      </c>
      <c r="H42" s="3">
        <f t="shared" ref="H42:H49" si="9">IF((D42-C42)&lt;0,0,D42-C42)</f>
        <v>0</v>
      </c>
    </row>
    <row r="43" spans="1:8" ht="27.75" customHeight="1">
      <c r="A43" s="1" t="s">
        <v>18</v>
      </c>
      <c r="B43" s="7" t="s">
        <v>20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27.75" customHeight="1">
      <c r="A44" s="1" t="s">
        <v>18</v>
      </c>
      <c r="B44" s="7" t="s">
        <v>21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18</v>
      </c>
      <c r="B45" s="7" t="s">
        <v>22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18</v>
      </c>
      <c r="B46" s="7" t="s">
        <v>23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18</v>
      </c>
      <c r="B47" s="7" t="s">
        <v>24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18</v>
      </c>
      <c r="B48" s="7" t="s">
        <v>25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18</v>
      </c>
      <c r="B49" s="7" t="s">
        <v>26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2:E10 E12:E20 E22:E30 E32:E40" xr:uid="{B46E7B13-721E-4D49-837E-C02BF9777D48}">
      <formula1>"2024,2025 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3" sqref="A3:AA6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27</v>
      </c>
      <c r="E1" s="35"/>
      <c r="F1" s="35"/>
      <c r="G1" s="35"/>
      <c r="H1" s="35"/>
      <c r="I1" s="35"/>
      <c r="J1" s="36" t="s">
        <v>28</v>
      </c>
      <c r="K1" s="36"/>
      <c r="L1" s="36"/>
      <c r="M1" s="36"/>
      <c r="N1" s="36"/>
      <c r="O1" s="36"/>
      <c r="P1" s="37" t="s">
        <v>29</v>
      </c>
      <c r="Q1" s="37"/>
      <c r="R1" s="37"/>
      <c r="S1" s="37"/>
      <c r="T1" s="37"/>
      <c r="U1" s="37"/>
      <c r="V1" s="38" t="s">
        <v>30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31</v>
      </c>
      <c r="E2" s="18" t="s">
        <v>32</v>
      </c>
      <c r="F2" s="19" t="s">
        <v>33</v>
      </c>
      <c r="G2" s="22" t="s">
        <v>34</v>
      </c>
      <c r="H2" s="15" t="s">
        <v>35</v>
      </c>
      <c r="I2" s="22" t="s">
        <v>36</v>
      </c>
      <c r="J2" s="20" t="s">
        <v>37</v>
      </c>
      <c r="K2" s="20" t="s">
        <v>38</v>
      </c>
      <c r="L2" s="21" t="s">
        <v>39</v>
      </c>
      <c r="M2" s="33" t="s">
        <v>40</v>
      </c>
      <c r="N2" s="33" t="s">
        <v>41</v>
      </c>
      <c r="O2" s="20" t="s">
        <v>42</v>
      </c>
      <c r="P2" s="22" t="s">
        <v>43</v>
      </c>
      <c r="Q2" s="22" t="s">
        <v>44</v>
      </c>
      <c r="R2" s="23" t="s">
        <v>45</v>
      </c>
      <c r="S2" s="15" t="s">
        <v>46</v>
      </c>
      <c r="T2" s="15" t="s">
        <v>47</v>
      </c>
      <c r="U2" s="22" t="s">
        <v>48</v>
      </c>
      <c r="V2" s="24" t="s">
        <v>49</v>
      </c>
      <c r="W2" s="24" t="s">
        <v>50</v>
      </c>
      <c r="X2" s="25" t="s">
        <v>51</v>
      </c>
      <c r="Y2" s="34" t="s">
        <v>52</v>
      </c>
      <c r="Z2" s="34" t="s">
        <v>53</v>
      </c>
      <c r="AA2" s="24" t="s">
        <v>54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9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66" si="8">IF((J10-K10)&lt;0,0,(J10-K10))</f>
        <v>0</v>
      </c>
      <c r="O10" s="10">
        <f t="shared" ref="O10:O66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67" si="10">IF((P10-Q10)&lt;0,0,(P10-Q10))</f>
        <v>0</v>
      </c>
      <c r="U10" s="10">
        <f t="shared" ref="U10:U67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67" si="12">IF((V10-W10)&lt;0,0,(V10-W10))</f>
        <v>0</v>
      </c>
      <c r="AA10" s="10">
        <f t="shared" ref="AA10:AA67" si="13">IF((W10-V10)&lt;0,0,(W10-V10))</f>
        <v>0</v>
      </c>
    </row>
    <row r="11" spans="1:27" ht="19.5">
      <c r="A11" s="8">
        <v>7</v>
      </c>
      <c r="B11" s="9" t="s">
        <v>16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9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17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13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67" si="14">IF((D18-E18)&lt;0,0,(D18-E18))</f>
        <v>0</v>
      </c>
      <c r="I18" s="10">
        <f t="shared" ref="I18:I67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9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17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13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9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17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13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18</v>
      </c>
      <c r="B43" s="7" t="s">
        <v>19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18</v>
      </c>
      <c r="B44" s="7" t="s">
        <v>20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18</v>
      </c>
      <c r="B45" s="7" t="s">
        <v>21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18</v>
      </c>
      <c r="B46" s="7" t="s">
        <v>22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18</v>
      </c>
      <c r="B47" s="7" t="s">
        <v>23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18</v>
      </c>
      <c r="B48" s="7" t="s">
        <v>24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18</v>
      </c>
      <c r="B49" s="7" t="s">
        <v>25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18</v>
      </c>
      <c r="B50" s="7" t="s">
        <v>26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9.5">
      <c r="A51" s="5"/>
      <c r="B51" s="5"/>
      <c r="C51" s="5"/>
      <c r="D51" s="5"/>
      <c r="E51" s="5"/>
      <c r="F51" s="5"/>
      <c r="G51" s="5"/>
      <c r="H51" s="5"/>
      <c r="I51" s="5"/>
      <c r="J51" s="11"/>
      <c r="K51" s="5"/>
      <c r="L51" s="5"/>
      <c r="M51" s="5"/>
      <c r="N51" s="11"/>
      <c r="O51" s="11"/>
      <c r="P51" s="11"/>
      <c r="Q51" s="5"/>
      <c r="R51" s="5"/>
      <c r="S51" s="5"/>
      <c r="T51" s="11"/>
      <c r="U51" s="11"/>
      <c r="V51" s="11"/>
      <c r="W51" s="5"/>
      <c r="X51" s="5"/>
      <c r="Y51" s="5"/>
      <c r="Z51" s="11"/>
      <c r="AA51" s="11"/>
    </row>
    <row r="52" spans="1:27" s="5" customFormat="1" ht="19.5">
      <c r="A52" s="1"/>
      <c r="B52" s="7"/>
      <c r="C52" s="1"/>
      <c r="D52" s="4"/>
      <c r="E52" s="4"/>
      <c r="F52" s="1"/>
      <c r="G52" s="4"/>
      <c r="H52" s="4">
        <f t="shared" si="14"/>
        <v>0</v>
      </c>
      <c r="I52" s="4">
        <f t="shared" si="15"/>
        <v>0</v>
      </c>
      <c r="J52" s="4">
        <f>Table1[[#This Row],[Enrolment S.Y. 2025-2026 ]]*8</f>
        <v>0</v>
      </c>
      <c r="K52" s="4"/>
      <c r="L52" s="1"/>
      <c r="M52" s="4"/>
      <c r="N52" s="4">
        <f t="shared" si="8"/>
        <v>0</v>
      </c>
      <c r="O52" s="4">
        <f t="shared" si="9"/>
        <v>0</v>
      </c>
      <c r="P52" s="4">
        <f>Table1[[#This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27"/>
      <c r="B67" s="28"/>
      <c r="C67" s="27"/>
      <c r="D67" s="4"/>
      <c r="E67" s="29"/>
      <c r="F67" s="27"/>
      <c r="G67" s="29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29"/>
      <c r="L67" s="27"/>
      <c r="M67" s="29"/>
      <c r="N67" s="4">
        <f t="shared" ref="N67" si="16">IF((J67-K67)&lt;0,0,(J67-K67))</f>
        <v>0</v>
      </c>
      <c r="O67" s="4">
        <f t="shared" ref="O67" si="17">IF((K67-J67)&lt;0,0,(K67-J67))</f>
        <v>0</v>
      </c>
      <c r="P67" s="4"/>
      <c r="Q67" s="29"/>
      <c r="R67" s="27"/>
      <c r="S67" s="29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29"/>
      <c r="X67" s="27"/>
      <c r="Y67" s="29"/>
      <c r="Z67" s="4">
        <f t="shared" si="12"/>
        <v>0</v>
      </c>
      <c r="AA67" s="4">
        <f t="shared" si="13"/>
        <v>0</v>
      </c>
    </row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:C21 C23:C31 C33:C41 C43:C50 C52:C67 C2:C11" name="Textbooks"/>
    <protectedRange sqref="H43:I50 Q43:R50 W43:X50 D52:F67 H52:I67 N67:R67 W52:X67 J3:J67 V2:X2 Q52:R66 P2:R2 Z3:AA67 N3:P66 T3:V67 K3:L11 K13:L21 K23:L31 K33:L41 K43:L50 K52:L67 D2:F11 H3:I11 Q3:R11 W3:X11 D13:F21 H13:I21 Q13:R21 W13:X21 D23:F31 H23:I31 Q23:R31 W23:X31 D33:F41 H33:I41 Q33:R41 W33:X41 D43:F50 J2:L2" name="LAS"/>
    <protectedRange sqref="S2:U2 M2:O2 Y2:AA2 Y3:Y50 G52:G67 M52:M67 S52:S67 Y52:Y67 G13:G21 G23:G31 S3:S50 G33:G41 G43:G50 M3:M50 G3:G11 G2:I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2:S67 M52:M67 Y52:Y67 G52:G67" xr:uid="{8289B4A9-982E-4C7E-A8E2-4BF3404561DB}">
      <formula1>"CO,RO,SDO"</formula1>
    </dataValidation>
    <dataValidation type="list" allowBlank="1" showInputMessage="1" showErrorMessage="1" sqref="X52:X67 F3:F11 F13:F21 F23:F31 F33:F41 F43:F50 F52:F67 L3:L11 L13:L21 L23:L31 L33:L41 L43:L50 L52:L67 R3:R11 R13:R21 R23:R31 R33:R41 R43:R50 R52:R67 X3:X11 X13:X21 X23:X31 X33:X41 X43:X50" xr:uid="{4ECCD083-8EC4-42EE-B46C-B614411F330D}">
      <formula1>"2024,2025  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53"/>
  <sheetViews>
    <sheetView tabSelected="1" zoomScale="55" zoomScaleNormal="55" workbookViewId="0">
      <selection activeCell="H82" sqref="H8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27</v>
      </c>
      <c r="E1" s="35"/>
      <c r="F1" s="35"/>
      <c r="G1" s="35"/>
      <c r="H1" s="35"/>
      <c r="I1" s="35"/>
      <c r="J1" s="36" t="s">
        <v>28</v>
      </c>
      <c r="K1" s="36"/>
      <c r="L1" s="36"/>
      <c r="M1" s="36"/>
      <c r="N1" s="36"/>
      <c r="O1" s="36"/>
      <c r="P1" s="37" t="s">
        <v>29</v>
      </c>
      <c r="Q1" s="37"/>
      <c r="R1" s="37"/>
      <c r="S1" s="37"/>
      <c r="T1" s="37"/>
      <c r="U1" s="37"/>
      <c r="V1" s="38" t="s">
        <v>30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55</v>
      </c>
      <c r="E2" s="18" t="s">
        <v>56</v>
      </c>
      <c r="F2" s="19" t="s">
        <v>57</v>
      </c>
      <c r="G2" s="22" t="s">
        <v>58</v>
      </c>
      <c r="H2" s="15" t="s">
        <v>59</v>
      </c>
      <c r="I2" s="22" t="s">
        <v>60</v>
      </c>
      <c r="J2" s="20" t="s">
        <v>61</v>
      </c>
      <c r="K2" s="20" t="s">
        <v>62</v>
      </c>
      <c r="L2" s="21" t="s">
        <v>63</v>
      </c>
      <c r="M2" s="33" t="s">
        <v>64</v>
      </c>
      <c r="N2" s="33" t="s">
        <v>65</v>
      </c>
      <c r="O2" s="20" t="s">
        <v>66</v>
      </c>
      <c r="P2" s="22" t="s">
        <v>67</v>
      </c>
      <c r="Q2" s="22" t="s">
        <v>68</v>
      </c>
      <c r="R2" s="23" t="s">
        <v>69</v>
      </c>
      <c r="S2" s="15" t="s">
        <v>70</v>
      </c>
      <c r="T2" s="15" t="s">
        <v>71</v>
      </c>
      <c r="U2" s="22" t="s">
        <v>72</v>
      </c>
      <c r="V2" s="24" t="s">
        <v>73</v>
      </c>
      <c r="W2" s="24" t="s">
        <v>74</v>
      </c>
      <c r="X2" s="25" t="s">
        <v>75</v>
      </c>
      <c r="Y2" s="34" t="s">
        <v>76</v>
      </c>
      <c r="Z2" s="34" t="s">
        <v>77</v>
      </c>
      <c r="AA2" s="24" t="s">
        <v>78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9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32">
        <v>7</v>
      </c>
      <c r="B9" s="9" t="s">
        <v>79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80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15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32">
        <v>7</v>
      </c>
      <c r="B12" s="9" t="s">
        <v>81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82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9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17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13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32">
        <v>8</v>
      </c>
      <c r="B21" s="9" t="s">
        <v>79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80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15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32">
        <v>8</v>
      </c>
      <c r="B24" s="9" t="s">
        <v>81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82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9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13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32">
        <v>9</v>
      </c>
      <c r="B33" s="9" t="s">
        <v>79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80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15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32">
        <v>9</v>
      </c>
      <c r="B36" s="9" t="s">
        <v>81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82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/>
      <c r="D39" s="10">
        <f>Table14[[#This Row],[Enrolment S.Y. 2025-2026 ]]*8</f>
        <v>0</v>
      </c>
      <c r="E39" s="10"/>
      <c r="F39" s="8"/>
      <c r="G39" s="10"/>
      <c r="H39" s="10">
        <f t="shared" si="16"/>
        <v>0</v>
      </c>
      <c r="I39" s="10">
        <f t="shared" si="17"/>
        <v>0</v>
      </c>
      <c r="J39" s="10">
        <f>Table14[[#This Row],[Enrolment S.Y. 2025-2026 ]]*8</f>
        <v>0</v>
      </c>
      <c r="K39" s="10"/>
      <c r="L39" s="8"/>
      <c r="M39" s="10"/>
      <c r="N39" s="10">
        <f t="shared" si="14"/>
        <v>0</v>
      </c>
      <c r="O39" s="10">
        <f t="shared" si="15"/>
        <v>0</v>
      </c>
      <c r="P39" s="10">
        <f>Table14[[#This Row],[Enrolment S.Y. 2025-2026 ]]*8</f>
        <v>0</v>
      </c>
      <c r="Q39" s="10"/>
      <c r="R39" s="8"/>
      <c r="S39" s="10"/>
      <c r="T39" s="10">
        <f t="shared" si="10"/>
        <v>0</v>
      </c>
      <c r="U39" s="10">
        <f t="shared" si="11"/>
        <v>0</v>
      </c>
      <c r="V39" s="10">
        <f>Table14[[#This Row],[Enrolment S.Y. 2025-2026 ]]*8</f>
        <v>0</v>
      </c>
      <c r="W39" s="10"/>
      <c r="X39" s="8"/>
      <c r="Y39" s="10"/>
      <c r="Z39" s="10">
        <f t="shared" si="12"/>
        <v>0</v>
      </c>
      <c r="AA39" s="10">
        <f t="shared" si="13"/>
        <v>0</v>
      </c>
    </row>
    <row r="40" spans="1:27" ht="19.5">
      <c r="A40" s="8">
        <v>10</v>
      </c>
      <c r="B40" s="9" t="s">
        <v>9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17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13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32">
        <v>10</v>
      </c>
      <c r="B45" s="9" t="s">
        <v>79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80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15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32">
        <v>10</v>
      </c>
      <c r="B48" s="9" t="s">
        <v>81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82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18</v>
      </c>
      <c r="B51" s="7" t="s">
        <v>19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18</v>
      </c>
      <c r="B52" s="7" t="s">
        <v>20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18</v>
      </c>
      <c r="B53" s="7" t="s">
        <v>21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18</v>
      </c>
      <c r="B54" s="7" t="s">
        <v>22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18</v>
      </c>
      <c r="B55" s="7" t="s">
        <v>23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18</v>
      </c>
      <c r="B56" s="7" t="s">
        <v>24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18</v>
      </c>
      <c r="B57" s="7" t="s">
        <v>25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18</v>
      </c>
      <c r="B58" s="7" t="s">
        <v>26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/>
    <row r="60" spans="1:27" ht="15"/>
    <row r="61" spans="1:27" ht="15"/>
    <row r="62" spans="1:27" ht="15"/>
    <row r="63" spans="1:27" ht="15"/>
    <row r="64" spans="1:27" ht="15"/>
    <row r="65" spans="1:27" ht="15"/>
    <row r="66" spans="1:27" s="5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5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 ht="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 ht="15">
      <c r="AB124" s="5"/>
    </row>
    <row r="125" spans="1:28" ht="15">
      <c r="AB125" s="5"/>
    </row>
    <row r="126" spans="1:28" ht="15">
      <c r="AB126" s="5"/>
    </row>
    <row r="127" spans="1:28" ht="15">
      <c r="AB127" s="5"/>
    </row>
    <row r="128" spans="1:28" ht="15">
      <c r="AB128" s="5"/>
    </row>
    <row r="129" spans="28:28" ht="15">
      <c r="AB129" s="5"/>
    </row>
    <row r="130" spans="28:28" ht="15">
      <c r="AB130" s="5"/>
    </row>
    <row r="131" spans="28:28" ht="15">
      <c r="AB131" s="5"/>
    </row>
    <row r="132" spans="28:28" ht="15">
      <c r="AB132" s="5"/>
    </row>
    <row r="133" spans="28:28" ht="15">
      <c r="AB133" s="5"/>
    </row>
    <row r="134" spans="28:28" ht="15">
      <c r="AB134" s="5"/>
    </row>
    <row r="135" spans="28:28" ht="15">
      <c r="AB135" s="5"/>
    </row>
    <row r="136" spans="28:28" ht="15">
      <c r="AB136" s="5"/>
    </row>
    <row r="137" spans="28:28" ht="15">
      <c r="AB137" s="5"/>
    </row>
    <row r="138" spans="28:28" ht="15">
      <c r="AB138" s="5"/>
    </row>
    <row r="139" spans="28:28" ht="15">
      <c r="AB139" s="5"/>
    </row>
    <row r="140" spans="28:28" ht="15">
      <c r="AB140" s="5"/>
    </row>
    <row r="141" spans="28:28" ht="15"/>
    <row r="142" spans="28:28" ht="15"/>
    <row r="143" spans="28:28" ht="15"/>
    <row r="144" spans="28:28" ht="15"/>
    <row r="145" ht="15"/>
    <row r="146" ht="15"/>
    <row r="147" ht="15"/>
    <row r="148" ht="15"/>
    <row r="149" ht="15"/>
    <row r="150" ht="15"/>
    <row r="151" ht="15"/>
    <row r="152" ht="15"/>
    <row r="153" ht="15"/>
  </sheetData>
  <protectedRanges>
    <protectedRange sqref="C27:C37 C15:C25 C51:C58 C39:C49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X51:X58 F3:F13 F15:F25 F27:F37 F39:F49 F51:F58 L3:L13 L15:L25 L27:L37 L39:L49 L51:L58 R3:R13 R15:R25 R27:R37 R39:R49 R51:R58 X3:X13 X15:X25 X27:X37 X39:X49" xr:uid="{77F72D89-8371-4D0C-A323-BD25723C617C}">
      <formula1>"2024,2025 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2026-04-07T01:47:31Z</dcterms:modified>
  <cp:category/>
  <cp:contentStatus/>
</cp:coreProperties>
</file>