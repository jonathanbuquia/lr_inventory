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37" documentId="13_ncr:1_{BFB59F67-F0DC-4675-A682-EB0734A8026A}" xr6:coauthVersionLast="47" xr6:coauthVersionMax="47" xr10:uidLastSave="{4E36B98C-2DCF-48EF-9C09-C9F8AB061F0C}"/>
  <bookViews>
    <workbookView xWindow="-108" yWindow="-108" windowWidth="23256" windowHeight="12456" firstSheet="2" activeTab="2" xr2:uid="{00000000-000D-0000-FFFF-FFFF00000000}"/>
  </bookViews>
  <sheets>
    <sheet name="LAS" sheetId="4" r:id="rId1"/>
    <sheet name="ADM-SLM" sheetId="5" r:id="rId2"/>
    <sheet name="TextBook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<sst xmlns="http://schemas.openxmlformats.org/spreadsheetml/2006/main" count="261" uniqueCount="79">
  <si>
    <t>QUARTER 1</t>
  </si>
  <si>
    <t>QUARTER 2</t>
  </si>
  <si>
    <t>QUARTER 3</t>
  </si>
  <si>
    <t>QUARTER 4</t>
  </si>
  <si>
    <t>Grade Level</t>
  </si>
  <si>
    <t>SUBJECTS</t>
  </si>
  <si>
    <t xml:space="preserve">Enrolment S.Y. 2025-2026 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</si>
  <si>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</si>
  <si>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</si>
  <si>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</si>
  <si>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</si>
  <si>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</si>
  <si>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</si>
  <si>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</si>
  <si>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</si>
  <si>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</si>
  <si>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</si>
  <si>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</si>
  <si>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</si>
  <si>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</si>
  <si>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</si>
  <si>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</si>
  <si>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</si>
  <si>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</si>
  <si>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</si>
  <si>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</si>
  <si>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</si>
  <si>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</si>
  <si>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</si>
  <si>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</si>
  <si>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</si>
  <si>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</si>
  <si>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Reading and Literacy</t>
  </si>
  <si>
    <t>Language</t>
  </si>
  <si>
    <t>GMRC</t>
  </si>
  <si>
    <t>Makabansa</t>
  </si>
  <si>
    <t>Math</t>
  </si>
  <si>
    <t>English</t>
  </si>
  <si>
    <t>Filipino</t>
  </si>
  <si>
    <t>MAPEH</t>
  </si>
  <si>
    <t>RO</t>
  </si>
  <si>
    <t>Science</t>
  </si>
  <si>
    <t>Araling Panlipunan</t>
  </si>
  <si>
    <t>PE and Health</t>
  </si>
  <si>
    <t>E.P.P.</t>
  </si>
  <si>
    <t>Music and Arts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</si>
  <si>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</si>
  <si>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</si>
  <si>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</si>
  <si>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</si>
  <si>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</si>
  <si>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</si>
  <si>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</si>
  <si>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</si>
  <si>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</si>
  <si>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</si>
  <si>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</si>
  <si>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</si>
  <si>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</si>
  <si>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</si>
  <si>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</si>
  <si>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</si>
  <si>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</si>
  <si>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</si>
  <si>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</si>
  <si>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</si>
  <si>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</si>
  <si>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</si>
  <si>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</si>
  <si>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</si>
  <si>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</si>
  <si>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</si>
  <si>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</si>
  <si>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</si>
  <si>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Quantity of Textbooks Received</t>
  </si>
  <si>
    <t>Year of Delivery-TX</t>
  </si>
  <si>
    <t>SOURCE-TX (CO,RO, SDO)</t>
  </si>
  <si>
    <t>GAP-TX</t>
  </si>
  <si>
    <t>Surplus-TX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</si>
</sst>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62" headerRowBorderDxfId="60" tableBorderDxfId="61">
  <autoFilter ref="A2:AA61" xr:uid="{D7C37D80-F2E1-4395-8B6C-0FD477B4D8F8}"/>
  <tableColumns count="27">
    <tableColumn id="1" xr3:uid="{451CCD6B-9C4E-44A3-945A-DE807169F46B}" name="Grade Level" dataDxfId="59"/>
    <tableColumn id="2" xr3:uid="{C6CCCB1C-6639-4C28-A4BA-B187B2F73B59}" name="SUBJECTS" dataDxfId="58"/>
    <tableColumn id="3" xr3:uid="{945324E6-140A-476C-A8C3-23A16D4D262F}" name="Enrolment S.Y. 2025-2026 " dataDxfId="57"/>
    <tableColumn id="4" xr3:uid="{A2D4C0AF-3699-4D3C-A791-2D7D8004CC89}" name="Quantity based on Target LAS - Q1 " dataDxfId="56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5"/>
    <tableColumn id="6" xr3:uid="{FCD520AB-D938-4542-9B56-AEC07AB5F1DC}" name="Year of Delivery-LAS - Q1" dataDxfId="54"/>
    <tableColumn id="7" xr3:uid="{674474DE-9D20-41C1-8261-DA9C4A95671C}" name="SOURCE - LAS (CO,RO, SDO) - Q1" dataDxfId="53"/>
    <tableColumn id="8" xr3:uid="{58D9CB98-8F6F-4F61-9103-C27B8FFBDB51}" name="GAP - LAS - Q1" dataDxfId="52">
      <calculatedColumnFormula>IF((D3-E3)&lt;0,0,(D3-E3))</calculatedColumnFormula>
    </tableColumn>
    <tableColumn id="9" xr3:uid="{E6406FC4-4491-4FD6-9EA2-F088E94C44F4}" name="SURPLUS - LAS - Q1" dataDxfId="51">
      <calculatedColumnFormula>IF((E3-D3)&lt;0,0,(E3-D3))</calculatedColumnFormula>
    </tableColumn>
    <tableColumn id="10" xr3:uid="{1E56D889-DC27-4BCB-B61E-06BBBE734949}" name="Quantity based on Target LAS - Q2" dataDxfId="50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9"/>
    <tableColumn id="12" xr3:uid="{F2E2CB95-E0BD-4C6E-ACFE-F201177004A0}" name="Year of Delivery-LAS Q2" dataDxfId="48"/>
    <tableColumn id="13" xr3:uid="{163FBFFB-0AB7-44C8-89C4-72AA64C1EAC7}" name="SOURCE-LAS (CO,RO, SDO) Q2" dataDxfId="47"/>
    <tableColumn id="14" xr3:uid="{EACC05A8-C68D-4495-BC08-73F093C4992F}" name="GAP - LAS -Q2" dataDxfId="46"/>
    <tableColumn id="15" xr3:uid="{28A44E24-3E28-4B7F-BADE-28BB84F0B810}" name="SURPLUS - LAS -Q2" dataDxfId="45"/>
    <tableColumn id="16" xr3:uid="{87878677-5715-46B6-9BA9-9D08DE9A3335}" name="Quantity based on Target LAS - Q3" dataDxfId="44">
      <calculatedColumnFormula>#REF!*8</calculatedColumnFormula>
    </tableColumn>
    <tableColumn id="17" xr3:uid="{48667A1F-77B1-47A6-83F7-61ED15F61DDB}" name="Quantity of Learning Activity Sheets Received (Quantity received x No. of LAS) - Q3" dataDxfId="43"/>
    <tableColumn id="18" xr3:uid="{56F2625D-2CEE-478E-A8DE-42A7191C3835}" name="Year of Delivery-LAS - Q3" dataDxfId="42"/>
    <tableColumn id="19" xr3:uid="{EF0F614F-5FED-4639-8798-840D9677B8DA}" name="SOURCE-LAS (CO,RO, SDO) - Q3" dataDxfId="41"/>
    <tableColumn id="20" xr3:uid="{FD91DDEE-DBA8-4E2C-94B2-23AE9F73CC4A}" name="GAP - LAS - Q3" dataDxfId="40">
      <calculatedColumnFormula>IF((P3-Q3)&lt;0,0,(P3-Q3))</calculatedColumnFormula>
    </tableColumn>
    <tableColumn id="21" xr3:uid="{DB598C6C-E489-4B0F-9BC6-B0981F7D2582}" name="SURPLUS - LAS - Q3" dataDxfId="39">
      <calculatedColumnFormula>IF((Q3-P3)&lt;0,0,(Q3-P3))</calculatedColumnFormula>
    </tableColumn>
    <tableColumn id="22" xr3:uid="{8CD6906A-7980-46E8-80B2-8563AEBC71F7}" name="Quantity based on Target LAS - Q4" dataDxfId="38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7"/>
    <tableColumn id="24" xr3:uid="{205BCDBA-0424-492C-B4EF-841B8A3A1521}" name="Year of Delivery - LAS - Q4" dataDxfId="36"/>
    <tableColumn id="25" xr3:uid="{8226E35B-1F3B-4D2A-815B-9D4C0A24EE7E}" name="SOURCE - LAS (CO,RO, SDO) - Q4" dataDxfId="35"/>
    <tableColumn id="26" xr3:uid="{5B37A4B7-CD16-4D9A-8A47-D9EA73F613BC}" name="GAP - LAS - Q4" dataDxfId="34">
      <calculatedColumnFormula>IF((V3-W3)&lt;0,0,(V3-W3))</calculatedColumnFormula>
    </tableColumn>
    <tableColumn id="27" xr3:uid="{38E9C5F3-3FF5-4B13-A9DA-0081A90F35C5}" name="SURPLUS - LAS - Q4" dataDxfId="3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32" headerRowBorderDxfId="30" tableBorderDxfId="31">
  <autoFilter ref="A2:AA65" xr:uid="{D7C37D80-F2E1-4395-8B6C-0FD477B4D8F8}"/>
  <tableColumns count="27">
    <tableColumn id="1" xr3:uid="{4B1B9E16-DDB6-464C-9C72-937B3CB9CE66}" name="Grade Level" dataDxfId="29"/>
    <tableColumn id="2" xr3:uid="{73AEA048-228E-40E8-B07A-3A7C30BA0DC7}" name="SUBJECTS" dataDxfId="28"/>
    <tableColumn id="3" xr3:uid="{187AF7E3-9651-4001-B779-AADEF0EAB05A}" name="Enrolment S.Y. 2025-2026 " dataDxfId="27"/>
    <tableColumn id="4" xr3:uid="{41F05D2B-5E6F-433A-B62B-2F1726EA10F2}" name="Quantity based on Target ADM-SLM - Q1 " dataDxfId="26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5"/>
    <tableColumn id="6" xr3:uid="{339CCB0D-A0D6-41EF-9023-6B8DF1A1D211}" name="Year of Delivery - ADM-SLM - Q1" dataDxfId="24"/>
    <tableColumn id="7" xr3:uid="{66966C8F-6B7D-4027-80F0-10F5BEB94C36}" name="SOURCE - ADM-SLM (CO,RO, SDO) - Q1" dataDxfId="23"/>
    <tableColumn id="8" xr3:uid="{F205DFF0-AD23-4608-82A0-E64C38A40A7F}" name="GAP - ADM-SLM - Q1" dataDxfId="22">
      <calculatedColumnFormula>IF((D3-E3)&lt;0,0,(D3-E3))</calculatedColumnFormula>
    </tableColumn>
    <tableColumn id="9" xr3:uid="{A97DBFEB-A833-47C5-A43D-C6E4D77683A6}" name="SURPLUS - ADM-SLM - Q1" dataDxfId="21">
      <calculatedColumnFormula>IF((E3-D3)&lt;0,0,(E3-D3))</calculatedColumnFormula>
    </tableColumn>
    <tableColumn id="10" xr3:uid="{6A093D68-BC9F-46BB-AC8F-CA208309466C}" name="Quantity based on Target ADM-SLM - Q2" dataDxfId="20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9"/>
    <tableColumn id="12" xr3:uid="{35FFB32F-868E-4FBD-946A-0482CC3DE0D4}" name="Year of Delivery - ADM-SLM Q2" dataDxfId="18"/>
    <tableColumn id="13" xr3:uid="{987FB8ED-06DA-4311-80C5-DAF78B602129}" name="SOURCE - ADM-SLM (CO,RO, SDO) Q2" dataDxfId="17"/>
    <tableColumn id="14" xr3:uid="{24CC35CF-2900-4C84-934F-7E29CCFCCEC9}" name="GAP - ADM-SLM - Q2" dataDxfId="16"/>
    <tableColumn id="15" xr3:uid="{0DA82B8D-6A8D-469A-8302-7E7DD0B1BDC4}" name="SURPLUS - ADM-SLM -Q2" dataDxfId="15"/>
    <tableColumn id="16" xr3:uid="{126A7F40-0CC3-4264-A57D-D7C0C9FE4720}" name="Quantity based on Target ADM-SLM - Q3" dataDxfId="14">
      <calculatedColumnFormula>#REF!*8</calculatedColumnFormula>
    </tableColumn>
    <tableColumn id="17" xr3:uid="{711B70A4-2160-43C1-900D-FD892755D7AB}" name="Quantity of ADM-SLM Received (Quantity received x No. of ADM-SLM) - Q3" dataDxfId="13"/>
    <tableColumn id="18" xr3:uid="{D8C99A72-7FED-4E85-8CB4-4A08C56BCB15}" name="Year of Delivery - ADM-SLM - Q3" dataDxfId="12"/>
    <tableColumn id="19" xr3:uid="{D48A881D-138B-4288-AA57-050C0AE3F5F6}" name="SOURCE - ADM-SLM(CO,RO, SDO) - Q3" dataDxfId="11"/>
    <tableColumn id="20" xr3:uid="{B03A44EC-B25E-4D0D-B9E6-71825AC6E51F}" name="GAP - ADM-SLM - Q3" dataDxfId="10">
      <calculatedColumnFormula>IF((P3-Q3)&lt;0,0,(P3-Q3))</calculatedColumnFormula>
    </tableColumn>
    <tableColumn id="21" xr3:uid="{3338E724-88DC-45DA-8F55-7AAE5A560621}" name="SURPLUS - ADM-SLM - Q3" dataDxfId="9">
      <calculatedColumnFormula>IF((Q3-P3)&lt;0,0,(Q3-P3))</calculatedColumnFormula>
    </tableColumn>
    <tableColumn id="22" xr3:uid="{AC55FA3C-A61A-4AB0-8391-EC237845F1BF}" name="Quantity based on Target ADM-SLM - Q4" dataDxfId="8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7"/>
    <tableColumn id="24" xr3:uid="{C66CE0BE-6DCF-4E05-9DBD-D908450B3841}" name="Year of Delivery - ADM-SLM- Q4" dataDxfId="6"/>
    <tableColumn id="25" xr3:uid="{AABA2263-B244-4CBF-87B1-CDAAECF763E4}" name="SOURCE - ADM-SLM - (CO,RO, SDO) - Q4" dataDxfId="5"/>
    <tableColumn id="26" xr3:uid="{21E1F5D8-F09B-453A-90E6-AA7B2E8821D1}" name="GAP - ADM-SLM - Q4" dataDxfId="4">
      <calculatedColumnFormula>IF((V3-W3)&lt;0,0,(V3-W3))</calculatedColumnFormula>
    </tableColumn>
    <tableColumn id="27" xr3:uid="{67725D86-C1DE-4DB2-8FBD-99B8821906AB}" name="SURPLUS - ADM-SLM- Q4" dataDxfId="3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2" headerRowBorderDxfId="0" tableBorderDxfId="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AA69" sqref="AA6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0</v>
      </c>
      <c r="E1" s="35"/>
      <c r="F1" s="35"/>
      <c r="G1" s="35"/>
      <c r="H1" s="35"/>
      <c r="I1" s="35"/>
      <c r="J1" s="36" t="s">
        <v>1</v>
      </c>
      <c r="K1" s="36"/>
      <c r="L1" s="36"/>
      <c r="M1" s="36"/>
      <c r="N1" s="36"/>
      <c r="O1" s="36"/>
      <c r="P1" s="37" t="s">
        <v>2</v>
      </c>
      <c r="Q1" s="37"/>
      <c r="R1" s="37"/>
      <c r="S1" s="37"/>
      <c r="T1" s="37"/>
      <c r="U1" s="37"/>
      <c r="V1" s="38" t="s">
        <v>3</v>
      </c>
      <c r="W1" s="38"/>
      <c r="X1" s="38"/>
      <c r="Y1" s="38"/>
      <c r="Z1" s="38"/>
      <c r="AA1" s="38"/>
    </row>
    <row r="2" spans="1:27" ht="69.599999999999994" customHeight="1">
      <c r="A2" s="12" t="s">
        <v>4</v>
      </c>
      <c r="B2" s="12" t="s">
        <v>5</v>
      </c>
      <c r="C2" s="13" t="s">
        <v>6</v>
      </c>
      <c r="D2" s="17" t="s">
        <v>7</v>
      </c>
      <c r="E2" s="17" t="s">
        <v>8</v>
      </c>
      <c r="F2" s="18" t="s">
        <v>9</v>
      </c>
      <c r="G2" s="21" t="s">
        <v>10</v>
      </c>
      <c r="H2" s="14" t="s">
        <v>11</v>
      </c>
      <c r="I2" s="21" t="s">
        <v>12</v>
      </c>
      <c r="J2" s="19" t="s">
        <v>13</v>
      </c>
      <c r="K2" s="19" t="s">
        <v>14</v>
      </c>
      <c r="L2" s="20" t="s">
        <v>15</v>
      </c>
      <c r="M2" s="33" t="s">
        <v>16</v>
      </c>
      <c r="N2" s="33" t="s">
        <v>17</v>
      </c>
      <c r="O2" s="19" t="s">
        <v>18</v>
      </c>
      <c r="P2" s="21" t="s">
        <v>19</v>
      </c>
      <c r="Q2" s="21" t="s">
        <v>20</v>
      </c>
      <c r="R2" s="22" t="s">
        <v>21</v>
      </c>
      <c r="S2" s="14" t="s">
        <v>22</v>
      </c>
      <c r="T2" s="14" t="s">
        <v>23</v>
      </c>
      <c r="U2" s="21" t="s">
        <v>24</v>
      </c>
      <c r="V2" s="23" t="s">
        <v>25</v>
      </c>
      <c r="W2" s="23" t="s">
        <v>26</v>
      </c>
      <c r="X2" s="24" t="s">
        <v>27</v>
      </c>
      <c r="Y2" s="34" t="s">
        <v>28</v>
      </c>
      <c r="Z2" s="34" t="s">
        <v>29</v>
      </c>
      <c r="AA2" s="23" t="s">
        <v>30</v>
      </c>
    </row>
    <row r="3" spans="1:27" ht="30.6" customHeight="1">
      <c r="A3" s="32" t="s">
        <v>31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26.25" customHeight="1">
      <c r="A5" s="1">
        <v>1</v>
      </c>
      <c r="B5" s="2" t="s">
        <v>32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33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34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35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36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37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38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39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32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33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34</v>
      </c>
      <c r="C16" s="1">
        <v>439</v>
      </c>
      <c r="D16" s="5">
        <f>Table1[[#This Row],[Enrolment S.Y. 2025-2026 ]]*8</f>
        <v>3512</v>
      </c>
      <c r="E16" s="5">
        <v>434</v>
      </c>
      <c r="F16" s="1">
        <v>2025</v>
      </c>
      <c r="G16" s="5" t="s">
        <v>40</v>
      </c>
      <c r="H16" s="5">
        <f t="shared" si="2"/>
        <v>3078</v>
      </c>
      <c r="I16" s="5">
        <f t="shared" si="3"/>
        <v>0</v>
      </c>
      <c r="J16" s="5">
        <f>Table1[[#This Row],[Enrolment S.Y. 2025-2026 ]]*8</f>
        <v>3512</v>
      </c>
      <c r="K16" s="5"/>
      <c r="L16" s="1"/>
      <c r="M16" s="5"/>
      <c r="N16" s="5">
        <f t="shared" si="10"/>
        <v>3512</v>
      </c>
      <c r="O16" s="5">
        <f t="shared" si="11"/>
        <v>0</v>
      </c>
      <c r="P16" s="5">
        <f>Table1[[#This Row],[Enrolment S.Y. 2025-2026 ]]*8</f>
        <v>3512</v>
      </c>
      <c r="Q16" s="5"/>
      <c r="R16" s="1"/>
      <c r="S16" s="5"/>
      <c r="T16" s="5">
        <f t="shared" si="12"/>
        <v>3512</v>
      </c>
      <c r="U16" s="5">
        <f t="shared" si="13"/>
        <v>0</v>
      </c>
      <c r="V16" s="5">
        <f>Table1[[#This Row],[Enrolment S.Y. 2025-2026 ]]*8</f>
        <v>3512</v>
      </c>
      <c r="W16" s="5"/>
      <c r="X16" s="1"/>
      <c r="Y16" s="5"/>
      <c r="Z16" s="5">
        <f t="shared" si="14"/>
        <v>3512</v>
      </c>
      <c r="AA16" s="5">
        <f t="shared" si="15"/>
        <v>0</v>
      </c>
    </row>
    <row r="17" spans="1:27" ht="19.5">
      <c r="A17" s="1">
        <v>2</v>
      </c>
      <c r="B17" s="2" t="s">
        <v>35</v>
      </c>
      <c r="C17" s="1">
        <v>439</v>
      </c>
      <c r="D17" s="5">
        <f>Table1[[#This Row],[Enrolment S.Y. 2025-2026 ]]*8</f>
        <v>3512</v>
      </c>
      <c r="E17" s="5">
        <v>434</v>
      </c>
      <c r="F17" s="1">
        <v>2025</v>
      </c>
      <c r="G17" s="5" t="s">
        <v>40</v>
      </c>
      <c r="H17" s="5">
        <f t="shared" si="2"/>
        <v>3078</v>
      </c>
      <c r="I17" s="5">
        <f t="shared" si="3"/>
        <v>0</v>
      </c>
      <c r="J17" s="5">
        <f>Table1[[#This Row],[Enrolment S.Y. 2025-2026 ]]*8</f>
        <v>3512</v>
      </c>
      <c r="K17" s="5"/>
      <c r="L17" s="1"/>
      <c r="M17" s="5"/>
      <c r="N17" s="5">
        <f t="shared" si="10"/>
        <v>3512</v>
      </c>
      <c r="O17" s="5">
        <f t="shared" si="11"/>
        <v>0</v>
      </c>
      <c r="P17" s="5">
        <f>Table1[[#This Row],[Enrolment S.Y. 2025-2026 ]]*8</f>
        <v>3512</v>
      </c>
      <c r="Q17" s="5"/>
      <c r="R17" s="1"/>
      <c r="S17" s="5"/>
      <c r="T17" s="5">
        <f t="shared" si="12"/>
        <v>3512</v>
      </c>
      <c r="U17" s="5">
        <f t="shared" si="13"/>
        <v>0</v>
      </c>
      <c r="V17" s="5">
        <f>Table1[[#This Row],[Enrolment S.Y. 2025-2026 ]]*8</f>
        <v>3512</v>
      </c>
      <c r="W17" s="5"/>
      <c r="X17" s="1"/>
      <c r="Y17" s="5"/>
      <c r="Z17" s="5">
        <f t="shared" si="14"/>
        <v>3512</v>
      </c>
      <c r="AA17" s="5">
        <f t="shared" si="15"/>
        <v>0</v>
      </c>
    </row>
    <row r="18" spans="1:27" ht="19.5">
      <c r="A18" s="1">
        <v>2</v>
      </c>
      <c r="B18" s="2" t="s">
        <v>36</v>
      </c>
      <c r="C18" s="1">
        <v>439</v>
      </c>
      <c r="D18" s="5">
        <f>Table1[[#This Row],[Enrolment S.Y. 2025-2026 ]]*8</f>
        <v>3512</v>
      </c>
      <c r="E18" s="5">
        <v>434</v>
      </c>
      <c r="F18" s="1">
        <v>2025</v>
      </c>
      <c r="G18" s="5" t="s">
        <v>40</v>
      </c>
      <c r="H18" s="5">
        <f t="shared" si="2"/>
        <v>3078</v>
      </c>
      <c r="I18" s="5">
        <f t="shared" si="3"/>
        <v>0</v>
      </c>
      <c r="J18" s="5">
        <f>Table1[[#This Row],[Enrolment S.Y. 2025-2026 ]]*8</f>
        <v>3512</v>
      </c>
      <c r="K18" s="5"/>
      <c r="L18" s="1"/>
      <c r="M18" s="5"/>
      <c r="N18" s="5">
        <f t="shared" si="10"/>
        <v>3512</v>
      </c>
      <c r="O18" s="5">
        <f t="shared" si="11"/>
        <v>0</v>
      </c>
      <c r="P18" s="5">
        <f>Table1[[#This Row],[Enrolment S.Y. 2025-2026 ]]*8</f>
        <v>3512</v>
      </c>
      <c r="Q18" s="5"/>
      <c r="R18" s="1"/>
      <c r="S18" s="5"/>
      <c r="T18" s="5">
        <f t="shared" si="12"/>
        <v>3512</v>
      </c>
      <c r="U18" s="5">
        <f t="shared" si="13"/>
        <v>0</v>
      </c>
      <c r="V18" s="5">
        <f>Table1[[#This Row],[Enrolment S.Y. 2025-2026 ]]*8</f>
        <v>3512</v>
      </c>
      <c r="W18" s="5"/>
      <c r="X18" s="1"/>
      <c r="Y18" s="5"/>
      <c r="Z18" s="5">
        <f t="shared" si="14"/>
        <v>3512</v>
      </c>
      <c r="AA18" s="5">
        <f t="shared" si="15"/>
        <v>0</v>
      </c>
    </row>
    <row r="19" spans="1:27" ht="19.5">
      <c r="A19" s="1">
        <v>2</v>
      </c>
      <c r="B19" s="9" t="s">
        <v>38</v>
      </c>
      <c r="C19" s="1">
        <v>439</v>
      </c>
      <c r="D19" s="5">
        <f>Table1[[#This Row],[Enrolment S.Y. 2025-2026 ]]*8</f>
        <v>3512</v>
      </c>
      <c r="E19" s="5">
        <v>434</v>
      </c>
      <c r="F19" s="1">
        <v>2025</v>
      </c>
      <c r="G19" s="5" t="s">
        <v>40</v>
      </c>
      <c r="H19" s="5">
        <f>IF((D19-E19)&lt;0,0,(D19-E19))</f>
        <v>3078</v>
      </c>
      <c r="I19" s="5">
        <f>IF((E19-D19)&lt;0,0,(E19-D19))</f>
        <v>0</v>
      </c>
      <c r="J19" s="5">
        <f>Table1[[#This Row],[Enrolment S.Y. 2025-2026 ]]*8</f>
        <v>3512</v>
      </c>
      <c r="K19" s="5"/>
      <c r="L19" s="1"/>
      <c r="M19" s="5"/>
      <c r="N19" s="5">
        <f t="shared" si="10"/>
        <v>3512</v>
      </c>
      <c r="O19" s="5">
        <f t="shared" si="11"/>
        <v>0</v>
      </c>
      <c r="P19" s="5">
        <f>Table1[[#This Row],[Enrolment S.Y. 2025-2026 ]]*8</f>
        <v>3512</v>
      </c>
      <c r="Q19" s="5"/>
      <c r="R19" s="1"/>
      <c r="S19" s="5"/>
      <c r="T19" s="5">
        <f t="shared" si="12"/>
        <v>3512</v>
      </c>
      <c r="U19" s="5">
        <f t="shared" si="13"/>
        <v>0</v>
      </c>
      <c r="V19" s="5">
        <f>Table1[[#This Row],[Enrolment S.Y. 2025-2026 ]]*8</f>
        <v>3512</v>
      </c>
      <c r="W19" s="5"/>
      <c r="X19" s="1"/>
      <c r="Y19" s="5"/>
      <c r="Z19" s="5">
        <f t="shared" si="14"/>
        <v>3512</v>
      </c>
      <c r="AA19" s="5">
        <f t="shared" si="15"/>
        <v>0</v>
      </c>
    </row>
    <row r="20" spans="1:27" ht="19.5">
      <c r="A20" s="1">
        <v>2</v>
      </c>
      <c r="B20" s="9" t="s">
        <v>37</v>
      </c>
      <c r="C20" s="1">
        <v>439</v>
      </c>
      <c r="D20" s="5">
        <f>Table1[[#This Row],[Enrolment S.Y. 2025-2026 ]]*8</f>
        <v>3512</v>
      </c>
      <c r="E20" s="5">
        <v>434</v>
      </c>
      <c r="F20" s="1">
        <v>2025</v>
      </c>
      <c r="G20" s="5" t="s">
        <v>40</v>
      </c>
      <c r="H20" s="5">
        <f>IF((D20-E20)&lt;0,0,(D20-E20))</f>
        <v>3078</v>
      </c>
      <c r="I20" s="5">
        <f>IF((E20-D20)&lt;0,0,(E20-D20))</f>
        <v>0</v>
      </c>
      <c r="J20" s="5">
        <f>Table1[[#This Row],[Enrolment S.Y. 2025-2026 ]]*8</f>
        <v>3512</v>
      </c>
      <c r="K20" s="5"/>
      <c r="L20" s="1"/>
      <c r="M20" s="5"/>
      <c r="N20" s="5">
        <f t="shared" si="10"/>
        <v>3512</v>
      </c>
      <c r="O20" s="5">
        <f t="shared" si="11"/>
        <v>0</v>
      </c>
      <c r="P20" s="5">
        <f>Table1[[#This Row],[Enrolment S.Y. 2025-2026 ]]*8</f>
        <v>3512</v>
      </c>
      <c r="Q20" s="5"/>
      <c r="R20" s="1"/>
      <c r="S20" s="5"/>
      <c r="T20" s="5">
        <f t="shared" si="12"/>
        <v>3512</v>
      </c>
      <c r="U20" s="5">
        <f t="shared" si="13"/>
        <v>0</v>
      </c>
      <c r="V20" s="5">
        <f>Table1[[#This Row],[Enrolment S.Y. 2025-2026 ]]*8</f>
        <v>3512</v>
      </c>
      <c r="W20" s="5"/>
      <c r="X20" s="1"/>
      <c r="Y20" s="5"/>
      <c r="Z20" s="5">
        <f t="shared" si="14"/>
        <v>3512</v>
      </c>
      <c r="AA20" s="5">
        <f t="shared" si="15"/>
        <v>0</v>
      </c>
    </row>
    <row r="21" spans="1:27" ht="19.5">
      <c r="A21" s="1">
        <v>2</v>
      </c>
      <c r="B21" s="9" t="s">
        <v>39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32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33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34</v>
      </c>
      <c r="C25" s="1">
        <v>476</v>
      </c>
      <c r="D25" s="5">
        <f>Table1[[#This Row],[Enrolment S.Y. 2025-2026 ]]*8</f>
        <v>3808</v>
      </c>
      <c r="E25" s="5">
        <v>403</v>
      </c>
      <c r="F25" s="1">
        <v>2025</v>
      </c>
      <c r="G25" s="5" t="s">
        <v>40</v>
      </c>
      <c r="H25" s="5">
        <f t="shared" si="2"/>
        <v>3405</v>
      </c>
      <c r="I25" s="5">
        <f t="shared" si="3"/>
        <v>0</v>
      </c>
      <c r="J25" s="5">
        <f>Table1[[#This Row],[Enrolment S.Y. 2025-2026 ]]*8</f>
        <v>3808</v>
      </c>
      <c r="K25" s="5"/>
      <c r="L25" s="1"/>
      <c r="M25" s="5"/>
      <c r="N25" s="5">
        <f t="shared" si="10"/>
        <v>3808</v>
      </c>
      <c r="O25" s="5">
        <f t="shared" si="11"/>
        <v>0</v>
      </c>
      <c r="P25" s="5">
        <f>Table1[[#This Row],[Enrolment S.Y. 2025-2026 ]]*8</f>
        <v>3808</v>
      </c>
      <c r="Q25" s="5"/>
      <c r="R25" s="1"/>
      <c r="S25" s="5"/>
      <c r="T25" s="5">
        <f t="shared" si="12"/>
        <v>3808</v>
      </c>
      <c r="U25" s="5">
        <f t="shared" si="13"/>
        <v>0</v>
      </c>
      <c r="V25" s="5">
        <f>Table1[[#This Row],[Enrolment S.Y. 2025-2026 ]]*8</f>
        <v>3808</v>
      </c>
      <c r="W25" s="5"/>
      <c r="X25" s="1"/>
      <c r="Y25" s="5"/>
      <c r="Z25" s="5">
        <f t="shared" si="14"/>
        <v>3808</v>
      </c>
      <c r="AA25" s="5">
        <f t="shared" si="15"/>
        <v>0</v>
      </c>
    </row>
    <row r="26" spans="1:27" ht="19.5">
      <c r="A26" s="1">
        <v>3</v>
      </c>
      <c r="B26" s="2" t="s">
        <v>41</v>
      </c>
      <c r="C26" s="1">
        <v>476</v>
      </c>
      <c r="D26" s="5">
        <f>Table1[[#This Row],[Enrolment S.Y. 2025-2026 ]]*8</f>
        <v>3808</v>
      </c>
      <c r="E26" s="5">
        <v>403</v>
      </c>
      <c r="F26" s="1">
        <v>2025</v>
      </c>
      <c r="G26" s="5" t="s">
        <v>40</v>
      </c>
      <c r="H26" s="5">
        <f>IF((D26-E26)&lt;0,0,(D26-E26))</f>
        <v>3405</v>
      </c>
      <c r="I26" s="5">
        <f>IF((E26-D26)&lt;0,0,(E26-D26))</f>
        <v>0</v>
      </c>
      <c r="J26" s="5">
        <f>Table1[[#This Row],[Enrolment S.Y. 2025-2026 ]]*8</f>
        <v>3808</v>
      </c>
      <c r="K26" s="5"/>
      <c r="L26" s="1"/>
      <c r="M26" s="5"/>
      <c r="N26" s="5">
        <f t="shared" si="10"/>
        <v>3808</v>
      </c>
      <c r="O26" s="5">
        <f t="shared" si="11"/>
        <v>0</v>
      </c>
      <c r="P26" s="5">
        <f>Table1[[#This Row],[Enrolment S.Y. 2025-2026 ]]*8</f>
        <v>3808</v>
      </c>
      <c r="Q26" s="5"/>
      <c r="R26" s="1"/>
      <c r="S26" s="5"/>
      <c r="T26" s="5">
        <f t="shared" si="12"/>
        <v>3808</v>
      </c>
      <c r="U26" s="5">
        <f t="shared" si="13"/>
        <v>0</v>
      </c>
      <c r="V26" s="5">
        <f>Table1[[#This Row],[Enrolment S.Y. 2025-2026 ]]*8</f>
        <v>3808</v>
      </c>
      <c r="W26" s="5"/>
      <c r="X26" s="1"/>
      <c r="Y26" s="5"/>
      <c r="Z26" s="5">
        <f t="shared" si="14"/>
        <v>3808</v>
      </c>
      <c r="AA26" s="5">
        <f t="shared" si="15"/>
        <v>0</v>
      </c>
    </row>
    <row r="27" spans="1:27" ht="19.5">
      <c r="A27" s="1">
        <v>3</v>
      </c>
      <c r="B27" s="2" t="s">
        <v>35</v>
      </c>
      <c r="C27" s="1">
        <v>476</v>
      </c>
      <c r="D27" s="5">
        <f>Table1[[#This Row],[Enrolment S.Y. 2025-2026 ]]*8</f>
        <v>3808</v>
      </c>
      <c r="E27" s="5">
        <v>403</v>
      </c>
      <c r="F27" s="1">
        <v>2025</v>
      </c>
      <c r="G27" s="5" t="s">
        <v>40</v>
      </c>
      <c r="H27" s="5">
        <f t="shared" si="2"/>
        <v>3405</v>
      </c>
      <c r="I27" s="5">
        <f t="shared" si="3"/>
        <v>0</v>
      </c>
      <c r="J27" s="5">
        <f>Table1[[#This Row],[Enrolment S.Y. 2025-2026 ]]*8</f>
        <v>3808</v>
      </c>
      <c r="K27" s="5"/>
      <c r="L27" s="1"/>
      <c r="M27" s="5"/>
      <c r="N27" s="5">
        <f t="shared" si="10"/>
        <v>3808</v>
      </c>
      <c r="O27" s="5">
        <f t="shared" si="11"/>
        <v>0</v>
      </c>
      <c r="P27" s="5">
        <f>Table1[[#This Row],[Enrolment S.Y. 2025-2026 ]]*8</f>
        <v>3808</v>
      </c>
      <c r="Q27" s="5"/>
      <c r="R27" s="1"/>
      <c r="S27" s="5"/>
      <c r="T27" s="5">
        <f t="shared" si="12"/>
        <v>3808</v>
      </c>
      <c r="U27" s="5">
        <f t="shared" si="13"/>
        <v>0</v>
      </c>
      <c r="V27" s="5">
        <f>Table1[[#This Row],[Enrolment S.Y. 2025-2026 ]]*8</f>
        <v>3808</v>
      </c>
      <c r="W27" s="5"/>
      <c r="X27" s="1"/>
      <c r="Y27" s="5"/>
      <c r="Z27" s="5">
        <f t="shared" si="14"/>
        <v>3808</v>
      </c>
      <c r="AA27" s="5">
        <f t="shared" si="15"/>
        <v>0</v>
      </c>
    </row>
    <row r="28" spans="1:27" ht="19.5">
      <c r="A28" s="1">
        <v>3</v>
      </c>
      <c r="B28" s="2" t="s">
        <v>36</v>
      </c>
      <c r="C28" s="1">
        <v>476</v>
      </c>
      <c r="D28" s="5">
        <f>Table1[[#This Row],[Enrolment S.Y. 2025-2026 ]]*8</f>
        <v>3808</v>
      </c>
      <c r="E28" s="5">
        <v>403</v>
      </c>
      <c r="F28" s="1">
        <v>2025</v>
      </c>
      <c r="G28" s="5" t="s">
        <v>40</v>
      </c>
      <c r="H28" s="5">
        <f t="shared" si="2"/>
        <v>3405</v>
      </c>
      <c r="I28" s="5">
        <f t="shared" si="3"/>
        <v>0</v>
      </c>
      <c r="J28" s="5">
        <f>Table1[[#This Row],[Enrolment S.Y. 2025-2026 ]]*8</f>
        <v>3808</v>
      </c>
      <c r="K28" s="5"/>
      <c r="L28" s="1"/>
      <c r="M28" s="5"/>
      <c r="N28" s="5">
        <f t="shared" si="10"/>
        <v>3808</v>
      </c>
      <c r="O28" s="5">
        <f t="shared" si="11"/>
        <v>0</v>
      </c>
      <c r="P28" s="5">
        <f>Table1[[#This Row],[Enrolment S.Y. 2025-2026 ]]*8</f>
        <v>3808</v>
      </c>
      <c r="Q28" s="5"/>
      <c r="R28" s="1"/>
      <c r="S28" s="5"/>
      <c r="T28" s="5">
        <f t="shared" si="12"/>
        <v>3808</v>
      </c>
      <c r="U28" s="5">
        <f t="shared" si="13"/>
        <v>0</v>
      </c>
      <c r="V28" s="5">
        <f>Table1[[#This Row],[Enrolment S.Y. 2025-2026 ]]*8</f>
        <v>3808</v>
      </c>
      <c r="W28" s="5"/>
      <c r="X28" s="1"/>
      <c r="Y28" s="5"/>
      <c r="Z28" s="5">
        <f t="shared" si="14"/>
        <v>3808</v>
      </c>
      <c r="AA28" s="5">
        <f t="shared" si="15"/>
        <v>0</v>
      </c>
    </row>
    <row r="29" spans="1:27" ht="19.5">
      <c r="A29" s="1">
        <v>3</v>
      </c>
      <c r="B29" s="9" t="s">
        <v>37</v>
      </c>
      <c r="C29" s="1">
        <v>476</v>
      </c>
      <c r="D29" s="5">
        <f>Table1[[#This Row],[Enrolment S.Y. 2025-2026 ]]*8</f>
        <v>3808</v>
      </c>
      <c r="E29" s="5">
        <v>403</v>
      </c>
      <c r="F29" s="1">
        <v>2025</v>
      </c>
      <c r="G29" s="5" t="s">
        <v>40</v>
      </c>
      <c r="H29" s="5">
        <f>IF((D29-E29)&lt;0,0,(D29-E29))</f>
        <v>3405</v>
      </c>
      <c r="I29" s="5">
        <f>IF((E29-D29)&lt;0,0,(E29-D29))</f>
        <v>0</v>
      </c>
      <c r="J29" s="5">
        <f>Table1[[#This Row],[Enrolment S.Y. 2025-2026 ]]*8</f>
        <v>3808</v>
      </c>
      <c r="K29" s="5"/>
      <c r="L29" s="1"/>
      <c r="M29" s="5"/>
      <c r="N29" s="5">
        <f t="shared" si="10"/>
        <v>3808</v>
      </c>
      <c r="O29" s="5">
        <f t="shared" si="11"/>
        <v>0</v>
      </c>
      <c r="P29" s="5">
        <f>Table1[[#This Row],[Enrolment S.Y. 2025-2026 ]]*8</f>
        <v>3808</v>
      </c>
      <c r="Q29" s="5"/>
      <c r="R29" s="1"/>
      <c r="S29" s="5"/>
      <c r="T29" s="5">
        <f t="shared" si="12"/>
        <v>3808</v>
      </c>
      <c r="U29" s="5">
        <f t="shared" si="13"/>
        <v>0</v>
      </c>
      <c r="V29" s="5">
        <f>Table1[[#This Row],[Enrolment S.Y. 2025-2026 ]]*8</f>
        <v>3808</v>
      </c>
      <c r="W29" s="5"/>
      <c r="X29" s="1"/>
      <c r="Y29" s="5"/>
      <c r="Z29" s="5">
        <f t="shared" si="14"/>
        <v>3808</v>
      </c>
      <c r="AA29" s="5">
        <f t="shared" si="15"/>
        <v>0</v>
      </c>
    </row>
    <row r="30" spans="1:27" ht="19.5">
      <c r="A30" s="1">
        <v>3</v>
      </c>
      <c r="B30" s="9" t="s">
        <v>38</v>
      </c>
      <c r="C30" s="1">
        <v>476</v>
      </c>
      <c r="D30" s="5">
        <f>Table1[[#This Row],[Enrolment S.Y. 2025-2026 ]]*8</f>
        <v>3808</v>
      </c>
      <c r="E30" s="5">
        <v>403</v>
      </c>
      <c r="F30" s="1">
        <v>2025</v>
      </c>
      <c r="G30" s="5" t="s">
        <v>40</v>
      </c>
      <c r="H30" s="5">
        <f>IF((D30-E30)&lt;0,0,(D30-E30))</f>
        <v>3405</v>
      </c>
      <c r="I30" s="5">
        <f>IF((E30-D30)&lt;0,0,(E30-D30))</f>
        <v>0</v>
      </c>
      <c r="J30" s="5">
        <f>Table1[[#This Row],[Enrolment S.Y. 2025-2026 ]]*8</f>
        <v>3808</v>
      </c>
      <c r="K30" s="5"/>
      <c r="L30" s="1"/>
      <c r="M30" s="5"/>
      <c r="N30" s="5">
        <f t="shared" si="10"/>
        <v>3808</v>
      </c>
      <c r="O30" s="5">
        <f t="shared" si="11"/>
        <v>0</v>
      </c>
      <c r="P30" s="5">
        <f>Table1[[#This Row],[Enrolment S.Y. 2025-2026 ]]*8</f>
        <v>3808</v>
      </c>
      <c r="Q30" s="5"/>
      <c r="R30" s="1"/>
      <c r="S30" s="5"/>
      <c r="T30" s="5">
        <f t="shared" si="12"/>
        <v>3808</v>
      </c>
      <c r="U30" s="5">
        <f t="shared" si="13"/>
        <v>0</v>
      </c>
      <c r="V30" s="5">
        <f>Table1[[#This Row],[Enrolment S.Y. 2025-2026 ]]*8</f>
        <v>3808</v>
      </c>
      <c r="W30" s="5"/>
      <c r="X30" s="1"/>
      <c r="Y30" s="5"/>
      <c r="Z30" s="5">
        <f t="shared" si="14"/>
        <v>3808</v>
      </c>
      <c r="AA30" s="5">
        <f t="shared" si="15"/>
        <v>0</v>
      </c>
    </row>
    <row r="31" spans="1:27" ht="19.5">
      <c r="A31" s="1">
        <v>3</v>
      </c>
      <c r="B31" s="9" t="s">
        <v>39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37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38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36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34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42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41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43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44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45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37</v>
      </c>
      <c r="C43" s="1">
        <v>376</v>
      </c>
      <c r="D43" s="5">
        <f>Table1[[#This Row],[Enrolment S.Y. 2025-2026 ]]*8</f>
        <v>3008</v>
      </c>
      <c r="E43" s="5">
        <v>168</v>
      </c>
      <c r="F43" s="1">
        <v>2025</v>
      </c>
      <c r="G43" s="5" t="s">
        <v>40</v>
      </c>
      <c r="H43" s="5">
        <f t="shared" si="2"/>
        <v>2840</v>
      </c>
      <c r="I43" s="5">
        <f t="shared" si="3"/>
        <v>0</v>
      </c>
      <c r="J43" s="5">
        <f>Table1[[#This Row],[Enrolment S.Y. 2025-2026 ]]*8</f>
        <v>3008</v>
      </c>
      <c r="K43" s="5"/>
      <c r="L43" s="1"/>
      <c r="M43" s="5"/>
      <c r="N43" s="5">
        <f t="shared" si="10"/>
        <v>3008</v>
      </c>
      <c r="O43" s="5">
        <f t="shared" si="11"/>
        <v>0</v>
      </c>
      <c r="P43" s="5">
        <f>Table1[[#This Row],[Enrolment S.Y. 2025-2026 ]]*8</f>
        <v>3008</v>
      </c>
      <c r="Q43" s="5"/>
      <c r="R43" s="1"/>
      <c r="S43" s="5"/>
      <c r="T43" s="5">
        <f t="shared" si="12"/>
        <v>3008</v>
      </c>
      <c r="U43" s="5">
        <f t="shared" si="13"/>
        <v>0</v>
      </c>
      <c r="V43" s="5">
        <f>Table1[[#This Row],[Enrolment S.Y. 2025-2026 ]]*8</f>
        <v>3008</v>
      </c>
      <c r="W43" s="5"/>
      <c r="X43" s="1"/>
      <c r="Y43" s="5"/>
      <c r="Z43" s="5">
        <f t="shared" si="14"/>
        <v>3008</v>
      </c>
      <c r="AA43" s="5">
        <f t="shared" si="15"/>
        <v>0</v>
      </c>
    </row>
    <row r="44" spans="1:27" ht="19.5">
      <c r="A44" s="1">
        <v>5</v>
      </c>
      <c r="B44" s="9" t="s">
        <v>38</v>
      </c>
      <c r="C44" s="1">
        <v>376</v>
      </c>
      <c r="D44" s="5">
        <f>Table1[[#This Row],[Enrolment S.Y. 2025-2026 ]]*8</f>
        <v>3008</v>
      </c>
      <c r="E44" s="5">
        <v>168</v>
      </c>
      <c r="F44" s="1">
        <v>2025</v>
      </c>
      <c r="G44" s="5" t="s">
        <v>40</v>
      </c>
      <c r="H44" s="5">
        <f t="shared" si="2"/>
        <v>2840</v>
      </c>
      <c r="I44" s="5">
        <f t="shared" si="3"/>
        <v>0</v>
      </c>
      <c r="J44" s="5">
        <f>Table1[[#This Row],[Enrolment S.Y. 2025-2026 ]]*8</f>
        <v>3008</v>
      </c>
      <c r="K44" s="5"/>
      <c r="L44" s="1"/>
      <c r="M44" s="5"/>
      <c r="N44" s="5">
        <f t="shared" si="10"/>
        <v>3008</v>
      </c>
      <c r="O44" s="5">
        <f t="shared" si="11"/>
        <v>0</v>
      </c>
      <c r="P44" s="5">
        <f>Table1[[#This Row],[Enrolment S.Y. 2025-2026 ]]*8</f>
        <v>3008</v>
      </c>
      <c r="Q44" s="5"/>
      <c r="R44" s="1"/>
      <c r="S44" s="5"/>
      <c r="T44" s="5">
        <f t="shared" si="12"/>
        <v>3008</v>
      </c>
      <c r="U44" s="5">
        <f t="shared" si="13"/>
        <v>0</v>
      </c>
      <c r="V44" s="5">
        <f>Table1[[#This Row],[Enrolment S.Y. 2025-2026 ]]*8</f>
        <v>3008</v>
      </c>
      <c r="W44" s="5"/>
      <c r="X44" s="1"/>
      <c r="Y44" s="5"/>
      <c r="Z44" s="5">
        <f t="shared" si="14"/>
        <v>3008</v>
      </c>
      <c r="AA44" s="5">
        <f t="shared" si="15"/>
        <v>0</v>
      </c>
    </row>
    <row r="45" spans="1:27" ht="19.5">
      <c r="A45" s="1">
        <v>5</v>
      </c>
      <c r="B45" s="9" t="s">
        <v>36</v>
      </c>
      <c r="C45" s="1">
        <v>376</v>
      </c>
      <c r="D45" s="5">
        <f>Table1[[#This Row],[Enrolment S.Y. 2025-2026 ]]*8</f>
        <v>3008</v>
      </c>
      <c r="E45" s="5">
        <v>168</v>
      </c>
      <c r="F45" s="1">
        <v>2025</v>
      </c>
      <c r="G45" s="5" t="s">
        <v>40</v>
      </c>
      <c r="H45" s="5">
        <f t="shared" si="2"/>
        <v>2840</v>
      </c>
      <c r="I45" s="5">
        <f t="shared" si="3"/>
        <v>0</v>
      </c>
      <c r="J45" s="5">
        <f>Table1[[#This Row],[Enrolment S.Y. 2025-2026 ]]*8</f>
        <v>3008</v>
      </c>
      <c r="K45" s="5"/>
      <c r="L45" s="1"/>
      <c r="M45" s="5"/>
      <c r="N45" s="5">
        <f t="shared" si="10"/>
        <v>3008</v>
      </c>
      <c r="O45" s="5">
        <f t="shared" si="11"/>
        <v>0</v>
      </c>
      <c r="P45" s="5">
        <f>Table1[[#This Row],[Enrolment S.Y. 2025-2026 ]]*8</f>
        <v>3008</v>
      </c>
      <c r="Q45" s="5"/>
      <c r="R45" s="1"/>
      <c r="S45" s="5"/>
      <c r="T45" s="5">
        <f t="shared" si="12"/>
        <v>3008</v>
      </c>
      <c r="U45" s="5">
        <f t="shared" si="13"/>
        <v>0</v>
      </c>
      <c r="V45" s="5">
        <f>Table1[[#This Row],[Enrolment S.Y. 2025-2026 ]]*8</f>
        <v>3008</v>
      </c>
      <c r="W45" s="5"/>
      <c r="X45" s="1"/>
      <c r="Y45" s="5"/>
      <c r="Z45" s="5">
        <f t="shared" si="14"/>
        <v>3008</v>
      </c>
      <c r="AA45" s="5">
        <f t="shared" si="15"/>
        <v>0</v>
      </c>
    </row>
    <row r="46" spans="1:27" ht="19.5">
      <c r="A46" s="1">
        <v>5</v>
      </c>
      <c r="B46" s="9" t="s">
        <v>34</v>
      </c>
      <c r="C46" s="1">
        <v>376</v>
      </c>
      <c r="D46" s="5">
        <f>Table1[[#This Row],[Enrolment S.Y. 2025-2026 ]]*8</f>
        <v>3008</v>
      </c>
      <c r="E46" s="5">
        <v>168</v>
      </c>
      <c r="F46" s="1">
        <v>2025</v>
      </c>
      <c r="G46" s="5" t="s">
        <v>40</v>
      </c>
      <c r="H46" s="5">
        <f t="shared" si="2"/>
        <v>2840</v>
      </c>
      <c r="I46" s="5">
        <f t="shared" si="3"/>
        <v>0</v>
      </c>
      <c r="J46" s="5">
        <f>Table1[[#This Row],[Enrolment S.Y. 2025-2026 ]]*8</f>
        <v>3008</v>
      </c>
      <c r="K46" s="5"/>
      <c r="L46" s="1"/>
      <c r="M46" s="5"/>
      <c r="N46" s="5">
        <f t="shared" si="10"/>
        <v>3008</v>
      </c>
      <c r="O46" s="5">
        <f t="shared" si="11"/>
        <v>0</v>
      </c>
      <c r="P46" s="5">
        <f>Table1[[#This Row],[Enrolment S.Y. 2025-2026 ]]*8</f>
        <v>3008</v>
      </c>
      <c r="Q46" s="5"/>
      <c r="R46" s="1"/>
      <c r="S46" s="5"/>
      <c r="T46" s="5">
        <f t="shared" si="12"/>
        <v>3008</v>
      </c>
      <c r="U46" s="5">
        <f t="shared" si="13"/>
        <v>0</v>
      </c>
      <c r="V46" s="5">
        <f>Table1[[#This Row],[Enrolment S.Y. 2025-2026 ]]*8</f>
        <v>3008</v>
      </c>
      <c r="W46" s="5"/>
      <c r="X46" s="1"/>
      <c r="Y46" s="5"/>
      <c r="Z46" s="5">
        <f t="shared" si="14"/>
        <v>3008</v>
      </c>
      <c r="AA46" s="5">
        <f t="shared" si="15"/>
        <v>0</v>
      </c>
    </row>
    <row r="47" spans="1:27" ht="38.25">
      <c r="A47" s="1">
        <v>5</v>
      </c>
      <c r="B47" s="9" t="s">
        <v>42</v>
      </c>
      <c r="C47" s="1">
        <v>376</v>
      </c>
      <c r="D47" s="5">
        <f>Table1[[#This Row],[Enrolment S.Y. 2025-2026 ]]*8</f>
        <v>3008</v>
      </c>
      <c r="E47" s="5">
        <v>168</v>
      </c>
      <c r="F47" s="1">
        <v>2025</v>
      </c>
      <c r="G47" s="5" t="s">
        <v>40</v>
      </c>
      <c r="H47" s="5">
        <f t="shared" si="2"/>
        <v>2840</v>
      </c>
      <c r="I47" s="5">
        <f t="shared" si="3"/>
        <v>0</v>
      </c>
      <c r="J47" s="5">
        <f>Table1[[#This Row],[Enrolment S.Y. 2025-2026 ]]*8</f>
        <v>3008</v>
      </c>
      <c r="K47" s="5"/>
      <c r="L47" s="1"/>
      <c r="M47" s="5"/>
      <c r="N47" s="5">
        <f t="shared" si="10"/>
        <v>3008</v>
      </c>
      <c r="O47" s="5">
        <f t="shared" si="11"/>
        <v>0</v>
      </c>
      <c r="P47" s="5">
        <f>Table1[[#This Row],[Enrolment S.Y. 2025-2026 ]]*8</f>
        <v>3008</v>
      </c>
      <c r="Q47" s="5"/>
      <c r="R47" s="1"/>
      <c r="S47" s="5"/>
      <c r="T47" s="5">
        <f t="shared" si="12"/>
        <v>3008</v>
      </c>
      <c r="U47" s="5">
        <f t="shared" si="13"/>
        <v>0</v>
      </c>
      <c r="V47" s="5">
        <f>Table1[[#This Row],[Enrolment S.Y. 2025-2026 ]]*8</f>
        <v>3008</v>
      </c>
      <c r="W47" s="5"/>
      <c r="X47" s="1"/>
      <c r="Y47" s="5"/>
      <c r="Z47" s="5">
        <f t="shared" si="14"/>
        <v>3008</v>
      </c>
      <c r="AA47" s="5">
        <f t="shared" si="15"/>
        <v>0</v>
      </c>
    </row>
    <row r="48" spans="1:27" ht="19.5">
      <c r="A48" s="1">
        <v>5</v>
      </c>
      <c r="B48" s="9" t="s">
        <v>41</v>
      </c>
      <c r="C48" s="1">
        <v>376</v>
      </c>
      <c r="D48" s="5">
        <f>Table1[[#This Row],[Enrolment S.Y. 2025-2026 ]]*8</f>
        <v>3008</v>
      </c>
      <c r="E48" s="5">
        <v>168</v>
      </c>
      <c r="F48" s="1">
        <v>2025</v>
      </c>
      <c r="G48" s="5" t="s">
        <v>40</v>
      </c>
      <c r="H48" s="5">
        <f t="shared" si="2"/>
        <v>2840</v>
      </c>
      <c r="I48" s="5">
        <f t="shared" si="3"/>
        <v>0</v>
      </c>
      <c r="J48" s="5">
        <f>Table1[[#This Row],[Enrolment S.Y. 2025-2026 ]]*8</f>
        <v>3008</v>
      </c>
      <c r="K48" s="5"/>
      <c r="L48" s="1"/>
      <c r="M48" s="5"/>
      <c r="N48" s="5">
        <f t="shared" si="10"/>
        <v>3008</v>
      </c>
      <c r="O48" s="5">
        <f t="shared" si="11"/>
        <v>0</v>
      </c>
      <c r="P48" s="5">
        <f>Table1[[#This Row],[Enrolment S.Y. 2025-2026 ]]*8</f>
        <v>3008</v>
      </c>
      <c r="Q48" s="5"/>
      <c r="R48" s="1"/>
      <c r="S48" s="5"/>
      <c r="T48" s="5">
        <f t="shared" si="12"/>
        <v>3008</v>
      </c>
      <c r="U48" s="5">
        <f t="shared" si="13"/>
        <v>0</v>
      </c>
      <c r="V48" s="5">
        <f>Table1[[#This Row],[Enrolment S.Y. 2025-2026 ]]*8</f>
        <v>3008</v>
      </c>
      <c r="W48" s="5"/>
      <c r="X48" s="1"/>
      <c r="Y48" s="5"/>
      <c r="Z48" s="5">
        <f t="shared" si="14"/>
        <v>3008</v>
      </c>
      <c r="AA48" s="5">
        <f t="shared" si="15"/>
        <v>0</v>
      </c>
    </row>
    <row r="49" spans="1:27" ht="19.5">
      <c r="A49" s="1">
        <v>5</v>
      </c>
      <c r="B49" s="9" t="s">
        <v>43</v>
      </c>
      <c r="C49" s="1">
        <v>376</v>
      </c>
      <c r="D49" s="5">
        <f>Table1[[#This Row],[Enrolment S.Y. 2025-2026 ]]*8</f>
        <v>3008</v>
      </c>
      <c r="E49" s="5">
        <v>168</v>
      </c>
      <c r="F49" s="1">
        <v>2025</v>
      </c>
      <c r="G49" s="5" t="s">
        <v>40</v>
      </c>
      <c r="H49" s="5">
        <f t="shared" si="2"/>
        <v>2840</v>
      </c>
      <c r="I49" s="5">
        <f t="shared" si="3"/>
        <v>0</v>
      </c>
      <c r="J49" s="5">
        <f>Table1[[#This Row],[Enrolment S.Y. 2025-2026 ]]*8</f>
        <v>3008</v>
      </c>
      <c r="K49" s="5"/>
      <c r="L49" s="1"/>
      <c r="M49" s="5"/>
      <c r="N49" s="5">
        <f t="shared" si="10"/>
        <v>3008</v>
      </c>
      <c r="O49" s="5">
        <f t="shared" si="11"/>
        <v>0</v>
      </c>
      <c r="P49" s="5">
        <f>Table1[[#This Row],[Enrolment S.Y. 2025-2026 ]]*8</f>
        <v>3008</v>
      </c>
      <c r="Q49" s="5"/>
      <c r="R49" s="1"/>
      <c r="S49" s="5"/>
      <c r="T49" s="5">
        <f t="shared" si="12"/>
        <v>3008</v>
      </c>
      <c r="U49" s="5">
        <f t="shared" si="13"/>
        <v>0</v>
      </c>
      <c r="V49" s="5">
        <f>Table1[[#This Row],[Enrolment S.Y. 2025-2026 ]]*8</f>
        <v>3008</v>
      </c>
      <c r="W49" s="5"/>
      <c r="X49" s="1"/>
      <c r="Y49" s="5"/>
      <c r="Z49" s="5">
        <f t="shared" si="14"/>
        <v>3008</v>
      </c>
      <c r="AA49" s="5">
        <f t="shared" si="15"/>
        <v>0</v>
      </c>
    </row>
    <row r="50" spans="1:27" ht="19.5">
      <c r="A50" s="1">
        <v>5</v>
      </c>
      <c r="B50" s="9" t="s">
        <v>44</v>
      </c>
      <c r="C50" s="1">
        <v>376</v>
      </c>
      <c r="D50" s="5">
        <f>Table1[[#This Row],[Enrolment S.Y. 2025-2026 ]]*8</f>
        <v>3008</v>
      </c>
      <c r="E50" s="5">
        <v>168</v>
      </c>
      <c r="F50" s="1">
        <v>2025</v>
      </c>
      <c r="G50" s="5" t="s">
        <v>40</v>
      </c>
      <c r="H50" s="5">
        <f t="shared" si="2"/>
        <v>2840</v>
      </c>
      <c r="I50" s="5">
        <f t="shared" si="3"/>
        <v>0</v>
      </c>
      <c r="J50" s="5">
        <f>Table1[[#This Row],[Enrolment S.Y. 2025-2026 ]]*8</f>
        <v>3008</v>
      </c>
      <c r="K50" s="5"/>
      <c r="L50" s="1"/>
      <c r="M50" s="5"/>
      <c r="N50" s="5">
        <f t="shared" si="10"/>
        <v>3008</v>
      </c>
      <c r="O50" s="5">
        <f t="shared" si="11"/>
        <v>0</v>
      </c>
      <c r="P50" s="5">
        <f>Table1[[#This Row],[Enrolment S.Y. 2025-2026 ]]*8</f>
        <v>3008</v>
      </c>
      <c r="Q50" s="5"/>
      <c r="R50" s="1"/>
      <c r="S50" s="5"/>
      <c r="T50" s="5">
        <f t="shared" si="12"/>
        <v>3008</v>
      </c>
      <c r="U50" s="5">
        <f t="shared" si="13"/>
        <v>0</v>
      </c>
      <c r="V50" s="5">
        <f>Table1[[#This Row],[Enrolment S.Y. 2025-2026 ]]*8</f>
        <v>3008</v>
      </c>
      <c r="W50" s="5"/>
      <c r="X50" s="1"/>
      <c r="Y50" s="5"/>
      <c r="Z50" s="5">
        <f t="shared" si="14"/>
        <v>3008</v>
      </c>
      <c r="AA50" s="5">
        <f t="shared" si="15"/>
        <v>0</v>
      </c>
    </row>
    <row r="51" spans="1:27" ht="19.5">
      <c r="A51" s="1">
        <v>5</v>
      </c>
      <c r="B51" s="9" t="s">
        <v>45</v>
      </c>
      <c r="C51" s="1">
        <v>376</v>
      </c>
      <c r="D51" s="5">
        <f>Table1[[#This Row],[Enrolment S.Y. 2025-2026 ]]*8</f>
        <v>3008</v>
      </c>
      <c r="E51" s="5">
        <v>168</v>
      </c>
      <c r="F51" s="1">
        <v>2025</v>
      </c>
      <c r="G51" s="5" t="s">
        <v>40</v>
      </c>
      <c r="H51" s="5">
        <f t="shared" si="2"/>
        <v>2840</v>
      </c>
      <c r="I51" s="5">
        <f t="shared" si="3"/>
        <v>0</v>
      </c>
      <c r="J51" s="5">
        <f>Table1[[#This Row],[Enrolment S.Y. 2025-2026 ]]*8</f>
        <v>3008</v>
      </c>
      <c r="K51" s="5"/>
      <c r="L51" s="1"/>
      <c r="M51" s="5"/>
      <c r="N51" s="5">
        <f t="shared" si="10"/>
        <v>3008</v>
      </c>
      <c r="O51" s="5">
        <f t="shared" si="11"/>
        <v>0</v>
      </c>
      <c r="P51" s="5">
        <f>Table1[[#This Row],[Enrolment S.Y. 2025-2026 ]]*8</f>
        <v>3008</v>
      </c>
      <c r="Q51" s="5"/>
      <c r="R51" s="1"/>
      <c r="S51" s="5"/>
      <c r="T51" s="5">
        <f t="shared" si="12"/>
        <v>3008</v>
      </c>
      <c r="U51" s="5">
        <f t="shared" si="13"/>
        <v>0</v>
      </c>
      <c r="V51" s="5">
        <f>Table1[[#This Row],[Enrolment S.Y. 2025-2026 ]]*8</f>
        <v>3008</v>
      </c>
      <c r="W51" s="5"/>
      <c r="X51" s="1"/>
      <c r="Y51" s="5"/>
      <c r="Z51" s="5">
        <f t="shared" si="14"/>
        <v>3008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37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38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36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34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42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41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43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44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45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33:C41 C53:C61 C14:C21 C23:C31 C5:C12 C43:C51" name="Textbooks"/>
    <protectedRange sqref="J2:L3 D2:F3 H5:L5 Q14:R21 W14:X21 Q23:R31 W23:X31 H33:I41 Q33:R41 W33:X41 H43:I51 Q43:R51 W43:X51 H53:I61 Q53:R61 W53:X61 D23:F31 D33:F41 D43:F51 K14:L21 K23:L31 T13:V61 P2:R2 V2:X3 J6:J61 Z4:AA61 D14:F21 N5:R12 T5:X12 N4:P4 T4:V4 J4 D53:F61 N3:R3 H14:I21 H23:I31 H6:I12 K6:L12 K33:L41 K43:L51 K53:L61 Y13 D5:F12 N13:P61" name="LAS"/>
    <protectedRange sqref="G2:I3 M2:O2 S2:U3 Y2:AA3 G23:G31 G33:G41 G43:G51 M14:M61 G5:G12 M5:M12 Y14:Y61 Y5:Y12 G14:G21 G53:G61 M3 S4:S6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12 F14:F21 F23:F31 F33:F41 F43:F51 F53:F61" xr:uid="{087FAB5B-5EA5-41CA-A1C7-AB77BBE643A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61" zoomScale="55" zoomScaleNormal="55" workbookViewId="0">
      <selection activeCell="B81" sqref="B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0</v>
      </c>
      <c r="E1" s="35"/>
      <c r="F1" s="35"/>
      <c r="G1" s="35"/>
      <c r="H1" s="35"/>
      <c r="I1" s="35"/>
      <c r="J1" s="36" t="s">
        <v>1</v>
      </c>
      <c r="K1" s="36"/>
      <c r="L1" s="36"/>
      <c r="M1" s="36"/>
      <c r="N1" s="36"/>
      <c r="O1" s="36"/>
      <c r="P1" s="37" t="s">
        <v>2</v>
      </c>
      <c r="Q1" s="37"/>
      <c r="R1" s="37"/>
      <c r="S1" s="37"/>
      <c r="T1" s="37"/>
      <c r="U1" s="37"/>
      <c r="V1" s="38" t="s">
        <v>3</v>
      </c>
      <c r="W1" s="38"/>
      <c r="X1" s="38"/>
      <c r="Y1" s="38"/>
      <c r="Z1" s="38"/>
      <c r="AA1" s="38"/>
    </row>
    <row r="2" spans="1:27" ht="69.599999999999994" customHeight="1">
      <c r="A2" s="12" t="s">
        <v>4</v>
      </c>
      <c r="B2" s="30" t="s">
        <v>5</v>
      </c>
      <c r="C2" s="13" t="s">
        <v>6</v>
      </c>
      <c r="D2" s="17" t="s">
        <v>46</v>
      </c>
      <c r="E2" s="17" t="s">
        <v>47</v>
      </c>
      <c r="F2" s="18" t="s">
        <v>48</v>
      </c>
      <c r="G2" s="21" t="s">
        <v>49</v>
      </c>
      <c r="H2" s="14" t="s">
        <v>50</v>
      </c>
      <c r="I2" s="21" t="s">
        <v>51</v>
      </c>
      <c r="J2" s="19" t="s">
        <v>52</v>
      </c>
      <c r="K2" s="19" t="s">
        <v>53</v>
      </c>
      <c r="L2" s="20" t="s">
        <v>54</v>
      </c>
      <c r="M2" s="33" t="s">
        <v>55</v>
      </c>
      <c r="N2" s="33" t="s">
        <v>56</v>
      </c>
      <c r="O2" s="19" t="s">
        <v>57</v>
      </c>
      <c r="P2" s="21" t="s">
        <v>58</v>
      </c>
      <c r="Q2" s="21" t="s">
        <v>59</v>
      </c>
      <c r="R2" s="22" t="s">
        <v>60</v>
      </c>
      <c r="S2" s="14" t="s">
        <v>61</v>
      </c>
      <c r="T2" s="14" t="s">
        <v>62</v>
      </c>
      <c r="U2" s="21" t="s">
        <v>63</v>
      </c>
      <c r="V2" s="23" t="s">
        <v>64</v>
      </c>
      <c r="W2" s="23" t="s">
        <v>65</v>
      </c>
      <c r="X2" s="24" t="s">
        <v>66</v>
      </c>
      <c r="Y2" s="34" t="s">
        <v>67</v>
      </c>
      <c r="Z2" s="34" t="s">
        <v>68</v>
      </c>
      <c r="AA2" s="23" t="s">
        <v>69</v>
      </c>
    </row>
    <row r="3" spans="1:27" ht="19.149999999999999">
      <c r="A3" s="1">
        <v>1</v>
      </c>
      <c r="B3" s="2" t="s">
        <v>32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33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34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35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36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37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38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39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32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33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34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35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36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38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37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39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32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33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34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41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35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36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37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38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39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37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38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36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34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42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41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44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72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37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38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36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34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42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41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70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44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72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37</v>
      </c>
      <c r="C55" s="1">
        <v>365</v>
      </c>
      <c r="D55" s="5">
        <f>Table14[[#This Row],[Enrolment S.Y. 2025-2026 ]]*8</f>
        <v>2920</v>
      </c>
      <c r="E55" s="5">
        <v>150</v>
      </c>
      <c r="F55" s="1">
        <v>2025</v>
      </c>
      <c r="G55" s="5" t="s">
        <v>40</v>
      </c>
      <c r="H55" s="5">
        <f t="shared" si="0"/>
        <v>2770</v>
      </c>
      <c r="I55" s="5">
        <f t="shared" si="1"/>
        <v>0</v>
      </c>
      <c r="J55" s="5">
        <f>Table14[[#This Row],[Enrolment S.Y. 2025-2026 ]]*8</f>
        <v>2920</v>
      </c>
      <c r="K55" s="5">
        <v>100</v>
      </c>
      <c r="L55" s="1"/>
      <c r="M55" s="5"/>
      <c r="N55" s="5">
        <f t="shared" si="2"/>
        <v>2820</v>
      </c>
      <c r="O55" s="5">
        <f t="shared" si="3"/>
        <v>0</v>
      </c>
      <c r="P55" s="5">
        <f>Table14[[#This Row],[Enrolment S.Y. 2025-2026 ]]*8</f>
        <v>2920</v>
      </c>
      <c r="Q55" s="5">
        <v>100</v>
      </c>
      <c r="R55" s="1">
        <v>2025</v>
      </c>
      <c r="S55" s="5" t="s">
        <v>40</v>
      </c>
      <c r="T55" s="5">
        <f t="shared" si="4"/>
        <v>2820</v>
      </c>
      <c r="U55" s="5">
        <f t="shared" si="5"/>
        <v>0</v>
      </c>
      <c r="V55" s="5">
        <f>Table14[[#This Row],[Enrolment S.Y. 2025-2026 ]]*8</f>
        <v>2920</v>
      </c>
      <c r="W55" s="5">
        <v>100</v>
      </c>
      <c r="X55" s="1">
        <v>2025</v>
      </c>
      <c r="Y55" s="5"/>
      <c r="Z55" s="5">
        <f t="shared" si="6"/>
        <v>2820</v>
      </c>
      <c r="AA55" s="5">
        <f t="shared" si="7"/>
        <v>0</v>
      </c>
    </row>
    <row r="56" spans="1:27" ht="19.5">
      <c r="A56" s="1">
        <v>6</v>
      </c>
      <c r="B56" s="9" t="s">
        <v>38</v>
      </c>
      <c r="C56" s="1">
        <v>365</v>
      </c>
      <c r="D56" s="5">
        <f>Table14[[#This Row],[Enrolment S.Y. 2025-2026 ]]*8</f>
        <v>2920</v>
      </c>
      <c r="E56" s="5">
        <v>150</v>
      </c>
      <c r="F56" s="1">
        <v>2025</v>
      </c>
      <c r="G56" s="5" t="s">
        <v>40</v>
      </c>
      <c r="H56" s="5">
        <f t="shared" si="0"/>
        <v>2770</v>
      </c>
      <c r="I56" s="5">
        <f t="shared" si="1"/>
        <v>0</v>
      </c>
      <c r="J56" s="5">
        <f>Table14[[#This Row],[Enrolment S.Y. 2025-2026 ]]*8</f>
        <v>2920</v>
      </c>
      <c r="K56" s="5">
        <v>100</v>
      </c>
      <c r="L56" s="1"/>
      <c r="M56" s="5"/>
      <c r="N56" s="5">
        <f t="shared" si="2"/>
        <v>2820</v>
      </c>
      <c r="O56" s="5">
        <f t="shared" si="3"/>
        <v>0</v>
      </c>
      <c r="P56" s="5">
        <f>Table14[[#This Row],[Enrolment S.Y. 2025-2026 ]]*8</f>
        <v>2920</v>
      </c>
      <c r="Q56" s="5">
        <v>100</v>
      </c>
      <c r="R56" s="1">
        <v>2025</v>
      </c>
      <c r="S56" s="5" t="s">
        <v>40</v>
      </c>
      <c r="T56" s="5">
        <f t="shared" si="4"/>
        <v>2820</v>
      </c>
      <c r="U56" s="5">
        <f t="shared" si="5"/>
        <v>0</v>
      </c>
      <c r="V56" s="5">
        <f>Table14[[#This Row],[Enrolment S.Y. 2025-2026 ]]*8</f>
        <v>2920</v>
      </c>
      <c r="W56" s="5">
        <v>100</v>
      </c>
      <c r="X56" s="1">
        <v>2025</v>
      </c>
      <c r="Y56" s="5"/>
      <c r="Z56" s="5">
        <f t="shared" si="6"/>
        <v>2820</v>
      </c>
      <c r="AA56" s="5">
        <f t="shared" si="7"/>
        <v>0</v>
      </c>
    </row>
    <row r="57" spans="1:27" ht="19.5">
      <c r="A57" s="1">
        <v>6</v>
      </c>
      <c r="B57" s="9" t="s">
        <v>36</v>
      </c>
      <c r="C57" s="1">
        <v>365</v>
      </c>
      <c r="D57" s="5">
        <f>Table14[[#This Row],[Enrolment S.Y. 2025-2026 ]]*8</f>
        <v>2920</v>
      </c>
      <c r="E57" s="5">
        <v>150</v>
      </c>
      <c r="F57" s="1">
        <v>2025</v>
      </c>
      <c r="G57" s="5" t="s">
        <v>40</v>
      </c>
      <c r="H57" s="5">
        <f t="shared" si="0"/>
        <v>2770</v>
      </c>
      <c r="I57" s="5">
        <f t="shared" si="1"/>
        <v>0</v>
      </c>
      <c r="J57" s="5">
        <f>Table14[[#This Row],[Enrolment S.Y. 2025-2026 ]]*8</f>
        <v>2920</v>
      </c>
      <c r="K57" s="5">
        <v>100</v>
      </c>
      <c r="L57" s="1"/>
      <c r="M57" s="5"/>
      <c r="N57" s="5">
        <f t="shared" si="2"/>
        <v>2820</v>
      </c>
      <c r="O57" s="5">
        <f t="shared" si="3"/>
        <v>0</v>
      </c>
      <c r="P57" s="5">
        <f>Table14[[#This Row],[Enrolment S.Y. 2025-2026 ]]*8</f>
        <v>2920</v>
      </c>
      <c r="Q57" s="5">
        <v>100</v>
      </c>
      <c r="R57" s="1">
        <v>2025</v>
      </c>
      <c r="S57" s="5" t="s">
        <v>40</v>
      </c>
      <c r="T57" s="5">
        <f t="shared" si="4"/>
        <v>2820</v>
      </c>
      <c r="U57" s="5">
        <f t="shared" si="5"/>
        <v>0</v>
      </c>
      <c r="V57" s="5">
        <f>Table14[[#This Row],[Enrolment S.Y. 2025-2026 ]]*8</f>
        <v>2920</v>
      </c>
      <c r="W57" s="5">
        <v>100</v>
      </c>
      <c r="X57" s="1">
        <v>2025</v>
      </c>
      <c r="Y57" s="5"/>
      <c r="Z57" s="5">
        <f t="shared" si="6"/>
        <v>2820</v>
      </c>
      <c r="AA57" s="5">
        <f t="shared" si="7"/>
        <v>0</v>
      </c>
    </row>
    <row r="58" spans="1:27" ht="19.5">
      <c r="A58" s="1">
        <v>6</v>
      </c>
      <c r="B58" s="9" t="s">
        <v>34</v>
      </c>
      <c r="C58" s="1">
        <v>365</v>
      </c>
      <c r="D58" s="5">
        <f>Table14[[#This Row],[Enrolment S.Y. 2025-2026 ]]*8</f>
        <v>2920</v>
      </c>
      <c r="E58" s="5"/>
      <c r="F58" s="1"/>
      <c r="G58" s="5"/>
      <c r="H58" s="5">
        <f t="shared" si="0"/>
        <v>2920</v>
      </c>
      <c r="I58" s="5">
        <f t="shared" si="1"/>
        <v>0</v>
      </c>
      <c r="J58" s="5">
        <f>Table14[[#This Row],[Enrolment S.Y. 2025-2026 ]]*8</f>
        <v>2920</v>
      </c>
      <c r="K58" s="5"/>
      <c r="L58" s="1"/>
      <c r="M58" s="5"/>
      <c r="N58" s="5">
        <f t="shared" si="2"/>
        <v>2920</v>
      </c>
      <c r="O58" s="5">
        <f t="shared" si="3"/>
        <v>0</v>
      </c>
      <c r="P58" s="5">
        <f>Table14[[#This Row],[Enrolment S.Y. 2025-2026 ]]*8</f>
        <v>2920</v>
      </c>
      <c r="Q58" s="5">
        <v>100</v>
      </c>
      <c r="R58" s="1">
        <v>2025</v>
      </c>
      <c r="S58" s="5" t="s">
        <v>40</v>
      </c>
      <c r="T58" s="5">
        <f t="shared" si="4"/>
        <v>2820</v>
      </c>
      <c r="U58" s="5">
        <f t="shared" si="5"/>
        <v>0</v>
      </c>
      <c r="V58" s="5">
        <f>Table14[[#This Row],[Enrolment S.Y. 2025-2026 ]]*8</f>
        <v>2920</v>
      </c>
      <c r="W58" s="5">
        <v>100</v>
      </c>
      <c r="X58" s="1">
        <v>2025</v>
      </c>
      <c r="Y58" s="5"/>
      <c r="Z58" s="5">
        <f t="shared" si="6"/>
        <v>2820</v>
      </c>
      <c r="AA58" s="5">
        <f t="shared" si="7"/>
        <v>0</v>
      </c>
    </row>
    <row r="59" spans="1:27" ht="38.25">
      <c r="A59" s="1">
        <v>6</v>
      </c>
      <c r="B59" s="9" t="s">
        <v>42</v>
      </c>
      <c r="C59" s="1">
        <v>365</v>
      </c>
      <c r="D59" s="5">
        <f>Table14[[#This Row],[Enrolment S.Y. 2025-2026 ]]*8</f>
        <v>2920</v>
      </c>
      <c r="E59" s="5"/>
      <c r="F59" s="1"/>
      <c r="G59" s="5"/>
      <c r="H59" s="5">
        <f t="shared" si="0"/>
        <v>2920</v>
      </c>
      <c r="I59" s="5">
        <f t="shared" si="1"/>
        <v>0</v>
      </c>
      <c r="J59" s="5">
        <f>Table14[[#This Row],[Enrolment S.Y. 2025-2026 ]]*8</f>
        <v>2920</v>
      </c>
      <c r="K59" s="5"/>
      <c r="L59" s="1"/>
      <c r="M59" s="5"/>
      <c r="N59" s="5">
        <f t="shared" si="2"/>
        <v>2920</v>
      </c>
      <c r="O59" s="5">
        <f t="shared" si="3"/>
        <v>0</v>
      </c>
      <c r="P59" s="5">
        <f>Table14[[#This Row],[Enrolment S.Y. 2025-2026 ]]*8</f>
        <v>2920</v>
      </c>
      <c r="Q59" s="5">
        <v>100</v>
      </c>
      <c r="R59" s="1">
        <v>2025</v>
      </c>
      <c r="S59" s="5" t="s">
        <v>40</v>
      </c>
      <c r="T59" s="5">
        <f t="shared" si="4"/>
        <v>2820</v>
      </c>
      <c r="U59" s="5">
        <f t="shared" si="5"/>
        <v>0</v>
      </c>
      <c r="V59" s="5">
        <f>Table14[[#This Row],[Enrolment S.Y. 2025-2026 ]]*8</f>
        <v>2920</v>
      </c>
      <c r="W59" s="5">
        <v>100</v>
      </c>
      <c r="X59" s="1">
        <v>2025</v>
      </c>
      <c r="Y59" s="5"/>
      <c r="Z59" s="5">
        <f t="shared" si="6"/>
        <v>2820</v>
      </c>
      <c r="AA59" s="5">
        <f t="shared" si="7"/>
        <v>0</v>
      </c>
    </row>
    <row r="60" spans="1:27" ht="19.5">
      <c r="A60" s="1">
        <v>6</v>
      </c>
      <c r="B60" s="9" t="s">
        <v>41</v>
      </c>
      <c r="C60" s="1">
        <v>365</v>
      </c>
      <c r="D60" s="5">
        <f>Table14[[#This Row],[Enrolment S.Y. 2025-2026 ]]*8</f>
        <v>2920</v>
      </c>
      <c r="E60" s="5"/>
      <c r="F60" s="1"/>
      <c r="G60" s="5"/>
      <c r="H60" s="5">
        <f t="shared" si="0"/>
        <v>2920</v>
      </c>
      <c r="I60" s="5">
        <f t="shared" si="1"/>
        <v>0</v>
      </c>
      <c r="J60" s="5">
        <f>Table14[[#This Row],[Enrolment S.Y. 2025-2026 ]]*8</f>
        <v>2920</v>
      </c>
      <c r="K60" s="5"/>
      <c r="L60" s="1"/>
      <c r="M60" s="5"/>
      <c r="N60" s="5">
        <f t="shared" si="2"/>
        <v>2920</v>
      </c>
      <c r="O60" s="5">
        <f t="shared" si="3"/>
        <v>0</v>
      </c>
      <c r="P60" s="5">
        <f>Table14[[#This Row],[Enrolment S.Y. 2025-2026 ]]*8</f>
        <v>2920</v>
      </c>
      <c r="Q60" s="5">
        <v>100</v>
      </c>
      <c r="R60" s="1">
        <v>2025</v>
      </c>
      <c r="S60" s="5" t="s">
        <v>40</v>
      </c>
      <c r="T60" s="5">
        <f t="shared" si="4"/>
        <v>2820</v>
      </c>
      <c r="U60" s="5">
        <f t="shared" si="5"/>
        <v>0</v>
      </c>
      <c r="V60" s="5">
        <f>Table14[[#This Row],[Enrolment S.Y. 2025-2026 ]]*8</f>
        <v>2920</v>
      </c>
      <c r="W60" s="5">
        <v>100</v>
      </c>
      <c r="X60" s="1">
        <v>2025</v>
      </c>
      <c r="Y60" s="5"/>
      <c r="Z60" s="5">
        <f t="shared" si="6"/>
        <v>2820</v>
      </c>
      <c r="AA60" s="5">
        <f t="shared" si="7"/>
        <v>0</v>
      </c>
    </row>
    <row r="61" spans="1:27" ht="19.5">
      <c r="A61" s="31">
        <v>6</v>
      </c>
      <c r="B61" s="9" t="s">
        <v>70</v>
      </c>
      <c r="C61" s="1">
        <v>365</v>
      </c>
      <c r="D61" s="5">
        <f>Table14[[#This Row],[Enrolment S.Y. 2025-2026 ]]*8</f>
        <v>2920</v>
      </c>
      <c r="E61" s="5"/>
      <c r="F61" s="1"/>
      <c r="G61" s="5"/>
      <c r="H61" s="5">
        <f>IF((D61-E61)&lt;0,0,(D61-E61))</f>
        <v>2920</v>
      </c>
      <c r="I61" s="5">
        <f>IF((E61-D61)&lt;0,0,(E61-D61))</f>
        <v>0</v>
      </c>
      <c r="J61" s="5">
        <f>Table14[[#This Row],[Enrolment S.Y. 2025-2026 ]]*8</f>
        <v>2920</v>
      </c>
      <c r="K61" s="5"/>
      <c r="L61" s="1"/>
      <c r="M61" s="5"/>
      <c r="N61" s="5">
        <f t="shared" ref="N61:N65" si="12">IF((J61-K61)&lt;0,0,(J61-K61))</f>
        <v>2920</v>
      </c>
      <c r="O61" s="5">
        <f t="shared" ref="O61:O65" si="13">IF((K61-J61)&lt;0,0,(K61-J61))</f>
        <v>0</v>
      </c>
      <c r="P61" s="5">
        <f>Table14[[#This Row],[Enrolment S.Y. 2025-2026 ]]*8</f>
        <v>2920</v>
      </c>
      <c r="Q61" s="5">
        <v>100</v>
      </c>
      <c r="R61" s="1">
        <v>2025</v>
      </c>
      <c r="S61" s="5" t="s">
        <v>40</v>
      </c>
      <c r="T61" s="5">
        <f>IF((P61-Q61)&lt;0,0,(P61-Q61))</f>
        <v>2820</v>
      </c>
      <c r="U61" s="5">
        <f>IF((Q61-P61)&lt;0,0,(Q61-P61))</f>
        <v>0</v>
      </c>
      <c r="V61" s="5">
        <f>Table14[[#This Row],[Enrolment S.Y. 2025-2026 ]]*8</f>
        <v>2920</v>
      </c>
      <c r="W61" s="5">
        <v>100</v>
      </c>
      <c r="X61" s="1">
        <v>2025</v>
      </c>
      <c r="Y61" s="5"/>
      <c r="Z61" s="5">
        <f>IF((V61-W61)&lt;0,0,(V61-W61))</f>
        <v>2820</v>
      </c>
      <c r="AA61" s="5">
        <f>IF((W61-V61)&lt;0,0,(W61-V61))</f>
        <v>0</v>
      </c>
    </row>
    <row r="62" spans="1:27" ht="19.5">
      <c r="A62" s="1">
        <v>6</v>
      </c>
      <c r="B62" s="9" t="s">
        <v>71</v>
      </c>
      <c r="C62" s="1">
        <v>365</v>
      </c>
      <c r="D62" s="5">
        <f>Table14[[#This Row],[Enrolment S.Y. 2025-2026 ]]*8</f>
        <v>2920</v>
      </c>
      <c r="E62" s="5"/>
      <c r="F62" s="1"/>
      <c r="G62" s="5"/>
      <c r="H62" s="5">
        <f t="shared" si="0"/>
        <v>2920</v>
      </c>
      <c r="I62" s="5">
        <f t="shared" si="1"/>
        <v>0</v>
      </c>
      <c r="J62" s="5">
        <f>Table14[[#This Row],[Enrolment S.Y. 2025-2026 ]]*8</f>
        <v>2920</v>
      </c>
      <c r="K62" s="5"/>
      <c r="L62" s="1"/>
      <c r="M62" s="5"/>
      <c r="N62" s="5">
        <f t="shared" si="12"/>
        <v>2920</v>
      </c>
      <c r="O62" s="5">
        <f t="shared" si="13"/>
        <v>0</v>
      </c>
      <c r="P62" s="5">
        <f>Table14[[#This Row],[Enrolment S.Y. 2025-2026 ]]*8</f>
        <v>2920</v>
      </c>
      <c r="Q62" s="5">
        <v>100</v>
      </c>
      <c r="R62" s="1">
        <v>2025</v>
      </c>
      <c r="S62" s="5" t="s">
        <v>40</v>
      </c>
      <c r="T62" s="5">
        <f t="shared" si="4"/>
        <v>2820</v>
      </c>
      <c r="U62" s="5">
        <f t="shared" si="5"/>
        <v>0</v>
      </c>
      <c r="V62" s="5">
        <f>Table14[[#This Row],[Enrolment S.Y. 2025-2026 ]]*8</f>
        <v>2920</v>
      </c>
      <c r="W62" s="5">
        <v>100</v>
      </c>
      <c r="X62" s="1">
        <v>2025</v>
      </c>
      <c r="Y62" s="5"/>
      <c r="Z62" s="5">
        <f t="shared" si="6"/>
        <v>2820</v>
      </c>
      <c r="AA62" s="5">
        <f t="shared" si="7"/>
        <v>0</v>
      </c>
    </row>
    <row r="63" spans="1:27" ht="19.5">
      <c r="A63" s="1">
        <v>6</v>
      </c>
      <c r="B63" s="9" t="s">
        <v>44</v>
      </c>
      <c r="C63" s="1">
        <v>365</v>
      </c>
      <c r="D63" s="5">
        <f>Table14[[#This Row],[Enrolment S.Y. 2025-2026 ]]*8</f>
        <v>2920</v>
      </c>
      <c r="E63" s="5"/>
      <c r="F63" s="1"/>
      <c r="G63" s="5"/>
      <c r="H63" s="5">
        <f t="shared" si="0"/>
        <v>2920</v>
      </c>
      <c r="I63" s="5">
        <f t="shared" si="1"/>
        <v>0</v>
      </c>
      <c r="J63" s="5">
        <f>Table14[[#This Row],[Enrolment S.Y. 2025-2026 ]]*8</f>
        <v>2920</v>
      </c>
      <c r="K63" s="5"/>
      <c r="L63" s="1"/>
      <c r="M63" s="5"/>
      <c r="N63" s="5">
        <f t="shared" si="12"/>
        <v>2920</v>
      </c>
      <c r="O63" s="5">
        <f t="shared" si="13"/>
        <v>0</v>
      </c>
      <c r="P63" s="5">
        <f>Table14[[#This Row],[Enrolment S.Y. 2025-2026 ]]*8</f>
        <v>2920</v>
      </c>
      <c r="Q63" s="5"/>
      <c r="R63" s="1"/>
      <c r="S63" s="5"/>
      <c r="T63" s="5">
        <f t="shared" si="4"/>
        <v>2920</v>
      </c>
      <c r="U63" s="5">
        <f t="shared" si="5"/>
        <v>0</v>
      </c>
      <c r="V63" s="5">
        <f>Table14[[#This Row],[Enrolment S.Y. 2025-2026 ]]*8</f>
        <v>2920</v>
      </c>
      <c r="W63" s="5"/>
      <c r="X63" s="1"/>
      <c r="Y63" s="5"/>
      <c r="Z63" s="5">
        <f t="shared" si="6"/>
        <v>2920</v>
      </c>
      <c r="AA63" s="5">
        <f t="shared" si="7"/>
        <v>0</v>
      </c>
    </row>
    <row r="64" spans="1:27" ht="19.5">
      <c r="A64" s="31">
        <v>6</v>
      </c>
      <c r="B64" s="9" t="s">
        <v>72</v>
      </c>
      <c r="C64" s="1">
        <v>365</v>
      </c>
      <c r="D64" s="5">
        <f>Table14[[#This Row],[Enrolment S.Y. 2025-2026 ]]*8</f>
        <v>2920</v>
      </c>
      <c r="E64" s="5"/>
      <c r="F64" s="1"/>
      <c r="G64" s="5"/>
      <c r="H64" s="5">
        <f>IF((D64-E64)&lt;0,0,(D64-E64))</f>
        <v>2920</v>
      </c>
      <c r="I64" s="5">
        <f>IF((E64-D64)&lt;0,0,(E64-D64))</f>
        <v>0</v>
      </c>
      <c r="J64" s="5">
        <f>Table14[[#This Row],[Enrolment S.Y. 2025-2026 ]]*8</f>
        <v>2920</v>
      </c>
      <c r="K64" s="5"/>
      <c r="L64" s="1"/>
      <c r="M64" s="5"/>
      <c r="N64" s="5">
        <f t="shared" si="12"/>
        <v>2920</v>
      </c>
      <c r="O64" s="5">
        <f t="shared" si="13"/>
        <v>0</v>
      </c>
      <c r="P64" s="5">
        <f>Table14[[#This Row],[Enrolment S.Y. 2025-2026 ]]*8</f>
        <v>2920</v>
      </c>
      <c r="Q64" s="5">
        <v>100</v>
      </c>
      <c r="R64" s="1">
        <v>2025</v>
      </c>
      <c r="S64" s="5" t="s">
        <v>40</v>
      </c>
      <c r="T64" s="5">
        <f>IF((P64-Q64)&lt;0,0,(P64-Q64))</f>
        <v>2820</v>
      </c>
      <c r="U64" s="5">
        <f>IF((Q64-P64)&lt;0,0,(Q64-P64))</f>
        <v>0</v>
      </c>
      <c r="V64" s="5">
        <f>Table14[[#This Row],[Enrolment S.Y. 2025-2026 ]]*8</f>
        <v>2920</v>
      </c>
      <c r="W64" s="5">
        <v>100</v>
      </c>
      <c r="X64" s="1">
        <v>2025</v>
      </c>
      <c r="Y64" s="5"/>
      <c r="Z64" s="5">
        <f>IF((V64-W64)&lt;0,0,(V64-W64))</f>
        <v>2820</v>
      </c>
      <c r="AA64" s="5">
        <f>IF((W64-V64)&lt;0,0,(W64-V64))</f>
        <v>0</v>
      </c>
    </row>
    <row r="65" spans="1:27" ht="19.5">
      <c r="A65" s="1">
        <v>6</v>
      </c>
      <c r="B65" s="9" t="s">
        <v>73</v>
      </c>
      <c r="C65" s="1">
        <v>365</v>
      </c>
      <c r="D65" s="5">
        <f>Table14[[#This Row],[Enrolment S.Y. 2025-2026 ]]*8</f>
        <v>2920</v>
      </c>
      <c r="E65" s="5"/>
      <c r="F65" s="1"/>
      <c r="G65" s="5"/>
      <c r="H65" s="5">
        <f t="shared" si="0"/>
        <v>2920</v>
      </c>
      <c r="I65" s="5">
        <f t="shared" si="1"/>
        <v>0</v>
      </c>
      <c r="J65" s="5">
        <f>Table14[[#This Row],[Enrolment S.Y. 2025-2026 ]]*8</f>
        <v>2920</v>
      </c>
      <c r="K65" s="5"/>
      <c r="L65" s="1"/>
      <c r="M65" s="5"/>
      <c r="N65" s="5">
        <f t="shared" si="12"/>
        <v>2920</v>
      </c>
      <c r="O65" s="5">
        <f t="shared" si="13"/>
        <v>0</v>
      </c>
      <c r="P65" s="5">
        <f>Table14[[#This Row],[Enrolment S.Y. 2025-2026 ]]*8</f>
        <v>2920</v>
      </c>
      <c r="Q65" s="5">
        <v>100</v>
      </c>
      <c r="R65" s="1">
        <v>2025</v>
      </c>
      <c r="S65" s="5" t="s">
        <v>40</v>
      </c>
      <c r="T65" s="5">
        <f t="shared" si="4"/>
        <v>2820</v>
      </c>
      <c r="U65" s="5">
        <f t="shared" si="5"/>
        <v>0</v>
      </c>
      <c r="V65" s="5">
        <f>Table14[[#This Row],[Enrolment S.Y. 2025-2026 ]]*8</f>
        <v>2920</v>
      </c>
      <c r="W65" s="5">
        <v>100</v>
      </c>
      <c r="X65" s="1">
        <v>2025</v>
      </c>
      <c r="Y65" s="5"/>
      <c r="Z65" s="5">
        <f t="shared" si="6"/>
        <v>2820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P2:R10 N3:O10 V2:X10 T3:U10 N12:R19 T12:X19 H3:L10 Z3:AA10 Z12:AA19 H12:L19 N21:R29 T21:X29 Z21:AA29 H21:L29 T31:X41 Z31:AA41 H31:L41 T43:X53 Z43:AA53 H43:L53 T55:X65 Z55:AA65 H55:L65 N55:R65 D31:F41 D21:F29 D12:F19 D55:F65 D2:F10 D43:F53 N31:R41 N43:R53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21:R29 R31:R41 R43:R53 R55:R65 X3:X10 X12:X19 X21:X29 X31:X41 X43:X53 X55:X65 L3:L10 L12:L19 L21:L29 L31:L41 L43:L53 L55:L65 R3:R10 R12:R19" xr:uid="{77F72D89-8371-4D0C-A323-BD25723C617C}">
      <formula1>"2024,2025 ,2026"</formula1>
    </dataValidation>
    <dataValidation type="list" allowBlank="1" showInputMessage="1" showErrorMessage="1" sqref="F43:F53 F31:F41 F21:F29 F3:F10 F12:F19 F55:F65" xr:uid="{50361E96-8DC4-485A-8166-4BA4DEDDACC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1" activePane="topRight" state="frozen"/>
      <selection pane="topRight" activeCell="A50" sqref="A50:XFD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4</v>
      </c>
      <c r="B1" s="12" t="s">
        <v>5</v>
      </c>
      <c r="C1" s="13" t="s">
        <v>6</v>
      </c>
      <c r="D1" s="13" t="s">
        <v>74</v>
      </c>
      <c r="E1" s="13" t="s">
        <v>75</v>
      </c>
      <c r="F1" s="14" t="s">
        <v>76</v>
      </c>
      <c r="G1" s="15" t="s">
        <v>77</v>
      </c>
      <c r="H1" s="16" t="s">
        <v>78</v>
      </c>
    </row>
    <row r="2" spans="1:8" ht="42.75" customHeight="1">
      <c r="A2" s="1">
        <v>1</v>
      </c>
      <c r="B2" s="2" t="s">
        <v>32</v>
      </c>
      <c r="C2" s="1">
        <v>365</v>
      </c>
      <c r="D2" s="1">
        <v>591</v>
      </c>
      <c r="E2" s="1">
        <v>2024</v>
      </c>
      <c r="F2" s="5" t="s">
        <v>40</v>
      </c>
      <c r="G2" s="3">
        <f>IF((C2-D2)&lt;0,0,C2-D2)</f>
        <v>0</v>
      </c>
      <c r="H2" s="4">
        <f>IF((D2-C2)&lt;0,0,D2-C2)</f>
        <v>226</v>
      </c>
    </row>
    <row r="3" spans="1:8" ht="29.25" customHeight="1">
      <c r="A3" s="1">
        <v>1</v>
      </c>
      <c r="B3" s="2" t="s">
        <v>33</v>
      </c>
      <c r="C3" s="1">
        <v>365</v>
      </c>
      <c r="D3" s="1">
        <v>591</v>
      </c>
      <c r="E3" s="1">
        <v>2025</v>
      </c>
      <c r="F3" s="5" t="s">
        <v>40</v>
      </c>
      <c r="G3" s="3">
        <f>IF((C3-D3)&lt;0,0,C3-D3)</f>
        <v>0</v>
      </c>
      <c r="H3" s="4">
        <f>IF((D3-C3)&lt;0,0,D3-C3)</f>
        <v>226</v>
      </c>
    </row>
    <row r="4" spans="1:8" ht="21" customHeight="1">
      <c r="A4" s="1">
        <v>1</v>
      </c>
      <c r="B4" s="2" t="s">
        <v>34</v>
      </c>
      <c r="C4" s="1">
        <v>365</v>
      </c>
      <c r="D4" s="1">
        <v>591</v>
      </c>
      <c r="E4" s="1">
        <v>2024</v>
      </c>
      <c r="F4" s="5" t="s">
        <v>40</v>
      </c>
      <c r="G4" s="3">
        <f>IF((C4-D4)&lt;0,0,C4-D4)</f>
        <v>0</v>
      </c>
      <c r="H4" s="4">
        <f>IF((D4-C4)&lt;0,0,D4-C4)</f>
        <v>226</v>
      </c>
    </row>
    <row r="5" spans="1:8" ht="25.5" customHeight="1">
      <c r="A5" s="1">
        <v>1</v>
      </c>
      <c r="B5" s="2" t="s">
        <v>35</v>
      </c>
      <c r="C5" s="1">
        <v>365</v>
      </c>
      <c r="D5" s="1">
        <v>591</v>
      </c>
      <c r="E5" s="1">
        <v>2025</v>
      </c>
      <c r="F5" s="5" t="s">
        <v>40</v>
      </c>
      <c r="G5" s="3">
        <f t="shared" ref="G5:G6" si="0">IF((C5-D5)&lt;0,0,C5-D5)</f>
        <v>0</v>
      </c>
      <c r="H5" s="4">
        <f t="shared" ref="H5:H6" si="1">IF((D5-C5)&lt;0,0,D5-C5)</f>
        <v>226</v>
      </c>
    </row>
    <row r="6" spans="1:8" ht="19.5">
      <c r="A6" s="1">
        <v>1</v>
      </c>
      <c r="B6" s="2" t="s">
        <v>36</v>
      </c>
      <c r="C6" s="1">
        <v>365</v>
      </c>
      <c r="D6" s="1"/>
      <c r="E6" s="1"/>
      <c r="F6" s="5"/>
      <c r="G6" s="3">
        <f t="shared" si="0"/>
        <v>365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32</v>
      </c>
      <c r="C8" s="1">
        <v>439</v>
      </c>
      <c r="D8" s="1">
        <v>0</v>
      </c>
      <c r="E8" s="1"/>
      <c r="F8" s="5"/>
      <c r="G8" s="3">
        <f>IF((C8-D8)&lt;0,0,C8-D8)</f>
        <v>439</v>
      </c>
      <c r="H8" s="4">
        <f>IF((D8-C8)&lt;0,0,D8-C8)</f>
        <v>0</v>
      </c>
    </row>
    <row r="9" spans="1:8" ht="29.25" customHeight="1">
      <c r="A9" s="1">
        <v>2</v>
      </c>
      <c r="B9" s="2" t="s">
        <v>33</v>
      </c>
      <c r="C9" s="1">
        <v>439</v>
      </c>
      <c r="D9" s="1">
        <v>0</v>
      </c>
      <c r="E9" s="1"/>
      <c r="F9" s="5"/>
      <c r="G9" s="3">
        <f>IF((C9-D9)&lt;0,0,C9-D9)</f>
        <v>439</v>
      </c>
      <c r="H9" s="4">
        <f>IF((D9-C9)&lt;0,0,D9-C9)</f>
        <v>0</v>
      </c>
    </row>
    <row r="10" spans="1:8" ht="28.5" customHeight="1">
      <c r="A10" s="1">
        <v>2</v>
      </c>
      <c r="B10" s="2" t="s">
        <v>34</v>
      </c>
      <c r="C10" s="1">
        <v>439</v>
      </c>
      <c r="D10" s="1">
        <v>0</v>
      </c>
      <c r="E10" s="1"/>
      <c r="F10" s="5"/>
      <c r="G10" s="3">
        <f>IF((C10-D10)&lt;0,0,C10-D10)</f>
        <v>439</v>
      </c>
      <c r="H10" s="4">
        <f>IF((D10-C10)&lt;0,0,D10-C10)</f>
        <v>0</v>
      </c>
    </row>
    <row r="11" spans="1:8" ht="24" customHeight="1">
      <c r="A11" s="1">
        <v>2</v>
      </c>
      <c r="B11" s="2" t="s">
        <v>35</v>
      </c>
      <c r="C11" s="1">
        <v>439</v>
      </c>
      <c r="D11" s="1">
        <v>0</v>
      </c>
      <c r="E11" s="1"/>
      <c r="F11" s="5"/>
      <c r="G11" s="3">
        <f>IF((C11-D11)&lt;0,0,C11-D11)</f>
        <v>439</v>
      </c>
      <c r="H11" s="4">
        <f>IF((D11-C11)&lt;0,0,D11-C11)</f>
        <v>0</v>
      </c>
    </row>
    <row r="12" spans="1:8" ht="19.5">
      <c r="A12" s="1">
        <v>2</v>
      </c>
      <c r="B12" s="2" t="s">
        <v>36</v>
      </c>
      <c r="C12" s="1">
        <v>439</v>
      </c>
      <c r="D12" s="1">
        <v>0</v>
      </c>
      <c r="E12" s="1"/>
      <c r="F12" s="5"/>
      <c r="G12" s="3">
        <f>IF((C12-D12)&lt;0,0,C12-D12)</f>
        <v>439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32</v>
      </c>
      <c r="C14" s="1">
        <v>476</v>
      </c>
      <c r="D14" s="1">
        <v>0</v>
      </c>
      <c r="E14" s="1"/>
      <c r="F14" s="5"/>
      <c r="G14" s="3">
        <f t="shared" ref="G14:G19" si="2">IF((C14-D14)&lt;0,0,C14-D14)</f>
        <v>476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33</v>
      </c>
      <c r="C15" s="1">
        <v>476</v>
      </c>
      <c r="D15" s="1">
        <v>0</v>
      </c>
      <c r="E15" s="1"/>
      <c r="F15" s="5"/>
      <c r="G15" s="3">
        <f t="shared" si="2"/>
        <v>476</v>
      </c>
      <c r="H15" s="4">
        <f t="shared" si="3"/>
        <v>0</v>
      </c>
    </row>
    <row r="16" spans="1:8" ht="27" customHeight="1">
      <c r="A16" s="1">
        <v>3</v>
      </c>
      <c r="B16" s="2" t="s">
        <v>34</v>
      </c>
      <c r="C16" s="1">
        <v>476</v>
      </c>
      <c r="D16" s="1">
        <v>0</v>
      </c>
      <c r="E16" s="1"/>
      <c r="F16" s="5"/>
      <c r="G16" s="3">
        <f t="shared" si="2"/>
        <v>476</v>
      </c>
      <c r="H16" s="4">
        <f t="shared" si="3"/>
        <v>0</v>
      </c>
    </row>
    <row r="17" spans="1:8" ht="23.25" customHeight="1">
      <c r="A17" s="1">
        <v>3</v>
      </c>
      <c r="B17" s="2" t="s">
        <v>41</v>
      </c>
      <c r="C17" s="1">
        <v>476</v>
      </c>
      <c r="D17" s="1">
        <v>0</v>
      </c>
      <c r="E17" s="1"/>
      <c r="F17" s="5"/>
      <c r="G17" s="3">
        <f t="shared" si="2"/>
        <v>476</v>
      </c>
      <c r="H17" s="4">
        <f t="shared" si="3"/>
        <v>0</v>
      </c>
    </row>
    <row r="18" spans="1:8" ht="21" customHeight="1">
      <c r="A18" s="1">
        <v>3</v>
      </c>
      <c r="B18" s="2" t="s">
        <v>35</v>
      </c>
      <c r="C18" s="1">
        <v>476</v>
      </c>
      <c r="D18" s="1">
        <v>0</v>
      </c>
      <c r="E18" s="1"/>
      <c r="F18" s="5"/>
      <c r="G18" s="3">
        <f t="shared" si="2"/>
        <v>476</v>
      </c>
      <c r="H18" s="4">
        <f t="shared" si="3"/>
        <v>0</v>
      </c>
    </row>
    <row r="19" spans="1:8" ht="19.5">
      <c r="A19" s="1">
        <v>3</v>
      </c>
      <c r="B19" s="2" t="s">
        <v>36</v>
      </c>
      <c r="C19" s="1">
        <v>476</v>
      </c>
      <c r="D19" s="1">
        <v>0</v>
      </c>
      <c r="E19" s="1"/>
      <c r="F19" s="5"/>
      <c r="G19" s="3">
        <f t="shared" si="2"/>
        <v>476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37</v>
      </c>
      <c r="C21" s="1">
        <v>449</v>
      </c>
      <c r="D21" s="1">
        <v>469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20</v>
      </c>
    </row>
    <row r="22" spans="1:8" ht="24" customHeight="1">
      <c r="A22" s="1">
        <v>4</v>
      </c>
      <c r="B22" s="9" t="s">
        <v>38</v>
      </c>
      <c r="C22" s="1">
        <v>449</v>
      </c>
      <c r="D22" s="1">
        <v>469</v>
      </c>
      <c r="E22" s="1">
        <v>2024</v>
      </c>
      <c r="F22" s="5"/>
      <c r="G22" s="3">
        <f t="shared" si="4"/>
        <v>0</v>
      </c>
      <c r="H22" s="4">
        <f t="shared" si="5"/>
        <v>20</v>
      </c>
    </row>
    <row r="23" spans="1:8" ht="19.5">
      <c r="A23" s="1">
        <v>4</v>
      </c>
      <c r="B23" s="9" t="s">
        <v>36</v>
      </c>
      <c r="C23" s="1">
        <v>449</v>
      </c>
      <c r="D23" s="1">
        <v>469</v>
      </c>
      <c r="E23" s="1">
        <v>2024</v>
      </c>
      <c r="F23" s="5"/>
      <c r="G23" s="3">
        <f t="shared" si="4"/>
        <v>0</v>
      </c>
      <c r="H23" s="4">
        <f t="shared" si="5"/>
        <v>20</v>
      </c>
    </row>
    <row r="24" spans="1:8" ht="27" customHeight="1">
      <c r="A24" s="1">
        <v>4</v>
      </c>
      <c r="B24" s="9" t="s">
        <v>34</v>
      </c>
      <c r="C24" s="1">
        <v>449</v>
      </c>
      <c r="D24" s="1">
        <v>469</v>
      </c>
      <c r="E24" s="1">
        <v>2024</v>
      </c>
      <c r="F24" s="5"/>
      <c r="G24" s="3">
        <f t="shared" si="4"/>
        <v>0</v>
      </c>
      <c r="H24" s="4">
        <f t="shared" si="5"/>
        <v>20</v>
      </c>
    </row>
    <row r="25" spans="1:8" ht="33.75" customHeight="1">
      <c r="A25" s="1">
        <v>4</v>
      </c>
      <c r="B25" s="9" t="s">
        <v>42</v>
      </c>
      <c r="C25" s="1">
        <v>449</v>
      </c>
      <c r="D25" s="1">
        <v>469</v>
      </c>
      <c r="E25" s="1">
        <v>2024</v>
      </c>
      <c r="F25" s="5"/>
      <c r="G25" s="3">
        <f t="shared" si="4"/>
        <v>0</v>
      </c>
      <c r="H25" s="4">
        <f t="shared" si="5"/>
        <v>20</v>
      </c>
    </row>
    <row r="26" spans="1:8" ht="33.75" customHeight="1">
      <c r="A26" s="1">
        <v>4</v>
      </c>
      <c r="B26" s="9" t="s">
        <v>41</v>
      </c>
      <c r="C26" s="1">
        <v>449</v>
      </c>
      <c r="D26" s="1">
        <v>469</v>
      </c>
      <c r="E26" s="1">
        <v>2024</v>
      </c>
      <c r="F26" s="5"/>
      <c r="G26" s="3">
        <f t="shared" si="4"/>
        <v>0</v>
      </c>
      <c r="H26" s="4">
        <f t="shared" si="5"/>
        <v>20</v>
      </c>
    </row>
    <row r="27" spans="1:8" ht="33.75" customHeight="1">
      <c r="A27" s="1">
        <v>4</v>
      </c>
      <c r="B27" s="9" t="s">
        <v>43</v>
      </c>
      <c r="C27" s="1">
        <v>449</v>
      </c>
      <c r="D27" s="1">
        <v>469</v>
      </c>
      <c r="E27" s="1">
        <v>2024</v>
      </c>
      <c r="F27" s="5"/>
      <c r="G27" s="3">
        <f t="shared" si="4"/>
        <v>0</v>
      </c>
      <c r="H27" s="4">
        <f t="shared" si="5"/>
        <v>20</v>
      </c>
    </row>
    <row r="28" spans="1:8" ht="27.75" customHeight="1">
      <c r="A28" s="1">
        <v>4</v>
      </c>
      <c r="B28" s="9" t="s">
        <v>44</v>
      </c>
      <c r="C28" s="1">
        <v>449</v>
      </c>
      <c r="D28" s="1">
        <v>0</v>
      </c>
      <c r="E28" s="1"/>
      <c r="F28" s="5"/>
      <c r="G28" s="3">
        <f t="shared" si="4"/>
        <v>449</v>
      </c>
      <c r="H28" s="4">
        <f t="shared" si="5"/>
        <v>0</v>
      </c>
    </row>
    <row r="29" spans="1:8" ht="27.75" customHeight="1">
      <c r="A29" s="1">
        <v>4</v>
      </c>
      <c r="B29" s="9" t="s">
        <v>45</v>
      </c>
      <c r="C29" s="1">
        <v>440</v>
      </c>
      <c r="D29" s="1">
        <v>0</v>
      </c>
      <c r="E29" s="1"/>
      <c r="F29" s="5"/>
      <c r="G29" s="3">
        <f t="shared" si="4"/>
        <v>440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37</v>
      </c>
      <c r="C31" s="1">
        <v>376</v>
      </c>
      <c r="D31" s="1">
        <v>475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99</v>
      </c>
    </row>
    <row r="32" spans="1:8" ht="27.75" customHeight="1">
      <c r="A32" s="1">
        <v>5</v>
      </c>
      <c r="B32" s="9" t="s">
        <v>38</v>
      </c>
      <c r="C32" s="1">
        <v>376</v>
      </c>
      <c r="D32" s="1">
        <v>0</v>
      </c>
      <c r="E32" s="1"/>
      <c r="F32" s="5"/>
      <c r="G32" s="3">
        <f t="shared" si="6"/>
        <v>376</v>
      </c>
      <c r="H32" s="4">
        <f t="shared" si="7"/>
        <v>0</v>
      </c>
    </row>
    <row r="33" spans="1:8" ht="27.75" customHeight="1">
      <c r="A33" s="1">
        <v>5</v>
      </c>
      <c r="B33" s="9" t="s">
        <v>36</v>
      </c>
      <c r="C33" s="1">
        <v>376</v>
      </c>
      <c r="D33" s="1">
        <v>0</v>
      </c>
      <c r="E33" s="1"/>
      <c r="F33" s="5"/>
      <c r="G33" s="3">
        <f t="shared" si="6"/>
        <v>376</v>
      </c>
      <c r="H33" s="4">
        <f t="shared" si="7"/>
        <v>0</v>
      </c>
    </row>
    <row r="34" spans="1:8" ht="27.75" customHeight="1">
      <c r="A34" s="1">
        <v>5</v>
      </c>
      <c r="B34" s="9" t="s">
        <v>34</v>
      </c>
      <c r="C34" s="1">
        <v>376</v>
      </c>
      <c r="D34" s="1">
        <v>0</v>
      </c>
      <c r="E34" s="1"/>
      <c r="F34" s="5"/>
      <c r="G34" s="3">
        <f t="shared" si="6"/>
        <v>376</v>
      </c>
      <c r="H34" s="4">
        <f t="shared" si="7"/>
        <v>0</v>
      </c>
    </row>
    <row r="35" spans="1:8" ht="39" customHeight="1">
      <c r="A35" s="1">
        <v>5</v>
      </c>
      <c r="B35" s="9" t="s">
        <v>42</v>
      </c>
      <c r="C35" s="1">
        <v>376</v>
      </c>
      <c r="D35" s="1">
        <v>475</v>
      </c>
      <c r="E35" s="1">
        <v>2025</v>
      </c>
      <c r="F35" s="5"/>
      <c r="G35" s="3">
        <f t="shared" si="6"/>
        <v>0</v>
      </c>
      <c r="H35" s="4">
        <f t="shared" si="7"/>
        <v>99</v>
      </c>
    </row>
    <row r="36" spans="1:8" ht="27.75" customHeight="1">
      <c r="A36" s="1">
        <v>5</v>
      </c>
      <c r="B36" s="9" t="s">
        <v>41</v>
      </c>
      <c r="C36" s="1">
        <v>376</v>
      </c>
      <c r="D36" s="1">
        <v>475</v>
      </c>
      <c r="E36" s="1">
        <v>2025</v>
      </c>
      <c r="F36" s="1">
        <v>2025</v>
      </c>
      <c r="G36" s="3">
        <f t="shared" si="6"/>
        <v>0</v>
      </c>
      <c r="H36" s="4">
        <f t="shared" si="7"/>
        <v>99</v>
      </c>
    </row>
    <row r="37" spans="1:8" ht="27.75" customHeight="1">
      <c r="A37" s="1">
        <v>5</v>
      </c>
      <c r="B37" s="9" t="s">
        <v>43</v>
      </c>
      <c r="C37" s="1">
        <v>376</v>
      </c>
      <c r="D37" s="1">
        <v>475</v>
      </c>
      <c r="E37" s="1">
        <v>2025</v>
      </c>
      <c r="F37" s="5"/>
      <c r="G37" s="3">
        <f t="shared" si="6"/>
        <v>0</v>
      </c>
      <c r="H37" s="4">
        <f t="shared" si="7"/>
        <v>99</v>
      </c>
    </row>
    <row r="38" spans="1:8" ht="27.75" customHeight="1">
      <c r="A38" s="1">
        <v>5</v>
      </c>
      <c r="B38" s="9" t="s">
        <v>44</v>
      </c>
      <c r="C38" s="1">
        <v>376</v>
      </c>
      <c r="D38" s="1">
        <v>0</v>
      </c>
      <c r="E38" s="1"/>
      <c r="F38" s="5"/>
      <c r="G38" s="3">
        <f t="shared" si="6"/>
        <v>376</v>
      </c>
      <c r="H38" s="4">
        <f t="shared" si="7"/>
        <v>0</v>
      </c>
    </row>
    <row r="39" spans="1:8" ht="27.75" customHeight="1">
      <c r="A39" s="1">
        <v>5</v>
      </c>
      <c r="B39" s="9" t="s">
        <v>45</v>
      </c>
      <c r="C39" s="1">
        <v>376</v>
      </c>
      <c r="D39" s="1">
        <v>0</v>
      </c>
      <c r="E39" s="1"/>
      <c r="F39" s="5"/>
      <c r="G39" s="3">
        <f t="shared" si="6"/>
        <v>376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37</v>
      </c>
      <c r="C41" s="1">
        <v>365</v>
      </c>
      <c r="D41" s="1">
        <v>0</v>
      </c>
      <c r="E41" s="1"/>
      <c r="F41" s="5"/>
      <c r="G41" s="3">
        <f t="shared" ref="G41:G49" si="8">IF((C41-D41)&lt;0,0,C41-D41)</f>
        <v>365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38</v>
      </c>
      <c r="C42" s="1">
        <v>365</v>
      </c>
      <c r="D42" s="1">
        <v>0</v>
      </c>
      <c r="E42" s="1"/>
      <c r="F42" s="5"/>
      <c r="G42" s="3">
        <f t="shared" si="8"/>
        <v>365</v>
      </c>
      <c r="H42" s="4">
        <f t="shared" si="9"/>
        <v>0</v>
      </c>
    </row>
    <row r="43" spans="1:8" ht="27.75" customHeight="1">
      <c r="A43" s="1">
        <v>6</v>
      </c>
      <c r="B43" s="9" t="s">
        <v>36</v>
      </c>
      <c r="C43" s="1">
        <v>365</v>
      </c>
      <c r="D43" s="1">
        <v>0</v>
      </c>
      <c r="E43" s="1"/>
      <c r="F43" s="5"/>
      <c r="G43" s="3">
        <f t="shared" si="8"/>
        <v>365</v>
      </c>
      <c r="H43" s="4">
        <f t="shared" si="9"/>
        <v>0</v>
      </c>
    </row>
    <row r="44" spans="1:8" ht="27.75" customHeight="1">
      <c r="A44" s="1">
        <v>6</v>
      </c>
      <c r="B44" s="9" t="s">
        <v>34</v>
      </c>
      <c r="C44" s="1">
        <v>365</v>
      </c>
      <c r="D44" s="1">
        <v>0</v>
      </c>
      <c r="E44" s="1"/>
      <c r="F44" s="5"/>
      <c r="G44" s="3">
        <f t="shared" si="8"/>
        <v>365</v>
      </c>
      <c r="H44" s="4">
        <f t="shared" si="9"/>
        <v>0</v>
      </c>
    </row>
    <row r="45" spans="1:8" ht="36.75" customHeight="1">
      <c r="A45" s="1">
        <v>6</v>
      </c>
      <c r="B45" s="9" t="s">
        <v>42</v>
      </c>
      <c r="C45" s="1">
        <v>365</v>
      </c>
      <c r="D45" s="1">
        <v>0</v>
      </c>
      <c r="E45" s="1"/>
      <c r="F45" s="5"/>
      <c r="G45" s="3">
        <f t="shared" si="8"/>
        <v>365</v>
      </c>
      <c r="H45" s="4">
        <f t="shared" si="9"/>
        <v>0</v>
      </c>
    </row>
    <row r="46" spans="1:8" ht="27.75" customHeight="1">
      <c r="A46" s="1">
        <v>6</v>
      </c>
      <c r="B46" s="9" t="s">
        <v>41</v>
      </c>
      <c r="C46" s="1">
        <v>365</v>
      </c>
      <c r="D46" s="1">
        <v>0</v>
      </c>
      <c r="E46" s="1"/>
      <c r="F46" s="5"/>
      <c r="G46" s="3">
        <f t="shared" si="8"/>
        <v>365</v>
      </c>
      <c r="H46" s="4">
        <f t="shared" si="9"/>
        <v>0</v>
      </c>
    </row>
    <row r="47" spans="1:8" ht="27.75" customHeight="1">
      <c r="A47" s="1">
        <v>6</v>
      </c>
      <c r="B47" s="9" t="s">
        <v>43</v>
      </c>
      <c r="C47" s="1">
        <v>365</v>
      </c>
      <c r="D47" s="1">
        <v>0</v>
      </c>
      <c r="E47" s="1"/>
      <c r="F47" s="5"/>
      <c r="G47" s="3">
        <f t="shared" si="8"/>
        <v>365</v>
      </c>
      <c r="H47" s="4">
        <f t="shared" si="9"/>
        <v>0</v>
      </c>
    </row>
    <row r="48" spans="1:8" ht="27.75" customHeight="1">
      <c r="A48" s="1">
        <v>6</v>
      </c>
      <c r="B48" s="9" t="s">
        <v>44</v>
      </c>
      <c r="C48" s="1">
        <v>365</v>
      </c>
      <c r="D48" s="1">
        <v>0</v>
      </c>
      <c r="E48" s="1"/>
      <c r="F48" s="5"/>
      <c r="G48" s="3">
        <f t="shared" si="8"/>
        <v>365</v>
      </c>
      <c r="H48" s="4">
        <f t="shared" si="9"/>
        <v>0</v>
      </c>
    </row>
    <row r="49" spans="1:8" ht="27.75" customHeight="1">
      <c r="A49" s="1">
        <v>6</v>
      </c>
      <c r="B49" s="9" t="s">
        <v>45</v>
      </c>
      <c r="C49" s="1">
        <v>365</v>
      </c>
      <c r="D49" s="1">
        <v>0</v>
      </c>
      <c r="E49" s="1"/>
      <c r="F49" s="5"/>
      <c r="G49" s="3">
        <f t="shared" si="8"/>
        <v>365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39" customHeight="1"/>
    <row r="55" spans="1:8" ht="27.75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39.75" customHeight="1"/>
    <row r="91" ht="27.75" customHeight="1"/>
    <row r="92" ht="27.75" customHeight="1"/>
    <row r="93" ht="27.75" customHeight="1"/>
    <row r="94" ht="40.5" customHeight="1"/>
    <row r="95" ht="38.25" customHeight="1"/>
    <row r="96" ht="27.75" customHeight="1"/>
    <row r="97" ht="47.25" customHeight="1"/>
    <row r="98" ht="15"/>
  </sheetData>
  <protectedRanges>
    <protectedRange sqref="F36 C1:E49" name="Textbooks"/>
    <protectedRange sqref="F1:F35 F37:F49" name="SOURCE"/>
  </protectedRanges>
  <phoneticPr fontId="8" type="noConversion"/>
  <dataValidations count="3">
    <dataValidation type="list" allowBlank="1" showInputMessage="1" showErrorMessage="1" sqref="F36" xr:uid="{B46E7B13-721E-4D49-837E-C02BF9777D48}">
      <formula1>"2024,2025"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14:E19 E2:E6 E8:E12 E21:E29 E31:E39 E41:E49" xr:uid="{A492A4DA-BB3E-44E7-AB88-370B0DDC7CE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2026-04-07T00:20:58Z</dcterms:modified>
  <cp:category/>
  <cp:contentStatus/>
</cp:coreProperties>
</file>