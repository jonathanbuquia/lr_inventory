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6" documentId="13_ncr:1_{BFB59F67-F0DC-4675-A682-EB0734A8026A}" xr6:coauthVersionLast="47" xr6:coauthVersionMax="47" xr10:uidLastSave="{EB536860-E224-472D-A3DB-8AFC8E36CAF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<sst xmlns="http://schemas.openxmlformats.org/spreadsheetml/2006/main" count="234" uniqueCount="83">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</sst>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6"/>
      <color rgb="FF000000"/>
      <name val="Aptos Narrow"/>
      <family val="2"/>
    </font>
    <font>
      <sz val="14"/>
      <color rgb="FF000000"/>
      <name val="Cambria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3" fillId="0" borderId="10" xfId="0" applyFont="1" applyBorder="1"/>
    <xf numFmtId="0" fontId="14" fillId="0" borderId="10" xfId="0" applyFont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>
    <filterColumn colId="0">
      <filters>
        <filter val="10"/>
        <filter val="7"/>
        <filter val="8"/>
        <filter val="9"/>
        <filter val="SHS"/>
      </filters>
    </filterColumn>
  </autoFilter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L98" sqref="L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L76" sqref="L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7" t="s">
        <v>27</v>
      </c>
      <c r="E1" s="37"/>
      <c r="F1" s="37"/>
      <c r="G1" s="37"/>
      <c r="H1" s="37"/>
      <c r="I1" s="37"/>
      <c r="J1" s="38" t="s">
        <v>28</v>
      </c>
      <c r="K1" s="38"/>
      <c r="L1" s="38"/>
      <c r="M1" s="38"/>
      <c r="N1" s="38"/>
      <c r="O1" s="38"/>
      <c r="P1" s="39" t="s">
        <v>29</v>
      </c>
      <c r="Q1" s="39"/>
      <c r="R1" s="39"/>
      <c r="S1" s="39"/>
      <c r="T1" s="39"/>
      <c r="U1" s="39"/>
      <c r="V1" s="40" t="s">
        <v>30</v>
      </c>
      <c r="W1" s="40"/>
      <c r="X1" s="40"/>
      <c r="Y1" s="40"/>
      <c r="Z1" s="40"/>
      <c r="AA1" s="40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X43:X50 X33:X41 X23:X31 X13:X21 X3:X11 F52:F67 F43:F50 F33:F41 F23:F31 F13:F21 F3:F11 L52:L67 L43:L50 L33:L41 L23:L31 L13:L21 L3:L11 R52:R67 R43:R50 R33:R41 R23:R31 R13:R21 R3:R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A123"/>
  <sheetViews>
    <sheetView tabSelected="1" topLeftCell="S62" zoomScale="55" zoomScaleNormal="55" workbookViewId="0">
      <selection activeCell="A59" sqref="A59:AA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7" t="s">
        <v>27</v>
      </c>
      <c r="E1" s="37"/>
      <c r="F1" s="37"/>
      <c r="G1" s="37"/>
      <c r="H1" s="37"/>
      <c r="I1" s="37"/>
      <c r="J1" s="38" t="s">
        <v>28</v>
      </c>
      <c r="K1" s="38"/>
      <c r="L1" s="38"/>
      <c r="M1" s="38"/>
      <c r="N1" s="38"/>
      <c r="O1" s="38"/>
      <c r="P1" s="39" t="s">
        <v>29</v>
      </c>
      <c r="Q1" s="39"/>
      <c r="R1" s="39"/>
      <c r="S1" s="39"/>
      <c r="T1" s="39"/>
      <c r="U1" s="39"/>
      <c r="V1" s="40" t="s">
        <v>30</v>
      </c>
      <c r="W1" s="40"/>
      <c r="X1" s="40"/>
      <c r="Y1" s="40"/>
      <c r="Z1" s="40"/>
      <c r="AA1" s="40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149999999999999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149999999999999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19.149999999999999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149999999999999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149999999999999">
      <c r="A9" s="32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ht="19.149999999999999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149999999999999">
      <c r="A12" s="32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149999999999999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s="5" customFormat="1" ht="19.5" customHeight="1"/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149999999999999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149999999999999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149999999999999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149999999999999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149999999999999">
      <c r="A21" s="32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149999999999999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149999999999999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149999999999999">
      <c r="A24" s="32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149999999999999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s="5" customFormat="1" ht="39" customHeight="1"/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20.25">
      <c r="A28" s="8">
        <v>9</v>
      </c>
      <c r="B28" s="9" t="s">
        <v>9</v>
      </c>
      <c r="C28" s="8"/>
      <c r="D28" s="10">
        <f>Table14[[#This Row],[Enrolment S.Y. 2025-2026 ]]*8</f>
        <v>0</v>
      </c>
      <c r="E28" s="35">
        <v>500</v>
      </c>
      <c r="F28" s="8"/>
      <c r="G28" s="10"/>
      <c r="H28" s="10">
        <f t="shared" si="16"/>
        <v>0</v>
      </c>
      <c r="I28" s="10">
        <f t="shared" si="17"/>
        <v>500</v>
      </c>
      <c r="J28" s="10">
        <f>Table14[[#This Row],[Enrolment S.Y. 2025-2026 ]]*8</f>
        <v>0</v>
      </c>
      <c r="K28" s="36">
        <v>250</v>
      </c>
      <c r="L28" s="8"/>
      <c r="M28" s="10"/>
      <c r="N28" s="10">
        <f t="shared" si="14"/>
        <v>0</v>
      </c>
      <c r="O28" s="10">
        <f t="shared" si="15"/>
        <v>250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20.25">
      <c r="A29" s="8">
        <v>9</v>
      </c>
      <c r="B29" s="9" t="s">
        <v>10</v>
      </c>
      <c r="C29" s="8"/>
      <c r="D29" s="10">
        <f>Table14[[#This Row],[Enrolment S.Y. 2025-2026 ]]*8</f>
        <v>0</v>
      </c>
      <c r="E29" s="35">
        <v>500</v>
      </c>
      <c r="F29" s="8"/>
      <c r="G29" s="10"/>
      <c r="H29" s="10">
        <f t="shared" si="16"/>
        <v>0</v>
      </c>
      <c r="I29" s="10">
        <f t="shared" si="17"/>
        <v>500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36">
        <v>250</v>
      </c>
      <c r="R30" s="8"/>
      <c r="S30" s="10"/>
      <c r="T30" s="10">
        <f t="shared" si="10"/>
        <v>0</v>
      </c>
      <c r="U30" s="10">
        <f t="shared" si="11"/>
        <v>250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149999999999999">
      <c r="A33" s="32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149999999999999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149999999999999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149999999999999">
      <c r="A36" s="32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s="5" customFormat="1" ht="27" customHeight="1"/>
    <row r="39" spans="1:27" ht="20.25">
      <c r="A39" s="8">
        <v>10</v>
      </c>
      <c r="B39" s="9" t="s">
        <v>8</v>
      </c>
      <c r="C39" s="8"/>
      <c r="D39" s="10">
        <f>Table14[[#This Row],[Enrolment S.Y. 2025-2026 ]]*8</f>
        <v>0</v>
      </c>
      <c r="E39" s="35">
        <v>500</v>
      </c>
      <c r="F39" s="8"/>
      <c r="G39" s="10"/>
      <c r="H39" s="10">
        <f t="shared" si="16"/>
        <v>0</v>
      </c>
      <c r="I39" s="10">
        <f t="shared" si="17"/>
        <v>500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20.25">
      <c r="A40" s="8">
        <v>10</v>
      </c>
      <c r="B40" s="9" t="s">
        <v>9</v>
      </c>
      <c r="C40" s="8"/>
      <c r="D40" s="10">
        <f>Table14[[#This Row],[Enrolment S.Y. 2025-2026 ]]*8</f>
        <v>0</v>
      </c>
      <c r="E40" s="35">
        <v>500</v>
      </c>
      <c r="F40" s="8"/>
      <c r="G40" s="10"/>
      <c r="H40" s="10">
        <f t="shared" si="16"/>
        <v>0</v>
      </c>
      <c r="I40" s="10">
        <f t="shared" si="17"/>
        <v>500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20.2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35">
        <v>500</v>
      </c>
      <c r="F41" s="8"/>
      <c r="G41" s="10"/>
      <c r="H41" s="10">
        <f t="shared" si="16"/>
        <v>0</v>
      </c>
      <c r="I41" s="10">
        <f t="shared" si="17"/>
        <v>500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149999999999999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149999999999999">
      <c r="A45" s="32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149999999999999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149999999999999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149999999999999">
      <c r="A48" s="32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25.5" customHeight="1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s="5" customFormat="1" ht="18" customHeight="1"/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149999999999999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149999999999999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149999999999999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450000000000003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149999999999999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38.450000000000003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0.75" customHeight="1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1" spans="1:27" ht="15"/>
    <row r="62" spans="1:27" ht="15"/>
    <row r="63" spans="1:27" ht="15"/>
    <row r="64" spans="1:27" ht="15"/>
    <row r="65" ht="15"/>
    <row r="66" ht="15"/>
    <row r="67" ht="15"/>
    <row r="68" ht="15"/>
    <row r="69" ht="15"/>
    <row r="70" ht="15"/>
    <row r="71" ht="15"/>
    <row r="73" ht="15"/>
    <row r="74" ht="15"/>
    <row r="75" ht="15"/>
    <row r="76" ht="15"/>
    <row r="77" ht="15"/>
    <row r="78" ht="15"/>
    <row r="79" ht="15"/>
    <row r="80" ht="15"/>
    <row r="81" ht="15"/>
    <row r="82" ht="15"/>
    <row r="83" ht="15"/>
    <row r="85" ht="15"/>
    <row r="86" ht="15"/>
    <row r="87" ht="15"/>
    <row r="88" ht="15"/>
    <row r="89" ht="15"/>
    <row r="90" ht="15"/>
    <row r="91" ht="15"/>
    <row r="92" ht="15"/>
    <row r="93" ht="15"/>
    <row r="94" ht="15"/>
    <row r="95" ht="15"/>
    <row r="97" ht="15"/>
    <row r="98" ht="15"/>
    <row r="99" ht="15"/>
    <row r="100" ht="15"/>
    <row r="101" ht="15"/>
    <row r="102" ht="15"/>
    <row r="103" ht="15"/>
    <row r="104" ht="15"/>
    <row r="123" ht="15"/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3:F13 F15:F25 F27:F37 F39:F49 F51:F58 L51:L58 L39:L49 L27:L37 L15:L25 L3:L13 R51:R58 R39:R49 R27:R37 R15:R25 R3:R13 X51:X58 X39:X49 X27:X37 X15:X25 X3:X13" xr:uid="{85512902-34AA-492E-9196-7E7A375B305D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2026-04-07T02:29:27Z</dcterms:modified>
  <cp:category/>
  <cp:contentStatus/>
</cp:coreProperties>
</file>