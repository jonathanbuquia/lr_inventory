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49AE8080-844D-4820-8933-22359BF0D55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H49" i="5"/>
  <c r="J49" i="5"/>
  <c r="U49" i="5"/>
  <c r="T49" i="5"/>
  <c r="V49" i="5"/>
  <c r="Z49" i="5" s="1"/>
  <c r="H46" i="5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I50" i="5"/>
  <c r="V48" i="5"/>
  <c r="Z48" i="5" s="1"/>
  <c r="J48" i="5"/>
  <c r="I48" i="5"/>
  <c r="V47" i="5"/>
  <c r="AA47" i="5" s="1"/>
  <c r="J47" i="5"/>
  <c r="I47" i="5"/>
  <c r="V45" i="5"/>
  <c r="Z45" i="5" s="1"/>
  <c r="P45" i="5"/>
  <c r="J45" i="5"/>
  <c r="N45" i="5" s="1"/>
  <c r="I45" i="5"/>
  <c r="V44" i="5"/>
  <c r="AA44" i="5" s="1"/>
  <c r="P44" i="5"/>
  <c r="U44" i="5" s="1"/>
  <c r="J44" i="5"/>
  <c r="O44" i="5" s="1"/>
  <c r="I44" i="5"/>
  <c r="V43" i="5"/>
  <c r="Z43" i="5" s="1"/>
  <c r="P43" i="5"/>
  <c r="J43" i="5"/>
  <c r="N43" i="5" s="1"/>
  <c r="I43" i="5"/>
  <c r="V42" i="5"/>
  <c r="AA42" i="5" s="1"/>
  <c r="P42" i="5"/>
  <c r="U42" i="5" s="1"/>
  <c r="J42" i="5"/>
  <c r="O42" i="5" s="1"/>
  <c r="I42" i="5"/>
  <c r="V41" i="5"/>
  <c r="AA41" i="5" s="1"/>
  <c r="P41" i="5"/>
  <c r="J41" i="5"/>
  <c r="N41" i="5" s="1"/>
  <c r="I41" i="5"/>
  <c r="V40" i="5"/>
  <c r="AA40" i="5" s="1"/>
  <c r="P40" i="5"/>
  <c r="U40" i="5" s="1"/>
  <c r="J40" i="5"/>
  <c r="O40" i="5" s="1"/>
  <c r="I40" i="5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H16" i="4"/>
  <c r="I19" i="4"/>
  <c r="I20" i="4"/>
  <c r="I21" i="4"/>
  <c r="I22" i="4"/>
  <c r="H23" i="4"/>
  <c r="H24" i="4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<sst xmlns="http://schemas.openxmlformats.org/spreadsheetml/2006/main" count="244" uniqueCount="85">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</sst>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zoomScale="85" zoomScaleNormal="85" workbookViewId="0">
      <pane xSplit="2" topLeftCell="C47" activePane="topRight" state="frozen"/>
      <selection pane="topRight" activeCell="A2" sqref="A2:XFD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  <c r="I1" s="43"/>
      <c r="J1" s="43"/>
    </row>
    <row r="2" spans="1:10" ht="29.25" customHeight="1">
      <c r="A2" s="8">
        <v>7</v>
      </c>
      <c r="B2" s="9" t="s">
        <v>8</v>
      </c>
      <c r="C2" s="8"/>
      <c r="D2" s="8">
        <v>137</v>
      </c>
      <c r="E2" s="8"/>
      <c r="F2" s="10"/>
      <c r="G2" s="2">
        <f t="shared" ref="G2:G10" si="0">IF((C2-D2)&lt;0,0,C2-D2)</f>
        <v>0</v>
      </c>
      <c r="H2" s="3">
        <f t="shared" ref="H2:H10" si="1">IF((D2-C2)&lt;0,0,D2-C2)</f>
        <v>137</v>
      </c>
    </row>
    <row r="3" spans="1:10" ht="21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10" ht="25.5" customHeight="1">
      <c r="A4" s="8">
        <v>7</v>
      </c>
      <c r="B4" s="9" t="s">
        <v>10</v>
      </c>
      <c r="C4" s="8"/>
      <c r="D4" s="8">
        <v>137</v>
      </c>
      <c r="E4" s="8"/>
      <c r="F4" s="10"/>
      <c r="G4" s="2">
        <f t="shared" si="0"/>
        <v>0</v>
      </c>
      <c r="H4" s="3">
        <f t="shared" si="1"/>
        <v>137</v>
      </c>
    </row>
    <row r="5" spans="1:10" ht="19.5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10" ht="38.25">
      <c r="A6" s="8">
        <v>7</v>
      </c>
      <c r="B6" s="9" t="s">
        <v>12</v>
      </c>
      <c r="C6" s="8"/>
      <c r="D6" s="8">
        <v>137</v>
      </c>
      <c r="E6" s="8"/>
      <c r="F6" s="10"/>
      <c r="G6" s="2">
        <f t="shared" si="0"/>
        <v>0</v>
      </c>
      <c r="H6" s="3">
        <f t="shared" si="1"/>
        <v>137</v>
      </c>
    </row>
    <row r="7" spans="1:10" ht="39.75" customHeight="1">
      <c r="A7" s="8">
        <v>7</v>
      </c>
      <c r="B7" s="9" t="s">
        <v>13</v>
      </c>
      <c r="C7" s="8"/>
      <c r="D7" s="8">
        <v>137</v>
      </c>
      <c r="E7" s="8"/>
      <c r="F7" s="10"/>
      <c r="G7" s="2">
        <f t="shared" si="0"/>
        <v>0</v>
      </c>
      <c r="H7" s="3">
        <f t="shared" si="1"/>
        <v>137</v>
      </c>
    </row>
    <row r="8" spans="1:10" ht="29.25" customHeight="1">
      <c r="A8" s="8">
        <v>7</v>
      </c>
      <c r="B8" s="9" t="s">
        <v>14</v>
      </c>
      <c r="C8" s="8"/>
      <c r="D8" s="8">
        <v>137</v>
      </c>
      <c r="E8" s="8"/>
      <c r="F8" s="10"/>
      <c r="G8" s="2">
        <f t="shared" si="0"/>
        <v>0</v>
      </c>
      <c r="H8" s="3">
        <f t="shared" si="1"/>
        <v>137</v>
      </c>
    </row>
    <row r="9" spans="1:10" ht="28.5" customHeight="1">
      <c r="A9" s="8">
        <v>7</v>
      </c>
      <c r="B9" s="9" t="s">
        <v>15</v>
      </c>
      <c r="C9" s="8"/>
      <c r="D9" s="8">
        <v>137</v>
      </c>
      <c r="E9" s="8"/>
      <c r="F9" s="10"/>
      <c r="G9" s="2">
        <f t="shared" si="0"/>
        <v>0</v>
      </c>
      <c r="H9" s="3">
        <f t="shared" si="1"/>
        <v>137</v>
      </c>
    </row>
    <row r="10" spans="1:10" ht="24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10" ht="15">
      <c r="A11" s="5"/>
      <c r="B11" s="5"/>
      <c r="C11" s="6"/>
      <c r="D11" s="6"/>
      <c r="E11" s="6"/>
      <c r="F11" s="5"/>
      <c r="G11" s="5"/>
      <c r="H11" s="5"/>
    </row>
    <row r="12" spans="1:10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10" ht="49.5" customHeight="1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10" ht="29.25" customHeight="1">
      <c r="A14" s="8">
        <v>8</v>
      </c>
      <c r="B14" s="9" t="s">
        <v>10</v>
      </c>
      <c r="C14" s="8"/>
      <c r="D14" s="8">
        <v>160</v>
      </c>
      <c r="E14" s="8"/>
      <c r="F14" s="10"/>
      <c r="G14" s="2">
        <f t="shared" si="2"/>
        <v>0</v>
      </c>
      <c r="H14" s="3">
        <f t="shared" si="3"/>
        <v>160</v>
      </c>
    </row>
    <row r="15" spans="1:10" ht="27" customHeight="1">
      <c r="A15" s="8">
        <v>8</v>
      </c>
      <c r="B15" s="9" t="s">
        <v>11</v>
      </c>
      <c r="C15" s="8"/>
      <c r="D15" s="8">
        <v>160</v>
      </c>
      <c r="E15" s="8"/>
      <c r="F15" s="10"/>
      <c r="G15" s="2">
        <f t="shared" si="2"/>
        <v>0</v>
      </c>
      <c r="H15" s="3">
        <f t="shared" si="3"/>
        <v>160</v>
      </c>
    </row>
    <row r="16" spans="1:10" ht="23.25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1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19.5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28.5" customHeight="1">
      <c r="A20" s="8">
        <v>8</v>
      </c>
      <c r="B20" s="9" t="s">
        <v>16</v>
      </c>
      <c r="C20" s="8"/>
      <c r="D20" s="8">
        <v>137</v>
      </c>
      <c r="E20" s="8"/>
      <c r="F20" s="10"/>
      <c r="G20" s="2">
        <f t="shared" si="2"/>
        <v>0</v>
      </c>
      <c r="H20" s="3">
        <f t="shared" si="3"/>
        <v>137</v>
      </c>
    </row>
    <row r="21" spans="1:8" ht="24" customHeight="1">
      <c r="A21" s="5"/>
      <c r="B21" s="5"/>
      <c r="C21" s="6"/>
      <c r="D21" s="6"/>
      <c r="E21" s="6"/>
      <c r="F21" s="5"/>
      <c r="G21" s="5"/>
      <c r="H21" s="5"/>
    </row>
    <row r="22" spans="1:8" ht="19.5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27" customHeight="1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33.75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27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39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27.75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36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27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10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10" ht="27.75" customHeight="1">
      <c r="J50">
        <v>137</v>
      </c>
    </row>
    <row r="51" spans="1:10" ht="27.75" customHeight="1">
      <c r="J51">
        <v>0</v>
      </c>
    </row>
    <row r="52" spans="1:10" ht="27.75" customHeight="1">
      <c r="J52">
        <v>137</v>
      </c>
    </row>
    <row r="53" spans="1:10" ht="27.75" customHeight="1">
      <c r="J53">
        <v>0</v>
      </c>
    </row>
    <row r="54" spans="1:10" ht="39" customHeight="1">
      <c r="J54">
        <v>135</v>
      </c>
    </row>
    <row r="55" spans="1:10" ht="27.75" customHeight="1">
      <c r="J55">
        <v>133</v>
      </c>
    </row>
    <row r="56" spans="1:10" ht="27.75" customHeight="1"/>
    <row r="57" spans="1:10" ht="27.75" customHeight="1">
      <c r="J57">
        <v>136</v>
      </c>
    </row>
    <row r="58" spans="1:10" ht="27.75" customHeight="1"/>
    <row r="59" spans="1:10" ht="27.75" customHeight="1"/>
    <row r="60" spans="1:10" ht="27.75" customHeight="1"/>
    <row r="61" spans="1:10" ht="27.75" customHeight="1"/>
    <row r="62" spans="1:10" ht="27.75" customHeight="1">
      <c r="J62">
        <v>160</v>
      </c>
    </row>
    <row r="63" spans="1:10" ht="27.75" customHeight="1">
      <c r="J63">
        <v>160</v>
      </c>
    </row>
    <row r="64" spans="1:10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spans="10:10" ht="27.75" customHeight="1">
      <c r="J81">
        <v>20</v>
      </c>
    </row>
    <row r="82" spans="10:10" ht="27.75" customHeight="1"/>
    <row r="83" spans="10:10" ht="27.75" customHeight="1"/>
    <row r="84" spans="10:10" ht="27.75" customHeight="1"/>
    <row r="85" spans="10:10" ht="27.75" customHeight="1"/>
    <row r="86" spans="10:10" ht="27.75" customHeight="1"/>
    <row r="87" spans="10:10" ht="27.75" customHeight="1"/>
    <row r="88" spans="10:10" ht="27.75" customHeight="1"/>
    <row r="89" spans="10:10" ht="27.75" customHeight="1"/>
    <row r="90" spans="10:10" ht="39.75" customHeight="1"/>
    <row r="91" spans="10:10" ht="27.75" customHeight="1"/>
    <row r="92" spans="10:10" ht="27.75" customHeight="1"/>
    <row r="93" spans="10:10" ht="27.75" customHeight="1"/>
    <row r="94" spans="10:10" ht="40.5" customHeight="1"/>
    <row r="95" spans="10:10" ht="38.25" customHeight="1"/>
    <row r="96" spans="10:10" ht="27.75" customHeight="1"/>
    <row r="97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7" t="s">
        <v>40</v>
      </c>
      <c r="N2" s="37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8" t="s">
        <v>52</v>
      </c>
      <c r="Z2" s="38" t="s">
        <v>53</v>
      </c>
      <c r="AA2" s="24" t="s">
        <v>54</v>
      </c>
    </row>
    <row r="3" spans="1:27" ht="30.6" customHeight="1">
      <c r="A3" s="36" t="s">
        <v>55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25.5" customHeight="1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/>
      <c r="D12" s="10">
        <f>Table1[[#This Row],[Enrolment S.Y. 2025-2026 ]]*8</f>
        <v>0</v>
      </c>
      <c r="E12" s="10"/>
      <c r="F12" s="8"/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v>22</v>
      </c>
      <c r="E16" s="10"/>
      <c r="F16" s="8"/>
      <c r="G16" s="10"/>
      <c r="H16" s="10">
        <f t="shared" si="2"/>
        <v>22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/>
      <c r="D17" s="10">
        <v>16</v>
      </c>
      <c r="E17" s="10"/>
      <c r="F17" s="8"/>
      <c r="G17" s="10"/>
      <c r="H17" s="10">
        <f t="shared" si="2"/>
        <v>16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/>
      <c r="D18" s="10">
        <v>18</v>
      </c>
      <c r="E18" s="10"/>
      <c r="F18" s="8"/>
      <c r="G18" s="10"/>
      <c r="H18" s="10">
        <f t="shared" si="2"/>
        <v>18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/>
      <c r="D19" s="10">
        <v>22</v>
      </c>
      <c r="E19" s="10"/>
      <c r="F19" s="8"/>
      <c r="G19" s="10"/>
      <c r="H19" s="10">
        <f t="shared" si="2"/>
        <v>22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/>
      <c r="D20" s="10">
        <v>22</v>
      </c>
      <c r="E20" s="10"/>
      <c r="F20" s="8"/>
      <c r="G20" s="10"/>
      <c r="H20" s="10">
        <f t="shared" si="2"/>
        <v>22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/>
      <c r="D21" s="10">
        <v>22</v>
      </c>
      <c r="E21" s="10"/>
      <c r="F21" s="8"/>
      <c r="G21" s="10"/>
      <c r="H21" s="10">
        <f t="shared" ref="H21:H70" si="16">IF((D21-E21)&lt;0,0,(D21-E21))</f>
        <v>22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/>
      <c r="D22" s="10">
        <v>22</v>
      </c>
      <c r="E22" s="10"/>
      <c r="F22" s="8"/>
      <c r="G22" s="10"/>
      <c r="H22" s="10">
        <f t="shared" si="16"/>
        <v>22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/>
      <c r="D23" s="10">
        <v>22</v>
      </c>
      <c r="E23" s="10"/>
      <c r="F23" s="8"/>
      <c r="G23" s="10"/>
      <c r="H23" s="10">
        <f t="shared" si="16"/>
        <v>22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/>
      <c r="D24" s="10">
        <v>22</v>
      </c>
      <c r="E24" s="10"/>
      <c r="F24" s="8"/>
      <c r="G24" s="10"/>
      <c r="H24" s="10">
        <f t="shared" si="16"/>
        <v>22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/>
      <c r="D43" s="10">
        <f>Table1[[#This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/>
      <c r="D44" s="10">
        <f>Table1[[#This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18</v>
      </c>
      <c r="B47" s="7" t="s">
        <v>20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18</v>
      </c>
      <c r="B48" s="7" t="s">
        <v>21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18</v>
      </c>
      <c r="B49" s="7" t="s">
        <v>22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18</v>
      </c>
      <c r="B50" s="7" t="s">
        <v>23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18</v>
      </c>
      <c r="B51" s="7" t="s">
        <v>24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18</v>
      </c>
      <c r="B52" s="7" t="s">
        <v>25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18</v>
      </c>
      <c r="B53" s="7" t="s">
        <v>26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X55:X70 X46:X53 X36:X44 X26:X34 X16:X24 X6:X14 F55:F70 F46:F53 F36:F44 F26:F34 F16:F24 F6:F14 L55:L70 L46:L53 L36:L44 L26:L34 L16:L24 L6:L14 R55:R70 R46:R53 R36:R44 R26:R34 R16:R24 R6:R14" xr:uid="{4ECCD083-8EC4-42EE-B46C-B614411F330D}">
      <formula1>"2024,2025,2026"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7" t="s">
        <v>65</v>
      </c>
      <c r="N2" s="37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8" t="s">
        <v>77</v>
      </c>
      <c r="Z2" s="38" t="s">
        <v>78</v>
      </c>
      <c r="AA2" s="24" t="s">
        <v>79</v>
      </c>
    </row>
    <row r="3" spans="1:27" ht="32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80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81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82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83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>
        <v>22</v>
      </c>
      <c r="F16" s="8">
        <v>2025</v>
      </c>
      <c r="G16" s="10" t="s">
        <v>84</v>
      </c>
      <c r="H16" s="10">
        <f t="shared" si="0"/>
        <v>0</v>
      </c>
      <c r="I16" s="10">
        <f t="shared" si="1"/>
        <v>22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/>
      <c r="D17" s="10">
        <f>Table14[[#This Row],[Enrolment S.Y. 2025-2026 ]]*8</f>
        <v>0</v>
      </c>
      <c r="E17" s="10">
        <v>16</v>
      </c>
      <c r="F17" s="8">
        <v>2025</v>
      </c>
      <c r="G17" s="10" t="s">
        <v>84</v>
      </c>
      <c r="H17" s="10">
        <f t="shared" si="0"/>
        <v>0</v>
      </c>
      <c r="I17" s="10">
        <f t="shared" si="1"/>
        <v>16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/>
      <c r="D18" s="10">
        <f>Table14[[#This Row],[Enrolment S.Y. 2025-2026 ]]*8</f>
        <v>0</v>
      </c>
      <c r="E18" s="10">
        <v>18</v>
      </c>
      <c r="F18" s="8">
        <v>2025</v>
      </c>
      <c r="G18" s="10" t="s">
        <v>84</v>
      </c>
      <c r="H18" s="10">
        <f t="shared" si="0"/>
        <v>0</v>
      </c>
      <c r="I18" s="10">
        <f t="shared" si="1"/>
        <v>18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/>
      <c r="D19" s="10">
        <f>Table14[[#This Row],[Enrolment S.Y. 2025-2026 ]]*8</f>
        <v>0</v>
      </c>
      <c r="E19" s="10">
        <v>22</v>
      </c>
      <c r="F19" s="8">
        <v>2025</v>
      </c>
      <c r="G19" s="10" t="s">
        <v>84</v>
      </c>
      <c r="H19" s="10">
        <f t="shared" si="0"/>
        <v>0</v>
      </c>
      <c r="I19" s="10">
        <f t="shared" si="1"/>
        <v>22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/>
      <c r="D20" s="10">
        <f>Table14[[#This Row],[Enrolment S.Y. 2025-2026 ]]*8</f>
        <v>0</v>
      </c>
      <c r="E20" s="10">
        <v>22</v>
      </c>
      <c r="F20" s="8">
        <v>2025</v>
      </c>
      <c r="G20" s="10" t="s">
        <v>84</v>
      </c>
      <c r="H20" s="10">
        <f t="shared" si="0"/>
        <v>0</v>
      </c>
      <c r="I20" s="10">
        <f t="shared" si="1"/>
        <v>22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/>
      <c r="D21" s="10">
        <f>Table14[[#This Row],[Enrolment S.Y. 2025-2026 ]]*8</f>
        <v>0</v>
      </c>
      <c r="E21" s="10">
        <v>22</v>
      </c>
      <c r="F21" s="8">
        <v>2025</v>
      </c>
      <c r="G21" s="10" t="s">
        <v>84</v>
      </c>
      <c r="H21" s="10">
        <f t="shared" ref="H21:H59" si="16">IF((D21-E21)&lt;0,0,(D21-E21))</f>
        <v>0</v>
      </c>
      <c r="I21" s="10">
        <f t="shared" ref="I21:I59" si="17">IF((E21-D21)&lt;0,0,(E21-D21))</f>
        <v>22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80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81</v>
      </c>
      <c r="C23" s="8"/>
      <c r="D23" s="10">
        <f>Table14[[#This Row],[Enrolment S.Y. 2025-2026 ]]*8</f>
        <v>0</v>
      </c>
      <c r="E23" s="10">
        <v>22</v>
      </c>
      <c r="F23" s="8">
        <v>2025</v>
      </c>
      <c r="G23" s="10" t="s">
        <v>84</v>
      </c>
      <c r="H23" s="10">
        <f t="shared" si="16"/>
        <v>0</v>
      </c>
      <c r="I23" s="10">
        <f t="shared" si="17"/>
        <v>22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/>
      <c r="D24" s="10">
        <f>Table14[[#This Row],[Enrolment S.Y. 2025-2026 ]]*8</f>
        <v>0</v>
      </c>
      <c r="E24" s="10">
        <v>22</v>
      </c>
      <c r="F24" s="8">
        <v>2025</v>
      </c>
      <c r="G24" s="10" t="s">
        <v>84</v>
      </c>
      <c r="H24" s="10">
        <f t="shared" si="16"/>
        <v>0</v>
      </c>
      <c r="I24" s="10">
        <f t="shared" si="17"/>
        <v>22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82</v>
      </c>
      <c r="C25" s="10"/>
      <c r="D25" s="10">
        <f>Table14[[#This Row],[Enrolment S.Y. 2025-2026 ]]*8</f>
        <v>0</v>
      </c>
      <c r="E25" s="10">
        <v>22</v>
      </c>
      <c r="F25" s="8">
        <v>2025</v>
      </c>
      <c r="G25" s="10" t="s">
        <v>84</v>
      </c>
      <c r="H25" s="10">
        <f>IF((D25-E25)&lt;0,0,(D25-E25))</f>
        <v>0</v>
      </c>
      <c r="I25" s="10">
        <f>IF((E25-D25)&lt;0,0,(E25-D25))</f>
        <v>22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83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81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83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/>
      <c r="D41" s="10"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/>
      <c r="D42" s="10"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/>
      <c r="D43" s="10"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/>
      <c r="D44" s="10"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/>
      <c r="D45" s="10"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80</v>
      </c>
      <c r="C46" s="8"/>
      <c r="D46" s="10"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81</v>
      </c>
      <c r="C47" s="8"/>
      <c r="D47" s="10"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/>
      <c r="D48" s="10"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82</v>
      </c>
      <c r="C49" s="8"/>
      <c r="D49" s="10"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83</v>
      </c>
      <c r="C50" s="8"/>
      <c r="D50" s="10"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20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21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18</v>
      </c>
      <c r="B55" s="7" t="s">
        <v>22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23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18</v>
      </c>
      <c r="B57" s="7" t="s">
        <v>24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18</v>
      </c>
      <c r="B58" s="7" t="s">
        <v>25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18</v>
      </c>
      <c r="B59" s="7" t="s">
        <v>26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N28:R38 N40:R50 D16:F26 N4:R14 N16:R26 P2:R2 D4:F14 D28:F38 D52:F59 T4:X14 V2:X2 Z4:AA14 H4:L14 T16:X26 Z16:AA26 H16:L26 T28:X38 Z28:AA38 H28:L38 T40:X50 Z40:AA50 H40:L50 N52:R59 T52:X59 Z52:AA59 H52:L59 D40:F50 D2:F2" name="LAS"/>
    <protectedRange sqref="G2:I2 M2:O2 S2:U2 Y2:AA2 G52:G59 M52:M59 S52:S59 G16:G26 Y4:Y14 G4:G14 M4:M14 S4:S14 Y16:Y26 M16:M26 S16:S26 Y28:Y38 G28:G38 M28:M38 S28:S38 Y40:Y50 G40:G50 M40:M50 S40:S50 Y52:Y5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M52:M59 Y16:Y26 Y28:Y38 S28:S38 M28:M38 G28:G38 G40:G50 Y40:Y50 S40:S50 M40:M50 G16:G26" xr:uid="{CBD486C7-A5DB-48F1-B496-5027CC51E830}">
      <formula1>"CO,RO,SDO,LGU,SCHOOL"</formula1>
    </dataValidation>
    <dataValidation type="list" allowBlank="1" showInputMessage="1" showErrorMessage="1" sqref="X52:X59 X40:X50 X28:X38 X16:X26 X4:X14 F52:F59 F40:F50 F28:F38 F16:F26 F4:F14 L52:L59 L40:L50 L28:L38 L16:L26 L4:L14 R52:R59 R40:R50 R28:R38 R16:R26 R4:R14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2026-04-07T03:34:58Z</dcterms:modified>
  <cp:category/>
  <cp:contentStatus/>
</cp:coreProperties>
</file>