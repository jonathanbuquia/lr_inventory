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618" documentId="13_ncr:1_{BFB59F67-F0DC-4675-A682-EB0734A8026A}" xr6:coauthVersionLast="47" xr6:coauthVersionMax="47" xr10:uidLastSave="{7BB49E85-1640-4A2C-A978-3C52728348A4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V52" i="4"/>
  <c r="Z52" i="4" s="1"/>
  <c r="V53" i="4"/>
  <c r="Z53" i="4" s="1"/>
  <c r="V54" i="4"/>
  <c r="AA54" i="4" s="1"/>
  <c r="V55" i="4"/>
  <c r="Z55" i="4" s="1"/>
  <c r="V56" i="4"/>
  <c r="AA56" i="4" s="1"/>
  <c r="V57" i="4"/>
  <c r="Z57" i="4" s="1"/>
  <c r="V58" i="4"/>
  <c r="AA58" i="4" s="1"/>
  <c r="V59" i="4"/>
  <c r="V60" i="4"/>
  <c r="Z60" i="4" s="1"/>
  <c r="V61" i="4"/>
  <c r="Z61" i="4" s="1"/>
  <c r="V62" i="4"/>
  <c r="AA62" i="4" s="1"/>
  <c r="V63" i="4"/>
  <c r="Z63" i="4" s="1"/>
  <c r="V64" i="4"/>
  <c r="Z64" i="4" s="1"/>
  <c r="V65" i="4"/>
  <c r="Z65" i="4" s="1"/>
  <c r="V66" i="4"/>
  <c r="AA66" i="4" s="1"/>
  <c r="T67" i="4"/>
  <c r="U67" i="4"/>
  <c r="V67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P52" i="4"/>
  <c r="P53" i="4"/>
  <c r="T53" i="4" s="1"/>
  <c r="P54" i="4"/>
  <c r="T54" i="4" s="1"/>
  <c r="P55" i="4"/>
  <c r="T55" i="4" s="1"/>
  <c r="P56" i="4"/>
  <c r="P57" i="4"/>
  <c r="U57" i="4" s="1"/>
  <c r="P58" i="4"/>
  <c r="T58" i="4" s="1"/>
  <c r="P59" i="4"/>
  <c r="T59" i="4" s="1"/>
  <c r="P60" i="4"/>
  <c r="P61" i="4"/>
  <c r="T61" i="4" s="1"/>
  <c r="P62" i="4"/>
  <c r="T62" i="4" s="1"/>
  <c r="P63" i="4"/>
  <c r="T63" i="4" s="1"/>
  <c r="P64" i="4"/>
  <c r="P65" i="4"/>
  <c r="U65" i="4" s="1"/>
  <c r="P66" i="4"/>
  <c r="T66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J52" i="4"/>
  <c r="N52" i="4" s="1"/>
  <c r="J53" i="4"/>
  <c r="N53" i="4" s="1"/>
  <c r="J54" i="4"/>
  <c r="O54" i="4" s="1"/>
  <c r="J55" i="4"/>
  <c r="N55" i="4" s="1"/>
  <c r="J56" i="4"/>
  <c r="N56" i="4" s="1"/>
  <c r="J57" i="4"/>
  <c r="O57" i="4" s="1"/>
  <c r="J58" i="4"/>
  <c r="O58" i="4" s="1"/>
  <c r="J59" i="4"/>
  <c r="N59" i="4" s="1"/>
  <c r="J60" i="4"/>
  <c r="N60" i="4" s="1"/>
  <c r="J61" i="4"/>
  <c r="N61" i="4" s="1"/>
  <c r="J62" i="4"/>
  <c r="O62" i="4" s="1"/>
  <c r="J63" i="4"/>
  <c r="N63" i="4" s="1"/>
  <c r="J64" i="4"/>
  <c r="N64" i="4" s="1"/>
  <c r="J65" i="4"/>
  <c r="O65" i="4" s="1"/>
  <c r="J66" i="4"/>
  <c r="O66" i="4" s="1"/>
  <c r="J67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Z66" i="4"/>
  <c r="Z56" i="4"/>
  <c r="T21" i="4"/>
  <c r="U5" i="4"/>
  <c r="U54" i="4"/>
  <c r="O28" i="4"/>
  <c r="AA43" i="4"/>
  <c r="Z20" i="4"/>
  <c r="AA7" i="4"/>
  <c r="O59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64" i="4"/>
  <c r="Z54" i="4"/>
  <c r="AA29" i="4"/>
  <c r="Z18" i="4"/>
  <c r="N65" i="4"/>
  <c r="N39" i="4"/>
  <c r="O33" i="4"/>
  <c r="U58" i="4"/>
  <c r="U53" i="4"/>
  <c r="U36" i="4"/>
  <c r="T4" i="4"/>
  <c r="AA52" i="4"/>
  <c r="Z40" i="4"/>
  <c r="AA16" i="4"/>
  <c r="Z5" i="4"/>
  <c r="N21" i="4"/>
  <c r="O63" i="4"/>
  <c r="N57" i="4"/>
  <c r="O50" i="4"/>
  <c r="N45" i="4"/>
  <c r="O19" i="4"/>
  <c r="U62" i="4"/>
  <c r="T30" i="4"/>
  <c r="U14" i="4"/>
  <c r="U8" i="4"/>
  <c r="Z62" i="4"/>
  <c r="AA38" i="4"/>
  <c r="Z27" i="4"/>
  <c r="AA3" i="4"/>
  <c r="Z31" i="4"/>
  <c r="N13" i="4"/>
  <c r="O6" i="4"/>
  <c r="T57" i="4"/>
  <c r="U40" i="4"/>
  <c r="U35" i="4"/>
  <c r="U18" i="4"/>
  <c r="AA60" i="4"/>
  <c r="Z49" i="4"/>
  <c r="AA25" i="4"/>
  <c r="Z14" i="4"/>
  <c r="O37" i="4"/>
  <c r="N30" i="4"/>
  <c r="O24" i="4"/>
  <c r="N18" i="4"/>
  <c r="U66" i="4"/>
  <c r="U61" i="4"/>
  <c r="U45" i="4"/>
  <c r="T13" i="4"/>
  <c r="AA47" i="4"/>
  <c r="Z36" i="4"/>
  <c r="AA11" i="4"/>
  <c r="N66" i="4"/>
  <c r="O55" i="4"/>
  <c r="N48" i="4"/>
  <c r="T39" i="4"/>
  <c r="U23" i="4"/>
  <c r="U17" i="4"/>
  <c r="Z58" i="4"/>
  <c r="AA34" i="4"/>
  <c r="Z23" i="4"/>
  <c r="O41" i="4"/>
  <c r="O10" i="4"/>
  <c r="N4" i="4"/>
  <c r="T65" i="4"/>
  <c r="U49" i="4"/>
  <c r="U27" i="4"/>
  <c r="Z45" i="4"/>
  <c r="Z9" i="4"/>
  <c r="T11" i="4"/>
  <c r="U11" i="4"/>
  <c r="T52" i="4"/>
  <c r="U52" i="4"/>
  <c r="N36" i="4"/>
  <c r="N14" i="4"/>
  <c r="T3" i="4"/>
  <c r="U3" i="4"/>
  <c r="Z67" i="4"/>
  <c r="AA67" i="4"/>
  <c r="N62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56" i="4"/>
  <c r="U56" i="4"/>
  <c r="T34" i="4"/>
  <c r="U34" i="4"/>
  <c r="T60" i="4"/>
  <c r="U60" i="4"/>
  <c r="T64" i="4"/>
  <c r="U64" i="4"/>
  <c r="T43" i="4"/>
  <c r="U43" i="4"/>
  <c r="N27" i="4"/>
  <c r="N5" i="4"/>
  <c r="Z59" i="4"/>
  <c r="AA59" i="4"/>
  <c r="N54" i="4"/>
  <c r="N31" i="4"/>
  <c r="T20" i="4"/>
  <c r="U20" i="4"/>
  <c r="N58" i="4"/>
  <c r="T47" i="4"/>
  <c r="U47" i="4"/>
  <c r="T25" i="4"/>
  <c r="U25" i="4"/>
  <c r="N9" i="4"/>
  <c r="Z50" i="4"/>
  <c r="AA50" i="4"/>
  <c r="O64" i="4"/>
  <c r="O56" i="4"/>
  <c r="O47" i="4"/>
  <c r="O38" i="4"/>
  <c r="O29" i="4"/>
  <c r="O20" i="4"/>
  <c r="O11" i="4"/>
  <c r="O3" i="4"/>
  <c r="U63" i="4"/>
  <c r="U55" i="4"/>
  <c r="U46" i="4"/>
  <c r="U37" i="4"/>
  <c r="U28" i="4"/>
  <c r="U19" i="4"/>
  <c r="U10" i="4"/>
  <c r="AA63" i="4"/>
  <c r="AA55" i="4"/>
  <c r="AA46" i="4"/>
  <c r="AA37" i="4"/>
  <c r="AA28" i="4"/>
  <c r="AA24" i="4"/>
  <c r="AA19" i="4"/>
  <c r="AA15" i="4"/>
  <c r="AA10" i="4"/>
  <c r="AA6" i="4"/>
  <c r="O61" i="4"/>
  <c r="O53" i="4"/>
  <c r="O44" i="4"/>
  <c r="O35" i="4"/>
  <c r="O26" i="4"/>
  <c r="O17" i="4"/>
  <c r="O8" i="4"/>
  <c r="O60" i="4"/>
  <c r="O52" i="4"/>
  <c r="O43" i="4"/>
  <c r="O34" i="4"/>
  <c r="O25" i="4"/>
  <c r="O16" i="4"/>
  <c r="O7" i="4"/>
  <c r="U59" i="4"/>
  <c r="U50" i="4"/>
  <c r="U41" i="4"/>
  <c r="U33" i="4"/>
  <c r="U24" i="4"/>
  <c r="U15" i="4"/>
  <c r="U6" i="4"/>
  <c r="AA65" i="4"/>
  <c r="AA61" i="4"/>
  <c r="AA57" i="4"/>
  <c r="AA53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O67" i="4"/>
  <c r="N67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<sst xmlns="http://schemas.openxmlformats.org/spreadsheetml/2006/main" count="345" uniqueCount="86">
  <si>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</si>
  <si>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</si>
  <si>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</si>
  <si>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</si>
  <si>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</si>
  <si>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</si>
  <si>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</si>
  <si>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</si>
  <si>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</si>
  <si>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</si>
  <si>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</si>
  <si>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</si>
  <si>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</si>
  <si>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</si>
  <si>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</si>
  <si>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</si>
  <si>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</si>
  <si>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</si>
  <si>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</si>
  <si>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</si>
  <si>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</si>
  <si>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</si>
  <si>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</si>
  <si>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</si>
  <si>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</si>
  <si>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</si>
  <si>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</si>
  <si>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</si>
  <si>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</si>
  <si>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</si>
  <si>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</si>
  <si>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</si>
  <si>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</si>
  <si>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</si>
  <si>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</si>
  <si>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</si>
  <si>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</si>
  <si>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</si>
  <si>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</si>
  <si>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</si>
  <si>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</si>
  <si>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</si>
  <si>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</si>
  <si>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</si>
  <si>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</si>
  <si>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</si>
  <si>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</si>
  <si>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</si>
  <si>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</si>
  <si>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</si>
  <si>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</si>
  <si>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</si>
  <si>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</si>
  <si>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</si>
  <si>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</si>
  <si>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</si>
  <si>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SDO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</si>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</sst>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3" fontId="1" fillId="9" borderId="1" xfId="0" applyNumberFormat="1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7" totalsRowShown="0" dataDxfId="59" headerRowBorderDxfId="57" tableBorderDxfId="58">
  <autoFilter ref="A2:AA6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58" totalsRowShown="0" dataDxfId="29" headerRowBorderDxfId="27" tableBorderDxfId="28">
  <autoFilter ref="A2:AA58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8"/>
  <sheetViews>
    <sheetView zoomScale="85" zoomScaleNormal="85" workbookViewId="0">
      <selection activeCell="G100" sqref="G10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11" s="13" customFormat="1" ht="64.900000000000006" customHeight="1">
      <c r="A1" s="14" t="s">
        <v>0</v>
      </c>
      <c r="B1" s="14" t="s">
        <v>1</v>
      </c>
      <c r="C1" s="15" t="s">
        <v>2</v>
      </c>
      <c r="D1" s="15" t="s">
        <v>3</v>
      </c>
      <c r="E1" s="15" t="s">
        <v>4</v>
      </c>
      <c r="F1" s="16" t="s">
        <v>5</v>
      </c>
      <c r="G1" s="17" t="s">
        <v>6</v>
      </c>
      <c r="H1" s="18" t="s">
        <v>7</v>
      </c>
      <c r="I1" s="5"/>
      <c r="J1" s="5"/>
      <c r="K1" s="5"/>
    </row>
    <row r="2" spans="1:11" ht="42.75" customHeight="1">
      <c r="A2" s="9">
        <v>7</v>
      </c>
      <c r="B2" s="10" t="s">
        <v>8</v>
      </c>
      <c r="C2" s="9">
        <v>833</v>
      </c>
      <c r="D2" s="36">
        <v>1010</v>
      </c>
      <c r="E2" s="9">
        <v>2025</v>
      </c>
      <c r="F2" s="11" t="s">
        <v>9</v>
      </c>
      <c r="G2" s="2">
        <f t="shared" ref="G2:G10" si="0">IF((C2-D2)&lt;0,0,C2-D2)</f>
        <v>0</v>
      </c>
      <c r="H2" s="3">
        <f t="shared" ref="H2:H10" si="1">IF((D2-C2)&lt;0,0,D2-C2)</f>
        <v>177</v>
      </c>
    </row>
    <row r="3" spans="1:11" ht="29.25" customHeight="1">
      <c r="A3" s="9">
        <v>7</v>
      </c>
      <c r="B3" s="10" t="s">
        <v>10</v>
      </c>
      <c r="C3" s="9">
        <v>833</v>
      </c>
      <c r="D3" s="36">
        <v>531</v>
      </c>
      <c r="E3" s="9"/>
      <c r="F3" s="11"/>
      <c r="G3" s="2">
        <f t="shared" si="0"/>
        <v>302</v>
      </c>
      <c r="H3" s="3">
        <f t="shared" si="1"/>
        <v>0</v>
      </c>
    </row>
    <row r="4" spans="1:11" ht="21" customHeight="1">
      <c r="A4" s="9">
        <v>7</v>
      </c>
      <c r="B4" s="10" t="s">
        <v>11</v>
      </c>
      <c r="C4" s="9">
        <v>833</v>
      </c>
      <c r="D4" s="36">
        <v>1010</v>
      </c>
      <c r="E4" s="9">
        <v>2024</v>
      </c>
      <c r="F4" s="11" t="s">
        <v>9</v>
      </c>
      <c r="G4" s="2">
        <f t="shared" si="0"/>
        <v>0</v>
      </c>
      <c r="H4" s="3">
        <f t="shared" si="1"/>
        <v>177</v>
      </c>
    </row>
    <row r="5" spans="1:11" ht="25.5" customHeight="1">
      <c r="A5" s="9">
        <v>7</v>
      </c>
      <c r="B5" s="10" t="s">
        <v>12</v>
      </c>
      <c r="C5" s="9">
        <v>833</v>
      </c>
      <c r="D5" s="36">
        <v>531</v>
      </c>
      <c r="E5" s="9"/>
      <c r="F5" s="11"/>
      <c r="G5" s="2">
        <f t="shared" si="0"/>
        <v>302</v>
      </c>
      <c r="H5" s="3">
        <f t="shared" si="1"/>
        <v>0</v>
      </c>
    </row>
    <row r="6" spans="1:11" ht="38.25">
      <c r="A6" s="9">
        <v>7</v>
      </c>
      <c r="B6" s="10" t="s">
        <v>13</v>
      </c>
      <c r="C6" s="9">
        <v>833</v>
      </c>
      <c r="D6" s="36">
        <v>1010</v>
      </c>
      <c r="E6" s="9">
        <v>2025</v>
      </c>
      <c r="F6" s="11" t="s">
        <v>9</v>
      </c>
      <c r="G6" s="2">
        <f t="shared" si="0"/>
        <v>0</v>
      </c>
      <c r="H6" s="3">
        <f t="shared" si="1"/>
        <v>177</v>
      </c>
    </row>
    <row r="7" spans="1:11" ht="19.5">
      <c r="A7" s="9">
        <v>7</v>
      </c>
      <c r="B7" s="10" t="s">
        <v>14</v>
      </c>
      <c r="C7" s="9">
        <v>833</v>
      </c>
      <c r="D7" s="36">
        <v>1010</v>
      </c>
      <c r="E7" s="9">
        <v>2024</v>
      </c>
      <c r="F7" s="11" t="s">
        <v>9</v>
      </c>
      <c r="G7" s="2">
        <f t="shared" si="0"/>
        <v>0</v>
      </c>
      <c r="H7" s="3">
        <f t="shared" si="1"/>
        <v>177</v>
      </c>
    </row>
    <row r="8" spans="1:11" ht="39.75" customHeight="1">
      <c r="A8" s="9">
        <v>7</v>
      </c>
      <c r="B8" s="10" t="s">
        <v>15</v>
      </c>
      <c r="C8" s="9">
        <v>833</v>
      </c>
      <c r="D8" s="36">
        <v>1010</v>
      </c>
      <c r="E8" s="9">
        <v>2024</v>
      </c>
      <c r="F8" s="11" t="s">
        <v>9</v>
      </c>
      <c r="G8" s="2">
        <f t="shared" si="0"/>
        <v>0</v>
      </c>
      <c r="H8" s="3">
        <f t="shared" si="1"/>
        <v>177</v>
      </c>
    </row>
    <row r="9" spans="1:11" ht="29.25" customHeight="1">
      <c r="A9" s="9">
        <v>7</v>
      </c>
      <c r="B9" s="10" t="s">
        <v>16</v>
      </c>
      <c r="C9" s="9">
        <v>833</v>
      </c>
      <c r="D9" s="36">
        <v>1010</v>
      </c>
      <c r="E9" s="9">
        <v>2025</v>
      </c>
      <c r="F9" s="11" t="s">
        <v>9</v>
      </c>
      <c r="G9" s="2">
        <f t="shared" si="0"/>
        <v>0</v>
      </c>
      <c r="H9" s="3">
        <f t="shared" si="1"/>
        <v>177</v>
      </c>
    </row>
    <row r="10" spans="1:11" ht="28.5" customHeight="1">
      <c r="A10" s="9">
        <v>7</v>
      </c>
      <c r="B10" s="10" t="s">
        <v>17</v>
      </c>
      <c r="C10" s="9">
        <v>833</v>
      </c>
      <c r="D10" s="36">
        <v>1010</v>
      </c>
      <c r="E10" s="9">
        <v>2025</v>
      </c>
      <c r="F10" s="11" t="s">
        <v>9</v>
      </c>
      <c r="G10" s="2">
        <f t="shared" si="0"/>
        <v>0</v>
      </c>
      <c r="H10" s="3">
        <f t="shared" si="1"/>
        <v>177</v>
      </c>
    </row>
    <row r="11" spans="1:11" ht="24" customHeight="1">
      <c r="A11" s="6"/>
      <c r="B11" s="6"/>
      <c r="C11" s="7"/>
      <c r="D11" s="7"/>
      <c r="E11" s="7"/>
      <c r="F11" s="6"/>
      <c r="G11" s="6"/>
      <c r="H11" s="6"/>
    </row>
    <row r="12" spans="1:11" ht="19.5">
      <c r="A12" s="9">
        <v>8</v>
      </c>
      <c r="B12" s="10" t="s">
        <v>8</v>
      </c>
      <c r="C12" s="9">
        <v>962</v>
      </c>
      <c r="D12" s="9">
        <v>1029</v>
      </c>
      <c r="E12" s="9">
        <v>2025</v>
      </c>
      <c r="F12" s="11" t="s">
        <v>9</v>
      </c>
      <c r="G12" s="2">
        <f t="shared" ref="G12:G20" si="2">IF((C12-D12)&lt;0,0,C12-D12)</f>
        <v>0</v>
      </c>
      <c r="H12" s="3">
        <f t="shared" ref="H12:H20" si="3">IF((D12-C12)&lt;0,0,D12-C12)</f>
        <v>67</v>
      </c>
    </row>
    <row r="13" spans="1:11" ht="19.5">
      <c r="A13" s="9">
        <v>8</v>
      </c>
      <c r="B13" s="10" t="s">
        <v>10</v>
      </c>
      <c r="C13" s="9">
        <v>962</v>
      </c>
      <c r="D13" s="9">
        <v>1029</v>
      </c>
      <c r="E13" s="9">
        <v>2025</v>
      </c>
      <c r="F13" s="11" t="s">
        <v>9</v>
      </c>
      <c r="G13" s="2">
        <f t="shared" si="2"/>
        <v>0</v>
      </c>
      <c r="H13" s="3">
        <f t="shared" si="3"/>
        <v>67</v>
      </c>
    </row>
    <row r="14" spans="1:11" ht="49.5" customHeight="1">
      <c r="A14" s="9">
        <v>8</v>
      </c>
      <c r="B14" s="10" t="s">
        <v>11</v>
      </c>
      <c r="C14" s="9">
        <v>962</v>
      </c>
      <c r="D14" s="36">
        <v>1029</v>
      </c>
      <c r="E14" s="9">
        <v>2025</v>
      </c>
      <c r="F14" s="11" t="s">
        <v>9</v>
      </c>
      <c r="G14" s="2">
        <f t="shared" si="2"/>
        <v>0</v>
      </c>
      <c r="H14" s="3">
        <f t="shared" si="3"/>
        <v>67</v>
      </c>
    </row>
    <row r="15" spans="1:11" ht="29.25" customHeight="1">
      <c r="A15" s="9">
        <v>8</v>
      </c>
      <c r="B15" s="10" t="s">
        <v>12</v>
      </c>
      <c r="C15" s="9">
        <v>962</v>
      </c>
      <c r="D15" s="9">
        <v>1029</v>
      </c>
      <c r="E15" s="9">
        <v>2025</v>
      </c>
      <c r="F15" s="11" t="s">
        <v>9</v>
      </c>
      <c r="G15" s="2">
        <f t="shared" si="2"/>
        <v>0</v>
      </c>
      <c r="H15" s="3">
        <f t="shared" si="3"/>
        <v>67</v>
      </c>
    </row>
    <row r="16" spans="1:11" ht="27" customHeight="1">
      <c r="A16" s="9">
        <v>8</v>
      </c>
      <c r="B16" s="10" t="s">
        <v>18</v>
      </c>
      <c r="C16" s="9">
        <v>962</v>
      </c>
      <c r="D16" s="9">
        <v>1029</v>
      </c>
      <c r="E16" s="9">
        <v>2025</v>
      </c>
      <c r="F16" s="11" t="s">
        <v>9</v>
      </c>
      <c r="G16" s="2">
        <f t="shared" si="2"/>
        <v>0</v>
      </c>
      <c r="H16" s="3">
        <f t="shared" si="3"/>
        <v>67</v>
      </c>
    </row>
    <row r="17" spans="1:8" ht="23.25" customHeight="1">
      <c r="A17" s="9">
        <v>8</v>
      </c>
      <c r="B17" s="10" t="s">
        <v>14</v>
      </c>
      <c r="C17" s="9">
        <v>962</v>
      </c>
      <c r="D17" s="9">
        <v>1029</v>
      </c>
      <c r="E17" s="9">
        <v>2025</v>
      </c>
      <c r="F17" s="11" t="s">
        <v>9</v>
      </c>
      <c r="G17" s="2">
        <f t="shared" si="2"/>
        <v>0</v>
      </c>
      <c r="H17" s="3">
        <f t="shared" si="3"/>
        <v>67</v>
      </c>
    </row>
    <row r="18" spans="1:8" ht="21" customHeight="1">
      <c r="A18" s="9">
        <v>8</v>
      </c>
      <c r="B18" s="10" t="s">
        <v>15</v>
      </c>
      <c r="C18" s="9">
        <v>962</v>
      </c>
      <c r="D18" s="9">
        <v>1029</v>
      </c>
      <c r="E18" s="9">
        <v>2025</v>
      </c>
      <c r="F18" s="11" t="s">
        <v>9</v>
      </c>
      <c r="G18" s="2">
        <f t="shared" si="2"/>
        <v>0</v>
      </c>
      <c r="H18" s="3">
        <f t="shared" si="3"/>
        <v>67</v>
      </c>
    </row>
    <row r="19" spans="1:8" ht="19.5">
      <c r="A19" s="9">
        <v>8</v>
      </c>
      <c r="B19" s="10" t="s">
        <v>16</v>
      </c>
      <c r="C19" s="9">
        <v>962</v>
      </c>
      <c r="D19" s="9"/>
      <c r="E19" s="9"/>
      <c r="F19" s="11" t="s">
        <v>9</v>
      </c>
      <c r="G19" s="2">
        <f t="shared" si="2"/>
        <v>962</v>
      </c>
      <c r="H19" s="3">
        <f t="shared" si="3"/>
        <v>0</v>
      </c>
    </row>
    <row r="20" spans="1:8" ht="19.5">
      <c r="A20" s="9">
        <v>8</v>
      </c>
      <c r="B20" s="10" t="s">
        <v>17</v>
      </c>
      <c r="C20" s="9">
        <v>962</v>
      </c>
      <c r="D20" s="9">
        <v>1029</v>
      </c>
      <c r="E20" s="9">
        <v>2025</v>
      </c>
      <c r="F20" s="11" t="s">
        <v>9</v>
      </c>
      <c r="G20" s="2">
        <f t="shared" si="2"/>
        <v>0</v>
      </c>
      <c r="H20" s="3">
        <f t="shared" si="3"/>
        <v>67</v>
      </c>
    </row>
    <row r="21" spans="1:8" ht="28.5" customHeight="1">
      <c r="A21" s="6"/>
      <c r="B21" s="6"/>
      <c r="C21" s="7"/>
      <c r="D21" s="7"/>
      <c r="E21" s="7"/>
      <c r="F21" s="6"/>
      <c r="G21" s="6"/>
      <c r="H21" s="6"/>
    </row>
    <row r="22" spans="1:8" ht="24" customHeight="1">
      <c r="A22" s="9">
        <v>9</v>
      </c>
      <c r="B22" s="10" t="s">
        <v>8</v>
      </c>
      <c r="C22" s="9">
        <v>824</v>
      </c>
      <c r="D22" s="9">
        <v>636</v>
      </c>
      <c r="E22" s="9"/>
      <c r="F22" s="11" t="s">
        <v>9</v>
      </c>
      <c r="G22" s="2">
        <f t="shared" ref="G22:G30" si="4">IF((C22-D22)&lt;0,0,C22-D22)</f>
        <v>188</v>
      </c>
      <c r="H22" s="3">
        <f t="shared" ref="H22:H30" si="5">IF((D22-C22)&lt;0,0,D22-C22)</f>
        <v>0</v>
      </c>
    </row>
    <row r="23" spans="1:8" ht="19.5">
      <c r="A23" s="9">
        <v>9</v>
      </c>
      <c r="B23" s="10" t="s">
        <v>10</v>
      </c>
      <c r="C23" s="9">
        <v>824</v>
      </c>
      <c r="D23" s="9">
        <v>36</v>
      </c>
      <c r="E23" s="9"/>
      <c r="F23" s="11" t="s">
        <v>9</v>
      </c>
      <c r="G23" s="2">
        <f t="shared" si="4"/>
        <v>788</v>
      </c>
      <c r="H23" s="3">
        <f t="shared" si="5"/>
        <v>0</v>
      </c>
    </row>
    <row r="24" spans="1:8" ht="27" customHeight="1">
      <c r="A24" s="9">
        <v>9</v>
      </c>
      <c r="B24" s="10" t="s">
        <v>11</v>
      </c>
      <c r="C24" s="9">
        <v>824</v>
      </c>
      <c r="D24" s="9">
        <v>36</v>
      </c>
      <c r="E24" s="9"/>
      <c r="F24" s="11" t="s">
        <v>9</v>
      </c>
      <c r="G24" s="2">
        <f t="shared" si="4"/>
        <v>788</v>
      </c>
      <c r="H24" s="3">
        <f t="shared" si="5"/>
        <v>0</v>
      </c>
    </row>
    <row r="25" spans="1:8" ht="33.75" customHeight="1">
      <c r="A25" s="9">
        <v>9</v>
      </c>
      <c r="B25" s="10" t="s">
        <v>12</v>
      </c>
      <c r="C25" s="9">
        <v>824</v>
      </c>
      <c r="D25" s="9">
        <v>609</v>
      </c>
      <c r="E25" s="9"/>
      <c r="F25" s="11" t="s">
        <v>9</v>
      </c>
      <c r="G25" s="2">
        <f t="shared" si="4"/>
        <v>215</v>
      </c>
      <c r="H25" s="3">
        <f t="shared" si="5"/>
        <v>0</v>
      </c>
    </row>
    <row r="26" spans="1:8" ht="33.75" customHeight="1">
      <c r="A26" s="9">
        <v>9</v>
      </c>
      <c r="B26" s="10" t="s">
        <v>18</v>
      </c>
      <c r="C26" s="9">
        <v>824</v>
      </c>
      <c r="D26" s="9">
        <v>609</v>
      </c>
      <c r="E26" s="9"/>
      <c r="F26" s="11" t="s">
        <v>9</v>
      </c>
      <c r="G26" s="2">
        <f t="shared" si="4"/>
        <v>215</v>
      </c>
      <c r="H26" s="3">
        <f t="shared" si="5"/>
        <v>0</v>
      </c>
    </row>
    <row r="27" spans="1:8" ht="33.75" customHeight="1">
      <c r="A27" s="9">
        <v>9</v>
      </c>
      <c r="B27" s="10" t="s">
        <v>14</v>
      </c>
      <c r="C27" s="9">
        <v>824</v>
      </c>
      <c r="D27" s="9">
        <v>312</v>
      </c>
      <c r="E27" s="9"/>
      <c r="F27" s="11" t="s">
        <v>9</v>
      </c>
      <c r="G27" s="2">
        <f t="shared" si="4"/>
        <v>512</v>
      </c>
      <c r="H27" s="3">
        <f t="shared" si="5"/>
        <v>0</v>
      </c>
    </row>
    <row r="28" spans="1:8" ht="27.75" customHeight="1">
      <c r="A28" s="9">
        <v>9</v>
      </c>
      <c r="B28" s="10" t="s">
        <v>15</v>
      </c>
      <c r="C28" s="9">
        <v>824</v>
      </c>
      <c r="D28" s="9">
        <v>636</v>
      </c>
      <c r="E28" s="9"/>
      <c r="F28" s="11" t="s">
        <v>9</v>
      </c>
      <c r="G28" s="2">
        <f t="shared" si="4"/>
        <v>188</v>
      </c>
      <c r="H28" s="3">
        <f t="shared" si="5"/>
        <v>0</v>
      </c>
    </row>
    <row r="29" spans="1:8" ht="27.75" customHeight="1">
      <c r="A29" s="9">
        <v>9</v>
      </c>
      <c r="B29" s="10" t="s">
        <v>16</v>
      </c>
      <c r="C29" s="9">
        <v>824</v>
      </c>
      <c r="D29" s="9">
        <v>693</v>
      </c>
      <c r="E29" s="9"/>
      <c r="F29" s="11" t="s">
        <v>9</v>
      </c>
      <c r="G29" s="2">
        <f t="shared" si="4"/>
        <v>131</v>
      </c>
      <c r="H29" s="3">
        <f t="shared" si="5"/>
        <v>0</v>
      </c>
    </row>
    <row r="30" spans="1:8" ht="27.75" customHeight="1">
      <c r="A30" s="9">
        <v>9</v>
      </c>
      <c r="B30" s="10" t="s">
        <v>17</v>
      </c>
      <c r="C30" s="9">
        <v>824</v>
      </c>
      <c r="D30" s="9">
        <v>36</v>
      </c>
      <c r="E30" s="9"/>
      <c r="F30" s="11" t="s">
        <v>9</v>
      </c>
      <c r="G30" s="2">
        <f t="shared" si="4"/>
        <v>788</v>
      </c>
      <c r="H30" s="3">
        <f t="shared" si="5"/>
        <v>0</v>
      </c>
    </row>
    <row r="31" spans="1:8" ht="27.75" customHeight="1">
      <c r="A31" s="6"/>
      <c r="B31" s="7"/>
      <c r="C31" s="7"/>
      <c r="D31" s="7"/>
      <c r="E31" s="7"/>
      <c r="F31" s="6"/>
      <c r="G31" s="6"/>
      <c r="H31" s="6"/>
    </row>
    <row r="32" spans="1:8" ht="27.75" customHeight="1">
      <c r="A32" s="9">
        <v>10</v>
      </c>
      <c r="B32" s="10" t="s">
        <v>8</v>
      </c>
      <c r="C32" s="9">
        <v>973</v>
      </c>
      <c r="D32" s="9">
        <v>301</v>
      </c>
      <c r="E32" s="9"/>
      <c r="F32" s="11" t="s">
        <v>9</v>
      </c>
      <c r="G32" s="2">
        <f t="shared" ref="G32:G40" si="6">IF((C32-D32)&lt;0,0,C32-D32)</f>
        <v>672</v>
      </c>
      <c r="H32" s="3">
        <f t="shared" ref="H32:H40" si="7">IF((D32-C32)&lt;0,0,D32-C32)</f>
        <v>0</v>
      </c>
    </row>
    <row r="33" spans="1:8" ht="27.75" customHeight="1">
      <c r="A33" s="9">
        <v>10</v>
      </c>
      <c r="B33" s="10" t="s">
        <v>10</v>
      </c>
      <c r="C33" s="9">
        <v>973</v>
      </c>
      <c r="D33" s="9">
        <v>394</v>
      </c>
      <c r="E33" s="9"/>
      <c r="F33" s="11" t="s">
        <v>9</v>
      </c>
      <c r="G33" s="2">
        <f t="shared" si="6"/>
        <v>579</v>
      </c>
      <c r="H33" s="3">
        <f t="shared" si="7"/>
        <v>0</v>
      </c>
    </row>
    <row r="34" spans="1:8" ht="27.75" customHeight="1">
      <c r="A34" s="9">
        <v>10</v>
      </c>
      <c r="B34" s="10" t="s">
        <v>11</v>
      </c>
      <c r="C34" s="9">
        <v>973</v>
      </c>
      <c r="D34" s="9">
        <v>301</v>
      </c>
      <c r="E34" s="9"/>
      <c r="F34" s="11" t="s">
        <v>9</v>
      </c>
      <c r="G34" s="2">
        <f t="shared" si="6"/>
        <v>672</v>
      </c>
      <c r="H34" s="3">
        <f t="shared" si="7"/>
        <v>0</v>
      </c>
    </row>
    <row r="35" spans="1:8" ht="39" customHeight="1">
      <c r="A35" s="9">
        <v>10</v>
      </c>
      <c r="B35" s="10" t="s">
        <v>12</v>
      </c>
      <c r="C35" s="9">
        <v>973</v>
      </c>
      <c r="D35" s="9">
        <v>301</v>
      </c>
      <c r="E35" s="9"/>
      <c r="F35" s="11" t="s">
        <v>9</v>
      </c>
      <c r="G35" s="2">
        <f t="shared" si="6"/>
        <v>672</v>
      </c>
      <c r="H35" s="3">
        <f t="shared" si="7"/>
        <v>0</v>
      </c>
    </row>
    <row r="36" spans="1:8" ht="27.75" customHeight="1">
      <c r="A36" s="9">
        <v>10</v>
      </c>
      <c r="B36" s="10" t="s">
        <v>18</v>
      </c>
      <c r="C36" s="9">
        <v>973</v>
      </c>
      <c r="D36" s="9">
        <v>301</v>
      </c>
      <c r="E36" s="9"/>
      <c r="F36" s="11" t="s">
        <v>9</v>
      </c>
      <c r="G36" s="2">
        <f t="shared" si="6"/>
        <v>672</v>
      </c>
      <c r="H36" s="3">
        <f t="shared" si="7"/>
        <v>0</v>
      </c>
    </row>
    <row r="37" spans="1:8" ht="27.75" customHeight="1">
      <c r="A37" s="9">
        <v>10</v>
      </c>
      <c r="B37" s="10" t="s">
        <v>14</v>
      </c>
      <c r="C37" s="9">
        <v>973</v>
      </c>
      <c r="D37" s="9">
        <v>394</v>
      </c>
      <c r="E37" s="9"/>
      <c r="F37" s="11" t="s">
        <v>9</v>
      </c>
      <c r="G37" s="2">
        <f t="shared" si="6"/>
        <v>579</v>
      </c>
      <c r="H37" s="3">
        <f t="shared" si="7"/>
        <v>0</v>
      </c>
    </row>
    <row r="38" spans="1:8" ht="27.75" customHeight="1">
      <c r="A38" s="9">
        <v>10</v>
      </c>
      <c r="B38" s="10" t="s">
        <v>15</v>
      </c>
      <c r="C38" s="9">
        <v>973</v>
      </c>
      <c r="D38" s="9">
        <v>394</v>
      </c>
      <c r="E38" s="9"/>
      <c r="F38" s="11" t="s">
        <v>9</v>
      </c>
      <c r="G38" s="2">
        <f t="shared" si="6"/>
        <v>579</v>
      </c>
      <c r="H38" s="3">
        <f t="shared" si="7"/>
        <v>0</v>
      </c>
    </row>
    <row r="39" spans="1:8" ht="27.75" customHeight="1">
      <c r="A39" s="9">
        <v>10</v>
      </c>
      <c r="B39" s="10" t="s">
        <v>16</v>
      </c>
      <c r="C39" s="9">
        <v>973</v>
      </c>
      <c r="D39" s="9">
        <v>693</v>
      </c>
      <c r="E39" s="9"/>
      <c r="F39" s="11" t="s">
        <v>9</v>
      </c>
      <c r="G39" s="2">
        <f t="shared" si="6"/>
        <v>280</v>
      </c>
      <c r="H39" s="3">
        <f t="shared" si="7"/>
        <v>0</v>
      </c>
    </row>
    <row r="40" spans="1:8" ht="27.75" customHeight="1">
      <c r="A40" s="9">
        <v>10</v>
      </c>
      <c r="B40" s="10" t="s">
        <v>17</v>
      </c>
      <c r="C40" s="9">
        <v>973</v>
      </c>
      <c r="D40" s="9">
        <v>303</v>
      </c>
      <c r="E40" s="9"/>
      <c r="F40" s="11" t="s">
        <v>9</v>
      </c>
      <c r="G40" s="2">
        <f t="shared" si="6"/>
        <v>670</v>
      </c>
      <c r="H40" s="3">
        <f t="shared" si="7"/>
        <v>0</v>
      </c>
    </row>
    <row r="41" spans="1:8" ht="27.75" customHeight="1">
      <c r="A41" s="6"/>
      <c r="B41" s="6"/>
      <c r="C41" s="7"/>
      <c r="D41" s="7"/>
      <c r="E41" s="7"/>
      <c r="F41" s="6"/>
      <c r="G41" s="6"/>
      <c r="H41" s="6"/>
    </row>
    <row r="42" spans="1:8" ht="27.75" customHeight="1">
      <c r="A42" s="1" t="s">
        <v>19</v>
      </c>
      <c r="B42" s="8" t="s">
        <v>20</v>
      </c>
      <c r="C42" s="1">
        <v>348</v>
      </c>
      <c r="D42" s="1">
        <v>945</v>
      </c>
      <c r="E42" s="1">
        <v>2024</v>
      </c>
      <c r="F42" s="4" t="s">
        <v>9</v>
      </c>
      <c r="G42" s="2">
        <f t="shared" ref="G42:G49" si="8">IF((C42-D42)&lt;0,0,C42-D42)</f>
        <v>0</v>
      </c>
      <c r="H42" s="3">
        <f t="shared" ref="H42:H49" si="9">IF((D42-C42)&lt;0,0,D42-C42)</f>
        <v>597</v>
      </c>
    </row>
    <row r="43" spans="1:8" ht="27.75" customHeight="1">
      <c r="A43" s="1" t="s">
        <v>19</v>
      </c>
      <c r="B43" s="8" t="s">
        <v>21</v>
      </c>
      <c r="C43" s="1">
        <v>348</v>
      </c>
      <c r="D43" s="1">
        <v>945</v>
      </c>
      <c r="E43" s="1">
        <v>2024</v>
      </c>
      <c r="F43" s="4" t="s">
        <v>9</v>
      </c>
      <c r="G43" s="2">
        <f t="shared" si="8"/>
        <v>0</v>
      </c>
      <c r="H43" s="3">
        <f t="shared" si="9"/>
        <v>597</v>
      </c>
    </row>
    <row r="44" spans="1:8" ht="27.75" customHeight="1">
      <c r="A44" s="1" t="s">
        <v>19</v>
      </c>
      <c r="B44" s="8" t="s">
        <v>22</v>
      </c>
      <c r="C44" s="1">
        <v>552</v>
      </c>
      <c r="D44" s="1">
        <v>945</v>
      </c>
      <c r="E44" s="1">
        <v>2024</v>
      </c>
      <c r="F44" s="4" t="s">
        <v>9</v>
      </c>
      <c r="G44" s="2">
        <f t="shared" si="8"/>
        <v>0</v>
      </c>
      <c r="H44" s="3">
        <f t="shared" si="9"/>
        <v>393</v>
      </c>
    </row>
    <row r="45" spans="1:8" ht="36.75" customHeight="1">
      <c r="A45" s="1" t="s">
        <v>19</v>
      </c>
      <c r="B45" s="8" t="s">
        <v>23</v>
      </c>
      <c r="C45" s="1">
        <v>552</v>
      </c>
      <c r="D45" s="1">
        <v>945</v>
      </c>
      <c r="E45" s="1">
        <v>2024</v>
      </c>
      <c r="F45" s="4" t="s">
        <v>9</v>
      </c>
      <c r="G45" s="2">
        <f t="shared" si="8"/>
        <v>0</v>
      </c>
      <c r="H45" s="3">
        <f t="shared" si="9"/>
        <v>393</v>
      </c>
    </row>
    <row r="46" spans="1:8" ht="27.75" customHeight="1">
      <c r="A46" s="1" t="s">
        <v>19</v>
      </c>
      <c r="B46" s="8" t="s">
        <v>24</v>
      </c>
      <c r="C46" s="1">
        <v>552</v>
      </c>
      <c r="D46" s="1">
        <v>945</v>
      </c>
      <c r="E46" s="1">
        <v>2025</v>
      </c>
      <c r="F46" s="4" t="s">
        <v>9</v>
      </c>
      <c r="G46" s="2">
        <f t="shared" si="8"/>
        <v>0</v>
      </c>
      <c r="H46" s="3">
        <f t="shared" si="9"/>
        <v>393</v>
      </c>
    </row>
    <row r="47" spans="1:8" ht="27.75" customHeight="1">
      <c r="A47" s="1" t="s">
        <v>19</v>
      </c>
      <c r="B47" s="8" t="s">
        <v>25</v>
      </c>
      <c r="C47" s="1">
        <v>348</v>
      </c>
      <c r="D47" s="1">
        <v>643</v>
      </c>
      <c r="E47" s="1">
        <v>2024</v>
      </c>
      <c r="F47" s="4" t="s">
        <v>9</v>
      </c>
      <c r="G47" s="2">
        <f t="shared" si="8"/>
        <v>0</v>
      </c>
      <c r="H47" s="3">
        <f t="shared" si="9"/>
        <v>295</v>
      </c>
    </row>
    <row r="48" spans="1:8" ht="27.75" customHeight="1">
      <c r="A48" s="1" t="s">
        <v>19</v>
      </c>
      <c r="B48" s="8" t="s">
        <v>26</v>
      </c>
      <c r="C48" s="1">
        <v>552</v>
      </c>
      <c r="D48" s="1">
        <v>945</v>
      </c>
      <c r="E48" s="1">
        <v>2024</v>
      </c>
      <c r="F48" s="4" t="s">
        <v>9</v>
      </c>
      <c r="G48" s="2">
        <f t="shared" si="8"/>
        <v>0</v>
      </c>
      <c r="H48" s="3">
        <f t="shared" si="9"/>
        <v>393</v>
      </c>
    </row>
    <row r="49" spans="1:8" ht="27.75" customHeight="1">
      <c r="A49" s="1" t="s">
        <v>19</v>
      </c>
      <c r="B49" s="8" t="s">
        <v>27</v>
      </c>
      <c r="C49" s="1">
        <v>348</v>
      </c>
      <c r="D49" s="1">
        <v>945</v>
      </c>
      <c r="E49" s="1">
        <v>2024</v>
      </c>
      <c r="F49" s="4" t="s">
        <v>9</v>
      </c>
      <c r="G49" s="2">
        <f t="shared" si="8"/>
        <v>0</v>
      </c>
      <c r="H49" s="3">
        <f t="shared" si="9"/>
        <v>597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2:E10 E12:E20 E22:E30 E32:E40" xr:uid="{B46E7B13-721E-4D49-837E-C02BF9777D48}">
      <formula1>"2024,2025  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C59" sqref="AC5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5.710937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7" customFormat="1" ht="34.15" customHeight="1">
      <c r="D1" s="37" t="s">
        <v>28</v>
      </c>
      <c r="E1" s="37"/>
      <c r="F1" s="37"/>
      <c r="G1" s="37"/>
      <c r="H1" s="37"/>
      <c r="I1" s="37"/>
      <c r="J1" s="38" t="s">
        <v>29</v>
      </c>
      <c r="K1" s="38"/>
      <c r="L1" s="38"/>
      <c r="M1" s="38"/>
      <c r="N1" s="38"/>
      <c r="O1" s="38"/>
      <c r="P1" s="39" t="s">
        <v>30</v>
      </c>
      <c r="Q1" s="39"/>
      <c r="R1" s="39"/>
      <c r="S1" s="39"/>
      <c r="T1" s="39"/>
      <c r="U1" s="39"/>
      <c r="V1" s="40" t="s">
        <v>31</v>
      </c>
      <c r="W1" s="40"/>
      <c r="X1" s="40"/>
      <c r="Y1" s="40"/>
      <c r="Z1" s="40"/>
      <c r="AA1" s="40"/>
    </row>
    <row r="2" spans="1:27" ht="69.599999999999994" customHeight="1">
      <c r="A2" s="14" t="s">
        <v>0</v>
      </c>
      <c r="B2" s="14" t="s">
        <v>1</v>
      </c>
      <c r="C2" s="15" t="s">
        <v>2</v>
      </c>
      <c r="D2" s="19" t="s">
        <v>32</v>
      </c>
      <c r="E2" s="19" t="s">
        <v>33</v>
      </c>
      <c r="F2" s="20" t="s">
        <v>34</v>
      </c>
      <c r="G2" s="23" t="s">
        <v>35</v>
      </c>
      <c r="H2" s="16" t="s">
        <v>36</v>
      </c>
      <c r="I2" s="23" t="s">
        <v>37</v>
      </c>
      <c r="J2" s="21" t="s">
        <v>38</v>
      </c>
      <c r="K2" s="21" t="s">
        <v>39</v>
      </c>
      <c r="L2" s="22" t="s">
        <v>40</v>
      </c>
      <c r="M2" s="34" t="s">
        <v>41</v>
      </c>
      <c r="N2" s="34" t="s">
        <v>42</v>
      </c>
      <c r="O2" s="21" t="s">
        <v>43</v>
      </c>
      <c r="P2" s="23" t="s">
        <v>44</v>
      </c>
      <c r="Q2" s="23" t="s">
        <v>45</v>
      </c>
      <c r="R2" s="24" t="s">
        <v>46</v>
      </c>
      <c r="S2" s="16" t="s">
        <v>47</v>
      </c>
      <c r="T2" s="16" t="s">
        <v>48</v>
      </c>
      <c r="U2" s="23" t="s">
        <v>49</v>
      </c>
      <c r="V2" s="25" t="s">
        <v>50</v>
      </c>
      <c r="W2" s="25" t="s">
        <v>51</v>
      </c>
      <c r="X2" s="26" t="s">
        <v>52</v>
      </c>
      <c r="Y2" s="35" t="s">
        <v>53</v>
      </c>
      <c r="Z2" s="35" t="s">
        <v>54</v>
      </c>
      <c r="AA2" s="25" t="s">
        <v>55</v>
      </c>
    </row>
    <row r="3" spans="1:27" ht="30.6" customHeight="1">
      <c r="A3" s="9">
        <v>7</v>
      </c>
      <c r="B3" s="10" t="s">
        <v>8</v>
      </c>
      <c r="C3" s="9">
        <v>820</v>
      </c>
      <c r="D3" s="11">
        <f>Table1[[#This Row],[Enrolment S.Y. 2025-2026 ]]*8</f>
        <v>6560</v>
      </c>
      <c r="E3" s="11"/>
      <c r="F3" s="9"/>
      <c r="G3" s="11"/>
      <c r="H3" s="11">
        <f t="shared" ref="H3:H17" si="0">IF((D3-E3)&lt;0,0,(D3-E3))</f>
        <v>6560</v>
      </c>
      <c r="I3" s="11">
        <f t="shared" ref="I3:I17" si="1">IF((E3-D3)&lt;0,0,(E3-D3))</f>
        <v>0</v>
      </c>
      <c r="J3" s="11">
        <f>Table1[[#This Row],[Enrolment S.Y. 2025-2026 ]]*8</f>
        <v>6560</v>
      </c>
      <c r="K3" s="11"/>
      <c r="L3" s="9"/>
      <c r="M3" s="11"/>
      <c r="N3" s="11">
        <f t="shared" ref="N3:N9" si="2">IF((J3-K3)&lt;0,0,(J3-K3))</f>
        <v>6560</v>
      </c>
      <c r="O3" s="11">
        <f t="shared" ref="O3:O9" si="3">IF((K3-J3)&lt;0,0,(K3-J3))</f>
        <v>0</v>
      </c>
      <c r="P3" s="11">
        <f>Table1[[#This Row],[Enrolment S.Y. 2025-2026 ]]*8</f>
        <v>6560</v>
      </c>
      <c r="Q3" s="11"/>
      <c r="R3" s="9"/>
      <c r="S3" s="11"/>
      <c r="T3" s="11">
        <f t="shared" ref="T3:T9" si="4">IF((P3-Q3)&lt;0,0,(P3-Q3))</f>
        <v>6560</v>
      </c>
      <c r="U3" s="11">
        <f t="shared" ref="U3:U9" si="5">IF((Q3-P3)&lt;0,0,(Q3-P3))</f>
        <v>0</v>
      </c>
      <c r="V3" s="11">
        <f>Table1[[#This Row],[Enrolment S.Y. 2025-2026 ]]*8</f>
        <v>6560</v>
      </c>
      <c r="W3" s="11"/>
      <c r="X3" s="9"/>
      <c r="Y3" s="11"/>
      <c r="Z3" s="11">
        <f t="shared" ref="Z3:Z9" si="6">IF((V3-W3)&lt;0,0,(V3-W3))</f>
        <v>6560</v>
      </c>
      <c r="AA3" s="11">
        <f t="shared" ref="AA3:AA9" si="7">IF((W3-V3)&lt;0,0,(W3-V3))</f>
        <v>0</v>
      </c>
    </row>
    <row r="4" spans="1:27" s="6" customFormat="1" ht="19.5">
      <c r="A4" s="9">
        <v>7</v>
      </c>
      <c r="B4" s="10" t="s">
        <v>10</v>
      </c>
      <c r="C4" s="9">
        <v>820</v>
      </c>
      <c r="D4" s="11">
        <f>Table1[[#This Row],[Enrolment S.Y. 2025-2026 ]]*8</f>
        <v>6560</v>
      </c>
      <c r="E4" s="11"/>
      <c r="F4" s="9"/>
      <c r="G4" s="11"/>
      <c r="H4" s="11">
        <f t="shared" si="0"/>
        <v>6560</v>
      </c>
      <c r="I4" s="11">
        <f t="shared" si="1"/>
        <v>0</v>
      </c>
      <c r="J4" s="11">
        <f>Table1[[#This Row],[Enrolment S.Y. 2025-2026 ]]*8</f>
        <v>6560</v>
      </c>
      <c r="K4" s="11"/>
      <c r="L4" s="9"/>
      <c r="M4" s="11"/>
      <c r="N4" s="11">
        <f t="shared" si="2"/>
        <v>6560</v>
      </c>
      <c r="O4" s="11">
        <f t="shared" si="3"/>
        <v>0</v>
      </c>
      <c r="P4" s="11">
        <f>Table1[[#This Row],[Enrolment S.Y. 2025-2026 ]]*8</f>
        <v>6560</v>
      </c>
      <c r="Q4" s="11"/>
      <c r="R4" s="9"/>
      <c r="S4" s="11"/>
      <c r="T4" s="11">
        <f t="shared" si="4"/>
        <v>6560</v>
      </c>
      <c r="U4" s="11">
        <f t="shared" si="5"/>
        <v>0</v>
      </c>
      <c r="V4" s="11">
        <f>Table1[[#This Row],[Enrolment S.Y. 2025-2026 ]]*8</f>
        <v>6560</v>
      </c>
      <c r="W4" s="11"/>
      <c r="X4" s="9"/>
      <c r="Y4" s="11"/>
      <c r="Z4" s="11">
        <f t="shared" si="6"/>
        <v>6560</v>
      </c>
      <c r="AA4" s="11">
        <f t="shared" si="7"/>
        <v>0</v>
      </c>
    </row>
    <row r="5" spans="1:27" ht="19.5">
      <c r="A5" s="9">
        <v>7</v>
      </c>
      <c r="B5" s="10" t="s">
        <v>11</v>
      </c>
      <c r="C5" s="9">
        <v>820</v>
      </c>
      <c r="D5" s="11">
        <f>Table1[[#This Row],[Enrolment S.Y. 2025-2026 ]]*8</f>
        <v>6560</v>
      </c>
      <c r="E5" s="11"/>
      <c r="F5" s="9"/>
      <c r="G5" s="11"/>
      <c r="H5" s="11">
        <f t="shared" si="0"/>
        <v>6560</v>
      </c>
      <c r="I5" s="11">
        <f t="shared" si="1"/>
        <v>0</v>
      </c>
      <c r="J5" s="11">
        <f>Table1[[#This Row],[Enrolment S.Y. 2025-2026 ]]*8</f>
        <v>6560</v>
      </c>
      <c r="K5" s="11"/>
      <c r="L5" s="9"/>
      <c r="M5" s="11"/>
      <c r="N5" s="11">
        <f t="shared" si="2"/>
        <v>6560</v>
      </c>
      <c r="O5" s="11">
        <f t="shared" si="3"/>
        <v>0</v>
      </c>
      <c r="P5" s="11">
        <f>Table1[[#This Row],[Enrolment S.Y. 2025-2026 ]]*8</f>
        <v>6560</v>
      </c>
      <c r="Q5" s="11"/>
      <c r="R5" s="9"/>
      <c r="S5" s="11"/>
      <c r="T5" s="11">
        <f t="shared" si="4"/>
        <v>6560</v>
      </c>
      <c r="U5" s="11">
        <f t="shared" si="5"/>
        <v>0</v>
      </c>
      <c r="V5" s="11">
        <f>Table1[[#This Row],[Enrolment S.Y. 2025-2026 ]]*8</f>
        <v>6560</v>
      </c>
      <c r="W5" s="11"/>
      <c r="X5" s="9"/>
      <c r="Y5" s="11"/>
      <c r="Z5" s="11">
        <f t="shared" si="6"/>
        <v>6560</v>
      </c>
      <c r="AA5" s="11">
        <f t="shared" si="7"/>
        <v>0</v>
      </c>
    </row>
    <row r="6" spans="1:27" ht="19.5">
      <c r="A6" s="9">
        <v>7</v>
      </c>
      <c r="B6" s="10" t="s">
        <v>12</v>
      </c>
      <c r="C6" s="9">
        <v>820</v>
      </c>
      <c r="D6" s="11">
        <f>Table1[[#This Row],[Enrolment S.Y. 2025-2026 ]]*8</f>
        <v>6560</v>
      </c>
      <c r="E6" s="11"/>
      <c r="F6" s="9"/>
      <c r="G6" s="11"/>
      <c r="H6" s="11">
        <f t="shared" si="0"/>
        <v>6560</v>
      </c>
      <c r="I6" s="11">
        <f t="shared" si="1"/>
        <v>0</v>
      </c>
      <c r="J6" s="11">
        <f>Table1[[#This Row],[Enrolment S.Y. 2025-2026 ]]*8</f>
        <v>6560</v>
      </c>
      <c r="K6" s="11"/>
      <c r="L6" s="9"/>
      <c r="M6" s="11"/>
      <c r="N6" s="11">
        <f t="shared" si="2"/>
        <v>6560</v>
      </c>
      <c r="O6" s="11">
        <f t="shared" si="3"/>
        <v>0</v>
      </c>
      <c r="P6" s="11">
        <f>Table1[[#This Row],[Enrolment S.Y. 2025-2026 ]]*8</f>
        <v>6560</v>
      </c>
      <c r="Q6" s="11"/>
      <c r="R6" s="9"/>
      <c r="S6" s="11"/>
      <c r="T6" s="11">
        <f t="shared" si="4"/>
        <v>6560</v>
      </c>
      <c r="U6" s="11">
        <f t="shared" si="5"/>
        <v>0</v>
      </c>
      <c r="V6" s="11">
        <f>Table1[[#This Row],[Enrolment S.Y. 2025-2026 ]]*8</f>
        <v>6560</v>
      </c>
      <c r="W6" s="11"/>
      <c r="X6" s="9"/>
      <c r="Y6" s="11"/>
      <c r="Z6" s="11">
        <f t="shared" si="6"/>
        <v>6560</v>
      </c>
      <c r="AA6" s="11">
        <f t="shared" si="7"/>
        <v>0</v>
      </c>
    </row>
    <row r="7" spans="1:27" ht="38.25">
      <c r="A7" s="9">
        <v>7</v>
      </c>
      <c r="B7" s="10" t="s">
        <v>13</v>
      </c>
      <c r="C7" s="9">
        <v>820</v>
      </c>
      <c r="D7" s="11">
        <f>Table1[[#This Row],[Enrolment S.Y. 2025-2026 ]]*8</f>
        <v>6560</v>
      </c>
      <c r="E7" s="11"/>
      <c r="F7" s="9"/>
      <c r="G7" s="11"/>
      <c r="H7" s="11">
        <f t="shared" si="0"/>
        <v>6560</v>
      </c>
      <c r="I7" s="11">
        <f t="shared" si="1"/>
        <v>0</v>
      </c>
      <c r="J7" s="11">
        <f>Table1[[#This Row],[Enrolment S.Y. 2025-2026 ]]*8</f>
        <v>6560</v>
      </c>
      <c r="K7" s="11"/>
      <c r="L7" s="9"/>
      <c r="M7" s="11"/>
      <c r="N7" s="11">
        <f t="shared" si="2"/>
        <v>6560</v>
      </c>
      <c r="O7" s="11">
        <f t="shared" si="3"/>
        <v>0</v>
      </c>
      <c r="P7" s="11">
        <f>Table1[[#This Row],[Enrolment S.Y. 2025-2026 ]]*8</f>
        <v>6560</v>
      </c>
      <c r="Q7" s="11"/>
      <c r="R7" s="9"/>
      <c r="S7" s="11"/>
      <c r="T7" s="11">
        <f t="shared" si="4"/>
        <v>6560</v>
      </c>
      <c r="U7" s="11">
        <f t="shared" si="5"/>
        <v>0</v>
      </c>
      <c r="V7" s="11">
        <f>Table1[[#This Row],[Enrolment S.Y. 2025-2026 ]]*8</f>
        <v>6560</v>
      </c>
      <c r="W7" s="11"/>
      <c r="X7" s="9"/>
      <c r="Y7" s="11"/>
      <c r="Z7" s="11">
        <f t="shared" si="6"/>
        <v>6560</v>
      </c>
      <c r="AA7" s="11">
        <f t="shared" si="7"/>
        <v>0</v>
      </c>
    </row>
    <row r="8" spans="1:27" ht="19.5">
      <c r="A8" s="9">
        <v>7</v>
      </c>
      <c r="B8" s="10" t="s">
        <v>14</v>
      </c>
      <c r="C8" s="9">
        <v>820</v>
      </c>
      <c r="D8" s="11">
        <f>Table1[[#This Row],[Enrolment S.Y. 2025-2026 ]]*8</f>
        <v>6560</v>
      </c>
      <c r="E8" s="11"/>
      <c r="F8" s="9"/>
      <c r="G8" s="11"/>
      <c r="H8" s="11">
        <f t="shared" si="0"/>
        <v>6560</v>
      </c>
      <c r="I8" s="11">
        <f t="shared" si="1"/>
        <v>0</v>
      </c>
      <c r="J8" s="11">
        <f>Table1[[#This Row],[Enrolment S.Y. 2025-2026 ]]*8</f>
        <v>6560</v>
      </c>
      <c r="K8" s="11"/>
      <c r="L8" s="9"/>
      <c r="M8" s="11"/>
      <c r="N8" s="11">
        <f t="shared" si="2"/>
        <v>6560</v>
      </c>
      <c r="O8" s="11">
        <f t="shared" si="3"/>
        <v>0</v>
      </c>
      <c r="P8" s="11">
        <f>Table1[[#This Row],[Enrolment S.Y. 2025-2026 ]]*8</f>
        <v>6560</v>
      </c>
      <c r="Q8" s="11"/>
      <c r="R8" s="9"/>
      <c r="S8" s="11"/>
      <c r="T8" s="11">
        <f t="shared" si="4"/>
        <v>6560</v>
      </c>
      <c r="U8" s="11">
        <f t="shared" si="5"/>
        <v>0</v>
      </c>
      <c r="V8" s="11">
        <f>Table1[[#This Row],[Enrolment S.Y. 2025-2026 ]]*8</f>
        <v>6560</v>
      </c>
      <c r="W8" s="11"/>
      <c r="X8" s="9"/>
      <c r="Y8" s="11"/>
      <c r="Z8" s="11">
        <f t="shared" si="6"/>
        <v>6560</v>
      </c>
      <c r="AA8" s="11">
        <f t="shared" si="7"/>
        <v>0</v>
      </c>
    </row>
    <row r="9" spans="1:27" ht="19.5">
      <c r="A9" s="9">
        <v>7</v>
      </c>
      <c r="B9" s="10" t="s">
        <v>15</v>
      </c>
      <c r="C9" s="9">
        <v>820</v>
      </c>
      <c r="D9" s="11">
        <f>Table1[[#This Row],[Enrolment S.Y. 2025-2026 ]]*8</f>
        <v>6560</v>
      </c>
      <c r="E9" s="11"/>
      <c r="F9" s="9"/>
      <c r="G9" s="11"/>
      <c r="H9" s="11">
        <f t="shared" si="0"/>
        <v>6560</v>
      </c>
      <c r="I9" s="11">
        <f t="shared" si="1"/>
        <v>0</v>
      </c>
      <c r="J9" s="11">
        <f>Table1[[#This Row],[Enrolment S.Y. 2025-2026 ]]*8</f>
        <v>6560</v>
      </c>
      <c r="K9" s="11"/>
      <c r="L9" s="9"/>
      <c r="M9" s="11"/>
      <c r="N9" s="11">
        <f t="shared" si="2"/>
        <v>6560</v>
      </c>
      <c r="O9" s="11">
        <f t="shared" si="3"/>
        <v>0</v>
      </c>
      <c r="P9" s="11">
        <f>Table1[[#This Row],[Enrolment S.Y. 2025-2026 ]]*8</f>
        <v>6560</v>
      </c>
      <c r="Q9" s="11"/>
      <c r="R9" s="9"/>
      <c r="S9" s="11"/>
      <c r="T9" s="11">
        <f t="shared" si="4"/>
        <v>6560</v>
      </c>
      <c r="U9" s="11">
        <f t="shared" si="5"/>
        <v>0</v>
      </c>
      <c r="V9" s="11">
        <f>Table1[[#This Row],[Enrolment S.Y. 2025-2026 ]]*8</f>
        <v>6560</v>
      </c>
      <c r="W9" s="11"/>
      <c r="X9" s="9"/>
      <c r="Y9" s="11"/>
      <c r="Z9" s="11">
        <f t="shared" si="6"/>
        <v>6560</v>
      </c>
      <c r="AA9" s="11">
        <f t="shared" si="7"/>
        <v>0</v>
      </c>
    </row>
    <row r="10" spans="1:27" ht="19.5">
      <c r="A10" s="9">
        <v>7</v>
      </c>
      <c r="B10" s="10" t="s">
        <v>16</v>
      </c>
      <c r="C10" s="9">
        <v>820</v>
      </c>
      <c r="D10" s="11">
        <f>Table1[[#This Row],[Enrolment S.Y. 2025-2026 ]]*8</f>
        <v>6560</v>
      </c>
      <c r="E10" s="11"/>
      <c r="F10" s="9"/>
      <c r="G10" s="11"/>
      <c r="H10" s="11">
        <f t="shared" si="0"/>
        <v>6560</v>
      </c>
      <c r="I10" s="11">
        <f t="shared" si="1"/>
        <v>0</v>
      </c>
      <c r="J10" s="11">
        <f>Table1[[#This Row],[Enrolment S.Y. 2025-2026 ]]*8</f>
        <v>6560</v>
      </c>
      <c r="K10" s="11"/>
      <c r="L10" s="9"/>
      <c r="M10" s="11"/>
      <c r="N10" s="11">
        <f t="shared" ref="N10:N66" si="8">IF((J10-K10)&lt;0,0,(J10-K10))</f>
        <v>6560</v>
      </c>
      <c r="O10" s="11">
        <f t="shared" ref="O10:O66" si="9">IF((K10-J10)&lt;0,0,(K10-J10))</f>
        <v>0</v>
      </c>
      <c r="P10" s="11">
        <f>Table1[[#This Row],[Enrolment S.Y. 2025-2026 ]]*8</f>
        <v>6560</v>
      </c>
      <c r="Q10" s="11"/>
      <c r="R10" s="9"/>
      <c r="S10" s="11"/>
      <c r="T10" s="11">
        <f t="shared" ref="T10:T67" si="10">IF((P10-Q10)&lt;0,0,(P10-Q10))</f>
        <v>6560</v>
      </c>
      <c r="U10" s="11">
        <f t="shared" ref="U10:U67" si="11">IF((Q10-P10)&lt;0,0,(Q10-P10))</f>
        <v>0</v>
      </c>
      <c r="V10" s="11">
        <f>Table1[[#This Row],[Enrolment S.Y. 2025-2026 ]]*8</f>
        <v>6560</v>
      </c>
      <c r="W10" s="11"/>
      <c r="X10" s="9"/>
      <c r="Y10" s="11"/>
      <c r="Z10" s="11">
        <f t="shared" ref="Z10:Z67" si="12">IF((V10-W10)&lt;0,0,(V10-W10))</f>
        <v>6560</v>
      </c>
      <c r="AA10" s="11">
        <f t="shared" ref="AA10:AA67" si="13">IF((W10-V10)&lt;0,0,(W10-V10))</f>
        <v>0</v>
      </c>
    </row>
    <row r="11" spans="1:27" ht="19.5">
      <c r="A11" s="9">
        <v>7</v>
      </c>
      <c r="B11" s="10" t="s">
        <v>17</v>
      </c>
      <c r="C11" s="9">
        <v>820</v>
      </c>
      <c r="D11" s="11">
        <f>Table1[[#This Row],[Enrolment S.Y. 2025-2026 ]]*8</f>
        <v>6560</v>
      </c>
      <c r="E11" s="11"/>
      <c r="F11" s="9"/>
      <c r="G11" s="11"/>
      <c r="H11" s="11">
        <f t="shared" si="0"/>
        <v>6560</v>
      </c>
      <c r="I11" s="11">
        <f t="shared" si="1"/>
        <v>0</v>
      </c>
      <c r="J11" s="11">
        <f>Table1[[#This Row],[Enrolment S.Y. 2025-2026 ]]*8</f>
        <v>6560</v>
      </c>
      <c r="K11" s="11"/>
      <c r="L11" s="9"/>
      <c r="M11" s="11"/>
      <c r="N11" s="11">
        <f t="shared" si="8"/>
        <v>6560</v>
      </c>
      <c r="O11" s="11">
        <f t="shared" si="9"/>
        <v>0</v>
      </c>
      <c r="P11" s="11">
        <f>Table1[[#This Row],[Enrolment S.Y. 2025-2026 ]]*8</f>
        <v>6560</v>
      </c>
      <c r="Q11" s="11"/>
      <c r="R11" s="9"/>
      <c r="S11" s="11"/>
      <c r="T11" s="11">
        <f t="shared" si="10"/>
        <v>6560</v>
      </c>
      <c r="U11" s="11">
        <f t="shared" si="11"/>
        <v>0</v>
      </c>
      <c r="V11" s="11">
        <f>Table1[[#This Row],[Enrolment S.Y. 2025-2026 ]]*8</f>
        <v>6560</v>
      </c>
      <c r="W11" s="11"/>
      <c r="X11" s="9"/>
      <c r="Y11" s="11"/>
      <c r="Z11" s="11">
        <f t="shared" si="12"/>
        <v>6560</v>
      </c>
      <c r="AA11" s="11">
        <f t="shared" si="13"/>
        <v>0</v>
      </c>
    </row>
    <row r="12" spans="1:27" ht="19.5">
      <c r="A12" s="6"/>
      <c r="B12" s="6"/>
      <c r="C12" s="6"/>
      <c r="D12" s="6"/>
      <c r="E12" s="6"/>
      <c r="F12" s="6"/>
      <c r="G12" s="6"/>
      <c r="H12" s="6"/>
      <c r="I12" s="6"/>
      <c r="J12" s="12"/>
      <c r="K12" s="6"/>
      <c r="L12" s="6"/>
      <c r="M12" s="4"/>
      <c r="N12" s="12"/>
      <c r="O12" s="12"/>
      <c r="P12" s="12"/>
      <c r="Q12" s="6"/>
      <c r="R12" s="6"/>
      <c r="S12" s="4"/>
      <c r="T12" s="12"/>
      <c r="U12" s="12"/>
      <c r="V12" s="12"/>
      <c r="W12" s="6"/>
      <c r="X12" s="6"/>
      <c r="Y12" s="4"/>
      <c r="Z12" s="12"/>
      <c r="AA12" s="12"/>
    </row>
    <row r="13" spans="1:27" s="6" customFormat="1" ht="19.5">
      <c r="A13" s="9">
        <v>8</v>
      </c>
      <c r="B13" s="10" t="s">
        <v>8</v>
      </c>
      <c r="C13" s="9">
        <v>963</v>
      </c>
      <c r="D13" s="11">
        <f>Table1[[#This Row],[Enrolment S.Y. 2025-2026 ]]*8</f>
        <v>7704</v>
      </c>
      <c r="E13" s="11">
        <v>848</v>
      </c>
      <c r="F13" s="9">
        <v>2025</v>
      </c>
      <c r="G13" s="11" t="s">
        <v>56</v>
      </c>
      <c r="H13" s="11">
        <f t="shared" si="0"/>
        <v>6856</v>
      </c>
      <c r="I13" s="11">
        <f t="shared" si="1"/>
        <v>0</v>
      </c>
      <c r="J13" s="11">
        <f>Table1[[#This Row],[Enrolment S.Y. 2025-2026 ]]*8</f>
        <v>7704</v>
      </c>
      <c r="K13" s="11"/>
      <c r="L13" s="9"/>
      <c r="M13" s="11"/>
      <c r="N13" s="11">
        <f t="shared" si="8"/>
        <v>7704</v>
      </c>
      <c r="O13" s="11">
        <f t="shared" si="9"/>
        <v>0</v>
      </c>
      <c r="P13" s="11">
        <f>Table1[[#This Row],[Enrolment S.Y. 2025-2026 ]]*8</f>
        <v>7704</v>
      </c>
      <c r="Q13" s="11"/>
      <c r="R13" s="9"/>
      <c r="S13" s="11"/>
      <c r="T13" s="11">
        <f t="shared" si="10"/>
        <v>7704</v>
      </c>
      <c r="U13" s="11">
        <f t="shared" si="11"/>
        <v>0</v>
      </c>
      <c r="V13" s="11">
        <f>Table1[[#This Row],[Enrolment S.Y. 2025-2026 ]]*8</f>
        <v>7704</v>
      </c>
      <c r="W13" s="11"/>
      <c r="X13" s="9"/>
      <c r="Y13" s="11"/>
      <c r="Z13" s="11">
        <f t="shared" si="12"/>
        <v>7704</v>
      </c>
      <c r="AA13" s="11">
        <f t="shared" si="13"/>
        <v>0</v>
      </c>
    </row>
    <row r="14" spans="1:27" ht="19.5">
      <c r="A14" s="9">
        <v>8</v>
      </c>
      <c r="B14" s="10" t="s">
        <v>10</v>
      </c>
      <c r="C14" s="9">
        <v>963</v>
      </c>
      <c r="D14" s="11">
        <f>Table1[[#This Row],[Enrolment S.Y. 2025-2026 ]]*8</f>
        <v>7704</v>
      </c>
      <c r="E14" s="11">
        <v>848</v>
      </c>
      <c r="F14" s="9">
        <v>2025</v>
      </c>
      <c r="G14" s="11" t="s">
        <v>56</v>
      </c>
      <c r="H14" s="11">
        <f t="shared" si="0"/>
        <v>6856</v>
      </c>
      <c r="I14" s="11">
        <f t="shared" si="1"/>
        <v>0</v>
      </c>
      <c r="J14" s="11">
        <f>Table1[[#This Row],[Enrolment S.Y. 2025-2026 ]]*8</f>
        <v>7704</v>
      </c>
      <c r="K14" s="11"/>
      <c r="L14" s="9"/>
      <c r="M14" s="11"/>
      <c r="N14" s="11">
        <f t="shared" si="8"/>
        <v>7704</v>
      </c>
      <c r="O14" s="11">
        <f t="shared" si="9"/>
        <v>0</v>
      </c>
      <c r="P14" s="11">
        <f>Table1[[#This Row],[Enrolment S.Y. 2025-2026 ]]*8</f>
        <v>7704</v>
      </c>
      <c r="Q14" s="11"/>
      <c r="R14" s="9"/>
      <c r="S14" s="11"/>
      <c r="T14" s="11">
        <f t="shared" si="10"/>
        <v>7704</v>
      </c>
      <c r="U14" s="11">
        <f t="shared" si="11"/>
        <v>0</v>
      </c>
      <c r="V14" s="11">
        <f>Table1[[#This Row],[Enrolment S.Y. 2025-2026 ]]*8</f>
        <v>7704</v>
      </c>
      <c r="W14" s="11"/>
      <c r="X14" s="9"/>
      <c r="Y14" s="11"/>
      <c r="Z14" s="11">
        <f t="shared" si="12"/>
        <v>7704</v>
      </c>
      <c r="AA14" s="11">
        <f t="shared" si="13"/>
        <v>0</v>
      </c>
    </row>
    <row r="15" spans="1:27" ht="19.5">
      <c r="A15" s="9">
        <v>8</v>
      </c>
      <c r="B15" s="10" t="s">
        <v>11</v>
      </c>
      <c r="C15" s="9">
        <v>963</v>
      </c>
      <c r="D15" s="11">
        <f>Table1[[#This Row],[Enrolment S.Y. 2025-2026 ]]*8</f>
        <v>7704</v>
      </c>
      <c r="E15" s="11">
        <v>848</v>
      </c>
      <c r="F15" s="9">
        <v>2025</v>
      </c>
      <c r="G15" s="11" t="s">
        <v>56</v>
      </c>
      <c r="H15" s="11">
        <f t="shared" si="0"/>
        <v>6856</v>
      </c>
      <c r="I15" s="11">
        <f t="shared" si="1"/>
        <v>0</v>
      </c>
      <c r="J15" s="11">
        <f>Table1[[#This Row],[Enrolment S.Y. 2025-2026 ]]*8</f>
        <v>7704</v>
      </c>
      <c r="K15" s="11"/>
      <c r="L15" s="9"/>
      <c r="M15" s="11"/>
      <c r="N15" s="11">
        <f t="shared" si="8"/>
        <v>7704</v>
      </c>
      <c r="O15" s="11">
        <f t="shared" si="9"/>
        <v>0</v>
      </c>
      <c r="P15" s="11">
        <f>Table1[[#This Row],[Enrolment S.Y. 2025-2026 ]]*8</f>
        <v>7704</v>
      </c>
      <c r="Q15" s="11"/>
      <c r="R15" s="9"/>
      <c r="S15" s="11"/>
      <c r="T15" s="11">
        <f t="shared" si="10"/>
        <v>7704</v>
      </c>
      <c r="U15" s="11">
        <f t="shared" si="11"/>
        <v>0</v>
      </c>
      <c r="V15" s="11">
        <f>Table1[[#This Row],[Enrolment S.Y. 2025-2026 ]]*8</f>
        <v>7704</v>
      </c>
      <c r="W15" s="11"/>
      <c r="X15" s="9"/>
      <c r="Y15" s="11"/>
      <c r="Z15" s="11">
        <f t="shared" si="12"/>
        <v>7704</v>
      </c>
      <c r="AA15" s="11">
        <f t="shared" si="13"/>
        <v>0</v>
      </c>
    </row>
    <row r="16" spans="1:27" ht="19.5">
      <c r="A16" s="9">
        <v>8</v>
      </c>
      <c r="B16" s="10" t="s">
        <v>12</v>
      </c>
      <c r="C16" s="9">
        <v>963</v>
      </c>
      <c r="D16" s="11">
        <f>Table1[[#This Row],[Enrolment S.Y. 2025-2026 ]]*8</f>
        <v>7704</v>
      </c>
      <c r="E16" s="11">
        <v>848</v>
      </c>
      <c r="F16" s="9">
        <v>2025</v>
      </c>
      <c r="G16" s="11" t="s">
        <v>56</v>
      </c>
      <c r="H16" s="11">
        <f t="shared" si="0"/>
        <v>6856</v>
      </c>
      <c r="I16" s="11">
        <f t="shared" si="1"/>
        <v>0</v>
      </c>
      <c r="J16" s="11">
        <f>Table1[[#This Row],[Enrolment S.Y. 2025-2026 ]]*8</f>
        <v>7704</v>
      </c>
      <c r="K16" s="11"/>
      <c r="L16" s="9"/>
      <c r="M16" s="11"/>
      <c r="N16" s="11">
        <f t="shared" si="8"/>
        <v>7704</v>
      </c>
      <c r="O16" s="11">
        <f t="shared" si="9"/>
        <v>0</v>
      </c>
      <c r="P16" s="11">
        <f>Table1[[#This Row],[Enrolment S.Y. 2025-2026 ]]*8</f>
        <v>7704</v>
      </c>
      <c r="Q16" s="11"/>
      <c r="R16" s="9"/>
      <c r="S16" s="11"/>
      <c r="T16" s="11">
        <f t="shared" si="10"/>
        <v>7704</v>
      </c>
      <c r="U16" s="11">
        <f t="shared" si="11"/>
        <v>0</v>
      </c>
      <c r="V16" s="11">
        <f>Table1[[#This Row],[Enrolment S.Y. 2025-2026 ]]*8</f>
        <v>7704</v>
      </c>
      <c r="W16" s="11"/>
      <c r="X16" s="9"/>
      <c r="Y16" s="11"/>
      <c r="Z16" s="11">
        <f t="shared" si="12"/>
        <v>7704</v>
      </c>
      <c r="AA16" s="11">
        <f t="shared" si="13"/>
        <v>0</v>
      </c>
    </row>
    <row r="17" spans="1:27" ht="19.5">
      <c r="A17" s="9">
        <v>8</v>
      </c>
      <c r="B17" s="10" t="s">
        <v>18</v>
      </c>
      <c r="C17" s="9">
        <v>963</v>
      </c>
      <c r="D17" s="11">
        <f>Table1[[#This Row],[Enrolment S.Y. 2025-2026 ]]*8</f>
        <v>7704</v>
      </c>
      <c r="E17" s="11">
        <v>848</v>
      </c>
      <c r="F17" s="9">
        <v>2025</v>
      </c>
      <c r="G17" s="11" t="s">
        <v>56</v>
      </c>
      <c r="H17" s="11">
        <f t="shared" si="0"/>
        <v>6856</v>
      </c>
      <c r="I17" s="11">
        <f t="shared" si="1"/>
        <v>0</v>
      </c>
      <c r="J17" s="11">
        <f>Table1[[#This Row],[Enrolment S.Y. 2025-2026 ]]*8</f>
        <v>7704</v>
      </c>
      <c r="K17" s="11"/>
      <c r="L17" s="9"/>
      <c r="M17" s="11"/>
      <c r="N17" s="11">
        <f t="shared" si="8"/>
        <v>7704</v>
      </c>
      <c r="O17" s="11">
        <f t="shared" si="9"/>
        <v>0</v>
      </c>
      <c r="P17" s="11">
        <f>Table1[[#This Row],[Enrolment S.Y. 2025-2026 ]]*8</f>
        <v>7704</v>
      </c>
      <c r="Q17" s="11"/>
      <c r="R17" s="9"/>
      <c r="S17" s="11"/>
      <c r="T17" s="11">
        <f t="shared" si="10"/>
        <v>7704</v>
      </c>
      <c r="U17" s="11">
        <f t="shared" si="11"/>
        <v>0</v>
      </c>
      <c r="V17" s="11">
        <f>Table1[[#This Row],[Enrolment S.Y. 2025-2026 ]]*8</f>
        <v>7704</v>
      </c>
      <c r="W17" s="11"/>
      <c r="X17" s="9"/>
      <c r="Y17" s="11"/>
      <c r="Z17" s="11">
        <f t="shared" si="12"/>
        <v>7704</v>
      </c>
      <c r="AA17" s="11">
        <f t="shared" si="13"/>
        <v>0</v>
      </c>
    </row>
    <row r="18" spans="1:27" ht="19.5">
      <c r="A18" s="9">
        <v>8</v>
      </c>
      <c r="B18" s="10" t="s">
        <v>14</v>
      </c>
      <c r="C18" s="9">
        <v>963</v>
      </c>
      <c r="D18" s="11">
        <f>Table1[[#This Row],[Enrolment S.Y. 2025-2026 ]]*8</f>
        <v>7704</v>
      </c>
      <c r="E18" s="11">
        <v>848</v>
      </c>
      <c r="F18" s="9">
        <v>2025</v>
      </c>
      <c r="G18" s="11" t="s">
        <v>56</v>
      </c>
      <c r="H18" s="11">
        <f t="shared" ref="H18:H67" si="14">IF((D18-E18)&lt;0,0,(D18-E18))</f>
        <v>6856</v>
      </c>
      <c r="I18" s="11">
        <f t="shared" ref="I18:I67" si="15">IF((E18-D18)&lt;0,0,(E18-D18))</f>
        <v>0</v>
      </c>
      <c r="J18" s="11">
        <f>Table1[[#This Row],[Enrolment S.Y. 2025-2026 ]]*8</f>
        <v>7704</v>
      </c>
      <c r="K18" s="11"/>
      <c r="L18" s="9"/>
      <c r="M18" s="11"/>
      <c r="N18" s="11">
        <f t="shared" si="8"/>
        <v>7704</v>
      </c>
      <c r="O18" s="11">
        <f t="shared" si="9"/>
        <v>0</v>
      </c>
      <c r="P18" s="11">
        <f>Table1[[#This Row],[Enrolment S.Y. 2025-2026 ]]*8</f>
        <v>7704</v>
      </c>
      <c r="Q18" s="11"/>
      <c r="R18" s="9"/>
      <c r="S18" s="11"/>
      <c r="T18" s="11">
        <f t="shared" si="10"/>
        <v>7704</v>
      </c>
      <c r="U18" s="11">
        <f t="shared" si="11"/>
        <v>0</v>
      </c>
      <c r="V18" s="11">
        <f>Table1[[#This Row],[Enrolment S.Y. 2025-2026 ]]*8</f>
        <v>7704</v>
      </c>
      <c r="W18" s="11"/>
      <c r="X18" s="9"/>
      <c r="Y18" s="11"/>
      <c r="Z18" s="11">
        <f t="shared" si="12"/>
        <v>7704</v>
      </c>
      <c r="AA18" s="11">
        <f t="shared" si="13"/>
        <v>0</v>
      </c>
    </row>
    <row r="19" spans="1:27" ht="19.5">
      <c r="A19" s="9">
        <v>8</v>
      </c>
      <c r="B19" s="10" t="s">
        <v>15</v>
      </c>
      <c r="C19" s="9">
        <v>963</v>
      </c>
      <c r="D19" s="11">
        <f>Table1[[#This Row],[Enrolment S.Y. 2025-2026 ]]*8</f>
        <v>7704</v>
      </c>
      <c r="E19" s="11">
        <v>848</v>
      </c>
      <c r="F19" s="9">
        <v>2025</v>
      </c>
      <c r="G19" s="11" t="s">
        <v>56</v>
      </c>
      <c r="H19" s="11">
        <f t="shared" si="14"/>
        <v>6856</v>
      </c>
      <c r="I19" s="11">
        <f t="shared" si="15"/>
        <v>0</v>
      </c>
      <c r="J19" s="11">
        <f>Table1[[#This Row],[Enrolment S.Y. 2025-2026 ]]*8</f>
        <v>7704</v>
      </c>
      <c r="K19" s="11"/>
      <c r="L19" s="9"/>
      <c r="M19" s="11"/>
      <c r="N19" s="11">
        <f t="shared" si="8"/>
        <v>7704</v>
      </c>
      <c r="O19" s="11">
        <f t="shared" si="9"/>
        <v>0</v>
      </c>
      <c r="P19" s="11">
        <f>Table1[[#This Row],[Enrolment S.Y. 2025-2026 ]]*8</f>
        <v>7704</v>
      </c>
      <c r="Q19" s="11"/>
      <c r="R19" s="9"/>
      <c r="S19" s="11"/>
      <c r="T19" s="11">
        <f t="shared" si="10"/>
        <v>7704</v>
      </c>
      <c r="U19" s="11">
        <f t="shared" si="11"/>
        <v>0</v>
      </c>
      <c r="V19" s="11">
        <f>Table1[[#This Row],[Enrolment S.Y. 2025-2026 ]]*8</f>
        <v>7704</v>
      </c>
      <c r="W19" s="11"/>
      <c r="X19" s="9"/>
      <c r="Y19" s="11"/>
      <c r="Z19" s="11">
        <f t="shared" si="12"/>
        <v>7704</v>
      </c>
      <c r="AA19" s="11">
        <f t="shared" si="13"/>
        <v>0</v>
      </c>
    </row>
    <row r="20" spans="1:27" ht="19.5">
      <c r="A20" s="9">
        <v>8</v>
      </c>
      <c r="B20" s="10" t="s">
        <v>16</v>
      </c>
      <c r="C20" s="9">
        <v>963</v>
      </c>
      <c r="D20" s="11">
        <f>Table1[[#This Row],[Enrolment S.Y. 2025-2026 ]]*8</f>
        <v>7704</v>
      </c>
      <c r="E20" s="11">
        <v>848</v>
      </c>
      <c r="F20" s="9">
        <v>2025</v>
      </c>
      <c r="G20" s="11" t="s">
        <v>56</v>
      </c>
      <c r="H20" s="11">
        <f t="shared" si="14"/>
        <v>6856</v>
      </c>
      <c r="I20" s="11">
        <f t="shared" si="15"/>
        <v>0</v>
      </c>
      <c r="J20" s="11">
        <f>Table1[[#This Row],[Enrolment S.Y. 2025-2026 ]]*8</f>
        <v>7704</v>
      </c>
      <c r="K20" s="11"/>
      <c r="L20" s="9"/>
      <c r="M20" s="11"/>
      <c r="N20" s="11">
        <f t="shared" si="8"/>
        <v>7704</v>
      </c>
      <c r="O20" s="11">
        <f t="shared" si="9"/>
        <v>0</v>
      </c>
      <c r="P20" s="11">
        <f>Table1[[#This Row],[Enrolment S.Y. 2025-2026 ]]*8</f>
        <v>7704</v>
      </c>
      <c r="Q20" s="11"/>
      <c r="R20" s="9"/>
      <c r="S20" s="11"/>
      <c r="T20" s="11">
        <f t="shared" si="10"/>
        <v>7704</v>
      </c>
      <c r="U20" s="11">
        <f t="shared" si="11"/>
        <v>0</v>
      </c>
      <c r="V20" s="11">
        <f>Table1[[#This Row],[Enrolment S.Y. 2025-2026 ]]*8</f>
        <v>7704</v>
      </c>
      <c r="W20" s="11"/>
      <c r="X20" s="9"/>
      <c r="Y20" s="11"/>
      <c r="Z20" s="11">
        <f t="shared" si="12"/>
        <v>7704</v>
      </c>
      <c r="AA20" s="11">
        <f t="shared" si="13"/>
        <v>0</v>
      </c>
    </row>
    <row r="21" spans="1:27" ht="19.5">
      <c r="A21" s="9">
        <v>8</v>
      </c>
      <c r="B21" s="10" t="s">
        <v>17</v>
      </c>
      <c r="C21" s="9">
        <v>963</v>
      </c>
      <c r="D21" s="11">
        <f>Table1[[#This Row],[Enrolment S.Y. 2025-2026 ]]*8</f>
        <v>7704</v>
      </c>
      <c r="E21" s="11">
        <v>848</v>
      </c>
      <c r="F21" s="9">
        <v>2025</v>
      </c>
      <c r="G21" s="11" t="s">
        <v>56</v>
      </c>
      <c r="H21" s="11">
        <f t="shared" si="14"/>
        <v>6856</v>
      </c>
      <c r="I21" s="11">
        <f t="shared" si="15"/>
        <v>0</v>
      </c>
      <c r="J21" s="11">
        <f>Table1[[#This Row],[Enrolment S.Y. 2025-2026 ]]*8</f>
        <v>7704</v>
      </c>
      <c r="K21" s="11"/>
      <c r="L21" s="9"/>
      <c r="M21" s="11"/>
      <c r="N21" s="11">
        <f t="shared" si="8"/>
        <v>7704</v>
      </c>
      <c r="O21" s="11">
        <f t="shared" si="9"/>
        <v>0</v>
      </c>
      <c r="P21" s="11">
        <f>Table1[[#This Row],[Enrolment S.Y. 2025-2026 ]]*8</f>
        <v>7704</v>
      </c>
      <c r="Q21" s="11"/>
      <c r="R21" s="9"/>
      <c r="S21" s="11"/>
      <c r="T21" s="11">
        <f t="shared" si="10"/>
        <v>7704</v>
      </c>
      <c r="U21" s="11">
        <f t="shared" si="11"/>
        <v>0</v>
      </c>
      <c r="V21" s="11">
        <f>Table1[[#This Row],[Enrolment S.Y. 2025-2026 ]]*8</f>
        <v>7704</v>
      </c>
      <c r="W21" s="11"/>
      <c r="X21" s="9"/>
      <c r="Y21" s="11"/>
      <c r="Z21" s="11">
        <f t="shared" si="12"/>
        <v>7704</v>
      </c>
      <c r="AA21" s="11">
        <f t="shared" si="13"/>
        <v>0</v>
      </c>
    </row>
    <row r="22" spans="1:27" s="6" customFormat="1" ht="19.5">
      <c r="J22" s="12"/>
      <c r="M22" s="4"/>
      <c r="N22" s="12"/>
      <c r="O22" s="12"/>
      <c r="P22" s="12"/>
      <c r="S22" s="4"/>
      <c r="T22" s="12"/>
      <c r="U22" s="12"/>
      <c r="V22" s="12"/>
      <c r="Y22" s="4"/>
      <c r="Z22" s="12"/>
      <c r="AA22" s="12"/>
    </row>
    <row r="23" spans="1:27" ht="19.5">
      <c r="A23" s="9">
        <v>9</v>
      </c>
      <c r="B23" s="10" t="s">
        <v>8</v>
      </c>
      <c r="C23" s="9">
        <v>826</v>
      </c>
      <c r="D23" s="11">
        <f>Table1[[#This Row],[Enrolment S.Y. 2025-2026 ]]*8</f>
        <v>6608</v>
      </c>
      <c r="E23" s="11"/>
      <c r="F23" s="9"/>
      <c r="G23" s="11"/>
      <c r="H23" s="11">
        <f t="shared" si="14"/>
        <v>6608</v>
      </c>
      <c r="I23" s="11">
        <f t="shared" si="15"/>
        <v>0</v>
      </c>
      <c r="J23" s="11">
        <f>Table1[[#This Row],[Enrolment S.Y. 2025-2026 ]]*8</f>
        <v>6608</v>
      </c>
      <c r="K23" s="11"/>
      <c r="L23" s="9"/>
      <c r="M23" s="11"/>
      <c r="N23" s="11">
        <f t="shared" si="8"/>
        <v>6608</v>
      </c>
      <c r="O23" s="11">
        <f t="shared" si="9"/>
        <v>0</v>
      </c>
      <c r="P23" s="11">
        <f>Table1[[#This Row],[Enrolment S.Y. 2025-2026 ]]*8</f>
        <v>6608</v>
      </c>
      <c r="Q23" s="11"/>
      <c r="R23" s="9"/>
      <c r="S23" s="11"/>
      <c r="T23" s="11">
        <f t="shared" si="10"/>
        <v>6608</v>
      </c>
      <c r="U23" s="11">
        <f t="shared" si="11"/>
        <v>0</v>
      </c>
      <c r="V23" s="11">
        <f>Table1[[#This Row],[Enrolment S.Y. 2025-2026 ]]*8</f>
        <v>6608</v>
      </c>
      <c r="W23" s="11"/>
      <c r="X23" s="9"/>
      <c r="Y23" s="11"/>
      <c r="Z23" s="11">
        <f t="shared" si="12"/>
        <v>6608</v>
      </c>
      <c r="AA23" s="11">
        <f t="shared" si="13"/>
        <v>0</v>
      </c>
    </row>
    <row r="24" spans="1:27" ht="19.5">
      <c r="A24" s="9">
        <v>9</v>
      </c>
      <c r="B24" s="10" t="s">
        <v>10</v>
      </c>
      <c r="C24" s="9">
        <v>826</v>
      </c>
      <c r="D24" s="11">
        <f>Table1[[#This Row],[Enrolment S.Y. 2025-2026 ]]*8</f>
        <v>6608</v>
      </c>
      <c r="E24" s="11">
        <v>1200</v>
      </c>
      <c r="F24" s="9">
        <v>2025</v>
      </c>
      <c r="G24" s="11" t="s">
        <v>56</v>
      </c>
      <c r="H24" s="11">
        <f t="shared" si="14"/>
        <v>5408</v>
      </c>
      <c r="I24" s="11">
        <f t="shared" si="15"/>
        <v>0</v>
      </c>
      <c r="J24" s="11">
        <f>Table1[[#This Row],[Enrolment S.Y. 2025-2026 ]]*8</f>
        <v>6608</v>
      </c>
      <c r="K24" s="11">
        <v>700</v>
      </c>
      <c r="L24" s="9">
        <v>2025</v>
      </c>
      <c r="M24" s="11" t="s">
        <v>56</v>
      </c>
      <c r="N24" s="11">
        <f t="shared" si="8"/>
        <v>5908</v>
      </c>
      <c r="O24" s="11">
        <f t="shared" si="9"/>
        <v>0</v>
      </c>
      <c r="P24" s="11">
        <f>Table1[[#This Row],[Enrolment S.Y. 2025-2026 ]]*8</f>
        <v>6608</v>
      </c>
      <c r="Q24" s="11">
        <v>500</v>
      </c>
      <c r="R24" s="9">
        <v>2025</v>
      </c>
      <c r="S24" s="11" t="s">
        <v>56</v>
      </c>
      <c r="T24" s="11">
        <f t="shared" si="10"/>
        <v>6108</v>
      </c>
      <c r="U24" s="11">
        <f t="shared" si="11"/>
        <v>0</v>
      </c>
      <c r="V24" s="11">
        <f>Table1[[#This Row],[Enrolment S.Y. 2025-2026 ]]*8</f>
        <v>6608</v>
      </c>
      <c r="W24" s="11"/>
      <c r="X24" s="9"/>
      <c r="Y24" s="11"/>
      <c r="Z24" s="11">
        <f t="shared" si="12"/>
        <v>6608</v>
      </c>
      <c r="AA24" s="11">
        <f t="shared" si="13"/>
        <v>0</v>
      </c>
    </row>
    <row r="25" spans="1:27" ht="19.5">
      <c r="A25" s="9">
        <v>9</v>
      </c>
      <c r="B25" s="10" t="s">
        <v>11</v>
      </c>
      <c r="C25" s="9">
        <v>826</v>
      </c>
      <c r="D25" s="11">
        <f>Table1[[#This Row],[Enrolment S.Y. 2025-2026 ]]*8</f>
        <v>6608</v>
      </c>
      <c r="E25" s="11">
        <v>4600</v>
      </c>
      <c r="F25" s="9">
        <v>2025</v>
      </c>
      <c r="G25" s="11" t="s">
        <v>56</v>
      </c>
      <c r="H25" s="11">
        <f t="shared" si="14"/>
        <v>2008</v>
      </c>
      <c r="I25" s="11">
        <f t="shared" si="15"/>
        <v>0</v>
      </c>
      <c r="J25" s="11">
        <f>Table1[[#This Row],[Enrolment S.Y. 2025-2026 ]]*8</f>
        <v>6608</v>
      </c>
      <c r="K25" s="11">
        <v>1000</v>
      </c>
      <c r="L25" s="9">
        <v>2025</v>
      </c>
      <c r="M25" s="11" t="s">
        <v>56</v>
      </c>
      <c r="N25" s="11">
        <f t="shared" si="8"/>
        <v>5608</v>
      </c>
      <c r="O25" s="11">
        <f t="shared" si="9"/>
        <v>0</v>
      </c>
      <c r="P25" s="11">
        <f>Table1[[#This Row],[Enrolment S.Y. 2025-2026 ]]*8</f>
        <v>6608</v>
      </c>
      <c r="Q25" s="11">
        <v>1600</v>
      </c>
      <c r="R25" s="9">
        <v>2025</v>
      </c>
      <c r="S25" s="11" t="s">
        <v>56</v>
      </c>
      <c r="T25" s="11">
        <f t="shared" si="10"/>
        <v>5008</v>
      </c>
      <c r="U25" s="11">
        <f t="shared" si="11"/>
        <v>0</v>
      </c>
      <c r="V25" s="11">
        <f>Table1[[#This Row],[Enrolment S.Y. 2025-2026 ]]*8</f>
        <v>6608</v>
      </c>
      <c r="W25" s="11"/>
      <c r="X25" s="9"/>
      <c r="Y25" s="11"/>
      <c r="Z25" s="11">
        <f t="shared" si="12"/>
        <v>6608</v>
      </c>
      <c r="AA25" s="11">
        <f t="shared" si="13"/>
        <v>0</v>
      </c>
    </row>
    <row r="26" spans="1:27" ht="19.5">
      <c r="A26" s="9">
        <v>9</v>
      </c>
      <c r="B26" s="10" t="s">
        <v>12</v>
      </c>
      <c r="C26" s="9">
        <v>826</v>
      </c>
      <c r="D26" s="11">
        <f>Table1[[#This Row],[Enrolment S.Y. 2025-2026 ]]*8</f>
        <v>6608</v>
      </c>
      <c r="E26" s="11"/>
      <c r="F26" s="9"/>
      <c r="G26" s="11"/>
      <c r="H26" s="11">
        <f t="shared" si="14"/>
        <v>6608</v>
      </c>
      <c r="I26" s="11">
        <f t="shared" si="15"/>
        <v>0</v>
      </c>
      <c r="J26" s="11">
        <f>Table1[[#This Row],[Enrolment S.Y. 2025-2026 ]]*8</f>
        <v>6608</v>
      </c>
      <c r="K26" s="11"/>
      <c r="L26" s="9"/>
      <c r="M26" s="11"/>
      <c r="N26" s="11">
        <f t="shared" si="8"/>
        <v>6608</v>
      </c>
      <c r="O26" s="11">
        <f t="shared" si="9"/>
        <v>0</v>
      </c>
      <c r="P26" s="11">
        <f>Table1[[#This Row],[Enrolment S.Y. 2025-2026 ]]*8</f>
        <v>6608</v>
      </c>
      <c r="Q26" s="11">
        <v>500</v>
      </c>
      <c r="R26" s="9">
        <v>2025</v>
      </c>
      <c r="S26" s="11" t="s">
        <v>56</v>
      </c>
      <c r="T26" s="11">
        <f t="shared" si="10"/>
        <v>6108</v>
      </c>
      <c r="U26" s="11">
        <f t="shared" si="11"/>
        <v>0</v>
      </c>
      <c r="V26" s="11">
        <f>Table1[[#This Row],[Enrolment S.Y. 2025-2026 ]]*8</f>
        <v>6608</v>
      </c>
      <c r="W26" s="11"/>
      <c r="X26" s="9"/>
      <c r="Y26" s="11"/>
      <c r="Z26" s="11">
        <f t="shared" si="12"/>
        <v>6608</v>
      </c>
      <c r="AA26" s="11">
        <f t="shared" si="13"/>
        <v>0</v>
      </c>
    </row>
    <row r="27" spans="1:27" ht="19.5">
      <c r="A27" s="9">
        <v>9</v>
      </c>
      <c r="B27" s="10" t="s">
        <v>18</v>
      </c>
      <c r="C27" s="9">
        <v>826</v>
      </c>
      <c r="D27" s="11">
        <f>Table1[[#This Row],[Enrolment S.Y. 2025-2026 ]]*8</f>
        <v>6608</v>
      </c>
      <c r="E27" s="11"/>
      <c r="F27" s="9"/>
      <c r="G27" s="11"/>
      <c r="H27" s="11">
        <f t="shared" si="14"/>
        <v>6608</v>
      </c>
      <c r="I27" s="11">
        <f t="shared" si="15"/>
        <v>0</v>
      </c>
      <c r="J27" s="11">
        <f>Table1[[#This Row],[Enrolment S.Y. 2025-2026 ]]*8</f>
        <v>6608</v>
      </c>
      <c r="K27" s="11"/>
      <c r="L27" s="9"/>
      <c r="M27" s="11"/>
      <c r="N27" s="11">
        <f t="shared" si="8"/>
        <v>6608</v>
      </c>
      <c r="O27" s="11">
        <f t="shared" si="9"/>
        <v>0</v>
      </c>
      <c r="P27" s="11">
        <f>Table1[[#This Row],[Enrolment S.Y. 2025-2026 ]]*8</f>
        <v>6608</v>
      </c>
      <c r="Q27" s="11">
        <v>600</v>
      </c>
      <c r="R27" s="9">
        <v>2025</v>
      </c>
      <c r="S27" s="11" t="s">
        <v>56</v>
      </c>
      <c r="T27" s="11">
        <f t="shared" si="10"/>
        <v>6008</v>
      </c>
      <c r="U27" s="11">
        <f t="shared" si="11"/>
        <v>0</v>
      </c>
      <c r="V27" s="11">
        <f>Table1[[#This Row],[Enrolment S.Y. 2025-2026 ]]*8</f>
        <v>6608</v>
      </c>
      <c r="W27" s="11"/>
      <c r="X27" s="9"/>
      <c r="Y27" s="11"/>
      <c r="Z27" s="11">
        <f t="shared" si="12"/>
        <v>6608</v>
      </c>
      <c r="AA27" s="11">
        <f t="shared" si="13"/>
        <v>0</v>
      </c>
    </row>
    <row r="28" spans="1:27" ht="19.5">
      <c r="A28" s="9">
        <v>9</v>
      </c>
      <c r="B28" s="10" t="s">
        <v>14</v>
      </c>
      <c r="C28" s="9">
        <v>826</v>
      </c>
      <c r="D28" s="11">
        <f>Table1[[#This Row],[Enrolment S.Y. 2025-2026 ]]*8</f>
        <v>6608</v>
      </c>
      <c r="E28" s="11"/>
      <c r="F28" s="9"/>
      <c r="G28" s="11"/>
      <c r="H28" s="11">
        <f t="shared" si="14"/>
        <v>6608</v>
      </c>
      <c r="I28" s="11">
        <f t="shared" si="15"/>
        <v>0</v>
      </c>
      <c r="J28" s="11">
        <f>Table1[[#This Row],[Enrolment S.Y. 2025-2026 ]]*8</f>
        <v>6608</v>
      </c>
      <c r="K28" s="11"/>
      <c r="L28" s="9"/>
      <c r="M28" s="11"/>
      <c r="N28" s="11">
        <f t="shared" si="8"/>
        <v>6608</v>
      </c>
      <c r="O28" s="11">
        <f t="shared" si="9"/>
        <v>0</v>
      </c>
      <c r="P28" s="11">
        <f>Table1[[#This Row],[Enrolment S.Y. 2025-2026 ]]*8</f>
        <v>6608</v>
      </c>
      <c r="Q28" s="11">
        <v>600</v>
      </c>
      <c r="R28" s="9">
        <v>2025</v>
      </c>
      <c r="S28" s="11" t="s">
        <v>56</v>
      </c>
      <c r="T28" s="11">
        <f t="shared" si="10"/>
        <v>6008</v>
      </c>
      <c r="U28" s="11">
        <f t="shared" si="11"/>
        <v>0</v>
      </c>
      <c r="V28" s="11">
        <f>Table1[[#This Row],[Enrolment S.Y. 2025-2026 ]]*8</f>
        <v>6608</v>
      </c>
      <c r="W28" s="11"/>
      <c r="X28" s="9"/>
      <c r="Y28" s="11"/>
      <c r="Z28" s="11">
        <f t="shared" si="12"/>
        <v>6608</v>
      </c>
      <c r="AA28" s="11">
        <f t="shared" si="13"/>
        <v>0</v>
      </c>
    </row>
    <row r="29" spans="1:27" ht="19.5">
      <c r="A29" s="9">
        <v>9</v>
      </c>
      <c r="B29" s="10" t="s">
        <v>15</v>
      </c>
      <c r="C29" s="9">
        <v>826</v>
      </c>
      <c r="D29" s="11">
        <f>Table1[[#This Row],[Enrolment S.Y. 2025-2026 ]]*8</f>
        <v>6608</v>
      </c>
      <c r="E29" s="11"/>
      <c r="F29" s="9"/>
      <c r="G29" s="11"/>
      <c r="H29" s="11">
        <f t="shared" si="14"/>
        <v>6608</v>
      </c>
      <c r="I29" s="11">
        <f t="shared" si="15"/>
        <v>0</v>
      </c>
      <c r="J29" s="11">
        <f>Table1[[#This Row],[Enrolment S.Y. 2025-2026 ]]*8</f>
        <v>6608</v>
      </c>
      <c r="K29" s="11"/>
      <c r="L29" s="9"/>
      <c r="M29" s="11"/>
      <c r="N29" s="11">
        <f t="shared" si="8"/>
        <v>6608</v>
      </c>
      <c r="O29" s="11">
        <f t="shared" si="9"/>
        <v>0</v>
      </c>
      <c r="P29" s="11">
        <f>Table1[[#This Row],[Enrolment S.Y. 2025-2026 ]]*8</f>
        <v>6608</v>
      </c>
      <c r="Q29" s="11"/>
      <c r="R29" s="9"/>
      <c r="S29" s="11"/>
      <c r="T29" s="11">
        <f t="shared" si="10"/>
        <v>6608</v>
      </c>
      <c r="U29" s="11">
        <f t="shared" si="11"/>
        <v>0</v>
      </c>
      <c r="V29" s="11">
        <f>Table1[[#This Row],[Enrolment S.Y. 2025-2026 ]]*8</f>
        <v>6608</v>
      </c>
      <c r="W29" s="11"/>
      <c r="X29" s="9"/>
      <c r="Y29" s="11"/>
      <c r="Z29" s="11">
        <f t="shared" si="12"/>
        <v>6608</v>
      </c>
      <c r="AA29" s="11">
        <f t="shared" si="13"/>
        <v>0</v>
      </c>
    </row>
    <row r="30" spans="1:27" ht="19.5">
      <c r="A30" s="9">
        <v>9</v>
      </c>
      <c r="B30" s="10" t="s">
        <v>16</v>
      </c>
      <c r="C30" s="9">
        <v>826</v>
      </c>
      <c r="D30" s="11">
        <f>Table1[[#This Row],[Enrolment S.Y. 2025-2026 ]]*8</f>
        <v>6608</v>
      </c>
      <c r="E30" s="11"/>
      <c r="F30" s="9"/>
      <c r="G30" s="11"/>
      <c r="H30" s="11">
        <f t="shared" si="14"/>
        <v>6608</v>
      </c>
      <c r="I30" s="11">
        <f t="shared" si="15"/>
        <v>0</v>
      </c>
      <c r="J30" s="11">
        <f>Table1[[#This Row],[Enrolment S.Y. 2025-2026 ]]*8</f>
        <v>6608</v>
      </c>
      <c r="K30" s="11"/>
      <c r="L30" s="9"/>
      <c r="M30" s="11"/>
      <c r="N30" s="11">
        <f t="shared" si="8"/>
        <v>6608</v>
      </c>
      <c r="O30" s="11">
        <f t="shared" si="9"/>
        <v>0</v>
      </c>
      <c r="P30" s="11">
        <f>Table1[[#This Row],[Enrolment S.Y. 2025-2026 ]]*8</f>
        <v>6608</v>
      </c>
      <c r="Q30" s="11"/>
      <c r="R30" s="9"/>
      <c r="S30" s="11"/>
      <c r="T30" s="11">
        <f t="shared" si="10"/>
        <v>6608</v>
      </c>
      <c r="U30" s="11">
        <f t="shared" si="11"/>
        <v>0</v>
      </c>
      <c r="V30" s="11">
        <f>Table1[[#This Row],[Enrolment S.Y. 2025-2026 ]]*8</f>
        <v>6608</v>
      </c>
      <c r="W30" s="11"/>
      <c r="X30" s="9"/>
      <c r="Y30" s="11"/>
      <c r="Z30" s="11">
        <f t="shared" si="12"/>
        <v>6608</v>
      </c>
      <c r="AA30" s="11">
        <f t="shared" si="13"/>
        <v>0</v>
      </c>
    </row>
    <row r="31" spans="1:27" ht="19.5">
      <c r="A31" s="9">
        <v>9</v>
      </c>
      <c r="B31" s="10" t="s">
        <v>17</v>
      </c>
      <c r="C31" s="9">
        <v>826</v>
      </c>
      <c r="D31" s="11">
        <f>Table1[[#This Row],[Enrolment S.Y. 2025-2026 ]]*8</f>
        <v>6608</v>
      </c>
      <c r="E31" s="11"/>
      <c r="F31" s="9"/>
      <c r="G31" s="11"/>
      <c r="H31" s="11">
        <f t="shared" si="14"/>
        <v>6608</v>
      </c>
      <c r="I31" s="11">
        <f t="shared" si="15"/>
        <v>0</v>
      </c>
      <c r="J31" s="11">
        <f>Table1[[#This Row],[Enrolment S.Y. 2025-2026 ]]*8</f>
        <v>6608</v>
      </c>
      <c r="K31" s="11"/>
      <c r="L31" s="9"/>
      <c r="M31" s="11"/>
      <c r="N31" s="11">
        <f t="shared" si="8"/>
        <v>6608</v>
      </c>
      <c r="O31" s="11">
        <f t="shared" si="9"/>
        <v>0</v>
      </c>
      <c r="P31" s="11">
        <f>Table1[[#This Row],[Enrolment S.Y. 2025-2026 ]]*8</f>
        <v>6608</v>
      </c>
      <c r="Q31" s="11">
        <v>1100</v>
      </c>
      <c r="R31" s="9">
        <v>2025</v>
      </c>
      <c r="S31" s="11" t="s">
        <v>56</v>
      </c>
      <c r="T31" s="11">
        <f t="shared" si="10"/>
        <v>5508</v>
      </c>
      <c r="U31" s="11">
        <f t="shared" si="11"/>
        <v>0</v>
      </c>
      <c r="V31" s="11">
        <f>Table1[[#This Row],[Enrolment S.Y. 2025-2026 ]]*8</f>
        <v>6608</v>
      </c>
      <c r="W31" s="11"/>
      <c r="X31" s="9"/>
      <c r="Y31" s="11"/>
      <c r="Z31" s="11">
        <f t="shared" si="12"/>
        <v>6608</v>
      </c>
      <c r="AA31" s="11">
        <f t="shared" si="13"/>
        <v>0</v>
      </c>
    </row>
    <row r="32" spans="1:27" s="6" customFormat="1" ht="19.5">
      <c r="J32" s="12"/>
      <c r="M32" s="4"/>
      <c r="N32" s="12"/>
      <c r="O32" s="12"/>
      <c r="P32" s="12"/>
      <c r="S32" s="4"/>
      <c r="T32" s="12"/>
      <c r="U32" s="12"/>
      <c r="V32" s="12"/>
      <c r="Y32" s="4"/>
      <c r="Z32" s="12"/>
      <c r="AA32" s="12"/>
    </row>
    <row r="33" spans="1:27" ht="19.5">
      <c r="A33" s="9">
        <v>10</v>
      </c>
      <c r="B33" s="10" t="s">
        <v>8</v>
      </c>
      <c r="C33" s="9">
        <v>944</v>
      </c>
      <c r="D33" s="11">
        <f>Table1[[#This Row],[Enrolment S.Y. 2025-2026 ]]*8</f>
        <v>7552</v>
      </c>
      <c r="E33" s="11">
        <v>2400</v>
      </c>
      <c r="F33" s="9">
        <v>2025</v>
      </c>
      <c r="G33" s="11" t="s">
        <v>56</v>
      </c>
      <c r="H33" s="11">
        <f>IF((D33-E33)&lt;0,0,(D33-E33))</f>
        <v>5152</v>
      </c>
      <c r="I33" s="11">
        <f>IF((E33-D33)&lt;0,0,(E33-D33))</f>
        <v>0</v>
      </c>
      <c r="J33" s="11">
        <f>Table1[[#This Row],[Enrolment S.Y. 2025-2026 ]]*8</f>
        <v>7552</v>
      </c>
      <c r="K33" s="11">
        <v>1200</v>
      </c>
      <c r="L33" s="9">
        <v>2025</v>
      </c>
      <c r="M33" s="11" t="s">
        <v>56</v>
      </c>
      <c r="N33" s="11">
        <f>IF((J33-K33)&lt;0,0,(J33-K33))</f>
        <v>6352</v>
      </c>
      <c r="O33" s="11">
        <f>IF((K33-J33)&lt;0,0,(K33-J33))</f>
        <v>0</v>
      </c>
      <c r="P33" s="11">
        <f>Table1[[#This Row],[Enrolment S.Y. 2025-2026 ]]*8</f>
        <v>7552</v>
      </c>
      <c r="Q33" s="11">
        <v>750</v>
      </c>
      <c r="R33" s="9">
        <v>2025</v>
      </c>
      <c r="S33" s="11" t="s">
        <v>56</v>
      </c>
      <c r="T33" s="11">
        <f>IF((P33-Q33)&lt;0,0,(P33-Q33))</f>
        <v>6802</v>
      </c>
      <c r="U33" s="11">
        <f>IF((Q33-P33)&lt;0,0,(Q33-P33))</f>
        <v>0</v>
      </c>
      <c r="V33" s="11">
        <f>Table1[[#This Row],[Enrolment S.Y. 2025-2026 ]]*8</f>
        <v>7552</v>
      </c>
      <c r="W33" s="11">
        <v>450</v>
      </c>
      <c r="X33" s="9">
        <v>2025</v>
      </c>
      <c r="Y33" s="11" t="s">
        <v>56</v>
      </c>
      <c r="Z33" s="11">
        <f>IF((V33-W33)&lt;0,0,(V33-W33))</f>
        <v>7102</v>
      </c>
      <c r="AA33" s="11">
        <f>IF((W33-V33)&lt;0,0,(W33-V33))</f>
        <v>0</v>
      </c>
    </row>
    <row r="34" spans="1:27" ht="19.5">
      <c r="A34" s="9">
        <v>10</v>
      </c>
      <c r="B34" s="10" t="s">
        <v>10</v>
      </c>
      <c r="C34" s="9">
        <v>944</v>
      </c>
      <c r="D34" s="11">
        <f>Table1[[#This Row],[Enrolment S.Y. 2025-2026 ]]*8</f>
        <v>7552</v>
      </c>
      <c r="E34" s="11">
        <v>2100</v>
      </c>
      <c r="F34" s="9">
        <v>2025</v>
      </c>
      <c r="G34" s="11" t="s">
        <v>56</v>
      </c>
      <c r="H34" s="11">
        <f>IF((D34-E34)&lt;0,0,(D34-E34))</f>
        <v>5452</v>
      </c>
      <c r="I34" s="11">
        <f>IF((E34-D34)&lt;0,0,(E34-D34))</f>
        <v>0</v>
      </c>
      <c r="J34" s="11">
        <f>Table1[[#This Row],[Enrolment S.Y. 2025-2026 ]]*8</f>
        <v>7552</v>
      </c>
      <c r="K34" s="11"/>
      <c r="L34" s="9"/>
      <c r="M34" s="11"/>
      <c r="N34" s="11">
        <f>IF((J34-K34)&lt;0,0,(J34-K34))</f>
        <v>7552</v>
      </c>
      <c r="O34" s="11">
        <f>IF((K34-J34)&lt;0,0,(K34-J34))</f>
        <v>0</v>
      </c>
      <c r="P34" s="11">
        <f>Table1[[#This Row],[Enrolment S.Y. 2025-2026 ]]*8</f>
        <v>7552</v>
      </c>
      <c r="Q34" s="11">
        <v>1050</v>
      </c>
      <c r="R34" s="9">
        <v>2025</v>
      </c>
      <c r="S34" s="11" t="s">
        <v>56</v>
      </c>
      <c r="T34" s="11">
        <f>IF((P34-Q34)&lt;0,0,(P34-Q34))</f>
        <v>6502</v>
      </c>
      <c r="U34" s="11">
        <f>IF((Q34-P34)&lt;0,0,(Q34-P34))</f>
        <v>0</v>
      </c>
      <c r="V34" s="11">
        <f>Table1[[#This Row],[Enrolment S.Y. 2025-2026 ]]*8</f>
        <v>7552</v>
      </c>
      <c r="W34" s="11">
        <v>1050</v>
      </c>
      <c r="X34" s="9">
        <v>2025</v>
      </c>
      <c r="Y34" s="11" t="s">
        <v>56</v>
      </c>
      <c r="Z34" s="11">
        <f>IF((V34-W34)&lt;0,0,(V34-W34))</f>
        <v>6502</v>
      </c>
      <c r="AA34" s="11">
        <f>IF((W34-V34)&lt;0,0,(W34-V34))</f>
        <v>0</v>
      </c>
    </row>
    <row r="35" spans="1:27" ht="19.5">
      <c r="A35" s="9">
        <v>10</v>
      </c>
      <c r="B35" s="10" t="s">
        <v>11</v>
      </c>
      <c r="C35" s="9">
        <v>944</v>
      </c>
      <c r="D35" s="11">
        <f>Table1[[#This Row],[Enrolment S.Y. 2025-2026 ]]*8</f>
        <v>7552</v>
      </c>
      <c r="E35" s="11">
        <v>3000</v>
      </c>
      <c r="F35" s="9">
        <v>2025</v>
      </c>
      <c r="G35" s="11" t="s">
        <v>56</v>
      </c>
      <c r="H35" s="11">
        <f>IF((D35-E35)&lt;0,0,(D35-E35))</f>
        <v>4552</v>
      </c>
      <c r="I35" s="11">
        <f>IF((E35-D35)&lt;0,0,(E35-D35))</f>
        <v>0</v>
      </c>
      <c r="J35" s="11">
        <f>Table1[[#This Row],[Enrolment S.Y. 2025-2026 ]]*8</f>
        <v>7552</v>
      </c>
      <c r="K35" s="11">
        <v>1350</v>
      </c>
      <c r="L35" s="9">
        <v>2025</v>
      </c>
      <c r="M35" s="11" t="s">
        <v>56</v>
      </c>
      <c r="N35" s="11">
        <f>IF((J35-K35)&lt;0,0,(J35-K35))</f>
        <v>6202</v>
      </c>
      <c r="O35" s="11">
        <f>IF((K35-J35)&lt;0,0,(K35-J35))</f>
        <v>0</v>
      </c>
      <c r="P35" s="11">
        <f>Table1[[#This Row],[Enrolment S.Y. 2025-2026 ]]*8</f>
        <v>7552</v>
      </c>
      <c r="Q35" s="11">
        <v>1050</v>
      </c>
      <c r="R35" s="9">
        <v>2025</v>
      </c>
      <c r="S35" s="11" t="s">
        <v>56</v>
      </c>
      <c r="T35" s="11">
        <f>IF((P35-Q35)&lt;0,0,(P35-Q35))</f>
        <v>6502</v>
      </c>
      <c r="U35" s="11">
        <f>IF((Q35-P35)&lt;0,0,(Q35-P35))</f>
        <v>0</v>
      </c>
      <c r="V35" s="11">
        <f>Table1[[#This Row],[Enrolment S.Y. 2025-2026 ]]*8</f>
        <v>7552</v>
      </c>
      <c r="W35" s="11">
        <v>600</v>
      </c>
      <c r="X35" s="9">
        <v>2025</v>
      </c>
      <c r="Y35" s="11" t="s">
        <v>56</v>
      </c>
      <c r="Z35" s="11">
        <f>IF((V35-W35)&lt;0,0,(V35-W35))</f>
        <v>6952</v>
      </c>
      <c r="AA35" s="11">
        <f>IF((W35-V35)&lt;0,0,(W35-V35))</f>
        <v>0</v>
      </c>
    </row>
    <row r="36" spans="1:27" ht="19.5">
      <c r="A36" s="9">
        <v>10</v>
      </c>
      <c r="B36" s="10" t="s">
        <v>12</v>
      </c>
      <c r="C36" s="9">
        <v>944</v>
      </c>
      <c r="D36" s="11">
        <f>Table1[[#This Row],[Enrolment S.Y. 2025-2026 ]]*8</f>
        <v>7552</v>
      </c>
      <c r="E36" s="11"/>
      <c r="F36" s="9"/>
      <c r="G36" s="11"/>
      <c r="H36" s="11">
        <f>IF((D36-E36)&lt;0,0,(D36-E36))</f>
        <v>7552</v>
      </c>
      <c r="I36" s="11">
        <f>IF((E36-D36)&lt;0,0,(E36-D36))</f>
        <v>0</v>
      </c>
      <c r="J36" s="11">
        <f>Table1[[#This Row],[Enrolment S.Y. 2025-2026 ]]*8</f>
        <v>7552</v>
      </c>
      <c r="K36" s="11"/>
      <c r="L36" s="9"/>
      <c r="M36" s="11"/>
      <c r="N36" s="11">
        <f>IF((J36-K36)&lt;0,0,(J36-K36))</f>
        <v>7552</v>
      </c>
      <c r="O36" s="11">
        <f>IF((K36-J36)&lt;0,0,(K36-J36))</f>
        <v>0</v>
      </c>
      <c r="P36" s="11">
        <f>Table1[[#This Row],[Enrolment S.Y. 2025-2026 ]]*8</f>
        <v>7552</v>
      </c>
      <c r="Q36" s="11">
        <v>1200</v>
      </c>
      <c r="R36" s="9">
        <v>2025</v>
      </c>
      <c r="S36" s="11" t="s">
        <v>56</v>
      </c>
      <c r="T36" s="11">
        <f>IF((P36-Q36)&lt;0,0,(P36-Q36))</f>
        <v>6352</v>
      </c>
      <c r="U36" s="11">
        <f>IF((Q36-P36)&lt;0,0,(Q36-P36))</f>
        <v>0</v>
      </c>
      <c r="V36" s="11">
        <f>Table1[[#This Row],[Enrolment S.Y. 2025-2026 ]]*8</f>
        <v>7552</v>
      </c>
      <c r="W36" s="11">
        <v>600</v>
      </c>
      <c r="X36" s="9">
        <v>2025</v>
      </c>
      <c r="Y36" s="11" t="s">
        <v>56</v>
      </c>
      <c r="Z36" s="11">
        <f>IF((V36-W36)&lt;0,0,(V36-W36))</f>
        <v>6952</v>
      </c>
      <c r="AA36" s="11">
        <f>IF((W36-V36)&lt;0,0,(W36-V36))</f>
        <v>0</v>
      </c>
    </row>
    <row r="37" spans="1:27" ht="19.5">
      <c r="A37" s="9">
        <v>10</v>
      </c>
      <c r="B37" s="10" t="s">
        <v>18</v>
      </c>
      <c r="C37" s="9">
        <v>944</v>
      </c>
      <c r="D37" s="11">
        <f>Table1[[#This Row],[Enrolment S.Y. 2025-2026 ]]*8</f>
        <v>7552</v>
      </c>
      <c r="E37" s="11"/>
      <c r="F37" s="9"/>
      <c r="G37" s="11"/>
      <c r="H37" s="11">
        <f>IF((D37-E37)&lt;0,0,(D37-E37))</f>
        <v>7552</v>
      </c>
      <c r="I37" s="11">
        <f>IF((E37-D37)&lt;0,0,(E37-D37))</f>
        <v>0</v>
      </c>
      <c r="J37" s="11">
        <f>Table1[[#This Row],[Enrolment S.Y. 2025-2026 ]]*8</f>
        <v>7552</v>
      </c>
      <c r="K37" s="11"/>
      <c r="L37" s="9"/>
      <c r="M37" s="11"/>
      <c r="N37" s="11">
        <f>IF((J37-K37)&lt;0,0,(J37-K37))</f>
        <v>7552</v>
      </c>
      <c r="O37" s="11">
        <f>IF((K37-J37)&lt;0,0,(K37-J37))</f>
        <v>0</v>
      </c>
      <c r="P37" s="11">
        <f>Table1[[#This Row],[Enrolment S.Y. 2025-2026 ]]*8</f>
        <v>7552</v>
      </c>
      <c r="Q37" s="11">
        <v>600</v>
      </c>
      <c r="R37" s="9">
        <v>2025</v>
      </c>
      <c r="S37" s="11" t="s">
        <v>56</v>
      </c>
      <c r="T37" s="11">
        <f>IF((P37-Q37)&lt;0,0,(P37-Q37))</f>
        <v>6952</v>
      </c>
      <c r="U37" s="11">
        <f>IF((Q37-P37)&lt;0,0,(Q37-P37))</f>
        <v>0</v>
      </c>
      <c r="V37" s="11">
        <f>Table1[[#This Row],[Enrolment S.Y. 2025-2026 ]]*8</f>
        <v>7552</v>
      </c>
      <c r="W37" s="11">
        <v>600</v>
      </c>
      <c r="X37" s="9">
        <v>2025</v>
      </c>
      <c r="Y37" s="11" t="s">
        <v>56</v>
      </c>
      <c r="Z37" s="11">
        <f>IF((V37-W37)&lt;0,0,(V37-W37))</f>
        <v>6952</v>
      </c>
      <c r="AA37" s="11">
        <f>IF((W37-V37)&lt;0,0,(W37-V37))</f>
        <v>0</v>
      </c>
    </row>
    <row r="38" spans="1:27" ht="19.5">
      <c r="A38" s="9">
        <v>10</v>
      </c>
      <c r="B38" s="10" t="s">
        <v>14</v>
      </c>
      <c r="C38" s="9">
        <v>944</v>
      </c>
      <c r="D38" s="11">
        <f>Table1[[#This Row],[Enrolment S.Y. 2025-2026 ]]*8</f>
        <v>7552</v>
      </c>
      <c r="E38" s="11"/>
      <c r="F38" s="9"/>
      <c r="G38" s="11"/>
      <c r="H38" s="11">
        <f>IF((D38-E38)&lt;0,0,(D38-E38))</f>
        <v>7552</v>
      </c>
      <c r="I38" s="11">
        <f>IF((E38-D38)&lt;0,0,(E38-D38))</f>
        <v>0</v>
      </c>
      <c r="J38" s="11">
        <f>Table1[[#This Row],[Enrolment S.Y. 2025-2026 ]]*8</f>
        <v>7552</v>
      </c>
      <c r="K38" s="11"/>
      <c r="L38" s="9"/>
      <c r="M38" s="11"/>
      <c r="N38" s="11">
        <f>IF((J38-K38)&lt;0,0,(J38-K38))</f>
        <v>7552</v>
      </c>
      <c r="O38" s="11">
        <f>IF((K38-J38)&lt;0,0,(K38-J38))</f>
        <v>0</v>
      </c>
      <c r="P38" s="11">
        <f>Table1[[#This Row],[Enrolment S.Y. 2025-2026 ]]*8</f>
        <v>7552</v>
      </c>
      <c r="Q38" s="11">
        <v>1050</v>
      </c>
      <c r="R38" s="9">
        <v>2025</v>
      </c>
      <c r="S38" s="11" t="s">
        <v>56</v>
      </c>
      <c r="T38" s="11">
        <f>IF((P38-Q38)&lt;0,0,(P38-Q38))</f>
        <v>6502</v>
      </c>
      <c r="U38" s="11">
        <f>IF((Q38-P38)&lt;0,0,(Q38-P38))</f>
        <v>0</v>
      </c>
      <c r="V38" s="11">
        <f>Table1[[#This Row],[Enrolment S.Y. 2025-2026 ]]*8</f>
        <v>7552</v>
      </c>
      <c r="W38" s="11">
        <v>900</v>
      </c>
      <c r="X38" s="9">
        <v>2025</v>
      </c>
      <c r="Y38" s="11" t="s">
        <v>56</v>
      </c>
      <c r="Z38" s="11">
        <f>IF((V38-W38)&lt;0,0,(V38-W38))</f>
        <v>6652</v>
      </c>
      <c r="AA38" s="11">
        <f>IF((W38-V38)&lt;0,0,(W38-V38))</f>
        <v>0</v>
      </c>
    </row>
    <row r="39" spans="1:27" ht="19.5">
      <c r="A39" s="9">
        <v>10</v>
      </c>
      <c r="B39" s="10" t="s">
        <v>15</v>
      </c>
      <c r="C39" s="9">
        <v>944</v>
      </c>
      <c r="D39" s="11">
        <f>Table1[[#This Row],[Enrolment S.Y. 2025-2026 ]]*8</f>
        <v>7552</v>
      </c>
      <c r="E39" s="11"/>
      <c r="F39" s="9"/>
      <c r="G39" s="11"/>
      <c r="H39" s="11">
        <f>IF((D39-E39)&lt;0,0,(D39-E39))</f>
        <v>7552</v>
      </c>
      <c r="I39" s="11">
        <f>IF((E39-D39)&lt;0,0,(E39-D39))</f>
        <v>0</v>
      </c>
      <c r="J39" s="11">
        <f>Table1[[#This Row],[Enrolment S.Y. 2025-2026 ]]*8</f>
        <v>7552</v>
      </c>
      <c r="K39" s="11"/>
      <c r="L39" s="9"/>
      <c r="M39" s="11"/>
      <c r="N39" s="11">
        <f>IF((J39-K39)&lt;0,0,(J39-K39))</f>
        <v>7552</v>
      </c>
      <c r="O39" s="11">
        <f>IF((K39-J39)&lt;0,0,(K39-J39))</f>
        <v>0</v>
      </c>
      <c r="P39" s="11">
        <f>Table1[[#This Row],[Enrolment S.Y. 2025-2026 ]]*8</f>
        <v>7552</v>
      </c>
      <c r="Q39" s="11">
        <v>750</v>
      </c>
      <c r="R39" s="9">
        <v>2025</v>
      </c>
      <c r="S39" s="11" t="s">
        <v>56</v>
      </c>
      <c r="T39" s="11">
        <f>IF((P39-Q39)&lt;0,0,(P39-Q39))</f>
        <v>6802</v>
      </c>
      <c r="U39" s="11">
        <f>IF((Q39-P39)&lt;0,0,(Q39-P39))</f>
        <v>0</v>
      </c>
      <c r="V39" s="11">
        <f>Table1[[#This Row],[Enrolment S.Y. 2025-2026 ]]*8</f>
        <v>7552</v>
      </c>
      <c r="W39" s="11">
        <v>900</v>
      </c>
      <c r="X39" s="9">
        <v>2025</v>
      </c>
      <c r="Y39" s="11" t="s">
        <v>56</v>
      </c>
      <c r="Z39" s="11">
        <f>IF((V39-W39)&lt;0,0,(V39-W39))</f>
        <v>6652</v>
      </c>
      <c r="AA39" s="11">
        <f>IF((W39-V39)&lt;0,0,(W39-V39))</f>
        <v>0</v>
      </c>
    </row>
    <row r="40" spans="1:27" ht="19.5">
      <c r="A40" s="9">
        <v>10</v>
      </c>
      <c r="B40" s="10" t="s">
        <v>16</v>
      </c>
      <c r="C40" s="9">
        <v>944</v>
      </c>
      <c r="D40" s="11">
        <f>Table1[[#This Row],[Enrolment S.Y. 2025-2026 ]]*8</f>
        <v>7552</v>
      </c>
      <c r="E40" s="11"/>
      <c r="F40" s="9"/>
      <c r="G40" s="11"/>
      <c r="H40" s="11">
        <f>IF((D40-E40)&lt;0,0,(D40-E40))</f>
        <v>7552</v>
      </c>
      <c r="I40" s="11">
        <f>IF((E40-D40)&lt;0,0,(E40-D40))</f>
        <v>0</v>
      </c>
      <c r="J40" s="11">
        <f>Table1[[#This Row],[Enrolment S.Y. 2025-2026 ]]*8</f>
        <v>7552</v>
      </c>
      <c r="K40" s="11"/>
      <c r="L40" s="9"/>
      <c r="M40" s="11"/>
      <c r="N40" s="11">
        <f>IF((J40-K40)&lt;0,0,(J40-K40))</f>
        <v>7552</v>
      </c>
      <c r="O40" s="11">
        <f>IF((K40-J40)&lt;0,0,(K40-J40))</f>
        <v>0</v>
      </c>
      <c r="P40" s="11">
        <f>Table1[[#This Row],[Enrolment S.Y. 2025-2026 ]]*8</f>
        <v>7552</v>
      </c>
      <c r="Q40" s="11"/>
      <c r="R40" s="9"/>
      <c r="S40" s="11"/>
      <c r="T40" s="11">
        <f>IF((P40-Q40)&lt;0,0,(P40-Q40))</f>
        <v>7552</v>
      </c>
      <c r="U40" s="11">
        <f>IF((Q40-P40)&lt;0,0,(Q40-P40))</f>
        <v>0</v>
      </c>
      <c r="V40" s="11">
        <f>Table1[[#This Row],[Enrolment S.Y. 2025-2026 ]]*8</f>
        <v>7552</v>
      </c>
      <c r="W40" s="11"/>
      <c r="X40" s="9"/>
      <c r="Y40" s="11"/>
      <c r="Z40" s="11">
        <f>IF((V40-W40)&lt;0,0,(V40-W40))</f>
        <v>7552</v>
      </c>
      <c r="AA40" s="11">
        <f>IF((W40-V40)&lt;0,0,(W40-V40))</f>
        <v>0</v>
      </c>
    </row>
    <row r="41" spans="1:27" ht="19.5">
      <c r="A41" s="9">
        <v>10</v>
      </c>
      <c r="B41" s="10" t="s">
        <v>17</v>
      </c>
      <c r="C41" s="9">
        <v>944</v>
      </c>
      <c r="D41" s="11">
        <f>Table1[[#This Row],[Enrolment S.Y. 2025-2026 ]]*8</f>
        <v>7552</v>
      </c>
      <c r="E41" s="11"/>
      <c r="F41" s="9"/>
      <c r="G41" s="11"/>
      <c r="H41" s="11">
        <f>IF((D41-E41)&lt;0,0,(D41-E41))</f>
        <v>7552</v>
      </c>
      <c r="I41" s="11">
        <f>IF((E41-D41)&lt;0,0,(E41-D41))</f>
        <v>0</v>
      </c>
      <c r="J41" s="11">
        <f>Table1[[#This Row],[Enrolment S.Y. 2025-2026 ]]*8</f>
        <v>7552</v>
      </c>
      <c r="K41" s="11"/>
      <c r="L41" s="9"/>
      <c r="M41" s="11"/>
      <c r="N41" s="11">
        <f>IF((J41-K41)&lt;0,0,(J41-K41))</f>
        <v>7552</v>
      </c>
      <c r="O41" s="11">
        <f>IF((K41-J41)&lt;0,0,(K41-J41))</f>
        <v>0</v>
      </c>
      <c r="P41" s="11">
        <f>Table1[[#This Row],[Enrolment S.Y. 2025-2026 ]]*8</f>
        <v>7552</v>
      </c>
      <c r="Q41" s="11">
        <v>600</v>
      </c>
      <c r="R41" s="9">
        <v>2025</v>
      </c>
      <c r="S41" s="11" t="s">
        <v>56</v>
      </c>
      <c r="T41" s="11">
        <f>IF((P41-Q41)&lt;0,0,(P41-Q41))</f>
        <v>6952</v>
      </c>
      <c r="U41" s="11">
        <f>IF((Q41-P41)&lt;0,0,(Q41-P41))</f>
        <v>0</v>
      </c>
      <c r="V41" s="11">
        <f>Table1[[#This Row],[Enrolment S.Y. 2025-2026 ]]*8</f>
        <v>7552</v>
      </c>
      <c r="W41" s="11">
        <v>600</v>
      </c>
      <c r="X41" s="9">
        <v>2025</v>
      </c>
      <c r="Y41" s="11" t="s">
        <v>56</v>
      </c>
      <c r="Z41" s="11">
        <f>IF((V41-W41)&lt;0,0,(V41-W41))</f>
        <v>6952</v>
      </c>
      <c r="AA41" s="11">
        <f>IF((W41-V41)&lt;0,0,(W41-V41))</f>
        <v>0</v>
      </c>
    </row>
    <row r="42" spans="1:27" s="6" customFormat="1" ht="19.5">
      <c r="J42" s="12"/>
      <c r="M42" s="4"/>
      <c r="N42" s="12"/>
      <c r="O42" s="12"/>
      <c r="P42" s="12"/>
      <c r="S42" s="4"/>
      <c r="T42" s="12"/>
      <c r="U42" s="12"/>
      <c r="V42" s="12"/>
      <c r="Y42" s="4"/>
      <c r="Z42" s="12"/>
      <c r="AA42" s="12"/>
    </row>
    <row r="43" spans="1:27" ht="38.25">
      <c r="A43" s="1" t="s">
        <v>19</v>
      </c>
      <c r="B43" s="8" t="s">
        <v>20</v>
      </c>
      <c r="C43" s="1">
        <v>665</v>
      </c>
      <c r="D43" s="4">
        <f>Table1[[#This Row],[Enrolment S.Y. 2025-2026 ]]*8</f>
        <v>5320</v>
      </c>
      <c r="E43" s="4"/>
      <c r="F43" s="1"/>
      <c r="G43" s="4"/>
      <c r="H43" s="4">
        <f t="shared" si="14"/>
        <v>5320</v>
      </c>
      <c r="I43" s="4">
        <f t="shared" si="15"/>
        <v>0</v>
      </c>
      <c r="J43" s="4">
        <f>Table1[[#This Row],[Enrolment S.Y. 2025-2026 ]]*8</f>
        <v>5320</v>
      </c>
      <c r="K43" s="4"/>
      <c r="L43" s="1"/>
      <c r="M43" s="4"/>
      <c r="N43" s="4">
        <f t="shared" si="8"/>
        <v>5320</v>
      </c>
      <c r="O43" s="4">
        <f t="shared" si="9"/>
        <v>0</v>
      </c>
      <c r="P43" s="4">
        <f>Table1[[#This Row],[Enrolment S.Y. 2025-2026 ]]*8</f>
        <v>5320</v>
      </c>
      <c r="Q43" s="4"/>
      <c r="R43" s="1"/>
      <c r="S43" s="4"/>
      <c r="T43" s="4">
        <f t="shared" si="10"/>
        <v>5320</v>
      </c>
      <c r="U43" s="4">
        <f t="shared" si="11"/>
        <v>0</v>
      </c>
      <c r="V43" s="4">
        <f>Table1[[#This Row],[Enrolment S.Y. 2025-2026 ]]*8</f>
        <v>5320</v>
      </c>
      <c r="W43" s="4"/>
      <c r="X43" s="1"/>
      <c r="Y43" s="4"/>
      <c r="Z43" s="4">
        <f t="shared" si="12"/>
        <v>5320</v>
      </c>
      <c r="AA43" s="4">
        <f t="shared" si="13"/>
        <v>0</v>
      </c>
    </row>
    <row r="44" spans="1:27" ht="19.5">
      <c r="A44" s="1" t="s">
        <v>19</v>
      </c>
      <c r="B44" s="8" t="s">
        <v>21</v>
      </c>
      <c r="C44" s="1">
        <v>665</v>
      </c>
      <c r="D44" s="4">
        <f>Table1[[#This Row],[Enrolment S.Y. 2025-2026 ]]*8</f>
        <v>5320</v>
      </c>
      <c r="E44" s="4"/>
      <c r="F44" s="1"/>
      <c r="G44" s="4"/>
      <c r="H44" s="4">
        <f t="shared" si="14"/>
        <v>5320</v>
      </c>
      <c r="I44" s="4">
        <f t="shared" si="15"/>
        <v>0</v>
      </c>
      <c r="J44" s="4">
        <f>Table1[[#This Row],[Enrolment S.Y. 2025-2026 ]]*8</f>
        <v>5320</v>
      </c>
      <c r="K44" s="4"/>
      <c r="L44" s="1"/>
      <c r="M44" s="4"/>
      <c r="N44" s="4">
        <f t="shared" si="8"/>
        <v>5320</v>
      </c>
      <c r="O44" s="4">
        <f t="shared" si="9"/>
        <v>0</v>
      </c>
      <c r="P44" s="4">
        <f>Table1[[#This Row],[Enrolment S.Y. 2025-2026 ]]*8</f>
        <v>5320</v>
      </c>
      <c r="Q44" s="4"/>
      <c r="R44" s="1"/>
      <c r="S44" s="4"/>
      <c r="T44" s="4">
        <f t="shared" si="10"/>
        <v>5320</v>
      </c>
      <c r="U44" s="4">
        <f t="shared" si="11"/>
        <v>0</v>
      </c>
      <c r="V44" s="4">
        <f>Table1[[#This Row],[Enrolment S.Y. 2025-2026 ]]*8</f>
        <v>5320</v>
      </c>
      <c r="W44" s="4"/>
      <c r="X44" s="1"/>
      <c r="Y44" s="4"/>
      <c r="Z44" s="4">
        <f t="shared" si="12"/>
        <v>5320</v>
      </c>
      <c r="AA44" s="4">
        <f t="shared" si="13"/>
        <v>0</v>
      </c>
    </row>
    <row r="45" spans="1:27" ht="19.5">
      <c r="A45" s="1" t="s">
        <v>19</v>
      </c>
      <c r="B45" s="8" t="s">
        <v>22</v>
      </c>
      <c r="C45" s="1">
        <v>665</v>
      </c>
      <c r="D45" s="4">
        <f>Table1[[#This Row],[Enrolment S.Y. 2025-2026 ]]*8</f>
        <v>5320</v>
      </c>
      <c r="E45" s="4"/>
      <c r="F45" s="1"/>
      <c r="G45" s="4"/>
      <c r="H45" s="4">
        <f t="shared" si="14"/>
        <v>5320</v>
      </c>
      <c r="I45" s="4">
        <f t="shared" si="15"/>
        <v>0</v>
      </c>
      <c r="J45" s="4">
        <f>Table1[[#This Row],[Enrolment S.Y. 2025-2026 ]]*8</f>
        <v>5320</v>
      </c>
      <c r="K45" s="4"/>
      <c r="L45" s="1"/>
      <c r="M45" s="4"/>
      <c r="N45" s="4">
        <f t="shared" si="8"/>
        <v>5320</v>
      </c>
      <c r="O45" s="4">
        <f t="shared" si="9"/>
        <v>0</v>
      </c>
      <c r="P45" s="4">
        <f>Table1[[#This Row],[Enrolment S.Y. 2025-2026 ]]*8</f>
        <v>5320</v>
      </c>
      <c r="Q45" s="4"/>
      <c r="R45" s="1"/>
      <c r="S45" s="4"/>
      <c r="T45" s="4">
        <f t="shared" si="10"/>
        <v>5320</v>
      </c>
      <c r="U45" s="4">
        <f t="shared" si="11"/>
        <v>0</v>
      </c>
      <c r="V45" s="4">
        <f>Table1[[#This Row],[Enrolment S.Y. 2025-2026 ]]*8</f>
        <v>5320</v>
      </c>
      <c r="W45" s="4"/>
      <c r="X45" s="1"/>
      <c r="Y45" s="4"/>
      <c r="Z45" s="4">
        <f t="shared" si="12"/>
        <v>5320</v>
      </c>
      <c r="AA45" s="4">
        <f t="shared" si="13"/>
        <v>0</v>
      </c>
    </row>
    <row r="46" spans="1:27" ht="19.5">
      <c r="A46" s="1" t="s">
        <v>19</v>
      </c>
      <c r="B46" s="8" t="s">
        <v>23</v>
      </c>
      <c r="C46" s="1">
        <v>665</v>
      </c>
      <c r="D46" s="4">
        <f>Table1[[#This Row],[Enrolment S.Y. 2025-2026 ]]*8</f>
        <v>5320</v>
      </c>
      <c r="E46" s="4"/>
      <c r="F46" s="1"/>
      <c r="G46" s="4"/>
      <c r="H46" s="4">
        <f t="shared" si="14"/>
        <v>5320</v>
      </c>
      <c r="I46" s="4">
        <f t="shared" si="15"/>
        <v>0</v>
      </c>
      <c r="J46" s="4">
        <f>Table1[[#This Row],[Enrolment S.Y. 2025-2026 ]]*8</f>
        <v>5320</v>
      </c>
      <c r="K46" s="4"/>
      <c r="L46" s="1"/>
      <c r="M46" s="4"/>
      <c r="N46" s="4">
        <f t="shared" si="8"/>
        <v>5320</v>
      </c>
      <c r="O46" s="4">
        <f t="shared" si="9"/>
        <v>0</v>
      </c>
      <c r="P46" s="4">
        <f>Table1[[#This Row],[Enrolment S.Y. 2025-2026 ]]*8</f>
        <v>5320</v>
      </c>
      <c r="Q46" s="4"/>
      <c r="R46" s="1"/>
      <c r="S46" s="4"/>
      <c r="T46" s="4">
        <f t="shared" si="10"/>
        <v>5320</v>
      </c>
      <c r="U46" s="4">
        <f t="shared" si="11"/>
        <v>0</v>
      </c>
      <c r="V46" s="4">
        <f>Table1[[#This Row],[Enrolment S.Y. 2025-2026 ]]*8</f>
        <v>5320</v>
      </c>
      <c r="W46" s="4"/>
      <c r="X46" s="1"/>
      <c r="Y46" s="4"/>
      <c r="Z46" s="4">
        <f t="shared" si="12"/>
        <v>5320</v>
      </c>
      <c r="AA46" s="4">
        <f t="shared" si="13"/>
        <v>0</v>
      </c>
    </row>
    <row r="47" spans="1:27" ht="38.25">
      <c r="A47" s="1" t="s">
        <v>19</v>
      </c>
      <c r="B47" s="8" t="s">
        <v>24</v>
      </c>
      <c r="C47" s="1">
        <v>665</v>
      </c>
      <c r="D47" s="4">
        <f>Table1[[#This Row],[Enrolment S.Y. 2025-2026 ]]*8</f>
        <v>5320</v>
      </c>
      <c r="E47" s="4"/>
      <c r="F47" s="1"/>
      <c r="G47" s="4"/>
      <c r="H47" s="4">
        <f t="shared" si="14"/>
        <v>5320</v>
      </c>
      <c r="I47" s="4">
        <f t="shared" si="15"/>
        <v>0</v>
      </c>
      <c r="J47" s="4">
        <f>Table1[[#This Row],[Enrolment S.Y. 2025-2026 ]]*8</f>
        <v>5320</v>
      </c>
      <c r="K47" s="4"/>
      <c r="L47" s="1"/>
      <c r="M47" s="4"/>
      <c r="N47" s="4">
        <f t="shared" si="8"/>
        <v>5320</v>
      </c>
      <c r="O47" s="4">
        <f t="shared" si="9"/>
        <v>0</v>
      </c>
      <c r="P47" s="4">
        <f>Table1[[#This Row],[Enrolment S.Y. 2025-2026 ]]*8</f>
        <v>5320</v>
      </c>
      <c r="Q47" s="4"/>
      <c r="R47" s="1"/>
      <c r="S47" s="4"/>
      <c r="T47" s="4">
        <f t="shared" si="10"/>
        <v>5320</v>
      </c>
      <c r="U47" s="4">
        <f t="shared" si="11"/>
        <v>0</v>
      </c>
      <c r="V47" s="4">
        <f>Table1[[#This Row],[Enrolment S.Y. 2025-2026 ]]*8</f>
        <v>5320</v>
      </c>
      <c r="W47" s="4"/>
      <c r="X47" s="1"/>
      <c r="Y47" s="4"/>
      <c r="Z47" s="4">
        <f t="shared" si="12"/>
        <v>5320</v>
      </c>
      <c r="AA47" s="4">
        <f t="shared" si="13"/>
        <v>0</v>
      </c>
    </row>
    <row r="48" spans="1:27" ht="38.25">
      <c r="A48" s="1" t="s">
        <v>19</v>
      </c>
      <c r="B48" s="8" t="s">
        <v>25</v>
      </c>
      <c r="C48" s="1">
        <v>665</v>
      </c>
      <c r="D48" s="4">
        <f>Table1[[#This Row],[Enrolment S.Y. 2025-2026 ]]*8</f>
        <v>5320</v>
      </c>
      <c r="E48" s="4"/>
      <c r="F48" s="1"/>
      <c r="G48" s="4"/>
      <c r="H48" s="4">
        <f t="shared" si="14"/>
        <v>5320</v>
      </c>
      <c r="I48" s="4">
        <f t="shared" si="15"/>
        <v>0</v>
      </c>
      <c r="J48" s="4">
        <f>Table1[[#This Row],[Enrolment S.Y. 2025-2026 ]]*8</f>
        <v>5320</v>
      </c>
      <c r="K48" s="4"/>
      <c r="L48" s="1"/>
      <c r="M48" s="4"/>
      <c r="N48" s="4">
        <f t="shared" si="8"/>
        <v>5320</v>
      </c>
      <c r="O48" s="4">
        <f t="shared" si="9"/>
        <v>0</v>
      </c>
      <c r="P48" s="4">
        <f>Table1[[#This Row],[Enrolment S.Y. 2025-2026 ]]*8</f>
        <v>5320</v>
      </c>
      <c r="Q48" s="4"/>
      <c r="R48" s="1"/>
      <c r="S48" s="4"/>
      <c r="T48" s="4">
        <f t="shared" si="10"/>
        <v>5320</v>
      </c>
      <c r="U48" s="4">
        <f t="shared" si="11"/>
        <v>0</v>
      </c>
      <c r="V48" s="4">
        <f>Table1[[#This Row],[Enrolment S.Y. 2025-2026 ]]*8</f>
        <v>5320</v>
      </c>
      <c r="W48" s="4"/>
      <c r="X48" s="1"/>
      <c r="Y48" s="4"/>
      <c r="Z48" s="4">
        <f t="shared" si="12"/>
        <v>5320</v>
      </c>
      <c r="AA48" s="4">
        <f t="shared" si="13"/>
        <v>0</v>
      </c>
    </row>
    <row r="49" spans="1:27" ht="57.75">
      <c r="A49" s="1" t="s">
        <v>19</v>
      </c>
      <c r="B49" s="8" t="s">
        <v>26</v>
      </c>
      <c r="C49" s="1">
        <v>665</v>
      </c>
      <c r="D49" s="4">
        <f>Table1[[#This Row],[Enrolment S.Y. 2025-2026 ]]*8</f>
        <v>5320</v>
      </c>
      <c r="E49" s="4"/>
      <c r="F49" s="1"/>
      <c r="G49" s="4"/>
      <c r="H49" s="4">
        <f t="shared" si="14"/>
        <v>5320</v>
      </c>
      <c r="I49" s="4">
        <f t="shared" si="15"/>
        <v>0</v>
      </c>
      <c r="J49" s="4">
        <f>Table1[[#This Row],[Enrolment S.Y. 2025-2026 ]]*8</f>
        <v>5320</v>
      </c>
      <c r="K49" s="4"/>
      <c r="L49" s="1"/>
      <c r="M49" s="4"/>
      <c r="N49" s="4">
        <f t="shared" si="8"/>
        <v>5320</v>
      </c>
      <c r="O49" s="4">
        <f t="shared" si="9"/>
        <v>0</v>
      </c>
      <c r="P49" s="4">
        <f>Table1[[#This Row],[Enrolment S.Y. 2025-2026 ]]*8</f>
        <v>5320</v>
      </c>
      <c r="Q49" s="4"/>
      <c r="R49" s="1"/>
      <c r="S49" s="4"/>
      <c r="T49" s="4">
        <f t="shared" si="10"/>
        <v>5320</v>
      </c>
      <c r="U49" s="4">
        <f t="shared" si="11"/>
        <v>0</v>
      </c>
      <c r="V49" s="4">
        <f>Table1[[#This Row],[Enrolment S.Y. 2025-2026 ]]*8</f>
        <v>5320</v>
      </c>
      <c r="W49" s="4"/>
      <c r="X49" s="1"/>
      <c r="Y49" s="4"/>
      <c r="Z49" s="4">
        <f t="shared" si="12"/>
        <v>5320</v>
      </c>
      <c r="AA49" s="4">
        <f t="shared" si="13"/>
        <v>0</v>
      </c>
    </row>
    <row r="50" spans="1:27" ht="38.25">
      <c r="A50" s="1" t="s">
        <v>19</v>
      </c>
      <c r="B50" s="8" t="s">
        <v>27</v>
      </c>
      <c r="C50" s="1">
        <v>665</v>
      </c>
      <c r="D50" s="4">
        <f>Table1[[#This Row],[Enrolment S.Y. 2025-2026 ]]*8</f>
        <v>5320</v>
      </c>
      <c r="E50" s="4"/>
      <c r="F50" s="1"/>
      <c r="G50" s="4"/>
      <c r="H50" s="4">
        <f t="shared" si="14"/>
        <v>5320</v>
      </c>
      <c r="I50" s="4">
        <f t="shared" si="15"/>
        <v>0</v>
      </c>
      <c r="J50" s="4">
        <f>Table1[[#This Row],[Enrolment S.Y. 2025-2026 ]]*8</f>
        <v>5320</v>
      </c>
      <c r="K50" s="4"/>
      <c r="L50" s="1"/>
      <c r="M50" s="4"/>
      <c r="N50" s="4">
        <f t="shared" si="8"/>
        <v>5320</v>
      </c>
      <c r="O50" s="4">
        <f t="shared" si="9"/>
        <v>0</v>
      </c>
      <c r="P50" s="4">
        <f>Table1[[#This Row],[Enrolment S.Y. 2025-2026 ]]*8</f>
        <v>5320</v>
      </c>
      <c r="Q50" s="4"/>
      <c r="R50" s="1"/>
      <c r="S50" s="4"/>
      <c r="T50" s="4">
        <f t="shared" si="10"/>
        <v>5320</v>
      </c>
      <c r="U50" s="4">
        <f t="shared" si="11"/>
        <v>0</v>
      </c>
      <c r="V50" s="4">
        <f>Table1[[#This Row],[Enrolment S.Y. 2025-2026 ]]*8</f>
        <v>5320</v>
      </c>
      <c r="W50" s="4"/>
      <c r="X50" s="1"/>
      <c r="Y50" s="4"/>
      <c r="Z50" s="4">
        <f t="shared" si="12"/>
        <v>5320</v>
      </c>
      <c r="AA50" s="4">
        <f t="shared" si="13"/>
        <v>0</v>
      </c>
    </row>
    <row r="51" spans="1:27" ht="19.5">
      <c r="A51" s="6"/>
      <c r="B51" s="6"/>
      <c r="C51" s="6"/>
      <c r="D51" s="6"/>
      <c r="E51" s="6"/>
      <c r="F51" s="6"/>
      <c r="G51" s="6"/>
      <c r="H51" s="6"/>
      <c r="I51" s="6"/>
      <c r="J51" s="12"/>
      <c r="K51" s="6"/>
      <c r="L51" s="6"/>
      <c r="M51" s="6"/>
      <c r="N51" s="12"/>
      <c r="O51" s="12"/>
      <c r="P51" s="12"/>
      <c r="Q51" s="6"/>
      <c r="R51" s="6"/>
      <c r="S51" s="6"/>
      <c r="T51" s="12"/>
      <c r="U51" s="12"/>
      <c r="V51" s="12"/>
      <c r="W51" s="6"/>
      <c r="X51" s="6"/>
      <c r="Y51" s="6"/>
      <c r="Z51" s="12"/>
      <c r="AA51" s="12"/>
    </row>
    <row r="52" spans="1:27" s="6" customFormat="1" ht="19.5">
      <c r="A52" s="1"/>
      <c r="B52" s="8"/>
      <c r="C52" s="1"/>
      <c r="D52" s="4"/>
      <c r="E52" s="4"/>
      <c r="F52" s="1"/>
      <c r="G52" s="4"/>
      <c r="H52" s="4">
        <f t="shared" si="14"/>
        <v>0</v>
      </c>
      <c r="I52" s="4">
        <f t="shared" si="15"/>
        <v>0</v>
      </c>
      <c r="J52" s="4">
        <f>Table1[[#This Row],[Enrolment S.Y. 2025-2026 ]]*8</f>
        <v>0</v>
      </c>
      <c r="K52" s="4"/>
      <c r="L52" s="1"/>
      <c r="M52" s="4"/>
      <c r="N52" s="4">
        <f t="shared" si="8"/>
        <v>0</v>
      </c>
      <c r="O52" s="4">
        <f t="shared" si="9"/>
        <v>0</v>
      </c>
      <c r="P52" s="4">
        <f>Table1[[#This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/>
      <c r="B53" s="8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8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8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8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8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8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8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8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8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6" customFormat="1" ht="19.5">
      <c r="A62" s="1"/>
      <c r="B62" s="8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8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8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8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8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28"/>
      <c r="B67" s="29"/>
      <c r="C67" s="28"/>
      <c r="D67" s="4"/>
      <c r="E67" s="30"/>
      <c r="F67" s="28"/>
      <c r="G67" s="30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30"/>
      <c r="L67" s="28"/>
      <c r="M67" s="30"/>
      <c r="N67" s="4">
        <f t="shared" ref="N67" si="16">IF((J67-K67)&lt;0,0,(J67-K67))</f>
        <v>0</v>
      </c>
      <c r="O67" s="4">
        <f t="shared" ref="O67" si="17">IF((K67-J67)&lt;0,0,(K67-J67))</f>
        <v>0</v>
      </c>
      <c r="P67" s="4"/>
      <c r="Q67" s="30"/>
      <c r="R67" s="28"/>
      <c r="S67" s="30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30"/>
      <c r="X67" s="28"/>
      <c r="Y67" s="30"/>
      <c r="Z67" s="4">
        <f t="shared" si="12"/>
        <v>0</v>
      </c>
      <c r="AA67" s="4">
        <f t="shared" si="13"/>
        <v>0</v>
      </c>
    </row>
    <row r="68" spans="1:27" ht="15"/>
    <row r="69" spans="1:27" ht="15"/>
    <row r="70" spans="1:27" ht="15"/>
    <row r="71" spans="1:27" ht="15"/>
    <row r="72" spans="1:27" s="6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6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6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6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6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52:C67 C43:C50 C13:C21 C23:C31 C33:C41 C2:C11" name="Textbooks"/>
    <protectedRange sqref="Q43:R50 W43:X50 D52:F67 H52:I67 N67:R67 W52:X67 V2:X2 Q52:R66 P2:R2 W33:X41 N3:P66 T3:V67 J3:J67 K3:L11 K13:L21 K23:L31 K33:L41 K43:L50 K52:L67 Z3:AA67 D2:F11 H3:I11 Q3:R11 W3:X11 D13:F21 H13:I21 Q13:R21 W13:X21 D23:F31 H23:I31 Q23:R31 W23:X31 D33:F41 H33:I41 Q33:R41 D43:F50 H43:I50 J2:L2" name="LAS"/>
    <protectedRange sqref="S2:U2 M2:O2 Y2:AA2 Y3:Y50 G52:G67 M52:M67 S52:S67 Y52:Y67 G13:G21 G23:G31 S3:S50 G33:G41 G43:G50 M3:M50 G3:G11 G2:I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2:S67 M52:M67 Y52:Y67 G52:G67" xr:uid="{8289B4A9-982E-4C7E-A8E2-4BF3404561DB}">
      <formula1>"CO,RO,SDO"</formula1>
    </dataValidation>
    <dataValidation type="list" allowBlank="1" showInputMessage="1" showErrorMessage="1" sqref="X52:X67 F3:F11 F13:F21 F23:F31 F33:F41 F43:F50 F52:F67 L3:L11 L13:L21 L23:L31 L33:L41 L43:L50 L52:L67 R3:R11 R13:R21 R23:R31 R33:R41 R43:R50 R52:R67 X3:X11 X13:X21 X23:X31 X33:X41 X43:X50" xr:uid="{4ECCD083-8EC4-42EE-B46C-B614411F330D}">
      <formula1>"2024,2025  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53"/>
  <sheetViews>
    <sheetView tabSelected="1" topLeftCell="W62" zoomScale="55" zoomScaleNormal="55" workbookViewId="0">
      <selection activeCell="A59" sqref="A59:AA7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7" customFormat="1" ht="34.15" customHeight="1">
      <c r="B1" s="31"/>
      <c r="D1" s="37" t="s">
        <v>28</v>
      </c>
      <c r="E1" s="37"/>
      <c r="F1" s="37"/>
      <c r="G1" s="37"/>
      <c r="H1" s="37"/>
      <c r="I1" s="37"/>
      <c r="J1" s="38" t="s">
        <v>29</v>
      </c>
      <c r="K1" s="38"/>
      <c r="L1" s="38"/>
      <c r="M1" s="38"/>
      <c r="N1" s="38"/>
      <c r="O1" s="38"/>
      <c r="P1" s="39" t="s">
        <v>30</v>
      </c>
      <c r="Q1" s="39"/>
      <c r="R1" s="39"/>
      <c r="S1" s="39"/>
      <c r="T1" s="39"/>
      <c r="U1" s="39"/>
      <c r="V1" s="40" t="s">
        <v>31</v>
      </c>
      <c r="W1" s="40"/>
      <c r="X1" s="40"/>
      <c r="Y1" s="40"/>
      <c r="Z1" s="40"/>
      <c r="AA1" s="40"/>
    </row>
    <row r="2" spans="1:27" ht="69.599999999999994" customHeight="1">
      <c r="A2" s="14" t="s">
        <v>0</v>
      </c>
      <c r="B2" s="32" t="s">
        <v>1</v>
      </c>
      <c r="C2" s="15" t="s">
        <v>2</v>
      </c>
      <c r="D2" s="19" t="s">
        <v>57</v>
      </c>
      <c r="E2" s="19" t="s">
        <v>58</v>
      </c>
      <c r="F2" s="20" t="s">
        <v>59</v>
      </c>
      <c r="G2" s="23" t="s">
        <v>60</v>
      </c>
      <c r="H2" s="16" t="s">
        <v>61</v>
      </c>
      <c r="I2" s="23" t="s">
        <v>62</v>
      </c>
      <c r="J2" s="21" t="s">
        <v>63</v>
      </c>
      <c r="K2" s="21" t="s">
        <v>64</v>
      </c>
      <c r="L2" s="22" t="s">
        <v>65</v>
      </c>
      <c r="M2" s="34" t="s">
        <v>66</v>
      </c>
      <c r="N2" s="34" t="s">
        <v>67</v>
      </c>
      <c r="O2" s="21" t="s">
        <v>68</v>
      </c>
      <c r="P2" s="23" t="s">
        <v>69</v>
      </c>
      <c r="Q2" s="23" t="s">
        <v>70</v>
      </c>
      <c r="R2" s="24" t="s">
        <v>71</v>
      </c>
      <c r="S2" s="16" t="s">
        <v>72</v>
      </c>
      <c r="T2" s="16" t="s">
        <v>73</v>
      </c>
      <c r="U2" s="23" t="s">
        <v>74</v>
      </c>
      <c r="V2" s="25" t="s">
        <v>75</v>
      </c>
      <c r="W2" s="25" t="s">
        <v>76</v>
      </c>
      <c r="X2" s="26" t="s">
        <v>77</v>
      </c>
      <c r="Y2" s="35" t="s">
        <v>78</v>
      </c>
      <c r="Z2" s="35" t="s">
        <v>79</v>
      </c>
      <c r="AA2" s="25" t="s">
        <v>80</v>
      </c>
    </row>
    <row r="3" spans="1:27" ht="19.5">
      <c r="A3" s="9">
        <v>7</v>
      </c>
      <c r="B3" s="10" t="s">
        <v>8</v>
      </c>
      <c r="C3" s="9">
        <v>820</v>
      </c>
      <c r="D3" s="11">
        <f>Table14[[#This Row],[Enrolment S.Y. 2025-2026 ]]*8</f>
        <v>6560</v>
      </c>
      <c r="E3" s="11"/>
      <c r="F3" s="9"/>
      <c r="G3" s="11"/>
      <c r="H3" s="11">
        <f t="shared" ref="H3:H19" si="0">IF((D3-E3)&lt;0,0,(D3-E3))</f>
        <v>6560</v>
      </c>
      <c r="I3" s="11">
        <f t="shared" ref="I3:I19" si="1">IF((E3-D3)&lt;0,0,(E3-D3))</f>
        <v>0</v>
      </c>
      <c r="J3" s="11">
        <f>Table14[[#This Row],[Enrolment S.Y. 2025-2026 ]]*8</f>
        <v>6560</v>
      </c>
      <c r="K3" s="11"/>
      <c r="L3" s="9"/>
      <c r="M3" s="11"/>
      <c r="N3" s="11">
        <f t="shared" ref="N3:N6" si="2">IF((J3-K3)&lt;0,0,(J3-K3))</f>
        <v>6560</v>
      </c>
      <c r="O3" s="11">
        <f t="shared" ref="O3:O6" si="3">IF((K3-J3)&lt;0,0,(K3-J3))</f>
        <v>0</v>
      </c>
      <c r="P3" s="11">
        <f>Table14[[#This Row],[Enrolment S.Y. 2025-2026 ]]*8</f>
        <v>6560</v>
      </c>
      <c r="Q3" s="11"/>
      <c r="R3" s="9"/>
      <c r="S3" s="11"/>
      <c r="T3" s="11">
        <f t="shared" ref="T3:T8" si="4">IF((P3-Q3)&lt;0,0,(P3-Q3))</f>
        <v>6560</v>
      </c>
      <c r="U3" s="11">
        <f t="shared" ref="U3:U8" si="5">IF((Q3-P3)&lt;0,0,(Q3-P3))</f>
        <v>0</v>
      </c>
      <c r="V3" s="11">
        <f>Table14[[#This Row],[Enrolment S.Y. 2025-2026 ]]*8</f>
        <v>6560</v>
      </c>
      <c r="W3" s="11"/>
      <c r="X3" s="9"/>
      <c r="Y3" s="11"/>
      <c r="Z3" s="11">
        <f t="shared" ref="Z3:Z8" si="6">IF((V3-W3)&lt;0,0,(V3-W3))</f>
        <v>6560</v>
      </c>
      <c r="AA3" s="11">
        <f t="shared" ref="AA3:AA8" si="7">IF((W3-V3)&lt;0,0,(W3-V3))</f>
        <v>0</v>
      </c>
    </row>
    <row r="4" spans="1:27" ht="19.5">
      <c r="A4" s="9">
        <v>7</v>
      </c>
      <c r="B4" s="10" t="s">
        <v>10</v>
      </c>
      <c r="C4" s="9">
        <v>820</v>
      </c>
      <c r="D4" s="11">
        <f>Table14[[#This Row],[Enrolment S.Y. 2025-2026 ]]*8</f>
        <v>6560</v>
      </c>
      <c r="E4" s="11"/>
      <c r="F4" s="9"/>
      <c r="G4" s="11"/>
      <c r="H4" s="11">
        <f t="shared" si="0"/>
        <v>6560</v>
      </c>
      <c r="I4" s="11">
        <f t="shared" si="1"/>
        <v>0</v>
      </c>
      <c r="J4" s="11">
        <f>Table14[[#This Row],[Enrolment S.Y. 2025-2026 ]]*8</f>
        <v>6560</v>
      </c>
      <c r="K4" s="11"/>
      <c r="L4" s="9"/>
      <c r="M4" s="11"/>
      <c r="N4" s="11">
        <f t="shared" si="2"/>
        <v>6560</v>
      </c>
      <c r="O4" s="11">
        <f t="shared" si="3"/>
        <v>0</v>
      </c>
      <c r="P4" s="11">
        <f>Table14[[#This Row],[Enrolment S.Y. 2025-2026 ]]*8</f>
        <v>6560</v>
      </c>
      <c r="Q4" s="11"/>
      <c r="R4" s="9"/>
      <c r="S4" s="11"/>
      <c r="T4" s="11">
        <f t="shared" si="4"/>
        <v>6560</v>
      </c>
      <c r="U4" s="11">
        <f t="shared" si="5"/>
        <v>0</v>
      </c>
      <c r="V4" s="11">
        <f>Table14[[#This Row],[Enrolment S.Y. 2025-2026 ]]*8</f>
        <v>6560</v>
      </c>
      <c r="W4" s="11"/>
      <c r="X4" s="9"/>
      <c r="Y4" s="11"/>
      <c r="Z4" s="11">
        <f t="shared" si="6"/>
        <v>6560</v>
      </c>
      <c r="AA4" s="11">
        <f t="shared" si="7"/>
        <v>0</v>
      </c>
    </row>
    <row r="5" spans="1:27" ht="19.5">
      <c r="A5" s="9">
        <v>7</v>
      </c>
      <c r="B5" s="10" t="s">
        <v>11</v>
      </c>
      <c r="C5" s="9">
        <v>820</v>
      </c>
      <c r="D5" s="11">
        <f>Table14[[#This Row],[Enrolment S.Y. 2025-2026 ]]*8</f>
        <v>6560</v>
      </c>
      <c r="E5" s="11"/>
      <c r="F5" s="9"/>
      <c r="G5" s="11"/>
      <c r="H5" s="11">
        <f t="shared" si="0"/>
        <v>6560</v>
      </c>
      <c r="I5" s="11">
        <f t="shared" si="1"/>
        <v>0</v>
      </c>
      <c r="J5" s="11">
        <f>Table14[[#This Row],[Enrolment S.Y. 2025-2026 ]]*8</f>
        <v>6560</v>
      </c>
      <c r="K5" s="11"/>
      <c r="L5" s="9"/>
      <c r="M5" s="11"/>
      <c r="N5" s="11">
        <f t="shared" si="2"/>
        <v>6560</v>
      </c>
      <c r="O5" s="11">
        <f t="shared" si="3"/>
        <v>0</v>
      </c>
      <c r="P5" s="11">
        <f>Table14[[#This Row],[Enrolment S.Y. 2025-2026 ]]*8</f>
        <v>6560</v>
      </c>
      <c r="Q5" s="11"/>
      <c r="R5" s="9"/>
      <c r="S5" s="11"/>
      <c r="T5" s="11">
        <f t="shared" si="4"/>
        <v>6560</v>
      </c>
      <c r="U5" s="11">
        <f t="shared" si="5"/>
        <v>0</v>
      </c>
      <c r="V5" s="11">
        <f>Table14[[#This Row],[Enrolment S.Y. 2025-2026 ]]*8</f>
        <v>6560</v>
      </c>
      <c r="W5" s="11"/>
      <c r="X5" s="9"/>
      <c r="Y5" s="11"/>
      <c r="Z5" s="11">
        <f t="shared" si="6"/>
        <v>6560</v>
      </c>
      <c r="AA5" s="11">
        <f t="shared" si="7"/>
        <v>0</v>
      </c>
    </row>
    <row r="6" spans="1:27" ht="19.5">
      <c r="A6" s="9">
        <v>7</v>
      </c>
      <c r="B6" s="10" t="s">
        <v>12</v>
      </c>
      <c r="C6" s="9">
        <v>820</v>
      </c>
      <c r="D6" s="11">
        <f>Table14[[#This Row],[Enrolment S.Y. 2025-2026 ]]*8</f>
        <v>6560</v>
      </c>
      <c r="E6" s="11"/>
      <c r="F6" s="9"/>
      <c r="G6" s="11"/>
      <c r="H6" s="11">
        <f t="shared" si="0"/>
        <v>6560</v>
      </c>
      <c r="I6" s="11">
        <f t="shared" si="1"/>
        <v>0</v>
      </c>
      <c r="J6" s="11">
        <f>Table14[[#This Row],[Enrolment S.Y. 2025-2026 ]]*8</f>
        <v>6560</v>
      </c>
      <c r="K6" s="11"/>
      <c r="L6" s="9"/>
      <c r="M6" s="11"/>
      <c r="N6" s="11">
        <f t="shared" si="2"/>
        <v>6560</v>
      </c>
      <c r="O6" s="11">
        <f t="shared" si="3"/>
        <v>0</v>
      </c>
      <c r="P6" s="11">
        <f>Table14[[#This Row],[Enrolment S.Y. 2025-2026 ]]*8</f>
        <v>6560</v>
      </c>
      <c r="Q6" s="11"/>
      <c r="R6" s="9"/>
      <c r="S6" s="11"/>
      <c r="T6" s="11">
        <f t="shared" si="4"/>
        <v>6560</v>
      </c>
      <c r="U6" s="11">
        <f t="shared" si="5"/>
        <v>0</v>
      </c>
      <c r="V6" s="11">
        <f>Table14[[#This Row],[Enrolment S.Y. 2025-2026 ]]*8</f>
        <v>6560</v>
      </c>
      <c r="W6" s="11"/>
      <c r="X6" s="9"/>
      <c r="Y6" s="11"/>
      <c r="Z6" s="11">
        <f t="shared" si="6"/>
        <v>6560</v>
      </c>
      <c r="AA6" s="11">
        <f t="shared" si="7"/>
        <v>0</v>
      </c>
    </row>
    <row r="7" spans="1:27" ht="38.25">
      <c r="A7" s="9">
        <v>7</v>
      </c>
      <c r="B7" s="10" t="s">
        <v>13</v>
      </c>
      <c r="C7" s="9">
        <v>820</v>
      </c>
      <c r="D7" s="11">
        <f>Table14[[#This Row],[Enrolment S.Y. 2025-2026 ]]*8</f>
        <v>6560</v>
      </c>
      <c r="E7" s="11"/>
      <c r="F7" s="9"/>
      <c r="G7" s="11"/>
      <c r="H7" s="11">
        <f t="shared" si="0"/>
        <v>6560</v>
      </c>
      <c r="I7" s="11">
        <f t="shared" si="1"/>
        <v>0</v>
      </c>
      <c r="J7" s="11">
        <f>Table14[[#This Row],[Enrolment S.Y. 2025-2026 ]]*8</f>
        <v>6560</v>
      </c>
      <c r="K7" s="11"/>
      <c r="L7" s="9"/>
      <c r="M7" s="11"/>
      <c r="N7" s="11">
        <f t="shared" ref="N7:N13" si="8">IF((J7-K7)&lt;0,0,(J7-K7))</f>
        <v>6560</v>
      </c>
      <c r="O7" s="11">
        <f t="shared" ref="O7:O13" si="9">IF((K7-J7)&lt;0,0,(K7-J7))</f>
        <v>0</v>
      </c>
      <c r="P7" s="11">
        <f>Table14[[#This Row],[Enrolment S.Y. 2025-2026 ]]*8</f>
        <v>6560</v>
      </c>
      <c r="Q7" s="11"/>
      <c r="R7" s="9"/>
      <c r="S7" s="11"/>
      <c r="T7" s="11">
        <f t="shared" si="4"/>
        <v>6560</v>
      </c>
      <c r="U7" s="11">
        <f t="shared" si="5"/>
        <v>0</v>
      </c>
      <c r="V7" s="11">
        <f>Table14[[#This Row],[Enrolment S.Y. 2025-2026 ]]*8</f>
        <v>6560</v>
      </c>
      <c r="W7" s="11"/>
      <c r="X7" s="9"/>
      <c r="Y7" s="11"/>
      <c r="Z7" s="11">
        <f t="shared" si="6"/>
        <v>6560</v>
      </c>
      <c r="AA7" s="11">
        <f t="shared" si="7"/>
        <v>0</v>
      </c>
    </row>
    <row r="8" spans="1:27" ht="19.5">
      <c r="A8" s="9">
        <v>7</v>
      </c>
      <c r="B8" s="10" t="s">
        <v>14</v>
      </c>
      <c r="C8" s="9">
        <v>820</v>
      </c>
      <c r="D8" s="11">
        <f>Table14[[#This Row],[Enrolment S.Y. 2025-2026 ]]*8</f>
        <v>6560</v>
      </c>
      <c r="E8" s="11"/>
      <c r="F8" s="9"/>
      <c r="G8" s="11"/>
      <c r="H8" s="11">
        <f t="shared" si="0"/>
        <v>6560</v>
      </c>
      <c r="I8" s="11">
        <f t="shared" si="1"/>
        <v>0</v>
      </c>
      <c r="J8" s="11">
        <f>Table14[[#This Row],[Enrolment S.Y. 2025-2026 ]]*8</f>
        <v>6560</v>
      </c>
      <c r="K8" s="11"/>
      <c r="L8" s="9"/>
      <c r="M8" s="11"/>
      <c r="N8" s="11">
        <f t="shared" si="8"/>
        <v>6560</v>
      </c>
      <c r="O8" s="11">
        <f t="shared" si="9"/>
        <v>0</v>
      </c>
      <c r="P8" s="11">
        <f>Table14[[#This Row],[Enrolment S.Y. 2025-2026 ]]*8</f>
        <v>6560</v>
      </c>
      <c r="Q8" s="11"/>
      <c r="R8" s="9"/>
      <c r="S8" s="11"/>
      <c r="T8" s="11">
        <f t="shared" si="4"/>
        <v>6560</v>
      </c>
      <c r="U8" s="11">
        <f t="shared" si="5"/>
        <v>0</v>
      </c>
      <c r="V8" s="11">
        <f>Table14[[#This Row],[Enrolment S.Y. 2025-2026 ]]*8</f>
        <v>6560</v>
      </c>
      <c r="W8" s="11"/>
      <c r="X8" s="9"/>
      <c r="Y8" s="11"/>
      <c r="Z8" s="11">
        <f t="shared" si="6"/>
        <v>6560</v>
      </c>
      <c r="AA8" s="11">
        <f t="shared" si="7"/>
        <v>0</v>
      </c>
    </row>
    <row r="9" spans="1:27" ht="19.5">
      <c r="A9" s="33">
        <v>7</v>
      </c>
      <c r="B9" s="10" t="s">
        <v>81</v>
      </c>
      <c r="C9" s="11">
        <v>820</v>
      </c>
      <c r="D9" s="11">
        <f>Table14[[#This Row],[Enrolment S.Y. 2025-2026 ]]*8</f>
        <v>6560</v>
      </c>
      <c r="E9" s="11"/>
      <c r="F9" s="9"/>
      <c r="G9" s="11"/>
      <c r="H9" s="11">
        <f>IF((D9-E9)&lt;0,0,(D9-E9))</f>
        <v>6560</v>
      </c>
      <c r="I9" s="11">
        <f>IF((E9-D9)&lt;0,0,(E9-D9))</f>
        <v>0</v>
      </c>
      <c r="J9" s="11">
        <f>Table14[[#This Row],[Enrolment S.Y. 2025-2026 ]]*8</f>
        <v>6560</v>
      </c>
      <c r="K9" s="11"/>
      <c r="L9" s="9"/>
      <c r="M9" s="11"/>
      <c r="N9" s="11">
        <f t="shared" si="8"/>
        <v>6560</v>
      </c>
      <c r="O9" s="11">
        <f t="shared" si="9"/>
        <v>0</v>
      </c>
      <c r="P9" s="11">
        <f>Table14[[#This Row],[Enrolment S.Y. 2025-2026 ]]*8</f>
        <v>6560</v>
      </c>
      <c r="Q9" s="11"/>
      <c r="R9" s="9"/>
      <c r="S9" s="11"/>
      <c r="T9" s="11">
        <f>IF((P9-Q9)&lt;0,0,(P9-Q9))</f>
        <v>6560</v>
      </c>
      <c r="U9" s="11">
        <f>IF((Q9-P9)&lt;0,0,(Q9-P9))</f>
        <v>0</v>
      </c>
      <c r="V9" s="11">
        <f>Table14[[#This Row],[Enrolment S.Y. 2025-2026 ]]*8</f>
        <v>6560</v>
      </c>
      <c r="W9" s="11"/>
      <c r="X9" s="9"/>
      <c r="Y9" s="11"/>
      <c r="Z9" s="11">
        <f>IF((V9-W9)&lt;0,0,(V9-W9))</f>
        <v>6560</v>
      </c>
      <c r="AA9" s="11">
        <f>IF((W9-V9)&lt;0,0,(W9-V9))</f>
        <v>0</v>
      </c>
    </row>
    <row r="10" spans="1:27" ht="19.5">
      <c r="A10" s="9">
        <v>7</v>
      </c>
      <c r="B10" s="10" t="s">
        <v>82</v>
      </c>
      <c r="C10" s="9">
        <v>820</v>
      </c>
      <c r="D10" s="11">
        <f>Table14[[#This Row],[Enrolment S.Y. 2025-2026 ]]*8</f>
        <v>6560</v>
      </c>
      <c r="E10" s="11"/>
      <c r="F10" s="9"/>
      <c r="G10" s="11"/>
      <c r="H10" s="11">
        <f t="shared" si="0"/>
        <v>6560</v>
      </c>
      <c r="I10" s="11">
        <f t="shared" si="1"/>
        <v>0</v>
      </c>
      <c r="J10" s="11">
        <f>Table14[[#This Row],[Enrolment S.Y. 2025-2026 ]]*8</f>
        <v>6560</v>
      </c>
      <c r="K10" s="11"/>
      <c r="L10" s="9"/>
      <c r="M10" s="11"/>
      <c r="N10" s="11">
        <f t="shared" si="8"/>
        <v>6560</v>
      </c>
      <c r="O10" s="11">
        <f t="shared" si="9"/>
        <v>0</v>
      </c>
      <c r="P10" s="11">
        <f>Table14[[#This Row],[Enrolment S.Y. 2025-2026 ]]*8</f>
        <v>6560</v>
      </c>
      <c r="Q10" s="11"/>
      <c r="R10" s="9"/>
      <c r="S10" s="11"/>
      <c r="T10" s="11">
        <f t="shared" ref="T10:T58" si="10">IF((P10-Q10)&lt;0,0,(P10-Q10))</f>
        <v>6560</v>
      </c>
      <c r="U10" s="11">
        <f t="shared" ref="U10:U58" si="11">IF((Q10-P10)&lt;0,0,(Q10-P10))</f>
        <v>0</v>
      </c>
      <c r="V10" s="11">
        <f>Table14[[#This Row],[Enrolment S.Y. 2025-2026 ]]*8</f>
        <v>6560</v>
      </c>
      <c r="W10" s="11"/>
      <c r="X10" s="9"/>
      <c r="Y10" s="11"/>
      <c r="Z10" s="11">
        <f t="shared" ref="Z10:Z58" si="12">IF((V10-W10)&lt;0,0,(V10-W10))</f>
        <v>6560</v>
      </c>
      <c r="AA10" s="11">
        <f t="shared" ref="AA10:AA58" si="13">IF((W10-V10)&lt;0,0,(W10-V10))</f>
        <v>0</v>
      </c>
    </row>
    <row r="11" spans="1:27" s="6" customFormat="1" ht="19.5">
      <c r="A11" s="9">
        <v>7</v>
      </c>
      <c r="B11" s="10" t="s">
        <v>16</v>
      </c>
      <c r="C11" s="9">
        <v>820</v>
      </c>
      <c r="D11" s="11">
        <f>Table14[[#This Row],[Enrolment S.Y. 2025-2026 ]]*8</f>
        <v>6560</v>
      </c>
      <c r="E11" s="11"/>
      <c r="F11" s="9"/>
      <c r="G11" s="11"/>
      <c r="H11" s="11">
        <f t="shared" si="0"/>
        <v>6560</v>
      </c>
      <c r="I11" s="11">
        <f t="shared" si="1"/>
        <v>0</v>
      </c>
      <c r="J11" s="11">
        <f>Table14[[#This Row],[Enrolment S.Y. 2025-2026 ]]*8</f>
        <v>6560</v>
      </c>
      <c r="K11" s="11"/>
      <c r="L11" s="9"/>
      <c r="M11" s="11"/>
      <c r="N11" s="11">
        <f t="shared" si="8"/>
        <v>6560</v>
      </c>
      <c r="O11" s="11">
        <f t="shared" si="9"/>
        <v>0</v>
      </c>
      <c r="P11" s="11">
        <f>Table14[[#This Row],[Enrolment S.Y. 2025-2026 ]]*8</f>
        <v>6560</v>
      </c>
      <c r="Q11" s="11"/>
      <c r="R11" s="9"/>
      <c r="S11" s="11"/>
      <c r="T11" s="11">
        <f t="shared" si="10"/>
        <v>6560</v>
      </c>
      <c r="U11" s="11">
        <f t="shared" si="11"/>
        <v>0</v>
      </c>
      <c r="V11" s="11">
        <f>Table14[[#This Row],[Enrolment S.Y. 2025-2026 ]]*8</f>
        <v>6560</v>
      </c>
      <c r="W11" s="11"/>
      <c r="X11" s="9"/>
      <c r="Y11" s="11"/>
      <c r="Z11" s="11">
        <f t="shared" si="12"/>
        <v>6560</v>
      </c>
      <c r="AA11" s="11">
        <f t="shared" si="13"/>
        <v>0</v>
      </c>
    </row>
    <row r="12" spans="1:27" ht="19.5">
      <c r="A12" s="33">
        <v>7</v>
      </c>
      <c r="B12" s="10" t="s">
        <v>83</v>
      </c>
      <c r="C12" s="11">
        <v>820</v>
      </c>
      <c r="D12" s="11">
        <f>Table14[[#This Row],[Enrolment S.Y. 2025-2026 ]]*8</f>
        <v>6560</v>
      </c>
      <c r="E12" s="11"/>
      <c r="F12" s="9"/>
      <c r="G12" s="11"/>
      <c r="H12" s="11">
        <f>IF((D12-E12)&lt;0,0,(D12-E12))</f>
        <v>6560</v>
      </c>
      <c r="I12" s="11">
        <f>IF((E12-D12)&lt;0,0,(E12-D12))</f>
        <v>0</v>
      </c>
      <c r="J12" s="11">
        <f>Table14[[#This Row],[Enrolment S.Y. 2025-2026 ]]*8</f>
        <v>6560</v>
      </c>
      <c r="K12" s="11"/>
      <c r="L12" s="9"/>
      <c r="M12" s="11"/>
      <c r="N12" s="11">
        <f t="shared" si="8"/>
        <v>6560</v>
      </c>
      <c r="O12" s="11">
        <f t="shared" si="9"/>
        <v>0</v>
      </c>
      <c r="P12" s="11">
        <f>Table14[[#This Row],[Enrolment S.Y. 2025-2026 ]]*8</f>
        <v>6560</v>
      </c>
      <c r="Q12" s="11"/>
      <c r="R12" s="9"/>
      <c r="S12" s="11"/>
      <c r="T12" s="11">
        <f>IF((P12-Q12)&lt;0,0,(P12-Q12))</f>
        <v>6560</v>
      </c>
      <c r="U12" s="11">
        <f>IF((Q12-P12)&lt;0,0,(Q12-P12))</f>
        <v>0</v>
      </c>
      <c r="V12" s="11">
        <f>Table14[[#This Row],[Enrolment S.Y. 2025-2026 ]]*8</f>
        <v>6560</v>
      </c>
      <c r="W12" s="11"/>
      <c r="X12" s="9"/>
      <c r="Y12" s="11"/>
      <c r="Z12" s="11">
        <f>IF((V12-W12)&lt;0,0,(V12-W12))</f>
        <v>6560</v>
      </c>
      <c r="AA12" s="11">
        <f>IF((W12-V12)&lt;0,0,(W12-V12))</f>
        <v>0</v>
      </c>
    </row>
    <row r="13" spans="1:27" ht="19.5">
      <c r="A13" s="9">
        <v>7</v>
      </c>
      <c r="B13" s="10" t="s">
        <v>84</v>
      </c>
      <c r="C13" s="9">
        <v>820</v>
      </c>
      <c r="D13" s="11">
        <f>Table14[[#This Row],[Enrolment S.Y. 2025-2026 ]]*8</f>
        <v>6560</v>
      </c>
      <c r="E13" s="11"/>
      <c r="F13" s="9"/>
      <c r="G13" s="11"/>
      <c r="H13" s="11">
        <f t="shared" si="0"/>
        <v>6560</v>
      </c>
      <c r="I13" s="11">
        <f t="shared" si="1"/>
        <v>0</v>
      </c>
      <c r="J13" s="11">
        <f>Table14[[#This Row],[Enrolment S.Y. 2025-2026 ]]*8</f>
        <v>6560</v>
      </c>
      <c r="K13" s="11"/>
      <c r="L13" s="9"/>
      <c r="M13" s="11"/>
      <c r="N13" s="11">
        <f t="shared" si="8"/>
        <v>6560</v>
      </c>
      <c r="O13" s="11">
        <f t="shared" si="9"/>
        <v>0</v>
      </c>
      <c r="P13" s="11">
        <f>Table14[[#This Row],[Enrolment S.Y. 2025-2026 ]]*8</f>
        <v>6560</v>
      </c>
      <c r="Q13" s="11"/>
      <c r="R13" s="9"/>
      <c r="S13" s="11"/>
      <c r="T13" s="11">
        <f t="shared" si="10"/>
        <v>6560</v>
      </c>
      <c r="U13" s="11">
        <f t="shared" si="11"/>
        <v>0</v>
      </c>
      <c r="V13" s="11">
        <f>Table14[[#This Row],[Enrolment S.Y. 2025-2026 ]]*8</f>
        <v>6560</v>
      </c>
      <c r="W13" s="11"/>
      <c r="X13" s="9"/>
      <c r="Y13" s="11"/>
      <c r="Z13" s="11">
        <f t="shared" si="12"/>
        <v>6560</v>
      </c>
      <c r="AA13" s="11">
        <f t="shared" si="13"/>
        <v>0</v>
      </c>
    </row>
    <row r="14" spans="1:27" ht="1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19.5">
      <c r="A15" s="9">
        <v>8</v>
      </c>
      <c r="B15" s="10" t="s">
        <v>8</v>
      </c>
      <c r="C15" s="9">
        <v>963</v>
      </c>
      <c r="D15" s="11">
        <f>Table14[[#This Row],[Enrolment S.Y. 2025-2026 ]]*8</f>
        <v>7704</v>
      </c>
      <c r="E15" s="11"/>
      <c r="F15" s="9"/>
      <c r="G15" s="11"/>
      <c r="H15" s="11">
        <f t="shared" si="0"/>
        <v>7704</v>
      </c>
      <c r="I15" s="11">
        <f t="shared" si="1"/>
        <v>0</v>
      </c>
      <c r="J15" s="11">
        <f>Table14[[#This Row],[Enrolment S.Y. 2025-2026 ]]*8</f>
        <v>7704</v>
      </c>
      <c r="K15" s="11"/>
      <c r="L15" s="9"/>
      <c r="M15" s="11"/>
      <c r="N15" s="11">
        <f t="shared" ref="N10:N58" si="14">IF((J15-K15)&lt;0,0,(J15-K15))</f>
        <v>7704</v>
      </c>
      <c r="O15" s="11">
        <f t="shared" ref="O10:O58" si="15">IF((K15-J15)&lt;0,0,(K15-J15))</f>
        <v>0</v>
      </c>
      <c r="P15" s="11">
        <f>Table14[[#This Row],[Enrolment S.Y. 2025-2026 ]]*8</f>
        <v>7704</v>
      </c>
      <c r="Q15" s="11"/>
      <c r="R15" s="9"/>
      <c r="S15" s="11"/>
      <c r="T15" s="11">
        <f t="shared" si="10"/>
        <v>7704</v>
      </c>
      <c r="U15" s="11">
        <f t="shared" si="11"/>
        <v>0</v>
      </c>
      <c r="V15" s="11">
        <f>Table14[[#This Row],[Enrolment S.Y. 2025-2026 ]]*8</f>
        <v>7704</v>
      </c>
      <c r="W15" s="11"/>
      <c r="X15" s="9"/>
      <c r="Y15" s="11"/>
      <c r="Z15" s="11">
        <f t="shared" si="12"/>
        <v>7704</v>
      </c>
      <c r="AA15" s="11">
        <f t="shared" si="13"/>
        <v>0</v>
      </c>
    </row>
    <row r="16" spans="1:27" ht="19.5">
      <c r="A16" s="9">
        <v>8</v>
      </c>
      <c r="B16" s="10" t="s">
        <v>10</v>
      </c>
      <c r="C16" s="9">
        <v>963</v>
      </c>
      <c r="D16" s="11">
        <f>Table14[[#This Row],[Enrolment S.Y. 2025-2026 ]]*8</f>
        <v>7704</v>
      </c>
      <c r="E16" s="11"/>
      <c r="F16" s="9"/>
      <c r="G16" s="11"/>
      <c r="H16" s="11">
        <f t="shared" si="0"/>
        <v>7704</v>
      </c>
      <c r="I16" s="11">
        <f t="shared" si="1"/>
        <v>0</v>
      </c>
      <c r="J16" s="11">
        <f>Table14[[#This Row],[Enrolment S.Y. 2025-2026 ]]*8</f>
        <v>7704</v>
      </c>
      <c r="K16" s="11"/>
      <c r="L16" s="9"/>
      <c r="M16" s="11"/>
      <c r="N16" s="11">
        <f t="shared" si="14"/>
        <v>7704</v>
      </c>
      <c r="O16" s="11">
        <f t="shared" si="15"/>
        <v>0</v>
      </c>
      <c r="P16" s="11">
        <f>Table14[[#This Row],[Enrolment S.Y. 2025-2026 ]]*8</f>
        <v>7704</v>
      </c>
      <c r="Q16" s="11"/>
      <c r="R16" s="9"/>
      <c r="S16" s="11"/>
      <c r="T16" s="11">
        <f t="shared" si="10"/>
        <v>7704</v>
      </c>
      <c r="U16" s="11">
        <f t="shared" si="11"/>
        <v>0</v>
      </c>
      <c r="V16" s="11">
        <f>Table14[[#This Row],[Enrolment S.Y. 2025-2026 ]]*8</f>
        <v>7704</v>
      </c>
      <c r="W16" s="11"/>
      <c r="X16" s="9"/>
      <c r="Y16" s="11"/>
      <c r="Z16" s="11">
        <f t="shared" si="12"/>
        <v>7704</v>
      </c>
      <c r="AA16" s="11">
        <f t="shared" si="13"/>
        <v>0</v>
      </c>
    </row>
    <row r="17" spans="1:27" ht="19.5">
      <c r="A17" s="9">
        <v>8</v>
      </c>
      <c r="B17" s="10" t="s">
        <v>11</v>
      </c>
      <c r="C17" s="9">
        <v>963</v>
      </c>
      <c r="D17" s="11">
        <f>Table14[[#This Row],[Enrolment S.Y. 2025-2026 ]]*8</f>
        <v>7704</v>
      </c>
      <c r="E17" s="11"/>
      <c r="F17" s="9"/>
      <c r="G17" s="11"/>
      <c r="H17" s="11">
        <f t="shared" si="0"/>
        <v>7704</v>
      </c>
      <c r="I17" s="11">
        <f t="shared" si="1"/>
        <v>0</v>
      </c>
      <c r="J17" s="11">
        <f>Table14[[#This Row],[Enrolment S.Y. 2025-2026 ]]*8</f>
        <v>7704</v>
      </c>
      <c r="K17" s="11"/>
      <c r="L17" s="9"/>
      <c r="M17" s="11"/>
      <c r="N17" s="11">
        <f t="shared" si="14"/>
        <v>7704</v>
      </c>
      <c r="O17" s="11">
        <f t="shared" si="15"/>
        <v>0</v>
      </c>
      <c r="P17" s="11">
        <f>Table14[[#This Row],[Enrolment S.Y. 2025-2026 ]]*8</f>
        <v>7704</v>
      </c>
      <c r="Q17" s="11"/>
      <c r="R17" s="9"/>
      <c r="S17" s="11"/>
      <c r="T17" s="11">
        <f t="shared" si="10"/>
        <v>7704</v>
      </c>
      <c r="U17" s="11">
        <f t="shared" si="11"/>
        <v>0</v>
      </c>
      <c r="V17" s="11">
        <f>Table14[[#This Row],[Enrolment S.Y. 2025-2026 ]]*8</f>
        <v>7704</v>
      </c>
      <c r="W17" s="11"/>
      <c r="X17" s="9"/>
      <c r="Y17" s="11"/>
      <c r="Z17" s="11">
        <f t="shared" si="12"/>
        <v>7704</v>
      </c>
      <c r="AA17" s="11">
        <f t="shared" si="13"/>
        <v>0</v>
      </c>
    </row>
    <row r="18" spans="1:27" ht="19.5">
      <c r="A18" s="9">
        <v>8</v>
      </c>
      <c r="B18" s="10" t="s">
        <v>12</v>
      </c>
      <c r="C18" s="9">
        <v>963</v>
      </c>
      <c r="D18" s="11">
        <f>Table14[[#This Row],[Enrolment S.Y. 2025-2026 ]]*8</f>
        <v>7704</v>
      </c>
      <c r="E18" s="11"/>
      <c r="F18" s="9"/>
      <c r="G18" s="11"/>
      <c r="H18" s="11">
        <f t="shared" si="0"/>
        <v>7704</v>
      </c>
      <c r="I18" s="11">
        <f t="shared" si="1"/>
        <v>0</v>
      </c>
      <c r="J18" s="11">
        <f>Table14[[#This Row],[Enrolment S.Y. 2025-2026 ]]*8</f>
        <v>7704</v>
      </c>
      <c r="K18" s="11"/>
      <c r="L18" s="9"/>
      <c r="M18" s="11"/>
      <c r="N18" s="11">
        <f t="shared" si="14"/>
        <v>7704</v>
      </c>
      <c r="O18" s="11">
        <f t="shared" si="15"/>
        <v>0</v>
      </c>
      <c r="P18" s="11">
        <f>Table14[[#This Row],[Enrolment S.Y. 2025-2026 ]]*8</f>
        <v>7704</v>
      </c>
      <c r="Q18" s="11"/>
      <c r="R18" s="9"/>
      <c r="S18" s="11"/>
      <c r="T18" s="11">
        <f t="shared" si="10"/>
        <v>7704</v>
      </c>
      <c r="U18" s="11">
        <f t="shared" si="11"/>
        <v>0</v>
      </c>
      <c r="V18" s="11">
        <f>Table14[[#This Row],[Enrolment S.Y. 2025-2026 ]]*8</f>
        <v>7704</v>
      </c>
      <c r="W18" s="11"/>
      <c r="X18" s="9"/>
      <c r="Y18" s="11"/>
      <c r="Z18" s="11">
        <f t="shared" si="12"/>
        <v>7704</v>
      </c>
      <c r="AA18" s="11">
        <f t="shared" si="13"/>
        <v>0</v>
      </c>
    </row>
    <row r="19" spans="1:27" ht="19.5">
      <c r="A19" s="9">
        <v>8</v>
      </c>
      <c r="B19" s="10" t="s">
        <v>18</v>
      </c>
      <c r="C19" s="9">
        <v>963</v>
      </c>
      <c r="D19" s="11">
        <f>Table14[[#This Row],[Enrolment S.Y. 2025-2026 ]]*8</f>
        <v>7704</v>
      </c>
      <c r="E19" s="11"/>
      <c r="F19" s="9"/>
      <c r="G19" s="11"/>
      <c r="H19" s="11">
        <f t="shared" si="0"/>
        <v>7704</v>
      </c>
      <c r="I19" s="11">
        <f t="shared" si="1"/>
        <v>0</v>
      </c>
      <c r="J19" s="11">
        <f>Table14[[#This Row],[Enrolment S.Y. 2025-2026 ]]*8</f>
        <v>7704</v>
      </c>
      <c r="K19" s="11"/>
      <c r="L19" s="9"/>
      <c r="M19" s="11"/>
      <c r="N19" s="11">
        <f t="shared" si="14"/>
        <v>7704</v>
      </c>
      <c r="O19" s="11">
        <f t="shared" si="15"/>
        <v>0</v>
      </c>
      <c r="P19" s="11">
        <f>Table14[[#This Row],[Enrolment S.Y. 2025-2026 ]]*8</f>
        <v>7704</v>
      </c>
      <c r="Q19" s="11"/>
      <c r="R19" s="9"/>
      <c r="S19" s="11"/>
      <c r="T19" s="11">
        <f t="shared" si="10"/>
        <v>7704</v>
      </c>
      <c r="U19" s="11">
        <f t="shared" si="11"/>
        <v>0</v>
      </c>
      <c r="V19" s="11">
        <f>Table14[[#This Row],[Enrolment S.Y. 2025-2026 ]]*8</f>
        <v>7704</v>
      </c>
      <c r="W19" s="11"/>
      <c r="X19" s="9"/>
      <c r="Y19" s="11"/>
      <c r="Z19" s="11">
        <f t="shared" si="12"/>
        <v>7704</v>
      </c>
      <c r="AA19" s="11">
        <f t="shared" si="13"/>
        <v>0</v>
      </c>
    </row>
    <row r="20" spans="1:27" s="6" customFormat="1" ht="19.5">
      <c r="A20" s="9">
        <v>8</v>
      </c>
      <c r="B20" s="10" t="s">
        <v>14</v>
      </c>
      <c r="C20" s="9">
        <v>963</v>
      </c>
      <c r="D20" s="11">
        <f>Table14[[#This Row],[Enrolment S.Y. 2025-2026 ]]*8</f>
        <v>7704</v>
      </c>
      <c r="E20" s="11"/>
      <c r="F20" s="9"/>
      <c r="G20" s="11"/>
      <c r="H20" s="11">
        <f t="shared" ref="H20:H58" si="16">IF((D20-E20)&lt;0,0,(D20-E20))</f>
        <v>7704</v>
      </c>
      <c r="I20" s="11">
        <f t="shared" ref="I20:I58" si="17">IF((E20-D20)&lt;0,0,(E20-D20))</f>
        <v>0</v>
      </c>
      <c r="J20" s="11">
        <f>Table14[[#This Row],[Enrolment S.Y. 2025-2026 ]]*8</f>
        <v>7704</v>
      </c>
      <c r="K20" s="11"/>
      <c r="L20" s="9"/>
      <c r="M20" s="11"/>
      <c r="N20" s="11">
        <f t="shared" ref="N20:N25" si="18">IF((J20-K20)&lt;0,0,(J20-K20))</f>
        <v>7704</v>
      </c>
      <c r="O20" s="11">
        <f t="shared" ref="O20:O25" si="19">IF((K20-J20)&lt;0,0,(K20-J20))</f>
        <v>0</v>
      </c>
      <c r="P20" s="11">
        <f>Table14[[#This Row],[Enrolment S.Y. 2025-2026 ]]*8</f>
        <v>7704</v>
      </c>
      <c r="Q20" s="11"/>
      <c r="R20" s="9"/>
      <c r="S20" s="11"/>
      <c r="T20" s="11">
        <f t="shared" si="10"/>
        <v>7704</v>
      </c>
      <c r="U20" s="11">
        <f t="shared" si="11"/>
        <v>0</v>
      </c>
      <c r="V20" s="11">
        <f>Table14[[#This Row],[Enrolment S.Y. 2025-2026 ]]*8</f>
        <v>7704</v>
      </c>
      <c r="W20" s="11"/>
      <c r="X20" s="9"/>
      <c r="Y20" s="11"/>
      <c r="Z20" s="11">
        <f t="shared" si="12"/>
        <v>7704</v>
      </c>
      <c r="AA20" s="11">
        <f t="shared" si="13"/>
        <v>0</v>
      </c>
    </row>
    <row r="21" spans="1:27" ht="19.5">
      <c r="A21" s="33">
        <v>8</v>
      </c>
      <c r="B21" s="10" t="s">
        <v>81</v>
      </c>
      <c r="C21" s="11">
        <v>963</v>
      </c>
      <c r="D21" s="11">
        <f>Table14[[#This Row],[Enrolment S.Y. 2025-2026 ]]*8</f>
        <v>7704</v>
      </c>
      <c r="E21" s="11"/>
      <c r="F21" s="9"/>
      <c r="G21" s="11"/>
      <c r="H21" s="11">
        <f>IF((D21-E21)&lt;0,0,(D21-E21))</f>
        <v>7704</v>
      </c>
      <c r="I21" s="11">
        <f>IF((E21-D21)&lt;0,0,(E21-D21))</f>
        <v>0</v>
      </c>
      <c r="J21" s="11">
        <f>Table14[[#This Row],[Enrolment S.Y. 2025-2026 ]]*8</f>
        <v>7704</v>
      </c>
      <c r="K21" s="11"/>
      <c r="L21" s="9"/>
      <c r="M21" s="11"/>
      <c r="N21" s="11">
        <f t="shared" si="18"/>
        <v>7704</v>
      </c>
      <c r="O21" s="11">
        <f t="shared" si="19"/>
        <v>0</v>
      </c>
      <c r="P21" s="11">
        <f>Table14[[#This Row],[Enrolment S.Y. 2025-2026 ]]*8</f>
        <v>7704</v>
      </c>
      <c r="Q21" s="11"/>
      <c r="R21" s="9"/>
      <c r="S21" s="11"/>
      <c r="T21" s="11">
        <f>IF((P21-Q21)&lt;0,0,(P21-Q21))</f>
        <v>7704</v>
      </c>
      <c r="U21" s="11">
        <f>IF((Q21-P21)&lt;0,0,(Q21-P21))</f>
        <v>0</v>
      </c>
      <c r="V21" s="11">
        <f>Table14[[#This Row],[Enrolment S.Y. 2025-2026 ]]*8</f>
        <v>7704</v>
      </c>
      <c r="W21" s="11"/>
      <c r="X21" s="9"/>
      <c r="Y21" s="11"/>
      <c r="Z21" s="11">
        <f>IF((V21-W21)&lt;0,0,(V21-W21))</f>
        <v>7704</v>
      </c>
      <c r="AA21" s="11">
        <f>IF((W21-V21)&lt;0,0,(W21-V21))</f>
        <v>0</v>
      </c>
    </row>
    <row r="22" spans="1:27" ht="19.5">
      <c r="A22" s="9">
        <v>8</v>
      </c>
      <c r="B22" s="10" t="s">
        <v>82</v>
      </c>
      <c r="C22" s="9">
        <v>963</v>
      </c>
      <c r="D22" s="11">
        <f>Table14[[#This Row],[Enrolment S.Y. 2025-2026 ]]*8</f>
        <v>7704</v>
      </c>
      <c r="E22" s="11"/>
      <c r="F22" s="9"/>
      <c r="G22" s="11"/>
      <c r="H22" s="11">
        <f t="shared" si="16"/>
        <v>7704</v>
      </c>
      <c r="I22" s="11">
        <f t="shared" si="17"/>
        <v>0</v>
      </c>
      <c r="J22" s="11">
        <f>Table14[[#This Row],[Enrolment S.Y. 2025-2026 ]]*8</f>
        <v>7704</v>
      </c>
      <c r="K22" s="11"/>
      <c r="L22" s="9"/>
      <c r="M22" s="11"/>
      <c r="N22" s="11">
        <f t="shared" si="18"/>
        <v>7704</v>
      </c>
      <c r="O22" s="11">
        <f t="shared" si="19"/>
        <v>0</v>
      </c>
      <c r="P22" s="11">
        <f>Table14[[#This Row],[Enrolment S.Y. 2025-2026 ]]*8</f>
        <v>7704</v>
      </c>
      <c r="Q22" s="11"/>
      <c r="R22" s="9"/>
      <c r="S22" s="11"/>
      <c r="T22" s="11">
        <f t="shared" si="10"/>
        <v>7704</v>
      </c>
      <c r="U22" s="11">
        <f t="shared" si="11"/>
        <v>0</v>
      </c>
      <c r="V22" s="11">
        <f>Table14[[#This Row],[Enrolment S.Y. 2025-2026 ]]*8</f>
        <v>7704</v>
      </c>
      <c r="W22" s="11"/>
      <c r="X22" s="9"/>
      <c r="Y22" s="11"/>
      <c r="Z22" s="11">
        <f t="shared" si="12"/>
        <v>7704</v>
      </c>
      <c r="AA22" s="11">
        <f t="shared" si="13"/>
        <v>0</v>
      </c>
    </row>
    <row r="23" spans="1:27" ht="19.5">
      <c r="A23" s="9">
        <v>8</v>
      </c>
      <c r="B23" s="10" t="s">
        <v>16</v>
      </c>
      <c r="C23" s="9">
        <v>963</v>
      </c>
      <c r="D23" s="11">
        <f>Table14[[#This Row],[Enrolment S.Y. 2025-2026 ]]*8</f>
        <v>7704</v>
      </c>
      <c r="E23" s="11"/>
      <c r="F23" s="9"/>
      <c r="G23" s="11"/>
      <c r="H23" s="11">
        <f t="shared" si="16"/>
        <v>7704</v>
      </c>
      <c r="I23" s="11">
        <f t="shared" si="17"/>
        <v>0</v>
      </c>
      <c r="J23" s="11">
        <f>Table14[[#This Row],[Enrolment S.Y. 2025-2026 ]]*8</f>
        <v>7704</v>
      </c>
      <c r="K23" s="11"/>
      <c r="L23" s="9"/>
      <c r="M23" s="11"/>
      <c r="N23" s="11">
        <f t="shared" si="18"/>
        <v>7704</v>
      </c>
      <c r="O23" s="11">
        <f t="shared" si="19"/>
        <v>0</v>
      </c>
      <c r="P23" s="11">
        <f>Table14[[#This Row],[Enrolment S.Y. 2025-2026 ]]*8</f>
        <v>7704</v>
      </c>
      <c r="Q23" s="11"/>
      <c r="R23" s="9"/>
      <c r="S23" s="11"/>
      <c r="T23" s="11">
        <f t="shared" si="10"/>
        <v>7704</v>
      </c>
      <c r="U23" s="11">
        <f t="shared" si="11"/>
        <v>0</v>
      </c>
      <c r="V23" s="11">
        <f>Table14[[#This Row],[Enrolment S.Y. 2025-2026 ]]*8</f>
        <v>7704</v>
      </c>
      <c r="W23" s="11"/>
      <c r="X23" s="9"/>
      <c r="Y23" s="11"/>
      <c r="Z23" s="11">
        <f t="shared" si="12"/>
        <v>7704</v>
      </c>
      <c r="AA23" s="11">
        <f t="shared" si="13"/>
        <v>0</v>
      </c>
    </row>
    <row r="24" spans="1:27" ht="19.5">
      <c r="A24" s="33">
        <v>8</v>
      </c>
      <c r="B24" s="10" t="s">
        <v>83</v>
      </c>
      <c r="C24" s="11">
        <v>963</v>
      </c>
      <c r="D24" s="11">
        <f>Table14[[#This Row],[Enrolment S.Y. 2025-2026 ]]*8</f>
        <v>7704</v>
      </c>
      <c r="E24" s="11"/>
      <c r="F24" s="9"/>
      <c r="G24" s="11"/>
      <c r="H24" s="11">
        <f>IF((D24-E24)&lt;0,0,(D24-E24))</f>
        <v>7704</v>
      </c>
      <c r="I24" s="11">
        <f>IF((E24-D24)&lt;0,0,(E24-D24))</f>
        <v>0</v>
      </c>
      <c r="J24" s="11">
        <f>Table14[[#This Row],[Enrolment S.Y. 2025-2026 ]]*8</f>
        <v>7704</v>
      </c>
      <c r="K24" s="11"/>
      <c r="L24" s="9"/>
      <c r="M24" s="11"/>
      <c r="N24" s="11">
        <f t="shared" si="18"/>
        <v>7704</v>
      </c>
      <c r="O24" s="11">
        <f t="shared" si="19"/>
        <v>0</v>
      </c>
      <c r="P24" s="11">
        <f>Table14[[#This Row],[Enrolment S.Y. 2025-2026 ]]*8</f>
        <v>7704</v>
      </c>
      <c r="Q24" s="11"/>
      <c r="R24" s="9"/>
      <c r="S24" s="11"/>
      <c r="T24" s="11">
        <f>IF((P24-Q24)&lt;0,0,(P24-Q24))</f>
        <v>7704</v>
      </c>
      <c r="U24" s="11">
        <f>IF((Q24-P24)&lt;0,0,(Q24-P24))</f>
        <v>0</v>
      </c>
      <c r="V24" s="11">
        <f>Table14[[#This Row],[Enrolment S.Y. 2025-2026 ]]*8</f>
        <v>7704</v>
      </c>
      <c r="W24" s="11"/>
      <c r="X24" s="9"/>
      <c r="Y24" s="11"/>
      <c r="Z24" s="11">
        <f>IF((V24-W24)&lt;0,0,(V24-W24))</f>
        <v>7704</v>
      </c>
      <c r="AA24" s="11">
        <f>IF((W24-V24)&lt;0,0,(W24-V24))</f>
        <v>0</v>
      </c>
    </row>
    <row r="25" spans="1:27" ht="19.5">
      <c r="A25" s="9">
        <v>8</v>
      </c>
      <c r="B25" s="10" t="s">
        <v>84</v>
      </c>
      <c r="C25" s="9">
        <v>963</v>
      </c>
      <c r="D25" s="11">
        <f>Table14[[#This Row],[Enrolment S.Y. 2025-2026 ]]*8</f>
        <v>7704</v>
      </c>
      <c r="E25" s="11"/>
      <c r="F25" s="9"/>
      <c r="G25" s="11"/>
      <c r="H25" s="11">
        <f t="shared" si="16"/>
        <v>7704</v>
      </c>
      <c r="I25" s="11">
        <f t="shared" si="17"/>
        <v>0</v>
      </c>
      <c r="J25" s="11">
        <f>Table14[[#This Row],[Enrolment S.Y. 2025-2026 ]]*8</f>
        <v>7704</v>
      </c>
      <c r="K25" s="11"/>
      <c r="L25" s="9"/>
      <c r="M25" s="11"/>
      <c r="N25" s="11">
        <f t="shared" si="18"/>
        <v>7704</v>
      </c>
      <c r="O25" s="11">
        <f t="shared" si="19"/>
        <v>0</v>
      </c>
      <c r="P25" s="11">
        <f>Table14[[#This Row],[Enrolment S.Y. 2025-2026 ]]*8</f>
        <v>7704</v>
      </c>
      <c r="Q25" s="11"/>
      <c r="R25" s="9"/>
      <c r="S25" s="11"/>
      <c r="T25" s="11">
        <f t="shared" si="10"/>
        <v>7704</v>
      </c>
      <c r="U25" s="11">
        <f t="shared" si="11"/>
        <v>0</v>
      </c>
      <c r="V25" s="11">
        <f>Table14[[#This Row],[Enrolment S.Y. 2025-2026 ]]*8</f>
        <v>7704</v>
      </c>
      <c r="W25" s="11"/>
      <c r="X25" s="9"/>
      <c r="Y25" s="11"/>
      <c r="Z25" s="11">
        <f t="shared" si="12"/>
        <v>7704</v>
      </c>
      <c r="AA25" s="11">
        <f t="shared" si="13"/>
        <v>0</v>
      </c>
    </row>
    <row r="26" spans="1:27" ht="1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 ht="19.5">
      <c r="A27" s="9">
        <v>9</v>
      </c>
      <c r="B27" s="10" t="s">
        <v>8</v>
      </c>
      <c r="C27" s="9">
        <v>826</v>
      </c>
      <c r="D27" s="11">
        <f>Table14[[#This Row],[Enrolment S.Y. 2025-2026 ]]*8</f>
        <v>6608</v>
      </c>
      <c r="E27" s="11"/>
      <c r="F27" s="9"/>
      <c r="G27" s="11"/>
      <c r="H27" s="11">
        <f t="shared" si="16"/>
        <v>6608</v>
      </c>
      <c r="I27" s="11">
        <f t="shared" si="17"/>
        <v>0</v>
      </c>
      <c r="J27" s="11">
        <f>Table14[[#This Row],[Enrolment S.Y. 2025-2026 ]]*8</f>
        <v>6608</v>
      </c>
      <c r="K27" s="11"/>
      <c r="L27" s="9"/>
      <c r="M27" s="11"/>
      <c r="N27" s="11">
        <f t="shared" si="14"/>
        <v>6608</v>
      </c>
      <c r="O27" s="11">
        <f t="shared" si="15"/>
        <v>0</v>
      </c>
      <c r="P27" s="11">
        <f>Table14[[#This Row],[Enrolment S.Y. 2025-2026 ]]*8</f>
        <v>6608</v>
      </c>
      <c r="Q27" s="11"/>
      <c r="R27" s="9"/>
      <c r="S27" s="11"/>
      <c r="T27" s="11">
        <f t="shared" si="10"/>
        <v>6608</v>
      </c>
      <c r="U27" s="11">
        <f t="shared" si="11"/>
        <v>0</v>
      </c>
      <c r="V27" s="11">
        <f>Table14[[#This Row],[Enrolment S.Y. 2025-2026 ]]*8</f>
        <v>6608</v>
      </c>
      <c r="W27" s="11"/>
      <c r="X27" s="9"/>
      <c r="Y27" s="11"/>
      <c r="Z27" s="11">
        <f t="shared" si="12"/>
        <v>6608</v>
      </c>
      <c r="AA27" s="11">
        <f t="shared" si="13"/>
        <v>0</v>
      </c>
    </row>
    <row r="28" spans="1:27" ht="19.5">
      <c r="A28" s="9">
        <v>9</v>
      </c>
      <c r="B28" s="10" t="s">
        <v>10</v>
      </c>
      <c r="C28" s="9">
        <v>826</v>
      </c>
      <c r="D28" s="11">
        <f>Table14[[#This Row],[Enrolment S.Y. 2025-2026 ]]*8</f>
        <v>6608</v>
      </c>
      <c r="E28" s="11">
        <v>200</v>
      </c>
      <c r="F28" s="9">
        <v>2025</v>
      </c>
      <c r="G28" s="11" t="s">
        <v>85</v>
      </c>
      <c r="H28" s="11">
        <f t="shared" si="16"/>
        <v>6408</v>
      </c>
      <c r="I28" s="11">
        <f t="shared" si="17"/>
        <v>0</v>
      </c>
      <c r="J28" s="11">
        <f>Table14[[#This Row],[Enrolment S.Y. 2025-2026 ]]*8</f>
        <v>6608</v>
      </c>
      <c r="K28" s="11">
        <v>100</v>
      </c>
      <c r="L28" s="9">
        <v>2025</v>
      </c>
      <c r="M28" s="11" t="s">
        <v>85</v>
      </c>
      <c r="N28" s="11">
        <f t="shared" si="14"/>
        <v>6508</v>
      </c>
      <c r="O28" s="11">
        <f t="shared" si="15"/>
        <v>0</v>
      </c>
      <c r="P28" s="11">
        <f>Table14[[#This Row],[Enrolment S.Y. 2025-2026 ]]*8</f>
        <v>6608</v>
      </c>
      <c r="Q28" s="11">
        <v>100</v>
      </c>
      <c r="R28" s="9">
        <v>2025</v>
      </c>
      <c r="S28" s="11"/>
      <c r="T28" s="11">
        <f t="shared" si="10"/>
        <v>6508</v>
      </c>
      <c r="U28" s="11">
        <f t="shared" si="11"/>
        <v>0</v>
      </c>
      <c r="V28" s="11">
        <f>Table14[[#This Row],[Enrolment S.Y. 2025-2026 ]]*8</f>
        <v>6608</v>
      </c>
      <c r="W28" s="11"/>
      <c r="X28" s="9"/>
      <c r="Y28" s="11"/>
      <c r="Z28" s="11">
        <f t="shared" si="12"/>
        <v>6608</v>
      </c>
      <c r="AA28" s="11">
        <f t="shared" si="13"/>
        <v>0</v>
      </c>
    </row>
    <row r="29" spans="1:27" ht="19.5">
      <c r="A29" s="9">
        <v>9</v>
      </c>
      <c r="B29" s="10" t="s">
        <v>11</v>
      </c>
      <c r="C29" s="9">
        <v>826</v>
      </c>
      <c r="D29" s="11">
        <f>Table14[[#This Row],[Enrolment S.Y. 2025-2026 ]]*8</f>
        <v>6608</v>
      </c>
      <c r="E29" s="11">
        <v>200</v>
      </c>
      <c r="F29" s="9">
        <v>2025</v>
      </c>
      <c r="G29" s="11" t="s">
        <v>85</v>
      </c>
      <c r="H29" s="11">
        <f t="shared" si="16"/>
        <v>6408</v>
      </c>
      <c r="I29" s="11">
        <f t="shared" si="17"/>
        <v>0</v>
      </c>
      <c r="J29" s="11">
        <f>Table14[[#This Row],[Enrolment S.Y. 2025-2026 ]]*8</f>
        <v>6608</v>
      </c>
      <c r="K29" s="11">
        <v>100</v>
      </c>
      <c r="L29" s="9">
        <v>2025</v>
      </c>
      <c r="M29" s="11" t="s">
        <v>85</v>
      </c>
      <c r="N29" s="11">
        <f t="shared" si="14"/>
        <v>6508</v>
      </c>
      <c r="O29" s="11">
        <f t="shared" si="15"/>
        <v>0</v>
      </c>
      <c r="P29" s="11">
        <f>Table14[[#This Row],[Enrolment S.Y. 2025-2026 ]]*8</f>
        <v>6608</v>
      </c>
      <c r="Q29" s="11">
        <v>100</v>
      </c>
      <c r="R29" s="9">
        <v>2025</v>
      </c>
      <c r="S29" s="11"/>
      <c r="T29" s="11">
        <f t="shared" si="10"/>
        <v>6508</v>
      </c>
      <c r="U29" s="11">
        <f t="shared" si="11"/>
        <v>0</v>
      </c>
      <c r="V29" s="11">
        <f>Table14[[#This Row],[Enrolment S.Y. 2025-2026 ]]*8</f>
        <v>6608</v>
      </c>
      <c r="W29" s="11"/>
      <c r="X29" s="9"/>
      <c r="Y29" s="11"/>
      <c r="Z29" s="11">
        <f t="shared" si="12"/>
        <v>6608</v>
      </c>
      <c r="AA29" s="11">
        <f t="shared" si="13"/>
        <v>0</v>
      </c>
    </row>
    <row r="30" spans="1:27" s="6" customFormat="1" ht="19.5">
      <c r="A30" s="9">
        <v>9</v>
      </c>
      <c r="B30" s="10" t="s">
        <v>12</v>
      </c>
      <c r="C30" s="9">
        <v>826</v>
      </c>
      <c r="D30" s="11">
        <f>Table14[[#This Row],[Enrolment S.Y. 2025-2026 ]]*8</f>
        <v>6608</v>
      </c>
      <c r="E30" s="11"/>
      <c r="F30" s="9"/>
      <c r="G30" s="11"/>
      <c r="H30" s="11">
        <f t="shared" si="16"/>
        <v>6608</v>
      </c>
      <c r="I30" s="11">
        <f t="shared" si="17"/>
        <v>0</v>
      </c>
      <c r="J30" s="11">
        <f>Table14[[#This Row],[Enrolment S.Y. 2025-2026 ]]*8</f>
        <v>6608</v>
      </c>
      <c r="K30" s="11"/>
      <c r="L30" s="9"/>
      <c r="M30" s="11"/>
      <c r="N30" s="11">
        <f t="shared" si="14"/>
        <v>6608</v>
      </c>
      <c r="O30" s="11">
        <f t="shared" si="15"/>
        <v>0</v>
      </c>
      <c r="P30" s="11">
        <f>Table14[[#This Row],[Enrolment S.Y. 2025-2026 ]]*8</f>
        <v>6608</v>
      </c>
      <c r="Q30" s="11">
        <v>100</v>
      </c>
      <c r="R30" s="9">
        <v>2025</v>
      </c>
      <c r="S30" s="11"/>
      <c r="T30" s="11">
        <f t="shared" si="10"/>
        <v>6508</v>
      </c>
      <c r="U30" s="11">
        <f t="shared" si="11"/>
        <v>0</v>
      </c>
      <c r="V30" s="11">
        <f>Table14[[#This Row],[Enrolment S.Y. 2025-2026 ]]*8</f>
        <v>6608</v>
      </c>
      <c r="W30" s="11"/>
      <c r="X30" s="9"/>
      <c r="Y30" s="11"/>
      <c r="Z30" s="11">
        <f t="shared" si="12"/>
        <v>6608</v>
      </c>
      <c r="AA30" s="11">
        <f t="shared" si="13"/>
        <v>0</v>
      </c>
    </row>
    <row r="31" spans="1:27" ht="19.5">
      <c r="A31" s="9">
        <v>9</v>
      </c>
      <c r="B31" s="10" t="s">
        <v>18</v>
      </c>
      <c r="C31" s="9">
        <v>826</v>
      </c>
      <c r="D31" s="11">
        <f>Table14[[#This Row],[Enrolment S.Y. 2025-2026 ]]*8</f>
        <v>6608</v>
      </c>
      <c r="E31" s="11"/>
      <c r="F31" s="9"/>
      <c r="G31" s="11"/>
      <c r="H31" s="11">
        <f t="shared" si="16"/>
        <v>6608</v>
      </c>
      <c r="I31" s="11">
        <f t="shared" si="17"/>
        <v>0</v>
      </c>
      <c r="J31" s="11">
        <f>Table14[[#This Row],[Enrolment S.Y. 2025-2026 ]]*8</f>
        <v>6608</v>
      </c>
      <c r="K31" s="11"/>
      <c r="L31" s="9"/>
      <c r="M31" s="11"/>
      <c r="N31" s="11">
        <f t="shared" si="14"/>
        <v>6608</v>
      </c>
      <c r="O31" s="11">
        <f t="shared" si="15"/>
        <v>0</v>
      </c>
      <c r="P31" s="11">
        <f>Table14[[#This Row],[Enrolment S.Y. 2025-2026 ]]*8</f>
        <v>6608</v>
      </c>
      <c r="Q31" s="11">
        <v>100</v>
      </c>
      <c r="R31" s="9">
        <v>2025</v>
      </c>
      <c r="S31" s="11"/>
      <c r="T31" s="11">
        <f t="shared" si="10"/>
        <v>6508</v>
      </c>
      <c r="U31" s="11">
        <f t="shared" si="11"/>
        <v>0</v>
      </c>
      <c r="V31" s="11">
        <f>Table14[[#This Row],[Enrolment S.Y. 2025-2026 ]]*8</f>
        <v>6608</v>
      </c>
      <c r="W31" s="11"/>
      <c r="X31" s="9"/>
      <c r="Y31" s="11"/>
      <c r="Z31" s="11">
        <f t="shared" si="12"/>
        <v>6608</v>
      </c>
      <c r="AA31" s="11">
        <f t="shared" si="13"/>
        <v>0</v>
      </c>
    </row>
    <row r="32" spans="1:27" ht="19.5">
      <c r="A32" s="9">
        <v>9</v>
      </c>
      <c r="B32" s="10" t="s">
        <v>14</v>
      </c>
      <c r="C32" s="9">
        <v>826</v>
      </c>
      <c r="D32" s="11">
        <f>Table14[[#This Row],[Enrolment S.Y. 2025-2026 ]]*8</f>
        <v>6608</v>
      </c>
      <c r="E32" s="11"/>
      <c r="F32" s="9"/>
      <c r="G32" s="11"/>
      <c r="H32" s="11">
        <f t="shared" si="16"/>
        <v>6608</v>
      </c>
      <c r="I32" s="11">
        <f t="shared" si="17"/>
        <v>0</v>
      </c>
      <c r="J32" s="11">
        <f>Table14[[#This Row],[Enrolment S.Y. 2025-2026 ]]*8</f>
        <v>6608</v>
      </c>
      <c r="K32" s="11"/>
      <c r="L32" s="9"/>
      <c r="M32" s="11"/>
      <c r="N32" s="11">
        <f t="shared" si="14"/>
        <v>6608</v>
      </c>
      <c r="O32" s="11">
        <f t="shared" si="15"/>
        <v>0</v>
      </c>
      <c r="P32" s="11">
        <f>Table14[[#This Row],[Enrolment S.Y. 2025-2026 ]]*8</f>
        <v>6608</v>
      </c>
      <c r="Q32" s="11">
        <v>100</v>
      </c>
      <c r="R32" s="9">
        <v>2025</v>
      </c>
      <c r="S32" s="11"/>
      <c r="T32" s="11">
        <f t="shared" si="10"/>
        <v>6508</v>
      </c>
      <c r="U32" s="11">
        <f t="shared" si="11"/>
        <v>0</v>
      </c>
      <c r="V32" s="11">
        <f>Table14[[#This Row],[Enrolment S.Y. 2025-2026 ]]*8</f>
        <v>6608</v>
      </c>
      <c r="W32" s="11"/>
      <c r="X32" s="9"/>
      <c r="Y32" s="11"/>
      <c r="Z32" s="11">
        <f t="shared" si="12"/>
        <v>6608</v>
      </c>
      <c r="AA32" s="11">
        <f t="shared" si="13"/>
        <v>0</v>
      </c>
    </row>
    <row r="33" spans="1:27" ht="19.5">
      <c r="A33" s="33">
        <v>9</v>
      </c>
      <c r="B33" s="10" t="s">
        <v>81</v>
      </c>
      <c r="C33" s="9">
        <v>826</v>
      </c>
      <c r="D33" s="11">
        <f>Table14[[#This Row],[Enrolment S.Y. 2025-2026 ]]*8</f>
        <v>6608</v>
      </c>
      <c r="E33" s="11"/>
      <c r="F33" s="9"/>
      <c r="G33" s="11"/>
      <c r="H33" s="11">
        <f>IF((D33-E33)&lt;0,0,(D33-E33))</f>
        <v>6608</v>
      </c>
      <c r="I33" s="11">
        <f>IF((E33-D33)&lt;0,0,(E33-D33))</f>
        <v>0</v>
      </c>
      <c r="J33" s="11">
        <f>Table14[[#This Row],[Enrolment S.Y. 2025-2026 ]]*8</f>
        <v>6608</v>
      </c>
      <c r="K33" s="11"/>
      <c r="L33" s="9"/>
      <c r="M33" s="11"/>
      <c r="N33" s="11">
        <f t="shared" ref="N33:N37" si="20">IF((J33-K33)&lt;0,0,(J33-K33))</f>
        <v>6608</v>
      </c>
      <c r="O33" s="11">
        <f t="shared" ref="O33:O37" si="21">IF((K33-J33)&lt;0,0,(K33-J33))</f>
        <v>0</v>
      </c>
      <c r="P33" s="11">
        <f>Table14[[#This Row],[Enrolment S.Y. 2025-2026 ]]*8</f>
        <v>6608</v>
      </c>
      <c r="Q33" s="11"/>
      <c r="R33" s="9"/>
      <c r="S33" s="11"/>
      <c r="T33" s="11">
        <f>IF((P33-Q33)&lt;0,0,(P33-Q33))</f>
        <v>6608</v>
      </c>
      <c r="U33" s="11">
        <f>IF((Q33-P33)&lt;0,0,(Q33-P33))</f>
        <v>0</v>
      </c>
      <c r="V33" s="11">
        <f>Table14[[#This Row],[Enrolment S.Y. 2025-2026 ]]*8</f>
        <v>6608</v>
      </c>
      <c r="W33" s="11"/>
      <c r="X33" s="9"/>
      <c r="Y33" s="11"/>
      <c r="Z33" s="11">
        <f>IF((V33-W33)&lt;0,0,(V33-W33))</f>
        <v>6608</v>
      </c>
      <c r="AA33" s="11">
        <f>IF((W33-V33)&lt;0,0,(W33-V33))</f>
        <v>0</v>
      </c>
    </row>
    <row r="34" spans="1:27" ht="19.5">
      <c r="A34" s="9">
        <v>9</v>
      </c>
      <c r="B34" s="10" t="s">
        <v>82</v>
      </c>
      <c r="C34" s="9">
        <v>826</v>
      </c>
      <c r="D34" s="11">
        <f>Table14[[#This Row],[Enrolment S.Y. 2025-2026 ]]*8</f>
        <v>6608</v>
      </c>
      <c r="E34" s="11"/>
      <c r="F34" s="9"/>
      <c r="G34" s="11"/>
      <c r="H34" s="11">
        <f t="shared" si="16"/>
        <v>6608</v>
      </c>
      <c r="I34" s="11">
        <f t="shared" si="17"/>
        <v>0</v>
      </c>
      <c r="J34" s="11">
        <f>Table14[[#This Row],[Enrolment S.Y. 2025-2026 ]]*8</f>
        <v>6608</v>
      </c>
      <c r="K34" s="11"/>
      <c r="L34" s="9"/>
      <c r="M34" s="11"/>
      <c r="N34" s="11">
        <f t="shared" si="20"/>
        <v>6608</v>
      </c>
      <c r="O34" s="11">
        <f t="shared" si="21"/>
        <v>0</v>
      </c>
      <c r="P34" s="11">
        <f>Table14[[#This Row],[Enrolment S.Y. 2025-2026 ]]*8</f>
        <v>6608</v>
      </c>
      <c r="Q34" s="11"/>
      <c r="R34" s="9"/>
      <c r="S34" s="11"/>
      <c r="T34" s="11">
        <f t="shared" si="10"/>
        <v>6608</v>
      </c>
      <c r="U34" s="11">
        <f t="shared" si="11"/>
        <v>0</v>
      </c>
      <c r="V34" s="11">
        <f>Table14[[#This Row],[Enrolment S.Y. 2025-2026 ]]*8</f>
        <v>6608</v>
      </c>
      <c r="W34" s="11"/>
      <c r="X34" s="9"/>
      <c r="Y34" s="11"/>
      <c r="Z34" s="11">
        <f t="shared" si="12"/>
        <v>6608</v>
      </c>
      <c r="AA34" s="11">
        <f t="shared" si="13"/>
        <v>0</v>
      </c>
    </row>
    <row r="35" spans="1:27" ht="19.5">
      <c r="A35" s="9">
        <v>9</v>
      </c>
      <c r="B35" s="10" t="s">
        <v>16</v>
      </c>
      <c r="C35" s="9">
        <v>826</v>
      </c>
      <c r="D35" s="11">
        <f>Table14[[#This Row],[Enrolment S.Y. 2025-2026 ]]*8</f>
        <v>6608</v>
      </c>
      <c r="E35" s="11"/>
      <c r="F35" s="9"/>
      <c r="G35" s="11"/>
      <c r="H35" s="11">
        <f t="shared" si="16"/>
        <v>6608</v>
      </c>
      <c r="I35" s="11">
        <f t="shared" si="17"/>
        <v>0</v>
      </c>
      <c r="J35" s="11">
        <f>Table14[[#This Row],[Enrolment S.Y. 2025-2026 ]]*8</f>
        <v>6608</v>
      </c>
      <c r="K35" s="11"/>
      <c r="L35" s="9"/>
      <c r="M35" s="11"/>
      <c r="N35" s="11">
        <f t="shared" si="20"/>
        <v>6608</v>
      </c>
      <c r="O35" s="11">
        <f t="shared" si="21"/>
        <v>0</v>
      </c>
      <c r="P35" s="11">
        <f>Table14[[#This Row],[Enrolment S.Y. 2025-2026 ]]*8</f>
        <v>6608</v>
      </c>
      <c r="Q35" s="11"/>
      <c r="R35" s="9"/>
      <c r="S35" s="11"/>
      <c r="T35" s="11">
        <f t="shared" si="10"/>
        <v>6608</v>
      </c>
      <c r="U35" s="11">
        <f t="shared" si="11"/>
        <v>0</v>
      </c>
      <c r="V35" s="11">
        <f>Table14[[#This Row],[Enrolment S.Y. 2025-2026 ]]*8</f>
        <v>6608</v>
      </c>
      <c r="W35" s="11"/>
      <c r="X35" s="9"/>
      <c r="Y35" s="11"/>
      <c r="Z35" s="11">
        <f t="shared" si="12"/>
        <v>6608</v>
      </c>
      <c r="AA35" s="11">
        <f t="shared" si="13"/>
        <v>0</v>
      </c>
    </row>
    <row r="36" spans="1:27" ht="19.5">
      <c r="A36" s="33">
        <v>9</v>
      </c>
      <c r="B36" s="10" t="s">
        <v>83</v>
      </c>
      <c r="C36" s="9">
        <v>826</v>
      </c>
      <c r="D36" s="11">
        <f>Table14[[#This Row],[Enrolment S.Y. 2025-2026 ]]*8</f>
        <v>6608</v>
      </c>
      <c r="E36" s="11"/>
      <c r="F36" s="9"/>
      <c r="G36" s="11"/>
      <c r="H36" s="11">
        <f>IF((D36-E36)&lt;0,0,(D36-E36))</f>
        <v>6608</v>
      </c>
      <c r="I36" s="11">
        <f>IF((E36-D36)&lt;0,0,(E36-D36))</f>
        <v>0</v>
      </c>
      <c r="J36" s="11">
        <f>Table14[[#This Row],[Enrolment S.Y. 2025-2026 ]]*8</f>
        <v>6608</v>
      </c>
      <c r="K36" s="11"/>
      <c r="L36" s="9"/>
      <c r="M36" s="11"/>
      <c r="N36" s="11">
        <f t="shared" si="20"/>
        <v>6608</v>
      </c>
      <c r="O36" s="11">
        <f t="shared" si="21"/>
        <v>0</v>
      </c>
      <c r="P36" s="11">
        <f>Table14[[#This Row],[Enrolment S.Y. 2025-2026 ]]*8</f>
        <v>6608</v>
      </c>
      <c r="Q36" s="11">
        <v>100</v>
      </c>
      <c r="R36" s="9">
        <v>2025</v>
      </c>
      <c r="S36" s="11"/>
      <c r="T36" s="11">
        <f>IF((P36-Q36)&lt;0,0,(P36-Q36))</f>
        <v>6508</v>
      </c>
      <c r="U36" s="11">
        <f>IF((Q36-P36)&lt;0,0,(Q36-P36))</f>
        <v>0</v>
      </c>
      <c r="V36" s="11">
        <f>Table14[[#This Row],[Enrolment S.Y. 2025-2026 ]]*8</f>
        <v>6608</v>
      </c>
      <c r="W36" s="11"/>
      <c r="X36" s="9"/>
      <c r="Y36" s="11"/>
      <c r="Z36" s="11">
        <f>IF((V36-W36)&lt;0,0,(V36-W36))</f>
        <v>6608</v>
      </c>
      <c r="AA36" s="11">
        <f>IF((W36-V36)&lt;0,0,(W36-V36))</f>
        <v>0</v>
      </c>
    </row>
    <row r="37" spans="1:27" ht="19.5">
      <c r="A37" s="9">
        <v>9</v>
      </c>
      <c r="B37" s="10" t="s">
        <v>84</v>
      </c>
      <c r="C37" s="9">
        <v>826</v>
      </c>
      <c r="D37" s="11">
        <f>Table14[[#This Row],[Enrolment S.Y. 2025-2026 ]]*8</f>
        <v>6608</v>
      </c>
      <c r="E37" s="11"/>
      <c r="F37" s="9"/>
      <c r="G37" s="11"/>
      <c r="H37" s="11">
        <f t="shared" si="16"/>
        <v>6608</v>
      </c>
      <c r="I37" s="11">
        <f t="shared" si="17"/>
        <v>0</v>
      </c>
      <c r="J37" s="11">
        <f>Table14[[#This Row],[Enrolment S.Y. 2025-2026 ]]*8</f>
        <v>6608</v>
      </c>
      <c r="K37" s="11"/>
      <c r="L37" s="9"/>
      <c r="M37" s="11"/>
      <c r="N37" s="11">
        <f t="shared" si="20"/>
        <v>6608</v>
      </c>
      <c r="O37" s="11">
        <f t="shared" si="21"/>
        <v>0</v>
      </c>
      <c r="P37" s="11">
        <f>Table14[[#This Row],[Enrolment S.Y. 2025-2026 ]]*8</f>
        <v>6608</v>
      </c>
      <c r="Q37" s="11">
        <v>100</v>
      </c>
      <c r="R37" s="9">
        <v>2025</v>
      </c>
      <c r="S37" s="11"/>
      <c r="T37" s="11">
        <f t="shared" si="10"/>
        <v>6508</v>
      </c>
      <c r="U37" s="11">
        <f t="shared" si="11"/>
        <v>0</v>
      </c>
      <c r="V37" s="11">
        <f>Table14[[#This Row],[Enrolment S.Y. 2025-2026 ]]*8</f>
        <v>6608</v>
      </c>
      <c r="W37" s="11"/>
      <c r="X37" s="9"/>
      <c r="Y37" s="11"/>
      <c r="Z37" s="11">
        <f t="shared" si="12"/>
        <v>6608</v>
      </c>
      <c r="AA37" s="11">
        <f t="shared" si="13"/>
        <v>0</v>
      </c>
    </row>
    <row r="38" spans="1:27" ht="1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ht="19.5">
      <c r="A39" s="9">
        <v>10</v>
      </c>
      <c r="B39" s="10" t="s">
        <v>8</v>
      </c>
      <c r="C39" s="9">
        <v>944</v>
      </c>
      <c r="D39" s="11">
        <f>Table14[[#This Row],[Enrolment S.Y. 2025-2026 ]]*8</f>
        <v>7552</v>
      </c>
      <c r="E39" s="11">
        <v>300</v>
      </c>
      <c r="F39" s="9">
        <v>2025</v>
      </c>
      <c r="G39" s="11" t="s">
        <v>85</v>
      </c>
      <c r="H39" s="11">
        <f t="shared" si="16"/>
        <v>7252</v>
      </c>
      <c r="I39" s="11">
        <f t="shared" si="17"/>
        <v>0</v>
      </c>
      <c r="J39" s="11">
        <f>Table14[[#This Row],[Enrolment S.Y. 2025-2026 ]]*8</f>
        <v>7552</v>
      </c>
      <c r="K39" s="11">
        <v>150</v>
      </c>
      <c r="L39" s="9">
        <v>2025</v>
      </c>
      <c r="M39" s="11" t="s">
        <v>85</v>
      </c>
      <c r="N39" s="11">
        <f t="shared" si="14"/>
        <v>7402</v>
      </c>
      <c r="O39" s="11">
        <f t="shared" si="15"/>
        <v>0</v>
      </c>
      <c r="P39" s="11">
        <f>Table14[[#This Row],[Enrolment S.Y. 2025-2026 ]]*8</f>
        <v>7552</v>
      </c>
      <c r="Q39" s="11">
        <v>150</v>
      </c>
      <c r="R39" s="9">
        <v>2025</v>
      </c>
      <c r="S39" s="11" t="s">
        <v>85</v>
      </c>
      <c r="T39" s="11">
        <f t="shared" si="10"/>
        <v>7402</v>
      </c>
      <c r="U39" s="11">
        <f t="shared" si="11"/>
        <v>0</v>
      </c>
      <c r="V39" s="11">
        <f>Table14[[#This Row],[Enrolment S.Y. 2025-2026 ]]*8</f>
        <v>7552</v>
      </c>
      <c r="W39" s="11">
        <v>150</v>
      </c>
      <c r="X39" s="9">
        <v>2025</v>
      </c>
      <c r="Y39" s="11" t="s">
        <v>85</v>
      </c>
      <c r="Z39" s="11">
        <f t="shared" si="12"/>
        <v>7402</v>
      </c>
      <c r="AA39" s="11">
        <f t="shared" si="13"/>
        <v>0</v>
      </c>
    </row>
    <row r="40" spans="1:27" ht="19.5">
      <c r="A40" s="9">
        <v>10</v>
      </c>
      <c r="B40" s="10" t="s">
        <v>10</v>
      </c>
      <c r="C40" s="9">
        <v>944</v>
      </c>
      <c r="D40" s="11">
        <f>Table14[[#This Row],[Enrolment S.Y. 2025-2026 ]]*8</f>
        <v>7552</v>
      </c>
      <c r="E40" s="11">
        <v>300</v>
      </c>
      <c r="F40" s="9">
        <v>2025</v>
      </c>
      <c r="G40" s="11" t="s">
        <v>85</v>
      </c>
      <c r="H40" s="11">
        <f t="shared" si="16"/>
        <v>7252</v>
      </c>
      <c r="I40" s="11">
        <f t="shared" si="17"/>
        <v>0</v>
      </c>
      <c r="J40" s="11">
        <f>Table14[[#This Row],[Enrolment S.Y. 2025-2026 ]]*8</f>
        <v>7552</v>
      </c>
      <c r="K40" s="11"/>
      <c r="L40" s="9"/>
      <c r="M40" s="11"/>
      <c r="N40" s="11">
        <f t="shared" si="14"/>
        <v>7552</v>
      </c>
      <c r="O40" s="11">
        <f t="shared" si="15"/>
        <v>0</v>
      </c>
      <c r="P40" s="11">
        <f>Table14[[#This Row],[Enrolment S.Y. 2025-2026 ]]*8</f>
        <v>7552</v>
      </c>
      <c r="Q40" s="11">
        <v>150</v>
      </c>
      <c r="R40" s="9">
        <v>2025</v>
      </c>
      <c r="S40" s="11" t="s">
        <v>85</v>
      </c>
      <c r="T40" s="11">
        <f t="shared" si="10"/>
        <v>7402</v>
      </c>
      <c r="U40" s="11">
        <f t="shared" si="11"/>
        <v>0</v>
      </c>
      <c r="V40" s="11">
        <f>Table14[[#This Row],[Enrolment S.Y. 2025-2026 ]]*8</f>
        <v>7552</v>
      </c>
      <c r="W40" s="11">
        <v>150</v>
      </c>
      <c r="X40" s="9">
        <v>2025</v>
      </c>
      <c r="Y40" s="11" t="s">
        <v>85</v>
      </c>
      <c r="Z40" s="11">
        <f t="shared" si="12"/>
        <v>7402</v>
      </c>
      <c r="AA40" s="11">
        <f t="shared" si="13"/>
        <v>0</v>
      </c>
    </row>
    <row r="41" spans="1:27" ht="19.5">
      <c r="A41" s="9">
        <v>10</v>
      </c>
      <c r="B41" s="10" t="s">
        <v>11</v>
      </c>
      <c r="C41" s="9">
        <v>944</v>
      </c>
      <c r="D41" s="11">
        <f>Table14[[#This Row],[Enrolment S.Y. 2025-2026 ]]*8</f>
        <v>7552</v>
      </c>
      <c r="E41" s="11">
        <v>300</v>
      </c>
      <c r="F41" s="9">
        <v>2025</v>
      </c>
      <c r="G41" s="11" t="s">
        <v>85</v>
      </c>
      <c r="H41" s="11">
        <f t="shared" si="16"/>
        <v>7252</v>
      </c>
      <c r="I41" s="11">
        <f t="shared" si="17"/>
        <v>0</v>
      </c>
      <c r="J41" s="11">
        <f>Table14[[#This Row],[Enrolment S.Y. 2025-2026 ]]*8</f>
        <v>7552</v>
      </c>
      <c r="K41" s="11">
        <v>150</v>
      </c>
      <c r="L41" s="9">
        <v>2025</v>
      </c>
      <c r="M41" s="11" t="s">
        <v>85</v>
      </c>
      <c r="N41" s="11">
        <f t="shared" si="14"/>
        <v>7402</v>
      </c>
      <c r="O41" s="11">
        <f t="shared" si="15"/>
        <v>0</v>
      </c>
      <c r="P41" s="11">
        <f>Table14[[#This Row],[Enrolment S.Y. 2025-2026 ]]*8</f>
        <v>7552</v>
      </c>
      <c r="Q41" s="11">
        <v>150</v>
      </c>
      <c r="R41" s="9">
        <v>2025</v>
      </c>
      <c r="S41" s="11" t="s">
        <v>85</v>
      </c>
      <c r="T41" s="11">
        <f t="shared" si="10"/>
        <v>7402</v>
      </c>
      <c r="U41" s="11">
        <f t="shared" si="11"/>
        <v>0</v>
      </c>
      <c r="V41" s="11">
        <f>Table14[[#This Row],[Enrolment S.Y. 2025-2026 ]]*8</f>
        <v>7552</v>
      </c>
      <c r="W41" s="11">
        <v>150</v>
      </c>
      <c r="X41" s="9">
        <v>2025</v>
      </c>
      <c r="Y41" s="11" t="s">
        <v>85</v>
      </c>
      <c r="Z41" s="11">
        <f t="shared" si="12"/>
        <v>7402</v>
      </c>
      <c r="AA41" s="11">
        <f t="shared" si="13"/>
        <v>0</v>
      </c>
    </row>
    <row r="42" spans="1:27" s="6" customFormat="1" ht="19.5">
      <c r="A42" s="9">
        <v>10</v>
      </c>
      <c r="B42" s="10" t="s">
        <v>12</v>
      </c>
      <c r="C42" s="9">
        <v>944</v>
      </c>
      <c r="D42" s="11">
        <f>Table14[[#This Row],[Enrolment S.Y. 2025-2026 ]]*8</f>
        <v>7552</v>
      </c>
      <c r="E42" s="11"/>
      <c r="F42" s="9"/>
      <c r="G42" s="11"/>
      <c r="H42" s="11">
        <f t="shared" si="16"/>
        <v>7552</v>
      </c>
      <c r="I42" s="11">
        <f t="shared" si="17"/>
        <v>0</v>
      </c>
      <c r="J42" s="11">
        <f>Table14[[#This Row],[Enrolment S.Y. 2025-2026 ]]*8</f>
        <v>7552</v>
      </c>
      <c r="K42" s="11"/>
      <c r="L42" s="9"/>
      <c r="M42" s="11"/>
      <c r="N42" s="11">
        <f t="shared" si="14"/>
        <v>7552</v>
      </c>
      <c r="O42" s="11">
        <f t="shared" si="15"/>
        <v>0</v>
      </c>
      <c r="P42" s="11">
        <f>Table14[[#This Row],[Enrolment S.Y. 2025-2026 ]]*8</f>
        <v>7552</v>
      </c>
      <c r="Q42" s="11">
        <v>150</v>
      </c>
      <c r="R42" s="9">
        <v>2025</v>
      </c>
      <c r="S42" s="11" t="s">
        <v>85</v>
      </c>
      <c r="T42" s="11">
        <f t="shared" si="10"/>
        <v>7402</v>
      </c>
      <c r="U42" s="11">
        <f t="shared" si="11"/>
        <v>0</v>
      </c>
      <c r="V42" s="11">
        <f>Table14[[#This Row],[Enrolment S.Y. 2025-2026 ]]*8</f>
        <v>7552</v>
      </c>
      <c r="W42" s="11">
        <v>150</v>
      </c>
      <c r="X42" s="9">
        <v>2025</v>
      </c>
      <c r="Y42" s="11" t="s">
        <v>85</v>
      </c>
      <c r="Z42" s="11">
        <f t="shared" si="12"/>
        <v>7402</v>
      </c>
      <c r="AA42" s="11">
        <f t="shared" si="13"/>
        <v>0</v>
      </c>
    </row>
    <row r="43" spans="1:27" ht="19.5">
      <c r="A43" s="9">
        <v>10</v>
      </c>
      <c r="B43" s="10" t="s">
        <v>18</v>
      </c>
      <c r="C43" s="9">
        <v>944</v>
      </c>
      <c r="D43" s="11">
        <f>Table14[[#This Row],[Enrolment S.Y. 2025-2026 ]]*8</f>
        <v>7552</v>
      </c>
      <c r="E43" s="11"/>
      <c r="F43" s="9"/>
      <c r="G43" s="11"/>
      <c r="H43" s="11">
        <f t="shared" si="16"/>
        <v>7552</v>
      </c>
      <c r="I43" s="11">
        <f t="shared" si="17"/>
        <v>0</v>
      </c>
      <c r="J43" s="11">
        <f>Table14[[#This Row],[Enrolment S.Y. 2025-2026 ]]*8</f>
        <v>7552</v>
      </c>
      <c r="K43" s="11"/>
      <c r="L43" s="9"/>
      <c r="M43" s="11"/>
      <c r="N43" s="11">
        <f t="shared" si="14"/>
        <v>7552</v>
      </c>
      <c r="O43" s="11">
        <f t="shared" si="15"/>
        <v>0</v>
      </c>
      <c r="P43" s="11">
        <f>Table14[[#This Row],[Enrolment S.Y. 2025-2026 ]]*8</f>
        <v>7552</v>
      </c>
      <c r="Q43" s="11">
        <v>150</v>
      </c>
      <c r="R43" s="9">
        <v>2025</v>
      </c>
      <c r="S43" s="11" t="s">
        <v>85</v>
      </c>
      <c r="T43" s="11">
        <f t="shared" si="10"/>
        <v>7402</v>
      </c>
      <c r="U43" s="11">
        <f t="shared" si="11"/>
        <v>0</v>
      </c>
      <c r="V43" s="11">
        <f>Table14[[#This Row],[Enrolment S.Y. 2025-2026 ]]*8</f>
        <v>7552</v>
      </c>
      <c r="W43" s="11">
        <v>150</v>
      </c>
      <c r="X43" s="9">
        <v>2025</v>
      </c>
      <c r="Y43" s="11" t="s">
        <v>85</v>
      </c>
      <c r="Z43" s="11">
        <f t="shared" si="12"/>
        <v>7402</v>
      </c>
      <c r="AA43" s="11">
        <f t="shared" si="13"/>
        <v>0</v>
      </c>
    </row>
    <row r="44" spans="1:27" ht="19.5">
      <c r="A44" s="9">
        <v>10</v>
      </c>
      <c r="B44" s="10" t="s">
        <v>14</v>
      </c>
      <c r="C44" s="9">
        <v>944</v>
      </c>
      <c r="D44" s="11">
        <f>Table14[[#This Row],[Enrolment S.Y. 2025-2026 ]]*8</f>
        <v>7552</v>
      </c>
      <c r="E44" s="11"/>
      <c r="F44" s="9"/>
      <c r="G44" s="11"/>
      <c r="H44" s="11">
        <f t="shared" si="16"/>
        <v>7552</v>
      </c>
      <c r="I44" s="11">
        <f t="shared" si="17"/>
        <v>0</v>
      </c>
      <c r="J44" s="11">
        <f>Table14[[#This Row],[Enrolment S.Y. 2025-2026 ]]*8</f>
        <v>7552</v>
      </c>
      <c r="K44" s="11"/>
      <c r="L44" s="9"/>
      <c r="M44" s="11"/>
      <c r="N44" s="11">
        <f t="shared" si="14"/>
        <v>7552</v>
      </c>
      <c r="O44" s="11">
        <f t="shared" si="15"/>
        <v>0</v>
      </c>
      <c r="P44" s="11">
        <f>Table14[[#This Row],[Enrolment S.Y. 2025-2026 ]]*8</f>
        <v>7552</v>
      </c>
      <c r="Q44" s="11">
        <v>150</v>
      </c>
      <c r="R44" s="9">
        <v>2025</v>
      </c>
      <c r="S44" s="11" t="s">
        <v>85</v>
      </c>
      <c r="T44" s="11">
        <f t="shared" si="10"/>
        <v>7402</v>
      </c>
      <c r="U44" s="11">
        <f t="shared" si="11"/>
        <v>0</v>
      </c>
      <c r="V44" s="11">
        <f>Table14[[#This Row],[Enrolment S.Y. 2025-2026 ]]*8</f>
        <v>7552</v>
      </c>
      <c r="W44" s="11">
        <v>150</v>
      </c>
      <c r="X44" s="9">
        <v>2025</v>
      </c>
      <c r="Y44" s="11" t="s">
        <v>85</v>
      </c>
      <c r="Z44" s="11">
        <f t="shared" si="12"/>
        <v>7402</v>
      </c>
      <c r="AA44" s="11">
        <f t="shared" si="13"/>
        <v>0</v>
      </c>
    </row>
    <row r="45" spans="1:27" ht="19.5">
      <c r="A45" s="33">
        <v>10</v>
      </c>
      <c r="B45" s="10" t="s">
        <v>81</v>
      </c>
      <c r="C45" s="9">
        <v>944</v>
      </c>
      <c r="D45" s="11">
        <f>Table14[[#This Row],[Enrolment S.Y. 2025-2026 ]]*8</f>
        <v>7552</v>
      </c>
      <c r="E45" s="11"/>
      <c r="F45" s="9"/>
      <c r="G45" s="11"/>
      <c r="H45" s="11">
        <f>IF((D45-E45)&lt;0,0,(D45-E45))</f>
        <v>7552</v>
      </c>
      <c r="I45" s="11">
        <f>IF((E45-D45)&lt;0,0,(E45-D45))</f>
        <v>0</v>
      </c>
      <c r="J45" s="11">
        <f>Table14[[#This Row],[Enrolment S.Y. 2025-2026 ]]*8</f>
        <v>7552</v>
      </c>
      <c r="K45" s="11"/>
      <c r="L45" s="9"/>
      <c r="M45" s="11"/>
      <c r="N45" s="11">
        <f t="shared" ref="N45:N49" si="22">IF((J45-K45)&lt;0,0,(J45-K45))</f>
        <v>7552</v>
      </c>
      <c r="O45" s="11">
        <f t="shared" ref="O45:O49" si="23">IF((K45-J45)&lt;0,0,(K45-J45))</f>
        <v>0</v>
      </c>
      <c r="P45" s="11">
        <f>Table14[[#This Row],[Enrolment S.Y. 2025-2026 ]]*8</f>
        <v>7552</v>
      </c>
      <c r="Q45" s="11">
        <v>150</v>
      </c>
      <c r="R45" s="9">
        <v>2025</v>
      </c>
      <c r="S45" s="11" t="s">
        <v>85</v>
      </c>
      <c r="T45" s="11">
        <f>IF((P45-Q45)&lt;0,0,(P45-Q45))</f>
        <v>7402</v>
      </c>
      <c r="U45" s="11">
        <f>IF((Q45-P45)&lt;0,0,(Q45-P45))</f>
        <v>0</v>
      </c>
      <c r="V45" s="11">
        <f>Table14[[#This Row],[Enrolment S.Y. 2025-2026 ]]*8</f>
        <v>7552</v>
      </c>
      <c r="W45" s="11">
        <v>150</v>
      </c>
      <c r="X45" s="9">
        <v>2025</v>
      </c>
      <c r="Y45" s="11" t="s">
        <v>85</v>
      </c>
      <c r="Z45" s="11">
        <f>IF((V45-W45)&lt;0,0,(V45-W45))</f>
        <v>7402</v>
      </c>
      <c r="AA45" s="11">
        <f>IF((W45-V45)&lt;0,0,(W45-V45))</f>
        <v>0</v>
      </c>
    </row>
    <row r="46" spans="1:27" ht="19.5">
      <c r="A46" s="9">
        <v>10</v>
      </c>
      <c r="B46" s="10" t="s">
        <v>82</v>
      </c>
      <c r="C46" s="9">
        <v>944</v>
      </c>
      <c r="D46" s="11">
        <f>Table14[[#This Row],[Enrolment S.Y. 2025-2026 ]]*8</f>
        <v>7552</v>
      </c>
      <c r="E46" s="11"/>
      <c r="F46" s="9"/>
      <c r="G46" s="11"/>
      <c r="H46" s="11">
        <f t="shared" si="16"/>
        <v>7552</v>
      </c>
      <c r="I46" s="11">
        <f t="shared" si="17"/>
        <v>0</v>
      </c>
      <c r="J46" s="11">
        <f>Table14[[#This Row],[Enrolment S.Y. 2025-2026 ]]*8</f>
        <v>7552</v>
      </c>
      <c r="K46" s="11"/>
      <c r="L46" s="9"/>
      <c r="M46" s="11"/>
      <c r="N46" s="11">
        <f t="shared" si="22"/>
        <v>7552</v>
      </c>
      <c r="O46" s="11">
        <f t="shared" si="23"/>
        <v>0</v>
      </c>
      <c r="P46" s="11">
        <f>Table14[[#This Row],[Enrolment S.Y. 2025-2026 ]]*8</f>
        <v>7552</v>
      </c>
      <c r="Q46" s="11">
        <v>150</v>
      </c>
      <c r="R46" s="9">
        <v>2025</v>
      </c>
      <c r="S46" s="11" t="s">
        <v>85</v>
      </c>
      <c r="T46" s="11">
        <f t="shared" si="10"/>
        <v>7402</v>
      </c>
      <c r="U46" s="11">
        <f t="shared" si="11"/>
        <v>0</v>
      </c>
      <c r="V46" s="11">
        <f>Table14[[#This Row],[Enrolment S.Y. 2025-2026 ]]*8</f>
        <v>7552</v>
      </c>
      <c r="W46" s="11">
        <v>150</v>
      </c>
      <c r="X46" s="9">
        <v>2025</v>
      </c>
      <c r="Y46" s="11" t="s">
        <v>85</v>
      </c>
      <c r="Z46" s="11">
        <f t="shared" si="12"/>
        <v>7402</v>
      </c>
      <c r="AA46" s="11">
        <f t="shared" si="13"/>
        <v>0</v>
      </c>
    </row>
    <row r="47" spans="1:27" ht="19.5">
      <c r="A47" s="9">
        <v>10</v>
      </c>
      <c r="B47" s="10" t="s">
        <v>16</v>
      </c>
      <c r="C47" s="9">
        <v>944</v>
      </c>
      <c r="D47" s="11">
        <f>Table14[[#This Row],[Enrolment S.Y. 2025-2026 ]]*8</f>
        <v>7552</v>
      </c>
      <c r="E47" s="11"/>
      <c r="F47" s="9"/>
      <c r="G47" s="11"/>
      <c r="H47" s="11">
        <f t="shared" si="16"/>
        <v>7552</v>
      </c>
      <c r="I47" s="11">
        <f t="shared" si="17"/>
        <v>0</v>
      </c>
      <c r="J47" s="11">
        <f>Table14[[#This Row],[Enrolment S.Y. 2025-2026 ]]*8</f>
        <v>7552</v>
      </c>
      <c r="K47" s="11"/>
      <c r="L47" s="9"/>
      <c r="M47" s="11"/>
      <c r="N47" s="11">
        <f t="shared" si="22"/>
        <v>7552</v>
      </c>
      <c r="O47" s="11">
        <f t="shared" si="23"/>
        <v>0</v>
      </c>
      <c r="P47" s="11">
        <f>Table14[[#This Row],[Enrolment S.Y. 2025-2026 ]]*8</f>
        <v>7552</v>
      </c>
      <c r="Q47" s="11"/>
      <c r="R47" s="9"/>
      <c r="S47" s="11"/>
      <c r="T47" s="11">
        <f t="shared" si="10"/>
        <v>7552</v>
      </c>
      <c r="U47" s="11">
        <f t="shared" si="11"/>
        <v>0</v>
      </c>
      <c r="V47" s="11">
        <f>Table14[[#This Row],[Enrolment S.Y. 2025-2026 ]]*8</f>
        <v>7552</v>
      </c>
      <c r="W47" s="11"/>
      <c r="X47" s="9"/>
      <c r="Y47" s="11"/>
      <c r="Z47" s="11">
        <f t="shared" si="12"/>
        <v>7552</v>
      </c>
      <c r="AA47" s="11">
        <f t="shared" si="13"/>
        <v>0</v>
      </c>
    </row>
    <row r="48" spans="1:27" ht="19.5">
      <c r="A48" s="33">
        <v>10</v>
      </c>
      <c r="B48" s="10" t="s">
        <v>83</v>
      </c>
      <c r="C48" s="9">
        <v>944</v>
      </c>
      <c r="D48" s="11">
        <f>Table14[[#This Row],[Enrolment S.Y. 2025-2026 ]]*8</f>
        <v>7552</v>
      </c>
      <c r="E48" s="11"/>
      <c r="F48" s="9"/>
      <c r="G48" s="11"/>
      <c r="H48" s="11">
        <f>IF((D48-E48)&lt;0,0,(D48-E48))</f>
        <v>7552</v>
      </c>
      <c r="I48" s="11">
        <f>IF((E48-D48)&lt;0,0,(E48-D48))</f>
        <v>0</v>
      </c>
      <c r="J48" s="11">
        <f>Table14[[#This Row],[Enrolment S.Y. 2025-2026 ]]*8</f>
        <v>7552</v>
      </c>
      <c r="K48" s="11"/>
      <c r="L48" s="9"/>
      <c r="M48" s="11"/>
      <c r="N48" s="11">
        <f t="shared" si="22"/>
        <v>7552</v>
      </c>
      <c r="O48" s="11">
        <f t="shared" si="23"/>
        <v>0</v>
      </c>
      <c r="P48" s="11">
        <f>Table14[[#This Row],[Enrolment S.Y. 2025-2026 ]]*8</f>
        <v>7552</v>
      </c>
      <c r="Q48" s="11">
        <v>150</v>
      </c>
      <c r="R48" s="9">
        <v>2025</v>
      </c>
      <c r="S48" s="11" t="s">
        <v>85</v>
      </c>
      <c r="T48" s="11">
        <f>IF((P48-Q48)&lt;0,0,(P48-Q48))</f>
        <v>7402</v>
      </c>
      <c r="U48" s="11">
        <f>IF((Q48-P48)&lt;0,0,(Q48-P48))</f>
        <v>0</v>
      </c>
      <c r="V48" s="11">
        <f>Table14[[#This Row],[Enrolment S.Y. 2025-2026 ]]*8</f>
        <v>7552</v>
      </c>
      <c r="W48" s="11">
        <v>150</v>
      </c>
      <c r="X48" s="9">
        <v>2025</v>
      </c>
      <c r="Y48" s="11" t="s">
        <v>85</v>
      </c>
      <c r="Z48" s="11">
        <f>IF((V48-W48)&lt;0,0,(V48-W48))</f>
        <v>7402</v>
      </c>
      <c r="AA48" s="11">
        <f>IF((W48-V48)&lt;0,0,(W48-V48))</f>
        <v>0</v>
      </c>
    </row>
    <row r="49" spans="1:27" ht="19.5">
      <c r="A49" s="9">
        <v>10</v>
      </c>
      <c r="B49" s="10" t="s">
        <v>84</v>
      </c>
      <c r="C49" s="9">
        <v>944</v>
      </c>
      <c r="D49" s="11">
        <f>Table14[[#This Row],[Enrolment S.Y. 2025-2026 ]]*8</f>
        <v>7552</v>
      </c>
      <c r="E49" s="11"/>
      <c r="F49" s="9"/>
      <c r="G49" s="11"/>
      <c r="H49" s="11">
        <f t="shared" si="16"/>
        <v>7552</v>
      </c>
      <c r="I49" s="11">
        <f t="shared" si="17"/>
        <v>0</v>
      </c>
      <c r="J49" s="11">
        <f>Table14[[#This Row],[Enrolment S.Y. 2025-2026 ]]*8</f>
        <v>7552</v>
      </c>
      <c r="K49" s="11"/>
      <c r="L49" s="9"/>
      <c r="M49" s="11"/>
      <c r="N49" s="11">
        <f t="shared" si="22"/>
        <v>7552</v>
      </c>
      <c r="O49" s="11">
        <f t="shared" si="23"/>
        <v>0</v>
      </c>
      <c r="P49" s="11">
        <f>Table14[[#This Row],[Enrolment S.Y. 2025-2026 ]]*8</f>
        <v>7552</v>
      </c>
      <c r="Q49" s="11">
        <v>150</v>
      </c>
      <c r="R49" s="9">
        <v>2024</v>
      </c>
      <c r="S49" s="11" t="s">
        <v>85</v>
      </c>
      <c r="T49" s="11">
        <f t="shared" si="10"/>
        <v>7402</v>
      </c>
      <c r="U49" s="11">
        <f t="shared" si="11"/>
        <v>0</v>
      </c>
      <c r="V49" s="11">
        <f>Table14[[#This Row],[Enrolment S.Y. 2025-2026 ]]*8</f>
        <v>7552</v>
      </c>
      <c r="W49" s="11">
        <v>150</v>
      </c>
      <c r="X49" s="9">
        <v>2025</v>
      </c>
      <c r="Y49" s="11" t="s">
        <v>85</v>
      </c>
      <c r="Z49" s="11">
        <f t="shared" si="12"/>
        <v>7402</v>
      </c>
      <c r="AA49" s="11">
        <f t="shared" si="13"/>
        <v>0</v>
      </c>
    </row>
    <row r="50" spans="1:27" ht="1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 ht="38.25">
      <c r="A51" s="1" t="s">
        <v>19</v>
      </c>
      <c r="B51" s="8" t="s">
        <v>20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19</v>
      </c>
      <c r="B52" s="8" t="s">
        <v>21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19</v>
      </c>
      <c r="B53" s="8" t="s">
        <v>22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6" customFormat="1" ht="19.5">
      <c r="A54" s="1" t="s">
        <v>19</v>
      </c>
      <c r="B54" s="8" t="s">
        <v>23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19</v>
      </c>
      <c r="B55" s="8" t="s">
        <v>24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19</v>
      </c>
      <c r="B56" s="8" t="s">
        <v>25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19</v>
      </c>
      <c r="B57" s="8" t="s">
        <v>26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19</v>
      </c>
      <c r="B58" s="8" t="s">
        <v>27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>
      <c r="J59" t="e">
        <f>#REF!*8</f>
        <v>#REF!</v>
      </c>
    </row>
    <row r="60" spans="1:27" ht="15">
      <c r="J60" t="e">
        <f>#REF!*8</f>
        <v>#REF!</v>
      </c>
    </row>
    <row r="61" spans="1:27" ht="15">
      <c r="J61" t="e">
        <f>#REF!*8</f>
        <v>#REF!</v>
      </c>
    </row>
    <row r="62" spans="1:27" ht="15">
      <c r="J62" t="e">
        <f>#REF!*8</f>
        <v>#REF!</v>
      </c>
    </row>
    <row r="63" spans="1:27" ht="15">
      <c r="J63" t="e">
        <f>#REF!*8</f>
        <v>#REF!</v>
      </c>
    </row>
    <row r="64" spans="1:27" ht="15">
      <c r="J64" t="e">
        <f>#REF!*8</f>
        <v>#REF!</v>
      </c>
    </row>
    <row r="65" spans="1:27" ht="15">
      <c r="J65" t="e">
        <f>#REF!*8</f>
        <v>#REF!</v>
      </c>
    </row>
    <row r="66" spans="1:27" s="6" customFormat="1" ht="15">
      <c r="A66"/>
      <c r="B66"/>
      <c r="C66"/>
      <c r="D66"/>
      <c r="E66"/>
      <c r="F66"/>
      <c r="G66"/>
      <c r="H66"/>
      <c r="I66"/>
      <c r="J66" t="e">
        <f>#REF!*8</f>
        <v>#REF!</v>
      </c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>
      <c r="J67" t="e">
        <f>#REF!*8</f>
        <v>#REF!</v>
      </c>
    </row>
    <row r="68" spans="1:27" ht="15">
      <c r="J68" t="e">
        <f>#REF!*8</f>
        <v>#REF!</v>
      </c>
    </row>
    <row r="69" spans="1:27" ht="15">
      <c r="J69" t="e">
        <f>#REF!*8</f>
        <v>#REF!</v>
      </c>
    </row>
    <row r="70" spans="1:27" ht="15">
      <c r="J70" t="e">
        <f>#REF!*8</f>
        <v>#REF!</v>
      </c>
    </row>
    <row r="71" spans="1:27" ht="15">
      <c r="J71" t="e">
        <f>#REF!*8</f>
        <v>#REF!</v>
      </c>
    </row>
    <row r="72" spans="1:27" ht="15">
      <c r="J72" t="e">
        <f>#REF!*8</f>
        <v>#REF!</v>
      </c>
    </row>
    <row r="73" spans="1:27" ht="15">
      <c r="J73" t="e">
        <f>#REF!*8</f>
        <v>#REF!</v>
      </c>
    </row>
    <row r="74" spans="1:27" ht="15">
      <c r="J74" t="e">
        <f>#REF!*8</f>
        <v>#REF!</v>
      </c>
    </row>
    <row r="75" spans="1:27" ht="15">
      <c r="J75" t="e">
        <f>#REF!*8</f>
        <v>#REF!</v>
      </c>
    </row>
    <row r="76" spans="1:27" ht="15">
      <c r="J76" t="e">
        <f>#REF!*8</f>
        <v>#REF!</v>
      </c>
    </row>
    <row r="77" spans="1:27" ht="15">
      <c r="J77" t="e">
        <f>#REF!*8</f>
        <v>#REF!</v>
      </c>
    </row>
    <row r="78" spans="1:27" s="6" customFormat="1" ht="15">
      <c r="A78"/>
      <c r="B78"/>
      <c r="C78"/>
      <c r="D78"/>
      <c r="E78"/>
      <c r="F78"/>
      <c r="G78"/>
      <c r="H78"/>
      <c r="I78"/>
      <c r="J78" t="e">
        <f>#REF!*8</f>
        <v>#REF!</v>
      </c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>
      <c r="J79" t="e">
        <f>#REF!*8</f>
        <v>#REF!</v>
      </c>
    </row>
    <row r="80" spans="1:27" ht="15">
      <c r="J80" t="e">
        <f>#REF!*8</f>
        <v>#REF!</v>
      </c>
    </row>
    <row r="81" spans="1:27" ht="15">
      <c r="J81" t="e">
        <f>#REF!*8</f>
        <v>#REF!</v>
      </c>
    </row>
    <row r="82" spans="1:27" ht="15">
      <c r="J82" t="e">
        <f>#REF!*8</f>
        <v>#REF!</v>
      </c>
    </row>
    <row r="83" spans="1:27" ht="15">
      <c r="J83" t="e">
        <f>#REF!*8</f>
        <v>#REF!</v>
      </c>
    </row>
    <row r="84" spans="1:27" ht="15">
      <c r="J84" t="e">
        <f>#REF!*8</f>
        <v>#REF!</v>
      </c>
    </row>
    <row r="85" spans="1:27" ht="15">
      <c r="J85" t="e">
        <f>#REF!*8</f>
        <v>#REF!</v>
      </c>
    </row>
    <row r="86" spans="1:27" ht="15">
      <c r="J86" t="e">
        <f>#REF!*8</f>
        <v>#REF!</v>
      </c>
    </row>
    <row r="87" spans="1:27" ht="15">
      <c r="J87" t="e">
        <f>#REF!*8</f>
        <v>#REF!</v>
      </c>
    </row>
    <row r="88" spans="1:27" ht="15">
      <c r="J88" t="e">
        <f>#REF!*8</f>
        <v>#REF!</v>
      </c>
    </row>
    <row r="89" spans="1:27" ht="15"/>
    <row r="90" spans="1:27" s="6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6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6" customFormat="1" ht="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6" customFormat="1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 ht="15">
      <c r="AB124" s="6"/>
    </row>
    <row r="125" spans="1:28" ht="15">
      <c r="AB125" s="6"/>
    </row>
    <row r="126" spans="1:28" ht="15">
      <c r="AB126" s="6"/>
    </row>
    <row r="127" spans="1:28" ht="15">
      <c r="AB127" s="6"/>
    </row>
    <row r="128" spans="1:28" ht="15">
      <c r="AB128" s="6"/>
    </row>
    <row r="129" spans="28:28" ht="15">
      <c r="AB129" s="6"/>
    </row>
    <row r="130" spans="28:28" ht="15">
      <c r="AB130" s="6"/>
    </row>
    <row r="131" spans="28:28" ht="15">
      <c r="AB131" s="6"/>
    </row>
    <row r="132" spans="28:28" ht="15">
      <c r="AB132" s="6"/>
    </row>
    <row r="133" spans="28:28" ht="15">
      <c r="AB133" s="6"/>
    </row>
    <row r="134" spans="28:28" ht="15">
      <c r="AB134" s="6"/>
    </row>
    <row r="135" spans="28:28" ht="15">
      <c r="AB135" s="6"/>
    </row>
    <row r="136" spans="28:28" ht="15">
      <c r="AB136" s="6"/>
    </row>
    <row r="137" spans="28:28" ht="15">
      <c r="AB137" s="6"/>
    </row>
    <row r="138" spans="28:28" ht="15">
      <c r="AB138" s="6"/>
    </row>
    <row r="139" spans="28:28" ht="15">
      <c r="AB139" s="6"/>
    </row>
    <row r="140" spans="28:28" ht="15">
      <c r="AB140" s="6"/>
    </row>
    <row r="141" spans="28:28" ht="15"/>
    <row r="142" spans="28:28" ht="15"/>
    <row r="143" spans="28:28" ht="15"/>
    <row r="144" spans="28:28" ht="15"/>
    <row r="145" ht="15"/>
    <row r="146" ht="15"/>
    <row r="147" ht="15"/>
    <row r="148" ht="15"/>
    <row r="149" ht="15"/>
    <row r="150" ht="15"/>
    <row r="151" ht="15"/>
    <row r="152" ht="15"/>
    <row r="153" ht="15"/>
  </sheetData>
  <protectedRanges>
    <protectedRange sqref="C27:C37 C15:C25 C51:C58 C39:C49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X51:X58 X3:X13 X15:X25 X27:X37 X39:X49 F3:F13 F15:F25 F27:F37 F39:F49 F51:F58 L3:L13 L15:L25 L27:L37 L39:L49 L51:L58 R3:R13 R15:R25 R27:R37 R39:R49 R51:R58" xr:uid="{77F72D89-8371-4D0C-A323-BD25723C617C}">
      <formula1>"2024,2025 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2026-04-07T01:08:04Z</dcterms:modified>
  <cp:category/>
  <cp:contentStatus/>
</cp:coreProperties>
</file>