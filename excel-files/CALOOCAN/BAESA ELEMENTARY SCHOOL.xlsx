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816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67" documentId="13_ncr:1_{BFB59F67-F0DC-4675-A682-EB0734A8026A}" xr6:coauthVersionLast="47" xr6:coauthVersionMax="47" xr10:uidLastSave="{98DDCE28-F3B1-4548-BA74-60B1D5419584}"/>
  <bookViews>
    <workbookView xWindow="-108" yWindow="-108" windowWidth="23256" windowHeight="12456" firstSheet="2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09" i="5" l="1"/>
  <c r="T109" i="5" s="1"/>
  <c r="P110" i="5"/>
  <c r="U110" i="5" s="1"/>
  <c r="P111" i="5"/>
  <c r="P112" i="5"/>
  <c r="P113" i="5"/>
  <c r="P97" i="5"/>
  <c r="T97" i="5" s="1"/>
  <c r="P98" i="5"/>
  <c r="P99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J157" i="4"/>
  <c r="J156" i="4"/>
  <c r="J155" i="4"/>
  <c r="J154" i="4"/>
  <c r="J153" i="4"/>
  <c r="J152" i="4"/>
  <c r="J151" i="4"/>
  <c r="J150" i="4"/>
  <c r="J149" i="4"/>
  <c r="J148" i="4"/>
  <c r="J147" i="4"/>
  <c r="J146" i="4"/>
  <c r="J145" i="4"/>
  <c r="J144" i="4"/>
  <c r="J143" i="4"/>
  <c r="J142" i="4"/>
  <c r="J141" i="4"/>
  <c r="J140" i="4"/>
  <c r="J139" i="4"/>
  <c r="J138" i="4"/>
  <c r="J137" i="4"/>
  <c r="J136" i="4"/>
  <c r="J135" i="4"/>
  <c r="J134" i="4"/>
  <c r="J133" i="4"/>
  <c r="J132" i="4"/>
  <c r="J131" i="4"/>
  <c r="J130" i="4"/>
  <c r="J129" i="4"/>
  <c r="J128" i="4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N36" i="5" l="1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0" i="5"/>
  <c r="O110" i="5"/>
  <c r="N111" i="5"/>
  <c r="O111" i="5"/>
  <c r="N113" i="5"/>
  <c r="O113" i="5"/>
  <c r="N37" i="5"/>
  <c r="O37" i="5"/>
  <c r="N40" i="5"/>
  <c r="O40" i="5"/>
  <c r="N49" i="5"/>
  <c r="O49" i="5"/>
  <c r="N52" i="5"/>
  <c r="O52" i="5"/>
  <c r="N61" i="5"/>
  <c r="O61" i="5"/>
  <c r="N64" i="5"/>
  <c r="O64" i="5"/>
  <c r="N73" i="5"/>
  <c r="O73" i="5"/>
  <c r="N76" i="5"/>
  <c r="O76" i="5"/>
  <c r="N85" i="5"/>
  <c r="O85" i="5"/>
  <c r="N97" i="5"/>
  <c r="O97" i="5"/>
  <c r="N100" i="5"/>
  <c r="O100" i="5"/>
  <c r="N88" i="5"/>
  <c r="O88" i="5"/>
  <c r="N109" i="5"/>
  <c r="O109" i="5"/>
  <c r="N112" i="5"/>
  <c r="O112" i="5"/>
  <c r="O3" i="4"/>
  <c r="N3" i="4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<sst xmlns="http://schemas.openxmlformats.org/spreadsheetml/2006/main" count="388" uniqueCount="90">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</sst>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D140" activePane="topRight" state="frozen"/>
      <selection pane="topRight" activeCell="E91" sqref="E91:E98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/>
      <c r="D2" s="1"/>
      <c r="E2" s="1"/>
      <c r="F2" s="5"/>
      <c r="G2" s="3">
        <f>IF((C2-D2)&lt;0,0,C2-D2)</f>
        <v>0</v>
      </c>
      <c r="H2" s="4">
        <f>IF((D2-C2)&lt;0,0,D2-C2)</f>
        <v>0</v>
      </c>
    </row>
    <row r="3" spans="1:8" ht="29.25" customHeight="1">
      <c r="A3" s="1">
        <v>1</v>
      </c>
      <c r="B3" s="2" t="s">
        <v>9</v>
      </c>
      <c r="C3" s="1"/>
      <c r="D3" s="1"/>
      <c r="E3" s="1"/>
      <c r="F3" s="5"/>
      <c r="G3" s="3">
        <f>IF((C3-D3)&lt;0,0,C3-D3)</f>
        <v>0</v>
      </c>
      <c r="H3" s="4">
        <f>IF((D3-C3)&lt;0,0,D3-C3)</f>
        <v>0</v>
      </c>
    </row>
    <row r="4" spans="1:8" ht="21" customHeight="1">
      <c r="A4" s="1">
        <v>1</v>
      </c>
      <c r="B4" s="2" t="s">
        <v>10</v>
      </c>
      <c r="C4" s="1"/>
      <c r="D4" s="1"/>
      <c r="E4" s="1"/>
      <c r="F4" s="5"/>
      <c r="G4" s="3">
        <f>IF((C4-D4)&lt;0,0,C4-D4)</f>
        <v>0</v>
      </c>
      <c r="H4" s="4">
        <f>IF((D4-C4)&lt;0,0,D4-C4)</f>
        <v>0</v>
      </c>
    </row>
    <row r="5" spans="1:8" ht="25.5" customHeight="1">
      <c r="A5" s="1">
        <v>1</v>
      </c>
      <c r="B5" s="2" t="s">
        <v>11</v>
      </c>
      <c r="C5" s="1"/>
      <c r="D5" s="1"/>
      <c r="E5" s="1"/>
      <c r="F5" s="5"/>
      <c r="G5" s="3">
        <f t="shared" ref="G5:G6" si="0">IF((C5-D5)&lt;0,0,C5-D5)</f>
        <v>0</v>
      </c>
      <c r="H5" s="4">
        <f t="shared" ref="H5:H6" si="1">IF((D5-C5)&lt;0,0,D5-C5)</f>
        <v>0</v>
      </c>
    </row>
    <row r="6" spans="1:8" ht="19.149999999999999">
      <c r="A6" s="1">
        <v>1</v>
      </c>
      <c r="B6" s="2" t="s">
        <v>12</v>
      </c>
      <c r="C6" s="1"/>
      <c r="D6" s="1"/>
      <c r="E6" s="1"/>
      <c r="F6" s="5"/>
      <c r="G6" s="3">
        <f t="shared" si="0"/>
        <v>0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/>
      <c r="D8" s="1"/>
      <c r="E8" s="1"/>
      <c r="F8" s="5"/>
      <c r="G8" s="3">
        <f>IF((C8-D8)&lt;0,0,C8-D8)</f>
        <v>0</v>
      </c>
      <c r="H8" s="4">
        <f>IF((D8-C8)&lt;0,0,D8-C8)</f>
        <v>0</v>
      </c>
    </row>
    <row r="9" spans="1:8" ht="29.25" customHeight="1">
      <c r="A9" s="1">
        <v>2</v>
      </c>
      <c r="B9" s="2" t="s">
        <v>9</v>
      </c>
      <c r="C9" s="1"/>
      <c r="D9" s="1"/>
      <c r="E9" s="1"/>
      <c r="F9" s="5"/>
      <c r="G9" s="3">
        <f>IF((C9-D9)&lt;0,0,C9-D9)</f>
        <v>0</v>
      </c>
      <c r="H9" s="4">
        <f>IF((D9-C9)&lt;0,0,D9-C9)</f>
        <v>0</v>
      </c>
    </row>
    <row r="10" spans="1:8" ht="28.5" customHeight="1">
      <c r="A10" s="1">
        <v>2</v>
      </c>
      <c r="B10" s="2" t="s">
        <v>10</v>
      </c>
      <c r="C10" s="1"/>
      <c r="D10" s="1"/>
      <c r="E10" s="1"/>
      <c r="F10" s="5"/>
      <c r="G10" s="3">
        <f>IF((C10-D10)&lt;0,0,C10-D10)</f>
        <v>0</v>
      </c>
      <c r="H10" s="4">
        <f>IF((D10-C10)&lt;0,0,D10-C10)</f>
        <v>0</v>
      </c>
    </row>
    <row r="11" spans="1:8" ht="24" customHeight="1">
      <c r="A11" s="1">
        <v>2</v>
      </c>
      <c r="B11" s="2" t="s">
        <v>11</v>
      </c>
      <c r="C11" s="1"/>
      <c r="D11" s="1"/>
      <c r="E11" s="1"/>
      <c r="F11" s="5"/>
      <c r="G11" s="3">
        <f>IF((C11-D11)&lt;0,0,C11-D11)</f>
        <v>0</v>
      </c>
      <c r="H11" s="4">
        <f>IF((D11-C11)&lt;0,0,D11-C11)</f>
        <v>0</v>
      </c>
    </row>
    <row r="12" spans="1:8" ht="19.149999999999999">
      <c r="A12" s="1">
        <v>2</v>
      </c>
      <c r="B12" s="2" t="s">
        <v>12</v>
      </c>
      <c r="C12" s="1"/>
      <c r="D12" s="1"/>
      <c r="E12" s="1"/>
      <c r="F12" s="5"/>
      <c r="G12" s="3">
        <f>IF((C12-D12)&lt;0,0,C12-D12)</f>
        <v>0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/>
      <c r="D14" s="1"/>
      <c r="E14" s="1"/>
      <c r="F14" s="5"/>
      <c r="G14" s="3">
        <f t="shared" ref="G14:G19" si="2">IF((C14-D14)&lt;0,0,C14-D14)</f>
        <v>0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9</v>
      </c>
      <c r="C15" s="1"/>
      <c r="D15" s="1"/>
      <c r="E15" s="1"/>
      <c r="F15" s="5"/>
      <c r="G15" s="3">
        <f t="shared" si="2"/>
        <v>0</v>
      </c>
      <c r="H15" s="4">
        <f t="shared" si="3"/>
        <v>0</v>
      </c>
    </row>
    <row r="16" spans="1:8" ht="27" customHeight="1">
      <c r="A16" s="1">
        <v>3</v>
      </c>
      <c r="B16" s="2" t="s">
        <v>10</v>
      </c>
      <c r="C16" s="1"/>
      <c r="D16" s="1"/>
      <c r="E16" s="1"/>
      <c r="F16" s="5"/>
      <c r="G16" s="3">
        <f t="shared" si="2"/>
        <v>0</v>
      </c>
      <c r="H16" s="4">
        <f t="shared" si="3"/>
        <v>0</v>
      </c>
    </row>
    <row r="17" spans="1:8" ht="23.25" customHeight="1">
      <c r="A17" s="1">
        <v>3</v>
      </c>
      <c r="B17" s="2" t="s">
        <v>13</v>
      </c>
      <c r="C17" s="1"/>
      <c r="D17" s="1"/>
      <c r="E17" s="1"/>
      <c r="F17" s="5"/>
      <c r="G17" s="3">
        <f t="shared" si="2"/>
        <v>0</v>
      </c>
      <c r="H17" s="4">
        <f t="shared" si="3"/>
        <v>0</v>
      </c>
    </row>
    <row r="18" spans="1:8" ht="21" customHeight="1">
      <c r="A18" s="1">
        <v>3</v>
      </c>
      <c r="B18" s="2" t="s">
        <v>11</v>
      </c>
      <c r="C18" s="1"/>
      <c r="D18" s="1"/>
      <c r="E18" s="1"/>
      <c r="F18" s="5"/>
      <c r="G18" s="3">
        <f t="shared" si="2"/>
        <v>0</v>
      </c>
      <c r="H18" s="4">
        <f t="shared" si="3"/>
        <v>0</v>
      </c>
    </row>
    <row r="19" spans="1:8" ht="19.149999999999999">
      <c r="A19" s="1">
        <v>3</v>
      </c>
      <c r="B19" s="2" t="s">
        <v>12</v>
      </c>
      <c r="C19" s="1"/>
      <c r="D19" s="1"/>
      <c r="E19" s="1"/>
      <c r="F19" s="5"/>
      <c r="G19" s="3">
        <f t="shared" si="2"/>
        <v>0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14</v>
      </c>
      <c r="C21" s="1"/>
      <c r="D21" s="1"/>
      <c r="E21" s="1"/>
      <c r="F21" s="5"/>
      <c r="G21" s="3">
        <f t="shared" ref="G21:G29" si="4">IF((C21-D21)&lt;0,0,C21-D21)</f>
        <v>0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15</v>
      </c>
      <c r="C22" s="1"/>
      <c r="D22" s="1"/>
      <c r="E22" s="1"/>
      <c r="F22" s="5"/>
      <c r="G22" s="3">
        <f t="shared" si="4"/>
        <v>0</v>
      </c>
      <c r="H22" s="4">
        <f t="shared" si="5"/>
        <v>0</v>
      </c>
    </row>
    <row r="23" spans="1:8" ht="19.149999999999999">
      <c r="A23" s="1">
        <v>4</v>
      </c>
      <c r="B23" s="9" t="s">
        <v>12</v>
      </c>
      <c r="C23" s="1"/>
      <c r="D23" s="1"/>
      <c r="E23" s="1"/>
      <c r="F23" s="5"/>
      <c r="G23" s="3">
        <f t="shared" si="4"/>
        <v>0</v>
      </c>
      <c r="H23" s="4">
        <f t="shared" si="5"/>
        <v>0</v>
      </c>
    </row>
    <row r="24" spans="1:8" ht="27" customHeight="1">
      <c r="A24" s="1">
        <v>4</v>
      </c>
      <c r="B24" s="9" t="s">
        <v>10</v>
      </c>
      <c r="C24" s="1"/>
      <c r="D24" s="1"/>
      <c r="E24" s="1"/>
      <c r="F24" s="5"/>
      <c r="G24" s="3">
        <f t="shared" si="4"/>
        <v>0</v>
      </c>
      <c r="H24" s="4">
        <f t="shared" si="5"/>
        <v>0</v>
      </c>
    </row>
    <row r="25" spans="1:8" ht="33.75" customHeight="1">
      <c r="A25" s="1">
        <v>4</v>
      </c>
      <c r="B25" s="9" t="s">
        <v>16</v>
      </c>
      <c r="C25" s="1"/>
      <c r="D25" s="1"/>
      <c r="E25" s="1"/>
      <c r="F25" s="5"/>
      <c r="G25" s="3">
        <f t="shared" si="4"/>
        <v>0</v>
      </c>
      <c r="H25" s="4">
        <f t="shared" si="5"/>
        <v>0</v>
      </c>
    </row>
    <row r="26" spans="1:8" ht="33.75" customHeight="1">
      <c r="A26" s="1">
        <v>4</v>
      </c>
      <c r="B26" s="9" t="s">
        <v>13</v>
      </c>
      <c r="C26" s="1"/>
      <c r="D26" s="1"/>
      <c r="E26" s="1"/>
      <c r="F26" s="5"/>
      <c r="G26" s="3">
        <f t="shared" si="4"/>
        <v>0</v>
      </c>
      <c r="H26" s="4">
        <f t="shared" si="5"/>
        <v>0</v>
      </c>
    </row>
    <row r="27" spans="1:8" ht="33.75" customHeight="1">
      <c r="A27" s="1">
        <v>4</v>
      </c>
      <c r="B27" s="9" t="s">
        <v>17</v>
      </c>
      <c r="C27" s="1"/>
      <c r="D27" s="1"/>
      <c r="E27" s="1"/>
      <c r="F27" s="5"/>
      <c r="G27" s="3">
        <f t="shared" si="4"/>
        <v>0</v>
      </c>
      <c r="H27" s="4">
        <f t="shared" si="5"/>
        <v>0</v>
      </c>
    </row>
    <row r="28" spans="1:8" ht="27.75" customHeight="1">
      <c r="A28" s="1">
        <v>4</v>
      </c>
      <c r="B28" s="9" t="s">
        <v>18</v>
      </c>
      <c r="C28" s="1"/>
      <c r="D28" s="1"/>
      <c r="E28" s="1"/>
      <c r="F28" s="5"/>
      <c r="G28" s="3">
        <f t="shared" si="4"/>
        <v>0</v>
      </c>
      <c r="H28" s="4">
        <f t="shared" si="5"/>
        <v>0</v>
      </c>
    </row>
    <row r="29" spans="1:8" ht="27.75" customHeight="1">
      <c r="A29" s="1">
        <v>4</v>
      </c>
      <c r="B29" s="9" t="s">
        <v>19</v>
      </c>
      <c r="C29" s="1"/>
      <c r="D29" s="1"/>
      <c r="E29" s="1"/>
      <c r="F29" s="5"/>
      <c r="G29" s="3">
        <f t="shared" si="4"/>
        <v>0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14</v>
      </c>
      <c r="C31" s="1"/>
      <c r="D31" s="1"/>
      <c r="E31" s="1"/>
      <c r="F31" s="5"/>
      <c r="G31" s="3">
        <f t="shared" ref="G31:G39" si="6">IF((C31-D31)&lt;0,0,C31-D31)</f>
        <v>0</v>
      </c>
      <c r="H31" s="4">
        <f t="shared" ref="H31:H39" si="7">IF((D31-C31)&lt;0,0,D31-C31)</f>
        <v>0</v>
      </c>
    </row>
    <row r="32" spans="1:8" ht="27.75" customHeight="1">
      <c r="A32" s="1">
        <v>5</v>
      </c>
      <c r="B32" s="9" t="s">
        <v>15</v>
      </c>
      <c r="C32" s="1"/>
      <c r="D32" s="1"/>
      <c r="E32" s="1"/>
      <c r="F32" s="5"/>
      <c r="G32" s="3">
        <f t="shared" si="6"/>
        <v>0</v>
      </c>
      <c r="H32" s="4">
        <f t="shared" si="7"/>
        <v>0</v>
      </c>
    </row>
    <row r="33" spans="1:8" ht="27.75" customHeight="1">
      <c r="A33" s="1">
        <v>5</v>
      </c>
      <c r="B33" s="9" t="s">
        <v>12</v>
      </c>
      <c r="C33" s="1"/>
      <c r="D33" s="1"/>
      <c r="E33" s="1"/>
      <c r="F33" s="5"/>
      <c r="G33" s="3">
        <f t="shared" si="6"/>
        <v>0</v>
      </c>
      <c r="H33" s="4">
        <f t="shared" si="7"/>
        <v>0</v>
      </c>
    </row>
    <row r="34" spans="1:8" ht="27.75" customHeight="1">
      <c r="A34" s="1">
        <v>5</v>
      </c>
      <c r="B34" s="9" t="s">
        <v>10</v>
      </c>
      <c r="C34" s="1"/>
      <c r="D34" s="1"/>
      <c r="E34" s="1"/>
      <c r="F34" s="5"/>
      <c r="G34" s="3">
        <f t="shared" si="6"/>
        <v>0</v>
      </c>
      <c r="H34" s="4">
        <f t="shared" si="7"/>
        <v>0</v>
      </c>
    </row>
    <row r="35" spans="1:8" ht="39" customHeight="1">
      <c r="A35" s="1">
        <v>5</v>
      </c>
      <c r="B35" s="9" t="s">
        <v>16</v>
      </c>
      <c r="C35" s="1"/>
      <c r="D35" s="1"/>
      <c r="E35" s="1"/>
      <c r="F35" s="5"/>
      <c r="G35" s="3">
        <f t="shared" si="6"/>
        <v>0</v>
      </c>
      <c r="H35" s="4">
        <f t="shared" si="7"/>
        <v>0</v>
      </c>
    </row>
    <row r="36" spans="1:8" ht="27.75" customHeight="1">
      <c r="A36" s="1">
        <v>5</v>
      </c>
      <c r="B36" s="9" t="s">
        <v>13</v>
      </c>
      <c r="C36" s="1"/>
      <c r="D36" s="1"/>
      <c r="E36" s="1"/>
      <c r="F36" s="5"/>
      <c r="G36" s="3">
        <f t="shared" si="6"/>
        <v>0</v>
      </c>
      <c r="H36" s="4">
        <f t="shared" si="7"/>
        <v>0</v>
      </c>
    </row>
    <row r="37" spans="1:8" ht="27.75" customHeight="1">
      <c r="A37" s="1">
        <v>5</v>
      </c>
      <c r="B37" s="9" t="s">
        <v>17</v>
      </c>
      <c r="C37" s="1"/>
      <c r="D37" s="1"/>
      <c r="E37" s="1"/>
      <c r="F37" s="5"/>
      <c r="G37" s="3">
        <f t="shared" si="6"/>
        <v>0</v>
      </c>
      <c r="H37" s="4">
        <f t="shared" si="7"/>
        <v>0</v>
      </c>
    </row>
    <row r="38" spans="1:8" ht="27.75" customHeight="1">
      <c r="A38" s="1">
        <v>5</v>
      </c>
      <c r="B38" s="9" t="s">
        <v>18</v>
      </c>
      <c r="C38" s="1"/>
      <c r="D38" s="1"/>
      <c r="E38" s="1"/>
      <c r="F38" s="5"/>
      <c r="G38" s="3">
        <f t="shared" si="6"/>
        <v>0</v>
      </c>
      <c r="H38" s="4">
        <f t="shared" si="7"/>
        <v>0</v>
      </c>
    </row>
    <row r="39" spans="1:8" ht="27.75" customHeight="1">
      <c r="A39" s="1">
        <v>5</v>
      </c>
      <c r="B39" s="9" t="s">
        <v>19</v>
      </c>
      <c r="C39" s="1"/>
      <c r="D39" s="1"/>
      <c r="E39" s="1"/>
      <c r="F39" s="5"/>
      <c r="G39" s="3">
        <f t="shared" si="6"/>
        <v>0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14</v>
      </c>
      <c r="C41" s="1"/>
      <c r="D41" s="1"/>
      <c r="E41" s="1"/>
      <c r="F41" s="5"/>
      <c r="G41" s="3">
        <f t="shared" ref="G41:G49" si="8">IF((C41-D41)&lt;0,0,C41-D41)</f>
        <v>0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15</v>
      </c>
      <c r="C42" s="1"/>
      <c r="D42" s="1"/>
      <c r="E42" s="1"/>
      <c r="F42" s="5"/>
      <c r="G42" s="3">
        <f t="shared" si="8"/>
        <v>0</v>
      </c>
      <c r="H42" s="4">
        <f t="shared" si="9"/>
        <v>0</v>
      </c>
    </row>
    <row r="43" spans="1:8" ht="27.75" customHeight="1">
      <c r="A43" s="1">
        <v>6</v>
      </c>
      <c r="B43" s="9" t="s">
        <v>12</v>
      </c>
      <c r="C43" s="1"/>
      <c r="D43" s="1"/>
      <c r="E43" s="1"/>
      <c r="F43" s="5"/>
      <c r="G43" s="3">
        <f t="shared" si="8"/>
        <v>0</v>
      </c>
      <c r="H43" s="4">
        <f t="shared" si="9"/>
        <v>0</v>
      </c>
    </row>
    <row r="44" spans="1:8" ht="27.75" customHeight="1">
      <c r="A44" s="1">
        <v>6</v>
      </c>
      <c r="B44" s="9" t="s">
        <v>10</v>
      </c>
      <c r="C44" s="1"/>
      <c r="D44" s="1"/>
      <c r="E44" s="1"/>
      <c r="F44" s="5"/>
      <c r="G44" s="3">
        <f t="shared" si="8"/>
        <v>0</v>
      </c>
      <c r="H44" s="4">
        <f t="shared" si="9"/>
        <v>0</v>
      </c>
    </row>
    <row r="45" spans="1:8" ht="36.75" customHeight="1">
      <c r="A45" s="1">
        <v>6</v>
      </c>
      <c r="B45" s="9" t="s">
        <v>16</v>
      </c>
      <c r="C45" s="1"/>
      <c r="D45" s="1"/>
      <c r="E45" s="1"/>
      <c r="F45" s="5"/>
      <c r="G45" s="3">
        <f t="shared" si="8"/>
        <v>0</v>
      </c>
      <c r="H45" s="4">
        <f t="shared" si="9"/>
        <v>0</v>
      </c>
    </row>
    <row r="46" spans="1:8" ht="27.75" customHeight="1">
      <c r="A46" s="1">
        <v>6</v>
      </c>
      <c r="B46" s="9" t="s">
        <v>13</v>
      </c>
      <c r="C46" s="1"/>
      <c r="D46" s="1"/>
      <c r="E46" s="1"/>
      <c r="F46" s="5"/>
      <c r="G46" s="3">
        <f t="shared" si="8"/>
        <v>0</v>
      </c>
      <c r="H46" s="4">
        <f t="shared" si="9"/>
        <v>0</v>
      </c>
    </row>
    <row r="47" spans="1:8" ht="27.75" customHeight="1">
      <c r="A47" s="1">
        <v>6</v>
      </c>
      <c r="B47" s="9" t="s">
        <v>17</v>
      </c>
      <c r="C47" s="1"/>
      <c r="D47" s="1"/>
      <c r="E47" s="1"/>
      <c r="F47" s="5"/>
      <c r="G47" s="3">
        <f t="shared" si="8"/>
        <v>0</v>
      </c>
      <c r="H47" s="4">
        <f t="shared" si="9"/>
        <v>0</v>
      </c>
    </row>
    <row r="48" spans="1:8" ht="27.75" customHeight="1">
      <c r="A48" s="1">
        <v>6</v>
      </c>
      <c r="B48" s="9" t="s">
        <v>18</v>
      </c>
      <c r="C48" s="1"/>
      <c r="D48" s="1"/>
      <c r="E48" s="1"/>
      <c r="F48" s="5"/>
      <c r="G48" s="3">
        <f t="shared" si="8"/>
        <v>0</v>
      </c>
      <c r="H48" s="4">
        <f t="shared" si="9"/>
        <v>0</v>
      </c>
    </row>
    <row r="49" spans="1:8" ht="27.75" customHeight="1">
      <c r="A49" s="1">
        <v>6</v>
      </c>
      <c r="B49" s="9" t="s">
        <v>19</v>
      </c>
      <c r="C49" s="1"/>
      <c r="D49" s="1"/>
      <c r="E49" s="1"/>
      <c r="F49" s="5"/>
      <c r="G49" s="3">
        <f t="shared" si="8"/>
        <v>0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14</v>
      </c>
      <c r="C51" s="10"/>
      <c r="D51" s="10"/>
      <c r="E51" s="10"/>
      <c r="F51" s="12"/>
      <c r="G51" s="3">
        <f t="shared" ref="G51:G59" si="10">IF((C51-D51)&lt;0,0,C51-D51)</f>
        <v>0</v>
      </c>
      <c r="H51" s="4">
        <f t="shared" ref="H51:H59" si="11">IF((D51-C51)&lt;0,0,D51-C51)</f>
        <v>0</v>
      </c>
    </row>
    <row r="52" spans="1:8" ht="27.75" customHeight="1">
      <c r="A52" s="10">
        <v>7</v>
      </c>
      <c r="B52" s="11" t="s">
        <v>15</v>
      </c>
      <c r="C52" s="10"/>
      <c r="D52" s="10"/>
      <c r="E52" s="10"/>
      <c r="F52" s="12"/>
      <c r="G52" s="3">
        <f t="shared" si="10"/>
        <v>0</v>
      </c>
      <c r="H52" s="4">
        <f t="shared" si="11"/>
        <v>0</v>
      </c>
    </row>
    <row r="53" spans="1:8" ht="27.75" customHeight="1">
      <c r="A53" s="10">
        <v>7</v>
      </c>
      <c r="B53" s="11" t="s">
        <v>12</v>
      </c>
      <c r="C53" s="10"/>
      <c r="D53" s="10"/>
      <c r="E53" s="10"/>
      <c r="F53" s="12"/>
      <c r="G53" s="3">
        <f t="shared" si="10"/>
        <v>0</v>
      </c>
      <c r="H53" s="4">
        <f t="shared" si="11"/>
        <v>0</v>
      </c>
    </row>
    <row r="54" spans="1:8" ht="27.75" customHeight="1">
      <c r="A54" s="10">
        <v>7</v>
      </c>
      <c r="B54" s="11" t="s">
        <v>20</v>
      </c>
      <c r="C54" s="10"/>
      <c r="D54" s="10"/>
      <c r="E54" s="10"/>
      <c r="F54" s="12"/>
      <c r="G54" s="3">
        <f t="shared" si="10"/>
        <v>0</v>
      </c>
      <c r="H54" s="4">
        <f t="shared" si="11"/>
        <v>0</v>
      </c>
    </row>
    <row r="55" spans="1:8" ht="39" customHeight="1">
      <c r="A55" s="10">
        <v>7</v>
      </c>
      <c r="B55" s="11" t="s">
        <v>16</v>
      </c>
      <c r="C55" s="10"/>
      <c r="D55" s="10"/>
      <c r="E55" s="10"/>
      <c r="F55" s="12"/>
      <c r="G55" s="3">
        <f t="shared" si="10"/>
        <v>0</v>
      </c>
      <c r="H55" s="4">
        <f t="shared" si="11"/>
        <v>0</v>
      </c>
    </row>
    <row r="56" spans="1:8" ht="27.75" customHeight="1">
      <c r="A56" s="10">
        <v>7</v>
      </c>
      <c r="B56" s="11" t="s">
        <v>13</v>
      </c>
      <c r="C56" s="10"/>
      <c r="D56" s="10"/>
      <c r="E56" s="10"/>
      <c r="F56" s="12"/>
      <c r="G56" s="3">
        <f t="shared" si="10"/>
        <v>0</v>
      </c>
      <c r="H56" s="4">
        <f t="shared" si="11"/>
        <v>0</v>
      </c>
    </row>
    <row r="57" spans="1:8" ht="27.75" customHeight="1">
      <c r="A57" s="10">
        <v>7</v>
      </c>
      <c r="B57" s="11" t="s">
        <v>17</v>
      </c>
      <c r="C57" s="10"/>
      <c r="D57" s="10"/>
      <c r="E57" s="10"/>
      <c r="F57" s="12"/>
      <c r="G57" s="3">
        <f t="shared" si="10"/>
        <v>0</v>
      </c>
      <c r="H57" s="4">
        <f t="shared" si="11"/>
        <v>0</v>
      </c>
    </row>
    <row r="58" spans="1:8" ht="27.75" customHeight="1">
      <c r="A58" s="10">
        <v>7</v>
      </c>
      <c r="B58" s="11" t="s">
        <v>21</v>
      </c>
      <c r="C58" s="10"/>
      <c r="D58" s="10"/>
      <c r="E58" s="10"/>
      <c r="F58" s="12"/>
      <c r="G58" s="3">
        <f t="shared" si="10"/>
        <v>0</v>
      </c>
      <c r="H58" s="4">
        <f t="shared" si="11"/>
        <v>0</v>
      </c>
    </row>
    <row r="59" spans="1:8" ht="27.75" customHeight="1">
      <c r="A59" s="10">
        <v>7</v>
      </c>
      <c r="B59" s="11" t="s">
        <v>19</v>
      </c>
      <c r="C59" s="10"/>
      <c r="D59" s="10"/>
      <c r="E59" s="10"/>
      <c r="F59" s="12"/>
      <c r="G59" s="3">
        <f t="shared" si="10"/>
        <v>0</v>
      </c>
      <c r="H59" s="4">
        <f t="shared" si="11"/>
        <v>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14</v>
      </c>
      <c r="C61" s="10"/>
      <c r="D61" s="10"/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15</v>
      </c>
      <c r="C62" s="10"/>
      <c r="D62" s="10"/>
      <c r="E62" s="10"/>
      <c r="F62" s="12"/>
      <c r="G62" s="3">
        <f t="shared" si="12"/>
        <v>0</v>
      </c>
      <c r="H62" s="4">
        <f t="shared" si="13"/>
        <v>0</v>
      </c>
    </row>
    <row r="63" spans="1:8" ht="27.75" customHeight="1">
      <c r="A63" s="10">
        <v>8</v>
      </c>
      <c r="B63" s="11" t="s">
        <v>12</v>
      </c>
      <c r="C63" s="10"/>
      <c r="D63" s="10"/>
      <c r="E63" s="10"/>
      <c r="F63" s="12"/>
      <c r="G63" s="3">
        <f t="shared" si="12"/>
        <v>0</v>
      </c>
      <c r="H63" s="4">
        <f t="shared" si="13"/>
        <v>0</v>
      </c>
    </row>
    <row r="64" spans="1:8" ht="27.75" customHeight="1">
      <c r="A64" s="10">
        <v>8</v>
      </c>
      <c r="B64" s="11" t="s">
        <v>20</v>
      </c>
      <c r="C64" s="10"/>
      <c r="D64" s="10"/>
      <c r="E64" s="10"/>
      <c r="F64" s="12"/>
      <c r="G64" s="3">
        <f t="shared" si="12"/>
        <v>0</v>
      </c>
      <c r="H64" s="4">
        <f t="shared" si="13"/>
        <v>0</v>
      </c>
    </row>
    <row r="65" spans="1:8" ht="27.75" customHeight="1">
      <c r="A65" s="10">
        <v>8</v>
      </c>
      <c r="B65" s="11" t="s">
        <v>22</v>
      </c>
      <c r="C65" s="10"/>
      <c r="D65" s="10"/>
      <c r="E65" s="10"/>
      <c r="F65" s="12"/>
      <c r="G65" s="3">
        <f t="shared" si="12"/>
        <v>0</v>
      </c>
      <c r="H65" s="4">
        <f t="shared" si="13"/>
        <v>0</v>
      </c>
    </row>
    <row r="66" spans="1:8" ht="27.75" customHeight="1">
      <c r="A66" s="10">
        <v>8</v>
      </c>
      <c r="B66" s="11" t="s">
        <v>13</v>
      </c>
      <c r="C66" s="10"/>
      <c r="D66" s="10"/>
      <c r="E66" s="10"/>
      <c r="F66" s="12"/>
      <c r="G66" s="3">
        <f t="shared" si="12"/>
        <v>0</v>
      </c>
      <c r="H66" s="4">
        <f t="shared" si="13"/>
        <v>0</v>
      </c>
    </row>
    <row r="67" spans="1:8" ht="27.75" customHeight="1">
      <c r="A67" s="10">
        <v>8</v>
      </c>
      <c r="B67" s="11" t="s">
        <v>17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</row>
    <row r="68" spans="1:8" ht="27.75" customHeight="1">
      <c r="A68" s="10">
        <v>8</v>
      </c>
      <c r="B68" s="11" t="s">
        <v>21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>
      <c r="A69" s="10">
        <v>8</v>
      </c>
      <c r="B69" s="11" t="s">
        <v>19</v>
      </c>
      <c r="C69" s="10"/>
      <c r="D69" s="10"/>
      <c r="E69" s="10"/>
      <c r="F69" s="12"/>
      <c r="G69" s="3">
        <f t="shared" si="12"/>
        <v>0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14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15</v>
      </c>
      <c r="C72" s="10"/>
      <c r="D72" s="10"/>
      <c r="E72" s="10"/>
      <c r="F72" s="12"/>
      <c r="G72" s="3">
        <f t="shared" si="14"/>
        <v>0</v>
      </c>
      <c r="H72" s="4">
        <f t="shared" si="15"/>
        <v>0</v>
      </c>
    </row>
    <row r="73" spans="1:8" ht="27.75" customHeight="1">
      <c r="A73" s="10">
        <v>9</v>
      </c>
      <c r="B73" s="11" t="s">
        <v>12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>
      <c r="A74" s="10">
        <v>9</v>
      </c>
      <c r="B74" s="11" t="s">
        <v>20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>
      <c r="A75" s="10">
        <v>9</v>
      </c>
      <c r="B75" s="11" t="s">
        <v>22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>
      <c r="A76" s="10">
        <v>9</v>
      </c>
      <c r="B76" s="11" t="s">
        <v>13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>
      <c r="A77" s="10">
        <v>9</v>
      </c>
      <c r="B77" s="11" t="s">
        <v>17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>
      <c r="A78" s="10">
        <v>9</v>
      </c>
      <c r="B78" s="11" t="s">
        <v>21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>
      <c r="A79" s="10">
        <v>9</v>
      </c>
      <c r="B79" s="11" t="s">
        <v>19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14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15</v>
      </c>
      <c r="C82" s="10"/>
      <c r="D82" s="10"/>
      <c r="E82" s="10"/>
      <c r="F82" s="12"/>
      <c r="G82" s="3">
        <f t="shared" si="16"/>
        <v>0</v>
      </c>
      <c r="H82" s="4">
        <f t="shared" si="17"/>
        <v>0</v>
      </c>
    </row>
    <row r="83" spans="1:8" ht="27.75" customHeight="1">
      <c r="A83" s="10">
        <v>10</v>
      </c>
      <c r="B83" s="11" t="s">
        <v>12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>
      <c r="A84" s="10">
        <v>10</v>
      </c>
      <c r="B84" s="11" t="s">
        <v>20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>
      <c r="A85" s="10">
        <v>10</v>
      </c>
      <c r="B85" s="11" t="s">
        <v>22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>
      <c r="A86" s="10">
        <v>10</v>
      </c>
      <c r="B86" s="11" t="s">
        <v>13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>
      <c r="A87" s="10">
        <v>10</v>
      </c>
      <c r="B87" s="11" t="s">
        <v>17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>
      <c r="A88" s="10">
        <v>10</v>
      </c>
      <c r="B88" s="11" t="s">
        <v>21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>
      <c r="A89" s="10">
        <v>10</v>
      </c>
      <c r="B89" s="11" t="s">
        <v>19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23</v>
      </c>
      <c r="B91" s="9" t="s">
        <v>24</v>
      </c>
      <c r="C91" s="1"/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customHeight="1">
      <c r="A92" s="1" t="s">
        <v>23</v>
      </c>
      <c r="B92" s="9" t="s">
        <v>25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23</v>
      </c>
      <c r="B93" s="9" t="s">
        <v>26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>
      <c r="A94" s="1" t="s">
        <v>23</v>
      </c>
      <c r="B94" s="9" t="s">
        <v>27</v>
      </c>
      <c r="C94" s="1"/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8" ht="40.5" customHeight="1">
      <c r="A95" s="1" t="s">
        <v>23</v>
      </c>
      <c r="B95" s="9" t="s">
        <v>28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>
      <c r="A96" s="1" t="s">
        <v>23</v>
      </c>
      <c r="B96" s="9" t="s">
        <v>29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27.75" customHeight="1">
      <c r="A97" s="1" t="s">
        <v>23</v>
      </c>
      <c r="B97" s="9" t="s">
        <v>30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47.25" customHeight="1">
      <c r="A98" s="1" t="s">
        <v>23</v>
      </c>
      <c r="B98" s="9" t="s">
        <v>31</v>
      </c>
      <c r="C98" s="1"/>
      <c r="D98" s="1"/>
      <c r="E98" s="1"/>
      <c r="F98" s="5"/>
      <c r="G98" s="3">
        <f t="shared" si="18"/>
        <v>0</v>
      </c>
      <c r="H98" s="4">
        <f t="shared" si="19"/>
        <v>0</v>
      </c>
    </row>
  </sheetData>
  <protectedRanges>
    <protectedRange sqref="C1:E98" name="Textbooks"/>
    <protectedRange sqref="F1:F98" name="SOURCE"/>
  </protectedRanges>
  <phoneticPr fontId="8" type="noConversion"/>
  <dataValidations count="3">
    <dataValidation type="list" allowBlank="1" showInputMessage="1" showErrorMessage="1" sqref="E91:E98" xr:uid="{B46E7B13-721E-4D49-837E-C02BF9777D48}">
      <formula1>"2024,2025 ,2026"</formula1>
    </dataValidation>
    <dataValidation type="list" allowBlank="1" showInputMessage="1" showErrorMessage="1" sqref="F14:F19 F21:F29 F31:F39 F41:F49 F51:F59 F61:F69 F71:F79 F81:F89 F2:F6 F8:F12 F91:F98" xr:uid="{2F7388E0-D1A1-4571-8C10-96CB9A727EB3}">
      <formula1>"CO,RO,SDO"</formula1>
    </dataValidation>
    <dataValidation type="list" allowBlank="1" showInputMessage="1" showErrorMessage="1" sqref="E2:E6 E8:E12 E14:E19 E21:E29 E31:E39 E41:E49 E51:E59 E61:E69 E71:E79 E81:E89" xr:uid="{7BABDC8C-34C3-499F-9809-337A3961C5C2}">
      <formula1>"2024,2025 ,2026"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57"/>
  <sheetViews>
    <sheetView topLeftCell="A105" zoomScale="70" zoomScaleNormal="70" workbookViewId="0">
      <selection activeCell="F112" sqref="F112:F127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0" t="s">
        <v>32</v>
      </c>
      <c r="E1" s="40"/>
      <c r="F1" s="40"/>
      <c r="G1" s="40"/>
      <c r="H1" s="40"/>
      <c r="I1" s="40"/>
      <c r="J1" s="41" t="s">
        <v>33</v>
      </c>
      <c r="K1" s="41"/>
      <c r="L1" s="41"/>
      <c r="M1" s="41"/>
      <c r="N1" s="41"/>
      <c r="O1" s="41"/>
      <c r="P1" s="42" t="s">
        <v>34</v>
      </c>
      <c r="Q1" s="42"/>
      <c r="R1" s="42"/>
      <c r="S1" s="42"/>
      <c r="T1" s="42"/>
      <c r="U1" s="42"/>
      <c r="V1" s="43" t="s">
        <v>35</v>
      </c>
      <c r="W1" s="43"/>
      <c r="X1" s="43"/>
      <c r="Y1" s="43"/>
      <c r="Z1" s="43"/>
      <c r="AA1" s="43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36</v>
      </c>
      <c r="E2" s="20" t="s">
        <v>37</v>
      </c>
      <c r="F2" s="21" t="s">
        <v>38</v>
      </c>
      <c r="G2" s="24" t="s">
        <v>39</v>
      </c>
      <c r="H2" s="17" t="s">
        <v>40</v>
      </c>
      <c r="I2" s="24" t="s">
        <v>41</v>
      </c>
      <c r="J2" s="22" t="s">
        <v>42</v>
      </c>
      <c r="K2" s="22" t="s">
        <v>43</v>
      </c>
      <c r="L2" s="23" t="s">
        <v>44</v>
      </c>
      <c r="M2" s="44" t="s">
        <v>45</v>
      </c>
      <c r="N2" s="44" t="s">
        <v>46</v>
      </c>
      <c r="O2" s="22" t="s">
        <v>47</v>
      </c>
      <c r="P2" s="24" t="s">
        <v>48</v>
      </c>
      <c r="Q2" s="24" t="s">
        <v>49</v>
      </c>
      <c r="R2" s="25" t="s">
        <v>50</v>
      </c>
      <c r="S2" s="17" t="s">
        <v>51</v>
      </c>
      <c r="T2" s="17" t="s">
        <v>52</v>
      </c>
      <c r="U2" s="24" t="s">
        <v>53</v>
      </c>
      <c r="V2" s="26" t="s">
        <v>54</v>
      </c>
      <c r="W2" s="26" t="s">
        <v>55</v>
      </c>
      <c r="X2" s="27" t="s">
        <v>56</v>
      </c>
      <c r="Y2" s="45" t="s">
        <v>57</v>
      </c>
      <c r="Z2" s="45" t="s">
        <v>58</v>
      </c>
      <c r="AA2" s="26" t="s">
        <v>59</v>
      </c>
    </row>
    <row r="3" spans="1:27" ht="30.6" customHeight="1">
      <c r="A3" s="39" t="s">
        <v>60</v>
      </c>
      <c r="B3" s="33"/>
      <c r="C3" s="32"/>
      <c r="D3" s="34">
        <f>Table1[[#This Row],[Enrolment S.Y. 2025-2026 ]]*8</f>
        <v>0</v>
      </c>
      <c r="E3" s="34"/>
      <c r="F3" s="32"/>
      <c r="G3" s="34"/>
      <c r="H3" s="34">
        <f>IF((D3-E3)&lt;0,0,(D3-E3))</f>
        <v>0</v>
      </c>
      <c r="I3" s="34">
        <f>IF((E3-D3)&lt;0,0,(E3-D3))</f>
        <v>0</v>
      </c>
      <c r="J3" s="34">
        <f>Table1[[#This Row],[Enrolment S.Y. 2025-2026 ]]*8</f>
        <v>0</v>
      </c>
      <c r="K3" s="34"/>
      <c r="L3" s="32"/>
      <c r="M3" s="34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34"/>
      <c r="R3" s="32"/>
      <c r="S3" s="34"/>
      <c r="T3" s="34">
        <f>IF((P3-Q3)&lt;0,0,(P3-Q3))</f>
        <v>0</v>
      </c>
      <c r="U3" s="34">
        <f>IF((Q3-P3)&lt;0,0,(Q3-P3))</f>
        <v>0</v>
      </c>
      <c r="V3" s="34">
        <f>Table1[[#This Row],[Enrolment S.Y. 2025-2026 ]]*8</f>
        <v>0</v>
      </c>
      <c r="W3" s="34"/>
      <c r="X3" s="32"/>
      <c r="Y3" s="34"/>
      <c r="Z3" s="34">
        <f>IF((V3-W3)&lt;0,0,(V3-W3))</f>
        <v>0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19.149999999999999">
      <c r="A5" s="1">
        <v>1</v>
      </c>
      <c r="B5" s="2" t="s">
        <v>8</v>
      </c>
      <c r="C5" s="1"/>
      <c r="D5" s="5">
        <f>Table1[[#This Row],[Enrolment S.Y. 2025-2026 ]]*8</f>
        <v>0</v>
      </c>
      <c r="E5" s="5"/>
      <c r="F5" s="1"/>
      <c r="G5" s="5"/>
      <c r="H5" s="5">
        <f t="shared" ref="H5:H77" si="2">IF((D5-E5)&lt;0,0,(D5-E5))</f>
        <v>0</v>
      </c>
      <c r="I5" s="5">
        <f t="shared" ref="I5:I77" si="3">IF((E5-D5)&lt;0,0,(E5-D5))</f>
        <v>0</v>
      </c>
      <c r="J5" s="5">
        <f>Table1[[#This Row],[Enrolment S.Y. 2025-2026 ]]*8</f>
        <v>0</v>
      </c>
      <c r="K5" s="5"/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19.149999999999999">
      <c r="A6" s="1">
        <v>1</v>
      </c>
      <c r="B6" s="2" t="s">
        <v>9</v>
      </c>
      <c r="C6" s="1"/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/>
      <c r="M6" s="5"/>
      <c r="N6" s="5">
        <f t="shared" ref="N6:N69" si="10">IF((J6-K6)&lt;0,0,(J6-K6))</f>
        <v>0</v>
      </c>
      <c r="O6" s="5">
        <f t="shared" ref="O6:O69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9" si="12">IF((P6-Q6)&lt;0,0,(P6-Q6))</f>
        <v>0</v>
      </c>
      <c r="U6" s="5">
        <f t="shared" ref="U6:U69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9" si="14">IF((V6-W6)&lt;0,0,(V6-W6))</f>
        <v>0</v>
      </c>
      <c r="AA6" s="5">
        <f t="shared" ref="AA6:AA69" si="15">IF((W6-V6)&lt;0,0,(W6-V6))</f>
        <v>0</v>
      </c>
    </row>
    <row r="7" spans="1:27" ht="19.149999999999999">
      <c r="A7" s="1">
        <v>1</v>
      </c>
      <c r="B7" s="2" t="s">
        <v>10</v>
      </c>
      <c r="C7" s="1"/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19.149999999999999">
      <c r="A8" s="1">
        <v>1</v>
      </c>
      <c r="B8" s="2" t="s">
        <v>11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19.149999999999999">
      <c r="A9" s="1">
        <v>1</v>
      </c>
      <c r="B9" s="2" t="s">
        <v>12</v>
      </c>
      <c r="C9" s="1"/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19.149999999999999">
      <c r="A10" s="1">
        <v>1</v>
      </c>
      <c r="B10" s="9" t="s">
        <v>14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19.149999999999999">
      <c r="A11" s="1">
        <v>1</v>
      </c>
      <c r="B11" s="9" t="s">
        <v>15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19.149999999999999">
      <c r="A12" s="1">
        <v>1</v>
      </c>
      <c r="B12" s="9" t="s">
        <v>61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19.149999999999999">
      <c r="A14" s="1">
        <v>2</v>
      </c>
      <c r="B14" s="2" t="s">
        <v>8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19.149999999999999">
      <c r="A15" s="1">
        <v>2</v>
      </c>
      <c r="B15" s="2" t="s">
        <v>9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19.149999999999999">
      <c r="A16" s="1">
        <v>2</v>
      </c>
      <c r="B16" s="2" t="s">
        <v>10</v>
      </c>
      <c r="C16" s="1"/>
      <c r="D16" s="5">
        <f>Table1[[#This Row],[Enrolment S.Y. 2025-2026 ]]*8</f>
        <v>0</v>
      </c>
      <c r="E16" s="5"/>
      <c r="F16" s="1"/>
      <c r="G16" s="5"/>
      <c r="H16" s="5">
        <f t="shared" si="2"/>
        <v>0</v>
      </c>
      <c r="I16" s="5">
        <f t="shared" si="3"/>
        <v>0</v>
      </c>
      <c r="J16" s="5">
        <f>Table1[[#This Row],[Enrolment S.Y. 2025-2026 ]]*8</f>
        <v>0</v>
      </c>
      <c r="K16" s="5"/>
      <c r="L16" s="1"/>
      <c r="M16" s="5"/>
      <c r="N16" s="5">
        <f t="shared" si="10"/>
        <v>0</v>
      </c>
      <c r="O16" s="5">
        <f t="shared" si="11"/>
        <v>0</v>
      </c>
      <c r="P16" s="5">
        <f>Table1[[#This Row],[Enrolment S.Y. 2025-2026 ]]*8</f>
        <v>0</v>
      </c>
      <c r="Q16" s="5"/>
      <c r="R16" s="1"/>
      <c r="S16" s="5"/>
      <c r="T16" s="5">
        <f t="shared" si="12"/>
        <v>0</v>
      </c>
      <c r="U16" s="5">
        <f t="shared" si="13"/>
        <v>0</v>
      </c>
      <c r="V16" s="5">
        <f>Table1[[#This Row],[Enrolment S.Y. 2025-2026 ]]*8</f>
        <v>0</v>
      </c>
      <c r="W16" s="5"/>
      <c r="X16" s="1"/>
      <c r="Y16" s="5"/>
      <c r="Z16" s="5">
        <f t="shared" si="14"/>
        <v>0</v>
      </c>
      <c r="AA16" s="5">
        <f t="shared" si="15"/>
        <v>0</v>
      </c>
    </row>
    <row r="17" spans="1:27" ht="19.149999999999999">
      <c r="A17" s="1">
        <v>2</v>
      </c>
      <c r="B17" s="2" t="s">
        <v>11</v>
      </c>
      <c r="C17" s="1"/>
      <c r="D17" s="5">
        <f>Table1[[#This Row],[Enrolment S.Y. 2025-2026 ]]*8</f>
        <v>0</v>
      </c>
      <c r="E17" s="5"/>
      <c r="F17" s="1"/>
      <c r="G17" s="5"/>
      <c r="H17" s="5">
        <f t="shared" si="2"/>
        <v>0</v>
      </c>
      <c r="I17" s="5">
        <f t="shared" si="3"/>
        <v>0</v>
      </c>
      <c r="J17" s="5">
        <f>Table1[[#This Row],[Enrolment S.Y. 2025-2026 ]]*8</f>
        <v>0</v>
      </c>
      <c r="K17" s="5"/>
      <c r="L17" s="1"/>
      <c r="M17" s="5"/>
      <c r="N17" s="5">
        <f t="shared" si="10"/>
        <v>0</v>
      </c>
      <c r="O17" s="5">
        <f t="shared" si="11"/>
        <v>0</v>
      </c>
      <c r="P17" s="5">
        <f>Table1[[#This Row],[Enrolment S.Y. 2025-2026 ]]*8</f>
        <v>0</v>
      </c>
      <c r="Q17" s="5"/>
      <c r="R17" s="1"/>
      <c r="S17" s="5"/>
      <c r="T17" s="5">
        <f t="shared" si="12"/>
        <v>0</v>
      </c>
      <c r="U17" s="5">
        <f t="shared" si="13"/>
        <v>0</v>
      </c>
      <c r="V17" s="5">
        <f>Table1[[#This Row],[Enrolment S.Y. 2025-2026 ]]*8</f>
        <v>0</v>
      </c>
      <c r="W17" s="5"/>
      <c r="X17" s="1"/>
      <c r="Y17" s="5"/>
      <c r="Z17" s="5">
        <f t="shared" si="14"/>
        <v>0</v>
      </c>
      <c r="AA17" s="5">
        <f t="shared" si="15"/>
        <v>0</v>
      </c>
    </row>
    <row r="18" spans="1:27" ht="19.149999999999999">
      <c r="A18" s="1">
        <v>2</v>
      </c>
      <c r="B18" s="2" t="s">
        <v>12</v>
      </c>
      <c r="C18" s="1"/>
      <c r="D18" s="5">
        <f>Table1[[#This Row],[Enrolment S.Y. 2025-2026 ]]*8</f>
        <v>0</v>
      </c>
      <c r="E18" s="5"/>
      <c r="F18" s="1"/>
      <c r="G18" s="5"/>
      <c r="H18" s="5">
        <f t="shared" si="2"/>
        <v>0</v>
      </c>
      <c r="I18" s="5">
        <f t="shared" si="3"/>
        <v>0</v>
      </c>
      <c r="J18" s="5">
        <f>Table1[[#This Row],[Enrolment S.Y. 2025-2026 ]]*8</f>
        <v>0</v>
      </c>
      <c r="K18" s="5"/>
      <c r="L18" s="1"/>
      <c r="M18" s="5"/>
      <c r="N18" s="5">
        <f t="shared" si="10"/>
        <v>0</v>
      </c>
      <c r="O18" s="5">
        <f t="shared" si="11"/>
        <v>0</v>
      </c>
      <c r="P18" s="5">
        <f>Table1[[#This Row],[Enrolment S.Y. 2025-2026 ]]*8</f>
        <v>0</v>
      </c>
      <c r="Q18" s="5"/>
      <c r="R18" s="1"/>
      <c r="S18" s="5"/>
      <c r="T18" s="5">
        <f t="shared" si="12"/>
        <v>0</v>
      </c>
      <c r="U18" s="5">
        <f t="shared" si="13"/>
        <v>0</v>
      </c>
      <c r="V18" s="5">
        <f>Table1[[#This Row],[Enrolment S.Y. 2025-2026 ]]*8</f>
        <v>0</v>
      </c>
      <c r="W18" s="5"/>
      <c r="X18" s="1"/>
      <c r="Y18" s="5"/>
      <c r="Z18" s="5">
        <f t="shared" si="14"/>
        <v>0</v>
      </c>
      <c r="AA18" s="5">
        <f t="shared" si="15"/>
        <v>0</v>
      </c>
    </row>
    <row r="19" spans="1:27" ht="19.149999999999999">
      <c r="A19" s="1">
        <v>2</v>
      </c>
      <c r="B19" s="9" t="s">
        <v>15</v>
      </c>
      <c r="C19" s="1"/>
      <c r="D19" s="5">
        <f>Table1[[#This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Table1[[#This Row],[Enrolment S.Y. 2025-2026 ]]*8</f>
        <v>0</v>
      </c>
      <c r="K19" s="5"/>
      <c r="L19" s="1"/>
      <c r="M19" s="5"/>
      <c r="N19" s="5">
        <f t="shared" si="10"/>
        <v>0</v>
      </c>
      <c r="O19" s="5">
        <f t="shared" si="11"/>
        <v>0</v>
      </c>
      <c r="P19" s="5">
        <f>Table1[[#This Row],[Enrolment S.Y. 2025-2026 ]]*8</f>
        <v>0</v>
      </c>
      <c r="Q19" s="5"/>
      <c r="R19" s="1"/>
      <c r="S19" s="5"/>
      <c r="T19" s="5">
        <f t="shared" si="12"/>
        <v>0</v>
      </c>
      <c r="U19" s="5">
        <f t="shared" si="13"/>
        <v>0</v>
      </c>
      <c r="V19" s="5">
        <f>Table1[[#This Row],[Enrolment S.Y. 2025-2026 ]]*8</f>
        <v>0</v>
      </c>
      <c r="W19" s="5"/>
      <c r="X19" s="1"/>
      <c r="Y19" s="5"/>
      <c r="Z19" s="5">
        <f t="shared" si="14"/>
        <v>0</v>
      </c>
      <c r="AA19" s="5">
        <f t="shared" si="15"/>
        <v>0</v>
      </c>
    </row>
    <row r="20" spans="1:27" ht="19.149999999999999">
      <c r="A20" s="1">
        <v>2</v>
      </c>
      <c r="B20" s="9" t="s">
        <v>14</v>
      </c>
      <c r="C20" s="1"/>
      <c r="D20" s="5">
        <f>Table1[[#This Row],[Enrolment S.Y. 2025-2026 ]]*8</f>
        <v>0</v>
      </c>
      <c r="E20" s="5"/>
      <c r="F20" s="1"/>
      <c r="G20" s="5"/>
      <c r="H20" s="5">
        <f>IF((D20-E20)&lt;0,0,(D20-E20))</f>
        <v>0</v>
      </c>
      <c r="I20" s="5">
        <f>IF((E20-D20)&lt;0,0,(E20-D20))</f>
        <v>0</v>
      </c>
      <c r="J20" s="5">
        <f>Table1[[#This Row],[Enrolment S.Y. 2025-2026 ]]*8</f>
        <v>0</v>
      </c>
      <c r="K20" s="5"/>
      <c r="L20" s="1"/>
      <c r="M20" s="5"/>
      <c r="N20" s="5">
        <f t="shared" si="10"/>
        <v>0</v>
      </c>
      <c r="O20" s="5">
        <f t="shared" si="11"/>
        <v>0</v>
      </c>
      <c r="P20" s="5">
        <f>Table1[[#This Row],[Enrolment S.Y. 2025-2026 ]]*8</f>
        <v>0</v>
      </c>
      <c r="Q20" s="5"/>
      <c r="R20" s="1"/>
      <c r="S20" s="5"/>
      <c r="T20" s="5">
        <f t="shared" si="12"/>
        <v>0</v>
      </c>
      <c r="U20" s="5">
        <f t="shared" si="13"/>
        <v>0</v>
      </c>
      <c r="V20" s="5">
        <f>Table1[[#This Row],[Enrolment S.Y. 2025-2026 ]]*8</f>
        <v>0</v>
      </c>
      <c r="W20" s="5"/>
      <c r="X20" s="1"/>
      <c r="Y20" s="5"/>
      <c r="Z20" s="5">
        <f t="shared" si="14"/>
        <v>0</v>
      </c>
      <c r="AA20" s="5">
        <f t="shared" si="15"/>
        <v>0</v>
      </c>
    </row>
    <row r="21" spans="1:27" ht="19.149999999999999">
      <c r="A21" s="1">
        <v>2</v>
      </c>
      <c r="B21" s="9" t="s">
        <v>61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19.149999999999999">
      <c r="A23" s="1">
        <v>3</v>
      </c>
      <c r="B23" s="2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19.149999999999999">
      <c r="A24" s="1">
        <v>3</v>
      </c>
      <c r="B24" s="2" t="s">
        <v>9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19.149999999999999">
      <c r="A25" s="1">
        <v>3</v>
      </c>
      <c r="B25" s="2" t="s">
        <v>10</v>
      </c>
      <c r="C25" s="1"/>
      <c r="D25" s="5">
        <f>Table1[[#This Row],[Enrolment S.Y. 2025-2026 ]]*8</f>
        <v>0</v>
      </c>
      <c r="E25" s="5"/>
      <c r="F25" s="1"/>
      <c r="G25" s="5"/>
      <c r="H25" s="5">
        <f t="shared" si="2"/>
        <v>0</v>
      </c>
      <c r="I25" s="5">
        <f t="shared" si="3"/>
        <v>0</v>
      </c>
      <c r="J25" s="5">
        <f>Table1[[#This Row],[Enrolment S.Y. 2025-2026 ]]*8</f>
        <v>0</v>
      </c>
      <c r="K25" s="5"/>
      <c r="L25" s="1"/>
      <c r="M25" s="5"/>
      <c r="N25" s="5">
        <f t="shared" si="10"/>
        <v>0</v>
      </c>
      <c r="O25" s="5">
        <f t="shared" si="11"/>
        <v>0</v>
      </c>
      <c r="P25" s="5">
        <f>Table1[[#This Row],[Enrolment S.Y. 2025-2026 ]]*8</f>
        <v>0</v>
      </c>
      <c r="Q25" s="5"/>
      <c r="R25" s="1"/>
      <c r="S25" s="5"/>
      <c r="T25" s="5">
        <f t="shared" si="12"/>
        <v>0</v>
      </c>
      <c r="U25" s="5">
        <f t="shared" si="13"/>
        <v>0</v>
      </c>
      <c r="V25" s="5">
        <f>Table1[[#This Row],[Enrolment S.Y. 2025-2026 ]]*8</f>
        <v>0</v>
      </c>
      <c r="W25" s="5"/>
      <c r="X25" s="1"/>
      <c r="Y25" s="5"/>
      <c r="Z25" s="5">
        <f t="shared" si="14"/>
        <v>0</v>
      </c>
      <c r="AA25" s="5">
        <f t="shared" si="15"/>
        <v>0</v>
      </c>
    </row>
    <row r="26" spans="1:27" ht="19.149999999999999">
      <c r="A26" s="1">
        <v>3</v>
      </c>
      <c r="B26" s="2" t="s">
        <v>13</v>
      </c>
      <c r="C26" s="1"/>
      <c r="D26" s="5">
        <f>Table1[[#This Row],[Enrolment S.Y. 2025-2026 ]]*8</f>
        <v>0</v>
      </c>
      <c r="E26" s="5"/>
      <c r="F26" s="1"/>
      <c r="G26" s="5"/>
      <c r="H26" s="5">
        <f t="shared" si="2"/>
        <v>0</v>
      </c>
      <c r="I26" s="5">
        <f t="shared" si="3"/>
        <v>0</v>
      </c>
      <c r="J26" s="5">
        <f>Table1[[#This Row],[Enrolment S.Y. 2025-2026 ]]*8</f>
        <v>0</v>
      </c>
      <c r="K26" s="5"/>
      <c r="L26" s="1"/>
      <c r="M26" s="5"/>
      <c r="N26" s="5">
        <f t="shared" si="10"/>
        <v>0</v>
      </c>
      <c r="O26" s="5">
        <f t="shared" si="11"/>
        <v>0</v>
      </c>
      <c r="P26" s="5">
        <f>Table1[[#This Row],[Enrolment S.Y. 2025-2026 ]]*8</f>
        <v>0</v>
      </c>
      <c r="Q26" s="5"/>
      <c r="R26" s="1"/>
      <c r="S26" s="5"/>
      <c r="T26" s="5">
        <f t="shared" si="12"/>
        <v>0</v>
      </c>
      <c r="U26" s="5">
        <f t="shared" si="13"/>
        <v>0</v>
      </c>
      <c r="V26" s="5">
        <f>Table1[[#This Row],[Enrolment S.Y. 2025-2026 ]]*8</f>
        <v>0</v>
      </c>
      <c r="W26" s="5"/>
      <c r="X26" s="1"/>
      <c r="Y26" s="5"/>
      <c r="Z26" s="5">
        <f t="shared" si="14"/>
        <v>0</v>
      </c>
      <c r="AA26" s="5">
        <f t="shared" si="15"/>
        <v>0</v>
      </c>
    </row>
    <row r="27" spans="1:27" ht="19.149999999999999">
      <c r="A27" s="1">
        <v>3</v>
      </c>
      <c r="B27" s="2" t="s">
        <v>11</v>
      </c>
      <c r="C27" s="1"/>
      <c r="D27" s="5">
        <f>Table1[[#This Row],[Enrolment S.Y. 2025-2026 ]]*8</f>
        <v>0</v>
      </c>
      <c r="E27" s="5"/>
      <c r="F27" s="1"/>
      <c r="G27" s="5"/>
      <c r="H27" s="5">
        <f t="shared" si="2"/>
        <v>0</v>
      </c>
      <c r="I27" s="5">
        <f t="shared" si="3"/>
        <v>0</v>
      </c>
      <c r="J27" s="5">
        <f>Table1[[#This Row],[Enrolment S.Y. 2025-2026 ]]*8</f>
        <v>0</v>
      </c>
      <c r="K27" s="5"/>
      <c r="L27" s="1"/>
      <c r="M27" s="5"/>
      <c r="N27" s="5">
        <f t="shared" si="10"/>
        <v>0</v>
      </c>
      <c r="O27" s="5">
        <f t="shared" si="11"/>
        <v>0</v>
      </c>
      <c r="P27" s="5">
        <f>Table1[[#This Row],[Enrolment S.Y. 2025-2026 ]]*8</f>
        <v>0</v>
      </c>
      <c r="Q27" s="5"/>
      <c r="R27" s="1"/>
      <c r="S27" s="5"/>
      <c r="T27" s="5">
        <f t="shared" si="12"/>
        <v>0</v>
      </c>
      <c r="U27" s="5">
        <f t="shared" si="13"/>
        <v>0</v>
      </c>
      <c r="V27" s="5">
        <f>Table1[[#This Row],[Enrolment S.Y. 2025-2026 ]]*8</f>
        <v>0</v>
      </c>
      <c r="W27" s="5"/>
      <c r="X27" s="1"/>
      <c r="Y27" s="5"/>
      <c r="Z27" s="5">
        <f t="shared" si="14"/>
        <v>0</v>
      </c>
      <c r="AA27" s="5">
        <f t="shared" si="15"/>
        <v>0</v>
      </c>
    </row>
    <row r="28" spans="1:27" ht="19.149999999999999">
      <c r="A28" s="1">
        <v>3</v>
      </c>
      <c r="B28" s="2" t="s">
        <v>12</v>
      </c>
      <c r="C28" s="1"/>
      <c r="D28" s="5">
        <f>Table1[[#This Row],[Enrolment S.Y. 2025-2026 ]]*8</f>
        <v>0</v>
      </c>
      <c r="E28" s="5"/>
      <c r="F28" s="1"/>
      <c r="G28" s="5"/>
      <c r="H28" s="5">
        <f t="shared" si="2"/>
        <v>0</v>
      </c>
      <c r="I28" s="5">
        <f t="shared" si="3"/>
        <v>0</v>
      </c>
      <c r="J28" s="5">
        <f>Table1[[#This Row],[Enrolment S.Y. 2025-2026 ]]*8</f>
        <v>0</v>
      </c>
      <c r="K28" s="5"/>
      <c r="L28" s="1"/>
      <c r="M28" s="5"/>
      <c r="N28" s="5">
        <f t="shared" si="10"/>
        <v>0</v>
      </c>
      <c r="O28" s="5">
        <f t="shared" si="11"/>
        <v>0</v>
      </c>
      <c r="P28" s="5">
        <f>Table1[[#This Row],[Enrolment S.Y. 2025-2026 ]]*8</f>
        <v>0</v>
      </c>
      <c r="Q28" s="5"/>
      <c r="R28" s="1"/>
      <c r="S28" s="5"/>
      <c r="T28" s="5">
        <f t="shared" si="12"/>
        <v>0</v>
      </c>
      <c r="U28" s="5">
        <f t="shared" si="13"/>
        <v>0</v>
      </c>
      <c r="V28" s="5">
        <f>Table1[[#This Row],[Enrolment S.Y. 2025-2026 ]]*8</f>
        <v>0</v>
      </c>
      <c r="W28" s="5"/>
      <c r="X28" s="1"/>
      <c r="Y28" s="5"/>
      <c r="Z28" s="5">
        <f t="shared" si="14"/>
        <v>0</v>
      </c>
      <c r="AA28" s="5">
        <f t="shared" si="15"/>
        <v>0</v>
      </c>
    </row>
    <row r="29" spans="1:27" ht="19.149999999999999">
      <c r="A29" s="1">
        <v>3</v>
      </c>
      <c r="B29" s="9" t="s">
        <v>14</v>
      </c>
      <c r="C29" s="1"/>
      <c r="D29" s="5">
        <f>Table1[[#This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Table1[[#This Row],[Enrolment S.Y. 2025-2026 ]]*8</f>
        <v>0</v>
      </c>
      <c r="K29" s="5"/>
      <c r="L29" s="1"/>
      <c r="M29" s="5"/>
      <c r="N29" s="5">
        <f t="shared" si="10"/>
        <v>0</v>
      </c>
      <c r="O29" s="5">
        <f t="shared" si="11"/>
        <v>0</v>
      </c>
      <c r="P29" s="5">
        <f>Table1[[#This Row],[Enrolment S.Y. 2025-2026 ]]*8</f>
        <v>0</v>
      </c>
      <c r="Q29" s="5"/>
      <c r="R29" s="1"/>
      <c r="S29" s="5"/>
      <c r="T29" s="5">
        <f t="shared" si="12"/>
        <v>0</v>
      </c>
      <c r="U29" s="5">
        <f t="shared" si="13"/>
        <v>0</v>
      </c>
      <c r="V29" s="5">
        <f>Table1[[#This Row],[Enrolment S.Y. 2025-2026 ]]*8</f>
        <v>0</v>
      </c>
      <c r="W29" s="5"/>
      <c r="X29" s="1"/>
      <c r="Y29" s="5"/>
      <c r="Z29" s="5">
        <f t="shared" si="14"/>
        <v>0</v>
      </c>
      <c r="AA29" s="5">
        <f t="shared" si="15"/>
        <v>0</v>
      </c>
    </row>
    <row r="30" spans="1:27" ht="19.149999999999999">
      <c r="A30" s="1">
        <v>3</v>
      </c>
      <c r="B30" s="9" t="s">
        <v>15</v>
      </c>
      <c r="C30" s="1"/>
      <c r="D30" s="5">
        <f>Table1[[#This Row],[Enrolment S.Y. 2025-2026 ]]*8</f>
        <v>0</v>
      </c>
      <c r="E30" s="5"/>
      <c r="F30" s="1"/>
      <c r="G30" s="5"/>
      <c r="H30" s="5">
        <f>IF((D30-E30)&lt;0,0,(D30-E30))</f>
        <v>0</v>
      </c>
      <c r="I30" s="5">
        <f>IF((E30-D30)&lt;0,0,(E30-D30))</f>
        <v>0</v>
      </c>
      <c r="J30" s="5">
        <f>Table1[[#This Row],[Enrolment S.Y. 2025-2026 ]]*8</f>
        <v>0</v>
      </c>
      <c r="K30" s="5"/>
      <c r="L30" s="1"/>
      <c r="M30" s="5"/>
      <c r="N30" s="5">
        <f t="shared" si="10"/>
        <v>0</v>
      </c>
      <c r="O30" s="5">
        <f t="shared" si="11"/>
        <v>0</v>
      </c>
      <c r="P30" s="5">
        <f>Table1[[#This Row],[Enrolment S.Y. 2025-2026 ]]*8</f>
        <v>0</v>
      </c>
      <c r="Q30" s="5"/>
      <c r="R30" s="1"/>
      <c r="S30" s="5"/>
      <c r="T30" s="5">
        <f t="shared" si="12"/>
        <v>0</v>
      </c>
      <c r="U30" s="5">
        <f t="shared" si="13"/>
        <v>0</v>
      </c>
      <c r="V30" s="5">
        <f>Table1[[#This Row],[Enrolment S.Y. 2025-2026 ]]*8</f>
        <v>0</v>
      </c>
      <c r="W30" s="5"/>
      <c r="X30" s="1"/>
      <c r="Y30" s="5"/>
      <c r="Z30" s="5">
        <f t="shared" si="14"/>
        <v>0</v>
      </c>
      <c r="AA30" s="5">
        <f t="shared" si="15"/>
        <v>0</v>
      </c>
    </row>
    <row r="31" spans="1:27" ht="19.149999999999999">
      <c r="A31" s="1">
        <v>3</v>
      </c>
      <c r="B31" s="9" t="s">
        <v>61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149999999999999">
      <c r="A33" s="1">
        <v>4</v>
      </c>
      <c r="B33" s="9" t="s">
        <v>14</v>
      </c>
      <c r="C33" s="1"/>
      <c r="D33" s="5">
        <f>Table1[[#This Row],[Enrolment S.Y. 2025-2026 ]]*8</f>
        <v>0</v>
      </c>
      <c r="E33" s="5"/>
      <c r="F33" s="1"/>
      <c r="G33" s="5"/>
      <c r="H33" s="5">
        <f t="shared" si="2"/>
        <v>0</v>
      </c>
      <c r="I33" s="5">
        <f t="shared" si="3"/>
        <v>0</v>
      </c>
      <c r="J33" s="5">
        <f>Table1[[#This Row],[Enrolment S.Y. 2025-2026 ]]*8</f>
        <v>0</v>
      </c>
      <c r="K33" s="5"/>
      <c r="L33" s="1"/>
      <c r="M33" s="5"/>
      <c r="N33" s="5">
        <f t="shared" si="10"/>
        <v>0</v>
      </c>
      <c r="O33" s="5">
        <f t="shared" si="11"/>
        <v>0</v>
      </c>
      <c r="P33" s="5">
        <f>Table1[[#This Row],[Enrolment S.Y. 2025-2026 ]]*8</f>
        <v>0</v>
      </c>
      <c r="Q33" s="5"/>
      <c r="R33" s="1"/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19.149999999999999">
      <c r="A34" s="1">
        <v>4</v>
      </c>
      <c r="B34" s="9" t="s">
        <v>15</v>
      </c>
      <c r="C34" s="1"/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/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19.149999999999999">
      <c r="A35" s="1">
        <v>4</v>
      </c>
      <c r="B35" s="9" t="s">
        <v>12</v>
      </c>
      <c r="C35" s="1"/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/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19.149999999999999">
      <c r="A36" s="1">
        <v>4</v>
      </c>
      <c r="B36" s="9" t="s">
        <v>10</v>
      </c>
      <c r="C36" s="1"/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/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19.149999999999999">
      <c r="A37" s="1">
        <v>4</v>
      </c>
      <c r="B37" s="9" t="s">
        <v>16</v>
      </c>
      <c r="C37" s="1"/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/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19.149999999999999">
      <c r="A38" s="1">
        <v>4</v>
      </c>
      <c r="B38" s="9" t="s">
        <v>13</v>
      </c>
      <c r="C38" s="1"/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/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19.149999999999999">
      <c r="A39" s="1">
        <v>4</v>
      </c>
      <c r="B39" s="9" t="s">
        <v>17</v>
      </c>
      <c r="C39" s="1"/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/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19.149999999999999">
      <c r="A40" s="1">
        <v>4</v>
      </c>
      <c r="B40" s="9" t="s">
        <v>18</v>
      </c>
      <c r="C40" s="1"/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/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19.149999999999999">
      <c r="A41" s="1">
        <v>4</v>
      </c>
      <c r="B41" s="9" t="s">
        <v>19</v>
      </c>
      <c r="C41" s="1"/>
      <c r="D41" s="5">
        <f>Table1[[#This Row],[Enrolment S.Y. 2025-2026 ]]*8</f>
        <v>0</v>
      </c>
      <c r="E41" s="5"/>
      <c r="F41" s="1"/>
      <c r="G41" s="5"/>
      <c r="H41" s="5">
        <f t="shared" si="2"/>
        <v>0</v>
      </c>
      <c r="I41" s="5">
        <f t="shared" si="3"/>
        <v>0</v>
      </c>
      <c r="J41" s="5">
        <f>Table1[[#This Row],[Enrolment S.Y. 2025-2026 ]]*8</f>
        <v>0</v>
      </c>
      <c r="K41" s="5"/>
      <c r="L41" s="1"/>
      <c r="M41" s="5"/>
      <c r="N41" s="5">
        <f t="shared" si="10"/>
        <v>0</v>
      </c>
      <c r="O41" s="5">
        <f t="shared" si="11"/>
        <v>0</v>
      </c>
      <c r="P41" s="5">
        <f>Table1[[#This Row],[Enrolment S.Y. 2025-2026 ]]*8</f>
        <v>0</v>
      </c>
      <c r="Q41" s="5"/>
      <c r="R41" s="1"/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0</v>
      </c>
      <c r="W41" s="5"/>
      <c r="X41" s="1"/>
      <c r="Y41" s="5"/>
      <c r="Z41" s="5">
        <f t="shared" si="14"/>
        <v>0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149999999999999">
      <c r="A43" s="1">
        <v>5</v>
      </c>
      <c r="B43" s="9" t="s">
        <v>14</v>
      </c>
      <c r="C43" s="1"/>
      <c r="D43" s="5">
        <f>Table1[[#This Row],[Enrolment S.Y. 2025-2026 ]]*8</f>
        <v>0</v>
      </c>
      <c r="E43" s="5"/>
      <c r="F43" s="1"/>
      <c r="G43" s="5"/>
      <c r="H43" s="5">
        <f t="shared" si="2"/>
        <v>0</v>
      </c>
      <c r="I43" s="5">
        <f t="shared" si="3"/>
        <v>0</v>
      </c>
      <c r="J43" s="5">
        <f>Table1[[#This Row],[Enrolment S.Y. 2025-2026 ]]*8</f>
        <v>0</v>
      </c>
      <c r="K43" s="5"/>
      <c r="L43" s="1"/>
      <c r="M43" s="5"/>
      <c r="N43" s="5">
        <f t="shared" si="10"/>
        <v>0</v>
      </c>
      <c r="O43" s="5">
        <f t="shared" si="11"/>
        <v>0</v>
      </c>
      <c r="P43" s="5">
        <f>Table1[[#This Row],[Enrolment S.Y. 2025-2026 ]]*8</f>
        <v>0</v>
      </c>
      <c r="Q43" s="5"/>
      <c r="R43" s="1"/>
      <c r="S43" s="5"/>
      <c r="T43" s="5">
        <f t="shared" si="12"/>
        <v>0</v>
      </c>
      <c r="U43" s="5">
        <f t="shared" si="13"/>
        <v>0</v>
      </c>
      <c r="V43" s="5">
        <f>Table1[[#This Row],[Enrolment S.Y. 2025-2026 ]]*8</f>
        <v>0</v>
      </c>
      <c r="W43" s="5"/>
      <c r="X43" s="1"/>
      <c r="Y43" s="5"/>
      <c r="Z43" s="5">
        <f t="shared" si="14"/>
        <v>0</v>
      </c>
      <c r="AA43" s="5">
        <f t="shared" si="15"/>
        <v>0</v>
      </c>
    </row>
    <row r="44" spans="1:27" ht="19.149999999999999">
      <c r="A44" s="1">
        <v>5</v>
      </c>
      <c r="B44" s="9" t="s">
        <v>15</v>
      </c>
      <c r="C44" s="1"/>
      <c r="D44" s="5">
        <f>Table1[[#This Row],[Enrolment S.Y. 2025-2026 ]]*8</f>
        <v>0</v>
      </c>
      <c r="E44" s="5"/>
      <c r="F44" s="1"/>
      <c r="G44" s="5"/>
      <c r="H44" s="5">
        <f t="shared" si="2"/>
        <v>0</v>
      </c>
      <c r="I44" s="5">
        <f t="shared" si="3"/>
        <v>0</v>
      </c>
      <c r="J44" s="5">
        <f>Table1[[#This Row],[Enrolment S.Y. 2025-2026 ]]*8</f>
        <v>0</v>
      </c>
      <c r="K44" s="5"/>
      <c r="L44" s="1"/>
      <c r="M44" s="5"/>
      <c r="N44" s="5">
        <f t="shared" si="10"/>
        <v>0</v>
      </c>
      <c r="O44" s="5">
        <f t="shared" si="11"/>
        <v>0</v>
      </c>
      <c r="P44" s="5">
        <f>Table1[[#This Row],[Enrolment S.Y. 2025-2026 ]]*8</f>
        <v>0</v>
      </c>
      <c r="Q44" s="5"/>
      <c r="R44" s="1"/>
      <c r="S44" s="5"/>
      <c r="T44" s="5">
        <f t="shared" si="12"/>
        <v>0</v>
      </c>
      <c r="U44" s="5">
        <f t="shared" si="13"/>
        <v>0</v>
      </c>
      <c r="V44" s="5">
        <f>Table1[[#This Row],[Enrolment S.Y. 2025-2026 ]]*8</f>
        <v>0</v>
      </c>
      <c r="W44" s="5"/>
      <c r="X44" s="1"/>
      <c r="Y44" s="5"/>
      <c r="Z44" s="5">
        <f t="shared" si="14"/>
        <v>0</v>
      </c>
      <c r="AA44" s="5">
        <f t="shared" si="15"/>
        <v>0</v>
      </c>
    </row>
    <row r="45" spans="1:27" ht="19.149999999999999">
      <c r="A45" s="1">
        <v>5</v>
      </c>
      <c r="B45" s="9" t="s">
        <v>12</v>
      </c>
      <c r="C45" s="1"/>
      <c r="D45" s="5">
        <f>Table1[[#This Row],[Enrolment S.Y. 2025-2026 ]]*8</f>
        <v>0</v>
      </c>
      <c r="E45" s="5"/>
      <c r="F45" s="1"/>
      <c r="G45" s="5"/>
      <c r="H45" s="5">
        <f t="shared" si="2"/>
        <v>0</v>
      </c>
      <c r="I45" s="5">
        <f t="shared" si="3"/>
        <v>0</v>
      </c>
      <c r="J45" s="5">
        <f>Table1[[#This Row],[Enrolment S.Y. 2025-2026 ]]*8</f>
        <v>0</v>
      </c>
      <c r="K45" s="5"/>
      <c r="L45" s="1"/>
      <c r="M45" s="5"/>
      <c r="N45" s="5">
        <f t="shared" si="10"/>
        <v>0</v>
      </c>
      <c r="O45" s="5">
        <f t="shared" si="11"/>
        <v>0</v>
      </c>
      <c r="P45" s="5">
        <f>Table1[[#This Row],[Enrolment S.Y. 2025-2026 ]]*8</f>
        <v>0</v>
      </c>
      <c r="Q45" s="5"/>
      <c r="R45" s="1"/>
      <c r="S45" s="5"/>
      <c r="T45" s="5">
        <f t="shared" si="12"/>
        <v>0</v>
      </c>
      <c r="U45" s="5">
        <f t="shared" si="13"/>
        <v>0</v>
      </c>
      <c r="V45" s="5">
        <f>Table1[[#This Row],[Enrolment S.Y. 2025-2026 ]]*8</f>
        <v>0</v>
      </c>
      <c r="W45" s="5"/>
      <c r="X45" s="1"/>
      <c r="Y45" s="5"/>
      <c r="Z45" s="5">
        <f t="shared" si="14"/>
        <v>0</v>
      </c>
      <c r="AA45" s="5">
        <f t="shared" si="15"/>
        <v>0</v>
      </c>
    </row>
    <row r="46" spans="1:27" ht="19.149999999999999">
      <c r="A46" s="1">
        <v>5</v>
      </c>
      <c r="B46" s="9" t="s">
        <v>10</v>
      </c>
      <c r="C46" s="1"/>
      <c r="D46" s="5">
        <f>Table1[[#This Row],[Enrolment S.Y. 2025-2026 ]]*8</f>
        <v>0</v>
      </c>
      <c r="E46" s="5"/>
      <c r="F46" s="1"/>
      <c r="G46" s="5"/>
      <c r="H46" s="5">
        <f t="shared" si="2"/>
        <v>0</v>
      </c>
      <c r="I46" s="5">
        <f t="shared" si="3"/>
        <v>0</v>
      </c>
      <c r="J46" s="5">
        <f>Table1[[#This Row],[Enrolment S.Y. 2025-2026 ]]*8</f>
        <v>0</v>
      </c>
      <c r="K46" s="5"/>
      <c r="L46" s="1"/>
      <c r="M46" s="5"/>
      <c r="N46" s="5">
        <f t="shared" si="10"/>
        <v>0</v>
      </c>
      <c r="O46" s="5">
        <f t="shared" si="11"/>
        <v>0</v>
      </c>
      <c r="P46" s="5">
        <f>Table1[[#This Row],[Enrolment S.Y. 2025-2026 ]]*8</f>
        <v>0</v>
      </c>
      <c r="Q46" s="5"/>
      <c r="R46" s="1"/>
      <c r="S46" s="5"/>
      <c r="T46" s="5">
        <f t="shared" si="12"/>
        <v>0</v>
      </c>
      <c r="U46" s="5">
        <f t="shared" si="13"/>
        <v>0</v>
      </c>
      <c r="V46" s="5">
        <f>Table1[[#This Row],[Enrolment S.Y. 2025-2026 ]]*8</f>
        <v>0</v>
      </c>
      <c r="W46" s="5"/>
      <c r="X46" s="1"/>
      <c r="Y46" s="5"/>
      <c r="Z46" s="5">
        <f t="shared" si="14"/>
        <v>0</v>
      </c>
      <c r="AA46" s="5">
        <f t="shared" si="15"/>
        <v>0</v>
      </c>
    </row>
    <row r="47" spans="1:27" ht="19.149999999999999">
      <c r="A47" s="1">
        <v>5</v>
      </c>
      <c r="B47" s="9" t="s">
        <v>16</v>
      </c>
      <c r="C47" s="1"/>
      <c r="D47" s="5">
        <f>Table1[[#This Row],[Enrolment S.Y. 2025-2026 ]]*8</f>
        <v>0</v>
      </c>
      <c r="E47" s="5"/>
      <c r="F47" s="1"/>
      <c r="G47" s="5"/>
      <c r="H47" s="5">
        <f t="shared" si="2"/>
        <v>0</v>
      </c>
      <c r="I47" s="5">
        <f t="shared" si="3"/>
        <v>0</v>
      </c>
      <c r="J47" s="5">
        <f>Table1[[#This Row],[Enrolment S.Y. 2025-2026 ]]*8</f>
        <v>0</v>
      </c>
      <c r="K47" s="5"/>
      <c r="L47" s="1"/>
      <c r="M47" s="5"/>
      <c r="N47" s="5">
        <f t="shared" si="10"/>
        <v>0</v>
      </c>
      <c r="O47" s="5">
        <f t="shared" si="11"/>
        <v>0</v>
      </c>
      <c r="P47" s="5">
        <f>Table1[[#This Row],[Enrolment S.Y. 2025-2026 ]]*8</f>
        <v>0</v>
      </c>
      <c r="Q47" s="5"/>
      <c r="R47" s="1"/>
      <c r="S47" s="5"/>
      <c r="T47" s="5">
        <f t="shared" si="12"/>
        <v>0</v>
      </c>
      <c r="U47" s="5">
        <f t="shared" si="13"/>
        <v>0</v>
      </c>
      <c r="V47" s="5">
        <f>Table1[[#This Row],[Enrolment S.Y. 2025-2026 ]]*8</f>
        <v>0</v>
      </c>
      <c r="W47" s="5"/>
      <c r="X47" s="1"/>
      <c r="Y47" s="5"/>
      <c r="Z47" s="5">
        <f t="shared" si="14"/>
        <v>0</v>
      </c>
      <c r="AA47" s="5">
        <f t="shared" si="15"/>
        <v>0</v>
      </c>
    </row>
    <row r="48" spans="1:27" ht="19.149999999999999">
      <c r="A48" s="1">
        <v>5</v>
      </c>
      <c r="B48" s="9" t="s">
        <v>13</v>
      </c>
      <c r="C48" s="1"/>
      <c r="D48" s="5">
        <f>Table1[[#This Row],[Enrolment S.Y. 2025-2026 ]]*8</f>
        <v>0</v>
      </c>
      <c r="E48" s="5"/>
      <c r="F48" s="1"/>
      <c r="G48" s="5"/>
      <c r="H48" s="5">
        <f t="shared" si="2"/>
        <v>0</v>
      </c>
      <c r="I48" s="5">
        <f t="shared" si="3"/>
        <v>0</v>
      </c>
      <c r="J48" s="5">
        <f>Table1[[#This Row],[Enrolment S.Y. 2025-2026 ]]*8</f>
        <v>0</v>
      </c>
      <c r="K48" s="5"/>
      <c r="L48" s="1"/>
      <c r="M48" s="5"/>
      <c r="N48" s="5">
        <f t="shared" si="10"/>
        <v>0</v>
      </c>
      <c r="O48" s="5">
        <f t="shared" si="11"/>
        <v>0</v>
      </c>
      <c r="P48" s="5">
        <f>Table1[[#This Row],[Enrolment S.Y. 2025-2026 ]]*8</f>
        <v>0</v>
      </c>
      <c r="Q48" s="5"/>
      <c r="R48" s="1"/>
      <c r="S48" s="5"/>
      <c r="T48" s="5">
        <f t="shared" si="12"/>
        <v>0</v>
      </c>
      <c r="U48" s="5">
        <f t="shared" si="13"/>
        <v>0</v>
      </c>
      <c r="V48" s="5">
        <f>Table1[[#This Row],[Enrolment S.Y. 2025-2026 ]]*8</f>
        <v>0</v>
      </c>
      <c r="W48" s="5"/>
      <c r="X48" s="1"/>
      <c r="Y48" s="5"/>
      <c r="Z48" s="5">
        <f t="shared" si="14"/>
        <v>0</v>
      </c>
      <c r="AA48" s="5">
        <f t="shared" si="15"/>
        <v>0</v>
      </c>
    </row>
    <row r="49" spans="1:27" ht="19.149999999999999">
      <c r="A49" s="1">
        <v>5</v>
      </c>
      <c r="B49" s="9" t="s">
        <v>17</v>
      </c>
      <c r="C49" s="1"/>
      <c r="D49" s="5">
        <f>Table1[[#This Row],[Enrolment S.Y. 2025-2026 ]]*8</f>
        <v>0</v>
      </c>
      <c r="E49" s="5"/>
      <c r="F49" s="1"/>
      <c r="G49" s="5"/>
      <c r="H49" s="5">
        <f t="shared" si="2"/>
        <v>0</v>
      </c>
      <c r="I49" s="5">
        <f t="shared" si="3"/>
        <v>0</v>
      </c>
      <c r="J49" s="5">
        <f>Table1[[#This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Table1[[#This Row],[Enrolment S.Y. 2025-2026 ]]*8</f>
        <v>0</v>
      </c>
      <c r="Q49" s="5"/>
      <c r="R49" s="1"/>
      <c r="S49" s="5"/>
      <c r="T49" s="5">
        <f t="shared" si="12"/>
        <v>0</v>
      </c>
      <c r="U49" s="5">
        <f t="shared" si="13"/>
        <v>0</v>
      </c>
      <c r="V49" s="5">
        <f>Table1[[#This Row],[Enrolment S.Y. 2025-2026 ]]*8</f>
        <v>0</v>
      </c>
      <c r="W49" s="5"/>
      <c r="X49" s="1"/>
      <c r="Y49" s="5"/>
      <c r="Z49" s="5">
        <f t="shared" si="14"/>
        <v>0</v>
      </c>
      <c r="AA49" s="5">
        <f t="shared" si="15"/>
        <v>0</v>
      </c>
    </row>
    <row r="50" spans="1:27" ht="19.149999999999999">
      <c r="A50" s="1">
        <v>5</v>
      </c>
      <c r="B50" s="9" t="s">
        <v>18</v>
      </c>
      <c r="C50" s="1"/>
      <c r="D50" s="5">
        <f>Table1[[#This Row],[Enrolment S.Y. 2025-2026 ]]*8</f>
        <v>0</v>
      </c>
      <c r="E50" s="5"/>
      <c r="F50" s="1"/>
      <c r="G50" s="5"/>
      <c r="H50" s="5">
        <f t="shared" si="2"/>
        <v>0</v>
      </c>
      <c r="I50" s="5">
        <f t="shared" si="3"/>
        <v>0</v>
      </c>
      <c r="J50" s="5">
        <f>Table1[[#This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Table1[[#This Row],[Enrolment S.Y. 2025-2026 ]]*8</f>
        <v>0</v>
      </c>
      <c r="Q50" s="5"/>
      <c r="R50" s="1"/>
      <c r="S50" s="5"/>
      <c r="T50" s="5">
        <f t="shared" si="12"/>
        <v>0</v>
      </c>
      <c r="U50" s="5">
        <f t="shared" si="13"/>
        <v>0</v>
      </c>
      <c r="V50" s="5">
        <f>Table1[[#This Row],[Enrolment S.Y. 2025-2026 ]]*8</f>
        <v>0</v>
      </c>
      <c r="W50" s="5"/>
      <c r="X50" s="1"/>
      <c r="Y50" s="5"/>
      <c r="Z50" s="5">
        <f t="shared" si="14"/>
        <v>0</v>
      </c>
      <c r="AA50" s="5">
        <f t="shared" si="15"/>
        <v>0</v>
      </c>
    </row>
    <row r="51" spans="1:27" ht="19.149999999999999">
      <c r="A51" s="1">
        <v>5</v>
      </c>
      <c r="B51" s="9" t="s">
        <v>19</v>
      </c>
      <c r="C51" s="1"/>
      <c r="D51" s="5">
        <f>Table1[[#This Row],[Enrolment S.Y. 2025-2026 ]]*8</f>
        <v>0</v>
      </c>
      <c r="E51" s="5"/>
      <c r="F51" s="1"/>
      <c r="G51" s="5"/>
      <c r="H51" s="5">
        <f t="shared" si="2"/>
        <v>0</v>
      </c>
      <c r="I51" s="5">
        <f t="shared" si="3"/>
        <v>0</v>
      </c>
      <c r="J51" s="5">
        <f>Table1[[#This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Table1[[#This Row],[Enrolment S.Y. 2025-2026 ]]*8</f>
        <v>0</v>
      </c>
      <c r="Q51" s="5"/>
      <c r="R51" s="1"/>
      <c r="S51" s="5"/>
      <c r="T51" s="5">
        <f t="shared" si="12"/>
        <v>0</v>
      </c>
      <c r="U51" s="5">
        <f t="shared" si="13"/>
        <v>0</v>
      </c>
      <c r="V51" s="5">
        <f>Table1[[#This Row],[Enrolment S.Y. 2025-2026 ]]*8</f>
        <v>0</v>
      </c>
      <c r="W51" s="5"/>
      <c r="X51" s="1"/>
      <c r="Y51" s="5"/>
      <c r="Z51" s="5">
        <f t="shared" si="14"/>
        <v>0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5">
      <c r="A53" s="1">
        <v>6</v>
      </c>
      <c r="B53" s="9" t="s">
        <v>14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19.149999999999999">
      <c r="A54" s="1">
        <v>6</v>
      </c>
      <c r="B54" s="9" t="s">
        <v>15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19.149999999999999">
      <c r="A55" s="1">
        <v>6</v>
      </c>
      <c r="B55" s="9" t="s">
        <v>12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19.149999999999999">
      <c r="A56" s="1">
        <v>6</v>
      </c>
      <c r="B56" s="9" t="s">
        <v>10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19.149999999999999">
      <c r="A57" s="1">
        <v>6</v>
      </c>
      <c r="B57" s="9" t="s">
        <v>16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19.149999999999999">
      <c r="A58" s="1">
        <v>6</v>
      </c>
      <c r="B58" s="9" t="s">
        <v>13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19.149999999999999">
      <c r="A59" s="1">
        <v>6</v>
      </c>
      <c r="B59" s="9" t="s">
        <v>17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19.149999999999999">
      <c r="A60" s="1">
        <v>6</v>
      </c>
      <c r="B60" s="9" t="s">
        <v>18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19.149999999999999">
      <c r="A61" s="1">
        <v>6</v>
      </c>
      <c r="B61" s="9" t="s">
        <v>19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149999999999999">
      <c r="A63" s="10">
        <v>7</v>
      </c>
      <c r="B63" s="11" t="s">
        <v>14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149999999999999">
      <c r="A64" s="10">
        <v>7</v>
      </c>
      <c r="B64" s="11" t="s">
        <v>15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149999999999999">
      <c r="A65" s="10">
        <v>7</v>
      </c>
      <c r="B65" s="11" t="s">
        <v>12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149999999999999">
      <c r="A66" s="10">
        <v>7</v>
      </c>
      <c r="B66" s="11" t="s">
        <v>20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19.149999999999999">
      <c r="A67" s="10">
        <v>7</v>
      </c>
      <c r="B67" s="11" t="s">
        <v>16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149999999999999">
      <c r="A68" s="10">
        <v>7</v>
      </c>
      <c r="B68" s="11" t="s">
        <v>13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149999999999999">
      <c r="A69" s="10">
        <v>7</v>
      </c>
      <c r="B69" s="11" t="s">
        <v>17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149999999999999">
      <c r="A70" s="10">
        <v>7</v>
      </c>
      <c r="B70" s="11" t="s">
        <v>21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149999999999999">
      <c r="A71" s="10">
        <v>7</v>
      </c>
      <c r="B71" s="11" t="s">
        <v>19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149999999999999">
      <c r="A73" s="10">
        <v>8</v>
      </c>
      <c r="B73" s="11" t="s">
        <v>14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149999999999999">
      <c r="A74" s="10">
        <v>8</v>
      </c>
      <c r="B74" s="11" t="s">
        <v>15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149999999999999">
      <c r="A75" s="10">
        <v>8</v>
      </c>
      <c r="B75" s="11" t="s">
        <v>12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149999999999999">
      <c r="A76" s="10">
        <v>8</v>
      </c>
      <c r="B76" s="11" t="s">
        <v>20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149999999999999">
      <c r="A77" s="10">
        <v>8</v>
      </c>
      <c r="B77" s="11" t="s">
        <v>22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149999999999999">
      <c r="A78" s="10">
        <v>8</v>
      </c>
      <c r="B78" s="11" t="s">
        <v>13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149999999999999">
      <c r="A79" s="10">
        <v>8</v>
      </c>
      <c r="B79" s="11" t="s">
        <v>17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149999999999999">
      <c r="A80" s="10">
        <v>8</v>
      </c>
      <c r="B80" s="11" t="s">
        <v>21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149999999999999">
      <c r="A81" s="10">
        <v>8</v>
      </c>
      <c r="B81" s="11" t="s">
        <v>19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149999999999999">
      <c r="A83" s="10">
        <v>9</v>
      </c>
      <c r="B83" s="11" t="s">
        <v>14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149999999999999">
      <c r="A84" s="10">
        <v>9</v>
      </c>
      <c r="B84" s="11" t="s">
        <v>15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149999999999999">
      <c r="A85" s="10">
        <v>9</v>
      </c>
      <c r="B85" s="11" t="s">
        <v>12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149999999999999">
      <c r="A86" s="10">
        <v>9</v>
      </c>
      <c r="B86" s="11" t="s">
        <v>20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149999999999999">
      <c r="A87" s="10">
        <v>9</v>
      </c>
      <c r="B87" s="11" t="s">
        <v>22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149999999999999">
      <c r="A88" s="10">
        <v>9</v>
      </c>
      <c r="B88" s="11" t="s">
        <v>13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149999999999999">
      <c r="A89" s="10">
        <v>9</v>
      </c>
      <c r="B89" s="11" t="s">
        <v>17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149999999999999">
      <c r="A90" s="10">
        <v>9</v>
      </c>
      <c r="B90" s="11" t="s">
        <v>21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149999999999999">
      <c r="A91" s="10">
        <v>9</v>
      </c>
      <c r="B91" s="11" t="s">
        <v>19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149999999999999">
      <c r="A93" s="10">
        <v>10</v>
      </c>
      <c r="B93" s="11" t="s">
        <v>14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149999999999999">
      <c r="A94" s="10">
        <v>10</v>
      </c>
      <c r="B94" s="11" t="s">
        <v>15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149999999999999">
      <c r="A95" s="10">
        <v>10</v>
      </c>
      <c r="B95" s="11" t="s">
        <v>12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149999999999999">
      <c r="A96" s="10">
        <v>10</v>
      </c>
      <c r="B96" s="11" t="s">
        <v>20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149999999999999">
      <c r="A97" s="10">
        <v>10</v>
      </c>
      <c r="B97" s="11" t="s">
        <v>22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10</v>
      </c>
      <c r="B98" s="11" t="s">
        <v>13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149999999999999">
      <c r="A99" s="10">
        <v>10</v>
      </c>
      <c r="B99" s="11" t="s">
        <v>17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149999999999999">
      <c r="A100" s="10">
        <v>10</v>
      </c>
      <c r="B100" s="11" t="s">
        <v>21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10</v>
      </c>
      <c r="B101" s="11" t="s">
        <v>19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23</v>
      </c>
      <c r="B103" s="9" t="s">
        <v>24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>
      <c r="A104" s="1" t="s">
        <v>23</v>
      </c>
      <c r="B104" s="9" t="s">
        <v>25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>
      <c r="A105" s="1" t="s">
        <v>23</v>
      </c>
      <c r="B105" s="9" t="s">
        <v>26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149999999999999">
      <c r="A106" s="1" t="s">
        <v>23</v>
      </c>
      <c r="B106" s="9" t="s">
        <v>27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450000000000003">
      <c r="A107" s="1" t="s">
        <v>23</v>
      </c>
      <c r="B107" s="9" t="s">
        <v>28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19.149999999999999">
      <c r="A108" s="1" t="s">
        <v>23</v>
      </c>
      <c r="B108" s="9" t="s">
        <v>29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8.450000000000003">
      <c r="A109" s="1" t="s">
        <v>23</v>
      </c>
      <c r="B109" s="9" t="s">
        <v>30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450000000000003">
      <c r="A110" s="1" t="s">
        <v>23</v>
      </c>
      <c r="B110" s="9" t="s">
        <v>31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  <row r="128" spans="1:27">
      <c r="J128" t="e">
        <f>#REF!*8</f>
        <v>#REF!</v>
      </c>
    </row>
    <row r="129" spans="10:10">
      <c r="J129" t="e">
        <f>#REF!*8</f>
        <v>#REF!</v>
      </c>
    </row>
    <row r="130" spans="10:10">
      <c r="J130" t="e">
        <f>#REF!*8</f>
        <v>#REF!</v>
      </c>
    </row>
    <row r="131" spans="10:10">
      <c r="J131" t="e">
        <f>#REF!*8</f>
        <v>#REF!</v>
      </c>
    </row>
    <row r="132" spans="10:10">
      <c r="J132" t="e">
        <f>#REF!*8</f>
        <v>#REF!</v>
      </c>
    </row>
    <row r="133" spans="10:10">
      <c r="J133" t="e">
        <f>#REF!*8</f>
        <v>#REF!</v>
      </c>
    </row>
    <row r="134" spans="10:10">
      <c r="J134" t="e">
        <f>#REF!*8</f>
        <v>#REF!</v>
      </c>
    </row>
    <row r="135" spans="10:10">
      <c r="J135" t="e">
        <f>#REF!*8</f>
        <v>#REF!</v>
      </c>
    </row>
    <row r="136" spans="10:10">
      <c r="J136" t="e">
        <f>#REF!*8</f>
        <v>#REF!</v>
      </c>
    </row>
    <row r="137" spans="10:10">
      <c r="J137" t="e">
        <f>#REF!*8</f>
        <v>#REF!</v>
      </c>
    </row>
    <row r="138" spans="10:10">
      <c r="J138" t="e">
        <f>#REF!*8</f>
        <v>#REF!</v>
      </c>
    </row>
    <row r="139" spans="10:10">
      <c r="J139" t="e">
        <f>#REF!*8</f>
        <v>#REF!</v>
      </c>
    </row>
    <row r="140" spans="10:10">
      <c r="J140" t="e">
        <f>#REF!*8</f>
        <v>#REF!</v>
      </c>
    </row>
    <row r="141" spans="10:10">
      <c r="J141" t="e">
        <f>#REF!*8</f>
        <v>#REF!</v>
      </c>
    </row>
    <row r="142" spans="10:10">
      <c r="J142" t="e">
        <f>#REF!*8</f>
        <v>#REF!</v>
      </c>
    </row>
    <row r="143" spans="10:10">
      <c r="J143" t="e">
        <f>#REF!*8</f>
        <v>#REF!</v>
      </c>
    </row>
    <row r="144" spans="10:10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</sheetData>
  <protectedRanges>
    <protectedRange sqref="C2:C3 C14:C21 C23:C31 C33:C41 C43:C51 C53:C61 C63:C71 C73:C81 C83:C91 C93:C101 C103:C110 C112:C127 C5:C12" name="Textbooks"/>
    <protectedRange sqref="J2:L3 D2:F3 H5:L5 D14:F21 Q14:R21 W14:X21 D23:F31 Q23:R31 W23:X31 D33:F41 H33:I41 Q33:R41 W33:X41 D43:F5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" name="LAS"/>
    <protectedRange sqref="G2:I3 M2:O2 S2:U3 Y2:AA3 G112:G127 M112:M127 S112:S127 Y112:Y127 G5:G12 M5:M12 S4:S110 Y5:Y12 G14:G21 M14:M110 M3 Y14:Y110 G23:G31 G33:G41 G43:G51 G53:G61 G63:G71 G73:G81 G83:G91 G93:G101 G103:G110" name="SOURCE"/>
  </protectedRanges>
  <dataConsolidate/>
  <mergeCells count="4">
    <mergeCell ref="D1:I1"/>
    <mergeCell ref="J1:O1"/>
    <mergeCell ref="P1:U1"/>
    <mergeCell ref="V1:AA1"/>
  </mergeCells>
  <dataValidations count="4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X23:X31 X33:X41 X43:X51 X63:X71 X73:X81 X53:X61 L112:L127 X83:X91 X93:X101 X14:X21 X5:X12 L23:L31 L33:L41 L43:L51 L63:L71 L73:L81 L53:L61 R112:R127 L83:L91 L93:L101 L14:L21 L5:L12 R23:R31 R33:R41 R43:R51 R63:R71 R73:R81 R53:R61 X103:X110 R83:R91 R93:R101 R14:R21 R5:R12 L103:L110 R103:R110 X112:X127" xr:uid="{4ECCD083-8EC4-42EE-B46C-B614411F330D}">
      <formula1>"2024,2025"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  <dataValidation type="list" allowBlank="1" showInputMessage="1" showErrorMessage="1" sqref="F5:F12 F14:F21 F23:F31 F33:F41 F43:F51 F53:F61 F63:F71 F73:F81 F83:F91 F93:F101 F103:F110 F112:F127" xr:uid="{A40BC0B0-1EF9-4816-8C42-5B18E30BB5F6}">
      <formula1>"2024,2025 ,2026"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abSelected="1" topLeftCell="A112" zoomScale="55" zoomScaleNormal="55" workbookViewId="0">
      <selection activeCell="F122" sqref="F122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0" t="s">
        <v>32</v>
      </c>
      <c r="E1" s="40"/>
      <c r="F1" s="40"/>
      <c r="G1" s="40"/>
      <c r="H1" s="40"/>
      <c r="I1" s="40"/>
      <c r="J1" s="41" t="s">
        <v>33</v>
      </c>
      <c r="K1" s="41"/>
      <c r="L1" s="41"/>
      <c r="M1" s="41"/>
      <c r="N1" s="41"/>
      <c r="O1" s="41"/>
      <c r="P1" s="42" t="s">
        <v>34</v>
      </c>
      <c r="Q1" s="42"/>
      <c r="R1" s="42"/>
      <c r="S1" s="42"/>
      <c r="T1" s="42"/>
      <c r="U1" s="42"/>
      <c r="V1" s="43" t="s">
        <v>35</v>
      </c>
      <c r="W1" s="43"/>
      <c r="X1" s="43"/>
      <c r="Y1" s="43"/>
      <c r="Z1" s="43"/>
      <c r="AA1" s="43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62</v>
      </c>
      <c r="E2" s="20" t="s">
        <v>63</v>
      </c>
      <c r="F2" s="21" t="s">
        <v>64</v>
      </c>
      <c r="G2" s="24" t="s">
        <v>65</v>
      </c>
      <c r="H2" s="17" t="s">
        <v>66</v>
      </c>
      <c r="I2" s="24" t="s">
        <v>67</v>
      </c>
      <c r="J2" s="22" t="s">
        <v>68</v>
      </c>
      <c r="K2" s="22" t="s">
        <v>69</v>
      </c>
      <c r="L2" s="23" t="s">
        <v>70</v>
      </c>
      <c r="M2" s="44" t="s">
        <v>71</v>
      </c>
      <c r="N2" s="44" t="s">
        <v>72</v>
      </c>
      <c r="O2" s="22" t="s">
        <v>73</v>
      </c>
      <c r="P2" s="24" t="s">
        <v>74</v>
      </c>
      <c r="Q2" s="24" t="s">
        <v>75</v>
      </c>
      <c r="R2" s="25" t="s">
        <v>76</v>
      </c>
      <c r="S2" s="17" t="s">
        <v>77</v>
      </c>
      <c r="T2" s="17" t="s">
        <v>78</v>
      </c>
      <c r="U2" s="24" t="s">
        <v>79</v>
      </c>
      <c r="V2" s="26" t="s">
        <v>80</v>
      </c>
      <c r="W2" s="26" t="s">
        <v>81</v>
      </c>
      <c r="X2" s="27" t="s">
        <v>82</v>
      </c>
      <c r="Y2" s="45" t="s">
        <v>83</v>
      </c>
      <c r="Z2" s="45" t="s">
        <v>84</v>
      </c>
      <c r="AA2" s="26" t="s">
        <v>85</v>
      </c>
    </row>
    <row r="3" spans="1:27" ht="38.25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83" si="0">IF((D3-E3)&lt;0,0,(D3-E3))</f>
        <v>0</v>
      </c>
      <c r="I3" s="5">
        <f t="shared" ref="I3:I83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72" si="2">IF((J3-K3)&lt;0,0,(J3-K3))</f>
        <v>0</v>
      </c>
      <c r="O3" s="5">
        <f t="shared" ref="O3:O72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72" si="4">IF((P3-Q3)&lt;0,0,(P3-Q3))</f>
        <v>0</v>
      </c>
      <c r="U3" s="5">
        <f t="shared" ref="U3:U72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72" si="6">IF((V3-W3)&lt;0,0,(V3-W3))</f>
        <v>0</v>
      </c>
      <c r="AA3" s="5">
        <f t="shared" ref="AA3:AA72" si="7">IF((W3-V3)&lt;0,0,(W3-V3))</f>
        <v>0</v>
      </c>
    </row>
    <row r="4" spans="1:27" ht="19.149999999999999">
      <c r="A4" s="1">
        <v>1</v>
      </c>
      <c r="B4" s="2" t="s">
        <v>9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19.149999999999999">
      <c r="A5" s="1">
        <v>1</v>
      </c>
      <c r="B5" s="2" t="s">
        <v>10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19.149999999999999">
      <c r="A6" s="1">
        <v>1</v>
      </c>
      <c r="B6" s="2" t="s">
        <v>11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19.149999999999999">
      <c r="A7" s="1">
        <v>1</v>
      </c>
      <c r="B7" s="2" t="s">
        <v>12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149999999999999">
      <c r="A8" s="1">
        <v>1</v>
      </c>
      <c r="B8" s="9" t="s">
        <v>14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149999999999999">
      <c r="A9" s="1">
        <v>1</v>
      </c>
      <c r="B9" s="9" t="s">
        <v>15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149999999999999">
      <c r="A10" s="1">
        <v>1</v>
      </c>
      <c r="B10" s="9" t="s">
        <v>61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/>
    <row r="12" spans="1:27" ht="19.149999999999999">
      <c r="A12" s="1">
        <v>2</v>
      </c>
      <c r="B12" s="2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19.149999999999999">
      <c r="A13" s="1">
        <v>2</v>
      </c>
      <c r="B13" s="2" t="s">
        <v>9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19.149999999999999">
      <c r="A14" s="1">
        <v>2</v>
      </c>
      <c r="B14" s="2" t="s">
        <v>10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19.149999999999999">
      <c r="A15" s="1">
        <v>2</v>
      </c>
      <c r="B15" s="2" t="s">
        <v>11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19.149999999999999">
      <c r="A16" s="1">
        <v>2</v>
      </c>
      <c r="B16" s="2" t="s">
        <v>12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19.149999999999999">
      <c r="A17" s="1">
        <v>2</v>
      </c>
      <c r="B17" s="9" t="s">
        <v>15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19.149999999999999">
      <c r="A18" s="1">
        <v>2</v>
      </c>
      <c r="B18" s="9" t="s">
        <v>14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19.149999999999999">
      <c r="A19" s="1">
        <v>2</v>
      </c>
      <c r="B19" s="9" t="s">
        <v>61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/>
    <row r="21" spans="1:27" ht="19.149999999999999">
      <c r="A21" s="1">
        <v>3</v>
      </c>
      <c r="B21" s="2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19.149999999999999">
      <c r="A22" s="1">
        <v>3</v>
      </c>
      <c r="B22" s="2" t="s">
        <v>9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19.149999999999999">
      <c r="A23" s="1">
        <v>3</v>
      </c>
      <c r="B23" s="2" t="s">
        <v>10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19.149999999999999">
      <c r="A24" s="1">
        <v>3</v>
      </c>
      <c r="B24" s="2" t="s">
        <v>13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19.149999999999999">
      <c r="A25" s="1">
        <v>3</v>
      </c>
      <c r="B25" s="2" t="s">
        <v>11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19.149999999999999">
      <c r="A26" s="1">
        <v>3</v>
      </c>
      <c r="B26" s="2" t="s">
        <v>12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19.149999999999999">
      <c r="A27" s="1">
        <v>3</v>
      </c>
      <c r="B27" s="9" t="s">
        <v>14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19.149999999999999">
      <c r="A28" s="1">
        <v>3</v>
      </c>
      <c r="B28" s="9" t="s">
        <v>15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19.149999999999999">
      <c r="A29" s="1">
        <v>3</v>
      </c>
      <c r="B29" s="9" t="s">
        <v>61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/>
    <row r="31" spans="1:27" ht="19.149999999999999">
      <c r="A31" s="1">
        <v>4</v>
      </c>
      <c r="B31" s="9" t="s">
        <v>14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19.149999999999999">
      <c r="A32" s="1">
        <v>4</v>
      </c>
      <c r="B32" s="9" t="s">
        <v>15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149999999999999">
      <c r="A33" s="1">
        <v>4</v>
      </c>
      <c r="B33" s="9" t="s">
        <v>12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149999999999999">
      <c r="A34" s="1">
        <v>4</v>
      </c>
      <c r="B34" s="9" t="s">
        <v>10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19.149999999999999">
      <c r="A35" s="1">
        <v>4</v>
      </c>
      <c r="B35" s="9" t="s">
        <v>16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149999999999999">
      <c r="A36" s="1">
        <v>4</v>
      </c>
      <c r="B36" s="9" t="s">
        <v>13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149999999999999">
      <c r="A37" s="37">
        <v>4</v>
      </c>
      <c r="B37" s="9" t="s">
        <v>86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149999999999999">
      <c r="A38" s="1">
        <v>4</v>
      </c>
      <c r="B38" s="9" t="s">
        <v>87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149999999999999">
      <c r="A39" s="1">
        <v>4</v>
      </c>
      <c r="B39" s="9" t="s">
        <v>18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149999999999999">
      <c r="A40" s="37">
        <v>4</v>
      </c>
      <c r="B40" s="9" t="s">
        <v>88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149999999999999">
      <c r="A41" s="1">
        <v>4</v>
      </c>
      <c r="B41" s="9" t="s">
        <v>89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/>
    <row r="43" spans="1:27" ht="19.149999999999999">
      <c r="A43" s="1">
        <v>5</v>
      </c>
      <c r="B43" s="9" t="s">
        <v>14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19.149999999999999">
      <c r="A44" s="1">
        <v>5</v>
      </c>
      <c r="B44" s="9" t="s">
        <v>15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149999999999999">
      <c r="A45" s="1">
        <v>5</v>
      </c>
      <c r="B45" s="9" t="s">
        <v>12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149999999999999">
      <c r="A46" s="1">
        <v>5</v>
      </c>
      <c r="B46" s="9" t="s">
        <v>10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19.149999999999999">
      <c r="A47" s="1">
        <v>5</v>
      </c>
      <c r="B47" s="9" t="s">
        <v>16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149999999999999">
      <c r="A48" s="1">
        <v>5</v>
      </c>
      <c r="B48" s="9" t="s">
        <v>13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149999999999999">
      <c r="A49" s="37">
        <v>5</v>
      </c>
      <c r="B49" s="9" t="s">
        <v>86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149999999999999">
      <c r="A50" s="1">
        <v>5</v>
      </c>
      <c r="B50" s="9" t="s">
        <v>87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149999999999999">
      <c r="A51" s="1">
        <v>5</v>
      </c>
      <c r="B51" s="9" t="s">
        <v>18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149999999999999">
      <c r="A52" s="37">
        <v>5</v>
      </c>
      <c r="B52" s="9" t="s">
        <v>88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149999999999999">
      <c r="A53" s="1">
        <v>5</v>
      </c>
      <c r="B53" s="9" t="s">
        <v>89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/>
    <row r="55" spans="1:27" ht="19.5">
      <c r="A55" s="1">
        <v>6</v>
      </c>
      <c r="B55" s="9" t="s">
        <v>14</v>
      </c>
      <c r="C55" s="1"/>
      <c r="D55" s="5">
        <f>Table14[[#This Row],[Enrolment S.Y. 2025-2026 ]]*8</f>
        <v>0</v>
      </c>
      <c r="E55" s="5"/>
      <c r="F55" s="1"/>
      <c r="G55" s="5"/>
      <c r="H55" s="5">
        <f t="shared" si="0"/>
        <v>0</v>
      </c>
      <c r="I55" s="5">
        <f t="shared" si="1"/>
        <v>0</v>
      </c>
      <c r="J55" s="5">
        <f>Table14[[#This Row],[Enrolment S.Y. 2025-2026 ]]*8</f>
        <v>0</v>
      </c>
      <c r="K55" s="5"/>
      <c r="L55" s="1"/>
      <c r="M55" s="5"/>
      <c r="N55" s="5">
        <f t="shared" si="2"/>
        <v>0</v>
      </c>
      <c r="O55" s="5">
        <f t="shared" si="3"/>
        <v>0</v>
      </c>
      <c r="P55" s="5">
        <f>Table14[[#This Row],[Enrolment S.Y. 2025-2026 ]]*8</f>
        <v>0</v>
      </c>
      <c r="Q55" s="5"/>
      <c r="R55" s="1"/>
      <c r="S55" s="5"/>
      <c r="T55" s="5">
        <f t="shared" si="4"/>
        <v>0</v>
      </c>
      <c r="U55" s="5">
        <f t="shared" si="5"/>
        <v>0</v>
      </c>
      <c r="V55" s="5">
        <f>Table14[[#This Row],[Enrolment S.Y. 2025-2026 ]]*8</f>
        <v>0</v>
      </c>
      <c r="W55" s="5"/>
      <c r="X55" s="1"/>
      <c r="Y55" s="5"/>
      <c r="Z55" s="5">
        <f t="shared" si="6"/>
        <v>0</v>
      </c>
      <c r="AA55" s="5">
        <f t="shared" si="7"/>
        <v>0</v>
      </c>
    </row>
    <row r="56" spans="1:27" ht="19.149999999999999">
      <c r="A56" s="1">
        <v>6</v>
      </c>
      <c r="B56" s="9" t="s">
        <v>15</v>
      </c>
      <c r="C56" s="1"/>
      <c r="D56" s="5">
        <f>Table14[[#This Row],[Enrolment S.Y. 2025-2026 ]]*8</f>
        <v>0</v>
      </c>
      <c r="E56" s="5"/>
      <c r="F56" s="1"/>
      <c r="G56" s="5"/>
      <c r="H56" s="5">
        <f t="shared" si="0"/>
        <v>0</v>
      </c>
      <c r="I56" s="5">
        <f t="shared" si="1"/>
        <v>0</v>
      </c>
      <c r="J56" s="5">
        <f>Table14[[#This Row],[Enrolment S.Y. 2025-2026 ]]*8</f>
        <v>0</v>
      </c>
      <c r="K56" s="5"/>
      <c r="L56" s="1"/>
      <c r="M56" s="5"/>
      <c r="N56" s="5">
        <f t="shared" si="2"/>
        <v>0</v>
      </c>
      <c r="O56" s="5">
        <f t="shared" si="3"/>
        <v>0</v>
      </c>
      <c r="P56" s="5">
        <f>Table14[[#This Row],[Enrolment S.Y. 2025-2026 ]]*8</f>
        <v>0</v>
      </c>
      <c r="Q56" s="5"/>
      <c r="R56" s="1"/>
      <c r="S56" s="5"/>
      <c r="T56" s="5">
        <f t="shared" si="4"/>
        <v>0</v>
      </c>
      <c r="U56" s="5">
        <f t="shared" si="5"/>
        <v>0</v>
      </c>
      <c r="V56" s="5">
        <f>Table14[[#This Row],[Enrolment S.Y. 2025-2026 ]]*8</f>
        <v>0</v>
      </c>
      <c r="W56" s="5"/>
      <c r="X56" s="1"/>
      <c r="Y56" s="5"/>
      <c r="Z56" s="5">
        <f t="shared" si="6"/>
        <v>0</v>
      </c>
      <c r="AA56" s="5">
        <f t="shared" si="7"/>
        <v>0</v>
      </c>
    </row>
    <row r="57" spans="1:27" ht="19.149999999999999">
      <c r="A57" s="1">
        <v>6</v>
      </c>
      <c r="B57" s="9" t="s">
        <v>12</v>
      </c>
      <c r="C57" s="1"/>
      <c r="D57" s="5">
        <f>Table14[[#This Row],[Enrolment S.Y. 2025-2026 ]]*8</f>
        <v>0</v>
      </c>
      <c r="E57" s="5"/>
      <c r="F57" s="1"/>
      <c r="G57" s="5"/>
      <c r="H57" s="5">
        <f t="shared" si="0"/>
        <v>0</v>
      </c>
      <c r="I57" s="5">
        <f t="shared" si="1"/>
        <v>0</v>
      </c>
      <c r="J57" s="5">
        <f>Table14[[#This Row],[Enrolment S.Y. 2025-2026 ]]*8</f>
        <v>0</v>
      </c>
      <c r="K57" s="5"/>
      <c r="L57" s="1"/>
      <c r="M57" s="5"/>
      <c r="N57" s="5">
        <f t="shared" si="2"/>
        <v>0</v>
      </c>
      <c r="O57" s="5">
        <f t="shared" si="3"/>
        <v>0</v>
      </c>
      <c r="P57" s="5">
        <f>Table14[[#This Row],[Enrolment S.Y. 2025-2026 ]]*8</f>
        <v>0</v>
      </c>
      <c r="Q57" s="5"/>
      <c r="R57" s="1"/>
      <c r="S57" s="5"/>
      <c r="T57" s="5">
        <f t="shared" si="4"/>
        <v>0</v>
      </c>
      <c r="U57" s="5">
        <f t="shared" si="5"/>
        <v>0</v>
      </c>
      <c r="V57" s="5">
        <f>Table14[[#This Row],[Enrolment S.Y. 2025-2026 ]]*8</f>
        <v>0</v>
      </c>
      <c r="W57" s="5"/>
      <c r="X57" s="1"/>
      <c r="Y57" s="5"/>
      <c r="Z57" s="5">
        <f t="shared" si="6"/>
        <v>0</v>
      </c>
      <c r="AA57" s="5">
        <f t="shared" si="7"/>
        <v>0</v>
      </c>
    </row>
    <row r="58" spans="1:27" ht="19.149999999999999">
      <c r="A58" s="1">
        <v>6</v>
      </c>
      <c r="B58" s="9" t="s">
        <v>10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/>
      <c r="R58" s="1"/>
      <c r="S58" s="5"/>
      <c r="T58" s="5">
        <f t="shared" si="4"/>
        <v>0</v>
      </c>
      <c r="U58" s="5">
        <f t="shared" si="5"/>
        <v>0</v>
      </c>
      <c r="V58" s="5">
        <f>Table14[[#This Row],[Enrolment S.Y. 2025-2026 ]]*8</f>
        <v>0</v>
      </c>
      <c r="W58" s="5"/>
      <c r="X58" s="1"/>
      <c r="Y58" s="5"/>
      <c r="Z58" s="5">
        <f t="shared" si="6"/>
        <v>0</v>
      </c>
      <c r="AA58" s="5">
        <f t="shared" si="7"/>
        <v>0</v>
      </c>
    </row>
    <row r="59" spans="1:27" ht="19.149999999999999">
      <c r="A59" s="1">
        <v>6</v>
      </c>
      <c r="B59" s="9" t="s">
        <v>16</v>
      </c>
      <c r="C59" s="1"/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/>
      <c r="R59" s="1"/>
      <c r="S59" s="5"/>
      <c r="T59" s="5">
        <f t="shared" si="4"/>
        <v>0</v>
      </c>
      <c r="U59" s="5">
        <f t="shared" si="5"/>
        <v>0</v>
      </c>
      <c r="V59" s="5">
        <f>Table14[[#This Row],[Enrolment S.Y. 2025-2026 ]]*8</f>
        <v>0</v>
      </c>
      <c r="W59" s="5"/>
      <c r="X59" s="1"/>
      <c r="Y59" s="5"/>
      <c r="Z59" s="5">
        <f t="shared" si="6"/>
        <v>0</v>
      </c>
      <c r="AA59" s="5">
        <f t="shared" si="7"/>
        <v>0</v>
      </c>
    </row>
    <row r="60" spans="1:27" ht="19.149999999999999">
      <c r="A60" s="1">
        <v>6</v>
      </c>
      <c r="B60" s="9" t="s">
        <v>13</v>
      </c>
      <c r="C60" s="1"/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/>
      <c r="R60" s="1"/>
      <c r="S60" s="5"/>
      <c r="T60" s="5">
        <f t="shared" si="4"/>
        <v>0</v>
      </c>
      <c r="U60" s="5">
        <f t="shared" si="5"/>
        <v>0</v>
      </c>
      <c r="V60" s="5">
        <f>Table14[[#This Row],[Enrolment S.Y. 2025-2026 ]]*8</f>
        <v>0</v>
      </c>
      <c r="W60" s="5"/>
      <c r="X60" s="1"/>
      <c r="Y60" s="5"/>
      <c r="Z60" s="5">
        <f t="shared" si="6"/>
        <v>0</v>
      </c>
      <c r="AA60" s="5">
        <f t="shared" si="7"/>
        <v>0</v>
      </c>
    </row>
    <row r="61" spans="1:27" ht="19.149999999999999">
      <c r="A61" s="37">
        <v>6</v>
      </c>
      <c r="B61" s="9" t="s">
        <v>86</v>
      </c>
      <c r="C61" s="5"/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/>
      <c r="R61" s="1"/>
      <c r="S61" s="5"/>
      <c r="T61" s="5">
        <f>IF((P61-Q61)&lt;0,0,(P61-Q61))</f>
        <v>0</v>
      </c>
      <c r="U61" s="5">
        <f>IF((Q61-P61)&lt;0,0,(Q61-P61))</f>
        <v>0</v>
      </c>
      <c r="V61" s="5">
        <f>Table14[[#This Row],[Enrolment S.Y. 2025-2026 ]]*8</f>
        <v>0</v>
      </c>
      <c r="W61" s="5"/>
      <c r="X61" s="1"/>
      <c r="Y61" s="5"/>
      <c r="Z61" s="5">
        <f>IF((V61-W61)&lt;0,0,(V61-W61))</f>
        <v>0</v>
      </c>
      <c r="AA61" s="5">
        <f>IF((W61-V61)&lt;0,0,(W61-V61))</f>
        <v>0</v>
      </c>
    </row>
    <row r="62" spans="1:27" ht="19.149999999999999">
      <c r="A62" s="1">
        <v>6</v>
      </c>
      <c r="B62" s="9" t="s">
        <v>87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/>
      <c r="R62" s="1"/>
      <c r="S62" s="5"/>
      <c r="T62" s="5">
        <f t="shared" si="4"/>
        <v>0</v>
      </c>
      <c r="U62" s="5">
        <f t="shared" si="5"/>
        <v>0</v>
      </c>
      <c r="V62" s="5">
        <f>Table14[[#This Row],[Enrolment S.Y. 2025-2026 ]]*8</f>
        <v>0</v>
      </c>
      <c r="W62" s="5"/>
      <c r="X62" s="1"/>
      <c r="Y62" s="5"/>
      <c r="Z62" s="5">
        <f t="shared" si="6"/>
        <v>0</v>
      </c>
      <c r="AA62" s="5">
        <f t="shared" si="7"/>
        <v>0</v>
      </c>
    </row>
    <row r="63" spans="1:27" ht="19.149999999999999">
      <c r="A63" s="1">
        <v>6</v>
      </c>
      <c r="B63" s="9" t="s">
        <v>18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19.149999999999999">
      <c r="A64" s="37">
        <v>6</v>
      </c>
      <c r="B64" s="9" t="s">
        <v>88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/>
      <c r="R64" s="1"/>
      <c r="S64" s="5"/>
      <c r="T64" s="5">
        <f>IF((P64-Q64)&lt;0,0,(P64-Q64))</f>
        <v>0</v>
      </c>
      <c r="U64" s="5">
        <f>IF((Q64-P64)&lt;0,0,(Q64-P64))</f>
        <v>0</v>
      </c>
      <c r="V64" s="5">
        <f>Table14[[#This Row],[Enrolment S.Y. 2025-2026 ]]*8</f>
        <v>0</v>
      </c>
      <c r="W64" s="5"/>
      <c r="X64" s="1"/>
      <c r="Y64" s="5"/>
      <c r="Z64" s="5">
        <f>IF((V64-W64)&lt;0,0,(V64-W64))</f>
        <v>0</v>
      </c>
      <c r="AA64" s="5">
        <f>IF((W64-V64)&lt;0,0,(W64-V64))</f>
        <v>0</v>
      </c>
    </row>
    <row r="65" spans="1:27" ht="19.149999999999999">
      <c r="A65" s="1">
        <v>6</v>
      </c>
      <c r="B65" s="9" t="s">
        <v>89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/>
      <c r="R65" s="1"/>
      <c r="S65" s="5"/>
      <c r="T65" s="5">
        <f t="shared" si="4"/>
        <v>0</v>
      </c>
      <c r="U65" s="5">
        <f t="shared" si="5"/>
        <v>0</v>
      </c>
      <c r="V65" s="5">
        <f>Table14[[#This Row],[Enrolment S.Y. 2025-2026 ]]*8</f>
        <v>0</v>
      </c>
      <c r="W65" s="5"/>
      <c r="X65" s="1"/>
      <c r="Y65" s="5"/>
      <c r="Z65" s="5">
        <f t="shared" si="6"/>
        <v>0</v>
      </c>
      <c r="AA65" s="5">
        <f t="shared" si="7"/>
        <v>0</v>
      </c>
    </row>
    <row r="66" spans="1:27" s="7" customFormat="1"/>
    <row r="67" spans="1:27" ht="19.149999999999999">
      <c r="A67" s="10">
        <v>7</v>
      </c>
      <c r="B67" s="11" t="s">
        <v>14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149999999999999">
      <c r="A68" s="10">
        <v>7</v>
      </c>
      <c r="B68" s="11" t="s">
        <v>15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149999999999999">
      <c r="A69" s="10">
        <v>7</v>
      </c>
      <c r="B69" s="11" t="s">
        <v>12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149999999999999">
      <c r="A70" s="10">
        <v>7</v>
      </c>
      <c r="B70" s="11" t="s">
        <v>20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19.149999999999999">
      <c r="A71" s="10">
        <v>7</v>
      </c>
      <c r="B71" s="11" t="s">
        <v>16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149999999999999">
      <c r="A72" s="10">
        <v>7</v>
      </c>
      <c r="B72" s="11" t="s">
        <v>13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149999999999999">
      <c r="A73" s="38">
        <v>7</v>
      </c>
      <c r="B73" s="11" t="s">
        <v>86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149999999999999">
      <c r="A74" s="10">
        <v>7</v>
      </c>
      <c r="B74" s="11" t="s">
        <v>87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149999999999999">
      <c r="A75" s="10">
        <v>7</v>
      </c>
      <c r="B75" s="11" t="s">
        <v>21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149999999999999">
      <c r="A76" s="38">
        <v>7</v>
      </c>
      <c r="B76" s="11" t="s">
        <v>88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149999999999999">
      <c r="A77" s="10">
        <v>7</v>
      </c>
      <c r="B77" s="11" t="s">
        <v>89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19.149999999999999">
      <c r="A79" s="10">
        <v>8</v>
      </c>
      <c r="B79" s="11" t="s">
        <v>14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149999999999999">
      <c r="A80" s="10">
        <v>8</v>
      </c>
      <c r="B80" s="11" t="s">
        <v>15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149999999999999">
      <c r="A81" s="10">
        <v>8</v>
      </c>
      <c r="B81" s="11" t="s">
        <v>12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149999999999999">
      <c r="A82" s="10">
        <v>8</v>
      </c>
      <c r="B82" s="11" t="s">
        <v>20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149999999999999">
      <c r="A83" s="10">
        <v>8</v>
      </c>
      <c r="B83" s="11" t="s">
        <v>22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149999999999999">
      <c r="A84" s="10">
        <v>8</v>
      </c>
      <c r="B84" s="11" t="s">
        <v>13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149999999999999">
      <c r="A85" s="38">
        <v>8</v>
      </c>
      <c r="B85" s="11" t="s">
        <v>86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149999999999999">
      <c r="A86" s="10">
        <v>8</v>
      </c>
      <c r="B86" s="11" t="s">
        <v>87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149999999999999">
      <c r="A87" s="10">
        <v>8</v>
      </c>
      <c r="B87" s="11" t="s">
        <v>21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149999999999999">
      <c r="A88" s="38">
        <v>8</v>
      </c>
      <c r="B88" s="11" t="s">
        <v>88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149999999999999">
      <c r="A89" s="10">
        <v>8</v>
      </c>
      <c r="B89" s="11" t="s">
        <v>89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149999999999999">
      <c r="A91" s="10">
        <v>9</v>
      </c>
      <c r="B91" s="11" t="s">
        <v>14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149999999999999">
      <c r="A92" s="10">
        <v>9</v>
      </c>
      <c r="B92" s="11" t="s">
        <v>15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19.149999999999999">
      <c r="A93" s="10">
        <v>9</v>
      </c>
      <c r="B93" s="11" t="s">
        <v>12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149999999999999">
      <c r="A94" s="10">
        <v>9</v>
      </c>
      <c r="B94" s="11" t="s">
        <v>20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149999999999999">
      <c r="A95" s="10">
        <v>9</v>
      </c>
      <c r="B95" s="11" t="s">
        <v>22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149999999999999">
      <c r="A96" s="10">
        <v>9</v>
      </c>
      <c r="B96" s="11" t="s">
        <v>13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149999999999999">
      <c r="A97" s="38">
        <v>9</v>
      </c>
      <c r="B97" s="11" t="s">
        <v>86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9</v>
      </c>
      <c r="B98" s="11" t="s">
        <v>87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149999999999999">
      <c r="A99" s="10">
        <v>9</v>
      </c>
      <c r="B99" s="11" t="s">
        <v>21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149999999999999">
      <c r="A100" s="38">
        <v>9</v>
      </c>
      <c r="B100" s="11" t="s">
        <v>88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9</v>
      </c>
      <c r="B101" s="11" t="s">
        <v>89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/>
    <row r="103" spans="1:27" ht="19.149999999999999">
      <c r="A103" s="10">
        <v>10</v>
      </c>
      <c r="B103" s="11" t="s">
        <v>14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149999999999999">
      <c r="A104" s="10">
        <v>10</v>
      </c>
      <c r="B104" s="11" t="s">
        <v>15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149999999999999">
      <c r="A105" s="10">
        <v>10</v>
      </c>
      <c r="B105" s="11" t="s">
        <v>12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149999999999999">
      <c r="A106" s="10">
        <v>10</v>
      </c>
      <c r="B106" s="11" t="s">
        <v>20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149999999999999">
      <c r="A107" s="10">
        <v>10</v>
      </c>
      <c r="B107" s="11" t="s">
        <v>22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149999999999999">
      <c r="A108" s="10">
        <v>10</v>
      </c>
      <c r="B108" s="11" t="s">
        <v>13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149999999999999">
      <c r="A109" s="38">
        <v>10</v>
      </c>
      <c r="B109" s="11" t="s">
        <v>86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149999999999999">
      <c r="A110" s="10">
        <v>10</v>
      </c>
      <c r="B110" s="11" t="s">
        <v>87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149999999999999">
      <c r="A111" s="10">
        <v>10</v>
      </c>
      <c r="B111" s="11" t="s">
        <v>21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149999999999999">
      <c r="A112" s="38">
        <v>10</v>
      </c>
      <c r="B112" s="11" t="s">
        <v>88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149999999999999">
      <c r="A113" s="10">
        <v>10</v>
      </c>
      <c r="B113" s="11" t="s">
        <v>89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/>
    <row r="115" spans="1:28" ht="38.450000000000003">
      <c r="A115" s="1" t="s">
        <v>23</v>
      </c>
      <c r="B115" s="9" t="s">
        <v>24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149999999999999">
      <c r="A116" s="1" t="s">
        <v>23</v>
      </c>
      <c r="B116" s="9" t="s">
        <v>25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149999999999999">
      <c r="A117" s="1" t="s">
        <v>23</v>
      </c>
      <c r="B117" s="9" t="s">
        <v>26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149999999999999">
      <c r="A118" s="1" t="s">
        <v>23</v>
      </c>
      <c r="B118" s="9" t="s">
        <v>27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450000000000003">
      <c r="A119" s="1" t="s">
        <v>23</v>
      </c>
      <c r="B119" s="9" t="s">
        <v>28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19.149999999999999">
      <c r="A120" s="1" t="s">
        <v>23</v>
      </c>
      <c r="B120" s="9" t="s">
        <v>29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38.450000000000003">
      <c r="A121" s="1" t="s">
        <v>23</v>
      </c>
      <c r="B121" s="9" t="s">
        <v>30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450000000000003">
      <c r="A122" s="1" t="s">
        <v>23</v>
      </c>
      <c r="B122" s="9" t="s">
        <v>31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</sheetData>
  <protectedRanges>
    <protectedRange sqref="C2:C10 C12:C19 C21:C29 C31:C41 C43:C53 C55:C65 C67:C77 C79:C89 C115:C122 C103:C113 C91:C101" name="Textbooks"/>
    <protectedRange sqref="J2:L2 D2:F10 D12:F19 D21:F29 D31:F41 D43:F53 D55:F65 D67:F77 D79:F89 D91:F101 D115:F122 P2:R10 N3:O10 V2:X10 T3:U10 N12:R19 T12:X19 H3:L10 Z3:AA10 Z12:AA19 H12:L19 N21:R29 T21:X29 Z21:AA29 H21:L29 T31:X41 Z31:AA41 H31:L41 T43:X53 Z43:AA53 H43:L53 T55:X65 Z55:AA65 H55:L65 T67:X77 Z67:AA77 H67:L77 T79:X89 Z79:AA89 H79:L89 T91:X101 Z91:AA101 H91:L101 T103:X113 Z103:AA113 H103:L113 N115:R122 T115:X122 Z115:AA122 H115:L122 D103:F113 N31:R41 N43:R53 N55:R65 N67:R77 N79:R89 N91:R101 N103:R113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X21:X29 X31:X41 X43:X53 X67:X77 X79:X89 X55:X65 X91:X101 X103:X113 X12:X19 X3:X10 L21:L29 L31:L41 L43:L53 L67:L77 L79:L89 L55:L65 L91:L101 L103:L113 L12:L19 L3:L10 R21:R29 R31:R41 R43:R53 R67:R77 R79:R89 R55:R65 R91:R101 R103:R113 R12:R19 R3:R10 R115:R122 X115:X122 L115:L122" xr:uid="{77F72D89-8371-4D0C-A323-BD25723C617C}">
      <formula1>"2024,2025"</formula1>
    </dataValidation>
    <dataValidation type="list" allowBlank="1" showInputMessage="1" showErrorMessage="1" sqref="F3:F10 F12:F19 F21:F29 F31:F41 F43:F53 F55:F65 F67:F77 F79:F89 F91:F101 F103:F113 F115:F122" xr:uid="{10519A1F-643B-423C-B4C1-0620F56C8666}">
      <formula1>"2024,2025 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2026-02-19T03:24:44Z</dcterms:modified>
  <cp:category/>
  <cp:contentStatus/>
</cp:coreProperties>
</file>