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40" documentId="13_ncr:1_{BFB59F67-F0DC-4675-A682-EB0734A8026A}" xr6:coauthVersionLast="47" xr6:coauthVersionMax="47" xr10:uidLastSave="{D483CFC2-9934-4212-8C80-D1486C6ACCD1}"/>
  <bookViews>
    <workbookView xWindow="-108" yWindow="-108" windowWidth="23256" windowHeight="12456" firstSheet="1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3" i="4"/>
  <c r="N3" i="4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<sst xmlns="http://schemas.openxmlformats.org/spreadsheetml/2006/main" count="224" uniqueCount="78">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</sst>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50" totalsRowShown="0" headerRowDxfId="62" headerRowBorderDxfId="60" tableBorderDxfId="61">
  <autoFilter ref="A1:H50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2" totalsRowShown="0" dataDxfId="59" headerRowBorderDxfId="57" tableBorderDxfId="58">
  <autoFilter ref="A2:AA62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84" totalsRowShown="0" dataDxfId="29" headerRowBorderDxfId="27" tableBorderDxfId="28">
  <autoFilter ref="A2:AA84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D61" activePane="topRight" state="frozen"/>
      <selection pane="topRight" activeCell="K52" sqref="K52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2:E6 E8:E12 E14:E19 E21:E29 E31:E39 E41:E49" xr:uid="{B46E7B13-721E-4D49-837E-C02BF9777D48}">
      <formula1>"2024,2025 ,2026"</formula1>
    </dataValidation>
    <dataValidation type="list" allowBlank="1" showInputMessage="1" showErrorMessage="1" sqref="F14:F19 F21:F29 F31:F39 F41:F49 F2:F6 F8:F12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G82" zoomScale="70" zoomScaleNormal="70" workbookViewId="0">
      <selection activeCell="K92" sqref="K9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20</v>
      </c>
      <c r="E1" s="35"/>
      <c r="F1" s="35"/>
      <c r="G1" s="35"/>
      <c r="H1" s="35"/>
      <c r="I1" s="35"/>
      <c r="J1" s="36" t="s">
        <v>21</v>
      </c>
      <c r="K1" s="36"/>
      <c r="L1" s="36"/>
      <c r="M1" s="36"/>
      <c r="N1" s="36"/>
      <c r="O1" s="36"/>
      <c r="P1" s="37" t="s">
        <v>22</v>
      </c>
      <c r="Q1" s="37"/>
      <c r="R1" s="37"/>
      <c r="S1" s="37"/>
      <c r="T1" s="37"/>
      <c r="U1" s="37"/>
      <c r="V1" s="38" t="s">
        <v>23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24</v>
      </c>
      <c r="E2" s="17" t="s">
        <v>25</v>
      </c>
      <c r="F2" s="18" t="s">
        <v>26</v>
      </c>
      <c r="G2" s="21" t="s">
        <v>27</v>
      </c>
      <c r="H2" s="14" t="s">
        <v>28</v>
      </c>
      <c r="I2" s="21" t="s">
        <v>29</v>
      </c>
      <c r="J2" s="19" t="s">
        <v>30</v>
      </c>
      <c r="K2" s="19" t="s">
        <v>31</v>
      </c>
      <c r="L2" s="20" t="s">
        <v>32</v>
      </c>
      <c r="M2" s="33" t="s">
        <v>33</v>
      </c>
      <c r="N2" s="33" t="s">
        <v>34</v>
      </c>
      <c r="O2" s="19" t="s">
        <v>35</v>
      </c>
      <c r="P2" s="21" t="s">
        <v>36</v>
      </c>
      <c r="Q2" s="21" t="s">
        <v>37</v>
      </c>
      <c r="R2" s="22" t="s">
        <v>38</v>
      </c>
      <c r="S2" s="14" t="s">
        <v>39</v>
      </c>
      <c r="T2" s="14" t="s">
        <v>40</v>
      </c>
      <c r="U2" s="21" t="s">
        <v>41</v>
      </c>
      <c r="V2" s="23" t="s">
        <v>42</v>
      </c>
      <c r="W2" s="23" t="s">
        <v>43</v>
      </c>
      <c r="X2" s="24" t="s">
        <v>44</v>
      </c>
      <c r="Y2" s="34" t="s">
        <v>45</v>
      </c>
      <c r="Z2" s="34" t="s">
        <v>46</v>
      </c>
      <c r="AA2" s="23" t="s">
        <v>47</v>
      </c>
    </row>
    <row r="3" spans="1:27" ht="30.6" customHeight="1">
      <c r="A3" s="32" t="s">
        <v>48</v>
      </c>
      <c r="B3" s="27"/>
      <c r="C3" s="26"/>
      <c r="D3" s="28">
        <f>Table1[[#This Row],[Enrolment S.Y. 2025-2026 ]]*8</f>
        <v>0</v>
      </c>
      <c r="E3" s="28"/>
      <c r="F3" s="26"/>
      <c r="G3" s="28"/>
      <c r="H3" s="28">
        <f>IF((D3-E3)&lt;0,0,(D3-E3))</f>
        <v>0</v>
      </c>
      <c r="I3" s="28">
        <f>IF((E3-D3)&lt;0,0,(E3-D3))</f>
        <v>0</v>
      </c>
      <c r="J3" s="28">
        <f>Table1[[#This Row],[Enrolment S.Y. 2025-2026 ]]*8</f>
        <v>0</v>
      </c>
      <c r="K3" s="28"/>
      <c r="L3" s="26"/>
      <c r="M3" s="28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28"/>
      <c r="R3" s="26"/>
      <c r="S3" s="28"/>
      <c r="T3" s="28">
        <f>IF((P3-Q3)&lt;0,0,(P3-Q3))</f>
        <v>0</v>
      </c>
      <c r="U3" s="28">
        <f>IF((Q3-P3)&lt;0,0,(Q3-P3))</f>
        <v>0</v>
      </c>
      <c r="V3" s="28">
        <f>Table1[[#This Row],[Enrolment S.Y. 2025-2026 ]]*8</f>
        <v>0</v>
      </c>
      <c r="W3" s="28"/>
      <c r="X3" s="26"/>
      <c r="Y3" s="28"/>
      <c r="Z3" s="28">
        <f>IF((V3-W3)&lt;0,0,(V3-W3))</f>
        <v>0</v>
      </c>
      <c r="AA3" s="28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61" si="2">IF((D5-E5)&lt;0,0,(D5-E5))</f>
        <v>0</v>
      </c>
      <c r="I5" s="5">
        <f t="shared" ref="I5:I61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1" si="10">IF((J6-K6)&lt;0,0,(J6-K6))</f>
        <v>0</v>
      </c>
      <c r="O6" s="5">
        <f t="shared" ref="O6:O61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1" si="12">IF((P6-Q6)&lt;0,0,(P6-Q6))</f>
        <v>0</v>
      </c>
      <c r="U6" s="5">
        <f t="shared" ref="U6:U61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1" si="14">IF((V6-W6)&lt;0,0,(V6-W6))</f>
        <v>0</v>
      </c>
      <c r="AA6" s="5">
        <f t="shared" ref="AA6:AA61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49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49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49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5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0"/>
      <c r="M62" s="5"/>
      <c r="N62" s="10"/>
      <c r="O62" s="10"/>
      <c r="P62" s="10"/>
      <c r="S62" s="5"/>
      <c r="T62" s="10"/>
      <c r="U62" s="10"/>
      <c r="V62" s="10"/>
      <c r="Y62" s="5"/>
      <c r="Z62" s="10"/>
      <c r="AA62" s="10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14:C21 C23:C31 C33:C41 C43:C51 C53:C61 C5:C12" name="Textbooks"/>
    <protectedRange sqref="J2:L3 D2:F3 H5:L5 D14:F21 Q14:R21 W14:X21 D23:F31 Q23:R31 W23:X31 D33:F41 H33:I41 Q33:R41 W33:X41 D43:F51 H43:I51 Q43:R51 W43:X51 D53:F61 H53:I61 Q53:R61 W53:X61 N5:R12 H14:I21 H23:I31 H6:I12 K6:L12 K33:L41 K43:L51 K53:L61 T5:X12 N4:P4 T4:V4 J4 Y13 N3:R3 K14:L21 K23:L31 N13:P62 P2:R2 V2:X3 T13:V62 J6:J62 Z4:AA62 D5:F12" name="LAS"/>
    <protectedRange sqref="G2:I3 M2:O2 S2:U3 Y2:AA3 G23:G31 G33:G41 G43:G51 S4:S62 G5:G12 M5:M12 M14:M62 Y5:Y12 G14:G21 Y14:Y62 M3 G53:G6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L5:L12 L14:L21 L23:L31 L33:L41 L43:L51 L53:L61 R5:R12 R14:R21 R23:R31 R33:R41 R43:R51 R53:R61 X5:X12 X14:X21 X23:X31 X33:X41 X43:X51 X53:X61 F5:F12 F14:F21 F23:F31 F33:F41 F43:F51 F53:F61" xr:uid="{4ECCD083-8EC4-42EE-B46C-B614411F330D}">
      <formula1>"2024,2025 ,2026"</formula1>
    </dataValidation>
    <dataValidation type="list" allowBlank="1" showInputMessage="1" showErrorMessage="1" sqref="M14:M62 Y14:Y62 S4:S62 G5:G12 M5:M12 Y5:Y12 G14:G21 G23:G31 G33:G41 G43:G51 G53:G6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B60" zoomScale="55" zoomScaleNormal="55" workbookViewId="0">
      <selection activeCell="L130" sqref="L13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20</v>
      </c>
      <c r="E1" s="35"/>
      <c r="F1" s="35"/>
      <c r="G1" s="35"/>
      <c r="H1" s="35"/>
      <c r="I1" s="35"/>
      <c r="J1" s="36" t="s">
        <v>21</v>
      </c>
      <c r="K1" s="36"/>
      <c r="L1" s="36"/>
      <c r="M1" s="36"/>
      <c r="N1" s="36"/>
      <c r="O1" s="36"/>
      <c r="P1" s="37" t="s">
        <v>22</v>
      </c>
      <c r="Q1" s="37"/>
      <c r="R1" s="37"/>
      <c r="S1" s="37"/>
      <c r="T1" s="37"/>
      <c r="U1" s="37"/>
      <c r="V1" s="38" t="s">
        <v>23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50</v>
      </c>
      <c r="E2" s="17" t="s">
        <v>51</v>
      </c>
      <c r="F2" s="18" t="s">
        <v>52</v>
      </c>
      <c r="G2" s="21" t="s">
        <v>53</v>
      </c>
      <c r="H2" s="14" t="s">
        <v>54</v>
      </c>
      <c r="I2" s="21" t="s">
        <v>55</v>
      </c>
      <c r="J2" s="19" t="s">
        <v>56</v>
      </c>
      <c r="K2" s="19" t="s">
        <v>57</v>
      </c>
      <c r="L2" s="20" t="s">
        <v>58</v>
      </c>
      <c r="M2" s="33" t="s">
        <v>59</v>
      </c>
      <c r="N2" s="33" t="s">
        <v>60</v>
      </c>
      <c r="O2" s="19" t="s">
        <v>61</v>
      </c>
      <c r="P2" s="21" t="s">
        <v>62</v>
      </c>
      <c r="Q2" s="21" t="s">
        <v>63</v>
      </c>
      <c r="R2" s="22" t="s">
        <v>64</v>
      </c>
      <c r="S2" s="14" t="s">
        <v>65</v>
      </c>
      <c r="T2" s="14" t="s">
        <v>66</v>
      </c>
      <c r="U2" s="21" t="s">
        <v>67</v>
      </c>
      <c r="V2" s="23" t="s">
        <v>68</v>
      </c>
      <c r="W2" s="23" t="s">
        <v>69</v>
      </c>
      <c r="X2" s="24" t="s">
        <v>70</v>
      </c>
      <c r="Y2" s="34" t="s">
        <v>71</v>
      </c>
      <c r="Z2" s="34" t="s">
        <v>72</v>
      </c>
      <c r="AA2" s="23" t="s">
        <v>73</v>
      </c>
    </row>
    <row r="3" spans="1:27" ht="38.25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65" si="0">IF((D3-E3)&lt;0,0,(D3-E3))</f>
        <v>0</v>
      </c>
      <c r="I3" s="5">
        <f t="shared" ref="I3:I65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60" si="2">IF((J3-K3)&lt;0,0,(J3-K3))</f>
        <v>0</v>
      </c>
      <c r="O3" s="5">
        <f t="shared" ref="O3:O60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65" si="4">IF((P3-Q3)&lt;0,0,(P3-Q3))</f>
        <v>0</v>
      </c>
      <c r="U3" s="5">
        <f t="shared" ref="U3:U65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65" si="6">IF((V3-W3)&lt;0,0,(V3-W3))</f>
        <v>0</v>
      </c>
      <c r="AA3" s="5">
        <f t="shared" ref="AA3:AA65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49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49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49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1">
        <v>4</v>
      </c>
      <c r="B37" s="9" t="s">
        <v>74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75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1">
        <v>4</v>
      </c>
      <c r="B40" s="9" t="s">
        <v>76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77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1">
        <v>5</v>
      </c>
      <c r="B49" s="9" t="s">
        <v>74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75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1">
        <v>5</v>
      </c>
      <c r="B52" s="9" t="s">
        <v>76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77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1">
        <v>6</v>
      </c>
      <c r="B61" s="9" t="s">
        <v>74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75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1">
        <v>6</v>
      </c>
      <c r="B64" s="9" t="s">
        <v>76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77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spans="1:27" ht="1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spans="1:27" ht="1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spans="1:27" ht="1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spans="1:27" ht="1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spans="1:27" ht="1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spans="1:27" ht="1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spans="1:27" ht="1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spans="1:27" ht="1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spans="1:27" ht="1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spans="1:27" ht="1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spans="1:27" s="7" customFormat="1" ht="15"/>
    <row r="79" spans="1:27" ht="1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spans="1:27" ht="1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spans="1:27" ht="1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spans="1:27" ht="1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spans="1:27" ht="1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spans="1:27" ht="1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spans="1:27" ht="15"/>
    <row r="86" spans="1:27" ht="15"/>
    <row r="87" spans="1:27" ht="15"/>
    <row r="88" spans="1:27" ht="15"/>
    <row r="89" spans="1:27" ht="15"/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:C10 C12:C19 C21:C29 C31:C41 C43:C53 C55:C65" name="Textbooks"/>
    <protectedRange sqref="J2:L2 D2:F10 D12:F19 D21:F29 D31:F41 D43:F53 D55:F65 H55:L65 N43:R53 N55:R65 N31:R41 P2:R10 N3:O10 V2:X10 T3:U10 N12:R19 T12:X19 H3:L10 Z3:AA10 Z12:AA19 H12:L19 N21:R29 T21:X29 Z21:AA29 H21:L29 T31:X41 Z31:AA41 H31:L41 T43:X53 Z43:AA53 H43:L53 T55:X65 Z55:AA65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L3:L10 L12:L19 L21:L29 L31:L41 L43:L53 L55:L65 R3:R10 R12:R19 R21:R29 R31:R41 R43:R53 R55:R65 X3:X10 X12:X19 X21:X29 X31:X41 X43:X53 X55:X65 F3:F10 F12:F19 F21:F29 F31:F41 F43:F53 F55:F65" xr:uid="{77F72D89-8371-4D0C-A323-BD25723C617C}">
      <formula1>"2024,2025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2026-04-07T00:40:40Z</dcterms:modified>
  <cp:category/>
  <cp:contentStatus/>
</cp:coreProperties>
</file>