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08" documentId="13_ncr:1_{BFB59F67-F0DC-4675-A682-EB0734A8026A}" xr6:coauthVersionLast="47" xr6:coauthVersionMax="47" xr10:uidLastSave="{0A59377B-9993-4BB5-8EDC-F2F7EFEB62F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<sst xmlns="http://schemas.openxmlformats.org/spreadsheetml/2006/main" count="423" uniqueCount="92">
  <si>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</si>
  <si>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</si>
  <si>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</si>
  <si>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</si>
  <si>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</si>
  <si>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</si>
  <si>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</si>
  <si>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</si>
  <si>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</si>
  <si>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</si>
  <si>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</si>
  <si>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</si>
  <si>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</si>
  <si>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</si>
  <si>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</si>
  <si>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</si>
  <si>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</si>
  <si>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SDO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</si>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</sst>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7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>
        <v>116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116</v>
      </c>
    </row>
    <row r="3" spans="1:8" ht="29.25" customHeight="1">
      <c r="A3" s="1">
        <v>1</v>
      </c>
      <c r="B3" s="2" t="s">
        <v>10</v>
      </c>
      <c r="C3" s="1"/>
      <c r="D3" s="1">
        <v>116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116</v>
      </c>
    </row>
    <row r="4" spans="1:8" ht="21" customHeight="1">
      <c r="A4" s="1">
        <v>1</v>
      </c>
      <c r="B4" s="2" t="s">
        <v>11</v>
      </c>
      <c r="C4" s="1"/>
      <c r="D4" s="1">
        <v>116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116</v>
      </c>
    </row>
    <row r="5" spans="1:8" ht="25.5" customHeight="1">
      <c r="A5" s="1">
        <v>1</v>
      </c>
      <c r="B5" s="2" t="s">
        <v>12</v>
      </c>
      <c r="C5" s="1"/>
      <c r="D5" s="1">
        <v>116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116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/>
      <c r="D22" s="1">
        <v>107</v>
      </c>
      <c r="E22" s="1">
        <v>2024</v>
      </c>
      <c r="F22" s="5" t="s">
        <v>17</v>
      </c>
      <c r="G22" s="3">
        <f t="shared" si="4"/>
        <v>0</v>
      </c>
      <c r="H22" s="4">
        <f t="shared" si="5"/>
        <v>107</v>
      </c>
    </row>
    <row r="23" spans="1:8" ht="19.5">
      <c r="A23" s="1">
        <v>4</v>
      </c>
      <c r="B23" s="9" t="s">
        <v>13</v>
      </c>
      <c r="C23" s="1"/>
      <c r="D23" s="1">
        <v>107</v>
      </c>
      <c r="E23" s="1">
        <v>2025</v>
      </c>
      <c r="F23" s="5" t="s">
        <v>17</v>
      </c>
      <c r="G23" s="3">
        <f t="shared" si="4"/>
        <v>0</v>
      </c>
      <c r="H23" s="4">
        <f t="shared" si="5"/>
        <v>107</v>
      </c>
    </row>
    <row r="24" spans="1:8" ht="27" customHeight="1">
      <c r="A24" s="1">
        <v>4</v>
      </c>
      <c r="B24" s="9" t="s">
        <v>11</v>
      </c>
      <c r="C24" s="1"/>
      <c r="D24" s="1">
        <v>107</v>
      </c>
      <c r="E24" s="1">
        <v>2025</v>
      </c>
      <c r="F24" s="5" t="s">
        <v>17</v>
      </c>
      <c r="G24" s="3">
        <f t="shared" si="4"/>
        <v>0</v>
      </c>
      <c r="H24" s="4">
        <f t="shared" si="5"/>
        <v>107</v>
      </c>
    </row>
    <row r="25" spans="1:8" ht="33.75" customHeight="1">
      <c r="A25" s="1">
        <v>4</v>
      </c>
      <c r="B25" s="9" t="s">
        <v>18</v>
      </c>
      <c r="C25" s="1"/>
      <c r="D25" s="1">
        <v>107</v>
      </c>
      <c r="E25" s="1">
        <v>2024</v>
      </c>
      <c r="F25" s="5" t="s">
        <v>17</v>
      </c>
      <c r="G25" s="3">
        <f t="shared" si="4"/>
        <v>0</v>
      </c>
      <c r="H25" s="4">
        <f t="shared" si="5"/>
        <v>107</v>
      </c>
    </row>
    <row r="26" spans="1:8" ht="33.75" customHeight="1">
      <c r="A26" s="1">
        <v>4</v>
      </c>
      <c r="B26" s="9" t="s">
        <v>14</v>
      </c>
      <c r="C26" s="1"/>
      <c r="D26" s="1">
        <v>107</v>
      </c>
      <c r="E26" s="1">
        <v>2024</v>
      </c>
      <c r="F26" s="5" t="s">
        <v>17</v>
      </c>
      <c r="G26" s="3">
        <f t="shared" si="4"/>
        <v>0</v>
      </c>
      <c r="H26" s="4">
        <f t="shared" si="5"/>
        <v>107</v>
      </c>
    </row>
    <row r="27" spans="1:8" ht="33.75" customHeight="1">
      <c r="A27" s="1">
        <v>4</v>
      </c>
      <c r="B27" s="9" t="s">
        <v>19</v>
      </c>
      <c r="C27" s="1"/>
      <c r="D27" s="1">
        <v>205</v>
      </c>
      <c r="E27" s="1">
        <v>2024</v>
      </c>
      <c r="F27" s="5" t="s">
        <v>17</v>
      </c>
      <c r="G27" s="3">
        <f t="shared" si="4"/>
        <v>0</v>
      </c>
      <c r="H27" s="4">
        <f t="shared" si="5"/>
        <v>205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>
        <v>159</v>
      </c>
      <c r="E31" s="1">
        <v>2025</v>
      </c>
      <c r="F31" s="5" t="s">
        <v>17</v>
      </c>
      <c r="G31" s="3">
        <f t="shared" ref="G31:G39" si="6">IF((C31-D31)&lt;0,0,C31-D31)</f>
        <v>0</v>
      </c>
      <c r="H31" s="4">
        <f t="shared" ref="H31:H39" si="7">IF((D31-C31)&lt;0,0,D31-C31)</f>
        <v>159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/>
      <c r="D35" s="1">
        <v>165</v>
      </c>
      <c r="E35" s="1">
        <v>2025</v>
      </c>
      <c r="F35" s="5" t="s">
        <v>17</v>
      </c>
      <c r="G35" s="3">
        <f t="shared" si="6"/>
        <v>0</v>
      </c>
      <c r="H35" s="4">
        <f t="shared" si="7"/>
        <v>165</v>
      </c>
    </row>
    <row r="36" spans="1:8" ht="27.75" customHeight="1">
      <c r="A36" s="1">
        <v>5</v>
      </c>
      <c r="B36" s="9" t="s">
        <v>14</v>
      </c>
      <c r="C36" s="1"/>
      <c r="D36" s="1">
        <v>160</v>
      </c>
      <c r="E36" s="1"/>
      <c r="F36" s="5" t="s">
        <v>17</v>
      </c>
      <c r="G36" s="3">
        <f t="shared" si="6"/>
        <v>0</v>
      </c>
      <c r="H36" s="4">
        <f t="shared" si="7"/>
        <v>160</v>
      </c>
    </row>
    <row r="37" spans="1:8" ht="27.75" customHeight="1">
      <c r="A37" s="1">
        <v>5</v>
      </c>
      <c r="B37" s="9" t="s">
        <v>19</v>
      </c>
      <c r="C37" s="1"/>
      <c r="D37" s="1">
        <v>159</v>
      </c>
      <c r="E37" s="1">
        <v>2025</v>
      </c>
      <c r="F37" s="5" t="s">
        <v>17</v>
      </c>
      <c r="G37" s="3">
        <f t="shared" si="6"/>
        <v>0</v>
      </c>
      <c r="H37" s="4">
        <f t="shared" si="7"/>
        <v>159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 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S1" zoomScale="70" zoomScaleNormal="70" workbookViewId="0">
      <selection activeCell="X5" sqref="X5:X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>
        <v>134</v>
      </c>
      <c r="F18" s="1">
        <v>2025</v>
      </c>
      <c r="G18" s="5" t="s">
        <v>9</v>
      </c>
      <c r="H18" s="5">
        <f t="shared" si="2"/>
        <v>0</v>
      </c>
      <c r="I18" s="5">
        <f t="shared" si="3"/>
        <v>134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/>
      <c r="D19" s="5">
        <f>Table1[[#This Row],[Enrolment S.Y. 2025-2026 ]]*8</f>
        <v>0</v>
      </c>
      <c r="E19" s="5">
        <v>134</v>
      </c>
      <c r="F19" s="1">
        <v>2025</v>
      </c>
      <c r="G19" s="5" t="s">
        <v>9</v>
      </c>
      <c r="H19" s="5">
        <f>IF((D19-E19)&lt;0,0,(D19-E19))</f>
        <v>0</v>
      </c>
      <c r="I19" s="5">
        <f>IF((E19-D19)&lt;0,0,(E19-D19))</f>
        <v>134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>
        <v>134</v>
      </c>
      <c r="F20" s="1">
        <v>2025</v>
      </c>
      <c r="G20" s="5" t="s">
        <v>9</v>
      </c>
      <c r="H20" s="5">
        <f>IF((D20-E20)&lt;0,0,(D20-E20))</f>
        <v>0</v>
      </c>
      <c r="I20" s="5">
        <f>IF((E20-D20)&lt;0,0,(E20-D20))</f>
        <v>134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>
        <v>139</v>
      </c>
      <c r="F26" s="1">
        <v>2025</v>
      </c>
      <c r="G26" s="5" t="s">
        <v>9</v>
      </c>
      <c r="H26" s="5">
        <f t="shared" si="2"/>
        <v>0</v>
      </c>
      <c r="I26" s="5">
        <f t="shared" si="3"/>
        <v>139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>
        <v>139</v>
      </c>
      <c r="F27" s="1">
        <v>2025</v>
      </c>
      <c r="G27" s="5" t="s">
        <v>9</v>
      </c>
      <c r="H27" s="5">
        <f t="shared" si="2"/>
        <v>0</v>
      </c>
      <c r="I27" s="5">
        <f t="shared" si="3"/>
        <v>139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>
        <v>139</v>
      </c>
      <c r="F28" s="1">
        <v>2025</v>
      </c>
      <c r="G28" s="5" t="s">
        <v>9</v>
      </c>
      <c r="H28" s="5">
        <f t="shared" si="2"/>
        <v>0</v>
      </c>
      <c r="I28" s="5">
        <f t="shared" si="3"/>
        <v>139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>
        <v>139</v>
      </c>
      <c r="F29" s="1">
        <v>2025</v>
      </c>
      <c r="G29" s="5" t="s">
        <v>9</v>
      </c>
      <c r="H29" s="5">
        <f>IF((D29-E29)&lt;0,0,(D29-E29))</f>
        <v>0</v>
      </c>
      <c r="I29" s="5">
        <f>IF((E29-D29)&lt;0,0,(E29-D29))</f>
        <v>139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/>
      <c r="D41" s="5">
        <f>Table1[[#This Row],[Enrolment S.Y. 2025-2026 ]]*8</f>
        <v>0</v>
      </c>
      <c r="E41" s="5">
        <v>201</v>
      </c>
      <c r="F41" s="1">
        <v>2025</v>
      </c>
      <c r="G41" s="5" t="s">
        <v>17</v>
      </c>
      <c r="H41" s="5">
        <f t="shared" si="2"/>
        <v>0</v>
      </c>
      <c r="I41" s="5">
        <f t="shared" si="3"/>
        <v>201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>
        <v>109</v>
      </c>
      <c r="F43" s="1">
        <v>2025</v>
      </c>
      <c r="G43" s="5" t="s">
        <v>9</v>
      </c>
      <c r="H43" s="5">
        <f t="shared" si="2"/>
        <v>0</v>
      </c>
      <c r="I43" s="5">
        <f t="shared" si="3"/>
        <v>109</v>
      </c>
      <c r="J43" s="5">
        <f>Table1[[#This Row],[Enrolment S.Y. 2025-2026 ]]*8</f>
        <v>0</v>
      </c>
      <c r="K43" s="5">
        <v>151</v>
      </c>
      <c r="L43" s="1">
        <v>2025</v>
      </c>
      <c r="M43" s="5" t="s">
        <v>9</v>
      </c>
      <c r="N43" s="5">
        <f t="shared" si="10"/>
        <v>0</v>
      </c>
      <c r="O43" s="5">
        <f t="shared" si="11"/>
        <v>151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/>
      <c r="D44" s="5">
        <f>Table1[[#This Row],[Enrolment S.Y. 2025-2026 ]]*8</f>
        <v>0</v>
      </c>
      <c r="E44" s="5">
        <v>109</v>
      </c>
      <c r="F44" s="1">
        <v>2025</v>
      </c>
      <c r="G44" s="5" t="s">
        <v>9</v>
      </c>
      <c r="H44" s="5">
        <f t="shared" si="2"/>
        <v>0</v>
      </c>
      <c r="I44" s="5">
        <f t="shared" si="3"/>
        <v>109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>
        <v>109</v>
      </c>
      <c r="F45" s="1">
        <v>2025</v>
      </c>
      <c r="G45" s="5" t="s">
        <v>9</v>
      </c>
      <c r="H45" s="5">
        <f t="shared" si="2"/>
        <v>0</v>
      </c>
      <c r="I45" s="5">
        <f t="shared" si="3"/>
        <v>109</v>
      </c>
      <c r="J45" s="5">
        <f>Table1[[#This Row],[Enrolment S.Y. 2025-2026 ]]*8</f>
        <v>0</v>
      </c>
      <c r="K45" s="5">
        <v>151</v>
      </c>
      <c r="L45" s="1">
        <v>2025</v>
      </c>
      <c r="M45" s="5" t="s">
        <v>9</v>
      </c>
      <c r="N45" s="5">
        <f t="shared" si="10"/>
        <v>0</v>
      </c>
      <c r="O45" s="5">
        <f t="shared" si="11"/>
        <v>151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>
        <v>109</v>
      </c>
      <c r="F47" s="1">
        <v>2025</v>
      </c>
      <c r="G47" s="5" t="s">
        <v>9</v>
      </c>
      <c r="H47" s="5">
        <f t="shared" si="2"/>
        <v>0</v>
      </c>
      <c r="I47" s="5">
        <f t="shared" si="3"/>
        <v>109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>
        <v>109</v>
      </c>
      <c r="F48" s="1">
        <v>2025</v>
      </c>
      <c r="G48" s="5" t="s">
        <v>9</v>
      </c>
      <c r="H48" s="5">
        <f t="shared" si="2"/>
        <v>0</v>
      </c>
      <c r="I48" s="5">
        <f t="shared" si="3"/>
        <v>109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>
        <v>109</v>
      </c>
      <c r="F49" s="1">
        <v>2025</v>
      </c>
      <c r="G49" s="5" t="s">
        <v>9</v>
      </c>
      <c r="H49" s="5">
        <f t="shared" si="2"/>
        <v>0</v>
      </c>
      <c r="I49" s="5">
        <f t="shared" si="3"/>
        <v>109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>
        <v>109</v>
      </c>
      <c r="F50" s="1">
        <v>2025</v>
      </c>
      <c r="G50" s="5" t="s">
        <v>9</v>
      </c>
      <c r="H50" s="5">
        <f t="shared" si="2"/>
        <v>0</v>
      </c>
      <c r="I50" s="5">
        <f t="shared" si="3"/>
        <v>109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>
        <v>109</v>
      </c>
      <c r="F51" s="1">
        <v>2025</v>
      </c>
      <c r="G51" s="5" t="s">
        <v>9</v>
      </c>
      <c r="H51" s="5">
        <f t="shared" si="2"/>
        <v>0</v>
      </c>
      <c r="I51" s="5">
        <f t="shared" si="3"/>
        <v>109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5">
      <c r="J102" s="13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Q14:R21 W14:X21 D23:F3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14:L21 K23:L31 Q112:R126 P2:R2 V2:X3 N13:P126 T13:V127 J6:J127 D5:F12 N5:R12 T5:X12 N4:P4 T4:V4 J4 Z4:AA127 N3:R3 Y13 D43:F51 K43:L51 D14:F21" name="LAS"/>
    <protectedRange sqref="G2:I3 M2:O2 S2:U3 Y2:AA3 G112:G127 M112:M127 S112:S127 Y112:Y127 G5:G12 M5:M12 S4:S110 Y5:Y12 M3 Y14:Y110 G23:G31 G33:G41 G53:G61 G63:G71 G73:G81 G83:G91 G93:G101 G103:G110 G43:G51 M14:M91 G14:G21 M103:M110 M93:M101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5:X12 L73:L81 L63:L71 L53:L61 L43:L51 L33:L41 L23:L31 L14:L21 L5:L12 R5:R12 R14:R21 R23:R31 R33:R41 R43:R51 R53:R61 R63:R71 R73:R81 R83:R91 R93:R101 R103:R110 R112:R127 X112:X127 X103:X110 X93:X101 X83:X91 X73:X81 X63:X71 X53:X61 X43:X51 X33:X41 X23:X31" xr:uid="{4ECCD083-8EC4-42EE-B46C-B614411F330D}">
      <formula1>"2024,2025 ,2026"</formula1>
    </dataValidation>
    <dataValidation type="list" allowBlank="1" showInputMessage="1" showErrorMessage="1" sqref="G43:G51 Y14:Y110 S4:S110 G5:G12 M5:M12 Y5:Y12 G14:G21 G23:G31 G33:G41 G103:G110 G53:G61 G63:G71 G73:G81 G83:G91 G93:G101 M103:M110 M14:M91 M93:M101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103:L110 L112:L127 L93:L101" xr:uid="{4A554C81-E53B-48A5-B149-91CF817305D4}">
      <formula1>"2024,2025  ,2026"</formula1>
    </dataValidation>
    <dataValidation type="list" allowBlank="1" showInputMessage="1" showErrorMessage="1" sqref="L83:L91 X14:X21" xr:uid="{3432B862-1BBC-4670-8285-A4DAFBE41EAA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146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>
        <v>29</v>
      </c>
      <c r="L55" s="1">
        <v>2025</v>
      </c>
      <c r="M55" s="5" t="s">
        <v>17</v>
      </c>
      <c r="N55" s="5">
        <f t="shared" si="2"/>
        <v>0</v>
      </c>
      <c r="O55" s="5">
        <f t="shared" si="3"/>
        <v>29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>
        <v>29</v>
      </c>
      <c r="L56" s="1">
        <v>2025</v>
      </c>
      <c r="M56" s="5" t="s">
        <v>17</v>
      </c>
      <c r="N56" s="5">
        <f t="shared" si="2"/>
        <v>0</v>
      </c>
      <c r="O56" s="5">
        <f t="shared" si="3"/>
        <v>29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>
        <v>29</v>
      </c>
      <c r="L57" s="1">
        <v>2025</v>
      </c>
      <c r="M57" s="5" t="s">
        <v>17</v>
      </c>
      <c r="N57" s="5">
        <f t="shared" si="2"/>
        <v>0</v>
      </c>
      <c r="O57" s="5">
        <f t="shared" si="3"/>
        <v>29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T67:X77 Z67:AA77 H67:L77 T79:X89 Z79:AA89 H79:L89 T91:X101 Z91:AA101 H91:L101 T103:X113 Z103:AA113 H103:L113 N115:R122 T115:X122 Z115:AA122 H115:L122 D103:F113 N31:R41 N43:R53 N55:R65 N67:R77 N79:R89 N91:R101 N103:R113 H55:L65" name="LAS"/>
    <protectedRange sqref="G2:I2 M2:O2 S2:U2 Y2:AA2 G3:G10 M3:M10 S3:S10 Y3:Y10 Y12:Y19 G12:G19 M12:M19 S12:S19 Y21:Y29 G21:G29 M21:M29 S21:S29 Y31:Y41 G31:G41 M31:M41 S31:S41 Y43:Y53 G43:G53 M43:M53 S43:S53 Y55:Y65 G55:G65 S55:S65 Y67:Y77 G67:G77 M67:M77 S67:S77 Y79:Y89 G79:G89 M79:M89 S79:S89 Y91:Y101 G91:G101 M91:M101 S91:S101 Y103:Y113 G103:G113 M103:M113 S103:S113 Y115:Y122 G115:G122 M115:M122 S115:S122 M55:M65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115:M122 M67:M77 G67:G77 Y67:Y77 S67:S77 S79:S89 M79:M89 G79:G89 Y79:Y89 Y91:Y101 S91:S101 M91:M101 G91:G101 G103:G113 Y103:Y113 S103:S113 M103:M113 M55:M65" xr:uid="{CBD486C7-A5DB-48F1-B496-5027CC51E830}">
      <formula1>"CO,RO,SDO,LGU,SCHOOL"</formula1>
    </dataValidation>
    <dataValidation type="list" allowBlank="1" showInputMessage="1" showErrorMessage="1" sqref="X3:X10" xr:uid="{77F72D89-8371-4D0C-A323-BD25723C617C}">
      <formula1>"2024,2025 ,2026"</formula1>
    </dataValidation>
    <dataValidation type="list" allowBlank="1" showInputMessage="1" showErrorMessage="1" sqref="F3:F10 F12:F19 F21:F29 F31:F41 F43:F53 F55:F65 F67:F77 F79:F89 F91:F101" xr:uid="{2925F9F6-E6AA-4C2E-854F-167B25862665}">
      <formula1>"2024,2025 ,2026"</formula1>
    </dataValidation>
    <dataValidation type="list" allowBlank="1" showInputMessage="1" showErrorMessage="1" sqref="F103:F113 F115:F122 L115:L122 L103:L113 L91:L101 L79:L89 L67:L77 L55:L65 L43:L53 L31:L41 L21:L29 L12:L19 L3:L10 R3:R10 R12:R19 R21:R29 R31:R41 R43:R53 R55:R65 R67:R77 R79:R89 R91:R101 R103:R113 R115:R122 X115:X122 X103:X113 X91:X101 X79:X89 X67:X77 X55:X65 X43:X53 X31:X41 X21:X29 X12:X19" xr:uid="{901DF4BF-6586-45EC-A876-BFD145F9AD8B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2026-03-03T02:36:45Z</dcterms:modified>
  <cp:category/>
  <cp:contentStatus/>
</cp:coreProperties>
</file>