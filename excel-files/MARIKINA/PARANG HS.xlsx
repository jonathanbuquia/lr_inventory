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2" documentId="13_ncr:1_{BFB59F67-F0DC-4675-A682-EB0734A8026A}" xr6:coauthVersionLast="47" xr6:coauthVersionMax="47" xr10:uidLastSave="{44FDEDD1-8929-4386-BF5F-170FAEA0DBAC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<sst xmlns="http://schemas.openxmlformats.org/spreadsheetml/2006/main" count="420" uniqueCount="92">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</sst>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3" activePane="topRight" state="frozen"/>
      <selection pane="topRight" activeCell="E81" sqref="E8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834</v>
      </c>
      <c r="D51" s="10">
        <v>928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94</v>
      </c>
    </row>
    <row r="52" spans="1:8" ht="27.75" customHeight="1">
      <c r="A52" s="10">
        <v>7</v>
      </c>
      <c r="B52" s="11" t="s">
        <v>15</v>
      </c>
      <c r="C52" s="10">
        <v>834</v>
      </c>
      <c r="D52" s="10">
        <v>928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94</v>
      </c>
    </row>
    <row r="53" spans="1:8" ht="27.75" customHeight="1">
      <c r="A53" s="10">
        <v>7</v>
      </c>
      <c r="B53" s="11" t="s">
        <v>12</v>
      </c>
      <c r="C53" s="10">
        <v>834</v>
      </c>
      <c r="D53" s="10">
        <v>928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94</v>
      </c>
    </row>
    <row r="54" spans="1:8" ht="27.75" customHeight="1">
      <c r="A54" s="10">
        <v>7</v>
      </c>
      <c r="B54" s="11" t="s">
        <v>21</v>
      </c>
      <c r="C54" s="10">
        <v>834</v>
      </c>
      <c r="D54" s="10">
        <v>0</v>
      </c>
      <c r="E54" s="10"/>
      <c r="F54" s="12"/>
      <c r="G54" s="3">
        <f t="shared" si="10"/>
        <v>834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834</v>
      </c>
      <c r="D55" s="10">
        <v>928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94</v>
      </c>
    </row>
    <row r="56" spans="1:8" ht="27.75" customHeight="1">
      <c r="A56" s="10">
        <v>7</v>
      </c>
      <c r="B56" s="11" t="s">
        <v>13</v>
      </c>
      <c r="C56" s="10">
        <v>834</v>
      </c>
      <c r="D56" s="10">
        <v>928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94</v>
      </c>
    </row>
    <row r="57" spans="1:8" ht="27.75" customHeight="1">
      <c r="A57" s="10">
        <v>7</v>
      </c>
      <c r="B57" s="11" t="s">
        <v>17</v>
      </c>
      <c r="C57" s="10">
        <v>834</v>
      </c>
      <c r="D57" s="10">
        <v>928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94</v>
      </c>
    </row>
    <row r="58" spans="1:8" ht="27.75" customHeight="1">
      <c r="A58" s="10">
        <v>7</v>
      </c>
      <c r="B58" s="11" t="s">
        <v>22</v>
      </c>
      <c r="C58" s="10">
        <v>834</v>
      </c>
      <c r="D58" s="10">
        <v>928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94</v>
      </c>
    </row>
    <row r="59" spans="1:8" ht="27.75" customHeight="1">
      <c r="A59" s="10">
        <v>7</v>
      </c>
      <c r="B59" s="11" t="s">
        <v>19</v>
      </c>
      <c r="C59" s="10">
        <v>834</v>
      </c>
      <c r="D59" s="10">
        <v>928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94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866</v>
      </c>
      <c r="D61" s="10">
        <v>0</v>
      </c>
      <c r="E61" s="10"/>
      <c r="F61" s="12"/>
      <c r="G61" s="3">
        <f t="shared" ref="G61:G69" si="12">IF((C61-D61)&lt;0,0,C61-D61)</f>
        <v>866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866</v>
      </c>
      <c r="D62" s="10">
        <v>0</v>
      </c>
      <c r="E62" s="10"/>
      <c r="F62" s="12"/>
      <c r="G62" s="3">
        <f t="shared" si="12"/>
        <v>866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866</v>
      </c>
      <c r="D63" s="10">
        <v>841</v>
      </c>
      <c r="E63" s="10">
        <v>2025</v>
      </c>
      <c r="F63" s="12" t="s">
        <v>20</v>
      </c>
      <c r="G63" s="3">
        <f t="shared" si="12"/>
        <v>25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866</v>
      </c>
      <c r="D64" s="10">
        <v>841</v>
      </c>
      <c r="E64" s="10">
        <v>2025</v>
      </c>
      <c r="F64" s="12" t="s">
        <v>20</v>
      </c>
      <c r="G64" s="3">
        <f t="shared" si="12"/>
        <v>25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866</v>
      </c>
      <c r="D65" s="10">
        <v>0</v>
      </c>
      <c r="E65" s="10"/>
      <c r="F65" s="12"/>
      <c r="G65" s="3">
        <f t="shared" si="12"/>
        <v>866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866</v>
      </c>
      <c r="D66" s="10">
        <v>841</v>
      </c>
      <c r="E66" s="10">
        <v>2025</v>
      </c>
      <c r="F66" s="12" t="s">
        <v>20</v>
      </c>
      <c r="G66" s="3">
        <f t="shared" si="12"/>
        <v>25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866</v>
      </c>
      <c r="D67" s="10">
        <v>0</v>
      </c>
      <c r="E67" s="10"/>
      <c r="F67" s="12"/>
      <c r="G67" s="3">
        <f t="shared" si="12"/>
        <v>866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866</v>
      </c>
      <c r="D68" s="10">
        <v>0</v>
      </c>
      <c r="E68" s="10"/>
      <c r="F68" s="12"/>
      <c r="G68" s="3">
        <f t="shared" si="12"/>
        <v>866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866</v>
      </c>
      <c r="D69" s="10">
        <v>0</v>
      </c>
      <c r="E69" s="10"/>
      <c r="F69" s="12"/>
      <c r="G69" s="3">
        <f t="shared" si="12"/>
        <v>866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663</v>
      </c>
      <c r="D71" s="10">
        <v>0</v>
      </c>
      <c r="E71" s="10"/>
      <c r="F71" s="12"/>
      <c r="G71" s="3">
        <f t="shared" ref="G71:G79" si="14">IF((C71-D71)&lt;0,0,C71-D71)</f>
        <v>663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787</v>
      </c>
      <c r="D81" s="10">
        <v>0</v>
      </c>
      <c r="E81" s="10"/>
      <c r="F81" s="12"/>
      <c r="G81" s="3">
        <f t="shared" ref="G81:G89" si="16">IF((C81-D81)&lt;0,0,C81-D81)</f>
        <v>787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665</v>
      </c>
      <c r="D91" s="1">
        <v>911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246</v>
      </c>
    </row>
    <row r="92" spans="1:8" ht="27.75" customHeight="1">
      <c r="A92" s="1" t="s">
        <v>24</v>
      </c>
      <c r="B92" s="9" t="s">
        <v>26</v>
      </c>
      <c r="C92" s="1">
        <v>655</v>
      </c>
      <c r="D92" s="1">
        <v>911</v>
      </c>
      <c r="E92" s="1">
        <v>2024</v>
      </c>
      <c r="F92" s="5" t="s">
        <v>20</v>
      </c>
      <c r="G92" s="3">
        <f t="shared" si="18"/>
        <v>0</v>
      </c>
      <c r="H92" s="4">
        <f t="shared" si="19"/>
        <v>256</v>
      </c>
    </row>
    <row r="93" spans="1:8" ht="27.75" customHeight="1">
      <c r="A93" s="1" t="s">
        <v>24</v>
      </c>
      <c r="B93" s="9" t="s">
        <v>27</v>
      </c>
      <c r="C93" s="1">
        <v>655</v>
      </c>
      <c r="D93" s="1">
        <v>911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256</v>
      </c>
    </row>
    <row r="94" spans="1:8" ht="27.75" customHeight="1">
      <c r="A94" s="1" t="s">
        <v>24</v>
      </c>
      <c r="B94" s="9" t="s">
        <v>28</v>
      </c>
      <c r="C94" s="1">
        <v>665</v>
      </c>
      <c r="D94" s="1">
        <v>911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246</v>
      </c>
    </row>
    <row r="95" spans="1:8" ht="40.5" customHeight="1">
      <c r="A95" s="1" t="s">
        <v>24</v>
      </c>
      <c r="B95" s="9" t="s">
        <v>29</v>
      </c>
      <c r="C95" s="1">
        <v>665</v>
      </c>
      <c r="D95" s="1">
        <v>911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246</v>
      </c>
    </row>
    <row r="96" spans="1:8" ht="38.25" customHeight="1">
      <c r="A96" s="1" t="s">
        <v>24</v>
      </c>
      <c r="B96" s="9" t="s">
        <v>30</v>
      </c>
      <c r="C96" s="1">
        <v>665</v>
      </c>
      <c r="D96" s="1">
        <v>911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246</v>
      </c>
    </row>
    <row r="97" spans="1:8" ht="27.75" customHeight="1">
      <c r="A97" s="1" t="s">
        <v>24</v>
      </c>
      <c r="B97" s="9" t="s">
        <v>31</v>
      </c>
      <c r="C97" s="1">
        <v>665</v>
      </c>
      <c r="D97" s="1">
        <v>911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246</v>
      </c>
    </row>
    <row r="98" spans="1:8" ht="47.25" customHeight="1">
      <c r="A98" s="1" t="s">
        <v>24</v>
      </c>
      <c r="B98" s="9" t="s">
        <v>32</v>
      </c>
      <c r="C98" s="1">
        <v>665</v>
      </c>
      <c r="D98" s="1">
        <v>911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246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3" zoomScale="70" zoomScaleNormal="70" workbookViewId="0">
      <selection activeCell="F76" sqref="F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M1" zoomScale="55" zoomScaleNormal="55" workbookViewId="0">
      <selection activeCell="S8" sqref="S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139</v>
      </c>
      <c r="X91" s="10">
        <v>2025</v>
      </c>
      <c r="Y91" s="12" t="s">
        <v>91</v>
      </c>
      <c r="Z91" s="12">
        <f t="shared" si="18"/>
        <v>0</v>
      </c>
      <c r="AA91" s="12">
        <f t="shared" si="19"/>
        <v>139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>
        <v>139</v>
      </c>
      <c r="L92" s="10">
        <v>2025</v>
      </c>
      <c r="M92" s="12" t="s">
        <v>91</v>
      </c>
      <c r="N92" s="12">
        <f t="shared" si="20"/>
        <v>0</v>
      </c>
      <c r="O92" s="12">
        <f t="shared" si="21"/>
        <v>139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>
        <v>112</v>
      </c>
      <c r="X92" s="10">
        <v>2025</v>
      </c>
      <c r="Y92" s="12" t="s">
        <v>91</v>
      </c>
      <c r="Z92" s="12">
        <f t="shared" si="18"/>
        <v>0</v>
      </c>
      <c r="AA92" s="12">
        <f t="shared" si="19"/>
        <v>112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>
        <v>278</v>
      </c>
      <c r="L93" s="10">
        <v>2025</v>
      </c>
      <c r="M93" s="12" t="s">
        <v>91</v>
      </c>
      <c r="N93" s="12">
        <f t="shared" si="20"/>
        <v>0</v>
      </c>
      <c r="O93" s="12">
        <f t="shared" si="21"/>
        <v>278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139</v>
      </c>
      <c r="X97" s="10">
        <v>2025</v>
      </c>
      <c r="Y97" s="12" t="s">
        <v>91</v>
      </c>
      <c r="Z97" s="12">
        <f>IF((V97-W97)&lt;0,0,(V97-W97))</f>
        <v>0</v>
      </c>
      <c r="AA97" s="12">
        <f>IF((W97-V97)&lt;0,0,(W97-V97))</f>
        <v>139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>
        <v>140</v>
      </c>
      <c r="L103" s="10">
        <v>2025</v>
      </c>
      <c r="M103" s="12" t="s">
        <v>91</v>
      </c>
      <c r="N103" s="12">
        <f t="shared" si="20"/>
        <v>0</v>
      </c>
      <c r="O103" s="12">
        <f t="shared" si="21"/>
        <v>140</v>
      </c>
      <c r="P103" s="12">
        <f>Table14[[#This Row],[Enrolment S.Y. 2025-2026 ]]*8</f>
        <v>0</v>
      </c>
      <c r="Q103" s="12">
        <v>139</v>
      </c>
      <c r="R103" s="10">
        <v>2025</v>
      </c>
      <c r="S103" s="12" t="s">
        <v>91</v>
      </c>
      <c r="T103" s="12">
        <f t="shared" si="16"/>
        <v>0</v>
      </c>
      <c r="U103" s="12">
        <f t="shared" si="17"/>
        <v>139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>
        <v>395</v>
      </c>
      <c r="L104" s="10">
        <v>2025</v>
      </c>
      <c r="M104" s="12" t="s">
        <v>91</v>
      </c>
      <c r="N104" s="12">
        <f t="shared" si="20"/>
        <v>0</v>
      </c>
      <c r="O104" s="12">
        <f t="shared" si="21"/>
        <v>395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>
        <v>2025</v>
      </c>
      <c r="S108" s="12" t="s">
        <v>91</v>
      </c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>
        <v>700</v>
      </c>
      <c r="X108" s="10">
        <v>2025</v>
      </c>
      <c r="Y108" s="12" t="s">
        <v>91</v>
      </c>
      <c r="Z108" s="12">
        <f t="shared" si="18"/>
        <v>0</v>
      </c>
      <c r="AA108" s="12">
        <f t="shared" si="19"/>
        <v>700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>
        <v>2025</v>
      </c>
      <c r="S109" s="12" t="s">
        <v>91</v>
      </c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>
        <v>139</v>
      </c>
      <c r="X109" s="10">
        <v>2025</v>
      </c>
      <c r="Y109" s="12" t="s">
        <v>91</v>
      </c>
      <c r="Z109" s="12">
        <f>IF((V109-W109)&lt;0,0,(V109-W109))</f>
        <v>0</v>
      </c>
      <c r="AA109" s="12">
        <f>IF((W109-V109)&lt;0,0,(W109-V109))</f>
        <v>139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>
        <v>2025</v>
      </c>
      <c r="S110" s="12" t="s">
        <v>91</v>
      </c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Rosela Limba?a</cp:lastModifiedBy>
  <cp:revision/>
  <dcterms:created xsi:type="dcterms:W3CDTF">2025-11-19T20:48:15Z</dcterms:created>
  <dcterms:modified xsi:type="dcterms:W3CDTF">2026-01-23T04:01:18Z</dcterms:modified>
  <cp:category/>
  <cp:contentStatus/>
</cp:coreProperties>
</file>