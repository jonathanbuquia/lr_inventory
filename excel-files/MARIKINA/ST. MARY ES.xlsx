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8" documentId="13_ncr:1_{BFB59F67-F0DC-4675-A682-EB0734A8026A}" xr6:coauthVersionLast="47" xr6:coauthVersionMax="47" xr10:uidLastSave="{52125729-901C-4B4C-BD4A-5408EAABFEB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<sst xmlns="http://schemas.openxmlformats.org/spreadsheetml/2006/main" count="423" uniqueCount="92">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</sst>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8" activePane="topRight" state="frozen"/>
      <selection pane="topRight" activeCell="F36" sqref="F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116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116</v>
      </c>
    </row>
    <row r="3" spans="1:8" ht="29.25" customHeight="1">
      <c r="A3" s="1">
        <v>1</v>
      </c>
      <c r="B3" s="2" t="s">
        <v>10</v>
      </c>
      <c r="C3" s="1"/>
      <c r="D3" s="1">
        <v>116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116</v>
      </c>
    </row>
    <row r="4" spans="1:8" ht="21" customHeight="1">
      <c r="A4" s="1">
        <v>1</v>
      </c>
      <c r="B4" s="2" t="s">
        <v>11</v>
      </c>
      <c r="C4" s="1"/>
      <c r="D4" s="1">
        <v>116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116</v>
      </c>
    </row>
    <row r="5" spans="1:8" ht="25.5" customHeight="1">
      <c r="A5" s="1">
        <v>1</v>
      </c>
      <c r="B5" s="2" t="s">
        <v>12</v>
      </c>
      <c r="C5" s="1"/>
      <c r="D5" s="1">
        <v>116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116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>
        <v>107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107</v>
      </c>
    </row>
    <row r="23" spans="1:8" ht="19.5">
      <c r="A23" s="1">
        <v>4</v>
      </c>
      <c r="B23" s="9" t="s">
        <v>13</v>
      </c>
      <c r="C23" s="1"/>
      <c r="D23" s="1">
        <v>107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107</v>
      </c>
    </row>
    <row r="24" spans="1:8" ht="27" customHeight="1">
      <c r="A24" s="1">
        <v>4</v>
      </c>
      <c r="B24" s="9" t="s">
        <v>11</v>
      </c>
      <c r="C24" s="1"/>
      <c r="D24" s="1">
        <v>107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107</v>
      </c>
    </row>
    <row r="25" spans="1:8" ht="33.75" customHeight="1">
      <c r="A25" s="1">
        <v>4</v>
      </c>
      <c r="B25" s="9" t="s">
        <v>18</v>
      </c>
      <c r="C25" s="1"/>
      <c r="D25" s="1">
        <v>107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107</v>
      </c>
    </row>
    <row r="26" spans="1:8" ht="33.75" customHeight="1">
      <c r="A26" s="1">
        <v>4</v>
      </c>
      <c r="B26" s="9" t="s">
        <v>14</v>
      </c>
      <c r="C26" s="1"/>
      <c r="D26" s="1">
        <v>107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107</v>
      </c>
    </row>
    <row r="27" spans="1:8" ht="33.75" customHeight="1">
      <c r="A27" s="1">
        <v>4</v>
      </c>
      <c r="B27" s="9" t="s">
        <v>19</v>
      </c>
      <c r="C27" s="1"/>
      <c r="D27" s="1">
        <v>205</v>
      </c>
      <c r="E27" s="1">
        <v>2024</v>
      </c>
      <c r="F27" s="5" t="s">
        <v>17</v>
      </c>
      <c r="G27" s="3">
        <f t="shared" si="4"/>
        <v>0</v>
      </c>
      <c r="H27" s="4">
        <f t="shared" si="5"/>
        <v>205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>
        <v>159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159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/>
      <c r="D35" s="1">
        <v>165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165</v>
      </c>
    </row>
    <row r="36" spans="1:8" ht="27.75" customHeight="1">
      <c r="A36" s="1">
        <v>5</v>
      </c>
      <c r="B36" s="9" t="s">
        <v>14</v>
      </c>
      <c r="C36" s="1"/>
      <c r="D36" s="1">
        <v>160</v>
      </c>
      <c r="E36" s="1"/>
      <c r="F36" s="5" t="s">
        <v>17</v>
      </c>
      <c r="G36" s="3">
        <f t="shared" si="6"/>
        <v>0</v>
      </c>
      <c r="H36" s="4">
        <f t="shared" si="7"/>
        <v>160</v>
      </c>
    </row>
    <row r="37" spans="1:8" ht="27.75" customHeight="1">
      <c r="A37" s="1">
        <v>5</v>
      </c>
      <c r="B37" s="9" t="s">
        <v>19</v>
      </c>
      <c r="C37" s="1"/>
      <c r="D37" s="1">
        <v>159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159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7" zoomScale="70" zoomScaleNormal="70" workbookViewId="0">
      <selection activeCell="E20" sqref="E2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134</v>
      </c>
      <c r="F18" s="1">
        <v>2025</v>
      </c>
      <c r="G18" s="5" t="s">
        <v>9</v>
      </c>
      <c r="H18" s="5">
        <f t="shared" si="2"/>
        <v>0</v>
      </c>
      <c r="I18" s="5">
        <f t="shared" si="3"/>
        <v>134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>
        <v>134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134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134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134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139</v>
      </c>
      <c r="F26" s="1">
        <v>2025</v>
      </c>
      <c r="G26" s="5" t="s">
        <v>9</v>
      </c>
      <c r="H26" s="5">
        <f t="shared" si="2"/>
        <v>0</v>
      </c>
      <c r="I26" s="5">
        <f t="shared" si="3"/>
        <v>139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139</v>
      </c>
      <c r="F27" s="1">
        <v>2025</v>
      </c>
      <c r="G27" s="5" t="s">
        <v>9</v>
      </c>
      <c r="H27" s="5">
        <f t="shared" si="2"/>
        <v>0</v>
      </c>
      <c r="I27" s="5">
        <f t="shared" si="3"/>
        <v>139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139</v>
      </c>
      <c r="F28" s="1">
        <v>2025</v>
      </c>
      <c r="G28" s="5" t="s">
        <v>9</v>
      </c>
      <c r="H28" s="5">
        <f t="shared" si="2"/>
        <v>0</v>
      </c>
      <c r="I28" s="5">
        <f t="shared" si="3"/>
        <v>139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139</v>
      </c>
      <c r="F29" s="1">
        <v>2025</v>
      </c>
      <c r="G29" s="5" t="s">
        <v>9</v>
      </c>
      <c r="H29" s="5">
        <f>IF((D29-E29)&lt;0,0,(D29-E29))</f>
        <v>0</v>
      </c>
      <c r="I29" s="5">
        <f>IF((E29-D29)&lt;0,0,(E29-D29))</f>
        <v>139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/>
      <c r="D41" s="5">
        <f>Table1[[#This Row],[Enrolment S.Y. 2025-2026 ]]*8</f>
        <v>0</v>
      </c>
      <c r="E41" s="5">
        <v>201</v>
      </c>
      <c r="F41" s="1">
        <v>2025</v>
      </c>
      <c r="G41" s="5" t="s">
        <v>17</v>
      </c>
      <c r="H41" s="5">
        <f t="shared" si="2"/>
        <v>0</v>
      </c>
      <c r="I41" s="5">
        <f t="shared" si="3"/>
        <v>201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109</v>
      </c>
      <c r="F43" s="1">
        <v>2025</v>
      </c>
      <c r="G43" s="5" t="s">
        <v>9</v>
      </c>
      <c r="H43" s="5">
        <f t="shared" si="2"/>
        <v>0</v>
      </c>
      <c r="I43" s="5">
        <f t="shared" si="3"/>
        <v>109</v>
      </c>
      <c r="J43" s="5">
        <f>Table1[[#This Row],[Enrolment S.Y. 2025-2026 ]]*8</f>
        <v>0</v>
      </c>
      <c r="K43" s="5">
        <v>151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151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>
        <v>109</v>
      </c>
      <c r="F44" s="1">
        <v>2025</v>
      </c>
      <c r="G44" s="5" t="s">
        <v>9</v>
      </c>
      <c r="H44" s="5">
        <f t="shared" si="2"/>
        <v>0</v>
      </c>
      <c r="I44" s="5">
        <f t="shared" si="3"/>
        <v>109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109</v>
      </c>
      <c r="F45" s="1">
        <v>2025</v>
      </c>
      <c r="G45" s="5" t="s">
        <v>9</v>
      </c>
      <c r="H45" s="5">
        <f t="shared" si="2"/>
        <v>0</v>
      </c>
      <c r="I45" s="5">
        <f t="shared" si="3"/>
        <v>109</v>
      </c>
      <c r="J45" s="5">
        <f>Table1[[#This Row],[Enrolment S.Y. 2025-2026 ]]*8</f>
        <v>0</v>
      </c>
      <c r="K45" s="5">
        <v>151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151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>
        <v>109</v>
      </c>
      <c r="F47" s="1">
        <v>2025</v>
      </c>
      <c r="G47" s="5" t="s">
        <v>9</v>
      </c>
      <c r="H47" s="5">
        <f t="shared" si="2"/>
        <v>0</v>
      </c>
      <c r="I47" s="5">
        <f t="shared" si="3"/>
        <v>109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109</v>
      </c>
      <c r="F48" s="1">
        <v>2025</v>
      </c>
      <c r="G48" s="5" t="s">
        <v>9</v>
      </c>
      <c r="H48" s="5">
        <f t="shared" si="2"/>
        <v>0</v>
      </c>
      <c r="I48" s="5">
        <f t="shared" si="3"/>
        <v>109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>
        <v>109</v>
      </c>
      <c r="F49" s="1">
        <v>2025</v>
      </c>
      <c r="G49" s="5" t="s">
        <v>9</v>
      </c>
      <c r="H49" s="5">
        <f t="shared" si="2"/>
        <v>0</v>
      </c>
      <c r="I49" s="5">
        <f t="shared" si="3"/>
        <v>109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>
        <v>109</v>
      </c>
      <c r="F50" s="1">
        <v>2025</v>
      </c>
      <c r="G50" s="5" t="s">
        <v>9</v>
      </c>
      <c r="H50" s="5">
        <f t="shared" si="2"/>
        <v>0</v>
      </c>
      <c r="I50" s="5">
        <f t="shared" si="3"/>
        <v>109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>
        <v>109</v>
      </c>
      <c r="F51" s="1">
        <v>2025</v>
      </c>
      <c r="G51" s="5" t="s">
        <v>9</v>
      </c>
      <c r="H51" s="5">
        <f t="shared" si="2"/>
        <v>0</v>
      </c>
      <c r="I51" s="5">
        <f t="shared" si="3"/>
        <v>109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3 N13:P126 T13:V127 J6:J127 D5:F12 N5:R12 T5:X12 N4:P4 T4:V4 J4 Z4:AA127 N3:R3 Y13 D43:F51 K43:L51 D14:F21" name="LAS"/>
    <protectedRange sqref="G2:I3 M2:O2 S2:U3 Y2:AA3 G112:G127 M112:M127 S112:S127 Y112:Y127 G5:G12 M5:M12 S4:S110 Y5:Y12 M3 Y14:Y110 G23:G31 G33:G41 G53:G61 G63:G71 G73:G81 G83:G91 G93:G101 G103:G110 G43:G51 M14:M110 G14:G2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F43:F51 L63:L71 L73:L81 L53:L61 R112:R127 L83:L91 L93:L101 L14:L21 L5:L12 R23:R31 R33:R41 R43:R51 R63:R71 R73:R81 R53:R61 F112:F127 R83:R91 R93:R101 R14:R21 R5:R12 F23:F31 F33:F41 X112:X127 F63:F71 F73:F81 F53:F61 F5:F12 F83:F91 F93:F101 L43:L51 F103:F110 R103:R110 L103:L110 X103:X110 F14:F21" xr:uid="{4ECCD083-8EC4-42EE-B46C-B614411F330D}">
      <formula1>"2024,2025"</formula1>
    </dataValidation>
    <dataValidation type="list" allowBlank="1" showInputMessage="1" showErrorMessage="1" sqref="G43:G51 Y14:Y110 S4:S110 G5:G12 M5:M12 Y5:Y12 M14:M110 G23:G31 G33:G41 G103:G110 G53:G61 G63:G71 G73:G81 G83:G91 G93:G101 G14:G2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46" zoomScale="55" zoomScaleNormal="55" workbookViewId="0">
      <selection activeCell="K57" sqref="K57:M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>
        <v>29</v>
      </c>
      <c r="L55" s="1">
        <v>2025</v>
      </c>
      <c r="M55" s="5" t="s">
        <v>17</v>
      </c>
      <c r="N55" s="5">
        <f t="shared" si="2"/>
        <v>0</v>
      </c>
      <c r="O55" s="5">
        <f t="shared" si="3"/>
        <v>29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>
        <v>29</v>
      </c>
      <c r="L56" s="1">
        <v>2025</v>
      </c>
      <c r="M56" s="5" t="s">
        <v>17</v>
      </c>
      <c r="N56" s="5">
        <f t="shared" si="2"/>
        <v>0</v>
      </c>
      <c r="O56" s="5">
        <f t="shared" si="3"/>
        <v>29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>
        <v>29</v>
      </c>
      <c r="L57" s="1">
        <v>2025</v>
      </c>
      <c r="M57" s="5" t="s">
        <v>17</v>
      </c>
      <c r="N57" s="5">
        <f t="shared" si="2"/>
        <v>0</v>
      </c>
      <c r="O57" s="5">
        <f t="shared" si="3"/>
        <v>29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55:R65 N67:R77 N79:R89 N91:R101 N103:R113 H55:L65" name="LAS"/>
    <protectedRange sqref="G2:I2 M2:O2 S2:U2 Y2:AA2 G3:G10 M3:M10 S3:S10 Y3:Y10 Y12:Y19 G12:G19 M12:M19 S12:S19 Y21:Y29 G21:G29 M21:M29 S21:S29 Y31:Y41 G31:G41 M31:M41 S31:S41 Y43:Y53 G43:G53 M43:M53 S43:S53 Y55:Y65 G55:G65 S55:S65 Y67:Y77 G67:G77 M67:M77 S67:S77 Y79:Y89 G79:G89 M79:M89 S79:S89 Y91:Y101 G91:G101 M91:M101 S91:S101 Y103:Y113 G103:G113 M103:M113 S103:S113 Y115:Y122 G115:G122 M115:M122 S115:S122 M55:M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115:M122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F103:F113 L91:L101 L103:L113 L12:L19 L3:L10 R21:R29 R31:R41 R43:R53 R67:R77 R79:R89 R55:R65 R91:R101 R103:R113 R12:R19 R3:R10 F21:F29 F31:F41 F43:F53 F67:F77 F79:F89 F55:F65 F3:F10 F91:F101 X115:X122 F12:F19 F115:F122 R115:R122 L115:L122 L55:L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JOY CAMPOSANO</cp:lastModifiedBy>
  <cp:revision/>
  <dcterms:created xsi:type="dcterms:W3CDTF">2025-11-19T20:48:15Z</dcterms:created>
  <dcterms:modified xsi:type="dcterms:W3CDTF">2026-01-21T04:40:24Z</dcterms:modified>
  <cp:category/>
  <cp:contentStatus/>
</cp:coreProperties>
</file>