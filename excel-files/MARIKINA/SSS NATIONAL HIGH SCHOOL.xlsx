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6" documentId="13_ncr:1_{BFB59F67-F0DC-4675-A682-EB0734A8026A}" xr6:coauthVersionLast="47" xr6:coauthVersionMax="47" xr10:uidLastSave="{677AF0A2-86E4-4D9B-94D6-6878F2597FC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<sst xmlns="http://schemas.openxmlformats.org/spreadsheetml/2006/main" count="406" uniqueCount="92">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</sst>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8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385</v>
      </c>
      <c r="D51" s="10">
        <v>337</v>
      </c>
      <c r="E51" s="10">
        <v>2025</v>
      </c>
      <c r="F51" s="12" t="s">
        <v>20</v>
      </c>
      <c r="G51" s="3">
        <f t="shared" ref="G51:G59" si="10">IF((C51-D51)&lt;0,0,C51-D51)</f>
        <v>48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385</v>
      </c>
      <c r="D53" s="10">
        <v>337</v>
      </c>
      <c r="E53" s="10">
        <v>2024</v>
      </c>
      <c r="F53" s="12" t="s">
        <v>20</v>
      </c>
      <c r="G53" s="3">
        <f t="shared" si="10"/>
        <v>48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385</v>
      </c>
      <c r="D55" s="10">
        <v>337</v>
      </c>
      <c r="E55" s="10">
        <v>2025</v>
      </c>
      <c r="F55" s="12" t="s">
        <v>20</v>
      </c>
      <c r="G55" s="3">
        <f t="shared" si="10"/>
        <v>48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385</v>
      </c>
      <c r="D56" s="10">
        <v>337</v>
      </c>
      <c r="E56" s="10">
        <v>2024</v>
      </c>
      <c r="F56" s="12" t="s">
        <v>20</v>
      </c>
      <c r="G56" s="3">
        <f t="shared" si="10"/>
        <v>48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385</v>
      </c>
      <c r="D57" s="10">
        <v>337</v>
      </c>
      <c r="E57" s="10">
        <v>2025</v>
      </c>
      <c r="F57" s="12" t="s">
        <v>20</v>
      </c>
      <c r="G57" s="3">
        <f t="shared" si="10"/>
        <v>48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385</v>
      </c>
      <c r="D58" s="10">
        <v>337</v>
      </c>
      <c r="E58" s="10">
        <v>2025</v>
      </c>
      <c r="F58" s="12" t="s">
        <v>20</v>
      </c>
      <c r="G58" s="3">
        <f t="shared" si="10"/>
        <v>48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385</v>
      </c>
      <c r="D59" s="10">
        <v>337</v>
      </c>
      <c r="E59" s="10">
        <v>2025</v>
      </c>
      <c r="F59" s="12" t="s">
        <v>20</v>
      </c>
      <c r="G59" s="3">
        <f t="shared" si="10"/>
        <v>48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299</v>
      </c>
      <c r="D63" s="10">
        <v>315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16</v>
      </c>
    </row>
    <row r="64" spans="1:8" ht="27.75" customHeight="1">
      <c r="A64" s="10">
        <v>8</v>
      </c>
      <c r="B64" s="11" t="s">
        <v>21</v>
      </c>
      <c r="C64" s="10">
        <v>299</v>
      </c>
      <c r="D64" s="10">
        <v>315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16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 ,2026"</formula1>
    </dataValidation>
    <dataValidation type="list" allowBlank="1" showInputMessage="1" showErrorMessage="1" sqref="F14:F19 F21:F29 F31:F39 F41:F49 F51:F59 F91:F98 F71:F79 F81:F89 F2:F6 F8:F12 F61:F6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58D6F3DF-0549-4B1D-84DC-B409E12EB8D3}">
      <formula1>"2024,2025 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109" zoomScale="70" zoomScaleNormal="70" workbookViewId="0">
      <selection activeCell="X115" sqref="X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299</v>
      </c>
      <c r="D73" s="12">
        <f>Table1[[#This Row],[Enrolment S.Y. 2025-2026 ]]*8</f>
        <v>2392</v>
      </c>
      <c r="E73" s="12">
        <v>50</v>
      </c>
      <c r="F73" s="10">
        <v>2025</v>
      </c>
      <c r="G73" s="12" t="s">
        <v>63</v>
      </c>
      <c r="H73" s="12">
        <f t="shared" si="2"/>
        <v>2342</v>
      </c>
      <c r="I73" s="12">
        <f t="shared" si="3"/>
        <v>0</v>
      </c>
      <c r="J73" s="12">
        <f>Table1[[#This Row],[Enrolment S.Y. 2025-2026 ]]*8</f>
        <v>2392</v>
      </c>
      <c r="K73" s="12"/>
      <c r="L73" s="10"/>
      <c r="M73" s="12"/>
      <c r="N73" s="12">
        <f t="shared" si="16"/>
        <v>2392</v>
      </c>
      <c r="O73" s="12">
        <f t="shared" si="17"/>
        <v>0</v>
      </c>
      <c r="P73" s="12">
        <f>Table1[[#This Row],[Enrolment S.Y. 2025-2026 ]]*8</f>
        <v>2392</v>
      </c>
      <c r="Q73" s="12"/>
      <c r="R73" s="10"/>
      <c r="S73" s="12"/>
      <c r="T73" s="12">
        <f t="shared" si="18"/>
        <v>2392</v>
      </c>
      <c r="U73" s="12">
        <f t="shared" si="19"/>
        <v>0</v>
      </c>
      <c r="V73" s="12">
        <f>Table1[[#This Row],[Enrolment S.Y. 2025-2026 ]]*8</f>
        <v>2392</v>
      </c>
      <c r="W73" s="12"/>
      <c r="X73" s="10"/>
      <c r="Y73" s="12"/>
      <c r="Z73" s="12">
        <f t="shared" si="20"/>
        <v>2392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299</v>
      </c>
      <c r="D74" s="12">
        <f>Table1[[#This Row],[Enrolment S.Y. 2025-2026 ]]*8</f>
        <v>2392</v>
      </c>
      <c r="E74" s="12">
        <v>50</v>
      </c>
      <c r="F74" s="10">
        <v>2025</v>
      </c>
      <c r="G74" s="12" t="s">
        <v>63</v>
      </c>
      <c r="H74" s="12">
        <f t="shared" si="2"/>
        <v>2342</v>
      </c>
      <c r="I74" s="12">
        <f t="shared" si="3"/>
        <v>0</v>
      </c>
      <c r="J74" s="12">
        <f>Table1[[#This Row],[Enrolment S.Y. 2025-2026 ]]*8</f>
        <v>2392</v>
      </c>
      <c r="K74" s="12"/>
      <c r="L74" s="10"/>
      <c r="M74" s="12"/>
      <c r="N74" s="12">
        <f t="shared" si="16"/>
        <v>2392</v>
      </c>
      <c r="O74" s="12">
        <f t="shared" si="17"/>
        <v>0</v>
      </c>
      <c r="P74" s="12">
        <f>Table1[[#This Row],[Enrolment S.Y. 2025-2026 ]]*8</f>
        <v>2392</v>
      </c>
      <c r="Q74" s="12"/>
      <c r="R74" s="10"/>
      <c r="S74" s="12"/>
      <c r="T74" s="12">
        <f t="shared" si="18"/>
        <v>2392</v>
      </c>
      <c r="U74" s="12">
        <f t="shared" si="19"/>
        <v>0</v>
      </c>
      <c r="V74" s="12">
        <f>Table1[[#This Row],[Enrolment S.Y. 2025-2026 ]]*8</f>
        <v>2392</v>
      </c>
      <c r="W74" s="12"/>
      <c r="X74" s="10"/>
      <c r="Y74" s="12"/>
      <c r="Z74" s="12">
        <f t="shared" si="20"/>
        <v>2392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299</v>
      </c>
      <c r="D75" s="12">
        <f>Table1[[#This Row],[Enrolment S.Y. 2025-2026 ]]*8</f>
        <v>2392</v>
      </c>
      <c r="E75" s="12">
        <v>50</v>
      </c>
      <c r="F75" s="10">
        <v>2025</v>
      </c>
      <c r="G75" s="12" t="s">
        <v>63</v>
      </c>
      <c r="H75" s="12">
        <f t="shared" si="2"/>
        <v>2342</v>
      </c>
      <c r="I75" s="12">
        <f t="shared" si="3"/>
        <v>0</v>
      </c>
      <c r="J75" s="12">
        <f>Table1[[#This Row],[Enrolment S.Y. 2025-2026 ]]*8</f>
        <v>2392</v>
      </c>
      <c r="K75" s="12"/>
      <c r="L75" s="10"/>
      <c r="M75" s="12"/>
      <c r="N75" s="12">
        <f t="shared" si="16"/>
        <v>2392</v>
      </c>
      <c r="O75" s="12">
        <f t="shared" si="17"/>
        <v>0</v>
      </c>
      <c r="P75" s="12">
        <f>Table1[[#This Row],[Enrolment S.Y. 2025-2026 ]]*8</f>
        <v>2392</v>
      </c>
      <c r="Q75" s="12"/>
      <c r="R75" s="10"/>
      <c r="S75" s="12"/>
      <c r="T75" s="12">
        <f t="shared" si="18"/>
        <v>2392</v>
      </c>
      <c r="U75" s="12">
        <f t="shared" si="19"/>
        <v>0</v>
      </c>
      <c r="V75" s="12">
        <f>Table1[[#This Row],[Enrolment S.Y. 2025-2026 ]]*8</f>
        <v>2392</v>
      </c>
      <c r="W75" s="12"/>
      <c r="X75" s="10"/>
      <c r="Y75" s="12"/>
      <c r="Z75" s="12">
        <f t="shared" si="20"/>
        <v>2392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299</v>
      </c>
      <c r="D76" s="12">
        <f>Table1[[#This Row],[Enrolment S.Y. 2025-2026 ]]*8</f>
        <v>2392</v>
      </c>
      <c r="E76" s="12">
        <v>50</v>
      </c>
      <c r="F76" s="10">
        <v>2025</v>
      </c>
      <c r="G76" s="12" t="s">
        <v>63</v>
      </c>
      <c r="H76" s="12">
        <f t="shared" si="2"/>
        <v>2342</v>
      </c>
      <c r="I76" s="12">
        <f t="shared" si="3"/>
        <v>0</v>
      </c>
      <c r="J76" s="12">
        <f>Table1[[#This Row],[Enrolment S.Y. 2025-2026 ]]*8</f>
        <v>2392</v>
      </c>
      <c r="K76" s="12"/>
      <c r="L76" s="10"/>
      <c r="M76" s="12"/>
      <c r="N76" s="12">
        <f t="shared" si="16"/>
        <v>2392</v>
      </c>
      <c r="O76" s="12">
        <f t="shared" si="17"/>
        <v>0</v>
      </c>
      <c r="P76" s="12">
        <f>Table1[[#This Row],[Enrolment S.Y. 2025-2026 ]]*8</f>
        <v>2392</v>
      </c>
      <c r="Q76" s="12"/>
      <c r="R76" s="10"/>
      <c r="S76" s="12"/>
      <c r="T76" s="12">
        <f t="shared" si="18"/>
        <v>2392</v>
      </c>
      <c r="U76" s="12">
        <f t="shared" si="19"/>
        <v>0</v>
      </c>
      <c r="V76" s="12">
        <f>Table1[[#This Row],[Enrolment S.Y. 2025-2026 ]]*8</f>
        <v>2392</v>
      </c>
      <c r="W76" s="12"/>
      <c r="X76" s="10"/>
      <c r="Y76" s="12"/>
      <c r="Z76" s="12">
        <f t="shared" si="20"/>
        <v>2392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299</v>
      </c>
      <c r="D77" s="12">
        <f>Table1[[#This Row],[Enrolment S.Y. 2025-2026 ]]*8</f>
        <v>2392</v>
      </c>
      <c r="E77" s="12">
        <v>50</v>
      </c>
      <c r="F77" s="10">
        <v>2025</v>
      </c>
      <c r="G77" s="12" t="s">
        <v>63</v>
      </c>
      <c r="H77" s="12">
        <f t="shared" si="2"/>
        <v>2342</v>
      </c>
      <c r="I77" s="12">
        <f t="shared" si="3"/>
        <v>0</v>
      </c>
      <c r="J77" s="12">
        <f>Table1[[#This Row],[Enrolment S.Y. 2025-2026 ]]*8</f>
        <v>2392</v>
      </c>
      <c r="K77" s="12"/>
      <c r="L77" s="10"/>
      <c r="M77" s="12"/>
      <c r="N77" s="12">
        <f t="shared" si="16"/>
        <v>2392</v>
      </c>
      <c r="O77" s="12">
        <f t="shared" si="17"/>
        <v>0</v>
      </c>
      <c r="P77" s="12">
        <f>Table1[[#This Row],[Enrolment S.Y. 2025-2026 ]]*8</f>
        <v>2392</v>
      </c>
      <c r="Q77" s="12"/>
      <c r="R77" s="10"/>
      <c r="S77" s="12"/>
      <c r="T77" s="12">
        <f t="shared" si="18"/>
        <v>2392</v>
      </c>
      <c r="U77" s="12">
        <f t="shared" si="19"/>
        <v>0</v>
      </c>
      <c r="V77" s="12">
        <f>Table1[[#This Row],[Enrolment S.Y. 2025-2026 ]]*8</f>
        <v>2392</v>
      </c>
      <c r="W77" s="12"/>
      <c r="X77" s="10"/>
      <c r="Y77" s="12"/>
      <c r="Z77" s="12">
        <f t="shared" si="20"/>
        <v>2392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299</v>
      </c>
      <c r="D78" s="12">
        <f>Table1[[#This Row],[Enrolment S.Y. 2025-2026 ]]*8</f>
        <v>2392</v>
      </c>
      <c r="E78" s="12">
        <v>50</v>
      </c>
      <c r="F78" s="10">
        <v>2025</v>
      </c>
      <c r="G78" s="12" t="s">
        <v>63</v>
      </c>
      <c r="H78" s="12">
        <f t="shared" ref="H78:H127" si="22">IF((D78-E78)&lt;0,0,(D78-E78))</f>
        <v>2342</v>
      </c>
      <c r="I78" s="12">
        <f t="shared" ref="I78:I127" si="23">IF((E78-D78)&lt;0,0,(E78-D78))</f>
        <v>0</v>
      </c>
      <c r="J78" s="12">
        <f>Table1[[#This Row],[Enrolment S.Y. 2025-2026 ]]*8</f>
        <v>2392</v>
      </c>
      <c r="K78" s="12"/>
      <c r="L78" s="10"/>
      <c r="M78" s="12"/>
      <c r="N78" s="12">
        <f t="shared" si="16"/>
        <v>2392</v>
      </c>
      <c r="O78" s="12">
        <f t="shared" si="17"/>
        <v>0</v>
      </c>
      <c r="P78" s="12">
        <f>Table1[[#This Row],[Enrolment S.Y. 2025-2026 ]]*8</f>
        <v>2392</v>
      </c>
      <c r="Q78" s="12"/>
      <c r="R78" s="10"/>
      <c r="S78" s="12"/>
      <c r="T78" s="12">
        <f t="shared" si="18"/>
        <v>2392</v>
      </c>
      <c r="U78" s="12">
        <f t="shared" si="19"/>
        <v>0</v>
      </c>
      <c r="V78" s="12">
        <f>Table1[[#This Row],[Enrolment S.Y. 2025-2026 ]]*8</f>
        <v>2392</v>
      </c>
      <c r="W78" s="12"/>
      <c r="X78" s="10"/>
      <c r="Y78" s="12"/>
      <c r="Z78" s="12">
        <f t="shared" si="20"/>
        <v>2392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299</v>
      </c>
      <c r="D79" s="12">
        <f>Table1[[#This Row],[Enrolment S.Y. 2025-2026 ]]*8</f>
        <v>2392</v>
      </c>
      <c r="E79" s="12">
        <v>50</v>
      </c>
      <c r="F79" s="10">
        <v>2025</v>
      </c>
      <c r="G79" s="12" t="s">
        <v>63</v>
      </c>
      <c r="H79" s="12">
        <f t="shared" si="22"/>
        <v>2342</v>
      </c>
      <c r="I79" s="12">
        <f t="shared" si="23"/>
        <v>0</v>
      </c>
      <c r="J79" s="12">
        <f>Table1[[#This Row],[Enrolment S.Y. 2025-2026 ]]*8</f>
        <v>2392</v>
      </c>
      <c r="K79" s="12"/>
      <c r="L79" s="10"/>
      <c r="M79" s="12"/>
      <c r="N79" s="12">
        <f t="shared" si="16"/>
        <v>2392</v>
      </c>
      <c r="O79" s="12">
        <f t="shared" si="17"/>
        <v>0</v>
      </c>
      <c r="P79" s="12">
        <f>Table1[[#This Row],[Enrolment S.Y. 2025-2026 ]]*8</f>
        <v>2392</v>
      </c>
      <c r="Q79" s="12"/>
      <c r="R79" s="10"/>
      <c r="S79" s="12"/>
      <c r="T79" s="12">
        <f t="shared" si="18"/>
        <v>2392</v>
      </c>
      <c r="U79" s="12">
        <f t="shared" si="19"/>
        <v>0</v>
      </c>
      <c r="V79" s="12">
        <f>Table1[[#This Row],[Enrolment S.Y. 2025-2026 ]]*8</f>
        <v>2392</v>
      </c>
      <c r="W79" s="12"/>
      <c r="X79" s="10"/>
      <c r="Y79" s="12"/>
      <c r="Z79" s="12">
        <f t="shared" si="20"/>
        <v>2392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299</v>
      </c>
      <c r="D80" s="12">
        <f>Table1[[#This Row],[Enrolment S.Y. 2025-2026 ]]*8</f>
        <v>2392</v>
      </c>
      <c r="E80" s="12">
        <v>50</v>
      </c>
      <c r="F80" s="10">
        <v>2025</v>
      </c>
      <c r="G80" s="12" t="s">
        <v>63</v>
      </c>
      <c r="H80" s="12">
        <f t="shared" si="22"/>
        <v>2342</v>
      </c>
      <c r="I80" s="12">
        <f t="shared" si="23"/>
        <v>0</v>
      </c>
      <c r="J80" s="12">
        <f>Table1[[#This Row],[Enrolment S.Y. 2025-2026 ]]*8</f>
        <v>2392</v>
      </c>
      <c r="K80" s="12"/>
      <c r="L80" s="10"/>
      <c r="M80" s="12"/>
      <c r="N80" s="12">
        <f t="shared" si="16"/>
        <v>2392</v>
      </c>
      <c r="O80" s="12">
        <f t="shared" si="17"/>
        <v>0</v>
      </c>
      <c r="P80" s="12">
        <f>Table1[[#This Row],[Enrolment S.Y. 2025-2026 ]]*8</f>
        <v>2392</v>
      </c>
      <c r="Q80" s="12"/>
      <c r="R80" s="10"/>
      <c r="S80" s="12"/>
      <c r="T80" s="12">
        <f t="shared" si="18"/>
        <v>2392</v>
      </c>
      <c r="U80" s="12">
        <f t="shared" si="19"/>
        <v>0</v>
      </c>
      <c r="V80" s="12">
        <f>Table1[[#This Row],[Enrolment S.Y. 2025-2026 ]]*8</f>
        <v>2392</v>
      </c>
      <c r="W80" s="12"/>
      <c r="X80" s="10"/>
      <c r="Y80" s="12"/>
      <c r="Z80" s="12">
        <f t="shared" si="20"/>
        <v>2392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299</v>
      </c>
      <c r="D81" s="12">
        <f>Table1[[#This Row],[Enrolment S.Y. 2025-2026 ]]*8</f>
        <v>2392</v>
      </c>
      <c r="E81" s="12">
        <v>50</v>
      </c>
      <c r="F81" s="10">
        <v>2025</v>
      </c>
      <c r="G81" s="12" t="s">
        <v>63</v>
      </c>
      <c r="H81" s="12">
        <f t="shared" si="22"/>
        <v>2342</v>
      </c>
      <c r="I81" s="12">
        <f t="shared" si="23"/>
        <v>0</v>
      </c>
      <c r="J81" s="12">
        <f>Table1[[#This Row],[Enrolment S.Y. 2025-2026 ]]*8</f>
        <v>2392</v>
      </c>
      <c r="K81" s="12"/>
      <c r="L81" s="10"/>
      <c r="M81" s="12"/>
      <c r="N81" s="12">
        <f t="shared" si="16"/>
        <v>2392</v>
      </c>
      <c r="O81" s="12">
        <f t="shared" si="17"/>
        <v>0</v>
      </c>
      <c r="P81" s="12">
        <f>Table1[[#This Row],[Enrolment S.Y. 2025-2026 ]]*8</f>
        <v>2392</v>
      </c>
      <c r="Q81" s="12"/>
      <c r="R81" s="10"/>
      <c r="S81" s="12"/>
      <c r="T81" s="12">
        <f t="shared" si="18"/>
        <v>2392</v>
      </c>
      <c r="U81" s="12">
        <f t="shared" si="19"/>
        <v>0</v>
      </c>
      <c r="V81" s="12">
        <f>Table1[[#This Row],[Enrolment S.Y. 2025-2026 ]]*8</f>
        <v>2392</v>
      </c>
      <c r="W81" s="12"/>
      <c r="X81" s="10"/>
      <c r="Y81" s="12"/>
      <c r="Z81" s="12">
        <f t="shared" si="20"/>
        <v>2392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83:C91 C93:C101 C103:C110 C112:C127 C5:C12 C73:C8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792E2855-7753-49D7-8759-3C800E370CC9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H153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D23813B3-76A9-44E0-A424-C82ACB313025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2026-03-03T01:51:31Z</dcterms:modified>
  <cp:category/>
  <cp:contentStatus/>
</cp:coreProperties>
</file>