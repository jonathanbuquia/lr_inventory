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2" documentId="13_ncr:1_{BFB59F67-F0DC-4675-A682-EB0734A8026A}" xr6:coauthVersionLast="47" xr6:coauthVersionMax="47" xr10:uidLastSave="{AC2FB242-2A3C-46C7-8AAE-2AA0528974DD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<sst xmlns="http://schemas.openxmlformats.org/spreadsheetml/2006/main" count="388" uniqueCount="90">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</sst>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7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219</v>
      </c>
      <c r="D51" s="10">
        <v>310</v>
      </c>
      <c r="E51" s="10">
        <v>2025</v>
      </c>
      <c r="F51" s="12"/>
      <c r="G51" s="3">
        <f t="shared" ref="G51:G59" si="10">IF((C51-D51)&lt;0,0,C51-D51)</f>
        <v>0</v>
      </c>
      <c r="H51" s="4">
        <f t="shared" ref="H51:H59" si="11">IF((D51-C51)&lt;0,0,D51-C51)</f>
        <v>91</v>
      </c>
    </row>
    <row r="52" spans="1:8" ht="27.75" customHeight="1">
      <c r="A52" s="10">
        <v>7</v>
      </c>
      <c r="B52" s="11" t="s">
        <v>15</v>
      </c>
      <c r="C52" s="10">
        <v>219</v>
      </c>
      <c r="D52" s="10"/>
      <c r="E52" s="10"/>
      <c r="F52" s="12"/>
      <c r="G52" s="3">
        <f t="shared" si="10"/>
        <v>219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219</v>
      </c>
      <c r="D53" s="10">
        <v>310</v>
      </c>
      <c r="E53" s="10">
        <v>2024</v>
      </c>
      <c r="F53" s="12"/>
      <c r="G53" s="3">
        <f t="shared" si="10"/>
        <v>0</v>
      </c>
      <c r="H53" s="4">
        <f t="shared" si="11"/>
        <v>91</v>
      </c>
    </row>
    <row r="54" spans="1:8" ht="27.75" customHeight="1">
      <c r="A54" s="10">
        <v>7</v>
      </c>
      <c r="B54" s="11" t="s">
        <v>20</v>
      </c>
      <c r="C54" s="10">
        <v>219</v>
      </c>
      <c r="D54" s="10"/>
      <c r="E54" s="10"/>
      <c r="F54" s="12"/>
      <c r="G54" s="3">
        <f t="shared" si="10"/>
        <v>219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219</v>
      </c>
      <c r="D55" s="10">
        <v>310</v>
      </c>
      <c r="E55" s="10">
        <v>2025</v>
      </c>
      <c r="F55" s="12"/>
      <c r="G55" s="3">
        <f t="shared" si="10"/>
        <v>0</v>
      </c>
      <c r="H55" s="4">
        <f t="shared" si="11"/>
        <v>91</v>
      </c>
    </row>
    <row r="56" spans="1:8" ht="27.75" customHeight="1">
      <c r="A56" s="10">
        <v>7</v>
      </c>
      <c r="B56" s="11" t="s">
        <v>13</v>
      </c>
      <c r="C56" s="10">
        <v>219</v>
      </c>
      <c r="D56" s="10">
        <v>310</v>
      </c>
      <c r="E56" s="10">
        <v>2024</v>
      </c>
      <c r="F56" s="12"/>
      <c r="G56" s="3">
        <f t="shared" si="10"/>
        <v>0</v>
      </c>
      <c r="H56" s="4">
        <f t="shared" si="11"/>
        <v>91</v>
      </c>
    </row>
    <row r="57" spans="1:8" ht="27.75" customHeight="1">
      <c r="A57" s="10">
        <v>7</v>
      </c>
      <c r="B57" s="11" t="s">
        <v>17</v>
      </c>
      <c r="C57" s="10">
        <v>219</v>
      </c>
      <c r="D57" s="10">
        <v>310</v>
      </c>
      <c r="E57" s="10">
        <v>2025</v>
      </c>
      <c r="F57" s="12"/>
      <c r="G57" s="3">
        <f t="shared" si="10"/>
        <v>0</v>
      </c>
      <c r="H57" s="4">
        <f t="shared" si="11"/>
        <v>91</v>
      </c>
    </row>
    <row r="58" spans="1:8" ht="27.75" customHeight="1">
      <c r="A58" s="10">
        <v>7</v>
      </c>
      <c r="B58" s="11" t="s">
        <v>21</v>
      </c>
      <c r="C58" s="10">
        <v>219</v>
      </c>
      <c r="D58" s="10">
        <v>310</v>
      </c>
      <c r="E58" s="10">
        <v>2025</v>
      </c>
      <c r="F58" s="12"/>
      <c r="G58" s="3">
        <f t="shared" si="10"/>
        <v>0</v>
      </c>
      <c r="H58" s="4">
        <f t="shared" si="11"/>
        <v>91</v>
      </c>
    </row>
    <row r="59" spans="1:8" ht="27.75" customHeight="1">
      <c r="A59" s="10">
        <v>7</v>
      </c>
      <c r="B59" s="11" t="s">
        <v>19</v>
      </c>
      <c r="C59" s="10">
        <v>219</v>
      </c>
      <c r="D59" s="10">
        <v>0</v>
      </c>
      <c r="E59" s="10"/>
      <c r="F59" s="12"/>
      <c r="G59" s="3">
        <f t="shared" si="10"/>
        <v>219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226</v>
      </c>
      <c r="D61" s="10">
        <v>44</v>
      </c>
      <c r="E61" s="10">
        <v>2025</v>
      </c>
      <c r="F61" s="12"/>
      <c r="G61" s="3">
        <f t="shared" ref="G61:G69" si="12">IF((C61-D61)&lt;0,0,C61-D61)</f>
        <v>182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226</v>
      </c>
      <c r="D62" s="10">
        <v>44</v>
      </c>
      <c r="E62" s="10">
        <v>2025</v>
      </c>
      <c r="F62" s="12"/>
      <c r="G62" s="3">
        <f t="shared" si="12"/>
        <v>182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226</v>
      </c>
      <c r="D63" s="10">
        <v>44</v>
      </c>
      <c r="E63" s="10">
        <v>2025</v>
      </c>
      <c r="F63" s="12"/>
      <c r="G63" s="3">
        <f t="shared" si="12"/>
        <v>182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>
        <v>226</v>
      </c>
      <c r="D64" s="10">
        <v>44</v>
      </c>
      <c r="E64" s="10">
        <v>2025</v>
      </c>
      <c r="F64" s="12"/>
      <c r="G64" s="3">
        <f t="shared" si="12"/>
        <v>182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>
        <v>226</v>
      </c>
      <c r="D65" s="10">
        <v>44</v>
      </c>
      <c r="E65" s="10">
        <v>2025</v>
      </c>
      <c r="F65" s="12"/>
      <c r="G65" s="3">
        <f t="shared" si="12"/>
        <v>182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226</v>
      </c>
      <c r="D66" s="10">
        <v>44</v>
      </c>
      <c r="E66" s="10">
        <v>2025</v>
      </c>
      <c r="F66" s="12"/>
      <c r="G66" s="3">
        <f t="shared" si="12"/>
        <v>182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226</v>
      </c>
      <c r="D67" s="10">
        <v>44</v>
      </c>
      <c r="E67" s="10">
        <v>2025</v>
      </c>
      <c r="F67" s="12"/>
      <c r="G67" s="3">
        <f t="shared" si="12"/>
        <v>182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226</v>
      </c>
      <c r="D68" s="10">
        <v>44</v>
      </c>
      <c r="E68" s="10">
        <v>2025</v>
      </c>
      <c r="F68" s="12"/>
      <c r="G68" s="3">
        <f t="shared" si="12"/>
        <v>182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226</v>
      </c>
      <c r="D69" s="10">
        <v>44</v>
      </c>
      <c r="E69" s="10">
        <v>2025</v>
      </c>
      <c r="F69" s="12"/>
      <c r="G69" s="3">
        <f t="shared" si="12"/>
        <v>182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218</v>
      </c>
      <c r="D81" s="10"/>
      <c r="E81" s="10"/>
      <c r="F81" s="12"/>
      <c r="G81" s="3">
        <f t="shared" ref="G81:G89" si="16">IF((C81-D81)&lt;0,0,C81-D81)</f>
        <v>218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218</v>
      </c>
      <c r="D82" s="10"/>
      <c r="E82" s="10"/>
      <c r="F82" s="12"/>
      <c r="G82" s="3">
        <f t="shared" si="16"/>
        <v>218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218</v>
      </c>
      <c r="D83" s="10"/>
      <c r="E83" s="10"/>
      <c r="F83" s="12"/>
      <c r="G83" s="3">
        <f t="shared" si="16"/>
        <v>218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218</v>
      </c>
      <c r="D84" s="10"/>
      <c r="E84" s="10"/>
      <c r="F84" s="12"/>
      <c r="G84" s="3">
        <f t="shared" si="16"/>
        <v>218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218</v>
      </c>
      <c r="D85" s="10"/>
      <c r="E85" s="10"/>
      <c r="F85" s="12"/>
      <c r="G85" s="3">
        <f t="shared" si="16"/>
        <v>218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218</v>
      </c>
      <c r="D86" s="10"/>
      <c r="E86" s="10"/>
      <c r="F86" s="12"/>
      <c r="G86" s="3">
        <f t="shared" si="16"/>
        <v>218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218</v>
      </c>
      <c r="D87" s="10"/>
      <c r="E87" s="10"/>
      <c r="F87" s="12"/>
      <c r="G87" s="3">
        <f t="shared" si="16"/>
        <v>218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218</v>
      </c>
      <c r="D88" s="10"/>
      <c r="E88" s="10"/>
      <c r="F88" s="12"/>
      <c r="G88" s="3">
        <f t="shared" si="16"/>
        <v>218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218</v>
      </c>
      <c r="D89" s="10"/>
      <c r="E89" s="10"/>
      <c r="F89" s="12"/>
      <c r="G89" s="3">
        <f t="shared" si="16"/>
        <v>218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 , 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57C5B551-74B5-4A8B-BB38-D9F0515D6169}">
      <formula1>"2024,2025  , 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S116" zoomScale="70" zoomScaleNormal="70" workbookViewId="0">
      <selection activeCell="X125" sqref="X12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218</v>
      </c>
      <c r="D63" s="12">
        <f>Table1[[#This Row],[Enrolment S.Y. 2025-2026 ]]*8</f>
        <v>1744</v>
      </c>
      <c r="E63" s="12"/>
      <c r="F63" s="10"/>
      <c r="G63" s="12"/>
      <c r="H63" s="12">
        <f t="shared" si="2"/>
        <v>1744</v>
      </c>
      <c r="I63" s="12">
        <f t="shared" si="3"/>
        <v>0</v>
      </c>
      <c r="J63" s="12">
        <f>Table1[[#This Row],[Enrolment S.Y. 2025-2026 ]]*8</f>
        <v>1744</v>
      </c>
      <c r="K63" s="12"/>
      <c r="L63" s="10"/>
      <c r="M63" s="12"/>
      <c r="N63" s="12">
        <f t="shared" si="10"/>
        <v>1744</v>
      </c>
      <c r="O63" s="12">
        <f t="shared" si="11"/>
        <v>0</v>
      </c>
      <c r="P63" s="12">
        <f>Table1[[#This Row],[Enrolment S.Y. 2025-2026 ]]*8</f>
        <v>1744</v>
      </c>
      <c r="Q63" s="12"/>
      <c r="R63" s="10"/>
      <c r="S63" s="12"/>
      <c r="T63" s="12">
        <f t="shared" si="12"/>
        <v>1744</v>
      </c>
      <c r="U63" s="12">
        <f t="shared" si="13"/>
        <v>0</v>
      </c>
      <c r="V63" s="12">
        <f>Table1[[#This Row],[Enrolment S.Y. 2025-2026 ]]*8</f>
        <v>1744</v>
      </c>
      <c r="W63" s="12"/>
      <c r="X63" s="10"/>
      <c r="Y63" s="12"/>
      <c r="Z63" s="12">
        <f t="shared" si="14"/>
        <v>1744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218</v>
      </c>
      <c r="D64" s="12">
        <f>Table1[[#This Row],[Enrolment S.Y. 2025-2026 ]]*8</f>
        <v>1744</v>
      </c>
      <c r="E64" s="12"/>
      <c r="F64" s="10"/>
      <c r="G64" s="12"/>
      <c r="H64" s="12">
        <f t="shared" si="2"/>
        <v>1744</v>
      </c>
      <c r="I64" s="12">
        <f t="shared" si="3"/>
        <v>0</v>
      </c>
      <c r="J64" s="12">
        <f>Table1[[#This Row],[Enrolment S.Y. 2025-2026 ]]*8</f>
        <v>1744</v>
      </c>
      <c r="K64" s="12"/>
      <c r="L64" s="10"/>
      <c r="M64" s="12"/>
      <c r="N64" s="12">
        <f t="shared" si="10"/>
        <v>1744</v>
      </c>
      <c r="O64" s="12">
        <f t="shared" si="11"/>
        <v>0</v>
      </c>
      <c r="P64" s="12">
        <f>Table1[[#This Row],[Enrolment S.Y. 2025-2026 ]]*8</f>
        <v>1744</v>
      </c>
      <c r="Q64" s="12"/>
      <c r="R64" s="10"/>
      <c r="S64" s="12"/>
      <c r="T64" s="12">
        <f t="shared" si="12"/>
        <v>1744</v>
      </c>
      <c r="U64" s="12">
        <f t="shared" si="13"/>
        <v>0</v>
      </c>
      <c r="V64" s="12">
        <f>Table1[[#This Row],[Enrolment S.Y. 2025-2026 ]]*8</f>
        <v>1744</v>
      </c>
      <c r="W64" s="12"/>
      <c r="X64" s="10"/>
      <c r="Y64" s="12"/>
      <c r="Z64" s="12">
        <f t="shared" si="14"/>
        <v>1744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218</v>
      </c>
      <c r="D65" s="12">
        <f>Table1[[#This Row],[Enrolment S.Y. 2025-2026 ]]*8</f>
        <v>1744</v>
      </c>
      <c r="E65" s="12"/>
      <c r="F65" s="10"/>
      <c r="G65" s="12"/>
      <c r="H65" s="12">
        <f t="shared" si="2"/>
        <v>1744</v>
      </c>
      <c r="I65" s="12">
        <f t="shared" si="3"/>
        <v>0</v>
      </c>
      <c r="J65" s="12">
        <f>Table1[[#This Row],[Enrolment S.Y. 2025-2026 ]]*8</f>
        <v>1744</v>
      </c>
      <c r="K65" s="12"/>
      <c r="L65" s="10"/>
      <c r="M65" s="12"/>
      <c r="N65" s="12">
        <f t="shared" si="10"/>
        <v>1744</v>
      </c>
      <c r="O65" s="12">
        <f t="shared" si="11"/>
        <v>0</v>
      </c>
      <c r="P65" s="12">
        <f>Table1[[#This Row],[Enrolment S.Y. 2025-2026 ]]*8</f>
        <v>1744</v>
      </c>
      <c r="Q65" s="12"/>
      <c r="R65" s="10"/>
      <c r="S65" s="12"/>
      <c r="T65" s="12">
        <f t="shared" si="12"/>
        <v>1744</v>
      </c>
      <c r="U65" s="12">
        <f t="shared" si="13"/>
        <v>0</v>
      </c>
      <c r="V65" s="12">
        <f>Table1[[#This Row],[Enrolment S.Y. 2025-2026 ]]*8</f>
        <v>1744</v>
      </c>
      <c r="W65" s="12"/>
      <c r="X65" s="10"/>
      <c r="Y65" s="12"/>
      <c r="Z65" s="12">
        <f t="shared" si="14"/>
        <v>1744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>
        <v>218</v>
      </c>
      <c r="D66" s="12">
        <f>Table1[[#This Row],[Enrolment S.Y. 2025-2026 ]]*8</f>
        <v>1744</v>
      </c>
      <c r="E66" s="12"/>
      <c r="F66" s="10"/>
      <c r="G66" s="12"/>
      <c r="H66" s="12">
        <f t="shared" si="2"/>
        <v>1744</v>
      </c>
      <c r="I66" s="12">
        <f t="shared" si="3"/>
        <v>0</v>
      </c>
      <c r="J66" s="12">
        <f>Table1[[#This Row],[Enrolment S.Y. 2025-2026 ]]*8</f>
        <v>1744</v>
      </c>
      <c r="K66" s="12"/>
      <c r="L66" s="10"/>
      <c r="M66" s="12"/>
      <c r="N66" s="12">
        <f t="shared" si="10"/>
        <v>1744</v>
      </c>
      <c r="O66" s="12">
        <f t="shared" si="11"/>
        <v>0</v>
      </c>
      <c r="P66" s="12">
        <f>Table1[[#This Row],[Enrolment S.Y. 2025-2026 ]]*8</f>
        <v>1744</v>
      </c>
      <c r="Q66" s="12"/>
      <c r="R66" s="10"/>
      <c r="S66" s="12"/>
      <c r="T66" s="12">
        <f t="shared" si="12"/>
        <v>1744</v>
      </c>
      <c r="U66" s="12">
        <f t="shared" si="13"/>
        <v>0</v>
      </c>
      <c r="V66" s="12">
        <f>Table1[[#This Row],[Enrolment S.Y. 2025-2026 ]]*8</f>
        <v>1744</v>
      </c>
      <c r="W66" s="12"/>
      <c r="X66" s="10"/>
      <c r="Y66" s="12"/>
      <c r="Z66" s="12">
        <f t="shared" si="14"/>
        <v>1744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218</v>
      </c>
      <c r="D67" s="12">
        <f>Table1[[#This Row],[Enrolment S.Y. 2025-2026 ]]*8</f>
        <v>1744</v>
      </c>
      <c r="E67" s="12"/>
      <c r="F67" s="10"/>
      <c r="G67" s="12"/>
      <c r="H67" s="12">
        <f t="shared" si="2"/>
        <v>1744</v>
      </c>
      <c r="I67" s="12">
        <f t="shared" si="3"/>
        <v>0</v>
      </c>
      <c r="J67" s="12">
        <f>Table1[[#This Row],[Enrolment S.Y. 2025-2026 ]]*8</f>
        <v>1744</v>
      </c>
      <c r="K67" s="12"/>
      <c r="L67" s="10"/>
      <c r="M67" s="12"/>
      <c r="N67" s="12">
        <f t="shared" si="10"/>
        <v>1744</v>
      </c>
      <c r="O67" s="12">
        <f t="shared" si="11"/>
        <v>0</v>
      </c>
      <c r="P67" s="12">
        <f>Table1[[#This Row],[Enrolment S.Y. 2025-2026 ]]*8</f>
        <v>1744</v>
      </c>
      <c r="Q67" s="12"/>
      <c r="R67" s="10"/>
      <c r="S67" s="12"/>
      <c r="T67" s="12">
        <f t="shared" si="12"/>
        <v>1744</v>
      </c>
      <c r="U67" s="12">
        <f t="shared" si="13"/>
        <v>0</v>
      </c>
      <c r="V67" s="12">
        <f>Table1[[#This Row],[Enrolment S.Y. 2025-2026 ]]*8</f>
        <v>1744</v>
      </c>
      <c r="W67" s="12"/>
      <c r="X67" s="10"/>
      <c r="Y67" s="12"/>
      <c r="Z67" s="12">
        <f t="shared" si="14"/>
        <v>1744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218</v>
      </c>
      <c r="D68" s="12">
        <f>Table1[[#This Row],[Enrolment S.Y. 2025-2026 ]]*8</f>
        <v>1744</v>
      </c>
      <c r="E68" s="12"/>
      <c r="F68" s="10"/>
      <c r="G68" s="12"/>
      <c r="H68" s="12">
        <f t="shared" si="2"/>
        <v>1744</v>
      </c>
      <c r="I68" s="12">
        <f t="shared" si="3"/>
        <v>0</v>
      </c>
      <c r="J68" s="12">
        <f>Table1[[#This Row],[Enrolment S.Y. 2025-2026 ]]*8</f>
        <v>1744</v>
      </c>
      <c r="K68" s="12"/>
      <c r="L68" s="10"/>
      <c r="M68" s="12"/>
      <c r="N68" s="12">
        <f t="shared" si="10"/>
        <v>1744</v>
      </c>
      <c r="O68" s="12">
        <f t="shared" si="11"/>
        <v>0</v>
      </c>
      <c r="P68" s="12">
        <f>Table1[[#This Row],[Enrolment S.Y. 2025-2026 ]]*8</f>
        <v>1744</v>
      </c>
      <c r="Q68" s="12"/>
      <c r="R68" s="10"/>
      <c r="S68" s="12"/>
      <c r="T68" s="12">
        <f t="shared" si="12"/>
        <v>1744</v>
      </c>
      <c r="U68" s="12">
        <f t="shared" si="13"/>
        <v>0</v>
      </c>
      <c r="V68" s="12">
        <f>Table1[[#This Row],[Enrolment S.Y. 2025-2026 ]]*8</f>
        <v>1744</v>
      </c>
      <c r="W68" s="12"/>
      <c r="X68" s="10"/>
      <c r="Y68" s="12"/>
      <c r="Z68" s="12">
        <f t="shared" si="14"/>
        <v>1744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218</v>
      </c>
      <c r="D69" s="12">
        <f>Table1[[#This Row],[Enrolment S.Y. 2025-2026 ]]*8</f>
        <v>1744</v>
      </c>
      <c r="E69" s="12"/>
      <c r="F69" s="10"/>
      <c r="G69" s="12"/>
      <c r="H69" s="12">
        <f t="shared" si="2"/>
        <v>1744</v>
      </c>
      <c r="I69" s="12">
        <f t="shared" si="3"/>
        <v>0</v>
      </c>
      <c r="J69" s="12">
        <f>Table1[[#This Row],[Enrolment S.Y. 2025-2026 ]]*8</f>
        <v>1744</v>
      </c>
      <c r="K69" s="12"/>
      <c r="L69" s="10"/>
      <c r="M69" s="12"/>
      <c r="N69" s="12">
        <f t="shared" si="10"/>
        <v>1744</v>
      </c>
      <c r="O69" s="12">
        <f t="shared" si="11"/>
        <v>0</v>
      </c>
      <c r="P69" s="12">
        <f>Table1[[#This Row],[Enrolment S.Y. 2025-2026 ]]*8</f>
        <v>1744</v>
      </c>
      <c r="Q69" s="12"/>
      <c r="R69" s="10"/>
      <c r="S69" s="12"/>
      <c r="T69" s="12">
        <f t="shared" si="12"/>
        <v>1744</v>
      </c>
      <c r="U69" s="12">
        <f t="shared" si="13"/>
        <v>0</v>
      </c>
      <c r="V69" s="12">
        <f>Table1[[#This Row],[Enrolment S.Y. 2025-2026 ]]*8</f>
        <v>1744</v>
      </c>
      <c r="W69" s="12"/>
      <c r="X69" s="10"/>
      <c r="Y69" s="12"/>
      <c r="Z69" s="12">
        <f t="shared" si="14"/>
        <v>1744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>
        <v>218</v>
      </c>
      <c r="D70" s="12">
        <f>Table1[[#This Row],[Enrolment S.Y. 2025-2026 ]]*8</f>
        <v>1744</v>
      </c>
      <c r="E70" s="12"/>
      <c r="F70" s="10"/>
      <c r="G70" s="12"/>
      <c r="H70" s="12">
        <f t="shared" si="2"/>
        <v>1744</v>
      </c>
      <c r="I70" s="12">
        <f t="shared" si="3"/>
        <v>0</v>
      </c>
      <c r="J70" s="12">
        <f>Table1[[#This Row],[Enrolment S.Y. 2025-2026 ]]*8</f>
        <v>1744</v>
      </c>
      <c r="K70" s="12"/>
      <c r="L70" s="10"/>
      <c r="M70" s="12"/>
      <c r="N70" s="12">
        <f t="shared" ref="N70:N126" si="16">IF((J70-K70)&lt;0,0,(J70-K70))</f>
        <v>1744</v>
      </c>
      <c r="O70" s="12">
        <f t="shared" ref="O70:O126" si="17">IF((K70-J70)&lt;0,0,(K70-J70))</f>
        <v>0</v>
      </c>
      <c r="P70" s="12">
        <f>Table1[[#This Row],[Enrolment S.Y. 2025-2026 ]]*8</f>
        <v>1744</v>
      </c>
      <c r="Q70" s="12"/>
      <c r="R70" s="10"/>
      <c r="S70" s="12"/>
      <c r="T70" s="12">
        <f t="shared" ref="T70:T127" si="18">IF((P70-Q70)&lt;0,0,(P70-Q70))</f>
        <v>1744</v>
      </c>
      <c r="U70" s="12">
        <f t="shared" ref="U70:U127" si="19">IF((Q70-P70)&lt;0,0,(Q70-P70))</f>
        <v>0</v>
      </c>
      <c r="V70" s="12">
        <f>Table1[[#This Row],[Enrolment S.Y. 2025-2026 ]]*8</f>
        <v>1744</v>
      </c>
      <c r="W70" s="12"/>
      <c r="X70" s="10"/>
      <c r="Y70" s="12"/>
      <c r="Z70" s="12">
        <f t="shared" ref="Z70:Z127" si="20">IF((V70-W70)&lt;0,0,(V70-W70))</f>
        <v>1744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218</v>
      </c>
      <c r="D71" s="12">
        <f>Table1[[#This Row],[Enrolment S.Y. 2025-2026 ]]*8</f>
        <v>1744</v>
      </c>
      <c r="E71" s="12"/>
      <c r="F71" s="10"/>
      <c r="G71" s="12"/>
      <c r="H71" s="12">
        <f t="shared" si="2"/>
        <v>1744</v>
      </c>
      <c r="I71" s="12">
        <f t="shared" si="3"/>
        <v>0</v>
      </c>
      <c r="J71" s="12">
        <f>Table1[[#This Row],[Enrolment S.Y. 2025-2026 ]]*8</f>
        <v>1744</v>
      </c>
      <c r="K71" s="12"/>
      <c r="L71" s="10"/>
      <c r="M71" s="12"/>
      <c r="N71" s="12">
        <f t="shared" si="16"/>
        <v>1744</v>
      </c>
      <c r="O71" s="12">
        <f t="shared" si="17"/>
        <v>0</v>
      </c>
      <c r="P71" s="12">
        <f>Table1[[#This Row],[Enrolment S.Y. 2025-2026 ]]*8</f>
        <v>1744</v>
      </c>
      <c r="Q71" s="12"/>
      <c r="R71" s="10"/>
      <c r="S71" s="12"/>
      <c r="T71" s="12">
        <f t="shared" si="18"/>
        <v>1744</v>
      </c>
      <c r="U71" s="12">
        <f t="shared" si="19"/>
        <v>0</v>
      </c>
      <c r="V71" s="12">
        <f>Table1[[#This Row],[Enrolment S.Y. 2025-2026 ]]*8</f>
        <v>1744</v>
      </c>
      <c r="W71" s="12"/>
      <c r="X71" s="10"/>
      <c r="Y71" s="12"/>
      <c r="Z71" s="12">
        <f t="shared" si="20"/>
        <v>1744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226</v>
      </c>
      <c r="D73" s="12">
        <f>Table1[[#This Row],[Enrolment S.Y. 2025-2026 ]]*8</f>
        <v>1808</v>
      </c>
      <c r="E73" s="12">
        <v>44</v>
      </c>
      <c r="F73" s="10">
        <v>2025</v>
      </c>
      <c r="G73" s="12"/>
      <c r="H73" s="12">
        <f t="shared" si="2"/>
        <v>1764</v>
      </c>
      <c r="I73" s="12">
        <f t="shared" si="3"/>
        <v>0</v>
      </c>
      <c r="J73" s="12">
        <f>Table1[[#This Row],[Enrolment S.Y. 2025-2026 ]]*8</f>
        <v>1808</v>
      </c>
      <c r="K73" s="12"/>
      <c r="L73" s="10"/>
      <c r="M73" s="12"/>
      <c r="N73" s="12">
        <f t="shared" si="16"/>
        <v>1808</v>
      </c>
      <c r="O73" s="12">
        <f t="shared" si="17"/>
        <v>0</v>
      </c>
      <c r="P73" s="12">
        <f>Table1[[#This Row],[Enrolment S.Y. 2025-2026 ]]*8</f>
        <v>1808</v>
      </c>
      <c r="Q73" s="12"/>
      <c r="R73" s="10"/>
      <c r="S73" s="12"/>
      <c r="T73" s="12">
        <f t="shared" si="18"/>
        <v>1808</v>
      </c>
      <c r="U73" s="12">
        <f t="shared" si="19"/>
        <v>0</v>
      </c>
      <c r="V73" s="12">
        <f>Table1[[#This Row],[Enrolment S.Y. 2025-2026 ]]*8</f>
        <v>1808</v>
      </c>
      <c r="W73" s="12"/>
      <c r="X73" s="10"/>
      <c r="Y73" s="12"/>
      <c r="Z73" s="12">
        <f t="shared" si="20"/>
        <v>1808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226</v>
      </c>
      <c r="D74" s="12">
        <f>Table1[[#This Row],[Enrolment S.Y. 2025-2026 ]]*8</f>
        <v>1808</v>
      </c>
      <c r="E74" s="12">
        <v>44</v>
      </c>
      <c r="F74" s="10">
        <v>2025</v>
      </c>
      <c r="G74" s="12"/>
      <c r="H74" s="12">
        <f t="shared" si="2"/>
        <v>1764</v>
      </c>
      <c r="I74" s="12">
        <f t="shared" si="3"/>
        <v>0</v>
      </c>
      <c r="J74" s="12">
        <f>Table1[[#This Row],[Enrolment S.Y. 2025-2026 ]]*8</f>
        <v>1808</v>
      </c>
      <c r="K74" s="12"/>
      <c r="L74" s="10"/>
      <c r="M74" s="12"/>
      <c r="N74" s="12">
        <f t="shared" si="16"/>
        <v>1808</v>
      </c>
      <c r="O74" s="12">
        <f t="shared" si="17"/>
        <v>0</v>
      </c>
      <c r="P74" s="12">
        <f>Table1[[#This Row],[Enrolment S.Y. 2025-2026 ]]*8</f>
        <v>1808</v>
      </c>
      <c r="Q74" s="12"/>
      <c r="R74" s="10"/>
      <c r="S74" s="12"/>
      <c r="T74" s="12">
        <f t="shared" si="18"/>
        <v>1808</v>
      </c>
      <c r="U74" s="12">
        <f t="shared" si="19"/>
        <v>0</v>
      </c>
      <c r="V74" s="12">
        <f>Table1[[#This Row],[Enrolment S.Y. 2025-2026 ]]*8</f>
        <v>1808</v>
      </c>
      <c r="W74" s="12"/>
      <c r="X74" s="10"/>
      <c r="Y74" s="12"/>
      <c r="Z74" s="12">
        <f t="shared" si="20"/>
        <v>1808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226</v>
      </c>
      <c r="D75" s="12">
        <f>Table1[[#This Row],[Enrolment S.Y. 2025-2026 ]]*8</f>
        <v>1808</v>
      </c>
      <c r="E75" s="12">
        <v>44</v>
      </c>
      <c r="F75" s="10">
        <v>2025</v>
      </c>
      <c r="G75" s="12"/>
      <c r="H75" s="12">
        <f t="shared" si="2"/>
        <v>1764</v>
      </c>
      <c r="I75" s="12">
        <f t="shared" si="3"/>
        <v>0</v>
      </c>
      <c r="J75" s="12">
        <f>Table1[[#This Row],[Enrolment S.Y. 2025-2026 ]]*8</f>
        <v>1808</v>
      </c>
      <c r="K75" s="12"/>
      <c r="L75" s="10"/>
      <c r="M75" s="12"/>
      <c r="N75" s="12">
        <f t="shared" si="16"/>
        <v>1808</v>
      </c>
      <c r="O75" s="12">
        <f t="shared" si="17"/>
        <v>0</v>
      </c>
      <c r="P75" s="12">
        <f>Table1[[#This Row],[Enrolment S.Y. 2025-2026 ]]*8</f>
        <v>1808</v>
      </c>
      <c r="Q75" s="12"/>
      <c r="R75" s="10"/>
      <c r="S75" s="12"/>
      <c r="T75" s="12">
        <f t="shared" si="18"/>
        <v>1808</v>
      </c>
      <c r="U75" s="12">
        <f t="shared" si="19"/>
        <v>0</v>
      </c>
      <c r="V75" s="12">
        <f>Table1[[#This Row],[Enrolment S.Y. 2025-2026 ]]*8</f>
        <v>1808</v>
      </c>
      <c r="W75" s="12"/>
      <c r="X75" s="10"/>
      <c r="Y75" s="12"/>
      <c r="Z75" s="12">
        <f t="shared" si="20"/>
        <v>1808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>
        <v>226</v>
      </c>
      <c r="D76" s="12">
        <f>Table1[[#This Row],[Enrolment S.Y. 2025-2026 ]]*8</f>
        <v>1808</v>
      </c>
      <c r="E76" s="12">
        <v>44</v>
      </c>
      <c r="F76" s="10">
        <v>2025</v>
      </c>
      <c r="G76" s="12"/>
      <c r="H76" s="12">
        <f t="shared" si="2"/>
        <v>1764</v>
      </c>
      <c r="I76" s="12">
        <f t="shared" si="3"/>
        <v>0</v>
      </c>
      <c r="J76" s="12">
        <f>Table1[[#This Row],[Enrolment S.Y. 2025-2026 ]]*8</f>
        <v>1808</v>
      </c>
      <c r="K76" s="12"/>
      <c r="L76" s="10"/>
      <c r="M76" s="12"/>
      <c r="N76" s="12">
        <f t="shared" si="16"/>
        <v>1808</v>
      </c>
      <c r="O76" s="12">
        <f t="shared" si="17"/>
        <v>0</v>
      </c>
      <c r="P76" s="12">
        <f>Table1[[#This Row],[Enrolment S.Y. 2025-2026 ]]*8</f>
        <v>1808</v>
      </c>
      <c r="Q76" s="12"/>
      <c r="R76" s="10"/>
      <c r="S76" s="12"/>
      <c r="T76" s="12">
        <f t="shared" si="18"/>
        <v>1808</v>
      </c>
      <c r="U76" s="12">
        <f t="shared" si="19"/>
        <v>0</v>
      </c>
      <c r="V76" s="12">
        <f>Table1[[#This Row],[Enrolment S.Y. 2025-2026 ]]*8</f>
        <v>1808</v>
      </c>
      <c r="W76" s="12"/>
      <c r="X76" s="10"/>
      <c r="Y76" s="12"/>
      <c r="Z76" s="12">
        <f t="shared" si="20"/>
        <v>1808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>
        <v>226</v>
      </c>
      <c r="D77" s="12">
        <f>Table1[[#This Row],[Enrolment S.Y. 2025-2026 ]]*8</f>
        <v>1808</v>
      </c>
      <c r="E77" s="12">
        <v>44</v>
      </c>
      <c r="F77" s="10">
        <v>2025</v>
      </c>
      <c r="G77" s="12"/>
      <c r="H77" s="12">
        <f t="shared" si="2"/>
        <v>1764</v>
      </c>
      <c r="I77" s="12">
        <f t="shared" si="3"/>
        <v>0</v>
      </c>
      <c r="J77" s="12">
        <f>Table1[[#This Row],[Enrolment S.Y. 2025-2026 ]]*8</f>
        <v>1808</v>
      </c>
      <c r="K77" s="12"/>
      <c r="L77" s="10"/>
      <c r="M77" s="12"/>
      <c r="N77" s="12">
        <f t="shared" si="16"/>
        <v>1808</v>
      </c>
      <c r="O77" s="12">
        <f t="shared" si="17"/>
        <v>0</v>
      </c>
      <c r="P77" s="12">
        <f>Table1[[#This Row],[Enrolment S.Y. 2025-2026 ]]*8</f>
        <v>1808</v>
      </c>
      <c r="Q77" s="12"/>
      <c r="R77" s="10"/>
      <c r="S77" s="12"/>
      <c r="T77" s="12">
        <f t="shared" si="18"/>
        <v>1808</v>
      </c>
      <c r="U77" s="12">
        <f t="shared" si="19"/>
        <v>0</v>
      </c>
      <c r="V77" s="12">
        <f>Table1[[#This Row],[Enrolment S.Y. 2025-2026 ]]*8</f>
        <v>1808</v>
      </c>
      <c r="W77" s="12"/>
      <c r="X77" s="10"/>
      <c r="Y77" s="12"/>
      <c r="Z77" s="12">
        <f t="shared" si="20"/>
        <v>1808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226</v>
      </c>
      <c r="D78" s="12">
        <f>Table1[[#This Row],[Enrolment S.Y. 2025-2026 ]]*8</f>
        <v>1808</v>
      </c>
      <c r="E78" s="12">
        <v>44</v>
      </c>
      <c r="F78" s="10">
        <v>2025</v>
      </c>
      <c r="G78" s="12"/>
      <c r="H78" s="12">
        <f t="shared" ref="H78:H127" si="22">IF((D78-E78)&lt;0,0,(D78-E78))</f>
        <v>1764</v>
      </c>
      <c r="I78" s="12">
        <f t="shared" ref="I78:I127" si="23">IF((E78-D78)&lt;0,0,(E78-D78))</f>
        <v>0</v>
      </c>
      <c r="J78" s="12">
        <f>Table1[[#This Row],[Enrolment S.Y. 2025-2026 ]]*8</f>
        <v>1808</v>
      </c>
      <c r="K78" s="12"/>
      <c r="L78" s="10"/>
      <c r="M78" s="12"/>
      <c r="N78" s="12">
        <f t="shared" si="16"/>
        <v>1808</v>
      </c>
      <c r="O78" s="12">
        <f t="shared" si="17"/>
        <v>0</v>
      </c>
      <c r="P78" s="12">
        <f>Table1[[#This Row],[Enrolment S.Y. 2025-2026 ]]*8</f>
        <v>1808</v>
      </c>
      <c r="Q78" s="12"/>
      <c r="R78" s="10"/>
      <c r="S78" s="12"/>
      <c r="T78" s="12">
        <f t="shared" si="18"/>
        <v>1808</v>
      </c>
      <c r="U78" s="12">
        <f t="shared" si="19"/>
        <v>0</v>
      </c>
      <c r="V78" s="12">
        <f>Table1[[#This Row],[Enrolment S.Y. 2025-2026 ]]*8</f>
        <v>1808</v>
      </c>
      <c r="W78" s="12"/>
      <c r="X78" s="10"/>
      <c r="Y78" s="12"/>
      <c r="Z78" s="12">
        <f t="shared" si="20"/>
        <v>1808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226</v>
      </c>
      <c r="D79" s="12">
        <f>Table1[[#This Row],[Enrolment S.Y. 2025-2026 ]]*8</f>
        <v>1808</v>
      </c>
      <c r="E79" s="12">
        <v>44</v>
      </c>
      <c r="F79" s="10">
        <v>2025</v>
      </c>
      <c r="G79" s="12"/>
      <c r="H79" s="12">
        <f t="shared" si="22"/>
        <v>1764</v>
      </c>
      <c r="I79" s="12">
        <f t="shared" si="23"/>
        <v>0</v>
      </c>
      <c r="J79" s="12">
        <f>Table1[[#This Row],[Enrolment S.Y. 2025-2026 ]]*8</f>
        <v>1808</v>
      </c>
      <c r="K79" s="12"/>
      <c r="L79" s="10"/>
      <c r="M79" s="12"/>
      <c r="N79" s="12">
        <f t="shared" si="16"/>
        <v>1808</v>
      </c>
      <c r="O79" s="12">
        <f t="shared" si="17"/>
        <v>0</v>
      </c>
      <c r="P79" s="12">
        <f>Table1[[#This Row],[Enrolment S.Y. 2025-2026 ]]*8</f>
        <v>1808</v>
      </c>
      <c r="Q79" s="12"/>
      <c r="R79" s="10"/>
      <c r="S79" s="12"/>
      <c r="T79" s="12">
        <f t="shared" si="18"/>
        <v>1808</v>
      </c>
      <c r="U79" s="12">
        <f t="shared" si="19"/>
        <v>0</v>
      </c>
      <c r="V79" s="12">
        <f>Table1[[#This Row],[Enrolment S.Y. 2025-2026 ]]*8</f>
        <v>1808</v>
      </c>
      <c r="W79" s="12"/>
      <c r="X79" s="10"/>
      <c r="Y79" s="12"/>
      <c r="Z79" s="12">
        <f t="shared" si="20"/>
        <v>1808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>
        <v>226</v>
      </c>
      <c r="D80" s="12">
        <f>Table1[[#This Row],[Enrolment S.Y. 2025-2026 ]]*8</f>
        <v>1808</v>
      </c>
      <c r="E80" s="12">
        <v>44</v>
      </c>
      <c r="F80" s="10">
        <v>2025</v>
      </c>
      <c r="G80" s="12"/>
      <c r="H80" s="12">
        <f t="shared" si="22"/>
        <v>1764</v>
      </c>
      <c r="I80" s="12">
        <f t="shared" si="23"/>
        <v>0</v>
      </c>
      <c r="J80" s="12">
        <f>Table1[[#This Row],[Enrolment S.Y. 2025-2026 ]]*8</f>
        <v>1808</v>
      </c>
      <c r="K80" s="12"/>
      <c r="L80" s="10"/>
      <c r="M80" s="12"/>
      <c r="N80" s="12">
        <f t="shared" si="16"/>
        <v>1808</v>
      </c>
      <c r="O80" s="12">
        <f t="shared" si="17"/>
        <v>0</v>
      </c>
      <c r="P80" s="12">
        <f>Table1[[#This Row],[Enrolment S.Y. 2025-2026 ]]*8</f>
        <v>1808</v>
      </c>
      <c r="Q80" s="12"/>
      <c r="R80" s="10"/>
      <c r="S80" s="12"/>
      <c r="T80" s="12">
        <f t="shared" si="18"/>
        <v>1808</v>
      </c>
      <c r="U80" s="12">
        <f t="shared" si="19"/>
        <v>0</v>
      </c>
      <c r="V80" s="12">
        <f>Table1[[#This Row],[Enrolment S.Y. 2025-2026 ]]*8</f>
        <v>1808</v>
      </c>
      <c r="W80" s="12"/>
      <c r="X80" s="10"/>
      <c r="Y80" s="12"/>
      <c r="Z80" s="12">
        <f t="shared" si="20"/>
        <v>1808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226</v>
      </c>
      <c r="D81" s="12">
        <f>Table1[[#This Row],[Enrolment S.Y. 2025-2026 ]]*8</f>
        <v>1808</v>
      </c>
      <c r="E81" s="12">
        <v>44</v>
      </c>
      <c r="F81" s="10">
        <v>2025</v>
      </c>
      <c r="G81" s="12"/>
      <c r="H81" s="12">
        <f t="shared" si="22"/>
        <v>1764</v>
      </c>
      <c r="I81" s="12">
        <f t="shared" si="23"/>
        <v>0</v>
      </c>
      <c r="J81" s="12">
        <f>Table1[[#This Row],[Enrolment S.Y. 2025-2026 ]]*8</f>
        <v>1808</v>
      </c>
      <c r="K81" s="12"/>
      <c r="L81" s="10"/>
      <c r="M81" s="12"/>
      <c r="N81" s="12">
        <f t="shared" si="16"/>
        <v>1808</v>
      </c>
      <c r="O81" s="12">
        <f t="shared" si="17"/>
        <v>0</v>
      </c>
      <c r="P81" s="12">
        <f>Table1[[#This Row],[Enrolment S.Y. 2025-2026 ]]*8</f>
        <v>1808</v>
      </c>
      <c r="Q81" s="12"/>
      <c r="R81" s="10"/>
      <c r="S81" s="12"/>
      <c r="T81" s="12">
        <f t="shared" si="18"/>
        <v>1808</v>
      </c>
      <c r="U81" s="12">
        <f t="shared" si="19"/>
        <v>0</v>
      </c>
      <c r="V81" s="12">
        <f>Table1[[#This Row],[Enrolment S.Y. 2025-2026 ]]*8</f>
        <v>1808</v>
      </c>
      <c r="W81" s="12"/>
      <c r="X81" s="10"/>
      <c r="Y81" s="12"/>
      <c r="Z81" s="12">
        <f t="shared" si="20"/>
        <v>1808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83:C91 C93:C101 C103:C110 C112:C127 C5:C12 C63:C71 C73:C81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" xr:uid="{A4A3DD15-C230-4D98-A77D-8B8307BAA8BC}">
      <formula1>"2024,2025  , 2026"</formula1>
    </dataValidation>
    <dataValidation type="list" allowBlank="1" showInputMessage="1" showErrorMessage="1" sqref="L14:L21" xr:uid="{04D117BF-956A-466E-B540-89E76C78F57B}">
      <formula1>"2024,2025 ,2026"</formula1>
    </dataValidation>
    <dataValidation type="list" allowBlank="1" showInputMessage="1" showErrorMessage="1" sqref="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0C231A0E-F375-4FBD-BA2F-19412063EF9E}">
      <formula1>"2024,2025 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49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219</v>
      </c>
      <c r="D67" s="12">
        <f>Table14[[#This Row],[Enrolment S.Y. 2025-2026 ]]*8</f>
        <v>1752</v>
      </c>
      <c r="E67" s="12"/>
      <c r="F67" s="10"/>
      <c r="G67" s="12"/>
      <c r="H67" s="12">
        <f t="shared" si="0"/>
        <v>1752</v>
      </c>
      <c r="I67" s="12">
        <f t="shared" si="1"/>
        <v>0</v>
      </c>
      <c r="J67" s="12">
        <f>Table14[[#This Row],[Enrolment S.Y. 2025-2026 ]]*8</f>
        <v>1752</v>
      </c>
      <c r="K67" s="12"/>
      <c r="L67" s="10"/>
      <c r="M67" s="12"/>
      <c r="N67" s="12">
        <f t="shared" si="2"/>
        <v>1752</v>
      </c>
      <c r="O67" s="12">
        <f t="shared" si="3"/>
        <v>0</v>
      </c>
      <c r="P67" s="12">
        <f>Table14[[#This Row],[Enrolment S.Y. 2025-2026 ]]*8</f>
        <v>1752</v>
      </c>
      <c r="Q67" s="12"/>
      <c r="R67" s="10"/>
      <c r="S67" s="12"/>
      <c r="T67" s="12">
        <f t="shared" si="4"/>
        <v>1752</v>
      </c>
      <c r="U67" s="12">
        <f t="shared" si="5"/>
        <v>0</v>
      </c>
      <c r="V67" s="12">
        <f>Table14[[#This Row],[Enrolment S.Y. 2025-2026 ]]*8</f>
        <v>1752</v>
      </c>
      <c r="W67" s="12"/>
      <c r="X67" s="10"/>
      <c r="Y67" s="12"/>
      <c r="Z67" s="12">
        <f t="shared" si="6"/>
        <v>1752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219</v>
      </c>
      <c r="D68" s="12">
        <f>Table14[[#This Row],[Enrolment S.Y. 2025-2026 ]]*8</f>
        <v>1752</v>
      </c>
      <c r="E68" s="12"/>
      <c r="F68" s="10"/>
      <c r="G68" s="12"/>
      <c r="H68" s="12">
        <f t="shared" si="0"/>
        <v>1752</v>
      </c>
      <c r="I68" s="12">
        <f t="shared" si="1"/>
        <v>0</v>
      </c>
      <c r="J68" s="12">
        <f>Table14[[#This Row],[Enrolment S.Y. 2025-2026 ]]*8</f>
        <v>1752</v>
      </c>
      <c r="K68" s="12"/>
      <c r="L68" s="10"/>
      <c r="M68" s="12"/>
      <c r="N68" s="12">
        <f t="shared" si="2"/>
        <v>1752</v>
      </c>
      <c r="O68" s="12">
        <f t="shared" si="3"/>
        <v>0</v>
      </c>
      <c r="P68" s="12">
        <f>Table14[[#This Row],[Enrolment S.Y. 2025-2026 ]]*8</f>
        <v>1752</v>
      </c>
      <c r="Q68" s="12"/>
      <c r="R68" s="10"/>
      <c r="S68" s="12"/>
      <c r="T68" s="12">
        <f t="shared" si="4"/>
        <v>1752</v>
      </c>
      <c r="U68" s="12">
        <f t="shared" si="5"/>
        <v>0</v>
      </c>
      <c r="V68" s="12">
        <f>Table14[[#This Row],[Enrolment S.Y. 2025-2026 ]]*8</f>
        <v>1752</v>
      </c>
      <c r="W68" s="12"/>
      <c r="X68" s="10"/>
      <c r="Y68" s="12"/>
      <c r="Z68" s="12">
        <f t="shared" si="6"/>
        <v>1752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219</v>
      </c>
      <c r="D69" s="12">
        <f>Table14[[#This Row],[Enrolment S.Y. 2025-2026 ]]*8</f>
        <v>1752</v>
      </c>
      <c r="E69" s="12"/>
      <c r="F69" s="10"/>
      <c r="G69" s="12"/>
      <c r="H69" s="12">
        <f t="shared" si="0"/>
        <v>1752</v>
      </c>
      <c r="I69" s="12">
        <f t="shared" si="1"/>
        <v>0</v>
      </c>
      <c r="J69" s="12">
        <f>Table14[[#This Row],[Enrolment S.Y. 2025-2026 ]]*8</f>
        <v>1752</v>
      </c>
      <c r="K69" s="12"/>
      <c r="L69" s="10"/>
      <c r="M69" s="12"/>
      <c r="N69" s="12">
        <f t="shared" si="2"/>
        <v>1752</v>
      </c>
      <c r="O69" s="12">
        <f t="shared" si="3"/>
        <v>0</v>
      </c>
      <c r="P69" s="12">
        <f>Table14[[#This Row],[Enrolment S.Y. 2025-2026 ]]*8</f>
        <v>1752</v>
      </c>
      <c r="Q69" s="12"/>
      <c r="R69" s="10"/>
      <c r="S69" s="12"/>
      <c r="T69" s="12">
        <f t="shared" si="4"/>
        <v>1752</v>
      </c>
      <c r="U69" s="12">
        <f t="shared" si="5"/>
        <v>0</v>
      </c>
      <c r="V69" s="12">
        <f>Table14[[#This Row],[Enrolment S.Y. 2025-2026 ]]*8</f>
        <v>1752</v>
      </c>
      <c r="W69" s="12"/>
      <c r="X69" s="10"/>
      <c r="Y69" s="12"/>
      <c r="Z69" s="12">
        <f t="shared" si="6"/>
        <v>1752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>
        <v>219</v>
      </c>
      <c r="D70" s="12">
        <f>Table14[[#This Row],[Enrolment S.Y. 2025-2026 ]]*8</f>
        <v>1752</v>
      </c>
      <c r="E70" s="12"/>
      <c r="F70" s="10"/>
      <c r="G70" s="12"/>
      <c r="H70" s="12">
        <f t="shared" si="0"/>
        <v>1752</v>
      </c>
      <c r="I70" s="12">
        <f t="shared" si="1"/>
        <v>0</v>
      </c>
      <c r="J70" s="12">
        <f>Table14[[#This Row],[Enrolment S.Y. 2025-2026 ]]*8</f>
        <v>1752</v>
      </c>
      <c r="K70" s="12"/>
      <c r="L70" s="10"/>
      <c r="M70" s="12"/>
      <c r="N70" s="12">
        <f t="shared" si="2"/>
        <v>1752</v>
      </c>
      <c r="O70" s="12">
        <f t="shared" si="3"/>
        <v>0</v>
      </c>
      <c r="P70" s="12">
        <f>Table14[[#This Row],[Enrolment S.Y. 2025-2026 ]]*8</f>
        <v>1752</v>
      </c>
      <c r="Q70" s="12"/>
      <c r="R70" s="10"/>
      <c r="S70" s="12"/>
      <c r="T70" s="12">
        <f t="shared" si="4"/>
        <v>1752</v>
      </c>
      <c r="U70" s="12">
        <f t="shared" si="5"/>
        <v>0</v>
      </c>
      <c r="V70" s="12">
        <f>Table14[[#This Row],[Enrolment S.Y. 2025-2026 ]]*8</f>
        <v>1752</v>
      </c>
      <c r="W70" s="12"/>
      <c r="X70" s="10"/>
      <c r="Y70" s="12"/>
      <c r="Z70" s="12">
        <f t="shared" si="6"/>
        <v>1752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219</v>
      </c>
      <c r="D71" s="12">
        <f>Table14[[#This Row],[Enrolment S.Y. 2025-2026 ]]*8</f>
        <v>1752</v>
      </c>
      <c r="E71" s="12"/>
      <c r="F71" s="10"/>
      <c r="G71" s="12"/>
      <c r="H71" s="12">
        <f t="shared" si="0"/>
        <v>1752</v>
      </c>
      <c r="I71" s="12">
        <f t="shared" si="1"/>
        <v>0</v>
      </c>
      <c r="J71" s="12">
        <f>Table14[[#This Row],[Enrolment S.Y. 2025-2026 ]]*8</f>
        <v>1752</v>
      </c>
      <c r="K71" s="12"/>
      <c r="L71" s="10"/>
      <c r="M71" s="12"/>
      <c r="N71" s="12">
        <f t="shared" ref="N71:N77" si="14">IF((J71-K71)&lt;0,0,(J71-K71))</f>
        <v>1752</v>
      </c>
      <c r="O71" s="12">
        <f t="shared" ref="O71:O77" si="15">IF((K71-J71)&lt;0,0,(K71-J71))</f>
        <v>0</v>
      </c>
      <c r="P71" s="12">
        <f>Table14[[#This Row],[Enrolment S.Y. 2025-2026 ]]*8</f>
        <v>1752</v>
      </c>
      <c r="Q71" s="12"/>
      <c r="R71" s="10"/>
      <c r="S71" s="12"/>
      <c r="T71" s="12">
        <f t="shared" si="4"/>
        <v>1752</v>
      </c>
      <c r="U71" s="12">
        <f t="shared" si="5"/>
        <v>0</v>
      </c>
      <c r="V71" s="12">
        <f>Table14[[#This Row],[Enrolment S.Y. 2025-2026 ]]*8</f>
        <v>1752</v>
      </c>
      <c r="W71" s="12"/>
      <c r="X71" s="10"/>
      <c r="Y71" s="12"/>
      <c r="Z71" s="12">
        <f t="shared" si="6"/>
        <v>1752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219</v>
      </c>
      <c r="D72" s="12">
        <f>Table14[[#This Row],[Enrolment S.Y. 2025-2026 ]]*8</f>
        <v>1752</v>
      </c>
      <c r="E72" s="12"/>
      <c r="F72" s="10"/>
      <c r="G72" s="12"/>
      <c r="H72" s="12">
        <f t="shared" si="0"/>
        <v>1752</v>
      </c>
      <c r="I72" s="12">
        <f t="shared" si="1"/>
        <v>0</v>
      </c>
      <c r="J72" s="12">
        <f>Table14[[#This Row],[Enrolment S.Y. 2025-2026 ]]*8</f>
        <v>1752</v>
      </c>
      <c r="K72" s="12"/>
      <c r="L72" s="10"/>
      <c r="M72" s="12"/>
      <c r="N72" s="12">
        <f t="shared" si="14"/>
        <v>1752</v>
      </c>
      <c r="O72" s="12">
        <f t="shared" si="15"/>
        <v>0</v>
      </c>
      <c r="P72" s="12">
        <f>Table14[[#This Row],[Enrolment S.Y. 2025-2026 ]]*8</f>
        <v>1752</v>
      </c>
      <c r="Q72" s="12"/>
      <c r="R72" s="10"/>
      <c r="S72" s="12"/>
      <c r="T72" s="12">
        <f t="shared" si="4"/>
        <v>1752</v>
      </c>
      <c r="U72" s="12">
        <f t="shared" si="5"/>
        <v>0</v>
      </c>
      <c r="V72" s="12">
        <f>Table14[[#This Row],[Enrolment S.Y. 2025-2026 ]]*8</f>
        <v>1752</v>
      </c>
      <c r="W72" s="12"/>
      <c r="X72" s="10"/>
      <c r="Y72" s="12"/>
      <c r="Z72" s="12">
        <f t="shared" si="6"/>
        <v>1752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0">
        <v>219</v>
      </c>
      <c r="D73" s="12">
        <f>Table14[[#This Row],[Enrolment S.Y. 2025-2026 ]]*8</f>
        <v>1752</v>
      </c>
      <c r="E73" s="12"/>
      <c r="F73" s="10"/>
      <c r="G73" s="12"/>
      <c r="H73" s="12">
        <f>IF((D73-E73)&lt;0,0,(D73-E73))</f>
        <v>1752</v>
      </c>
      <c r="I73" s="12">
        <f>IF((E73-D73)&lt;0,0,(E73-D73))</f>
        <v>0</v>
      </c>
      <c r="J73" s="12">
        <f>Table14[[#This Row],[Enrolment S.Y. 2025-2026 ]]*8</f>
        <v>1752</v>
      </c>
      <c r="K73" s="12"/>
      <c r="L73" s="10"/>
      <c r="M73" s="12"/>
      <c r="N73" s="12">
        <f t="shared" si="14"/>
        <v>1752</v>
      </c>
      <c r="O73" s="12">
        <f t="shared" si="15"/>
        <v>0</v>
      </c>
      <c r="P73" s="12">
        <f>Table14[[#This Row],[Enrolment S.Y. 2025-2026 ]]*8</f>
        <v>1752</v>
      </c>
      <c r="Q73" s="12"/>
      <c r="R73" s="10"/>
      <c r="S73" s="12"/>
      <c r="T73" s="12">
        <f>IF((P73-Q73)&lt;0,0,(P73-Q73))</f>
        <v>1752</v>
      </c>
      <c r="U73" s="12">
        <f>IF((Q73-P73)&lt;0,0,(Q73-P73))</f>
        <v>0</v>
      </c>
      <c r="V73" s="12">
        <f>Table14[[#This Row],[Enrolment S.Y. 2025-2026 ]]*8</f>
        <v>1752</v>
      </c>
      <c r="W73" s="12"/>
      <c r="X73" s="10"/>
      <c r="Y73" s="12"/>
      <c r="Z73" s="12">
        <f>IF((V73-W73)&lt;0,0,(V73-W73))</f>
        <v>1752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>
        <v>219</v>
      </c>
      <c r="D74" s="12">
        <f>Table14[[#This Row],[Enrolment S.Y. 2025-2026 ]]*8</f>
        <v>1752</v>
      </c>
      <c r="E74" s="12"/>
      <c r="F74" s="10"/>
      <c r="G74" s="12"/>
      <c r="H74" s="12">
        <f t="shared" si="0"/>
        <v>1752</v>
      </c>
      <c r="I74" s="12">
        <f t="shared" si="1"/>
        <v>0</v>
      </c>
      <c r="J74" s="12">
        <f>Table14[[#This Row],[Enrolment S.Y. 2025-2026 ]]*8</f>
        <v>1752</v>
      </c>
      <c r="K74" s="12"/>
      <c r="L74" s="10"/>
      <c r="M74" s="12"/>
      <c r="N74" s="12">
        <f t="shared" si="14"/>
        <v>1752</v>
      </c>
      <c r="O74" s="12">
        <f t="shared" si="15"/>
        <v>0</v>
      </c>
      <c r="P74" s="12">
        <f>Table14[[#This Row],[Enrolment S.Y. 2025-2026 ]]*8</f>
        <v>1752</v>
      </c>
      <c r="Q74" s="12"/>
      <c r="R74" s="10"/>
      <c r="S74" s="12"/>
      <c r="T74" s="12">
        <f t="shared" ref="T74:T122" si="16">IF((P74-Q74)&lt;0,0,(P74-Q74))</f>
        <v>1752</v>
      </c>
      <c r="U74" s="12">
        <f t="shared" ref="U74:U122" si="17">IF((Q74-P74)&lt;0,0,(Q74-P74))</f>
        <v>0</v>
      </c>
      <c r="V74" s="12">
        <f>Table14[[#This Row],[Enrolment S.Y. 2025-2026 ]]*8</f>
        <v>1752</v>
      </c>
      <c r="W74" s="12"/>
      <c r="X74" s="10"/>
      <c r="Y74" s="12"/>
      <c r="Z74" s="12">
        <f t="shared" ref="Z74:Z122" si="18">IF((V74-W74)&lt;0,0,(V74-W74))</f>
        <v>1752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>
        <v>219</v>
      </c>
      <c r="D75" s="12">
        <f>Table14[[#This Row],[Enrolment S.Y. 2025-2026 ]]*8</f>
        <v>1752</v>
      </c>
      <c r="E75" s="12"/>
      <c r="F75" s="10"/>
      <c r="G75" s="12"/>
      <c r="H75" s="12">
        <f t="shared" si="0"/>
        <v>1752</v>
      </c>
      <c r="I75" s="12">
        <f t="shared" si="1"/>
        <v>0</v>
      </c>
      <c r="J75" s="12">
        <f>Table14[[#This Row],[Enrolment S.Y. 2025-2026 ]]*8</f>
        <v>1752</v>
      </c>
      <c r="K75" s="12"/>
      <c r="L75" s="10"/>
      <c r="M75" s="12"/>
      <c r="N75" s="12">
        <f t="shared" si="14"/>
        <v>1752</v>
      </c>
      <c r="O75" s="12">
        <f t="shared" si="15"/>
        <v>0</v>
      </c>
      <c r="P75" s="12">
        <f>Table14[[#This Row],[Enrolment S.Y. 2025-2026 ]]*8</f>
        <v>1752</v>
      </c>
      <c r="Q75" s="12"/>
      <c r="R75" s="10"/>
      <c r="S75" s="12"/>
      <c r="T75" s="12">
        <f t="shared" si="16"/>
        <v>1752</v>
      </c>
      <c r="U75" s="12">
        <f t="shared" si="17"/>
        <v>0</v>
      </c>
      <c r="V75" s="12">
        <f>Table14[[#This Row],[Enrolment S.Y. 2025-2026 ]]*8</f>
        <v>1752</v>
      </c>
      <c r="W75" s="12"/>
      <c r="X75" s="10"/>
      <c r="Y75" s="12"/>
      <c r="Z75" s="12">
        <f t="shared" si="18"/>
        <v>1752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0">
        <v>219</v>
      </c>
      <c r="D76" s="12">
        <f>Table14[[#This Row],[Enrolment S.Y. 2025-2026 ]]*8</f>
        <v>1752</v>
      </c>
      <c r="E76" s="12"/>
      <c r="F76" s="10"/>
      <c r="G76" s="12"/>
      <c r="H76" s="12">
        <f>IF((D76-E76)&lt;0,0,(D76-E76))</f>
        <v>1752</v>
      </c>
      <c r="I76" s="12">
        <f>IF((E76-D76)&lt;0,0,(E76-D76))</f>
        <v>0</v>
      </c>
      <c r="J76" s="12">
        <f>Table14[[#This Row],[Enrolment S.Y. 2025-2026 ]]*8</f>
        <v>1752</v>
      </c>
      <c r="K76" s="12"/>
      <c r="L76" s="10"/>
      <c r="M76" s="12"/>
      <c r="N76" s="12">
        <f t="shared" si="14"/>
        <v>1752</v>
      </c>
      <c r="O76" s="12">
        <f t="shared" si="15"/>
        <v>0</v>
      </c>
      <c r="P76" s="12">
        <f>Table14[[#This Row],[Enrolment S.Y. 2025-2026 ]]*8</f>
        <v>1752</v>
      </c>
      <c r="Q76" s="12"/>
      <c r="R76" s="10"/>
      <c r="S76" s="12"/>
      <c r="T76" s="12">
        <f>IF((P76-Q76)&lt;0,0,(P76-Q76))</f>
        <v>1752</v>
      </c>
      <c r="U76" s="12">
        <f>IF((Q76-P76)&lt;0,0,(Q76-P76))</f>
        <v>0</v>
      </c>
      <c r="V76" s="12">
        <f>Table14[[#This Row],[Enrolment S.Y. 2025-2026 ]]*8</f>
        <v>1752</v>
      </c>
      <c r="W76" s="12"/>
      <c r="X76" s="10"/>
      <c r="Y76" s="12"/>
      <c r="Z76" s="12">
        <f>IF((V76-W76)&lt;0,0,(V76-W76))</f>
        <v>1752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>
        <v>219</v>
      </c>
      <c r="D77" s="12">
        <f>Table14[[#This Row],[Enrolment S.Y. 2025-2026 ]]*8</f>
        <v>1752</v>
      </c>
      <c r="E77" s="12"/>
      <c r="F77" s="10"/>
      <c r="G77" s="12"/>
      <c r="H77" s="12">
        <f t="shared" si="0"/>
        <v>1752</v>
      </c>
      <c r="I77" s="12">
        <f t="shared" si="1"/>
        <v>0</v>
      </c>
      <c r="J77" s="12">
        <f>Table14[[#This Row],[Enrolment S.Y. 2025-2026 ]]*8</f>
        <v>1752</v>
      </c>
      <c r="K77" s="12"/>
      <c r="L77" s="10"/>
      <c r="M77" s="12"/>
      <c r="N77" s="12">
        <f t="shared" si="14"/>
        <v>1752</v>
      </c>
      <c r="O77" s="12">
        <f t="shared" si="15"/>
        <v>0</v>
      </c>
      <c r="P77" s="12">
        <f>Table14[[#This Row],[Enrolment S.Y. 2025-2026 ]]*8</f>
        <v>1752</v>
      </c>
      <c r="Q77" s="12"/>
      <c r="R77" s="10"/>
      <c r="S77" s="12"/>
      <c r="T77" s="12">
        <f t="shared" si="16"/>
        <v>1752</v>
      </c>
      <c r="U77" s="12">
        <f t="shared" si="17"/>
        <v>0</v>
      </c>
      <c r="V77" s="12">
        <f>Table14[[#This Row],[Enrolment S.Y. 2025-2026 ]]*8</f>
        <v>1752</v>
      </c>
      <c r="W77" s="12"/>
      <c r="X77" s="10"/>
      <c r="Y77" s="12"/>
      <c r="Z77" s="12">
        <f t="shared" si="18"/>
        <v>1752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79:C89 C115:C122 C103:C113 C91:C101 C67:C77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6CC849E7-F534-4439-93AA-B899A5969427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2026-03-03T01:33:53Z</dcterms:modified>
  <cp:category/>
  <cp:contentStatus/>
</cp:coreProperties>
</file>