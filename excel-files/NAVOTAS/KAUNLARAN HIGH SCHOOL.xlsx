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4" documentId="13_ncr:1_{BFB59F67-F0DC-4675-A682-EB0734A8026A}" xr6:coauthVersionLast="47" xr6:coauthVersionMax="47" xr10:uidLastSave="{1EA78E53-8570-D742-8C03-EF90E2BB164E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6" i="1" l="1"/>
  <c r="H106" i="1"/>
  <c r="G105" i="1"/>
  <c r="H105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N109" i="5"/>
  <c r="O109" i="5"/>
  <c r="P109" i="5"/>
  <c r="T109" i="5"/>
  <c r="N110" i="5"/>
  <c r="O110" i="5"/>
  <c r="P110" i="5"/>
  <c r="U110" i="5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/>
  <c r="N50" i="5"/>
  <c r="O50" i="5"/>
  <c r="P50" i="5"/>
  <c r="N51" i="5"/>
  <c r="O51" i="5"/>
  <c r="P51" i="5"/>
  <c r="N52" i="5"/>
  <c r="O52" i="5"/>
  <c r="P52" i="5"/>
  <c r="U52" i="5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O3" i="4"/>
  <c r="N3" i="4"/>
  <c r="D3" i="4"/>
  <c r="H3" i="4"/>
  <c r="J3" i="4"/>
  <c r="V3" i="4"/>
  <c r="Z3" i="4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<sst xmlns="http://schemas.openxmlformats.org/spreadsheetml/2006/main" count="428" uniqueCount="99">
  <si>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</si>
  <si>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</si>
  <si>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</si>
  <si>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</si>
  <si>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</si>
  <si>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</si>
  <si>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</si>
  <si>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</si>
  <si>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</si>
  <si>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</si>
  <si>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</si>
  <si>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</si>
  <si>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</si>
  <si>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</si>
  <si>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</si>
  <si>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</si>
  <si>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</si>
  <si>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</si>
  <si>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</si>
  <si>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</si>
  <si>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</si>
  <si>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</si>
  <si>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</si>
  <si>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</si>
  <si>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</si>
  <si>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</si>
  <si>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</si>
  <si>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</si>
  <si>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</si>
  <si>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</si>
  <si>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</si>
  <si>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</si>
  <si>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</si>
  <si>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</si>
  <si>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</si>
  <si>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</si>
  <si>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</si>
  <si>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based on Target LAS - Q3</t>
  </si>
  <si>
    <t>Quantity based on Target LAS - Q2</t>
  </si>
  <si>
    <t>Quantity of Learning Activity Sheets Received (Quantity received x No. of LAS) Q2</t>
  </si>
  <si>
    <t>Year of Delivery-LAS Q2</t>
  </si>
  <si>
    <t>Quantity based on Target LAS - Q4</t>
  </si>
  <si>
    <t>Quantity of Learning Activity Sheets Received (Quantity received x No. of LAS)- Q4</t>
  </si>
  <si>
    <t>Year of Delivery - LAS - Q4</t>
  </si>
  <si>
    <t>Year of Delivery-LAS - Q3</t>
  </si>
  <si>
    <t>Quantity of Learning Activity Sheets Received (Quantity received x No. of LAS) - Q3</t>
  </si>
  <si>
    <t>MAPEH</t>
  </si>
  <si>
    <t>Year of Delivery-LAS - Q1</t>
  </si>
  <si>
    <t>Quantity of Learning Activity Sheets Received (Quantity received x No. of LAS) - Q1</t>
  </si>
  <si>
    <t xml:space="preserve">Quantity based on Target ADM-SLM - Q1 </t>
  </si>
  <si>
    <t>Year of Delivery - ADM-SLM - Q1</t>
  </si>
  <si>
    <t>SOURCE - ADM-SLM (CO,RO, SDO) - Q1</t>
  </si>
  <si>
    <t>Quantity based on Target ADM-SLM - Q2</t>
  </si>
  <si>
    <t>Year of Delivery - ADM-SLM Q2</t>
  </si>
  <si>
    <t>Quantity based on Target ADM-SLM - Q3</t>
  </si>
  <si>
    <t>Year of Delivery - ADM-SLM - Q3</t>
  </si>
  <si>
    <t>Quantity based on Target ADM-SLM - Q4</t>
  </si>
  <si>
    <t>SOURCE - LAS (CO,RO, SDO) - Q1</t>
  </si>
  <si>
    <t>GAP - LAS - Q1</t>
  </si>
  <si>
    <t>SURPLUS - LAS - Q1</t>
  </si>
  <si>
    <t>SOURCE-LAS (CO,RO, SDO) Q2</t>
  </si>
  <si>
    <t>GAP - LAS -Q2</t>
  </si>
  <si>
    <t>SURPLUS - LAS -Q2</t>
  </si>
  <si>
    <t>SOURCE-LAS (CO,RO, SDO) - Q3</t>
  </si>
  <si>
    <t>GAP - LAS - Q3</t>
  </si>
  <si>
    <t>SURPLUS - LAS - Q3</t>
  </si>
  <si>
    <t>SOURCE - LAS (CO,RO, SDO) - Q4</t>
  </si>
  <si>
    <t>GAP - LAS - Q4</t>
  </si>
  <si>
    <t>SURPLUS - LAS - Q4</t>
  </si>
  <si>
    <t>GAP - ADM-SLM - Q1</t>
  </si>
  <si>
    <t>SURPLUS - ADM-SLM - Q1</t>
  </si>
  <si>
    <t>GAP - ADM-SLM - Q2</t>
  </si>
  <si>
    <t>SOURCE - ADM-SLM (CO,RO, SDO) Q2</t>
  </si>
  <si>
    <t>SURPLUS - ADM-SLM -Q2</t>
  </si>
  <si>
    <t>SOURCE - ADM-SLM(CO,RO, SDO) - Q3</t>
  </si>
  <si>
    <t>GAP - ADM-SLM - Q3</t>
  </si>
  <si>
    <t>SURPLUS - ADM-SLM - Q3</t>
  </si>
  <si>
    <t>Year of Delivery - ADM-SLM- Q4</t>
  </si>
  <si>
    <t>SOURCE - ADM-SLM - (CO,RO, SDO) - Q4</t>
  </si>
  <si>
    <t>GAP - ADM-SLM - Q4</t>
  </si>
  <si>
    <t>SURPLUS - ADM-SLM- Q4</t>
  </si>
  <si>
    <t>Quantity of ADM-SLM Received (Quantity received x No. of ADM-SLM)- Q4</t>
  </si>
  <si>
    <t>Quantity of ADM-SLM Received (Quantity received x No. of ADM-SLM) - Q1</t>
  </si>
  <si>
    <t>Quantity of ADM-SLM Received (Quantity received x No. of ADM-SLM) - Q2</t>
  </si>
  <si>
    <t>Quantity of ADM-SLM Received (Quantity received x No. of ADM-SLM) - Q3</t>
  </si>
  <si>
    <t>KINDER</t>
  </si>
  <si>
    <t>PE</t>
  </si>
  <si>
    <t>Music</t>
  </si>
  <si>
    <t>Arts</t>
  </si>
  <si>
    <t>Health</t>
  </si>
  <si>
    <t>CO</t>
  </si>
  <si>
    <t>Earth &amp; Life Science</t>
  </si>
  <si>
    <t>Heritage (Understanding Culture, Society &amp; Politics)</t>
  </si>
  <si>
    <t>Creative Writing</t>
  </si>
  <si>
    <t>Philippine Politics and Governance</t>
  </si>
  <si>
    <t>Trends, Networks and Critical Thinking in the 21st Century</t>
  </si>
  <si>
    <t>Discipline and Ideas in Applied Social Sciences</t>
  </si>
  <si>
    <t xml:space="preserve">
Pagbasa At Pagsusuri Ng Iba'T Ibang Teksto Tungo Sa Pananaliksik</t>
  </si>
  <si>
    <t xml:space="preserve">
Business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</si>
</sst>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Bookman Old Style"/>
      <family val="1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3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7" fillId="0" borderId="5" xfId="0" applyFont="1" applyBorder="1" applyAlignment="1">
      <alignment horizontal="center" vertical="center" wrapText="1"/>
    </xf>
    <xf numFmtId="0" fontId="0" fillId="8" borderId="0" xfId="0" applyFont="1" applyFill="1"/>
    <xf numFmtId="0" fontId="0" fillId="0" borderId="0" xfId="0" applyFont="1"/>
    <xf numFmtId="0" fontId="1" fillId="7" borderId="9" xfId="0" applyFont="1" applyFill="1" applyBorder="1" applyAlignment="1">
      <alignment horizontal="center" vertical="center" wrapText="1"/>
    </xf>
    <xf numFmtId="0" fontId="1" fillId="7" borderId="3" xfId="0" applyNumberFormat="1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9" borderId="3" xfId="0" applyNumberFormat="1" applyFont="1" applyFill="1" applyBorder="1" applyAlignment="1">
      <alignment horizontal="center" vertical="center" wrapText="1"/>
    </xf>
    <xf numFmtId="0" fontId="12" fillId="11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1" tableBorderDxfId="60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8" headerRowBorderDxfId="59" tableBorderDxfId="57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8" headerRowBorderDxfId="29" tableBorderDxfId="27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topLeftCell="A91" zoomScale="85" zoomScaleNormal="85" workbookViewId="0">
      <pane xSplit="2" topLeftCell="C91" activePane="topRight" state="frozen"/>
      <selection activeCell="A91" sqref="A91"/>
      <selection pane="topRight" activeCell="F65" sqref="F65"/>
    </sheetView>
  </sheetViews>
  <sheetFormatPr defaultRowHeight="15" x14ac:dyDescent="0.2"/>
  <cols>
    <col min="1" max="1" width="10.22265625" bestFit="1" customWidth="1"/>
    <col min="2" max="2" width="27.84375" customWidth="1"/>
    <col min="3" max="5" width="24.88671875" bestFit="1" customWidth="1"/>
    <col min="6" max="6" width="19.1015625" bestFit="1" customWidth="1"/>
    <col min="7" max="7" width="15.06640625" customWidth="1"/>
    <col min="8" max="8" width="16.140625" bestFit="1" customWidth="1"/>
  </cols>
  <sheetData>
    <row r="1" spans="1:8" s="14" customFormat="1" ht="64.900000000000006" customHeight="1" x14ac:dyDescent="0.2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 x14ac:dyDescent="0.25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 x14ac:dyDescent="0.25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 x14ac:dyDescent="0.25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 x14ac:dyDescent="0.25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20.25" x14ac:dyDescent="0.2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x14ac:dyDescent="0.2">
      <c r="C7" s="6"/>
      <c r="D7" s="6"/>
      <c r="E7" s="6"/>
    </row>
    <row r="8" spans="1:8" ht="39.75" customHeight="1" x14ac:dyDescent="0.25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 x14ac:dyDescent="0.25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 x14ac:dyDescent="0.25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 x14ac:dyDescent="0.25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20.25" x14ac:dyDescent="0.2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x14ac:dyDescent="0.2">
      <c r="C13" s="6"/>
      <c r="D13" s="6"/>
      <c r="E13" s="6"/>
    </row>
    <row r="14" spans="1:8" ht="49.5" customHeight="1" x14ac:dyDescent="0.25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 x14ac:dyDescent="0.25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 x14ac:dyDescent="0.25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 x14ac:dyDescent="0.25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 x14ac:dyDescent="0.25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20.25" x14ac:dyDescent="0.2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x14ac:dyDescent="0.2">
      <c r="A20" s="7"/>
      <c r="B20" s="7"/>
      <c r="C20" s="8"/>
      <c r="D20" s="8"/>
      <c r="E20" s="8"/>
      <c r="F20" s="7"/>
      <c r="G20" s="7"/>
      <c r="H20" s="7"/>
    </row>
    <row r="21" spans="1:8" ht="28.5" customHeight="1" x14ac:dyDescent="0.25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 x14ac:dyDescent="0.25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20.25" x14ac:dyDescent="0.2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 x14ac:dyDescent="0.25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 x14ac:dyDescent="0.25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 x14ac:dyDescent="0.25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 x14ac:dyDescent="0.25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 x14ac:dyDescent="0.25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 x14ac:dyDescent="0.25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 x14ac:dyDescent="0.2">
      <c r="A30" s="7"/>
      <c r="B30" s="7"/>
      <c r="C30" s="8"/>
      <c r="D30" s="8"/>
      <c r="E30" s="8"/>
      <c r="F30" s="7"/>
      <c r="G30" s="7"/>
      <c r="H30" s="7"/>
    </row>
    <row r="31" spans="1:8" ht="27.75" customHeight="1" x14ac:dyDescent="0.25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 x14ac:dyDescent="0.25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 x14ac:dyDescent="0.25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 x14ac:dyDescent="0.25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 x14ac:dyDescent="0.25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 x14ac:dyDescent="0.25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 x14ac:dyDescent="0.25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 x14ac:dyDescent="0.25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 x14ac:dyDescent="0.25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 x14ac:dyDescent="0.2">
      <c r="A40" s="7"/>
      <c r="B40" s="7"/>
      <c r="C40" s="8"/>
      <c r="D40" s="8"/>
      <c r="E40" s="8"/>
      <c r="F40" s="7"/>
      <c r="G40" s="7"/>
      <c r="H40" s="7"/>
    </row>
    <row r="41" spans="1:8" ht="27.75" customHeight="1" x14ac:dyDescent="0.25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 x14ac:dyDescent="0.25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 x14ac:dyDescent="0.25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 x14ac:dyDescent="0.25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 x14ac:dyDescent="0.25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 x14ac:dyDescent="0.25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 x14ac:dyDescent="0.25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 x14ac:dyDescent="0.25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 x14ac:dyDescent="0.25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 x14ac:dyDescent="0.2">
      <c r="A50" s="7"/>
      <c r="B50" s="7"/>
      <c r="C50" s="8"/>
      <c r="D50" s="8"/>
      <c r="E50" s="8"/>
      <c r="F50" s="7"/>
      <c r="G50" s="7"/>
      <c r="H50" s="7"/>
    </row>
    <row r="51" spans="1:8" ht="27.75" customHeight="1" x14ac:dyDescent="0.25">
      <c r="A51" s="10">
        <v>7</v>
      </c>
      <c r="B51" s="11" t="s">
        <v>14</v>
      </c>
      <c r="C51" s="10">
        <v>996</v>
      </c>
      <c r="D51" s="10">
        <v>1103</v>
      </c>
      <c r="E51" s="10">
        <v>2025</v>
      </c>
      <c r="F51" s="12" t="s">
        <v>90</v>
      </c>
      <c r="G51" s="3">
        <f t="shared" ref="G51:G59" si="10">IF((C51-D51)&lt;0,0,C51-D51)</f>
        <v>0</v>
      </c>
      <c r="H51" s="4">
        <f t="shared" ref="H51:H59" si="11">IF((D51-C51)&lt;0,0,D51-C51)</f>
        <v>107</v>
      </c>
    </row>
    <row r="52" spans="1:8" ht="27.75" customHeight="1" x14ac:dyDescent="0.25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 x14ac:dyDescent="0.25">
      <c r="A53" s="10">
        <v>7</v>
      </c>
      <c r="B53" s="11" t="s">
        <v>12</v>
      </c>
      <c r="C53" s="10">
        <v>996</v>
      </c>
      <c r="D53" s="10">
        <v>901</v>
      </c>
      <c r="E53" s="10">
        <v>2024</v>
      </c>
      <c r="F53" s="12" t="s">
        <v>90</v>
      </c>
      <c r="G53" s="3">
        <f t="shared" si="10"/>
        <v>95</v>
      </c>
      <c r="H53" s="4">
        <f t="shared" si="11"/>
        <v>0</v>
      </c>
    </row>
    <row r="54" spans="1:8" ht="27.75" customHeight="1" x14ac:dyDescent="0.25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 x14ac:dyDescent="0.25">
      <c r="A55" s="10">
        <v>7</v>
      </c>
      <c r="B55" s="11" t="s">
        <v>16</v>
      </c>
      <c r="C55" s="10">
        <v>996</v>
      </c>
      <c r="D55" s="10">
        <v>1103</v>
      </c>
      <c r="E55" s="10">
        <v>2025</v>
      </c>
      <c r="F55" s="12" t="s">
        <v>90</v>
      </c>
      <c r="G55" s="3">
        <f t="shared" si="10"/>
        <v>0</v>
      </c>
      <c r="H55" s="4">
        <f t="shared" si="11"/>
        <v>107</v>
      </c>
    </row>
    <row r="56" spans="1:8" ht="27.75" customHeight="1" x14ac:dyDescent="0.25">
      <c r="A56" s="10">
        <v>7</v>
      </c>
      <c r="B56" s="11" t="s">
        <v>13</v>
      </c>
      <c r="C56" s="10">
        <v>996</v>
      </c>
      <c r="D56" s="10">
        <v>925</v>
      </c>
      <c r="E56" s="10">
        <v>2024</v>
      </c>
      <c r="F56" s="12" t="s">
        <v>90</v>
      </c>
      <c r="G56" s="3">
        <f t="shared" si="10"/>
        <v>71</v>
      </c>
      <c r="H56" s="4">
        <f t="shared" si="11"/>
        <v>0</v>
      </c>
    </row>
    <row r="57" spans="1:8" ht="27.75" customHeight="1" x14ac:dyDescent="0.25">
      <c r="A57" s="10">
        <v>7</v>
      </c>
      <c r="B57" s="11" t="s">
        <v>17</v>
      </c>
      <c r="C57" s="10">
        <v>996</v>
      </c>
      <c r="D57" s="10">
        <v>1103</v>
      </c>
      <c r="E57" s="10">
        <v>2025</v>
      </c>
      <c r="F57" s="12" t="s">
        <v>90</v>
      </c>
      <c r="G57" s="3">
        <f t="shared" si="10"/>
        <v>0</v>
      </c>
      <c r="H57" s="4">
        <f t="shared" si="11"/>
        <v>107</v>
      </c>
    </row>
    <row r="58" spans="1:8" ht="27.75" customHeight="1" x14ac:dyDescent="0.25">
      <c r="A58" s="10">
        <v>7</v>
      </c>
      <c r="B58" s="11" t="s">
        <v>21</v>
      </c>
      <c r="C58" s="10">
        <v>996</v>
      </c>
      <c r="D58" s="10">
        <v>1103</v>
      </c>
      <c r="E58" s="10">
        <v>2025</v>
      </c>
      <c r="F58" s="12" t="s">
        <v>90</v>
      </c>
      <c r="G58" s="3">
        <f t="shared" si="10"/>
        <v>0</v>
      </c>
      <c r="H58" s="4">
        <f t="shared" si="11"/>
        <v>107</v>
      </c>
    </row>
    <row r="59" spans="1:8" ht="27.75" customHeight="1" x14ac:dyDescent="0.25">
      <c r="A59" s="10">
        <v>7</v>
      </c>
      <c r="B59" s="11" t="s">
        <v>19</v>
      </c>
      <c r="C59" s="10">
        <v>996</v>
      </c>
      <c r="D59" s="10">
        <v>1103</v>
      </c>
      <c r="E59" s="10">
        <v>2025</v>
      </c>
      <c r="F59" s="12" t="s">
        <v>90</v>
      </c>
      <c r="G59" s="3">
        <f t="shared" si="10"/>
        <v>0</v>
      </c>
      <c r="H59" s="4">
        <f t="shared" si="11"/>
        <v>107</v>
      </c>
    </row>
    <row r="60" spans="1:8" ht="27.75" customHeight="1" x14ac:dyDescent="0.2">
      <c r="A60" s="7"/>
      <c r="B60" s="7"/>
      <c r="C60" s="8"/>
      <c r="D60" s="8"/>
      <c r="E60" s="8"/>
      <c r="F60" s="7"/>
      <c r="G60" s="7"/>
      <c r="H60" s="7"/>
    </row>
    <row r="61" spans="1:8" ht="27.75" customHeight="1" x14ac:dyDescent="0.25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 x14ac:dyDescent="0.25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 x14ac:dyDescent="0.25">
      <c r="A63" s="10">
        <v>8</v>
      </c>
      <c r="B63" s="11" t="s">
        <v>12</v>
      </c>
      <c r="C63" s="10">
        <v>1032</v>
      </c>
      <c r="D63" s="10">
        <v>855</v>
      </c>
      <c r="E63" s="10">
        <v>2025</v>
      </c>
      <c r="F63" s="12" t="s">
        <v>90</v>
      </c>
      <c r="G63" s="3">
        <f t="shared" si="12"/>
        <v>177</v>
      </c>
      <c r="H63" s="4">
        <f t="shared" si="13"/>
        <v>0</v>
      </c>
    </row>
    <row r="64" spans="1:8" ht="27.75" customHeight="1" x14ac:dyDescent="0.25">
      <c r="A64" s="10">
        <v>8</v>
      </c>
      <c r="B64" s="11" t="s">
        <v>20</v>
      </c>
      <c r="C64" s="10">
        <v>1032</v>
      </c>
      <c r="D64" s="10">
        <v>855</v>
      </c>
      <c r="E64" s="10">
        <v>2025</v>
      </c>
      <c r="F64" s="12" t="s">
        <v>90</v>
      </c>
      <c r="G64" s="3">
        <f t="shared" si="12"/>
        <v>177</v>
      </c>
      <c r="H64" s="4">
        <f t="shared" si="13"/>
        <v>0</v>
      </c>
    </row>
    <row r="65" spans="1:8" ht="27.75" customHeight="1" x14ac:dyDescent="0.25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 x14ac:dyDescent="0.25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 x14ac:dyDescent="0.25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 x14ac:dyDescent="0.25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 x14ac:dyDescent="0.25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 x14ac:dyDescent="0.2">
      <c r="A70" s="7"/>
      <c r="B70" s="7"/>
      <c r="C70" s="8"/>
      <c r="D70" s="8"/>
      <c r="E70" s="8"/>
      <c r="F70" s="7"/>
      <c r="G70" s="7"/>
      <c r="H70" s="7"/>
    </row>
    <row r="71" spans="1:8" ht="27.75" customHeight="1" x14ac:dyDescent="0.25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 x14ac:dyDescent="0.25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 x14ac:dyDescent="0.25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 x14ac:dyDescent="0.25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 x14ac:dyDescent="0.25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 x14ac:dyDescent="0.25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 x14ac:dyDescent="0.25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 x14ac:dyDescent="0.25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 x14ac:dyDescent="0.25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 x14ac:dyDescent="0.2">
      <c r="A80" s="7"/>
      <c r="B80" s="8"/>
      <c r="C80" s="8"/>
      <c r="D80" s="8"/>
      <c r="E80" s="8"/>
      <c r="F80" s="7"/>
      <c r="G80" s="7"/>
      <c r="H80" s="7"/>
    </row>
    <row r="81" spans="1:8" ht="27.75" customHeight="1" x14ac:dyDescent="0.25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 x14ac:dyDescent="0.25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 x14ac:dyDescent="0.25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 x14ac:dyDescent="0.25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 x14ac:dyDescent="0.25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 x14ac:dyDescent="0.25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 x14ac:dyDescent="0.25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 x14ac:dyDescent="0.25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 x14ac:dyDescent="0.25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 x14ac:dyDescent="0.2">
      <c r="A90" s="7"/>
      <c r="B90" s="7"/>
      <c r="C90" s="8"/>
      <c r="D90" s="8"/>
      <c r="E90" s="8"/>
      <c r="F90" s="7"/>
      <c r="G90" s="7"/>
      <c r="H90" s="7"/>
    </row>
    <row r="91" spans="1:8" ht="39.75" customHeight="1" x14ac:dyDescent="0.25">
      <c r="A91" s="1" t="s">
        <v>23</v>
      </c>
      <c r="B91" s="9" t="s">
        <v>24</v>
      </c>
      <c r="C91" s="1"/>
      <c r="D91" s="1">
        <v>622</v>
      </c>
      <c r="E91" s="1">
        <v>2024</v>
      </c>
      <c r="F91" s="5" t="s">
        <v>90</v>
      </c>
      <c r="G91" s="3">
        <f t="shared" ref="G91:G98" si="18">IF((C91-D91)&lt;0,0,C91-D91)</f>
        <v>0</v>
      </c>
      <c r="H91" s="4">
        <f t="shared" ref="H91:H98" si="19">IF((D91-C91)&lt;0,0,D91-C91)</f>
        <v>622</v>
      </c>
    </row>
    <row r="92" spans="1:8" ht="27.75" customHeight="1" x14ac:dyDescent="0.25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 x14ac:dyDescent="0.25">
      <c r="A93" s="1" t="s">
        <v>23</v>
      </c>
      <c r="B93" s="9" t="s">
        <v>26</v>
      </c>
      <c r="C93" s="1"/>
      <c r="D93" s="1">
        <v>534</v>
      </c>
      <c r="E93" s="1">
        <v>2024</v>
      </c>
      <c r="F93" s="5" t="s">
        <v>90</v>
      </c>
      <c r="G93" s="3">
        <f t="shared" si="18"/>
        <v>0</v>
      </c>
      <c r="H93" s="4">
        <f t="shared" si="19"/>
        <v>534</v>
      </c>
    </row>
    <row r="94" spans="1:8" ht="27.75" customHeight="1" x14ac:dyDescent="0.25">
      <c r="A94" s="1" t="s">
        <v>23</v>
      </c>
      <c r="B94" s="9" t="s">
        <v>27</v>
      </c>
      <c r="C94" s="1"/>
      <c r="D94" s="1">
        <v>622</v>
      </c>
      <c r="E94" s="1">
        <v>2025</v>
      </c>
      <c r="F94" s="5" t="s">
        <v>90</v>
      </c>
      <c r="G94" s="3">
        <f t="shared" si="18"/>
        <v>0</v>
      </c>
      <c r="H94" s="4">
        <f t="shared" si="19"/>
        <v>622</v>
      </c>
    </row>
    <row r="95" spans="1:8" ht="40.5" customHeight="1" x14ac:dyDescent="0.25">
      <c r="A95" s="1" t="s">
        <v>23</v>
      </c>
      <c r="B95" s="9" t="s">
        <v>28</v>
      </c>
      <c r="C95" s="1"/>
      <c r="D95" s="1">
        <v>622</v>
      </c>
      <c r="E95" s="1">
        <v>2025</v>
      </c>
      <c r="F95" s="5" t="s">
        <v>90</v>
      </c>
      <c r="G95" s="3">
        <f t="shared" si="18"/>
        <v>0</v>
      </c>
      <c r="H95" s="4">
        <f t="shared" si="19"/>
        <v>622</v>
      </c>
    </row>
    <row r="96" spans="1:8" ht="38.25" customHeight="1" x14ac:dyDescent="0.25">
      <c r="A96" s="1" t="s">
        <v>23</v>
      </c>
      <c r="B96" s="9" t="s">
        <v>29</v>
      </c>
      <c r="C96" s="1"/>
      <c r="D96" s="1">
        <v>622</v>
      </c>
      <c r="E96" s="1">
        <v>2025</v>
      </c>
      <c r="F96" s="5" t="s">
        <v>90</v>
      </c>
      <c r="G96" s="3">
        <f t="shared" si="18"/>
        <v>0</v>
      </c>
      <c r="H96" s="4">
        <f t="shared" si="19"/>
        <v>622</v>
      </c>
    </row>
    <row r="97" spans="1:8" ht="27.75" customHeight="1" x14ac:dyDescent="0.25">
      <c r="A97" s="1" t="s">
        <v>23</v>
      </c>
      <c r="B97" s="9" t="s">
        <v>30</v>
      </c>
      <c r="C97" s="1"/>
      <c r="D97" s="1">
        <v>622</v>
      </c>
      <c r="E97" s="1">
        <v>2025</v>
      </c>
      <c r="F97" s="5" t="s">
        <v>90</v>
      </c>
      <c r="G97" s="3">
        <f t="shared" si="18"/>
        <v>0</v>
      </c>
      <c r="H97" s="4">
        <f t="shared" si="19"/>
        <v>622</v>
      </c>
    </row>
    <row r="98" spans="1:8" ht="47.25" customHeight="1" x14ac:dyDescent="0.25">
      <c r="A98" s="1" t="s">
        <v>23</v>
      </c>
      <c r="B98" s="9" t="s">
        <v>31</v>
      </c>
      <c r="C98" s="1"/>
      <c r="D98" s="1">
        <v>622</v>
      </c>
      <c r="E98" s="1">
        <v>2025</v>
      </c>
      <c r="F98" s="5" t="s">
        <v>90</v>
      </c>
      <c r="G98" s="3">
        <f t="shared" si="18"/>
        <v>0</v>
      </c>
      <c r="H98" s="4">
        <f t="shared" si="19"/>
        <v>622</v>
      </c>
    </row>
    <row r="99" spans="1:8" ht="20.25" x14ac:dyDescent="0.25">
      <c r="A99" s="1" t="s">
        <v>23</v>
      </c>
      <c r="B99" s="9" t="s">
        <v>91</v>
      </c>
      <c r="C99" s="1"/>
      <c r="D99" s="1">
        <v>616</v>
      </c>
      <c r="E99" s="1">
        <v>2024</v>
      </c>
      <c r="F99" s="5" t="s">
        <v>90</v>
      </c>
      <c r="G99" s="3">
        <f>IF((C99-D99)&lt;0,0,C99-D99)</f>
        <v>0</v>
      </c>
      <c r="H99" s="4">
        <f>IF((D99-C99)&lt;0,0,D99-C99)</f>
        <v>616</v>
      </c>
    </row>
    <row r="100" spans="1:8" ht="68.25" x14ac:dyDescent="0.25">
      <c r="A100" s="1" t="s">
        <v>23</v>
      </c>
      <c r="B100" s="9" t="s">
        <v>92</v>
      </c>
      <c r="C100" s="1"/>
      <c r="D100" s="1">
        <v>622</v>
      </c>
      <c r="E100" s="1">
        <v>2025</v>
      </c>
      <c r="F100" s="5" t="s">
        <v>90</v>
      </c>
      <c r="G100" s="3">
        <f>IF((C100-D100)&lt;0,0,C100-D100)</f>
        <v>0</v>
      </c>
      <c r="H100" s="4">
        <f>IF((D100-C100)&lt;0,0,D100-C100)</f>
        <v>622</v>
      </c>
    </row>
    <row r="101" spans="1:8" ht="20.25" x14ac:dyDescent="0.25">
      <c r="A101" s="1" t="s">
        <v>23</v>
      </c>
      <c r="B101" s="9" t="s">
        <v>93</v>
      </c>
      <c r="C101" s="1"/>
      <c r="D101" s="1">
        <v>107</v>
      </c>
      <c r="E101" s="1">
        <v>2024</v>
      </c>
      <c r="F101" s="5" t="s">
        <v>90</v>
      </c>
      <c r="G101" s="3">
        <f>IF((C101-D101)&lt;0,0,C101-D101)</f>
        <v>0</v>
      </c>
      <c r="H101" s="4">
        <f>IF((D101-C101)&lt;0,0,D101-C101)</f>
        <v>107</v>
      </c>
    </row>
    <row r="102" spans="1:8" ht="34.5" x14ac:dyDescent="0.25">
      <c r="A102" s="1" t="s">
        <v>23</v>
      </c>
      <c r="B102" s="9" t="s">
        <v>94</v>
      </c>
      <c r="C102" s="1"/>
      <c r="D102" s="1">
        <v>107</v>
      </c>
      <c r="E102" s="1">
        <v>2024</v>
      </c>
      <c r="F102" s="5" t="s">
        <v>90</v>
      </c>
      <c r="G102" s="3">
        <f>IF((C102-D102)&lt;0,0,C102-D102)</f>
        <v>0</v>
      </c>
      <c r="H102" s="4">
        <f>IF((D102-C102)&lt;0,0,D102-C102)</f>
        <v>107</v>
      </c>
    </row>
    <row r="103" spans="1:8" ht="68.25" x14ac:dyDescent="0.25">
      <c r="A103" s="1" t="s">
        <v>23</v>
      </c>
      <c r="B103" s="9" t="s">
        <v>95</v>
      </c>
      <c r="C103" s="1"/>
      <c r="D103" s="1">
        <v>107</v>
      </c>
      <c r="E103" s="1">
        <v>2024</v>
      </c>
      <c r="F103" s="5" t="s">
        <v>90</v>
      </c>
      <c r="G103" s="3">
        <f>IF((C103-D103)&lt;0,0,C103-D103)</f>
        <v>0</v>
      </c>
      <c r="H103" s="4">
        <f>IF((D103-C103)&lt;0,0,D103-C103)</f>
        <v>107</v>
      </c>
    </row>
    <row r="104" spans="1:8" ht="51.75" x14ac:dyDescent="0.25">
      <c r="A104" s="1" t="s">
        <v>23</v>
      </c>
      <c r="B104" s="9" t="s">
        <v>96</v>
      </c>
      <c r="C104" s="1"/>
      <c r="D104" s="1">
        <v>107</v>
      </c>
      <c r="E104" s="1">
        <v>2024</v>
      </c>
      <c r="F104" s="5" t="s">
        <v>90</v>
      </c>
      <c r="G104" s="3">
        <f>IF((C104-D104)&lt;0,0,C104-D104)</f>
        <v>0</v>
      </c>
      <c r="H104" s="4">
        <f>IF((D104-C104)&lt;0,0,D104-C104)</f>
        <v>107</v>
      </c>
    </row>
    <row r="105" spans="1:8" ht="85.5" x14ac:dyDescent="0.25">
      <c r="A105" s="1" t="s">
        <v>23</v>
      </c>
      <c r="B105" s="2" t="s">
        <v>97</v>
      </c>
      <c r="C105" s="1"/>
      <c r="D105" s="1">
        <v>205</v>
      </c>
      <c r="E105" s="1">
        <v>2024</v>
      </c>
      <c r="F105" s="5" t="s">
        <v>90</v>
      </c>
      <c r="G105" s="3">
        <f>IF((C105-D105)&lt;0,0,C105-D105)</f>
        <v>0</v>
      </c>
      <c r="H105" s="4">
        <f>IF((D105-C105)&lt;0,0,D105-C105)</f>
        <v>205</v>
      </c>
    </row>
    <row r="106" spans="1:8" ht="51.75" x14ac:dyDescent="0.25">
      <c r="A106" s="1" t="s">
        <v>23</v>
      </c>
      <c r="B106" s="2" t="s">
        <v>98</v>
      </c>
      <c r="C106" s="1"/>
      <c r="D106" s="1">
        <v>71</v>
      </c>
      <c r="E106" s="1">
        <v>2024</v>
      </c>
      <c r="F106" s="5" t="s">
        <v>90</v>
      </c>
      <c r="G106" s="3">
        <f>IF((C106-D106)&lt;0,0,C106-D106)</f>
        <v>0</v>
      </c>
      <c r="H106" s="4">
        <f>IF((D106-C106)&lt;0,0,D106-C106)</f>
        <v>71</v>
      </c>
    </row>
  </sheetData>
  <protectedRanges>
    <protectedRange sqref="C1:E106" name="Textbooks"/>
    <protectedRange sqref="F1:F106" name="SOURCE"/>
  </protectedRanges>
  <phoneticPr fontId="8" type="noConversion"/>
  <dataValidations count="2">
    <dataValidation type="list" allowBlank="1" showInputMessage="1" showErrorMessage="1" sqref="E14:E19 E21:E29 E31:E39 E91:E106 E61:E69 E41:E49 E2:E6 E71:E79 E81:E89 E8:E12 E51:E59" xr:uid="{B46E7B13-721E-4D49-837E-C02BF9777D48}">
      <formula1>"2024,2025"</formula1>
    </dataValidation>
    <dataValidation type="list" allowBlank="1" showInputMessage="1" showErrorMessage="1" sqref="F14:F19 F21:F29 F31:F39 F41:F49 F91:F106 F61:F69 F71:F79 F81:F89 F2:F6 F8:F12 F51:F5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5" x14ac:dyDescent="0.2"/>
  <cols>
    <col min="1" max="1" width="9.4140625" customWidth="1"/>
    <col min="2" max="2" width="27.84375" customWidth="1"/>
    <col min="3" max="3" width="17.21875" customWidth="1"/>
    <col min="4" max="4" width="26.2304687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35.6484375" customWidth="1"/>
    <col min="12" max="12" width="24.88671875" bestFit="1" customWidth="1"/>
    <col min="13" max="13" width="31.609375" customWidth="1"/>
    <col min="14" max="15" width="20.84765625" customWidth="1"/>
    <col min="16" max="16" width="21.65625" customWidth="1"/>
    <col min="17" max="17" width="33.359375" customWidth="1"/>
    <col min="18" max="18" width="25.828125" customWidth="1"/>
    <col min="19" max="19" width="32.957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31" customFormat="1" ht="34.15" customHeight="1" x14ac:dyDescent="0.2">
      <c r="D1" s="51" t="s">
        <v>32</v>
      </c>
      <c r="E1" s="51"/>
      <c r="F1" s="51"/>
      <c r="G1" s="51"/>
      <c r="H1" s="51"/>
      <c r="I1" s="51"/>
      <c r="J1" s="52" t="s">
        <v>33</v>
      </c>
      <c r="K1" s="52"/>
      <c r="L1" s="52"/>
      <c r="M1" s="52"/>
      <c r="N1" s="52"/>
      <c r="O1" s="52"/>
      <c r="P1" s="53" t="s">
        <v>34</v>
      </c>
      <c r="Q1" s="53"/>
      <c r="R1" s="53"/>
      <c r="S1" s="53"/>
      <c r="T1" s="53"/>
      <c r="U1" s="53"/>
      <c r="V1" s="54" t="s">
        <v>35</v>
      </c>
      <c r="W1" s="54"/>
      <c r="X1" s="54"/>
      <c r="Y1" s="54"/>
      <c r="Z1" s="54"/>
      <c r="AA1" s="54"/>
    </row>
    <row r="2" spans="1:27" ht="69.599999999999994" customHeight="1" x14ac:dyDescent="0.2">
      <c r="A2" s="15" t="s">
        <v>0</v>
      </c>
      <c r="B2" s="15" t="s">
        <v>1</v>
      </c>
      <c r="C2" s="16" t="s">
        <v>2</v>
      </c>
      <c r="D2" s="20" t="s">
        <v>36</v>
      </c>
      <c r="E2" s="20" t="s">
        <v>48</v>
      </c>
      <c r="F2" s="21" t="s">
        <v>47</v>
      </c>
      <c r="G2" s="26" t="s">
        <v>57</v>
      </c>
      <c r="H2" s="25" t="s">
        <v>58</v>
      </c>
      <c r="I2" s="26" t="s">
        <v>59</v>
      </c>
      <c r="J2" s="22" t="s">
        <v>38</v>
      </c>
      <c r="K2" s="22" t="s">
        <v>39</v>
      </c>
      <c r="L2" s="23" t="s">
        <v>40</v>
      </c>
      <c r="M2" s="24" t="s">
        <v>60</v>
      </c>
      <c r="N2" s="24" t="s">
        <v>61</v>
      </c>
      <c r="O2" s="22" t="s">
        <v>62</v>
      </c>
      <c r="P2" s="26" t="s">
        <v>37</v>
      </c>
      <c r="Q2" s="26" t="s">
        <v>45</v>
      </c>
      <c r="R2" s="27" t="s">
        <v>44</v>
      </c>
      <c r="S2" s="25" t="s">
        <v>63</v>
      </c>
      <c r="T2" s="25" t="s">
        <v>64</v>
      </c>
      <c r="U2" s="26" t="s">
        <v>65</v>
      </c>
      <c r="V2" s="28" t="s">
        <v>41</v>
      </c>
      <c r="W2" s="28" t="s">
        <v>42</v>
      </c>
      <c r="X2" s="29" t="s">
        <v>43</v>
      </c>
      <c r="Y2" s="30" t="s">
        <v>66</v>
      </c>
      <c r="Z2" s="30" t="s">
        <v>67</v>
      </c>
      <c r="AA2" s="28" t="s">
        <v>68</v>
      </c>
    </row>
    <row r="3" spans="1:27" ht="30.6" customHeight="1" x14ac:dyDescent="0.25">
      <c r="A3" s="49" t="s">
        <v>85</v>
      </c>
      <c r="B3" s="39"/>
      <c r="C3" s="38"/>
      <c r="D3" s="40">
        <f>Table1[[#This Row],[Enrolment S.Y. 2025-2026 ]]*8</f>
        <v>0</v>
      </c>
      <c r="E3" s="40"/>
      <c r="F3" s="38"/>
      <c r="G3" s="40"/>
      <c r="H3" s="41">
        <f>IF((D3-E3)&lt;0,0,(D3-E3))</f>
        <v>0</v>
      </c>
      <c r="I3" s="41">
        <f>IF((E3-D3)&lt;0,0,(E3-D3))</f>
        <v>0</v>
      </c>
      <c r="J3" s="40">
        <f>Table1[[#This Row],[Enrolment S.Y. 2025-2026 ]]*8</f>
        <v>0</v>
      </c>
      <c r="K3" s="40"/>
      <c r="L3" s="38"/>
      <c r="M3" s="40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40"/>
      <c r="R3" s="38"/>
      <c r="S3" s="40"/>
      <c r="T3" s="40">
        <f>IF((P3-Q3)&lt;0,0,(P3-Q3))</f>
        <v>0</v>
      </c>
      <c r="U3" s="40">
        <f>IF((Q3-P3)&lt;0,0,(Q3-P3))</f>
        <v>0</v>
      </c>
      <c r="V3" s="40">
        <f>Table1[[#This Row],[Enrolment S.Y. 2025-2026 ]]*8</f>
        <v>0</v>
      </c>
      <c r="W3" s="40"/>
      <c r="X3" s="38"/>
      <c r="Y3" s="40"/>
      <c r="Z3" s="40">
        <f>IF((V3-W3)&lt;0,0,(V3-W3))</f>
        <v>0</v>
      </c>
      <c r="AA3" s="40">
        <f>IF((W3-V3)&lt;0,0,(W3-V3))</f>
        <v>0</v>
      </c>
    </row>
    <row r="4" spans="1:27" s="7" customFormat="1" ht="20.25" x14ac:dyDescent="0.2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 x14ac:dyDescent="0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 x14ac:dyDescent="0.2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20.25" x14ac:dyDescent="0.2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 x14ac:dyDescent="0.2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 x14ac:dyDescent="0.2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 x14ac:dyDescent="0.25">
      <c r="A10" s="35">
        <v>1</v>
      </c>
      <c r="B10" s="36" t="s">
        <v>14</v>
      </c>
      <c r="C10" s="35"/>
      <c r="D10" s="37">
        <f>Table1[[#This Row],[Enrolment S.Y. 2025-2026 ]]*8</f>
        <v>0</v>
      </c>
      <c r="E10" s="37"/>
      <c r="F10" s="35"/>
      <c r="G10" s="5"/>
      <c r="H10" s="37">
        <f>IF((D10-E10)&lt;0,0,(D10-E10))</f>
        <v>0</v>
      </c>
      <c r="I10" s="37">
        <f>IF((E10-D10)&lt;0,0,(E10-D10))</f>
        <v>0</v>
      </c>
      <c r="J10" s="5">
        <f>Table1[[#This Row],[Enrolment S.Y. 2025-2026 ]]*8</f>
        <v>0</v>
      </c>
      <c r="K10" s="37"/>
      <c r="L10" s="35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37"/>
      <c r="R10" s="35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37"/>
      <c r="X10" s="35"/>
      <c r="Y10" s="5"/>
      <c r="Z10" s="5">
        <f t="shared" si="14"/>
        <v>0</v>
      </c>
      <c r="AA10" s="5">
        <f t="shared" si="15"/>
        <v>0</v>
      </c>
    </row>
    <row r="11" spans="1:27" ht="20.25" x14ac:dyDescent="0.25">
      <c r="A11" s="35">
        <v>1</v>
      </c>
      <c r="B11" s="36" t="s">
        <v>15</v>
      </c>
      <c r="C11" s="35"/>
      <c r="D11" s="37">
        <f>Table1[[#This Row],[Enrolment S.Y. 2025-2026 ]]*8</f>
        <v>0</v>
      </c>
      <c r="E11" s="37"/>
      <c r="F11" s="35"/>
      <c r="G11" s="5"/>
      <c r="H11" s="37">
        <f>IF((D11-E11)&lt;0,0,(D11-E11))</f>
        <v>0</v>
      </c>
      <c r="I11" s="37">
        <f>IF((E11-D11)&lt;0,0,(E11-D11))</f>
        <v>0</v>
      </c>
      <c r="J11" s="5">
        <f>Table1[[#This Row],[Enrolment S.Y. 2025-2026 ]]*8</f>
        <v>0</v>
      </c>
      <c r="K11" s="37"/>
      <c r="L11" s="35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37"/>
      <c r="R11" s="35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37"/>
      <c r="X11" s="35"/>
      <c r="Y11" s="5"/>
      <c r="Z11" s="5">
        <f t="shared" si="14"/>
        <v>0</v>
      </c>
      <c r="AA11" s="5">
        <f t="shared" si="15"/>
        <v>0</v>
      </c>
    </row>
    <row r="12" spans="1:27" ht="20.25" x14ac:dyDescent="0.25">
      <c r="A12" s="35">
        <v>1</v>
      </c>
      <c r="B12" s="36" t="s">
        <v>46</v>
      </c>
      <c r="C12" s="35"/>
      <c r="D12" s="37">
        <f>Table1[[#This Row],[Enrolment S.Y. 2025-2026 ]]*8</f>
        <v>0</v>
      </c>
      <c r="E12" s="37"/>
      <c r="F12" s="35"/>
      <c r="G12" s="5"/>
      <c r="H12" s="37">
        <f>IF((D12-E12)&lt;0,0,(D12-E12))</f>
        <v>0</v>
      </c>
      <c r="I12" s="37">
        <f>IF((E12-D12)&lt;0,0,(E12-D12))</f>
        <v>0</v>
      </c>
      <c r="J12" s="5">
        <f>Table1[[#This Row],[Enrolment S.Y. 2025-2026 ]]*8</f>
        <v>0</v>
      </c>
      <c r="K12" s="37"/>
      <c r="L12" s="35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37"/>
      <c r="R12" s="35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37"/>
      <c r="X12" s="35"/>
      <c r="Y12" s="5"/>
      <c r="Z12" s="5">
        <f t="shared" si="14"/>
        <v>0</v>
      </c>
      <c r="AA12" s="5">
        <f t="shared" si="15"/>
        <v>0</v>
      </c>
    </row>
    <row r="13" spans="1:27" s="7" customFormat="1" ht="20.25" x14ac:dyDescent="0.2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 x14ac:dyDescent="0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 x14ac:dyDescent="0.2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 x14ac:dyDescent="0.2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 x14ac:dyDescent="0.2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 x14ac:dyDescent="0.2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 x14ac:dyDescent="0.25">
      <c r="A19" s="35">
        <v>2</v>
      </c>
      <c r="B19" s="36" t="s">
        <v>15</v>
      </c>
      <c r="C19" s="35"/>
      <c r="D19" s="37">
        <f>Table1[[#This Row],[Enrolment S.Y. 2025-2026 ]]*8</f>
        <v>0</v>
      </c>
      <c r="E19" s="37"/>
      <c r="F19" s="35"/>
      <c r="G19" s="5"/>
      <c r="H19" s="37">
        <f>IF((D19-E19)&lt;0,0,(D19-E19))</f>
        <v>0</v>
      </c>
      <c r="I19" s="37">
        <f>IF((E19-D19)&lt;0,0,(E19-D19))</f>
        <v>0</v>
      </c>
      <c r="J19" s="5">
        <f>Table1[[#This Row],[Enrolment S.Y. 2025-2026 ]]*8</f>
        <v>0</v>
      </c>
      <c r="K19" s="37"/>
      <c r="L19" s="35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37"/>
      <c r="R19" s="35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37"/>
      <c r="X19" s="35"/>
      <c r="Y19" s="5"/>
      <c r="Z19" s="5">
        <f t="shared" si="14"/>
        <v>0</v>
      </c>
      <c r="AA19" s="5">
        <f t="shared" si="15"/>
        <v>0</v>
      </c>
    </row>
    <row r="20" spans="1:27" ht="20.25" x14ac:dyDescent="0.25">
      <c r="A20" s="35">
        <v>2</v>
      </c>
      <c r="B20" s="36" t="s">
        <v>14</v>
      </c>
      <c r="C20" s="35"/>
      <c r="D20" s="37">
        <f>Table1[[#This Row],[Enrolment S.Y. 2025-2026 ]]*8</f>
        <v>0</v>
      </c>
      <c r="E20" s="37"/>
      <c r="F20" s="35"/>
      <c r="G20" s="5"/>
      <c r="H20" s="37">
        <f>IF((D20-E20)&lt;0,0,(D20-E20))</f>
        <v>0</v>
      </c>
      <c r="I20" s="37">
        <f>IF((E20-D20)&lt;0,0,(E20-D20))</f>
        <v>0</v>
      </c>
      <c r="J20" s="5">
        <f>Table1[[#This Row],[Enrolment S.Y. 2025-2026 ]]*8</f>
        <v>0</v>
      </c>
      <c r="K20" s="37"/>
      <c r="L20" s="35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37"/>
      <c r="R20" s="35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37"/>
      <c r="X20" s="35"/>
      <c r="Y20" s="5"/>
      <c r="Z20" s="5">
        <f t="shared" si="14"/>
        <v>0</v>
      </c>
      <c r="AA20" s="5">
        <f t="shared" si="15"/>
        <v>0</v>
      </c>
    </row>
    <row r="21" spans="1:27" ht="20.25" x14ac:dyDescent="0.25">
      <c r="A21" s="35">
        <v>2</v>
      </c>
      <c r="B21" s="36" t="s">
        <v>46</v>
      </c>
      <c r="C21" s="35"/>
      <c r="D21" s="37">
        <f>Table1[[#This Row],[Enrolment S.Y. 2025-2026 ]]*8</f>
        <v>0</v>
      </c>
      <c r="E21" s="37"/>
      <c r="F21" s="35"/>
      <c r="G21" s="5"/>
      <c r="H21" s="37">
        <f>IF((D21-E21)&lt;0,0,(D21-E21))</f>
        <v>0</v>
      </c>
      <c r="I21" s="37">
        <f>IF((E21-D21)&lt;0,0,(E21-D21))</f>
        <v>0</v>
      </c>
      <c r="J21" s="5">
        <f>Table1[[#This Row],[Enrolment S.Y. 2025-2026 ]]*8</f>
        <v>0</v>
      </c>
      <c r="K21" s="37"/>
      <c r="L21" s="35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37"/>
      <c r="R21" s="35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37"/>
      <c r="X21" s="35"/>
      <c r="Y21" s="5"/>
      <c r="Z21" s="5">
        <f t="shared" si="14"/>
        <v>0</v>
      </c>
      <c r="AA21" s="5">
        <f t="shared" si="15"/>
        <v>0</v>
      </c>
    </row>
    <row r="22" spans="1:27" s="7" customFormat="1" ht="20.25" x14ac:dyDescent="0.2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 x14ac:dyDescent="0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 x14ac:dyDescent="0.2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 x14ac:dyDescent="0.2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 x14ac:dyDescent="0.2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 x14ac:dyDescent="0.2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 x14ac:dyDescent="0.2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 x14ac:dyDescent="0.25">
      <c r="A29" s="35">
        <v>3</v>
      </c>
      <c r="B29" s="36" t="s">
        <v>14</v>
      </c>
      <c r="C29" s="35"/>
      <c r="D29" s="37">
        <f>Table1[[#This Row],[Enrolment S.Y. 2025-2026 ]]*8</f>
        <v>0</v>
      </c>
      <c r="E29" s="37"/>
      <c r="F29" s="35"/>
      <c r="G29" s="5"/>
      <c r="H29" s="37">
        <f>IF((D29-E29)&lt;0,0,(D29-E29))</f>
        <v>0</v>
      </c>
      <c r="I29" s="37">
        <f>IF((E29-D29)&lt;0,0,(E29-D29))</f>
        <v>0</v>
      </c>
      <c r="J29" s="5">
        <f>Table1[[#This Row],[Enrolment S.Y. 2025-2026 ]]*8</f>
        <v>0</v>
      </c>
      <c r="K29" s="37"/>
      <c r="L29" s="35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37"/>
      <c r="R29" s="35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37"/>
      <c r="X29" s="35"/>
      <c r="Y29" s="5"/>
      <c r="Z29" s="5">
        <f t="shared" si="14"/>
        <v>0</v>
      </c>
      <c r="AA29" s="5">
        <f t="shared" si="15"/>
        <v>0</v>
      </c>
    </row>
    <row r="30" spans="1:27" ht="20.25" x14ac:dyDescent="0.25">
      <c r="A30" s="35">
        <v>3</v>
      </c>
      <c r="B30" s="36" t="s">
        <v>15</v>
      </c>
      <c r="C30" s="35"/>
      <c r="D30" s="37">
        <f>Table1[[#This Row],[Enrolment S.Y. 2025-2026 ]]*8</f>
        <v>0</v>
      </c>
      <c r="E30" s="37"/>
      <c r="F30" s="35"/>
      <c r="G30" s="5"/>
      <c r="H30" s="37">
        <f>IF((D30-E30)&lt;0,0,(D30-E30))</f>
        <v>0</v>
      </c>
      <c r="I30" s="37">
        <f>IF((E30-D30)&lt;0,0,(E30-D30))</f>
        <v>0</v>
      </c>
      <c r="J30" s="5">
        <f>Table1[[#This Row],[Enrolment S.Y. 2025-2026 ]]*8</f>
        <v>0</v>
      </c>
      <c r="K30" s="37"/>
      <c r="L30" s="35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37"/>
      <c r="R30" s="35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37"/>
      <c r="X30" s="35"/>
      <c r="Y30" s="5"/>
      <c r="Z30" s="5">
        <f t="shared" si="14"/>
        <v>0</v>
      </c>
      <c r="AA30" s="5">
        <f t="shared" si="15"/>
        <v>0</v>
      </c>
    </row>
    <row r="31" spans="1:27" ht="20.25" x14ac:dyDescent="0.25">
      <c r="A31" s="35">
        <v>3</v>
      </c>
      <c r="B31" s="36" t="s">
        <v>46</v>
      </c>
      <c r="C31" s="35"/>
      <c r="D31" s="37">
        <f>Table1[[#This Row],[Enrolment S.Y. 2025-2026 ]]*8</f>
        <v>0</v>
      </c>
      <c r="E31" s="37"/>
      <c r="F31" s="35"/>
      <c r="G31" s="5"/>
      <c r="H31" s="37">
        <f>IF((D31-E31)&lt;0,0,(D31-E31))</f>
        <v>0</v>
      </c>
      <c r="I31" s="37">
        <f>IF((E31-D31)&lt;0,0,(E31-D31))</f>
        <v>0</v>
      </c>
      <c r="J31" s="5">
        <f>Table1[[#This Row],[Enrolment S.Y. 2025-2026 ]]*8</f>
        <v>0</v>
      </c>
      <c r="K31" s="37"/>
      <c r="L31" s="35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37"/>
      <c r="R31" s="35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37"/>
      <c r="X31" s="35"/>
      <c r="Y31" s="5"/>
      <c r="Z31" s="5">
        <f t="shared" si="14"/>
        <v>0</v>
      </c>
      <c r="AA31" s="5">
        <f t="shared" si="15"/>
        <v>0</v>
      </c>
    </row>
    <row r="32" spans="1:27" s="7" customFormat="1" ht="20.25" x14ac:dyDescent="0.2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 x14ac:dyDescent="0.2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 x14ac:dyDescent="0.2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 x14ac:dyDescent="0.2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 x14ac:dyDescent="0.2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 x14ac:dyDescent="0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 x14ac:dyDescent="0.2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 x14ac:dyDescent="0.2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 x14ac:dyDescent="0.2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 x14ac:dyDescent="0.2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 x14ac:dyDescent="0.2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 x14ac:dyDescent="0.2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 x14ac:dyDescent="0.2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 x14ac:dyDescent="0.2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 x14ac:dyDescent="0.2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 x14ac:dyDescent="0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 x14ac:dyDescent="0.2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 x14ac:dyDescent="0.2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 x14ac:dyDescent="0.2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 x14ac:dyDescent="0.2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 x14ac:dyDescent="0.2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 x14ac:dyDescent="0.2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 x14ac:dyDescent="0.2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 x14ac:dyDescent="0.2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 x14ac:dyDescent="0.2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 x14ac:dyDescent="0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 x14ac:dyDescent="0.2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 x14ac:dyDescent="0.2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 x14ac:dyDescent="0.2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 x14ac:dyDescent="0.2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20.25" x14ac:dyDescent="0.2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 x14ac:dyDescent="0.2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 x14ac:dyDescent="0.2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 x14ac:dyDescent="0.2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 x14ac:dyDescent="0.2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 x14ac:dyDescent="0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 x14ac:dyDescent="0.2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 x14ac:dyDescent="0.2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 x14ac:dyDescent="0.2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 x14ac:dyDescent="0.2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 x14ac:dyDescent="0.2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20.25" x14ac:dyDescent="0.2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20.25" x14ac:dyDescent="0.2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20.25" x14ac:dyDescent="0.2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20.25" x14ac:dyDescent="0.2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20.25" x14ac:dyDescent="0.2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20.25" x14ac:dyDescent="0.2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20.25" x14ac:dyDescent="0.2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20.25" x14ac:dyDescent="0.2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20.25" x14ac:dyDescent="0.2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20.25" x14ac:dyDescent="0.2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 x14ac:dyDescent="0.2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 x14ac:dyDescent="0.2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 x14ac:dyDescent="0.2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 x14ac:dyDescent="0.2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 x14ac:dyDescent="0.2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 x14ac:dyDescent="0.2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 x14ac:dyDescent="0.2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 x14ac:dyDescent="0.2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 x14ac:dyDescent="0.2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 x14ac:dyDescent="0.2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 x14ac:dyDescent="0.2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 x14ac:dyDescent="0.2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 x14ac:dyDescent="0.2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 x14ac:dyDescent="0.2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 x14ac:dyDescent="0.2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 x14ac:dyDescent="0.2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 x14ac:dyDescent="0.2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 x14ac:dyDescent="0.2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 x14ac:dyDescent="0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 x14ac:dyDescent="0.2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 x14ac:dyDescent="0.2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 x14ac:dyDescent="0.2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 x14ac:dyDescent="0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 x14ac:dyDescent="0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 x14ac:dyDescent="0.2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 x14ac:dyDescent="0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 x14ac:dyDescent="0.2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 x14ac:dyDescent="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 x14ac:dyDescent="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 x14ac:dyDescent="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 x14ac:dyDescent="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 x14ac:dyDescent="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 x14ac:dyDescent="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 x14ac:dyDescent="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 x14ac:dyDescent="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 x14ac:dyDescent="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 x14ac:dyDescent="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 x14ac:dyDescent="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 x14ac:dyDescent="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 x14ac:dyDescent="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 x14ac:dyDescent="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 x14ac:dyDescent="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 x14ac:dyDescent="0.25">
      <c r="A127" s="32"/>
      <c r="B127" s="33"/>
      <c r="C127" s="32"/>
      <c r="D127" s="5"/>
      <c r="E127" s="34"/>
      <c r="F127" s="32"/>
      <c r="G127" s="34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4"/>
      <c r="L127" s="32"/>
      <c r="M127" s="34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4"/>
      <c r="R127" s="32"/>
      <c r="S127" s="34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4"/>
      <c r="X127" s="32"/>
      <c r="Y127" s="34"/>
      <c r="Z127" s="5">
        <f t="shared" si="20"/>
        <v>0</v>
      </c>
      <c r="AA127" s="5">
        <f t="shared" si="21"/>
        <v>0</v>
      </c>
    </row>
    <row r="128" spans="1:27" x14ac:dyDescent="0.2">
      <c r="J128" t="e">
        <f>#REF!*8</f>
        <v>#REF!</v>
      </c>
    </row>
    <row r="129" spans="10:10" x14ac:dyDescent="0.2">
      <c r="J129" t="e">
        <f>#REF!*8</f>
        <v>#REF!</v>
      </c>
    </row>
    <row r="130" spans="10:10" x14ac:dyDescent="0.2">
      <c r="J130" t="e">
        <f>#REF!*8</f>
        <v>#REF!</v>
      </c>
    </row>
    <row r="131" spans="10:10" x14ac:dyDescent="0.2">
      <c r="J131" t="e">
        <f>#REF!*8</f>
        <v>#REF!</v>
      </c>
    </row>
    <row r="132" spans="10:10" x14ac:dyDescent="0.2">
      <c r="J132" t="e">
        <f>#REF!*8</f>
        <v>#REF!</v>
      </c>
    </row>
    <row r="133" spans="10:10" x14ac:dyDescent="0.2">
      <c r="J133" t="e">
        <f>#REF!*8</f>
        <v>#REF!</v>
      </c>
    </row>
    <row r="134" spans="10:10" x14ac:dyDescent="0.2">
      <c r="J134" t="e">
        <f>#REF!*8</f>
        <v>#REF!</v>
      </c>
    </row>
    <row r="135" spans="10:10" x14ac:dyDescent="0.2">
      <c r="J135" t="e">
        <f>#REF!*8</f>
        <v>#REF!</v>
      </c>
    </row>
    <row r="136" spans="10:10" x14ac:dyDescent="0.2">
      <c r="J136" t="e">
        <f>#REF!*8</f>
        <v>#REF!</v>
      </c>
    </row>
    <row r="137" spans="10:10" x14ac:dyDescent="0.2">
      <c r="J137" t="e">
        <f>#REF!*8</f>
        <v>#REF!</v>
      </c>
    </row>
    <row r="138" spans="10:10" x14ac:dyDescent="0.2">
      <c r="J138" t="e">
        <f>#REF!*8</f>
        <v>#REF!</v>
      </c>
    </row>
    <row r="139" spans="10:10" x14ac:dyDescent="0.2">
      <c r="J139" t="e">
        <f>#REF!*8</f>
        <v>#REF!</v>
      </c>
    </row>
    <row r="140" spans="10:10" x14ac:dyDescent="0.2">
      <c r="J140" t="e">
        <f>#REF!*8</f>
        <v>#REF!</v>
      </c>
    </row>
    <row r="141" spans="10:10" x14ac:dyDescent="0.2">
      <c r="J141" t="e">
        <f>#REF!*8</f>
        <v>#REF!</v>
      </c>
    </row>
    <row r="142" spans="10:10" x14ac:dyDescent="0.2">
      <c r="J142" t="e">
        <f>#REF!*8</f>
        <v>#REF!</v>
      </c>
    </row>
    <row r="143" spans="10:10" x14ac:dyDescent="0.2">
      <c r="J143" t="e">
        <f>#REF!*8</f>
        <v>#REF!</v>
      </c>
    </row>
    <row r="144" spans="10:10" x14ac:dyDescent="0.2">
      <c r="J144" t="e">
        <f>#REF!*8</f>
        <v>#REF!</v>
      </c>
    </row>
    <row r="145" spans="10:10" x14ac:dyDescent="0.2">
      <c r="J145" t="e">
        <f>#REF!*8</f>
        <v>#REF!</v>
      </c>
    </row>
    <row r="146" spans="10:10" x14ac:dyDescent="0.2">
      <c r="J146" t="e">
        <f>#REF!*8</f>
        <v>#REF!</v>
      </c>
    </row>
    <row r="147" spans="10:10" x14ac:dyDescent="0.2">
      <c r="J147" t="e">
        <f>#REF!*8</f>
        <v>#REF!</v>
      </c>
    </row>
    <row r="148" spans="10:10" x14ac:dyDescent="0.2">
      <c r="J148" t="e">
        <f>#REF!*8</f>
        <v>#REF!</v>
      </c>
    </row>
    <row r="149" spans="10:10" x14ac:dyDescent="0.2">
      <c r="J149" t="e">
        <f>#REF!*8</f>
        <v>#REF!</v>
      </c>
    </row>
    <row r="150" spans="10:10" x14ac:dyDescent="0.2">
      <c r="J150" t="e">
        <f>#REF!*8</f>
        <v>#REF!</v>
      </c>
    </row>
    <row r="151" spans="10:10" x14ac:dyDescent="0.2">
      <c r="J151" t="e">
        <f>#REF!*8</f>
        <v>#REF!</v>
      </c>
    </row>
    <row r="152" spans="10:10" x14ac:dyDescent="0.2">
      <c r="J152" t="e">
        <f>#REF!*8</f>
        <v>#REF!</v>
      </c>
    </row>
    <row r="153" spans="10:10" x14ac:dyDescent="0.2">
      <c r="J153" t="e">
        <f>#REF!*8</f>
        <v>#REF!</v>
      </c>
    </row>
    <row r="154" spans="10:10" x14ac:dyDescent="0.2">
      <c r="J154" t="e">
        <f>#REF!*8</f>
        <v>#REF!</v>
      </c>
    </row>
    <row r="155" spans="10:10" x14ac:dyDescent="0.2">
      <c r="J155" t="e">
        <f>#REF!*8</f>
        <v>#REF!</v>
      </c>
    </row>
    <row r="156" spans="10:10" x14ac:dyDescent="0.2">
      <c r="J156" t="e">
        <f>#REF!*8</f>
        <v>#REF!</v>
      </c>
    </row>
    <row r="157" spans="10:10" x14ac:dyDescent="0.2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14" zoomScale="55" zoomScaleNormal="55" workbookViewId="0">
      <selection activeCell="B123" sqref="B123"/>
    </sheetView>
  </sheetViews>
  <sheetFormatPr defaultRowHeight="15" x14ac:dyDescent="0.2"/>
  <cols>
    <col min="1" max="1" width="9.4140625" customWidth="1"/>
    <col min="2" max="2" width="27.84375" style="45" customWidth="1"/>
    <col min="3" max="3" width="17.21875" customWidth="1"/>
    <col min="4" max="4" width="16.4101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24.34765625" customWidth="1"/>
    <col min="12" max="12" width="18.16015625" customWidth="1"/>
    <col min="13" max="15" width="20.84765625" customWidth="1"/>
    <col min="16" max="16" width="21.65625" customWidth="1"/>
    <col min="17" max="17" width="29.19140625" customWidth="1"/>
    <col min="18" max="18" width="25.828125" customWidth="1"/>
    <col min="19" max="19" width="32.957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31" customFormat="1" ht="34.15" customHeight="1" x14ac:dyDescent="0.2">
      <c r="B1" s="42"/>
      <c r="D1" s="51" t="s">
        <v>32</v>
      </c>
      <c r="E1" s="51"/>
      <c r="F1" s="51"/>
      <c r="G1" s="51"/>
      <c r="H1" s="51"/>
      <c r="I1" s="51"/>
      <c r="J1" s="52" t="s">
        <v>33</v>
      </c>
      <c r="K1" s="52"/>
      <c r="L1" s="52"/>
      <c r="M1" s="52"/>
      <c r="N1" s="52"/>
      <c r="O1" s="52"/>
      <c r="P1" s="53" t="s">
        <v>34</v>
      </c>
      <c r="Q1" s="53"/>
      <c r="R1" s="53"/>
      <c r="S1" s="53"/>
      <c r="T1" s="53"/>
      <c r="U1" s="53"/>
      <c r="V1" s="54" t="s">
        <v>35</v>
      </c>
      <c r="W1" s="54"/>
      <c r="X1" s="54"/>
      <c r="Y1" s="54"/>
      <c r="Z1" s="54"/>
      <c r="AA1" s="54"/>
    </row>
    <row r="2" spans="1:27" ht="69.599999999999994" customHeight="1" x14ac:dyDescent="0.2">
      <c r="A2" s="15" t="s">
        <v>0</v>
      </c>
      <c r="B2" s="43" t="s">
        <v>1</v>
      </c>
      <c r="C2" s="16" t="s">
        <v>2</v>
      </c>
      <c r="D2" s="20" t="s">
        <v>49</v>
      </c>
      <c r="E2" s="20" t="s">
        <v>82</v>
      </c>
      <c r="F2" s="21" t="s">
        <v>50</v>
      </c>
      <c r="G2" s="26" t="s">
        <v>51</v>
      </c>
      <c r="H2" s="25" t="s">
        <v>69</v>
      </c>
      <c r="I2" s="26" t="s">
        <v>70</v>
      </c>
      <c r="J2" s="22" t="s">
        <v>52</v>
      </c>
      <c r="K2" s="22" t="s">
        <v>83</v>
      </c>
      <c r="L2" s="23" t="s">
        <v>53</v>
      </c>
      <c r="M2" s="24" t="s">
        <v>72</v>
      </c>
      <c r="N2" s="24" t="s">
        <v>71</v>
      </c>
      <c r="O2" s="22" t="s">
        <v>73</v>
      </c>
      <c r="P2" s="26" t="s">
        <v>54</v>
      </c>
      <c r="Q2" s="26" t="s">
        <v>84</v>
      </c>
      <c r="R2" s="27" t="s">
        <v>55</v>
      </c>
      <c r="S2" s="25" t="s">
        <v>74</v>
      </c>
      <c r="T2" s="25" t="s">
        <v>75</v>
      </c>
      <c r="U2" s="26" t="s">
        <v>76</v>
      </c>
      <c r="V2" s="28" t="s">
        <v>56</v>
      </c>
      <c r="W2" s="28" t="s">
        <v>81</v>
      </c>
      <c r="X2" s="29" t="s">
        <v>77</v>
      </c>
      <c r="Y2" s="30" t="s">
        <v>78</v>
      </c>
      <c r="Z2" s="30" t="s">
        <v>79</v>
      </c>
      <c r="AA2" s="28" t="s">
        <v>80</v>
      </c>
    </row>
    <row r="3" spans="1:27" ht="34.5" x14ac:dyDescent="0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20.25" x14ac:dyDescent="0.2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 x14ac:dyDescent="0.2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 x14ac:dyDescent="0.2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 x14ac:dyDescent="0.2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 x14ac:dyDescent="0.25">
      <c r="A8" s="35">
        <v>1</v>
      </c>
      <c r="B8" s="9" t="s">
        <v>14</v>
      </c>
      <c r="C8" s="35"/>
      <c r="D8" s="37">
        <f>Table14[[#This Row],[Enrolment S.Y. 2025-2026 ]]*8</f>
        <v>0</v>
      </c>
      <c r="E8" s="37"/>
      <c r="F8" s="35"/>
      <c r="G8" s="5"/>
      <c r="H8" s="37">
        <f>IF((D8-E8)&lt;0,0,(D8-E8))</f>
        <v>0</v>
      </c>
      <c r="I8" s="37">
        <f>IF((E8-D8)&lt;0,0,(E8-D8))</f>
        <v>0</v>
      </c>
      <c r="J8" s="5">
        <f>Table14[[#This Row],[Enrolment S.Y. 2025-2026 ]]*8</f>
        <v>0</v>
      </c>
      <c r="K8" s="37"/>
      <c r="L8" s="35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37"/>
      <c r="R8" s="35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37"/>
      <c r="X8" s="35"/>
      <c r="Y8" s="5"/>
      <c r="Z8" s="5">
        <f t="shared" si="6"/>
        <v>0</v>
      </c>
      <c r="AA8" s="5">
        <f t="shared" si="7"/>
        <v>0</v>
      </c>
    </row>
    <row r="9" spans="1:27" ht="20.25" x14ac:dyDescent="0.25">
      <c r="A9" s="35">
        <v>1</v>
      </c>
      <c r="B9" s="9" t="s">
        <v>15</v>
      </c>
      <c r="C9" s="35"/>
      <c r="D9" s="37">
        <f>Table14[[#This Row],[Enrolment S.Y. 2025-2026 ]]*8</f>
        <v>0</v>
      </c>
      <c r="E9" s="37"/>
      <c r="F9" s="35"/>
      <c r="G9" s="5"/>
      <c r="H9" s="37">
        <f>IF((D9-E9)&lt;0,0,(D9-E9))</f>
        <v>0</v>
      </c>
      <c r="I9" s="37">
        <f>IF((E9-D9)&lt;0,0,(E9-D9))</f>
        <v>0</v>
      </c>
      <c r="J9" s="5">
        <f>Table14[[#This Row],[Enrolment S.Y. 2025-2026 ]]*8</f>
        <v>0</v>
      </c>
      <c r="K9" s="37"/>
      <c r="L9" s="35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37"/>
      <c r="R9" s="35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37"/>
      <c r="X9" s="35"/>
      <c r="Y9" s="5"/>
      <c r="Z9" s="5">
        <f t="shared" si="6"/>
        <v>0</v>
      </c>
      <c r="AA9" s="5">
        <f t="shared" si="7"/>
        <v>0</v>
      </c>
    </row>
    <row r="10" spans="1:27" ht="20.25" x14ac:dyDescent="0.25">
      <c r="A10" s="35">
        <v>1</v>
      </c>
      <c r="B10" s="9" t="s">
        <v>46</v>
      </c>
      <c r="C10" s="35"/>
      <c r="D10" s="37">
        <f>Table14[[#This Row],[Enrolment S.Y. 2025-2026 ]]*8</f>
        <v>0</v>
      </c>
      <c r="E10" s="37"/>
      <c r="F10" s="35"/>
      <c r="G10" s="5"/>
      <c r="H10" s="37">
        <f>IF((D10-E10)&lt;0,0,(D10-E10))</f>
        <v>0</v>
      </c>
      <c r="I10" s="37">
        <f>IF((E10-D10)&lt;0,0,(E10-D10))</f>
        <v>0</v>
      </c>
      <c r="J10" s="5">
        <f>Table14[[#This Row],[Enrolment S.Y. 2025-2026 ]]*8</f>
        <v>0</v>
      </c>
      <c r="K10" s="37"/>
      <c r="L10" s="35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37"/>
      <c r="R10" s="35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37"/>
      <c r="X10" s="35"/>
      <c r="Y10" s="5"/>
      <c r="Z10" s="5">
        <f t="shared" si="6"/>
        <v>0</v>
      </c>
      <c r="AA10" s="5">
        <f t="shared" si="7"/>
        <v>0</v>
      </c>
    </row>
    <row r="11" spans="1:27" s="7" customFormat="1" x14ac:dyDescent="0.2">
      <c r="B11" s="44"/>
    </row>
    <row r="12" spans="1:27" ht="34.5" x14ac:dyDescent="0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 x14ac:dyDescent="0.2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 x14ac:dyDescent="0.2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 x14ac:dyDescent="0.2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 x14ac:dyDescent="0.2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 x14ac:dyDescent="0.25">
      <c r="A17" s="35">
        <v>2</v>
      </c>
      <c r="B17" s="9" t="s">
        <v>15</v>
      </c>
      <c r="C17" s="35"/>
      <c r="D17" s="37">
        <f>Table14[[#This Row],[Enrolment S.Y. 2025-2026 ]]*8</f>
        <v>0</v>
      </c>
      <c r="E17" s="37"/>
      <c r="F17" s="35"/>
      <c r="G17" s="5"/>
      <c r="H17" s="37">
        <f>IF((D17-E17)&lt;0,0,(D17-E17))</f>
        <v>0</v>
      </c>
      <c r="I17" s="37">
        <f>IF((E17-D17)&lt;0,0,(E17-D17))</f>
        <v>0</v>
      </c>
      <c r="J17" s="5">
        <f>Table14[[#This Row],[Enrolment S.Y. 2025-2026 ]]*8</f>
        <v>0</v>
      </c>
      <c r="K17" s="37"/>
      <c r="L17" s="35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37"/>
      <c r="R17" s="35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37"/>
      <c r="X17" s="35"/>
      <c r="Y17" s="5"/>
      <c r="Z17" s="5">
        <f t="shared" si="6"/>
        <v>0</v>
      </c>
      <c r="AA17" s="5">
        <f t="shared" si="7"/>
        <v>0</v>
      </c>
    </row>
    <row r="18" spans="1:27" ht="20.25" x14ac:dyDescent="0.25">
      <c r="A18" s="35">
        <v>2</v>
      </c>
      <c r="B18" s="9" t="s">
        <v>14</v>
      </c>
      <c r="C18" s="35"/>
      <c r="D18" s="37">
        <f>Table14[[#This Row],[Enrolment S.Y. 2025-2026 ]]*8</f>
        <v>0</v>
      </c>
      <c r="E18" s="37"/>
      <c r="F18" s="35"/>
      <c r="G18" s="5"/>
      <c r="H18" s="37">
        <f>IF((D18-E18)&lt;0,0,(D18-E18))</f>
        <v>0</v>
      </c>
      <c r="I18" s="37">
        <f>IF((E18-D18)&lt;0,0,(E18-D18))</f>
        <v>0</v>
      </c>
      <c r="J18" s="5">
        <f>Table14[[#This Row],[Enrolment S.Y. 2025-2026 ]]*8</f>
        <v>0</v>
      </c>
      <c r="K18" s="37"/>
      <c r="L18" s="35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37"/>
      <c r="R18" s="35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37"/>
      <c r="X18" s="35"/>
      <c r="Y18" s="5"/>
      <c r="Z18" s="5">
        <f t="shared" si="6"/>
        <v>0</v>
      </c>
      <c r="AA18" s="5">
        <f t="shared" si="7"/>
        <v>0</v>
      </c>
    </row>
    <row r="19" spans="1:27" ht="20.25" x14ac:dyDescent="0.25">
      <c r="A19" s="35">
        <v>2</v>
      </c>
      <c r="B19" s="9" t="s">
        <v>46</v>
      </c>
      <c r="C19" s="35"/>
      <c r="D19" s="37">
        <f>Table14[[#This Row],[Enrolment S.Y. 2025-2026 ]]*8</f>
        <v>0</v>
      </c>
      <c r="E19" s="37"/>
      <c r="F19" s="35"/>
      <c r="G19" s="5"/>
      <c r="H19" s="37">
        <f>IF((D19-E19)&lt;0,0,(D19-E19))</f>
        <v>0</v>
      </c>
      <c r="I19" s="37">
        <f>IF((E19-D19)&lt;0,0,(E19-D19))</f>
        <v>0</v>
      </c>
      <c r="J19" s="5">
        <f>Table14[[#This Row],[Enrolment S.Y. 2025-2026 ]]*8</f>
        <v>0</v>
      </c>
      <c r="K19" s="37"/>
      <c r="L19" s="35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37"/>
      <c r="R19" s="35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37"/>
      <c r="X19" s="35"/>
      <c r="Y19" s="5"/>
      <c r="Z19" s="5">
        <f t="shared" si="6"/>
        <v>0</v>
      </c>
      <c r="AA19" s="5">
        <f t="shared" si="7"/>
        <v>0</v>
      </c>
    </row>
    <row r="20" spans="1:27" s="7" customFormat="1" x14ac:dyDescent="0.2">
      <c r="B20" s="44"/>
    </row>
    <row r="21" spans="1:27" ht="34.5" x14ac:dyDescent="0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 x14ac:dyDescent="0.2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 x14ac:dyDescent="0.2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 x14ac:dyDescent="0.2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 x14ac:dyDescent="0.2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 x14ac:dyDescent="0.2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 x14ac:dyDescent="0.25">
      <c r="A27" s="35">
        <v>3</v>
      </c>
      <c r="B27" s="9" t="s">
        <v>14</v>
      </c>
      <c r="C27" s="35"/>
      <c r="D27" s="37">
        <f>Table14[[#This Row],[Enrolment S.Y. 2025-2026 ]]*8</f>
        <v>0</v>
      </c>
      <c r="E27" s="37"/>
      <c r="F27" s="35"/>
      <c r="G27" s="5"/>
      <c r="H27" s="37">
        <f>IF((D27-E27)&lt;0,0,(D27-E27))</f>
        <v>0</v>
      </c>
      <c r="I27" s="37">
        <f>IF((E27-D27)&lt;0,0,(E27-D27))</f>
        <v>0</v>
      </c>
      <c r="J27" s="5">
        <f>Table14[[#This Row],[Enrolment S.Y. 2025-2026 ]]*8</f>
        <v>0</v>
      </c>
      <c r="K27" s="37"/>
      <c r="L27" s="35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37"/>
      <c r="R27" s="35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37"/>
      <c r="X27" s="35"/>
      <c r="Y27" s="5"/>
      <c r="Z27" s="5">
        <f t="shared" si="6"/>
        <v>0</v>
      </c>
      <c r="AA27" s="5">
        <f t="shared" si="7"/>
        <v>0</v>
      </c>
    </row>
    <row r="28" spans="1:27" ht="20.25" x14ac:dyDescent="0.25">
      <c r="A28" s="35">
        <v>3</v>
      </c>
      <c r="B28" s="9" t="s">
        <v>15</v>
      </c>
      <c r="C28" s="35"/>
      <c r="D28" s="37">
        <f>Table14[[#This Row],[Enrolment S.Y. 2025-2026 ]]*8</f>
        <v>0</v>
      </c>
      <c r="E28" s="37"/>
      <c r="F28" s="35"/>
      <c r="G28" s="5"/>
      <c r="H28" s="37">
        <f>IF((D28-E28)&lt;0,0,(D28-E28))</f>
        <v>0</v>
      </c>
      <c r="I28" s="37">
        <f>IF((E28-D28)&lt;0,0,(E28-D28))</f>
        <v>0</v>
      </c>
      <c r="J28" s="5">
        <f>Table14[[#This Row],[Enrolment S.Y. 2025-2026 ]]*8</f>
        <v>0</v>
      </c>
      <c r="K28" s="37"/>
      <c r="L28" s="35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37"/>
      <c r="R28" s="35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37"/>
      <c r="X28" s="35"/>
      <c r="Y28" s="5"/>
      <c r="Z28" s="5">
        <f t="shared" si="6"/>
        <v>0</v>
      </c>
      <c r="AA28" s="5">
        <f t="shared" si="7"/>
        <v>0</v>
      </c>
    </row>
    <row r="29" spans="1:27" ht="20.25" x14ac:dyDescent="0.25">
      <c r="A29" s="35">
        <v>3</v>
      </c>
      <c r="B29" s="9" t="s">
        <v>46</v>
      </c>
      <c r="C29" s="35"/>
      <c r="D29" s="37">
        <f>Table14[[#This Row],[Enrolment S.Y. 2025-2026 ]]*8</f>
        <v>0</v>
      </c>
      <c r="E29" s="37"/>
      <c r="F29" s="35"/>
      <c r="G29" s="5"/>
      <c r="H29" s="37">
        <f>IF((D29-E29)&lt;0,0,(D29-E29))</f>
        <v>0</v>
      </c>
      <c r="I29" s="37">
        <f>IF((E29-D29)&lt;0,0,(E29-D29))</f>
        <v>0</v>
      </c>
      <c r="J29" s="5">
        <f>Table14[[#This Row],[Enrolment S.Y. 2025-2026 ]]*8</f>
        <v>0</v>
      </c>
      <c r="K29" s="37"/>
      <c r="L29" s="35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37"/>
      <c r="R29" s="35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37"/>
      <c r="X29" s="35"/>
      <c r="Y29" s="5"/>
      <c r="Z29" s="5">
        <f t="shared" si="6"/>
        <v>0</v>
      </c>
      <c r="AA29" s="5">
        <f t="shared" si="7"/>
        <v>0</v>
      </c>
    </row>
    <row r="30" spans="1:27" s="7" customFormat="1" x14ac:dyDescent="0.2">
      <c r="B30" s="44"/>
    </row>
    <row r="31" spans="1:27" ht="20.25" x14ac:dyDescent="0.2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 x14ac:dyDescent="0.2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 x14ac:dyDescent="0.2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 x14ac:dyDescent="0.2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 x14ac:dyDescent="0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 x14ac:dyDescent="0.2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 x14ac:dyDescent="0.25">
      <c r="A37" s="46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47">
        <f>IF((D37-E37)&lt;0,0,(D37-E37))</f>
        <v>0</v>
      </c>
      <c r="I37" s="47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 x14ac:dyDescent="0.2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 x14ac:dyDescent="0.2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 x14ac:dyDescent="0.25">
      <c r="A40" s="46">
        <v>4</v>
      </c>
      <c r="B40" s="9" t="s">
        <v>87</v>
      </c>
      <c r="C40" s="5"/>
      <c r="D40" s="5">
        <f>Table14[[#This Row],[Enrolment S.Y. 2025-2026 ]]*8</f>
        <v>0</v>
      </c>
      <c r="E40" s="5"/>
      <c r="F40" s="1"/>
      <c r="G40" s="5"/>
      <c r="H40" s="47">
        <f>IF((D40-E40)&lt;0,0,(D40-E40))</f>
        <v>0</v>
      </c>
      <c r="I40" s="47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 x14ac:dyDescent="0.25">
      <c r="A41" s="1">
        <v>4</v>
      </c>
      <c r="B41" s="9" t="s">
        <v>88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x14ac:dyDescent="0.2">
      <c r="B42" s="44"/>
    </row>
    <row r="43" spans="1:27" ht="20.25" x14ac:dyDescent="0.2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 x14ac:dyDescent="0.2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 x14ac:dyDescent="0.2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 x14ac:dyDescent="0.2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 x14ac:dyDescent="0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 x14ac:dyDescent="0.2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 x14ac:dyDescent="0.25">
      <c r="A49" s="46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47">
        <f>IF((D49-E49)&lt;0,0,(D49-E49))</f>
        <v>0</v>
      </c>
      <c r="I49" s="47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 x14ac:dyDescent="0.2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 x14ac:dyDescent="0.2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 x14ac:dyDescent="0.25">
      <c r="A52" s="46">
        <v>5</v>
      </c>
      <c r="B52" s="9" t="s">
        <v>87</v>
      </c>
      <c r="C52" s="5"/>
      <c r="D52" s="5">
        <f>Table14[[#This Row],[Enrolment S.Y. 2025-2026 ]]*8</f>
        <v>0</v>
      </c>
      <c r="E52" s="5"/>
      <c r="F52" s="1"/>
      <c r="G52" s="5"/>
      <c r="H52" s="47">
        <f>IF((D52-E52)&lt;0,0,(D52-E52))</f>
        <v>0</v>
      </c>
      <c r="I52" s="47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 x14ac:dyDescent="0.25">
      <c r="A53" s="1">
        <v>5</v>
      </c>
      <c r="B53" s="9" t="s">
        <v>88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x14ac:dyDescent="0.2">
      <c r="B54" s="44"/>
    </row>
    <row r="55" spans="1:27" ht="20.25" x14ac:dyDescent="0.2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 x14ac:dyDescent="0.2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 x14ac:dyDescent="0.2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 x14ac:dyDescent="0.2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 x14ac:dyDescent="0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 x14ac:dyDescent="0.2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 x14ac:dyDescent="0.25">
      <c r="A61" s="46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47">
        <f>IF((D61-E61)&lt;0,0,(D61-E61))</f>
        <v>0</v>
      </c>
      <c r="I61" s="47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 x14ac:dyDescent="0.2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 x14ac:dyDescent="0.2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 x14ac:dyDescent="0.25">
      <c r="A64" s="46">
        <v>6</v>
      </c>
      <c r="B64" s="9" t="s">
        <v>87</v>
      </c>
      <c r="C64" s="5"/>
      <c r="D64" s="5">
        <f>Table14[[#This Row],[Enrolment S.Y. 2025-2026 ]]*8</f>
        <v>0</v>
      </c>
      <c r="E64" s="5"/>
      <c r="F64" s="1"/>
      <c r="G64" s="5"/>
      <c r="H64" s="47">
        <f>IF((D64-E64)&lt;0,0,(D64-E64))</f>
        <v>0</v>
      </c>
      <c r="I64" s="47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 x14ac:dyDescent="0.25">
      <c r="A65" s="1">
        <v>6</v>
      </c>
      <c r="B65" s="9" t="s">
        <v>88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x14ac:dyDescent="0.2">
      <c r="B66" s="44"/>
    </row>
    <row r="67" spans="1:27" ht="20.25" x14ac:dyDescent="0.2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 x14ac:dyDescent="0.2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 x14ac:dyDescent="0.2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 x14ac:dyDescent="0.2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 x14ac:dyDescent="0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 x14ac:dyDescent="0.2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 x14ac:dyDescent="0.25">
      <c r="A73" s="4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50">
        <f>IF((D73-E73)&lt;0,0,(D73-E73))</f>
        <v>0</v>
      </c>
      <c r="I73" s="50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 x14ac:dyDescent="0.2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 x14ac:dyDescent="0.2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 x14ac:dyDescent="0.25">
      <c r="A76" s="48">
        <v>7</v>
      </c>
      <c r="B76" s="11" t="s">
        <v>87</v>
      </c>
      <c r="C76" s="12"/>
      <c r="D76" s="12">
        <f>Table14[[#This Row],[Enrolment S.Y. 2025-2026 ]]*8</f>
        <v>0</v>
      </c>
      <c r="E76" s="12"/>
      <c r="F76" s="10"/>
      <c r="G76" s="12"/>
      <c r="H76" s="50">
        <f>IF((D76-E76)&lt;0,0,(D76-E76))</f>
        <v>0</v>
      </c>
      <c r="I76" s="50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 x14ac:dyDescent="0.25">
      <c r="A77" s="10">
        <v>7</v>
      </c>
      <c r="B77" s="11" t="s">
        <v>88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x14ac:dyDescent="0.2">
      <c r="B78" s="44"/>
    </row>
    <row r="79" spans="1:27" ht="20.25" x14ac:dyDescent="0.2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 x14ac:dyDescent="0.2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 x14ac:dyDescent="0.2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 x14ac:dyDescent="0.2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 x14ac:dyDescent="0.2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 x14ac:dyDescent="0.2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 x14ac:dyDescent="0.25">
      <c r="A85" s="4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50">
        <f>IF((D85-E85)&lt;0,0,(D85-E85))</f>
        <v>0</v>
      </c>
      <c r="I85" s="50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 x14ac:dyDescent="0.2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 x14ac:dyDescent="0.2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 x14ac:dyDescent="0.25">
      <c r="A88" s="48">
        <v>8</v>
      </c>
      <c r="B88" s="11" t="s">
        <v>87</v>
      </c>
      <c r="C88" s="12"/>
      <c r="D88" s="12">
        <f>Table14[[#This Row],[Enrolment S.Y. 2025-2026 ]]*8</f>
        <v>0</v>
      </c>
      <c r="E88" s="12"/>
      <c r="F88" s="10"/>
      <c r="G88" s="12"/>
      <c r="H88" s="50">
        <f>IF((D88-E88)&lt;0,0,(D88-E88))</f>
        <v>0</v>
      </c>
      <c r="I88" s="50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 x14ac:dyDescent="0.25">
      <c r="A89" s="10">
        <v>8</v>
      </c>
      <c r="B89" s="11" t="s">
        <v>88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x14ac:dyDescent="0.2">
      <c r="B90" s="44"/>
    </row>
    <row r="91" spans="1:27" ht="20.25" x14ac:dyDescent="0.2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 x14ac:dyDescent="0.2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 x14ac:dyDescent="0.2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 x14ac:dyDescent="0.2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 x14ac:dyDescent="0.2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 x14ac:dyDescent="0.2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 x14ac:dyDescent="0.25">
      <c r="A97" s="4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50">
        <f>IF((D97-E97)&lt;0,0,(D97-E97))</f>
        <v>0</v>
      </c>
      <c r="I97" s="50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 x14ac:dyDescent="0.2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 x14ac:dyDescent="0.25">
      <c r="A100" s="48">
        <v>9</v>
      </c>
      <c r="B100" s="11" t="s">
        <v>87</v>
      </c>
      <c r="C100" s="10"/>
      <c r="D100" s="12">
        <f>Table14[[#This Row],[Enrolment S.Y. 2025-2026 ]]*8</f>
        <v>0</v>
      </c>
      <c r="E100" s="12"/>
      <c r="F100" s="10"/>
      <c r="G100" s="12"/>
      <c r="H100" s="50">
        <f>IF((D100-E100)&lt;0,0,(D100-E100))</f>
        <v>0</v>
      </c>
      <c r="I100" s="50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9</v>
      </c>
      <c r="B101" s="11" t="s">
        <v>88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x14ac:dyDescent="0.2">
      <c r="B102" s="44"/>
    </row>
    <row r="103" spans="1:27" ht="20.25" x14ac:dyDescent="0.2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 x14ac:dyDescent="0.2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 x14ac:dyDescent="0.2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 x14ac:dyDescent="0.2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 x14ac:dyDescent="0.2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 x14ac:dyDescent="0.2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 x14ac:dyDescent="0.25">
      <c r="A109" s="4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50">
        <f>IF((D109-E109)&lt;0,0,(D109-E109))</f>
        <v>0</v>
      </c>
      <c r="I109" s="50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 x14ac:dyDescent="0.2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 x14ac:dyDescent="0.2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 x14ac:dyDescent="0.25">
      <c r="A112" s="48">
        <v>10</v>
      </c>
      <c r="B112" s="11" t="s">
        <v>87</v>
      </c>
      <c r="C112" s="10"/>
      <c r="D112" s="12">
        <f>Table14[[#This Row],[Enrolment S.Y. 2025-2026 ]]*8</f>
        <v>0</v>
      </c>
      <c r="E112" s="12"/>
      <c r="F112" s="10"/>
      <c r="G112" s="12"/>
      <c r="H112" s="50">
        <f>IF((D112-E112)&lt;0,0,(D112-E112))</f>
        <v>0</v>
      </c>
      <c r="I112" s="50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 x14ac:dyDescent="0.25">
      <c r="A113" s="10">
        <v>10</v>
      </c>
      <c r="B113" s="11" t="s">
        <v>88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x14ac:dyDescent="0.2">
      <c r="B114" s="44"/>
    </row>
    <row r="115" spans="1:28" ht="34.5" x14ac:dyDescent="0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 x14ac:dyDescent="0.2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 x14ac:dyDescent="0.2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 x14ac:dyDescent="0.2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 x14ac:dyDescent="0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4.5" x14ac:dyDescent="0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 x14ac:dyDescent="0.2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 x14ac:dyDescent="0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x14ac:dyDescent="0.2">
      <c r="B123" s="44"/>
    </row>
    <row r="124" spans="1:28" x14ac:dyDescent="0.2">
      <c r="A124" s="7"/>
      <c r="B124" s="4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4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4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4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4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4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4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4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4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4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4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4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4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4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4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4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4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2">
      <c r="J141" t="e">
        <f>#REF!*8</f>
        <v>#REF!</v>
      </c>
    </row>
    <row r="142" spans="1:28" x14ac:dyDescent="0.2">
      <c r="J142" t="e">
        <f>#REF!*8</f>
        <v>#REF!</v>
      </c>
    </row>
    <row r="143" spans="1:28" x14ac:dyDescent="0.2">
      <c r="J143" t="e">
        <f>#REF!*8</f>
        <v>#REF!</v>
      </c>
    </row>
    <row r="144" spans="1:28" x14ac:dyDescent="0.2">
      <c r="J144" t="e">
        <f>#REF!*8</f>
        <v>#REF!</v>
      </c>
    </row>
    <row r="145" spans="10:10" x14ac:dyDescent="0.2">
      <c r="J145" t="e">
        <f>#REF!*8</f>
        <v>#REF!</v>
      </c>
    </row>
    <row r="146" spans="10:10" x14ac:dyDescent="0.2">
      <c r="J146" t="e">
        <f>#REF!*8</f>
        <v>#REF!</v>
      </c>
    </row>
    <row r="147" spans="10:10" x14ac:dyDescent="0.2">
      <c r="J147" t="e">
        <f>#REF!*8</f>
        <v>#REF!</v>
      </c>
    </row>
    <row r="148" spans="10:10" x14ac:dyDescent="0.2">
      <c r="J148" t="e">
        <f>#REF!*8</f>
        <v>#REF!</v>
      </c>
    </row>
    <row r="149" spans="10:10" x14ac:dyDescent="0.2">
      <c r="J149" t="e">
        <f>#REF!*8</f>
        <v>#REF!</v>
      </c>
    </row>
    <row r="150" spans="10:10" x14ac:dyDescent="0.2">
      <c r="J150" t="e">
        <f>#REF!*8</f>
        <v>#REF!</v>
      </c>
    </row>
    <row r="151" spans="10:10" x14ac:dyDescent="0.2">
      <c r="J151" t="e">
        <f>#REF!*8</f>
        <v>#REF!</v>
      </c>
    </row>
    <row r="152" spans="10:10" x14ac:dyDescent="0.2">
      <c r="J152" t="e">
        <f>#REF!*8</f>
        <v>#REF!</v>
      </c>
    </row>
    <row r="153" spans="10:10" x14ac:dyDescent="0.2">
      <c r="J153" t="e">
        <f>#REF!*8</f>
        <v>#REF!</v>
      </c>
    </row>
    <row r="154" spans="10:10" x14ac:dyDescent="0.2">
      <c r="J154" t="e">
        <f>#REF!*8</f>
        <v>#REF!</v>
      </c>
    </row>
    <row r="155" spans="10:10" x14ac:dyDescent="0.2">
      <c r="J155" t="e">
        <f>#REF!*8</f>
        <v>#REF!</v>
      </c>
    </row>
    <row r="156" spans="10:10" x14ac:dyDescent="0.2">
      <c r="J156" t="e">
        <f>#REF!*8</f>
        <v>#REF!</v>
      </c>
    </row>
    <row r="157" spans="10:10" x14ac:dyDescent="0.2">
      <c r="J157" t="e">
        <f>#REF!*8</f>
        <v>#REF!</v>
      </c>
    </row>
    <row r="158" spans="10:10" x14ac:dyDescent="0.2">
      <c r="J158" t="e">
        <f>#REF!*8</f>
        <v>#REF!</v>
      </c>
    </row>
    <row r="159" spans="10:10" x14ac:dyDescent="0.2">
      <c r="J159" t="e">
        <f>#REF!*8</f>
        <v>#REF!</v>
      </c>
    </row>
    <row r="160" spans="10:10" x14ac:dyDescent="0.2">
      <c r="J160" t="e">
        <f>#REF!*8</f>
        <v>#REF!</v>
      </c>
    </row>
    <row r="161" spans="10:10" x14ac:dyDescent="0.2">
      <c r="J161" t="e">
        <f>#REF!*8</f>
        <v>#REF!</v>
      </c>
    </row>
    <row r="162" spans="10:10" x14ac:dyDescent="0.2">
      <c r="J162" t="e">
        <f>#REF!*8</f>
        <v>#REF!</v>
      </c>
    </row>
    <row r="163" spans="10:10" x14ac:dyDescent="0.2">
      <c r="J163" t="e">
        <f>#REF!*8</f>
        <v>#REF!</v>
      </c>
    </row>
    <row r="164" spans="10:10" x14ac:dyDescent="0.2">
      <c r="J164" t="e">
        <f>#REF!*8</f>
        <v>#REF!</v>
      </c>
    </row>
    <row r="165" spans="10:10" x14ac:dyDescent="0.2">
      <c r="J165" t="e">
        <f>#REF!*8</f>
        <v>#REF!</v>
      </c>
    </row>
    <row r="166" spans="10:10" x14ac:dyDescent="0.2">
      <c r="J166" t="e">
        <f>#REF!*8</f>
        <v>#REF!</v>
      </c>
    </row>
    <row r="167" spans="10:10" x14ac:dyDescent="0.2">
      <c r="J167" t="e">
        <f>#REF!*8</f>
        <v>#REF!</v>
      </c>
    </row>
    <row r="168" spans="10:10" x14ac:dyDescent="0.2">
      <c r="J168" t="e">
        <f>#REF!*8</f>
        <v>#REF!</v>
      </c>
    </row>
    <row r="169" spans="10:10" x14ac:dyDescent="0.2">
      <c r="J169" t="e">
        <f>#REF!*8</f>
        <v>#REF!</v>
      </c>
    </row>
    <row r="170" spans="10:10" x14ac:dyDescent="0.2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2025-11-24T10:24:32Z</dcterms:modified>
  <cp:category/>
  <cp:contentStatus/>
</cp:coreProperties>
</file>