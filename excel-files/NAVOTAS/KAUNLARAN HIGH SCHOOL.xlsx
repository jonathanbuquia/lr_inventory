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1" documentId="13_ncr:1_{BFB59F67-F0DC-4675-A682-EB0734A8026A}" xr6:coauthVersionLast="47" xr6:coauthVersionMax="47" xr10:uidLastSave="{889AEDB1-8A0F-48E4-9A9E-9B9C7062C77D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6" i="1" l="1"/>
  <c r="H106" i="1"/>
  <c r="G105" i="1"/>
  <c r="H105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P109" i="5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O3" i="4"/>
  <c r="N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</calcChain>
</file>

<file path=xl/sharedStrings.xml><?xml version="1.0" encoding="utf-8"?>
<sst xmlns="http://schemas.openxmlformats.org/spreadsheetml/2006/main" count="428" uniqueCount="99">
  <si>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</si>
  <si>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</si>
  <si>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</si>
  <si>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</si>
  <si>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</si>
  <si>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</si>
  <si>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</si>
  <si>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</si>
  <si>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</si>
  <si>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</si>
  <si>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</si>
  <si>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</si>
  <si>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</si>
  <si>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</si>
  <si>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</si>
  <si>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</si>
  <si>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</si>
  <si>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</si>
  <si>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</si>
  <si>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</si>
  <si>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</si>
  <si>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</si>
  <si>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</si>
  <si>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</si>
  <si>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</si>
  <si>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</si>
  <si>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</si>
  <si>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</si>
  <si>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</si>
  <si>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</si>
  <si>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</si>
  <si>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</si>
  <si>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</si>
  <si>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</si>
  <si>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Heritage (Understanding Culture, Society &amp; Politics)</t>
  </si>
  <si>
    <t>Creative Writing</t>
  </si>
  <si>
    <t>Philippine Politics and Governance</t>
  </si>
  <si>
    <t>Trends, Networks and Critical Thinking in the 21st Century</t>
  </si>
  <si>
    <t>Discipline and Ideas in Applied Social Sciences</t>
  </si>
  <si>
    <t xml:space="preserve">
Pagbasa At Pagsusuri Ng Iba'T Ibang Teksto Tungo Sa Pananaliksik</t>
  </si>
  <si>
    <t xml:space="preserve">
Business Finance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</si>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</sst>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6"/>
  <sheetViews>
    <sheetView topLeftCell="A91" zoomScale="85" zoomScaleNormal="85" workbookViewId="0">
      <pane xSplit="2" topLeftCell="C1" activePane="topRight" state="frozen"/>
      <selection pane="topRight" activeCell="E2" activeCellId="10" sqref="E91:E106 E81:E89 E71:E79 E61:E69 E51:E59 E41:E49 E31:E39 E21:E29 E14:E19 E8:E12 E2:E6"/>
      <selection activeCell="A91" sqref="A91"/>
    </sheetView>
  </sheetViews>
  <sheetFormatPr defaultRowHeight="15"/>
  <cols>
    <col min="1" max="1" width="10.28515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2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20.2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996</v>
      </c>
      <c r="D51" s="10">
        <v>1103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107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996</v>
      </c>
      <c r="D53" s="10">
        <v>901</v>
      </c>
      <c r="E53" s="10">
        <v>2024</v>
      </c>
      <c r="F53" s="12" t="s">
        <v>20</v>
      </c>
      <c r="G53" s="3">
        <f t="shared" si="10"/>
        <v>95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996</v>
      </c>
      <c r="D55" s="10">
        <v>1103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107</v>
      </c>
    </row>
    <row r="56" spans="1:8" ht="27.75" customHeight="1">
      <c r="A56" s="10">
        <v>7</v>
      </c>
      <c r="B56" s="11" t="s">
        <v>13</v>
      </c>
      <c r="C56" s="10">
        <v>996</v>
      </c>
      <c r="D56" s="10">
        <v>925</v>
      </c>
      <c r="E56" s="10">
        <v>2024</v>
      </c>
      <c r="F56" s="12" t="s">
        <v>20</v>
      </c>
      <c r="G56" s="3">
        <f t="shared" si="10"/>
        <v>71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996</v>
      </c>
      <c r="D57" s="10">
        <v>1103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107</v>
      </c>
    </row>
    <row r="58" spans="1:8" ht="27.75" customHeight="1">
      <c r="A58" s="10">
        <v>7</v>
      </c>
      <c r="B58" s="11" t="s">
        <v>22</v>
      </c>
      <c r="C58" s="10">
        <v>996</v>
      </c>
      <c r="D58" s="10">
        <v>1103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107</v>
      </c>
    </row>
    <row r="59" spans="1:8" ht="27.75" customHeight="1">
      <c r="A59" s="10">
        <v>7</v>
      </c>
      <c r="B59" s="11" t="s">
        <v>19</v>
      </c>
      <c r="C59" s="10">
        <v>996</v>
      </c>
      <c r="D59" s="10">
        <v>1103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107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1032</v>
      </c>
      <c r="D63" s="10">
        <v>855</v>
      </c>
      <c r="E63" s="10">
        <v>2025</v>
      </c>
      <c r="F63" s="12" t="s">
        <v>20</v>
      </c>
      <c r="G63" s="3">
        <f t="shared" si="12"/>
        <v>177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1032</v>
      </c>
      <c r="D64" s="10">
        <v>855</v>
      </c>
      <c r="E64" s="10">
        <v>2025</v>
      </c>
      <c r="F64" s="12" t="s">
        <v>20</v>
      </c>
      <c r="G64" s="3">
        <f t="shared" si="12"/>
        <v>177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622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622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>
        <v>534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534</v>
      </c>
    </row>
    <row r="94" spans="1:8" ht="27.75" customHeight="1">
      <c r="A94" s="1" t="s">
        <v>24</v>
      </c>
      <c r="B94" s="9" t="s">
        <v>28</v>
      </c>
      <c r="C94" s="1"/>
      <c r="D94" s="1">
        <v>622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622</v>
      </c>
    </row>
    <row r="95" spans="1:8" ht="40.5" customHeight="1">
      <c r="A95" s="1" t="s">
        <v>24</v>
      </c>
      <c r="B95" s="9" t="s">
        <v>29</v>
      </c>
      <c r="C95" s="1"/>
      <c r="D95" s="1">
        <v>622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622</v>
      </c>
    </row>
    <row r="96" spans="1:8" ht="38.25" customHeight="1">
      <c r="A96" s="1" t="s">
        <v>24</v>
      </c>
      <c r="B96" s="9" t="s">
        <v>30</v>
      </c>
      <c r="C96" s="1"/>
      <c r="D96" s="1">
        <v>622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622</v>
      </c>
    </row>
    <row r="97" spans="1:8" ht="27.75" customHeight="1">
      <c r="A97" s="1" t="s">
        <v>24</v>
      </c>
      <c r="B97" s="9" t="s">
        <v>31</v>
      </c>
      <c r="C97" s="1"/>
      <c r="D97" s="1">
        <v>622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622</v>
      </c>
    </row>
    <row r="98" spans="1:8" ht="47.25" customHeight="1">
      <c r="A98" s="1" t="s">
        <v>24</v>
      </c>
      <c r="B98" s="9" t="s">
        <v>32</v>
      </c>
      <c r="C98" s="1"/>
      <c r="D98" s="1">
        <v>622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622</v>
      </c>
    </row>
    <row r="99" spans="1:8" ht="20.25">
      <c r="A99" s="1" t="s">
        <v>24</v>
      </c>
      <c r="B99" s="9" t="s">
        <v>33</v>
      </c>
      <c r="C99" s="1"/>
      <c r="D99" s="1">
        <v>616</v>
      </c>
      <c r="E99" s="1">
        <v>2024</v>
      </c>
      <c r="F99" s="5" t="s">
        <v>20</v>
      </c>
      <c r="G99" s="3">
        <f>IF((C99-D99)&lt;0,0,C99-D99)</f>
        <v>0</v>
      </c>
      <c r="H99" s="4">
        <f>IF((D99-C99)&lt;0,0,D99-C99)</f>
        <v>616</v>
      </c>
    </row>
    <row r="100" spans="1:8" ht="68.25">
      <c r="A100" s="1" t="s">
        <v>24</v>
      </c>
      <c r="B100" s="9" t="s">
        <v>34</v>
      </c>
      <c r="C100" s="1"/>
      <c r="D100" s="1">
        <v>622</v>
      </c>
      <c r="E100" s="1">
        <v>2025</v>
      </c>
      <c r="F100" s="5" t="s">
        <v>20</v>
      </c>
      <c r="G100" s="3">
        <f>IF((C100-D100)&lt;0,0,C100-D100)</f>
        <v>0</v>
      </c>
      <c r="H100" s="4">
        <f>IF((D100-C100)&lt;0,0,D100-C100)</f>
        <v>622</v>
      </c>
    </row>
    <row r="101" spans="1:8" ht="20.25">
      <c r="A101" s="1" t="s">
        <v>24</v>
      </c>
      <c r="B101" s="9" t="s">
        <v>35</v>
      </c>
      <c r="C101" s="1"/>
      <c r="D101" s="1">
        <v>107</v>
      </c>
      <c r="E101" s="1">
        <v>2024</v>
      </c>
      <c r="F101" s="5" t="s">
        <v>20</v>
      </c>
      <c r="G101" s="3">
        <f>IF((C101-D101)&lt;0,0,C101-D101)</f>
        <v>0</v>
      </c>
      <c r="H101" s="4">
        <f>IF((D101-C101)&lt;0,0,D101-C101)</f>
        <v>107</v>
      </c>
    </row>
    <row r="102" spans="1:8" ht="34.5">
      <c r="A102" s="1" t="s">
        <v>24</v>
      </c>
      <c r="B102" s="9" t="s">
        <v>36</v>
      </c>
      <c r="C102" s="1"/>
      <c r="D102" s="1">
        <v>107</v>
      </c>
      <c r="E102" s="1">
        <v>2024</v>
      </c>
      <c r="F102" s="5" t="s">
        <v>20</v>
      </c>
      <c r="G102" s="3">
        <f>IF((C102-D102)&lt;0,0,C102-D102)</f>
        <v>0</v>
      </c>
      <c r="H102" s="4">
        <f>IF((D102-C102)&lt;0,0,D102-C102)</f>
        <v>107</v>
      </c>
    </row>
    <row r="103" spans="1:8" ht="68.25">
      <c r="A103" s="1" t="s">
        <v>24</v>
      </c>
      <c r="B103" s="9" t="s">
        <v>37</v>
      </c>
      <c r="C103" s="1"/>
      <c r="D103" s="1">
        <v>107</v>
      </c>
      <c r="E103" s="1">
        <v>2024</v>
      </c>
      <c r="F103" s="5" t="s">
        <v>20</v>
      </c>
      <c r="G103" s="3">
        <f>IF((C103-D103)&lt;0,0,C103-D103)</f>
        <v>0</v>
      </c>
      <c r="H103" s="4">
        <f>IF((D103-C103)&lt;0,0,D103-C103)</f>
        <v>107</v>
      </c>
    </row>
    <row r="104" spans="1:8" ht="51.75">
      <c r="A104" s="1" t="s">
        <v>24</v>
      </c>
      <c r="B104" s="9" t="s">
        <v>38</v>
      </c>
      <c r="C104" s="1"/>
      <c r="D104" s="1">
        <v>107</v>
      </c>
      <c r="E104" s="1">
        <v>2024</v>
      </c>
      <c r="F104" s="5" t="s">
        <v>20</v>
      </c>
      <c r="G104" s="3">
        <f>IF((C104-D104)&lt;0,0,C104-D104)</f>
        <v>0</v>
      </c>
      <c r="H104" s="4">
        <f>IF((D104-C104)&lt;0,0,D104-C104)</f>
        <v>107</v>
      </c>
    </row>
    <row r="105" spans="1:8" ht="85.5">
      <c r="A105" s="1" t="s">
        <v>24</v>
      </c>
      <c r="B105" s="2" t="s">
        <v>39</v>
      </c>
      <c r="C105" s="1"/>
      <c r="D105" s="1">
        <v>205</v>
      </c>
      <c r="E105" s="1">
        <v>2024</v>
      </c>
      <c r="F105" s="5" t="s">
        <v>20</v>
      </c>
      <c r="G105" s="3">
        <f>IF((C105-D105)&lt;0,0,C105-D105)</f>
        <v>0</v>
      </c>
      <c r="H105" s="4">
        <f>IF((D105-C105)&lt;0,0,D105-C105)</f>
        <v>205</v>
      </c>
    </row>
    <row r="106" spans="1:8" ht="51.75">
      <c r="A106" s="1" t="s">
        <v>24</v>
      </c>
      <c r="B106" s="2" t="s">
        <v>40</v>
      </c>
      <c r="C106" s="1"/>
      <c r="D106" s="1">
        <v>71</v>
      </c>
      <c r="E106" s="1">
        <v>2024</v>
      </c>
      <c r="F106" s="5" t="s">
        <v>20</v>
      </c>
      <c r="G106" s="3">
        <f>IF((C106-D106)&lt;0,0,C106-D106)</f>
        <v>0</v>
      </c>
      <c r="H106" s="4">
        <f>IF((D106-C106)&lt;0,0,D106-C106)</f>
        <v>71</v>
      </c>
    </row>
  </sheetData>
  <protectedRanges>
    <protectedRange sqref="C1:E106" name="Textbooks"/>
    <protectedRange sqref="F1:F106" name="SOURCE"/>
  </protectedRanges>
  <phoneticPr fontId="8" type="noConversion"/>
  <dataValidations count="2">
    <dataValidation type="list" allowBlank="1" showInputMessage="1" showErrorMessage="1" sqref="E91:E106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91:F106 F61:F69 F71:F79 F81:F89 F2:F6 F8:F12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10" zoomScale="70" zoomScaleNormal="70" workbookViewId="0">
      <selection activeCell="J128" sqref="J128:J158"/>
    </sheetView>
  </sheetViews>
  <sheetFormatPr defaultRowHeight="15"/>
  <cols>
    <col min="1" max="1" width="9.42578125" customWidth="1"/>
    <col min="2" max="2" width="27.85546875" customWidth="1"/>
    <col min="3" max="3" width="17.28515625" customWidth="1"/>
    <col min="4" max="4" width="26.28515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7109375" customWidth="1"/>
    <col min="12" max="12" width="24.85546875" bestFit="1" customWidth="1"/>
    <col min="13" max="13" width="31.5703125" customWidth="1"/>
    <col min="14" max="15" width="20.85546875" customWidth="1"/>
    <col min="16" max="16" width="21.7109375" customWidth="1"/>
    <col min="17" max="17" width="33.42578125" customWidth="1"/>
    <col min="18" max="18" width="25.85546875" customWidth="1"/>
    <col min="19" max="19" width="33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41</v>
      </c>
      <c r="E1" s="40"/>
      <c r="F1" s="40"/>
      <c r="G1" s="40"/>
      <c r="H1" s="40"/>
      <c r="I1" s="40"/>
      <c r="J1" s="41" t="s">
        <v>42</v>
      </c>
      <c r="K1" s="41"/>
      <c r="L1" s="41"/>
      <c r="M1" s="41"/>
      <c r="N1" s="41"/>
      <c r="O1" s="41"/>
      <c r="P1" s="42" t="s">
        <v>43</v>
      </c>
      <c r="Q1" s="42"/>
      <c r="R1" s="42"/>
      <c r="S1" s="42"/>
      <c r="T1" s="42"/>
      <c r="U1" s="42"/>
      <c r="V1" s="43" t="s">
        <v>44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45</v>
      </c>
      <c r="E2" s="20" t="s">
        <v>46</v>
      </c>
      <c r="F2" s="21" t="s">
        <v>47</v>
      </c>
      <c r="G2" s="24" t="s">
        <v>48</v>
      </c>
      <c r="H2" s="17" t="s">
        <v>49</v>
      </c>
      <c r="I2" s="24" t="s">
        <v>50</v>
      </c>
      <c r="J2" s="22" t="s">
        <v>51</v>
      </c>
      <c r="K2" s="22" t="s">
        <v>52</v>
      </c>
      <c r="L2" s="23" t="s">
        <v>53</v>
      </c>
      <c r="M2" s="44" t="s">
        <v>54</v>
      </c>
      <c r="N2" s="44" t="s">
        <v>55</v>
      </c>
      <c r="O2" s="22" t="s">
        <v>56</v>
      </c>
      <c r="P2" s="24" t="s">
        <v>57</v>
      </c>
      <c r="Q2" s="24" t="s">
        <v>58</v>
      </c>
      <c r="R2" s="25" t="s">
        <v>59</v>
      </c>
      <c r="S2" s="17" t="s">
        <v>60</v>
      </c>
      <c r="T2" s="17" t="s">
        <v>61</v>
      </c>
      <c r="U2" s="24" t="s">
        <v>62</v>
      </c>
      <c r="V2" s="26" t="s">
        <v>63</v>
      </c>
      <c r="W2" s="26" t="s">
        <v>64</v>
      </c>
      <c r="X2" s="27" t="s">
        <v>65</v>
      </c>
      <c r="Y2" s="45" t="s">
        <v>66</v>
      </c>
      <c r="Z2" s="45" t="s">
        <v>67</v>
      </c>
      <c r="AA2" s="26" t="s">
        <v>68</v>
      </c>
    </row>
    <row r="3" spans="1:27" ht="30.6" customHeight="1">
      <c r="A3" s="39" t="s">
        <v>69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70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70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70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31" zoomScale="55" zoomScaleNormal="55" workbookViewId="0">
      <selection activeCell="J141" sqref="J141:J170"/>
    </sheetView>
  </sheetViews>
  <sheetFormatPr defaultRowHeight="15"/>
  <cols>
    <col min="1" max="1" width="9.42578125" customWidth="1"/>
    <col min="2" max="2" width="27.85546875" customWidth="1"/>
    <col min="3" max="3" width="17.28515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28515625" customWidth="1"/>
    <col min="12" max="12" width="18.140625" customWidth="1"/>
    <col min="13" max="15" width="20.85546875" customWidth="1"/>
    <col min="16" max="16" width="21.7109375" customWidth="1"/>
    <col min="17" max="17" width="29.140625" customWidth="1"/>
    <col min="18" max="18" width="25.85546875" customWidth="1"/>
    <col min="19" max="19" width="33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41</v>
      </c>
      <c r="E1" s="40"/>
      <c r="F1" s="40"/>
      <c r="G1" s="40"/>
      <c r="H1" s="40"/>
      <c r="I1" s="40"/>
      <c r="J1" s="41" t="s">
        <v>42</v>
      </c>
      <c r="K1" s="41"/>
      <c r="L1" s="41"/>
      <c r="M1" s="41"/>
      <c r="N1" s="41"/>
      <c r="O1" s="41"/>
      <c r="P1" s="42" t="s">
        <v>43</v>
      </c>
      <c r="Q1" s="42"/>
      <c r="R1" s="42"/>
      <c r="S1" s="42"/>
      <c r="T1" s="42"/>
      <c r="U1" s="42"/>
      <c r="V1" s="43" t="s">
        <v>44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71</v>
      </c>
      <c r="E2" s="20" t="s">
        <v>72</v>
      </c>
      <c r="F2" s="21" t="s">
        <v>73</v>
      </c>
      <c r="G2" s="24" t="s">
        <v>74</v>
      </c>
      <c r="H2" s="17" t="s">
        <v>75</v>
      </c>
      <c r="I2" s="24" t="s">
        <v>76</v>
      </c>
      <c r="J2" s="22" t="s">
        <v>77</v>
      </c>
      <c r="K2" s="22" t="s">
        <v>78</v>
      </c>
      <c r="L2" s="23" t="s">
        <v>79</v>
      </c>
      <c r="M2" s="44" t="s">
        <v>80</v>
      </c>
      <c r="N2" s="44" t="s">
        <v>81</v>
      </c>
      <c r="O2" s="22" t="s">
        <v>82</v>
      </c>
      <c r="P2" s="24" t="s">
        <v>83</v>
      </c>
      <c r="Q2" s="24" t="s">
        <v>84</v>
      </c>
      <c r="R2" s="25" t="s">
        <v>85</v>
      </c>
      <c r="S2" s="17" t="s">
        <v>86</v>
      </c>
      <c r="T2" s="17" t="s">
        <v>87</v>
      </c>
      <c r="U2" s="24" t="s">
        <v>88</v>
      </c>
      <c r="V2" s="26" t="s">
        <v>89</v>
      </c>
      <c r="W2" s="26" t="s">
        <v>90</v>
      </c>
      <c r="X2" s="27" t="s">
        <v>91</v>
      </c>
      <c r="Y2" s="45" t="s">
        <v>92</v>
      </c>
      <c r="Z2" s="45" t="s">
        <v>93</v>
      </c>
      <c r="AA2" s="26" t="s">
        <v>94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70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70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70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7">
        <v>4</v>
      </c>
      <c r="B37" s="9" t="s">
        <v>95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96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7">
        <v>4</v>
      </c>
      <c r="B40" s="9" t="s">
        <v>97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98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7">
        <v>5</v>
      </c>
      <c r="B49" s="9" t="s">
        <v>95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96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7">
        <v>5</v>
      </c>
      <c r="B52" s="9" t="s">
        <v>97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98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7">
        <v>6</v>
      </c>
      <c r="B61" s="9" t="s">
        <v>95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96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7">
        <v>6</v>
      </c>
      <c r="B64" s="9" t="s">
        <v>97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98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2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>
      <c r="A73" s="38">
        <v>7</v>
      </c>
      <c r="B73" s="11" t="s">
        <v>95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>
      <c r="A74" s="10">
        <v>7</v>
      </c>
      <c r="B74" s="11" t="s">
        <v>96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>
      <c r="A76" s="38">
        <v>7</v>
      </c>
      <c r="B76" s="11" t="s">
        <v>97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>
      <c r="A77" s="10">
        <v>7</v>
      </c>
      <c r="B77" s="11" t="s">
        <v>98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2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>
      <c r="A85" s="38">
        <v>8</v>
      </c>
      <c r="B85" s="11" t="s">
        <v>95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>
      <c r="A86" s="10">
        <v>8</v>
      </c>
      <c r="B86" s="11" t="s">
        <v>96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>
      <c r="A88" s="38">
        <v>8</v>
      </c>
      <c r="B88" s="11" t="s">
        <v>97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>
      <c r="A89" s="10">
        <v>8</v>
      </c>
      <c r="B89" s="11" t="s">
        <v>98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2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>
      <c r="A97" s="38">
        <v>9</v>
      </c>
      <c r="B97" s="11" t="s">
        <v>95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>
      <c r="A98" s="10">
        <v>9</v>
      </c>
      <c r="B98" s="11" t="s">
        <v>96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>
      <c r="A100" s="38">
        <v>9</v>
      </c>
      <c r="B100" s="11" t="s">
        <v>97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>
      <c r="A101" s="10">
        <v>9</v>
      </c>
      <c r="B101" s="11" t="s">
        <v>98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2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>
      <c r="A109" s="38">
        <v>10</v>
      </c>
      <c r="B109" s="11" t="s">
        <v>95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>
      <c r="A110" s="10">
        <v>10</v>
      </c>
      <c r="B110" s="11" t="s">
        <v>96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>
      <c r="A112" s="38">
        <v>10</v>
      </c>
      <c r="B112" s="11" t="s">
        <v>97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>
      <c r="A113" s="10">
        <v>10</v>
      </c>
      <c r="B113" s="11" t="s">
        <v>98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4.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2026-03-06T06:39:24Z</dcterms:modified>
  <cp:category/>
  <cp:contentStatus/>
</cp:coreProperties>
</file>