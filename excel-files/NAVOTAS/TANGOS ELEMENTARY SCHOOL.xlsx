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9" documentId="13_ncr:1_{BFB59F67-F0DC-4675-A682-EB0734A8026A}" xr6:coauthVersionLast="47" xr6:coauthVersionMax="47" xr10:uidLastSave="{DD78A733-2AB2-4737-BB9A-10F0A6435814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4" l="1"/>
  <c r="K17" i="4"/>
  <c r="K45" i="4"/>
  <c r="K43" i="4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<sst xmlns="http://schemas.openxmlformats.org/spreadsheetml/2006/main" count="408" uniqueCount="92">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</sst>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" activePane="topRight" state="frozen"/>
      <selection pane="topRight" activeCell="C11" sqref="C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288</v>
      </c>
      <c r="D2" s="1">
        <v>154</v>
      </c>
      <c r="E2" s="1">
        <v>2025</v>
      </c>
      <c r="F2" s="5" t="s">
        <v>9</v>
      </c>
      <c r="G2" s="3">
        <f>IF((C2-D2)&lt;0,0,C2-D2)</f>
        <v>134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288</v>
      </c>
      <c r="D4" s="1">
        <v>36</v>
      </c>
      <c r="E4" s="1">
        <v>2024</v>
      </c>
      <c r="F4" s="5" t="s">
        <v>9</v>
      </c>
      <c r="G4" s="3">
        <f>IF((C4-D4)&lt;0,0,C4-D4)</f>
        <v>252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288</v>
      </c>
      <c r="D5" s="1">
        <v>480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192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350</v>
      </c>
      <c r="D11" s="1">
        <v>438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88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385</v>
      </c>
      <c r="D22" s="1">
        <v>480</v>
      </c>
      <c r="E22" s="1">
        <v>2024</v>
      </c>
      <c r="F22" s="5" t="s">
        <v>14</v>
      </c>
      <c r="G22" s="3">
        <f t="shared" si="4"/>
        <v>0</v>
      </c>
      <c r="H22" s="4">
        <f t="shared" si="5"/>
        <v>95</v>
      </c>
    </row>
    <row r="23" spans="1:8" ht="19.5">
      <c r="A23" s="1">
        <v>4</v>
      </c>
      <c r="B23" s="9" t="s">
        <v>13</v>
      </c>
      <c r="C23" s="1">
        <v>385</v>
      </c>
      <c r="D23" s="1">
        <v>522</v>
      </c>
      <c r="E23" s="1">
        <v>2025</v>
      </c>
      <c r="F23" s="5" t="s">
        <v>14</v>
      </c>
      <c r="G23" s="3">
        <f t="shared" si="4"/>
        <v>0</v>
      </c>
      <c r="H23" s="4">
        <f t="shared" si="5"/>
        <v>137</v>
      </c>
    </row>
    <row r="24" spans="1:8" ht="27" customHeight="1">
      <c r="A24" s="1">
        <v>4</v>
      </c>
      <c r="B24" s="9" t="s">
        <v>11</v>
      </c>
      <c r="C24" s="1">
        <v>385</v>
      </c>
      <c r="D24" s="1">
        <v>512</v>
      </c>
      <c r="E24" s="1">
        <v>2025</v>
      </c>
      <c r="F24" s="5" t="s">
        <v>14</v>
      </c>
      <c r="G24" s="3">
        <f t="shared" si="4"/>
        <v>0</v>
      </c>
      <c r="H24" s="4">
        <f t="shared" si="5"/>
        <v>127</v>
      </c>
    </row>
    <row r="25" spans="1:8" ht="33.75" customHeight="1">
      <c r="A25" s="1">
        <v>4</v>
      </c>
      <c r="B25" s="9" t="s">
        <v>18</v>
      </c>
      <c r="C25" s="1">
        <v>385</v>
      </c>
      <c r="D25" s="1">
        <v>512</v>
      </c>
      <c r="E25" s="1">
        <v>2024</v>
      </c>
      <c r="F25" s="5" t="s">
        <v>14</v>
      </c>
      <c r="G25" s="3">
        <f t="shared" si="4"/>
        <v>0</v>
      </c>
      <c r="H25" s="4">
        <f t="shared" si="5"/>
        <v>127</v>
      </c>
    </row>
    <row r="26" spans="1:8" ht="33.75" customHeight="1">
      <c r="A26" s="1">
        <v>4</v>
      </c>
      <c r="B26" s="9" t="s">
        <v>15</v>
      </c>
      <c r="C26" s="1">
        <v>385</v>
      </c>
      <c r="D26" s="1">
        <v>522</v>
      </c>
      <c r="E26" s="1">
        <v>2024</v>
      </c>
      <c r="F26" s="5" t="s">
        <v>14</v>
      </c>
      <c r="G26" s="3">
        <f t="shared" si="4"/>
        <v>0</v>
      </c>
      <c r="H26" s="4">
        <f t="shared" si="5"/>
        <v>137</v>
      </c>
    </row>
    <row r="27" spans="1:8" ht="33.75" customHeight="1">
      <c r="A27" s="1">
        <v>4</v>
      </c>
      <c r="B27" s="9" t="s">
        <v>19</v>
      </c>
      <c r="C27" s="1">
        <v>385</v>
      </c>
      <c r="D27" s="1">
        <v>512</v>
      </c>
      <c r="E27" s="1">
        <v>2024</v>
      </c>
      <c r="F27" s="5" t="s">
        <v>14</v>
      </c>
      <c r="G27" s="3">
        <f t="shared" si="4"/>
        <v>0</v>
      </c>
      <c r="H27" s="4">
        <f t="shared" si="5"/>
        <v>127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385</v>
      </c>
      <c r="D29" s="1">
        <v>522</v>
      </c>
      <c r="E29" s="1">
        <v>2026</v>
      </c>
      <c r="F29" s="5" t="s">
        <v>14</v>
      </c>
      <c r="G29" s="3">
        <f t="shared" si="4"/>
        <v>0</v>
      </c>
      <c r="H29" s="4">
        <f t="shared" si="5"/>
        <v>137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316</v>
      </c>
      <c r="D31" s="1">
        <v>392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76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316</v>
      </c>
      <c r="D35" s="1">
        <v>391</v>
      </c>
      <c r="E35" s="1">
        <v>2025</v>
      </c>
      <c r="F35" s="5" t="s">
        <v>14</v>
      </c>
      <c r="G35" s="3">
        <f t="shared" si="6"/>
        <v>0</v>
      </c>
      <c r="H35" s="4">
        <f t="shared" si="7"/>
        <v>75</v>
      </c>
    </row>
    <row r="36" spans="1:8" ht="27.75" customHeight="1">
      <c r="A36" s="1">
        <v>5</v>
      </c>
      <c r="B36" s="9" t="s">
        <v>15</v>
      </c>
      <c r="C36" s="1">
        <v>316</v>
      </c>
      <c r="D36" s="1">
        <v>392</v>
      </c>
      <c r="E36" s="1">
        <v>2025</v>
      </c>
      <c r="F36" s="5" t="s">
        <v>14</v>
      </c>
      <c r="G36" s="3">
        <f t="shared" si="6"/>
        <v>0</v>
      </c>
      <c r="H36" s="4">
        <f t="shared" si="7"/>
        <v>76</v>
      </c>
    </row>
    <row r="37" spans="1:8" ht="27.75" customHeight="1">
      <c r="A37" s="1">
        <v>5</v>
      </c>
      <c r="B37" s="9" t="s">
        <v>19</v>
      </c>
      <c r="C37" s="1">
        <v>316</v>
      </c>
      <c r="D37" s="1">
        <v>392</v>
      </c>
      <c r="E37" s="1">
        <v>2025</v>
      </c>
      <c r="F37" s="5" t="s">
        <v>14</v>
      </c>
      <c r="G37" s="3">
        <f t="shared" si="6"/>
        <v>0</v>
      </c>
      <c r="H37" s="4">
        <f t="shared" si="7"/>
        <v>76</v>
      </c>
    </row>
    <row r="38" spans="1:8" ht="27.75" customHeight="1">
      <c r="A38" s="1">
        <v>5</v>
      </c>
      <c r="B38" s="9" t="s">
        <v>20</v>
      </c>
      <c r="C38" s="1">
        <v>316</v>
      </c>
      <c r="D38" s="1">
        <v>392</v>
      </c>
      <c r="E38" s="1">
        <v>2026</v>
      </c>
      <c r="F38" s="5" t="s">
        <v>14</v>
      </c>
      <c r="G38" s="3">
        <f t="shared" si="6"/>
        <v>0</v>
      </c>
      <c r="H38" s="4">
        <f t="shared" si="7"/>
        <v>76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2:E6 E21:E29 E14:E19 E8:E12 E31:E39" xr:uid="{B46E7B13-721E-4D49-837E-C02BF9777D48}">
      <formula1>"2024,2025,2026"</formula1>
    </dataValidation>
    <dataValidation type="list" allowBlank="1" showInputMessage="1" showErrorMessage="1" sqref="F14:F19 F91:F98 F21:F29 F41:F49 F51:F59 F61:F69 F71:F79 F81:F8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F1" zoomScale="70" zoomScaleNormal="70" workbookViewId="0">
      <selection activeCell="M19" sqref="M1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350</v>
      </c>
      <c r="D17" s="5">
        <f>Table1[[#This Row],[Enrolment S.Y. 2025-2026 ]]*8</f>
        <v>2800</v>
      </c>
      <c r="E17" s="5"/>
      <c r="F17" s="1"/>
      <c r="G17" s="5"/>
      <c r="H17" s="5">
        <f t="shared" si="2"/>
        <v>2800</v>
      </c>
      <c r="I17" s="5">
        <f t="shared" si="3"/>
        <v>0</v>
      </c>
      <c r="J17" s="5">
        <f>Table1[[#This Row],[Enrolment S.Y. 2025-2026 ]]*8</f>
        <v>2800</v>
      </c>
      <c r="K17" s="5">
        <f>350*8</f>
        <v>2800</v>
      </c>
      <c r="L17" s="1">
        <v>2025</v>
      </c>
      <c r="M17" s="5" t="s">
        <v>9</v>
      </c>
      <c r="N17" s="5">
        <f t="shared" si="10"/>
        <v>0</v>
      </c>
      <c r="O17" s="5">
        <f t="shared" si="11"/>
        <v>0</v>
      </c>
      <c r="P17" s="5">
        <f>Table1[[#This Row],[Enrolment S.Y. 2025-2026 ]]*8</f>
        <v>2800</v>
      </c>
      <c r="Q17" s="5"/>
      <c r="R17" s="1"/>
      <c r="S17" s="5"/>
      <c r="T17" s="5">
        <f t="shared" si="12"/>
        <v>2800</v>
      </c>
      <c r="U17" s="5">
        <f t="shared" si="13"/>
        <v>0</v>
      </c>
      <c r="V17" s="5">
        <f>Table1[[#This Row],[Enrolment S.Y. 2025-2026 ]]*8</f>
        <v>2800</v>
      </c>
      <c r="W17" s="5"/>
      <c r="X17" s="1"/>
      <c r="Y17" s="5"/>
      <c r="Z17" s="5">
        <f t="shared" si="14"/>
        <v>2800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350</v>
      </c>
      <c r="D19" s="5">
        <f>Table1[[#This Row],[Enrolment S.Y. 2025-2026 ]]*8</f>
        <v>2800</v>
      </c>
      <c r="E19" s="5"/>
      <c r="F19" s="1"/>
      <c r="G19" s="5"/>
      <c r="H19" s="5">
        <f>IF((D19-E19)&lt;0,0,(D19-E19))</f>
        <v>2800</v>
      </c>
      <c r="I19" s="5">
        <f>IF((E19-D19)&lt;0,0,(E19-D19))</f>
        <v>0</v>
      </c>
      <c r="J19" s="5">
        <f>Table1[[#This Row],[Enrolment S.Y. 2025-2026 ]]*8</f>
        <v>2800</v>
      </c>
      <c r="K19" s="5">
        <f>350*8</f>
        <v>2800</v>
      </c>
      <c r="L19" s="1">
        <v>2025</v>
      </c>
      <c r="M19" s="5" t="s">
        <v>9</v>
      </c>
      <c r="N19" s="5">
        <f t="shared" si="10"/>
        <v>0</v>
      </c>
      <c r="O19" s="5">
        <f t="shared" si="11"/>
        <v>0</v>
      </c>
      <c r="P19" s="5">
        <f>Table1[[#This Row],[Enrolment S.Y. 2025-2026 ]]*8</f>
        <v>2800</v>
      </c>
      <c r="Q19" s="5"/>
      <c r="R19" s="1"/>
      <c r="S19" s="5"/>
      <c r="T19" s="5">
        <f t="shared" si="12"/>
        <v>2800</v>
      </c>
      <c r="U19" s="5">
        <f t="shared" si="13"/>
        <v>0</v>
      </c>
      <c r="V19" s="5">
        <f>Table1[[#This Row],[Enrolment S.Y. 2025-2026 ]]*8</f>
        <v>2800</v>
      </c>
      <c r="W19" s="5"/>
      <c r="X19" s="1"/>
      <c r="Y19" s="5"/>
      <c r="Z19" s="5">
        <f t="shared" si="14"/>
        <v>2800</v>
      </c>
      <c r="AA19" s="5">
        <f t="shared" si="15"/>
        <v>0</v>
      </c>
    </row>
    <row r="20" spans="1:27" ht="19.149999999999999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316</v>
      </c>
      <c r="D43" s="5">
        <f>Table1[[#This Row],[Enrolment S.Y. 2025-2026 ]]*8</f>
        <v>2528</v>
      </c>
      <c r="E43" s="5"/>
      <c r="F43" s="1"/>
      <c r="G43" s="5"/>
      <c r="H43" s="5">
        <f t="shared" si="2"/>
        <v>2528</v>
      </c>
      <c r="I43" s="5">
        <f t="shared" si="3"/>
        <v>0</v>
      </c>
      <c r="J43" s="5">
        <f>Table1[[#This Row],[Enrolment S.Y. 2025-2026 ]]*8</f>
        <v>2528</v>
      </c>
      <c r="K43" s="5">
        <f>326*8</f>
        <v>2608</v>
      </c>
      <c r="L43" s="1">
        <v>2025</v>
      </c>
      <c r="M43" s="5" t="s">
        <v>9</v>
      </c>
      <c r="N43" s="5">
        <f t="shared" si="10"/>
        <v>0</v>
      </c>
      <c r="O43" s="5">
        <f t="shared" si="11"/>
        <v>80</v>
      </c>
      <c r="P43" s="5">
        <f>Table1[[#This Row],[Enrolment S.Y. 2025-2026 ]]*8</f>
        <v>2528</v>
      </c>
      <c r="Q43" s="5"/>
      <c r="R43" s="1"/>
      <c r="S43" s="5"/>
      <c r="T43" s="5">
        <f t="shared" si="12"/>
        <v>2528</v>
      </c>
      <c r="U43" s="5">
        <f t="shared" si="13"/>
        <v>0</v>
      </c>
      <c r="V43" s="5">
        <f>Table1[[#This Row],[Enrolment S.Y. 2025-2026 ]]*8</f>
        <v>2528</v>
      </c>
      <c r="W43" s="5"/>
      <c r="X43" s="1"/>
      <c r="Y43" s="5"/>
      <c r="Z43" s="5">
        <f t="shared" si="14"/>
        <v>2528</v>
      </c>
      <c r="AA43" s="5">
        <f t="shared" si="15"/>
        <v>0</v>
      </c>
    </row>
    <row r="44" spans="1:27" ht="19.149999999999999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316</v>
      </c>
      <c r="D45" s="5">
        <f>Table1[[#This Row],[Enrolment S.Y. 2025-2026 ]]*8</f>
        <v>2528</v>
      </c>
      <c r="E45" s="5"/>
      <c r="F45" s="1"/>
      <c r="G45" s="5"/>
      <c r="H45" s="5">
        <f t="shared" si="2"/>
        <v>2528</v>
      </c>
      <c r="I45" s="5">
        <f t="shared" si="3"/>
        <v>0</v>
      </c>
      <c r="J45" s="5">
        <f>Table1[[#This Row],[Enrolment S.Y. 2025-2026 ]]*8</f>
        <v>2528</v>
      </c>
      <c r="K45" s="5">
        <f>326*8</f>
        <v>2608</v>
      </c>
      <c r="L45" s="1">
        <v>2025</v>
      </c>
      <c r="M45" s="5" t="s">
        <v>9</v>
      </c>
      <c r="N45" s="5">
        <f t="shared" si="10"/>
        <v>0</v>
      </c>
      <c r="O45" s="5">
        <f t="shared" si="11"/>
        <v>80</v>
      </c>
      <c r="P45" s="5">
        <f>Table1[[#This Row],[Enrolment S.Y. 2025-2026 ]]*8</f>
        <v>2528</v>
      </c>
      <c r="Q45" s="5"/>
      <c r="R45" s="1"/>
      <c r="S45" s="5"/>
      <c r="T45" s="5">
        <f t="shared" si="12"/>
        <v>2528</v>
      </c>
      <c r="U45" s="5">
        <f t="shared" si="13"/>
        <v>0</v>
      </c>
      <c r="V45" s="5">
        <f>Table1[[#This Row],[Enrolment S.Y. 2025-2026 ]]*8</f>
        <v>2528</v>
      </c>
      <c r="W45" s="5"/>
      <c r="X45" s="1"/>
      <c r="Y45" s="5"/>
      <c r="Z45" s="5">
        <f t="shared" si="14"/>
        <v>2528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16 C23:C31 C33:C41 C44 C53:C61 C63:C71 C73:C81 C83:C91 C93:C101 C103:C110 C112:C127 C5:C12 C46:C51 C18 C20:C2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23:L31 Q112:R126 P2:R2 V2:X3 N13:P126 T13:V127 J6:J127 D5:F12 N5:R12 T5:X12 N4:P4 T4:V4 J4 Z4:AA127 N3:R3 Y13 K43:L51 K14:L21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45 C43" name="Textbooks_1"/>
    <protectedRange sqref="C17" name="Textbooks_2"/>
    <protectedRange sqref="C19" name="Textbook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E1" zoomScale="55" zoomScaleNormal="55" workbookViewId="0">
      <selection activeCell="J141" sqref="J14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2026-03-26T07:31:58Z</dcterms:modified>
  <cp:category/>
  <cp:contentStatus/>
</cp:coreProperties>
</file>