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2" documentId="13_ncr:1_{BFB59F67-F0DC-4675-A682-EB0734A8026A}" xr6:coauthVersionLast="47" xr6:coauthVersionMax="47" xr10:uidLastSave="{A24D252E-0F27-4D8F-BF7A-B75A242B8874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<sst xmlns="http://schemas.openxmlformats.org/spreadsheetml/2006/main" count="405" uniqueCount="92">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</sst>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1" activePane="topRight" state="frozen"/>
      <selection pane="topRight" activeCell="C35" sqref="C35:C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406</v>
      </c>
      <c r="D2" s="1">
        <v>615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209</v>
      </c>
    </row>
    <row r="3" spans="1:8" ht="29.25" customHeight="1">
      <c r="A3" s="1">
        <v>1</v>
      </c>
      <c r="B3" s="2" t="s">
        <v>10</v>
      </c>
      <c r="C3" s="1">
        <v>406</v>
      </c>
      <c r="D3" s="1">
        <v>615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209</v>
      </c>
    </row>
    <row r="4" spans="1:8" ht="21" customHeight="1">
      <c r="A4" s="1">
        <v>1</v>
      </c>
      <c r="B4" s="2" t="s">
        <v>11</v>
      </c>
      <c r="C4" s="1">
        <v>406</v>
      </c>
      <c r="D4" s="1">
        <v>615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209</v>
      </c>
    </row>
    <row r="5" spans="1:8" ht="25.5" customHeight="1">
      <c r="A5" s="1">
        <v>1</v>
      </c>
      <c r="B5" s="2" t="s">
        <v>12</v>
      </c>
      <c r="C5" s="1">
        <v>406</v>
      </c>
      <c r="D5" s="1">
        <v>615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209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>
        <v>546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546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472</v>
      </c>
      <c r="D22" s="1">
        <v>666</v>
      </c>
      <c r="E22" s="1">
        <v>2024</v>
      </c>
      <c r="F22" s="5" t="s">
        <v>14</v>
      </c>
      <c r="G22" s="3">
        <f t="shared" si="4"/>
        <v>0</v>
      </c>
      <c r="H22" s="4">
        <f t="shared" si="5"/>
        <v>194</v>
      </c>
    </row>
    <row r="23" spans="1:8" ht="19.5">
      <c r="A23" s="1">
        <v>4</v>
      </c>
      <c r="B23" s="9" t="s">
        <v>13</v>
      </c>
      <c r="C23" s="1">
        <v>472</v>
      </c>
      <c r="D23" s="1">
        <v>701</v>
      </c>
      <c r="E23" s="1">
        <v>2025</v>
      </c>
      <c r="F23" s="5" t="s">
        <v>14</v>
      </c>
      <c r="G23" s="3">
        <f t="shared" si="4"/>
        <v>0</v>
      </c>
      <c r="H23" s="4">
        <f t="shared" si="5"/>
        <v>229</v>
      </c>
    </row>
    <row r="24" spans="1:8" ht="27" customHeight="1">
      <c r="A24" s="1">
        <v>4</v>
      </c>
      <c r="B24" s="9" t="s">
        <v>11</v>
      </c>
      <c r="C24" s="1">
        <v>472</v>
      </c>
      <c r="D24" s="1">
        <v>701</v>
      </c>
      <c r="E24" s="1">
        <v>2025</v>
      </c>
      <c r="F24" s="5" t="s">
        <v>14</v>
      </c>
      <c r="G24" s="3">
        <f t="shared" si="4"/>
        <v>0</v>
      </c>
      <c r="H24" s="4">
        <f t="shared" si="5"/>
        <v>229</v>
      </c>
    </row>
    <row r="25" spans="1:8" ht="33.75" customHeight="1">
      <c r="A25" s="1">
        <v>4</v>
      </c>
      <c r="B25" s="9" t="s">
        <v>18</v>
      </c>
      <c r="C25" s="1">
        <v>472</v>
      </c>
      <c r="D25" s="1">
        <v>661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189</v>
      </c>
    </row>
    <row r="26" spans="1:8" ht="33.75" customHeight="1">
      <c r="A26" s="1">
        <v>4</v>
      </c>
      <c r="B26" s="9" t="s">
        <v>15</v>
      </c>
      <c r="C26" s="1">
        <v>472</v>
      </c>
      <c r="D26" s="1">
        <v>665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193</v>
      </c>
    </row>
    <row r="27" spans="1:8" ht="33.75" customHeight="1">
      <c r="A27" s="1">
        <v>4</v>
      </c>
      <c r="B27" s="9" t="s">
        <v>19</v>
      </c>
      <c r="C27" s="1">
        <v>472</v>
      </c>
      <c r="D27" s="1">
        <v>701</v>
      </c>
      <c r="E27" s="1">
        <v>2024</v>
      </c>
      <c r="F27" s="5" t="s">
        <v>14</v>
      </c>
      <c r="G27" s="3">
        <f t="shared" si="4"/>
        <v>0</v>
      </c>
      <c r="H27" s="4">
        <f t="shared" si="5"/>
        <v>229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472</v>
      </c>
      <c r="D29" s="1">
        <v>701</v>
      </c>
      <c r="E29" s="1">
        <v>2026</v>
      </c>
      <c r="F29" s="5" t="s">
        <v>14</v>
      </c>
      <c r="G29" s="3">
        <f t="shared" si="4"/>
        <v>0</v>
      </c>
      <c r="H29" s="4">
        <f t="shared" si="5"/>
        <v>229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473</v>
      </c>
      <c r="D31" s="1">
        <v>570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97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473</v>
      </c>
      <c r="D35" s="1">
        <v>587</v>
      </c>
      <c r="E35" s="1">
        <v>2025</v>
      </c>
      <c r="F35" s="5" t="s">
        <v>14</v>
      </c>
      <c r="G35" s="3">
        <f t="shared" si="6"/>
        <v>0</v>
      </c>
      <c r="H35" s="4">
        <f t="shared" si="7"/>
        <v>114</v>
      </c>
    </row>
    <row r="36" spans="1:8" ht="27.75" customHeight="1">
      <c r="A36" s="1">
        <v>5</v>
      </c>
      <c r="B36" s="9" t="s">
        <v>15</v>
      </c>
      <c r="C36" s="1">
        <v>473</v>
      </c>
      <c r="D36" s="1">
        <v>570</v>
      </c>
      <c r="E36" s="1">
        <v>2025</v>
      </c>
      <c r="F36" s="5" t="s">
        <v>14</v>
      </c>
      <c r="G36" s="3">
        <f t="shared" si="6"/>
        <v>0</v>
      </c>
      <c r="H36" s="4">
        <f t="shared" si="7"/>
        <v>97</v>
      </c>
    </row>
    <row r="37" spans="1:8" ht="27.75" customHeight="1">
      <c r="A37" s="1">
        <v>5</v>
      </c>
      <c r="B37" s="9" t="s">
        <v>19</v>
      </c>
      <c r="C37" s="1">
        <v>473</v>
      </c>
      <c r="D37" s="1">
        <v>570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97</v>
      </c>
    </row>
    <row r="38" spans="1:8" ht="27.75" customHeight="1">
      <c r="A38" s="1">
        <v>5</v>
      </c>
      <c r="B38" s="9" t="s">
        <v>20</v>
      </c>
      <c r="C38" s="1">
        <v>473</v>
      </c>
      <c r="D38" s="1">
        <v>570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97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21:E29 E2:E6 E14:E19 E8:E12 E31:E39" xr:uid="{B46E7B13-721E-4D49-837E-C02BF9777D48}">
      <formula1>"2024,2025,2026"</formula1>
    </dataValidation>
    <dataValidation type="list" allowBlank="1" showInputMessage="1" showErrorMessage="1" sqref="F14:F19 F21:F29 F91:F98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8" zoomScale="70" zoomScaleNormal="70" workbookViewId="0">
      <selection activeCell="A14" sqref="A14:XFD1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D149" zoomScale="55" zoomScaleNormal="55" workbookViewId="0">
      <selection activeCell="J141" sqref="J1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29.25" customHeight="1">
      <c r="A3" s="1">
        <v>1</v>
      </c>
      <c r="B3" s="2" t="s">
        <v>8</v>
      </c>
      <c r="C3" s="1">
        <v>395</v>
      </c>
      <c r="D3" s="5">
        <f>Table14[[#This Row],[Enrolment S.Y. 2025-2026 ]]*8</f>
        <v>3160</v>
      </c>
      <c r="E3" s="5"/>
      <c r="F3" s="1"/>
      <c r="G3" s="5"/>
      <c r="H3" s="5">
        <f t="shared" ref="H3:H83" si="0">IF((D3-E3)&lt;0,0,(D3-E3))</f>
        <v>3160</v>
      </c>
      <c r="I3" s="5">
        <f t="shared" ref="I3:I83" si="1">IF((E3-D3)&lt;0,0,(E3-D3))</f>
        <v>0</v>
      </c>
      <c r="J3" s="5">
        <f>Table14[[#This Row],[Enrolment S.Y. 2025-2026 ]]*8</f>
        <v>3160</v>
      </c>
      <c r="K3" s="5"/>
      <c r="L3" s="1"/>
      <c r="M3" s="5"/>
      <c r="N3" s="5">
        <f t="shared" ref="N3:N72" si="2">IF((J3-K3)&lt;0,0,(J3-K3))</f>
        <v>3160</v>
      </c>
      <c r="O3" s="5">
        <f t="shared" ref="O3:O72" si="3">IF((K3-J3)&lt;0,0,(K3-J3))</f>
        <v>0</v>
      </c>
      <c r="P3" s="5">
        <f>Table14[[#This Row],[Enrolment S.Y. 2025-2026 ]]*8</f>
        <v>3160</v>
      </c>
      <c r="Q3" s="5"/>
      <c r="R3" s="1"/>
      <c r="S3" s="5"/>
      <c r="T3" s="5">
        <f t="shared" ref="T3:T72" si="4">IF((P3-Q3)&lt;0,0,(P3-Q3))</f>
        <v>3160</v>
      </c>
      <c r="U3" s="5">
        <f t="shared" ref="U3:U72" si="5">IF((Q3-P3)&lt;0,0,(Q3-P3))</f>
        <v>0</v>
      </c>
      <c r="V3" s="5">
        <f>Table14[[#This Row],[Enrolment S.Y. 2025-2026 ]]*8</f>
        <v>3160</v>
      </c>
      <c r="W3" s="5"/>
      <c r="X3" s="1"/>
      <c r="Y3" s="5"/>
      <c r="Z3" s="5">
        <f t="shared" ref="Z3:Z72" si="6">IF((V3-W3)&lt;0,0,(V3-W3))</f>
        <v>3160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395</v>
      </c>
      <c r="D4" s="5">
        <f>Table14[[#This Row],[Enrolment S.Y. 2025-2026 ]]*8</f>
        <v>3160</v>
      </c>
      <c r="E4" s="5"/>
      <c r="F4" s="1"/>
      <c r="G4" s="5"/>
      <c r="H4" s="5">
        <f t="shared" si="0"/>
        <v>3160</v>
      </c>
      <c r="I4" s="5">
        <f t="shared" si="1"/>
        <v>0</v>
      </c>
      <c r="J4" s="5">
        <f>Table14[[#This Row],[Enrolment S.Y. 2025-2026 ]]*8</f>
        <v>3160</v>
      </c>
      <c r="K4" s="5"/>
      <c r="L4" s="1"/>
      <c r="M4" s="5"/>
      <c r="N4" s="5">
        <f t="shared" si="2"/>
        <v>3160</v>
      </c>
      <c r="O4" s="5">
        <f t="shared" si="3"/>
        <v>0</v>
      </c>
      <c r="P4" s="5">
        <f>Table14[[#This Row],[Enrolment S.Y. 2025-2026 ]]*8</f>
        <v>3160</v>
      </c>
      <c r="Q4" s="5"/>
      <c r="R4" s="1"/>
      <c r="S4" s="5"/>
      <c r="T4" s="5">
        <f t="shared" si="4"/>
        <v>3160</v>
      </c>
      <c r="U4" s="5">
        <f t="shared" si="5"/>
        <v>0</v>
      </c>
      <c r="V4" s="5">
        <f>Table14[[#This Row],[Enrolment S.Y. 2025-2026 ]]*8</f>
        <v>3160</v>
      </c>
      <c r="W4" s="5"/>
      <c r="X4" s="1"/>
      <c r="Y4" s="5"/>
      <c r="Z4" s="5">
        <f t="shared" si="6"/>
        <v>3160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395</v>
      </c>
      <c r="D5" s="5">
        <f>Table14[[#This Row],[Enrolment S.Y. 2025-2026 ]]*8</f>
        <v>3160</v>
      </c>
      <c r="E5" s="5"/>
      <c r="F5" s="1"/>
      <c r="G5" s="5"/>
      <c r="H5" s="5">
        <f t="shared" si="0"/>
        <v>3160</v>
      </c>
      <c r="I5" s="5">
        <f t="shared" si="1"/>
        <v>0</v>
      </c>
      <c r="J5" s="5">
        <f>Table14[[#This Row],[Enrolment S.Y. 2025-2026 ]]*8</f>
        <v>3160</v>
      </c>
      <c r="K5" s="5"/>
      <c r="L5" s="1"/>
      <c r="M5" s="5"/>
      <c r="N5" s="5">
        <f t="shared" si="2"/>
        <v>3160</v>
      </c>
      <c r="O5" s="5">
        <f t="shared" si="3"/>
        <v>0</v>
      </c>
      <c r="P5" s="5">
        <f>Table14[[#This Row],[Enrolment S.Y. 2025-2026 ]]*8</f>
        <v>3160</v>
      </c>
      <c r="Q5" s="5"/>
      <c r="R5" s="1"/>
      <c r="S5" s="5"/>
      <c r="T5" s="5">
        <f t="shared" si="4"/>
        <v>3160</v>
      </c>
      <c r="U5" s="5">
        <f t="shared" si="5"/>
        <v>0</v>
      </c>
      <c r="V5" s="5">
        <f>Table14[[#This Row],[Enrolment S.Y. 2025-2026 ]]*8</f>
        <v>3160</v>
      </c>
      <c r="W5" s="5"/>
      <c r="X5" s="1"/>
      <c r="Y5" s="5"/>
      <c r="Z5" s="5">
        <f t="shared" si="6"/>
        <v>3160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395</v>
      </c>
      <c r="D6" s="5">
        <f>Table14[[#This Row],[Enrolment S.Y. 2025-2026 ]]*8</f>
        <v>3160</v>
      </c>
      <c r="E6" s="5"/>
      <c r="F6" s="1"/>
      <c r="G6" s="5"/>
      <c r="H6" s="5">
        <f t="shared" si="0"/>
        <v>3160</v>
      </c>
      <c r="I6" s="5">
        <f t="shared" si="1"/>
        <v>0</v>
      </c>
      <c r="J6" s="5">
        <f>Table14[[#This Row],[Enrolment S.Y. 2025-2026 ]]*8</f>
        <v>3160</v>
      </c>
      <c r="K6" s="5"/>
      <c r="L6" s="1"/>
      <c r="M6" s="5"/>
      <c r="N6" s="5">
        <f t="shared" si="2"/>
        <v>3160</v>
      </c>
      <c r="O6" s="5">
        <f t="shared" si="3"/>
        <v>0</v>
      </c>
      <c r="P6" s="5">
        <f>Table14[[#This Row],[Enrolment S.Y. 2025-2026 ]]*8</f>
        <v>3160</v>
      </c>
      <c r="Q6" s="5"/>
      <c r="R6" s="1"/>
      <c r="S6" s="5"/>
      <c r="T6" s="5">
        <f t="shared" si="4"/>
        <v>3160</v>
      </c>
      <c r="U6" s="5">
        <f t="shared" si="5"/>
        <v>0</v>
      </c>
      <c r="V6" s="5">
        <f>Table14[[#This Row],[Enrolment S.Y. 2025-2026 ]]*8</f>
        <v>3160</v>
      </c>
      <c r="W6" s="5"/>
      <c r="X6" s="1"/>
      <c r="Y6" s="5"/>
      <c r="Z6" s="5">
        <f t="shared" si="6"/>
        <v>3160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Vergel Junior Eusebio</cp:lastModifiedBy>
  <cp:revision/>
  <dcterms:created xsi:type="dcterms:W3CDTF">2025-11-19T20:48:15Z</dcterms:created>
  <dcterms:modified xsi:type="dcterms:W3CDTF">2026-03-27T00:28:38Z</dcterms:modified>
  <cp:category/>
  <cp:contentStatus/>
</cp:coreProperties>
</file>