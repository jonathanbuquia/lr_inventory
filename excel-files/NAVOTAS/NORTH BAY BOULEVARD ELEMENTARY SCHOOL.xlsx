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9" documentId="13_ncr:1_{BFB59F67-F0DC-4675-A682-EB0734A8026A}" xr6:coauthVersionLast="47" xr6:coauthVersionMax="47" xr10:uidLastSave="{A357579D-F72D-41FD-A1FA-7525EC550305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<sst xmlns="http://schemas.openxmlformats.org/spreadsheetml/2006/main" count="426" uniqueCount="92">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</sst>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4" activePane="topRight" state="frozen"/>
      <selection pane="topRight" activeCell="F28" sqref="F2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143</v>
      </c>
      <c r="D2" s="1">
        <v>322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179</v>
      </c>
    </row>
    <row r="3" spans="1:8" ht="29.25" customHeight="1">
      <c r="A3" s="1">
        <v>1</v>
      </c>
      <c r="B3" s="2" t="s">
        <v>10</v>
      </c>
      <c r="C3" s="1">
        <v>143</v>
      </c>
      <c r="D3" s="1">
        <v>354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211</v>
      </c>
    </row>
    <row r="4" spans="1:8" ht="21" customHeight="1">
      <c r="A4" s="1">
        <v>1</v>
      </c>
      <c r="B4" s="2" t="s">
        <v>11</v>
      </c>
      <c r="C4" s="1">
        <v>143</v>
      </c>
      <c r="D4" s="1">
        <v>328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185</v>
      </c>
    </row>
    <row r="5" spans="1:8" ht="25.5" customHeight="1">
      <c r="A5" s="1">
        <v>1</v>
      </c>
      <c r="B5" s="2" t="s">
        <v>12</v>
      </c>
      <c r="C5" s="1">
        <v>143</v>
      </c>
      <c r="D5" s="1">
        <v>354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211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150</v>
      </c>
      <c r="D22" s="1">
        <v>246</v>
      </c>
      <c r="E22" s="1">
        <v>2024</v>
      </c>
      <c r="F22" s="5" t="s">
        <v>17</v>
      </c>
      <c r="G22" s="3">
        <f t="shared" si="4"/>
        <v>0</v>
      </c>
      <c r="H22" s="4">
        <f t="shared" si="5"/>
        <v>96</v>
      </c>
    </row>
    <row r="23" spans="1:8" ht="19.5">
      <c r="A23" s="1">
        <v>4</v>
      </c>
      <c r="B23" s="9" t="s">
        <v>13</v>
      </c>
      <c r="C23" s="1">
        <v>150</v>
      </c>
      <c r="D23" s="1">
        <v>226</v>
      </c>
      <c r="E23" s="1">
        <v>2025</v>
      </c>
      <c r="F23" s="5" t="s">
        <v>17</v>
      </c>
      <c r="G23" s="3">
        <f t="shared" si="4"/>
        <v>0</v>
      </c>
      <c r="H23" s="4">
        <f t="shared" si="5"/>
        <v>76</v>
      </c>
    </row>
    <row r="24" spans="1:8" ht="27" customHeight="1">
      <c r="A24" s="1">
        <v>4</v>
      </c>
      <c r="B24" s="9" t="s">
        <v>11</v>
      </c>
      <c r="C24" s="1">
        <v>150</v>
      </c>
      <c r="D24" s="1">
        <v>228</v>
      </c>
      <c r="E24" s="1">
        <v>2025</v>
      </c>
      <c r="F24" s="5" t="s">
        <v>17</v>
      </c>
      <c r="G24" s="3">
        <f t="shared" si="4"/>
        <v>0</v>
      </c>
      <c r="H24" s="4">
        <f t="shared" si="5"/>
        <v>78</v>
      </c>
    </row>
    <row r="25" spans="1:8" ht="33.75" customHeight="1">
      <c r="A25" s="1">
        <v>4</v>
      </c>
      <c r="B25" s="9" t="s">
        <v>18</v>
      </c>
      <c r="C25" s="1">
        <v>150</v>
      </c>
      <c r="D25" s="1">
        <v>235</v>
      </c>
      <c r="E25" s="1">
        <v>2024</v>
      </c>
      <c r="F25" s="5" t="s">
        <v>17</v>
      </c>
      <c r="G25" s="3">
        <f t="shared" si="4"/>
        <v>0</v>
      </c>
      <c r="H25" s="4">
        <f t="shared" si="5"/>
        <v>85</v>
      </c>
    </row>
    <row r="26" spans="1:8" ht="33.75" customHeight="1">
      <c r="A26" s="1">
        <v>4</v>
      </c>
      <c r="B26" s="9" t="s">
        <v>14</v>
      </c>
      <c r="C26" s="1">
        <v>150</v>
      </c>
      <c r="D26" s="1">
        <v>247</v>
      </c>
      <c r="E26" s="1">
        <v>2024</v>
      </c>
      <c r="F26" s="5" t="s">
        <v>17</v>
      </c>
      <c r="G26" s="3">
        <f t="shared" si="4"/>
        <v>0</v>
      </c>
      <c r="H26" s="4">
        <f t="shared" si="5"/>
        <v>97</v>
      </c>
    </row>
    <row r="27" spans="1:8" ht="33.75" customHeight="1">
      <c r="A27" s="1">
        <v>4</v>
      </c>
      <c r="B27" s="9" t="s">
        <v>19</v>
      </c>
      <c r="C27" s="1">
        <v>150</v>
      </c>
      <c r="D27" s="1">
        <v>214</v>
      </c>
      <c r="E27" s="1">
        <v>2024</v>
      </c>
      <c r="F27" s="5" t="s">
        <v>17</v>
      </c>
      <c r="G27" s="3">
        <f t="shared" si="4"/>
        <v>0</v>
      </c>
      <c r="H27" s="4">
        <f t="shared" si="5"/>
        <v>64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:F6 F31:F39 F41:F49 F51:F59 F61:F69 F71:F79 F81:F89 F91:F98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16" zoomScale="70" zoomScaleNormal="70" workbookViewId="0">
      <selection activeCell="M19" sqref="M1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4" t="s">
        <v>47</v>
      </c>
      <c r="N2" s="44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5" t="s">
        <v>59</v>
      </c>
      <c r="Z2" s="45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3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131</v>
      </c>
      <c r="D17" s="5">
        <f>Table1[[#This Row],[Enrolment S.Y. 2025-2026 ]]*8</f>
        <v>1048</v>
      </c>
      <c r="E17" s="5"/>
      <c r="F17" s="1"/>
      <c r="G17" s="5"/>
      <c r="H17" s="5">
        <f t="shared" si="2"/>
        <v>1048</v>
      </c>
      <c r="I17" s="5">
        <f t="shared" si="3"/>
        <v>0</v>
      </c>
      <c r="J17" s="5">
        <f>Table1[[#This Row],[Enrolment S.Y. 2025-2026 ]]*8</f>
        <v>1048</v>
      </c>
      <c r="K17" s="5">
        <v>2752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1704</v>
      </c>
      <c r="P17" s="5">
        <f>Table1[[#This Row],[Enrolment S.Y. 2025-2026 ]]*8</f>
        <v>1048</v>
      </c>
      <c r="Q17" s="5"/>
      <c r="R17" s="1"/>
      <c r="S17" s="5"/>
      <c r="T17" s="5">
        <f t="shared" si="12"/>
        <v>1048</v>
      </c>
      <c r="U17" s="5">
        <f t="shared" si="13"/>
        <v>0</v>
      </c>
      <c r="V17" s="5">
        <f>Table1[[#This Row],[Enrolment S.Y. 2025-2026 ]]*8</f>
        <v>1048</v>
      </c>
      <c r="W17" s="5"/>
      <c r="X17" s="1"/>
      <c r="Y17" s="5"/>
      <c r="Z17" s="5">
        <f t="shared" si="14"/>
        <v>1048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131</v>
      </c>
      <c r="D19" s="5">
        <f>Table1[[#This Row],[Enrolment S.Y. 2025-2026 ]]*8</f>
        <v>1048</v>
      </c>
      <c r="E19" s="5">
        <v>1496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448</v>
      </c>
      <c r="J19" s="5">
        <f>Table1[[#This Row],[Enrolment S.Y. 2025-2026 ]]*8</f>
        <v>1048</v>
      </c>
      <c r="K19" s="5">
        <v>2752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1704</v>
      </c>
      <c r="P19" s="5">
        <f>Table1[[#This Row],[Enrolment S.Y. 2025-2026 ]]*8</f>
        <v>1048</v>
      </c>
      <c r="Q19" s="5"/>
      <c r="R19" s="1"/>
      <c r="S19" s="5"/>
      <c r="T19" s="5">
        <f t="shared" si="12"/>
        <v>1048</v>
      </c>
      <c r="U19" s="5">
        <f t="shared" si="13"/>
        <v>0</v>
      </c>
      <c r="V19" s="5">
        <f>Table1[[#This Row],[Enrolment S.Y. 2025-2026 ]]*8</f>
        <v>1048</v>
      </c>
      <c r="W19" s="5"/>
      <c r="X19" s="1"/>
      <c r="Y19" s="5"/>
      <c r="Z19" s="5">
        <f t="shared" si="14"/>
        <v>1048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2" topLeftCell="O54" activePane="bottomRight" state="frozen"/>
      <selection pane="bottomRight" activeCell="X64" sqref="X64:Y6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161</v>
      </c>
      <c r="D55" s="5">
        <f>Table14[[#This Row],[Enrolment S.Y. 2025-2026 ]]*8</f>
        <v>1288</v>
      </c>
      <c r="E55" s="5">
        <v>186</v>
      </c>
      <c r="F55" s="1">
        <v>2025</v>
      </c>
      <c r="G55" s="5" t="s">
        <v>9</v>
      </c>
      <c r="H55" s="5">
        <f t="shared" si="0"/>
        <v>1102</v>
      </c>
      <c r="I55" s="5">
        <f t="shared" si="1"/>
        <v>0</v>
      </c>
      <c r="J55" s="5">
        <f>Table14[[#This Row],[Enrolment S.Y. 2025-2026 ]]*8</f>
        <v>1288</v>
      </c>
      <c r="K55" s="5">
        <v>186</v>
      </c>
      <c r="L55" s="1">
        <v>2025</v>
      </c>
      <c r="M55" s="5" t="s">
        <v>9</v>
      </c>
      <c r="N55" s="5">
        <f t="shared" si="2"/>
        <v>1102</v>
      </c>
      <c r="O55" s="5">
        <f t="shared" si="3"/>
        <v>0</v>
      </c>
      <c r="P55" s="5">
        <f>Table14[[#This Row],[Enrolment S.Y. 2025-2026 ]]*8</f>
        <v>1288</v>
      </c>
      <c r="Q55" s="5">
        <v>66</v>
      </c>
      <c r="R55" s="1">
        <v>2025</v>
      </c>
      <c r="S55" s="5" t="s">
        <v>9</v>
      </c>
      <c r="T55" s="5">
        <f t="shared" si="4"/>
        <v>1222</v>
      </c>
      <c r="U55" s="5">
        <f t="shared" si="5"/>
        <v>0</v>
      </c>
      <c r="V55" s="5">
        <f>Table14[[#This Row],[Enrolment S.Y. 2025-2026 ]]*8</f>
        <v>1288</v>
      </c>
      <c r="W55" s="5">
        <v>231</v>
      </c>
      <c r="X55" s="1">
        <v>2025</v>
      </c>
      <c r="Y55" s="5" t="s">
        <v>9</v>
      </c>
      <c r="Z55" s="5">
        <f t="shared" si="6"/>
        <v>1057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161</v>
      </c>
      <c r="D56" s="5">
        <f>Table14[[#This Row],[Enrolment S.Y. 2025-2026 ]]*8</f>
        <v>1288</v>
      </c>
      <c r="E56" s="5">
        <v>930</v>
      </c>
      <c r="F56" s="1">
        <v>2025</v>
      </c>
      <c r="G56" s="5" t="s">
        <v>9</v>
      </c>
      <c r="H56" s="5">
        <f t="shared" si="0"/>
        <v>358</v>
      </c>
      <c r="I56" s="5">
        <f t="shared" si="1"/>
        <v>0</v>
      </c>
      <c r="J56" s="5">
        <f>Table14[[#This Row],[Enrolment S.Y. 2025-2026 ]]*8</f>
        <v>1288</v>
      </c>
      <c r="K56" s="5">
        <v>868</v>
      </c>
      <c r="L56" s="1">
        <v>2025</v>
      </c>
      <c r="M56" s="5" t="s">
        <v>9</v>
      </c>
      <c r="N56" s="5">
        <f t="shared" si="2"/>
        <v>420</v>
      </c>
      <c r="O56" s="5">
        <f t="shared" si="3"/>
        <v>0</v>
      </c>
      <c r="P56" s="5">
        <f>Table14[[#This Row],[Enrolment S.Y. 2025-2026 ]]*8</f>
        <v>1288</v>
      </c>
      <c r="Q56" s="5">
        <v>198</v>
      </c>
      <c r="R56" s="1">
        <v>2025</v>
      </c>
      <c r="S56" s="5" t="s">
        <v>9</v>
      </c>
      <c r="T56" s="5">
        <f t="shared" si="4"/>
        <v>1090</v>
      </c>
      <c r="U56" s="5">
        <f t="shared" si="5"/>
        <v>0</v>
      </c>
      <c r="V56" s="5">
        <f>Table14[[#This Row],[Enrolment S.Y. 2025-2026 ]]*8</f>
        <v>1288</v>
      </c>
      <c r="W56" s="5">
        <v>165</v>
      </c>
      <c r="X56" s="1">
        <v>2025</v>
      </c>
      <c r="Y56" s="5" t="s">
        <v>9</v>
      </c>
      <c r="Z56" s="5">
        <f t="shared" si="6"/>
        <v>1123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161</v>
      </c>
      <c r="D57" s="5">
        <f>Table14[[#This Row],[Enrolment S.Y. 2025-2026 ]]*8</f>
        <v>1288</v>
      </c>
      <c r="E57" s="5">
        <v>682</v>
      </c>
      <c r="F57" s="1">
        <v>2025</v>
      </c>
      <c r="G57" s="5" t="s">
        <v>9</v>
      </c>
      <c r="H57" s="5">
        <f t="shared" si="0"/>
        <v>606</v>
      </c>
      <c r="I57" s="5">
        <f t="shared" si="1"/>
        <v>0</v>
      </c>
      <c r="J57" s="5">
        <f>Table14[[#This Row],[Enrolment S.Y. 2025-2026 ]]*8</f>
        <v>1288</v>
      </c>
      <c r="K57" s="5">
        <v>868</v>
      </c>
      <c r="L57" s="1">
        <v>2025</v>
      </c>
      <c r="M57" s="5" t="s">
        <v>9</v>
      </c>
      <c r="N57" s="5">
        <f t="shared" si="2"/>
        <v>420</v>
      </c>
      <c r="O57" s="5">
        <f t="shared" si="3"/>
        <v>0</v>
      </c>
      <c r="P57" s="5">
        <f>Table14[[#This Row],[Enrolment S.Y. 2025-2026 ]]*8</f>
        <v>1288</v>
      </c>
      <c r="Q57" s="5">
        <v>297</v>
      </c>
      <c r="R57" s="1">
        <v>2025</v>
      </c>
      <c r="S57" s="5" t="s">
        <v>9</v>
      </c>
      <c r="T57" s="5">
        <f t="shared" si="4"/>
        <v>991</v>
      </c>
      <c r="U57" s="5">
        <f t="shared" si="5"/>
        <v>0</v>
      </c>
      <c r="V57" s="5">
        <f>Table14[[#This Row],[Enrolment S.Y. 2025-2026 ]]*8</f>
        <v>1288</v>
      </c>
      <c r="W57" s="5">
        <v>297</v>
      </c>
      <c r="X57" s="1">
        <v>2025</v>
      </c>
      <c r="Y57" s="5" t="s">
        <v>9</v>
      </c>
      <c r="Z57" s="5">
        <f t="shared" si="6"/>
        <v>991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161</v>
      </c>
      <c r="D58" s="5">
        <f>Table14[[#This Row],[Enrolment S.Y. 2025-2026 ]]*8</f>
        <v>1288</v>
      </c>
      <c r="E58" s="5"/>
      <c r="F58" s="1"/>
      <c r="G58" s="5"/>
      <c r="H58" s="5">
        <f t="shared" si="0"/>
        <v>1288</v>
      </c>
      <c r="I58" s="5">
        <f t="shared" si="1"/>
        <v>0</v>
      </c>
      <c r="J58" s="5">
        <f>Table14[[#This Row],[Enrolment S.Y. 2025-2026 ]]*8</f>
        <v>1288</v>
      </c>
      <c r="K58" s="5"/>
      <c r="L58" s="1"/>
      <c r="M58" s="5"/>
      <c r="N58" s="5">
        <f t="shared" si="2"/>
        <v>1288</v>
      </c>
      <c r="O58" s="5">
        <f t="shared" si="3"/>
        <v>0</v>
      </c>
      <c r="P58" s="5">
        <f>Table14[[#This Row],[Enrolment S.Y. 2025-2026 ]]*8</f>
        <v>1288</v>
      </c>
      <c r="Q58" s="5">
        <v>132</v>
      </c>
      <c r="R58" s="1">
        <v>2025</v>
      </c>
      <c r="S58" s="5" t="s">
        <v>9</v>
      </c>
      <c r="T58" s="5">
        <f t="shared" si="4"/>
        <v>1156</v>
      </c>
      <c r="U58" s="5">
        <f t="shared" si="5"/>
        <v>0</v>
      </c>
      <c r="V58" s="5">
        <f>Table14[[#This Row],[Enrolment S.Y. 2025-2026 ]]*8</f>
        <v>1288</v>
      </c>
      <c r="W58" s="5">
        <v>66</v>
      </c>
      <c r="X58" s="1">
        <v>2025</v>
      </c>
      <c r="Y58" s="5" t="s">
        <v>9</v>
      </c>
      <c r="Z58" s="5">
        <f t="shared" si="6"/>
        <v>1222</v>
      </c>
      <c r="AA58" s="5">
        <f t="shared" si="7"/>
        <v>0</v>
      </c>
    </row>
    <row r="59" spans="1:27" ht="30.75" customHeight="1">
      <c r="A59" s="1">
        <v>6</v>
      </c>
      <c r="B59" s="9" t="s">
        <v>18</v>
      </c>
      <c r="C59" s="1">
        <v>161</v>
      </c>
      <c r="D59" s="5">
        <f>Table14[[#This Row],[Enrolment S.Y. 2025-2026 ]]*8</f>
        <v>1288</v>
      </c>
      <c r="E59" s="5"/>
      <c r="F59" s="1"/>
      <c r="G59" s="5"/>
      <c r="H59" s="5">
        <f t="shared" si="0"/>
        <v>1288</v>
      </c>
      <c r="I59" s="5">
        <f t="shared" si="1"/>
        <v>0</v>
      </c>
      <c r="J59" s="5">
        <f>Table14[[#This Row],[Enrolment S.Y. 2025-2026 ]]*8</f>
        <v>1288</v>
      </c>
      <c r="K59" s="5"/>
      <c r="L59" s="1"/>
      <c r="M59" s="5"/>
      <c r="N59" s="5">
        <f t="shared" si="2"/>
        <v>1288</v>
      </c>
      <c r="O59" s="5">
        <f t="shared" si="3"/>
        <v>0</v>
      </c>
      <c r="P59" s="5">
        <f>Table14[[#This Row],[Enrolment S.Y. 2025-2026 ]]*8</f>
        <v>1288</v>
      </c>
      <c r="Q59" s="5">
        <v>198</v>
      </c>
      <c r="R59" s="1">
        <v>2025</v>
      </c>
      <c r="S59" s="5" t="s">
        <v>9</v>
      </c>
      <c r="T59" s="5">
        <f t="shared" si="4"/>
        <v>1090</v>
      </c>
      <c r="U59" s="5">
        <f t="shared" si="5"/>
        <v>0</v>
      </c>
      <c r="V59" s="5">
        <f>Table14[[#This Row],[Enrolment S.Y. 2025-2026 ]]*8</f>
        <v>1288</v>
      </c>
      <c r="W59" s="5">
        <v>198</v>
      </c>
      <c r="X59" s="1">
        <v>2025</v>
      </c>
      <c r="Y59" s="5" t="s">
        <v>9</v>
      </c>
      <c r="Z59" s="5">
        <f t="shared" si="6"/>
        <v>1090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161</v>
      </c>
      <c r="D60" s="5">
        <f>Table14[[#This Row],[Enrolment S.Y. 2025-2026 ]]*8</f>
        <v>1288</v>
      </c>
      <c r="E60" s="5"/>
      <c r="F60" s="1"/>
      <c r="G60" s="5"/>
      <c r="H60" s="5">
        <f t="shared" si="0"/>
        <v>1288</v>
      </c>
      <c r="I60" s="5">
        <f t="shared" si="1"/>
        <v>0</v>
      </c>
      <c r="J60" s="5">
        <f>Table14[[#This Row],[Enrolment S.Y. 2025-2026 ]]*8</f>
        <v>1288</v>
      </c>
      <c r="K60" s="5"/>
      <c r="L60" s="1"/>
      <c r="M60" s="5"/>
      <c r="N60" s="5">
        <f t="shared" si="2"/>
        <v>1288</v>
      </c>
      <c r="O60" s="5">
        <f t="shared" si="3"/>
        <v>0</v>
      </c>
      <c r="P60" s="5">
        <f>Table14[[#This Row],[Enrolment S.Y. 2025-2026 ]]*8</f>
        <v>1288</v>
      </c>
      <c r="Q60" s="5">
        <v>132</v>
      </c>
      <c r="R60" s="1">
        <v>2025</v>
      </c>
      <c r="S60" s="5" t="s">
        <v>9</v>
      </c>
      <c r="T60" s="5">
        <f t="shared" si="4"/>
        <v>1156</v>
      </c>
      <c r="U60" s="5">
        <f t="shared" si="5"/>
        <v>0</v>
      </c>
      <c r="V60" s="5">
        <f>Table14[[#This Row],[Enrolment S.Y. 2025-2026 ]]*8</f>
        <v>1288</v>
      </c>
      <c r="W60" s="5"/>
      <c r="X60" s="1"/>
      <c r="Y60" s="5"/>
      <c r="Z60" s="5">
        <f t="shared" si="6"/>
        <v>1288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161</v>
      </c>
      <c r="D61" s="5">
        <f>Table14[[#This Row],[Enrolment S.Y. 2025-2026 ]]*8</f>
        <v>1288</v>
      </c>
      <c r="E61" s="5"/>
      <c r="F61" s="1"/>
      <c r="G61" s="5"/>
      <c r="H61" s="5">
        <f>IF((D61-E61)&lt;0,0,(D61-E61))</f>
        <v>1288</v>
      </c>
      <c r="I61" s="5">
        <f>IF((E61-D61)&lt;0,0,(E61-D61))</f>
        <v>0</v>
      </c>
      <c r="J61" s="5">
        <f>Table14[[#This Row],[Enrolment S.Y. 2025-2026 ]]*8</f>
        <v>1288</v>
      </c>
      <c r="K61" s="5"/>
      <c r="L61" s="1"/>
      <c r="M61" s="5"/>
      <c r="N61" s="5">
        <f t="shared" ref="N61:N65" si="12">IF((J61-K61)&lt;0,0,(J61-K61))</f>
        <v>1288</v>
      </c>
      <c r="O61" s="5">
        <f t="shared" ref="O61:O65" si="13">IF((K61-J61)&lt;0,0,(K61-J61))</f>
        <v>0</v>
      </c>
      <c r="P61" s="5">
        <f>Table14[[#This Row],[Enrolment S.Y. 2025-2026 ]]*8</f>
        <v>1288</v>
      </c>
      <c r="Q61" s="5">
        <v>132</v>
      </c>
      <c r="R61" s="1">
        <v>2025</v>
      </c>
      <c r="S61" s="5" t="s">
        <v>9</v>
      </c>
      <c r="T61" s="5">
        <f>IF((P61-Q61)&lt;0,0,(P61-Q61))</f>
        <v>1156</v>
      </c>
      <c r="U61" s="5">
        <f>IF((Q61-P61)&lt;0,0,(Q61-P61))</f>
        <v>0</v>
      </c>
      <c r="V61" s="5">
        <f>Table14[[#This Row],[Enrolment S.Y. 2025-2026 ]]*8</f>
        <v>1288</v>
      </c>
      <c r="W61" s="5">
        <v>99</v>
      </c>
      <c r="X61" s="1">
        <v>2025</v>
      </c>
      <c r="Y61" s="5" t="s">
        <v>9</v>
      </c>
      <c r="Z61" s="5">
        <f>IF((V61-W61)&lt;0,0,(V61-W61))</f>
        <v>1189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161</v>
      </c>
      <c r="D62" s="5">
        <f>Table14[[#This Row],[Enrolment S.Y. 2025-2026 ]]*8</f>
        <v>1288</v>
      </c>
      <c r="E62" s="5"/>
      <c r="F62" s="1"/>
      <c r="G62" s="5"/>
      <c r="H62" s="5">
        <f t="shared" si="0"/>
        <v>1288</v>
      </c>
      <c r="I62" s="5">
        <f t="shared" si="1"/>
        <v>0</v>
      </c>
      <c r="J62" s="5">
        <f>Table14[[#This Row],[Enrolment S.Y. 2025-2026 ]]*8</f>
        <v>1288</v>
      </c>
      <c r="K62" s="5"/>
      <c r="L62" s="1"/>
      <c r="M62" s="5"/>
      <c r="N62" s="5">
        <f t="shared" si="12"/>
        <v>1288</v>
      </c>
      <c r="O62" s="5">
        <f t="shared" si="13"/>
        <v>0</v>
      </c>
      <c r="P62" s="5">
        <f>Table14[[#This Row],[Enrolment S.Y. 2025-2026 ]]*8</f>
        <v>1288</v>
      </c>
      <c r="Q62" s="5">
        <v>231</v>
      </c>
      <c r="R62" s="1">
        <v>2025</v>
      </c>
      <c r="S62" s="5" t="s">
        <v>9</v>
      </c>
      <c r="T62" s="5">
        <f t="shared" si="4"/>
        <v>1057</v>
      </c>
      <c r="U62" s="5">
        <f t="shared" si="5"/>
        <v>0</v>
      </c>
      <c r="V62" s="5">
        <f>Table14[[#This Row],[Enrolment S.Y. 2025-2026 ]]*8</f>
        <v>1288</v>
      </c>
      <c r="W62" s="5">
        <v>297</v>
      </c>
      <c r="X62" s="1">
        <v>2025</v>
      </c>
      <c r="Y62" s="5" t="s">
        <v>9</v>
      </c>
      <c r="Z62" s="5">
        <f t="shared" si="6"/>
        <v>991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161</v>
      </c>
      <c r="D63" s="5">
        <f>Table14[[#This Row],[Enrolment S.Y. 2025-2026 ]]*8</f>
        <v>1288</v>
      </c>
      <c r="E63" s="5"/>
      <c r="F63" s="1"/>
      <c r="G63" s="5"/>
      <c r="H63" s="5">
        <f t="shared" si="0"/>
        <v>1288</v>
      </c>
      <c r="I63" s="5">
        <f t="shared" si="1"/>
        <v>0</v>
      </c>
      <c r="J63" s="5">
        <f>Table14[[#This Row],[Enrolment S.Y. 2025-2026 ]]*8</f>
        <v>1288</v>
      </c>
      <c r="K63" s="5"/>
      <c r="L63" s="1"/>
      <c r="M63" s="5"/>
      <c r="N63" s="5">
        <f t="shared" si="12"/>
        <v>1288</v>
      </c>
      <c r="O63" s="5">
        <f t="shared" si="13"/>
        <v>0</v>
      </c>
      <c r="P63" s="5">
        <f>Table14[[#This Row],[Enrolment S.Y. 2025-2026 ]]*8</f>
        <v>1288</v>
      </c>
      <c r="Q63" s="5"/>
      <c r="R63" s="1"/>
      <c r="S63" s="5"/>
      <c r="T63" s="5">
        <f t="shared" si="4"/>
        <v>1288</v>
      </c>
      <c r="U63" s="5">
        <f t="shared" si="5"/>
        <v>0</v>
      </c>
      <c r="V63" s="5">
        <f>Table14[[#This Row],[Enrolment S.Y. 2025-2026 ]]*8</f>
        <v>1288</v>
      </c>
      <c r="W63" s="5"/>
      <c r="X63" s="1"/>
      <c r="Y63" s="5"/>
      <c r="Z63" s="5">
        <f t="shared" si="6"/>
        <v>1288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161</v>
      </c>
      <c r="D64" s="5">
        <f>Table14[[#This Row],[Enrolment S.Y. 2025-2026 ]]*8</f>
        <v>1288</v>
      </c>
      <c r="E64" s="5"/>
      <c r="F64" s="1"/>
      <c r="G64" s="5"/>
      <c r="H64" s="5">
        <f>IF((D64-E64)&lt;0,0,(D64-E64))</f>
        <v>1288</v>
      </c>
      <c r="I64" s="5">
        <f>IF((E64-D64)&lt;0,0,(E64-D64))</f>
        <v>0</v>
      </c>
      <c r="J64" s="5">
        <f>Table14[[#This Row],[Enrolment S.Y. 2025-2026 ]]*8</f>
        <v>1288</v>
      </c>
      <c r="K64" s="5"/>
      <c r="L64" s="1"/>
      <c r="M64" s="5"/>
      <c r="N64" s="5">
        <f t="shared" si="12"/>
        <v>1288</v>
      </c>
      <c r="O64" s="5">
        <f t="shared" si="13"/>
        <v>0</v>
      </c>
      <c r="P64" s="5">
        <f>Table14[[#This Row],[Enrolment S.Y. 2025-2026 ]]*8</f>
        <v>1288</v>
      </c>
      <c r="Q64" s="5">
        <v>99</v>
      </c>
      <c r="R64" s="1">
        <v>2025</v>
      </c>
      <c r="S64" s="5" t="s">
        <v>9</v>
      </c>
      <c r="T64" s="5">
        <f>IF((P64-Q64)&lt;0,0,(P64-Q64))</f>
        <v>1189</v>
      </c>
      <c r="U64" s="5">
        <f>IF((Q64-P64)&lt;0,0,(Q64-P64))</f>
        <v>0</v>
      </c>
      <c r="V64" s="5">
        <f>Table14[[#This Row],[Enrolment S.Y. 2025-2026 ]]*8</f>
        <v>1288</v>
      </c>
      <c r="W64" s="5">
        <v>99</v>
      </c>
      <c r="X64" s="1">
        <v>2025</v>
      </c>
      <c r="Y64" s="5" t="s">
        <v>9</v>
      </c>
      <c r="Z64" s="5">
        <f>IF((V64-W64)&lt;0,0,(V64-W64))</f>
        <v>1189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161</v>
      </c>
      <c r="D65" s="5">
        <f>Table14[[#This Row],[Enrolment S.Y. 2025-2026 ]]*8</f>
        <v>1288</v>
      </c>
      <c r="E65" s="5"/>
      <c r="F65" s="1"/>
      <c r="G65" s="5"/>
      <c r="H65" s="5">
        <f t="shared" si="0"/>
        <v>1288</v>
      </c>
      <c r="I65" s="5">
        <f t="shared" si="1"/>
        <v>0</v>
      </c>
      <c r="J65" s="5">
        <f>Table14[[#This Row],[Enrolment S.Y. 2025-2026 ]]*8</f>
        <v>1288</v>
      </c>
      <c r="K65" s="5"/>
      <c r="L65" s="1"/>
      <c r="M65" s="5"/>
      <c r="N65" s="5">
        <f t="shared" si="12"/>
        <v>1288</v>
      </c>
      <c r="O65" s="5">
        <f t="shared" si="13"/>
        <v>0</v>
      </c>
      <c r="P65" s="5">
        <f>Table14[[#This Row],[Enrolment S.Y. 2025-2026 ]]*8</f>
        <v>1288</v>
      </c>
      <c r="Q65" s="5">
        <v>99</v>
      </c>
      <c r="R65" s="1">
        <v>2025</v>
      </c>
      <c r="S65" s="5" t="s">
        <v>9</v>
      </c>
      <c r="T65" s="5">
        <f t="shared" si="4"/>
        <v>1189</v>
      </c>
      <c r="U65" s="5">
        <f t="shared" si="5"/>
        <v>0</v>
      </c>
      <c r="V65" s="5">
        <f>Table14[[#This Row],[Enrolment S.Y. 2025-2026 ]]*8</f>
        <v>1288</v>
      </c>
      <c r="W65" s="5">
        <v>330</v>
      </c>
      <c r="X65" s="1">
        <v>2025</v>
      </c>
      <c r="Y65" s="5" t="s">
        <v>9</v>
      </c>
      <c r="Z65" s="5">
        <f t="shared" si="6"/>
        <v>958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67:C77 C79:C89 C115:C122 C103:C113 C91:C101 C55:C65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Z55:AA65 T67:X77 Z67:AA77 H67:L77 T79:X89 Z79:AA89 H79:L89 T91:X101 Z91:AA101 H91:L101 T103:X113 Z103:AA113 H103:L113 N115:R122 T115:X122 Z115:AA122 H115:L122 D103:F113 N31:R41 N43:R53 N67:R77 N79:R89 N91:R101 N103:R113 D55:F65 H55:L65 N55:R65 T55:X65" name="LAS"/>
    <protectedRange sqref="G2:I2 M2:O2 S2:U2 Y2:AA2 G3:G10 M3:M10 S3:S10 Y3:Y10 Y12:Y19 G12:G19 M12:M19 S12:S19 Y21:Y29 G21:G29 M21:M29 S21:S29 Y31:Y41 G31:G41 M31:M41 S31:S41 Y43:Y53 G43:G53 M43:M53 S43:S53 G55:G65 Y67:Y77 G67:G77 M67:M77 S67:S77 Y79:Y89 G79:G89 M79:M89 S79:S89 Y91:Y101 G91:G101 M91:M101 S91:S101 Y103:Y113 G103:G113 M103:M113 S103:S113 Y115:Y122 G115:G122 M115:M122 S115:S122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S55:S65 M55:M65 M115:M122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F55:F65 L91:L101 L103:L113 L12:L19 L3:L10 R21:R29 R31:R41 R43:R53 R67:R77 R79:R89 L55:L65 R91:R101 R103:R113 R12:R19 R3:R10 F21:F29 F31:F41 F43:F53 F67:F77 F79:F89 F103:F113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2026-01-12T06:09:33Z</dcterms:modified>
  <cp:category/>
  <cp:contentStatus/>
</cp:coreProperties>
</file>