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2" documentId="13_ncr:1_{BFB59F67-F0DC-4675-A682-EB0734A8026A}" xr6:coauthVersionLast="47" xr6:coauthVersionMax="47" xr10:uidLastSave="{66F4EE9E-58EF-4FA5-98DB-8596B558487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4" l="1"/>
  <c r="H53" i="4"/>
  <c r="I53" i="4"/>
  <c r="J53" i="4"/>
  <c r="N53" i="4"/>
  <c r="O53" i="4"/>
  <c r="P53" i="4"/>
  <c r="T53" i="4"/>
  <c r="U53" i="4"/>
  <c r="V53" i="4"/>
  <c r="Z53" i="4"/>
  <c r="AA53" i="4"/>
  <c r="D54" i="4"/>
  <c r="H54" i="4"/>
  <c r="I54" i="4"/>
  <c r="J54" i="4"/>
  <c r="N54" i="4"/>
  <c r="O54" i="4"/>
  <c r="P54" i="4"/>
  <c r="T54" i="4"/>
  <c r="U54" i="4"/>
  <c r="V54" i="4"/>
  <c r="Z54" i="4"/>
  <c r="AA54" i="4"/>
  <c r="D55" i="4"/>
  <c r="H55" i="4"/>
  <c r="I55" i="4"/>
  <c r="J55" i="4"/>
  <c r="N55" i="4"/>
  <c r="O55" i="4"/>
  <c r="P55" i="4"/>
  <c r="T55" i="4"/>
  <c r="U55" i="4"/>
  <c r="V55" i="4"/>
  <c r="Z55" i="4"/>
  <c r="AA55" i="4"/>
  <c r="D56" i="4"/>
  <c r="H56" i="4"/>
  <c r="I56" i="4"/>
  <c r="J56" i="4"/>
  <c r="N56" i="4"/>
  <c r="O56" i="4"/>
  <c r="P56" i="4"/>
  <c r="T56" i="4"/>
  <c r="U56" i="4"/>
  <c r="V56" i="4"/>
  <c r="Z56" i="4"/>
  <c r="AA56" i="4"/>
  <c r="D57" i="4"/>
  <c r="H57" i="4"/>
  <c r="I57" i="4"/>
  <c r="J57" i="4"/>
  <c r="N57" i="4"/>
  <c r="O57" i="4"/>
  <c r="P57" i="4"/>
  <c r="T57" i="4"/>
  <c r="U57" i="4"/>
  <c r="V57" i="4"/>
  <c r="Z57" i="4"/>
  <c r="AA57" i="4"/>
  <c r="D58" i="4"/>
  <c r="H58" i="4"/>
  <c r="I58" i="4"/>
  <c r="J58" i="4"/>
  <c r="N58" i="4"/>
  <c r="O58" i="4"/>
  <c r="P58" i="4"/>
  <c r="T58" i="4"/>
  <c r="U58" i="4"/>
  <c r="V58" i="4"/>
  <c r="Z58" i="4"/>
  <c r="AA58" i="4"/>
  <c r="D59" i="4"/>
  <c r="H59" i="4"/>
  <c r="I59" i="4"/>
  <c r="J59" i="4"/>
  <c r="N59" i="4"/>
  <c r="O59" i="4"/>
  <c r="P59" i="4"/>
  <c r="T59" i="4"/>
  <c r="U59" i="4"/>
  <c r="V59" i="4"/>
  <c r="Z59" i="4"/>
  <c r="AA59" i="4"/>
  <c r="D60" i="4"/>
  <c r="H60" i="4"/>
  <c r="I60" i="4"/>
  <c r="J60" i="4"/>
  <c r="N60" i="4"/>
  <c r="O60" i="4"/>
  <c r="P60" i="4"/>
  <c r="T60" i="4"/>
  <c r="U60" i="4"/>
  <c r="V60" i="4"/>
  <c r="Z60" i="4"/>
  <c r="AA60" i="4"/>
  <c r="D61" i="4"/>
  <c r="H61" i="4"/>
  <c r="I61" i="4"/>
  <c r="J61" i="4"/>
  <c r="N61" i="4"/>
  <c r="O61" i="4"/>
  <c r="P61" i="4"/>
  <c r="T61" i="4"/>
  <c r="U61" i="4"/>
  <c r="V61" i="4"/>
  <c r="Z61" i="4"/>
  <c r="AA61" i="4"/>
  <c r="K44" i="4"/>
  <c r="K43" i="4"/>
  <c r="E50" i="4"/>
  <c r="E48" i="4"/>
  <c r="E46" i="4"/>
  <c r="E45" i="4"/>
  <c r="E44" i="4"/>
  <c r="E43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43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O44" i="4"/>
  <c r="N37" i="4"/>
  <c r="T37" i="4"/>
  <c r="U20" i="4"/>
  <c r="U15" i="4"/>
  <c r="Z43" i="4"/>
  <c r="AA18" i="4"/>
  <c r="Z7" i="4"/>
  <c r="O30" i="4"/>
  <c r="U47" i="4"/>
  <c r="U41" i="4"/>
  <c r="U25" i="4"/>
  <c r="AA40" i="4"/>
  <c r="Z29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0" i="4"/>
  <c r="U34" i="4"/>
  <c r="AA36" i="4"/>
  <c r="Z25" i="4"/>
  <c r="I3" i="4"/>
  <c r="N46" i="4"/>
  <c r="O39" i="4"/>
  <c r="N34" i="4"/>
  <c r="O8" i="4"/>
  <c r="T28" i="4"/>
  <c r="U11" i="4"/>
  <c r="U6" i="4"/>
  <c r="Z47" i="4"/>
  <c r="AA23" i="4"/>
  <c r="Z11" i="4"/>
  <c r="AA3" i="4"/>
  <c r="U38" i="4"/>
  <c r="U16" i="4"/>
  <c r="Z34" i="4"/>
  <c r="T40" i="4"/>
  <c r="U40" i="4"/>
  <c r="N25" i="4"/>
  <c r="N51" i="4"/>
  <c r="N29" i="4"/>
  <c r="T18" i="4"/>
  <c r="U18" i="4"/>
  <c r="N38" i="4"/>
  <c r="T27" i="4"/>
  <c r="U27" i="4"/>
  <c r="T23" i="4"/>
  <c r="U23" i="4"/>
  <c r="T49" i="4"/>
  <c r="U49" i="4"/>
  <c r="N11" i="4"/>
  <c r="T31" i="4"/>
  <c r="U31" i="4"/>
  <c r="N16" i="4"/>
  <c r="N43" i="4"/>
  <c r="N20" i="4"/>
  <c r="T45" i="4"/>
  <c r="U45" i="4"/>
  <c r="O7" i="4"/>
  <c r="N7" i="4"/>
  <c r="N47" i="4"/>
  <c r="T36" i="4"/>
  <c r="U36" i="4"/>
  <c r="T14" i="4"/>
  <c r="U14" i="4"/>
  <c r="O45" i="4"/>
  <c r="O36" i="4"/>
  <c r="O27" i="4"/>
  <c r="O18" i="4"/>
  <c r="O9" i="4"/>
  <c r="U44" i="4"/>
  <c r="U35" i="4"/>
  <c r="U26" i="4"/>
  <c r="U17" i="4"/>
  <c r="U8" i="4"/>
  <c r="AA48" i="4"/>
  <c r="AA44" i="4"/>
  <c r="AA39" i="4"/>
  <c r="AA35" i="4"/>
  <c r="AA30" i="4"/>
  <c r="AA26" i="4"/>
  <c r="AA21" i="4"/>
  <c r="AA17" i="4"/>
  <c r="AA12" i="4"/>
  <c r="AA8" i="4"/>
  <c r="O50" i="4"/>
  <c r="O41" i="4"/>
  <c r="O33" i="4"/>
  <c r="O24" i="4"/>
  <c r="O15" i="4"/>
  <c r="O6" i="4"/>
  <c r="O49" i="4"/>
  <c r="O40" i="4"/>
  <c r="O31" i="4"/>
  <c r="O23" i="4"/>
  <c r="O14" i="4"/>
  <c r="U48" i="4"/>
  <c r="U39" i="4"/>
  <c r="U30" i="4"/>
  <c r="U21" i="4"/>
  <c r="U12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41" i="4"/>
  <c r="H17" i="4"/>
  <c r="I44" i="4"/>
  <c r="I23" i="4"/>
  <c r="H28" i="4"/>
  <c r="I38" i="4"/>
  <c r="H38" i="4"/>
  <c r="H5" i="4"/>
  <c r="H40" i="4"/>
  <c r="H16" i="4"/>
  <c r="H48" i="4"/>
  <c r="I47" i="4"/>
  <c r="H47" i="4"/>
  <c r="H39" i="4"/>
  <c r="H15" i="4"/>
  <c r="H27" i="4"/>
  <c r="I26" i="4"/>
  <c r="H26" i="4"/>
  <c r="I36" i="4"/>
  <c r="I35" i="4"/>
</calcChain>
</file>

<file path=xl/sharedStrings.xml><?xml version="1.0" encoding="utf-8"?>
<sst xmlns="http://schemas.openxmlformats.org/spreadsheetml/2006/main" count="277" uniqueCount="80">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</sst>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143</v>
      </c>
      <c r="D2" s="1">
        <v>322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179</v>
      </c>
    </row>
    <row r="3" spans="1:8" ht="29.25" customHeight="1">
      <c r="A3" s="1">
        <v>1</v>
      </c>
      <c r="B3" s="2" t="s">
        <v>10</v>
      </c>
      <c r="C3" s="1">
        <v>143</v>
      </c>
      <c r="D3" s="1">
        <v>354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211</v>
      </c>
    </row>
    <row r="4" spans="1:8" ht="21" customHeight="1">
      <c r="A4" s="1">
        <v>1</v>
      </c>
      <c r="B4" s="2" t="s">
        <v>11</v>
      </c>
      <c r="C4" s="1">
        <v>143</v>
      </c>
      <c r="D4" s="1">
        <v>328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185</v>
      </c>
    </row>
    <row r="5" spans="1:8" ht="25.5" customHeight="1">
      <c r="A5" s="1">
        <v>1</v>
      </c>
      <c r="B5" s="2" t="s">
        <v>12</v>
      </c>
      <c r="C5" s="1">
        <v>143</v>
      </c>
      <c r="D5" s="1">
        <v>354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133</v>
      </c>
      <c r="D11" s="1">
        <v>161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28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150</v>
      </c>
      <c r="D22" s="1">
        <v>246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96</v>
      </c>
    </row>
    <row r="23" spans="1:8" ht="19.5">
      <c r="A23" s="1">
        <v>4</v>
      </c>
      <c r="B23" s="9" t="s">
        <v>13</v>
      </c>
      <c r="C23" s="1">
        <v>150</v>
      </c>
      <c r="D23" s="1">
        <v>226</v>
      </c>
      <c r="E23" s="1">
        <v>2025</v>
      </c>
      <c r="F23" s="5" t="s">
        <v>14</v>
      </c>
      <c r="G23" s="3">
        <f t="shared" si="4"/>
        <v>0</v>
      </c>
      <c r="H23" s="4">
        <f t="shared" si="5"/>
        <v>76</v>
      </c>
    </row>
    <row r="24" spans="1:8" ht="27" customHeight="1">
      <c r="A24" s="1">
        <v>4</v>
      </c>
      <c r="B24" s="9" t="s">
        <v>11</v>
      </c>
      <c r="C24" s="1">
        <v>150</v>
      </c>
      <c r="D24" s="1">
        <v>228</v>
      </c>
      <c r="E24" s="1">
        <v>2025</v>
      </c>
      <c r="F24" s="5" t="s">
        <v>14</v>
      </c>
      <c r="G24" s="3">
        <f t="shared" si="4"/>
        <v>0</v>
      </c>
      <c r="H24" s="4">
        <f t="shared" si="5"/>
        <v>78</v>
      </c>
    </row>
    <row r="25" spans="1:8" ht="33.75" customHeight="1">
      <c r="A25" s="1">
        <v>4</v>
      </c>
      <c r="B25" s="9" t="s">
        <v>18</v>
      </c>
      <c r="C25" s="1">
        <v>150</v>
      </c>
      <c r="D25" s="1">
        <v>235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85</v>
      </c>
    </row>
    <row r="26" spans="1:8" ht="33.75" customHeight="1">
      <c r="A26" s="1">
        <v>4</v>
      </c>
      <c r="B26" s="9" t="s">
        <v>15</v>
      </c>
      <c r="C26" s="1">
        <v>150</v>
      </c>
      <c r="D26" s="1">
        <v>247</v>
      </c>
      <c r="E26" s="1">
        <v>2024</v>
      </c>
      <c r="F26" s="5" t="s">
        <v>14</v>
      </c>
      <c r="G26" s="3">
        <f t="shared" si="4"/>
        <v>0</v>
      </c>
      <c r="H26" s="4">
        <f t="shared" si="5"/>
        <v>97</v>
      </c>
    </row>
    <row r="27" spans="1:8" ht="33.75" customHeight="1">
      <c r="A27" s="1">
        <v>4</v>
      </c>
      <c r="B27" s="9" t="s">
        <v>19</v>
      </c>
      <c r="C27" s="1">
        <v>150</v>
      </c>
      <c r="D27" s="1">
        <v>214</v>
      </c>
      <c r="E27" s="1">
        <v>2024</v>
      </c>
      <c r="F27" s="5" t="s">
        <v>14</v>
      </c>
      <c r="G27" s="3">
        <f t="shared" si="4"/>
        <v>0</v>
      </c>
      <c r="H27" s="4">
        <f t="shared" si="5"/>
        <v>64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150</v>
      </c>
      <c r="D29" s="1">
        <v>266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116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130</v>
      </c>
      <c r="D31" s="1">
        <v>162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32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130</v>
      </c>
      <c r="D35" s="1">
        <v>170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40</v>
      </c>
    </row>
    <row r="36" spans="1:8" ht="27.75" customHeight="1">
      <c r="A36" s="1">
        <v>5</v>
      </c>
      <c r="B36" s="9" t="s">
        <v>15</v>
      </c>
      <c r="C36" s="1">
        <v>130</v>
      </c>
      <c r="D36" s="1">
        <v>162</v>
      </c>
      <c r="E36" s="1">
        <v>2025</v>
      </c>
      <c r="F36" s="5" t="s">
        <v>14</v>
      </c>
      <c r="G36" s="3">
        <f t="shared" si="6"/>
        <v>0</v>
      </c>
      <c r="H36" s="4">
        <f t="shared" si="7"/>
        <v>32</v>
      </c>
    </row>
    <row r="37" spans="1:8" ht="27.75" customHeight="1">
      <c r="A37" s="1">
        <v>5</v>
      </c>
      <c r="B37" s="9" t="s">
        <v>19</v>
      </c>
      <c r="C37" s="1">
        <v>130</v>
      </c>
      <c r="D37" s="1">
        <v>162</v>
      </c>
      <c r="E37" s="1">
        <v>2025</v>
      </c>
      <c r="F37" s="5" t="s">
        <v>14</v>
      </c>
      <c r="G37" s="3">
        <f t="shared" si="6"/>
        <v>0</v>
      </c>
      <c r="H37" s="4">
        <f t="shared" si="7"/>
        <v>32</v>
      </c>
    </row>
    <row r="38" spans="1:8" ht="27.75" customHeight="1">
      <c r="A38" s="1">
        <v>5</v>
      </c>
      <c r="B38" s="9" t="s">
        <v>20</v>
      </c>
      <c r="C38" s="1">
        <v>130</v>
      </c>
      <c r="D38" s="1">
        <v>162</v>
      </c>
      <c r="E38" s="1">
        <v>2026</v>
      </c>
      <c r="F38" s="5" t="s">
        <v>14</v>
      </c>
      <c r="G38" s="3">
        <f t="shared" si="6"/>
        <v>0</v>
      </c>
      <c r="H38" s="4">
        <f t="shared" si="7"/>
        <v>32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1:E29 E14:E19 E8:E12 E2:E6 E41:E49 E31:E39" xr:uid="{B46E7B13-721E-4D49-837E-C02BF9777D48}">
      <formula1>"2024,2025,2026"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B67" sqref="B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3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131</v>
      </c>
      <c r="D17" s="5">
        <f>Table1[[#This Row],[Enrolment S.Y. 2025-2026 ]]*8</f>
        <v>1048</v>
      </c>
      <c r="E17" s="5"/>
      <c r="F17" s="1"/>
      <c r="G17" s="5"/>
      <c r="H17" s="5">
        <f t="shared" si="2"/>
        <v>1048</v>
      </c>
      <c r="I17" s="5">
        <f t="shared" si="3"/>
        <v>0</v>
      </c>
      <c r="J17" s="5">
        <f>Table1[[#This Row],[Enrolment S.Y. 2025-2026 ]]*8</f>
        <v>1048</v>
      </c>
      <c r="K17" s="5">
        <v>2752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1704</v>
      </c>
      <c r="P17" s="5">
        <f>Table1[[#This Row],[Enrolment S.Y. 2025-2026 ]]*8</f>
        <v>1048</v>
      </c>
      <c r="Q17" s="5"/>
      <c r="R17" s="1"/>
      <c r="S17" s="5"/>
      <c r="T17" s="5">
        <f t="shared" si="12"/>
        <v>1048</v>
      </c>
      <c r="U17" s="5">
        <f t="shared" si="13"/>
        <v>0</v>
      </c>
      <c r="V17" s="5">
        <f>Table1[[#This Row],[Enrolment S.Y. 2025-2026 ]]*8</f>
        <v>1048</v>
      </c>
      <c r="W17" s="5"/>
      <c r="X17" s="1"/>
      <c r="Y17" s="5"/>
      <c r="Z17" s="5">
        <f t="shared" si="14"/>
        <v>1048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131</v>
      </c>
      <c r="D19" s="5">
        <f>Table1[[#This Row],[Enrolment S.Y. 2025-2026 ]]*8</f>
        <v>1048</v>
      </c>
      <c r="E19" s="5">
        <v>1496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448</v>
      </c>
      <c r="J19" s="5">
        <f>Table1[[#This Row],[Enrolment S.Y. 2025-2026 ]]*8</f>
        <v>1048</v>
      </c>
      <c r="K19" s="5">
        <v>2752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1704</v>
      </c>
      <c r="P19" s="5">
        <f>Table1[[#This Row],[Enrolment S.Y. 2025-2026 ]]*8</f>
        <v>1048</v>
      </c>
      <c r="Q19" s="5"/>
      <c r="R19" s="1"/>
      <c r="S19" s="5"/>
      <c r="T19" s="5">
        <f t="shared" si="12"/>
        <v>1048</v>
      </c>
      <c r="U19" s="5">
        <f t="shared" si="13"/>
        <v>0</v>
      </c>
      <c r="V19" s="5">
        <f>Table1[[#This Row],[Enrolment S.Y. 2025-2026 ]]*8</f>
        <v>1048</v>
      </c>
      <c r="W19" s="5"/>
      <c r="X19" s="1"/>
      <c r="Y19" s="5"/>
      <c r="Z19" s="5">
        <f t="shared" si="14"/>
        <v>1048</v>
      </c>
      <c r="AA19" s="5">
        <f t="shared" si="15"/>
        <v>0</v>
      </c>
    </row>
    <row r="20" spans="1:27" ht="19.149999999999999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130</v>
      </c>
      <c r="D43" s="5">
        <f>Table1[[#This Row],[Enrolment S.Y. 2025-2026 ]]*8</f>
        <v>1040</v>
      </c>
      <c r="E43" s="5">
        <f>58*8</f>
        <v>464</v>
      </c>
      <c r="F43" s="1">
        <v>2025</v>
      </c>
      <c r="G43" s="5" t="s">
        <v>9</v>
      </c>
      <c r="H43" s="5">
        <f t="shared" si="2"/>
        <v>576</v>
      </c>
      <c r="I43" s="5">
        <f t="shared" si="3"/>
        <v>0</v>
      </c>
      <c r="J43" s="5">
        <f>Table1[[#This Row],[Enrolment S.Y. 2025-2026 ]]*8</f>
        <v>1040</v>
      </c>
      <c r="K43" s="5">
        <f>312*8</f>
        <v>2496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1456</v>
      </c>
      <c r="P43" s="5">
        <f>Table1[[#This Row],[Enrolment S.Y. 2025-2026 ]]*8</f>
        <v>1040</v>
      </c>
      <c r="Q43" s="5"/>
      <c r="R43" s="1"/>
      <c r="S43" s="5"/>
      <c r="T43" s="5">
        <f t="shared" si="12"/>
        <v>1040</v>
      </c>
      <c r="U43" s="5">
        <f t="shared" si="13"/>
        <v>0</v>
      </c>
      <c r="V43" s="5">
        <f>Table1[[#This Row],[Enrolment S.Y. 2025-2026 ]]*8</f>
        <v>1040</v>
      </c>
      <c r="W43" s="5"/>
      <c r="X43" s="1"/>
      <c r="Y43" s="5"/>
      <c r="Z43" s="5">
        <f t="shared" si="14"/>
        <v>1040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130</v>
      </c>
      <c r="D44" s="5">
        <f>Table1[[#This Row],[Enrolment S.Y. 2025-2026 ]]*8</f>
        <v>1040</v>
      </c>
      <c r="E44" s="5">
        <f t="shared" ref="E44:E46" si="16">58*8</f>
        <v>464</v>
      </c>
      <c r="F44" s="1">
        <v>2025</v>
      </c>
      <c r="G44" s="5" t="s">
        <v>9</v>
      </c>
      <c r="H44" s="5">
        <f t="shared" si="2"/>
        <v>576</v>
      </c>
      <c r="I44" s="5">
        <f t="shared" si="3"/>
        <v>0</v>
      </c>
      <c r="J44" s="5">
        <f>Table1[[#This Row],[Enrolment S.Y. 2025-2026 ]]*8</f>
        <v>1040</v>
      </c>
      <c r="K44" s="5">
        <f>387*8</f>
        <v>3096</v>
      </c>
      <c r="L44" s="1">
        <v>2025</v>
      </c>
      <c r="M44" s="5" t="s">
        <v>9</v>
      </c>
      <c r="N44" s="5">
        <f t="shared" si="10"/>
        <v>0</v>
      </c>
      <c r="O44" s="5">
        <f t="shared" si="11"/>
        <v>2056</v>
      </c>
      <c r="P44" s="5">
        <f>Table1[[#This Row],[Enrolment S.Y. 2025-2026 ]]*8</f>
        <v>1040</v>
      </c>
      <c r="Q44" s="5"/>
      <c r="R44" s="1"/>
      <c r="S44" s="5"/>
      <c r="T44" s="5">
        <f t="shared" si="12"/>
        <v>1040</v>
      </c>
      <c r="U44" s="5">
        <f t="shared" si="13"/>
        <v>0</v>
      </c>
      <c r="V44" s="5">
        <f>Table1[[#This Row],[Enrolment S.Y. 2025-2026 ]]*8</f>
        <v>1040</v>
      </c>
      <c r="W44" s="5"/>
      <c r="X44" s="1"/>
      <c r="Y44" s="5"/>
      <c r="Z44" s="5">
        <f t="shared" si="14"/>
        <v>1040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130</v>
      </c>
      <c r="D45" s="5">
        <f>Table1[[#This Row],[Enrolment S.Y. 2025-2026 ]]*8</f>
        <v>1040</v>
      </c>
      <c r="E45" s="5">
        <f t="shared" si="16"/>
        <v>464</v>
      </c>
      <c r="F45" s="1">
        <v>2025</v>
      </c>
      <c r="G45" s="5" t="s">
        <v>9</v>
      </c>
      <c r="H45" s="5">
        <f t="shared" si="2"/>
        <v>576</v>
      </c>
      <c r="I45" s="5">
        <f t="shared" si="3"/>
        <v>0</v>
      </c>
      <c r="J45" s="5">
        <f>Table1[[#This Row],[Enrolment S.Y. 2025-2026 ]]*8</f>
        <v>1040</v>
      </c>
      <c r="K45" s="5"/>
      <c r="L45" s="1"/>
      <c r="M45" s="5"/>
      <c r="N45" s="5">
        <f t="shared" si="10"/>
        <v>1040</v>
      </c>
      <c r="O45" s="5">
        <f t="shared" si="11"/>
        <v>0</v>
      </c>
      <c r="P45" s="5">
        <f>Table1[[#This Row],[Enrolment S.Y. 2025-2026 ]]*8</f>
        <v>1040</v>
      </c>
      <c r="Q45" s="5"/>
      <c r="R45" s="1"/>
      <c r="S45" s="5"/>
      <c r="T45" s="5">
        <f t="shared" si="12"/>
        <v>1040</v>
      </c>
      <c r="U45" s="5">
        <f t="shared" si="13"/>
        <v>0</v>
      </c>
      <c r="V45" s="5">
        <f>Table1[[#This Row],[Enrolment S.Y. 2025-2026 ]]*8</f>
        <v>1040</v>
      </c>
      <c r="W45" s="5"/>
      <c r="X45" s="1"/>
      <c r="Y45" s="5"/>
      <c r="Z45" s="5">
        <f t="shared" si="14"/>
        <v>1040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130</v>
      </c>
      <c r="D46" s="5">
        <f>Table1[[#This Row],[Enrolment S.Y. 2025-2026 ]]*8</f>
        <v>1040</v>
      </c>
      <c r="E46" s="5">
        <f t="shared" si="16"/>
        <v>464</v>
      </c>
      <c r="F46" s="1">
        <v>2025</v>
      </c>
      <c r="G46" s="5" t="s">
        <v>9</v>
      </c>
      <c r="H46" s="5">
        <f t="shared" si="2"/>
        <v>576</v>
      </c>
      <c r="I46" s="5">
        <f t="shared" si="3"/>
        <v>0</v>
      </c>
      <c r="J46" s="5">
        <f>Table1[[#This Row],[Enrolment S.Y. 2025-2026 ]]*8</f>
        <v>1040</v>
      </c>
      <c r="K46" s="5"/>
      <c r="L46" s="1"/>
      <c r="M46" s="5"/>
      <c r="N46" s="5">
        <f t="shared" si="10"/>
        <v>1040</v>
      </c>
      <c r="O46" s="5">
        <f t="shared" si="11"/>
        <v>0</v>
      </c>
      <c r="P46" s="5">
        <f>Table1[[#This Row],[Enrolment S.Y. 2025-2026 ]]*8</f>
        <v>1040</v>
      </c>
      <c r="Q46" s="5"/>
      <c r="R46" s="1"/>
      <c r="S46" s="5"/>
      <c r="T46" s="5">
        <f t="shared" si="12"/>
        <v>1040</v>
      </c>
      <c r="U46" s="5">
        <f t="shared" si="13"/>
        <v>0</v>
      </c>
      <c r="V46" s="5">
        <f>Table1[[#This Row],[Enrolment S.Y. 2025-2026 ]]*8</f>
        <v>1040</v>
      </c>
      <c r="W46" s="5"/>
      <c r="X46" s="1"/>
      <c r="Y46" s="5"/>
      <c r="Z46" s="5">
        <f t="shared" si="14"/>
        <v>1040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130</v>
      </c>
      <c r="D48" s="5">
        <f>Table1[[#This Row],[Enrolment S.Y. 2025-2026 ]]*8</f>
        <v>1040</v>
      </c>
      <c r="E48" s="5">
        <f>58*8</f>
        <v>464</v>
      </c>
      <c r="F48" s="1">
        <v>2025</v>
      </c>
      <c r="G48" s="5" t="s">
        <v>9</v>
      </c>
      <c r="H48" s="5">
        <f t="shared" si="2"/>
        <v>576</v>
      </c>
      <c r="I48" s="5">
        <f t="shared" si="3"/>
        <v>0</v>
      </c>
      <c r="J48" s="5">
        <f>Table1[[#This Row],[Enrolment S.Y. 2025-2026 ]]*8</f>
        <v>1040</v>
      </c>
      <c r="K48" s="5"/>
      <c r="L48" s="1"/>
      <c r="M48" s="5"/>
      <c r="N48" s="5">
        <f t="shared" si="10"/>
        <v>1040</v>
      </c>
      <c r="O48" s="5">
        <f t="shared" si="11"/>
        <v>0</v>
      </c>
      <c r="P48" s="5">
        <f>Table1[[#This Row],[Enrolment S.Y. 2025-2026 ]]*8</f>
        <v>1040</v>
      </c>
      <c r="Q48" s="5"/>
      <c r="R48" s="1"/>
      <c r="S48" s="5"/>
      <c r="T48" s="5">
        <f t="shared" si="12"/>
        <v>1040</v>
      </c>
      <c r="U48" s="5">
        <f t="shared" si="13"/>
        <v>0</v>
      </c>
      <c r="V48" s="5">
        <f>Table1[[#This Row],[Enrolment S.Y. 2025-2026 ]]*8</f>
        <v>1040</v>
      </c>
      <c r="W48" s="5"/>
      <c r="X48" s="1"/>
      <c r="Y48" s="5"/>
      <c r="Z48" s="5">
        <f t="shared" si="14"/>
        <v>1040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130</v>
      </c>
      <c r="D50" s="5">
        <f>Table1[[#This Row],[Enrolment S.Y. 2025-2026 ]]*8</f>
        <v>1040</v>
      </c>
      <c r="E50" s="5">
        <f>58*8</f>
        <v>464</v>
      </c>
      <c r="F50" s="1">
        <v>2025</v>
      </c>
      <c r="G50" s="5" t="s">
        <v>9</v>
      </c>
      <c r="H50" s="5">
        <f t="shared" si="2"/>
        <v>576</v>
      </c>
      <c r="I50" s="5">
        <f t="shared" si="3"/>
        <v>0</v>
      </c>
      <c r="J50" s="5">
        <f>Table1[[#This Row],[Enrolment S.Y. 2025-2026 ]]*8</f>
        <v>1040</v>
      </c>
      <c r="K50" s="5"/>
      <c r="L50" s="1"/>
      <c r="M50" s="5"/>
      <c r="N50" s="5">
        <f t="shared" si="10"/>
        <v>1040</v>
      </c>
      <c r="O50" s="5">
        <f t="shared" si="11"/>
        <v>0</v>
      </c>
      <c r="P50" s="5">
        <f>Table1[[#This Row],[Enrolment S.Y. 2025-2026 ]]*8</f>
        <v>1040</v>
      </c>
      <c r="Q50" s="5"/>
      <c r="R50" s="1"/>
      <c r="S50" s="5"/>
      <c r="T50" s="5">
        <f t="shared" si="12"/>
        <v>1040</v>
      </c>
      <c r="U50" s="5">
        <f t="shared" si="13"/>
        <v>0</v>
      </c>
      <c r="V50" s="5">
        <f>Table1[[#This Row],[Enrolment S.Y. 2025-2026 ]]*8</f>
        <v>1040</v>
      </c>
      <c r="W50" s="5"/>
      <c r="X50" s="1"/>
      <c r="Y50" s="5"/>
      <c r="Z50" s="5">
        <f t="shared" si="14"/>
        <v>1040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53:C61 C49 C47 C5:C12 C51" name="Textbooks"/>
    <protectedRange sqref="J2:L3 D2:F3 H5:L5 D14:F21 Q14:R21 W14:X21 D23:F31 Q23:R31 W23:X31 D33:F41 H33:I41 Q33:R41 W33:X41 H43:I51 Q43:R51 W43:X51 D53:F61 H53:I61 Q53:R61 W53:X61 H14:I21 H23:I31 H6:I12 K6:L12 K33:L41 K53:L61 T4:V4 J4 K43:L51 N3:R3 Y13 D43:F51 K14:L21 K23:L31 N13:P61 P2:R2 V2:X3 T13:V61 J6:J61 Z4:AA61 D5:F12 N5:R12 T5:X12 N4:P4" name="LAS"/>
    <protectedRange sqref="G2:I3 M2:O2 S2:U3 Y2:AA3 G23:G31 G33:G41 G53:G61 S4:S61 G5:G12 M5:M12 M14:M61 Y5:Y12 G14:G21 Y14:Y61 M3 G43:G51" name="SOURCE"/>
    <protectedRange sqref="C44" name="Textbooks_1"/>
    <protectedRange sqref="C50" name="Textbooks_2"/>
    <protectedRange sqref="C48" name="Textbooks_3"/>
    <protectedRange sqref="C43" name="Textbooks_4"/>
    <protectedRange sqref="C46" name="Textbooks_5"/>
    <protectedRange sqref="C4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X5:X12 F33:F41 F23:F31 F14:F21 F5:F12 L53:L61 L43:L51 L33:L41 L23:L31 L14:L21 L5:L12 R53:R61 R43:R51 R33:R41 R23:R31 R14:R21 R5:R12 X53:X61 X43:X51 X33:X41 X23:X31 X14:X21 F43:F5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58" activePane="bottomRight" state="frozen"/>
      <selection pane="bottomRight" activeCell="AD142" sqref="AD142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161</v>
      </c>
      <c r="D55" s="5">
        <f>Table14[[#This Row],[Enrolment S.Y. 2025-2026 ]]*8</f>
        <v>1288</v>
      </c>
      <c r="E55" s="5">
        <v>186</v>
      </c>
      <c r="F55" s="1">
        <v>2025</v>
      </c>
      <c r="G55" s="5" t="s">
        <v>9</v>
      </c>
      <c r="H55" s="5">
        <f t="shared" si="0"/>
        <v>1102</v>
      </c>
      <c r="I55" s="5">
        <f t="shared" si="1"/>
        <v>0</v>
      </c>
      <c r="J55" s="5">
        <f>Table14[[#This Row],[Enrolment S.Y. 2025-2026 ]]*8</f>
        <v>1288</v>
      </c>
      <c r="K55" s="5">
        <v>186</v>
      </c>
      <c r="L55" s="1">
        <v>2025</v>
      </c>
      <c r="M55" s="5" t="s">
        <v>9</v>
      </c>
      <c r="N55" s="5">
        <f t="shared" si="2"/>
        <v>1102</v>
      </c>
      <c r="O55" s="5">
        <f t="shared" si="3"/>
        <v>0</v>
      </c>
      <c r="P55" s="5">
        <f>Table14[[#This Row],[Enrolment S.Y. 2025-2026 ]]*8</f>
        <v>1288</v>
      </c>
      <c r="Q55" s="5">
        <v>66</v>
      </c>
      <c r="R55" s="1">
        <v>2025</v>
      </c>
      <c r="S55" s="5" t="s">
        <v>9</v>
      </c>
      <c r="T55" s="5">
        <f t="shared" si="4"/>
        <v>1222</v>
      </c>
      <c r="U55" s="5">
        <f t="shared" si="5"/>
        <v>0</v>
      </c>
      <c r="V55" s="5">
        <f>Table14[[#This Row],[Enrolment S.Y. 2025-2026 ]]*8</f>
        <v>1288</v>
      </c>
      <c r="W55" s="5">
        <v>231</v>
      </c>
      <c r="X55" s="1">
        <v>2025</v>
      </c>
      <c r="Y55" s="5" t="s">
        <v>9</v>
      </c>
      <c r="Z55" s="5">
        <f t="shared" si="6"/>
        <v>1057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161</v>
      </c>
      <c r="D56" s="5">
        <f>Table14[[#This Row],[Enrolment S.Y. 2025-2026 ]]*8</f>
        <v>1288</v>
      </c>
      <c r="E56" s="5">
        <v>930</v>
      </c>
      <c r="F56" s="1">
        <v>2025</v>
      </c>
      <c r="G56" s="5" t="s">
        <v>9</v>
      </c>
      <c r="H56" s="5">
        <f t="shared" si="0"/>
        <v>358</v>
      </c>
      <c r="I56" s="5">
        <f t="shared" si="1"/>
        <v>0</v>
      </c>
      <c r="J56" s="5">
        <f>Table14[[#This Row],[Enrolment S.Y. 2025-2026 ]]*8</f>
        <v>1288</v>
      </c>
      <c r="K56" s="5">
        <v>868</v>
      </c>
      <c r="L56" s="1">
        <v>2025</v>
      </c>
      <c r="M56" s="5" t="s">
        <v>9</v>
      </c>
      <c r="N56" s="5">
        <f t="shared" si="2"/>
        <v>420</v>
      </c>
      <c r="O56" s="5">
        <f t="shared" si="3"/>
        <v>0</v>
      </c>
      <c r="P56" s="5">
        <f>Table14[[#This Row],[Enrolment S.Y. 2025-2026 ]]*8</f>
        <v>1288</v>
      </c>
      <c r="Q56" s="5">
        <v>198</v>
      </c>
      <c r="R56" s="1">
        <v>2025</v>
      </c>
      <c r="S56" s="5" t="s">
        <v>9</v>
      </c>
      <c r="T56" s="5">
        <f t="shared" si="4"/>
        <v>1090</v>
      </c>
      <c r="U56" s="5">
        <f t="shared" si="5"/>
        <v>0</v>
      </c>
      <c r="V56" s="5">
        <f>Table14[[#This Row],[Enrolment S.Y. 2025-2026 ]]*8</f>
        <v>1288</v>
      </c>
      <c r="W56" s="5">
        <v>165</v>
      </c>
      <c r="X56" s="1">
        <v>2025</v>
      </c>
      <c r="Y56" s="5" t="s">
        <v>9</v>
      </c>
      <c r="Z56" s="5">
        <f t="shared" si="6"/>
        <v>1123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161</v>
      </c>
      <c r="D57" s="5">
        <f>Table14[[#This Row],[Enrolment S.Y. 2025-2026 ]]*8</f>
        <v>1288</v>
      </c>
      <c r="E57" s="5">
        <v>682</v>
      </c>
      <c r="F57" s="1">
        <v>2025</v>
      </c>
      <c r="G57" s="5" t="s">
        <v>9</v>
      </c>
      <c r="H57" s="5">
        <f t="shared" si="0"/>
        <v>606</v>
      </c>
      <c r="I57" s="5">
        <f t="shared" si="1"/>
        <v>0</v>
      </c>
      <c r="J57" s="5">
        <f>Table14[[#This Row],[Enrolment S.Y. 2025-2026 ]]*8</f>
        <v>1288</v>
      </c>
      <c r="K57" s="5">
        <v>868</v>
      </c>
      <c r="L57" s="1">
        <v>2025</v>
      </c>
      <c r="M57" s="5" t="s">
        <v>9</v>
      </c>
      <c r="N57" s="5">
        <f t="shared" si="2"/>
        <v>420</v>
      </c>
      <c r="O57" s="5">
        <f t="shared" si="3"/>
        <v>0</v>
      </c>
      <c r="P57" s="5">
        <f>Table14[[#This Row],[Enrolment S.Y. 2025-2026 ]]*8</f>
        <v>1288</v>
      </c>
      <c r="Q57" s="5">
        <v>297</v>
      </c>
      <c r="R57" s="1">
        <v>2025</v>
      </c>
      <c r="S57" s="5" t="s">
        <v>9</v>
      </c>
      <c r="T57" s="5">
        <f t="shared" si="4"/>
        <v>991</v>
      </c>
      <c r="U57" s="5">
        <f t="shared" si="5"/>
        <v>0</v>
      </c>
      <c r="V57" s="5">
        <f>Table14[[#This Row],[Enrolment S.Y. 2025-2026 ]]*8</f>
        <v>1288</v>
      </c>
      <c r="W57" s="5">
        <v>297</v>
      </c>
      <c r="X57" s="1">
        <v>2025</v>
      </c>
      <c r="Y57" s="5" t="s">
        <v>9</v>
      </c>
      <c r="Z57" s="5">
        <f t="shared" si="6"/>
        <v>991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161</v>
      </c>
      <c r="D58" s="5">
        <f>Table14[[#This Row],[Enrolment S.Y. 2025-2026 ]]*8</f>
        <v>1288</v>
      </c>
      <c r="E58" s="5"/>
      <c r="F58" s="1"/>
      <c r="G58" s="5"/>
      <c r="H58" s="5">
        <f t="shared" si="0"/>
        <v>1288</v>
      </c>
      <c r="I58" s="5">
        <f t="shared" si="1"/>
        <v>0</v>
      </c>
      <c r="J58" s="5">
        <f>Table14[[#This Row],[Enrolment S.Y. 2025-2026 ]]*8</f>
        <v>1288</v>
      </c>
      <c r="K58" s="5"/>
      <c r="L58" s="1"/>
      <c r="M58" s="5"/>
      <c r="N58" s="5">
        <f t="shared" si="2"/>
        <v>1288</v>
      </c>
      <c r="O58" s="5">
        <f t="shared" si="3"/>
        <v>0</v>
      </c>
      <c r="P58" s="5">
        <f>Table14[[#This Row],[Enrolment S.Y. 2025-2026 ]]*8</f>
        <v>1288</v>
      </c>
      <c r="Q58" s="5">
        <v>132</v>
      </c>
      <c r="R58" s="1">
        <v>2025</v>
      </c>
      <c r="S58" s="5" t="s">
        <v>9</v>
      </c>
      <c r="T58" s="5">
        <f t="shared" si="4"/>
        <v>1156</v>
      </c>
      <c r="U58" s="5">
        <f t="shared" si="5"/>
        <v>0</v>
      </c>
      <c r="V58" s="5">
        <f>Table14[[#This Row],[Enrolment S.Y. 2025-2026 ]]*8</f>
        <v>1288</v>
      </c>
      <c r="W58" s="5">
        <v>66</v>
      </c>
      <c r="X58" s="1">
        <v>2025</v>
      </c>
      <c r="Y58" s="5" t="s">
        <v>9</v>
      </c>
      <c r="Z58" s="5">
        <f t="shared" si="6"/>
        <v>1222</v>
      </c>
      <c r="AA58" s="5">
        <f t="shared" si="7"/>
        <v>0</v>
      </c>
    </row>
    <row r="59" spans="1:27" ht="30.75" customHeight="1">
      <c r="A59" s="1">
        <v>6</v>
      </c>
      <c r="B59" s="9" t="s">
        <v>18</v>
      </c>
      <c r="C59" s="1">
        <v>161</v>
      </c>
      <c r="D59" s="5">
        <f>Table14[[#This Row],[Enrolment S.Y. 2025-2026 ]]*8</f>
        <v>1288</v>
      </c>
      <c r="E59" s="5"/>
      <c r="F59" s="1"/>
      <c r="G59" s="5"/>
      <c r="H59" s="5">
        <f t="shared" si="0"/>
        <v>1288</v>
      </c>
      <c r="I59" s="5">
        <f t="shared" si="1"/>
        <v>0</v>
      </c>
      <c r="J59" s="5">
        <f>Table14[[#This Row],[Enrolment S.Y. 2025-2026 ]]*8</f>
        <v>1288</v>
      </c>
      <c r="K59" s="5"/>
      <c r="L59" s="1"/>
      <c r="M59" s="5"/>
      <c r="N59" s="5">
        <f t="shared" si="2"/>
        <v>1288</v>
      </c>
      <c r="O59" s="5">
        <f t="shared" si="3"/>
        <v>0</v>
      </c>
      <c r="P59" s="5">
        <f>Table14[[#This Row],[Enrolment S.Y. 2025-2026 ]]*8</f>
        <v>1288</v>
      </c>
      <c r="Q59" s="5">
        <v>198</v>
      </c>
      <c r="R59" s="1">
        <v>2025</v>
      </c>
      <c r="S59" s="5" t="s">
        <v>9</v>
      </c>
      <c r="T59" s="5">
        <f t="shared" si="4"/>
        <v>1090</v>
      </c>
      <c r="U59" s="5">
        <f t="shared" si="5"/>
        <v>0</v>
      </c>
      <c r="V59" s="5">
        <f>Table14[[#This Row],[Enrolment S.Y. 2025-2026 ]]*8</f>
        <v>1288</v>
      </c>
      <c r="W59" s="5">
        <v>198</v>
      </c>
      <c r="X59" s="1">
        <v>2025</v>
      </c>
      <c r="Y59" s="5" t="s">
        <v>9</v>
      </c>
      <c r="Z59" s="5">
        <f t="shared" si="6"/>
        <v>1090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161</v>
      </c>
      <c r="D60" s="5">
        <f>Table14[[#This Row],[Enrolment S.Y. 2025-2026 ]]*8</f>
        <v>1288</v>
      </c>
      <c r="E60" s="5"/>
      <c r="F60" s="1"/>
      <c r="G60" s="5"/>
      <c r="H60" s="5">
        <f t="shared" si="0"/>
        <v>1288</v>
      </c>
      <c r="I60" s="5">
        <f t="shared" si="1"/>
        <v>0</v>
      </c>
      <c r="J60" s="5">
        <f>Table14[[#This Row],[Enrolment S.Y. 2025-2026 ]]*8</f>
        <v>1288</v>
      </c>
      <c r="K60" s="5"/>
      <c r="L60" s="1"/>
      <c r="M60" s="5"/>
      <c r="N60" s="5">
        <f t="shared" si="2"/>
        <v>1288</v>
      </c>
      <c r="O60" s="5">
        <f t="shared" si="3"/>
        <v>0</v>
      </c>
      <c r="P60" s="5">
        <f>Table14[[#This Row],[Enrolment S.Y. 2025-2026 ]]*8</f>
        <v>1288</v>
      </c>
      <c r="Q60" s="5">
        <v>132</v>
      </c>
      <c r="R60" s="1">
        <v>2025</v>
      </c>
      <c r="S60" s="5" t="s">
        <v>9</v>
      </c>
      <c r="T60" s="5">
        <f t="shared" si="4"/>
        <v>1156</v>
      </c>
      <c r="U60" s="5">
        <f t="shared" si="5"/>
        <v>0</v>
      </c>
      <c r="V60" s="5">
        <f>Table14[[#This Row],[Enrolment S.Y. 2025-2026 ]]*8</f>
        <v>1288</v>
      </c>
      <c r="W60" s="5"/>
      <c r="X60" s="1"/>
      <c r="Y60" s="5"/>
      <c r="Z60" s="5">
        <f t="shared" si="6"/>
        <v>1288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161</v>
      </c>
      <c r="D61" s="5">
        <f>Table14[[#This Row],[Enrolment S.Y. 2025-2026 ]]*8</f>
        <v>1288</v>
      </c>
      <c r="E61" s="5"/>
      <c r="F61" s="1"/>
      <c r="G61" s="5"/>
      <c r="H61" s="5">
        <f>IF((D61-E61)&lt;0,0,(D61-E61))</f>
        <v>1288</v>
      </c>
      <c r="I61" s="5">
        <f>IF((E61-D61)&lt;0,0,(E61-D61))</f>
        <v>0</v>
      </c>
      <c r="J61" s="5">
        <f>Table14[[#This Row],[Enrolment S.Y. 2025-2026 ]]*8</f>
        <v>1288</v>
      </c>
      <c r="K61" s="5"/>
      <c r="L61" s="1"/>
      <c r="M61" s="5"/>
      <c r="N61" s="5">
        <f t="shared" ref="N61:N65" si="12">IF((J61-K61)&lt;0,0,(J61-K61))</f>
        <v>1288</v>
      </c>
      <c r="O61" s="5">
        <f t="shared" ref="O61:O65" si="13">IF((K61-J61)&lt;0,0,(K61-J61))</f>
        <v>0</v>
      </c>
      <c r="P61" s="5">
        <f>Table14[[#This Row],[Enrolment S.Y. 2025-2026 ]]*8</f>
        <v>1288</v>
      </c>
      <c r="Q61" s="5">
        <v>132</v>
      </c>
      <c r="R61" s="1">
        <v>2025</v>
      </c>
      <c r="S61" s="5" t="s">
        <v>9</v>
      </c>
      <c r="T61" s="5">
        <f>IF((P61-Q61)&lt;0,0,(P61-Q61))</f>
        <v>1156</v>
      </c>
      <c r="U61" s="5">
        <f>IF((Q61-P61)&lt;0,0,(Q61-P61))</f>
        <v>0</v>
      </c>
      <c r="V61" s="5">
        <f>Table14[[#This Row],[Enrolment S.Y. 2025-2026 ]]*8</f>
        <v>1288</v>
      </c>
      <c r="W61" s="5">
        <v>99</v>
      </c>
      <c r="X61" s="1">
        <v>2025</v>
      </c>
      <c r="Y61" s="5" t="s">
        <v>9</v>
      </c>
      <c r="Z61" s="5">
        <f>IF((V61-W61)&lt;0,0,(V61-W61))</f>
        <v>1189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161</v>
      </c>
      <c r="D62" s="5">
        <f>Table14[[#This Row],[Enrolment S.Y. 2025-2026 ]]*8</f>
        <v>1288</v>
      </c>
      <c r="E62" s="5"/>
      <c r="F62" s="1"/>
      <c r="G62" s="5"/>
      <c r="H62" s="5">
        <f t="shared" si="0"/>
        <v>1288</v>
      </c>
      <c r="I62" s="5">
        <f t="shared" si="1"/>
        <v>0</v>
      </c>
      <c r="J62" s="5">
        <f>Table14[[#This Row],[Enrolment S.Y. 2025-2026 ]]*8</f>
        <v>1288</v>
      </c>
      <c r="K62" s="5"/>
      <c r="L62" s="1"/>
      <c r="M62" s="5"/>
      <c r="N62" s="5">
        <f t="shared" si="12"/>
        <v>1288</v>
      </c>
      <c r="O62" s="5">
        <f t="shared" si="13"/>
        <v>0</v>
      </c>
      <c r="P62" s="5">
        <f>Table14[[#This Row],[Enrolment S.Y. 2025-2026 ]]*8</f>
        <v>1288</v>
      </c>
      <c r="Q62" s="5">
        <v>231</v>
      </c>
      <c r="R62" s="1">
        <v>2025</v>
      </c>
      <c r="S62" s="5" t="s">
        <v>9</v>
      </c>
      <c r="T62" s="5">
        <f t="shared" si="4"/>
        <v>1057</v>
      </c>
      <c r="U62" s="5">
        <f t="shared" si="5"/>
        <v>0</v>
      </c>
      <c r="V62" s="5">
        <f>Table14[[#This Row],[Enrolment S.Y. 2025-2026 ]]*8</f>
        <v>1288</v>
      </c>
      <c r="W62" s="5">
        <v>297</v>
      </c>
      <c r="X62" s="1">
        <v>2025</v>
      </c>
      <c r="Y62" s="5" t="s">
        <v>9</v>
      </c>
      <c r="Z62" s="5">
        <f t="shared" si="6"/>
        <v>991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161</v>
      </c>
      <c r="D63" s="5">
        <f>Table14[[#This Row],[Enrolment S.Y. 2025-2026 ]]*8</f>
        <v>1288</v>
      </c>
      <c r="E63" s="5"/>
      <c r="F63" s="1"/>
      <c r="G63" s="5"/>
      <c r="H63" s="5">
        <f t="shared" si="0"/>
        <v>1288</v>
      </c>
      <c r="I63" s="5">
        <f t="shared" si="1"/>
        <v>0</v>
      </c>
      <c r="J63" s="5">
        <f>Table14[[#This Row],[Enrolment S.Y. 2025-2026 ]]*8</f>
        <v>1288</v>
      </c>
      <c r="K63" s="5"/>
      <c r="L63" s="1"/>
      <c r="M63" s="5"/>
      <c r="N63" s="5">
        <f t="shared" si="12"/>
        <v>1288</v>
      </c>
      <c r="O63" s="5">
        <f t="shared" si="13"/>
        <v>0</v>
      </c>
      <c r="P63" s="5">
        <f>Table14[[#This Row],[Enrolment S.Y. 2025-2026 ]]*8</f>
        <v>1288</v>
      </c>
      <c r="Q63" s="5"/>
      <c r="R63" s="1"/>
      <c r="S63" s="5"/>
      <c r="T63" s="5">
        <f t="shared" si="4"/>
        <v>1288</v>
      </c>
      <c r="U63" s="5">
        <f t="shared" si="5"/>
        <v>0</v>
      </c>
      <c r="V63" s="5">
        <f>Table14[[#This Row],[Enrolment S.Y. 2025-2026 ]]*8</f>
        <v>1288</v>
      </c>
      <c r="W63" s="5"/>
      <c r="X63" s="1"/>
      <c r="Y63" s="5"/>
      <c r="Z63" s="5">
        <f t="shared" si="6"/>
        <v>1288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161</v>
      </c>
      <c r="D64" s="5">
        <f>Table14[[#This Row],[Enrolment S.Y. 2025-2026 ]]*8</f>
        <v>1288</v>
      </c>
      <c r="E64" s="5"/>
      <c r="F64" s="1"/>
      <c r="G64" s="5"/>
      <c r="H64" s="5">
        <f>IF((D64-E64)&lt;0,0,(D64-E64))</f>
        <v>1288</v>
      </c>
      <c r="I64" s="5">
        <f>IF((E64-D64)&lt;0,0,(E64-D64))</f>
        <v>0</v>
      </c>
      <c r="J64" s="5">
        <f>Table14[[#This Row],[Enrolment S.Y. 2025-2026 ]]*8</f>
        <v>1288</v>
      </c>
      <c r="K64" s="5"/>
      <c r="L64" s="1"/>
      <c r="M64" s="5"/>
      <c r="N64" s="5">
        <f t="shared" si="12"/>
        <v>1288</v>
      </c>
      <c r="O64" s="5">
        <f t="shared" si="13"/>
        <v>0</v>
      </c>
      <c r="P64" s="5">
        <f>Table14[[#This Row],[Enrolment S.Y. 2025-2026 ]]*8</f>
        <v>1288</v>
      </c>
      <c r="Q64" s="5">
        <v>99</v>
      </c>
      <c r="R64" s="1">
        <v>2025</v>
      </c>
      <c r="S64" s="5" t="s">
        <v>9</v>
      </c>
      <c r="T64" s="5">
        <f>IF((P64-Q64)&lt;0,0,(P64-Q64))</f>
        <v>1189</v>
      </c>
      <c r="U64" s="5">
        <f>IF((Q64-P64)&lt;0,0,(Q64-P64))</f>
        <v>0</v>
      </c>
      <c r="V64" s="5">
        <f>Table14[[#This Row],[Enrolment S.Y. 2025-2026 ]]*8</f>
        <v>1288</v>
      </c>
      <c r="W64" s="5">
        <v>99</v>
      </c>
      <c r="X64" s="1">
        <v>2025</v>
      </c>
      <c r="Y64" s="5" t="s">
        <v>9</v>
      </c>
      <c r="Z64" s="5">
        <f>IF((V64-W64)&lt;0,0,(V64-W64))</f>
        <v>1189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161</v>
      </c>
      <c r="D65" s="5">
        <f>Table14[[#This Row],[Enrolment S.Y. 2025-2026 ]]*8</f>
        <v>1288</v>
      </c>
      <c r="E65" s="5"/>
      <c r="F65" s="1"/>
      <c r="G65" s="5"/>
      <c r="H65" s="5">
        <f t="shared" si="0"/>
        <v>1288</v>
      </c>
      <c r="I65" s="5">
        <f t="shared" si="1"/>
        <v>0</v>
      </c>
      <c r="J65" s="5">
        <f>Table14[[#This Row],[Enrolment S.Y. 2025-2026 ]]*8</f>
        <v>1288</v>
      </c>
      <c r="K65" s="5"/>
      <c r="L65" s="1"/>
      <c r="M65" s="5"/>
      <c r="N65" s="5">
        <f t="shared" si="12"/>
        <v>1288</v>
      </c>
      <c r="O65" s="5">
        <f t="shared" si="13"/>
        <v>0</v>
      </c>
      <c r="P65" s="5">
        <f>Table14[[#This Row],[Enrolment S.Y. 2025-2026 ]]*8</f>
        <v>1288</v>
      </c>
      <c r="Q65" s="5">
        <v>99</v>
      </c>
      <c r="R65" s="1">
        <v>2025</v>
      </c>
      <c r="S65" s="5" t="s">
        <v>9</v>
      </c>
      <c r="T65" s="5">
        <f t="shared" si="4"/>
        <v>1189</v>
      </c>
      <c r="U65" s="5">
        <f t="shared" si="5"/>
        <v>0</v>
      </c>
      <c r="V65" s="5">
        <f>Table14[[#This Row],[Enrolment S.Y. 2025-2026 ]]*8</f>
        <v>1288</v>
      </c>
      <c r="W65" s="5">
        <v>330</v>
      </c>
      <c r="X65" s="1">
        <v>2025</v>
      </c>
      <c r="Y65" s="5" t="s">
        <v>9</v>
      </c>
      <c r="Z65" s="5">
        <f t="shared" si="6"/>
        <v>958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H55:L65 N55:R65 T55:X65 N31:R41 P2:R10 N3:O10 V2:X10 T3:U10 N12:R19 T12:X19 H3:L10 Z3:AA10 Z12:AA19 H12:L19 N21:R29 T21:X29 Z21:AA29 H21:L29 T31:X41 Z31:AA41 H31:L41 T43:X53 Z43:AA53 H43:L53 Z55:AA65 N43:R53 D55:F65" name="LAS"/>
    <protectedRange sqref="G2:I2 M2:O2 S2:U2 Y2:AA2 G3:G10 M3:M10 S3:S10 Y3:Y10 Y12:Y19 G12:G19 M12:M19 S12:S19 Y21:Y29 G21:G29 M21:M29 S21:S29 Y31:Y41 G31:G41 M31:M41 S31:S41 Y43:Y53 G43:G53 M43:M53 S43:S53 G55:G65 S55:S65 Y55:Y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S55:S65 M55:M65 Y55:Y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2026-04-13T08:12:43Z</dcterms:modified>
  <cp:category/>
  <cp:contentStatus/>
</cp:coreProperties>
</file>