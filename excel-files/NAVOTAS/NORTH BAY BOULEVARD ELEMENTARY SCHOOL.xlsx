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7" documentId="13_ncr:1_{BFB59F67-F0DC-4675-A682-EB0734A8026A}" xr6:coauthVersionLast="47" xr6:coauthVersionMax="47" xr10:uidLastSave="{CA74FAB8-ED64-47C9-9A0B-FDC03A12D24B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4" l="1"/>
  <c r="K43" i="4"/>
  <c r="E50" i="4"/>
  <c r="E48" i="4"/>
  <c r="E46" i="4"/>
  <c r="E45" i="4"/>
  <c r="E44" i="4"/>
  <c r="E43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<sst xmlns="http://schemas.openxmlformats.org/spreadsheetml/2006/main" count="441" uniqueCount="92">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</sst>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4" activePane="topRight" state="frozen"/>
      <selection pane="topRight" activeCell="C35" sqref="C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143</v>
      </c>
      <c r="D2" s="1">
        <v>322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179</v>
      </c>
    </row>
    <row r="3" spans="1:8" ht="29.25" customHeight="1">
      <c r="A3" s="1">
        <v>1</v>
      </c>
      <c r="B3" s="2" t="s">
        <v>10</v>
      </c>
      <c r="C3" s="1">
        <v>143</v>
      </c>
      <c r="D3" s="1">
        <v>354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211</v>
      </c>
    </row>
    <row r="4" spans="1:8" ht="21" customHeight="1">
      <c r="A4" s="1">
        <v>1</v>
      </c>
      <c r="B4" s="2" t="s">
        <v>11</v>
      </c>
      <c r="C4" s="1">
        <v>143</v>
      </c>
      <c r="D4" s="1">
        <v>328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185</v>
      </c>
    </row>
    <row r="5" spans="1:8" ht="25.5" customHeight="1">
      <c r="A5" s="1">
        <v>1</v>
      </c>
      <c r="B5" s="2" t="s">
        <v>12</v>
      </c>
      <c r="C5" s="1">
        <v>143</v>
      </c>
      <c r="D5" s="1">
        <v>354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211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133</v>
      </c>
      <c r="D11" s="1">
        <v>161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28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150</v>
      </c>
      <c r="D22" s="1">
        <v>246</v>
      </c>
      <c r="E22" s="1">
        <v>2024</v>
      </c>
      <c r="F22" s="5" t="s">
        <v>14</v>
      </c>
      <c r="G22" s="3">
        <f t="shared" si="4"/>
        <v>0</v>
      </c>
      <c r="H22" s="4">
        <f t="shared" si="5"/>
        <v>96</v>
      </c>
    </row>
    <row r="23" spans="1:8" ht="19.5">
      <c r="A23" s="1">
        <v>4</v>
      </c>
      <c r="B23" s="9" t="s">
        <v>13</v>
      </c>
      <c r="C23" s="1">
        <v>150</v>
      </c>
      <c r="D23" s="1">
        <v>226</v>
      </c>
      <c r="E23" s="1">
        <v>2025</v>
      </c>
      <c r="F23" s="5" t="s">
        <v>14</v>
      </c>
      <c r="G23" s="3">
        <f t="shared" si="4"/>
        <v>0</v>
      </c>
      <c r="H23" s="4">
        <f t="shared" si="5"/>
        <v>76</v>
      </c>
    </row>
    <row r="24" spans="1:8" ht="27" customHeight="1">
      <c r="A24" s="1">
        <v>4</v>
      </c>
      <c r="B24" s="9" t="s">
        <v>11</v>
      </c>
      <c r="C24" s="1">
        <v>150</v>
      </c>
      <c r="D24" s="1">
        <v>228</v>
      </c>
      <c r="E24" s="1">
        <v>2025</v>
      </c>
      <c r="F24" s="5" t="s">
        <v>14</v>
      </c>
      <c r="G24" s="3">
        <f t="shared" si="4"/>
        <v>0</v>
      </c>
      <c r="H24" s="4">
        <f t="shared" si="5"/>
        <v>78</v>
      </c>
    </row>
    <row r="25" spans="1:8" ht="33.75" customHeight="1">
      <c r="A25" s="1">
        <v>4</v>
      </c>
      <c r="B25" s="9" t="s">
        <v>18</v>
      </c>
      <c r="C25" s="1">
        <v>150</v>
      </c>
      <c r="D25" s="1">
        <v>235</v>
      </c>
      <c r="E25" s="1">
        <v>2024</v>
      </c>
      <c r="F25" s="5" t="s">
        <v>14</v>
      </c>
      <c r="G25" s="3">
        <f t="shared" si="4"/>
        <v>0</v>
      </c>
      <c r="H25" s="4">
        <f t="shared" si="5"/>
        <v>85</v>
      </c>
    </row>
    <row r="26" spans="1:8" ht="33.75" customHeight="1">
      <c r="A26" s="1">
        <v>4</v>
      </c>
      <c r="B26" s="9" t="s">
        <v>15</v>
      </c>
      <c r="C26" s="1">
        <v>150</v>
      </c>
      <c r="D26" s="1">
        <v>247</v>
      </c>
      <c r="E26" s="1">
        <v>2024</v>
      </c>
      <c r="F26" s="5" t="s">
        <v>14</v>
      </c>
      <c r="G26" s="3">
        <f t="shared" si="4"/>
        <v>0</v>
      </c>
      <c r="H26" s="4">
        <f t="shared" si="5"/>
        <v>97</v>
      </c>
    </row>
    <row r="27" spans="1:8" ht="33.75" customHeight="1">
      <c r="A27" s="1">
        <v>4</v>
      </c>
      <c r="B27" s="9" t="s">
        <v>19</v>
      </c>
      <c r="C27" s="1">
        <v>150</v>
      </c>
      <c r="D27" s="1">
        <v>214</v>
      </c>
      <c r="E27" s="1">
        <v>2024</v>
      </c>
      <c r="F27" s="5" t="s">
        <v>14</v>
      </c>
      <c r="G27" s="3">
        <f t="shared" si="4"/>
        <v>0</v>
      </c>
      <c r="H27" s="4">
        <f t="shared" si="5"/>
        <v>64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150</v>
      </c>
      <c r="D29" s="1">
        <v>266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116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130</v>
      </c>
      <c r="D31" s="1">
        <v>162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32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130</v>
      </c>
      <c r="D35" s="1">
        <v>170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40</v>
      </c>
    </row>
    <row r="36" spans="1:8" ht="27.75" customHeight="1">
      <c r="A36" s="1">
        <v>5</v>
      </c>
      <c r="B36" s="9" t="s">
        <v>15</v>
      </c>
      <c r="C36" s="1">
        <v>130</v>
      </c>
      <c r="D36" s="1">
        <v>162</v>
      </c>
      <c r="E36" s="1">
        <v>2025</v>
      </c>
      <c r="F36" s="5" t="s">
        <v>14</v>
      </c>
      <c r="G36" s="3">
        <f t="shared" si="6"/>
        <v>0</v>
      </c>
      <c r="H36" s="4">
        <f t="shared" si="7"/>
        <v>32</v>
      </c>
    </row>
    <row r="37" spans="1:8" ht="27.75" customHeight="1">
      <c r="A37" s="1">
        <v>5</v>
      </c>
      <c r="B37" s="9" t="s">
        <v>19</v>
      </c>
      <c r="C37" s="1">
        <v>130</v>
      </c>
      <c r="D37" s="1">
        <v>162</v>
      </c>
      <c r="E37" s="1">
        <v>2025</v>
      </c>
      <c r="F37" s="5" t="s">
        <v>14</v>
      </c>
      <c r="G37" s="3">
        <f t="shared" si="6"/>
        <v>0</v>
      </c>
      <c r="H37" s="4">
        <f t="shared" si="7"/>
        <v>32</v>
      </c>
    </row>
    <row r="38" spans="1:8" ht="27.75" customHeight="1">
      <c r="A38" s="1">
        <v>5</v>
      </c>
      <c r="B38" s="9" t="s">
        <v>20</v>
      </c>
      <c r="C38" s="1">
        <v>130</v>
      </c>
      <c r="D38" s="1">
        <v>162</v>
      </c>
      <c r="E38" s="1">
        <v>2026</v>
      </c>
      <c r="F38" s="5" t="s">
        <v>14</v>
      </c>
      <c r="G38" s="3">
        <f t="shared" si="6"/>
        <v>0</v>
      </c>
      <c r="H38" s="4">
        <f t="shared" si="7"/>
        <v>32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21:E29 E14:E19 E8:E12 E2:E6 E91:E98 E81:E89 E71:E79 E61:E69 E51:E59 E41:E49 E31:E39" xr:uid="{B46E7B13-721E-4D49-837E-C02BF9777D48}">
      <formula1>"2024,2025,2026"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I40" zoomScale="70" zoomScaleNormal="70" workbookViewId="0">
      <selection activeCell="L47" sqref="L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3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131</v>
      </c>
      <c r="D17" s="5">
        <f>Table1[[#This Row],[Enrolment S.Y. 2025-2026 ]]*8</f>
        <v>1048</v>
      </c>
      <c r="E17" s="5"/>
      <c r="F17" s="1"/>
      <c r="G17" s="5"/>
      <c r="H17" s="5">
        <f t="shared" si="2"/>
        <v>1048</v>
      </c>
      <c r="I17" s="5">
        <f t="shared" si="3"/>
        <v>0</v>
      </c>
      <c r="J17" s="5">
        <f>Table1[[#This Row],[Enrolment S.Y. 2025-2026 ]]*8</f>
        <v>1048</v>
      </c>
      <c r="K17" s="5">
        <v>2752</v>
      </c>
      <c r="L17" s="1">
        <v>2025</v>
      </c>
      <c r="M17" s="5" t="s">
        <v>9</v>
      </c>
      <c r="N17" s="5">
        <f t="shared" si="10"/>
        <v>0</v>
      </c>
      <c r="O17" s="5">
        <f t="shared" si="11"/>
        <v>1704</v>
      </c>
      <c r="P17" s="5">
        <f>Table1[[#This Row],[Enrolment S.Y. 2025-2026 ]]*8</f>
        <v>1048</v>
      </c>
      <c r="Q17" s="5"/>
      <c r="R17" s="1"/>
      <c r="S17" s="5"/>
      <c r="T17" s="5">
        <f t="shared" si="12"/>
        <v>1048</v>
      </c>
      <c r="U17" s="5">
        <f t="shared" si="13"/>
        <v>0</v>
      </c>
      <c r="V17" s="5">
        <f>Table1[[#This Row],[Enrolment S.Y. 2025-2026 ]]*8</f>
        <v>1048</v>
      </c>
      <c r="W17" s="5"/>
      <c r="X17" s="1"/>
      <c r="Y17" s="5"/>
      <c r="Z17" s="5">
        <f t="shared" si="14"/>
        <v>1048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131</v>
      </c>
      <c r="D19" s="5">
        <f>Table1[[#This Row],[Enrolment S.Y. 2025-2026 ]]*8</f>
        <v>1048</v>
      </c>
      <c r="E19" s="5">
        <v>1496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448</v>
      </c>
      <c r="J19" s="5">
        <f>Table1[[#This Row],[Enrolment S.Y. 2025-2026 ]]*8</f>
        <v>1048</v>
      </c>
      <c r="K19" s="5">
        <v>2752</v>
      </c>
      <c r="L19" s="1">
        <v>2025</v>
      </c>
      <c r="M19" s="5" t="s">
        <v>9</v>
      </c>
      <c r="N19" s="5">
        <f t="shared" si="10"/>
        <v>0</v>
      </c>
      <c r="O19" s="5">
        <f t="shared" si="11"/>
        <v>1704</v>
      </c>
      <c r="P19" s="5">
        <f>Table1[[#This Row],[Enrolment S.Y. 2025-2026 ]]*8</f>
        <v>1048</v>
      </c>
      <c r="Q19" s="5"/>
      <c r="R19" s="1"/>
      <c r="S19" s="5"/>
      <c r="T19" s="5">
        <f t="shared" si="12"/>
        <v>1048</v>
      </c>
      <c r="U19" s="5">
        <f t="shared" si="13"/>
        <v>0</v>
      </c>
      <c r="V19" s="5">
        <f>Table1[[#This Row],[Enrolment S.Y. 2025-2026 ]]*8</f>
        <v>1048</v>
      </c>
      <c r="W19" s="5"/>
      <c r="X19" s="1"/>
      <c r="Y19" s="5"/>
      <c r="Z19" s="5">
        <f t="shared" si="14"/>
        <v>1048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130</v>
      </c>
      <c r="D43" s="5">
        <f>Table1[[#This Row],[Enrolment S.Y. 2025-2026 ]]*8</f>
        <v>1040</v>
      </c>
      <c r="E43" s="5">
        <f>58*8</f>
        <v>464</v>
      </c>
      <c r="F43" s="1">
        <v>2025</v>
      </c>
      <c r="G43" s="5" t="s">
        <v>9</v>
      </c>
      <c r="H43" s="5">
        <f t="shared" si="2"/>
        <v>576</v>
      </c>
      <c r="I43" s="5">
        <f t="shared" si="3"/>
        <v>0</v>
      </c>
      <c r="J43" s="5">
        <f>Table1[[#This Row],[Enrolment S.Y. 2025-2026 ]]*8</f>
        <v>1040</v>
      </c>
      <c r="K43" s="5">
        <f>312*8</f>
        <v>2496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1456</v>
      </c>
      <c r="P43" s="5">
        <f>Table1[[#This Row],[Enrolment S.Y. 2025-2026 ]]*8</f>
        <v>1040</v>
      </c>
      <c r="Q43" s="5"/>
      <c r="R43" s="1"/>
      <c r="S43" s="5"/>
      <c r="T43" s="5">
        <f t="shared" si="12"/>
        <v>1040</v>
      </c>
      <c r="U43" s="5">
        <f t="shared" si="13"/>
        <v>0</v>
      </c>
      <c r="V43" s="5">
        <f>Table1[[#This Row],[Enrolment S.Y. 2025-2026 ]]*8</f>
        <v>1040</v>
      </c>
      <c r="W43" s="5"/>
      <c r="X43" s="1"/>
      <c r="Y43" s="5"/>
      <c r="Z43" s="5">
        <f t="shared" si="14"/>
        <v>1040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130</v>
      </c>
      <c r="D44" s="5">
        <f>Table1[[#This Row],[Enrolment S.Y. 2025-2026 ]]*8</f>
        <v>1040</v>
      </c>
      <c r="E44" s="5">
        <f t="shared" ref="E44:E46" si="16">58*8</f>
        <v>464</v>
      </c>
      <c r="F44" s="1">
        <v>2025</v>
      </c>
      <c r="G44" s="5" t="s">
        <v>9</v>
      </c>
      <c r="H44" s="5">
        <f t="shared" si="2"/>
        <v>576</v>
      </c>
      <c r="I44" s="5">
        <f t="shared" si="3"/>
        <v>0</v>
      </c>
      <c r="J44" s="5">
        <f>Table1[[#This Row],[Enrolment S.Y. 2025-2026 ]]*8</f>
        <v>1040</v>
      </c>
      <c r="K44" s="5">
        <f>387*8</f>
        <v>3096</v>
      </c>
      <c r="L44" s="1">
        <v>2025</v>
      </c>
      <c r="M44" s="5" t="s">
        <v>9</v>
      </c>
      <c r="N44" s="5">
        <f t="shared" si="10"/>
        <v>0</v>
      </c>
      <c r="O44" s="5">
        <f t="shared" si="11"/>
        <v>2056</v>
      </c>
      <c r="P44" s="5">
        <f>Table1[[#This Row],[Enrolment S.Y. 2025-2026 ]]*8</f>
        <v>1040</v>
      </c>
      <c r="Q44" s="5"/>
      <c r="R44" s="1"/>
      <c r="S44" s="5"/>
      <c r="T44" s="5">
        <f t="shared" si="12"/>
        <v>1040</v>
      </c>
      <c r="U44" s="5">
        <f t="shared" si="13"/>
        <v>0</v>
      </c>
      <c r="V44" s="5">
        <f>Table1[[#This Row],[Enrolment S.Y. 2025-2026 ]]*8</f>
        <v>1040</v>
      </c>
      <c r="W44" s="5"/>
      <c r="X44" s="1"/>
      <c r="Y44" s="5"/>
      <c r="Z44" s="5">
        <f t="shared" si="14"/>
        <v>1040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130</v>
      </c>
      <c r="D45" s="5">
        <f>Table1[[#This Row],[Enrolment S.Y. 2025-2026 ]]*8</f>
        <v>1040</v>
      </c>
      <c r="E45" s="5">
        <f t="shared" si="16"/>
        <v>464</v>
      </c>
      <c r="F45" s="1">
        <v>2025</v>
      </c>
      <c r="G45" s="5" t="s">
        <v>9</v>
      </c>
      <c r="H45" s="5">
        <f t="shared" si="2"/>
        <v>576</v>
      </c>
      <c r="I45" s="5">
        <f t="shared" si="3"/>
        <v>0</v>
      </c>
      <c r="J45" s="5">
        <f>Table1[[#This Row],[Enrolment S.Y. 2025-2026 ]]*8</f>
        <v>1040</v>
      </c>
      <c r="K45" s="5"/>
      <c r="L45" s="1"/>
      <c r="M45" s="5"/>
      <c r="N45" s="5">
        <f t="shared" si="10"/>
        <v>1040</v>
      </c>
      <c r="O45" s="5">
        <f t="shared" si="11"/>
        <v>0</v>
      </c>
      <c r="P45" s="5">
        <f>Table1[[#This Row],[Enrolment S.Y. 2025-2026 ]]*8</f>
        <v>1040</v>
      </c>
      <c r="Q45" s="5"/>
      <c r="R45" s="1"/>
      <c r="S45" s="5"/>
      <c r="T45" s="5">
        <f t="shared" si="12"/>
        <v>1040</v>
      </c>
      <c r="U45" s="5">
        <f t="shared" si="13"/>
        <v>0</v>
      </c>
      <c r="V45" s="5">
        <f>Table1[[#This Row],[Enrolment S.Y. 2025-2026 ]]*8</f>
        <v>1040</v>
      </c>
      <c r="W45" s="5"/>
      <c r="X45" s="1"/>
      <c r="Y45" s="5"/>
      <c r="Z45" s="5">
        <f t="shared" si="14"/>
        <v>1040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130</v>
      </c>
      <c r="D46" s="5">
        <f>Table1[[#This Row],[Enrolment S.Y. 2025-2026 ]]*8</f>
        <v>1040</v>
      </c>
      <c r="E46" s="5">
        <f t="shared" si="16"/>
        <v>464</v>
      </c>
      <c r="F46" s="1">
        <v>2025</v>
      </c>
      <c r="G46" s="5" t="s">
        <v>9</v>
      </c>
      <c r="H46" s="5">
        <f t="shared" si="2"/>
        <v>576</v>
      </c>
      <c r="I46" s="5">
        <f t="shared" si="3"/>
        <v>0</v>
      </c>
      <c r="J46" s="5">
        <f>Table1[[#This Row],[Enrolment S.Y. 2025-2026 ]]*8</f>
        <v>1040</v>
      </c>
      <c r="K46" s="5"/>
      <c r="L46" s="1"/>
      <c r="M46" s="5"/>
      <c r="N46" s="5">
        <f t="shared" si="10"/>
        <v>1040</v>
      </c>
      <c r="O46" s="5">
        <f t="shared" si="11"/>
        <v>0</v>
      </c>
      <c r="P46" s="5">
        <f>Table1[[#This Row],[Enrolment S.Y. 2025-2026 ]]*8</f>
        <v>1040</v>
      </c>
      <c r="Q46" s="5"/>
      <c r="R46" s="1"/>
      <c r="S46" s="5"/>
      <c r="T46" s="5">
        <f t="shared" si="12"/>
        <v>1040</v>
      </c>
      <c r="U46" s="5">
        <f t="shared" si="13"/>
        <v>0</v>
      </c>
      <c r="V46" s="5">
        <f>Table1[[#This Row],[Enrolment S.Y. 2025-2026 ]]*8</f>
        <v>1040</v>
      </c>
      <c r="W46" s="5"/>
      <c r="X46" s="1"/>
      <c r="Y46" s="5"/>
      <c r="Z46" s="5">
        <f t="shared" si="14"/>
        <v>1040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130</v>
      </c>
      <c r="D48" s="5">
        <f>Table1[[#This Row],[Enrolment S.Y. 2025-2026 ]]*8</f>
        <v>1040</v>
      </c>
      <c r="E48" s="5">
        <f>58*8</f>
        <v>464</v>
      </c>
      <c r="F48" s="1">
        <v>2025</v>
      </c>
      <c r="G48" s="5" t="s">
        <v>9</v>
      </c>
      <c r="H48" s="5">
        <f t="shared" si="2"/>
        <v>576</v>
      </c>
      <c r="I48" s="5">
        <f t="shared" si="3"/>
        <v>0</v>
      </c>
      <c r="J48" s="5">
        <f>Table1[[#This Row],[Enrolment S.Y. 2025-2026 ]]*8</f>
        <v>1040</v>
      </c>
      <c r="K48" s="5"/>
      <c r="L48" s="1"/>
      <c r="M48" s="5"/>
      <c r="N48" s="5">
        <f t="shared" si="10"/>
        <v>1040</v>
      </c>
      <c r="O48" s="5">
        <f t="shared" si="11"/>
        <v>0</v>
      </c>
      <c r="P48" s="5">
        <f>Table1[[#This Row],[Enrolment S.Y. 2025-2026 ]]*8</f>
        <v>1040</v>
      </c>
      <c r="Q48" s="5"/>
      <c r="R48" s="1"/>
      <c r="S48" s="5"/>
      <c r="T48" s="5">
        <f t="shared" si="12"/>
        <v>1040</v>
      </c>
      <c r="U48" s="5">
        <f t="shared" si="13"/>
        <v>0</v>
      </c>
      <c r="V48" s="5">
        <f>Table1[[#This Row],[Enrolment S.Y. 2025-2026 ]]*8</f>
        <v>1040</v>
      </c>
      <c r="W48" s="5"/>
      <c r="X48" s="1"/>
      <c r="Y48" s="5"/>
      <c r="Z48" s="5">
        <f t="shared" si="14"/>
        <v>1040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130</v>
      </c>
      <c r="D50" s="5">
        <f>Table1[[#This Row],[Enrolment S.Y. 2025-2026 ]]*8</f>
        <v>1040</v>
      </c>
      <c r="E50" s="5">
        <f>58*8</f>
        <v>464</v>
      </c>
      <c r="F50" s="1">
        <v>2025</v>
      </c>
      <c r="G50" s="5" t="s">
        <v>9</v>
      </c>
      <c r="H50" s="5">
        <f t="shared" si="2"/>
        <v>576</v>
      </c>
      <c r="I50" s="5">
        <f t="shared" si="3"/>
        <v>0</v>
      </c>
      <c r="J50" s="5">
        <f>Table1[[#This Row],[Enrolment S.Y. 2025-2026 ]]*8</f>
        <v>1040</v>
      </c>
      <c r="K50" s="5"/>
      <c r="L50" s="1"/>
      <c r="M50" s="5"/>
      <c r="N50" s="5">
        <f t="shared" si="10"/>
        <v>1040</v>
      </c>
      <c r="O50" s="5">
        <f t="shared" si="11"/>
        <v>0</v>
      </c>
      <c r="P50" s="5">
        <f>Table1[[#This Row],[Enrolment S.Y. 2025-2026 ]]*8</f>
        <v>1040</v>
      </c>
      <c r="Q50" s="5"/>
      <c r="R50" s="1"/>
      <c r="S50" s="5"/>
      <c r="T50" s="5">
        <f t="shared" si="12"/>
        <v>1040</v>
      </c>
      <c r="U50" s="5">
        <f t="shared" si="13"/>
        <v>0</v>
      </c>
      <c r="V50" s="5">
        <f>Table1[[#This Row],[Enrolment S.Y. 2025-2026 ]]*8</f>
        <v>1040</v>
      </c>
      <c r="W50" s="5"/>
      <c r="X50" s="1"/>
      <c r="Y50" s="5"/>
      <c r="Z50" s="5">
        <f t="shared" si="14"/>
        <v>1040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7">IF((J70-K70)&lt;0,0,(J70-K70))</f>
        <v>0</v>
      </c>
      <c r="O70" s="12">
        <f t="shared" ref="O70:O126" si="18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9">IF((P70-Q70)&lt;0,0,(P70-Q70))</f>
        <v>0</v>
      </c>
      <c r="U70" s="12">
        <f t="shared" ref="U70:U127" si="20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1">IF((V70-W70)&lt;0,0,(V70-W70))</f>
        <v>0</v>
      </c>
      <c r="AA70" s="12">
        <f t="shared" ref="AA70:AA127" si="22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7"/>
        <v>0</v>
      </c>
      <c r="O71" s="12">
        <f t="shared" si="18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9"/>
        <v>0</v>
      </c>
      <c r="U71" s="12">
        <f t="shared" si="20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1"/>
        <v>0</v>
      </c>
      <c r="AA71" s="12">
        <f t="shared" si="22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7"/>
        <v>0</v>
      </c>
      <c r="O73" s="12">
        <f t="shared" si="18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9"/>
        <v>0</v>
      </c>
      <c r="U73" s="12">
        <f t="shared" si="20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1"/>
        <v>0</v>
      </c>
      <c r="AA73" s="12">
        <f t="shared" si="22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7"/>
        <v>0</v>
      </c>
      <c r="O74" s="12">
        <f t="shared" si="18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9"/>
        <v>0</v>
      </c>
      <c r="U74" s="12">
        <f t="shared" si="20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1"/>
        <v>0</v>
      </c>
      <c r="AA74" s="12">
        <f t="shared" si="22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7"/>
        <v>0</v>
      </c>
      <c r="O75" s="12">
        <f t="shared" si="18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9"/>
        <v>0</v>
      </c>
      <c r="U75" s="12">
        <f t="shared" si="20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1"/>
        <v>0</v>
      </c>
      <c r="AA75" s="12">
        <f t="shared" si="22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7"/>
        <v>0</v>
      </c>
      <c r="O76" s="12">
        <f t="shared" si="18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9"/>
        <v>0</v>
      </c>
      <c r="U76" s="12">
        <f t="shared" si="20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1"/>
        <v>0</v>
      </c>
      <c r="AA76" s="12">
        <f t="shared" si="22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7"/>
        <v>0</v>
      </c>
      <c r="O77" s="12">
        <f t="shared" si="18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9"/>
        <v>0</v>
      </c>
      <c r="U77" s="12">
        <f t="shared" si="20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1"/>
        <v>0</v>
      </c>
      <c r="AA77" s="12">
        <f t="shared" si="22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3">IF((D78-E78)&lt;0,0,(D78-E78))</f>
        <v>0</v>
      </c>
      <c r="I78" s="12">
        <f t="shared" ref="I78:I127" si="24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7"/>
        <v>0</v>
      </c>
      <c r="O78" s="12">
        <f t="shared" si="18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9"/>
        <v>0</v>
      </c>
      <c r="U78" s="12">
        <f t="shared" si="20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1"/>
        <v>0</v>
      </c>
      <c r="AA78" s="12">
        <f t="shared" si="22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3"/>
        <v>0</v>
      </c>
      <c r="I79" s="12">
        <f t="shared" si="24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7"/>
        <v>0</v>
      </c>
      <c r="O79" s="12">
        <f t="shared" si="18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9"/>
        <v>0</v>
      </c>
      <c r="U79" s="12">
        <f t="shared" si="20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1"/>
        <v>0</v>
      </c>
      <c r="AA79" s="12">
        <f t="shared" si="22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3"/>
        <v>0</v>
      </c>
      <c r="I80" s="12">
        <f t="shared" si="24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7"/>
        <v>0</v>
      </c>
      <c r="O80" s="12">
        <f t="shared" si="18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9"/>
        <v>0</v>
      </c>
      <c r="U80" s="12">
        <f t="shared" si="20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1"/>
        <v>0</v>
      </c>
      <c r="AA80" s="12">
        <f t="shared" si="22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3"/>
        <v>0</v>
      </c>
      <c r="I81" s="12">
        <f t="shared" si="24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7"/>
        <v>0</v>
      </c>
      <c r="O81" s="12">
        <f t="shared" si="18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9"/>
        <v>0</v>
      </c>
      <c r="U81" s="12">
        <f t="shared" si="20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1"/>
        <v>0</v>
      </c>
      <c r="AA81" s="12">
        <f t="shared" si="22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3"/>
        <v>0</v>
      </c>
      <c r="I83" s="12">
        <f t="shared" si="24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7"/>
        <v>0</v>
      </c>
      <c r="O83" s="12">
        <f t="shared" si="18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9"/>
        <v>0</v>
      </c>
      <c r="U83" s="12">
        <f t="shared" si="20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1"/>
        <v>0</v>
      </c>
      <c r="AA83" s="12">
        <f t="shared" si="22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3"/>
        <v>0</v>
      </c>
      <c r="I84" s="12">
        <f t="shared" si="24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7"/>
        <v>0</v>
      </c>
      <c r="O84" s="12">
        <f t="shared" si="18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9"/>
        <v>0</v>
      </c>
      <c r="U84" s="12">
        <f t="shared" si="20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1"/>
        <v>0</v>
      </c>
      <c r="AA84" s="12">
        <f t="shared" si="22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3"/>
        <v>0</v>
      </c>
      <c r="I85" s="12">
        <f t="shared" si="24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7"/>
        <v>0</v>
      </c>
      <c r="O85" s="12">
        <f t="shared" si="18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9"/>
        <v>0</v>
      </c>
      <c r="U85" s="12">
        <f t="shared" si="20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1"/>
        <v>0</v>
      </c>
      <c r="AA85" s="12">
        <f t="shared" si="22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3"/>
        <v>0</v>
      </c>
      <c r="I86" s="12">
        <f t="shared" si="24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7"/>
        <v>0</v>
      </c>
      <c r="O86" s="12">
        <f t="shared" si="18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9"/>
        <v>0</v>
      </c>
      <c r="U86" s="12">
        <f t="shared" si="20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1"/>
        <v>0</v>
      </c>
      <c r="AA86" s="12">
        <f t="shared" si="22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3"/>
        <v>0</v>
      </c>
      <c r="I87" s="12">
        <f t="shared" si="24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7"/>
        <v>0</v>
      </c>
      <c r="O87" s="12">
        <f t="shared" si="18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9"/>
        <v>0</v>
      </c>
      <c r="U87" s="12">
        <f t="shared" si="20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1"/>
        <v>0</v>
      </c>
      <c r="AA87" s="12">
        <f t="shared" si="22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3"/>
        <v>0</v>
      </c>
      <c r="I88" s="12">
        <f t="shared" si="24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7"/>
        <v>0</v>
      </c>
      <c r="O88" s="12">
        <f t="shared" si="18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9"/>
        <v>0</v>
      </c>
      <c r="U88" s="12">
        <f t="shared" si="20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1"/>
        <v>0</v>
      </c>
      <c r="AA88" s="12">
        <f t="shared" si="22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3"/>
        <v>0</v>
      </c>
      <c r="I89" s="12">
        <f t="shared" si="24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7"/>
        <v>0</v>
      </c>
      <c r="O89" s="12">
        <f t="shared" si="18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9"/>
        <v>0</v>
      </c>
      <c r="U89" s="12">
        <f t="shared" si="20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1"/>
        <v>0</v>
      </c>
      <c r="AA89" s="12">
        <f t="shared" si="22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3"/>
        <v>0</v>
      </c>
      <c r="I90" s="12">
        <f t="shared" si="24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7"/>
        <v>0</v>
      </c>
      <c r="O90" s="12">
        <f t="shared" si="18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9"/>
        <v>0</v>
      </c>
      <c r="U90" s="12">
        <f t="shared" si="20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1"/>
        <v>0</v>
      </c>
      <c r="AA90" s="12">
        <f t="shared" si="22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3"/>
        <v>0</v>
      </c>
      <c r="I91" s="12">
        <f t="shared" si="24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7"/>
        <v>0</v>
      </c>
      <c r="O91" s="12">
        <f t="shared" si="18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9"/>
        <v>0</v>
      </c>
      <c r="U91" s="12">
        <f t="shared" si="20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1"/>
        <v>0</v>
      </c>
      <c r="AA91" s="12">
        <f t="shared" si="22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3"/>
        <v>0</v>
      </c>
      <c r="I103" s="5">
        <f t="shared" si="24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7"/>
        <v>0</v>
      </c>
      <c r="O103" s="5">
        <f t="shared" si="18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9"/>
        <v>0</v>
      </c>
      <c r="U103" s="5">
        <f t="shared" si="20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1"/>
        <v>0</v>
      </c>
      <c r="AA103" s="5">
        <f t="shared" si="22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3"/>
        <v>0</v>
      </c>
      <c r="I104" s="5">
        <f t="shared" si="24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7"/>
        <v>0</v>
      </c>
      <c r="O104" s="5">
        <f t="shared" si="18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9"/>
        <v>0</v>
      </c>
      <c r="U104" s="5">
        <f t="shared" si="20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1"/>
        <v>0</v>
      </c>
      <c r="AA104" s="5">
        <f t="shared" si="22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3"/>
        <v>0</v>
      </c>
      <c r="I105" s="5">
        <f t="shared" si="24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7"/>
        <v>0</v>
      </c>
      <c r="O105" s="5">
        <f t="shared" si="18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9"/>
        <v>0</v>
      </c>
      <c r="U105" s="5">
        <f t="shared" si="20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1"/>
        <v>0</v>
      </c>
      <c r="AA105" s="5">
        <f t="shared" si="22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3"/>
        <v>0</v>
      </c>
      <c r="I106" s="5">
        <f t="shared" si="24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7"/>
        <v>0</v>
      </c>
      <c r="O106" s="5">
        <f t="shared" si="18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9"/>
        <v>0</v>
      </c>
      <c r="U106" s="5">
        <f t="shared" si="20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1"/>
        <v>0</v>
      </c>
      <c r="AA106" s="5">
        <f t="shared" si="22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3"/>
        <v>0</v>
      </c>
      <c r="I107" s="5">
        <f t="shared" si="24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7"/>
        <v>0</v>
      </c>
      <c r="O107" s="5">
        <f t="shared" si="18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9"/>
        <v>0</v>
      </c>
      <c r="U107" s="5">
        <f t="shared" si="20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1"/>
        <v>0</v>
      </c>
      <c r="AA107" s="5">
        <f t="shared" si="22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3"/>
        <v>0</v>
      </c>
      <c r="I108" s="5">
        <f t="shared" si="24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7"/>
        <v>0</v>
      </c>
      <c r="O108" s="5">
        <f t="shared" si="18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9"/>
        <v>0</v>
      </c>
      <c r="U108" s="5">
        <f t="shared" si="20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1"/>
        <v>0</v>
      </c>
      <c r="AA108" s="5">
        <f t="shared" si="22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3"/>
        <v>0</v>
      </c>
      <c r="I109" s="5">
        <f t="shared" si="24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7"/>
        <v>0</v>
      </c>
      <c r="O109" s="5">
        <f t="shared" si="18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9"/>
        <v>0</v>
      </c>
      <c r="U109" s="5">
        <f t="shared" si="20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1"/>
        <v>0</v>
      </c>
      <c r="AA109" s="5">
        <f t="shared" si="22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3"/>
        <v>0</v>
      </c>
      <c r="I110" s="5">
        <f t="shared" si="24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7"/>
        <v>0</v>
      </c>
      <c r="O110" s="5">
        <f t="shared" si="18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9"/>
        <v>0</v>
      </c>
      <c r="U110" s="5">
        <f t="shared" si="20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1"/>
        <v>0</v>
      </c>
      <c r="AA110" s="5">
        <f t="shared" si="22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3"/>
        <v>0</v>
      </c>
      <c r="I112" s="5">
        <f t="shared" si="24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7"/>
        <v>0</v>
      </c>
      <c r="O112" s="5">
        <f t="shared" si="18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9"/>
        <v>0</v>
      </c>
      <c r="U112" s="5">
        <f t="shared" si="20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1"/>
        <v>0</v>
      </c>
      <c r="AA112" s="5">
        <f t="shared" si="22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3"/>
        <v>0</v>
      </c>
      <c r="I113" s="5">
        <f t="shared" si="24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7"/>
        <v>0</v>
      </c>
      <c r="O113" s="5">
        <f t="shared" si="18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9"/>
        <v>0</v>
      </c>
      <c r="U113" s="5">
        <f t="shared" si="20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1"/>
        <v>0</v>
      </c>
      <c r="AA113" s="5">
        <f t="shared" si="22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3"/>
        <v>0</v>
      </c>
      <c r="I114" s="5">
        <f t="shared" si="24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7"/>
        <v>0</v>
      </c>
      <c r="O114" s="5">
        <f t="shared" si="18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9"/>
        <v>0</v>
      </c>
      <c r="U114" s="5">
        <f t="shared" si="20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1"/>
        <v>0</v>
      </c>
      <c r="AA114" s="5">
        <f t="shared" si="22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3"/>
        <v>0</v>
      </c>
      <c r="I115" s="5">
        <f t="shared" si="24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7"/>
        <v>0</v>
      </c>
      <c r="O115" s="5">
        <f t="shared" si="18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9"/>
        <v>0</v>
      </c>
      <c r="U115" s="5">
        <f t="shared" si="20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1"/>
        <v>0</v>
      </c>
      <c r="AA115" s="5">
        <f t="shared" si="22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3"/>
        <v>0</v>
      </c>
      <c r="I116" s="5">
        <f t="shared" si="24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7"/>
        <v>0</v>
      </c>
      <c r="O116" s="5">
        <f t="shared" si="18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9"/>
        <v>0</v>
      </c>
      <c r="U116" s="5">
        <f t="shared" si="20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1"/>
        <v>0</v>
      </c>
      <c r="AA116" s="5">
        <f t="shared" si="22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3"/>
        <v>0</v>
      </c>
      <c r="I117" s="5">
        <f t="shared" si="24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7"/>
        <v>0</v>
      </c>
      <c r="O117" s="5">
        <f t="shared" si="18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9"/>
        <v>0</v>
      </c>
      <c r="U117" s="5">
        <f t="shared" si="20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1"/>
        <v>0</v>
      </c>
      <c r="AA117" s="5">
        <f t="shared" si="22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3"/>
        <v>0</v>
      </c>
      <c r="I118" s="5">
        <f t="shared" si="24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7"/>
        <v>0</v>
      </c>
      <c r="O118" s="5">
        <f t="shared" si="18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9"/>
        <v>0</v>
      </c>
      <c r="U118" s="5">
        <f t="shared" si="20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1"/>
        <v>0</v>
      </c>
      <c r="AA118" s="5">
        <f t="shared" si="22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3"/>
        <v>0</v>
      </c>
      <c r="I119" s="5">
        <f t="shared" si="24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7"/>
        <v>0</v>
      </c>
      <c r="O119" s="5">
        <f t="shared" si="18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9"/>
        <v>0</v>
      </c>
      <c r="U119" s="5">
        <f t="shared" si="20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1"/>
        <v>0</v>
      </c>
      <c r="AA119" s="5">
        <f t="shared" si="22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3"/>
        <v>0</v>
      </c>
      <c r="I120" s="5">
        <f t="shared" si="24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7"/>
        <v>0</v>
      </c>
      <c r="O120" s="5">
        <f t="shared" si="18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9"/>
        <v>0</v>
      </c>
      <c r="U120" s="5">
        <f t="shared" si="20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1"/>
        <v>0</v>
      </c>
      <c r="AA120" s="5">
        <f t="shared" si="22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3"/>
        <v>0</v>
      </c>
      <c r="I121" s="5">
        <f t="shared" si="24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7"/>
        <v>0</v>
      </c>
      <c r="O121" s="5">
        <f t="shared" si="18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9"/>
        <v>0</v>
      </c>
      <c r="U121" s="5">
        <f t="shared" si="20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1"/>
        <v>0</v>
      </c>
      <c r="AA121" s="5">
        <f t="shared" si="22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3"/>
        <v>0</v>
      </c>
      <c r="I122" s="5">
        <f t="shared" si="24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7"/>
        <v>0</v>
      </c>
      <c r="O122" s="5">
        <f t="shared" si="18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9"/>
        <v>0</v>
      </c>
      <c r="U122" s="5">
        <f t="shared" si="20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1"/>
        <v>0</v>
      </c>
      <c r="AA122" s="5">
        <f t="shared" si="22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3"/>
        <v>0</v>
      </c>
      <c r="I123" s="5">
        <f t="shared" si="24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7"/>
        <v>0</v>
      </c>
      <c r="O123" s="5">
        <f t="shared" si="18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9"/>
        <v>0</v>
      </c>
      <c r="U123" s="5">
        <f t="shared" si="20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1"/>
        <v>0</v>
      </c>
      <c r="AA123" s="5">
        <f t="shared" si="22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3"/>
        <v>0</v>
      </c>
      <c r="I124" s="5">
        <f t="shared" si="24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7"/>
        <v>0</v>
      </c>
      <c r="O124" s="5">
        <f t="shared" si="18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9"/>
        <v>0</v>
      </c>
      <c r="U124" s="5">
        <f t="shared" si="20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1"/>
        <v>0</v>
      </c>
      <c r="AA124" s="5">
        <f t="shared" si="22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3"/>
        <v>0</v>
      </c>
      <c r="I125" s="5">
        <f t="shared" si="24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7"/>
        <v>0</v>
      </c>
      <c r="O125" s="5">
        <f t="shared" si="18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9"/>
        <v>0</v>
      </c>
      <c r="U125" s="5">
        <f t="shared" si="20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1"/>
        <v>0</v>
      </c>
      <c r="AA125" s="5">
        <f t="shared" si="22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3"/>
        <v>0</v>
      </c>
      <c r="I126" s="5">
        <f t="shared" si="24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7"/>
        <v>0</v>
      </c>
      <c r="O126" s="5">
        <f t="shared" si="18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9"/>
        <v>0</v>
      </c>
      <c r="U126" s="5">
        <f t="shared" si="20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1"/>
        <v>0</v>
      </c>
      <c r="AA126" s="5">
        <f t="shared" si="22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3"/>
        <v>0</v>
      </c>
      <c r="I127" s="5">
        <f t="shared" si="24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5">IF((J127-K127)&lt;0,0,(J127-K127))</f>
        <v>0</v>
      </c>
      <c r="O127" s="5">
        <f t="shared" ref="O127" si="26">IF((K127-J127)&lt;0,0,(K127-J127))</f>
        <v>0</v>
      </c>
      <c r="P127" s="5"/>
      <c r="Q127" s="31"/>
      <c r="R127" s="29"/>
      <c r="S127" s="31"/>
      <c r="T127" s="5">
        <f t="shared" si="19"/>
        <v>0</v>
      </c>
      <c r="U127" s="5">
        <f t="shared" si="20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1"/>
        <v>0</v>
      </c>
      <c r="AA127" s="5">
        <f t="shared" si="22"/>
        <v>0</v>
      </c>
    </row>
  </sheetData>
  <protectedRanges>
    <protectedRange sqref="C2:C3 C14:C21 C23:C31 C33:C41 C53:C61 C63:C71 C73:C81 C83:C91 C93:C101 C103:C110 C112:C127 C5:C12 C51 C49 C47" name="Textbooks"/>
    <protectedRange sqref="J2:L3 D2:F3 H5:L5 D14:F21 Q14:R21 W14:X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3 N13:P126 T13:V127 J6:J127 D5:F12 N5:R12 T5:X12 N4:P4 T4:V4 J4 Z4:AA127 N3:R3 Y13 D43:F51 K43:L51" name="LAS"/>
    <protectedRange sqref="G2:I3 M2:O2 S2:U3 Y2:AA3 G112:G127 M112:M127 S112:S127 Y112:Y127 G5:G12 M5:M12 S4:S110 Y5:Y12 G14:G21 M14:M110 M3 Y14:Y110 G23:G31 G33:G41 G53:G61 G63:G71 G73:G81 G83:G91 G93:G101 G103:G110 G43:G51" name="SOURCE"/>
    <protectedRange sqref="C44" name="Textbooks_1"/>
    <protectedRange sqref="C50" name="Textbooks_2"/>
    <protectedRange sqref="C48" name="Textbooks_3"/>
    <protectedRange sqref="C43" name="Textbooks_4"/>
    <protectedRange sqref="C46" name="Textbooks_5"/>
    <protectedRange sqref="C45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X5:X12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F43:F51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103:G110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I3" activePane="bottomRight" state="frozen"/>
      <selection pane="bottomRight" activeCell="J141" sqref="J14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161</v>
      </c>
      <c r="D55" s="5">
        <f>Table14[[#This Row],[Enrolment S.Y. 2025-2026 ]]*8</f>
        <v>1288</v>
      </c>
      <c r="E55" s="5">
        <v>186</v>
      </c>
      <c r="F55" s="1">
        <v>2025</v>
      </c>
      <c r="G55" s="5" t="s">
        <v>9</v>
      </c>
      <c r="H55" s="5">
        <f t="shared" si="0"/>
        <v>1102</v>
      </c>
      <c r="I55" s="5">
        <f t="shared" si="1"/>
        <v>0</v>
      </c>
      <c r="J55" s="5">
        <f>Table14[[#This Row],[Enrolment S.Y. 2025-2026 ]]*8</f>
        <v>1288</v>
      </c>
      <c r="K55" s="5">
        <v>186</v>
      </c>
      <c r="L55" s="1">
        <v>2025</v>
      </c>
      <c r="M55" s="5" t="s">
        <v>9</v>
      </c>
      <c r="N55" s="5">
        <f t="shared" si="2"/>
        <v>1102</v>
      </c>
      <c r="O55" s="5">
        <f t="shared" si="3"/>
        <v>0</v>
      </c>
      <c r="P55" s="5">
        <f>Table14[[#This Row],[Enrolment S.Y. 2025-2026 ]]*8</f>
        <v>1288</v>
      </c>
      <c r="Q55" s="5">
        <v>66</v>
      </c>
      <c r="R55" s="1">
        <v>2025</v>
      </c>
      <c r="S55" s="5" t="s">
        <v>9</v>
      </c>
      <c r="T55" s="5">
        <f t="shared" si="4"/>
        <v>1222</v>
      </c>
      <c r="U55" s="5">
        <f t="shared" si="5"/>
        <v>0</v>
      </c>
      <c r="V55" s="5">
        <f>Table14[[#This Row],[Enrolment S.Y. 2025-2026 ]]*8</f>
        <v>1288</v>
      </c>
      <c r="W55" s="5">
        <v>231</v>
      </c>
      <c r="X55" s="1">
        <v>2025</v>
      </c>
      <c r="Y55" s="5" t="s">
        <v>9</v>
      </c>
      <c r="Z55" s="5">
        <f t="shared" si="6"/>
        <v>1057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161</v>
      </c>
      <c r="D56" s="5">
        <f>Table14[[#This Row],[Enrolment S.Y. 2025-2026 ]]*8</f>
        <v>1288</v>
      </c>
      <c r="E56" s="5">
        <v>930</v>
      </c>
      <c r="F56" s="1">
        <v>2025</v>
      </c>
      <c r="G56" s="5" t="s">
        <v>9</v>
      </c>
      <c r="H56" s="5">
        <f t="shared" si="0"/>
        <v>358</v>
      </c>
      <c r="I56" s="5">
        <f t="shared" si="1"/>
        <v>0</v>
      </c>
      <c r="J56" s="5">
        <f>Table14[[#This Row],[Enrolment S.Y. 2025-2026 ]]*8</f>
        <v>1288</v>
      </c>
      <c r="K56" s="5">
        <v>868</v>
      </c>
      <c r="L56" s="1">
        <v>2025</v>
      </c>
      <c r="M56" s="5" t="s">
        <v>9</v>
      </c>
      <c r="N56" s="5">
        <f t="shared" si="2"/>
        <v>420</v>
      </c>
      <c r="O56" s="5">
        <f t="shared" si="3"/>
        <v>0</v>
      </c>
      <c r="P56" s="5">
        <f>Table14[[#This Row],[Enrolment S.Y. 2025-2026 ]]*8</f>
        <v>1288</v>
      </c>
      <c r="Q56" s="5">
        <v>198</v>
      </c>
      <c r="R56" s="1">
        <v>2025</v>
      </c>
      <c r="S56" s="5" t="s">
        <v>9</v>
      </c>
      <c r="T56" s="5">
        <f t="shared" si="4"/>
        <v>1090</v>
      </c>
      <c r="U56" s="5">
        <f t="shared" si="5"/>
        <v>0</v>
      </c>
      <c r="V56" s="5">
        <f>Table14[[#This Row],[Enrolment S.Y. 2025-2026 ]]*8</f>
        <v>1288</v>
      </c>
      <c r="W56" s="5">
        <v>165</v>
      </c>
      <c r="X56" s="1">
        <v>2025</v>
      </c>
      <c r="Y56" s="5" t="s">
        <v>9</v>
      </c>
      <c r="Z56" s="5">
        <f t="shared" si="6"/>
        <v>1123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161</v>
      </c>
      <c r="D57" s="5">
        <f>Table14[[#This Row],[Enrolment S.Y. 2025-2026 ]]*8</f>
        <v>1288</v>
      </c>
      <c r="E57" s="5">
        <v>682</v>
      </c>
      <c r="F57" s="1">
        <v>2025</v>
      </c>
      <c r="G57" s="5" t="s">
        <v>9</v>
      </c>
      <c r="H57" s="5">
        <f t="shared" si="0"/>
        <v>606</v>
      </c>
      <c r="I57" s="5">
        <f t="shared" si="1"/>
        <v>0</v>
      </c>
      <c r="J57" s="5">
        <f>Table14[[#This Row],[Enrolment S.Y. 2025-2026 ]]*8</f>
        <v>1288</v>
      </c>
      <c r="K57" s="5">
        <v>868</v>
      </c>
      <c r="L57" s="1">
        <v>2025</v>
      </c>
      <c r="M57" s="5" t="s">
        <v>9</v>
      </c>
      <c r="N57" s="5">
        <f t="shared" si="2"/>
        <v>420</v>
      </c>
      <c r="O57" s="5">
        <f t="shared" si="3"/>
        <v>0</v>
      </c>
      <c r="P57" s="5">
        <f>Table14[[#This Row],[Enrolment S.Y. 2025-2026 ]]*8</f>
        <v>1288</v>
      </c>
      <c r="Q57" s="5">
        <v>297</v>
      </c>
      <c r="R57" s="1">
        <v>2025</v>
      </c>
      <c r="S57" s="5" t="s">
        <v>9</v>
      </c>
      <c r="T57" s="5">
        <f t="shared" si="4"/>
        <v>991</v>
      </c>
      <c r="U57" s="5">
        <f t="shared" si="5"/>
        <v>0</v>
      </c>
      <c r="V57" s="5">
        <f>Table14[[#This Row],[Enrolment S.Y. 2025-2026 ]]*8</f>
        <v>1288</v>
      </c>
      <c r="W57" s="5">
        <v>297</v>
      </c>
      <c r="X57" s="1">
        <v>2025</v>
      </c>
      <c r="Y57" s="5" t="s">
        <v>9</v>
      </c>
      <c r="Z57" s="5">
        <f t="shared" si="6"/>
        <v>991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161</v>
      </c>
      <c r="D58" s="5">
        <f>Table14[[#This Row],[Enrolment S.Y. 2025-2026 ]]*8</f>
        <v>1288</v>
      </c>
      <c r="E58" s="5"/>
      <c r="F58" s="1"/>
      <c r="G58" s="5"/>
      <c r="H58" s="5">
        <f t="shared" si="0"/>
        <v>1288</v>
      </c>
      <c r="I58" s="5">
        <f t="shared" si="1"/>
        <v>0</v>
      </c>
      <c r="J58" s="5">
        <f>Table14[[#This Row],[Enrolment S.Y. 2025-2026 ]]*8</f>
        <v>1288</v>
      </c>
      <c r="K58" s="5"/>
      <c r="L58" s="1"/>
      <c r="M58" s="5"/>
      <c r="N58" s="5">
        <f t="shared" si="2"/>
        <v>1288</v>
      </c>
      <c r="O58" s="5">
        <f t="shared" si="3"/>
        <v>0</v>
      </c>
      <c r="P58" s="5">
        <f>Table14[[#This Row],[Enrolment S.Y. 2025-2026 ]]*8</f>
        <v>1288</v>
      </c>
      <c r="Q58" s="5">
        <v>132</v>
      </c>
      <c r="R58" s="1">
        <v>2025</v>
      </c>
      <c r="S58" s="5" t="s">
        <v>9</v>
      </c>
      <c r="T58" s="5">
        <f t="shared" si="4"/>
        <v>1156</v>
      </c>
      <c r="U58" s="5">
        <f t="shared" si="5"/>
        <v>0</v>
      </c>
      <c r="V58" s="5">
        <f>Table14[[#This Row],[Enrolment S.Y. 2025-2026 ]]*8</f>
        <v>1288</v>
      </c>
      <c r="W58" s="5">
        <v>66</v>
      </c>
      <c r="X58" s="1">
        <v>2025</v>
      </c>
      <c r="Y58" s="5" t="s">
        <v>9</v>
      </c>
      <c r="Z58" s="5">
        <f t="shared" si="6"/>
        <v>1222</v>
      </c>
      <c r="AA58" s="5">
        <f t="shared" si="7"/>
        <v>0</v>
      </c>
    </row>
    <row r="59" spans="1:27" ht="30.75" customHeight="1">
      <c r="A59" s="1">
        <v>6</v>
      </c>
      <c r="B59" s="9" t="s">
        <v>18</v>
      </c>
      <c r="C59" s="1">
        <v>161</v>
      </c>
      <c r="D59" s="5">
        <f>Table14[[#This Row],[Enrolment S.Y. 2025-2026 ]]*8</f>
        <v>1288</v>
      </c>
      <c r="E59" s="5"/>
      <c r="F59" s="1"/>
      <c r="G59" s="5"/>
      <c r="H59" s="5">
        <f t="shared" si="0"/>
        <v>1288</v>
      </c>
      <c r="I59" s="5">
        <f t="shared" si="1"/>
        <v>0</v>
      </c>
      <c r="J59" s="5">
        <f>Table14[[#This Row],[Enrolment S.Y. 2025-2026 ]]*8</f>
        <v>1288</v>
      </c>
      <c r="K59" s="5"/>
      <c r="L59" s="1"/>
      <c r="M59" s="5"/>
      <c r="N59" s="5">
        <f t="shared" si="2"/>
        <v>1288</v>
      </c>
      <c r="O59" s="5">
        <f t="shared" si="3"/>
        <v>0</v>
      </c>
      <c r="P59" s="5">
        <f>Table14[[#This Row],[Enrolment S.Y. 2025-2026 ]]*8</f>
        <v>1288</v>
      </c>
      <c r="Q59" s="5">
        <v>198</v>
      </c>
      <c r="R59" s="1">
        <v>2025</v>
      </c>
      <c r="S59" s="5" t="s">
        <v>9</v>
      </c>
      <c r="T59" s="5">
        <f t="shared" si="4"/>
        <v>1090</v>
      </c>
      <c r="U59" s="5">
        <f t="shared" si="5"/>
        <v>0</v>
      </c>
      <c r="V59" s="5">
        <f>Table14[[#This Row],[Enrolment S.Y. 2025-2026 ]]*8</f>
        <v>1288</v>
      </c>
      <c r="W59" s="5">
        <v>198</v>
      </c>
      <c r="X59" s="1">
        <v>2025</v>
      </c>
      <c r="Y59" s="5" t="s">
        <v>9</v>
      </c>
      <c r="Z59" s="5">
        <f t="shared" si="6"/>
        <v>1090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161</v>
      </c>
      <c r="D60" s="5">
        <f>Table14[[#This Row],[Enrolment S.Y. 2025-2026 ]]*8</f>
        <v>1288</v>
      </c>
      <c r="E60" s="5"/>
      <c r="F60" s="1"/>
      <c r="G60" s="5"/>
      <c r="H60" s="5">
        <f t="shared" si="0"/>
        <v>1288</v>
      </c>
      <c r="I60" s="5">
        <f t="shared" si="1"/>
        <v>0</v>
      </c>
      <c r="J60" s="5">
        <f>Table14[[#This Row],[Enrolment S.Y. 2025-2026 ]]*8</f>
        <v>1288</v>
      </c>
      <c r="K60" s="5"/>
      <c r="L60" s="1"/>
      <c r="M60" s="5"/>
      <c r="N60" s="5">
        <f t="shared" si="2"/>
        <v>1288</v>
      </c>
      <c r="O60" s="5">
        <f t="shared" si="3"/>
        <v>0</v>
      </c>
      <c r="P60" s="5">
        <f>Table14[[#This Row],[Enrolment S.Y. 2025-2026 ]]*8</f>
        <v>1288</v>
      </c>
      <c r="Q60" s="5">
        <v>132</v>
      </c>
      <c r="R60" s="1">
        <v>2025</v>
      </c>
      <c r="S60" s="5" t="s">
        <v>9</v>
      </c>
      <c r="T60" s="5">
        <f t="shared" si="4"/>
        <v>1156</v>
      </c>
      <c r="U60" s="5">
        <f t="shared" si="5"/>
        <v>0</v>
      </c>
      <c r="V60" s="5">
        <f>Table14[[#This Row],[Enrolment S.Y. 2025-2026 ]]*8</f>
        <v>1288</v>
      </c>
      <c r="W60" s="5"/>
      <c r="X60" s="1"/>
      <c r="Y60" s="5"/>
      <c r="Z60" s="5">
        <f t="shared" si="6"/>
        <v>1288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161</v>
      </c>
      <c r="D61" s="5">
        <f>Table14[[#This Row],[Enrolment S.Y. 2025-2026 ]]*8</f>
        <v>1288</v>
      </c>
      <c r="E61" s="5"/>
      <c r="F61" s="1"/>
      <c r="G61" s="5"/>
      <c r="H61" s="5">
        <f>IF((D61-E61)&lt;0,0,(D61-E61))</f>
        <v>1288</v>
      </c>
      <c r="I61" s="5">
        <f>IF((E61-D61)&lt;0,0,(E61-D61))</f>
        <v>0</v>
      </c>
      <c r="J61" s="5">
        <f>Table14[[#This Row],[Enrolment S.Y. 2025-2026 ]]*8</f>
        <v>1288</v>
      </c>
      <c r="K61" s="5"/>
      <c r="L61" s="1"/>
      <c r="M61" s="5"/>
      <c r="N61" s="5">
        <f t="shared" ref="N61:N65" si="12">IF((J61-K61)&lt;0,0,(J61-K61))</f>
        <v>1288</v>
      </c>
      <c r="O61" s="5">
        <f t="shared" ref="O61:O65" si="13">IF((K61-J61)&lt;0,0,(K61-J61))</f>
        <v>0</v>
      </c>
      <c r="P61" s="5">
        <f>Table14[[#This Row],[Enrolment S.Y. 2025-2026 ]]*8</f>
        <v>1288</v>
      </c>
      <c r="Q61" s="5">
        <v>132</v>
      </c>
      <c r="R61" s="1">
        <v>2025</v>
      </c>
      <c r="S61" s="5" t="s">
        <v>9</v>
      </c>
      <c r="T61" s="5">
        <f>IF((P61-Q61)&lt;0,0,(P61-Q61))</f>
        <v>1156</v>
      </c>
      <c r="U61" s="5">
        <f>IF((Q61-P61)&lt;0,0,(Q61-P61))</f>
        <v>0</v>
      </c>
      <c r="V61" s="5">
        <f>Table14[[#This Row],[Enrolment S.Y. 2025-2026 ]]*8</f>
        <v>1288</v>
      </c>
      <c r="W61" s="5">
        <v>99</v>
      </c>
      <c r="X61" s="1">
        <v>2025</v>
      </c>
      <c r="Y61" s="5" t="s">
        <v>9</v>
      </c>
      <c r="Z61" s="5">
        <f>IF((V61-W61)&lt;0,0,(V61-W61))</f>
        <v>1189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161</v>
      </c>
      <c r="D62" s="5">
        <f>Table14[[#This Row],[Enrolment S.Y. 2025-2026 ]]*8</f>
        <v>1288</v>
      </c>
      <c r="E62" s="5"/>
      <c r="F62" s="1"/>
      <c r="G62" s="5"/>
      <c r="H62" s="5">
        <f t="shared" si="0"/>
        <v>1288</v>
      </c>
      <c r="I62" s="5">
        <f t="shared" si="1"/>
        <v>0</v>
      </c>
      <c r="J62" s="5">
        <f>Table14[[#This Row],[Enrolment S.Y. 2025-2026 ]]*8</f>
        <v>1288</v>
      </c>
      <c r="K62" s="5"/>
      <c r="L62" s="1"/>
      <c r="M62" s="5"/>
      <c r="N62" s="5">
        <f t="shared" si="12"/>
        <v>1288</v>
      </c>
      <c r="O62" s="5">
        <f t="shared" si="13"/>
        <v>0</v>
      </c>
      <c r="P62" s="5">
        <f>Table14[[#This Row],[Enrolment S.Y. 2025-2026 ]]*8</f>
        <v>1288</v>
      </c>
      <c r="Q62" s="5">
        <v>231</v>
      </c>
      <c r="R62" s="1">
        <v>2025</v>
      </c>
      <c r="S62" s="5" t="s">
        <v>9</v>
      </c>
      <c r="T62" s="5">
        <f t="shared" si="4"/>
        <v>1057</v>
      </c>
      <c r="U62" s="5">
        <f t="shared" si="5"/>
        <v>0</v>
      </c>
      <c r="V62" s="5">
        <f>Table14[[#This Row],[Enrolment S.Y. 2025-2026 ]]*8</f>
        <v>1288</v>
      </c>
      <c r="W62" s="5">
        <v>297</v>
      </c>
      <c r="X62" s="1">
        <v>2025</v>
      </c>
      <c r="Y62" s="5" t="s">
        <v>9</v>
      </c>
      <c r="Z62" s="5">
        <f t="shared" si="6"/>
        <v>991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161</v>
      </c>
      <c r="D63" s="5">
        <f>Table14[[#This Row],[Enrolment S.Y. 2025-2026 ]]*8</f>
        <v>1288</v>
      </c>
      <c r="E63" s="5"/>
      <c r="F63" s="1"/>
      <c r="G63" s="5"/>
      <c r="H63" s="5">
        <f t="shared" si="0"/>
        <v>1288</v>
      </c>
      <c r="I63" s="5">
        <f t="shared" si="1"/>
        <v>0</v>
      </c>
      <c r="J63" s="5">
        <f>Table14[[#This Row],[Enrolment S.Y. 2025-2026 ]]*8</f>
        <v>1288</v>
      </c>
      <c r="K63" s="5"/>
      <c r="L63" s="1"/>
      <c r="M63" s="5"/>
      <c r="N63" s="5">
        <f t="shared" si="12"/>
        <v>1288</v>
      </c>
      <c r="O63" s="5">
        <f t="shared" si="13"/>
        <v>0</v>
      </c>
      <c r="P63" s="5">
        <f>Table14[[#This Row],[Enrolment S.Y. 2025-2026 ]]*8</f>
        <v>1288</v>
      </c>
      <c r="Q63" s="5"/>
      <c r="R63" s="1"/>
      <c r="S63" s="5"/>
      <c r="T63" s="5">
        <f t="shared" si="4"/>
        <v>1288</v>
      </c>
      <c r="U63" s="5">
        <f t="shared" si="5"/>
        <v>0</v>
      </c>
      <c r="V63" s="5">
        <f>Table14[[#This Row],[Enrolment S.Y. 2025-2026 ]]*8</f>
        <v>1288</v>
      </c>
      <c r="W63" s="5"/>
      <c r="X63" s="1"/>
      <c r="Y63" s="5"/>
      <c r="Z63" s="5">
        <f t="shared" si="6"/>
        <v>1288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161</v>
      </c>
      <c r="D64" s="5">
        <f>Table14[[#This Row],[Enrolment S.Y. 2025-2026 ]]*8</f>
        <v>1288</v>
      </c>
      <c r="E64" s="5"/>
      <c r="F64" s="1"/>
      <c r="G64" s="5"/>
      <c r="H64" s="5">
        <f>IF((D64-E64)&lt;0,0,(D64-E64))</f>
        <v>1288</v>
      </c>
      <c r="I64" s="5">
        <f>IF((E64-D64)&lt;0,0,(E64-D64))</f>
        <v>0</v>
      </c>
      <c r="J64" s="5">
        <f>Table14[[#This Row],[Enrolment S.Y. 2025-2026 ]]*8</f>
        <v>1288</v>
      </c>
      <c r="K64" s="5"/>
      <c r="L64" s="1"/>
      <c r="M64" s="5"/>
      <c r="N64" s="5">
        <f t="shared" si="12"/>
        <v>1288</v>
      </c>
      <c r="O64" s="5">
        <f t="shared" si="13"/>
        <v>0</v>
      </c>
      <c r="P64" s="5">
        <f>Table14[[#This Row],[Enrolment S.Y. 2025-2026 ]]*8</f>
        <v>1288</v>
      </c>
      <c r="Q64" s="5">
        <v>99</v>
      </c>
      <c r="R64" s="1">
        <v>2025</v>
      </c>
      <c r="S64" s="5" t="s">
        <v>9</v>
      </c>
      <c r="T64" s="5">
        <f>IF((P64-Q64)&lt;0,0,(P64-Q64))</f>
        <v>1189</v>
      </c>
      <c r="U64" s="5">
        <f>IF((Q64-P64)&lt;0,0,(Q64-P64))</f>
        <v>0</v>
      </c>
      <c r="V64" s="5">
        <f>Table14[[#This Row],[Enrolment S.Y. 2025-2026 ]]*8</f>
        <v>1288</v>
      </c>
      <c r="W64" s="5">
        <v>99</v>
      </c>
      <c r="X64" s="1">
        <v>2025</v>
      </c>
      <c r="Y64" s="5" t="s">
        <v>9</v>
      </c>
      <c r="Z64" s="5">
        <f>IF((V64-W64)&lt;0,0,(V64-W64))</f>
        <v>1189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161</v>
      </c>
      <c r="D65" s="5">
        <f>Table14[[#This Row],[Enrolment S.Y. 2025-2026 ]]*8</f>
        <v>1288</v>
      </c>
      <c r="E65" s="5"/>
      <c r="F65" s="1"/>
      <c r="G65" s="5"/>
      <c r="H65" s="5">
        <f t="shared" si="0"/>
        <v>1288</v>
      </c>
      <c r="I65" s="5">
        <f t="shared" si="1"/>
        <v>0</v>
      </c>
      <c r="J65" s="5">
        <f>Table14[[#This Row],[Enrolment S.Y. 2025-2026 ]]*8</f>
        <v>1288</v>
      </c>
      <c r="K65" s="5"/>
      <c r="L65" s="1"/>
      <c r="M65" s="5"/>
      <c r="N65" s="5">
        <f t="shared" si="12"/>
        <v>1288</v>
      </c>
      <c r="O65" s="5">
        <f t="shared" si="13"/>
        <v>0</v>
      </c>
      <c r="P65" s="5">
        <f>Table14[[#This Row],[Enrolment S.Y. 2025-2026 ]]*8</f>
        <v>1288</v>
      </c>
      <c r="Q65" s="5">
        <v>99</v>
      </c>
      <c r="R65" s="1">
        <v>2025</v>
      </c>
      <c r="S65" s="5" t="s">
        <v>9</v>
      </c>
      <c r="T65" s="5">
        <f t="shared" si="4"/>
        <v>1189</v>
      </c>
      <c r="U65" s="5">
        <f t="shared" si="5"/>
        <v>0</v>
      </c>
      <c r="V65" s="5">
        <f>Table14[[#This Row],[Enrolment S.Y. 2025-2026 ]]*8</f>
        <v>1288</v>
      </c>
      <c r="W65" s="5">
        <v>330</v>
      </c>
      <c r="X65" s="1">
        <v>2025</v>
      </c>
      <c r="Y65" s="5" t="s">
        <v>9</v>
      </c>
      <c r="Z65" s="5">
        <f t="shared" si="6"/>
        <v>958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67:C77 C79:C89 C115:C122 C103:C113 C91:C101 C55:C65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Z55:AA65 T67:X77 Z67:AA77 H67:L77 T79:X89 Z79:AA89 H79:L89 T91:X101 Z91:AA101 H91:L101 T103:X113 Z103:AA113 H103:L113 N115:R122 T115:X122 Z115:AA122 H115:L122 D103:F113 N31:R41 N43:R53 N67:R77 N79:R89 N91:R101 N103:R113 D55:F65 H55:L65 N55:R65 T55:X65" name="LAS"/>
    <protectedRange sqref="G2:I2 M2:O2 S2:U2 Y2:AA2 G3:G10 M3:M10 S3:S10 Y3:Y10 Y12:Y19 G12:G19 M12:M19 S12:S19 Y21:Y29 G21:G29 M21:M29 S21:S29 Y31:Y41 G31:G41 M31:M41 S31:S41 Y43:Y53 G43:G53 M43:M53 S43:S53 G55:G65 Y67:Y77 G67:G77 M67:M77 S67:S77 Y79:Y89 G79:G89 M79:M89 S79:S89 Y91:Y101 G91:G101 M91:M101 S91:S101 Y103:Y113 G103:G113 M103:M113 S103:S113 Y115:Y122 G115:G122 M115:M122 S115:S122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S55:S65 M55:M65 M115:M122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2026-03-26T04:22:53Z</dcterms:modified>
  <cp:category/>
  <cp:contentStatus/>
</cp:coreProperties>
</file>