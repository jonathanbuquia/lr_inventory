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1" documentId="13_ncr:1_{BFB59F67-F0DC-4675-A682-EB0734A8026A}" xr6:coauthVersionLast="47" xr6:coauthVersionMax="47" xr10:uidLastSave="{B5DD815F-8A81-48A2-A212-86DCDA56EE50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4" l="1"/>
  <c r="K43" i="4"/>
  <c r="K19" i="4"/>
  <c r="K17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<sst xmlns="http://schemas.openxmlformats.org/spreadsheetml/2006/main" count="248" uniqueCount="80">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</sst>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3" fontId="1" fillId="7" borderId="3" xfId="0" applyNumberFormat="1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2" activePane="topRight" state="frozen"/>
      <selection pane="topRight" activeCell="D151" sqref="D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615</v>
      </c>
      <c r="D11" s="1">
        <v>688</v>
      </c>
      <c r="E11" s="1">
        <v>2026</v>
      </c>
      <c r="F11" s="5" t="s">
        <v>13</v>
      </c>
      <c r="G11" s="3">
        <f>IF((C11-D11)&lt;0,0,C11-D11)</f>
        <v>0</v>
      </c>
      <c r="H11" s="4">
        <f>IF((D11-C11)&lt;0,0,D11-C11)</f>
        <v>73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594</v>
      </c>
      <c r="D22" s="1">
        <v>879</v>
      </c>
      <c r="E22" s="1">
        <v>2024</v>
      </c>
      <c r="F22" s="5" t="s">
        <v>13</v>
      </c>
      <c r="G22" s="3">
        <f t="shared" si="4"/>
        <v>0</v>
      </c>
      <c r="H22" s="4">
        <f t="shared" si="5"/>
        <v>285</v>
      </c>
    </row>
    <row r="23" spans="1:8" ht="19.5">
      <c r="A23" s="1">
        <v>4</v>
      </c>
      <c r="B23" s="9" t="s">
        <v>12</v>
      </c>
      <c r="C23" s="1">
        <v>594</v>
      </c>
      <c r="D23" s="1">
        <v>879</v>
      </c>
      <c r="E23" s="1">
        <v>2025</v>
      </c>
      <c r="F23" s="5" t="s">
        <v>13</v>
      </c>
      <c r="G23" s="3">
        <f t="shared" si="4"/>
        <v>0</v>
      </c>
      <c r="H23" s="4">
        <f t="shared" si="5"/>
        <v>285</v>
      </c>
    </row>
    <row r="24" spans="1:8" ht="27" customHeight="1">
      <c r="A24" s="1">
        <v>4</v>
      </c>
      <c r="B24" s="9" t="s">
        <v>10</v>
      </c>
      <c r="C24" s="1">
        <v>594</v>
      </c>
      <c r="D24" s="1">
        <v>879</v>
      </c>
      <c r="E24" s="1">
        <v>2025</v>
      </c>
      <c r="F24" s="5" t="s">
        <v>13</v>
      </c>
      <c r="G24" s="3">
        <f t="shared" si="4"/>
        <v>0</v>
      </c>
      <c r="H24" s="4">
        <f t="shared" si="5"/>
        <v>285</v>
      </c>
    </row>
    <row r="25" spans="1:8" ht="33.75" customHeight="1">
      <c r="A25" s="1">
        <v>4</v>
      </c>
      <c r="B25" s="9" t="s">
        <v>17</v>
      </c>
      <c r="C25" s="1">
        <v>594</v>
      </c>
      <c r="D25" s="1">
        <v>879</v>
      </c>
      <c r="E25" s="1">
        <v>2024</v>
      </c>
      <c r="F25" s="5" t="s">
        <v>13</v>
      </c>
      <c r="G25" s="3">
        <f t="shared" si="4"/>
        <v>0</v>
      </c>
      <c r="H25" s="4">
        <f t="shared" si="5"/>
        <v>285</v>
      </c>
    </row>
    <row r="26" spans="1:8" ht="33.75" customHeight="1">
      <c r="A26" s="1">
        <v>4</v>
      </c>
      <c r="B26" s="9" t="s">
        <v>14</v>
      </c>
      <c r="C26" s="1">
        <v>594</v>
      </c>
      <c r="D26" s="1">
        <v>879</v>
      </c>
      <c r="E26" s="1">
        <v>2024</v>
      </c>
      <c r="F26" s="5" t="s">
        <v>13</v>
      </c>
      <c r="G26" s="3">
        <f t="shared" si="4"/>
        <v>0</v>
      </c>
      <c r="H26" s="4">
        <f t="shared" si="5"/>
        <v>285</v>
      </c>
    </row>
    <row r="27" spans="1:8" ht="33.75" customHeight="1">
      <c r="A27" s="1">
        <v>4</v>
      </c>
      <c r="B27" s="9" t="s">
        <v>18</v>
      </c>
      <c r="C27" s="1">
        <v>594</v>
      </c>
      <c r="D27" s="1">
        <v>879</v>
      </c>
      <c r="E27" s="1">
        <v>2024</v>
      </c>
      <c r="F27" s="5" t="s">
        <v>13</v>
      </c>
      <c r="G27" s="3">
        <f t="shared" si="4"/>
        <v>0</v>
      </c>
      <c r="H27" s="4">
        <f t="shared" si="5"/>
        <v>285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594</v>
      </c>
      <c r="D29" s="1">
        <v>879</v>
      </c>
      <c r="E29" s="1">
        <v>2026</v>
      </c>
      <c r="F29" s="5" t="s">
        <v>13</v>
      </c>
      <c r="G29" s="3">
        <f t="shared" si="4"/>
        <v>0</v>
      </c>
      <c r="H29" s="4">
        <f t="shared" si="5"/>
        <v>285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560</v>
      </c>
      <c r="D31" s="1">
        <v>703</v>
      </c>
      <c r="E31" s="1">
        <v>2025</v>
      </c>
      <c r="F31" s="5" t="s">
        <v>13</v>
      </c>
      <c r="G31" s="3">
        <f t="shared" ref="G31:G39" si="6">IF((C31-D31)&lt;0,0,C31-D31)</f>
        <v>0</v>
      </c>
      <c r="H31" s="4">
        <f t="shared" ref="H31:H39" si="7">IF((D31-C31)&lt;0,0,D31-C31)</f>
        <v>143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560</v>
      </c>
      <c r="D35" s="1">
        <v>696</v>
      </c>
      <c r="E35" s="1">
        <v>2025</v>
      </c>
      <c r="F35" s="5" t="s">
        <v>13</v>
      </c>
      <c r="G35" s="3">
        <f t="shared" si="6"/>
        <v>0</v>
      </c>
      <c r="H35" s="4">
        <f t="shared" si="7"/>
        <v>136</v>
      </c>
    </row>
    <row r="36" spans="1:8" ht="27.75" customHeight="1">
      <c r="A36" s="1">
        <v>5</v>
      </c>
      <c r="B36" s="9" t="s">
        <v>14</v>
      </c>
      <c r="C36" s="1">
        <v>560</v>
      </c>
      <c r="D36" s="1">
        <v>703</v>
      </c>
      <c r="E36" s="1">
        <v>2025</v>
      </c>
      <c r="F36" s="5" t="s">
        <v>13</v>
      </c>
      <c r="G36" s="3">
        <f t="shared" si="6"/>
        <v>0</v>
      </c>
      <c r="H36" s="4">
        <f t="shared" si="7"/>
        <v>143</v>
      </c>
    </row>
    <row r="37" spans="1:8" ht="27.75" customHeight="1">
      <c r="A37" s="1">
        <v>5</v>
      </c>
      <c r="B37" s="9" t="s">
        <v>18</v>
      </c>
      <c r="C37" s="1">
        <v>560</v>
      </c>
      <c r="D37" s="1">
        <v>703</v>
      </c>
      <c r="E37" s="1">
        <v>2025</v>
      </c>
      <c r="F37" s="5" t="s">
        <v>13</v>
      </c>
      <c r="G37" s="3">
        <f t="shared" si="6"/>
        <v>0</v>
      </c>
      <c r="H37" s="4">
        <f t="shared" si="7"/>
        <v>143</v>
      </c>
    </row>
    <row r="38" spans="1:8" ht="27.75" customHeight="1">
      <c r="A38" s="1">
        <v>5</v>
      </c>
      <c r="B38" s="9" t="s">
        <v>19</v>
      </c>
      <c r="C38" s="1">
        <v>560</v>
      </c>
      <c r="D38" s="1">
        <v>703</v>
      </c>
      <c r="E38" s="1">
        <v>2026</v>
      </c>
      <c r="F38" s="5" t="s">
        <v>13</v>
      </c>
      <c r="G38" s="3">
        <f t="shared" si="6"/>
        <v>0</v>
      </c>
      <c r="H38" s="4">
        <f t="shared" si="7"/>
        <v>143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21:E29 E2:E6 E14:E19 E8:E12 E31:E3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AF138" sqref="AF13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615</v>
      </c>
      <c r="D17" s="5">
        <f>Table1[[#This Row],[Enrolment S.Y. 2025-2026 ]]*8</f>
        <v>4920</v>
      </c>
      <c r="E17" s="5"/>
      <c r="F17" s="1"/>
      <c r="G17" s="5"/>
      <c r="H17" s="5">
        <f t="shared" si="2"/>
        <v>4920</v>
      </c>
      <c r="I17" s="5">
        <f t="shared" si="3"/>
        <v>0</v>
      </c>
      <c r="J17" s="5">
        <f>Table1[[#This Row],[Enrolment S.Y. 2025-2026 ]]*8</f>
        <v>4920</v>
      </c>
      <c r="K17" s="5">
        <f>585*8</f>
        <v>4680</v>
      </c>
      <c r="L17" s="1">
        <v>2025</v>
      </c>
      <c r="M17" s="5" t="s">
        <v>51</v>
      </c>
      <c r="N17" s="5">
        <f t="shared" si="10"/>
        <v>240</v>
      </c>
      <c r="O17" s="5">
        <f t="shared" si="11"/>
        <v>0</v>
      </c>
      <c r="P17" s="5">
        <f>Table1[[#This Row],[Enrolment S.Y. 2025-2026 ]]*8</f>
        <v>4920</v>
      </c>
      <c r="Q17" s="5"/>
      <c r="R17" s="1"/>
      <c r="S17" s="5"/>
      <c r="T17" s="5">
        <f t="shared" si="12"/>
        <v>4920</v>
      </c>
      <c r="U17" s="5">
        <f t="shared" si="13"/>
        <v>0</v>
      </c>
      <c r="V17" s="5">
        <f>Table1[[#This Row],[Enrolment S.Y. 2025-2026 ]]*8</f>
        <v>4920</v>
      </c>
      <c r="W17" s="5"/>
      <c r="X17" s="1"/>
      <c r="Y17" s="5"/>
      <c r="Z17" s="5">
        <f t="shared" si="14"/>
        <v>4920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615</v>
      </c>
      <c r="D19" s="5">
        <f>Table1[[#This Row],[Enrolment S.Y. 2025-2026 ]]*8</f>
        <v>4920</v>
      </c>
      <c r="E19" s="5"/>
      <c r="F19" s="1"/>
      <c r="G19" s="5"/>
      <c r="H19" s="5">
        <f>IF((D19-E19)&lt;0,0,(D19-E19))</f>
        <v>4920</v>
      </c>
      <c r="I19" s="5">
        <f>IF((E19-D19)&lt;0,0,(E19-D19))</f>
        <v>0</v>
      </c>
      <c r="J19" s="5">
        <f>Table1[[#This Row],[Enrolment S.Y. 2025-2026 ]]*8</f>
        <v>4920</v>
      </c>
      <c r="K19" s="5">
        <f>585*8</f>
        <v>4680</v>
      </c>
      <c r="L19" s="1">
        <v>2025</v>
      </c>
      <c r="M19" s="5" t="s">
        <v>51</v>
      </c>
      <c r="N19" s="5">
        <f t="shared" si="10"/>
        <v>240</v>
      </c>
      <c r="O19" s="5">
        <f t="shared" si="11"/>
        <v>0</v>
      </c>
      <c r="P19" s="5">
        <f>Table1[[#This Row],[Enrolment S.Y. 2025-2026 ]]*8</f>
        <v>4920</v>
      </c>
      <c r="Q19" s="5"/>
      <c r="R19" s="1"/>
      <c r="S19" s="5"/>
      <c r="T19" s="5">
        <f t="shared" si="12"/>
        <v>4920</v>
      </c>
      <c r="U19" s="5">
        <f t="shared" si="13"/>
        <v>0</v>
      </c>
      <c r="V19" s="5">
        <f>Table1[[#This Row],[Enrolment S.Y. 2025-2026 ]]*8</f>
        <v>4920</v>
      </c>
      <c r="W19" s="5"/>
      <c r="X19" s="1"/>
      <c r="Y19" s="5"/>
      <c r="Z19" s="5">
        <f t="shared" si="14"/>
        <v>4920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560</v>
      </c>
      <c r="D43" s="5">
        <f>Table1[[#This Row],[Enrolment S.Y. 2025-2026 ]]*8</f>
        <v>4480</v>
      </c>
      <c r="E43" s="5"/>
      <c r="F43" s="1"/>
      <c r="G43" s="5"/>
      <c r="H43" s="5">
        <f t="shared" si="2"/>
        <v>4480</v>
      </c>
      <c r="I43" s="5">
        <f t="shared" si="3"/>
        <v>0</v>
      </c>
      <c r="J43" s="5">
        <f>Table1[[#This Row],[Enrolment S.Y. 2025-2026 ]]*8</f>
        <v>4480</v>
      </c>
      <c r="K43" s="5">
        <f>565*8</f>
        <v>4520</v>
      </c>
      <c r="L43" s="1">
        <v>2025</v>
      </c>
      <c r="M43" s="5" t="s">
        <v>51</v>
      </c>
      <c r="N43" s="5">
        <f t="shared" si="10"/>
        <v>0</v>
      </c>
      <c r="O43" s="5">
        <f t="shared" si="11"/>
        <v>40</v>
      </c>
      <c r="P43" s="5">
        <f>Table1[[#This Row],[Enrolment S.Y. 2025-2026 ]]*8</f>
        <v>4480</v>
      </c>
      <c r="Q43" s="5"/>
      <c r="R43" s="1"/>
      <c r="S43" s="5"/>
      <c r="T43" s="5">
        <f t="shared" si="12"/>
        <v>4480</v>
      </c>
      <c r="U43" s="5">
        <f t="shared" si="13"/>
        <v>0</v>
      </c>
      <c r="V43" s="5">
        <f>Table1[[#This Row],[Enrolment S.Y. 2025-2026 ]]*8</f>
        <v>4480</v>
      </c>
      <c r="W43" s="5"/>
      <c r="X43" s="1"/>
      <c r="Y43" s="5"/>
      <c r="Z43" s="5">
        <f t="shared" si="14"/>
        <v>4480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560</v>
      </c>
      <c r="D45" s="5">
        <f>Table1[[#This Row],[Enrolment S.Y. 2025-2026 ]]*8</f>
        <v>4480</v>
      </c>
      <c r="E45" s="5"/>
      <c r="F45" s="1"/>
      <c r="G45" s="5"/>
      <c r="H45" s="5">
        <f t="shared" si="2"/>
        <v>4480</v>
      </c>
      <c r="I45" s="5">
        <f t="shared" si="3"/>
        <v>0</v>
      </c>
      <c r="J45" s="5">
        <f>Table1[[#This Row],[Enrolment S.Y. 2025-2026 ]]*8</f>
        <v>4480</v>
      </c>
      <c r="K45" s="5">
        <f>565*8</f>
        <v>4520</v>
      </c>
      <c r="L45" s="1">
        <v>2025</v>
      </c>
      <c r="M45" s="5" t="s">
        <v>51</v>
      </c>
      <c r="N45" s="5">
        <f t="shared" si="10"/>
        <v>0</v>
      </c>
      <c r="O45" s="5">
        <f t="shared" si="11"/>
        <v>40</v>
      </c>
      <c r="P45" s="5">
        <f>Table1[[#This Row],[Enrolment S.Y. 2025-2026 ]]*8</f>
        <v>4480</v>
      </c>
      <c r="Q45" s="5"/>
      <c r="R45" s="1"/>
      <c r="S45" s="5"/>
      <c r="T45" s="5">
        <f t="shared" si="12"/>
        <v>4480</v>
      </c>
      <c r="U45" s="5">
        <f t="shared" si="13"/>
        <v>0</v>
      </c>
      <c r="V45" s="5">
        <f>Table1[[#This Row],[Enrolment S.Y. 2025-2026 ]]*8</f>
        <v>4480</v>
      </c>
      <c r="W45" s="5"/>
      <c r="X45" s="1"/>
      <c r="Y45" s="5"/>
      <c r="Z45" s="5">
        <f t="shared" si="14"/>
        <v>4480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16 C23:C31 C33:C41 C44 C53:C61 C18 C46:C51 C5:C12 C20:C21" name="Textbooks"/>
    <protectedRange sqref="J2:L3 D2:F3 H5:L5 D14:F21 Q14:R21 W14:X21 D23:F31 Q23:R31 W23:X31 D33:F41 H33:I41 Q33:R41 W33:X41 D43:F51 H43:I51 Q43:R51 W43:X51 D53:F61 H53:I61 Q53:R61 W53:X61 N4:P4 H14:I21 H23:I31 H6:I12 K6:L12 K33:L41 K53:L61 T4:V4 J4 K43:L51 N3:R3 Y13 K14:L21 K23:L31 N13:P61 P2:R2 V2:X3 T13:V61 J6:J61 Z4:AA61 D5:F12 N5:R12 T5:X12" name="LAS"/>
    <protectedRange sqref="G2:I3 M2:O2 S2:U3 Y2:AA3 G23:G31 G33:G41 G43:G51 S4:S61 G5:G12 M5:M12 M14:M61 Y5:Y12 G14:G21 Y14:Y61 M3 G53:G61" name="SOURCE"/>
    <protectedRange sqref="C19" name="Textbooks_1"/>
    <protectedRange sqref="C17" name="Textbooks_2"/>
    <protectedRange sqref="C43" name="Textbooks_3"/>
    <protectedRange sqref="C45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5" zoomScale="55" zoomScaleNormal="55" workbookViewId="0">
      <selection activeCell="AC143" sqref="AC14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537</v>
      </c>
      <c r="D55" s="5">
        <f>Table14[[#This Row],[Enrolment S.Y. 2025-2026 ]]*8</f>
        <v>4296</v>
      </c>
      <c r="E55" s="5">
        <v>663</v>
      </c>
      <c r="F55" s="1">
        <v>2025</v>
      </c>
      <c r="G55" s="5" t="s">
        <v>51</v>
      </c>
      <c r="H55" s="5">
        <f t="shared" si="0"/>
        <v>3633</v>
      </c>
      <c r="I55" s="5">
        <f t="shared" si="1"/>
        <v>0</v>
      </c>
      <c r="J55" s="5">
        <f>Table14[[#This Row],[Enrolment S.Y. 2025-2026 ]]*8</f>
        <v>4296</v>
      </c>
      <c r="K55" s="5">
        <v>357</v>
      </c>
      <c r="L55" s="1">
        <v>2025</v>
      </c>
      <c r="M55" s="5" t="s">
        <v>51</v>
      </c>
      <c r="N55" s="5">
        <f t="shared" si="2"/>
        <v>3939</v>
      </c>
      <c r="O55" s="5">
        <f t="shared" si="3"/>
        <v>0</v>
      </c>
      <c r="P55" s="5">
        <f>Table14[[#This Row],[Enrolment S.Y. 2025-2026 ]]*8</f>
        <v>4296</v>
      </c>
      <c r="Q55" s="5"/>
      <c r="R55" s="1"/>
      <c r="S55" s="5"/>
      <c r="T55" s="5">
        <f t="shared" si="4"/>
        <v>4296</v>
      </c>
      <c r="U55" s="5">
        <f t="shared" si="5"/>
        <v>0</v>
      </c>
      <c r="V55" s="5">
        <f>Table14[[#This Row],[Enrolment S.Y. 2025-2026 ]]*8</f>
        <v>4296</v>
      </c>
      <c r="W55" s="5"/>
      <c r="X55" s="1"/>
      <c r="Y55" s="5"/>
      <c r="Z55" s="5">
        <f t="shared" si="6"/>
        <v>4296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537</v>
      </c>
      <c r="D56" s="5">
        <f>Table14[[#This Row],[Enrolment S.Y. 2025-2026 ]]*8</f>
        <v>4296</v>
      </c>
      <c r="E56" s="35">
        <v>3094</v>
      </c>
      <c r="F56" s="1">
        <v>2025</v>
      </c>
      <c r="G56" s="5" t="s">
        <v>51</v>
      </c>
      <c r="H56" s="5">
        <f t="shared" si="0"/>
        <v>1202</v>
      </c>
      <c r="I56" s="5">
        <f t="shared" si="1"/>
        <v>0</v>
      </c>
      <c r="J56" s="5">
        <f>Table14[[#This Row],[Enrolment S.Y. 2025-2026 ]]*8</f>
        <v>4296</v>
      </c>
      <c r="K56" s="35">
        <v>1666</v>
      </c>
      <c r="L56" s="1">
        <v>2025</v>
      </c>
      <c r="M56" s="5" t="s">
        <v>51</v>
      </c>
      <c r="N56" s="5">
        <f t="shared" si="2"/>
        <v>2630</v>
      </c>
      <c r="O56" s="5">
        <f t="shared" si="3"/>
        <v>0</v>
      </c>
      <c r="P56" s="5">
        <f>Table14[[#This Row],[Enrolment S.Y. 2025-2026 ]]*8</f>
        <v>4296</v>
      </c>
      <c r="Q56" s="5"/>
      <c r="R56" s="1"/>
      <c r="S56" s="5"/>
      <c r="T56" s="5">
        <f t="shared" si="4"/>
        <v>4296</v>
      </c>
      <c r="U56" s="5">
        <f t="shared" si="5"/>
        <v>0</v>
      </c>
      <c r="V56" s="5">
        <f>Table14[[#This Row],[Enrolment S.Y. 2025-2026 ]]*8</f>
        <v>4296</v>
      </c>
      <c r="W56" s="5"/>
      <c r="X56" s="1"/>
      <c r="Y56" s="5"/>
      <c r="Z56" s="5">
        <f t="shared" si="6"/>
        <v>4296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537</v>
      </c>
      <c r="D57" s="5">
        <f>Table14[[#This Row],[Enrolment S.Y. 2025-2026 ]]*8</f>
        <v>4296</v>
      </c>
      <c r="E57" s="5">
        <v>442</v>
      </c>
      <c r="F57" s="1">
        <v>2025</v>
      </c>
      <c r="G57" s="5" t="s">
        <v>51</v>
      </c>
      <c r="H57" s="5">
        <f t="shared" si="0"/>
        <v>3854</v>
      </c>
      <c r="I57" s="5">
        <f t="shared" si="1"/>
        <v>0</v>
      </c>
      <c r="J57" s="5">
        <f>Table14[[#This Row],[Enrolment S.Y. 2025-2026 ]]*8</f>
        <v>4296</v>
      </c>
      <c r="K57" s="35">
        <v>1666</v>
      </c>
      <c r="L57" s="1">
        <v>2025</v>
      </c>
      <c r="M57" s="5" t="s">
        <v>51</v>
      </c>
      <c r="N57" s="5">
        <f t="shared" si="2"/>
        <v>2630</v>
      </c>
      <c r="O57" s="5">
        <f t="shared" si="3"/>
        <v>0</v>
      </c>
      <c r="P57" s="5">
        <f>Table14[[#This Row],[Enrolment S.Y. 2025-2026 ]]*8</f>
        <v>4296</v>
      </c>
      <c r="Q57" s="5"/>
      <c r="R57" s="1"/>
      <c r="S57" s="5"/>
      <c r="T57" s="5">
        <f t="shared" si="4"/>
        <v>4296</v>
      </c>
      <c r="U57" s="5">
        <f t="shared" si="5"/>
        <v>0</v>
      </c>
      <c r="V57" s="5">
        <f>Table14[[#This Row],[Enrolment S.Y. 2025-2026 ]]*8</f>
        <v>4296</v>
      </c>
      <c r="W57" s="5"/>
      <c r="X57" s="1"/>
      <c r="Y57" s="5"/>
      <c r="Z57" s="5">
        <f t="shared" si="6"/>
        <v>4296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537</v>
      </c>
      <c r="D60" s="5">
        <f>Table14[[#This Row],[Enrolment S.Y. 2025-2026 ]]*8</f>
        <v>4296</v>
      </c>
      <c r="E60" s="5"/>
      <c r="F60" s="1"/>
      <c r="G60" s="5"/>
      <c r="H60" s="5">
        <f t="shared" si="0"/>
        <v>4296</v>
      </c>
      <c r="I60" s="5">
        <f t="shared" si="1"/>
        <v>0</v>
      </c>
      <c r="J60" s="5">
        <f>Table14[[#This Row],[Enrolment S.Y. 2025-2026 ]]*8</f>
        <v>4296</v>
      </c>
      <c r="K60" s="5"/>
      <c r="L60" s="1"/>
      <c r="M60" s="5"/>
      <c r="N60" s="5">
        <f t="shared" si="2"/>
        <v>4296</v>
      </c>
      <c r="O60" s="5">
        <f t="shared" si="3"/>
        <v>0</v>
      </c>
      <c r="P60" s="5">
        <f>Table14[[#This Row],[Enrolment S.Y. 2025-2026 ]]*8</f>
        <v>4296</v>
      </c>
      <c r="Q60" s="5"/>
      <c r="R60" s="1"/>
      <c r="S60" s="5"/>
      <c r="T60" s="5">
        <f t="shared" si="4"/>
        <v>4296</v>
      </c>
      <c r="U60" s="5">
        <f t="shared" si="5"/>
        <v>0</v>
      </c>
      <c r="V60" s="5">
        <f>Table14[[#This Row],[Enrolment S.Y. 2025-2026 ]]*8</f>
        <v>4296</v>
      </c>
      <c r="W60" s="5">
        <v>952</v>
      </c>
      <c r="X60" s="1">
        <v>2025</v>
      </c>
      <c r="Y60" s="5" t="s">
        <v>51</v>
      </c>
      <c r="Z60" s="5">
        <f t="shared" si="6"/>
        <v>3344</v>
      </c>
      <c r="AA60" s="5">
        <f t="shared" si="7"/>
        <v>0</v>
      </c>
    </row>
    <row r="61" spans="1:27" ht="19.149999999999999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H55:L65 N31:R41 N43:R53 N55:R65 P2:R10 N3:O10 V2:X10 T3:U10 N12:R19 T12:X19 H3:L10 Z3:AA10 Z12:AA19 H12:L19 N21:R29 T21:X29 Z21:AA29 H21:L29 T31:X41 Z31:AA41 H31:L41 T43:X53 Z43:AA53 H43:L53 T55:X65 Z55:AA65 D55:F65" name="LAS"/>
    <protectedRange sqref="G2:I2 M2:O2 S2:U2 Y2:AA2 G3:G10 M3:M10 S3:S10 Y3:Y10 Y12:Y19 G12:G19 M12:M19 S12:S19 Y21:Y29 G21:G29 M21:M29 S21:S29 Y31:Y41 G31:G41 M31:M41 S31:S41 Y43:Y53 G43:G53 M43:M53 S43:S53 Y55:Y65 S55:S65 G55:G65 M55:M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Y55:Y65 S55:S65 G55:G65 M55:M65" xr:uid="{CBD486C7-A5DB-48F1-B496-5027CC51E830}">
      <formula1>"CO,RO,SDO,LGU,SCHOOL"</formula1>
    </dataValidation>
    <dataValidation type="list" allowBlank="1" showInputMessage="1" showErrorMessage="1" sqref="X3:X10 F43:F53 F31:F41 F21:F29 F12:F19 F3:F10 F55:F65 L43:L53 L31:L41 L21:L29 L12:L19 L3:L10 R55:R65 R43:R53 R31:R41 R21:R29 R12:R19 R3:R10 X55:X65 X43:X53 X31:X41 X21:X29 X12:X19 L55:L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2026-04-13T08:00:08Z</dcterms:modified>
  <cp:category/>
  <cp:contentStatus/>
</cp:coreProperties>
</file>