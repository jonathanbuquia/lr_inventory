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9" documentId="13_ncr:1_{BFB59F67-F0DC-4675-A682-EB0734A8026A}" xr6:coauthVersionLast="47" xr6:coauthVersionMax="47" xr10:uidLastSave="{C0410C1B-6D27-4B4B-8849-EC0E080E6C11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<sst xmlns="http://schemas.openxmlformats.org/spreadsheetml/2006/main" count="287" uniqueCount="80">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</sst>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4" activePane="topRight" state="frozen"/>
      <selection pane="topRight" activeCell="E151" sqref="E15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260</v>
      </c>
      <c r="D2" s="1">
        <v>390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130</v>
      </c>
    </row>
    <row r="3" spans="1:8" ht="29.25" customHeight="1">
      <c r="A3" s="1">
        <v>1</v>
      </c>
      <c r="B3" s="2" t="s">
        <v>10</v>
      </c>
      <c r="C3" s="1">
        <v>260</v>
      </c>
      <c r="D3" s="1">
        <v>390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130</v>
      </c>
    </row>
    <row r="4" spans="1:8" ht="21" customHeight="1">
      <c r="A4" s="1">
        <v>1</v>
      </c>
      <c r="B4" s="2" t="s">
        <v>11</v>
      </c>
      <c r="C4" s="1">
        <v>260</v>
      </c>
      <c r="D4" s="1">
        <v>390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130</v>
      </c>
    </row>
    <row r="5" spans="1:8" ht="25.5" customHeight="1">
      <c r="A5" s="1">
        <v>1</v>
      </c>
      <c r="B5" s="2" t="s">
        <v>12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269</v>
      </c>
      <c r="D11" s="1">
        <v>335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66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303</v>
      </c>
      <c r="D22" s="1">
        <v>457</v>
      </c>
      <c r="E22" s="1">
        <v>2024</v>
      </c>
      <c r="F22" s="5" t="s">
        <v>14</v>
      </c>
      <c r="G22" s="3">
        <f t="shared" si="4"/>
        <v>0</v>
      </c>
      <c r="H22" s="4">
        <f t="shared" si="5"/>
        <v>154</v>
      </c>
    </row>
    <row r="23" spans="1:8" ht="19.5">
      <c r="A23" s="1">
        <v>4</v>
      </c>
      <c r="B23" s="9" t="s">
        <v>13</v>
      </c>
      <c r="C23" s="1">
        <v>303</v>
      </c>
      <c r="D23" s="1">
        <v>457</v>
      </c>
      <c r="E23" s="1">
        <v>2025</v>
      </c>
      <c r="F23" s="5" t="s">
        <v>14</v>
      </c>
      <c r="G23" s="3">
        <f t="shared" si="4"/>
        <v>0</v>
      </c>
      <c r="H23" s="4">
        <f t="shared" si="5"/>
        <v>154</v>
      </c>
    </row>
    <row r="24" spans="1:8" ht="27" customHeight="1">
      <c r="A24" s="1">
        <v>4</v>
      </c>
      <c r="B24" s="9" t="s">
        <v>11</v>
      </c>
      <c r="C24" s="1">
        <v>303</v>
      </c>
      <c r="D24" s="1">
        <v>457</v>
      </c>
      <c r="E24" s="1">
        <v>2025</v>
      </c>
      <c r="F24" s="5" t="s">
        <v>14</v>
      </c>
      <c r="G24" s="3">
        <f t="shared" si="4"/>
        <v>0</v>
      </c>
      <c r="H24" s="4">
        <f t="shared" si="5"/>
        <v>154</v>
      </c>
    </row>
    <row r="25" spans="1:8" ht="33.75" customHeight="1">
      <c r="A25" s="1">
        <v>4</v>
      </c>
      <c r="B25" s="9" t="s">
        <v>18</v>
      </c>
      <c r="C25" s="1">
        <v>303</v>
      </c>
      <c r="D25" s="1">
        <v>457</v>
      </c>
      <c r="E25" s="1">
        <v>2024</v>
      </c>
      <c r="F25" s="5" t="s">
        <v>14</v>
      </c>
      <c r="G25" s="3">
        <f t="shared" si="4"/>
        <v>0</v>
      </c>
      <c r="H25" s="4">
        <f t="shared" si="5"/>
        <v>154</v>
      </c>
    </row>
    <row r="26" spans="1:8" ht="33.75" customHeight="1">
      <c r="A26" s="1">
        <v>4</v>
      </c>
      <c r="B26" s="9" t="s">
        <v>15</v>
      </c>
      <c r="C26" s="1">
        <v>303</v>
      </c>
      <c r="D26" s="1">
        <v>457</v>
      </c>
      <c r="E26" s="1">
        <v>2024</v>
      </c>
      <c r="F26" s="5" t="s">
        <v>14</v>
      </c>
      <c r="G26" s="3">
        <f t="shared" si="4"/>
        <v>0</v>
      </c>
      <c r="H26" s="4">
        <f t="shared" si="5"/>
        <v>154</v>
      </c>
    </row>
    <row r="27" spans="1:8" ht="33.75" customHeight="1">
      <c r="A27" s="1">
        <v>4</v>
      </c>
      <c r="B27" s="9" t="s">
        <v>19</v>
      </c>
      <c r="C27" s="1">
        <v>303</v>
      </c>
      <c r="D27" s="1">
        <v>457</v>
      </c>
      <c r="E27" s="1">
        <v>2024</v>
      </c>
      <c r="F27" s="5" t="s">
        <v>14</v>
      </c>
      <c r="G27" s="3">
        <f t="shared" si="4"/>
        <v>0</v>
      </c>
      <c r="H27" s="4">
        <f t="shared" si="5"/>
        <v>154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303</v>
      </c>
      <c r="D29" s="1">
        <v>457</v>
      </c>
      <c r="E29" s="1">
        <v>2026</v>
      </c>
      <c r="F29" s="5" t="s">
        <v>14</v>
      </c>
      <c r="G29" s="3">
        <f t="shared" si="4"/>
        <v>0</v>
      </c>
      <c r="H29" s="4">
        <f t="shared" si="5"/>
        <v>154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314</v>
      </c>
      <c r="D31" s="1">
        <v>385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71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309</v>
      </c>
      <c r="D35" s="1">
        <v>378</v>
      </c>
      <c r="E35" s="1">
        <v>2025</v>
      </c>
      <c r="F35" s="5" t="s">
        <v>14</v>
      </c>
      <c r="G35" s="3">
        <f t="shared" si="6"/>
        <v>0</v>
      </c>
      <c r="H35" s="4">
        <f t="shared" si="7"/>
        <v>69</v>
      </c>
    </row>
    <row r="36" spans="1:8" ht="27.75" customHeight="1">
      <c r="A36" s="1">
        <v>5</v>
      </c>
      <c r="B36" s="9" t="s">
        <v>15</v>
      </c>
      <c r="C36" s="1">
        <v>309</v>
      </c>
      <c r="D36" s="1">
        <v>385</v>
      </c>
      <c r="E36" s="1">
        <v>2025</v>
      </c>
      <c r="F36" s="5" t="s">
        <v>14</v>
      </c>
      <c r="G36" s="3">
        <f t="shared" si="6"/>
        <v>0</v>
      </c>
      <c r="H36" s="4">
        <f t="shared" si="7"/>
        <v>76</v>
      </c>
    </row>
    <row r="37" spans="1:8" ht="27.75" customHeight="1">
      <c r="A37" s="1">
        <v>5</v>
      </c>
      <c r="B37" s="9" t="s">
        <v>19</v>
      </c>
      <c r="C37" s="1">
        <v>309</v>
      </c>
      <c r="D37" s="1">
        <v>385</v>
      </c>
      <c r="E37" s="1">
        <v>2025</v>
      </c>
      <c r="F37" s="5" t="s">
        <v>14</v>
      </c>
      <c r="G37" s="3">
        <f t="shared" si="6"/>
        <v>0</v>
      </c>
      <c r="H37" s="4">
        <f t="shared" si="7"/>
        <v>76</v>
      </c>
    </row>
    <row r="38" spans="1:8" ht="27.75" customHeight="1">
      <c r="A38" s="1">
        <v>5</v>
      </c>
      <c r="B38" s="9" t="s">
        <v>20</v>
      </c>
      <c r="C38" s="1">
        <v>309</v>
      </c>
      <c r="D38" s="1">
        <v>385</v>
      </c>
      <c r="E38" s="1">
        <v>2026</v>
      </c>
      <c r="F38" s="5" t="s">
        <v>14</v>
      </c>
      <c r="G38" s="3">
        <f t="shared" si="6"/>
        <v>0</v>
      </c>
      <c r="H38" s="4">
        <f t="shared" si="7"/>
        <v>76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10 D11:E11 C12:E34 D35:E38 C39:E49" name="Textbooks"/>
    <protectedRange sqref="F1:F49" name="SOURCE"/>
    <protectedRange sqref="C11" name="Textbooks_1"/>
    <protectedRange sqref="C35:C38" name="Textbooks_2"/>
  </protectedRanges>
  <phoneticPr fontId="8" type="noConversion"/>
  <dataValidations count="2">
    <dataValidation type="list" allowBlank="1" showInputMessage="1" showErrorMessage="1" sqref="E41:E49 E2:E6 E21:E29 E14:E19 E8:E12 E31:E39" xr:uid="{B46E7B13-721E-4D49-837E-C02BF9777D48}">
      <formula1>"2024,2025,2026"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ySplit="2" topLeftCell="C53" activePane="bottomRight" state="frozen"/>
      <selection pane="bottomRight" activeCell="AE135" sqref="AE135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27" customHeight="1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3" customHeight="1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269</v>
      </c>
      <c r="D16" s="5">
        <f>Table1[[#This Row],[Enrolment S.Y. 2025-2026 ]]*8</f>
        <v>2152</v>
      </c>
      <c r="E16" s="5">
        <v>0</v>
      </c>
      <c r="F16" s="1">
        <v>2025</v>
      </c>
      <c r="G16" s="5" t="s">
        <v>9</v>
      </c>
      <c r="H16" s="5">
        <f t="shared" si="2"/>
        <v>2152</v>
      </c>
      <c r="I16" s="5">
        <f t="shared" si="3"/>
        <v>0</v>
      </c>
      <c r="J16" s="5">
        <f>Table1[[#This Row],[Enrolment S.Y. 2025-2026 ]]*8</f>
        <v>2152</v>
      </c>
      <c r="K16" s="5"/>
      <c r="L16" s="1"/>
      <c r="M16" s="5"/>
      <c r="N16" s="5">
        <f t="shared" si="10"/>
        <v>2152</v>
      </c>
      <c r="O16" s="5">
        <f t="shared" si="11"/>
        <v>0</v>
      </c>
      <c r="P16" s="5">
        <f>Table1[[#This Row],[Enrolment S.Y. 2025-2026 ]]*8</f>
        <v>2152</v>
      </c>
      <c r="Q16" s="5"/>
      <c r="R16" s="1"/>
      <c r="S16" s="5"/>
      <c r="T16" s="5">
        <f t="shared" si="12"/>
        <v>2152</v>
      </c>
      <c r="U16" s="5">
        <f t="shared" si="13"/>
        <v>0</v>
      </c>
      <c r="V16" s="5">
        <f>Table1[[#This Row],[Enrolment S.Y. 2025-2026 ]]*8</f>
        <v>2152</v>
      </c>
      <c r="W16" s="5"/>
      <c r="X16" s="1"/>
      <c r="Y16" s="5"/>
      <c r="Z16" s="5">
        <f t="shared" si="14"/>
        <v>2152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269</v>
      </c>
      <c r="D17" s="5">
        <f>Table1[[#This Row],[Enrolment S.Y. 2025-2026 ]]*8</f>
        <v>2152</v>
      </c>
      <c r="E17" s="5">
        <v>0</v>
      </c>
      <c r="F17" s="1">
        <v>2025</v>
      </c>
      <c r="G17" s="5" t="s">
        <v>9</v>
      </c>
      <c r="H17" s="5">
        <f t="shared" si="2"/>
        <v>2152</v>
      </c>
      <c r="I17" s="5">
        <f t="shared" si="3"/>
        <v>0</v>
      </c>
      <c r="J17" s="5">
        <f>Table1[[#This Row],[Enrolment S.Y. 2025-2026 ]]*8</f>
        <v>2152</v>
      </c>
      <c r="K17" s="5">
        <v>2128</v>
      </c>
      <c r="L17" s="1">
        <v>2025</v>
      </c>
      <c r="M17" s="5" t="s">
        <v>9</v>
      </c>
      <c r="N17" s="5">
        <f t="shared" si="10"/>
        <v>24</v>
      </c>
      <c r="O17" s="5">
        <f t="shared" si="11"/>
        <v>0</v>
      </c>
      <c r="P17" s="5">
        <f>Table1[[#This Row],[Enrolment S.Y. 2025-2026 ]]*8</f>
        <v>2152</v>
      </c>
      <c r="Q17" s="5"/>
      <c r="R17" s="1"/>
      <c r="S17" s="5"/>
      <c r="T17" s="5">
        <f t="shared" si="12"/>
        <v>2152</v>
      </c>
      <c r="U17" s="5">
        <f t="shared" si="13"/>
        <v>0</v>
      </c>
      <c r="V17" s="5">
        <f>Table1[[#This Row],[Enrolment S.Y. 2025-2026 ]]*8</f>
        <v>2152</v>
      </c>
      <c r="W17" s="5"/>
      <c r="X17" s="1"/>
      <c r="Y17" s="5"/>
      <c r="Z17" s="5">
        <f t="shared" si="14"/>
        <v>2152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269</v>
      </c>
      <c r="D18" s="5">
        <f>Table1[[#This Row],[Enrolment S.Y. 2025-2026 ]]*8</f>
        <v>2152</v>
      </c>
      <c r="E18" s="5">
        <v>0</v>
      </c>
      <c r="F18" s="1">
        <v>2025</v>
      </c>
      <c r="G18" s="5" t="s">
        <v>9</v>
      </c>
      <c r="H18" s="5">
        <f t="shared" si="2"/>
        <v>2152</v>
      </c>
      <c r="I18" s="5">
        <f t="shared" si="3"/>
        <v>0</v>
      </c>
      <c r="J18" s="5">
        <f>Table1[[#This Row],[Enrolment S.Y. 2025-2026 ]]*8</f>
        <v>2152</v>
      </c>
      <c r="K18" s="5"/>
      <c r="L18" s="1"/>
      <c r="M18" s="5"/>
      <c r="N18" s="5">
        <f t="shared" si="10"/>
        <v>2152</v>
      </c>
      <c r="O18" s="5">
        <f t="shared" si="11"/>
        <v>0</v>
      </c>
      <c r="P18" s="5">
        <f>Table1[[#This Row],[Enrolment S.Y. 2025-2026 ]]*8</f>
        <v>2152</v>
      </c>
      <c r="Q18" s="5"/>
      <c r="R18" s="1"/>
      <c r="S18" s="5"/>
      <c r="T18" s="5">
        <f t="shared" si="12"/>
        <v>2152</v>
      </c>
      <c r="U18" s="5">
        <f t="shared" si="13"/>
        <v>0</v>
      </c>
      <c r="V18" s="5">
        <f>Table1[[#This Row],[Enrolment S.Y. 2025-2026 ]]*8</f>
        <v>2152</v>
      </c>
      <c r="W18" s="5"/>
      <c r="X18" s="1"/>
      <c r="Y18" s="5"/>
      <c r="Z18" s="5">
        <f t="shared" si="14"/>
        <v>2152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>
        <v>2128</v>
      </c>
      <c r="L19" s="1">
        <v>2025</v>
      </c>
      <c r="M19" s="5" t="s">
        <v>9</v>
      </c>
      <c r="N19" s="5">
        <f t="shared" si="10"/>
        <v>0</v>
      </c>
      <c r="O19" s="5">
        <f t="shared" si="11"/>
        <v>2128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269</v>
      </c>
      <c r="D20" s="5">
        <f>Table1[[#This Row],[Enrolment S.Y. 2025-2026 ]]*8</f>
        <v>2152</v>
      </c>
      <c r="E20" s="5"/>
      <c r="F20" s="1"/>
      <c r="G20" s="5"/>
      <c r="H20" s="5">
        <f>IF((D20-E20)&lt;0,0,(D20-E20))</f>
        <v>2152</v>
      </c>
      <c r="I20" s="5">
        <f>IF((E20-D20)&lt;0,0,(E20-D20))</f>
        <v>0</v>
      </c>
      <c r="J20" s="5">
        <f>Table1[[#This Row],[Enrolment S.Y. 2025-2026 ]]*8</f>
        <v>2152</v>
      </c>
      <c r="K20" s="5"/>
      <c r="L20" s="1"/>
      <c r="M20" s="5"/>
      <c r="N20" s="5">
        <f t="shared" si="10"/>
        <v>2152</v>
      </c>
      <c r="O20" s="5">
        <f t="shared" si="11"/>
        <v>0</v>
      </c>
      <c r="P20" s="5">
        <f>Table1[[#This Row],[Enrolment S.Y. 2025-2026 ]]*8</f>
        <v>2152</v>
      </c>
      <c r="Q20" s="5"/>
      <c r="R20" s="1"/>
      <c r="S20" s="5"/>
      <c r="T20" s="5">
        <f t="shared" si="12"/>
        <v>2152</v>
      </c>
      <c r="U20" s="5">
        <f t="shared" si="13"/>
        <v>0</v>
      </c>
      <c r="V20" s="5">
        <f>Table1[[#This Row],[Enrolment S.Y. 2025-2026 ]]*8</f>
        <v>2152</v>
      </c>
      <c r="W20" s="5"/>
      <c r="X20" s="1"/>
      <c r="Y20" s="5"/>
      <c r="Z20" s="5">
        <f t="shared" si="14"/>
        <v>2152</v>
      </c>
      <c r="AA20" s="5">
        <f t="shared" si="15"/>
        <v>0</v>
      </c>
    </row>
    <row r="21" spans="1:27" ht="19.149999999999999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3" customHeight="1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310</v>
      </c>
      <c r="D25" s="5">
        <f>Table1[[#This Row],[Enrolment S.Y. 2025-2026 ]]*8</f>
        <v>2480</v>
      </c>
      <c r="E25" s="5">
        <v>0</v>
      </c>
      <c r="F25" s="1">
        <v>2025</v>
      </c>
      <c r="G25" s="5" t="s">
        <v>9</v>
      </c>
      <c r="H25" s="5">
        <f t="shared" si="2"/>
        <v>2480</v>
      </c>
      <c r="I25" s="5">
        <f t="shared" si="3"/>
        <v>0</v>
      </c>
      <c r="J25" s="5">
        <f>Table1[[#This Row],[Enrolment S.Y. 2025-2026 ]]*8</f>
        <v>2480</v>
      </c>
      <c r="K25" s="5"/>
      <c r="L25" s="1"/>
      <c r="M25" s="5"/>
      <c r="N25" s="5">
        <f t="shared" si="10"/>
        <v>2480</v>
      </c>
      <c r="O25" s="5">
        <f t="shared" si="11"/>
        <v>0</v>
      </c>
      <c r="P25" s="5">
        <f>Table1[[#This Row],[Enrolment S.Y. 2025-2026 ]]*8</f>
        <v>2480</v>
      </c>
      <c r="Q25" s="5"/>
      <c r="R25" s="1"/>
      <c r="S25" s="5"/>
      <c r="T25" s="5">
        <f t="shared" si="12"/>
        <v>2480</v>
      </c>
      <c r="U25" s="5">
        <f t="shared" si="13"/>
        <v>0</v>
      </c>
      <c r="V25" s="5">
        <f>Table1[[#This Row],[Enrolment S.Y. 2025-2026 ]]*8</f>
        <v>2480</v>
      </c>
      <c r="W25" s="5"/>
      <c r="X25" s="1"/>
      <c r="Y25" s="5"/>
      <c r="Z25" s="5">
        <f t="shared" si="14"/>
        <v>2480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310</v>
      </c>
      <c r="D26" s="5">
        <f>Table1[[#This Row],[Enrolment S.Y. 2025-2026 ]]*8</f>
        <v>2480</v>
      </c>
      <c r="E26" s="5">
        <v>0</v>
      </c>
      <c r="F26" s="1">
        <v>2025</v>
      </c>
      <c r="G26" s="5" t="s">
        <v>9</v>
      </c>
      <c r="H26" s="5">
        <f t="shared" si="2"/>
        <v>2480</v>
      </c>
      <c r="I26" s="5">
        <f t="shared" si="3"/>
        <v>0</v>
      </c>
      <c r="J26" s="5">
        <f>Table1[[#This Row],[Enrolment S.Y. 2025-2026 ]]*8</f>
        <v>2480</v>
      </c>
      <c r="K26" s="5"/>
      <c r="L26" s="1"/>
      <c r="M26" s="5"/>
      <c r="N26" s="5">
        <f t="shared" si="10"/>
        <v>2480</v>
      </c>
      <c r="O26" s="5">
        <f t="shared" si="11"/>
        <v>0</v>
      </c>
      <c r="P26" s="5">
        <f>Table1[[#This Row],[Enrolment S.Y. 2025-2026 ]]*8</f>
        <v>2480</v>
      </c>
      <c r="Q26" s="5"/>
      <c r="R26" s="1"/>
      <c r="S26" s="5"/>
      <c r="T26" s="5">
        <f t="shared" si="12"/>
        <v>2480</v>
      </c>
      <c r="U26" s="5">
        <f t="shared" si="13"/>
        <v>0</v>
      </c>
      <c r="V26" s="5">
        <f>Table1[[#This Row],[Enrolment S.Y. 2025-2026 ]]*8</f>
        <v>2480</v>
      </c>
      <c r="W26" s="5"/>
      <c r="X26" s="1"/>
      <c r="Y26" s="5"/>
      <c r="Z26" s="5">
        <f t="shared" si="14"/>
        <v>2480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310</v>
      </c>
      <c r="D27" s="5">
        <f>Table1[[#This Row],[Enrolment S.Y. 2025-2026 ]]*8</f>
        <v>2480</v>
      </c>
      <c r="E27" s="5">
        <v>0</v>
      </c>
      <c r="F27" s="1">
        <v>2025</v>
      </c>
      <c r="G27" s="5" t="s">
        <v>9</v>
      </c>
      <c r="H27" s="5">
        <f t="shared" si="2"/>
        <v>2480</v>
      </c>
      <c r="I27" s="5">
        <f t="shared" si="3"/>
        <v>0</v>
      </c>
      <c r="J27" s="5">
        <f>Table1[[#This Row],[Enrolment S.Y. 2025-2026 ]]*8</f>
        <v>2480</v>
      </c>
      <c r="K27" s="5"/>
      <c r="L27" s="1"/>
      <c r="M27" s="5"/>
      <c r="N27" s="5">
        <f t="shared" si="10"/>
        <v>2480</v>
      </c>
      <c r="O27" s="5">
        <f t="shared" si="11"/>
        <v>0</v>
      </c>
      <c r="P27" s="5">
        <f>Table1[[#This Row],[Enrolment S.Y. 2025-2026 ]]*8</f>
        <v>2480</v>
      </c>
      <c r="Q27" s="5"/>
      <c r="R27" s="1"/>
      <c r="S27" s="5"/>
      <c r="T27" s="5">
        <f t="shared" si="12"/>
        <v>2480</v>
      </c>
      <c r="U27" s="5">
        <f t="shared" si="13"/>
        <v>0</v>
      </c>
      <c r="V27" s="5">
        <f>Table1[[#This Row],[Enrolment S.Y. 2025-2026 ]]*8</f>
        <v>2480</v>
      </c>
      <c r="W27" s="5"/>
      <c r="X27" s="1"/>
      <c r="Y27" s="5"/>
      <c r="Z27" s="5">
        <f t="shared" si="14"/>
        <v>2480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310</v>
      </c>
      <c r="D28" s="5">
        <f>Table1[[#This Row],[Enrolment S.Y. 2025-2026 ]]*8</f>
        <v>2480</v>
      </c>
      <c r="E28" s="5">
        <v>0</v>
      </c>
      <c r="F28" s="1">
        <v>2025</v>
      </c>
      <c r="G28" s="5" t="s">
        <v>9</v>
      </c>
      <c r="H28" s="5">
        <f t="shared" si="2"/>
        <v>2480</v>
      </c>
      <c r="I28" s="5">
        <f t="shared" si="3"/>
        <v>0</v>
      </c>
      <c r="J28" s="5">
        <f>Table1[[#This Row],[Enrolment S.Y. 2025-2026 ]]*8</f>
        <v>2480</v>
      </c>
      <c r="K28" s="5"/>
      <c r="L28" s="1"/>
      <c r="M28" s="5"/>
      <c r="N28" s="5">
        <f t="shared" si="10"/>
        <v>2480</v>
      </c>
      <c r="O28" s="5">
        <f t="shared" si="11"/>
        <v>0</v>
      </c>
      <c r="P28" s="5">
        <f>Table1[[#This Row],[Enrolment S.Y. 2025-2026 ]]*8</f>
        <v>2480</v>
      </c>
      <c r="Q28" s="5"/>
      <c r="R28" s="1"/>
      <c r="S28" s="5"/>
      <c r="T28" s="5">
        <f t="shared" si="12"/>
        <v>2480</v>
      </c>
      <c r="U28" s="5">
        <f t="shared" si="13"/>
        <v>0</v>
      </c>
      <c r="V28" s="5">
        <f>Table1[[#This Row],[Enrolment S.Y. 2025-2026 ]]*8</f>
        <v>2480</v>
      </c>
      <c r="W28" s="5"/>
      <c r="X28" s="1"/>
      <c r="Y28" s="5"/>
      <c r="Z28" s="5">
        <f t="shared" si="14"/>
        <v>2480</v>
      </c>
      <c r="AA28" s="5">
        <f t="shared" si="15"/>
        <v>0</v>
      </c>
    </row>
    <row r="29" spans="1:27" ht="19.5">
      <c r="A29" s="1">
        <v>3</v>
      </c>
      <c r="B29" s="9" t="s">
        <v>16</v>
      </c>
      <c r="C29" s="1">
        <v>310</v>
      </c>
      <c r="D29" s="5">
        <f>Table1[[#This Row],[Enrolment S.Y. 2025-2026 ]]*8</f>
        <v>2480</v>
      </c>
      <c r="E29" s="5">
        <v>0</v>
      </c>
      <c r="F29" s="1">
        <v>2025</v>
      </c>
      <c r="G29" s="5" t="s">
        <v>9</v>
      </c>
      <c r="H29" s="5">
        <f>IF((D29-E29)&lt;0,0,(D29-E29))</f>
        <v>2480</v>
      </c>
      <c r="I29" s="5">
        <f>IF((E29-D29)&lt;0,0,(E29-D29))</f>
        <v>0</v>
      </c>
      <c r="J29" s="5">
        <f>Table1[[#This Row],[Enrolment S.Y. 2025-2026 ]]*8</f>
        <v>2480</v>
      </c>
      <c r="K29" s="5"/>
      <c r="L29" s="1"/>
      <c r="M29" s="5"/>
      <c r="N29" s="5">
        <f t="shared" si="10"/>
        <v>2480</v>
      </c>
      <c r="O29" s="5">
        <f t="shared" si="11"/>
        <v>0</v>
      </c>
      <c r="P29" s="5">
        <f>Table1[[#This Row],[Enrolment S.Y. 2025-2026 ]]*8</f>
        <v>2480</v>
      </c>
      <c r="Q29" s="5"/>
      <c r="R29" s="1"/>
      <c r="S29" s="5"/>
      <c r="T29" s="5">
        <f t="shared" si="12"/>
        <v>2480</v>
      </c>
      <c r="U29" s="5">
        <f t="shared" si="13"/>
        <v>0</v>
      </c>
      <c r="V29" s="5">
        <f>Table1[[#This Row],[Enrolment S.Y. 2025-2026 ]]*8</f>
        <v>2480</v>
      </c>
      <c r="W29" s="5"/>
      <c r="X29" s="1"/>
      <c r="Y29" s="5"/>
      <c r="Z29" s="5">
        <f t="shared" si="14"/>
        <v>2480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310</v>
      </c>
      <c r="D30" s="5">
        <f>Table1[[#This Row],[Enrolment S.Y. 2025-2026 ]]*8</f>
        <v>2480</v>
      </c>
      <c r="E30" s="5">
        <v>0</v>
      </c>
      <c r="F30" s="1">
        <v>2025</v>
      </c>
      <c r="G30" s="5" t="s">
        <v>9</v>
      </c>
      <c r="H30" s="5">
        <f>IF((D30-E30)&lt;0,0,(D30-E30))</f>
        <v>2480</v>
      </c>
      <c r="I30" s="5">
        <f>IF((E30-D30)&lt;0,0,(E30-D30))</f>
        <v>0</v>
      </c>
      <c r="J30" s="5">
        <f>Table1[[#This Row],[Enrolment S.Y. 2025-2026 ]]*8</f>
        <v>2480</v>
      </c>
      <c r="K30" s="5"/>
      <c r="L30" s="1"/>
      <c r="M30" s="5"/>
      <c r="N30" s="5">
        <f t="shared" si="10"/>
        <v>2480</v>
      </c>
      <c r="O30" s="5">
        <f t="shared" si="11"/>
        <v>0</v>
      </c>
      <c r="P30" s="5">
        <f>Table1[[#This Row],[Enrolment S.Y. 2025-2026 ]]*8</f>
        <v>2480</v>
      </c>
      <c r="Q30" s="5"/>
      <c r="R30" s="1"/>
      <c r="S30" s="5"/>
      <c r="T30" s="5">
        <f t="shared" si="12"/>
        <v>2480</v>
      </c>
      <c r="U30" s="5">
        <f t="shared" si="13"/>
        <v>0</v>
      </c>
      <c r="V30" s="5">
        <f>Table1[[#This Row],[Enrolment S.Y. 2025-2026 ]]*8</f>
        <v>2480</v>
      </c>
      <c r="W30" s="5"/>
      <c r="X30" s="1"/>
      <c r="Y30" s="5"/>
      <c r="Z30" s="5">
        <f t="shared" si="14"/>
        <v>2480</v>
      </c>
      <c r="AA30" s="5">
        <f t="shared" si="15"/>
        <v>0</v>
      </c>
    </row>
    <row r="31" spans="1:27" ht="19.149999999999999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16</v>
      </c>
      <c r="C43" s="1">
        <v>309</v>
      </c>
      <c r="D43" s="5">
        <f>Table1[[#This Row],[Enrolment S.Y. 2025-2026 ]]*8</f>
        <v>2472</v>
      </c>
      <c r="E43" s="5">
        <v>0</v>
      </c>
      <c r="F43" s="1">
        <v>2025</v>
      </c>
      <c r="G43" s="5" t="s">
        <v>9</v>
      </c>
      <c r="H43" s="5">
        <f t="shared" si="2"/>
        <v>2472</v>
      </c>
      <c r="I43" s="5">
        <f t="shared" si="3"/>
        <v>0</v>
      </c>
      <c r="J43" s="5">
        <f>Table1[[#This Row],[Enrolment S.Y. 2025-2026 ]]*8</f>
        <v>2472</v>
      </c>
      <c r="K43" s="5">
        <v>2520</v>
      </c>
      <c r="L43" s="1">
        <v>2025</v>
      </c>
      <c r="M43" s="5" t="s">
        <v>9</v>
      </c>
      <c r="N43" s="5">
        <f t="shared" si="10"/>
        <v>0</v>
      </c>
      <c r="O43" s="5">
        <f t="shared" si="11"/>
        <v>48</v>
      </c>
      <c r="P43" s="5">
        <f>Table1[[#This Row],[Enrolment S.Y. 2025-2026 ]]*8</f>
        <v>2472</v>
      </c>
      <c r="Q43" s="5"/>
      <c r="R43" s="1"/>
      <c r="S43" s="5"/>
      <c r="T43" s="5">
        <f t="shared" si="12"/>
        <v>2472</v>
      </c>
      <c r="U43" s="5">
        <f t="shared" si="13"/>
        <v>0</v>
      </c>
      <c r="V43" s="5">
        <f>Table1[[#This Row],[Enrolment S.Y. 2025-2026 ]]*8</f>
        <v>2472</v>
      </c>
      <c r="W43" s="5"/>
      <c r="X43" s="1"/>
      <c r="Y43" s="5"/>
      <c r="Z43" s="5">
        <f t="shared" si="14"/>
        <v>2472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309</v>
      </c>
      <c r="D44" s="5">
        <f>Table1[[#This Row],[Enrolment S.Y. 2025-2026 ]]*8</f>
        <v>2472</v>
      </c>
      <c r="E44" s="5">
        <v>0</v>
      </c>
      <c r="F44" s="1">
        <v>2025</v>
      </c>
      <c r="G44" s="5" t="s">
        <v>9</v>
      </c>
      <c r="H44" s="5">
        <f t="shared" si="2"/>
        <v>2472</v>
      </c>
      <c r="I44" s="5">
        <f t="shared" si="3"/>
        <v>0</v>
      </c>
      <c r="J44" s="5">
        <f>Table1[[#This Row],[Enrolment S.Y. 2025-2026 ]]*8</f>
        <v>2472</v>
      </c>
      <c r="K44" s="5"/>
      <c r="L44" s="1"/>
      <c r="M44" s="5"/>
      <c r="N44" s="5">
        <f t="shared" si="10"/>
        <v>2472</v>
      </c>
      <c r="O44" s="5">
        <f t="shared" si="11"/>
        <v>0</v>
      </c>
      <c r="P44" s="5">
        <f>Table1[[#This Row],[Enrolment S.Y. 2025-2026 ]]*8</f>
        <v>2472</v>
      </c>
      <c r="Q44" s="5"/>
      <c r="R44" s="1"/>
      <c r="S44" s="5"/>
      <c r="T44" s="5">
        <f t="shared" si="12"/>
        <v>2472</v>
      </c>
      <c r="U44" s="5">
        <f t="shared" si="13"/>
        <v>0</v>
      </c>
      <c r="V44" s="5">
        <f>Table1[[#This Row],[Enrolment S.Y. 2025-2026 ]]*8</f>
        <v>2472</v>
      </c>
      <c r="W44" s="5"/>
      <c r="X44" s="1"/>
      <c r="Y44" s="5"/>
      <c r="Z44" s="5">
        <f t="shared" si="14"/>
        <v>2472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309</v>
      </c>
      <c r="D45" s="5">
        <f>Table1[[#This Row],[Enrolment S.Y. 2025-2026 ]]*8</f>
        <v>2472</v>
      </c>
      <c r="E45" s="5"/>
      <c r="F45" s="1"/>
      <c r="G45" s="5"/>
      <c r="H45" s="5">
        <f t="shared" si="2"/>
        <v>2472</v>
      </c>
      <c r="I45" s="5">
        <f t="shared" si="3"/>
        <v>0</v>
      </c>
      <c r="J45" s="5">
        <f>Table1[[#This Row],[Enrolment S.Y. 2025-2026 ]]*8</f>
        <v>2472</v>
      </c>
      <c r="K45" s="5">
        <v>2520</v>
      </c>
      <c r="L45" s="1">
        <v>2025</v>
      </c>
      <c r="M45" s="5" t="s">
        <v>9</v>
      </c>
      <c r="N45" s="5">
        <f t="shared" si="10"/>
        <v>0</v>
      </c>
      <c r="O45" s="5">
        <f t="shared" si="11"/>
        <v>48</v>
      </c>
      <c r="P45" s="5">
        <f>Table1[[#This Row],[Enrolment S.Y. 2025-2026 ]]*8</f>
        <v>2472</v>
      </c>
      <c r="Q45" s="5"/>
      <c r="R45" s="1"/>
      <c r="S45" s="5"/>
      <c r="T45" s="5">
        <f t="shared" si="12"/>
        <v>2472</v>
      </c>
      <c r="U45" s="5">
        <f t="shared" si="13"/>
        <v>0</v>
      </c>
      <c r="V45" s="5">
        <f>Table1[[#This Row],[Enrolment S.Y. 2025-2026 ]]*8</f>
        <v>2472</v>
      </c>
      <c r="W45" s="5"/>
      <c r="X45" s="1"/>
      <c r="Y45" s="5"/>
      <c r="Z45" s="5">
        <f t="shared" si="14"/>
        <v>2472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309</v>
      </c>
      <c r="D46" s="5">
        <f>Table1[[#This Row],[Enrolment S.Y. 2025-2026 ]]*8</f>
        <v>2472</v>
      </c>
      <c r="E46" s="5">
        <v>0</v>
      </c>
      <c r="F46" s="1">
        <v>2025</v>
      </c>
      <c r="G46" s="5" t="s">
        <v>9</v>
      </c>
      <c r="H46" s="5">
        <f t="shared" si="2"/>
        <v>2472</v>
      </c>
      <c r="I46" s="5">
        <f t="shared" si="3"/>
        <v>0</v>
      </c>
      <c r="J46" s="5">
        <f>Table1[[#This Row],[Enrolment S.Y. 2025-2026 ]]*8</f>
        <v>2472</v>
      </c>
      <c r="K46" s="5"/>
      <c r="L46" s="1"/>
      <c r="M46" s="5"/>
      <c r="N46" s="5">
        <f t="shared" si="10"/>
        <v>2472</v>
      </c>
      <c r="O46" s="5">
        <f t="shared" si="11"/>
        <v>0</v>
      </c>
      <c r="P46" s="5">
        <f>Table1[[#This Row],[Enrolment S.Y. 2025-2026 ]]*8</f>
        <v>2472</v>
      </c>
      <c r="Q46" s="5"/>
      <c r="R46" s="1"/>
      <c r="S46" s="5"/>
      <c r="T46" s="5">
        <f t="shared" si="12"/>
        <v>2472</v>
      </c>
      <c r="U46" s="5">
        <f t="shared" si="13"/>
        <v>0</v>
      </c>
      <c r="V46" s="5">
        <f>Table1[[#This Row],[Enrolment S.Y. 2025-2026 ]]*8</f>
        <v>2472</v>
      </c>
      <c r="W46" s="5"/>
      <c r="X46" s="1"/>
      <c r="Y46" s="5"/>
      <c r="Z46" s="5">
        <f t="shared" si="14"/>
        <v>2472</v>
      </c>
      <c r="AA46" s="5">
        <f t="shared" si="15"/>
        <v>0</v>
      </c>
    </row>
    <row r="47" spans="1:27" ht="34.5" customHeight="1">
      <c r="A47" s="1">
        <v>5</v>
      </c>
      <c r="B47" s="9" t="s">
        <v>18</v>
      </c>
      <c r="C47" s="1">
        <v>309</v>
      </c>
      <c r="D47" s="5">
        <f>Table1[[#This Row],[Enrolment S.Y. 2025-2026 ]]*8</f>
        <v>2472</v>
      </c>
      <c r="E47" s="5">
        <v>0</v>
      </c>
      <c r="F47" s="1">
        <v>2025</v>
      </c>
      <c r="G47" s="5" t="s">
        <v>9</v>
      </c>
      <c r="H47" s="5">
        <f t="shared" si="2"/>
        <v>2472</v>
      </c>
      <c r="I47" s="5">
        <f t="shared" si="3"/>
        <v>0</v>
      </c>
      <c r="J47" s="5">
        <f>Table1[[#This Row],[Enrolment S.Y. 2025-2026 ]]*8</f>
        <v>2472</v>
      </c>
      <c r="K47" s="5"/>
      <c r="L47" s="1"/>
      <c r="M47" s="5"/>
      <c r="N47" s="5">
        <f t="shared" si="10"/>
        <v>2472</v>
      </c>
      <c r="O47" s="5">
        <f t="shared" si="11"/>
        <v>0</v>
      </c>
      <c r="P47" s="5">
        <f>Table1[[#This Row],[Enrolment S.Y. 2025-2026 ]]*8</f>
        <v>2472</v>
      </c>
      <c r="Q47" s="5"/>
      <c r="R47" s="1"/>
      <c r="S47" s="5"/>
      <c r="T47" s="5">
        <f t="shared" si="12"/>
        <v>2472</v>
      </c>
      <c r="U47" s="5">
        <f t="shared" si="13"/>
        <v>0</v>
      </c>
      <c r="V47" s="5">
        <f>Table1[[#This Row],[Enrolment S.Y. 2025-2026 ]]*8</f>
        <v>2472</v>
      </c>
      <c r="W47" s="5"/>
      <c r="X47" s="1"/>
      <c r="Y47" s="5"/>
      <c r="Z47" s="5">
        <f t="shared" si="14"/>
        <v>2472</v>
      </c>
      <c r="AA47" s="5">
        <f t="shared" si="15"/>
        <v>0</v>
      </c>
    </row>
    <row r="48" spans="1:27" ht="19.5">
      <c r="A48" s="1">
        <v>5</v>
      </c>
      <c r="B48" s="9" t="s">
        <v>15</v>
      </c>
      <c r="C48" s="1">
        <v>309</v>
      </c>
      <c r="D48" s="5">
        <f>Table1[[#This Row],[Enrolment S.Y. 2025-2026 ]]*8</f>
        <v>2472</v>
      </c>
      <c r="E48" s="5">
        <v>0</v>
      </c>
      <c r="F48" s="1">
        <v>2025</v>
      </c>
      <c r="G48" s="5" t="s">
        <v>9</v>
      </c>
      <c r="H48" s="5">
        <f t="shared" si="2"/>
        <v>2472</v>
      </c>
      <c r="I48" s="5">
        <f t="shared" si="3"/>
        <v>0</v>
      </c>
      <c r="J48" s="5">
        <f>Table1[[#This Row],[Enrolment S.Y. 2025-2026 ]]*8</f>
        <v>2472</v>
      </c>
      <c r="K48" s="5"/>
      <c r="L48" s="1"/>
      <c r="M48" s="5"/>
      <c r="N48" s="5">
        <f t="shared" si="10"/>
        <v>2472</v>
      </c>
      <c r="O48" s="5">
        <f t="shared" si="11"/>
        <v>0</v>
      </c>
      <c r="P48" s="5">
        <f>Table1[[#This Row],[Enrolment S.Y. 2025-2026 ]]*8</f>
        <v>2472</v>
      </c>
      <c r="Q48" s="5"/>
      <c r="R48" s="1"/>
      <c r="S48" s="5"/>
      <c r="T48" s="5">
        <f t="shared" si="12"/>
        <v>2472</v>
      </c>
      <c r="U48" s="5">
        <f t="shared" si="13"/>
        <v>0</v>
      </c>
      <c r="V48" s="5">
        <f>Table1[[#This Row],[Enrolment S.Y. 2025-2026 ]]*8</f>
        <v>2472</v>
      </c>
      <c r="W48" s="5"/>
      <c r="X48" s="1"/>
      <c r="Y48" s="5"/>
      <c r="Z48" s="5">
        <f t="shared" si="14"/>
        <v>2472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309</v>
      </c>
      <c r="D49" s="5">
        <f>Table1[[#This Row],[Enrolment S.Y. 2025-2026 ]]*8</f>
        <v>2472</v>
      </c>
      <c r="E49" s="5">
        <v>0</v>
      </c>
      <c r="F49" s="1">
        <v>2025</v>
      </c>
      <c r="G49" s="5" t="s">
        <v>9</v>
      </c>
      <c r="H49" s="5">
        <f t="shared" si="2"/>
        <v>2472</v>
      </c>
      <c r="I49" s="5">
        <f t="shared" si="3"/>
        <v>0</v>
      </c>
      <c r="J49" s="5">
        <f>Table1[[#This Row],[Enrolment S.Y. 2025-2026 ]]*8</f>
        <v>2472</v>
      </c>
      <c r="K49" s="5"/>
      <c r="L49" s="1"/>
      <c r="M49" s="5"/>
      <c r="N49" s="5">
        <f t="shared" si="10"/>
        <v>2472</v>
      </c>
      <c r="O49" s="5">
        <f t="shared" si="11"/>
        <v>0</v>
      </c>
      <c r="P49" s="5">
        <f>Table1[[#This Row],[Enrolment S.Y. 2025-2026 ]]*8</f>
        <v>2472</v>
      </c>
      <c r="Q49" s="5"/>
      <c r="R49" s="1"/>
      <c r="S49" s="5"/>
      <c r="T49" s="5">
        <f t="shared" si="12"/>
        <v>2472</v>
      </c>
      <c r="U49" s="5">
        <f t="shared" si="13"/>
        <v>0</v>
      </c>
      <c r="V49" s="5">
        <f>Table1[[#This Row],[Enrolment S.Y. 2025-2026 ]]*8</f>
        <v>2472</v>
      </c>
      <c r="W49" s="5"/>
      <c r="X49" s="1"/>
      <c r="Y49" s="5"/>
      <c r="Z49" s="5">
        <f t="shared" si="14"/>
        <v>2472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309</v>
      </c>
      <c r="D50" s="5">
        <f>Table1[[#This Row],[Enrolment S.Y. 2025-2026 ]]*8</f>
        <v>2472</v>
      </c>
      <c r="E50" s="5">
        <v>0</v>
      </c>
      <c r="F50" s="1">
        <v>2025</v>
      </c>
      <c r="G50" s="5" t="s">
        <v>9</v>
      </c>
      <c r="H50" s="5">
        <f t="shared" si="2"/>
        <v>2472</v>
      </c>
      <c r="I50" s="5">
        <f t="shared" si="3"/>
        <v>0</v>
      </c>
      <c r="J50" s="5">
        <f>Table1[[#This Row],[Enrolment S.Y. 2025-2026 ]]*8</f>
        <v>2472</v>
      </c>
      <c r="K50" s="5"/>
      <c r="L50" s="1"/>
      <c r="M50" s="5"/>
      <c r="N50" s="5">
        <f t="shared" si="10"/>
        <v>2472</v>
      </c>
      <c r="O50" s="5">
        <f t="shared" si="11"/>
        <v>0</v>
      </c>
      <c r="P50" s="5">
        <f>Table1[[#This Row],[Enrolment S.Y. 2025-2026 ]]*8</f>
        <v>2472</v>
      </c>
      <c r="Q50" s="5"/>
      <c r="R50" s="1"/>
      <c r="S50" s="5"/>
      <c r="T50" s="5">
        <f t="shared" si="12"/>
        <v>2472</v>
      </c>
      <c r="U50" s="5">
        <f t="shared" si="13"/>
        <v>0</v>
      </c>
      <c r="V50" s="5">
        <f>Table1[[#This Row],[Enrolment S.Y. 2025-2026 ]]*8</f>
        <v>2472</v>
      </c>
      <c r="W50" s="5"/>
      <c r="X50" s="1"/>
      <c r="Y50" s="5"/>
      <c r="Z50" s="5">
        <f t="shared" si="14"/>
        <v>2472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309</v>
      </c>
      <c r="D51" s="5">
        <f>Table1[[#This Row],[Enrolment S.Y. 2025-2026 ]]*8</f>
        <v>2472</v>
      </c>
      <c r="E51" s="5">
        <v>0</v>
      </c>
      <c r="F51" s="1">
        <v>2025</v>
      </c>
      <c r="G51" s="5" t="s">
        <v>9</v>
      </c>
      <c r="H51" s="5">
        <f t="shared" si="2"/>
        <v>2472</v>
      </c>
      <c r="I51" s="5">
        <f t="shared" si="3"/>
        <v>0</v>
      </c>
      <c r="J51" s="5">
        <f>Table1[[#This Row],[Enrolment S.Y. 2025-2026 ]]*8</f>
        <v>2472</v>
      </c>
      <c r="K51" s="5"/>
      <c r="L51" s="1"/>
      <c r="M51" s="5"/>
      <c r="N51" s="5">
        <f t="shared" si="10"/>
        <v>2472</v>
      </c>
      <c r="O51" s="5">
        <f t="shared" si="11"/>
        <v>0</v>
      </c>
      <c r="P51" s="5">
        <f>Table1[[#This Row],[Enrolment S.Y. 2025-2026 ]]*8</f>
        <v>2472</v>
      </c>
      <c r="Q51" s="5"/>
      <c r="R51" s="1"/>
      <c r="S51" s="5"/>
      <c r="T51" s="5">
        <f t="shared" si="12"/>
        <v>2472</v>
      </c>
      <c r="U51" s="5">
        <f t="shared" si="13"/>
        <v>0</v>
      </c>
      <c r="V51" s="5">
        <f>Table1[[#This Row],[Enrolment S.Y. 2025-2026 ]]*8</f>
        <v>2472</v>
      </c>
      <c r="W51" s="5"/>
      <c r="X51" s="1"/>
      <c r="Y51" s="5"/>
      <c r="Z51" s="5">
        <f t="shared" si="14"/>
        <v>2472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23:C31 C33:C41 C53:C61 C5:C12 C14:C21 C43:C51" name="Textbooks"/>
    <protectedRange sqref="J2:L3 D2:F3 H5:L5 Q14:R21 W14:X21 Q23:R31 W23:X31 D33:F41 H33:I41 Q33:R41 W33:X41 H43:I51 Q43:R51 W43:X51 D53:F61 H53:I61 Q53:R61 W53:X61 H6:I12 K6:L12 K33:L41 K43:L51 K53:L61 K14:L21 N3:R3 Y13 D14:F21 D23:F31 D43:F51 K23:L31 N13:P61 P2:R2 V2:X3 T13:V61 J6:J61 Z4:AA61 D5:F12 N5:R12 T5:X12 N4:P4 T4:V4 J4 H14:I21 H23:I31" name="LAS"/>
    <protectedRange sqref="G2:I3 M2:O2 S2:U3 Y2:AA3 M14:M61 G14:G21 G23:G31 S4:S61 G5:G12 M5:M12 Y14:Y61 Y5:Y12 M3 G43:G51 G33:G41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X5:X12 L5:L12 R53:R61 R43:R51 R33:R41 R23:R31 R14:R21 R5:R12 X53:X61 X43:X51 X33:X41 X23:X31 X14:X21 L14:L21" xr:uid="{4ECCD083-8EC4-42EE-B46C-B614411F330D}">
      <formula1>"2024,2025,2026"</formula1>
    </dataValidation>
    <dataValidation type="list" allowBlank="1" showInputMessage="1" showErrorMessage="1" sqref="G14:G21 Y14:Y61 S4:S61 G5:G12 M5:M12 Y5:Y12 G43:G51 G33:G41 G23:G31 G53:G61 M14:M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C59" activePane="bottomRight" state="frozen"/>
      <selection pane="bottomRight" activeCell="AC143" sqref="AC143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0.7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3.75" customHeight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269</v>
      </c>
      <c r="D16" s="5">
        <f>Table14[[#This Row],[Enrolment S.Y. 2025-2026 ]]*8</f>
        <v>2152</v>
      </c>
      <c r="E16" s="5">
        <v>223</v>
      </c>
      <c r="F16" s="1">
        <v>2024</v>
      </c>
      <c r="G16" s="5" t="s">
        <v>9</v>
      </c>
      <c r="H16" s="5">
        <f t="shared" si="0"/>
        <v>1929</v>
      </c>
      <c r="I16" s="5">
        <f t="shared" si="1"/>
        <v>0</v>
      </c>
      <c r="J16" s="5">
        <f>Table14[[#This Row],[Enrolment S.Y. 2025-2026 ]]*8</f>
        <v>2152</v>
      </c>
      <c r="K16" s="5"/>
      <c r="L16" s="1"/>
      <c r="M16" s="5"/>
      <c r="N16" s="5">
        <f t="shared" si="2"/>
        <v>2152</v>
      </c>
      <c r="O16" s="5">
        <f t="shared" si="3"/>
        <v>0</v>
      </c>
      <c r="P16" s="5">
        <f>Table14[[#This Row],[Enrolment S.Y. 2025-2026 ]]*8</f>
        <v>2152</v>
      </c>
      <c r="Q16" s="5"/>
      <c r="R16" s="1"/>
      <c r="S16" s="5"/>
      <c r="T16" s="5">
        <f t="shared" si="4"/>
        <v>2152</v>
      </c>
      <c r="U16" s="5">
        <f t="shared" si="5"/>
        <v>0</v>
      </c>
      <c r="V16" s="5">
        <f>Table14[[#This Row],[Enrolment S.Y. 2025-2026 ]]*8</f>
        <v>2152</v>
      </c>
      <c r="W16" s="5">
        <v>191</v>
      </c>
      <c r="X16" s="1">
        <v>2024</v>
      </c>
      <c r="Y16" s="5" t="s">
        <v>9</v>
      </c>
      <c r="Z16" s="5">
        <f t="shared" si="6"/>
        <v>1961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269</v>
      </c>
      <c r="D17" s="5">
        <f>Table14[[#This Row],[Enrolment S.Y. 2025-2026 ]]*8</f>
        <v>2152</v>
      </c>
      <c r="E17" s="5">
        <v>599</v>
      </c>
      <c r="F17" s="1">
        <v>2024</v>
      </c>
      <c r="G17" s="5" t="s">
        <v>9</v>
      </c>
      <c r="H17" s="5">
        <f>IF((D17-E17)&lt;0,0,(D17-E17))</f>
        <v>1553</v>
      </c>
      <c r="I17" s="5">
        <f>IF((E17-D17)&lt;0,0,(E17-D17))</f>
        <v>0</v>
      </c>
      <c r="J17" s="5">
        <f>Table14[[#This Row],[Enrolment S.Y. 2025-2026 ]]*8</f>
        <v>2152</v>
      </c>
      <c r="K17" s="5"/>
      <c r="L17" s="1"/>
      <c r="M17" s="5"/>
      <c r="N17" s="5">
        <f t="shared" si="2"/>
        <v>2152</v>
      </c>
      <c r="O17" s="5">
        <f t="shared" si="3"/>
        <v>0</v>
      </c>
      <c r="P17" s="5">
        <f>Table14[[#This Row],[Enrolment S.Y. 2025-2026 ]]*8</f>
        <v>2152</v>
      </c>
      <c r="Q17" s="5"/>
      <c r="R17" s="1"/>
      <c r="S17" s="5"/>
      <c r="T17" s="5">
        <f t="shared" si="4"/>
        <v>2152</v>
      </c>
      <c r="U17" s="5">
        <f t="shared" si="5"/>
        <v>0</v>
      </c>
      <c r="V17" s="5">
        <f>Table14[[#This Row],[Enrolment S.Y. 2025-2026 ]]*8</f>
        <v>2152</v>
      </c>
      <c r="W17" s="5">
        <v>208</v>
      </c>
      <c r="X17" s="1">
        <v>2024</v>
      </c>
      <c r="Y17" s="5" t="s">
        <v>9</v>
      </c>
      <c r="Z17" s="5">
        <f t="shared" si="6"/>
        <v>1944</v>
      </c>
      <c r="AA17" s="5">
        <f t="shared" si="7"/>
        <v>0</v>
      </c>
    </row>
    <row r="18" spans="1:27" ht="19.5">
      <c r="A18" s="1">
        <v>2</v>
      </c>
      <c r="B18" s="9" t="s">
        <v>16</v>
      </c>
      <c r="C18" s="1">
        <v>269</v>
      </c>
      <c r="D18" s="5">
        <f>Table14[[#This Row],[Enrolment S.Y. 2025-2026 ]]*8</f>
        <v>2152</v>
      </c>
      <c r="E18" s="5">
        <v>205</v>
      </c>
      <c r="F18" s="1">
        <v>2024</v>
      </c>
      <c r="G18" s="5" t="s">
        <v>9</v>
      </c>
      <c r="H18" s="5">
        <f>IF((D18-E18)&lt;0,0,(D18-E18))</f>
        <v>1947</v>
      </c>
      <c r="I18" s="5">
        <f>IF((E18-D18)&lt;0,0,(E18-D18))</f>
        <v>0</v>
      </c>
      <c r="J18" s="5">
        <f>Table14[[#This Row],[Enrolment S.Y. 2025-2026 ]]*8</f>
        <v>2152</v>
      </c>
      <c r="K18" s="5"/>
      <c r="L18" s="1"/>
      <c r="M18" s="5"/>
      <c r="N18" s="5">
        <f t="shared" si="2"/>
        <v>2152</v>
      </c>
      <c r="O18" s="5">
        <f t="shared" si="3"/>
        <v>0</v>
      </c>
      <c r="P18" s="5">
        <f>Table14[[#This Row],[Enrolment S.Y. 2025-2026 ]]*8</f>
        <v>2152</v>
      </c>
      <c r="Q18" s="5"/>
      <c r="R18" s="1"/>
      <c r="S18" s="5"/>
      <c r="T18" s="5">
        <f t="shared" si="4"/>
        <v>2152</v>
      </c>
      <c r="U18" s="5">
        <f t="shared" si="5"/>
        <v>0</v>
      </c>
      <c r="V18" s="5">
        <f>Table14[[#This Row],[Enrolment S.Y. 2025-2026 ]]*8</f>
        <v>2152</v>
      </c>
      <c r="W18" s="5">
        <v>126</v>
      </c>
      <c r="X18" s="1">
        <v>2024</v>
      </c>
      <c r="Y18" s="5" t="s">
        <v>9</v>
      </c>
      <c r="Z18" s="5">
        <f t="shared" si="6"/>
        <v>2026</v>
      </c>
      <c r="AA18" s="5">
        <f t="shared" si="7"/>
        <v>0</v>
      </c>
    </row>
    <row r="19" spans="1:27" ht="19.149999999999999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0" customHeight="1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310</v>
      </c>
      <c r="D26" s="5">
        <f>Table14[[#This Row],[Enrolment S.Y. 2025-2026 ]]*8</f>
        <v>2480</v>
      </c>
      <c r="E26" s="5">
        <v>727</v>
      </c>
      <c r="F26" s="1">
        <v>2024</v>
      </c>
      <c r="G26" s="5" t="s">
        <v>9</v>
      </c>
      <c r="H26" s="5">
        <f t="shared" si="0"/>
        <v>1753</v>
      </c>
      <c r="I26" s="5">
        <f t="shared" si="1"/>
        <v>0</v>
      </c>
      <c r="J26" s="5">
        <f>Table14[[#This Row],[Enrolment S.Y. 2025-2026 ]]*8</f>
        <v>2480</v>
      </c>
      <c r="K26" s="5"/>
      <c r="L26" s="1"/>
      <c r="M26" s="5"/>
      <c r="N26" s="5">
        <f t="shared" si="2"/>
        <v>2480</v>
      </c>
      <c r="O26" s="5">
        <f t="shared" si="3"/>
        <v>0</v>
      </c>
      <c r="P26" s="5">
        <f>Table14[[#This Row],[Enrolment S.Y. 2025-2026 ]]*8</f>
        <v>2480</v>
      </c>
      <c r="Q26" s="5"/>
      <c r="R26" s="1"/>
      <c r="S26" s="5"/>
      <c r="T26" s="5">
        <f t="shared" si="4"/>
        <v>2480</v>
      </c>
      <c r="U26" s="5">
        <f t="shared" si="5"/>
        <v>0</v>
      </c>
      <c r="V26" s="5">
        <f>Table14[[#This Row],[Enrolment S.Y. 2025-2026 ]]*8</f>
        <v>2480</v>
      </c>
      <c r="W26" s="5">
        <v>248</v>
      </c>
      <c r="X26" s="1">
        <v>2025</v>
      </c>
      <c r="Y26" s="5" t="s">
        <v>9</v>
      </c>
      <c r="Z26" s="5">
        <f t="shared" si="6"/>
        <v>2232</v>
      </c>
      <c r="AA26" s="5">
        <f t="shared" si="7"/>
        <v>0</v>
      </c>
    </row>
    <row r="27" spans="1:27" ht="19.5">
      <c r="A27" s="1">
        <v>3</v>
      </c>
      <c r="B27" s="9" t="s">
        <v>16</v>
      </c>
      <c r="C27" s="1">
        <v>310</v>
      </c>
      <c r="D27" s="5">
        <f>Table14[[#This Row],[Enrolment S.Y. 2025-2026 ]]*8</f>
        <v>2480</v>
      </c>
      <c r="E27" s="5">
        <v>551</v>
      </c>
      <c r="F27" s="1">
        <v>2024</v>
      </c>
      <c r="G27" s="5" t="s">
        <v>9</v>
      </c>
      <c r="H27" s="5">
        <f>IF((D27-E27)&lt;0,0,(D27-E27))</f>
        <v>1929</v>
      </c>
      <c r="I27" s="5">
        <f>IF((E27-D27)&lt;0,0,(E27-D27))</f>
        <v>0</v>
      </c>
      <c r="J27" s="5">
        <f>Table14[[#This Row],[Enrolment S.Y. 2025-2026 ]]*8</f>
        <v>2480</v>
      </c>
      <c r="K27" s="5"/>
      <c r="L27" s="1"/>
      <c r="M27" s="5"/>
      <c r="N27" s="5">
        <f t="shared" si="2"/>
        <v>2480</v>
      </c>
      <c r="O27" s="5">
        <f t="shared" si="3"/>
        <v>0</v>
      </c>
      <c r="P27" s="5">
        <f>Table14[[#This Row],[Enrolment S.Y. 2025-2026 ]]*8</f>
        <v>2480</v>
      </c>
      <c r="Q27" s="5"/>
      <c r="R27" s="1"/>
      <c r="S27" s="5"/>
      <c r="T27" s="5">
        <f t="shared" si="4"/>
        <v>2480</v>
      </c>
      <c r="U27" s="5">
        <f t="shared" si="5"/>
        <v>0</v>
      </c>
      <c r="V27" s="5">
        <f>Table14[[#This Row],[Enrolment S.Y. 2025-2026 ]]*8</f>
        <v>2480</v>
      </c>
      <c r="W27" s="5">
        <v>233</v>
      </c>
      <c r="X27" s="1">
        <v>2025</v>
      </c>
      <c r="Y27" s="5" t="s">
        <v>9</v>
      </c>
      <c r="Z27" s="5">
        <f t="shared" si="6"/>
        <v>2247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310</v>
      </c>
      <c r="D28" s="5">
        <f>Table14[[#This Row],[Enrolment S.Y. 2025-2026 ]]*8</f>
        <v>2480</v>
      </c>
      <c r="E28" s="5">
        <v>957</v>
      </c>
      <c r="F28" s="1">
        <v>2024</v>
      </c>
      <c r="G28" s="5" t="s">
        <v>9</v>
      </c>
      <c r="H28" s="5">
        <f>IF((D28-E28)&lt;0,0,(D28-E28))</f>
        <v>1523</v>
      </c>
      <c r="I28" s="5">
        <f>IF((E28-D28)&lt;0,0,(E28-D28))</f>
        <v>0</v>
      </c>
      <c r="J28" s="5">
        <f>Table14[[#This Row],[Enrolment S.Y. 2025-2026 ]]*8</f>
        <v>2480</v>
      </c>
      <c r="K28" s="5"/>
      <c r="L28" s="1"/>
      <c r="M28" s="5"/>
      <c r="N28" s="5">
        <f t="shared" si="2"/>
        <v>2480</v>
      </c>
      <c r="O28" s="5">
        <f t="shared" si="3"/>
        <v>0</v>
      </c>
      <c r="P28" s="5">
        <f>Table14[[#This Row],[Enrolment S.Y. 2025-2026 ]]*8</f>
        <v>2480</v>
      </c>
      <c r="Q28" s="5"/>
      <c r="R28" s="1"/>
      <c r="S28" s="5"/>
      <c r="T28" s="5">
        <f t="shared" si="4"/>
        <v>2480</v>
      </c>
      <c r="U28" s="5">
        <f t="shared" si="5"/>
        <v>0</v>
      </c>
      <c r="V28" s="5">
        <f>Table14[[#This Row],[Enrolment S.Y. 2025-2026 ]]*8</f>
        <v>2480</v>
      </c>
      <c r="W28" s="5">
        <v>156</v>
      </c>
      <c r="X28" s="1">
        <v>2025</v>
      </c>
      <c r="Y28" s="5" t="s">
        <v>9</v>
      </c>
      <c r="Z28" s="5">
        <f t="shared" si="6"/>
        <v>2324</v>
      </c>
      <c r="AA28" s="5">
        <f t="shared" si="7"/>
        <v>0</v>
      </c>
    </row>
    <row r="29" spans="1:27" ht="19.149999999999999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16</v>
      </c>
      <c r="C55" s="1">
        <v>293</v>
      </c>
      <c r="D55" s="5">
        <f>Table14[[#This Row],[Enrolment S.Y. 2025-2026 ]]*8</f>
        <v>2344</v>
      </c>
      <c r="E55" s="5">
        <v>288</v>
      </c>
      <c r="F55" s="1">
        <v>2025</v>
      </c>
      <c r="G55" s="5" t="s">
        <v>9</v>
      </c>
      <c r="H55" s="5">
        <f t="shared" si="0"/>
        <v>2056</v>
      </c>
      <c r="I55" s="5">
        <f t="shared" si="1"/>
        <v>0</v>
      </c>
      <c r="J55" s="5">
        <f>Table14[[#This Row],[Enrolment S.Y. 2025-2026 ]]*8</f>
        <v>2344</v>
      </c>
      <c r="K55" s="5">
        <v>144</v>
      </c>
      <c r="L55" s="1">
        <v>2025</v>
      </c>
      <c r="M55" s="5" t="s">
        <v>9</v>
      </c>
      <c r="N55" s="5">
        <f t="shared" si="2"/>
        <v>2200</v>
      </c>
      <c r="O55" s="5">
        <f t="shared" si="3"/>
        <v>0</v>
      </c>
      <c r="P55" s="5">
        <f>Table14[[#This Row],[Enrolment S.Y. 2025-2026 ]]*8</f>
        <v>2344</v>
      </c>
      <c r="Q55" s="5"/>
      <c r="R55" s="1"/>
      <c r="S55" s="5"/>
      <c r="T55" s="5">
        <f t="shared" si="4"/>
        <v>2344</v>
      </c>
      <c r="U55" s="5">
        <f t="shared" si="5"/>
        <v>0</v>
      </c>
      <c r="V55" s="5">
        <f>Table14[[#This Row],[Enrolment S.Y. 2025-2026 ]]*8</f>
        <v>2344</v>
      </c>
      <c r="W55" s="5"/>
      <c r="X55" s="1"/>
      <c r="Y55" s="5"/>
      <c r="Z55" s="5">
        <f t="shared" si="6"/>
        <v>2344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293</v>
      </c>
      <c r="D56" s="5">
        <f>Table14[[#This Row],[Enrolment S.Y. 2025-2026 ]]*8</f>
        <v>2344</v>
      </c>
      <c r="E56" s="5">
        <v>1440</v>
      </c>
      <c r="F56" s="1">
        <v>2025</v>
      </c>
      <c r="G56" s="5" t="s">
        <v>9</v>
      </c>
      <c r="H56" s="5">
        <f t="shared" si="0"/>
        <v>904</v>
      </c>
      <c r="I56" s="5">
        <f t="shared" si="1"/>
        <v>0</v>
      </c>
      <c r="J56" s="5">
        <f>Table14[[#This Row],[Enrolment S.Y. 2025-2026 ]]*8</f>
        <v>2344</v>
      </c>
      <c r="K56" s="5">
        <v>672</v>
      </c>
      <c r="L56" s="1">
        <v>2025</v>
      </c>
      <c r="M56" s="5" t="s">
        <v>9</v>
      </c>
      <c r="N56" s="5">
        <f t="shared" si="2"/>
        <v>1672</v>
      </c>
      <c r="O56" s="5">
        <f t="shared" si="3"/>
        <v>0</v>
      </c>
      <c r="P56" s="5">
        <f>Table14[[#This Row],[Enrolment S.Y. 2025-2026 ]]*8</f>
        <v>2344</v>
      </c>
      <c r="Q56" s="5">
        <v>288</v>
      </c>
      <c r="R56" s="26">
        <v>2025</v>
      </c>
      <c r="S56" s="5" t="s">
        <v>9</v>
      </c>
      <c r="T56" s="5">
        <f t="shared" si="4"/>
        <v>2056</v>
      </c>
      <c r="U56" s="5">
        <f t="shared" si="5"/>
        <v>0</v>
      </c>
      <c r="V56" s="5">
        <f>Table14[[#This Row],[Enrolment S.Y. 2025-2026 ]]*8</f>
        <v>2344</v>
      </c>
      <c r="W56" s="5"/>
      <c r="X56" s="1"/>
      <c r="Y56" s="5"/>
      <c r="Z56" s="5">
        <f t="shared" si="6"/>
        <v>2344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293</v>
      </c>
      <c r="D57" s="5">
        <f>Table14[[#This Row],[Enrolment S.Y. 2025-2026 ]]*8</f>
        <v>2344</v>
      </c>
      <c r="E57" s="5">
        <v>1200</v>
      </c>
      <c r="F57" s="1">
        <v>2025</v>
      </c>
      <c r="G57" s="5" t="s">
        <v>9</v>
      </c>
      <c r="H57" s="5">
        <f t="shared" si="0"/>
        <v>1144</v>
      </c>
      <c r="I57" s="5">
        <f t="shared" si="1"/>
        <v>0</v>
      </c>
      <c r="J57" s="5">
        <f>Table14[[#This Row],[Enrolment S.Y. 2025-2026 ]]*8</f>
        <v>2344</v>
      </c>
      <c r="K57" s="5">
        <v>672</v>
      </c>
      <c r="L57" s="1">
        <v>2025</v>
      </c>
      <c r="M57" s="5" t="s">
        <v>9</v>
      </c>
      <c r="N57" s="5">
        <f t="shared" si="2"/>
        <v>1672</v>
      </c>
      <c r="O57" s="5">
        <f t="shared" si="3"/>
        <v>0</v>
      </c>
      <c r="P57" s="5">
        <f>Table14[[#This Row],[Enrolment S.Y. 2025-2026 ]]*8</f>
        <v>2344</v>
      </c>
      <c r="Q57" s="5"/>
      <c r="R57" s="1"/>
      <c r="S57" s="5"/>
      <c r="T57" s="5">
        <f t="shared" si="4"/>
        <v>2344</v>
      </c>
      <c r="U57" s="5">
        <f t="shared" si="5"/>
        <v>0</v>
      </c>
      <c r="V57" s="5">
        <f>Table14[[#This Row],[Enrolment S.Y. 2025-2026 ]]*8</f>
        <v>2344</v>
      </c>
      <c r="W57" s="5">
        <v>432</v>
      </c>
      <c r="X57" s="1">
        <v>2025</v>
      </c>
      <c r="Y57" s="5" t="s">
        <v>9</v>
      </c>
      <c r="Z57" s="5">
        <f t="shared" si="6"/>
        <v>1912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296</v>
      </c>
      <c r="D58" s="5">
        <f>Table14[[#This Row],[Enrolment S.Y. 2025-2026 ]]*8</f>
        <v>2368</v>
      </c>
      <c r="E58" s="5"/>
      <c r="F58" s="1"/>
      <c r="G58" s="5"/>
      <c r="H58" s="5">
        <f t="shared" si="0"/>
        <v>2368</v>
      </c>
      <c r="I58" s="5">
        <f t="shared" si="1"/>
        <v>0</v>
      </c>
      <c r="J58" s="5">
        <f>Table14[[#This Row],[Enrolment S.Y. 2025-2026 ]]*8</f>
        <v>2368</v>
      </c>
      <c r="K58" s="5"/>
      <c r="L58" s="1"/>
      <c r="M58" s="5"/>
      <c r="N58" s="5">
        <f t="shared" si="2"/>
        <v>2368</v>
      </c>
      <c r="O58" s="5">
        <f t="shared" si="3"/>
        <v>0</v>
      </c>
      <c r="P58" s="5">
        <f>Table14[[#This Row],[Enrolment S.Y. 2025-2026 ]]*8</f>
        <v>2368</v>
      </c>
      <c r="Q58" s="5"/>
      <c r="R58" s="1"/>
      <c r="S58" s="5"/>
      <c r="T58" s="5">
        <f t="shared" si="4"/>
        <v>2368</v>
      </c>
      <c r="U58" s="5">
        <f t="shared" si="5"/>
        <v>0</v>
      </c>
      <c r="V58" s="5">
        <f>Table14[[#This Row],[Enrolment S.Y. 2025-2026 ]]*8</f>
        <v>2368</v>
      </c>
      <c r="W58" s="5">
        <v>96</v>
      </c>
      <c r="X58" s="1">
        <v>2025</v>
      </c>
      <c r="Y58" s="5" t="s">
        <v>9</v>
      </c>
      <c r="Z58" s="5">
        <f t="shared" si="6"/>
        <v>2272</v>
      </c>
      <c r="AA58" s="5">
        <f t="shared" si="7"/>
        <v>0</v>
      </c>
    </row>
    <row r="59" spans="1:27" ht="31.5" customHeight="1">
      <c r="A59" s="1">
        <v>6</v>
      </c>
      <c r="B59" s="9" t="s">
        <v>18</v>
      </c>
      <c r="C59" s="1">
        <v>296</v>
      </c>
      <c r="D59" s="5">
        <f>Table14[[#This Row],[Enrolment S.Y. 2025-2026 ]]*8</f>
        <v>2368</v>
      </c>
      <c r="E59" s="5"/>
      <c r="F59" s="1"/>
      <c r="G59" s="5"/>
      <c r="H59" s="5">
        <f t="shared" si="0"/>
        <v>2368</v>
      </c>
      <c r="I59" s="5">
        <f t="shared" si="1"/>
        <v>0</v>
      </c>
      <c r="J59" s="5">
        <f>Table14[[#This Row],[Enrolment S.Y. 2025-2026 ]]*8</f>
        <v>2368</v>
      </c>
      <c r="K59" s="5"/>
      <c r="L59" s="1"/>
      <c r="M59" s="5"/>
      <c r="N59" s="5">
        <f t="shared" si="2"/>
        <v>2368</v>
      </c>
      <c r="O59" s="5">
        <f t="shared" si="3"/>
        <v>0</v>
      </c>
      <c r="P59" s="5">
        <f>Table14[[#This Row],[Enrolment S.Y. 2025-2026 ]]*8</f>
        <v>2368</v>
      </c>
      <c r="Q59" s="5">
        <v>288</v>
      </c>
      <c r="R59" s="26">
        <v>2025</v>
      </c>
      <c r="S59" s="5" t="s">
        <v>9</v>
      </c>
      <c r="T59" s="5">
        <f t="shared" si="4"/>
        <v>2080</v>
      </c>
      <c r="U59" s="5">
        <f t="shared" si="5"/>
        <v>0</v>
      </c>
      <c r="V59" s="5">
        <f>Table14[[#This Row],[Enrolment S.Y. 2025-2026 ]]*8</f>
        <v>2368</v>
      </c>
      <c r="W59" s="5"/>
      <c r="X59" s="1"/>
      <c r="Y59" s="5"/>
      <c r="Z59" s="5">
        <f t="shared" si="6"/>
        <v>2368</v>
      </c>
      <c r="AA59" s="5">
        <f t="shared" si="7"/>
        <v>0</v>
      </c>
    </row>
    <row r="60" spans="1:27" ht="19.149999999999999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5">
        <v>296</v>
      </c>
      <c r="D61" s="5">
        <f>Table14[[#This Row],[Enrolment S.Y. 2025-2026 ]]*8</f>
        <v>2368</v>
      </c>
      <c r="E61" s="5"/>
      <c r="F61" s="1"/>
      <c r="G61" s="5"/>
      <c r="H61" s="5">
        <f>IF((D61-E61)&lt;0,0,(D61-E61))</f>
        <v>2368</v>
      </c>
      <c r="I61" s="5">
        <f>IF((E61-D61)&lt;0,0,(E61-D61))</f>
        <v>0</v>
      </c>
      <c r="J61" s="5">
        <f>Table14[[#This Row],[Enrolment S.Y. 2025-2026 ]]*8</f>
        <v>2368</v>
      </c>
      <c r="K61" s="5"/>
      <c r="L61" s="1"/>
      <c r="M61" s="5"/>
      <c r="N61" s="5">
        <f t="shared" ref="N61:N65" si="12">IF((J61-K61)&lt;0,0,(J61-K61))</f>
        <v>2368</v>
      </c>
      <c r="O61" s="5">
        <f t="shared" ref="O61:O65" si="13">IF((K61-J61)&lt;0,0,(K61-J61))</f>
        <v>0</v>
      </c>
      <c r="P61" s="5">
        <f>Table14[[#This Row],[Enrolment S.Y. 2025-2026 ]]*8</f>
        <v>2368</v>
      </c>
      <c r="Q61" s="5"/>
      <c r="R61" s="1"/>
      <c r="S61" s="5"/>
      <c r="T61" s="5">
        <f>IF((P61-Q61)&lt;0,0,(P61-Q61))</f>
        <v>2368</v>
      </c>
      <c r="U61" s="5">
        <f>IF((Q61-P61)&lt;0,0,(Q61-P61))</f>
        <v>0</v>
      </c>
      <c r="V61" s="5">
        <f>Table14[[#This Row],[Enrolment S.Y. 2025-2026 ]]*8</f>
        <v>2368</v>
      </c>
      <c r="W61" s="5">
        <v>144</v>
      </c>
      <c r="X61" s="1">
        <v>2025</v>
      </c>
      <c r="Y61" s="5" t="s">
        <v>9</v>
      </c>
      <c r="Z61" s="5">
        <f>IF((V61-W61)&lt;0,0,(V61-W61))</f>
        <v>2224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296</v>
      </c>
      <c r="D62" s="5">
        <f>Table14[[#This Row],[Enrolment S.Y. 2025-2026 ]]*8</f>
        <v>2368</v>
      </c>
      <c r="E62" s="5"/>
      <c r="F62" s="1"/>
      <c r="G62" s="5"/>
      <c r="H62" s="5">
        <f t="shared" si="0"/>
        <v>2368</v>
      </c>
      <c r="I62" s="5">
        <f t="shared" si="1"/>
        <v>0</v>
      </c>
      <c r="J62" s="5">
        <f>Table14[[#This Row],[Enrolment S.Y. 2025-2026 ]]*8</f>
        <v>2368</v>
      </c>
      <c r="K62" s="5"/>
      <c r="L62" s="1"/>
      <c r="M62" s="5"/>
      <c r="N62" s="5">
        <f t="shared" si="12"/>
        <v>2368</v>
      </c>
      <c r="O62" s="5">
        <f t="shared" si="13"/>
        <v>0</v>
      </c>
      <c r="P62" s="5">
        <f>Table14[[#This Row],[Enrolment S.Y. 2025-2026 ]]*8</f>
        <v>2368</v>
      </c>
      <c r="Q62" s="5">
        <v>336</v>
      </c>
      <c r="R62" s="26">
        <v>2025</v>
      </c>
      <c r="S62" s="5" t="s">
        <v>9</v>
      </c>
      <c r="T62" s="5">
        <f t="shared" si="4"/>
        <v>2032</v>
      </c>
      <c r="U62" s="5">
        <f t="shared" si="5"/>
        <v>0</v>
      </c>
      <c r="V62" s="5">
        <f>Table14[[#This Row],[Enrolment S.Y. 2025-2026 ]]*8</f>
        <v>2368</v>
      </c>
      <c r="W62" s="5">
        <v>96</v>
      </c>
      <c r="X62" s="1">
        <v>2025</v>
      </c>
      <c r="Y62" s="5" t="s">
        <v>9</v>
      </c>
      <c r="Z62" s="5">
        <f t="shared" si="6"/>
        <v>2272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296</v>
      </c>
      <c r="D65" s="5">
        <f>Table14[[#This Row],[Enrolment S.Y. 2025-2026 ]]*8</f>
        <v>2368</v>
      </c>
      <c r="E65" s="5"/>
      <c r="F65" s="1"/>
      <c r="G65" s="5"/>
      <c r="H65" s="5">
        <f t="shared" si="0"/>
        <v>2368</v>
      </c>
      <c r="I65" s="5">
        <f t="shared" si="1"/>
        <v>0</v>
      </c>
      <c r="J65" s="5">
        <f>Table14[[#This Row],[Enrolment S.Y. 2025-2026 ]]*8</f>
        <v>2368</v>
      </c>
      <c r="K65" s="5"/>
      <c r="L65" s="1"/>
      <c r="M65" s="5"/>
      <c r="N65" s="5">
        <f t="shared" si="12"/>
        <v>2368</v>
      </c>
      <c r="O65" s="5">
        <f t="shared" si="13"/>
        <v>0</v>
      </c>
      <c r="P65" s="5">
        <f>Table14[[#This Row],[Enrolment S.Y. 2025-2026 ]]*8</f>
        <v>2368</v>
      </c>
      <c r="Q65" s="5">
        <v>144</v>
      </c>
      <c r="R65" s="26">
        <v>2025</v>
      </c>
      <c r="S65" s="5" t="s">
        <v>9</v>
      </c>
      <c r="T65" s="5">
        <f t="shared" si="4"/>
        <v>2224</v>
      </c>
      <c r="U65" s="5">
        <f t="shared" si="5"/>
        <v>0</v>
      </c>
      <c r="V65" s="5">
        <f>Table14[[#This Row],[Enrolment S.Y. 2025-2026 ]]*8</f>
        <v>2368</v>
      </c>
      <c r="W65" s="5"/>
      <c r="X65" s="1"/>
      <c r="Y65" s="5"/>
      <c r="Z65" s="5">
        <f t="shared" si="6"/>
        <v>2368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31:F41 D43:F53 D55:F65 R60:R61 R63:R64 T55:X65 D12:F19 P2:R10 N3:O10 V2:X10 T3:U10 N12:R19 H3:L10 Z3:AA10 Z12:AA19 H12:L19 N21:R29 Z21:AA29 H21:L29 T31:X41 Z31:AA41 H31:L41 T43:X53 Z43:AA53 H43:L53 Z55:AA65 H55:L65 T12:X19 D21:F29 T21:X29 N55:Q65 R55 N31:R41 N43:R53 R57:R58" name="LAS"/>
    <protectedRange sqref="G2:I2 M2:O2 S2:U2 Y2:AA2 G3:G10 M3:M10 S3:S10 Y3:Y10 M12:M19 S12:S19 M21:M29 S21:S29 Y31:Y41 G31:G41 M31:M41 S31:S41 Y43:Y53 G43:G53 M43:M53 S43:S53 G55:G65 M55:M65 S55:S65 Y55:Y65 G12:G19 Y12:Y19 G21:G29 Y21:Y2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S12:S19 M12:M19 M21:M29 Y12:Y19 G21:G29 S21:S29 S31:S41 M31:M41 G31:G41 Y31:Y41 Y43:Y53 S43:S53 M43:M53 G43:G53 Y21:Y29 S55:S65 M55:M65 G55:G65 Y55:Y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972BD46E-A6D3-4CCE-A42E-806655F83913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2026-04-13T08:19:30Z</dcterms:modified>
  <cp:category/>
  <cp:contentStatus/>
</cp:coreProperties>
</file>