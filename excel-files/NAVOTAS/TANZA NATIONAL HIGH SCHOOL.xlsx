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9" documentId="13_ncr:1_{BFB59F67-F0DC-4675-A682-EB0734A8026A}" xr6:coauthVersionLast="47" xr6:coauthVersionMax="47" xr10:uidLastSave="{311B762F-8044-48B2-81D0-40B4D7FBFF10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48" i="5" l="1"/>
  <c r="O48" i="5"/>
  <c r="O45" i="5"/>
  <c r="N45" i="5"/>
  <c r="N24" i="5"/>
  <c r="O24" i="5"/>
  <c r="N36" i="5"/>
  <c r="O36" i="5"/>
  <c r="N33" i="5"/>
  <c r="O33" i="5"/>
  <c r="N21" i="5"/>
  <c r="O21" i="5"/>
  <c r="N12" i="5"/>
  <c r="O12" i="5"/>
  <c r="O9" i="5"/>
  <c r="N9" i="5"/>
  <c r="O49" i="5"/>
  <c r="N49" i="5"/>
  <c r="N47" i="5"/>
  <c r="O47" i="5"/>
  <c r="N46" i="5"/>
  <c r="O46" i="5"/>
  <c r="O37" i="5"/>
  <c r="N37" i="5"/>
  <c r="O35" i="5"/>
  <c r="N35" i="5"/>
  <c r="O34" i="5"/>
  <c r="N34" i="5"/>
  <c r="N25" i="5"/>
  <c r="O25" i="5"/>
  <c r="O23" i="5"/>
  <c r="N23" i="5"/>
  <c r="N22" i="5"/>
  <c r="O22" i="5"/>
  <c r="O20" i="5"/>
  <c r="N20" i="5"/>
  <c r="O13" i="5"/>
  <c r="N13" i="5"/>
  <c r="N11" i="5"/>
  <c r="O11" i="5"/>
  <c r="O10" i="5"/>
  <c r="N10" i="5"/>
  <c r="O8" i="5"/>
  <c r="N8" i="5"/>
  <c r="O7" i="5"/>
  <c r="N7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<sst xmlns="http://schemas.openxmlformats.org/spreadsheetml/2006/main" count="241" uniqueCount="85">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</sst>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47" activePane="topRight" state="frozen"/>
      <selection pane="topRight" activeCell="A2" sqref="A2:H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373</v>
      </c>
      <c r="D2" s="8">
        <v>430</v>
      </c>
      <c r="E2" s="8">
        <v>2025</v>
      </c>
      <c r="F2" s="10" t="s">
        <v>9</v>
      </c>
      <c r="G2" s="2">
        <f t="shared" ref="G2:G10" si="0">IF((C2-D2)&lt;0,0,C2-D2)</f>
        <v>0</v>
      </c>
      <c r="H2" s="3">
        <f t="shared" ref="H2:H10" si="1">IF((D2-C2)&lt;0,0,D2-C2)</f>
        <v>57</v>
      </c>
    </row>
    <row r="3" spans="1:8" ht="29.25" customHeight="1">
      <c r="A3" s="8">
        <v>7</v>
      </c>
      <c r="B3" s="9" t="s">
        <v>10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11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12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13</v>
      </c>
      <c r="C6" s="8">
        <v>373</v>
      </c>
      <c r="D6" s="8">
        <v>0</v>
      </c>
      <c r="E6" s="8">
        <v>2025</v>
      </c>
      <c r="F6" s="10" t="s">
        <v>9</v>
      </c>
      <c r="G6" s="2">
        <f t="shared" si="0"/>
        <v>373</v>
      </c>
      <c r="H6" s="3">
        <f t="shared" si="1"/>
        <v>0</v>
      </c>
    </row>
    <row r="7" spans="1:8" ht="19.5">
      <c r="A7" s="8">
        <v>7</v>
      </c>
      <c r="B7" s="9" t="s">
        <v>14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15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16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17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10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11</v>
      </c>
      <c r="C14" s="8">
        <v>412</v>
      </c>
      <c r="D14" s="8">
        <v>384</v>
      </c>
      <c r="E14" s="8">
        <v>2025</v>
      </c>
      <c r="F14" s="10" t="s">
        <v>9</v>
      </c>
      <c r="G14" s="2">
        <f t="shared" si="2"/>
        <v>28</v>
      </c>
      <c r="H14" s="3">
        <f t="shared" si="3"/>
        <v>0</v>
      </c>
    </row>
    <row r="15" spans="1:8" ht="29.25" customHeight="1">
      <c r="A15" s="8">
        <v>8</v>
      </c>
      <c r="B15" s="9" t="s">
        <v>12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18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15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10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11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11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19</v>
      </c>
      <c r="B43" s="7" t="s">
        <v>21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19</v>
      </c>
      <c r="B45" s="7" t="s">
        <v>23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19</v>
      </c>
      <c r="B46" s="7" t="s">
        <v>24</v>
      </c>
      <c r="C46" s="1"/>
      <c r="D46" s="1">
        <v>62</v>
      </c>
      <c r="E46" s="1">
        <v>2025</v>
      </c>
      <c r="F46" s="4" t="s">
        <v>9</v>
      </c>
      <c r="G46" s="2">
        <f t="shared" si="8"/>
        <v>0</v>
      </c>
      <c r="H46" s="3">
        <f t="shared" si="9"/>
        <v>62</v>
      </c>
    </row>
    <row r="47" spans="1:8" ht="27.75" customHeight="1">
      <c r="A47" s="1" t="s">
        <v>19</v>
      </c>
      <c r="B47" s="7" t="s">
        <v>25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19</v>
      </c>
      <c r="B48" s="7" t="s">
        <v>26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19</v>
      </c>
      <c r="B49" s="7" t="s">
        <v>27</v>
      </c>
      <c r="C49" s="1"/>
      <c r="D49" s="1">
        <v>62</v>
      </c>
      <c r="E49" s="1">
        <v>2025</v>
      </c>
      <c r="F49" s="4" t="s">
        <v>9</v>
      </c>
      <c r="G49" s="2">
        <f t="shared" si="8"/>
        <v>0</v>
      </c>
      <c r="H49" s="3">
        <f t="shared" si="9"/>
        <v>62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51" sqref="A51:AA6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2" t="s">
        <v>28</v>
      </c>
      <c r="E1" s="32"/>
      <c r="F1" s="32"/>
      <c r="G1" s="32"/>
      <c r="H1" s="32"/>
      <c r="I1" s="32"/>
      <c r="J1" s="33" t="s">
        <v>29</v>
      </c>
      <c r="K1" s="33"/>
      <c r="L1" s="33"/>
      <c r="M1" s="33"/>
      <c r="N1" s="33"/>
      <c r="O1" s="33"/>
      <c r="P1" s="34" t="s">
        <v>30</v>
      </c>
      <c r="Q1" s="34"/>
      <c r="R1" s="34"/>
      <c r="S1" s="34"/>
      <c r="T1" s="34"/>
      <c r="U1" s="34"/>
      <c r="V1" s="35" t="s">
        <v>31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0" t="s">
        <v>41</v>
      </c>
      <c r="N2" s="30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1" t="s">
        <v>53</v>
      </c>
      <c r="Z2" s="31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50" si="8">IF((J10-K10)&lt;0,0,(J10-K10))</f>
        <v>0</v>
      </c>
      <c r="O10" s="10">
        <f t="shared" ref="O10:O50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50" si="10">IF((P10-Q10)&lt;0,0,(P10-Q10))</f>
        <v>0</v>
      </c>
      <c r="U10" s="10">
        <f t="shared" ref="U10:U50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50" si="12">IF((V10-W10)&lt;0,0,(V10-W10))</f>
        <v>0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17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50" si="14">IF((D18-E18)&lt;0,0,(D18-E18))</f>
        <v>0</v>
      </c>
      <c r="I18" s="10">
        <f t="shared" ref="I18:I50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2:C11" name="Textbooks"/>
    <protectedRange sqref="H43:I50 Q43:R50 W43:X50 D33:F41 H33:I41 Q33:R41 J3:J50 W33:X41 V2:X2 Z3:AA50 P2:R2 N3:P50 T3:V50 D43:F50 K3:L11 K13:L21 K23:L31 K33:L41 K43:L50 J2:L2 D2:F11 H3:I11 Q3:R11 W3:X11 D13:F21 H13:I21 Q13:R21 W13:X21 D23:F31 H23:I31 Q23:R31 W23:X31" name="LAS"/>
    <protectedRange sqref="S2:U2 M2:O2 Y2:AA2 Y3:Y50 G43:G50 M3:M50 G3:G11 G2:I2 G13:G21 G23:G31 S3:S50 G33:G4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43:F50 F33:F41 F23:F31 F13:F21 F3:F11 L43:L50 L33:L41 L23:L31 L13:L21 L3:L11 R43:R50 R33:R41 R23:R31 R13:R21 R3:R11 X43:X50 X33:X41 X23:X31 X13:X21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D91" zoomScale="55" zoomScaleNormal="55" workbookViewId="0">
      <selection activeCell="L28" sqref="L28:M2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2" t="s">
        <v>28</v>
      </c>
      <c r="E1" s="32"/>
      <c r="F1" s="32"/>
      <c r="G1" s="32"/>
      <c r="H1" s="32"/>
      <c r="I1" s="32"/>
      <c r="J1" s="33" t="s">
        <v>29</v>
      </c>
      <c r="K1" s="33"/>
      <c r="L1" s="33"/>
      <c r="M1" s="33"/>
      <c r="N1" s="33"/>
      <c r="O1" s="33"/>
      <c r="P1" s="34" t="s">
        <v>30</v>
      </c>
      <c r="Q1" s="34"/>
      <c r="R1" s="34"/>
      <c r="S1" s="34"/>
      <c r="T1" s="34"/>
      <c r="U1" s="34"/>
      <c r="V1" s="35" t="s">
        <v>31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0" t="s">
        <v>65</v>
      </c>
      <c r="N2" s="30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1" t="s">
        <v>77</v>
      </c>
      <c r="Z2" s="31" t="s">
        <v>78</v>
      </c>
      <c r="AA2" s="24" t="s">
        <v>79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29">
        <v>7</v>
      </c>
      <c r="B9" s="9" t="s">
        <v>80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81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29">
        <v>7</v>
      </c>
      <c r="B12" s="9" t="s">
        <v>82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83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29">
        <v>8</v>
      </c>
      <c r="B21" s="9" t="s">
        <v>80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81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29">
        <v>8</v>
      </c>
      <c r="B24" s="9" t="s">
        <v>82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83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>
        <v>308</v>
      </c>
      <c r="D28" s="10">
        <f>Table14[[#This Row],[Enrolment S.Y. 2025-2026 ]]*8</f>
        <v>2464</v>
      </c>
      <c r="E28" s="10"/>
      <c r="F28" s="8"/>
      <c r="G28" s="10"/>
      <c r="H28" s="10">
        <f t="shared" si="16"/>
        <v>2464</v>
      </c>
      <c r="I28" s="10">
        <f t="shared" si="17"/>
        <v>0</v>
      </c>
      <c r="J28" s="10">
        <f>Table14[[#This Row],[Enrolment S.Y. 2025-2026 ]]*8</f>
        <v>2464</v>
      </c>
      <c r="K28" s="10">
        <v>513</v>
      </c>
      <c r="L28" s="8">
        <v>2025</v>
      </c>
      <c r="M28" s="10" t="s">
        <v>84</v>
      </c>
      <c r="N28" s="10">
        <f t="shared" si="14"/>
        <v>1951</v>
      </c>
      <c r="O28" s="10">
        <f t="shared" si="15"/>
        <v>0</v>
      </c>
      <c r="P28" s="10">
        <f>Table14[[#This Row],[Enrolment S.Y. 2025-2026 ]]*8</f>
        <v>2464</v>
      </c>
      <c r="Q28" s="10"/>
      <c r="R28" s="8"/>
      <c r="S28" s="10"/>
      <c r="T28" s="10">
        <f t="shared" si="10"/>
        <v>2464</v>
      </c>
      <c r="U28" s="10">
        <f t="shared" si="11"/>
        <v>0</v>
      </c>
      <c r="V28" s="10">
        <f>Table14[[#This Row],[Enrolment S.Y. 2025-2026 ]]*8</f>
        <v>2464</v>
      </c>
      <c r="W28" s="10"/>
      <c r="X28" s="8"/>
      <c r="Y28" s="10"/>
      <c r="Z28" s="10">
        <f t="shared" si="12"/>
        <v>2464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>
        <v>308</v>
      </c>
      <c r="D29" s="10">
        <f>Table14[[#This Row],[Enrolment S.Y. 2025-2026 ]]*8</f>
        <v>2464</v>
      </c>
      <c r="E29" s="10"/>
      <c r="F29" s="8"/>
      <c r="G29" s="10"/>
      <c r="H29" s="10">
        <f t="shared" si="16"/>
        <v>2464</v>
      </c>
      <c r="I29" s="10">
        <f t="shared" si="17"/>
        <v>0</v>
      </c>
      <c r="J29" s="10">
        <f>Table14[[#This Row],[Enrolment S.Y. 2025-2026 ]]*8</f>
        <v>2464</v>
      </c>
      <c r="K29" s="10">
        <v>570</v>
      </c>
      <c r="L29" s="8">
        <v>2025</v>
      </c>
      <c r="M29" s="10" t="s">
        <v>84</v>
      </c>
      <c r="N29" s="10">
        <f t="shared" si="14"/>
        <v>1894</v>
      </c>
      <c r="O29" s="10">
        <f t="shared" si="15"/>
        <v>0</v>
      </c>
      <c r="P29" s="10">
        <f>Table14[[#This Row],[Enrolment S.Y. 2025-2026 ]]*8</f>
        <v>2464</v>
      </c>
      <c r="Q29" s="10"/>
      <c r="R29" s="8"/>
      <c r="S29" s="10"/>
      <c r="T29" s="10">
        <f t="shared" si="10"/>
        <v>2464</v>
      </c>
      <c r="U29" s="10">
        <f t="shared" si="11"/>
        <v>0</v>
      </c>
      <c r="V29" s="10">
        <f>Table14[[#This Row],[Enrolment S.Y. 2025-2026 ]]*8</f>
        <v>2464</v>
      </c>
      <c r="W29" s="10"/>
      <c r="X29" s="8"/>
      <c r="Y29" s="10"/>
      <c r="Z29" s="10">
        <f t="shared" si="12"/>
        <v>2464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29">
        <v>9</v>
      </c>
      <c r="B33" s="9" t="s">
        <v>80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81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29">
        <v>9</v>
      </c>
      <c r="B36" s="9" t="s">
        <v>82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83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29">
        <v>10</v>
      </c>
      <c r="B45" s="9" t="s">
        <v>80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81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29">
        <v>10</v>
      </c>
      <c r="B48" s="9" t="s">
        <v>82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83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D39:F49 N27:R37 N39:R49 H27:L37 N3:R13 P2:R2 D15:F25 D27:F37 D51:F58 N15:R25 V2:X2 T3:X13 Z3:AA13 H3:L13 T15:X25 Z15:AA25 H15:L25 T27:X37 Z27:AA37 T39:X49 Z39:AA49 H39:L49 N51:R58 T51:X58 Z51:AA58 H51:L58 D2:F13" name="LAS"/>
    <protectedRange sqref="G2:I2 M2:O2 S2:U2 Y2:AA2 G51:G58 M51:M58 S51:S58 M27:M37 Y3:Y13 G3:G13 M3:M13 S3:S13 Y15:Y25 G15:G25 M15:M25 S15:S25 Y27:Y37 G27:G37 S27:S37 Y39:Y49 G39:G49 M39:M49 S39:S49 Y51:Y58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51:M58 G27:G37 G39:G49 Y39:Y49 S39:S49 M39:M49 M27:M37" xr:uid="{CBD486C7-A5DB-48F1-B496-5027CC51E830}">
      <formula1>"CO,RO,SDO,LGU,SCHOOL"</formula1>
    </dataValidation>
    <dataValidation type="list" allowBlank="1" showInputMessage="1" showErrorMessage="1" sqref="F51:F58 F39:F49 F27:F37 F15:F25 F3:F13 L51:L58 L39:L49 L15:L25 L3:L13 R51:R58 R39:R49 R27:R37 R15:R25 R3:R13 X51:X58 X39:X49 X27:X37 X15:X25 X3:X13 L27:L37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2026-04-13T08:27:52Z</dcterms:modified>
  <cp:category/>
  <cp:contentStatus/>
</cp:coreProperties>
</file>