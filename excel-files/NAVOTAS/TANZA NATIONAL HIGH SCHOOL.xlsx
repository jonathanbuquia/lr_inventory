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3" documentId="13_ncr:1_{BFB59F67-F0DC-4675-A682-EB0734A8026A}" xr6:coauthVersionLast="47" xr6:coauthVersionMax="47" xr10:uidLastSave="{E4D7033F-BDC3-4F9A-86E0-47652F56585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112" i="5" l="1"/>
  <c r="O112" i="5"/>
  <c r="O109" i="5"/>
  <c r="N109" i="5"/>
  <c r="N88" i="5"/>
  <c r="O88" i="5"/>
  <c r="N100" i="5"/>
  <c r="O100" i="5"/>
  <c r="N97" i="5"/>
  <c r="O97" i="5"/>
  <c r="N85" i="5"/>
  <c r="O85" i="5"/>
  <c r="N76" i="5"/>
  <c r="O76" i="5"/>
  <c r="O73" i="5"/>
  <c r="N73" i="5"/>
  <c r="O64" i="5"/>
  <c r="N64" i="5"/>
  <c r="N61" i="5"/>
  <c r="O61" i="5"/>
  <c r="O52" i="5"/>
  <c r="N52" i="5"/>
  <c r="N49" i="5"/>
  <c r="O49" i="5"/>
  <c r="N40" i="5"/>
  <c r="O40" i="5"/>
  <c r="N37" i="5"/>
  <c r="O37" i="5"/>
  <c r="O113" i="5"/>
  <c r="N113" i="5"/>
  <c r="N111" i="5"/>
  <c r="O111" i="5"/>
  <c r="N110" i="5"/>
  <c r="O110" i="5"/>
  <c r="O101" i="5"/>
  <c r="N101" i="5"/>
  <c r="O99" i="5"/>
  <c r="N99" i="5"/>
  <c r="O98" i="5"/>
  <c r="N98" i="5"/>
  <c r="N89" i="5"/>
  <c r="O89" i="5"/>
  <c r="O87" i="5"/>
  <c r="N87" i="5"/>
  <c r="N86" i="5"/>
  <c r="O86" i="5"/>
  <c r="O84" i="5"/>
  <c r="N84" i="5"/>
  <c r="O77" i="5"/>
  <c r="N77" i="5"/>
  <c r="N75" i="5"/>
  <c r="O75" i="5"/>
  <c r="O74" i="5"/>
  <c r="N74" i="5"/>
  <c r="O72" i="5"/>
  <c r="N72" i="5"/>
  <c r="O71" i="5"/>
  <c r="N71" i="5"/>
  <c r="N65" i="5"/>
  <c r="O65" i="5"/>
  <c r="N63" i="5"/>
  <c r="O63" i="5"/>
  <c r="N62" i="5"/>
  <c r="O62" i="5"/>
  <c r="N53" i="5"/>
  <c r="O53" i="5"/>
  <c r="N51" i="5"/>
  <c r="O51" i="5"/>
  <c r="N50" i="5"/>
  <c r="O50" i="5"/>
  <c r="N48" i="5"/>
  <c r="O48" i="5"/>
  <c r="O41" i="5"/>
  <c r="N41" i="5"/>
  <c r="N39" i="5"/>
  <c r="O39" i="5"/>
  <c r="N38" i="5"/>
  <c r="O38" i="5"/>
  <c r="N36" i="5"/>
  <c r="O36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<sst xmlns="http://schemas.openxmlformats.org/spreadsheetml/2006/main" count="395" uniqueCount="92">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</sst>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2" activePane="topRight" state="frozen"/>
      <selection pane="topRight" activeCell="F95" sqref="F9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373</v>
      </c>
      <c r="D51" s="10">
        <v>430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57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373</v>
      </c>
      <c r="D55" s="10">
        <v>0</v>
      </c>
      <c r="E55" s="10">
        <v>2025</v>
      </c>
      <c r="F55" s="12" t="s">
        <v>20</v>
      </c>
      <c r="G55" s="3">
        <f t="shared" si="10"/>
        <v>373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412</v>
      </c>
      <c r="D63" s="10">
        <v>384</v>
      </c>
      <c r="E63" s="10">
        <v>2025</v>
      </c>
      <c r="F63" s="12" t="s">
        <v>20</v>
      </c>
      <c r="G63" s="3">
        <f t="shared" si="12"/>
        <v>28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>
        <v>62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62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>
        <v>62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62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23" zoomScale="70" zoomScaleNormal="70" workbookViewId="0">
      <selection activeCell="K35" sqref="K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D91" zoomScale="55" zoomScaleNormal="55" workbookViewId="0">
      <selection activeCell="L92" sqref="L92:M9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308</v>
      </c>
      <c r="D92" s="12">
        <f>Table14[[#This Row],[Enrolment S.Y. 2025-2026 ]]*8</f>
        <v>2464</v>
      </c>
      <c r="E92" s="12"/>
      <c r="F92" s="10"/>
      <c r="G92" s="12"/>
      <c r="H92" s="12">
        <f t="shared" si="22"/>
        <v>2464</v>
      </c>
      <c r="I92" s="12">
        <f t="shared" si="23"/>
        <v>0</v>
      </c>
      <c r="J92" s="12">
        <f>Table14[[#This Row],[Enrolment S.Y. 2025-2026 ]]*8</f>
        <v>2464</v>
      </c>
      <c r="K92" s="12">
        <v>513</v>
      </c>
      <c r="L92" s="10">
        <v>2025</v>
      </c>
      <c r="M92" s="12" t="s">
        <v>91</v>
      </c>
      <c r="N92" s="12">
        <f t="shared" si="20"/>
        <v>1951</v>
      </c>
      <c r="O92" s="12">
        <f t="shared" si="21"/>
        <v>0</v>
      </c>
      <c r="P92" s="12">
        <f>Table14[[#This Row],[Enrolment S.Y. 2025-2026 ]]*8</f>
        <v>2464</v>
      </c>
      <c r="Q92" s="12"/>
      <c r="R92" s="10"/>
      <c r="S92" s="12"/>
      <c r="T92" s="12">
        <f t="shared" si="16"/>
        <v>2464</v>
      </c>
      <c r="U92" s="12">
        <f t="shared" si="17"/>
        <v>0</v>
      </c>
      <c r="V92" s="12">
        <f>Table14[[#This Row],[Enrolment S.Y. 2025-2026 ]]*8</f>
        <v>2464</v>
      </c>
      <c r="W92" s="12"/>
      <c r="X92" s="10"/>
      <c r="Y92" s="12"/>
      <c r="Z92" s="12">
        <f t="shared" si="18"/>
        <v>2464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308</v>
      </c>
      <c r="D93" s="12">
        <f>Table14[[#This Row],[Enrolment S.Y. 2025-2026 ]]*8</f>
        <v>2464</v>
      </c>
      <c r="E93" s="12"/>
      <c r="F93" s="10"/>
      <c r="G93" s="12"/>
      <c r="H93" s="12">
        <f t="shared" si="22"/>
        <v>2464</v>
      </c>
      <c r="I93" s="12">
        <f t="shared" si="23"/>
        <v>0</v>
      </c>
      <c r="J93" s="12">
        <f>Table14[[#This Row],[Enrolment S.Y. 2025-2026 ]]*8</f>
        <v>2464</v>
      </c>
      <c r="K93" s="12">
        <v>570</v>
      </c>
      <c r="L93" s="10">
        <v>2025</v>
      </c>
      <c r="M93" s="12" t="s">
        <v>91</v>
      </c>
      <c r="N93" s="12">
        <f t="shared" si="20"/>
        <v>1894</v>
      </c>
      <c r="O93" s="12">
        <f t="shared" si="21"/>
        <v>0</v>
      </c>
      <c r="P93" s="12">
        <f>Table14[[#This Row],[Enrolment S.Y. 2025-2026 ]]*8</f>
        <v>2464</v>
      </c>
      <c r="Q93" s="12"/>
      <c r="R93" s="10"/>
      <c r="S93" s="12"/>
      <c r="T93" s="12">
        <f t="shared" si="16"/>
        <v>2464</v>
      </c>
      <c r="U93" s="12">
        <f t="shared" si="17"/>
        <v>0</v>
      </c>
      <c r="V93" s="12">
        <f>Table14[[#This Row],[Enrolment S.Y. 2025-2026 ]]*8</f>
        <v>2464</v>
      </c>
      <c r="W93" s="12"/>
      <c r="X93" s="10"/>
      <c r="Y93" s="12"/>
      <c r="Z93" s="12">
        <f t="shared" si="18"/>
        <v>2464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T103:X113 Z103:AA113 H103:L113 N115:R122 T115:X122 Z115:AA122 H115:L122 D103:F113 N31:R41 N43:R53 N55:R65 N67:R77 N79:R89 N91:R101 N103:R113 H91:L10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S91:S101 Y103:Y113 G103:G113 M103:M113 S103:S113 Y115:Y122 G115:G122 M115:M122 S115:S122 M91:M10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115:M122 G91:G101 G103:G113 Y103:Y113 S103:S113 M103:M113 M91:M101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X3:X10 L79:L89 L67:L77 L55:L65 L43:L53 L31:L41 L21:L29 L12:L19 L3:L10 R115:R122 R103:R113 R91:R101 R79:R89 R67:R77 R55:R65 R43:R53 R31:R41 R21:R29 R12:R19 R3:R10 X115:X122 X103:X113 X91:X101 X79:X89 X67:X77 X55:X65 X43:X53 X31:X41 X21:X29 X12:X19 L91:L101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Vergel Junior Eusebio</cp:lastModifiedBy>
  <cp:revision/>
  <dcterms:created xsi:type="dcterms:W3CDTF">2025-11-19T20:48:15Z</dcterms:created>
  <dcterms:modified xsi:type="dcterms:W3CDTF">2026-03-27T02:57:44Z</dcterms:modified>
  <cp:category/>
  <cp:contentStatus/>
</cp:coreProperties>
</file>