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50" documentId="13_ncr:1_{BFB59F67-F0DC-4675-A682-EB0734A8026A}" xr6:coauthVersionLast="47" xr6:coauthVersionMax="47" xr10:uidLastSave="{05DF5CD4-2BCD-40B0-9118-E92A48F6B06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5" i="4" l="1"/>
  <c r="K43" i="4"/>
  <c r="Q41" i="4"/>
  <c r="E30" i="4"/>
  <c r="E25" i="4"/>
  <c r="K19" i="4"/>
  <c r="K17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<sst xmlns="http://schemas.openxmlformats.org/spreadsheetml/2006/main" count="432" uniqueCount="92">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</sst>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C31" sqref="C3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110</v>
      </c>
      <c r="D2" s="1">
        <v>187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77</v>
      </c>
    </row>
    <row r="3" spans="1:8" ht="29.25" customHeight="1">
      <c r="A3" s="1">
        <v>1</v>
      </c>
      <c r="B3" s="2" t="s">
        <v>10</v>
      </c>
      <c r="C3" s="1">
        <v>110</v>
      </c>
      <c r="D3" s="1">
        <v>187</v>
      </c>
      <c r="E3" s="1">
        <v>2024</v>
      </c>
      <c r="F3" s="5" t="s">
        <v>9</v>
      </c>
      <c r="G3" s="3">
        <f>IF((C3-D3)&lt;0,0,C3-D3)</f>
        <v>0</v>
      </c>
      <c r="H3" s="4">
        <f>IF((D3-C3)&lt;0,0,D3-C3)</f>
        <v>77</v>
      </c>
    </row>
    <row r="4" spans="1:8" ht="21" customHeight="1">
      <c r="A4" s="1">
        <v>1</v>
      </c>
      <c r="B4" s="2" t="s">
        <v>11</v>
      </c>
      <c r="C4" s="1">
        <v>110</v>
      </c>
      <c r="D4" s="1">
        <v>187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77</v>
      </c>
    </row>
    <row r="5" spans="1:8" ht="25.5" customHeight="1">
      <c r="A5" s="1">
        <v>1</v>
      </c>
      <c r="B5" s="2" t="s">
        <v>12</v>
      </c>
      <c r="C5" s="1">
        <v>110</v>
      </c>
      <c r="D5" s="1">
        <v>187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19.149999999999999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112</v>
      </c>
      <c r="D11" s="1">
        <v>135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23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91</v>
      </c>
      <c r="D22" s="1">
        <v>146</v>
      </c>
      <c r="E22" s="1">
        <v>2024</v>
      </c>
      <c r="F22" s="5" t="s">
        <v>14</v>
      </c>
      <c r="G22" s="3">
        <f t="shared" si="4"/>
        <v>0</v>
      </c>
      <c r="H22" s="4">
        <f t="shared" si="5"/>
        <v>55</v>
      </c>
    </row>
    <row r="23" spans="1:8" ht="19.5">
      <c r="A23" s="1">
        <v>4</v>
      </c>
      <c r="B23" s="9" t="s">
        <v>13</v>
      </c>
      <c r="C23" s="1">
        <v>91</v>
      </c>
      <c r="D23" s="1">
        <v>146</v>
      </c>
      <c r="E23" s="1">
        <v>2025</v>
      </c>
      <c r="F23" s="5" t="s">
        <v>14</v>
      </c>
      <c r="G23" s="3">
        <f t="shared" si="4"/>
        <v>0</v>
      </c>
      <c r="H23" s="4">
        <f t="shared" si="5"/>
        <v>55</v>
      </c>
    </row>
    <row r="24" spans="1:8" ht="27" customHeight="1">
      <c r="A24" s="1">
        <v>4</v>
      </c>
      <c r="B24" s="9" t="s">
        <v>11</v>
      </c>
      <c r="C24" s="1">
        <v>91</v>
      </c>
      <c r="D24" s="1">
        <v>147</v>
      </c>
      <c r="E24" s="1">
        <v>2025</v>
      </c>
      <c r="F24" s="5" t="s">
        <v>14</v>
      </c>
      <c r="G24" s="3">
        <f t="shared" si="4"/>
        <v>0</v>
      </c>
      <c r="H24" s="4">
        <f t="shared" si="5"/>
        <v>56</v>
      </c>
    </row>
    <row r="25" spans="1:8" ht="33.75" customHeight="1">
      <c r="A25" s="1">
        <v>4</v>
      </c>
      <c r="B25" s="9" t="s">
        <v>18</v>
      </c>
      <c r="C25" s="1">
        <v>91</v>
      </c>
      <c r="D25" s="1">
        <v>146</v>
      </c>
      <c r="E25" s="1">
        <v>2024</v>
      </c>
      <c r="F25" s="5" t="s">
        <v>14</v>
      </c>
      <c r="G25" s="3">
        <f t="shared" si="4"/>
        <v>0</v>
      </c>
      <c r="H25" s="4">
        <f t="shared" si="5"/>
        <v>55</v>
      </c>
    </row>
    <row r="26" spans="1:8" ht="33.75" customHeight="1">
      <c r="A26" s="1">
        <v>4</v>
      </c>
      <c r="B26" s="9" t="s">
        <v>15</v>
      </c>
      <c r="C26" s="1">
        <v>91</v>
      </c>
      <c r="D26" s="1">
        <v>146</v>
      </c>
      <c r="E26" s="1">
        <v>2024</v>
      </c>
      <c r="F26" s="5" t="s">
        <v>14</v>
      </c>
      <c r="G26" s="3">
        <f t="shared" si="4"/>
        <v>0</v>
      </c>
      <c r="H26" s="4">
        <f t="shared" si="5"/>
        <v>55</v>
      </c>
    </row>
    <row r="27" spans="1:8" ht="33.75" customHeight="1">
      <c r="A27" s="1">
        <v>4</v>
      </c>
      <c r="B27" s="9" t="s">
        <v>19</v>
      </c>
      <c r="C27" s="1">
        <v>91</v>
      </c>
      <c r="D27" s="1">
        <v>146</v>
      </c>
      <c r="E27" s="1">
        <v>2024</v>
      </c>
      <c r="F27" s="5" t="s">
        <v>14</v>
      </c>
      <c r="G27" s="3">
        <f t="shared" si="4"/>
        <v>0</v>
      </c>
      <c r="H27" s="4">
        <f t="shared" si="5"/>
        <v>55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91</v>
      </c>
      <c r="D29" s="1">
        <v>146</v>
      </c>
      <c r="E29" s="1">
        <v>2026</v>
      </c>
      <c r="F29" s="5" t="s">
        <v>14</v>
      </c>
      <c r="G29" s="3">
        <f t="shared" si="4"/>
        <v>0</v>
      </c>
      <c r="H29" s="4">
        <f t="shared" si="5"/>
        <v>55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79</v>
      </c>
      <c r="D31" s="1">
        <v>99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79</v>
      </c>
      <c r="D35" s="1">
        <v>99</v>
      </c>
      <c r="E35" s="1">
        <v>2025</v>
      </c>
      <c r="F35" s="5" t="s">
        <v>14</v>
      </c>
      <c r="G35" s="3">
        <f t="shared" si="6"/>
        <v>0</v>
      </c>
      <c r="H35" s="4">
        <f t="shared" si="7"/>
        <v>20</v>
      </c>
    </row>
    <row r="36" spans="1:8" ht="27.75" customHeight="1">
      <c r="A36" s="1">
        <v>5</v>
      </c>
      <c r="B36" s="9" t="s">
        <v>15</v>
      </c>
      <c r="C36" s="1">
        <v>79</v>
      </c>
      <c r="D36" s="1">
        <v>99</v>
      </c>
      <c r="E36" s="1">
        <v>2025</v>
      </c>
      <c r="F36" s="5" t="s">
        <v>14</v>
      </c>
      <c r="G36" s="3">
        <f t="shared" si="6"/>
        <v>0</v>
      </c>
      <c r="H36" s="4">
        <f t="shared" si="7"/>
        <v>20</v>
      </c>
    </row>
    <row r="37" spans="1:8" ht="27.75" customHeight="1">
      <c r="A37" s="1">
        <v>5</v>
      </c>
      <c r="B37" s="9" t="s">
        <v>19</v>
      </c>
      <c r="C37" s="1">
        <v>79</v>
      </c>
      <c r="D37" s="1">
        <v>99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20</v>
      </c>
    </row>
    <row r="38" spans="1:8" ht="27.75" customHeight="1">
      <c r="A38" s="1">
        <v>5</v>
      </c>
      <c r="B38" s="9" t="s">
        <v>20</v>
      </c>
      <c r="C38" s="1">
        <v>79</v>
      </c>
      <c r="D38" s="1">
        <v>99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20</v>
      </c>
    </row>
    <row r="39" spans="1:8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21:F29 F41:F49 F51:F59 F61:F69 F71:F79 F81:F89 F2:F6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38" zoomScale="70" zoomScaleNormal="70" workbookViewId="0">
      <selection activeCell="C45" sqref="C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112</v>
      </c>
      <c r="D17" s="5">
        <f>Table1[[#This Row],[Enrolment S.Y. 2025-2026 ]]*8</f>
        <v>896</v>
      </c>
      <c r="E17" s="5"/>
      <c r="F17" s="1"/>
      <c r="G17" s="5"/>
      <c r="H17" s="5">
        <f t="shared" si="2"/>
        <v>896</v>
      </c>
      <c r="I17" s="5">
        <f t="shared" si="3"/>
        <v>0</v>
      </c>
      <c r="J17" s="5">
        <f>Table1[[#This Row],[Enrolment S.Y. 2025-2026 ]]*8</f>
        <v>896</v>
      </c>
      <c r="K17" s="5">
        <f>115*8</f>
        <v>920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24</v>
      </c>
      <c r="P17" s="5">
        <f>Table1[[#This Row],[Enrolment S.Y. 2025-2026 ]]*8</f>
        <v>896</v>
      </c>
      <c r="Q17" s="5"/>
      <c r="R17" s="1"/>
      <c r="S17" s="5"/>
      <c r="T17" s="5">
        <f t="shared" si="12"/>
        <v>896</v>
      </c>
      <c r="U17" s="5">
        <f t="shared" si="13"/>
        <v>0</v>
      </c>
      <c r="V17" s="5">
        <f>Table1[[#This Row],[Enrolment S.Y. 2025-2026 ]]*8</f>
        <v>896</v>
      </c>
      <c r="W17" s="5"/>
      <c r="X17" s="1"/>
      <c r="Y17" s="5"/>
      <c r="Z17" s="5">
        <f t="shared" si="14"/>
        <v>896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112</v>
      </c>
      <c r="D19" s="5">
        <f>Table1[[#This Row],[Enrolment S.Y. 2025-2026 ]]*8</f>
        <v>896</v>
      </c>
      <c r="E19" s="5"/>
      <c r="F19" s="1"/>
      <c r="G19" s="5"/>
      <c r="H19" s="5">
        <f>IF((D19-E19)&lt;0,0,(D19-E19))</f>
        <v>896</v>
      </c>
      <c r="I19" s="5">
        <f>IF((E19-D19)&lt;0,0,(E19-D19))</f>
        <v>0</v>
      </c>
      <c r="J19" s="5">
        <f>Table1[[#This Row],[Enrolment S.Y. 2025-2026 ]]*8</f>
        <v>896</v>
      </c>
      <c r="K19" s="5">
        <f>115*8</f>
        <v>920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24</v>
      </c>
      <c r="P19" s="5">
        <f>Table1[[#This Row],[Enrolment S.Y. 2025-2026 ]]*8</f>
        <v>896</v>
      </c>
      <c r="Q19" s="5"/>
      <c r="R19" s="1"/>
      <c r="S19" s="5"/>
      <c r="T19" s="5">
        <f t="shared" si="12"/>
        <v>896</v>
      </c>
      <c r="U19" s="5">
        <f t="shared" si="13"/>
        <v>0</v>
      </c>
      <c r="V19" s="5">
        <f>Table1[[#This Row],[Enrolment S.Y. 2025-2026 ]]*8</f>
        <v>896</v>
      </c>
      <c r="W19" s="5"/>
      <c r="X19" s="1"/>
      <c r="Y19" s="5"/>
      <c r="Z19" s="5">
        <f t="shared" si="14"/>
        <v>896</v>
      </c>
      <c r="AA19" s="5">
        <f t="shared" si="15"/>
        <v>0</v>
      </c>
    </row>
    <row r="20" spans="1:27" ht="19.149999999999999">
      <c r="A20" s="1">
        <v>2</v>
      </c>
      <c r="B20" s="9" t="s">
        <v>16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82</v>
      </c>
      <c r="D25" s="5">
        <f>Table1[[#This Row],[Enrolment S.Y. 2025-2026 ]]*8</f>
        <v>656</v>
      </c>
      <c r="E25" s="5">
        <f>88*8</f>
        <v>704</v>
      </c>
      <c r="F25" s="1">
        <v>2025</v>
      </c>
      <c r="G25" s="5" t="s">
        <v>9</v>
      </c>
      <c r="H25" s="5">
        <f t="shared" si="2"/>
        <v>0</v>
      </c>
      <c r="I25" s="5">
        <f t="shared" si="3"/>
        <v>48</v>
      </c>
      <c r="J25" s="5">
        <f>Table1[[#This Row],[Enrolment S.Y. 2025-2026 ]]*8</f>
        <v>656</v>
      </c>
      <c r="K25" s="5"/>
      <c r="L25" s="1"/>
      <c r="M25" s="5"/>
      <c r="N25" s="5">
        <f t="shared" si="10"/>
        <v>656</v>
      </c>
      <c r="O25" s="5">
        <f t="shared" si="11"/>
        <v>0</v>
      </c>
      <c r="P25" s="5">
        <f>Table1[[#This Row],[Enrolment S.Y. 2025-2026 ]]*8</f>
        <v>656</v>
      </c>
      <c r="Q25" s="5"/>
      <c r="R25" s="1"/>
      <c r="S25" s="5"/>
      <c r="T25" s="5">
        <f t="shared" si="12"/>
        <v>656</v>
      </c>
      <c r="U25" s="5">
        <f t="shared" si="13"/>
        <v>0</v>
      </c>
      <c r="V25" s="5">
        <f>Table1[[#This Row],[Enrolment S.Y. 2025-2026 ]]*8</f>
        <v>656</v>
      </c>
      <c r="W25" s="5"/>
      <c r="X25" s="1"/>
      <c r="Y25" s="5"/>
      <c r="Z25" s="5">
        <f t="shared" si="14"/>
        <v>656</v>
      </c>
      <c r="AA25" s="5">
        <f t="shared" si="15"/>
        <v>0</v>
      </c>
    </row>
    <row r="26" spans="1:27" ht="19.149999999999999">
      <c r="A26" s="1">
        <v>3</v>
      </c>
      <c r="B26" s="2" t="s">
        <v>15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16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82</v>
      </c>
      <c r="D30" s="5">
        <f>Table1[[#This Row],[Enrolment S.Y. 2025-2026 ]]*8</f>
        <v>656</v>
      </c>
      <c r="E30" s="5">
        <f>88*8</f>
        <v>704</v>
      </c>
      <c r="F30" s="1">
        <v>2025</v>
      </c>
      <c r="G30" s="5" t="s">
        <v>9</v>
      </c>
      <c r="H30" s="5">
        <f>IF((D30-E30)&lt;0,0,(D30-E30))</f>
        <v>0</v>
      </c>
      <c r="I30" s="5">
        <f>IF((E30-D30)&lt;0,0,(E30-D30))</f>
        <v>48</v>
      </c>
      <c r="J30" s="5">
        <f>Table1[[#This Row],[Enrolment S.Y. 2025-2026 ]]*8</f>
        <v>656</v>
      </c>
      <c r="K30" s="5"/>
      <c r="L30" s="1"/>
      <c r="M30" s="5"/>
      <c r="N30" s="5">
        <f t="shared" si="10"/>
        <v>656</v>
      </c>
      <c r="O30" s="5">
        <f t="shared" si="11"/>
        <v>0</v>
      </c>
      <c r="P30" s="5">
        <f>Table1[[#This Row],[Enrolment S.Y. 2025-2026 ]]*8</f>
        <v>656</v>
      </c>
      <c r="Q30" s="5"/>
      <c r="R30" s="1"/>
      <c r="S30" s="5"/>
      <c r="T30" s="5">
        <f t="shared" si="12"/>
        <v>656</v>
      </c>
      <c r="U30" s="5">
        <f t="shared" si="13"/>
        <v>0</v>
      </c>
      <c r="V30" s="5">
        <f>Table1[[#This Row],[Enrolment S.Y. 2025-2026 ]]*8</f>
        <v>656</v>
      </c>
      <c r="W30" s="5"/>
      <c r="X30" s="1"/>
      <c r="Y30" s="5"/>
      <c r="Z30" s="5">
        <f t="shared" si="14"/>
        <v>656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91</v>
      </c>
      <c r="D41" s="5">
        <f>Table1[[#This Row],[Enrolment S.Y. 2025-2026 ]]*8</f>
        <v>728</v>
      </c>
      <c r="E41" s="5"/>
      <c r="F41" s="1"/>
      <c r="G41" s="5"/>
      <c r="H41" s="5">
        <f t="shared" si="2"/>
        <v>728</v>
      </c>
      <c r="I41" s="5">
        <f t="shared" si="3"/>
        <v>0</v>
      </c>
      <c r="J41" s="5">
        <f>Table1[[#This Row],[Enrolment S.Y. 2025-2026 ]]*8</f>
        <v>728</v>
      </c>
      <c r="K41" s="5"/>
      <c r="L41" s="1"/>
      <c r="M41" s="5"/>
      <c r="N41" s="5">
        <f t="shared" si="10"/>
        <v>728</v>
      </c>
      <c r="O41" s="5">
        <f t="shared" si="11"/>
        <v>0</v>
      </c>
      <c r="P41" s="5">
        <f>Table1[[#This Row],[Enrolment S.Y. 2025-2026 ]]*8</f>
        <v>728</v>
      </c>
      <c r="Q41" s="5">
        <f>117*8</f>
        <v>936</v>
      </c>
      <c r="R41" s="1">
        <v>2025</v>
      </c>
      <c r="S41" s="5" t="s">
        <v>9</v>
      </c>
      <c r="T41" s="5">
        <f t="shared" si="12"/>
        <v>0</v>
      </c>
      <c r="U41" s="5">
        <f t="shared" si="13"/>
        <v>208</v>
      </c>
      <c r="V41" s="5">
        <f>Table1[[#This Row],[Enrolment S.Y. 2025-2026 ]]*8</f>
        <v>728</v>
      </c>
      <c r="W41" s="5"/>
      <c r="X41" s="1"/>
      <c r="Y41" s="5"/>
      <c r="Z41" s="5">
        <f t="shared" si="14"/>
        <v>728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79</v>
      </c>
      <c r="D43" s="5">
        <f>Table1[[#This Row],[Enrolment S.Y. 2025-2026 ]]*8</f>
        <v>632</v>
      </c>
      <c r="E43" s="5"/>
      <c r="F43" s="1"/>
      <c r="G43" s="5"/>
      <c r="H43" s="5">
        <f t="shared" si="2"/>
        <v>632</v>
      </c>
      <c r="I43" s="5">
        <f t="shared" si="3"/>
        <v>0</v>
      </c>
      <c r="J43" s="5">
        <f>Table1[[#This Row],[Enrolment S.Y. 2025-2026 ]]*8</f>
        <v>632</v>
      </c>
      <c r="K43" s="5">
        <f>73*8</f>
        <v>584</v>
      </c>
      <c r="L43" s="1">
        <v>2025</v>
      </c>
      <c r="M43" s="5" t="s">
        <v>9</v>
      </c>
      <c r="N43" s="5">
        <f t="shared" si="10"/>
        <v>48</v>
      </c>
      <c r="O43" s="5">
        <f t="shared" si="11"/>
        <v>0</v>
      </c>
      <c r="P43" s="5">
        <f>Table1[[#This Row],[Enrolment S.Y. 2025-2026 ]]*8</f>
        <v>632</v>
      </c>
      <c r="Q43" s="5"/>
      <c r="R43" s="1"/>
      <c r="S43" s="5"/>
      <c r="T43" s="5">
        <f t="shared" si="12"/>
        <v>632</v>
      </c>
      <c r="U43" s="5">
        <f t="shared" si="13"/>
        <v>0</v>
      </c>
      <c r="V43" s="5">
        <f>Table1[[#This Row],[Enrolment S.Y. 2025-2026 ]]*8</f>
        <v>632</v>
      </c>
      <c r="W43" s="5"/>
      <c r="X43" s="1"/>
      <c r="Y43" s="5"/>
      <c r="Z43" s="5">
        <f t="shared" si="14"/>
        <v>632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79</v>
      </c>
      <c r="D45" s="5">
        <f>Table1[[#This Row],[Enrolment S.Y. 2025-2026 ]]*8</f>
        <v>632</v>
      </c>
      <c r="E45" s="5"/>
      <c r="F45" s="1"/>
      <c r="G45" s="5"/>
      <c r="H45" s="5">
        <f t="shared" si="2"/>
        <v>632</v>
      </c>
      <c r="I45" s="5">
        <f t="shared" si="3"/>
        <v>0</v>
      </c>
      <c r="J45" s="5">
        <f>Table1[[#This Row],[Enrolment S.Y. 2025-2026 ]]*8</f>
        <v>632</v>
      </c>
      <c r="K45" s="5">
        <f>73*8</f>
        <v>584</v>
      </c>
      <c r="L45" s="1">
        <v>2025</v>
      </c>
      <c r="M45" s="5" t="s">
        <v>9</v>
      </c>
      <c r="N45" s="5">
        <f t="shared" si="10"/>
        <v>48</v>
      </c>
      <c r="O45" s="5">
        <f t="shared" si="11"/>
        <v>0</v>
      </c>
      <c r="P45" s="5">
        <f>Table1[[#This Row],[Enrolment S.Y. 2025-2026 ]]*8</f>
        <v>632</v>
      </c>
      <c r="Q45" s="5"/>
      <c r="R45" s="1"/>
      <c r="S45" s="5"/>
      <c r="T45" s="5">
        <f t="shared" si="12"/>
        <v>632</v>
      </c>
      <c r="U45" s="5">
        <f t="shared" si="13"/>
        <v>0</v>
      </c>
      <c r="V45" s="5">
        <f>Table1[[#This Row],[Enrolment S.Y. 2025-2026 ]]*8</f>
        <v>632</v>
      </c>
      <c r="W45" s="5"/>
      <c r="X45" s="1"/>
      <c r="Y45" s="5"/>
      <c r="Z45" s="5">
        <f t="shared" si="14"/>
        <v>632</v>
      </c>
      <c r="AA45" s="5">
        <f t="shared" si="15"/>
        <v>0</v>
      </c>
    </row>
    <row r="46" spans="1:27" ht="19.149999999999999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15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18 C23:C31 C33:C41 C44 C53:C61 C63:C71 C73:C81 C83:C91 C93:C101 C103:C110 C112:C127 C5:C12 C20:C21 C46:C51" name="Textbooks"/>
    <protectedRange sqref="J2:L3 D2:F3 H5:L5 D14:F21 Q14:R21 W14:X21 Q23:R31 W23:X31 D33:F41 H33:I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23:L31 Q112:R126 P2:R2 V2:X3 N13:P126 T13:V127 J6:J127 D5:F12 N5:R12 T5:X12 N4:P4 T4:V4 J4 Z4:AA127 N3:R3 Y13 K14:L21 D23:F31 Q33:R41 D43:F51 K43:L51" name="LAS"/>
    <protectedRange sqref="G2:I3 M2:O2 S2:U3 Y2:AA3 G112:G127 M112:M127 S112:S127 Y112:Y127 G5:G12 M5:M12 Y5:Y12 G14:G21 M3 Y14:Y110 G23:G31 G33:G41 G43:G51 G53:G61 G63:G71 G73:G81 G83:G91 G93:G101 G103:G110 S4:S110 M14:M110" name="SOURCE"/>
    <protectedRange sqref="C19" name="Textbooks_1"/>
    <protectedRange sqref="C43" name="Textbooks_2"/>
    <protectedRange sqref="C45" name="Textbook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R33:R41 L33:L41 L23:L31 L14:L21 L5:L12 R112:R127 R103:R110 R93:R101 R83:R91 R73:R81 R63:R71 R53:R61 R43:R51 X5:X12 R23:R31 R14:R21 R5:R12 X112:X127 X103:X110 X93:X101 X83:X91 X73:X81 X63:X71 X53:X61 X43:X51 X33:X41 X23:X31 X14:X21 L43:L51" xr:uid="{4ECCD083-8EC4-42EE-B46C-B614411F330D}">
      <formula1>"2024,2025,2026"</formula1>
    </dataValidation>
    <dataValidation type="list" allowBlank="1" showInputMessage="1" showErrorMessage="1" sqref="S4:S110 Y14:Y110 G103:G110 G5:G12 M5:M12 Y5:Y12 G14:G21 G23:G31 G33:G41 G43:G51 G53:G61 G63:G71 G73:G81 G83:G91 G93:G101 M14:M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U59" activePane="bottomRight" state="frozen"/>
      <selection pane="bottomRight" activeCell="V64" sqref="V6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16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16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15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16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16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15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16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15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97</v>
      </c>
      <c r="D55" s="5">
        <f>Table14[[#This Row],[Enrolment S.Y. 2025-2026 ]]*8</f>
        <v>776</v>
      </c>
      <c r="E55" s="5"/>
      <c r="F55" s="1"/>
      <c r="G55" s="5"/>
      <c r="H55" s="5">
        <f t="shared" si="0"/>
        <v>776</v>
      </c>
      <c r="I55" s="5">
        <f t="shared" si="1"/>
        <v>0</v>
      </c>
      <c r="J55" s="5">
        <f>Table14[[#This Row],[Enrolment S.Y. 2025-2026 ]]*8</f>
        <v>776</v>
      </c>
      <c r="K55" s="5"/>
      <c r="L55" s="1"/>
      <c r="M55" s="5"/>
      <c r="N55" s="5">
        <f t="shared" si="2"/>
        <v>776</v>
      </c>
      <c r="O55" s="5">
        <f t="shared" si="3"/>
        <v>0</v>
      </c>
      <c r="P55" s="5">
        <f>Table14[[#This Row],[Enrolment S.Y. 2025-2026 ]]*8</f>
        <v>776</v>
      </c>
      <c r="Q55" s="5">
        <v>80</v>
      </c>
      <c r="R55" s="1">
        <v>2025</v>
      </c>
      <c r="S55" s="5" t="s">
        <v>9</v>
      </c>
      <c r="T55" s="5">
        <f t="shared" si="4"/>
        <v>696</v>
      </c>
      <c r="U55" s="5">
        <f t="shared" si="5"/>
        <v>0</v>
      </c>
      <c r="V55" s="5">
        <f>Table14[[#This Row],[Enrolment S.Y. 2025-2026 ]]*8</f>
        <v>776</v>
      </c>
      <c r="W55" s="5">
        <v>140</v>
      </c>
      <c r="X55" s="1">
        <v>2025</v>
      </c>
      <c r="Y55" s="5" t="s">
        <v>9</v>
      </c>
      <c r="Z55" s="5">
        <f t="shared" si="6"/>
        <v>636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97</v>
      </c>
      <c r="D56" s="5">
        <f>Table14[[#This Row],[Enrolment S.Y. 2025-2026 ]]*8</f>
        <v>776</v>
      </c>
      <c r="E56" s="5"/>
      <c r="F56" s="1"/>
      <c r="G56" s="5"/>
      <c r="H56" s="5">
        <f t="shared" si="0"/>
        <v>776</v>
      </c>
      <c r="I56" s="5">
        <f t="shared" si="1"/>
        <v>0</v>
      </c>
      <c r="J56" s="5">
        <f>Table14[[#This Row],[Enrolment S.Y. 2025-2026 ]]*8</f>
        <v>776</v>
      </c>
      <c r="K56" s="5"/>
      <c r="L56" s="1"/>
      <c r="M56" s="5"/>
      <c r="N56" s="5">
        <f t="shared" si="2"/>
        <v>776</v>
      </c>
      <c r="O56" s="5">
        <f t="shared" si="3"/>
        <v>0</v>
      </c>
      <c r="P56" s="5">
        <f>Table14[[#This Row],[Enrolment S.Y. 2025-2026 ]]*8</f>
        <v>776</v>
      </c>
      <c r="Q56" s="5">
        <v>240</v>
      </c>
      <c r="R56" s="1">
        <v>2025</v>
      </c>
      <c r="S56" s="5" t="s">
        <v>9</v>
      </c>
      <c r="T56" s="5">
        <f t="shared" si="4"/>
        <v>536</v>
      </c>
      <c r="U56" s="5">
        <f t="shared" si="5"/>
        <v>0</v>
      </c>
      <c r="V56" s="5">
        <f>Table14[[#This Row],[Enrolment S.Y. 2025-2026 ]]*8</f>
        <v>776</v>
      </c>
      <c r="W56" s="5">
        <v>100</v>
      </c>
      <c r="X56" s="1">
        <v>2025</v>
      </c>
      <c r="Y56" s="5" t="s">
        <v>9</v>
      </c>
      <c r="Z56" s="5">
        <f t="shared" si="6"/>
        <v>676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97</v>
      </c>
      <c r="D57" s="5">
        <f>Table14[[#This Row],[Enrolment S.Y. 2025-2026 ]]*8</f>
        <v>776</v>
      </c>
      <c r="E57" s="5"/>
      <c r="F57" s="1"/>
      <c r="G57" s="5"/>
      <c r="H57" s="5">
        <f t="shared" si="0"/>
        <v>776</v>
      </c>
      <c r="I57" s="5">
        <f t="shared" si="1"/>
        <v>0</v>
      </c>
      <c r="J57" s="5">
        <f>Table14[[#This Row],[Enrolment S.Y. 2025-2026 ]]*8</f>
        <v>776</v>
      </c>
      <c r="K57" s="5"/>
      <c r="L57" s="1"/>
      <c r="M57" s="5"/>
      <c r="N57" s="5">
        <f t="shared" si="2"/>
        <v>776</v>
      </c>
      <c r="O57" s="5">
        <f t="shared" si="3"/>
        <v>0</v>
      </c>
      <c r="P57" s="5">
        <f>Table14[[#This Row],[Enrolment S.Y. 2025-2026 ]]*8</f>
        <v>776</v>
      </c>
      <c r="Q57" s="5">
        <v>360</v>
      </c>
      <c r="R57" s="1">
        <v>2025</v>
      </c>
      <c r="S57" s="5" t="s">
        <v>9</v>
      </c>
      <c r="T57" s="5">
        <f t="shared" si="4"/>
        <v>416</v>
      </c>
      <c r="U57" s="5">
        <f t="shared" si="5"/>
        <v>0</v>
      </c>
      <c r="V57" s="5">
        <f>Table14[[#This Row],[Enrolment S.Y. 2025-2026 ]]*8</f>
        <v>776</v>
      </c>
      <c r="W57" s="5">
        <v>180</v>
      </c>
      <c r="X57" s="1">
        <v>2025</v>
      </c>
      <c r="Y57" s="5" t="s">
        <v>9</v>
      </c>
      <c r="Z57" s="5">
        <f t="shared" si="6"/>
        <v>596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97</v>
      </c>
      <c r="D58" s="5">
        <f>Table14[[#This Row],[Enrolment S.Y. 2025-2026 ]]*8</f>
        <v>776</v>
      </c>
      <c r="E58" s="5"/>
      <c r="F58" s="1"/>
      <c r="G58" s="5"/>
      <c r="H58" s="5">
        <f t="shared" si="0"/>
        <v>776</v>
      </c>
      <c r="I58" s="5">
        <f t="shared" si="1"/>
        <v>0</v>
      </c>
      <c r="J58" s="5">
        <f>Table14[[#This Row],[Enrolment S.Y. 2025-2026 ]]*8</f>
        <v>776</v>
      </c>
      <c r="K58" s="5"/>
      <c r="L58" s="1"/>
      <c r="M58" s="5"/>
      <c r="N58" s="5">
        <f t="shared" si="2"/>
        <v>776</v>
      </c>
      <c r="O58" s="5">
        <f t="shared" si="3"/>
        <v>0</v>
      </c>
      <c r="P58" s="5">
        <f>Table14[[#This Row],[Enrolment S.Y. 2025-2026 ]]*8</f>
        <v>776</v>
      </c>
      <c r="Q58" s="5">
        <v>160</v>
      </c>
      <c r="R58" s="1">
        <v>2025</v>
      </c>
      <c r="S58" s="5" t="s">
        <v>9</v>
      </c>
      <c r="T58" s="5">
        <f t="shared" si="4"/>
        <v>616</v>
      </c>
      <c r="U58" s="5">
        <f t="shared" si="5"/>
        <v>0</v>
      </c>
      <c r="V58" s="5">
        <f>Table14[[#This Row],[Enrolment S.Y. 2025-2026 ]]*8</f>
        <v>776</v>
      </c>
      <c r="W58" s="5">
        <v>40</v>
      </c>
      <c r="X58" s="1">
        <v>2025</v>
      </c>
      <c r="Y58" s="5" t="s">
        <v>9</v>
      </c>
      <c r="Z58" s="5">
        <f t="shared" si="6"/>
        <v>736</v>
      </c>
      <c r="AA58" s="5">
        <f t="shared" si="7"/>
        <v>0</v>
      </c>
    </row>
    <row r="59" spans="1:27" ht="32.25" customHeight="1">
      <c r="A59" s="1">
        <v>6</v>
      </c>
      <c r="B59" s="9" t="s">
        <v>18</v>
      </c>
      <c r="C59" s="1">
        <v>97</v>
      </c>
      <c r="D59" s="5">
        <f>Table14[[#This Row],[Enrolment S.Y. 2025-2026 ]]*8</f>
        <v>776</v>
      </c>
      <c r="E59" s="5"/>
      <c r="F59" s="1"/>
      <c r="G59" s="5"/>
      <c r="H59" s="5">
        <f t="shared" si="0"/>
        <v>776</v>
      </c>
      <c r="I59" s="5">
        <f t="shared" si="1"/>
        <v>0</v>
      </c>
      <c r="J59" s="5">
        <f>Table14[[#This Row],[Enrolment S.Y. 2025-2026 ]]*8</f>
        <v>776</v>
      </c>
      <c r="K59" s="5"/>
      <c r="L59" s="1"/>
      <c r="M59" s="5"/>
      <c r="N59" s="5">
        <f t="shared" si="2"/>
        <v>776</v>
      </c>
      <c r="O59" s="5">
        <f t="shared" si="3"/>
        <v>0</v>
      </c>
      <c r="P59" s="5">
        <f>Table14[[#This Row],[Enrolment S.Y. 2025-2026 ]]*8</f>
        <v>776</v>
      </c>
      <c r="Q59" s="5">
        <v>240</v>
      </c>
      <c r="R59" s="1">
        <v>2025</v>
      </c>
      <c r="S59" s="5" t="s">
        <v>9</v>
      </c>
      <c r="T59" s="5">
        <f t="shared" si="4"/>
        <v>536</v>
      </c>
      <c r="U59" s="5">
        <f t="shared" si="5"/>
        <v>0</v>
      </c>
      <c r="V59" s="5">
        <f>Table14[[#This Row],[Enrolment S.Y. 2025-2026 ]]*8</f>
        <v>776</v>
      </c>
      <c r="W59" s="5">
        <v>140</v>
      </c>
      <c r="X59" s="1">
        <v>2025</v>
      </c>
      <c r="Y59" s="5" t="s">
        <v>9</v>
      </c>
      <c r="Z59" s="5">
        <f t="shared" si="6"/>
        <v>636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97</v>
      </c>
      <c r="D60" s="5">
        <f>Table14[[#This Row],[Enrolment S.Y. 2025-2026 ]]*8</f>
        <v>776</v>
      </c>
      <c r="E60" s="5"/>
      <c r="F60" s="1"/>
      <c r="G60" s="5"/>
      <c r="H60" s="5">
        <f t="shared" si="0"/>
        <v>776</v>
      </c>
      <c r="I60" s="5">
        <f t="shared" si="1"/>
        <v>0</v>
      </c>
      <c r="J60" s="5">
        <f>Table14[[#This Row],[Enrolment S.Y. 2025-2026 ]]*8</f>
        <v>776</v>
      </c>
      <c r="K60" s="5"/>
      <c r="L60" s="1"/>
      <c r="M60" s="5"/>
      <c r="N60" s="5">
        <f t="shared" si="2"/>
        <v>776</v>
      </c>
      <c r="O60" s="5">
        <f t="shared" si="3"/>
        <v>0</v>
      </c>
      <c r="P60" s="5">
        <f>Table14[[#This Row],[Enrolment S.Y. 2025-2026 ]]*8</f>
        <v>776</v>
      </c>
      <c r="Q60" s="5">
        <v>160</v>
      </c>
      <c r="R60" s="1">
        <v>2025</v>
      </c>
      <c r="S60" s="5" t="s">
        <v>9</v>
      </c>
      <c r="T60" s="5">
        <f t="shared" si="4"/>
        <v>616</v>
      </c>
      <c r="U60" s="5">
        <f t="shared" si="5"/>
        <v>0</v>
      </c>
      <c r="V60" s="5">
        <f>Table14[[#This Row],[Enrolment S.Y. 2025-2026 ]]*8</f>
        <v>776</v>
      </c>
      <c r="W60" s="5">
        <v>160</v>
      </c>
      <c r="X60" s="1">
        <v>2025</v>
      </c>
      <c r="Y60" s="5" t="s">
        <v>9</v>
      </c>
      <c r="Z60" s="5">
        <f t="shared" si="6"/>
        <v>616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97</v>
      </c>
      <c r="D61" s="5">
        <f>Table14[[#This Row],[Enrolment S.Y. 2025-2026 ]]*8</f>
        <v>776</v>
      </c>
      <c r="E61" s="5"/>
      <c r="F61" s="1"/>
      <c r="G61" s="5"/>
      <c r="H61" s="5">
        <f>IF((D61-E61)&lt;0,0,(D61-E61))</f>
        <v>776</v>
      </c>
      <c r="I61" s="5">
        <f>IF((E61-D61)&lt;0,0,(E61-D61))</f>
        <v>0</v>
      </c>
      <c r="J61" s="5">
        <f>Table14[[#This Row],[Enrolment S.Y. 2025-2026 ]]*8</f>
        <v>776</v>
      </c>
      <c r="K61" s="5"/>
      <c r="L61" s="1"/>
      <c r="M61" s="5"/>
      <c r="N61" s="5">
        <f t="shared" ref="N61:N65" si="12">IF((J61-K61)&lt;0,0,(J61-K61))</f>
        <v>776</v>
      </c>
      <c r="O61" s="5">
        <f t="shared" ref="O61:O65" si="13">IF((K61-J61)&lt;0,0,(K61-J61))</f>
        <v>0</v>
      </c>
      <c r="P61" s="5">
        <f>Table14[[#This Row],[Enrolment S.Y. 2025-2026 ]]*8</f>
        <v>776</v>
      </c>
      <c r="Q61" s="5">
        <v>160</v>
      </c>
      <c r="R61" s="1">
        <v>2025</v>
      </c>
      <c r="S61" s="5" t="s">
        <v>9</v>
      </c>
      <c r="T61" s="5">
        <f>IF((P61-Q61)&lt;0,0,(P61-Q61))</f>
        <v>616</v>
      </c>
      <c r="U61" s="5">
        <f>IF((Q61-P61)&lt;0,0,(Q61-P61))</f>
        <v>0</v>
      </c>
      <c r="V61" s="5">
        <f>Table14[[#This Row],[Enrolment S.Y. 2025-2026 ]]*8</f>
        <v>776</v>
      </c>
      <c r="W61" s="5">
        <v>60</v>
      </c>
      <c r="X61" s="1">
        <v>2025</v>
      </c>
      <c r="Y61" s="5" t="s">
        <v>9</v>
      </c>
      <c r="Z61" s="5">
        <f>IF((V61-W61)&lt;0,0,(V61-W61))</f>
        <v>716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97</v>
      </c>
      <c r="D62" s="5">
        <f>Table14[[#This Row],[Enrolment S.Y. 2025-2026 ]]*8</f>
        <v>776</v>
      </c>
      <c r="E62" s="5"/>
      <c r="F62" s="1"/>
      <c r="G62" s="5"/>
      <c r="H62" s="5">
        <f t="shared" si="0"/>
        <v>776</v>
      </c>
      <c r="I62" s="5">
        <f t="shared" si="1"/>
        <v>0</v>
      </c>
      <c r="J62" s="5">
        <f>Table14[[#This Row],[Enrolment S.Y. 2025-2026 ]]*8</f>
        <v>776</v>
      </c>
      <c r="K62" s="5"/>
      <c r="L62" s="1"/>
      <c r="M62" s="5"/>
      <c r="N62" s="5">
        <f t="shared" si="12"/>
        <v>776</v>
      </c>
      <c r="O62" s="5">
        <f t="shared" si="13"/>
        <v>0</v>
      </c>
      <c r="P62" s="5">
        <f>Table14[[#This Row],[Enrolment S.Y. 2025-2026 ]]*8</f>
        <v>776</v>
      </c>
      <c r="Q62" s="5">
        <v>280</v>
      </c>
      <c r="R62" s="1">
        <v>2025</v>
      </c>
      <c r="S62" s="5" t="s">
        <v>9</v>
      </c>
      <c r="T62" s="5">
        <f t="shared" si="4"/>
        <v>496</v>
      </c>
      <c r="U62" s="5">
        <f t="shared" si="5"/>
        <v>0</v>
      </c>
      <c r="V62" s="5">
        <f>Table14[[#This Row],[Enrolment S.Y. 2025-2026 ]]*8</f>
        <v>776</v>
      </c>
      <c r="W62" s="5">
        <v>180</v>
      </c>
      <c r="X62" s="1">
        <v>2025</v>
      </c>
      <c r="Y62" s="5" t="s">
        <v>9</v>
      </c>
      <c r="Z62" s="5">
        <f t="shared" si="6"/>
        <v>596</v>
      </c>
      <c r="AA62" s="5">
        <f t="shared" si="7"/>
        <v>0</v>
      </c>
    </row>
    <row r="63" spans="1:27" ht="19.149999999999999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97</v>
      </c>
      <c r="D64" s="5">
        <f>Table14[[#This Row],[Enrolment S.Y. 2025-2026 ]]*8</f>
        <v>776</v>
      </c>
      <c r="E64" s="5"/>
      <c r="F64" s="1"/>
      <c r="G64" s="5"/>
      <c r="H64" s="5">
        <f>IF((D64-E64)&lt;0,0,(D64-E64))</f>
        <v>776</v>
      </c>
      <c r="I64" s="5">
        <f>IF((E64-D64)&lt;0,0,(E64-D64))</f>
        <v>0</v>
      </c>
      <c r="J64" s="5">
        <f>Table14[[#This Row],[Enrolment S.Y. 2025-2026 ]]*8</f>
        <v>776</v>
      </c>
      <c r="K64" s="5"/>
      <c r="L64" s="1"/>
      <c r="M64" s="5"/>
      <c r="N64" s="5">
        <f t="shared" si="12"/>
        <v>776</v>
      </c>
      <c r="O64" s="5">
        <f t="shared" si="13"/>
        <v>0</v>
      </c>
      <c r="P64" s="5">
        <f>Table14[[#This Row],[Enrolment S.Y. 2025-2026 ]]*8</f>
        <v>776</v>
      </c>
      <c r="Q64" s="5">
        <v>120</v>
      </c>
      <c r="R64" s="1">
        <v>2025</v>
      </c>
      <c r="S64" s="5" t="s">
        <v>9</v>
      </c>
      <c r="T64" s="5">
        <f>IF((P64-Q64)&lt;0,0,(P64-Q64))</f>
        <v>656</v>
      </c>
      <c r="U64" s="5">
        <f>IF((Q64-P64)&lt;0,0,(Q64-P64))</f>
        <v>0</v>
      </c>
      <c r="V64" s="5">
        <f>Table14[[#This Row],[Enrolment S.Y. 2025-2026 ]]*8</f>
        <v>776</v>
      </c>
      <c r="W64" s="5">
        <v>60</v>
      </c>
      <c r="X64" s="1">
        <v>2025</v>
      </c>
      <c r="Y64" s="5" t="s">
        <v>9</v>
      </c>
      <c r="Z64" s="5">
        <f>IF((V64-W64)&lt;0,0,(V64-W64))</f>
        <v>716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97</v>
      </c>
      <c r="D65" s="5">
        <f>Table14[[#This Row],[Enrolment S.Y. 2025-2026 ]]*8</f>
        <v>776</v>
      </c>
      <c r="E65" s="5"/>
      <c r="F65" s="1"/>
      <c r="G65" s="5"/>
      <c r="H65" s="5">
        <f t="shared" si="0"/>
        <v>776</v>
      </c>
      <c r="I65" s="5">
        <f t="shared" si="1"/>
        <v>0</v>
      </c>
      <c r="J65" s="5">
        <f>Table14[[#This Row],[Enrolment S.Y. 2025-2026 ]]*8</f>
        <v>776</v>
      </c>
      <c r="K65" s="5"/>
      <c r="L65" s="1"/>
      <c r="M65" s="5"/>
      <c r="N65" s="5">
        <f t="shared" si="12"/>
        <v>776</v>
      </c>
      <c r="O65" s="5">
        <f t="shared" si="13"/>
        <v>0</v>
      </c>
      <c r="P65" s="5">
        <f>Table14[[#This Row],[Enrolment S.Y. 2025-2026 ]]*8</f>
        <v>776</v>
      </c>
      <c r="Q65" s="5">
        <v>120</v>
      </c>
      <c r="R65" s="1">
        <v>2025</v>
      </c>
      <c r="S65" s="5" t="s">
        <v>9</v>
      </c>
      <c r="T65" s="5">
        <f t="shared" si="4"/>
        <v>656</v>
      </c>
      <c r="U65" s="5">
        <f t="shared" si="5"/>
        <v>0</v>
      </c>
      <c r="V65" s="5">
        <f>Table14[[#This Row],[Enrolment S.Y. 2025-2026 ]]*8</f>
        <v>776</v>
      </c>
      <c r="W65" s="5">
        <v>180</v>
      </c>
      <c r="X65" s="1">
        <v>2025</v>
      </c>
      <c r="Y65" s="5" t="s">
        <v>9</v>
      </c>
      <c r="Z65" s="5">
        <f t="shared" si="6"/>
        <v>596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G55:G65 M55:M65 Y67:Y77 G67:G77 M67:M77 S67:S77 Y79:Y89 G79:G89 M79:M89 S79:S89 Y91:Y101 G91:G101 M91:M101 S91:S101 Y103:Y113 G103:G113 M103:M113 S103:S113 Y115:Y122 G115:G122 M115:M122 S115:S122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S55:S65 M115:M122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3:X10 X43:X53 X31:X41 X21:X29 X12:X19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2026-03-26T03:03:23Z</dcterms:modified>
  <cp:category/>
  <cp:contentStatus/>
</cp:coreProperties>
</file>