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7" documentId="13_ncr:1_{BFB59F67-F0DC-4675-A682-EB0734A8026A}" xr6:coauthVersionLast="47" xr6:coauthVersionMax="47" xr10:uidLastSave="{4264A442-DFCB-4528-9E12-6F64DFD78E1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" i="1" l="1"/>
  <c r="H56" i="1"/>
  <c r="G53" i="1"/>
  <c r="H53" i="1"/>
  <c r="G54" i="1"/>
  <c r="H54" i="1"/>
  <c r="G55" i="1"/>
  <c r="H55" i="1"/>
  <c r="H52" i="1"/>
  <c r="G52" i="1"/>
  <c r="H51" i="1"/>
  <c r="G51" i="1"/>
  <c r="H50" i="1"/>
  <c r="G50" i="1"/>
  <c r="P45" i="5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D43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</calcChain>
</file>

<file path=xl/sharedStrings.xml><?xml version="1.0" encoding="utf-8"?>
<sst xmlns="http://schemas.openxmlformats.org/spreadsheetml/2006/main" count="309" uniqueCount="92">
  <si>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</si>
  <si>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</si>
  <si>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</si>
  <si>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</si>
  <si>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</si>
  <si>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</si>
  <si>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</si>
  <si>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</si>
  <si>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</si>
  <si>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</si>
  <si>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</si>
  <si>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</si>
  <si>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</si>
  <si>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</si>
  <si>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</si>
  <si>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</si>
  <si>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</si>
  <si>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</si>
  <si>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</si>
  <si>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</si>
  <si>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</si>
  <si>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</si>
  <si>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</si>
  <si>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</si>
  <si>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</si>
  <si>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</si>
  <si>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</si>
  <si>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</si>
  <si>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</si>
  <si>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</si>
  <si>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</si>
  <si>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</si>
  <si>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</si>
  <si>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</si>
  <si>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Disciplines And Ideas In The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</si>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</sst>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6" totalsRowShown="0" headerRowDxfId="62" headerRowBorderDxfId="60" tableBorderDxfId="61">
  <autoFilter ref="A1:H5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60" zoomScale="85" zoomScaleNormal="85" workbookViewId="0">
      <pane xSplit="2" topLeftCell="C91" activePane="topRight" state="frozen"/>
      <selection pane="topRight" activeCell="D100" sqref="D100"/>
      <selection activeCell="A60" sqref="A6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568</v>
      </c>
      <c r="D2" s="8">
        <v>696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128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568</v>
      </c>
      <c r="D4" s="8">
        <v>617</v>
      </c>
      <c r="E4" s="8">
        <v>2024</v>
      </c>
      <c r="F4" s="10" t="s">
        <v>9</v>
      </c>
      <c r="G4" s="2">
        <f t="shared" si="0"/>
        <v>0</v>
      </c>
      <c r="H4" s="3">
        <f t="shared" si="1"/>
        <v>49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568</v>
      </c>
      <c r="D6" s="8">
        <v>696</v>
      </c>
      <c r="E6" s="8">
        <v>2025</v>
      </c>
      <c r="F6" s="10" t="s">
        <v>9</v>
      </c>
      <c r="G6" s="2">
        <f t="shared" si="0"/>
        <v>0</v>
      </c>
      <c r="H6" s="3">
        <f t="shared" si="1"/>
        <v>128</v>
      </c>
    </row>
    <row r="7" spans="1:8" ht="19.5">
      <c r="A7" s="8">
        <v>7</v>
      </c>
      <c r="B7" s="9" t="s">
        <v>14</v>
      </c>
      <c r="C7" s="8">
        <v>568</v>
      </c>
      <c r="D7" s="8">
        <v>430</v>
      </c>
      <c r="E7" s="8">
        <v>2024</v>
      </c>
      <c r="F7" s="10" t="s">
        <v>9</v>
      </c>
      <c r="G7" s="2">
        <f t="shared" si="0"/>
        <v>138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568</v>
      </c>
      <c r="D8" s="8">
        <v>696</v>
      </c>
      <c r="E8" s="8">
        <v>2024</v>
      </c>
      <c r="F8" s="10" t="s">
        <v>9</v>
      </c>
      <c r="G8" s="2">
        <f t="shared" si="0"/>
        <v>0</v>
      </c>
      <c r="H8" s="3">
        <f t="shared" si="1"/>
        <v>128</v>
      </c>
    </row>
    <row r="9" spans="1:8" ht="29.25" customHeight="1">
      <c r="A9" s="8">
        <v>7</v>
      </c>
      <c r="B9" s="9" t="s">
        <v>16</v>
      </c>
      <c r="C9" s="8">
        <v>568</v>
      </c>
      <c r="D9" s="8">
        <v>696</v>
      </c>
      <c r="E9" s="8">
        <v>2025</v>
      </c>
      <c r="F9" s="10" t="s">
        <v>9</v>
      </c>
      <c r="G9" s="2">
        <f t="shared" si="0"/>
        <v>0</v>
      </c>
      <c r="H9" s="3">
        <f t="shared" si="1"/>
        <v>128</v>
      </c>
    </row>
    <row r="10" spans="1:8" ht="28.5" customHeight="1">
      <c r="A10" s="8">
        <v>7</v>
      </c>
      <c r="B10" s="9" t="s">
        <v>17</v>
      </c>
      <c r="C10" s="8">
        <v>568</v>
      </c>
      <c r="D10" s="8">
        <v>696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128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628</v>
      </c>
      <c r="D14" s="8">
        <v>536</v>
      </c>
      <c r="E14" s="8">
        <v>2025</v>
      </c>
      <c r="F14" s="10" t="s">
        <v>9</v>
      </c>
      <c r="G14" s="2">
        <f t="shared" si="2"/>
        <v>92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628</v>
      </c>
      <c r="D15" s="8">
        <v>536</v>
      </c>
      <c r="E15" s="8">
        <v>2025</v>
      </c>
      <c r="F15" s="10" t="s">
        <v>9</v>
      </c>
      <c r="G15" s="2">
        <f t="shared" si="2"/>
        <v>92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374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374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410</v>
      </c>
      <c r="E44" s="1">
        <v>2024</v>
      </c>
      <c r="F44" s="4" t="s">
        <v>9</v>
      </c>
      <c r="G44" s="2">
        <f t="shared" si="8"/>
        <v>0</v>
      </c>
      <c r="H44" s="3">
        <f t="shared" si="9"/>
        <v>410</v>
      </c>
    </row>
    <row r="45" spans="1:8" ht="36.75" customHeight="1">
      <c r="A45" s="1" t="s">
        <v>19</v>
      </c>
      <c r="B45" s="7" t="s">
        <v>23</v>
      </c>
      <c r="C45" s="1"/>
      <c r="D45" s="1">
        <v>410</v>
      </c>
      <c r="E45" s="1">
        <v>2025</v>
      </c>
      <c r="F45" s="4" t="s">
        <v>9</v>
      </c>
      <c r="G45" s="2">
        <f t="shared" si="8"/>
        <v>0</v>
      </c>
      <c r="H45" s="3">
        <f t="shared" si="9"/>
        <v>410</v>
      </c>
    </row>
    <row r="46" spans="1:8" ht="27.75" customHeight="1">
      <c r="A46" s="1" t="s">
        <v>19</v>
      </c>
      <c r="B46" s="7" t="s">
        <v>24</v>
      </c>
      <c r="C46" s="1"/>
      <c r="D46" s="1">
        <v>820</v>
      </c>
      <c r="E46" s="1">
        <v>2025</v>
      </c>
      <c r="F46" s="4" t="s">
        <v>9</v>
      </c>
      <c r="G46" s="2">
        <f t="shared" si="8"/>
        <v>0</v>
      </c>
      <c r="H46" s="3">
        <f t="shared" si="9"/>
        <v>820</v>
      </c>
    </row>
    <row r="47" spans="1:8" ht="27.75" customHeight="1">
      <c r="A47" s="1" t="s">
        <v>19</v>
      </c>
      <c r="B47" s="7" t="s">
        <v>25</v>
      </c>
      <c r="C47" s="1"/>
      <c r="D47" s="1">
        <v>386</v>
      </c>
      <c r="E47" s="1">
        <v>2025</v>
      </c>
      <c r="F47" s="4" t="s">
        <v>9</v>
      </c>
      <c r="G47" s="2">
        <f t="shared" si="8"/>
        <v>0</v>
      </c>
      <c r="H47" s="3">
        <f t="shared" si="9"/>
        <v>386</v>
      </c>
    </row>
    <row r="48" spans="1:8" ht="27.75" customHeight="1">
      <c r="A48" s="1" t="s">
        <v>19</v>
      </c>
      <c r="B48" s="7" t="s">
        <v>26</v>
      </c>
      <c r="C48" s="1"/>
      <c r="D48" s="1">
        <v>410</v>
      </c>
      <c r="E48" s="1">
        <v>2025</v>
      </c>
      <c r="F48" s="4" t="s">
        <v>9</v>
      </c>
      <c r="G48" s="2">
        <f t="shared" si="8"/>
        <v>0</v>
      </c>
      <c r="H48" s="3">
        <f t="shared" si="9"/>
        <v>410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19</v>
      </c>
      <c r="B50" s="7" t="s">
        <v>28</v>
      </c>
      <c r="C50" s="1"/>
      <c r="D50" s="1">
        <v>410</v>
      </c>
      <c r="E50" s="1">
        <v>2024</v>
      </c>
      <c r="F50" s="4" t="s">
        <v>9</v>
      </c>
      <c r="G50" s="2">
        <f t="shared" ref="G50:G52" si="10">IF((C50-D50)&lt;0,0,C50-D50)</f>
        <v>0</v>
      </c>
      <c r="H50" s="3">
        <f t="shared" ref="H50:H52" si="11">IF((D50-C50)&lt;0,0,D50-C50)</f>
        <v>410</v>
      </c>
    </row>
    <row r="51" spans="1:8" ht="27.75" customHeight="1">
      <c r="A51" s="1" t="s">
        <v>19</v>
      </c>
      <c r="B51" s="7" t="s">
        <v>29</v>
      </c>
      <c r="C51" s="1"/>
      <c r="D51" s="1"/>
      <c r="E51" s="1"/>
      <c r="F51" s="4"/>
      <c r="G51" s="2">
        <f t="shared" si="10"/>
        <v>0</v>
      </c>
      <c r="H51" s="3">
        <f t="shared" si="11"/>
        <v>0</v>
      </c>
    </row>
    <row r="52" spans="1:8" ht="27.75" customHeight="1">
      <c r="A52" s="1" t="s">
        <v>19</v>
      </c>
      <c r="B52" s="7" t="s">
        <v>30</v>
      </c>
      <c r="C52" s="1"/>
      <c r="D52" s="1">
        <v>180</v>
      </c>
      <c r="E52" s="1">
        <v>2024</v>
      </c>
      <c r="F52" s="4" t="s">
        <v>9</v>
      </c>
      <c r="G52" s="2">
        <f t="shared" si="10"/>
        <v>0</v>
      </c>
      <c r="H52" s="3">
        <f t="shared" si="11"/>
        <v>180</v>
      </c>
    </row>
    <row r="53" spans="1:8" ht="27.75" customHeight="1">
      <c r="A53" s="1" t="s">
        <v>19</v>
      </c>
      <c r="B53" s="7" t="s">
        <v>31</v>
      </c>
      <c r="C53" s="1"/>
      <c r="D53" s="1">
        <v>186</v>
      </c>
      <c r="E53" s="1">
        <v>2024</v>
      </c>
      <c r="F53" s="4" t="s">
        <v>9</v>
      </c>
      <c r="G53" s="2">
        <f t="shared" ref="G53:G55" si="12">IF((C53-D53)&lt;0,0,C53-D53)</f>
        <v>0</v>
      </c>
      <c r="H53" s="3">
        <f t="shared" ref="H53:H55" si="13">IF((D53-C53)&lt;0,0,D53-C53)</f>
        <v>186</v>
      </c>
    </row>
    <row r="54" spans="1:8" ht="27.75" customHeight="1">
      <c r="A54" s="1" t="s">
        <v>19</v>
      </c>
      <c r="B54" s="7" t="s">
        <v>32</v>
      </c>
      <c r="C54" s="1"/>
      <c r="D54" s="1">
        <v>180</v>
      </c>
      <c r="E54" s="1">
        <v>2024</v>
      </c>
      <c r="F54" s="4" t="s">
        <v>9</v>
      </c>
      <c r="G54" s="2">
        <f t="shared" si="12"/>
        <v>0</v>
      </c>
      <c r="H54" s="3">
        <f t="shared" si="13"/>
        <v>180</v>
      </c>
    </row>
    <row r="55" spans="1:8" ht="39" customHeight="1">
      <c r="A55" s="1" t="s">
        <v>19</v>
      </c>
      <c r="B55" s="7" t="s">
        <v>33</v>
      </c>
      <c r="C55" s="1"/>
      <c r="D55" s="1"/>
      <c r="E55" s="1"/>
      <c r="F55" s="4"/>
      <c r="G55" s="2">
        <f t="shared" si="12"/>
        <v>0</v>
      </c>
      <c r="H55" s="3">
        <f t="shared" si="13"/>
        <v>0</v>
      </c>
    </row>
    <row r="56" spans="1:8" ht="27.75" customHeight="1">
      <c r="A56" s="1" t="s">
        <v>19</v>
      </c>
      <c r="B56" s="7" t="s">
        <v>34</v>
      </c>
      <c r="C56" s="1"/>
      <c r="D56" s="1">
        <v>183</v>
      </c>
      <c r="E56" s="1">
        <v>2024</v>
      </c>
      <c r="F56" s="4" t="s">
        <v>9</v>
      </c>
      <c r="G56" s="2">
        <f t="shared" ref="G56" si="14">IF((C56-D56)&lt;0,0,C56-D56)</f>
        <v>0</v>
      </c>
      <c r="H56" s="3">
        <f t="shared" ref="H56" si="15">IF((D56-C56)&lt;0,0,D56-C56)</f>
        <v>183</v>
      </c>
    </row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8" ht="47.25" customHeight="1"/>
  </sheetData>
  <protectedRanges>
    <protectedRange sqref="C1:E56" name="Textbooks"/>
    <protectedRange sqref="F1:F56" name="SOURCE"/>
  </protectedRanges>
  <phoneticPr fontId="8" type="noConversion"/>
  <dataValidations count="2">
    <dataValidation type="list" allowBlank="1" showInputMessage="1" showErrorMessage="1" sqref="E42:E56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5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selection activeCell="AC68" sqref="AC6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35</v>
      </c>
      <c r="E1" s="32"/>
      <c r="F1" s="32"/>
      <c r="G1" s="32"/>
      <c r="H1" s="32"/>
      <c r="I1" s="32"/>
      <c r="J1" s="33" t="s">
        <v>36</v>
      </c>
      <c r="K1" s="33"/>
      <c r="L1" s="33"/>
      <c r="M1" s="33"/>
      <c r="N1" s="33"/>
      <c r="O1" s="33"/>
      <c r="P1" s="34" t="s">
        <v>37</v>
      </c>
      <c r="Q1" s="34"/>
      <c r="R1" s="34"/>
      <c r="S1" s="34"/>
      <c r="T1" s="34"/>
      <c r="U1" s="34"/>
      <c r="V1" s="35" t="s">
        <v>38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39</v>
      </c>
      <c r="E2" s="18" t="s">
        <v>40</v>
      </c>
      <c r="F2" s="19" t="s">
        <v>41</v>
      </c>
      <c r="G2" s="22" t="s">
        <v>42</v>
      </c>
      <c r="H2" s="15" t="s">
        <v>43</v>
      </c>
      <c r="I2" s="22" t="s">
        <v>44</v>
      </c>
      <c r="J2" s="20" t="s">
        <v>45</v>
      </c>
      <c r="K2" s="20" t="s">
        <v>46</v>
      </c>
      <c r="L2" s="21" t="s">
        <v>47</v>
      </c>
      <c r="M2" s="30" t="s">
        <v>48</v>
      </c>
      <c r="N2" s="30" t="s">
        <v>49</v>
      </c>
      <c r="O2" s="20" t="s">
        <v>50</v>
      </c>
      <c r="P2" s="22" t="s">
        <v>51</v>
      </c>
      <c r="Q2" s="22" t="s">
        <v>52</v>
      </c>
      <c r="R2" s="23" t="s">
        <v>53</v>
      </c>
      <c r="S2" s="15" t="s">
        <v>54</v>
      </c>
      <c r="T2" s="15" t="s">
        <v>55</v>
      </c>
      <c r="U2" s="22" t="s">
        <v>56</v>
      </c>
      <c r="V2" s="24" t="s">
        <v>57</v>
      </c>
      <c r="W2" s="24" t="s">
        <v>58</v>
      </c>
      <c r="X2" s="25" t="s">
        <v>59</v>
      </c>
      <c r="Y2" s="31" t="s">
        <v>60</v>
      </c>
      <c r="Z2" s="31" t="s">
        <v>61</v>
      </c>
      <c r="AA2" s="24" t="s">
        <v>62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628</v>
      </c>
      <c r="D13" s="10">
        <f>Table1[[#This Row],[Enrolment S.Y. 2025-2026 ]]*8</f>
        <v>5024</v>
      </c>
      <c r="E13" s="10">
        <v>736</v>
      </c>
      <c r="F13" s="8">
        <v>2025</v>
      </c>
      <c r="G13" s="10" t="s">
        <v>63</v>
      </c>
      <c r="H13" s="10">
        <f t="shared" si="0"/>
        <v>4288</v>
      </c>
      <c r="I13" s="10">
        <f t="shared" si="1"/>
        <v>0</v>
      </c>
      <c r="J13" s="10">
        <f>Table1[[#This Row],[Enrolment S.Y. 2025-2026 ]]*8</f>
        <v>5024</v>
      </c>
      <c r="K13" s="10"/>
      <c r="L13" s="8"/>
      <c r="M13" s="10"/>
      <c r="N13" s="10">
        <f t="shared" si="8"/>
        <v>5024</v>
      </c>
      <c r="O13" s="10">
        <f t="shared" si="9"/>
        <v>0</v>
      </c>
      <c r="P13" s="10">
        <f>Table1[[#This Row],[Enrolment S.Y. 2025-2026 ]]*8</f>
        <v>5024</v>
      </c>
      <c r="Q13" s="10"/>
      <c r="R13" s="8"/>
      <c r="S13" s="10"/>
      <c r="T13" s="10">
        <f t="shared" si="10"/>
        <v>5024</v>
      </c>
      <c r="U13" s="10">
        <f t="shared" si="11"/>
        <v>0</v>
      </c>
      <c r="V13" s="10">
        <f>Table1[[#This Row],[Enrolment S.Y. 2025-2026 ]]*8</f>
        <v>5024</v>
      </c>
      <c r="W13" s="10"/>
      <c r="X13" s="8"/>
      <c r="Y13" s="10"/>
      <c r="Z13" s="10">
        <f t="shared" si="12"/>
        <v>5024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628</v>
      </c>
      <c r="D14" s="10">
        <f>Table1[[#This Row],[Enrolment S.Y. 2025-2026 ]]*8</f>
        <v>5024</v>
      </c>
      <c r="E14" s="10">
        <v>736</v>
      </c>
      <c r="F14" s="8">
        <v>2025</v>
      </c>
      <c r="G14" s="10" t="s">
        <v>63</v>
      </c>
      <c r="H14" s="10">
        <f t="shared" si="0"/>
        <v>4288</v>
      </c>
      <c r="I14" s="10">
        <f t="shared" si="1"/>
        <v>0</v>
      </c>
      <c r="J14" s="10">
        <f>Table1[[#This Row],[Enrolment S.Y. 2025-2026 ]]*8</f>
        <v>5024</v>
      </c>
      <c r="K14" s="10"/>
      <c r="L14" s="8"/>
      <c r="M14" s="10"/>
      <c r="N14" s="10">
        <f t="shared" si="8"/>
        <v>5024</v>
      </c>
      <c r="O14" s="10">
        <f t="shared" si="9"/>
        <v>0</v>
      </c>
      <c r="P14" s="10">
        <f>Table1[[#This Row],[Enrolment S.Y. 2025-2026 ]]*8</f>
        <v>5024</v>
      </c>
      <c r="Q14" s="10"/>
      <c r="R14" s="8"/>
      <c r="S14" s="10"/>
      <c r="T14" s="10">
        <f t="shared" si="10"/>
        <v>5024</v>
      </c>
      <c r="U14" s="10">
        <f t="shared" si="11"/>
        <v>0</v>
      </c>
      <c r="V14" s="10">
        <f>Table1[[#This Row],[Enrolment S.Y. 2025-2026 ]]*8</f>
        <v>5024</v>
      </c>
      <c r="W14" s="10"/>
      <c r="X14" s="8"/>
      <c r="Y14" s="10"/>
      <c r="Z14" s="10">
        <f t="shared" si="12"/>
        <v>5024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628</v>
      </c>
      <c r="D15" s="10">
        <f>Table1[[#This Row],[Enrolment S.Y. 2025-2026 ]]*8</f>
        <v>5024</v>
      </c>
      <c r="E15" s="10">
        <v>736</v>
      </c>
      <c r="F15" s="8">
        <v>2025</v>
      </c>
      <c r="G15" s="10" t="s">
        <v>63</v>
      </c>
      <c r="H15" s="10">
        <f t="shared" si="0"/>
        <v>4288</v>
      </c>
      <c r="I15" s="10">
        <f t="shared" si="1"/>
        <v>0</v>
      </c>
      <c r="J15" s="10">
        <f>Table1[[#This Row],[Enrolment S.Y. 2025-2026 ]]*8</f>
        <v>5024</v>
      </c>
      <c r="K15" s="10"/>
      <c r="L15" s="8"/>
      <c r="M15" s="10"/>
      <c r="N15" s="10">
        <f t="shared" si="8"/>
        <v>5024</v>
      </c>
      <c r="O15" s="10">
        <f t="shared" si="9"/>
        <v>0</v>
      </c>
      <c r="P15" s="10">
        <f>Table1[[#This Row],[Enrolment S.Y. 2025-2026 ]]*8</f>
        <v>5024</v>
      </c>
      <c r="Q15" s="10"/>
      <c r="R15" s="8"/>
      <c r="S15" s="10"/>
      <c r="T15" s="10">
        <f t="shared" si="10"/>
        <v>5024</v>
      </c>
      <c r="U15" s="10">
        <f t="shared" si="11"/>
        <v>0</v>
      </c>
      <c r="V15" s="10">
        <f>Table1[[#This Row],[Enrolment S.Y. 2025-2026 ]]*8</f>
        <v>5024</v>
      </c>
      <c r="W15" s="10"/>
      <c r="X15" s="8"/>
      <c r="Y15" s="10"/>
      <c r="Z15" s="10">
        <f t="shared" si="12"/>
        <v>5024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628</v>
      </c>
      <c r="D16" s="10">
        <f>Table1[[#This Row],[Enrolment S.Y. 2025-2026 ]]*8</f>
        <v>5024</v>
      </c>
      <c r="E16" s="10">
        <v>736</v>
      </c>
      <c r="F16" s="8">
        <v>2025</v>
      </c>
      <c r="G16" s="10" t="s">
        <v>63</v>
      </c>
      <c r="H16" s="10">
        <f t="shared" si="0"/>
        <v>4288</v>
      </c>
      <c r="I16" s="10">
        <f t="shared" si="1"/>
        <v>0</v>
      </c>
      <c r="J16" s="10">
        <f>Table1[[#This Row],[Enrolment S.Y. 2025-2026 ]]*8</f>
        <v>5024</v>
      </c>
      <c r="K16" s="10"/>
      <c r="L16" s="8"/>
      <c r="M16" s="10"/>
      <c r="N16" s="10">
        <f t="shared" si="8"/>
        <v>5024</v>
      </c>
      <c r="O16" s="10">
        <f t="shared" si="9"/>
        <v>0</v>
      </c>
      <c r="P16" s="10">
        <f>Table1[[#This Row],[Enrolment S.Y. 2025-2026 ]]*8</f>
        <v>5024</v>
      </c>
      <c r="Q16" s="10"/>
      <c r="R16" s="8"/>
      <c r="S16" s="10"/>
      <c r="T16" s="10">
        <f t="shared" si="10"/>
        <v>5024</v>
      </c>
      <c r="U16" s="10">
        <f t="shared" si="11"/>
        <v>0</v>
      </c>
      <c r="V16" s="10">
        <f>Table1[[#This Row],[Enrolment S.Y. 2025-2026 ]]*8</f>
        <v>5024</v>
      </c>
      <c r="W16" s="10"/>
      <c r="X16" s="8"/>
      <c r="Y16" s="10"/>
      <c r="Z16" s="10">
        <f t="shared" si="12"/>
        <v>5024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628</v>
      </c>
      <c r="D17" s="10">
        <f>Table1[[#This Row],[Enrolment S.Y. 2025-2026 ]]*8</f>
        <v>5024</v>
      </c>
      <c r="E17" s="10">
        <v>736</v>
      </c>
      <c r="F17" s="8">
        <v>2025</v>
      </c>
      <c r="G17" s="10" t="s">
        <v>63</v>
      </c>
      <c r="H17" s="10">
        <f t="shared" si="0"/>
        <v>4288</v>
      </c>
      <c r="I17" s="10">
        <f t="shared" si="1"/>
        <v>0</v>
      </c>
      <c r="J17" s="10">
        <f>Table1[[#This Row],[Enrolment S.Y. 2025-2026 ]]*8</f>
        <v>5024</v>
      </c>
      <c r="K17" s="10"/>
      <c r="L17" s="8"/>
      <c r="M17" s="10"/>
      <c r="N17" s="10">
        <f t="shared" si="8"/>
        <v>5024</v>
      </c>
      <c r="O17" s="10">
        <f t="shared" si="9"/>
        <v>0</v>
      </c>
      <c r="P17" s="10">
        <f>Table1[[#This Row],[Enrolment S.Y. 2025-2026 ]]*8</f>
        <v>5024</v>
      </c>
      <c r="Q17" s="10"/>
      <c r="R17" s="8"/>
      <c r="S17" s="10"/>
      <c r="T17" s="10">
        <f t="shared" si="10"/>
        <v>5024</v>
      </c>
      <c r="U17" s="10">
        <f t="shared" si="11"/>
        <v>0</v>
      </c>
      <c r="V17" s="10">
        <f>Table1[[#This Row],[Enrolment S.Y. 2025-2026 ]]*8</f>
        <v>5024</v>
      </c>
      <c r="W17" s="10"/>
      <c r="X17" s="8"/>
      <c r="Y17" s="10"/>
      <c r="Z17" s="10">
        <f t="shared" si="12"/>
        <v>5024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628</v>
      </c>
      <c r="D18" s="10">
        <f>Table1[[#This Row],[Enrolment S.Y. 2025-2026 ]]*8</f>
        <v>5024</v>
      </c>
      <c r="E18" s="10">
        <v>736</v>
      </c>
      <c r="F18" s="8">
        <v>2025</v>
      </c>
      <c r="G18" s="10" t="s">
        <v>63</v>
      </c>
      <c r="H18" s="10">
        <f t="shared" ref="H18:H50" si="14">IF((D18-E18)&lt;0,0,(D18-E18))</f>
        <v>4288</v>
      </c>
      <c r="I18" s="10">
        <f t="shared" ref="I18:I50" si="15">IF((E18-D18)&lt;0,0,(E18-D18))</f>
        <v>0</v>
      </c>
      <c r="J18" s="10">
        <f>Table1[[#This Row],[Enrolment S.Y. 2025-2026 ]]*8</f>
        <v>5024</v>
      </c>
      <c r="K18" s="10"/>
      <c r="L18" s="8"/>
      <c r="M18" s="10"/>
      <c r="N18" s="10">
        <f t="shared" si="8"/>
        <v>5024</v>
      </c>
      <c r="O18" s="10">
        <f t="shared" si="9"/>
        <v>0</v>
      </c>
      <c r="P18" s="10">
        <f>Table1[[#This Row],[Enrolment S.Y. 2025-2026 ]]*8</f>
        <v>5024</v>
      </c>
      <c r="Q18" s="10"/>
      <c r="R18" s="8"/>
      <c r="S18" s="10"/>
      <c r="T18" s="10">
        <f t="shared" si="10"/>
        <v>5024</v>
      </c>
      <c r="U18" s="10">
        <f t="shared" si="11"/>
        <v>0</v>
      </c>
      <c r="V18" s="10">
        <f>Table1[[#This Row],[Enrolment S.Y. 2025-2026 ]]*8</f>
        <v>5024</v>
      </c>
      <c r="W18" s="10"/>
      <c r="X18" s="8"/>
      <c r="Y18" s="10"/>
      <c r="Z18" s="10">
        <f t="shared" si="12"/>
        <v>5024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628</v>
      </c>
      <c r="D19" s="10">
        <f>Table1[[#This Row],[Enrolment S.Y. 2025-2026 ]]*8</f>
        <v>5024</v>
      </c>
      <c r="E19" s="10">
        <v>736</v>
      </c>
      <c r="F19" s="8">
        <v>2025</v>
      </c>
      <c r="G19" s="10" t="s">
        <v>63</v>
      </c>
      <c r="H19" s="10">
        <f t="shared" si="14"/>
        <v>4288</v>
      </c>
      <c r="I19" s="10">
        <f t="shared" si="15"/>
        <v>0</v>
      </c>
      <c r="J19" s="10">
        <f>Table1[[#This Row],[Enrolment S.Y. 2025-2026 ]]*8</f>
        <v>5024</v>
      </c>
      <c r="K19" s="10"/>
      <c r="L19" s="8"/>
      <c r="M19" s="10"/>
      <c r="N19" s="10">
        <f t="shared" si="8"/>
        <v>5024</v>
      </c>
      <c r="O19" s="10">
        <f t="shared" si="9"/>
        <v>0</v>
      </c>
      <c r="P19" s="10">
        <f>Table1[[#This Row],[Enrolment S.Y. 2025-2026 ]]*8</f>
        <v>5024</v>
      </c>
      <c r="Q19" s="10"/>
      <c r="R19" s="8"/>
      <c r="S19" s="10"/>
      <c r="T19" s="10">
        <f t="shared" si="10"/>
        <v>5024</v>
      </c>
      <c r="U19" s="10">
        <f t="shared" si="11"/>
        <v>0</v>
      </c>
      <c r="V19" s="10">
        <f>Table1[[#This Row],[Enrolment S.Y. 2025-2026 ]]*8</f>
        <v>5024</v>
      </c>
      <c r="W19" s="10"/>
      <c r="X19" s="8"/>
      <c r="Y19" s="10"/>
      <c r="Z19" s="10">
        <f t="shared" si="12"/>
        <v>5024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628</v>
      </c>
      <c r="D20" s="10">
        <f>Table1[[#This Row],[Enrolment S.Y. 2025-2026 ]]*8</f>
        <v>5024</v>
      </c>
      <c r="E20" s="10">
        <v>736</v>
      </c>
      <c r="F20" s="8">
        <v>2025</v>
      </c>
      <c r="G20" s="10" t="s">
        <v>63</v>
      </c>
      <c r="H20" s="10">
        <f t="shared" si="14"/>
        <v>4288</v>
      </c>
      <c r="I20" s="10">
        <f t="shared" si="15"/>
        <v>0</v>
      </c>
      <c r="J20" s="10">
        <f>Table1[[#This Row],[Enrolment S.Y. 2025-2026 ]]*8</f>
        <v>5024</v>
      </c>
      <c r="K20" s="10"/>
      <c r="L20" s="8"/>
      <c r="M20" s="10"/>
      <c r="N20" s="10">
        <f t="shared" si="8"/>
        <v>5024</v>
      </c>
      <c r="O20" s="10">
        <f t="shared" si="9"/>
        <v>0</v>
      </c>
      <c r="P20" s="10">
        <f>Table1[[#This Row],[Enrolment S.Y. 2025-2026 ]]*8</f>
        <v>5024</v>
      </c>
      <c r="Q20" s="10"/>
      <c r="R20" s="8"/>
      <c r="S20" s="10"/>
      <c r="T20" s="10">
        <f t="shared" si="10"/>
        <v>5024</v>
      </c>
      <c r="U20" s="10">
        <f t="shared" si="11"/>
        <v>0</v>
      </c>
      <c r="V20" s="10">
        <f>Table1[[#This Row],[Enrolment S.Y. 2025-2026 ]]*8</f>
        <v>5024</v>
      </c>
      <c r="W20" s="10"/>
      <c r="X20" s="8"/>
      <c r="Y20" s="10"/>
      <c r="Z20" s="10">
        <f t="shared" si="12"/>
        <v>5024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628</v>
      </c>
      <c r="D21" s="10">
        <f>Table1[[#This Row],[Enrolment S.Y. 2025-2026 ]]*8</f>
        <v>5024</v>
      </c>
      <c r="E21" s="10">
        <v>736</v>
      </c>
      <c r="F21" s="8">
        <v>2025</v>
      </c>
      <c r="G21" s="10" t="s">
        <v>63</v>
      </c>
      <c r="H21" s="10">
        <f t="shared" si="14"/>
        <v>4288</v>
      </c>
      <c r="I21" s="10">
        <f t="shared" si="15"/>
        <v>0</v>
      </c>
      <c r="J21" s="10">
        <f>Table1[[#This Row],[Enrolment S.Y. 2025-2026 ]]*8</f>
        <v>5024</v>
      </c>
      <c r="K21" s="10"/>
      <c r="L21" s="8"/>
      <c r="M21" s="10"/>
      <c r="N21" s="10">
        <f t="shared" si="8"/>
        <v>5024</v>
      </c>
      <c r="O21" s="10">
        <f t="shared" si="9"/>
        <v>0</v>
      </c>
      <c r="P21" s="10">
        <f>Table1[[#This Row],[Enrolment S.Y. 2025-2026 ]]*8</f>
        <v>5024</v>
      </c>
      <c r="Q21" s="10"/>
      <c r="R21" s="8"/>
      <c r="S21" s="10"/>
      <c r="T21" s="10">
        <f t="shared" si="10"/>
        <v>5024</v>
      </c>
      <c r="U21" s="10">
        <f t="shared" si="11"/>
        <v>0</v>
      </c>
      <c r="V21" s="10">
        <f>Table1[[#This Row],[Enrolment S.Y. 2025-2026 ]]*8</f>
        <v>5024</v>
      </c>
      <c r="W21" s="10"/>
      <c r="X21" s="8"/>
      <c r="Y21" s="10"/>
      <c r="Z21" s="10">
        <f t="shared" si="12"/>
        <v>5024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2" spans="1:27" s="5" customFormat="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62" spans="1:27" s="5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33:C41 C43:C50 C23:C31 C2:C11" name="Textbooks"/>
    <protectedRange sqref="D33:F41 H33:I41 Q33:R41 W33:X41 D43:F50 H43:I50 Q43:R50 W43:X50 K13:L21 K23:L31 D13:F21 K33:L41 K43:L50 T3:V50 J3:J50 V2:X2 N3:P50 P2:R2 Z3:AA50 K3:L11 D2:F11 H3:I11 Q3:R11 W3:X11 H13:I21 Q13:R21 W13:X21 D23:F31 H23:I31 Q23:R31 W23:X31 J2:L2" name="LAS"/>
    <protectedRange sqref="S2:U2 M2:O2 Y2:AA2 G3:G11 G23:G31 G33:G41 G43:G50 G13:G21 Y3:Y50 M3:M50 S3:S50 G2:I2" name="SOURCE"/>
    <protectedRange sqref="C13" name="Textbooks_1"/>
    <protectedRange sqref="C20:C21" name="Textbooks_2"/>
    <protectedRange sqref="C17" name="Textbooks_3"/>
    <protectedRange sqref="C16" name="Textbooks_4"/>
    <protectedRange sqref="C15" name="Textbooks_5"/>
    <protectedRange sqref="C14" name="Textbooks_6"/>
    <protectedRange sqref="C18:C19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E57" sqref="AE5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35</v>
      </c>
      <c r="E1" s="32"/>
      <c r="F1" s="32"/>
      <c r="G1" s="32"/>
      <c r="H1" s="32"/>
      <c r="I1" s="32"/>
      <c r="J1" s="33" t="s">
        <v>36</v>
      </c>
      <c r="K1" s="33"/>
      <c r="L1" s="33"/>
      <c r="M1" s="33"/>
      <c r="N1" s="33"/>
      <c r="O1" s="33"/>
      <c r="P1" s="34" t="s">
        <v>37</v>
      </c>
      <c r="Q1" s="34"/>
      <c r="R1" s="34"/>
      <c r="S1" s="34"/>
      <c r="T1" s="34"/>
      <c r="U1" s="34"/>
      <c r="V1" s="35" t="s">
        <v>38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64</v>
      </c>
      <c r="E2" s="18" t="s">
        <v>65</v>
      </c>
      <c r="F2" s="19" t="s">
        <v>66</v>
      </c>
      <c r="G2" s="22" t="s">
        <v>67</v>
      </c>
      <c r="H2" s="15" t="s">
        <v>68</v>
      </c>
      <c r="I2" s="22" t="s">
        <v>69</v>
      </c>
      <c r="J2" s="20" t="s">
        <v>70</v>
      </c>
      <c r="K2" s="20" t="s">
        <v>71</v>
      </c>
      <c r="L2" s="21" t="s">
        <v>72</v>
      </c>
      <c r="M2" s="30" t="s">
        <v>73</v>
      </c>
      <c r="N2" s="30" t="s">
        <v>74</v>
      </c>
      <c r="O2" s="20" t="s">
        <v>75</v>
      </c>
      <c r="P2" s="22" t="s">
        <v>76</v>
      </c>
      <c r="Q2" s="22" t="s">
        <v>77</v>
      </c>
      <c r="R2" s="23" t="s">
        <v>78</v>
      </c>
      <c r="S2" s="15" t="s">
        <v>79</v>
      </c>
      <c r="T2" s="15" t="s">
        <v>80</v>
      </c>
      <c r="U2" s="22" t="s">
        <v>81</v>
      </c>
      <c r="V2" s="24" t="s">
        <v>82</v>
      </c>
      <c r="W2" s="24" t="s">
        <v>83</v>
      </c>
      <c r="X2" s="25" t="s">
        <v>84</v>
      </c>
      <c r="Y2" s="31" t="s">
        <v>85</v>
      </c>
      <c r="Z2" s="31" t="s">
        <v>86</v>
      </c>
      <c r="AA2" s="24" t="s">
        <v>87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88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89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90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91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88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89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90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91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419</v>
      </c>
      <c r="D27" s="10">
        <f>Table14[[#This Row],[Enrolment S.Y. 2025-2026 ]]*8</f>
        <v>3352</v>
      </c>
      <c r="E27" s="10"/>
      <c r="F27" s="8"/>
      <c r="G27" s="10"/>
      <c r="H27" s="10">
        <f t="shared" si="16"/>
        <v>3352</v>
      </c>
      <c r="I27" s="10">
        <f t="shared" si="17"/>
        <v>0</v>
      </c>
      <c r="J27" s="10">
        <f>Table14[[#This Row],[Enrolment S.Y. 2025-2026 ]]*8</f>
        <v>3352</v>
      </c>
      <c r="K27" s="10"/>
      <c r="L27" s="8"/>
      <c r="M27" s="10"/>
      <c r="N27" s="10">
        <f t="shared" si="14"/>
        <v>3352</v>
      </c>
      <c r="O27" s="10">
        <f t="shared" si="15"/>
        <v>0</v>
      </c>
      <c r="P27" s="10">
        <f>Table14[[#This Row],[Enrolment S.Y. 2025-2026 ]]*8</f>
        <v>3352</v>
      </c>
      <c r="Q27" s="10"/>
      <c r="R27" s="8"/>
      <c r="S27" s="10"/>
      <c r="T27" s="10">
        <f t="shared" si="10"/>
        <v>3352</v>
      </c>
      <c r="U27" s="10">
        <f t="shared" si="11"/>
        <v>0</v>
      </c>
      <c r="V27" s="10">
        <f>Table14[[#This Row],[Enrolment S.Y. 2025-2026 ]]*8</f>
        <v>3352</v>
      </c>
      <c r="W27" s="10">
        <v>1148</v>
      </c>
      <c r="X27" s="8">
        <v>2025</v>
      </c>
      <c r="Y27" s="10" t="s">
        <v>63</v>
      </c>
      <c r="Z27" s="10">
        <f t="shared" si="12"/>
        <v>2204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419</v>
      </c>
      <c r="D28" s="10">
        <f>Table14[[#This Row],[Enrolment S.Y. 2025-2026 ]]*8</f>
        <v>3352</v>
      </c>
      <c r="E28" s="10">
        <v>888</v>
      </c>
      <c r="F28" s="8">
        <v>2025</v>
      </c>
      <c r="G28" s="10" t="s">
        <v>63</v>
      </c>
      <c r="H28" s="10">
        <f t="shared" si="16"/>
        <v>2464</v>
      </c>
      <c r="I28" s="10">
        <f t="shared" si="17"/>
        <v>0</v>
      </c>
      <c r="J28" s="10">
        <f>Table14[[#This Row],[Enrolment S.Y. 2025-2026 ]]*8</f>
        <v>3352</v>
      </c>
      <c r="K28" s="10">
        <v>738</v>
      </c>
      <c r="L28" s="8">
        <v>2025</v>
      </c>
      <c r="M28" s="10" t="s">
        <v>9</v>
      </c>
      <c r="N28" s="10">
        <f t="shared" si="14"/>
        <v>2614</v>
      </c>
      <c r="O28" s="10">
        <f t="shared" si="15"/>
        <v>0</v>
      </c>
      <c r="P28" s="10">
        <f>Table14[[#This Row],[Enrolment S.Y. 2025-2026 ]]*8</f>
        <v>3352</v>
      </c>
      <c r="Q28" s="10">
        <v>410</v>
      </c>
      <c r="R28" s="8">
        <v>2025</v>
      </c>
      <c r="S28" s="10" t="s">
        <v>63</v>
      </c>
      <c r="T28" s="10">
        <f t="shared" si="10"/>
        <v>2942</v>
      </c>
      <c r="U28" s="10">
        <f t="shared" si="11"/>
        <v>0</v>
      </c>
      <c r="V28" s="10">
        <f>Table14[[#This Row],[Enrolment S.Y. 2025-2026 ]]*8</f>
        <v>3352</v>
      </c>
      <c r="W28" s="10">
        <v>574</v>
      </c>
      <c r="X28" s="8">
        <v>2025</v>
      </c>
      <c r="Y28" s="10" t="s">
        <v>63</v>
      </c>
      <c r="Z28" s="10">
        <f t="shared" si="12"/>
        <v>2778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419</v>
      </c>
      <c r="D29" s="10">
        <f>Table14[[#This Row],[Enrolment S.Y. 2025-2026 ]]*8</f>
        <v>3352</v>
      </c>
      <c r="E29" s="10">
        <v>3108</v>
      </c>
      <c r="F29" s="8">
        <v>2025</v>
      </c>
      <c r="G29" s="10" t="s">
        <v>63</v>
      </c>
      <c r="H29" s="10">
        <f t="shared" si="16"/>
        <v>244</v>
      </c>
      <c r="I29" s="10">
        <f t="shared" si="17"/>
        <v>0</v>
      </c>
      <c r="J29" s="10">
        <f>Table14[[#This Row],[Enrolment S.Y. 2025-2026 ]]*8</f>
        <v>3352</v>
      </c>
      <c r="K29" s="10">
        <v>820</v>
      </c>
      <c r="L29" s="8">
        <v>2025</v>
      </c>
      <c r="M29" s="10" t="s">
        <v>9</v>
      </c>
      <c r="N29" s="10">
        <f t="shared" si="14"/>
        <v>2532</v>
      </c>
      <c r="O29" s="10">
        <f t="shared" si="15"/>
        <v>0</v>
      </c>
      <c r="P29" s="10">
        <f>Table14[[#This Row],[Enrolment S.Y. 2025-2026 ]]*8</f>
        <v>3352</v>
      </c>
      <c r="Q29" s="10"/>
      <c r="R29" s="8"/>
      <c r="S29" s="10"/>
      <c r="T29" s="10">
        <f t="shared" si="10"/>
        <v>3352</v>
      </c>
      <c r="U29" s="10">
        <f t="shared" si="11"/>
        <v>0</v>
      </c>
      <c r="V29" s="10">
        <f>Table14[[#This Row],[Enrolment S.Y. 2025-2026 ]]*8</f>
        <v>3352</v>
      </c>
      <c r="W29" s="10"/>
      <c r="X29" s="8"/>
      <c r="Y29" s="10"/>
      <c r="Z29" s="10">
        <f t="shared" si="12"/>
        <v>3352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419</v>
      </c>
      <c r="D30" s="10">
        <f>Table14[[#This Row],[Enrolment S.Y. 2025-2026 ]]*8</f>
        <v>3352</v>
      </c>
      <c r="E30" s="10"/>
      <c r="F30" s="8"/>
      <c r="G30" s="10"/>
      <c r="H30" s="10">
        <f t="shared" si="16"/>
        <v>3352</v>
      </c>
      <c r="I30" s="10">
        <f t="shared" si="17"/>
        <v>0</v>
      </c>
      <c r="J30" s="10">
        <f>Table14[[#This Row],[Enrolment S.Y. 2025-2026 ]]*8</f>
        <v>3352</v>
      </c>
      <c r="K30" s="10"/>
      <c r="L30" s="8"/>
      <c r="M30" s="10"/>
      <c r="N30" s="10">
        <f t="shared" si="14"/>
        <v>3352</v>
      </c>
      <c r="O30" s="10">
        <f t="shared" si="15"/>
        <v>0</v>
      </c>
      <c r="P30" s="10">
        <f>Table14[[#This Row],[Enrolment S.Y. 2025-2026 ]]*8</f>
        <v>3352</v>
      </c>
      <c r="Q30" s="10">
        <v>410</v>
      </c>
      <c r="R30" s="8">
        <v>2025</v>
      </c>
      <c r="S30" s="10" t="s">
        <v>63</v>
      </c>
      <c r="T30" s="10">
        <f t="shared" si="10"/>
        <v>2942</v>
      </c>
      <c r="U30" s="10">
        <f t="shared" si="11"/>
        <v>0</v>
      </c>
      <c r="V30" s="10">
        <f>Table14[[#This Row],[Enrolment S.Y. 2025-2026 ]]*8</f>
        <v>3352</v>
      </c>
      <c r="W30" s="10">
        <v>656</v>
      </c>
      <c r="X30" s="8">
        <v>2025</v>
      </c>
      <c r="Y30" s="10" t="s">
        <v>63</v>
      </c>
      <c r="Z30" s="10">
        <f t="shared" si="12"/>
        <v>2696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419</v>
      </c>
      <c r="D31" s="10">
        <f>Table14[[#This Row],[Enrolment S.Y. 2025-2026 ]]*8</f>
        <v>3352</v>
      </c>
      <c r="E31" s="10"/>
      <c r="F31" s="8"/>
      <c r="G31" s="10"/>
      <c r="H31" s="10">
        <f t="shared" si="16"/>
        <v>3352</v>
      </c>
      <c r="I31" s="10">
        <f t="shared" si="17"/>
        <v>0</v>
      </c>
      <c r="J31" s="10">
        <f>Table14[[#This Row],[Enrolment S.Y. 2025-2026 ]]*8</f>
        <v>3352</v>
      </c>
      <c r="K31" s="10"/>
      <c r="L31" s="8"/>
      <c r="M31" s="10"/>
      <c r="N31" s="10">
        <f t="shared" si="14"/>
        <v>3352</v>
      </c>
      <c r="O31" s="10">
        <f t="shared" si="15"/>
        <v>0</v>
      </c>
      <c r="P31" s="10">
        <f>Table14[[#This Row],[Enrolment S.Y. 2025-2026 ]]*8</f>
        <v>3352</v>
      </c>
      <c r="Q31" s="10">
        <v>574</v>
      </c>
      <c r="R31" s="8">
        <v>2025</v>
      </c>
      <c r="S31" s="10" t="s">
        <v>63</v>
      </c>
      <c r="T31" s="10">
        <f t="shared" si="10"/>
        <v>2778</v>
      </c>
      <c r="U31" s="10">
        <f t="shared" si="11"/>
        <v>0</v>
      </c>
      <c r="V31" s="10">
        <f>Table14[[#This Row],[Enrolment S.Y. 2025-2026 ]]*8</f>
        <v>3352</v>
      </c>
      <c r="W31" s="10">
        <v>328</v>
      </c>
      <c r="X31" s="8">
        <v>2025</v>
      </c>
      <c r="Y31" s="10" t="s">
        <v>63</v>
      </c>
      <c r="Z31" s="10">
        <f t="shared" si="12"/>
        <v>3024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419</v>
      </c>
      <c r="D32" s="10">
        <f>Table14[[#This Row],[Enrolment S.Y. 2025-2026 ]]*8</f>
        <v>3352</v>
      </c>
      <c r="E32" s="10"/>
      <c r="F32" s="8"/>
      <c r="G32" s="10"/>
      <c r="H32" s="10">
        <f t="shared" si="16"/>
        <v>3352</v>
      </c>
      <c r="I32" s="10">
        <f t="shared" si="17"/>
        <v>0</v>
      </c>
      <c r="J32" s="10">
        <f>Table14[[#This Row],[Enrolment S.Y. 2025-2026 ]]*8</f>
        <v>3352</v>
      </c>
      <c r="K32" s="10"/>
      <c r="L32" s="8"/>
      <c r="M32" s="10"/>
      <c r="N32" s="10">
        <f t="shared" si="14"/>
        <v>3352</v>
      </c>
      <c r="O32" s="10">
        <f t="shared" si="15"/>
        <v>0</v>
      </c>
      <c r="P32" s="10">
        <f>Table14[[#This Row],[Enrolment S.Y. 2025-2026 ]]*8</f>
        <v>3352</v>
      </c>
      <c r="Q32" s="10">
        <v>492</v>
      </c>
      <c r="R32" s="8">
        <v>2025</v>
      </c>
      <c r="S32" s="10" t="s">
        <v>63</v>
      </c>
      <c r="T32" s="10">
        <f t="shared" si="10"/>
        <v>2860</v>
      </c>
      <c r="U32" s="10">
        <f t="shared" si="11"/>
        <v>0</v>
      </c>
      <c r="V32" s="10">
        <f>Table14[[#This Row],[Enrolment S.Y. 2025-2026 ]]*8</f>
        <v>3352</v>
      </c>
      <c r="W32" s="10">
        <v>836</v>
      </c>
      <c r="X32" s="8">
        <v>2025</v>
      </c>
      <c r="Y32" s="10" t="s">
        <v>63</v>
      </c>
      <c r="Z32" s="10">
        <f t="shared" si="12"/>
        <v>2516</v>
      </c>
      <c r="AA32" s="10">
        <f t="shared" si="13"/>
        <v>0</v>
      </c>
    </row>
    <row r="33" spans="1:27" ht="19.5">
      <c r="A33" s="29">
        <v>9</v>
      </c>
      <c r="B33" s="9" t="s">
        <v>88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89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90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91</v>
      </c>
      <c r="C37" s="8">
        <v>419</v>
      </c>
      <c r="D37" s="10">
        <f>Table14[[#This Row],[Enrolment S.Y. 2025-2026 ]]*8</f>
        <v>3352</v>
      </c>
      <c r="E37" s="10"/>
      <c r="F37" s="8"/>
      <c r="G37" s="10"/>
      <c r="H37" s="10">
        <f t="shared" si="16"/>
        <v>3352</v>
      </c>
      <c r="I37" s="10">
        <f t="shared" si="17"/>
        <v>0</v>
      </c>
      <c r="J37" s="10">
        <f>Table14[[#This Row],[Enrolment S.Y. 2025-2026 ]]*8</f>
        <v>3352</v>
      </c>
      <c r="K37" s="10"/>
      <c r="L37" s="8"/>
      <c r="M37" s="10"/>
      <c r="N37" s="10">
        <f t="shared" si="20"/>
        <v>3352</v>
      </c>
      <c r="O37" s="10">
        <f t="shared" si="21"/>
        <v>0</v>
      </c>
      <c r="P37" s="10">
        <f>Table14[[#This Row],[Enrolment S.Y. 2025-2026 ]]*8</f>
        <v>3352</v>
      </c>
      <c r="Q37" s="10">
        <v>246</v>
      </c>
      <c r="R37" s="8">
        <v>2025</v>
      </c>
      <c r="S37" s="10" t="s">
        <v>63</v>
      </c>
      <c r="T37" s="10">
        <f t="shared" si="10"/>
        <v>3106</v>
      </c>
      <c r="U37" s="10">
        <f t="shared" si="11"/>
        <v>0</v>
      </c>
      <c r="V37" s="10">
        <f>Table14[[#This Row],[Enrolment S.Y. 2025-2026 ]]*8</f>
        <v>3352</v>
      </c>
      <c r="W37" s="10">
        <v>410</v>
      </c>
      <c r="X37" s="8">
        <v>2025</v>
      </c>
      <c r="Y37" s="10" t="s">
        <v>63</v>
      </c>
      <c r="Z37" s="10">
        <f t="shared" si="12"/>
        <v>2942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479</v>
      </c>
      <c r="D39" s="10">
        <f>Table14[[#This Row],[Enrolment S.Y. 2025-2026 ]]*8</f>
        <v>3832</v>
      </c>
      <c r="E39" s="10">
        <v>281</v>
      </c>
      <c r="F39" s="8">
        <v>2025</v>
      </c>
      <c r="G39" s="10" t="s">
        <v>63</v>
      </c>
      <c r="H39" s="10">
        <f t="shared" si="16"/>
        <v>3551</v>
      </c>
      <c r="I39" s="10">
        <f t="shared" si="17"/>
        <v>0</v>
      </c>
      <c r="J39" s="10">
        <f>Table14[[#This Row],[Enrolment S.Y. 2025-2026 ]]*8</f>
        <v>3832</v>
      </c>
      <c r="K39" s="10">
        <v>784</v>
      </c>
      <c r="L39" s="8">
        <v>2025</v>
      </c>
      <c r="M39" s="10" t="s">
        <v>63</v>
      </c>
      <c r="N39" s="10">
        <f t="shared" si="14"/>
        <v>3048</v>
      </c>
      <c r="O39" s="10">
        <f t="shared" si="15"/>
        <v>0</v>
      </c>
      <c r="P39" s="10">
        <f>Table14[[#This Row],[Enrolment S.Y. 2025-2026 ]]*8</f>
        <v>3832</v>
      </c>
      <c r="Q39" s="10">
        <v>490</v>
      </c>
      <c r="R39" s="8">
        <v>2025</v>
      </c>
      <c r="S39" s="10" t="s">
        <v>63</v>
      </c>
      <c r="T39" s="10">
        <f t="shared" si="10"/>
        <v>3342</v>
      </c>
      <c r="U39" s="10">
        <f t="shared" si="11"/>
        <v>0</v>
      </c>
      <c r="V39" s="10">
        <f>Table14[[#This Row],[Enrolment S.Y. 2025-2026 ]]*8</f>
        <v>3832</v>
      </c>
      <c r="W39" s="10">
        <v>294</v>
      </c>
      <c r="X39" s="8">
        <v>2025</v>
      </c>
      <c r="Y39" s="10" t="s">
        <v>63</v>
      </c>
      <c r="Z39" s="10">
        <f t="shared" si="12"/>
        <v>3538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479</v>
      </c>
      <c r="D40" s="10">
        <f>Table14[[#This Row],[Enrolment S.Y. 2025-2026 ]]*8</f>
        <v>3832</v>
      </c>
      <c r="E40" s="10">
        <v>190</v>
      </c>
      <c r="F40" s="8">
        <v>2025</v>
      </c>
      <c r="G40" s="10" t="s">
        <v>63</v>
      </c>
      <c r="H40" s="10">
        <f t="shared" si="16"/>
        <v>3642</v>
      </c>
      <c r="I40" s="10">
        <f t="shared" si="17"/>
        <v>0</v>
      </c>
      <c r="J40" s="10">
        <f>Table14[[#This Row],[Enrolment S.Y. 2025-2026 ]]*8</f>
        <v>3832</v>
      </c>
      <c r="K40" s="10"/>
      <c r="L40" s="8"/>
      <c r="M40" s="10"/>
      <c r="N40" s="10">
        <f t="shared" si="14"/>
        <v>3832</v>
      </c>
      <c r="O40" s="10">
        <f t="shared" si="15"/>
        <v>0</v>
      </c>
      <c r="P40" s="10">
        <f>Table14[[#This Row],[Enrolment S.Y. 2025-2026 ]]*8</f>
        <v>3832</v>
      </c>
      <c r="Q40" s="10">
        <v>686</v>
      </c>
      <c r="R40" s="8">
        <v>2025</v>
      </c>
      <c r="S40" s="10" t="s">
        <v>63</v>
      </c>
      <c r="T40" s="10">
        <f t="shared" si="10"/>
        <v>3146</v>
      </c>
      <c r="U40" s="10">
        <f t="shared" si="11"/>
        <v>0</v>
      </c>
      <c r="V40" s="10">
        <f>Table14[[#This Row],[Enrolment S.Y. 2025-2026 ]]*8</f>
        <v>3832</v>
      </c>
      <c r="W40" s="10">
        <v>686</v>
      </c>
      <c r="X40" s="8">
        <v>2025</v>
      </c>
      <c r="Y40" s="10" t="s">
        <v>63</v>
      </c>
      <c r="Z40" s="10">
        <f t="shared" si="12"/>
        <v>3146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479</v>
      </c>
      <c r="D41" s="10">
        <f>Table14[[#This Row],[Enrolment S.Y. 2025-2026 ]]*8</f>
        <v>3832</v>
      </c>
      <c r="E41" s="10">
        <v>133</v>
      </c>
      <c r="F41" s="8">
        <v>2025</v>
      </c>
      <c r="G41" s="10" t="s">
        <v>63</v>
      </c>
      <c r="H41" s="10">
        <f t="shared" si="16"/>
        <v>3699</v>
      </c>
      <c r="I41" s="10">
        <f t="shared" si="17"/>
        <v>0</v>
      </c>
      <c r="J41" s="10">
        <f>Table14[[#This Row],[Enrolment S.Y. 2025-2026 ]]*8</f>
        <v>3832</v>
      </c>
      <c r="K41" s="10">
        <v>882</v>
      </c>
      <c r="L41" s="8">
        <v>2025</v>
      </c>
      <c r="M41" s="10" t="s">
        <v>63</v>
      </c>
      <c r="N41" s="10">
        <f t="shared" si="14"/>
        <v>2950</v>
      </c>
      <c r="O41" s="10">
        <f t="shared" si="15"/>
        <v>0</v>
      </c>
      <c r="P41" s="10">
        <f>Table14[[#This Row],[Enrolment S.Y. 2025-2026 ]]*8</f>
        <v>3832</v>
      </c>
      <c r="Q41" s="10"/>
      <c r="R41" s="8"/>
      <c r="S41" s="10"/>
      <c r="T41" s="10">
        <f t="shared" si="10"/>
        <v>3832</v>
      </c>
      <c r="U41" s="10">
        <f t="shared" si="11"/>
        <v>0</v>
      </c>
      <c r="V41" s="10">
        <f>Table14[[#This Row],[Enrolment S.Y. 2025-2026 ]]*8</f>
        <v>3832</v>
      </c>
      <c r="W41" s="10"/>
      <c r="X41" s="8"/>
      <c r="Y41" s="10"/>
      <c r="Z41" s="10">
        <f t="shared" si="12"/>
        <v>3832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479</v>
      </c>
      <c r="D42" s="10">
        <f>Table14[[#This Row],[Enrolment S.Y. 2025-2026 ]]*8</f>
        <v>3832</v>
      </c>
      <c r="E42" s="10"/>
      <c r="F42" s="8"/>
      <c r="G42" s="10"/>
      <c r="H42" s="10">
        <f t="shared" si="16"/>
        <v>3832</v>
      </c>
      <c r="I42" s="10">
        <f t="shared" si="17"/>
        <v>0</v>
      </c>
      <c r="J42" s="10">
        <f>Table14[[#This Row],[Enrolment S.Y. 2025-2026 ]]*8</f>
        <v>3832</v>
      </c>
      <c r="K42" s="10"/>
      <c r="L42" s="8"/>
      <c r="M42" s="10"/>
      <c r="N42" s="10">
        <f t="shared" si="14"/>
        <v>3832</v>
      </c>
      <c r="O42" s="10">
        <f t="shared" si="15"/>
        <v>0</v>
      </c>
      <c r="P42" s="10">
        <f>Table14[[#This Row],[Enrolment S.Y. 2025-2026 ]]*8</f>
        <v>3832</v>
      </c>
      <c r="Q42" s="10">
        <v>784</v>
      </c>
      <c r="R42" s="8">
        <v>2025</v>
      </c>
      <c r="S42" s="10" t="s">
        <v>63</v>
      </c>
      <c r="T42" s="10">
        <f t="shared" si="10"/>
        <v>3048</v>
      </c>
      <c r="U42" s="10">
        <f t="shared" si="11"/>
        <v>0</v>
      </c>
      <c r="V42" s="10">
        <f>Table14[[#This Row],[Enrolment S.Y. 2025-2026 ]]*8</f>
        <v>3832</v>
      </c>
      <c r="W42" s="10">
        <v>392</v>
      </c>
      <c r="X42" s="8">
        <v>2025</v>
      </c>
      <c r="Y42" s="10" t="s">
        <v>63</v>
      </c>
      <c r="Z42" s="10">
        <f t="shared" si="12"/>
        <v>3440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479</v>
      </c>
      <c r="D43" s="10">
        <f>Table14[[#This Row],[Enrolment S.Y. 2025-2026 ]]*8</f>
        <v>3832</v>
      </c>
      <c r="E43" s="10"/>
      <c r="F43" s="8"/>
      <c r="G43" s="10"/>
      <c r="H43" s="10">
        <f t="shared" si="16"/>
        <v>3832</v>
      </c>
      <c r="I43" s="10">
        <f t="shared" si="17"/>
        <v>0</v>
      </c>
      <c r="J43" s="10">
        <f>Table14[[#This Row],[Enrolment S.Y. 2025-2026 ]]*8</f>
        <v>3832</v>
      </c>
      <c r="K43" s="10"/>
      <c r="L43" s="8"/>
      <c r="M43" s="10"/>
      <c r="N43" s="10">
        <f t="shared" si="14"/>
        <v>3832</v>
      </c>
      <c r="O43" s="10">
        <f t="shared" si="15"/>
        <v>0</v>
      </c>
      <c r="P43" s="10">
        <f>Table14[[#This Row],[Enrolment S.Y. 2025-2026 ]]*8</f>
        <v>3832</v>
      </c>
      <c r="Q43" s="10">
        <v>294</v>
      </c>
      <c r="R43" s="8">
        <v>2025</v>
      </c>
      <c r="S43" s="10" t="s">
        <v>63</v>
      </c>
      <c r="T43" s="10">
        <f t="shared" si="10"/>
        <v>3538</v>
      </c>
      <c r="U43" s="10">
        <f t="shared" si="11"/>
        <v>0</v>
      </c>
      <c r="V43" s="10">
        <f>Table14[[#This Row],[Enrolment S.Y. 2025-2026 ]]*8</f>
        <v>3832</v>
      </c>
      <c r="W43" s="10">
        <v>490</v>
      </c>
      <c r="X43" s="8">
        <v>2025</v>
      </c>
      <c r="Y43" s="10" t="s">
        <v>63</v>
      </c>
      <c r="Z43" s="10">
        <f t="shared" si="12"/>
        <v>3342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479</v>
      </c>
      <c r="D44" s="10">
        <f>Table14[[#This Row],[Enrolment S.Y. 2025-2026 ]]*8</f>
        <v>3832</v>
      </c>
      <c r="E44" s="10"/>
      <c r="F44" s="8"/>
      <c r="G44" s="10"/>
      <c r="H44" s="10">
        <f t="shared" si="16"/>
        <v>3832</v>
      </c>
      <c r="I44" s="10">
        <f t="shared" si="17"/>
        <v>0</v>
      </c>
      <c r="J44" s="10">
        <f>Table14[[#This Row],[Enrolment S.Y. 2025-2026 ]]*8</f>
        <v>3832</v>
      </c>
      <c r="K44" s="10"/>
      <c r="L44" s="8"/>
      <c r="M44" s="10"/>
      <c r="N44" s="10">
        <f t="shared" si="14"/>
        <v>3832</v>
      </c>
      <c r="O44" s="10">
        <f t="shared" si="15"/>
        <v>0</v>
      </c>
      <c r="P44" s="10">
        <f>Table14[[#This Row],[Enrolment S.Y. 2025-2026 ]]*8</f>
        <v>3832</v>
      </c>
      <c r="Q44" s="10">
        <v>784</v>
      </c>
      <c r="R44" s="8">
        <v>2025</v>
      </c>
      <c r="S44" s="10" t="s">
        <v>63</v>
      </c>
      <c r="T44" s="10">
        <f t="shared" si="10"/>
        <v>3048</v>
      </c>
      <c r="U44" s="10">
        <f t="shared" si="11"/>
        <v>0</v>
      </c>
      <c r="V44" s="10">
        <f>Table14[[#This Row],[Enrolment S.Y. 2025-2026 ]]*8</f>
        <v>3832</v>
      </c>
      <c r="W44" s="10">
        <v>588</v>
      </c>
      <c r="X44" s="8">
        <v>2025</v>
      </c>
      <c r="Y44" s="10" t="s">
        <v>63</v>
      </c>
      <c r="Z44" s="10">
        <f t="shared" si="12"/>
        <v>3244</v>
      </c>
      <c r="AA44" s="10">
        <f t="shared" si="13"/>
        <v>0</v>
      </c>
    </row>
    <row r="45" spans="1:27" ht="19.5">
      <c r="A45" s="29">
        <v>10</v>
      </c>
      <c r="B45" s="9" t="s">
        <v>88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89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90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91</v>
      </c>
      <c r="C49" s="8">
        <v>479</v>
      </c>
      <c r="D49" s="10">
        <f>Table14[[#This Row],[Enrolment S.Y. 2025-2026 ]]*8</f>
        <v>3832</v>
      </c>
      <c r="E49" s="10"/>
      <c r="F49" s="8"/>
      <c r="G49" s="10"/>
      <c r="H49" s="10">
        <f t="shared" si="16"/>
        <v>3832</v>
      </c>
      <c r="I49" s="10">
        <f t="shared" si="17"/>
        <v>0</v>
      </c>
      <c r="J49" s="10">
        <f>Table14[[#This Row],[Enrolment S.Y. 2025-2026 ]]*8</f>
        <v>3832</v>
      </c>
      <c r="K49" s="10"/>
      <c r="L49" s="8"/>
      <c r="M49" s="10"/>
      <c r="N49" s="10">
        <f t="shared" si="22"/>
        <v>3832</v>
      </c>
      <c r="O49" s="10">
        <f t="shared" si="23"/>
        <v>0</v>
      </c>
      <c r="P49" s="10">
        <f>Table14[[#This Row],[Enrolment S.Y. 2025-2026 ]]*8</f>
        <v>3832</v>
      </c>
      <c r="Q49" s="10">
        <v>196</v>
      </c>
      <c r="R49" s="8">
        <v>2025</v>
      </c>
      <c r="S49" s="10" t="s">
        <v>63</v>
      </c>
      <c r="T49" s="10">
        <f t="shared" si="10"/>
        <v>3636</v>
      </c>
      <c r="U49" s="10">
        <f t="shared" si="11"/>
        <v>0</v>
      </c>
      <c r="V49" s="10">
        <f>Table14[[#This Row],[Enrolment S.Y. 2025-2026 ]]*8</f>
        <v>3832</v>
      </c>
      <c r="W49" s="10">
        <v>294</v>
      </c>
      <c r="X49" s="8">
        <v>2025</v>
      </c>
      <c r="Y49" s="10" t="s">
        <v>63</v>
      </c>
      <c r="Z49" s="10">
        <f t="shared" si="12"/>
        <v>3538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66" spans="1:27" s="5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1" spans="1:27" ht="32.25" customHeight="1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15:C25 C51:C58 C27:C37 C2:C13" name="Textbooks"/>
    <protectedRange sqref="J2:L2 N39:R49 T39:X49 N3:R13 N15:R25 H27:L37 P2:R2 D15:F25 D27:F37 D51:F58 N27:R37 V2:X2 T3:X13 Z3:AA13 H3:L13 T15:X25 Z15:AA25 H15:L25 Z27:AA37 Z39:AA49 H39:L49 N51:R58 T51:X58 Z51:AA58 H51:L58 D39:F49 T27:X37 D2:F13" name="LAS"/>
    <protectedRange sqref="G2:I2 M2:O2 S2:U2 Y2:AA2 S27:S37 Y27:Y37 S39:S49 Y39:Y49 Y3:Y13 G3:G13 M3:M13 S3:S13 Y15:Y25 G15:G25 M15:M25 S15:S25 G27:G37 G39:G49 M39:M49 Y51:Y58 G51:G58 M51:M58 S51:S58 M27:M3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27:M37 M51:M58 G27:G37 G39:G49 S39:S49 Y27:Y37 M39:M49 Y39:Y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2026-04-13T08:20:32Z</dcterms:modified>
  <cp:category/>
  <cp:contentStatus/>
</cp:coreProperties>
</file>