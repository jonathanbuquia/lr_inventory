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1" documentId="13_ncr:1_{BFB59F67-F0DC-4675-A682-EB0734A8026A}" xr6:coauthVersionLast="47" xr6:coauthVersionMax="47" xr10:uidLastSave="{5A15711E-77D4-40BD-874B-AF1D85B5FA8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H105" i="1"/>
  <c r="G102" i="1"/>
  <c r="H102" i="1"/>
  <c r="G103" i="1"/>
  <c r="H103" i="1"/>
  <c r="G104" i="1"/>
  <c r="H104" i="1"/>
  <c r="H101" i="1"/>
  <c r="G101" i="1"/>
  <c r="H100" i="1"/>
  <c r="G100" i="1"/>
  <c r="H99" i="1"/>
  <c r="G99" i="1"/>
  <c r="P109" i="5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</calcChain>
</file>

<file path=xl/sharedStrings.xml><?xml version="1.0" encoding="utf-8"?>
<sst xmlns="http://schemas.openxmlformats.org/spreadsheetml/2006/main" count="463" uniqueCount="99">
  <si>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</si>
  <si>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</si>
  <si>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</si>
  <si>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</si>
  <si>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</si>
  <si>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</si>
  <si>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</si>
  <si>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</si>
  <si>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</si>
  <si>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</si>
  <si>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</si>
  <si>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</si>
  <si>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</si>
  <si>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</si>
  <si>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</si>
  <si>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</si>
  <si>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</si>
  <si>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</si>
  <si>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</si>
  <si>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</si>
  <si>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</si>
  <si>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</si>
  <si>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</si>
  <si>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</si>
  <si>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</si>
  <si>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</si>
  <si>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</si>
  <si>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</si>
  <si>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</si>
  <si>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</si>
  <si>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</si>
  <si>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</si>
  <si>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</si>
  <si>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</si>
  <si>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</si>
  <si>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Creative Writing</t>
  </si>
  <si>
    <t>Philippine Politics and Governance</t>
  </si>
  <si>
    <t>Trends, Networks and Critical Thinking in the 21st Century</t>
  </si>
  <si>
    <t>Discipline and Ideas in Applied Social Sciences</t>
  </si>
  <si>
    <t>Disciplines And Ideas In The Social Sciences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</si>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</sst>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opLeftCell="A60" zoomScale="85" zoomScaleNormal="85" workbookViewId="0">
      <pane xSplit="2" topLeftCell="C1" activePane="topRight" state="frozen"/>
      <selection pane="topRight" activeCell="E2" activeCellId="10" sqref="E91:E105 E81:E89 E71:E79 E61:E69 E51:E59 E41:E49 E31:E39 E21:E29 E14:E19 E8:E12 E2:E6"/>
      <selection activeCell="A60" sqref="A60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568</v>
      </c>
      <c r="D51" s="10">
        <v>696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128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568</v>
      </c>
      <c r="D53" s="10">
        <v>617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49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568</v>
      </c>
      <c r="D55" s="10">
        <v>696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128</v>
      </c>
    </row>
    <row r="56" spans="1:8" ht="27.75" customHeight="1">
      <c r="A56" s="10">
        <v>7</v>
      </c>
      <c r="B56" s="11" t="s">
        <v>13</v>
      </c>
      <c r="C56" s="10">
        <v>568</v>
      </c>
      <c r="D56" s="10">
        <v>430</v>
      </c>
      <c r="E56" s="10">
        <v>2024</v>
      </c>
      <c r="F56" s="12" t="s">
        <v>20</v>
      </c>
      <c r="G56" s="3">
        <f t="shared" si="10"/>
        <v>138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568</v>
      </c>
      <c r="D57" s="10">
        <v>696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128</v>
      </c>
    </row>
    <row r="58" spans="1:8" ht="27.75" customHeight="1">
      <c r="A58" s="10">
        <v>7</v>
      </c>
      <c r="B58" s="11" t="s">
        <v>22</v>
      </c>
      <c r="C58" s="10">
        <v>568</v>
      </c>
      <c r="D58" s="10">
        <v>696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128</v>
      </c>
    </row>
    <row r="59" spans="1:8" ht="27.75" customHeight="1">
      <c r="A59" s="10">
        <v>7</v>
      </c>
      <c r="B59" s="11" t="s">
        <v>19</v>
      </c>
      <c r="C59" s="10">
        <v>568</v>
      </c>
      <c r="D59" s="10">
        <v>696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128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628</v>
      </c>
      <c r="D63" s="10">
        <v>536</v>
      </c>
      <c r="E63" s="10">
        <v>2025</v>
      </c>
      <c r="F63" s="12" t="s">
        <v>20</v>
      </c>
      <c r="G63" s="3">
        <f t="shared" si="12"/>
        <v>92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628</v>
      </c>
      <c r="D64" s="10">
        <v>536</v>
      </c>
      <c r="E64" s="10">
        <v>2025</v>
      </c>
      <c r="F64" s="12" t="s">
        <v>20</v>
      </c>
      <c r="G64" s="3">
        <f t="shared" si="12"/>
        <v>92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374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374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410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410</v>
      </c>
    </row>
    <row r="94" spans="1:8" ht="27.75" customHeight="1">
      <c r="A94" s="1" t="s">
        <v>24</v>
      </c>
      <c r="B94" s="9" t="s">
        <v>28</v>
      </c>
      <c r="C94" s="1"/>
      <c r="D94" s="1">
        <v>410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410</v>
      </c>
    </row>
    <row r="95" spans="1:8" ht="40.5" customHeight="1">
      <c r="A95" s="1" t="s">
        <v>24</v>
      </c>
      <c r="B95" s="9" t="s">
        <v>29</v>
      </c>
      <c r="C95" s="1"/>
      <c r="D95" s="1">
        <v>820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820</v>
      </c>
    </row>
    <row r="96" spans="1:8" ht="38.25" customHeight="1">
      <c r="A96" s="1" t="s">
        <v>24</v>
      </c>
      <c r="B96" s="9" t="s">
        <v>30</v>
      </c>
      <c r="C96" s="1"/>
      <c r="D96" s="1">
        <v>386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386</v>
      </c>
    </row>
    <row r="97" spans="1:8" ht="57.75">
      <c r="A97" s="1" t="s">
        <v>24</v>
      </c>
      <c r="B97" s="9" t="s">
        <v>31</v>
      </c>
      <c r="C97" s="1"/>
      <c r="D97" s="1">
        <v>410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410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38.25">
      <c r="A99" s="1" t="s">
        <v>24</v>
      </c>
      <c r="B99" s="9" t="s">
        <v>33</v>
      </c>
      <c r="C99" s="1"/>
      <c r="D99" s="1">
        <v>410</v>
      </c>
      <c r="E99" s="1">
        <v>2024</v>
      </c>
      <c r="F99" s="5" t="s">
        <v>20</v>
      </c>
      <c r="G99" s="3">
        <f t="shared" ref="G99:G101" si="20">IF((C99-D99)&lt;0,0,C99-D99)</f>
        <v>0</v>
      </c>
      <c r="H99" s="4">
        <f t="shared" ref="H99:H101" si="21">IF((D99-C99)&lt;0,0,D99-C99)</f>
        <v>410</v>
      </c>
    </row>
    <row r="100" spans="1:8" ht="76.5">
      <c r="A100" s="1" t="s">
        <v>24</v>
      </c>
      <c r="B100" s="9" t="s">
        <v>34</v>
      </c>
      <c r="C100" s="1"/>
      <c r="D100" s="1"/>
      <c r="E100" s="1"/>
      <c r="F100" s="5"/>
      <c r="G100" s="3">
        <f t="shared" si="20"/>
        <v>0</v>
      </c>
      <c r="H100" s="4">
        <f t="shared" si="21"/>
        <v>0</v>
      </c>
    </row>
    <row r="101" spans="1:8" ht="19.5">
      <c r="A101" s="1" t="s">
        <v>24</v>
      </c>
      <c r="B101" s="9" t="s">
        <v>35</v>
      </c>
      <c r="C101" s="1"/>
      <c r="D101" s="1">
        <v>180</v>
      </c>
      <c r="E101" s="1">
        <v>2024</v>
      </c>
      <c r="F101" s="5" t="s">
        <v>20</v>
      </c>
      <c r="G101" s="3">
        <f t="shared" si="20"/>
        <v>0</v>
      </c>
      <c r="H101" s="4">
        <f t="shared" si="21"/>
        <v>180</v>
      </c>
    </row>
    <row r="102" spans="1:8" ht="38.25">
      <c r="A102" s="1" t="s">
        <v>24</v>
      </c>
      <c r="B102" s="9" t="s">
        <v>36</v>
      </c>
      <c r="C102" s="1"/>
      <c r="D102" s="1">
        <v>186</v>
      </c>
      <c r="E102" s="1">
        <v>2024</v>
      </c>
      <c r="F102" s="5" t="s">
        <v>20</v>
      </c>
      <c r="G102" s="3">
        <f t="shared" ref="G102:G104" si="22">IF((C102-D102)&lt;0,0,C102-D102)</f>
        <v>0</v>
      </c>
      <c r="H102" s="4">
        <f t="shared" ref="H102:H104" si="23">IF((D102-C102)&lt;0,0,D102-C102)</f>
        <v>186</v>
      </c>
    </row>
    <row r="103" spans="1:8" ht="76.5">
      <c r="A103" s="1" t="s">
        <v>24</v>
      </c>
      <c r="B103" s="9" t="s">
        <v>37</v>
      </c>
      <c r="C103" s="1"/>
      <c r="D103" s="1">
        <v>180</v>
      </c>
      <c r="E103" s="1">
        <v>2024</v>
      </c>
      <c r="F103" s="5" t="s">
        <v>20</v>
      </c>
      <c r="G103" s="3">
        <f t="shared" si="22"/>
        <v>0</v>
      </c>
      <c r="H103" s="4">
        <f t="shared" si="23"/>
        <v>180</v>
      </c>
    </row>
    <row r="104" spans="1:8" ht="57.75">
      <c r="A104" s="1" t="s">
        <v>24</v>
      </c>
      <c r="B104" s="9" t="s">
        <v>38</v>
      </c>
      <c r="C104" s="1"/>
      <c r="D104" s="1"/>
      <c r="E104" s="1"/>
      <c r="F104" s="5"/>
      <c r="G104" s="3">
        <f t="shared" si="22"/>
        <v>0</v>
      </c>
      <c r="H104" s="4">
        <f t="shared" si="23"/>
        <v>0</v>
      </c>
    </row>
    <row r="105" spans="1:8" ht="57.75">
      <c r="A105" s="1" t="s">
        <v>24</v>
      </c>
      <c r="B105" s="9" t="s">
        <v>39</v>
      </c>
      <c r="C105" s="1"/>
      <c r="D105" s="1">
        <v>183</v>
      </c>
      <c r="E105" s="1">
        <v>2024</v>
      </c>
      <c r="F105" s="5" t="s">
        <v>20</v>
      </c>
      <c r="G105" s="3">
        <f t="shared" ref="G105" si="24">IF((C105-D105)&lt;0,0,C105-D105)</f>
        <v>0</v>
      </c>
      <c r="H105" s="4">
        <f t="shared" ref="H105" si="25">IF((D105-C105)&lt;0,0,D105-C105)</f>
        <v>183</v>
      </c>
    </row>
  </sheetData>
  <protectedRanges>
    <protectedRange sqref="C1:E105" name="Textbooks"/>
    <protectedRange sqref="F1:F105" name="SOURCE"/>
  </protectedRanges>
  <phoneticPr fontId="8" type="noConversion"/>
  <dataValidations count="2">
    <dataValidation type="list" allowBlank="1" showInputMessage="1" showErrorMessage="1" sqref="E91:E105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105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2" zoomScale="70" zoomScaleNormal="70" workbookViewId="0">
      <selection activeCell="J128" sqref="J128:J15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40</v>
      </c>
      <c r="E1" s="42"/>
      <c r="F1" s="42"/>
      <c r="G1" s="42"/>
      <c r="H1" s="42"/>
      <c r="I1" s="42"/>
      <c r="J1" s="43" t="s">
        <v>41</v>
      </c>
      <c r="K1" s="43"/>
      <c r="L1" s="43"/>
      <c r="M1" s="43"/>
      <c r="N1" s="43"/>
      <c r="O1" s="43"/>
      <c r="P1" s="44" t="s">
        <v>42</v>
      </c>
      <c r="Q1" s="44"/>
      <c r="R1" s="44"/>
      <c r="S1" s="44"/>
      <c r="T1" s="44"/>
      <c r="U1" s="44"/>
      <c r="V1" s="45" t="s">
        <v>43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44</v>
      </c>
      <c r="E2" s="20" t="s">
        <v>45</v>
      </c>
      <c r="F2" s="21" t="s">
        <v>46</v>
      </c>
      <c r="G2" s="24" t="s">
        <v>47</v>
      </c>
      <c r="H2" s="17" t="s">
        <v>48</v>
      </c>
      <c r="I2" s="24" t="s">
        <v>49</v>
      </c>
      <c r="J2" s="22" t="s">
        <v>50</v>
      </c>
      <c r="K2" s="22" t="s">
        <v>51</v>
      </c>
      <c r="L2" s="23" t="s">
        <v>52</v>
      </c>
      <c r="M2" s="40" t="s">
        <v>53</v>
      </c>
      <c r="N2" s="40" t="s">
        <v>54</v>
      </c>
      <c r="O2" s="22" t="s">
        <v>55</v>
      </c>
      <c r="P2" s="24" t="s">
        <v>56</v>
      </c>
      <c r="Q2" s="24" t="s">
        <v>57</v>
      </c>
      <c r="R2" s="25" t="s">
        <v>58</v>
      </c>
      <c r="S2" s="17" t="s">
        <v>59</v>
      </c>
      <c r="T2" s="17" t="s">
        <v>60</v>
      </c>
      <c r="U2" s="24" t="s">
        <v>61</v>
      </c>
      <c r="V2" s="26" t="s">
        <v>62</v>
      </c>
      <c r="W2" s="26" t="s">
        <v>63</v>
      </c>
      <c r="X2" s="27" t="s">
        <v>64</v>
      </c>
      <c r="Y2" s="41" t="s">
        <v>65</v>
      </c>
      <c r="Z2" s="41" t="s">
        <v>66</v>
      </c>
      <c r="AA2" s="26" t="s">
        <v>67</v>
      </c>
    </row>
    <row r="3" spans="1:27" ht="30.6" customHeight="1">
      <c r="A3" s="39" t="s">
        <v>68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69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69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69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628</v>
      </c>
      <c r="D73" s="12">
        <f>Table1[[#This Row],[Enrolment S.Y. 2025-2026 ]]*8</f>
        <v>5024</v>
      </c>
      <c r="E73" s="12">
        <v>736</v>
      </c>
      <c r="F73" s="10">
        <v>2025</v>
      </c>
      <c r="G73" s="12" t="s">
        <v>70</v>
      </c>
      <c r="H73" s="12">
        <f t="shared" si="2"/>
        <v>4288</v>
      </c>
      <c r="I73" s="12">
        <f t="shared" si="3"/>
        <v>0</v>
      </c>
      <c r="J73" s="12">
        <f>Table1[[#This Row],[Enrolment S.Y. 2025-2026 ]]*8</f>
        <v>5024</v>
      </c>
      <c r="K73" s="12"/>
      <c r="L73" s="10"/>
      <c r="M73" s="12"/>
      <c r="N73" s="12">
        <f t="shared" si="16"/>
        <v>5024</v>
      </c>
      <c r="O73" s="12">
        <f t="shared" si="17"/>
        <v>0</v>
      </c>
      <c r="P73" s="12">
        <f>Table1[[#This Row],[Enrolment S.Y. 2025-2026 ]]*8</f>
        <v>5024</v>
      </c>
      <c r="Q73" s="12"/>
      <c r="R73" s="10"/>
      <c r="S73" s="12"/>
      <c r="T73" s="12">
        <f t="shared" si="18"/>
        <v>5024</v>
      </c>
      <c r="U73" s="12">
        <f t="shared" si="19"/>
        <v>0</v>
      </c>
      <c r="V73" s="12">
        <f>Table1[[#This Row],[Enrolment S.Y. 2025-2026 ]]*8</f>
        <v>5024</v>
      </c>
      <c r="W73" s="12"/>
      <c r="X73" s="10"/>
      <c r="Y73" s="12"/>
      <c r="Z73" s="12">
        <f t="shared" si="20"/>
        <v>5024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628</v>
      </c>
      <c r="D74" s="12">
        <f>Table1[[#This Row],[Enrolment S.Y. 2025-2026 ]]*8</f>
        <v>5024</v>
      </c>
      <c r="E74" s="12">
        <v>736</v>
      </c>
      <c r="F74" s="10">
        <v>2025</v>
      </c>
      <c r="G74" s="12" t="s">
        <v>70</v>
      </c>
      <c r="H74" s="12">
        <f t="shared" si="2"/>
        <v>4288</v>
      </c>
      <c r="I74" s="12">
        <f t="shared" si="3"/>
        <v>0</v>
      </c>
      <c r="J74" s="12">
        <f>Table1[[#This Row],[Enrolment S.Y. 2025-2026 ]]*8</f>
        <v>5024</v>
      </c>
      <c r="K74" s="12"/>
      <c r="L74" s="10"/>
      <c r="M74" s="12"/>
      <c r="N74" s="12">
        <f t="shared" si="16"/>
        <v>5024</v>
      </c>
      <c r="O74" s="12">
        <f t="shared" si="17"/>
        <v>0</v>
      </c>
      <c r="P74" s="12">
        <f>Table1[[#This Row],[Enrolment S.Y. 2025-2026 ]]*8</f>
        <v>5024</v>
      </c>
      <c r="Q74" s="12"/>
      <c r="R74" s="10"/>
      <c r="S74" s="12"/>
      <c r="T74" s="12">
        <f t="shared" si="18"/>
        <v>5024</v>
      </c>
      <c r="U74" s="12">
        <f t="shared" si="19"/>
        <v>0</v>
      </c>
      <c r="V74" s="12">
        <f>Table1[[#This Row],[Enrolment S.Y. 2025-2026 ]]*8</f>
        <v>5024</v>
      </c>
      <c r="W74" s="12"/>
      <c r="X74" s="10"/>
      <c r="Y74" s="12"/>
      <c r="Z74" s="12">
        <f t="shared" si="20"/>
        <v>5024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628</v>
      </c>
      <c r="D75" s="12">
        <f>Table1[[#This Row],[Enrolment S.Y. 2025-2026 ]]*8</f>
        <v>5024</v>
      </c>
      <c r="E75" s="12">
        <v>736</v>
      </c>
      <c r="F75" s="10">
        <v>2025</v>
      </c>
      <c r="G75" s="12" t="s">
        <v>70</v>
      </c>
      <c r="H75" s="12">
        <f t="shared" si="2"/>
        <v>4288</v>
      </c>
      <c r="I75" s="12">
        <f t="shared" si="3"/>
        <v>0</v>
      </c>
      <c r="J75" s="12">
        <f>Table1[[#This Row],[Enrolment S.Y. 2025-2026 ]]*8</f>
        <v>5024</v>
      </c>
      <c r="K75" s="12"/>
      <c r="L75" s="10"/>
      <c r="M75" s="12"/>
      <c r="N75" s="12">
        <f t="shared" si="16"/>
        <v>5024</v>
      </c>
      <c r="O75" s="12">
        <f t="shared" si="17"/>
        <v>0</v>
      </c>
      <c r="P75" s="12">
        <f>Table1[[#This Row],[Enrolment S.Y. 2025-2026 ]]*8</f>
        <v>5024</v>
      </c>
      <c r="Q75" s="12"/>
      <c r="R75" s="10"/>
      <c r="S75" s="12"/>
      <c r="T75" s="12">
        <f t="shared" si="18"/>
        <v>5024</v>
      </c>
      <c r="U75" s="12">
        <f t="shared" si="19"/>
        <v>0</v>
      </c>
      <c r="V75" s="12">
        <f>Table1[[#This Row],[Enrolment S.Y. 2025-2026 ]]*8</f>
        <v>5024</v>
      </c>
      <c r="W75" s="12"/>
      <c r="X75" s="10"/>
      <c r="Y75" s="12"/>
      <c r="Z75" s="12">
        <f t="shared" si="20"/>
        <v>5024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628</v>
      </c>
      <c r="D76" s="12">
        <f>Table1[[#This Row],[Enrolment S.Y. 2025-2026 ]]*8</f>
        <v>5024</v>
      </c>
      <c r="E76" s="12">
        <v>736</v>
      </c>
      <c r="F76" s="10">
        <v>2025</v>
      </c>
      <c r="G76" s="12" t="s">
        <v>70</v>
      </c>
      <c r="H76" s="12">
        <f t="shared" si="2"/>
        <v>4288</v>
      </c>
      <c r="I76" s="12">
        <f t="shared" si="3"/>
        <v>0</v>
      </c>
      <c r="J76" s="12">
        <f>Table1[[#This Row],[Enrolment S.Y. 2025-2026 ]]*8</f>
        <v>5024</v>
      </c>
      <c r="K76" s="12"/>
      <c r="L76" s="10"/>
      <c r="M76" s="12"/>
      <c r="N76" s="12">
        <f t="shared" si="16"/>
        <v>5024</v>
      </c>
      <c r="O76" s="12">
        <f t="shared" si="17"/>
        <v>0</v>
      </c>
      <c r="P76" s="12">
        <f>Table1[[#This Row],[Enrolment S.Y. 2025-2026 ]]*8</f>
        <v>5024</v>
      </c>
      <c r="Q76" s="12"/>
      <c r="R76" s="10"/>
      <c r="S76" s="12"/>
      <c r="T76" s="12">
        <f t="shared" si="18"/>
        <v>5024</v>
      </c>
      <c r="U76" s="12">
        <f t="shared" si="19"/>
        <v>0</v>
      </c>
      <c r="V76" s="12">
        <f>Table1[[#This Row],[Enrolment S.Y. 2025-2026 ]]*8</f>
        <v>5024</v>
      </c>
      <c r="W76" s="12"/>
      <c r="X76" s="10"/>
      <c r="Y76" s="12"/>
      <c r="Z76" s="12">
        <f t="shared" si="20"/>
        <v>5024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628</v>
      </c>
      <c r="D77" s="12">
        <f>Table1[[#This Row],[Enrolment S.Y. 2025-2026 ]]*8</f>
        <v>5024</v>
      </c>
      <c r="E77" s="12">
        <v>736</v>
      </c>
      <c r="F77" s="10">
        <v>2025</v>
      </c>
      <c r="G77" s="12" t="s">
        <v>70</v>
      </c>
      <c r="H77" s="12">
        <f t="shared" si="2"/>
        <v>4288</v>
      </c>
      <c r="I77" s="12">
        <f t="shared" si="3"/>
        <v>0</v>
      </c>
      <c r="J77" s="12">
        <f>Table1[[#This Row],[Enrolment S.Y. 2025-2026 ]]*8</f>
        <v>5024</v>
      </c>
      <c r="K77" s="12"/>
      <c r="L77" s="10"/>
      <c r="M77" s="12"/>
      <c r="N77" s="12">
        <f t="shared" si="16"/>
        <v>5024</v>
      </c>
      <c r="O77" s="12">
        <f t="shared" si="17"/>
        <v>0</v>
      </c>
      <c r="P77" s="12">
        <f>Table1[[#This Row],[Enrolment S.Y. 2025-2026 ]]*8</f>
        <v>5024</v>
      </c>
      <c r="Q77" s="12"/>
      <c r="R77" s="10"/>
      <c r="S77" s="12"/>
      <c r="T77" s="12">
        <f t="shared" si="18"/>
        <v>5024</v>
      </c>
      <c r="U77" s="12">
        <f t="shared" si="19"/>
        <v>0</v>
      </c>
      <c r="V77" s="12">
        <f>Table1[[#This Row],[Enrolment S.Y. 2025-2026 ]]*8</f>
        <v>5024</v>
      </c>
      <c r="W77" s="12"/>
      <c r="X77" s="10"/>
      <c r="Y77" s="12"/>
      <c r="Z77" s="12">
        <f t="shared" si="20"/>
        <v>5024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628</v>
      </c>
      <c r="D78" s="12">
        <f>Table1[[#This Row],[Enrolment S.Y. 2025-2026 ]]*8</f>
        <v>5024</v>
      </c>
      <c r="E78" s="12">
        <v>736</v>
      </c>
      <c r="F78" s="10">
        <v>2025</v>
      </c>
      <c r="G78" s="12" t="s">
        <v>70</v>
      </c>
      <c r="H78" s="12">
        <f t="shared" ref="H78:H127" si="22">IF((D78-E78)&lt;0,0,(D78-E78))</f>
        <v>4288</v>
      </c>
      <c r="I78" s="12">
        <f t="shared" ref="I78:I127" si="23">IF((E78-D78)&lt;0,0,(E78-D78))</f>
        <v>0</v>
      </c>
      <c r="J78" s="12">
        <f>Table1[[#This Row],[Enrolment S.Y. 2025-2026 ]]*8</f>
        <v>5024</v>
      </c>
      <c r="K78" s="12"/>
      <c r="L78" s="10"/>
      <c r="M78" s="12"/>
      <c r="N78" s="12">
        <f t="shared" si="16"/>
        <v>5024</v>
      </c>
      <c r="O78" s="12">
        <f t="shared" si="17"/>
        <v>0</v>
      </c>
      <c r="P78" s="12">
        <f>Table1[[#This Row],[Enrolment S.Y. 2025-2026 ]]*8</f>
        <v>5024</v>
      </c>
      <c r="Q78" s="12"/>
      <c r="R78" s="10"/>
      <c r="S78" s="12"/>
      <c r="T78" s="12">
        <f t="shared" si="18"/>
        <v>5024</v>
      </c>
      <c r="U78" s="12">
        <f t="shared" si="19"/>
        <v>0</v>
      </c>
      <c r="V78" s="12">
        <f>Table1[[#This Row],[Enrolment S.Y. 2025-2026 ]]*8</f>
        <v>5024</v>
      </c>
      <c r="W78" s="12"/>
      <c r="X78" s="10"/>
      <c r="Y78" s="12"/>
      <c r="Z78" s="12">
        <f t="shared" si="20"/>
        <v>5024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628</v>
      </c>
      <c r="D79" s="12">
        <f>Table1[[#This Row],[Enrolment S.Y. 2025-2026 ]]*8</f>
        <v>5024</v>
      </c>
      <c r="E79" s="12">
        <v>736</v>
      </c>
      <c r="F79" s="10">
        <v>2025</v>
      </c>
      <c r="G79" s="12" t="s">
        <v>70</v>
      </c>
      <c r="H79" s="12">
        <f t="shared" si="22"/>
        <v>4288</v>
      </c>
      <c r="I79" s="12">
        <f t="shared" si="23"/>
        <v>0</v>
      </c>
      <c r="J79" s="12">
        <f>Table1[[#This Row],[Enrolment S.Y. 2025-2026 ]]*8</f>
        <v>5024</v>
      </c>
      <c r="K79" s="12"/>
      <c r="L79" s="10"/>
      <c r="M79" s="12"/>
      <c r="N79" s="12">
        <f t="shared" si="16"/>
        <v>5024</v>
      </c>
      <c r="O79" s="12">
        <f t="shared" si="17"/>
        <v>0</v>
      </c>
      <c r="P79" s="12">
        <f>Table1[[#This Row],[Enrolment S.Y. 2025-2026 ]]*8</f>
        <v>5024</v>
      </c>
      <c r="Q79" s="12"/>
      <c r="R79" s="10"/>
      <c r="S79" s="12"/>
      <c r="T79" s="12">
        <f t="shared" si="18"/>
        <v>5024</v>
      </c>
      <c r="U79" s="12">
        <f t="shared" si="19"/>
        <v>0</v>
      </c>
      <c r="V79" s="12">
        <f>Table1[[#This Row],[Enrolment S.Y. 2025-2026 ]]*8</f>
        <v>5024</v>
      </c>
      <c r="W79" s="12"/>
      <c r="X79" s="10"/>
      <c r="Y79" s="12"/>
      <c r="Z79" s="12">
        <f t="shared" si="20"/>
        <v>5024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628</v>
      </c>
      <c r="D80" s="12">
        <f>Table1[[#This Row],[Enrolment S.Y. 2025-2026 ]]*8</f>
        <v>5024</v>
      </c>
      <c r="E80" s="12">
        <v>736</v>
      </c>
      <c r="F80" s="10">
        <v>2025</v>
      </c>
      <c r="G80" s="12" t="s">
        <v>70</v>
      </c>
      <c r="H80" s="12">
        <f t="shared" si="22"/>
        <v>4288</v>
      </c>
      <c r="I80" s="12">
        <f t="shared" si="23"/>
        <v>0</v>
      </c>
      <c r="J80" s="12">
        <f>Table1[[#This Row],[Enrolment S.Y. 2025-2026 ]]*8</f>
        <v>5024</v>
      </c>
      <c r="K80" s="12"/>
      <c r="L80" s="10"/>
      <c r="M80" s="12"/>
      <c r="N80" s="12">
        <f t="shared" si="16"/>
        <v>5024</v>
      </c>
      <c r="O80" s="12">
        <f t="shared" si="17"/>
        <v>0</v>
      </c>
      <c r="P80" s="12">
        <f>Table1[[#This Row],[Enrolment S.Y. 2025-2026 ]]*8</f>
        <v>5024</v>
      </c>
      <c r="Q80" s="12"/>
      <c r="R80" s="10"/>
      <c r="S80" s="12"/>
      <c r="T80" s="12">
        <f t="shared" si="18"/>
        <v>5024</v>
      </c>
      <c r="U80" s="12">
        <f t="shared" si="19"/>
        <v>0</v>
      </c>
      <c r="V80" s="12">
        <f>Table1[[#This Row],[Enrolment S.Y. 2025-2026 ]]*8</f>
        <v>5024</v>
      </c>
      <c r="W80" s="12"/>
      <c r="X80" s="10"/>
      <c r="Y80" s="12"/>
      <c r="Z80" s="12">
        <f t="shared" si="20"/>
        <v>5024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628</v>
      </c>
      <c r="D81" s="12">
        <f>Table1[[#This Row],[Enrolment S.Y. 2025-2026 ]]*8</f>
        <v>5024</v>
      </c>
      <c r="E81" s="12">
        <v>736</v>
      </c>
      <c r="F81" s="10">
        <v>2025</v>
      </c>
      <c r="G81" s="12" t="s">
        <v>70</v>
      </c>
      <c r="H81" s="12">
        <f t="shared" si="22"/>
        <v>4288</v>
      </c>
      <c r="I81" s="12">
        <f t="shared" si="23"/>
        <v>0</v>
      </c>
      <c r="J81" s="12">
        <f>Table1[[#This Row],[Enrolment S.Y. 2025-2026 ]]*8</f>
        <v>5024</v>
      </c>
      <c r="K81" s="12"/>
      <c r="L81" s="10"/>
      <c r="M81" s="12"/>
      <c r="N81" s="12">
        <f t="shared" si="16"/>
        <v>5024</v>
      </c>
      <c r="O81" s="12">
        <f t="shared" si="17"/>
        <v>0</v>
      </c>
      <c r="P81" s="12">
        <f>Table1[[#This Row],[Enrolment S.Y. 2025-2026 ]]*8</f>
        <v>5024</v>
      </c>
      <c r="Q81" s="12"/>
      <c r="R81" s="10"/>
      <c r="S81" s="12"/>
      <c r="T81" s="12">
        <f t="shared" si="18"/>
        <v>5024</v>
      </c>
      <c r="U81" s="12">
        <f t="shared" si="19"/>
        <v>0</v>
      </c>
      <c r="V81" s="12">
        <f>Table1[[#This Row],[Enrolment S.Y. 2025-2026 ]]*8</f>
        <v>5024</v>
      </c>
      <c r="W81" s="12"/>
      <c r="X81" s="10"/>
      <c r="Y81" s="12"/>
      <c r="Z81" s="12">
        <f t="shared" si="20"/>
        <v>5024</v>
      </c>
      <c r="AA81" s="12">
        <f t="shared" si="21"/>
        <v>0</v>
      </c>
    </row>
    <row r="82" spans="1:27" s="7" customFormat="1" ht="20.2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  <protectedRange sqref="C73" name="Textbooks_1"/>
    <protectedRange sqref="C80:C81" name="Textbooks_2"/>
    <protectedRange sqref="C77" name="Textbooks_3"/>
    <protectedRange sqref="C76" name="Textbooks_4"/>
    <protectedRange sqref="C75" name="Textbooks_5"/>
    <protectedRange sqref="C74" name="Textbooks_6"/>
    <protectedRange sqref="C78:C79" name="Textbooks_7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D132" zoomScale="55" zoomScaleNormal="55" workbookViewId="0">
      <selection activeCell="J141" sqref="J141:J17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40</v>
      </c>
      <c r="E1" s="42"/>
      <c r="F1" s="42"/>
      <c r="G1" s="42"/>
      <c r="H1" s="42"/>
      <c r="I1" s="42"/>
      <c r="J1" s="43" t="s">
        <v>41</v>
      </c>
      <c r="K1" s="43"/>
      <c r="L1" s="43"/>
      <c r="M1" s="43"/>
      <c r="N1" s="43"/>
      <c r="O1" s="43"/>
      <c r="P1" s="44" t="s">
        <v>42</v>
      </c>
      <c r="Q1" s="44"/>
      <c r="R1" s="44"/>
      <c r="S1" s="44"/>
      <c r="T1" s="44"/>
      <c r="U1" s="44"/>
      <c r="V1" s="45" t="s">
        <v>43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71</v>
      </c>
      <c r="E2" s="20" t="s">
        <v>72</v>
      </c>
      <c r="F2" s="21" t="s">
        <v>73</v>
      </c>
      <c r="G2" s="24" t="s">
        <v>74</v>
      </c>
      <c r="H2" s="17" t="s">
        <v>75</v>
      </c>
      <c r="I2" s="24" t="s">
        <v>76</v>
      </c>
      <c r="J2" s="22" t="s">
        <v>77</v>
      </c>
      <c r="K2" s="22" t="s">
        <v>78</v>
      </c>
      <c r="L2" s="23" t="s">
        <v>79</v>
      </c>
      <c r="M2" s="40" t="s">
        <v>80</v>
      </c>
      <c r="N2" s="40" t="s">
        <v>81</v>
      </c>
      <c r="O2" s="22" t="s">
        <v>82</v>
      </c>
      <c r="P2" s="24" t="s">
        <v>83</v>
      </c>
      <c r="Q2" s="24" t="s">
        <v>84</v>
      </c>
      <c r="R2" s="25" t="s">
        <v>85</v>
      </c>
      <c r="S2" s="17" t="s">
        <v>86</v>
      </c>
      <c r="T2" s="17" t="s">
        <v>87</v>
      </c>
      <c r="U2" s="24" t="s">
        <v>88</v>
      </c>
      <c r="V2" s="26" t="s">
        <v>89</v>
      </c>
      <c r="W2" s="26" t="s">
        <v>90</v>
      </c>
      <c r="X2" s="27" t="s">
        <v>91</v>
      </c>
      <c r="Y2" s="41" t="s">
        <v>92</v>
      </c>
      <c r="Z2" s="41" t="s">
        <v>93</v>
      </c>
      <c r="AA2" s="26" t="s">
        <v>94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69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69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69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7">
        <v>4</v>
      </c>
      <c r="B37" s="9" t="s">
        <v>95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96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7">
        <v>4</v>
      </c>
      <c r="B40" s="9" t="s">
        <v>97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98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7">
        <v>5</v>
      </c>
      <c r="B49" s="9" t="s">
        <v>95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96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7">
        <v>5</v>
      </c>
      <c r="B52" s="9" t="s">
        <v>97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98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7">
        <v>6</v>
      </c>
      <c r="B61" s="9" t="s">
        <v>95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96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7">
        <v>6</v>
      </c>
      <c r="B64" s="9" t="s">
        <v>97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98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2.25" customHeight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>
      <c r="A73" s="38">
        <v>7</v>
      </c>
      <c r="B73" s="11" t="s">
        <v>95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>
      <c r="A74" s="10">
        <v>7</v>
      </c>
      <c r="B74" s="11" t="s">
        <v>96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>
      <c r="A76" s="38">
        <v>7</v>
      </c>
      <c r="B76" s="11" t="s">
        <v>97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>
      <c r="A77" s="10">
        <v>7</v>
      </c>
      <c r="B77" s="11" t="s">
        <v>98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2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>
      <c r="A85" s="38">
        <v>8</v>
      </c>
      <c r="B85" s="11" t="s">
        <v>95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>
      <c r="A86" s="10">
        <v>8</v>
      </c>
      <c r="B86" s="11" t="s">
        <v>96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>
      <c r="A88" s="38">
        <v>8</v>
      </c>
      <c r="B88" s="11" t="s">
        <v>97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>
      <c r="A89" s="10">
        <v>8</v>
      </c>
      <c r="B89" s="11" t="s">
        <v>98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419</v>
      </c>
      <c r="D91" s="12">
        <f>Table14[[#This Row],[Enrolment S.Y. 2025-2026 ]]*8</f>
        <v>3352</v>
      </c>
      <c r="E91" s="12"/>
      <c r="F91" s="10"/>
      <c r="G91" s="12"/>
      <c r="H91" s="12">
        <f t="shared" si="22"/>
        <v>3352</v>
      </c>
      <c r="I91" s="12">
        <f t="shared" si="23"/>
        <v>0</v>
      </c>
      <c r="J91" s="12">
        <f>Table14[[#This Row],[Enrolment S.Y. 2025-2026 ]]*8</f>
        <v>3352</v>
      </c>
      <c r="K91" s="12"/>
      <c r="L91" s="10"/>
      <c r="M91" s="12"/>
      <c r="N91" s="12">
        <f t="shared" si="20"/>
        <v>3352</v>
      </c>
      <c r="O91" s="12">
        <f t="shared" si="21"/>
        <v>0</v>
      </c>
      <c r="P91" s="12">
        <f>Table14[[#This Row],[Enrolment S.Y. 2025-2026 ]]*8</f>
        <v>3352</v>
      </c>
      <c r="Q91" s="12"/>
      <c r="R91" s="10"/>
      <c r="S91" s="12"/>
      <c r="T91" s="12">
        <f t="shared" si="16"/>
        <v>3352</v>
      </c>
      <c r="U91" s="12">
        <f t="shared" si="17"/>
        <v>0</v>
      </c>
      <c r="V91" s="12">
        <f>Table14[[#This Row],[Enrolment S.Y. 2025-2026 ]]*8</f>
        <v>3352</v>
      </c>
      <c r="W91" s="12">
        <v>1148</v>
      </c>
      <c r="X91" s="10">
        <v>2025</v>
      </c>
      <c r="Y91" s="12" t="s">
        <v>70</v>
      </c>
      <c r="Z91" s="12">
        <f t="shared" si="18"/>
        <v>2204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419</v>
      </c>
      <c r="D92" s="12">
        <f>Table14[[#This Row],[Enrolment S.Y. 2025-2026 ]]*8</f>
        <v>3352</v>
      </c>
      <c r="E92" s="12">
        <v>888</v>
      </c>
      <c r="F92" s="10">
        <v>2025</v>
      </c>
      <c r="G92" s="12" t="s">
        <v>70</v>
      </c>
      <c r="H92" s="12">
        <f t="shared" si="22"/>
        <v>2464</v>
      </c>
      <c r="I92" s="12">
        <f t="shared" si="23"/>
        <v>0</v>
      </c>
      <c r="J92" s="12">
        <f>Table14[[#This Row],[Enrolment S.Y. 2025-2026 ]]*8</f>
        <v>3352</v>
      </c>
      <c r="K92" s="12">
        <v>738</v>
      </c>
      <c r="L92" s="10">
        <v>2025</v>
      </c>
      <c r="M92" s="12" t="s">
        <v>20</v>
      </c>
      <c r="N92" s="12">
        <f t="shared" si="20"/>
        <v>2614</v>
      </c>
      <c r="O92" s="12">
        <f t="shared" si="21"/>
        <v>0</v>
      </c>
      <c r="P92" s="12">
        <f>Table14[[#This Row],[Enrolment S.Y. 2025-2026 ]]*8</f>
        <v>3352</v>
      </c>
      <c r="Q92" s="12">
        <v>410</v>
      </c>
      <c r="R92" s="10">
        <v>2025</v>
      </c>
      <c r="S92" s="12" t="s">
        <v>70</v>
      </c>
      <c r="T92" s="12">
        <f t="shared" si="16"/>
        <v>2942</v>
      </c>
      <c r="U92" s="12">
        <f t="shared" si="17"/>
        <v>0</v>
      </c>
      <c r="V92" s="12">
        <f>Table14[[#This Row],[Enrolment S.Y. 2025-2026 ]]*8</f>
        <v>3352</v>
      </c>
      <c r="W92" s="12">
        <v>574</v>
      </c>
      <c r="X92" s="10">
        <v>2025</v>
      </c>
      <c r="Y92" s="12" t="s">
        <v>70</v>
      </c>
      <c r="Z92" s="12">
        <f t="shared" si="18"/>
        <v>2778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419</v>
      </c>
      <c r="D93" s="12">
        <f>Table14[[#This Row],[Enrolment S.Y. 2025-2026 ]]*8</f>
        <v>3352</v>
      </c>
      <c r="E93" s="12">
        <v>3108</v>
      </c>
      <c r="F93" s="10">
        <v>2025</v>
      </c>
      <c r="G93" s="12" t="s">
        <v>70</v>
      </c>
      <c r="H93" s="12">
        <f t="shared" si="22"/>
        <v>244</v>
      </c>
      <c r="I93" s="12">
        <f t="shared" si="23"/>
        <v>0</v>
      </c>
      <c r="J93" s="12">
        <f>Table14[[#This Row],[Enrolment S.Y. 2025-2026 ]]*8</f>
        <v>3352</v>
      </c>
      <c r="K93" s="12">
        <v>820</v>
      </c>
      <c r="L93" s="10">
        <v>2025</v>
      </c>
      <c r="M93" s="12" t="s">
        <v>20</v>
      </c>
      <c r="N93" s="12">
        <f t="shared" si="20"/>
        <v>2532</v>
      </c>
      <c r="O93" s="12">
        <f t="shared" si="21"/>
        <v>0</v>
      </c>
      <c r="P93" s="12">
        <f>Table14[[#This Row],[Enrolment S.Y. 2025-2026 ]]*8</f>
        <v>3352</v>
      </c>
      <c r="Q93" s="12"/>
      <c r="R93" s="10"/>
      <c r="S93" s="12"/>
      <c r="T93" s="12">
        <f t="shared" si="16"/>
        <v>3352</v>
      </c>
      <c r="U93" s="12">
        <f t="shared" si="17"/>
        <v>0</v>
      </c>
      <c r="V93" s="12">
        <f>Table14[[#This Row],[Enrolment S.Y. 2025-2026 ]]*8</f>
        <v>3352</v>
      </c>
      <c r="W93" s="12"/>
      <c r="X93" s="10"/>
      <c r="Y93" s="12"/>
      <c r="Z93" s="12">
        <f t="shared" si="18"/>
        <v>3352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419</v>
      </c>
      <c r="D94" s="12">
        <f>Table14[[#This Row],[Enrolment S.Y. 2025-2026 ]]*8</f>
        <v>3352</v>
      </c>
      <c r="E94" s="12"/>
      <c r="F94" s="10"/>
      <c r="G94" s="12"/>
      <c r="H94" s="12">
        <f t="shared" si="22"/>
        <v>3352</v>
      </c>
      <c r="I94" s="12">
        <f t="shared" si="23"/>
        <v>0</v>
      </c>
      <c r="J94" s="12">
        <f>Table14[[#This Row],[Enrolment S.Y. 2025-2026 ]]*8</f>
        <v>3352</v>
      </c>
      <c r="K94" s="12"/>
      <c r="L94" s="10"/>
      <c r="M94" s="12"/>
      <c r="N94" s="12">
        <f t="shared" si="20"/>
        <v>3352</v>
      </c>
      <c r="O94" s="12">
        <f t="shared" si="21"/>
        <v>0</v>
      </c>
      <c r="P94" s="12">
        <f>Table14[[#This Row],[Enrolment S.Y. 2025-2026 ]]*8</f>
        <v>3352</v>
      </c>
      <c r="Q94" s="12">
        <v>410</v>
      </c>
      <c r="R94" s="10">
        <v>2025</v>
      </c>
      <c r="S94" s="12" t="s">
        <v>70</v>
      </c>
      <c r="T94" s="12">
        <f t="shared" si="16"/>
        <v>2942</v>
      </c>
      <c r="U94" s="12">
        <f t="shared" si="17"/>
        <v>0</v>
      </c>
      <c r="V94" s="12">
        <f>Table14[[#This Row],[Enrolment S.Y. 2025-2026 ]]*8</f>
        <v>3352</v>
      </c>
      <c r="W94" s="12">
        <v>656</v>
      </c>
      <c r="X94" s="10">
        <v>2025</v>
      </c>
      <c r="Y94" s="12" t="s">
        <v>70</v>
      </c>
      <c r="Z94" s="12">
        <f t="shared" si="18"/>
        <v>2696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419</v>
      </c>
      <c r="D95" s="12">
        <f>Table14[[#This Row],[Enrolment S.Y. 2025-2026 ]]*8</f>
        <v>3352</v>
      </c>
      <c r="E95" s="12"/>
      <c r="F95" s="10"/>
      <c r="G95" s="12"/>
      <c r="H95" s="12">
        <f t="shared" si="22"/>
        <v>3352</v>
      </c>
      <c r="I95" s="12">
        <f t="shared" si="23"/>
        <v>0</v>
      </c>
      <c r="J95" s="12">
        <f>Table14[[#This Row],[Enrolment S.Y. 2025-2026 ]]*8</f>
        <v>3352</v>
      </c>
      <c r="K95" s="12"/>
      <c r="L95" s="10"/>
      <c r="M95" s="12"/>
      <c r="N95" s="12">
        <f t="shared" si="20"/>
        <v>3352</v>
      </c>
      <c r="O95" s="12">
        <f t="shared" si="21"/>
        <v>0</v>
      </c>
      <c r="P95" s="12">
        <f>Table14[[#This Row],[Enrolment S.Y. 2025-2026 ]]*8</f>
        <v>3352</v>
      </c>
      <c r="Q95" s="12">
        <v>574</v>
      </c>
      <c r="R95" s="10">
        <v>2025</v>
      </c>
      <c r="S95" s="12" t="s">
        <v>70</v>
      </c>
      <c r="T95" s="12">
        <f t="shared" si="16"/>
        <v>2778</v>
      </c>
      <c r="U95" s="12">
        <f t="shared" si="17"/>
        <v>0</v>
      </c>
      <c r="V95" s="12">
        <f>Table14[[#This Row],[Enrolment S.Y. 2025-2026 ]]*8</f>
        <v>3352</v>
      </c>
      <c r="W95" s="12">
        <v>328</v>
      </c>
      <c r="X95" s="10">
        <v>2025</v>
      </c>
      <c r="Y95" s="12" t="s">
        <v>70</v>
      </c>
      <c r="Z95" s="12">
        <f t="shared" si="18"/>
        <v>3024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419</v>
      </c>
      <c r="D96" s="12">
        <f>Table14[[#This Row],[Enrolment S.Y. 2025-2026 ]]*8</f>
        <v>3352</v>
      </c>
      <c r="E96" s="12"/>
      <c r="F96" s="10"/>
      <c r="G96" s="12"/>
      <c r="H96" s="12">
        <f t="shared" si="22"/>
        <v>3352</v>
      </c>
      <c r="I96" s="12">
        <f t="shared" si="23"/>
        <v>0</v>
      </c>
      <c r="J96" s="12">
        <f>Table14[[#This Row],[Enrolment S.Y. 2025-2026 ]]*8</f>
        <v>3352</v>
      </c>
      <c r="K96" s="12"/>
      <c r="L96" s="10"/>
      <c r="M96" s="12"/>
      <c r="N96" s="12">
        <f t="shared" si="20"/>
        <v>3352</v>
      </c>
      <c r="O96" s="12">
        <f t="shared" si="21"/>
        <v>0</v>
      </c>
      <c r="P96" s="12">
        <f>Table14[[#This Row],[Enrolment S.Y. 2025-2026 ]]*8</f>
        <v>3352</v>
      </c>
      <c r="Q96" s="12">
        <v>492</v>
      </c>
      <c r="R96" s="10">
        <v>2025</v>
      </c>
      <c r="S96" s="12" t="s">
        <v>70</v>
      </c>
      <c r="T96" s="12">
        <f t="shared" si="16"/>
        <v>2860</v>
      </c>
      <c r="U96" s="12">
        <f t="shared" si="17"/>
        <v>0</v>
      </c>
      <c r="V96" s="12">
        <f>Table14[[#This Row],[Enrolment S.Y. 2025-2026 ]]*8</f>
        <v>3352</v>
      </c>
      <c r="W96" s="12">
        <v>836</v>
      </c>
      <c r="X96" s="10">
        <v>2025</v>
      </c>
      <c r="Y96" s="12" t="s">
        <v>70</v>
      </c>
      <c r="Z96" s="12">
        <f t="shared" si="18"/>
        <v>2516</v>
      </c>
      <c r="AA96" s="12">
        <f t="shared" si="19"/>
        <v>0</v>
      </c>
    </row>
    <row r="97" spans="1:27" ht="20.25">
      <c r="A97" s="38">
        <v>9</v>
      </c>
      <c r="B97" s="11" t="s">
        <v>95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9</v>
      </c>
      <c r="B98" s="11" t="s">
        <v>96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>
      <c r="A100" s="38">
        <v>9</v>
      </c>
      <c r="B100" s="11" t="s">
        <v>97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98</v>
      </c>
      <c r="C101" s="10">
        <v>419</v>
      </c>
      <c r="D101" s="12">
        <f>Table14[[#This Row],[Enrolment S.Y. 2025-2026 ]]*8</f>
        <v>3352</v>
      </c>
      <c r="E101" s="12"/>
      <c r="F101" s="10"/>
      <c r="G101" s="12"/>
      <c r="H101" s="12">
        <f t="shared" si="22"/>
        <v>3352</v>
      </c>
      <c r="I101" s="12">
        <f t="shared" si="23"/>
        <v>0</v>
      </c>
      <c r="J101" s="12">
        <f>Table14[[#This Row],[Enrolment S.Y. 2025-2026 ]]*8</f>
        <v>3352</v>
      </c>
      <c r="K101" s="12"/>
      <c r="L101" s="10"/>
      <c r="M101" s="12"/>
      <c r="N101" s="12">
        <f t="shared" si="26"/>
        <v>3352</v>
      </c>
      <c r="O101" s="12">
        <f t="shared" si="27"/>
        <v>0</v>
      </c>
      <c r="P101" s="12">
        <f>Table14[[#This Row],[Enrolment S.Y. 2025-2026 ]]*8</f>
        <v>3352</v>
      </c>
      <c r="Q101" s="12">
        <v>246</v>
      </c>
      <c r="R101" s="10">
        <v>2025</v>
      </c>
      <c r="S101" s="12" t="s">
        <v>70</v>
      </c>
      <c r="T101" s="12">
        <f t="shared" si="16"/>
        <v>3106</v>
      </c>
      <c r="U101" s="12">
        <f t="shared" si="17"/>
        <v>0</v>
      </c>
      <c r="V101" s="12">
        <f>Table14[[#This Row],[Enrolment S.Y. 2025-2026 ]]*8</f>
        <v>3352</v>
      </c>
      <c r="W101" s="12">
        <v>410</v>
      </c>
      <c r="X101" s="10">
        <v>2025</v>
      </c>
      <c r="Y101" s="12" t="s">
        <v>70</v>
      </c>
      <c r="Z101" s="12">
        <f t="shared" si="18"/>
        <v>2942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479</v>
      </c>
      <c r="D103" s="12">
        <f>Table14[[#This Row],[Enrolment S.Y. 2025-2026 ]]*8</f>
        <v>3832</v>
      </c>
      <c r="E103" s="12">
        <v>281</v>
      </c>
      <c r="F103" s="10">
        <v>2025</v>
      </c>
      <c r="G103" s="12" t="s">
        <v>70</v>
      </c>
      <c r="H103" s="12">
        <f t="shared" si="22"/>
        <v>3551</v>
      </c>
      <c r="I103" s="12">
        <f t="shared" si="23"/>
        <v>0</v>
      </c>
      <c r="J103" s="12">
        <f>Table14[[#This Row],[Enrolment S.Y. 2025-2026 ]]*8</f>
        <v>3832</v>
      </c>
      <c r="K103" s="12">
        <v>784</v>
      </c>
      <c r="L103" s="10">
        <v>2025</v>
      </c>
      <c r="M103" s="12" t="s">
        <v>70</v>
      </c>
      <c r="N103" s="12">
        <f t="shared" si="20"/>
        <v>3048</v>
      </c>
      <c r="O103" s="12">
        <f t="shared" si="21"/>
        <v>0</v>
      </c>
      <c r="P103" s="12">
        <f>Table14[[#This Row],[Enrolment S.Y. 2025-2026 ]]*8</f>
        <v>3832</v>
      </c>
      <c r="Q103" s="12">
        <v>490</v>
      </c>
      <c r="R103" s="10">
        <v>2025</v>
      </c>
      <c r="S103" s="12" t="s">
        <v>70</v>
      </c>
      <c r="T103" s="12">
        <f t="shared" si="16"/>
        <v>3342</v>
      </c>
      <c r="U103" s="12">
        <f t="shared" si="17"/>
        <v>0</v>
      </c>
      <c r="V103" s="12">
        <f>Table14[[#This Row],[Enrolment S.Y. 2025-2026 ]]*8</f>
        <v>3832</v>
      </c>
      <c r="W103" s="12">
        <v>294</v>
      </c>
      <c r="X103" s="10">
        <v>2025</v>
      </c>
      <c r="Y103" s="12" t="s">
        <v>70</v>
      </c>
      <c r="Z103" s="12">
        <f t="shared" si="18"/>
        <v>3538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479</v>
      </c>
      <c r="D104" s="12">
        <f>Table14[[#This Row],[Enrolment S.Y. 2025-2026 ]]*8</f>
        <v>3832</v>
      </c>
      <c r="E104" s="12">
        <v>190</v>
      </c>
      <c r="F104" s="10">
        <v>2025</v>
      </c>
      <c r="G104" s="12" t="s">
        <v>70</v>
      </c>
      <c r="H104" s="12">
        <f t="shared" si="22"/>
        <v>3642</v>
      </c>
      <c r="I104" s="12">
        <f t="shared" si="23"/>
        <v>0</v>
      </c>
      <c r="J104" s="12">
        <f>Table14[[#This Row],[Enrolment S.Y. 2025-2026 ]]*8</f>
        <v>3832</v>
      </c>
      <c r="K104" s="12"/>
      <c r="L104" s="10"/>
      <c r="M104" s="12"/>
      <c r="N104" s="12">
        <f t="shared" si="20"/>
        <v>3832</v>
      </c>
      <c r="O104" s="12">
        <f t="shared" si="21"/>
        <v>0</v>
      </c>
      <c r="P104" s="12">
        <f>Table14[[#This Row],[Enrolment S.Y. 2025-2026 ]]*8</f>
        <v>3832</v>
      </c>
      <c r="Q104" s="12">
        <v>686</v>
      </c>
      <c r="R104" s="10">
        <v>2025</v>
      </c>
      <c r="S104" s="12" t="s">
        <v>70</v>
      </c>
      <c r="T104" s="12">
        <f t="shared" si="16"/>
        <v>3146</v>
      </c>
      <c r="U104" s="12">
        <f t="shared" si="17"/>
        <v>0</v>
      </c>
      <c r="V104" s="12">
        <f>Table14[[#This Row],[Enrolment S.Y. 2025-2026 ]]*8</f>
        <v>3832</v>
      </c>
      <c r="W104" s="12">
        <v>686</v>
      </c>
      <c r="X104" s="10">
        <v>2025</v>
      </c>
      <c r="Y104" s="12" t="s">
        <v>70</v>
      </c>
      <c r="Z104" s="12">
        <f t="shared" si="18"/>
        <v>3146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479</v>
      </c>
      <c r="D105" s="12">
        <f>Table14[[#This Row],[Enrolment S.Y. 2025-2026 ]]*8</f>
        <v>3832</v>
      </c>
      <c r="E105" s="12">
        <v>133</v>
      </c>
      <c r="F105" s="10">
        <v>2025</v>
      </c>
      <c r="G105" s="12" t="s">
        <v>70</v>
      </c>
      <c r="H105" s="12">
        <f t="shared" si="22"/>
        <v>3699</v>
      </c>
      <c r="I105" s="12">
        <f t="shared" si="23"/>
        <v>0</v>
      </c>
      <c r="J105" s="12">
        <f>Table14[[#This Row],[Enrolment S.Y. 2025-2026 ]]*8</f>
        <v>3832</v>
      </c>
      <c r="K105" s="12">
        <v>882</v>
      </c>
      <c r="L105" s="10">
        <v>2025</v>
      </c>
      <c r="M105" s="12" t="s">
        <v>70</v>
      </c>
      <c r="N105" s="12">
        <f t="shared" si="20"/>
        <v>2950</v>
      </c>
      <c r="O105" s="12">
        <f t="shared" si="21"/>
        <v>0</v>
      </c>
      <c r="P105" s="12">
        <f>Table14[[#This Row],[Enrolment S.Y. 2025-2026 ]]*8</f>
        <v>3832</v>
      </c>
      <c r="Q105" s="12"/>
      <c r="R105" s="10"/>
      <c r="S105" s="12"/>
      <c r="T105" s="12">
        <f t="shared" si="16"/>
        <v>3832</v>
      </c>
      <c r="U105" s="12">
        <f t="shared" si="17"/>
        <v>0</v>
      </c>
      <c r="V105" s="12">
        <f>Table14[[#This Row],[Enrolment S.Y. 2025-2026 ]]*8</f>
        <v>3832</v>
      </c>
      <c r="W105" s="12"/>
      <c r="X105" s="10"/>
      <c r="Y105" s="12"/>
      <c r="Z105" s="12">
        <f t="shared" si="18"/>
        <v>3832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479</v>
      </c>
      <c r="D106" s="12">
        <f>Table14[[#This Row],[Enrolment S.Y. 2025-2026 ]]*8</f>
        <v>3832</v>
      </c>
      <c r="E106" s="12"/>
      <c r="F106" s="10"/>
      <c r="G106" s="12"/>
      <c r="H106" s="12">
        <f t="shared" si="22"/>
        <v>3832</v>
      </c>
      <c r="I106" s="12">
        <f t="shared" si="23"/>
        <v>0</v>
      </c>
      <c r="J106" s="12">
        <f>Table14[[#This Row],[Enrolment S.Y. 2025-2026 ]]*8</f>
        <v>3832</v>
      </c>
      <c r="K106" s="12"/>
      <c r="L106" s="10"/>
      <c r="M106" s="12"/>
      <c r="N106" s="12">
        <f t="shared" si="20"/>
        <v>3832</v>
      </c>
      <c r="O106" s="12">
        <f t="shared" si="21"/>
        <v>0</v>
      </c>
      <c r="P106" s="12">
        <f>Table14[[#This Row],[Enrolment S.Y. 2025-2026 ]]*8</f>
        <v>3832</v>
      </c>
      <c r="Q106" s="12">
        <v>784</v>
      </c>
      <c r="R106" s="10">
        <v>2025</v>
      </c>
      <c r="S106" s="12" t="s">
        <v>70</v>
      </c>
      <c r="T106" s="12">
        <f t="shared" si="16"/>
        <v>3048</v>
      </c>
      <c r="U106" s="12">
        <f t="shared" si="17"/>
        <v>0</v>
      </c>
      <c r="V106" s="12">
        <f>Table14[[#This Row],[Enrolment S.Y. 2025-2026 ]]*8</f>
        <v>3832</v>
      </c>
      <c r="W106" s="12">
        <v>392</v>
      </c>
      <c r="X106" s="10">
        <v>2025</v>
      </c>
      <c r="Y106" s="12" t="s">
        <v>70</v>
      </c>
      <c r="Z106" s="12">
        <f t="shared" si="18"/>
        <v>3440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479</v>
      </c>
      <c r="D107" s="12">
        <f>Table14[[#This Row],[Enrolment S.Y. 2025-2026 ]]*8</f>
        <v>3832</v>
      </c>
      <c r="E107" s="12"/>
      <c r="F107" s="10"/>
      <c r="G107" s="12"/>
      <c r="H107" s="12">
        <f t="shared" si="22"/>
        <v>3832</v>
      </c>
      <c r="I107" s="12">
        <f t="shared" si="23"/>
        <v>0</v>
      </c>
      <c r="J107" s="12">
        <f>Table14[[#This Row],[Enrolment S.Y. 2025-2026 ]]*8</f>
        <v>3832</v>
      </c>
      <c r="K107" s="12"/>
      <c r="L107" s="10"/>
      <c r="M107" s="12"/>
      <c r="N107" s="12">
        <f t="shared" si="20"/>
        <v>3832</v>
      </c>
      <c r="O107" s="12">
        <f t="shared" si="21"/>
        <v>0</v>
      </c>
      <c r="P107" s="12">
        <f>Table14[[#This Row],[Enrolment S.Y. 2025-2026 ]]*8</f>
        <v>3832</v>
      </c>
      <c r="Q107" s="12">
        <v>294</v>
      </c>
      <c r="R107" s="10">
        <v>2025</v>
      </c>
      <c r="S107" s="12" t="s">
        <v>70</v>
      </c>
      <c r="T107" s="12">
        <f t="shared" si="16"/>
        <v>3538</v>
      </c>
      <c r="U107" s="12">
        <f t="shared" si="17"/>
        <v>0</v>
      </c>
      <c r="V107" s="12">
        <f>Table14[[#This Row],[Enrolment S.Y. 2025-2026 ]]*8</f>
        <v>3832</v>
      </c>
      <c r="W107" s="12">
        <v>490</v>
      </c>
      <c r="X107" s="10">
        <v>2025</v>
      </c>
      <c r="Y107" s="12" t="s">
        <v>70</v>
      </c>
      <c r="Z107" s="12">
        <f t="shared" si="18"/>
        <v>3342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479</v>
      </c>
      <c r="D108" s="12">
        <f>Table14[[#This Row],[Enrolment S.Y. 2025-2026 ]]*8</f>
        <v>3832</v>
      </c>
      <c r="E108" s="12"/>
      <c r="F108" s="10"/>
      <c r="G108" s="12"/>
      <c r="H108" s="12">
        <f t="shared" si="22"/>
        <v>3832</v>
      </c>
      <c r="I108" s="12">
        <f t="shared" si="23"/>
        <v>0</v>
      </c>
      <c r="J108" s="12">
        <f>Table14[[#This Row],[Enrolment S.Y. 2025-2026 ]]*8</f>
        <v>3832</v>
      </c>
      <c r="K108" s="12"/>
      <c r="L108" s="10"/>
      <c r="M108" s="12"/>
      <c r="N108" s="12">
        <f t="shared" si="20"/>
        <v>3832</v>
      </c>
      <c r="O108" s="12">
        <f t="shared" si="21"/>
        <v>0</v>
      </c>
      <c r="P108" s="12">
        <f>Table14[[#This Row],[Enrolment S.Y. 2025-2026 ]]*8</f>
        <v>3832</v>
      </c>
      <c r="Q108" s="12">
        <v>784</v>
      </c>
      <c r="R108" s="10">
        <v>2025</v>
      </c>
      <c r="S108" s="12" t="s">
        <v>70</v>
      </c>
      <c r="T108" s="12">
        <f t="shared" si="16"/>
        <v>3048</v>
      </c>
      <c r="U108" s="12">
        <f t="shared" si="17"/>
        <v>0</v>
      </c>
      <c r="V108" s="12">
        <f>Table14[[#This Row],[Enrolment S.Y. 2025-2026 ]]*8</f>
        <v>3832</v>
      </c>
      <c r="W108" s="12">
        <v>588</v>
      </c>
      <c r="X108" s="10">
        <v>2025</v>
      </c>
      <c r="Y108" s="12" t="s">
        <v>70</v>
      </c>
      <c r="Z108" s="12">
        <f t="shared" si="18"/>
        <v>3244</v>
      </c>
      <c r="AA108" s="12">
        <f t="shared" si="19"/>
        <v>0</v>
      </c>
    </row>
    <row r="109" spans="1:27" ht="19.5">
      <c r="A109" s="38">
        <v>10</v>
      </c>
      <c r="B109" s="11" t="s">
        <v>95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>
      <c r="A110" s="10">
        <v>10</v>
      </c>
      <c r="B110" s="11" t="s">
        <v>96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>
      <c r="A112" s="38">
        <v>10</v>
      </c>
      <c r="B112" s="11" t="s">
        <v>97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98</v>
      </c>
      <c r="C113" s="10">
        <v>479</v>
      </c>
      <c r="D113" s="12">
        <f>Table14[[#This Row],[Enrolment S.Y. 2025-2026 ]]*8</f>
        <v>3832</v>
      </c>
      <c r="E113" s="12"/>
      <c r="F113" s="10"/>
      <c r="G113" s="12"/>
      <c r="H113" s="12">
        <f t="shared" si="22"/>
        <v>3832</v>
      </c>
      <c r="I113" s="12">
        <f t="shared" si="23"/>
        <v>0</v>
      </c>
      <c r="J113" s="12">
        <f>Table14[[#This Row],[Enrolment S.Y. 2025-2026 ]]*8</f>
        <v>3832</v>
      </c>
      <c r="K113" s="12"/>
      <c r="L113" s="10"/>
      <c r="M113" s="12"/>
      <c r="N113" s="12">
        <f t="shared" si="28"/>
        <v>3832</v>
      </c>
      <c r="O113" s="12">
        <f t="shared" si="29"/>
        <v>0</v>
      </c>
      <c r="P113" s="12">
        <f>Table14[[#This Row],[Enrolment S.Y. 2025-2026 ]]*8</f>
        <v>3832</v>
      </c>
      <c r="Q113" s="12">
        <v>196</v>
      </c>
      <c r="R113" s="10">
        <v>2025</v>
      </c>
      <c r="S113" s="12" t="s">
        <v>70</v>
      </c>
      <c r="T113" s="12">
        <f t="shared" si="16"/>
        <v>3636</v>
      </c>
      <c r="U113" s="12">
        <f t="shared" si="17"/>
        <v>0</v>
      </c>
      <c r="V113" s="12">
        <f>Table14[[#This Row],[Enrolment S.Y. 2025-2026 ]]*8</f>
        <v>3832</v>
      </c>
      <c r="W113" s="12">
        <v>294</v>
      </c>
      <c r="X113" s="10">
        <v>2025</v>
      </c>
      <c r="Y113" s="12" t="s">
        <v>70</v>
      </c>
      <c r="Z113" s="12">
        <f t="shared" si="18"/>
        <v>3538</v>
      </c>
      <c r="AA113" s="12">
        <f t="shared" si="19"/>
        <v>0</v>
      </c>
    </row>
    <row r="114" spans="1:28" s="7" customFormat="1"/>
    <row r="115" spans="1:28" ht="34.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Z103:AA113 H103:L113 N115:R122 T115:X122 Z115:AA122 H115:L122 D103:F113 N31:R41 N43:R53 N55:R65 N67:R77 N79:R89 H91:L101 N91:R101 T91:X101 N103:R113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G103:G113 M103:M113 Y115:Y122 G115:G122 M115:M122 S115:S122 M91:M101 S91:S101 Y91:Y101 S103:S113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91:S101 M91:M101 M115:M122 G91:G101 G103:G113 S103:S113 Y91:Y101 M103:M113 Y103:Y113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2026-03-06T07:44:18Z</dcterms:modified>
  <cp:category/>
  <cp:contentStatus/>
</cp:coreProperties>
</file>