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3" documentId="13_ncr:1_{BFB59F67-F0DC-4675-A682-EB0734A8026A}" xr6:coauthVersionLast="47" xr6:coauthVersionMax="47" xr10:uidLastSave="{B62C055F-B4C8-49C9-835D-735D8102827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4" l="1"/>
  <c r="K43" i="4"/>
  <c r="K19" i="4"/>
  <c r="K17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<sst xmlns="http://schemas.openxmlformats.org/spreadsheetml/2006/main" count="244" uniqueCount="80">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</sst>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471</v>
      </c>
      <c r="D2" s="1">
        <v>735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264</v>
      </c>
    </row>
    <row r="3" spans="1:8" ht="29.25" customHeight="1">
      <c r="A3" s="1">
        <v>1</v>
      </c>
      <c r="B3" s="2" t="s">
        <v>10</v>
      </c>
      <c r="C3" s="1">
        <v>471</v>
      </c>
      <c r="D3" s="1">
        <v>735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264</v>
      </c>
    </row>
    <row r="4" spans="1:8" ht="21" customHeight="1">
      <c r="A4" s="1">
        <v>1</v>
      </c>
      <c r="B4" s="2" t="s">
        <v>11</v>
      </c>
      <c r="C4" s="1">
        <v>471</v>
      </c>
      <c r="D4" s="1">
        <v>735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264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527</v>
      </c>
      <c r="D11" s="1">
        <v>637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110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583</v>
      </c>
      <c r="D22" s="1">
        <v>816</v>
      </c>
      <c r="E22" s="1">
        <v>2024</v>
      </c>
      <c r="F22" s="5" t="s">
        <v>14</v>
      </c>
      <c r="G22" s="3">
        <f t="shared" si="4"/>
        <v>0</v>
      </c>
      <c r="H22" s="4">
        <f t="shared" si="5"/>
        <v>233</v>
      </c>
    </row>
    <row r="23" spans="1:8" ht="19.5">
      <c r="A23" s="1">
        <v>4</v>
      </c>
      <c r="B23" s="9" t="s">
        <v>13</v>
      </c>
      <c r="C23" s="1">
        <v>583</v>
      </c>
      <c r="D23" s="1">
        <v>816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233</v>
      </c>
    </row>
    <row r="24" spans="1:8" ht="27" customHeight="1">
      <c r="A24" s="1">
        <v>4</v>
      </c>
      <c r="B24" s="9" t="s">
        <v>11</v>
      </c>
      <c r="C24" s="1">
        <v>583</v>
      </c>
      <c r="D24" s="1">
        <v>816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233</v>
      </c>
    </row>
    <row r="25" spans="1:8" ht="33.75" customHeight="1">
      <c r="A25" s="1">
        <v>4</v>
      </c>
      <c r="B25" s="9" t="s">
        <v>18</v>
      </c>
      <c r="C25" s="1">
        <v>583</v>
      </c>
      <c r="D25" s="1">
        <v>816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233</v>
      </c>
    </row>
    <row r="26" spans="1:8" ht="33.75" customHeight="1">
      <c r="A26" s="1">
        <v>4</v>
      </c>
      <c r="B26" s="9" t="s">
        <v>15</v>
      </c>
      <c r="C26" s="1">
        <v>583</v>
      </c>
      <c r="D26" s="1">
        <v>816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233</v>
      </c>
    </row>
    <row r="27" spans="1:8" ht="33.75" customHeight="1">
      <c r="A27" s="1">
        <v>4</v>
      </c>
      <c r="B27" s="9" t="s">
        <v>19</v>
      </c>
      <c r="C27" s="1">
        <v>583</v>
      </c>
      <c r="D27" s="1">
        <v>816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233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583</v>
      </c>
      <c r="D29" s="1">
        <v>816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233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559</v>
      </c>
      <c r="D31" s="1">
        <v>697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138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559</v>
      </c>
      <c r="D35" s="1">
        <v>698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139</v>
      </c>
    </row>
    <row r="36" spans="1:8" ht="27.75" customHeight="1">
      <c r="A36" s="1">
        <v>5</v>
      </c>
      <c r="B36" s="9" t="s">
        <v>15</v>
      </c>
      <c r="C36" s="1">
        <v>559</v>
      </c>
      <c r="D36" s="1">
        <v>697</v>
      </c>
      <c r="E36" s="1">
        <v>2025</v>
      </c>
      <c r="F36" s="5" t="s">
        <v>14</v>
      </c>
      <c r="G36" s="3">
        <f t="shared" si="6"/>
        <v>0</v>
      </c>
      <c r="H36" s="4">
        <f t="shared" si="7"/>
        <v>138</v>
      </c>
    </row>
    <row r="37" spans="1:8" ht="27.75" customHeight="1">
      <c r="A37" s="1">
        <v>5</v>
      </c>
      <c r="B37" s="9" t="s">
        <v>19</v>
      </c>
      <c r="C37" s="1">
        <v>559</v>
      </c>
      <c r="D37" s="1">
        <v>697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138</v>
      </c>
    </row>
    <row r="38" spans="1:8" ht="27.75" customHeight="1">
      <c r="A38" s="1">
        <v>5</v>
      </c>
      <c r="B38" s="9" t="s">
        <v>20</v>
      </c>
      <c r="C38" s="1">
        <v>559</v>
      </c>
      <c r="D38" s="1">
        <v>697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138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41:E49 E31:E3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B134" sqref="AB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527</v>
      </c>
      <c r="D17" s="5">
        <f>Table1[[#This Row],[Enrolment S.Y. 2025-2026 ]]*8</f>
        <v>4216</v>
      </c>
      <c r="E17" s="5"/>
      <c r="F17" s="1"/>
      <c r="G17" s="5"/>
      <c r="H17" s="5">
        <f t="shared" si="2"/>
        <v>4216</v>
      </c>
      <c r="I17" s="5">
        <f t="shared" si="3"/>
        <v>0</v>
      </c>
      <c r="J17" s="5">
        <f>Table1[[#This Row],[Enrolment S.Y. 2025-2026 ]]*8</f>
        <v>4216</v>
      </c>
      <c r="K17" s="5">
        <f>524*8</f>
        <v>4192</v>
      </c>
      <c r="L17" s="1">
        <v>2025</v>
      </c>
      <c r="M17" s="5" t="s">
        <v>9</v>
      </c>
      <c r="N17" s="5">
        <f t="shared" si="10"/>
        <v>24</v>
      </c>
      <c r="O17" s="5">
        <f t="shared" si="11"/>
        <v>0</v>
      </c>
      <c r="P17" s="5">
        <f>Table1[[#This Row],[Enrolment S.Y. 2025-2026 ]]*8</f>
        <v>4216</v>
      </c>
      <c r="Q17" s="5"/>
      <c r="R17" s="1"/>
      <c r="S17" s="5"/>
      <c r="T17" s="5">
        <f t="shared" si="12"/>
        <v>4216</v>
      </c>
      <c r="U17" s="5">
        <f t="shared" si="13"/>
        <v>0</v>
      </c>
      <c r="V17" s="5">
        <f>Table1[[#This Row],[Enrolment S.Y. 2025-2026 ]]*8</f>
        <v>4216</v>
      </c>
      <c r="W17" s="5"/>
      <c r="X17" s="1"/>
      <c r="Y17" s="5"/>
      <c r="Z17" s="5">
        <f t="shared" si="14"/>
        <v>4216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527</v>
      </c>
      <c r="D19" s="5">
        <f>Table1[[#This Row],[Enrolment S.Y. 2025-2026 ]]*8</f>
        <v>4216</v>
      </c>
      <c r="E19" s="5"/>
      <c r="F19" s="1"/>
      <c r="G19" s="5"/>
      <c r="H19" s="5">
        <f>IF((D19-E19)&lt;0,0,(D19-E19))</f>
        <v>4216</v>
      </c>
      <c r="I19" s="5">
        <f>IF((E19-D19)&lt;0,0,(E19-D19))</f>
        <v>0</v>
      </c>
      <c r="J19" s="5">
        <f>Table1[[#This Row],[Enrolment S.Y. 2025-2026 ]]*8</f>
        <v>4216</v>
      </c>
      <c r="K19" s="5">
        <f>524*8</f>
        <v>4192</v>
      </c>
      <c r="L19" s="1">
        <v>2025</v>
      </c>
      <c r="M19" s="5" t="s">
        <v>9</v>
      </c>
      <c r="N19" s="5">
        <f t="shared" si="10"/>
        <v>24</v>
      </c>
      <c r="O19" s="5">
        <f t="shared" si="11"/>
        <v>0</v>
      </c>
      <c r="P19" s="5">
        <f>Table1[[#This Row],[Enrolment S.Y. 2025-2026 ]]*8</f>
        <v>4216</v>
      </c>
      <c r="Q19" s="5"/>
      <c r="R19" s="1"/>
      <c r="S19" s="5"/>
      <c r="T19" s="5">
        <f t="shared" si="12"/>
        <v>4216</v>
      </c>
      <c r="U19" s="5">
        <f t="shared" si="13"/>
        <v>0</v>
      </c>
      <c r="V19" s="5">
        <f>Table1[[#This Row],[Enrolment S.Y. 2025-2026 ]]*8</f>
        <v>4216</v>
      </c>
      <c r="W19" s="5"/>
      <c r="X19" s="1"/>
      <c r="Y19" s="5"/>
      <c r="Z19" s="5">
        <f t="shared" si="14"/>
        <v>4216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559</v>
      </c>
      <c r="D43" s="5">
        <f>Table1[[#This Row],[Enrolment S.Y. 2025-2026 ]]*8</f>
        <v>4472</v>
      </c>
      <c r="E43" s="5"/>
      <c r="F43" s="1"/>
      <c r="G43" s="5"/>
      <c r="H43" s="5">
        <f t="shared" si="2"/>
        <v>4472</v>
      </c>
      <c r="I43" s="5">
        <f t="shared" si="3"/>
        <v>0</v>
      </c>
      <c r="J43" s="5">
        <f>Table1[[#This Row],[Enrolment S.Y. 2025-2026 ]]*8</f>
        <v>4472</v>
      </c>
      <c r="K43" s="5">
        <f>560*8</f>
        <v>4480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8</v>
      </c>
      <c r="P43" s="5">
        <f>Table1[[#This Row],[Enrolment S.Y. 2025-2026 ]]*8</f>
        <v>4472</v>
      </c>
      <c r="Q43" s="5"/>
      <c r="R43" s="1"/>
      <c r="S43" s="5"/>
      <c r="T43" s="5">
        <f t="shared" si="12"/>
        <v>4472</v>
      </c>
      <c r="U43" s="5">
        <f t="shared" si="13"/>
        <v>0</v>
      </c>
      <c r="V43" s="5">
        <f>Table1[[#This Row],[Enrolment S.Y. 2025-2026 ]]*8</f>
        <v>4472</v>
      </c>
      <c r="W43" s="5"/>
      <c r="X43" s="1"/>
      <c r="Y43" s="5"/>
      <c r="Z43" s="5">
        <f t="shared" si="14"/>
        <v>4472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559</v>
      </c>
      <c r="D45" s="5">
        <f>Table1[[#This Row],[Enrolment S.Y. 2025-2026 ]]*8</f>
        <v>4472</v>
      </c>
      <c r="E45" s="5"/>
      <c r="F45" s="1"/>
      <c r="G45" s="5"/>
      <c r="H45" s="5">
        <f t="shared" si="2"/>
        <v>4472</v>
      </c>
      <c r="I45" s="5">
        <f t="shared" si="3"/>
        <v>0</v>
      </c>
      <c r="J45" s="5">
        <f>Table1[[#This Row],[Enrolment S.Y. 2025-2026 ]]*8</f>
        <v>4472</v>
      </c>
      <c r="K45" s="5">
        <f>560*8</f>
        <v>4480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8</v>
      </c>
      <c r="P45" s="5">
        <f>Table1[[#This Row],[Enrolment S.Y. 2025-2026 ]]*8</f>
        <v>4472</v>
      </c>
      <c r="Q45" s="5"/>
      <c r="R45" s="1"/>
      <c r="S45" s="5"/>
      <c r="T45" s="5">
        <f t="shared" si="12"/>
        <v>4472</v>
      </c>
      <c r="U45" s="5">
        <f t="shared" si="13"/>
        <v>0</v>
      </c>
      <c r="V45" s="5">
        <f>Table1[[#This Row],[Enrolment S.Y. 2025-2026 ]]*8</f>
        <v>4472</v>
      </c>
      <c r="W45" s="5"/>
      <c r="X45" s="1"/>
      <c r="Y45" s="5"/>
      <c r="Z45" s="5">
        <f t="shared" si="14"/>
        <v>4472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16 C23:C31 C33:C41 C44 C53:C61 C18 C46:C51 C5:C12 C20:C21" name="Textbooks"/>
    <protectedRange sqref="J2:L3 D2:F3 H5:L5 D14:F21 Q14:R21 W14:X21 D23:F31 Q23:R31 W23:X31 D33:F41 H33:I41 Q33:R41 W33:X41 D43:F51 H43:I51 Q43:R51 W43:X51 D53:F61 H53:I61 Q53:R61 W53:X61 N4:P4 H14:I21 H23:I31 H6:I12 K6:L12 K33:L41 K53:L61 T4:V4 J4 K43:L51 N3:R3 Y13 K14:L21 K23:L31 N13:P61 P2:R2 V2:X3 T13:V61 J6:J61 Z4:AA61 D5:F12 N5:R12 T5:X12" name="LAS"/>
    <protectedRange sqref="G2:I3 M2:O2 S2:U3 Y2:AA3 G23:G31 G33:G41 G43:G51 S4:S61 G5:G12 M5:M12 M14:M61 Y5:Y12 G14:G21 Y14:Y61 M3 G53:G61" name="SOURCE"/>
    <protectedRange sqref="C19 C17" name="Textbooks_1"/>
    <protectedRange sqref="C45" name="Textbooks_3"/>
    <protectedRange sqref="C43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33:L41 F5:F12 F14:F21 F23:F31 F33:F41 F43:F51 F53:F61 L5:L12 L14:L21 L23:L31 L43:L5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9" zoomScale="55" zoomScaleNormal="55" workbookViewId="0">
      <selection activeCell="AC152" sqref="AC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2026-04-13T07:56:37Z</dcterms:modified>
  <cp:category/>
  <cp:contentStatus/>
</cp:coreProperties>
</file>