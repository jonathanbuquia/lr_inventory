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5" documentId="13_ncr:1_{BFB59F67-F0DC-4675-A682-EB0734A8026A}" xr6:coauthVersionLast="47" xr6:coauthVersionMax="47" xr10:uidLastSave="{BBDED92E-605B-45F0-B5FA-0E2A38A7BBDA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4" l="1"/>
  <c r="K17" i="4"/>
  <c r="K45" i="4"/>
  <c r="K43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<sst xmlns="http://schemas.openxmlformats.org/spreadsheetml/2006/main" count="244" uniqueCount="80">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</sst>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D150" sqref="D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200</v>
      </c>
      <c r="D2" s="1">
        <v>256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56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200</v>
      </c>
      <c r="D4" s="1">
        <v>256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56</v>
      </c>
    </row>
    <row r="5" spans="1:8" ht="25.5" customHeight="1">
      <c r="A5" s="1">
        <v>1</v>
      </c>
      <c r="B5" s="2" t="s">
        <v>12</v>
      </c>
      <c r="C5" s="1">
        <v>200</v>
      </c>
      <c r="D5" s="1">
        <v>256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56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235</v>
      </c>
      <c r="D11" s="1">
        <v>284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49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243</v>
      </c>
      <c r="D22" s="1">
        <v>358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115</v>
      </c>
    </row>
    <row r="23" spans="1:8" ht="19.5">
      <c r="A23" s="1">
        <v>4</v>
      </c>
      <c r="B23" s="9" t="s">
        <v>13</v>
      </c>
      <c r="C23" s="1">
        <v>243</v>
      </c>
      <c r="D23" s="1">
        <v>358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115</v>
      </c>
    </row>
    <row r="24" spans="1:8" ht="27" customHeight="1">
      <c r="A24" s="1">
        <v>4</v>
      </c>
      <c r="B24" s="9" t="s">
        <v>11</v>
      </c>
      <c r="C24" s="1">
        <v>243</v>
      </c>
      <c r="D24" s="1">
        <v>358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115</v>
      </c>
    </row>
    <row r="25" spans="1:8" ht="33.75" customHeight="1">
      <c r="A25" s="1">
        <v>4</v>
      </c>
      <c r="B25" s="9" t="s">
        <v>18</v>
      </c>
      <c r="C25" s="1">
        <v>243</v>
      </c>
      <c r="D25" s="1">
        <v>358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115</v>
      </c>
    </row>
    <row r="26" spans="1:8" ht="33.75" customHeight="1">
      <c r="A26" s="1">
        <v>4</v>
      </c>
      <c r="B26" s="9" t="s">
        <v>15</v>
      </c>
      <c r="C26" s="1">
        <v>243</v>
      </c>
      <c r="D26" s="1">
        <v>358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115</v>
      </c>
    </row>
    <row r="27" spans="1:8" ht="33.75" customHeight="1">
      <c r="A27" s="1">
        <v>4</v>
      </c>
      <c r="B27" s="9" t="s">
        <v>19</v>
      </c>
      <c r="C27" s="1">
        <v>243</v>
      </c>
      <c r="D27" s="1">
        <v>358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115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243</v>
      </c>
      <c r="D29" s="1">
        <v>358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115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219</v>
      </c>
      <c r="D31" s="1">
        <v>272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53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219</v>
      </c>
      <c r="D35" s="1">
        <v>272</v>
      </c>
      <c r="E35" s="1">
        <v>2025</v>
      </c>
      <c r="F35" s="5" t="s">
        <v>14</v>
      </c>
      <c r="G35" s="3">
        <f t="shared" si="6"/>
        <v>0</v>
      </c>
      <c r="H35" s="4">
        <f t="shared" si="7"/>
        <v>53</v>
      </c>
    </row>
    <row r="36" spans="1:8" ht="27.75" customHeight="1">
      <c r="A36" s="1">
        <v>5</v>
      </c>
      <c r="B36" s="9" t="s">
        <v>15</v>
      </c>
      <c r="C36" s="1">
        <v>219</v>
      </c>
      <c r="D36" s="1">
        <v>272</v>
      </c>
      <c r="E36" s="1">
        <v>2025</v>
      </c>
      <c r="F36" s="5" t="s">
        <v>14</v>
      </c>
      <c r="G36" s="3">
        <f t="shared" si="6"/>
        <v>0</v>
      </c>
      <c r="H36" s="4">
        <f t="shared" si="7"/>
        <v>53</v>
      </c>
    </row>
    <row r="37" spans="1:8" ht="27.75" customHeight="1">
      <c r="A37" s="1">
        <v>5</v>
      </c>
      <c r="B37" s="9" t="s">
        <v>19</v>
      </c>
      <c r="C37" s="1">
        <v>219</v>
      </c>
      <c r="D37" s="1">
        <v>272</v>
      </c>
      <c r="E37" s="1">
        <v>2025</v>
      </c>
      <c r="F37" s="5" t="s">
        <v>14</v>
      </c>
      <c r="G37" s="3">
        <f t="shared" si="6"/>
        <v>0</v>
      </c>
      <c r="H37" s="4">
        <f t="shared" si="7"/>
        <v>53</v>
      </c>
    </row>
    <row r="38" spans="1:8" ht="27.75" customHeight="1">
      <c r="A38" s="1">
        <v>5</v>
      </c>
      <c r="B38" s="9" t="s">
        <v>20</v>
      </c>
      <c r="C38" s="1">
        <v>219</v>
      </c>
      <c r="D38" s="1">
        <v>272</v>
      </c>
      <c r="E38" s="1">
        <v>2026</v>
      </c>
      <c r="F38" s="5" t="s">
        <v>14</v>
      </c>
      <c r="G38" s="3">
        <f t="shared" si="6"/>
        <v>0</v>
      </c>
      <c r="H38" s="4">
        <f t="shared" si="7"/>
        <v>53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60" zoomScale="70" zoomScaleNormal="70" workbookViewId="0">
      <selection activeCell="Z137" sqref="Z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235</v>
      </c>
      <c r="D17" s="5">
        <f>Table1[[#This Row],[Enrolment S.Y. 2025-2026 ]]*8</f>
        <v>1880</v>
      </c>
      <c r="E17" s="5"/>
      <c r="F17" s="1"/>
      <c r="G17" s="5"/>
      <c r="H17" s="5">
        <f t="shared" si="2"/>
        <v>1880</v>
      </c>
      <c r="I17" s="5">
        <f t="shared" si="3"/>
        <v>0</v>
      </c>
      <c r="J17" s="5">
        <f>Table1[[#This Row],[Enrolment S.Y. 2025-2026 ]]*8</f>
        <v>1880</v>
      </c>
      <c r="K17" s="5">
        <f>239*8</f>
        <v>1912</v>
      </c>
      <c r="L17" s="1">
        <v>2025</v>
      </c>
      <c r="M17" s="5" t="s">
        <v>9</v>
      </c>
      <c r="N17" s="5">
        <f t="shared" si="10"/>
        <v>0</v>
      </c>
      <c r="O17" s="5">
        <f t="shared" si="11"/>
        <v>32</v>
      </c>
      <c r="P17" s="5">
        <f>Table1[[#This Row],[Enrolment S.Y. 2025-2026 ]]*8</f>
        <v>1880</v>
      </c>
      <c r="Q17" s="5"/>
      <c r="R17" s="1"/>
      <c r="S17" s="5"/>
      <c r="T17" s="5">
        <f t="shared" si="12"/>
        <v>1880</v>
      </c>
      <c r="U17" s="5">
        <f t="shared" si="13"/>
        <v>0</v>
      </c>
      <c r="V17" s="5">
        <f>Table1[[#This Row],[Enrolment S.Y. 2025-2026 ]]*8</f>
        <v>1880</v>
      </c>
      <c r="W17" s="5"/>
      <c r="X17" s="1"/>
      <c r="Y17" s="5"/>
      <c r="Z17" s="5">
        <f t="shared" si="14"/>
        <v>1880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235</v>
      </c>
      <c r="D19" s="5">
        <f>Table1[[#This Row],[Enrolment S.Y. 2025-2026 ]]*8</f>
        <v>1880</v>
      </c>
      <c r="E19" s="5"/>
      <c r="F19" s="1"/>
      <c r="G19" s="5"/>
      <c r="H19" s="5">
        <f>IF((D19-E19)&lt;0,0,(D19-E19))</f>
        <v>1880</v>
      </c>
      <c r="I19" s="5">
        <f>IF((E19-D19)&lt;0,0,(E19-D19))</f>
        <v>0</v>
      </c>
      <c r="J19" s="5">
        <f>Table1[[#This Row],[Enrolment S.Y. 2025-2026 ]]*8</f>
        <v>1880</v>
      </c>
      <c r="K19" s="5">
        <f>239*8</f>
        <v>1912</v>
      </c>
      <c r="L19" s="1">
        <v>2025</v>
      </c>
      <c r="M19" s="5" t="s">
        <v>9</v>
      </c>
      <c r="N19" s="5">
        <f t="shared" si="10"/>
        <v>0</v>
      </c>
      <c r="O19" s="5">
        <f t="shared" si="11"/>
        <v>32</v>
      </c>
      <c r="P19" s="5">
        <f>Table1[[#This Row],[Enrolment S.Y. 2025-2026 ]]*8</f>
        <v>1880</v>
      </c>
      <c r="Q19" s="5"/>
      <c r="R19" s="1"/>
      <c r="S19" s="5"/>
      <c r="T19" s="5">
        <f t="shared" si="12"/>
        <v>1880</v>
      </c>
      <c r="U19" s="5">
        <f t="shared" si="13"/>
        <v>0</v>
      </c>
      <c r="V19" s="5">
        <f>Table1[[#This Row],[Enrolment S.Y. 2025-2026 ]]*8</f>
        <v>1880</v>
      </c>
      <c r="W19" s="5"/>
      <c r="X19" s="1"/>
      <c r="Y19" s="5"/>
      <c r="Z19" s="5">
        <f t="shared" si="14"/>
        <v>1880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>
        <v>219</v>
      </c>
      <c r="D43" s="5">
        <f>Table1[[#This Row],[Enrolment S.Y. 2025-2026 ]]*8</f>
        <v>1752</v>
      </c>
      <c r="E43" s="5"/>
      <c r="F43" s="1"/>
      <c r="G43" s="5"/>
      <c r="H43" s="5">
        <f t="shared" si="2"/>
        <v>1752</v>
      </c>
      <c r="I43" s="5">
        <f t="shared" si="3"/>
        <v>0</v>
      </c>
      <c r="J43" s="5">
        <f>Table1[[#This Row],[Enrolment S.Y. 2025-2026 ]]*8</f>
        <v>1752</v>
      </c>
      <c r="K43" s="5">
        <f>212*8</f>
        <v>1696</v>
      </c>
      <c r="L43" s="1">
        <v>2025</v>
      </c>
      <c r="M43" s="5" t="s">
        <v>9</v>
      </c>
      <c r="N43" s="5">
        <f t="shared" si="10"/>
        <v>56</v>
      </c>
      <c r="O43" s="5">
        <f t="shared" si="11"/>
        <v>0</v>
      </c>
      <c r="P43" s="5">
        <f>Table1[[#This Row],[Enrolment S.Y. 2025-2026 ]]*8</f>
        <v>1752</v>
      </c>
      <c r="Q43" s="5"/>
      <c r="R43" s="1"/>
      <c r="S43" s="5"/>
      <c r="T43" s="5">
        <f t="shared" si="12"/>
        <v>1752</v>
      </c>
      <c r="U43" s="5">
        <f t="shared" si="13"/>
        <v>0</v>
      </c>
      <c r="V43" s="5">
        <f>Table1[[#This Row],[Enrolment S.Y. 2025-2026 ]]*8</f>
        <v>1752</v>
      </c>
      <c r="W43" s="5"/>
      <c r="X43" s="1"/>
      <c r="Y43" s="5"/>
      <c r="Z43" s="5">
        <f t="shared" si="14"/>
        <v>1752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219</v>
      </c>
      <c r="D45" s="5">
        <f>Table1[[#This Row],[Enrolment S.Y. 2025-2026 ]]*8</f>
        <v>1752</v>
      </c>
      <c r="E45" s="5"/>
      <c r="F45" s="1"/>
      <c r="G45" s="5"/>
      <c r="H45" s="5">
        <f t="shared" si="2"/>
        <v>1752</v>
      </c>
      <c r="I45" s="5">
        <f t="shared" si="3"/>
        <v>0</v>
      </c>
      <c r="J45" s="5">
        <f>Table1[[#This Row],[Enrolment S.Y. 2025-2026 ]]*8</f>
        <v>1752</v>
      </c>
      <c r="K45" s="5">
        <f>212*8</f>
        <v>1696</v>
      </c>
      <c r="L45" s="1">
        <v>2025</v>
      </c>
      <c r="M45" s="5" t="s">
        <v>9</v>
      </c>
      <c r="N45" s="5">
        <f t="shared" si="10"/>
        <v>56</v>
      </c>
      <c r="O45" s="5">
        <f t="shared" si="11"/>
        <v>0</v>
      </c>
      <c r="P45" s="5">
        <f>Table1[[#This Row],[Enrolment S.Y. 2025-2026 ]]*8</f>
        <v>1752</v>
      </c>
      <c r="Q45" s="5"/>
      <c r="R45" s="1"/>
      <c r="S45" s="5"/>
      <c r="T45" s="5">
        <f t="shared" si="12"/>
        <v>1752</v>
      </c>
      <c r="U45" s="5">
        <f t="shared" si="13"/>
        <v>0</v>
      </c>
      <c r="V45" s="5">
        <f>Table1[[#This Row],[Enrolment S.Y. 2025-2026 ]]*8</f>
        <v>1752</v>
      </c>
      <c r="W45" s="5"/>
      <c r="X45" s="1"/>
      <c r="Y45" s="5"/>
      <c r="Z45" s="5">
        <f t="shared" si="14"/>
        <v>1752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16 C23:C31 C33:C41 C44 C53:C61 C20:C21 C18 C5:C12 C46:C51" name="Textbooks"/>
    <protectedRange sqref="J2:L3 D2:F3 H5:L5 D14:F21 Q14:R21 W14:X21 D23:F31 Q23:R31 W23:X31 D33:F41 H33:I41 Q33:R41 W33:X41 D43:F51 H43:I51 Q43:R51 W43:X51 D53:F61 H53:I61 Q53:R61 W53:X61 N4:P4 H14:I21 H23:I31 H6:I12 K6:L12 K33:L41 K53:L61 T4:V4 J4 K14:L21 N3:R3 Y13 K43:L51 K23:L31 N13:P61 P2:R2 V2:X3 T13:V61 J6:J61 Z4:AA61 D5:F12 N5:R12 T5:X12" name="LAS"/>
    <protectedRange sqref="G2:I3 M2:O2 S2:U3 Y2:AA3 G23:G31 G33:G41 G43:G51 S4:S61 G5:G12 M5:M12 M14:M61 Y5:Y12 G14:G21 Y14:Y61 M3 G53:G61" name="SOURCE"/>
    <protectedRange sqref="C43" name="Textbooks_1"/>
    <protectedRange sqref="C45" name="Textbooks_2"/>
    <protectedRange sqref="C19" name="Textbooks_3"/>
    <protectedRange sqref="C17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8" zoomScale="55" zoomScaleNormal="55" workbookViewId="0">
      <selection activeCell="AB151" sqref="AB1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2026-04-13T08:15:18Z</dcterms:modified>
  <cp:category/>
  <cp:contentStatus/>
</cp:coreProperties>
</file>