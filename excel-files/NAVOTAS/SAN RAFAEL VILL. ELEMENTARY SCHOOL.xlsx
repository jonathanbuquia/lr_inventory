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9" documentId="13_ncr:1_{BFB59F67-F0DC-4675-A682-EB0734A8026A}" xr6:coauthVersionLast="47" xr6:coauthVersionMax="47" xr10:uidLastSave="{52CF15E9-7242-4F06-A12D-EB6B08C148A3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5" l="1"/>
  <c r="D4" i="5"/>
  <c r="H4" i="5"/>
  <c r="I4" i="5"/>
  <c r="J4" i="5"/>
  <c r="T4" i="5"/>
  <c r="U4" i="5"/>
  <c r="V4" i="5"/>
  <c r="Z4" i="5"/>
  <c r="AA4" i="5"/>
  <c r="P62" i="5"/>
  <c r="T62" i="5" s="1"/>
  <c r="P63" i="5"/>
  <c r="P64" i="5"/>
  <c r="P65" i="5"/>
  <c r="P66" i="5"/>
  <c r="P49" i="5"/>
  <c r="P50" i="5"/>
  <c r="U50" i="5" s="1"/>
  <c r="P51" i="5"/>
  <c r="P52" i="5"/>
  <c r="P53" i="5"/>
  <c r="U53" i="5" s="1"/>
  <c r="P54" i="5"/>
  <c r="P37" i="5"/>
  <c r="P38" i="5"/>
  <c r="P39" i="5"/>
  <c r="P40" i="5"/>
  <c r="P41" i="5"/>
  <c r="P42" i="5"/>
  <c r="D65" i="5"/>
  <c r="H65" i="5" s="1"/>
  <c r="J65" i="5"/>
  <c r="T65" i="5"/>
  <c r="V65" i="5"/>
  <c r="Z65" i="5" s="1"/>
  <c r="D62" i="5"/>
  <c r="H62" i="5" s="1"/>
  <c r="J62" i="5"/>
  <c r="V62" i="5"/>
  <c r="Z62" i="5" s="1"/>
  <c r="D53" i="5"/>
  <c r="H53" i="5" s="1"/>
  <c r="J53" i="5"/>
  <c r="V53" i="5"/>
  <c r="Z53" i="5" s="1"/>
  <c r="D50" i="5"/>
  <c r="H50" i="5" s="1"/>
  <c r="J50" i="5"/>
  <c r="V50" i="5"/>
  <c r="Z50" i="5" s="1"/>
  <c r="D41" i="5"/>
  <c r="H41" i="5" s="1"/>
  <c r="J41" i="5"/>
  <c r="U41" i="5"/>
  <c r="V41" i="5"/>
  <c r="Z41" i="5" s="1"/>
  <c r="D38" i="5"/>
  <c r="H38" i="5" s="1"/>
  <c r="J38" i="5"/>
  <c r="U38" i="5"/>
  <c r="V38" i="5"/>
  <c r="Z38" i="5" s="1"/>
  <c r="P3" i="4"/>
  <c r="T3" i="4" s="1"/>
  <c r="D3" i="4"/>
  <c r="H3" i="4" s="1"/>
  <c r="J3" i="4"/>
  <c r="V3" i="4"/>
  <c r="Z3" i="4" s="1"/>
  <c r="V66" i="5"/>
  <c r="Z66" i="5" s="1"/>
  <c r="U66" i="5"/>
  <c r="J66" i="5"/>
  <c r="D66" i="5"/>
  <c r="I66" i="5" s="1"/>
  <c r="V64" i="5"/>
  <c r="AA64" i="5" s="1"/>
  <c r="U64" i="5"/>
  <c r="J64" i="5"/>
  <c r="D64" i="5"/>
  <c r="I64" i="5" s="1"/>
  <c r="V63" i="5"/>
  <c r="AA63" i="5" s="1"/>
  <c r="U63" i="5"/>
  <c r="J63" i="5"/>
  <c r="D63" i="5"/>
  <c r="I63" i="5" s="1"/>
  <c r="V61" i="5"/>
  <c r="AA61" i="5" s="1"/>
  <c r="P61" i="5"/>
  <c r="U61" i="5" s="1"/>
  <c r="J61" i="5"/>
  <c r="N61" i="5" s="1"/>
  <c r="D61" i="5"/>
  <c r="I61" i="5" s="1"/>
  <c r="V60" i="5"/>
  <c r="AA60" i="5" s="1"/>
  <c r="P60" i="5"/>
  <c r="U60" i="5" s="1"/>
  <c r="J60" i="5"/>
  <c r="D60" i="5"/>
  <c r="I60" i="5" s="1"/>
  <c r="V59" i="5"/>
  <c r="AA59" i="5" s="1"/>
  <c r="P59" i="5"/>
  <c r="U59" i="5" s="1"/>
  <c r="J59" i="5"/>
  <c r="N59" i="5" s="1"/>
  <c r="D59" i="5"/>
  <c r="I59" i="5" s="1"/>
  <c r="V58" i="5"/>
  <c r="AA58" i="5" s="1"/>
  <c r="P58" i="5"/>
  <c r="U58" i="5" s="1"/>
  <c r="J58" i="5"/>
  <c r="D58" i="5"/>
  <c r="H58" i="5" s="1"/>
  <c r="V57" i="5"/>
  <c r="AA57" i="5" s="1"/>
  <c r="P57" i="5"/>
  <c r="U57" i="5" s="1"/>
  <c r="J57" i="5"/>
  <c r="N57" i="5" s="1"/>
  <c r="D57" i="5"/>
  <c r="I57" i="5" s="1"/>
  <c r="V56" i="5"/>
  <c r="AA56" i="5" s="1"/>
  <c r="P56" i="5"/>
  <c r="U56" i="5" s="1"/>
  <c r="J56" i="5"/>
  <c r="D56" i="5"/>
  <c r="I56" i="5" s="1"/>
  <c r="V54" i="5"/>
  <c r="AA54" i="5" s="1"/>
  <c r="U54" i="5"/>
  <c r="J54" i="5"/>
  <c r="D54" i="5"/>
  <c r="I54" i="5" s="1"/>
  <c r="V52" i="5"/>
  <c r="AA52" i="5" s="1"/>
  <c r="U52" i="5"/>
  <c r="J52" i="5"/>
  <c r="D52" i="5"/>
  <c r="I52" i="5" s="1"/>
  <c r="V51" i="5"/>
  <c r="AA51" i="5" s="1"/>
  <c r="U51" i="5"/>
  <c r="J51" i="5"/>
  <c r="D51" i="5"/>
  <c r="I51" i="5" s="1"/>
  <c r="V49" i="5"/>
  <c r="AA49" i="5" s="1"/>
  <c r="U49" i="5"/>
  <c r="J49" i="5"/>
  <c r="D49" i="5"/>
  <c r="I49" i="5" s="1"/>
  <c r="V48" i="5"/>
  <c r="AA48" i="5" s="1"/>
  <c r="P48" i="5"/>
  <c r="U48" i="5" s="1"/>
  <c r="J48" i="5"/>
  <c r="N48" i="5" s="1"/>
  <c r="D48" i="5"/>
  <c r="I48" i="5" s="1"/>
  <c r="V47" i="5"/>
  <c r="AA47" i="5" s="1"/>
  <c r="P47" i="5"/>
  <c r="U47" i="5" s="1"/>
  <c r="J47" i="5"/>
  <c r="D47" i="5"/>
  <c r="I47" i="5" s="1"/>
  <c r="V46" i="5"/>
  <c r="AA46" i="5" s="1"/>
  <c r="P46" i="5"/>
  <c r="U46" i="5" s="1"/>
  <c r="J46" i="5"/>
  <c r="N46" i="5" s="1"/>
  <c r="D46" i="5"/>
  <c r="H46" i="5" s="1"/>
  <c r="V45" i="5"/>
  <c r="AA45" i="5" s="1"/>
  <c r="P45" i="5"/>
  <c r="U45" i="5" s="1"/>
  <c r="J45" i="5"/>
  <c r="D45" i="5"/>
  <c r="H45" i="5" s="1"/>
  <c r="V44" i="5"/>
  <c r="AA44" i="5" s="1"/>
  <c r="P44" i="5"/>
  <c r="U44" i="5" s="1"/>
  <c r="J44" i="5"/>
  <c r="N44" i="5" s="1"/>
  <c r="D44" i="5"/>
  <c r="H44" i="5" s="1"/>
  <c r="V42" i="5"/>
  <c r="AA42" i="5" s="1"/>
  <c r="U42" i="5"/>
  <c r="J42" i="5"/>
  <c r="D42" i="5"/>
  <c r="I42" i="5" s="1"/>
  <c r="V40" i="5"/>
  <c r="AA40" i="5" s="1"/>
  <c r="U40" i="5"/>
  <c r="J40" i="5"/>
  <c r="D40" i="5"/>
  <c r="H40" i="5" s="1"/>
  <c r="V39" i="5"/>
  <c r="AA39" i="5" s="1"/>
  <c r="U39" i="5"/>
  <c r="J39" i="5"/>
  <c r="D39" i="5"/>
  <c r="I39" i="5" s="1"/>
  <c r="V37" i="5"/>
  <c r="Z37" i="5" s="1"/>
  <c r="U37" i="5"/>
  <c r="J37" i="5"/>
  <c r="D37" i="5"/>
  <c r="H37" i="5" s="1"/>
  <c r="V36" i="5"/>
  <c r="AA36" i="5" s="1"/>
  <c r="P36" i="5"/>
  <c r="U36" i="5" s="1"/>
  <c r="J36" i="5"/>
  <c r="D36" i="5"/>
  <c r="I36" i="5" s="1"/>
  <c r="V35" i="5"/>
  <c r="Z35" i="5" s="1"/>
  <c r="P35" i="5"/>
  <c r="U35" i="5" s="1"/>
  <c r="J35" i="5"/>
  <c r="N35" i="5" s="1"/>
  <c r="D35" i="5"/>
  <c r="H35" i="5" s="1"/>
  <c r="V34" i="5"/>
  <c r="Z34" i="5" s="1"/>
  <c r="P34" i="5"/>
  <c r="U34" i="5" s="1"/>
  <c r="J34" i="5"/>
  <c r="D34" i="5"/>
  <c r="I34" i="5" s="1"/>
  <c r="V33" i="5"/>
  <c r="Z33" i="5" s="1"/>
  <c r="P33" i="5"/>
  <c r="U33" i="5" s="1"/>
  <c r="J33" i="5"/>
  <c r="N33" i="5" s="1"/>
  <c r="D33" i="5"/>
  <c r="H33" i="5" s="1"/>
  <c r="V32" i="5"/>
  <c r="AA32" i="5" s="1"/>
  <c r="P32" i="5"/>
  <c r="U32" i="5" s="1"/>
  <c r="J32" i="5"/>
  <c r="D32" i="5"/>
  <c r="I32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U29" i="5" s="1"/>
  <c r="J29" i="5"/>
  <c r="D29" i="5"/>
  <c r="I29" i="5" s="1"/>
  <c r="V28" i="5"/>
  <c r="Z28" i="5" s="1"/>
  <c r="P28" i="5"/>
  <c r="U28" i="5" s="1"/>
  <c r="J28" i="5"/>
  <c r="O28" i="5" s="1"/>
  <c r="D28" i="5"/>
  <c r="I28" i="5" s="1"/>
  <c r="V27" i="5"/>
  <c r="AA27" i="5" s="1"/>
  <c r="P27" i="5"/>
  <c r="U27" i="5" s="1"/>
  <c r="J27" i="5"/>
  <c r="N27" i="5" s="1"/>
  <c r="D27" i="5"/>
  <c r="I27" i="5" s="1"/>
  <c r="V26" i="5"/>
  <c r="AA26" i="5" s="1"/>
  <c r="P26" i="5"/>
  <c r="U26" i="5" s="1"/>
  <c r="J26" i="5"/>
  <c r="O26" i="5" s="1"/>
  <c r="D26" i="5"/>
  <c r="I26" i="5" s="1"/>
  <c r="V25" i="5"/>
  <c r="AA25" i="5" s="1"/>
  <c r="P25" i="5"/>
  <c r="U25" i="5" s="1"/>
  <c r="J25" i="5"/>
  <c r="N25" i="5" s="1"/>
  <c r="D25" i="5"/>
  <c r="I25" i="5" s="1"/>
  <c r="V24" i="5"/>
  <c r="AA24" i="5" s="1"/>
  <c r="P24" i="5"/>
  <c r="U24" i="5" s="1"/>
  <c r="J24" i="5"/>
  <c r="O24" i="5" s="1"/>
  <c r="D24" i="5"/>
  <c r="I24" i="5" s="1"/>
  <c r="V23" i="5"/>
  <c r="AA23" i="5" s="1"/>
  <c r="P23" i="5"/>
  <c r="U23" i="5" s="1"/>
  <c r="J23" i="5"/>
  <c r="N23" i="5" s="1"/>
  <c r="D23" i="5"/>
  <c r="I23" i="5" s="1"/>
  <c r="V22" i="5"/>
  <c r="AA22" i="5" s="1"/>
  <c r="P22" i="5"/>
  <c r="U22" i="5" s="1"/>
  <c r="J22" i="5"/>
  <c r="O22" i="5" s="1"/>
  <c r="D22" i="5"/>
  <c r="I22" i="5" s="1"/>
  <c r="V20" i="5"/>
  <c r="AA20" i="5" s="1"/>
  <c r="P20" i="5"/>
  <c r="T20" i="5" s="1"/>
  <c r="J20" i="5"/>
  <c r="N20" i="5" s="1"/>
  <c r="D20" i="5"/>
  <c r="I20" i="5" s="1"/>
  <c r="V19" i="5"/>
  <c r="AA19" i="5" s="1"/>
  <c r="P19" i="5"/>
  <c r="U19" i="5" s="1"/>
  <c r="J19" i="5"/>
  <c r="O19" i="5" s="1"/>
  <c r="D19" i="5"/>
  <c r="I19" i="5" s="1"/>
  <c r="V18" i="5"/>
  <c r="AA18" i="5" s="1"/>
  <c r="P18" i="5"/>
  <c r="U18" i="5" s="1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O15" i="5" s="1"/>
  <c r="D15" i="5"/>
  <c r="H15" i="5" s="1"/>
  <c r="V14" i="5"/>
  <c r="AA14" i="5" s="1"/>
  <c r="P14" i="5"/>
  <c r="U14" i="5" s="1"/>
  <c r="J14" i="5"/>
  <c r="N14" i="5" s="1"/>
  <c r="D14" i="5"/>
  <c r="I14" i="5" s="1"/>
  <c r="V13" i="5"/>
  <c r="AA13" i="5" s="1"/>
  <c r="P13" i="5"/>
  <c r="U13" i="5" s="1"/>
  <c r="J13" i="5"/>
  <c r="O13" i="5" s="1"/>
  <c r="D13" i="5"/>
  <c r="I13" i="5" s="1"/>
  <c r="V11" i="5"/>
  <c r="AA11" i="5" s="1"/>
  <c r="P11" i="5"/>
  <c r="U11" i="5" s="1"/>
  <c r="J11" i="5"/>
  <c r="N11" i="5" s="1"/>
  <c r="D11" i="5"/>
  <c r="I11" i="5" s="1"/>
  <c r="V10" i="5"/>
  <c r="AA10" i="5" s="1"/>
  <c r="P10" i="5"/>
  <c r="U10" i="5" s="1"/>
  <c r="J10" i="5"/>
  <c r="O10" i="5" s="1"/>
  <c r="D10" i="5"/>
  <c r="I10" i="5" s="1"/>
  <c r="V9" i="5"/>
  <c r="AA9" i="5" s="1"/>
  <c r="P9" i="5"/>
  <c r="U9" i="5" s="1"/>
  <c r="J9" i="5"/>
  <c r="N9" i="5" s="1"/>
  <c r="D9" i="5"/>
  <c r="I9" i="5" s="1"/>
  <c r="V8" i="5"/>
  <c r="AA8" i="5" s="1"/>
  <c r="P8" i="5"/>
  <c r="U8" i="5" s="1"/>
  <c r="J8" i="5"/>
  <c r="O8" i="5" s="1"/>
  <c r="D8" i="5"/>
  <c r="I8" i="5" s="1"/>
  <c r="V7" i="5"/>
  <c r="AA7" i="5" s="1"/>
  <c r="P7" i="5"/>
  <c r="U7" i="5" s="1"/>
  <c r="J7" i="5"/>
  <c r="N7" i="5" s="1"/>
  <c r="D7" i="5"/>
  <c r="I7" i="5" s="1"/>
  <c r="V6" i="5"/>
  <c r="AA6" i="5" s="1"/>
  <c r="P6" i="5"/>
  <c r="U6" i="5" s="1"/>
  <c r="J6" i="5"/>
  <c r="O6" i="5" s="1"/>
  <c r="D6" i="5"/>
  <c r="I6" i="5" s="1"/>
  <c r="V5" i="5"/>
  <c r="AA5" i="5" s="1"/>
  <c r="P5" i="5"/>
  <c r="U5" i="5" s="1"/>
  <c r="J5" i="5"/>
  <c r="N5" i="5" s="1"/>
  <c r="D5" i="5"/>
  <c r="I5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4" i="5" l="1"/>
  <c r="O4" i="5"/>
  <c r="O3" i="4"/>
  <c r="N3" i="4"/>
  <c r="N37" i="5"/>
  <c r="O37" i="5"/>
  <c r="N39" i="5"/>
  <c r="O39" i="5"/>
  <c r="N40" i="5"/>
  <c r="O40" i="5"/>
  <c r="N42" i="5"/>
  <c r="O42" i="5"/>
  <c r="N49" i="5"/>
  <c r="O49" i="5"/>
  <c r="N51" i="5"/>
  <c r="O51" i="5"/>
  <c r="N52" i="5"/>
  <c r="O52" i="5"/>
  <c r="N54" i="5"/>
  <c r="O54" i="5"/>
  <c r="N63" i="5"/>
  <c r="O63" i="5"/>
  <c r="N64" i="5"/>
  <c r="O64" i="5"/>
  <c r="N66" i="5"/>
  <c r="O66" i="5"/>
  <c r="N38" i="5"/>
  <c r="O38" i="5"/>
  <c r="N41" i="5"/>
  <c r="O41" i="5"/>
  <c r="N50" i="5"/>
  <c r="O50" i="5"/>
  <c r="N53" i="5"/>
  <c r="O53" i="5"/>
  <c r="N62" i="5"/>
  <c r="O62" i="5"/>
  <c r="N65" i="5"/>
  <c r="O65" i="5"/>
  <c r="O12" i="4"/>
  <c r="Z9" i="4"/>
  <c r="T33" i="4"/>
  <c r="Z45" i="4"/>
  <c r="AA31" i="4"/>
  <c r="U3" i="4"/>
  <c r="O26" i="4"/>
  <c r="T10" i="4"/>
  <c r="U59" i="4"/>
  <c r="U43" i="4"/>
  <c r="Z56" i="4"/>
  <c r="U62" i="5"/>
  <c r="U65" i="5"/>
  <c r="T53" i="5"/>
  <c r="I62" i="5"/>
  <c r="I65" i="5"/>
  <c r="AA65" i="5"/>
  <c r="T50" i="5"/>
  <c r="AA62" i="5"/>
  <c r="T41" i="5"/>
  <c r="I53" i="5"/>
  <c r="AA53" i="5"/>
  <c r="T38" i="5"/>
  <c r="I50" i="5"/>
  <c r="AA50" i="5"/>
  <c r="I41" i="5"/>
  <c r="AA41" i="5"/>
  <c r="I38" i="5"/>
  <c r="AA38" i="5"/>
  <c r="H61" i="5"/>
  <c r="I45" i="5"/>
  <c r="N28" i="5"/>
  <c r="Z61" i="5"/>
  <c r="H63" i="5"/>
  <c r="O14" i="5"/>
  <c r="AA37" i="5"/>
  <c r="T40" i="5"/>
  <c r="O44" i="5"/>
  <c r="N10" i="5"/>
  <c r="H13" i="5"/>
  <c r="U20" i="5"/>
  <c r="AA35" i="5"/>
  <c r="H47" i="5"/>
  <c r="T23" i="5"/>
  <c r="O33" i="5"/>
  <c r="AA34" i="5"/>
  <c r="Z48" i="5"/>
  <c r="T54" i="5"/>
  <c r="H22" i="5"/>
  <c r="Z30" i="5"/>
  <c r="I46" i="5"/>
  <c r="T29" i="5"/>
  <c r="AA33" i="5"/>
  <c r="O35" i="5"/>
  <c r="Z47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5" i="5"/>
  <c r="N6" i="5"/>
  <c r="Z7" i="5"/>
  <c r="T9" i="5"/>
  <c r="Z18" i="5"/>
  <c r="H24" i="5"/>
  <c r="O25" i="5"/>
  <c r="I37" i="5"/>
  <c r="T39" i="5"/>
  <c r="Z40" i="5"/>
  <c r="H51" i="5"/>
  <c r="Z54" i="5"/>
  <c r="Z56" i="5"/>
  <c r="Z57" i="5"/>
  <c r="Z64" i="5"/>
  <c r="AA66" i="5"/>
  <c r="H3" i="5"/>
  <c r="T5" i="5"/>
  <c r="T11" i="5"/>
  <c r="N13" i="5"/>
  <c r="O23" i="5"/>
  <c r="AA28" i="5"/>
  <c r="N30" i="5"/>
  <c r="H32" i="5"/>
  <c r="H49" i="5"/>
  <c r="I58" i="5"/>
  <c r="I15" i="5"/>
  <c r="Z16" i="5"/>
  <c r="O18" i="5"/>
  <c r="N19" i="5"/>
  <c r="N24" i="5"/>
  <c r="Z25" i="5"/>
  <c r="T27" i="5"/>
  <c r="T36" i="5"/>
  <c r="I40" i="5"/>
  <c r="H42" i="5"/>
  <c r="T44" i="5"/>
  <c r="O48" i="5"/>
  <c r="H56" i="5"/>
  <c r="H57" i="5"/>
  <c r="H66" i="5"/>
  <c r="H6" i="5"/>
  <c r="O7" i="5"/>
  <c r="Z11" i="5"/>
  <c r="H17" i="5"/>
  <c r="T18" i="5"/>
  <c r="T30" i="5"/>
  <c r="Z36" i="5"/>
  <c r="T47" i="5"/>
  <c r="T48" i="5"/>
  <c r="T51" i="5"/>
  <c r="T7" i="5"/>
  <c r="N8" i="5"/>
  <c r="Z14" i="5"/>
  <c r="H19" i="5"/>
  <c r="O20" i="5"/>
  <c r="T25" i="5"/>
  <c r="N26" i="5"/>
  <c r="T33" i="5"/>
  <c r="Z44" i="5"/>
  <c r="Z45" i="5"/>
  <c r="Z46" i="5"/>
  <c r="H52" i="5"/>
  <c r="H54" i="5"/>
  <c r="H59" i="5"/>
  <c r="H60" i="5"/>
  <c r="N3" i="5"/>
  <c r="Z9" i="5"/>
  <c r="O16" i="5"/>
  <c r="N22" i="5"/>
  <c r="Z27" i="5"/>
  <c r="Z29" i="5"/>
  <c r="I44" i="5"/>
  <c r="T49" i="5"/>
  <c r="T63" i="5"/>
  <c r="T66" i="5"/>
  <c r="Z5" i="5"/>
  <c r="H10" i="5"/>
  <c r="O11" i="5"/>
  <c r="T16" i="5"/>
  <c r="N17" i="5"/>
  <c r="Z23" i="5"/>
  <c r="H28" i="5"/>
  <c r="I30" i="5"/>
  <c r="I33" i="5"/>
  <c r="H48" i="5"/>
  <c r="Z49" i="5"/>
  <c r="H8" i="5"/>
  <c r="O9" i="5"/>
  <c r="T14" i="5"/>
  <c r="N15" i="5"/>
  <c r="Z20" i="5"/>
  <c r="H26" i="5"/>
  <c r="O27" i="5"/>
  <c r="H34" i="5"/>
  <c r="I35" i="5"/>
  <c r="H36" i="5"/>
  <c r="H39" i="5"/>
  <c r="O46" i="5"/>
  <c r="Z51" i="5"/>
  <c r="Z52" i="5"/>
  <c r="T57" i="5"/>
  <c r="Z59" i="5"/>
  <c r="H64" i="5"/>
  <c r="H5" i="5"/>
  <c r="H7" i="5"/>
  <c r="H9" i="5"/>
  <c r="H11" i="5"/>
  <c r="H14" i="5"/>
  <c r="H16" i="5"/>
  <c r="H18" i="5"/>
  <c r="H20" i="5"/>
  <c r="H23" i="5"/>
  <c r="H25" i="5"/>
  <c r="H27" i="5"/>
  <c r="H29" i="5"/>
  <c r="T32" i="5"/>
  <c r="O34" i="5"/>
  <c r="N34" i="5"/>
  <c r="Z39" i="5"/>
  <c r="T42" i="5"/>
  <c r="O45" i="5"/>
  <c r="N45" i="5"/>
  <c r="T58" i="5"/>
  <c r="O59" i="5"/>
  <c r="Z63" i="5"/>
  <c r="T64" i="5"/>
  <c r="T3" i="5"/>
  <c r="T6" i="5"/>
  <c r="T8" i="5"/>
  <c r="T10" i="5"/>
  <c r="T13" i="5"/>
  <c r="T15" i="5"/>
  <c r="T17" i="5"/>
  <c r="T19" i="5"/>
  <c r="T22" i="5"/>
  <c r="T24" i="5"/>
  <c r="T26" i="5"/>
  <c r="T28" i="5"/>
  <c r="O29" i="5"/>
  <c r="N29" i="5"/>
  <c r="Z32" i="5"/>
  <c r="T34" i="5"/>
  <c r="O36" i="5"/>
  <c r="N36" i="5"/>
  <c r="Z42" i="5"/>
  <c r="T45" i="5"/>
  <c r="O47" i="5"/>
  <c r="N47" i="5"/>
  <c r="T52" i="5"/>
  <c r="Z58" i="5"/>
  <c r="T59" i="5"/>
  <c r="O60" i="5"/>
  <c r="N60" i="5"/>
  <c r="T35" i="5"/>
  <c r="T46" i="5"/>
  <c r="O56" i="5"/>
  <c r="N56" i="5"/>
  <c r="T60" i="5"/>
  <c r="O61" i="5"/>
  <c r="Z3" i="5"/>
  <c r="Z6" i="5"/>
  <c r="Z8" i="5"/>
  <c r="Z10" i="5"/>
  <c r="Z13" i="5"/>
  <c r="Z15" i="5"/>
  <c r="Z17" i="5"/>
  <c r="Z19" i="5"/>
  <c r="Z22" i="5"/>
  <c r="Z24" i="5"/>
  <c r="Z26" i="5"/>
  <c r="T37" i="5"/>
  <c r="T56" i="5"/>
  <c r="O57" i="5"/>
  <c r="Z60" i="5"/>
  <c r="T61" i="5"/>
  <c r="O32" i="5"/>
  <c r="N32" i="5"/>
  <c r="O58" i="5"/>
  <c r="N58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<sst xmlns="http://schemas.openxmlformats.org/spreadsheetml/2006/main" count="301" uniqueCount="80">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</sst>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6" totalsRowShown="0" dataDxfId="29" headerRowBorderDxfId="27" tableBorderDxfId="28">
  <autoFilter ref="A2:AA6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5" activePane="topRight" state="frozen"/>
      <selection pane="topRight" activeCell="E150" sqref="E1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90</v>
      </c>
      <c r="D2" s="1">
        <v>196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106</v>
      </c>
    </row>
    <row r="3" spans="1:8" ht="29.25" customHeight="1">
      <c r="A3" s="1">
        <v>1</v>
      </c>
      <c r="B3" s="2" t="s">
        <v>10</v>
      </c>
      <c r="C3" s="1">
        <v>90</v>
      </c>
      <c r="D3" s="1">
        <v>204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114</v>
      </c>
    </row>
    <row r="4" spans="1:8" ht="21" customHeight="1">
      <c r="A4" s="1">
        <v>1</v>
      </c>
      <c r="B4" s="2" t="s">
        <v>11</v>
      </c>
      <c r="C4" s="1">
        <v>90</v>
      </c>
      <c r="D4" s="1">
        <v>197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107</v>
      </c>
    </row>
    <row r="5" spans="1:8" ht="25.5" customHeight="1">
      <c r="A5" s="1">
        <v>1</v>
      </c>
      <c r="B5" s="2" t="s">
        <v>12</v>
      </c>
      <c r="C5" s="1">
        <v>90</v>
      </c>
      <c r="D5" s="1">
        <v>204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114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101</v>
      </c>
      <c r="D11" s="1">
        <v>126</v>
      </c>
      <c r="E11" s="1">
        <v>2026</v>
      </c>
      <c r="F11" s="5" t="s">
        <v>14</v>
      </c>
      <c r="G11" s="3">
        <f>IF((C11-D11)&lt;0,0,C11-D11)</f>
        <v>0</v>
      </c>
      <c r="H11" s="4">
        <f>IF((D11-C11)&lt;0,0,D11-C11)</f>
        <v>25</v>
      </c>
    </row>
    <row r="12" spans="1:8" ht="19.149999999999999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113</v>
      </c>
      <c r="D21" s="1"/>
      <c r="E21" s="1"/>
      <c r="F21" s="5"/>
      <c r="G21" s="3">
        <f t="shared" ref="G21:G29" si="4">IF((C21-D21)&lt;0,0,C21-D21)</f>
        <v>113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113</v>
      </c>
      <c r="D22" s="1">
        <v>163</v>
      </c>
      <c r="E22" s="1">
        <v>2024</v>
      </c>
      <c r="F22" s="5" t="s">
        <v>14</v>
      </c>
      <c r="G22" s="3">
        <f t="shared" si="4"/>
        <v>0</v>
      </c>
      <c r="H22" s="4">
        <f t="shared" si="5"/>
        <v>50</v>
      </c>
    </row>
    <row r="23" spans="1:8" ht="19.5">
      <c r="A23" s="1">
        <v>4</v>
      </c>
      <c r="B23" s="9" t="s">
        <v>13</v>
      </c>
      <c r="C23" s="1">
        <v>113</v>
      </c>
      <c r="D23" s="1">
        <v>173</v>
      </c>
      <c r="E23" s="1">
        <v>2025</v>
      </c>
      <c r="F23" s="5" t="s">
        <v>14</v>
      </c>
      <c r="G23" s="3">
        <f t="shared" si="4"/>
        <v>0</v>
      </c>
      <c r="H23" s="4">
        <f t="shared" si="5"/>
        <v>60</v>
      </c>
    </row>
    <row r="24" spans="1:8" ht="27" customHeight="1">
      <c r="A24" s="1">
        <v>4</v>
      </c>
      <c r="B24" s="9" t="s">
        <v>11</v>
      </c>
      <c r="C24" s="1">
        <v>113</v>
      </c>
      <c r="D24" s="1">
        <v>173</v>
      </c>
      <c r="E24" s="1">
        <v>2025</v>
      </c>
      <c r="F24" s="5" t="s">
        <v>14</v>
      </c>
      <c r="G24" s="3">
        <f t="shared" si="4"/>
        <v>0</v>
      </c>
      <c r="H24" s="4">
        <f t="shared" si="5"/>
        <v>60</v>
      </c>
    </row>
    <row r="25" spans="1:8" ht="33.75" customHeight="1">
      <c r="A25" s="1">
        <v>4</v>
      </c>
      <c r="B25" s="9" t="s">
        <v>18</v>
      </c>
      <c r="C25" s="1">
        <v>113</v>
      </c>
      <c r="D25" s="1">
        <v>159</v>
      </c>
      <c r="E25" s="1">
        <v>2024</v>
      </c>
      <c r="F25" s="5" t="s">
        <v>14</v>
      </c>
      <c r="G25" s="3">
        <f t="shared" si="4"/>
        <v>0</v>
      </c>
      <c r="H25" s="4">
        <f t="shared" si="5"/>
        <v>46</v>
      </c>
    </row>
    <row r="26" spans="1:8" ht="33.75" customHeight="1">
      <c r="A26" s="1">
        <v>4</v>
      </c>
      <c r="B26" s="9" t="s">
        <v>15</v>
      </c>
      <c r="C26" s="1">
        <v>113</v>
      </c>
      <c r="D26" s="1">
        <v>161</v>
      </c>
      <c r="E26" s="1">
        <v>2024</v>
      </c>
      <c r="F26" s="5" t="s">
        <v>14</v>
      </c>
      <c r="G26" s="3">
        <f t="shared" si="4"/>
        <v>0</v>
      </c>
      <c r="H26" s="4">
        <f t="shared" si="5"/>
        <v>48</v>
      </c>
    </row>
    <row r="27" spans="1:8" ht="33.75" customHeight="1">
      <c r="A27" s="1">
        <v>4</v>
      </c>
      <c r="B27" s="9" t="s">
        <v>19</v>
      </c>
      <c r="C27" s="1">
        <v>113</v>
      </c>
      <c r="D27" s="1">
        <v>158</v>
      </c>
      <c r="E27" s="1">
        <v>2024</v>
      </c>
      <c r="F27" s="5" t="s">
        <v>14</v>
      </c>
      <c r="G27" s="3">
        <f t="shared" si="4"/>
        <v>0</v>
      </c>
      <c r="H27" s="4">
        <f t="shared" si="5"/>
        <v>45</v>
      </c>
    </row>
    <row r="28" spans="1:8" ht="27.75" customHeight="1">
      <c r="A28" s="1">
        <v>4</v>
      </c>
      <c r="B28" s="9" t="s">
        <v>20</v>
      </c>
      <c r="C28" s="1">
        <v>113</v>
      </c>
      <c r="D28" s="1"/>
      <c r="E28" s="1"/>
      <c r="F28" s="5"/>
      <c r="G28" s="3">
        <f t="shared" si="4"/>
        <v>113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113</v>
      </c>
      <c r="D29" s="1">
        <v>173</v>
      </c>
      <c r="E29" s="1">
        <v>2026</v>
      </c>
      <c r="F29" s="5" t="s">
        <v>14</v>
      </c>
      <c r="G29" s="3">
        <f t="shared" si="4"/>
        <v>0</v>
      </c>
      <c r="H29" s="4">
        <f t="shared" si="5"/>
        <v>60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104</v>
      </c>
      <c r="D31" s="1">
        <v>130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26</v>
      </c>
    </row>
    <row r="32" spans="1:8" ht="27.75" customHeight="1">
      <c r="A32" s="1">
        <v>5</v>
      </c>
      <c r="B32" s="9" t="s">
        <v>17</v>
      </c>
      <c r="C32" s="1">
        <v>104</v>
      </c>
      <c r="D32" s="1"/>
      <c r="E32" s="1"/>
      <c r="F32" s="5"/>
      <c r="G32" s="3">
        <f t="shared" si="6"/>
        <v>104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104</v>
      </c>
      <c r="D33" s="1"/>
      <c r="E33" s="1"/>
      <c r="F33" s="5"/>
      <c r="G33" s="3">
        <f t="shared" si="6"/>
        <v>104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104</v>
      </c>
      <c r="D34" s="1"/>
      <c r="E34" s="1"/>
      <c r="F34" s="5"/>
      <c r="G34" s="3">
        <f t="shared" si="6"/>
        <v>104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104</v>
      </c>
      <c r="D35" s="1">
        <v>142</v>
      </c>
      <c r="E35" s="1">
        <v>2025</v>
      </c>
      <c r="F35" s="5" t="s">
        <v>14</v>
      </c>
      <c r="G35" s="3">
        <f t="shared" si="6"/>
        <v>0</v>
      </c>
      <c r="H35" s="4">
        <f t="shared" si="7"/>
        <v>38</v>
      </c>
    </row>
    <row r="36" spans="1:8" ht="27.75" customHeight="1">
      <c r="A36" s="1">
        <v>5</v>
      </c>
      <c r="B36" s="9" t="s">
        <v>15</v>
      </c>
      <c r="C36" s="1">
        <v>104</v>
      </c>
      <c r="D36" s="1">
        <v>130</v>
      </c>
      <c r="E36" s="1">
        <v>2025</v>
      </c>
      <c r="F36" s="5" t="s">
        <v>14</v>
      </c>
      <c r="G36" s="3">
        <f t="shared" si="6"/>
        <v>0</v>
      </c>
      <c r="H36" s="4">
        <f t="shared" si="7"/>
        <v>26</v>
      </c>
    </row>
    <row r="37" spans="1:8" ht="27.75" customHeight="1">
      <c r="A37" s="1">
        <v>5</v>
      </c>
      <c r="B37" s="9" t="s">
        <v>19</v>
      </c>
      <c r="C37" s="1">
        <v>104</v>
      </c>
      <c r="D37" s="1">
        <v>130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26</v>
      </c>
    </row>
    <row r="38" spans="1:8" ht="27.75" customHeight="1">
      <c r="A38" s="1">
        <v>5</v>
      </c>
      <c r="B38" s="9" t="s">
        <v>20</v>
      </c>
      <c r="C38" s="1">
        <v>104</v>
      </c>
      <c r="D38" s="1">
        <v>130</v>
      </c>
      <c r="E38" s="1">
        <v>2026</v>
      </c>
      <c r="F38" s="5" t="s">
        <v>14</v>
      </c>
      <c r="G38" s="3">
        <f t="shared" si="6"/>
        <v>0</v>
      </c>
      <c r="H38" s="4">
        <f t="shared" si="7"/>
        <v>26</v>
      </c>
    </row>
    <row r="39" spans="1:8" ht="27.75" customHeight="1">
      <c r="A39" s="1">
        <v>5</v>
      </c>
      <c r="B39" s="9" t="s">
        <v>21</v>
      </c>
      <c r="C39" s="1">
        <v>104</v>
      </c>
      <c r="D39" s="1"/>
      <c r="E39" s="1"/>
      <c r="F39" s="5"/>
      <c r="G39" s="3">
        <f t="shared" si="6"/>
        <v>104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0 D11:E11 C12:E49" name="Textbooks"/>
    <protectedRange sqref="F1:F49" name="SOURCE"/>
    <protectedRange sqref="C11" name="Textbooks_1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Y137" sqref="Y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4" t="s">
        <v>35</v>
      </c>
      <c r="N2" s="34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5" t="s">
        <v>47</v>
      </c>
      <c r="Z2" s="35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101</v>
      </c>
      <c r="D14" s="5">
        <f>Table1[[#This Row],[Enrolment S.Y. 2025-2026 ]]*8</f>
        <v>808</v>
      </c>
      <c r="E14" s="5"/>
      <c r="F14" s="1"/>
      <c r="G14" s="5"/>
      <c r="H14" s="5">
        <f t="shared" si="2"/>
        <v>808</v>
      </c>
      <c r="I14" s="5">
        <f t="shared" si="3"/>
        <v>0</v>
      </c>
      <c r="J14" s="5">
        <f>Table1[[#This Row],[Enrolment S.Y. 2025-2026 ]]*8</f>
        <v>808</v>
      </c>
      <c r="K14" s="5"/>
      <c r="L14" s="1"/>
      <c r="M14" s="5"/>
      <c r="N14" s="5">
        <f t="shared" si="10"/>
        <v>808</v>
      </c>
      <c r="O14" s="5">
        <f t="shared" si="11"/>
        <v>0</v>
      </c>
      <c r="P14" s="5">
        <f>Table1[[#This Row],[Enrolment S.Y. 2025-2026 ]]*8</f>
        <v>808</v>
      </c>
      <c r="Q14" s="5"/>
      <c r="R14" s="1"/>
      <c r="S14" s="5"/>
      <c r="T14" s="5">
        <f t="shared" si="12"/>
        <v>808</v>
      </c>
      <c r="U14" s="5">
        <f t="shared" si="13"/>
        <v>0</v>
      </c>
      <c r="V14" s="5">
        <f>Table1[[#This Row],[Enrolment S.Y. 2025-2026 ]]*8</f>
        <v>808</v>
      </c>
      <c r="W14" s="5"/>
      <c r="X14" s="1"/>
      <c r="Y14" s="5"/>
      <c r="Z14" s="5">
        <f t="shared" si="14"/>
        <v>808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101</v>
      </c>
      <c r="D15" s="5">
        <f>Table1[[#This Row],[Enrolment S.Y. 2025-2026 ]]*8</f>
        <v>808</v>
      </c>
      <c r="E15" s="5"/>
      <c r="F15" s="1"/>
      <c r="G15" s="5"/>
      <c r="H15" s="5">
        <f t="shared" si="2"/>
        <v>808</v>
      </c>
      <c r="I15" s="5">
        <f t="shared" si="3"/>
        <v>0</v>
      </c>
      <c r="J15" s="5">
        <f>Table1[[#This Row],[Enrolment S.Y. 2025-2026 ]]*8</f>
        <v>808</v>
      </c>
      <c r="K15" s="5"/>
      <c r="L15" s="1"/>
      <c r="M15" s="5"/>
      <c r="N15" s="5">
        <f t="shared" si="10"/>
        <v>808</v>
      </c>
      <c r="O15" s="5">
        <f t="shared" si="11"/>
        <v>0</v>
      </c>
      <c r="P15" s="5">
        <f>Table1[[#This Row],[Enrolment S.Y. 2025-2026 ]]*8</f>
        <v>808</v>
      </c>
      <c r="Q15" s="5"/>
      <c r="R15" s="1"/>
      <c r="S15" s="5"/>
      <c r="T15" s="5">
        <f t="shared" si="12"/>
        <v>808</v>
      </c>
      <c r="U15" s="5">
        <f t="shared" si="13"/>
        <v>0</v>
      </c>
      <c r="V15" s="5">
        <f>Table1[[#This Row],[Enrolment S.Y. 2025-2026 ]]*8</f>
        <v>808</v>
      </c>
      <c r="W15" s="5"/>
      <c r="X15" s="1"/>
      <c r="Y15" s="5"/>
      <c r="Z15" s="5">
        <f t="shared" si="14"/>
        <v>808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101</v>
      </c>
      <c r="D16" s="5">
        <f>Table1[[#This Row],[Enrolment S.Y. 2025-2026 ]]*8</f>
        <v>808</v>
      </c>
      <c r="E16" s="5">
        <v>984</v>
      </c>
      <c r="F16" s="1">
        <v>2025</v>
      </c>
      <c r="G16" s="5"/>
      <c r="H16" s="5">
        <f t="shared" si="2"/>
        <v>0</v>
      </c>
      <c r="I16" s="5">
        <f t="shared" si="3"/>
        <v>176</v>
      </c>
      <c r="J16" s="5">
        <f>Table1[[#This Row],[Enrolment S.Y. 2025-2026 ]]*8</f>
        <v>808</v>
      </c>
      <c r="K16" s="5"/>
      <c r="L16" s="1"/>
      <c r="M16" s="5"/>
      <c r="N16" s="5">
        <f t="shared" si="10"/>
        <v>808</v>
      </c>
      <c r="O16" s="5">
        <f t="shared" si="11"/>
        <v>0</v>
      </c>
      <c r="P16" s="5">
        <f>Table1[[#This Row],[Enrolment S.Y. 2025-2026 ]]*8</f>
        <v>808</v>
      </c>
      <c r="Q16" s="5"/>
      <c r="R16" s="1"/>
      <c r="S16" s="5"/>
      <c r="T16" s="5">
        <f t="shared" si="12"/>
        <v>808</v>
      </c>
      <c r="U16" s="5">
        <f t="shared" si="13"/>
        <v>0</v>
      </c>
      <c r="V16" s="5">
        <f>Table1[[#This Row],[Enrolment S.Y. 2025-2026 ]]*8</f>
        <v>808</v>
      </c>
      <c r="W16" s="5"/>
      <c r="X16" s="1"/>
      <c r="Y16" s="5"/>
      <c r="Z16" s="5">
        <f t="shared" si="14"/>
        <v>808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101</v>
      </c>
      <c r="D17" s="5">
        <f>Table1[[#This Row],[Enrolment S.Y. 2025-2026 ]]*8</f>
        <v>808</v>
      </c>
      <c r="E17" s="5">
        <v>984</v>
      </c>
      <c r="F17" s="1">
        <v>2025</v>
      </c>
      <c r="G17" s="5" t="s">
        <v>9</v>
      </c>
      <c r="H17" s="5">
        <f t="shared" si="2"/>
        <v>0</v>
      </c>
      <c r="I17" s="5">
        <f t="shared" si="3"/>
        <v>176</v>
      </c>
      <c r="J17" s="5">
        <f>Table1[[#This Row],[Enrolment S.Y. 2025-2026 ]]*8</f>
        <v>808</v>
      </c>
      <c r="K17" s="5">
        <v>832</v>
      </c>
      <c r="L17" s="1">
        <v>2025</v>
      </c>
      <c r="M17" s="5" t="s">
        <v>9</v>
      </c>
      <c r="N17" s="5">
        <f t="shared" si="10"/>
        <v>0</v>
      </c>
      <c r="O17" s="5">
        <f t="shared" si="11"/>
        <v>24</v>
      </c>
      <c r="P17" s="5">
        <f>Table1[[#This Row],[Enrolment S.Y. 2025-2026 ]]*8</f>
        <v>808</v>
      </c>
      <c r="Q17" s="5"/>
      <c r="R17" s="1"/>
      <c r="S17" s="5"/>
      <c r="T17" s="5">
        <f t="shared" si="12"/>
        <v>808</v>
      </c>
      <c r="U17" s="5">
        <f t="shared" si="13"/>
        <v>0</v>
      </c>
      <c r="V17" s="5">
        <f>Table1[[#This Row],[Enrolment S.Y. 2025-2026 ]]*8</f>
        <v>808</v>
      </c>
      <c r="W17" s="5"/>
      <c r="X17" s="1"/>
      <c r="Y17" s="5"/>
      <c r="Z17" s="5">
        <f t="shared" si="14"/>
        <v>808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101</v>
      </c>
      <c r="D18" s="5">
        <f>Table1[[#This Row],[Enrolment S.Y. 2025-2026 ]]*8</f>
        <v>808</v>
      </c>
      <c r="E18" s="5">
        <v>984</v>
      </c>
      <c r="F18" s="1">
        <v>2025</v>
      </c>
      <c r="G18" s="5" t="s">
        <v>9</v>
      </c>
      <c r="H18" s="5">
        <f t="shared" si="2"/>
        <v>0</v>
      </c>
      <c r="I18" s="5">
        <f t="shared" si="3"/>
        <v>176</v>
      </c>
      <c r="J18" s="5">
        <f>Table1[[#This Row],[Enrolment S.Y. 2025-2026 ]]*8</f>
        <v>808</v>
      </c>
      <c r="K18" s="5"/>
      <c r="L18" s="1"/>
      <c r="M18" s="5"/>
      <c r="N18" s="5">
        <f t="shared" si="10"/>
        <v>808</v>
      </c>
      <c r="O18" s="5">
        <f t="shared" si="11"/>
        <v>0</v>
      </c>
      <c r="P18" s="5">
        <f>Table1[[#This Row],[Enrolment S.Y. 2025-2026 ]]*8</f>
        <v>808</v>
      </c>
      <c r="Q18" s="5"/>
      <c r="R18" s="1"/>
      <c r="S18" s="5"/>
      <c r="T18" s="5">
        <f t="shared" si="12"/>
        <v>808</v>
      </c>
      <c r="U18" s="5">
        <f t="shared" si="13"/>
        <v>0</v>
      </c>
      <c r="V18" s="5">
        <f>Table1[[#This Row],[Enrolment S.Y. 2025-2026 ]]*8</f>
        <v>808</v>
      </c>
      <c r="W18" s="5"/>
      <c r="X18" s="1"/>
      <c r="Y18" s="5"/>
      <c r="Z18" s="5">
        <f t="shared" si="14"/>
        <v>808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101</v>
      </c>
      <c r="D19" s="5">
        <f>Table1[[#This Row],[Enrolment S.Y. 2025-2026 ]]*8</f>
        <v>808</v>
      </c>
      <c r="E19" s="5">
        <v>984</v>
      </c>
      <c r="F19" s="1">
        <v>2025</v>
      </c>
      <c r="G19" s="5" t="s">
        <v>9</v>
      </c>
      <c r="H19" s="5">
        <f>IF((D19-E19)&lt;0,0,(D19-E19))</f>
        <v>0</v>
      </c>
      <c r="I19" s="5">
        <f>IF((E19-D19)&lt;0,0,(E19-D19))</f>
        <v>176</v>
      </c>
      <c r="J19" s="5">
        <f>Table1[[#This Row],[Enrolment S.Y. 2025-2026 ]]*8</f>
        <v>808</v>
      </c>
      <c r="K19" s="5">
        <v>832</v>
      </c>
      <c r="L19" s="1">
        <v>2025</v>
      </c>
      <c r="M19" s="5" t="s">
        <v>9</v>
      </c>
      <c r="N19" s="5">
        <f t="shared" si="10"/>
        <v>0</v>
      </c>
      <c r="O19" s="5">
        <f t="shared" si="11"/>
        <v>24</v>
      </c>
      <c r="P19" s="5">
        <f>Table1[[#This Row],[Enrolment S.Y. 2025-2026 ]]*8</f>
        <v>808</v>
      </c>
      <c r="Q19" s="5"/>
      <c r="R19" s="1"/>
      <c r="S19" s="5"/>
      <c r="T19" s="5">
        <f t="shared" si="12"/>
        <v>808</v>
      </c>
      <c r="U19" s="5">
        <f t="shared" si="13"/>
        <v>0</v>
      </c>
      <c r="V19" s="5">
        <f>Table1[[#This Row],[Enrolment S.Y. 2025-2026 ]]*8</f>
        <v>808</v>
      </c>
      <c r="W19" s="5"/>
      <c r="X19" s="1"/>
      <c r="Y19" s="5"/>
      <c r="Z19" s="5">
        <f t="shared" si="14"/>
        <v>808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101</v>
      </c>
      <c r="D20" s="5">
        <f>Table1[[#This Row],[Enrolment S.Y. 2025-2026 ]]*8</f>
        <v>808</v>
      </c>
      <c r="E20" s="5">
        <v>984</v>
      </c>
      <c r="F20" s="1">
        <v>2025</v>
      </c>
      <c r="G20" s="5" t="s">
        <v>9</v>
      </c>
      <c r="H20" s="5">
        <f>IF((D20-E20)&lt;0,0,(D20-E20))</f>
        <v>0</v>
      </c>
      <c r="I20" s="5">
        <f>IF((E20-D20)&lt;0,0,(E20-D20))</f>
        <v>176</v>
      </c>
      <c r="J20" s="5">
        <f>Table1[[#This Row],[Enrolment S.Y. 2025-2026 ]]*8</f>
        <v>808</v>
      </c>
      <c r="K20" s="5"/>
      <c r="L20" s="1"/>
      <c r="M20" s="5"/>
      <c r="N20" s="5">
        <f t="shared" si="10"/>
        <v>808</v>
      </c>
      <c r="O20" s="5">
        <f t="shared" si="11"/>
        <v>0</v>
      </c>
      <c r="P20" s="5">
        <f>Table1[[#This Row],[Enrolment S.Y. 2025-2026 ]]*8</f>
        <v>808</v>
      </c>
      <c r="Q20" s="5"/>
      <c r="R20" s="1"/>
      <c r="S20" s="5"/>
      <c r="T20" s="5">
        <f t="shared" si="12"/>
        <v>808</v>
      </c>
      <c r="U20" s="5">
        <f t="shared" si="13"/>
        <v>0</v>
      </c>
      <c r="V20" s="5">
        <f>Table1[[#This Row],[Enrolment S.Y. 2025-2026 ]]*8</f>
        <v>808</v>
      </c>
      <c r="W20" s="5"/>
      <c r="X20" s="1"/>
      <c r="Y20" s="5"/>
      <c r="Z20" s="5">
        <f t="shared" si="14"/>
        <v>808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101</v>
      </c>
      <c r="D21" s="5">
        <f>Table1[[#This Row],[Enrolment S.Y. 2025-2026 ]]*8</f>
        <v>808</v>
      </c>
      <c r="E21" s="5"/>
      <c r="F21" s="1"/>
      <c r="G21" s="5"/>
      <c r="H21" s="5">
        <f>IF((D21-E21)&lt;0,0,(D21-E21))</f>
        <v>808</v>
      </c>
      <c r="I21" s="5">
        <f>IF((E21-D21)&lt;0,0,(E21-D21))</f>
        <v>0</v>
      </c>
      <c r="J21" s="5">
        <f>Table1[[#This Row],[Enrolment S.Y. 2025-2026 ]]*8</f>
        <v>808</v>
      </c>
      <c r="K21" s="5"/>
      <c r="L21" s="1"/>
      <c r="M21" s="5"/>
      <c r="N21" s="5">
        <f t="shared" si="10"/>
        <v>808</v>
      </c>
      <c r="O21" s="5">
        <f t="shared" si="11"/>
        <v>0</v>
      </c>
      <c r="P21" s="5">
        <f>Table1[[#This Row],[Enrolment S.Y. 2025-2026 ]]*8</f>
        <v>808</v>
      </c>
      <c r="Q21" s="5"/>
      <c r="R21" s="1"/>
      <c r="S21" s="5"/>
      <c r="T21" s="5">
        <f t="shared" si="12"/>
        <v>808</v>
      </c>
      <c r="U21" s="5">
        <f t="shared" si="13"/>
        <v>0</v>
      </c>
      <c r="V21" s="5">
        <f>Table1[[#This Row],[Enrolment S.Y. 2025-2026 ]]*8</f>
        <v>808</v>
      </c>
      <c r="W21" s="5"/>
      <c r="X21" s="1"/>
      <c r="Y21" s="5"/>
      <c r="Z21" s="5">
        <f t="shared" si="14"/>
        <v>808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121</v>
      </c>
      <c r="D23" s="5">
        <f>Table1[[#This Row],[Enrolment S.Y. 2025-2026 ]]*8</f>
        <v>968</v>
      </c>
      <c r="E23" s="5"/>
      <c r="F23" s="1"/>
      <c r="G23" s="5"/>
      <c r="H23" s="5">
        <f t="shared" si="2"/>
        <v>968</v>
      </c>
      <c r="I23" s="5">
        <f t="shared" si="3"/>
        <v>0</v>
      </c>
      <c r="J23" s="5">
        <f>Table1[[#This Row],[Enrolment S.Y. 2025-2026 ]]*8</f>
        <v>968</v>
      </c>
      <c r="K23" s="5"/>
      <c r="L23" s="1"/>
      <c r="M23" s="5"/>
      <c r="N23" s="5">
        <f t="shared" si="10"/>
        <v>968</v>
      </c>
      <c r="O23" s="5">
        <f t="shared" si="11"/>
        <v>0</v>
      </c>
      <c r="P23" s="5">
        <f>Table1[[#This Row],[Enrolment S.Y. 2025-2026 ]]*8</f>
        <v>968</v>
      </c>
      <c r="Q23" s="5"/>
      <c r="R23" s="1"/>
      <c r="S23" s="5"/>
      <c r="T23" s="5">
        <f t="shared" si="12"/>
        <v>968</v>
      </c>
      <c r="U23" s="5">
        <f t="shared" si="13"/>
        <v>0</v>
      </c>
      <c r="V23" s="5">
        <f>Table1[[#This Row],[Enrolment S.Y. 2025-2026 ]]*8</f>
        <v>968</v>
      </c>
      <c r="W23" s="5"/>
      <c r="X23" s="1"/>
      <c r="Y23" s="5"/>
      <c r="Z23" s="5">
        <f t="shared" si="14"/>
        <v>968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121</v>
      </c>
      <c r="D24" s="5">
        <f>Table1[[#This Row],[Enrolment S.Y. 2025-2026 ]]*8</f>
        <v>968</v>
      </c>
      <c r="E24" s="5"/>
      <c r="F24" s="1"/>
      <c r="G24" s="5"/>
      <c r="H24" s="5">
        <f t="shared" si="2"/>
        <v>968</v>
      </c>
      <c r="I24" s="5">
        <f t="shared" si="3"/>
        <v>0</v>
      </c>
      <c r="J24" s="5">
        <f>Table1[[#This Row],[Enrolment S.Y. 2025-2026 ]]*8</f>
        <v>968</v>
      </c>
      <c r="K24" s="5"/>
      <c r="L24" s="1"/>
      <c r="M24" s="5"/>
      <c r="N24" s="5">
        <f t="shared" si="10"/>
        <v>968</v>
      </c>
      <c r="O24" s="5">
        <f t="shared" si="11"/>
        <v>0</v>
      </c>
      <c r="P24" s="5">
        <f>Table1[[#This Row],[Enrolment S.Y. 2025-2026 ]]*8</f>
        <v>968</v>
      </c>
      <c r="Q24" s="5"/>
      <c r="R24" s="1"/>
      <c r="S24" s="5"/>
      <c r="T24" s="5">
        <f t="shared" si="12"/>
        <v>968</v>
      </c>
      <c r="U24" s="5">
        <f t="shared" si="13"/>
        <v>0</v>
      </c>
      <c r="V24" s="5">
        <f>Table1[[#This Row],[Enrolment S.Y. 2025-2026 ]]*8</f>
        <v>968</v>
      </c>
      <c r="W24" s="5"/>
      <c r="X24" s="1"/>
      <c r="Y24" s="5"/>
      <c r="Z24" s="5">
        <f t="shared" si="14"/>
        <v>968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121</v>
      </c>
      <c r="D25" s="5">
        <f>Table1[[#This Row],[Enrolment S.Y. 2025-2026 ]]*8</f>
        <v>968</v>
      </c>
      <c r="E25" s="5">
        <v>808</v>
      </c>
      <c r="F25" s="1">
        <v>2025</v>
      </c>
      <c r="G25" s="5" t="s">
        <v>9</v>
      </c>
      <c r="H25" s="5">
        <f t="shared" si="2"/>
        <v>160</v>
      </c>
      <c r="I25" s="5">
        <f t="shared" si="3"/>
        <v>0</v>
      </c>
      <c r="J25" s="5">
        <f>Table1[[#This Row],[Enrolment S.Y. 2025-2026 ]]*8</f>
        <v>968</v>
      </c>
      <c r="K25" s="5"/>
      <c r="L25" s="1"/>
      <c r="M25" s="5"/>
      <c r="N25" s="5">
        <f t="shared" si="10"/>
        <v>968</v>
      </c>
      <c r="O25" s="5">
        <f t="shared" si="11"/>
        <v>0</v>
      </c>
      <c r="P25" s="5">
        <f>Table1[[#This Row],[Enrolment S.Y. 2025-2026 ]]*8</f>
        <v>968</v>
      </c>
      <c r="Q25" s="5"/>
      <c r="R25" s="1"/>
      <c r="S25" s="5"/>
      <c r="T25" s="5">
        <f t="shared" si="12"/>
        <v>968</v>
      </c>
      <c r="U25" s="5">
        <f t="shared" si="13"/>
        <v>0</v>
      </c>
      <c r="V25" s="5">
        <f>Table1[[#This Row],[Enrolment S.Y. 2025-2026 ]]*8</f>
        <v>968</v>
      </c>
      <c r="W25" s="5"/>
      <c r="X25" s="1"/>
      <c r="Y25" s="5"/>
      <c r="Z25" s="5">
        <f t="shared" si="14"/>
        <v>968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121</v>
      </c>
      <c r="D26" s="5">
        <f>Table1[[#This Row],[Enrolment S.Y. 2025-2026 ]]*8</f>
        <v>968</v>
      </c>
      <c r="E26" s="5">
        <v>808</v>
      </c>
      <c r="F26" s="1">
        <v>2025</v>
      </c>
      <c r="G26" s="5" t="s">
        <v>9</v>
      </c>
      <c r="H26" s="5">
        <f t="shared" si="2"/>
        <v>160</v>
      </c>
      <c r="I26" s="5">
        <f t="shared" si="3"/>
        <v>0</v>
      </c>
      <c r="J26" s="5">
        <f>Table1[[#This Row],[Enrolment S.Y. 2025-2026 ]]*8</f>
        <v>968</v>
      </c>
      <c r="K26" s="5"/>
      <c r="L26" s="1"/>
      <c r="M26" s="5"/>
      <c r="N26" s="5">
        <f t="shared" si="10"/>
        <v>968</v>
      </c>
      <c r="O26" s="5">
        <f t="shared" si="11"/>
        <v>0</v>
      </c>
      <c r="P26" s="5">
        <f>Table1[[#This Row],[Enrolment S.Y. 2025-2026 ]]*8</f>
        <v>968</v>
      </c>
      <c r="Q26" s="5"/>
      <c r="R26" s="1"/>
      <c r="S26" s="5"/>
      <c r="T26" s="5">
        <f t="shared" si="12"/>
        <v>968</v>
      </c>
      <c r="U26" s="5">
        <f t="shared" si="13"/>
        <v>0</v>
      </c>
      <c r="V26" s="5">
        <f>Table1[[#This Row],[Enrolment S.Y. 2025-2026 ]]*8</f>
        <v>968</v>
      </c>
      <c r="W26" s="5"/>
      <c r="X26" s="1"/>
      <c r="Y26" s="5"/>
      <c r="Z26" s="5">
        <f t="shared" si="14"/>
        <v>968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121</v>
      </c>
      <c r="D27" s="5">
        <f>Table1[[#This Row],[Enrolment S.Y. 2025-2026 ]]*8</f>
        <v>968</v>
      </c>
      <c r="E27" s="5"/>
      <c r="F27" s="1"/>
      <c r="G27" s="5"/>
      <c r="H27" s="5">
        <f t="shared" si="2"/>
        <v>968</v>
      </c>
      <c r="I27" s="5">
        <f t="shared" si="3"/>
        <v>0</v>
      </c>
      <c r="J27" s="5">
        <f>Table1[[#This Row],[Enrolment S.Y. 2025-2026 ]]*8</f>
        <v>968</v>
      </c>
      <c r="K27" s="5"/>
      <c r="L27" s="1"/>
      <c r="M27" s="5"/>
      <c r="N27" s="5">
        <f t="shared" si="10"/>
        <v>968</v>
      </c>
      <c r="O27" s="5">
        <f t="shared" si="11"/>
        <v>0</v>
      </c>
      <c r="P27" s="5">
        <f>Table1[[#This Row],[Enrolment S.Y. 2025-2026 ]]*8</f>
        <v>968</v>
      </c>
      <c r="Q27" s="5"/>
      <c r="R27" s="1"/>
      <c r="S27" s="5"/>
      <c r="T27" s="5">
        <f t="shared" si="12"/>
        <v>968</v>
      </c>
      <c r="U27" s="5">
        <f t="shared" si="13"/>
        <v>0</v>
      </c>
      <c r="V27" s="5">
        <f>Table1[[#This Row],[Enrolment S.Y. 2025-2026 ]]*8</f>
        <v>968</v>
      </c>
      <c r="W27" s="5"/>
      <c r="X27" s="1"/>
      <c r="Y27" s="5"/>
      <c r="Z27" s="5">
        <f t="shared" si="14"/>
        <v>968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121</v>
      </c>
      <c r="D28" s="5">
        <f>Table1[[#This Row],[Enrolment S.Y. 2025-2026 ]]*8</f>
        <v>968</v>
      </c>
      <c r="E28" s="5">
        <v>808</v>
      </c>
      <c r="F28" s="1">
        <v>2025</v>
      </c>
      <c r="G28" s="5" t="s">
        <v>9</v>
      </c>
      <c r="H28" s="5">
        <f t="shared" si="2"/>
        <v>160</v>
      </c>
      <c r="I28" s="5">
        <f t="shared" si="3"/>
        <v>0</v>
      </c>
      <c r="J28" s="5">
        <f>Table1[[#This Row],[Enrolment S.Y. 2025-2026 ]]*8</f>
        <v>968</v>
      </c>
      <c r="K28" s="5"/>
      <c r="L28" s="1"/>
      <c r="M28" s="5"/>
      <c r="N28" s="5">
        <f t="shared" si="10"/>
        <v>968</v>
      </c>
      <c r="O28" s="5">
        <f t="shared" si="11"/>
        <v>0</v>
      </c>
      <c r="P28" s="5">
        <f>Table1[[#This Row],[Enrolment S.Y. 2025-2026 ]]*8</f>
        <v>968</v>
      </c>
      <c r="Q28" s="5"/>
      <c r="R28" s="1"/>
      <c r="S28" s="5"/>
      <c r="T28" s="5">
        <f t="shared" si="12"/>
        <v>968</v>
      </c>
      <c r="U28" s="5">
        <f t="shared" si="13"/>
        <v>0</v>
      </c>
      <c r="V28" s="5">
        <f>Table1[[#This Row],[Enrolment S.Y. 2025-2026 ]]*8</f>
        <v>968</v>
      </c>
      <c r="W28" s="5"/>
      <c r="X28" s="1"/>
      <c r="Y28" s="5"/>
      <c r="Z28" s="5">
        <f t="shared" si="14"/>
        <v>968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121</v>
      </c>
      <c r="D29" s="5">
        <f>Table1[[#This Row],[Enrolment S.Y. 2025-2026 ]]*8</f>
        <v>968</v>
      </c>
      <c r="E29" s="5">
        <v>808</v>
      </c>
      <c r="F29" s="1">
        <v>2025</v>
      </c>
      <c r="G29" s="5" t="s">
        <v>9</v>
      </c>
      <c r="H29" s="5">
        <f>IF((D29-E29)&lt;0,0,(D29-E29))</f>
        <v>160</v>
      </c>
      <c r="I29" s="5">
        <f>IF((E29-D29)&lt;0,0,(E29-D29))</f>
        <v>0</v>
      </c>
      <c r="J29" s="5">
        <f>Table1[[#This Row],[Enrolment S.Y. 2025-2026 ]]*8</f>
        <v>968</v>
      </c>
      <c r="K29" s="5"/>
      <c r="L29" s="1"/>
      <c r="M29" s="5"/>
      <c r="N29" s="5">
        <f t="shared" si="10"/>
        <v>968</v>
      </c>
      <c r="O29" s="5">
        <f t="shared" si="11"/>
        <v>0</v>
      </c>
      <c r="P29" s="5">
        <f>Table1[[#This Row],[Enrolment S.Y. 2025-2026 ]]*8</f>
        <v>968</v>
      </c>
      <c r="Q29" s="5"/>
      <c r="R29" s="1"/>
      <c r="S29" s="5"/>
      <c r="T29" s="5">
        <f t="shared" si="12"/>
        <v>968</v>
      </c>
      <c r="U29" s="5">
        <f t="shared" si="13"/>
        <v>0</v>
      </c>
      <c r="V29" s="5">
        <f>Table1[[#This Row],[Enrolment S.Y. 2025-2026 ]]*8</f>
        <v>968</v>
      </c>
      <c r="W29" s="5"/>
      <c r="X29" s="1"/>
      <c r="Y29" s="5"/>
      <c r="Z29" s="5">
        <f t="shared" si="14"/>
        <v>968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121</v>
      </c>
      <c r="D30" s="5">
        <f>Table1[[#This Row],[Enrolment S.Y. 2025-2026 ]]*8</f>
        <v>968</v>
      </c>
      <c r="E30" s="5">
        <v>808</v>
      </c>
      <c r="F30" s="1">
        <v>2025</v>
      </c>
      <c r="G30" s="5" t="s">
        <v>9</v>
      </c>
      <c r="H30" s="5">
        <f>IF((D30-E30)&lt;0,0,(D30-E30))</f>
        <v>160</v>
      </c>
      <c r="I30" s="5">
        <f>IF((E30-D30)&lt;0,0,(E30-D30))</f>
        <v>0</v>
      </c>
      <c r="J30" s="5">
        <f>Table1[[#This Row],[Enrolment S.Y. 2025-2026 ]]*8</f>
        <v>968</v>
      </c>
      <c r="K30" s="5"/>
      <c r="L30" s="1"/>
      <c r="M30" s="5"/>
      <c r="N30" s="5">
        <f t="shared" si="10"/>
        <v>968</v>
      </c>
      <c r="O30" s="5">
        <f t="shared" si="11"/>
        <v>0</v>
      </c>
      <c r="P30" s="5">
        <f>Table1[[#This Row],[Enrolment S.Y. 2025-2026 ]]*8</f>
        <v>968</v>
      </c>
      <c r="Q30" s="5"/>
      <c r="R30" s="1"/>
      <c r="S30" s="5"/>
      <c r="T30" s="5">
        <f t="shared" si="12"/>
        <v>968</v>
      </c>
      <c r="U30" s="5">
        <f t="shared" si="13"/>
        <v>0</v>
      </c>
      <c r="V30" s="5">
        <f>Table1[[#This Row],[Enrolment S.Y. 2025-2026 ]]*8</f>
        <v>968</v>
      </c>
      <c r="W30" s="5"/>
      <c r="X30" s="1"/>
      <c r="Y30" s="5"/>
      <c r="Z30" s="5">
        <f t="shared" si="14"/>
        <v>968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121</v>
      </c>
      <c r="D31" s="5">
        <f>Table1[[#This Row],[Enrolment S.Y. 2025-2026 ]]*8</f>
        <v>968</v>
      </c>
      <c r="E31" s="5"/>
      <c r="F31" s="1"/>
      <c r="G31" s="5"/>
      <c r="H31" s="5">
        <f>IF((D31-E31)&lt;0,0,(D31-E31))</f>
        <v>968</v>
      </c>
      <c r="I31" s="5">
        <f>IF((E31-D31)&lt;0,0,(E31-D31))</f>
        <v>0</v>
      </c>
      <c r="J31" s="5">
        <f>Table1[[#This Row],[Enrolment S.Y. 2025-2026 ]]*8</f>
        <v>968</v>
      </c>
      <c r="K31" s="5"/>
      <c r="L31" s="1"/>
      <c r="M31" s="5"/>
      <c r="N31" s="5">
        <f t="shared" si="10"/>
        <v>968</v>
      </c>
      <c r="O31" s="5">
        <f t="shared" si="11"/>
        <v>0</v>
      </c>
      <c r="P31" s="5">
        <f>Table1[[#This Row],[Enrolment S.Y. 2025-2026 ]]*8</f>
        <v>968</v>
      </c>
      <c r="Q31" s="5">
        <v>1128</v>
      </c>
      <c r="R31" s="1">
        <v>2025</v>
      </c>
      <c r="S31" s="5" t="s">
        <v>9</v>
      </c>
      <c r="T31" s="5">
        <f t="shared" si="12"/>
        <v>0</v>
      </c>
      <c r="U31" s="5">
        <f t="shared" si="13"/>
        <v>160</v>
      </c>
      <c r="V31" s="5">
        <f>Table1[[#This Row],[Enrolment S.Y. 2025-2026 ]]*8</f>
        <v>968</v>
      </c>
      <c r="W31" s="5"/>
      <c r="X31" s="1"/>
      <c r="Y31" s="5"/>
      <c r="Z31" s="5">
        <f t="shared" si="14"/>
        <v>968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16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15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113</v>
      </c>
      <c r="D41" s="5">
        <f>Table1[[#This Row],[Enrolment S.Y. 2025-2026 ]]*8</f>
        <v>904</v>
      </c>
      <c r="E41" s="5"/>
      <c r="F41" s="1"/>
      <c r="G41" s="5"/>
      <c r="H41" s="5">
        <f t="shared" si="2"/>
        <v>904</v>
      </c>
      <c r="I41" s="5">
        <f t="shared" si="3"/>
        <v>0</v>
      </c>
      <c r="J41" s="5">
        <f>Table1[[#This Row],[Enrolment S.Y. 2025-2026 ]]*8</f>
        <v>904</v>
      </c>
      <c r="K41" s="5"/>
      <c r="L41" s="1"/>
      <c r="M41" s="5"/>
      <c r="N41" s="5">
        <f t="shared" si="10"/>
        <v>904</v>
      </c>
      <c r="O41" s="5">
        <f t="shared" si="11"/>
        <v>0</v>
      </c>
      <c r="P41" s="5">
        <f>Table1[[#This Row],[Enrolment S.Y. 2025-2026 ]]*8</f>
        <v>904</v>
      </c>
      <c r="Q41" s="5"/>
      <c r="R41" s="1"/>
      <c r="S41" s="5"/>
      <c r="T41" s="5">
        <f t="shared" si="12"/>
        <v>904</v>
      </c>
      <c r="U41" s="5">
        <f t="shared" si="13"/>
        <v>0</v>
      </c>
      <c r="V41" s="5">
        <f>Table1[[#This Row],[Enrolment S.Y. 2025-2026 ]]*8</f>
        <v>904</v>
      </c>
      <c r="W41" s="5"/>
      <c r="X41" s="1"/>
      <c r="Y41" s="5"/>
      <c r="Z41" s="5">
        <f t="shared" si="14"/>
        <v>904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16</v>
      </c>
      <c r="C43" s="1">
        <v>104</v>
      </c>
      <c r="D43" s="5">
        <f>Table1[[#This Row],[Enrolment S.Y. 2025-2026 ]]*8</f>
        <v>832</v>
      </c>
      <c r="E43" s="5">
        <v>584</v>
      </c>
      <c r="F43" s="1">
        <v>2025</v>
      </c>
      <c r="G43" s="5" t="s">
        <v>9</v>
      </c>
      <c r="H43" s="5">
        <f t="shared" si="2"/>
        <v>248</v>
      </c>
      <c r="I43" s="5">
        <f t="shared" si="3"/>
        <v>0</v>
      </c>
      <c r="J43" s="5">
        <f>Table1[[#This Row],[Enrolment S.Y. 2025-2026 ]]*8</f>
        <v>832</v>
      </c>
      <c r="K43" s="5">
        <v>848</v>
      </c>
      <c r="L43" s="1">
        <v>2025</v>
      </c>
      <c r="M43" s="5" t="s">
        <v>9</v>
      </c>
      <c r="N43" s="5">
        <f t="shared" si="10"/>
        <v>0</v>
      </c>
      <c r="O43" s="5">
        <f t="shared" si="11"/>
        <v>16</v>
      </c>
      <c r="P43" s="5">
        <f>Table1[[#This Row],[Enrolment S.Y. 2025-2026 ]]*8</f>
        <v>832</v>
      </c>
      <c r="Q43" s="5"/>
      <c r="R43" s="1"/>
      <c r="S43" s="5"/>
      <c r="T43" s="5">
        <f t="shared" si="12"/>
        <v>832</v>
      </c>
      <c r="U43" s="5">
        <f t="shared" si="13"/>
        <v>0</v>
      </c>
      <c r="V43" s="5">
        <f>Table1[[#This Row],[Enrolment S.Y. 2025-2026 ]]*8</f>
        <v>832</v>
      </c>
      <c r="W43" s="5"/>
      <c r="X43" s="1"/>
      <c r="Y43" s="5"/>
      <c r="Z43" s="5">
        <f t="shared" si="14"/>
        <v>832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104</v>
      </c>
      <c r="D44" s="5">
        <f>Table1[[#This Row],[Enrolment S.Y. 2025-2026 ]]*8</f>
        <v>832</v>
      </c>
      <c r="E44" s="5">
        <v>584</v>
      </c>
      <c r="F44" s="1">
        <v>2025</v>
      </c>
      <c r="G44" s="5" t="s">
        <v>9</v>
      </c>
      <c r="H44" s="5">
        <f t="shared" si="2"/>
        <v>248</v>
      </c>
      <c r="I44" s="5">
        <f t="shared" si="3"/>
        <v>0</v>
      </c>
      <c r="J44" s="5">
        <f>Table1[[#This Row],[Enrolment S.Y. 2025-2026 ]]*8</f>
        <v>832</v>
      </c>
      <c r="K44" s="5"/>
      <c r="L44" s="1"/>
      <c r="M44" s="5"/>
      <c r="N44" s="5">
        <f t="shared" si="10"/>
        <v>832</v>
      </c>
      <c r="O44" s="5">
        <f t="shared" si="11"/>
        <v>0</v>
      </c>
      <c r="P44" s="5">
        <f>Table1[[#This Row],[Enrolment S.Y. 2025-2026 ]]*8</f>
        <v>832</v>
      </c>
      <c r="Q44" s="5"/>
      <c r="R44" s="1"/>
      <c r="S44" s="5"/>
      <c r="T44" s="5">
        <f t="shared" si="12"/>
        <v>832</v>
      </c>
      <c r="U44" s="5">
        <f t="shared" si="13"/>
        <v>0</v>
      </c>
      <c r="V44" s="5">
        <f>Table1[[#This Row],[Enrolment S.Y. 2025-2026 ]]*8</f>
        <v>832</v>
      </c>
      <c r="W44" s="5"/>
      <c r="X44" s="1"/>
      <c r="Y44" s="5"/>
      <c r="Z44" s="5">
        <f t="shared" si="14"/>
        <v>832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104</v>
      </c>
      <c r="D45" s="5">
        <f>Table1[[#This Row],[Enrolment S.Y. 2025-2026 ]]*8</f>
        <v>832</v>
      </c>
      <c r="E45" s="5">
        <v>584</v>
      </c>
      <c r="F45" s="1">
        <v>2025</v>
      </c>
      <c r="G45" s="5" t="s">
        <v>9</v>
      </c>
      <c r="H45" s="5">
        <f t="shared" si="2"/>
        <v>248</v>
      </c>
      <c r="I45" s="5">
        <f t="shared" si="3"/>
        <v>0</v>
      </c>
      <c r="J45" s="5">
        <f>Table1[[#This Row],[Enrolment S.Y. 2025-2026 ]]*8</f>
        <v>832</v>
      </c>
      <c r="K45" s="5">
        <v>848</v>
      </c>
      <c r="L45" s="1">
        <v>2025</v>
      </c>
      <c r="M45" s="5" t="s">
        <v>9</v>
      </c>
      <c r="N45" s="5">
        <f t="shared" si="10"/>
        <v>0</v>
      </c>
      <c r="O45" s="5">
        <f t="shared" si="11"/>
        <v>16</v>
      </c>
      <c r="P45" s="5">
        <f>Table1[[#This Row],[Enrolment S.Y. 2025-2026 ]]*8</f>
        <v>832</v>
      </c>
      <c r="Q45" s="5"/>
      <c r="R45" s="1"/>
      <c r="S45" s="5"/>
      <c r="T45" s="5">
        <f t="shared" si="12"/>
        <v>832</v>
      </c>
      <c r="U45" s="5">
        <f t="shared" si="13"/>
        <v>0</v>
      </c>
      <c r="V45" s="5">
        <f>Table1[[#This Row],[Enrolment S.Y. 2025-2026 ]]*8</f>
        <v>832</v>
      </c>
      <c r="W45" s="5"/>
      <c r="X45" s="1"/>
      <c r="Y45" s="5"/>
      <c r="Z45" s="5">
        <f t="shared" si="14"/>
        <v>832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104</v>
      </c>
      <c r="D46" s="5">
        <f>Table1[[#This Row],[Enrolment S.Y. 2025-2026 ]]*8</f>
        <v>832</v>
      </c>
      <c r="E46" s="5">
        <v>584</v>
      </c>
      <c r="F46" s="1">
        <v>2025</v>
      </c>
      <c r="G46" s="5" t="s">
        <v>9</v>
      </c>
      <c r="H46" s="5">
        <f t="shared" si="2"/>
        <v>248</v>
      </c>
      <c r="I46" s="5">
        <f t="shared" si="3"/>
        <v>0</v>
      </c>
      <c r="J46" s="5">
        <f>Table1[[#This Row],[Enrolment S.Y. 2025-2026 ]]*8</f>
        <v>832</v>
      </c>
      <c r="K46" s="5"/>
      <c r="L46" s="1"/>
      <c r="M46" s="5"/>
      <c r="N46" s="5">
        <f t="shared" si="10"/>
        <v>832</v>
      </c>
      <c r="O46" s="5">
        <f t="shared" si="11"/>
        <v>0</v>
      </c>
      <c r="P46" s="5">
        <f>Table1[[#This Row],[Enrolment S.Y. 2025-2026 ]]*8</f>
        <v>832</v>
      </c>
      <c r="Q46" s="5"/>
      <c r="R46" s="1"/>
      <c r="S46" s="5"/>
      <c r="T46" s="5">
        <f t="shared" si="12"/>
        <v>832</v>
      </c>
      <c r="U46" s="5">
        <f t="shared" si="13"/>
        <v>0</v>
      </c>
      <c r="V46" s="5">
        <f>Table1[[#This Row],[Enrolment S.Y. 2025-2026 ]]*8</f>
        <v>832</v>
      </c>
      <c r="W46" s="5"/>
      <c r="X46" s="1"/>
      <c r="Y46" s="5"/>
      <c r="Z46" s="5">
        <f t="shared" si="14"/>
        <v>832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104</v>
      </c>
      <c r="D47" s="5">
        <f>Table1[[#This Row],[Enrolment S.Y. 2025-2026 ]]*8</f>
        <v>832</v>
      </c>
      <c r="E47" s="5">
        <v>584</v>
      </c>
      <c r="F47" s="1">
        <v>2025</v>
      </c>
      <c r="G47" s="5" t="s">
        <v>9</v>
      </c>
      <c r="H47" s="5">
        <f t="shared" si="2"/>
        <v>248</v>
      </c>
      <c r="I47" s="5">
        <f t="shared" si="3"/>
        <v>0</v>
      </c>
      <c r="J47" s="5">
        <f>Table1[[#This Row],[Enrolment S.Y. 2025-2026 ]]*8</f>
        <v>832</v>
      </c>
      <c r="K47" s="5"/>
      <c r="L47" s="1"/>
      <c r="M47" s="5"/>
      <c r="N47" s="5">
        <f t="shared" si="10"/>
        <v>832</v>
      </c>
      <c r="O47" s="5">
        <f t="shared" si="11"/>
        <v>0</v>
      </c>
      <c r="P47" s="5">
        <f>Table1[[#This Row],[Enrolment S.Y. 2025-2026 ]]*8</f>
        <v>832</v>
      </c>
      <c r="Q47" s="5"/>
      <c r="R47" s="1"/>
      <c r="S47" s="5"/>
      <c r="T47" s="5">
        <f t="shared" si="12"/>
        <v>832</v>
      </c>
      <c r="U47" s="5">
        <f t="shared" si="13"/>
        <v>0</v>
      </c>
      <c r="V47" s="5">
        <f>Table1[[#This Row],[Enrolment S.Y. 2025-2026 ]]*8</f>
        <v>832</v>
      </c>
      <c r="W47" s="5"/>
      <c r="X47" s="1"/>
      <c r="Y47" s="5"/>
      <c r="Z47" s="5">
        <f t="shared" si="14"/>
        <v>832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104</v>
      </c>
      <c r="D48" s="5">
        <f>Table1[[#This Row],[Enrolment S.Y. 2025-2026 ]]*8</f>
        <v>832</v>
      </c>
      <c r="E48" s="5">
        <v>584</v>
      </c>
      <c r="F48" s="1">
        <v>2025</v>
      </c>
      <c r="G48" s="5" t="s">
        <v>9</v>
      </c>
      <c r="H48" s="5">
        <f t="shared" si="2"/>
        <v>248</v>
      </c>
      <c r="I48" s="5">
        <f t="shared" si="3"/>
        <v>0</v>
      </c>
      <c r="J48" s="5">
        <f>Table1[[#This Row],[Enrolment S.Y. 2025-2026 ]]*8</f>
        <v>832</v>
      </c>
      <c r="K48" s="5"/>
      <c r="L48" s="1"/>
      <c r="M48" s="5"/>
      <c r="N48" s="5">
        <f t="shared" si="10"/>
        <v>832</v>
      </c>
      <c r="O48" s="5">
        <f t="shared" si="11"/>
        <v>0</v>
      </c>
      <c r="P48" s="5">
        <f>Table1[[#This Row],[Enrolment S.Y. 2025-2026 ]]*8</f>
        <v>832</v>
      </c>
      <c r="Q48" s="5"/>
      <c r="R48" s="1"/>
      <c r="S48" s="5"/>
      <c r="T48" s="5">
        <f t="shared" si="12"/>
        <v>832</v>
      </c>
      <c r="U48" s="5">
        <f t="shared" si="13"/>
        <v>0</v>
      </c>
      <c r="V48" s="5">
        <f>Table1[[#This Row],[Enrolment S.Y. 2025-2026 ]]*8</f>
        <v>832</v>
      </c>
      <c r="W48" s="5"/>
      <c r="X48" s="1"/>
      <c r="Y48" s="5"/>
      <c r="Z48" s="5">
        <f t="shared" si="14"/>
        <v>832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104</v>
      </c>
      <c r="D49" s="5">
        <f>Table1[[#This Row],[Enrolment S.Y. 2025-2026 ]]*8</f>
        <v>832</v>
      </c>
      <c r="E49" s="5">
        <v>584</v>
      </c>
      <c r="F49" s="1">
        <v>2025</v>
      </c>
      <c r="G49" s="5" t="s">
        <v>9</v>
      </c>
      <c r="H49" s="5">
        <f t="shared" si="2"/>
        <v>248</v>
      </c>
      <c r="I49" s="5">
        <f t="shared" si="3"/>
        <v>0</v>
      </c>
      <c r="J49" s="5">
        <f>Table1[[#This Row],[Enrolment S.Y. 2025-2026 ]]*8</f>
        <v>832</v>
      </c>
      <c r="K49" s="5"/>
      <c r="L49" s="1"/>
      <c r="M49" s="5"/>
      <c r="N49" s="5">
        <f t="shared" si="10"/>
        <v>832</v>
      </c>
      <c r="O49" s="5">
        <f t="shared" si="11"/>
        <v>0</v>
      </c>
      <c r="P49" s="5">
        <f>Table1[[#This Row],[Enrolment S.Y. 2025-2026 ]]*8</f>
        <v>832</v>
      </c>
      <c r="Q49" s="5"/>
      <c r="R49" s="1"/>
      <c r="S49" s="5"/>
      <c r="T49" s="5">
        <f t="shared" si="12"/>
        <v>832</v>
      </c>
      <c r="U49" s="5">
        <f t="shared" si="13"/>
        <v>0</v>
      </c>
      <c r="V49" s="5">
        <f>Table1[[#This Row],[Enrolment S.Y. 2025-2026 ]]*8</f>
        <v>832</v>
      </c>
      <c r="W49" s="5"/>
      <c r="X49" s="1"/>
      <c r="Y49" s="5"/>
      <c r="Z49" s="5">
        <f t="shared" si="14"/>
        <v>832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104</v>
      </c>
      <c r="D50" s="5">
        <f>Table1[[#This Row],[Enrolment S.Y. 2025-2026 ]]*8</f>
        <v>832</v>
      </c>
      <c r="E50" s="5">
        <v>584</v>
      </c>
      <c r="F50" s="1">
        <v>2025</v>
      </c>
      <c r="G50" s="5" t="s">
        <v>9</v>
      </c>
      <c r="H50" s="5">
        <f t="shared" si="2"/>
        <v>248</v>
      </c>
      <c r="I50" s="5">
        <f t="shared" si="3"/>
        <v>0</v>
      </c>
      <c r="J50" s="5">
        <f>Table1[[#This Row],[Enrolment S.Y. 2025-2026 ]]*8</f>
        <v>832</v>
      </c>
      <c r="K50" s="5"/>
      <c r="L50" s="1"/>
      <c r="M50" s="5"/>
      <c r="N50" s="5">
        <f t="shared" si="10"/>
        <v>832</v>
      </c>
      <c r="O50" s="5">
        <f t="shared" si="11"/>
        <v>0</v>
      </c>
      <c r="P50" s="5">
        <f>Table1[[#This Row],[Enrolment S.Y. 2025-2026 ]]*8</f>
        <v>832</v>
      </c>
      <c r="Q50" s="5"/>
      <c r="R50" s="1"/>
      <c r="S50" s="5"/>
      <c r="T50" s="5">
        <f t="shared" si="12"/>
        <v>832</v>
      </c>
      <c r="U50" s="5">
        <f t="shared" si="13"/>
        <v>0</v>
      </c>
      <c r="V50" s="5">
        <f>Table1[[#This Row],[Enrolment S.Y. 2025-2026 ]]*8</f>
        <v>832</v>
      </c>
      <c r="W50" s="5"/>
      <c r="X50" s="1"/>
      <c r="Y50" s="5"/>
      <c r="Z50" s="5">
        <f t="shared" si="14"/>
        <v>832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104</v>
      </c>
      <c r="D51" s="5">
        <f>Table1[[#This Row],[Enrolment S.Y. 2025-2026 ]]*8</f>
        <v>832</v>
      </c>
      <c r="E51" s="5">
        <v>584</v>
      </c>
      <c r="F51" s="1">
        <v>2025</v>
      </c>
      <c r="G51" s="5" t="s">
        <v>9</v>
      </c>
      <c r="H51" s="5">
        <f t="shared" si="2"/>
        <v>248</v>
      </c>
      <c r="I51" s="5">
        <f t="shared" si="3"/>
        <v>0</v>
      </c>
      <c r="J51" s="5">
        <f>Table1[[#This Row],[Enrolment S.Y. 2025-2026 ]]*8</f>
        <v>832</v>
      </c>
      <c r="K51" s="5"/>
      <c r="L51" s="1"/>
      <c r="M51" s="5"/>
      <c r="N51" s="5">
        <f t="shared" si="10"/>
        <v>832</v>
      </c>
      <c r="O51" s="5">
        <f t="shared" si="11"/>
        <v>0</v>
      </c>
      <c r="P51" s="5">
        <f>Table1[[#This Row],[Enrolment S.Y. 2025-2026 ]]*8</f>
        <v>832</v>
      </c>
      <c r="Q51" s="5"/>
      <c r="R51" s="1"/>
      <c r="S51" s="5"/>
      <c r="T51" s="5">
        <f t="shared" si="12"/>
        <v>832</v>
      </c>
      <c r="U51" s="5">
        <f t="shared" si="13"/>
        <v>0</v>
      </c>
      <c r="V51" s="5">
        <f>Table1[[#This Row],[Enrolment S.Y. 2025-2026 ]]*8</f>
        <v>832</v>
      </c>
      <c r="W51" s="5"/>
      <c r="X51" s="1"/>
      <c r="Y51" s="5"/>
      <c r="Z51" s="5">
        <f t="shared" si="14"/>
        <v>832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16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15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1"/>
  <sheetViews>
    <sheetView tabSelected="1" topLeftCell="A55" zoomScale="55" zoomScaleNormal="55" workbookViewId="0">
      <selection activeCell="AE146" sqref="AE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6" t="s">
        <v>22</v>
      </c>
      <c r="E1" s="36"/>
      <c r="F1" s="36"/>
      <c r="G1" s="36"/>
      <c r="H1" s="36"/>
      <c r="I1" s="36"/>
      <c r="J1" s="37" t="s">
        <v>23</v>
      </c>
      <c r="K1" s="37"/>
      <c r="L1" s="37"/>
      <c r="M1" s="37"/>
      <c r="N1" s="37"/>
      <c r="O1" s="37"/>
      <c r="P1" s="38" t="s">
        <v>24</v>
      </c>
      <c r="Q1" s="38"/>
      <c r="R1" s="38"/>
      <c r="S1" s="38"/>
      <c r="T1" s="38"/>
      <c r="U1" s="38"/>
      <c r="V1" s="39" t="s">
        <v>25</v>
      </c>
      <c r="W1" s="39"/>
      <c r="X1" s="39"/>
      <c r="Y1" s="39"/>
      <c r="Z1" s="39"/>
      <c r="AA1" s="39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4" t="s">
        <v>61</v>
      </c>
      <c r="N2" s="34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5" t="s">
        <v>73</v>
      </c>
      <c r="Z2" s="35" t="s">
        <v>74</v>
      </c>
      <c r="AA2" s="23" t="s">
        <v>75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6" si="0">IF((D3-E3)&lt;0,0,(D3-E3))</f>
        <v>0</v>
      </c>
      <c r="I3" s="5">
        <f t="shared" ref="I3:I66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1" si="2">IF((J3-K3)&lt;0,0,(J3-K3))</f>
        <v>0</v>
      </c>
      <c r="O3" s="5">
        <f t="shared" ref="O3:O61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6" si="4">IF((P3-Q3)&lt;0,0,(P3-Q3))</f>
        <v>0</v>
      </c>
      <c r="U3" s="5">
        <f t="shared" ref="U3:U66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6" si="6">IF((V3-W3)&lt;0,0,(V3-W3))</f>
        <v>0</v>
      </c>
      <c r="AA3" s="5">
        <f t="shared" ref="AA3:AA66" si="7">IF((W3-V3)&lt;0,0,(W3-V3))</f>
        <v>0</v>
      </c>
    </row>
    <row r="4" spans="1:27" ht="19.5">
      <c r="A4" s="33"/>
      <c r="B4" s="27"/>
      <c r="C4" s="28"/>
      <c r="D4" s="28">
        <f>Table14[[#This Row],[Enrolment S.Y. 2025-2026 ]]*8</f>
        <v>0</v>
      </c>
      <c r="E4" s="28"/>
      <c r="F4" s="26"/>
      <c r="G4" s="28"/>
      <c r="H4" s="28">
        <f>IF((D4-E4)&lt;0,0,(D4-E4))</f>
        <v>0</v>
      </c>
      <c r="I4" s="28">
        <f>IF((E4-D4)&lt;0,0,(E4-D4))</f>
        <v>0</v>
      </c>
      <c r="J4" s="28">
        <f>Table14[[#This Row],[Enrolment S.Y. 2025-2026 ]]*8</f>
        <v>0</v>
      </c>
      <c r="K4" s="28"/>
      <c r="L4" s="26"/>
      <c r="M4" s="28"/>
      <c r="N4" s="5">
        <f t="shared" ref="N4" si="8">IF((J4-K4)&lt;0,0,(J4-K4))</f>
        <v>0</v>
      </c>
      <c r="O4" s="5">
        <f t="shared" ref="O4" si="9">IF((K4-J4)&lt;0,0,(K4-J4))</f>
        <v>0</v>
      </c>
      <c r="P4" s="5">
        <f>Table14[[#This Row],[Enrolment S.Y. 2025-2026 ]]*8</f>
        <v>0</v>
      </c>
      <c r="Q4" s="28"/>
      <c r="R4" s="26"/>
      <c r="S4" s="28"/>
      <c r="T4" s="28">
        <f>IF((P4-Q4)&lt;0,0,(P4-Q4))</f>
        <v>0</v>
      </c>
      <c r="U4" s="28">
        <f>IF((Q4-P4)&lt;0,0,(Q4-P4))</f>
        <v>0</v>
      </c>
      <c r="V4" s="28">
        <f>Table14[[#This Row],[Enrolment S.Y. 2025-2026 ]]*8</f>
        <v>0</v>
      </c>
      <c r="W4" s="28"/>
      <c r="X4" s="26"/>
      <c r="Y4" s="28"/>
      <c r="Z4" s="28">
        <f>IF((V4-W4)&lt;0,0,(V4-W4))</f>
        <v>0</v>
      </c>
      <c r="AA4" s="28">
        <f>IF((W4-V4)&lt;0,0,(W4-V4))</f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2" t="s">
        <v>13</v>
      </c>
      <c r="C8" s="1"/>
      <c r="D8" s="5">
        <f>Table14[[#This Row],[Enrolment S.Y. 2025-2026 ]]*8</f>
        <v>0</v>
      </c>
      <c r="E8" s="5"/>
      <c r="F8" s="1"/>
      <c r="G8" s="5"/>
      <c r="H8" s="5">
        <f t="shared" si="0"/>
        <v>0</v>
      </c>
      <c r="I8" s="5">
        <f t="shared" si="1"/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17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ht="19.149999999999999">
      <c r="A11" s="1">
        <v>1</v>
      </c>
      <c r="B11" s="9" t="s">
        <v>51</v>
      </c>
      <c r="C11" s="1"/>
      <c r="D11" s="5">
        <f>Table14[[#This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Table14[[#This Row],[Enrolment S.Y. 2025-2026 ]]*8</f>
        <v>0</v>
      </c>
      <c r="K11" s="5"/>
      <c r="L11" s="1"/>
      <c r="M11" s="5"/>
      <c r="N11" s="5">
        <f t="shared" si="2"/>
        <v>0</v>
      </c>
      <c r="O11" s="5">
        <f t="shared" si="3"/>
        <v>0</v>
      </c>
      <c r="P11" s="5">
        <f>Table14[[#This Row],[Enrolment S.Y. 2025-2026 ]]*8</f>
        <v>0</v>
      </c>
      <c r="Q11" s="5"/>
      <c r="R11" s="1"/>
      <c r="S11" s="5"/>
      <c r="T11" s="5">
        <f t="shared" si="4"/>
        <v>0</v>
      </c>
      <c r="U11" s="5">
        <f t="shared" si="5"/>
        <v>0</v>
      </c>
      <c r="V11" s="5">
        <f>Table14[[#This Row],[Enrolment S.Y. 2025-2026 ]]*8</f>
        <v>0</v>
      </c>
      <c r="W11" s="5"/>
      <c r="X11" s="1"/>
      <c r="Y11" s="5"/>
      <c r="Z11" s="5">
        <f t="shared" si="6"/>
        <v>0</v>
      </c>
      <c r="AA11" s="5">
        <f t="shared" si="7"/>
        <v>0</v>
      </c>
    </row>
    <row r="12" spans="1:27" s="7" customFormat="1"/>
    <row r="13" spans="1:27" ht="38.25">
      <c r="A13" s="1">
        <v>2</v>
      </c>
      <c r="B13" s="2" t="s">
        <v>8</v>
      </c>
      <c r="C13" s="1">
        <v>101</v>
      </c>
      <c r="D13" s="5">
        <f>Table14[[#This Row],[Enrolment S.Y. 2025-2026 ]]*8</f>
        <v>808</v>
      </c>
      <c r="E13" s="5"/>
      <c r="F13" s="1"/>
      <c r="G13" s="5"/>
      <c r="H13" s="5">
        <f t="shared" si="0"/>
        <v>808</v>
      </c>
      <c r="I13" s="5">
        <f t="shared" si="1"/>
        <v>0</v>
      </c>
      <c r="J13" s="5">
        <f>Table14[[#This Row],[Enrolment S.Y. 2025-2026 ]]*8</f>
        <v>808</v>
      </c>
      <c r="K13" s="5"/>
      <c r="L13" s="1"/>
      <c r="M13" s="5"/>
      <c r="N13" s="5">
        <f t="shared" si="2"/>
        <v>808</v>
      </c>
      <c r="O13" s="5">
        <f t="shared" si="3"/>
        <v>0</v>
      </c>
      <c r="P13" s="5">
        <f>Table14[[#This Row],[Enrolment S.Y. 2025-2026 ]]*8</f>
        <v>808</v>
      </c>
      <c r="Q13" s="5"/>
      <c r="R13" s="1"/>
      <c r="S13" s="5"/>
      <c r="T13" s="5">
        <f t="shared" si="4"/>
        <v>808</v>
      </c>
      <c r="U13" s="5">
        <f t="shared" si="5"/>
        <v>0</v>
      </c>
      <c r="V13" s="5">
        <f>Table14[[#This Row],[Enrolment S.Y. 2025-2026 ]]*8</f>
        <v>808</v>
      </c>
      <c r="W13" s="5"/>
      <c r="X13" s="1"/>
      <c r="Y13" s="5"/>
      <c r="Z13" s="5">
        <f t="shared" si="6"/>
        <v>808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101</v>
      </c>
      <c r="D14" s="5">
        <f>Table14[[#This Row],[Enrolment S.Y. 2025-2026 ]]*8</f>
        <v>808</v>
      </c>
      <c r="E14" s="5"/>
      <c r="F14" s="1"/>
      <c r="G14" s="5"/>
      <c r="H14" s="5">
        <f t="shared" si="0"/>
        <v>808</v>
      </c>
      <c r="I14" s="5">
        <f t="shared" si="1"/>
        <v>0</v>
      </c>
      <c r="J14" s="5">
        <f>Table14[[#This Row],[Enrolment S.Y. 2025-2026 ]]*8</f>
        <v>808</v>
      </c>
      <c r="K14" s="5"/>
      <c r="L14" s="1"/>
      <c r="M14" s="5"/>
      <c r="N14" s="5">
        <f t="shared" si="2"/>
        <v>808</v>
      </c>
      <c r="O14" s="5">
        <f t="shared" si="3"/>
        <v>0</v>
      </c>
      <c r="P14" s="5">
        <f>Table14[[#This Row],[Enrolment S.Y. 2025-2026 ]]*8</f>
        <v>808</v>
      </c>
      <c r="Q14" s="5"/>
      <c r="R14" s="1"/>
      <c r="S14" s="5"/>
      <c r="T14" s="5">
        <f t="shared" si="4"/>
        <v>808</v>
      </c>
      <c r="U14" s="5">
        <f t="shared" si="5"/>
        <v>0</v>
      </c>
      <c r="V14" s="5">
        <f>Table14[[#This Row],[Enrolment S.Y. 2025-2026 ]]*8</f>
        <v>808</v>
      </c>
      <c r="W14" s="5"/>
      <c r="X14" s="1"/>
      <c r="Y14" s="5"/>
      <c r="Z14" s="5">
        <f t="shared" si="6"/>
        <v>808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101</v>
      </c>
      <c r="D15" s="5">
        <f>Table14[[#This Row],[Enrolment S.Y. 2025-2026 ]]*8</f>
        <v>808</v>
      </c>
      <c r="E15" s="5"/>
      <c r="F15" s="1"/>
      <c r="G15" s="5"/>
      <c r="H15" s="5">
        <f t="shared" si="0"/>
        <v>808</v>
      </c>
      <c r="I15" s="5">
        <f t="shared" si="1"/>
        <v>0</v>
      </c>
      <c r="J15" s="5">
        <f>Table14[[#This Row],[Enrolment S.Y. 2025-2026 ]]*8</f>
        <v>808</v>
      </c>
      <c r="K15" s="5"/>
      <c r="L15" s="1"/>
      <c r="M15" s="5"/>
      <c r="N15" s="5">
        <f t="shared" si="2"/>
        <v>808</v>
      </c>
      <c r="O15" s="5">
        <f t="shared" si="3"/>
        <v>0</v>
      </c>
      <c r="P15" s="5">
        <f>Table14[[#This Row],[Enrolment S.Y. 2025-2026 ]]*8</f>
        <v>808</v>
      </c>
      <c r="Q15" s="5"/>
      <c r="R15" s="1"/>
      <c r="S15" s="5"/>
      <c r="T15" s="5">
        <f t="shared" si="4"/>
        <v>808</v>
      </c>
      <c r="U15" s="5">
        <f t="shared" si="5"/>
        <v>0</v>
      </c>
      <c r="V15" s="5">
        <f>Table14[[#This Row],[Enrolment S.Y. 2025-2026 ]]*8</f>
        <v>808</v>
      </c>
      <c r="W15" s="5"/>
      <c r="X15" s="1"/>
      <c r="Y15" s="5"/>
      <c r="Z15" s="5">
        <f t="shared" si="6"/>
        <v>808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101</v>
      </c>
      <c r="D16" s="5">
        <f>Table14[[#This Row],[Enrolment S.Y. 2025-2026 ]]*8</f>
        <v>808</v>
      </c>
      <c r="E16" s="5"/>
      <c r="F16" s="1"/>
      <c r="G16" s="5"/>
      <c r="H16" s="5">
        <f t="shared" si="0"/>
        <v>808</v>
      </c>
      <c r="I16" s="5">
        <f t="shared" si="1"/>
        <v>0</v>
      </c>
      <c r="J16" s="5">
        <f>Table14[[#This Row],[Enrolment S.Y. 2025-2026 ]]*8</f>
        <v>808</v>
      </c>
      <c r="K16" s="5"/>
      <c r="L16" s="1"/>
      <c r="M16" s="5"/>
      <c r="N16" s="5">
        <f t="shared" si="2"/>
        <v>808</v>
      </c>
      <c r="O16" s="5">
        <f t="shared" si="3"/>
        <v>0</v>
      </c>
      <c r="P16" s="5">
        <f>Table14[[#This Row],[Enrolment S.Y. 2025-2026 ]]*8</f>
        <v>808</v>
      </c>
      <c r="Q16" s="5"/>
      <c r="R16" s="1"/>
      <c r="S16" s="5"/>
      <c r="T16" s="5">
        <f t="shared" si="4"/>
        <v>808</v>
      </c>
      <c r="U16" s="5">
        <f t="shared" si="5"/>
        <v>0</v>
      </c>
      <c r="V16" s="5">
        <f>Table14[[#This Row],[Enrolment S.Y. 2025-2026 ]]*8</f>
        <v>808</v>
      </c>
      <c r="W16" s="5"/>
      <c r="X16" s="1"/>
      <c r="Y16" s="5"/>
      <c r="Z16" s="5">
        <f t="shared" si="6"/>
        <v>808</v>
      </c>
      <c r="AA16" s="5">
        <f t="shared" si="7"/>
        <v>0</v>
      </c>
    </row>
    <row r="17" spans="1:27" ht="19.5">
      <c r="A17" s="1">
        <v>2</v>
      </c>
      <c r="B17" s="2" t="s">
        <v>13</v>
      </c>
      <c r="C17" s="1">
        <v>101</v>
      </c>
      <c r="D17" s="5">
        <f>Table14[[#This Row],[Enrolment S.Y. 2025-2026 ]]*8</f>
        <v>808</v>
      </c>
      <c r="E17" s="5">
        <v>876</v>
      </c>
      <c r="F17" s="1">
        <v>2024</v>
      </c>
      <c r="G17" s="5" t="s">
        <v>9</v>
      </c>
      <c r="H17" s="5">
        <f t="shared" si="0"/>
        <v>0</v>
      </c>
      <c r="I17" s="5">
        <f t="shared" si="1"/>
        <v>68</v>
      </c>
      <c r="J17" s="5">
        <f>Table14[[#This Row],[Enrolment S.Y. 2025-2026 ]]*8</f>
        <v>808</v>
      </c>
      <c r="K17" s="5"/>
      <c r="L17" s="1"/>
      <c r="M17" s="5"/>
      <c r="N17" s="5">
        <f t="shared" si="2"/>
        <v>808</v>
      </c>
      <c r="O17" s="5">
        <f t="shared" si="3"/>
        <v>0</v>
      </c>
      <c r="P17" s="5">
        <f>Table14[[#This Row],[Enrolment S.Y. 2025-2026 ]]*8</f>
        <v>808</v>
      </c>
      <c r="Q17" s="5"/>
      <c r="R17" s="1"/>
      <c r="S17" s="5"/>
      <c r="T17" s="5">
        <f t="shared" si="4"/>
        <v>808</v>
      </c>
      <c r="U17" s="5">
        <f t="shared" si="5"/>
        <v>0</v>
      </c>
      <c r="V17" s="5">
        <f>Table14[[#This Row],[Enrolment S.Y. 2025-2026 ]]*8</f>
        <v>808</v>
      </c>
      <c r="W17" s="5">
        <v>160</v>
      </c>
      <c r="X17" s="1">
        <v>2025</v>
      </c>
      <c r="Y17" s="5" t="s">
        <v>9</v>
      </c>
      <c r="Z17" s="5">
        <f t="shared" si="6"/>
        <v>648</v>
      </c>
      <c r="AA17" s="5">
        <f t="shared" si="7"/>
        <v>0</v>
      </c>
    </row>
    <row r="18" spans="1:27" ht="19.5">
      <c r="A18" s="1">
        <v>2</v>
      </c>
      <c r="B18" s="9" t="s">
        <v>17</v>
      </c>
      <c r="C18" s="1">
        <v>101</v>
      </c>
      <c r="D18" s="5">
        <f>Table14[[#This Row],[Enrolment S.Y. 2025-2026 ]]*8</f>
        <v>808</v>
      </c>
      <c r="E18" s="5">
        <v>876</v>
      </c>
      <c r="F18" s="1">
        <v>2024</v>
      </c>
      <c r="G18" s="5" t="s">
        <v>9</v>
      </c>
      <c r="H18" s="5">
        <f>IF((D18-E18)&lt;0,0,(D18-E18))</f>
        <v>0</v>
      </c>
      <c r="I18" s="5">
        <f>IF((E18-D18)&lt;0,0,(E18-D18))</f>
        <v>68</v>
      </c>
      <c r="J18" s="5">
        <f>Table14[[#This Row],[Enrolment S.Y. 2025-2026 ]]*8</f>
        <v>808</v>
      </c>
      <c r="K18" s="5"/>
      <c r="L18" s="1"/>
      <c r="M18" s="5"/>
      <c r="N18" s="5">
        <f t="shared" si="2"/>
        <v>808</v>
      </c>
      <c r="O18" s="5">
        <f t="shared" si="3"/>
        <v>0</v>
      </c>
      <c r="P18" s="5">
        <f>Table14[[#This Row],[Enrolment S.Y. 2025-2026 ]]*8</f>
        <v>808</v>
      </c>
      <c r="Q18" s="5"/>
      <c r="R18" s="1"/>
      <c r="S18" s="5"/>
      <c r="T18" s="5">
        <f t="shared" si="4"/>
        <v>808</v>
      </c>
      <c r="U18" s="5">
        <f t="shared" si="5"/>
        <v>0</v>
      </c>
      <c r="V18" s="5">
        <f>Table14[[#This Row],[Enrolment S.Y. 2025-2026 ]]*8</f>
        <v>808</v>
      </c>
      <c r="W18" s="5">
        <v>160</v>
      </c>
      <c r="X18" s="1">
        <v>2025</v>
      </c>
      <c r="Y18" s="5" t="s">
        <v>9</v>
      </c>
      <c r="Z18" s="5">
        <f t="shared" si="6"/>
        <v>648</v>
      </c>
      <c r="AA18" s="5">
        <f t="shared" si="7"/>
        <v>0</v>
      </c>
    </row>
    <row r="19" spans="1:27" ht="19.5">
      <c r="A19" s="1">
        <v>2</v>
      </c>
      <c r="B19" s="9" t="s">
        <v>16</v>
      </c>
      <c r="C19" s="1">
        <v>101</v>
      </c>
      <c r="D19" s="5">
        <f>Table14[[#This Row],[Enrolment S.Y. 2025-2026 ]]*8</f>
        <v>808</v>
      </c>
      <c r="E19" s="5">
        <v>438</v>
      </c>
      <c r="F19" s="1">
        <v>2024</v>
      </c>
      <c r="G19" s="5" t="s">
        <v>9</v>
      </c>
      <c r="H19" s="5">
        <f>IF((D19-E19)&lt;0,0,(D19-E19))</f>
        <v>370</v>
      </c>
      <c r="I19" s="5">
        <f>IF((E19-D19)&lt;0,0,(E19-D19))</f>
        <v>0</v>
      </c>
      <c r="J19" s="5">
        <f>Table14[[#This Row],[Enrolment S.Y. 2025-2026 ]]*8</f>
        <v>808</v>
      </c>
      <c r="K19" s="5"/>
      <c r="L19" s="1"/>
      <c r="M19" s="5"/>
      <c r="N19" s="5">
        <f t="shared" si="2"/>
        <v>808</v>
      </c>
      <c r="O19" s="5">
        <f t="shared" si="3"/>
        <v>0</v>
      </c>
      <c r="P19" s="5">
        <f>Table14[[#This Row],[Enrolment S.Y. 2025-2026 ]]*8</f>
        <v>808</v>
      </c>
      <c r="Q19" s="5"/>
      <c r="R19" s="1"/>
      <c r="S19" s="5"/>
      <c r="T19" s="5">
        <f t="shared" si="4"/>
        <v>808</v>
      </c>
      <c r="U19" s="5">
        <f t="shared" si="5"/>
        <v>0</v>
      </c>
      <c r="V19" s="5">
        <f>Table14[[#This Row],[Enrolment S.Y. 2025-2026 ]]*8</f>
        <v>808</v>
      </c>
      <c r="W19" s="5">
        <v>160</v>
      </c>
      <c r="X19" s="1">
        <v>2025</v>
      </c>
      <c r="Y19" s="5" t="s">
        <v>9</v>
      </c>
      <c r="Z19" s="5">
        <f t="shared" si="6"/>
        <v>648</v>
      </c>
      <c r="AA19" s="5">
        <f t="shared" si="7"/>
        <v>0</v>
      </c>
    </row>
    <row r="20" spans="1:27" ht="19.5">
      <c r="A20" s="1">
        <v>2</v>
      </c>
      <c r="B20" s="9" t="s">
        <v>51</v>
      </c>
      <c r="C20" s="1">
        <v>101</v>
      </c>
      <c r="D20" s="5">
        <f>Table14[[#This Row],[Enrolment S.Y. 2025-2026 ]]*8</f>
        <v>808</v>
      </c>
      <c r="E20" s="5"/>
      <c r="F20" s="1"/>
      <c r="G20" s="5"/>
      <c r="H20" s="5">
        <f>IF((D20-E20)&lt;0,0,(D20-E20))</f>
        <v>808</v>
      </c>
      <c r="I20" s="5">
        <f>IF((E20-D20)&lt;0,0,(E20-D20))</f>
        <v>0</v>
      </c>
      <c r="J20" s="5">
        <f>Table14[[#This Row],[Enrolment S.Y. 2025-2026 ]]*8</f>
        <v>808</v>
      </c>
      <c r="K20" s="5"/>
      <c r="L20" s="1"/>
      <c r="M20" s="5"/>
      <c r="N20" s="5">
        <f t="shared" si="2"/>
        <v>808</v>
      </c>
      <c r="O20" s="5">
        <f t="shared" si="3"/>
        <v>0</v>
      </c>
      <c r="P20" s="5">
        <f>Table14[[#This Row],[Enrolment S.Y. 2025-2026 ]]*8</f>
        <v>808</v>
      </c>
      <c r="Q20" s="5"/>
      <c r="R20" s="1"/>
      <c r="S20" s="5"/>
      <c r="T20" s="5">
        <f t="shared" si="4"/>
        <v>808</v>
      </c>
      <c r="U20" s="5">
        <f t="shared" si="5"/>
        <v>0</v>
      </c>
      <c r="V20" s="5">
        <f>Table14[[#This Row],[Enrolment S.Y. 2025-2026 ]]*8</f>
        <v>808</v>
      </c>
      <c r="W20" s="5"/>
      <c r="X20" s="1"/>
      <c r="Y20" s="5"/>
      <c r="Z20" s="5">
        <f t="shared" si="6"/>
        <v>808</v>
      </c>
      <c r="AA20" s="5">
        <f t="shared" si="7"/>
        <v>0</v>
      </c>
    </row>
    <row r="21" spans="1:27" s="7" customFormat="1"/>
    <row r="22" spans="1:27" ht="38.25">
      <c r="A22" s="1">
        <v>3</v>
      </c>
      <c r="B22" s="2" t="s">
        <v>8</v>
      </c>
      <c r="C22" s="1">
        <v>121</v>
      </c>
      <c r="D22" s="5">
        <f>Table14[[#This Row],[Enrolment S.Y. 2025-2026 ]]*8</f>
        <v>968</v>
      </c>
      <c r="E22" s="5"/>
      <c r="F22" s="1"/>
      <c r="G22" s="5"/>
      <c r="H22" s="5">
        <f t="shared" si="0"/>
        <v>968</v>
      </c>
      <c r="I22" s="5">
        <f t="shared" si="1"/>
        <v>0</v>
      </c>
      <c r="J22" s="5">
        <f>Table14[[#This Row],[Enrolment S.Y. 2025-2026 ]]*8</f>
        <v>968</v>
      </c>
      <c r="K22" s="5"/>
      <c r="L22" s="1"/>
      <c r="M22" s="5"/>
      <c r="N22" s="5">
        <f t="shared" si="2"/>
        <v>968</v>
      </c>
      <c r="O22" s="5">
        <f t="shared" si="3"/>
        <v>0</v>
      </c>
      <c r="P22" s="5">
        <f>Table14[[#This Row],[Enrolment S.Y. 2025-2026 ]]*8</f>
        <v>968</v>
      </c>
      <c r="Q22" s="5"/>
      <c r="R22" s="1"/>
      <c r="S22" s="5"/>
      <c r="T22" s="5">
        <f t="shared" si="4"/>
        <v>968</v>
      </c>
      <c r="U22" s="5">
        <f t="shared" si="5"/>
        <v>0</v>
      </c>
      <c r="V22" s="5">
        <f>Table14[[#This Row],[Enrolment S.Y. 2025-2026 ]]*8</f>
        <v>968</v>
      </c>
      <c r="W22" s="5"/>
      <c r="X22" s="1"/>
      <c r="Y22" s="5"/>
      <c r="Z22" s="5">
        <f t="shared" si="6"/>
        <v>968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121</v>
      </c>
      <c r="D23" s="5">
        <f>Table14[[#This Row],[Enrolment S.Y. 2025-2026 ]]*8</f>
        <v>968</v>
      </c>
      <c r="E23" s="5"/>
      <c r="F23" s="1"/>
      <c r="G23" s="5"/>
      <c r="H23" s="5">
        <f t="shared" si="0"/>
        <v>968</v>
      </c>
      <c r="I23" s="5">
        <f t="shared" si="1"/>
        <v>0</v>
      </c>
      <c r="J23" s="5">
        <f>Table14[[#This Row],[Enrolment S.Y. 2025-2026 ]]*8</f>
        <v>968</v>
      </c>
      <c r="K23" s="5"/>
      <c r="L23" s="1"/>
      <c r="M23" s="5"/>
      <c r="N23" s="5">
        <f t="shared" si="2"/>
        <v>968</v>
      </c>
      <c r="O23" s="5">
        <f t="shared" si="3"/>
        <v>0</v>
      </c>
      <c r="P23" s="5">
        <f>Table14[[#This Row],[Enrolment S.Y. 2025-2026 ]]*8</f>
        <v>968</v>
      </c>
      <c r="Q23" s="5"/>
      <c r="R23" s="1"/>
      <c r="S23" s="5"/>
      <c r="T23" s="5">
        <f t="shared" si="4"/>
        <v>968</v>
      </c>
      <c r="U23" s="5">
        <f t="shared" si="5"/>
        <v>0</v>
      </c>
      <c r="V23" s="5">
        <f>Table14[[#This Row],[Enrolment S.Y. 2025-2026 ]]*8</f>
        <v>968</v>
      </c>
      <c r="W23" s="5"/>
      <c r="X23" s="1"/>
      <c r="Y23" s="5"/>
      <c r="Z23" s="5">
        <f t="shared" si="6"/>
        <v>968</v>
      </c>
      <c r="AA23" s="5">
        <f t="shared" si="7"/>
        <v>0</v>
      </c>
    </row>
    <row r="24" spans="1:27" ht="19.5">
      <c r="A24" s="1">
        <v>3</v>
      </c>
      <c r="B24" s="2" t="s">
        <v>11</v>
      </c>
      <c r="C24" s="1">
        <v>121</v>
      </c>
      <c r="D24" s="5">
        <f>Table14[[#This Row],[Enrolment S.Y. 2025-2026 ]]*8</f>
        <v>968</v>
      </c>
      <c r="E24" s="5"/>
      <c r="F24" s="1"/>
      <c r="G24" s="5"/>
      <c r="H24" s="5">
        <f t="shared" si="0"/>
        <v>968</v>
      </c>
      <c r="I24" s="5">
        <f t="shared" si="1"/>
        <v>0</v>
      </c>
      <c r="J24" s="5">
        <f>Table14[[#This Row],[Enrolment S.Y. 2025-2026 ]]*8</f>
        <v>968</v>
      </c>
      <c r="K24" s="5"/>
      <c r="L24" s="1"/>
      <c r="M24" s="5"/>
      <c r="N24" s="5">
        <f t="shared" si="2"/>
        <v>968</v>
      </c>
      <c r="O24" s="5">
        <f t="shared" si="3"/>
        <v>0</v>
      </c>
      <c r="P24" s="5">
        <f>Table14[[#This Row],[Enrolment S.Y. 2025-2026 ]]*8</f>
        <v>968</v>
      </c>
      <c r="Q24" s="5"/>
      <c r="R24" s="1"/>
      <c r="S24" s="5"/>
      <c r="T24" s="5">
        <f t="shared" si="4"/>
        <v>968</v>
      </c>
      <c r="U24" s="5">
        <f t="shared" si="5"/>
        <v>0</v>
      </c>
      <c r="V24" s="5">
        <f>Table14[[#This Row],[Enrolment S.Y. 2025-2026 ]]*8</f>
        <v>968</v>
      </c>
      <c r="W24" s="5"/>
      <c r="X24" s="1"/>
      <c r="Y24" s="5"/>
      <c r="Z24" s="5">
        <f t="shared" si="6"/>
        <v>968</v>
      </c>
      <c r="AA24" s="5">
        <f t="shared" si="7"/>
        <v>0</v>
      </c>
    </row>
    <row r="25" spans="1:27" ht="19.5">
      <c r="A25" s="1">
        <v>3</v>
      </c>
      <c r="B25" s="2" t="s">
        <v>15</v>
      </c>
      <c r="C25" s="1">
        <v>121</v>
      </c>
      <c r="D25" s="5">
        <f>Table14[[#This Row],[Enrolment S.Y. 2025-2026 ]]*8</f>
        <v>968</v>
      </c>
      <c r="E25" s="5"/>
      <c r="F25" s="1"/>
      <c r="G25" s="5"/>
      <c r="H25" s="5">
        <f t="shared" si="0"/>
        <v>968</v>
      </c>
      <c r="I25" s="5">
        <f t="shared" si="1"/>
        <v>0</v>
      </c>
      <c r="J25" s="5">
        <f>Table14[[#This Row],[Enrolment S.Y. 2025-2026 ]]*8</f>
        <v>968</v>
      </c>
      <c r="K25" s="5"/>
      <c r="L25" s="1"/>
      <c r="M25" s="5"/>
      <c r="N25" s="5">
        <f t="shared" si="2"/>
        <v>968</v>
      </c>
      <c r="O25" s="5">
        <f t="shared" si="3"/>
        <v>0</v>
      </c>
      <c r="P25" s="5">
        <f>Table14[[#This Row],[Enrolment S.Y. 2025-2026 ]]*8</f>
        <v>968</v>
      </c>
      <c r="Q25" s="5"/>
      <c r="R25" s="1"/>
      <c r="S25" s="5"/>
      <c r="T25" s="5">
        <f t="shared" si="4"/>
        <v>968</v>
      </c>
      <c r="U25" s="5">
        <f t="shared" si="5"/>
        <v>0</v>
      </c>
      <c r="V25" s="5">
        <f>Table14[[#This Row],[Enrolment S.Y. 2025-2026 ]]*8</f>
        <v>968</v>
      </c>
      <c r="W25" s="5"/>
      <c r="X25" s="1"/>
      <c r="Y25" s="5"/>
      <c r="Z25" s="5">
        <f t="shared" si="6"/>
        <v>968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121</v>
      </c>
      <c r="D26" s="5">
        <f>Table14[[#This Row],[Enrolment S.Y. 2025-2026 ]]*8</f>
        <v>968</v>
      </c>
      <c r="E26" s="5"/>
      <c r="F26" s="1"/>
      <c r="G26" s="5"/>
      <c r="H26" s="5">
        <f t="shared" si="0"/>
        <v>968</v>
      </c>
      <c r="I26" s="5">
        <f t="shared" si="1"/>
        <v>0</v>
      </c>
      <c r="J26" s="5">
        <f>Table14[[#This Row],[Enrolment S.Y. 2025-2026 ]]*8</f>
        <v>968</v>
      </c>
      <c r="K26" s="5"/>
      <c r="L26" s="1"/>
      <c r="M26" s="5"/>
      <c r="N26" s="5">
        <f t="shared" si="2"/>
        <v>968</v>
      </c>
      <c r="O26" s="5">
        <f t="shared" si="3"/>
        <v>0</v>
      </c>
      <c r="P26" s="5">
        <f>Table14[[#This Row],[Enrolment S.Y. 2025-2026 ]]*8</f>
        <v>968</v>
      </c>
      <c r="Q26" s="5"/>
      <c r="R26" s="1"/>
      <c r="S26" s="5"/>
      <c r="T26" s="5">
        <f t="shared" si="4"/>
        <v>968</v>
      </c>
      <c r="U26" s="5">
        <f t="shared" si="5"/>
        <v>0</v>
      </c>
      <c r="V26" s="5">
        <f>Table14[[#This Row],[Enrolment S.Y. 2025-2026 ]]*8</f>
        <v>968</v>
      </c>
      <c r="W26" s="5"/>
      <c r="X26" s="1"/>
      <c r="Y26" s="5"/>
      <c r="Z26" s="5">
        <f t="shared" si="6"/>
        <v>968</v>
      </c>
      <c r="AA26" s="5">
        <f t="shared" si="7"/>
        <v>0</v>
      </c>
    </row>
    <row r="27" spans="1:27" ht="19.5">
      <c r="A27" s="1">
        <v>3</v>
      </c>
      <c r="B27" s="2" t="s">
        <v>13</v>
      </c>
      <c r="C27" s="1">
        <v>121</v>
      </c>
      <c r="D27" s="5">
        <f>Table14[[#This Row],[Enrolment S.Y. 2025-2026 ]]*8</f>
        <v>968</v>
      </c>
      <c r="E27" s="5">
        <v>504</v>
      </c>
      <c r="F27" s="1">
        <v>2024</v>
      </c>
      <c r="G27" s="5" t="s">
        <v>9</v>
      </c>
      <c r="H27" s="5">
        <f t="shared" si="0"/>
        <v>464</v>
      </c>
      <c r="I27" s="5">
        <f t="shared" si="1"/>
        <v>0</v>
      </c>
      <c r="J27" s="5">
        <f>Table14[[#This Row],[Enrolment S.Y. 2025-2026 ]]*8</f>
        <v>968</v>
      </c>
      <c r="K27" s="5"/>
      <c r="L27" s="1"/>
      <c r="M27" s="5"/>
      <c r="N27" s="5">
        <f t="shared" si="2"/>
        <v>968</v>
      </c>
      <c r="O27" s="5">
        <f t="shared" si="3"/>
        <v>0</v>
      </c>
      <c r="P27" s="5">
        <f>Table14[[#This Row],[Enrolment S.Y. 2025-2026 ]]*8</f>
        <v>968</v>
      </c>
      <c r="Q27" s="5"/>
      <c r="R27" s="1"/>
      <c r="S27" s="5"/>
      <c r="T27" s="5">
        <f t="shared" si="4"/>
        <v>968</v>
      </c>
      <c r="U27" s="5">
        <f t="shared" si="5"/>
        <v>0</v>
      </c>
      <c r="V27" s="5">
        <f>Table14[[#This Row],[Enrolment S.Y. 2025-2026 ]]*8</f>
        <v>968</v>
      </c>
      <c r="W27" s="5">
        <v>238</v>
      </c>
      <c r="X27" s="1">
        <v>2025</v>
      </c>
      <c r="Y27" s="5" t="s">
        <v>9</v>
      </c>
      <c r="Z27" s="5">
        <f t="shared" si="6"/>
        <v>730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121</v>
      </c>
      <c r="D28" s="5">
        <f>Table14[[#This Row],[Enrolment S.Y. 2025-2026 ]]*8</f>
        <v>968</v>
      </c>
      <c r="E28" s="5">
        <v>756</v>
      </c>
      <c r="F28" s="1">
        <v>2024</v>
      </c>
      <c r="G28" s="5" t="s">
        <v>9</v>
      </c>
      <c r="H28" s="5">
        <f>IF((D28-E28)&lt;0,0,(D28-E28))</f>
        <v>212</v>
      </c>
      <c r="I28" s="5">
        <f>IF((E28-D28)&lt;0,0,(E28-D28))</f>
        <v>0</v>
      </c>
      <c r="J28" s="5">
        <f>Table14[[#This Row],[Enrolment S.Y. 2025-2026 ]]*8</f>
        <v>968</v>
      </c>
      <c r="K28" s="5"/>
      <c r="L28" s="1"/>
      <c r="M28" s="5"/>
      <c r="N28" s="5">
        <f t="shared" si="2"/>
        <v>968</v>
      </c>
      <c r="O28" s="5">
        <f t="shared" si="3"/>
        <v>0</v>
      </c>
      <c r="P28" s="5">
        <f>Table14[[#This Row],[Enrolment S.Y. 2025-2026 ]]*8</f>
        <v>968</v>
      </c>
      <c r="Q28" s="5"/>
      <c r="R28" s="1"/>
      <c r="S28" s="5"/>
      <c r="T28" s="5">
        <f t="shared" si="4"/>
        <v>968</v>
      </c>
      <c r="U28" s="5">
        <f t="shared" si="5"/>
        <v>0</v>
      </c>
      <c r="V28" s="5">
        <f>Table14[[#This Row],[Enrolment S.Y. 2025-2026 ]]*8</f>
        <v>968</v>
      </c>
      <c r="W28" s="5">
        <v>187</v>
      </c>
      <c r="X28" s="1">
        <v>2025</v>
      </c>
      <c r="Y28" s="5" t="s">
        <v>9</v>
      </c>
      <c r="Z28" s="5">
        <f t="shared" si="6"/>
        <v>781</v>
      </c>
      <c r="AA28" s="5">
        <f t="shared" si="7"/>
        <v>0</v>
      </c>
    </row>
    <row r="29" spans="1:27" ht="19.5">
      <c r="A29" s="1">
        <v>3</v>
      </c>
      <c r="B29" s="9" t="s">
        <v>17</v>
      </c>
      <c r="C29" s="1">
        <v>121</v>
      </c>
      <c r="D29" s="5">
        <f>Table14[[#This Row],[Enrolment S.Y. 2025-2026 ]]*8</f>
        <v>968</v>
      </c>
      <c r="E29" s="5">
        <v>1260</v>
      </c>
      <c r="F29" s="1">
        <v>2024</v>
      </c>
      <c r="G29" s="5" t="s">
        <v>9</v>
      </c>
      <c r="H29" s="5">
        <f>IF((D29-E29)&lt;0,0,(D29-E29))</f>
        <v>0</v>
      </c>
      <c r="I29" s="5">
        <f>IF((E29-D29)&lt;0,0,(E29-D29))</f>
        <v>292</v>
      </c>
      <c r="J29" s="5">
        <f>Table14[[#This Row],[Enrolment S.Y. 2025-2026 ]]*8</f>
        <v>968</v>
      </c>
      <c r="K29" s="5"/>
      <c r="L29" s="1"/>
      <c r="M29" s="5"/>
      <c r="N29" s="5">
        <f t="shared" si="2"/>
        <v>968</v>
      </c>
      <c r="O29" s="5">
        <f t="shared" si="3"/>
        <v>0</v>
      </c>
      <c r="P29" s="5">
        <f>Table14[[#This Row],[Enrolment S.Y. 2025-2026 ]]*8</f>
        <v>968</v>
      </c>
      <c r="Q29" s="5"/>
      <c r="R29" s="1"/>
      <c r="S29" s="5"/>
      <c r="T29" s="5">
        <f t="shared" si="4"/>
        <v>968</v>
      </c>
      <c r="U29" s="5">
        <f t="shared" si="5"/>
        <v>0</v>
      </c>
      <c r="V29" s="5">
        <f>Table14[[#This Row],[Enrolment S.Y. 2025-2026 ]]*8</f>
        <v>968</v>
      </c>
      <c r="W29" s="5">
        <v>136</v>
      </c>
      <c r="X29" s="1">
        <v>2025</v>
      </c>
      <c r="Y29" s="5" t="s">
        <v>9</v>
      </c>
      <c r="Z29" s="5">
        <f t="shared" si="6"/>
        <v>832</v>
      </c>
      <c r="AA29" s="5">
        <f t="shared" si="7"/>
        <v>0</v>
      </c>
    </row>
    <row r="30" spans="1:27" ht="19.5">
      <c r="A30" s="1">
        <v>3</v>
      </c>
      <c r="B30" s="9" t="s">
        <v>51</v>
      </c>
      <c r="C30" s="1">
        <v>121</v>
      </c>
      <c r="D30" s="5">
        <f>Table14[[#This Row],[Enrolment S.Y. 2025-2026 ]]*8</f>
        <v>968</v>
      </c>
      <c r="E30" s="5"/>
      <c r="F30" s="1"/>
      <c r="G30" s="5"/>
      <c r="H30" s="5">
        <f>IF((D30-E30)&lt;0,0,(D30-E30))</f>
        <v>968</v>
      </c>
      <c r="I30" s="5">
        <f>IF((E30-D30)&lt;0,0,(E30-D30))</f>
        <v>0</v>
      </c>
      <c r="J30" s="5">
        <f>Table14[[#This Row],[Enrolment S.Y. 2025-2026 ]]*8</f>
        <v>968</v>
      </c>
      <c r="K30" s="5"/>
      <c r="L30" s="1"/>
      <c r="M30" s="5"/>
      <c r="N30" s="5">
        <f t="shared" si="2"/>
        <v>968</v>
      </c>
      <c r="O30" s="5">
        <f t="shared" si="3"/>
        <v>0</v>
      </c>
      <c r="P30" s="5">
        <f>Table14[[#This Row],[Enrolment S.Y. 2025-2026 ]]*8</f>
        <v>968</v>
      </c>
      <c r="Q30" s="5"/>
      <c r="R30" s="1"/>
      <c r="S30" s="5"/>
      <c r="T30" s="5">
        <f t="shared" si="4"/>
        <v>968</v>
      </c>
      <c r="U30" s="5">
        <f t="shared" si="5"/>
        <v>0</v>
      </c>
      <c r="V30" s="5">
        <f>Table14[[#This Row],[Enrolment S.Y. 2025-2026 ]]*8</f>
        <v>968</v>
      </c>
      <c r="W30" s="5"/>
      <c r="X30" s="1"/>
      <c r="Y30" s="5"/>
      <c r="Z30" s="5">
        <f t="shared" si="6"/>
        <v>968</v>
      </c>
      <c r="AA30" s="5">
        <f t="shared" si="7"/>
        <v>0</v>
      </c>
    </row>
    <row r="31" spans="1:27" s="7" customFormat="1"/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17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13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11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18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si="2"/>
        <v>0</v>
      </c>
      <c r="O36" s="5">
        <f t="shared" si="3"/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1">
        <v>4</v>
      </c>
      <c r="B37" s="9" t="s">
        <v>15</v>
      </c>
      <c r="C37" s="1"/>
      <c r="D37" s="5">
        <f>Table14[[#This Row],[Enrolment S.Y. 2025-2026 ]]*8</f>
        <v>0</v>
      </c>
      <c r="E37" s="5"/>
      <c r="F37" s="1"/>
      <c r="G37" s="5"/>
      <c r="H37" s="5">
        <f t="shared" si="0"/>
        <v>0</v>
      </c>
      <c r="I37" s="5">
        <f t="shared" si="1"/>
        <v>0</v>
      </c>
      <c r="J37" s="5">
        <f>Table14[[#This Row],[Enrolment S.Y. 2025-2026 ]]*8</f>
        <v>0</v>
      </c>
      <c r="K37" s="5"/>
      <c r="L37" s="1"/>
      <c r="M37" s="5"/>
      <c r="N37" s="5">
        <f t="shared" ref="N37:N42" si="10">IF((J37-K37)&lt;0,0,(J37-K37))</f>
        <v>0</v>
      </c>
      <c r="O37" s="5">
        <f t="shared" ref="O37:O42" si="11">IF((K37-J37)&lt;0,0,(K37-J37))</f>
        <v>0</v>
      </c>
      <c r="P37" s="5">
        <f>Table14[[#This Row],[Enrolment S.Y. 2025-2026 ]]*8</f>
        <v>0</v>
      </c>
      <c r="Q37" s="5"/>
      <c r="R37" s="1"/>
      <c r="S37" s="5"/>
      <c r="T37" s="5">
        <f t="shared" si="4"/>
        <v>0</v>
      </c>
      <c r="U37" s="5">
        <f t="shared" si="5"/>
        <v>0</v>
      </c>
      <c r="V37" s="5">
        <f>Table14[[#This Row],[Enrolment S.Y. 2025-2026 ]]*8</f>
        <v>0</v>
      </c>
      <c r="W37" s="5"/>
      <c r="X37" s="1"/>
      <c r="Y37" s="5"/>
      <c r="Z37" s="5">
        <f t="shared" si="6"/>
        <v>0</v>
      </c>
      <c r="AA37" s="5">
        <f t="shared" si="7"/>
        <v>0</v>
      </c>
    </row>
    <row r="38" spans="1:27" ht="19.149999999999999">
      <c r="A38" s="31">
        <v>4</v>
      </c>
      <c r="B38" s="9" t="s">
        <v>76</v>
      </c>
      <c r="C38" s="5"/>
      <c r="D38" s="5">
        <f>Table14[[#This Row],[Enrolment S.Y. 2025-2026 ]]*8</f>
        <v>0</v>
      </c>
      <c r="E38" s="5"/>
      <c r="F38" s="1"/>
      <c r="G38" s="5"/>
      <c r="H38" s="5">
        <f>IF((D38-E38)&lt;0,0,(D38-E38))</f>
        <v>0</v>
      </c>
      <c r="I38" s="5">
        <f>IF((E38-D38)&lt;0,0,(E38-D38))</f>
        <v>0</v>
      </c>
      <c r="J38" s="5">
        <f>Table14[[#This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Table14[[#This Row],[Enrolment S.Y. 2025-2026 ]]*8</f>
        <v>0</v>
      </c>
      <c r="Q38" s="5"/>
      <c r="R38" s="1"/>
      <c r="S38" s="5"/>
      <c r="T38" s="5">
        <f>IF((P38-Q38)&lt;0,0,(P38-Q38))</f>
        <v>0</v>
      </c>
      <c r="U38" s="5">
        <f>IF((Q38-P38)&lt;0,0,(Q38-P38))</f>
        <v>0</v>
      </c>
      <c r="V38" s="5">
        <f>Table14[[#This Row],[Enrolment S.Y. 2025-2026 ]]*8</f>
        <v>0</v>
      </c>
      <c r="W38" s="5"/>
      <c r="X38" s="1"/>
      <c r="Y38" s="5"/>
      <c r="Z38" s="5">
        <f>IF((V38-W38)&lt;0,0,(V38-W38))</f>
        <v>0</v>
      </c>
      <c r="AA38" s="5">
        <f>IF((W38-V38)&lt;0,0,(W38-V38))</f>
        <v>0</v>
      </c>
    </row>
    <row r="39" spans="1:27" ht="19.149999999999999">
      <c r="A39" s="1">
        <v>4</v>
      </c>
      <c r="B39" s="9" t="s">
        <v>77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1">
        <v>4</v>
      </c>
      <c r="B40" s="9" t="s">
        <v>20</v>
      </c>
      <c r="C40" s="1"/>
      <c r="D40" s="5">
        <f>Table14[[#This Row],[Enrolment S.Y. 2025-2026 ]]*8</f>
        <v>0</v>
      </c>
      <c r="E40" s="5"/>
      <c r="F40" s="1"/>
      <c r="G40" s="5"/>
      <c r="H40" s="5">
        <f t="shared" si="0"/>
        <v>0</v>
      </c>
      <c r="I40" s="5">
        <f t="shared" si="1"/>
        <v>0</v>
      </c>
      <c r="J40" s="5">
        <f>Table14[[#This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Table14[[#This Row],[Enrolment S.Y. 2025-2026 ]]*8</f>
        <v>0</v>
      </c>
      <c r="Q40" s="5"/>
      <c r="R40" s="1"/>
      <c r="S40" s="5"/>
      <c r="T40" s="5">
        <f t="shared" si="4"/>
        <v>0</v>
      </c>
      <c r="U40" s="5">
        <f t="shared" si="5"/>
        <v>0</v>
      </c>
      <c r="V40" s="5">
        <f>Table14[[#This Row],[Enrolment S.Y. 2025-2026 ]]*8</f>
        <v>0</v>
      </c>
      <c r="W40" s="5"/>
      <c r="X40" s="1"/>
      <c r="Y40" s="5"/>
      <c r="Z40" s="5">
        <f t="shared" si="6"/>
        <v>0</v>
      </c>
      <c r="AA40" s="5">
        <f t="shared" si="7"/>
        <v>0</v>
      </c>
    </row>
    <row r="41" spans="1:27" ht="19.149999999999999">
      <c r="A41" s="31">
        <v>4</v>
      </c>
      <c r="B41" s="9" t="s">
        <v>78</v>
      </c>
      <c r="C41" s="5"/>
      <c r="D41" s="5">
        <f>Table14[[#This Row],[Enrolment S.Y. 2025-2026 ]]*8</f>
        <v>0</v>
      </c>
      <c r="E41" s="5"/>
      <c r="F41" s="1"/>
      <c r="G41" s="5"/>
      <c r="H41" s="5">
        <f>IF((D41-E41)&lt;0,0,(D41-E41))</f>
        <v>0</v>
      </c>
      <c r="I41" s="5">
        <f>IF((E41-D41)&lt;0,0,(E41-D41))</f>
        <v>0</v>
      </c>
      <c r="J41" s="5">
        <f>Table14[[#This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Table14[[#This Row],[Enrolment S.Y. 2025-2026 ]]*8</f>
        <v>0</v>
      </c>
      <c r="Q41" s="5"/>
      <c r="R41" s="1"/>
      <c r="S41" s="5"/>
      <c r="T41" s="5">
        <f>IF((P41-Q41)&lt;0,0,(P41-Q41))</f>
        <v>0</v>
      </c>
      <c r="U41" s="5">
        <f>IF((Q41-P41)&lt;0,0,(Q41-P41))</f>
        <v>0</v>
      </c>
      <c r="V41" s="5">
        <f>Table14[[#This Row],[Enrolment S.Y. 2025-2026 ]]*8</f>
        <v>0</v>
      </c>
      <c r="W41" s="5"/>
      <c r="X41" s="1"/>
      <c r="Y41" s="5"/>
      <c r="Z41" s="5">
        <f>IF((V41-W41)&lt;0,0,(V41-W41))</f>
        <v>0</v>
      </c>
      <c r="AA41" s="5">
        <f>IF((W41-V41)&lt;0,0,(W41-V41))</f>
        <v>0</v>
      </c>
    </row>
    <row r="42" spans="1:27" ht="19.149999999999999">
      <c r="A42" s="1">
        <v>4</v>
      </c>
      <c r="B42" s="9" t="s">
        <v>79</v>
      </c>
      <c r="C42" s="1"/>
      <c r="D42" s="5">
        <f>Table14[[#This Row],[Enrolment S.Y. 2025-2026 ]]*8</f>
        <v>0</v>
      </c>
      <c r="E42" s="5"/>
      <c r="F42" s="1"/>
      <c r="G42" s="5"/>
      <c r="H42" s="5">
        <f t="shared" si="0"/>
        <v>0</v>
      </c>
      <c r="I42" s="5">
        <f t="shared" si="1"/>
        <v>0</v>
      </c>
      <c r="J42" s="5">
        <f>Table14[[#This Row],[Enrolment S.Y. 2025-2026 ]]*8</f>
        <v>0</v>
      </c>
      <c r="K42" s="5"/>
      <c r="L42" s="1"/>
      <c r="M42" s="5"/>
      <c r="N42" s="5">
        <f t="shared" si="10"/>
        <v>0</v>
      </c>
      <c r="O42" s="5">
        <f t="shared" si="11"/>
        <v>0</v>
      </c>
      <c r="P42" s="5">
        <f>Table14[[#This Row],[Enrolment S.Y. 2025-2026 ]]*8</f>
        <v>0</v>
      </c>
      <c r="Q42" s="5"/>
      <c r="R42" s="1"/>
      <c r="S42" s="5"/>
      <c r="T42" s="5">
        <f t="shared" si="4"/>
        <v>0</v>
      </c>
      <c r="U42" s="5">
        <f t="shared" si="5"/>
        <v>0</v>
      </c>
      <c r="V42" s="5">
        <f>Table14[[#This Row],[Enrolment S.Y. 2025-2026 ]]*8</f>
        <v>0</v>
      </c>
      <c r="W42" s="5"/>
      <c r="X42" s="1"/>
      <c r="Y42" s="5"/>
      <c r="Z42" s="5">
        <f t="shared" si="6"/>
        <v>0</v>
      </c>
      <c r="AA42" s="5">
        <f t="shared" si="7"/>
        <v>0</v>
      </c>
    </row>
    <row r="43" spans="1:27" s="7" customFormat="1"/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17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13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11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18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si="2"/>
        <v>0</v>
      </c>
      <c r="O48" s="5">
        <f t="shared" si="3"/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1">
        <v>5</v>
      </c>
      <c r="B49" s="9" t="s">
        <v>15</v>
      </c>
      <c r="C49" s="1"/>
      <c r="D49" s="5">
        <f>Table14[[#This Row],[Enrolment S.Y. 2025-2026 ]]*8</f>
        <v>0</v>
      </c>
      <c r="E49" s="5"/>
      <c r="F49" s="1"/>
      <c r="G49" s="5"/>
      <c r="H49" s="5">
        <f t="shared" si="0"/>
        <v>0</v>
      </c>
      <c r="I49" s="5">
        <f t="shared" si="1"/>
        <v>0</v>
      </c>
      <c r="J49" s="5">
        <f>Table14[[#This Row],[Enrolment S.Y. 2025-2026 ]]*8</f>
        <v>0</v>
      </c>
      <c r="K49" s="5"/>
      <c r="L49" s="1"/>
      <c r="M49" s="5"/>
      <c r="N49" s="5">
        <f t="shared" ref="N49:N54" si="12">IF((J49-K49)&lt;0,0,(J49-K49))</f>
        <v>0</v>
      </c>
      <c r="O49" s="5">
        <f t="shared" ref="O49:O54" si="13">IF((K49-J49)&lt;0,0,(K49-J49))</f>
        <v>0</v>
      </c>
      <c r="P49" s="5">
        <f>Table14[[#This Row],[Enrolment S.Y. 2025-2026 ]]*8</f>
        <v>0</v>
      </c>
      <c r="Q49" s="5"/>
      <c r="R49" s="1"/>
      <c r="S49" s="5"/>
      <c r="T49" s="5">
        <f t="shared" si="4"/>
        <v>0</v>
      </c>
      <c r="U49" s="5">
        <f t="shared" si="5"/>
        <v>0</v>
      </c>
      <c r="V49" s="5">
        <f>Table14[[#This Row],[Enrolment S.Y. 2025-2026 ]]*8</f>
        <v>0</v>
      </c>
      <c r="W49" s="5"/>
      <c r="X49" s="1"/>
      <c r="Y49" s="5"/>
      <c r="Z49" s="5">
        <f t="shared" si="6"/>
        <v>0</v>
      </c>
      <c r="AA49" s="5">
        <f t="shared" si="7"/>
        <v>0</v>
      </c>
    </row>
    <row r="50" spans="1:27" ht="19.149999999999999">
      <c r="A50" s="31">
        <v>5</v>
      </c>
      <c r="B50" s="9" t="s">
        <v>76</v>
      </c>
      <c r="C50" s="5"/>
      <c r="D50" s="5">
        <f>Table14[[#This Row],[Enrolment S.Y. 2025-2026 ]]*8</f>
        <v>0</v>
      </c>
      <c r="E50" s="5"/>
      <c r="F50" s="1"/>
      <c r="G50" s="5"/>
      <c r="H50" s="5">
        <f>IF((D50-E50)&lt;0,0,(D50-E50))</f>
        <v>0</v>
      </c>
      <c r="I50" s="5">
        <f>IF((E50-D50)&lt;0,0,(E50-D50))</f>
        <v>0</v>
      </c>
      <c r="J50" s="5">
        <f>Table14[[#This Row],[Enrolment S.Y. 2025-2026 ]]*8</f>
        <v>0</v>
      </c>
      <c r="K50" s="5"/>
      <c r="L50" s="1"/>
      <c r="M50" s="5"/>
      <c r="N50" s="5">
        <f t="shared" si="12"/>
        <v>0</v>
      </c>
      <c r="O50" s="5">
        <f t="shared" si="13"/>
        <v>0</v>
      </c>
      <c r="P50" s="5">
        <f>Table14[[#This Row],[Enrolment S.Y. 2025-2026 ]]*8</f>
        <v>0</v>
      </c>
      <c r="Q50" s="5"/>
      <c r="R50" s="1"/>
      <c r="S50" s="5"/>
      <c r="T50" s="5">
        <f>IF((P50-Q50)&lt;0,0,(P50-Q50))</f>
        <v>0</v>
      </c>
      <c r="U50" s="5">
        <f>IF((Q50-P50)&lt;0,0,(Q50-P50))</f>
        <v>0</v>
      </c>
      <c r="V50" s="5">
        <f>Table14[[#This Row],[Enrolment S.Y. 2025-2026 ]]*8</f>
        <v>0</v>
      </c>
      <c r="W50" s="5"/>
      <c r="X50" s="1"/>
      <c r="Y50" s="5"/>
      <c r="Z50" s="5">
        <f>IF((V50-W50)&lt;0,0,(V50-W50))</f>
        <v>0</v>
      </c>
      <c r="AA50" s="5">
        <f>IF((W50-V50)&lt;0,0,(W50-V50))</f>
        <v>0</v>
      </c>
    </row>
    <row r="51" spans="1:27" ht="19.149999999999999">
      <c r="A51" s="1">
        <v>5</v>
      </c>
      <c r="B51" s="9" t="s">
        <v>77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2"/>
        <v>0</v>
      </c>
      <c r="O51" s="5">
        <f t="shared" si="13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1">
        <v>5</v>
      </c>
      <c r="B52" s="9" t="s">
        <v>20</v>
      </c>
      <c r="C52" s="1"/>
      <c r="D52" s="5">
        <f>Table14[[#This Row],[Enrolment S.Y. 2025-2026 ]]*8</f>
        <v>0</v>
      </c>
      <c r="E52" s="5"/>
      <c r="F52" s="1"/>
      <c r="G52" s="5"/>
      <c r="H52" s="5">
        <f t="shared" si="0"/>
        <v>0</v>
      </c>
      <c r="I52" s="5">
        <f t="shared" si="1"/>
        <v>0</v>
      </c>
      <c r="J52" s="5">
        <f>Table14[[#This Row],[Enrolment S.Y. 2025-2026 ]]*8</f>
        <v>0</v>
      </c>
      <c r="K52" s="5"/>
      <c r="L52" s="1"/>
      <c r="M52" s="5"/>
      <c r="N52" s="5">
        <f t="shared" si="12"/>
        <v>0</v>
      </c>
      <c r="O52" s="5">
        <f t="shared" si="13"/>
        <v>0</v>
      </c>
      <c r="P52" s="5">
        <f>Table14[[#This Row],[Enrolment S.Y. 2025-2026 ]]*8</f>
        <v>0</v>
      </c>
      <c r="Q52" s="5"/>
      <c r="R52" s="1"/>
      <c r="S52" s="5"/>
      <c r="T52" s="5">
        <f t="shared" si="4"/>
        <v>0</v>
      </c>
      <c r="U52" s="5">
        <f t="shared" si="5"/>
        <v>0</v>
      </c>
      <c r="V52" s="5">
        <f>Table14[[#This Row],[Enrolment S.Y. 2025-2026 ]]*8</f>
        <v>0</v>
      </c>
      <c r="W52" s="5"/>
      <c r="X52" s="1"/>
      <c r="Y52" s="5"/>
      <c r="Z52" s="5">
        <f t="shared" si="6"/>
        <v>0</v>
      </c>
      <c r="AA52" s="5">
        <f t="shared" si="7"/>
        <v>0</v>
      </c>
    </row>
    <row r="53" spans="1:27" ht="19.149999999999999">
      <c r="A53" s="31">
        <v>5</v>
      </c>
      <c r="B53" s="9" t="s">
        <v>78</v>
      </c>
      <c r="C53" s="5"/>
      <c r="D53" s="5">
        <f>Table14[[#This Row],[Enrolment S.Y. 2025-2026 ]]*8</f>
        <v>0</v>
      </c>
      <c r="E53" s="5"/>
      <c r="F53" s="1"/>
      <c r="G53" s="5"/>
      <c r="H53" s="5">
        <f>IF((D53-E53)&lt;0,0,(D53-E53))</f>
        <v>0</v>
      </c>
      <c r="I53" s="5">
        <f>IF((E53-D53)&lt;0,0,(E53-D53))</f>
        <v>0</v>
      </c>
      <c r="J53" s="5">
        <f>Table14[[#This Row],[Enrolment S.Y. 2025-2026 ]]*8</f>
        <v>0</v>
      </c>
      <c r="K53" s="5"/>
      <c r="L53" s="1"/>
      <c r="M53" s="5"/>
      <c r="N53" s="5">
        <f t="shared" si="12"/>
        <v>0</v>
      </c>
      <c r="O53" s="5">
        <f t="shared" si="13"/>
        <v>0</v>
      </c>
      <c r="P53" s="5">
        <f>Table14[[#This Row],[Enrolment S.Y. 2025-2026 ]]*8</f>
        <v>0</v>
      </c>
      <c r="Q53" s="5"/>
      <c r="R53" s="1"/>
      <c r="S53" s="5"/>
      <c r="T53" s="5">
        <f>IF((P53-Q53)&lt;0,0,(P53-Q53))</f>
        <v>0</v>
      </c>
      <c r="U53" s="5">
        <f>IF((Q53-P53)&lt;0,0,(Q53-P53))</f>
        <v>0</v>
      </c>
      <c r="V53" s="5">
        <f>Table14[[#This Row],[Enrolment S.Y. 2025-2026 ]]*8</f>
        <v>0</v>
      </c>
      <c r="W53" s="5"/>
      <c r="X53" s="1"/>
      <c r="Y53" s="5"/>
      <c r="Z53" s="5">
        <f>IF((V53-W53)&lt;0,0,(V53-W53))</f>
        <v>0</v>
      </c>
      <c r="AA53" s="5">
        <f>IF((W53-V53)&lt;0,0,(W53-V53))</f>
        <v>0</v>
      </c>
    </row>
    <row r="54" spans="1:27" ht="19.149999999999999">
      <c r="A54" s="1">
        <v>5</v>
      </c>
      <c r="B54" s="9" t="s">
        <v>79</v>
      </c>
      <c r="C54" s="1"/>
      <c r="D54" s="5">
        <f>Table14[[#This Row],[Enrolment S.Y. 2025-2026 ]]*8</f>
        <v>0</v>
      </c>
      <c r="E54" s="5"/>
      <c r="F54" s="1"/>
      <c r="G54" s="5"/>
      <c r="H54" s="5">
        <f t="shared" si="0"/>
        <v>0</v>
      </c>
      <c r="I54" s="5">
        <f t="shared" si="1"/>
        <v>0</v>
      </c>
      <c r="J54" s="5">
        <f>Table14[[#This Row],[Enrolment S.Y. 2025-2026 ]]*8</f>
        <v>0</v>
      </c>
      <c r="K54" s="5"/>
      <c r="L54" s="1"/>
      <c r="M54" s="5"/>
      <c r="N54" s="5">
        <f t="shared" si="12"/>
        <v>0</v>
      </c>
      <c r="O54" s="5">
        <f t="shared" si="13"/>
        <v>0</v>
      </c>
      <c r="P54" s="5">
        <f>Table14[[#This Row],[Enrolment S.Y. 2025-2026 ]]*8</f>
        <v>0</v>
      </c>
      <c r="Q54" s="5"/>
      <c r="R54" s="1"/>
      <c r="S54" s="5"/>
      <c r="T54" s="5">
        <f t="shared" si="4"/>
        <v>0</v>
      </c>
      <c r="U54" s="5">
        <f t="shared" si="5"/>
        <v>0</v>
      </c>
      <c r="V54" s="5">
        <f>Table14[[#This Row],[Enrolment S.Y. 2025-2026 ]]*8</f>
        <v>0</v>
      </c>
      <c r="W54" s="5"/>
      <c r="X54" s="1"/>
      <c r="Y54" s="5"/>
      <c r="Z54" s="5">
        <f t="shared" si="6"/>
        <v>0</v>
      </c>
      <c r="AA54" s="5">
        <f t="shared" si="7"/>
        <v>0</v>
      </c>
    </row>
    <row r="55" spans="1:27" s="7" customFormat="1"/>
    <row r="56" spans="1:27" ht="19.5">
      <c r="A56" s="1">
        <v>6</v>
      </c>
      <c r="B56" s="9" t="s">
        <v>16</v>
      </c>
      <c r="C56" s="1">
        <v>104</v>
      </c>
      <c r="D56" s="5">
        <f>Table14[[#This Row],[Enrolment S.Y. 2025-2026 ]]*8</f>
        <v>832</v>
      </c>
      <c r="E56" s="5">
        <v>117</v>
      </c>
      <c r="F56" s="1">
        <v>2025</v>
      </c>
      <c r="G56" s="5" t="s">
        <v>9</v>
      </c>
      <c r="H56" s="5">
        <f t="shared" si="0"/>
        <v>715</v>
      </c>
      <c r="I56" s="5">
        <f t="shared" si="1"/>
        <v>0</v>
      </c>
      <c r="J56" s="5">
        <f>Table14[[#This Row],[Enrolment S.Y. 2025-2026 ]]*8</f>
        <v>832</v>
      </c>
      <c r="K56" s="5">
        <v>63</v>
      </c>
      <c r="L56" s="1">
        <v>2025</v>
      </c>
      <c r="M56" s="5" t="s">
        <v>9</v>
      </c>
      <c r="N56" s="5">
        <f t="shared" si="2"/>
        <v>769</v>
      </c>
      <c r="O56" s="5">
        <f t="shared" si="3"/>
        <v>0</v>
      </c>
      <c r="P56" s="5">
        <f>Table14[[#This Row],[Enrolment S.Y. 2025-2026 ]]*8</f>
        <v>832</v>
      </c>
      <c r="Q56" s="5">
        <v>42</v>
      </c>
      <c r="R56" s="1">
        <v>2025</v>
      </c>
      <c r="S56" s="5" t="s">
        <v>9</v>
      </c>
      <c r="T56" s="5">
        <f t="shared" si="4"/>
        <v>790</v>
      </c>
      <c r="U56" s="5">
        <f t="shared" si="5"/>
        <v>0</v>
      </c>
      <c r="V56" s="5">
        <f>Table14[[#This Row],[Enrolment S.Y. 2025-2026 ]]*8</f>
        <v>832</v>
      </c>
      <c r="W56" s="5">
        <v>147</v>
      </c>
      <c r="X56" s="1">
        <v>2025</v>
      </c>
      <c r="Y56" s="5" t="s">
        <v>9</v>
      </c>
      <c r="Z56" s="5">
        <f t="shared" si="6"/>
        <v>685</v>
      </c>
      <c r="AA56" s="5">
        <f t="shared" si="7"/>
        <v>0</v>
      </c>
    </row>
    <row r="57" spans="1:27" ht="19.5">
      <c r="A57" s="1">
        <v>6</v>
      </c>
      <c r="B57" s="9" t="s">
        <v>17</v>
      </c>
      <c r="C57" s="1">
        <v>104</v>
      </c>
      <c r="D57" s="5">
        <f>Table14[[#This Row],[Enrolment S.Y. 2025-2026 ]]*8</f>
        <v>832</v>
      </c>
      <c r="E57" s="5">
        <v>585</v>
      </c>
      <c r="F57" s="1">
        <v>2025</v>
      </c>
      <c r="G57" s="5" t="s">
        <v>9</v>
      </c>
      <c r="H57" s="5">
        <f t="shared" si="0"/>
        <v>247</v>
      </c>
      <c r="I57" s="5">
        <f t="shared" si="1"/>
        <v>0</v>
      </c>
      <c r="J57" s="5">
        <f>Table14[[#This Row],[Enrolment S.Y. 2025-2026 ]]*8</f>
        <v>832</v>
      </c>
      <c r="K57" s="5">
        <v>294</v>
      </c>
      <c r="L57" s="1">
        <v>2025</v>
      </c>
      <c r="M57" s="5" t="s">
        <v>9</v>
      </c>
      <c r="N57" s="5">
        <f t="shared" si="2"/>
        <v>538</v>
      </c>
      <c r="O57" s="5">
        <f t="shared" si="3"/>
        <v>0</v>
      </c>
      <c r="P57" s="5">
        <f>Table14[[#This Row],[Enrolment S.Y. 2025-2026 ]]*8</f>
        <v>832</v>
      </c>
      <c r="Q57" s="5">
        <v>126</v>
      </c>
      <c r="R57" s="1">
        <v>2025</v>
      </c>
      <c r="S57" s="5" t="s">
        <v>9</v>
      </c>
      <c r="T57" s="5">
        <f t="shared" si="4"/>
        <v>706</v>
      </c>
      <c r="U57" s="5">
        <f t="shared" si="5"/>
        <v>0</v>
      </c>
      <c r="V57" s="5">
        <f>Table14[[#This Row],[Enrolment S.Y. 2025-2026 ]]*8</f>
        <v>832</v>
      </c>
      <c r="W57" s="5">
        <v>105</v>
      </c>
      <c r="X57" s="1">
        <v>2025</v>
      </c>
      <c r="Y57" s="5" t="s">
        <v>9</v>
      </c>
      <c r="Z57" s="5">
        <f t="shared" si="6"/>
        <v>727</v>
      </c>
      <c r="AA57" s="5">
        <f t="shared" si="7"/>
        <v>0</v>
      </c>
    </row>
    <row r="58" spans="1:27" ht="19.5">
      <c r="A58" s="1">
        <v>6</v>
      </c>
      <c r="B58" s="9" t="s">
        <v>13</v>
      </c>
      <c r="C58" s="1">
        <v>104</v>
      </c>
      <c r="D58" s="5">
        <f>Table14[[#This Row],[Enrolment S.Y. 2025-2026 ]]*8</f>
        <v>832</v>
      </c>
      <c r="E58" s="5">
        <v>429</v>
      </c>
      <c r="F58" s="1">
        <v>2025</v>
      </c>
      <c r="G58" s="5" t="s">
        <v>9</v>
      </c>
      <c r="H58" s="5">
        <f t="shared" si="0"/>
        <v>403</v>
      </c>
      <c r="I58" s="5">
        <f t="shared" si="1"/>
        <v>0</v>
      </c>
      <c r="J58" s="5">
        <f>Table14[[#This Row],[Enrolment S.Y. 2025-2026 ]]*8</f>
        <v>832</v>
      </c>
      <c r="K58" s="5">
        <v>294</v>
      </c>
      <c r="L58" s="1">
        <v>2025</v>
      </c>
      <c r="M58" s="5" t="s">
        <v>9</v>
      </c>
      <c r="N58" s="5">
        <f t="shared" si="2"/>
        <v>538</v>
      </c>
      <c r="O58" s="5">
        <f t="shared" si="3"/>
        <v>0</v>
      </c>
      <c r="P58" s="5">
        <f>Table14[[#This Row],[Enrolment S.Y. 2025-2026 ]]*8</f>
        <v>832</v>
      </c>
      <c r="Q58" s="5">
        <v>189</v>
      </c>
      <c r="R58" s="1">
        <v>2025</v>
      </c>
      <c r="S58" s="5" t="s">
        <v>9</v>
      </c>
      <c r="T58" s="5">
        <f t="shared" si="4"/>
        <v>643</v>
      </c>
      <c r="U58" s="5">
        <f t="shared" si="5"/>
        <v>0</v>
      </c>
      <c r="V58" s="5">
        <f>Table14[[#This Row],[Enrolment S.Y. 2025-2026 ]]*8</f>
        <v>832</v>
      </c>
      <c r="W58" s="5">
        <v>189</v>
      </c>
      <c r="X58" s="1">
        <v>2025</v>
      </c>
      <c r="Y58" s="5" t="s">
        <v>9</v>
      </c>
      <c r="Z58" s="5">
        <f t="shared" si="6"/>
        <v>643</v>
      </c>
      <c r="AA58" s="5">
        <f t="shared" si="7"/>
        <v>0</v>
      </c>
    </row>
    <row r="59" spans="1:27" ht="19.5">
      <c r="A59" s="1">
        <v>6</v>
      </c>
      <c r="B59" s="9" t="s">
        <v>11</v>
      </c>
      <c r="C59" s="1">
        <v>104</v>
      </c>
      <c r="D59" s="5">
        <f>Table14[[#This Row],[Enrolment S.Y. 2025-2026 ]]*8</f>
        <v>832</v>
      </c>
      <c r="E59" s="5"/>
      <c r="F59" s="1"/>
      <c r="G59" s="5"/>
      <c r="H59" s="5">
        <f t="shared" si="0"/>
        <v>832</v>
      </c>
      <c r="I59" s="5">
        <f t="shared" si="1"/>
        <v>0</v>
      </c>
      <c r="J59" s="5">
        <f>Table14[[#This Row],[Enrolment S.Y. 2025-2026 ]]*8</f>
        <v>832</v>
      </c>
      <c r="K59" s="5"/>
      <c r="L59" s="1"/>
      <c r="M59" s="5"/>
      <c r="N59" s="5">
        <f t="shared" si="2"/>
        <v>832</v>
      </c>
      <c r="O59" s="5">
        <f t="shared" si="3"/>
        <v>0</v>
      </c>
      <c r="P59" s="5">
        <f>Table14[[#This Row],[Enrolment S.Y. 2025-2026 ]]*8</f>
        <v>832</v>
      </c>
      <c r="Q59" s="5">
        <v>84</v>
      </c>
      <c r="R59" s="1">
        <v>2025</v>
      </c>
      <c r="S59" s="5" t="s">
        <v>9</v>
      </c>
      <c r="T59" s="5">
        <f t="shared" si="4"/>
        <v>748</v>
      </c>
      <c r="U59" s="5">
        <f t="shared" si="5"/>
        <v>0</v>
      </c>
      <c r="V59" s="5">
        <f>Table14[[#This Row],[Enrolment S.Y. 2025-2026 ]]*8</f>
        <v>832</v>
      </c>
      <c r="W59" s="5">
        <v>42</v>
      </c>
      <c r="X59" s="1">
        <v>2025</v>
      </c>
      <c r="Y59" s="5" t="s">
        <v>9</v>
      </c>
      <c r="Z59" s="5">
        <f t="shared" si="6"/>
        <v>790</v>
      </c>
      <c r="AA59" s="5">
        <f t="shared" si="7"/>
        <v>0</v>
      </c>
    </row>
    <row r="60" spans="1:27" ht="38.25">
      <c r="A60" s="1">
        <v>6</v>
      </c>
      <c r="B60" s="9" t="s">
        <v>18</v>
      </c>
      <c r="C60" s="1">
        <v>104</v>
      </c>
      <c r="D60" s="5">
        <f>Table14[[#This Row],[Enrolment S.Y. 2025-2026 ]]*8</f>
        <v>832</v>
      </c>
      <c r="E60" s="5"/>
      <c r="F60" s="1"/>
      <c r="G60" s="5"/>
      <c r="H60" s="5">
        <f t="shared" si="0"/>
        <v>832</v>
      </c>
      <c r="I60" s="5">
        <f t="shared" si="1"/>
        <v>0</v>
      </c>
      <c r="J60" s="5">
        <f>Table14[[#This Row],[Enrolment S.Y. 2025-2026 ]]*8</f>
        <v>832</v>
      </c>
      <c r="K60" s="5"/>
      <c r="L60" s="1"/>
      <c r="M60" s="5"/>
      <c r="N60" s="5">
        <f t="shared" si="2"/>
        <v>832</v>
      </c>
      <c r="O60" s="5">
        <f t="shared" si="3"/>
        <v>0</v>
      </c>
      <c r="P60" s="5">
        <f>Table14[[#This Row],[Enrolment S.Y. 2025-2026 ]]*8</f>
        <v>832</v>
      </c>
      <c r="Q60" s="5">
        <v>126</v>
      </c>
      <c r="R60" s="1">
        <v>2025</v>
      </c>
      <c r="S60" s="5" t="s">
        <v>9</v>
      </c>
      <c r="T60" s="5">
        <f t="shared" si="4"/>
        <v>706</v>
      </c>
      <c r="U60" s="5">
        <f t="shared" si="5"/>
        <v>0</v>
      </c>
      <c r="V60" s="5">
        <f>Table14[[#This Row],[Enrolment S.Y. 2025-2026 ]]*8</f>
        <v>832</v>
      </c>
      <c r="W60" s="5">
        <v>126</v>
      </c>
      <c r="X60" s="1">
        <v>2025</v>
      </c>
      <c r="Y60" s="5" t="s">
        <v>9</v>
      </c>
      <c r="Z60" s="5">
        <f t="shared" si="6"/>
        <v>706</v>
      </c>
      <c r="AA60" s="5">
        <f t="shared" si="7"/>
        <v>0</v>
      </c>
    </row>
    <row r="61" spans="1:27" ht="19.5">
      <c r="A61" s="1">
        <v>6</v>
      </c>
      <c r="B61" s="9" t="s">
        <v>15</v>
      </c>
      <c r="C61" s="1">
        <v>104</v>
      </c>
      <c r="D61" s="5">
        <f>Table14[[#This Row],[Enrolment S.Y. 2025-2026 ]]*8</f>
        <v>832</v>
      </c>
      <c r="E61" s="5"/>
      <c r="F61" s="1"/>
      <c r="G61" s="5"/>
      <c r="H61" s="5">
        <f t="shared" si="0"/>
        <v>832</v>
      </c>
      <c r="I61" s="5">
        <f t="shared" si="1"/>
        <v>0</v>
      </c>
      <c r="J61" s="5">
        <f>Table14[[#This Row],[Enrolment S.Y. 2025-2026 ]]*8</f>
        <v>832</v>
      </c>
      <c r="K61" s="5"/>
      <c r="L61" s="1"/>
      <c r="M61" s="5"/>
      <c r="N61" s="5">
        <f t="shared" si="2"/>
        <v>832</v>
      </c>
      <c r="O61" s="5">
        <f t="shared" si="3"/>
        <v>0</v>
      </c>
      <c r="P61" s="5">
        <f>Table14[[#This Row],[Enrolment S.Y. 2025-2026 ]]*8</f>
        <v>832</v>
      </c>
      <c r="Q61" s="5">
        <v>84</v>
      </c>
      <c r="R61" s="1">
        <v>2025</v>
      </c>
      <c r="S61" s="5" t="s">
        <v>9</v>
      </c>
      <c r="T61" s="5">
        <f t="shared" si="4"/>
        <v>748</v>
      </c>
      <c r="U61" s="5">
        <f t="shared" si="5"/>
        <v>0</v>
      </c>
      <c r="V61" s="5">
        <f>Table14[[#This Row],[Enrolment S.Y. 2025-2026 ]]*8</f>
        <v>832</v>
      </c>
      <c r="W61" s="5"/>
      <c r="X61" s="1"/>
      <c r="Y61" s="5"/>
      <c r="Z61" s="5">
        <f t="shared" si="6"/>
        <v>832</v>
      </c>
      <c r="AA61" s="5">
        <f t="shared" si="7"/>
        <v>0</v>
      </c>
    </row>
    <row r="62" spans="1:27" ht="19.5">
      <c r="A62" s="31">
        <v>6</v>
      </c>
      <c r="B62" s="9" t="s">
        <v>76</v>
      </c>
      <c r="C62" s="5">
        <v>104</v>
      </c>
      <c r="D62" s="5">
        <f>Table14[[#This Row],[Enrolment S.Y. 2025-2026 ]]*8</f>
        <v>832</v>
      </c>
      <c r="E62" s="5"/>
      <c r="F62" s="1"/>
      <c r="G62" s="5"/>
      <c r="H62" s="5">
        <f>IF((D62-E62)&lt;0,0,(D62-E62))</f>
        <v>832</v>
      </c>
      <c r="I62" s="5">
        <f>IF((E62-D62)&lt;0,0,(E62-D62))</f>
        <v>0</v>
      </c>
      <c r="J62" s="5">
        <f>Table14[[#This Row],[Enrolment S.Y. 2025-2026 ]]*8</f>
        <v>832</v>
      </c>
      <c r="K62" s="5"/>
      <c r="L62" s="1"/>
      <c r="M62" s="5"/>
      <c r="N62" s="5">
        <f t="shared" ref="N62:N66" si="14">IF((J62-K62)&lt;0,0,(J62-K62))</f>
        <v>832</v>
      </c>
      <c r="O62" s="5">
        <f t="shared" ref="O62:O66" si="15">IF((K62-J62)&lt;0,0,(K62-J62))</f>
        <v>0</v>
      </c>
      <c r="P62" s="5">
        <f>Table14[[#This Row],[Enrolment S.Y. 2025-2026 ]]*8</f>
        <v>832</v>
      </c>
      <c r="Q62" s="5">
        <v>84</v>
      </c>
      <c r="R62" s="1">
        <v>2025</v>
      </c>
      <c r="S62" s="5" t="s">
        <v>9</v>
      </c>
      <c r="T62" s="5">
        <f>IF((P62-Q62)&lt;0,0,(P62-Q62))</f>
        <v>748</v>
      </c>
      <c r="U62" s="5">
        <f>IF((Q62-P62)&lt;0,0,(Q62-P62))</f>
        <v>0</v>
      </c>
      <c r="V62" s="5">
        <f>Table14[[#This Row],[Enrolment S.Y. 2025-2026 ]]*8</f>
        <v>832</v>
      </c>
      <c r="W62" s="5">
        <v>63</v>
      </c>
      <c r="X62" s="1">
        <v>2025</v>
      </c>
      <c r="Y62" s="5" t="s">
        <v>9</v>
      </c>
      <c r="Z62" s="5">
        <f>IF((V62-W62)&lt;0,0,(V62-W62))</f>
        <v>769</v>
      </c>
      <c r="AA62" s="5">
        <f>IF((W62-V62)&lt;0,0,(W62-V62))</f>
        <v>0</v>
      </c>
    </row>
    <row r="63" spans="1:27" ht="19.5">
      <c r="A63" s="1">
        <v>6</v>
      </c>
      <c r="B63" s="9" t="s">
        <v>77</v>
      </c>
      <c r="C63" s="1">
        <v>104</v>
      </c>
      <c r="D63" s="5">
        <f>Table14[[#This Row],[Enrolment S.Y. 2025-2026 ]]*8</f>
        <v>832</v>
      </c>
      <c r="E63" s="5"/>
      <c r="F63" s="1"/>
      <c r="G63" s="5"/>
      <c r="H63" s="5">
        <f t="shared" si="0"/>
        <v>832</v>
      </c>
      <c r="I63" s="5">
        <f t="shared" si="1"/>
        <v>0</v>
      </c>
      <c r="J63" s="5">
        <f>Table14[[#This Row],[Enrolment S.Y. 2025-2026 ]]*8</f>
        <v>832</v>
      </c>
      <c r="K63" s="5"/>
      <c r="L63" s="1"/>
      <c r="M63" s="5"/>
      <c r="N63" s="5">
        <f t="shared" si="14"/>
        <v>832</v>
      </c>
      <c r="O63" s="5">
        <f t="shared" si="15"/>
        <v>0</v>
      </c>
      <c r="P63" s="5">
        <f>Table14[[#This Row],[Enrolment S.Y. 2025-2026 ]]*8</f>
        <v>832</v>
      </c>
      <c r="Q63" s="5"/>
      <c r="R63" s="1"/>
      <c r="S63" s="5"/>
      <c r="T63" s="5">
        <f t="shared" si="4"/>
        <v>832</v>
      </c>
      <c r="U63" s="5">
        <f t="shared" si="5"/>
        <v>0</v>
      </c>
      <c r="V63" s="5">
        <f>Table14[[#This Row],[Enrolment S.Y. 2025-2026 ]]*8</f>
        <v>832</v>
      </c>
      <c r="W63" s="5"/>
      <c r="X63" s="1"/>
      <c r="Y63" s="5"/>
      <c r="Z63" s="5">
        <f t="shared" si="6"/>
        <v>832</v>
      </c>
      <c r="AA63" s="5">
        <f t="shared" si="7"/>
        <v>0</v>
      </c>
    </row>
    <row r="64" spans="1:27" ht="19.5">
      <c r="A64" s="1">
        <v>6</v>
      </c>
      <c r="B64" s="9" t="s">
        <v>20</v>
      </c>
      <c r="C64" s="1">
        <v>104</v>
      </c>
      <c r="D64" s="5">
        <f>Table14[[#This Row],[Enrolment S.Y. 2025-2026 ]]*8</f>
        <v>832</v>
      </c>
      <c r="E64" s="5"/>
      <c r="F64" s="1"/>
      <c r="G64" s="5"/>
      <c r="H64" s="5">
        <f t="shared" si="0"/>
        <v>832</v>
      </c>
      <c r="I64" s="5">
        <f t="shared" si="1"/>
        <v>0</v>
      </c>
      <c r="J64" s="5">
        <f>Table14[[#This Row],[Enrolment S.Y. 2025-2026 ]]*8</f>
        <v>832</v>
      </c>
      <c r="K64" s="5"/>
      <c r="L64" s="1"/>
      <c r="M64" s="5"/>
      <c r="N64" s="5">
        <f t="shared" si="14"/>
        <v>832</v>
      </c>
      <c r="O64" s="5">
        <f t="shared" si="15"/>
        <v>0</v>
      </c>
      <c r="P64" s="5">
        <f>Table14[[#This Row],[Enrolment S.Y. 2025-2026 ]]*8</f>
        <v>832</v>
      </c>
      <c r="Q64" s="5">
        <v>63</v>
      </c>
      <c r="R64" s="1">
        <v>2025</v>
      </c>
      <c r="S64" s="5" t="s">
        <v>9</v>
      </c>
      <c r="T64" s="5">
        <f t="shared" si="4"/>
        <v>769</v>
      </c>
      <c r="U64" s="5">
        <f t="shared" si="5"/>
        <v>0</v>
      </c>
      <c r="V64" s="5">
        <f>Table14[[#This Row],[Enrolment S.Y. 2025-2026 ]]*8</f>
        <v>832</v>
      </c>
      <c r="W64" s="5">
        <v>63</v>
      </c>
      <c r="X64" s="1">
        <v>2025</v>
      </c>
      <c r="Y64" s="5" t="s">
        <v>9</v>
      </c>
      <c r="Z64" s="5">
        <f t="shared" si="6"/>
        <v>769</v>
      </c>
      <c r="AA64" s="5">
        <f t="shared" si="7"/>
        <v>0</v>
      </c>
    </row>
    <row r="65" spans="1:27" ht="19.5">
      <c r="A65" s="31">
        <v>6</v>
      </c>
      <c r="B65" s="9" t="s">
        <v>78</v>
      </c>
      <c r="C65" s="5">
        <v>104</v>
      </c>
      <c r="D65" s="5">
        <f>Table14[[#This Row],[Enrolment S.Y. 2025-2026 ]]*8</f>
        <v>832</v>
      </c>
      <c r="E65" s="5"/>
      <c r="F65" s="1"/>
      <c r="G65" s="5"/>
      <c r="H65" s="5">
        <f>IF((D65-E65)&lt;0,0,(D65-E65))</f>
        <v>832</v>
      </c>
      <c r="I65" s="5">
        <f>IF((E65-D65)&lt;0,0,(E65-D65))</f>
        <v>0</v>
      </c>
      <c r="J65" s="5">
        <f>Table14[[#This Row],[Enrolment S.Y. 2025-2026 ]]*8</f>
        <v>832</v>
      </c>
      <c r="K65" s="5"/>
      <c r="L65" s="1"/>
      <c r="M65" s="5"/>
      <c r="N65" s="5">
        <f t="shared" si="14"/>
        <v>832</v>
      </c>
      <c r="O65" s="5">
        <f t="shared" si="15"/>
        <v>0</v>
      </c>
      <c r="P65" s="5">
        <f>Table14[[#This Row],[Enrolment S.Y. 2025-2026 ]]*8</f>
        <v>832</v>
      </c>
      <c r="Q65" s="5">
        <v>63</v>
      </c>
      <c r="R65" s="1">
        <v>2025</v>
      </c>
      <c r="S65" s="5" t="s">
        <v>9</v>
      </c>
      <c r="T65" s="5">
        <f>IF((P65-Q65)&lt;0,0,(P65-Q65))</f>
        <v>769</v>
      </c>
      <c r="U65" s="5">
        <f>IF((Q65-P65)&lt;0,0,(Q65-P65))</f>
        <v>0</v>
      </c>
      <c r="V65" s="5">
        <f>Table14[[#This Row],[Enrolment S.Y. 2025-2026 ]]*8</f>
        <v>832</v>
      </c>
      <c r="W65" s="5">
        <v>210</v>
      </c>
      <c r="X65" s="1">
        <v>2025</v>
      </c>
      <c r="Y65" s="5" t="s">
        <v>9</v>
      </c>
      <c r="Z65" s="5">
        <f>IF((V65-W65)&lt;0,0,(V65-W65))</f>
        <v>622</v>
      </c>
      <c r="AA65" s="5">
        <f>IF((W65-V65)&lt;0,0,(W65-V65))</f>
        <v>0</v>
      </c>
    </row>
    <row r="66" spans="1:27" ht="19.5">
      <c r="A66" s="1">
        <v>6</v>
      </c>
      <c r="B66" s="9" t="s">
        <v>79</v>
      </c>
      <c r="C66" s="1">
        <v>104</v>
      </c>
      <c r="D66" s="5">
        <f>Table14[[#This Row],[Enrolment S.Y. 2025-2026 ]]*8</f>
        <v>832</v>
      </c>
      <c r="E66" s="5"/>
      <c r="F66" s="1"/>
      <c r="G66" s="5"/>
      <c r="H66" s="5">
        <f t="shared" si="0"/>
        <v>832</v>
      </c>
      <c r="I66" s="5">
        <f t="shared" si="1"/>
        <v>0</v>
      </c>
      <c r="J66" s="5">
        <f>Table14[[#This Row],[Enrolment S.Y. 2025-2026 ]]*8</f>
        <v>832</v>
      </c>
      <c r="K66" s="5"/>
      <c r="L66" s="1"/>
      <c r="M66" s="5"/>
      <c r="N66" s="5">
        <f t="shared" si="14"/>
        <v>832</v>
      </c>
      <c r="O66" s="5">
        <f t="shared" si="15"/>
        <v>0</v>
      </c>
      <c r="P66" s="5">
        <f>Table14[[#This Row],[Enrolment S.Y. 2025-2026 ]]*8</f>
        <v>832</v>
      </c>
      <c r="Q66" s="5">
        <v>147</v>
      </c>
      <c r="R66" s="1">
        <v>2025</v>
      </c>
      <c r="S66" s="5" t="s">
        <v>9</v>
      </c>
      <c r="T66" s="5">
        <f t="shared" si="4"/>
        <v>685</v>
      </c>
      <c r="U66" s="5">
        <f t="shared" si="5"/>
        <v>0</v>
      </c>
      <c r="V66" s="5">
        <f>Table14[[#This Row],[Enrolment S.Y. 2025-2026 ]]*8</f>
        <v>832</v>
      </c>
      <c r="W66" s="5">
        <v>189</v>
      </c>
      <c r="X66" s="1">
        <v>2025</v>
      </c>
      <c r="Y66" s="5" t="s">
        <v>9</v>
      </c>
      <c r="Z66" s="5">
        <f t="shared" si="6"/>
        <v>643</v>
      </c>
      <c r="AA66" s="5">
        <f t="shared" si="7"/>
        <v>0</v>
      </c>
    </row>
    <row r="67" spans="1:27" s="7" customFormat="1" ht="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</row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s="7" customForma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</row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7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ht="15"/>
    <row r="103" spans="1:27" s="7" customForma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</row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ht="15"/>
    <row r="115" spans="1:28" s="7" customForma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</row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ht="15"/>
    <row r="124" spans="1:28" s="7" customForma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  <row r="141" spans="28:28">
      <c r="AB141" s="7"/>
    </row>
  </sheetData>
  <protectedRanges>
    <protectedRange sqref="C2:C11 C13:C20 C22:C30 C32:C42 C44:C54 C56:C66" name="Textbooks"/>
    <protectedRange sqref="J2:L2 D2:F11 D13:F20 D22:F30 D32:F42 D44:F54 D56:F66 P2:R11 N32:R42 N44:R54 N56:R66 V2:X11 T3:U11 N13:R20 T13:X20 H3:L11 Z3:AA11 Z13:AA20 H13:L20 N22:R30 T22:X30 Z22:AA30 H22:L30 T32:X42 Z32:AA42 H32:L42 T44:X54 Z44:AA54 H44:L54 T56:X66 Z56:AA66 H56:L66 N3:O11" name="LAS"/>
    <protectedRange sqref="G2:I2 M2:O2 S2:U2 Y2:AA2 G3:G11 M3:M11 S3:S11 Y3:Y11 Y13:Y20 G13:G20 M13:M20 S13:S20 Y22:Y30 G22:G30 M22:M30 S22:S30 Y32:Y42 G32:G42 M32:M42 S32:S42 Y44:Y54 G44:G54 M44:M54 S44:S54 Y56:Y66 G56:G66 M56:M66 S56:S66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1 S3:S11 M3:M11 G3:G11 G13:G20 Y13:Y20 S13:S20 M13:M20 M22:M30 G22:G30 Y22:Y30 S22:S30 S32:S42 M32:M42 G32:G42 Y32:Y42 Y44:Y54 S44:S54 M44:M54 G44:G54 G56:G66 Y56:Y66 S56:S66 M56:M66" xr:uid="{CBD486C7-A5DB-48F1-B496-5027CC51E830}">
      <formula1>"CO,RO,SDO,LGU,SCHOOL"</formula1>
    </dataValidation>
    <dataValidation type="list" allowBlank="1" showInputMessage="1" showErrorMessage="1" sqref="F56:F66 F44:F54 F32:F42 F22:F30 F13:F20 F3:F11 L56:L66 L44:L54 L32:L42 L22:L30 L13:L20 L3:L11 R56:R66 R44:R54 R32:R42 R22:R30 R13:R20 R3:R11 X56:X66 X44:X54 X32:X42 X22:X30 X13:X20 X3:X11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2026-04-13T08:17:48Z</dcterms:modified>
  <cp:category/>
  <cp:contentStatus/>
</cp:coreProperties>
</file>