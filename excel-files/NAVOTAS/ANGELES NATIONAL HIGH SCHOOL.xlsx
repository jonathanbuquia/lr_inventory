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3" documentId="13_ncr:1_{BFB59F67-F0DC-4675-A682-EB0734A8026A}" xr6:coauthVersionLast="47" xr6:coauthVersionMax="47" xr10:uidLastSave="{8DF800B8-D5C0-B24F-8053-41F64E75AA3D}"/>
  <bookViews>
    <workbookView xWindow="-108" yWindow="-108" windowWidth="23256" windowHeight="12456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3" i="5" l="1"/>
  <c r="N93" i="5"/>
  <c r="P109" i="5"/>
  <c r="T109" i="5"/>
  <c r="P110" i="5"/>
  <c r="U110" i="5"/>
  <c r="P111" i="5"/>
  <c r="P112" i="5"/>
  <c r="P113" i="5"/>
  <c r="P97" i="5"/>
  <c r="T97" i="5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112" i="5"/>
  <c r="H112" i="5"/>
  <c r="J112" i="5"/>
  <c r="U112" i="5"/>
  <c r="T112" i="5"/>
  <c r="V112" i="5"/>
  <c r="Z112" i="5"/>
  <c r="D109" i="5"/>
  <c r="H109" i="5"/>
  <c r="J109" i="5"/>
  <c r="U109" i="5"/>
  <c r="V109" i="5"/>
  <c r="Z109" i="5"/>
  <c r="D88" i="5"/>
  <c r="H88" i="5"/>
  <c r="J88" i="5"/>
  <c r="T88" i="5"/>
  <c r="V88" i="5"/>
  <c r="Z88" i="5"/>
  <c r="D100" i="5"/>
  <c r="H100" i="5"/>
  <c r="J100" i="5"/>
  <c r="T100" i="5"/>
  <c r="V100" i="5"/>
  <c r="Z100" i="5"/>
  <c r="D97" i="5"/>
  <c r="H97" i="5"/>
  <c r="J97" i="5"/>
  <c r="V97" i="5"/>
  <c r="Z97" i="5"/>
  <c r="D85" i="5"/>
  <c r="H85" i="5"/>
  <c r="J85" i="5"/>
  <c r="T85" i="5"/>
  <c r="V85" i="5"/>
  <c r="Z85" i="5"/>
  <c r="D76" i="5"/>
  <c r="H76" i="5"/>
  <c r="J76" i="5"/>
  <c r="T76" i="5"/>
  <c r="V76" i="5"/>
  <c r="Z76" i="5"/>
  <c r="D73" i="5"/>
  <c r="H73" i="5"/>
  <c r="J73" i="5"/>
  <c r="T73" i="5"/>
  <c r="V73" i="5"/>
  <c r="Z73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J3" i="4"/>
  <c r="O3" i="4"/>
  <c r="N3" i="4"/>
  <c r="D3" i="4"/>
  <c r="H3" i="4"/>
  <c r="V3" i="4"/>
  <c r="Z3" i="4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/>
  <c r="P122" i="5"/>
  <c r="T122" i="5"/>
  <c r="J122" i="5"/>
  <c r="O122" i="5"/>
  <c r="D122" i="5"/>
  <c r="I122" i="5"/>
  <c r="V121" i="5"/>
  <c r="Z121" i="5"/>
  <c r="P121" i="5"/>
  <c r="J121" i="5"/>
  <c r="N121" i="5"/>
  <c r="D121" i="5"/>
  <c r="I121" i="5"/>
  <c r="V120" i="5"/>
  <c r="AA120" i="5"/>
  <c r="P120" i="5"/>
  <c r="U120" i="5"/>
  <c r="J120" i="5"/>
  <c r="O120" i="5"/>
  <c r="D120" i="5"/>
  <c r="I120" i="5"/>
  <c r="V119" i="5"/>
  <c r="Z119" i="5"/>
  <c r="P119" i="5"/>
  <c r="J119" i="5"/>
  <c r="N119" i="5"/>
  <c r="D119" i="5"/>
  <c r="I119" i="5"/>
  <c r="V118" i="5"/>
  <c r="AA118" i="5"/>
  <c r="P118" i="5"/>
  <c r="U118" i="5"/>
  <c r="J118" i="5"/>
  <c r="O118" i="5"/>
  <c r="D118" i="5"/>
  <c r="I118" i="5"/>
  <c r="V117" i="5"/>
  <c r="Z117" i="5"/>
  <c r="P117" i="5"/>
  <c r="J117" i="5"/>
  <c r="N117" i="5"/>
  <c r="D117" i="5"/>
  <c r="I117" i="5"/>
  <c r="V116" i="5"/>
  <c r="AA116" i="5"/>
  <c r="P116" i="5"/>
  <c r="U116" i="5"/>
  <c r="J116" i="5"/>
  <c r="O116" i="5"/>
  <c r="D116" i="5"/>
  <c r="I116" i="5"/>
  <c r="V115" i="5"/>
  <c r="Z115" i="5"/>
  <c r="P115" i="5"/>
  <c r="J115" i="5"/>
  <c r="N115" i="5"/>
  <c r="D115" i="5"/>
  <c r="I115" i="5"/>
  <c r="V113" i="5"/>
  <c r="AA113" i="5"/>
  <c r="U113" i="5"/>
  <c r="J113" i="5"/>
  <c r="D113" i="5"/>
  <c r="I113" i="5"/>
  <c r="V111" i="5"/>
  <c r="Z111" i="5"/>
  <c r="J111" i="5"/>
  <c r="D111" i="5"/>
  <c r="I111" i="5"/>
  <c r="V110" i="5"/>
  <c r="AA110" i="5"/>
  <c r="J110" i="5"/>
  <c r="D110" i="5"/>
  <c r="I110" i="5"/>
  <c r="V108" i="5"/>
  <c r="Z108" i="5"/>
  <c r="P108" i="5"/>
  <c r="J108" i="5"/>
  <c r="N108" i="5"/>
  <c r="D108" i="5"/>
  <c r="I108" i="5"/>
  <c r="V107" i="5"/>
  <c r="AA107" i="5"/>
  <c r="P107" i="5"/>
  <c r="U107" i="5"/>
  <c r="J107" i="5"/>
  <c r="O107" i="5"/>
  <c r="D107" i="5"/>
  <c r="I107" i="5"/>
  <c r="V106" i="5"/>
  <c r="Z106" i="5"/>
  <c r="P106" i="5"/>
  <c r="J106" i="5"/>
  <c r="N106" i="5"/>
  <c r="D106" i="5"/>
  <c r="I106" i="5"/>
  <c r="V105" i="5"/>
  <c r="AA105" i="5"/>
  <c r="P105" i="5"/>
  <c r="U105" i="5"/>
  <c r="J105" i="5"/>
  <c r="O105" i="5"/>
  <c r="D105" i="5"/>
  <c r="I105" i="5"/>
  <c r="V104" i="5"/>
  <c r="AA104" i="5"/>
  <c r="P104" i="5"/>
  <c r="J104" i="5"/>
  <c r="N104" i="5"/>
  <c r="D104" i="5"/>
  <c r="I104" i="5"/>
  <c r="V103" i="5"/>
  <c r="AA103" i="5"/>
  <c r="P103" i="5"/>
  <c r="U103" i="5"/>
  <c r="J103" i="5"/>
  <c r="O103" i="5"/>
  <c r="D103" i="5"/>
  <c r="I103" i="5"/>
  <c r="V101" i="5"/>
  <c r="AA101" i="5"/>
  <c r="J101" i="5"/>
  <c r="D101" i="5"/>
  <c r="I101" i="5"/>
  <c r="V99" i="5"/>
  <c r="AA99" i="5"/>
  <c r="U99" i="5"/>
  <c r="J99" i="5"/>
  <c r="D99" i="5"/>
  <c r="I99" i="5"/>
  <c r="V98" i="5"/>
  <c r="AA98" i="5"/>
  <c r="J98" i="5"/>
  <c r="D98" i="5"/>
  <c r="I98" i="5"/>
  <c r="V96" i="5"/>
  <c r="AA96" i="5"/>
  <c r="P96" i="5"/>
  <c r="U96" i="5"/>
  <c r="J96" i="5"/>
  <c r="O96" i="5"/>
  <c r="D96" i="5"/>
  <c r="I96" i="5"/>
  <c r="V95" i="5"/>
  <c r="AA95" i="5"/>
  <c r="P95" i="5"/>
  <c r="J95" i="5"/>
  <c r="N95" i="5"/>
  <c r="D95" i="5"/>
  <c r="H95" i="5"/>
  <c r="V94" i="5"/>
  <c r="AA94" i="5"/>
  <c r="P94" i="5"/>
  <c r="U94" i="5"/>
  <c r="J94" i="5"/>
  <c r="O94" i="5"/>
  <c r="D94" i="5"/>
  <c r="H94" i="5"/>
  <c r="V93" i="5"/>
  <c r="AA93" i="5"/>
  <c r="P93" i="5"/>
  <c r="D93" i="5"/>
  <c r="I93" i="5"/>
  <c r="V92" i="5"/>
  <c r="AA92" i="5"/>
  <c r="P92" i="5"/>
  <c r="U92" i="5"/>
  <c r="J92" i="5"/>
  <c r="O92" i="5"/>
  <c r="D92" i="5"/>
  <c r="I92" i="5"/>
  <c r="V91" i="5"/>
  <c r="AA91" i="5"/>
  <c r="P91" i="5"/>
  <c r="J91" i="5"/>
  <c r="N91" i="5"/>
  <c r="D91" i="5"/>
  <c r="I91" i="5"/>
  <c r="V89" i="5"/>
  <c r="AA89" i="5"/>
  <c r="U89" i="5"/>
  <c r="J89" i="5"/>
  <c r="D89" i="5"/>
  <c r="I89" i="5"/>
  <c r="V87" i="5"/>
  <c r="AA87" i="5"/>
  <c r="J87" i="5"/>
  <c r="D87" i="5"/>
  <c r="I87" i="5"/>
  <c r="V86" i="5"/>
  <c r="AA86" i="5"/>
  <c r="U86" i="5"/>
  <c r="J86" i="5"/>
  <c r="D86" i="5"/>
  <c r="I86" i="5"/>
  <c r="V84" i="5"/>
  <c r="AA84" i="5"/>
  <c r="J84" i="5"/>
  <c r="D84" i="5"/>
  <c r="I84" i="5"/>
  <c r="V83" i="5"/>
  <c r="AA83" i="5"/>
  <c r="P83" i="5"/>
  <c r="U83" i="5"/>
  <c r="J83" i="5"/>
  <c r="O83" i="5"/>
  <c r="D83" i="5"/>
  <c r="I83" i="5"/>
  <c r="V82" i="5"/>
  <c r="Z82" i="5"/>
  <c r="P82" i="5"/>
  <c r="J82" i="5"/>
  <c r="N82" i="5"/>
  <c r="D82" i="5"/>
  <c r="I82" i="5"/>
  <c r="V81" i="5"/>
  <c r="AA81" i="5"/>
  <c r="P81" i="5"/>
  <c r="U81" i="5"/>
  <c r="J81" i="5"/>
  <c r="O81" i="5"/>
  <c r="D81" i="5"/>
  <c r="I81" i="5"/>
  <c r="V80" i="5"/>
  <c r="AA80" i="5"/>
  <c r="P80" i="5"/>
  <c r="U80" i="5"/>
  <c r="J80" i="5"/>
  <c r="N80" i="5"/>
  <c r="D80" i="5"/>
  <c r="I80" i="5"/>
  <c r="V79" i="5"/>
  <c r="AA79" i="5"/>
  <c r="P79" i="5"/>
  <c r="U79" i="5"/>
  <c r="J79" i="5"/>
  <c r="D79" i="5"/>
  <c r="I79" i="5"/>
  <c r="V77" i="5"/>
  <c r="AA77" i="5"/>
  <c r="U77" i="5"/>
  <c r="J77" i="5"/>
  <c r="D77" i="5"/>
  <c r="I77" i="5"/>
  <c r="V75" i="5"/>
  <c r="AA75" i="5"/>
  <c r="U75" i="5"/>
  <c r="J75" i="5"/>
  <c r="D75" i="5"/>
  <c r="H75" i="5"/>
  <c r="V74" i="5"/>
  <c r="Z74" i="5"/>
  <c r="U74" i="5"/>
  <c r="J74" i="5"/>
  <c r="D74" i="5"/>
  <c r="I74" i="5"/>
  <c r="V72" i="5"/>
  <c r="Z72" i="5"/>
  <c r="U72" i="5"/>
  <c r="J72" i="5"/>
  <c r="D72" i="5"/>
  <c r="I72" i="5"/>
  <c r="V71" i="5"/>
  <c r="AA71" i="5"/>
  <c r="U71" i="5"/>
  <c r="J71" i="5"/>
  <c r="D71" i="5"/>
  <c r="H71" i="5"/>
  <c r="V70" i="5"/>
  <c r="AA70" i="5"/>
  <c r="P70" i="5"/>
  <c r="U70" i="5"/>
  <c r="J70" i="5"/>
  <c r="D70" i="5"/>
  <c r="H70" i="5"/>
  <c r="V69" i="5"/>
  <c r="AA69" i="5"/>
  <c r="P69" i="5"/>
  <c r="U69" i="5"/>
  <c r="J69" i="5"/>
  <c r="N69" i="5"/>
  <c r="D69" i="5"/>
  <c r="I69" i="5"/>
  <c r="V68" i="5"/>
  <c r="AA68" i="5"/>
  <c r="P68" i="5"/>
  <c r="U68" i="5"/>
  <c r="J68" i="5"/>
  <c r="D68" i="5"/>
  <c r="I68" i="5"/>
  <c r="V67" i="5"/>
  <c r="AA67" i="5"/>
  <c r="P67" i="5"/>
  <c r="U67" i="5"/>
  <c r="J67" i="5"/>
  <c r="N67" i="5"/>
  <c r="D67" i="5"/>
  <c r="I67" i="5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V63" i="4"/>
  <c r="Z63" i="4"/>
  <c r="V64" i="4"/>
  <c r="Z64" i="4"/>
  <c r="V65" i="4"/>
  <c r="AA65" i="4"/>
  <c r="V66" i="4"/>
  <c r="Z66" i="4"/>
  <c r="V67" i="4"/>
  <c r="Z67" i="4"/>
  <c r="V68" i="4"/>
  <c r="Z68" i="4"/>
  <c r="V69" i="4"/>
  <c r="AA69" i="4"/>
  <c r="V70" i="4"/>
  <c r="Z70" i="4"/>
  <c r="V71" i="4"/>
  <c r="Z71" i="4"/>
  <c r="V73" i="4"/>
  <c r="Z73" i="4"/>
  <c r="V74" i="4"/>
  <c r="AA74" i="4"/>
  <c r="V75" i="4"/>
  <c r="Z75" i="4"/>
  <c r="V76" i="4"/>
  <c r="Z76" i="4"/>
  <c r="V77" i="4"/>
  <c r="Z77" i="4"/>
  <c r="V78" i="4"/>
  <c r="AA78" i="4"/>
  <c r="V79" i="4"/>
  <c r="Z79" i="4"/>
  <c r="V80" i="4"/>
  <c r="AA80" i="4"/>
  <c r="V81" i="4"/>
  <c r="Z81" i="4"/>
  <c r="V83" i="4"/>
  <c r="AA83" i="4"/>
  <c r="V84" i="4"/>
  <c r="Z84" i="4"/>
  <c r="V85" i="4"/>
  <c r="Z85" i="4"/>
  <c r="V86" i="4"/>
  <c r="Z86" i="4"/>
  <c r="V87" i="4"/>
  <c r="AA87" i="4"/>
  <c r="V88" i="4"/>
  <c r="Z88" i="4"/>
  <c r="V89" i="4"/>
  <c r="Z89" i="4"/>
  <c r="V90" i="4"/>
  <c r="Z90" i="4"/>
  <c r="V91" i="4"/>
  <c r="AA91" i="4"/>
  <c r="V93" i="4"/>
  <c r="V94" i="4"/>
  <c r="Z94" i="4"/>
  <c r="V95" i="4"/>
  <c r="Z95" i="4"/>
  <c r="V96" i="4"/>
  <c r="AA96" i="4"/>
  <c r="V97" i="4"/>
  <c r="Z97" i="4"/>
  <c r="V98" i="4"/>
  <c r="Z98" i="4"/>
  <c r="V99" i="4"/>
  <c r="Z99" i="4"/>
  <c r="V100" i="4"/>
  <c r="AA100" i="4"/>
  <c r="V101" i="4"/>
  <c r="V103" i="4"/>
  <c r="Z103" i="4"/>
  <c r="V104" i="4"/>
  <c r="Z104" i="4"/>
  <c r="V105" i="4"/>
  <c r="AA105" i="4"/>
  <c r="V106" i="4"/>
  <c r="Z106" i="4"/>
  <c r="V107" i="4"/>
  <c r="Z107" i="4"/>
  <c r="V108" i="4"/>
  <c r="Z108" i="4"/>
  <c r="V109" i="4"/>
  <c r="AA109" i="4"/>
  <c r="V110" i="4"/>
  <c r="V112" i="4"/>
  <c r="Z112" i="4"/>
  <c r="V113" i="4"/>
  <c r="Z113" i="4"/>
  <c r="V114" i="4"/>
  <c r="AA114" i="4"/>
  <c r="V115" i="4"/>
  <c r="Z115" i="4"/>
  <c r="V116" i="4"/>
  <c r="AA116" i="4"/>
  <c r="V117" i="4"/>
  <c r="Z117" i="4"/>
  <c r="V118" i="4"/>
  <c r="AA118" i="4"/>
  <c r="V119" i="4"/>
  <c r="V120" i="4"/>
  <c r="Z120" i="4"/>
  <c r="V121" i="4"/>
  <c r="Z121" i="4"/>
  <c r="V122" i="4"/>
  <c r="AA122" i="4"/>
  <c r="V123" i="4"/>
  <c r="Z123" i="4"/>
  <c r="V124" i="4"/>
  <c r="Z124" i="4"/>
  <c r="V125" i="4"/>
  <c r="Z125" i="4"/>
  <c r="V126" i="4"/>
  <c r="AA126" i="4"/>
  <c r="T127" i="4"/>
  <c r="U127" i="4"/>
  <c r="V127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P63" i="4"/>
  <c r="P64" i="4"/>
  <c r="U64" i="4"/>
  <c r="P65" i="4"/>
  <c r="T65" i="4"/>
  <c r="P66" i="4"/>
  <c r="T66" i="4"/>
  <c r="P67" i="4"/>
  <c r="P68" i="4"/>
  <c r="T68" i="4"/>
  <c r="P69" i="4"/>
  <c r="T69" i="4"/>
  <c r="P70" i="4"/>
  <c r="T70" i="4"/>
  <c r="P71" i="4"/>
  <c r="P73" i="4"/>
  <c r="U73" i="4"/>
  <c r="P74" i="4"/>
  <c r="T74" i="4"/>
  <c r="P75" i="4"/>
  <c r="T75" i="4"/>
  <c r="P76" i="4"/>
  <c r="P77" i="4"/>
  <c r="T77" i="4"/>
  <c r="P78" i="4"/>
  <c r="T78" i="4"/>
  <c r="P79" i="4"/>
  <c r="T79" i="4"/>
  <c r="P80" i="4"/>
  <c r="P81" i="4"/>
  <c r="U81" i="4"/>
  <c r="P83" i="4"/>
  <c r="T83" i="4"/>
  <c r="P84" i="4"/>
  <c r="T84" i="4"/>
  <c r="P85" i="4"/>
  <c r="P86" i="4"/>
  <c r="T86" i="4"/>
  <c r="P87" i="4"/>
  <c r="T87" i="4"/>
  <c r="P88" i="4"/>
  <c r="T88" i="4"/>
  <c r="P89" i="4"/>
  <c r="P90" i="4"/>
  <c r="U90" i="4"/>
  <c r="P91" i="4"/>
  <c r="T91" i="4"/>
  <c r="P93" i="4"/>
  <c r="T93" i="4"/>
  <c r="P94" i="4"/>
  <c r="P95" i="4"/>
  <c r="T95" i="4"/>
  <c r="P96" i="4"/>
  <c r="T96" i="4"/>
  <c r="P97" i="4"/>
  <c r="T97" i="4"/>
  <c r="P98" i="4"/>
  <c r="P99" i="4"/>
  <c r="U99" i="4"/>
  <c r="P100" i="4"/>
  <c r="T100" i="4"/>
  <c r="P101" i="4"/>
  <c r="T101" i="4"/>
  <c r="P103" i="4"/>
  <c r="P104" i="4"/>
  <c r="U104" i="4"/>
  <c r="P105" i="4"/>
  <c r="T105" i="4"/>
  <c r="P106" i="4"/>
  <c r="T106" i="4"/>
  <c r="P107" i="4"/>
  <c r="P108" i="4"/>
  <c r="U108" i="4"/>
  <c r="P109" i="4"/>
  <c r="T109" i="4"/>
  <c r="P110" i="4"/>
  <c r="T110" i="4"/>
  <c r="P112" i="4"/>
  <c r="P113" i="4"/>
  <c r="T113" i="4"/>
  <c r="P114" i="4"/>
  <c r="T114" i="4"/>
  <c r="P115" i="4"/>
  <c r="T115" i="4"/>
  <c r="P116" i="4"/>
  <c r="P117" i="4"/>
  <c r="U117" i="4"/>
  <c r="P118" i="4"/>
  <c r="T118" i="4"/>
  <c r="P119" i="4"/>
  <c r="T119" i="4"/>
  <c r="P120" i="4"/>
  <c r="P121" i="4"/>
  <c r="T121" i="4"/>
  <c r="P122" i="4"/>
  <c r="T122" i="4"/>
  <c r="P123" i="4"/>
  <c r="T123" i="4"/>
  <c r="P124" i="4"/>
  <c r="P125" i="4"/>
  <c r="U125" i="4"/>
  <c r="P126" i="4"/>
  <c r="T126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J63" i="4"/>
  <c r="N63" i="4"/>
  <c r="J64" i="4"/>
  <c r="O64" i="4"/>
  <c r="J65" i="4"/>
  <c r="O65" i="4"/>
  <c r="J66" i="4"/>
  <c r="N66" i="4"/>
  <c r="J67" i="4"/>
  <c r="N67" i="4"/>
  <c r="J68" i="4"/>
  <c r="N68" i="4"/>
  <c r="J69" i="4"/>
  <c r="O69" i="4"/>
  <c r="J70" i="4"/>
  <c r="N70" i="4"/>
  <c r="J71" i="4"/>
  <c r="N71" i="4"/>
  <c r="J73" i="4"/>
  <c r="O73" i="4"/>
  <c r="J74" i="4"/>
  <c r="O74" i="4"/>
  <c r="J75" i="4"/>
  <c r="N75" i="4"/>
  <c r="J76" i="4"/>
  <c r="N76" i="4"/>
  <c r="J77" i="4"/>
  <c r="N77" i="4"/>
  <c r="J78" i="4"/>
  <c r="O78" i="4"/>
  <c r="J79" i="4"/>
  <c r="N79" i="4"/>
  <c r="J80" i="4"/>
  <c r="N80" i="4"/>
  <c r="J81" i="4"/>
  <c r="O81" i="4"/>
  <c r="J83" i="4"/>
  <c r="O83" i="4"/>
  <c r="J84" i="4"/>
  <c r="N84" i="4"/>
  <c r="J85" i="4"/>
  <c r="N85" i="4"/>
  <c r="J86" i="4"/>
  <c r="N86" i="4"/>
  <c r="J87" i="4"/>
  <c r="O87" i="4"/>
  <c r="J88" i="4"/>
  <c r="N88" i="4"/>
  <c r="J89" i="4"/>
  <c r="N89" i="4"/>
  <c r="J90" i="4"/>
  <c r="O90" i="4"/>
  <c r="J91" i="4"/>
  <c r="O91" i="4"/>
  <c r="J93" i="4"/>
  <c r="N93" i="4"/>
  <c r="J94" i="4"/>
  <c r="N94" i="4"/>
  <c r="J95" i="4"/>
  <c r="N95" i="4"/>
  <c r="J96" i="4"/>
  <c r="O96" i="4"/>
  <c r="J97" i="4"/>
  <c r="N97" i="4"/>
  <c r="J98" i="4"/>
  <c r="N98" i="4"/>
  <c r="J99" i="4"/>
  <c r="O99" i="4"/>
  <c r="J100" i="4"/>
  <c r="O100" i="4"/>
  <c r="J101" i="4"/>
  <c r="N101" i="4"/>
  <c r="J103" i="4"/>
  <c r="N103" i="4"/>
  <c r="J104" i="4"/>
  <c r="N104" i="4"/>
  <c r="J105" i="4"/>
  <c r="O105" i="4"/>
  <c r="J106" i="4"/>
  <c r="N106" i="4"/>
  <c r="J107" i="4"/>
  <c r="N107" i="4"/>
  <c r="J108" i="4"/>
  <c r="O108" i="4"/>
  <c r="J109" i="4"/>
  <c r="O109" i="4"/>
  <c r="J110" i="4"/>
  <c r="N110" i="4"/>
  <c r="J112" i="4"/>
  <c r="N112" i="4"/>
  <c r="J113" i="4"/>
  <c r="N113" i="4"/>
  <c r="J114" i="4"/>
  <c r="O114" i="4"/>
  <c r="J115" i="4"/>
  <c r="N115" i="4"/>
  <c r="J116" i="4"/>
  <c r="N116" i="4"/>
  <c r="J117" i="4"/>
  <c r="O117" i="4"/>
  <c r="J118" i="4"/>
  <c r="O118" i="4"/>
  <c r="J119" i="4"/>
  <c r="N119" i="4"/>
  <c r="J120" i="4"/>
  <c r="N120" i="4"/>
  <c r="J121" i="4"/>
  <c r="N121" i="4"/>
  <c r="J122" i="4"/>
  <c r="O122" i="4"/>
  <c r="J123" i="4"/>
  <c r="N123" i="4"/>
  <c r="J124" i="4"/>
  <c r="N124" i="4"/>
  <c r="J125" i="4"/>
  <c r="O125" i="4"/>
  <c r="J126" i="4"/>
  <c r="O126" i="4"/>
  <c r="J127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63" i="4"/>
  <c r="H63" i="4"/>
  <c r="D64" i="4"/>
  <c r="H64" i="4"/>
  <c r="D65" i="4"/>
  <c r="D66" i="4"/>
  <c r="D67" i="4"/>
  <c r="I67" i="4"/>
  <c r="D68" i="4"/>
  <c r="I68" i="4"/>
  <c r="D69" i="4"/>
  <c r="H69" i="4"/>
  <c r="D70" i="4"/>
  <c r="H70" i="4"/>
  <c r="D71" i="4"/>
  <c r="H71" i="4"/>
  <c r="D73" i="4"/>
  <c r="H73" i="4"/>
  <c r="D74" i="4"/>
  <c r="D75" i="4"/>
  <c r="D76" i="4"/>
  <c r="I76" i="4"/>
  <c r="D77" i="4"/>
  <c r="I77" i="4"/>
  <c r="D78" i="4"/>
  <c r="I78" i="4"/>
  <c r="D79" i="4"/>
  <c r="I79" i="4"/>
  <c r="D80" i="4"/>
  <c r="H80" i="4"/>
  <c r="D81" i="4"/>
  <c r="H81" i="4"/>
  <c r="D83" i="4"/>
  <c r="D84" i="4"/>
  <c r="D85" i="4"/>
  <c r="I85" i="4"/>
  <c r="D86" i="4"/>
  <c r="I86" i="4"/>
  <c r="D87" i="4"/>
  <c r="H87" i="4"/>
  <c r="D88" i="4"/>
  <c r="H88" i="4"/>
  <c r="D89" i="4"/>
  <c r="H89" i="4"/>
  <c r="D90" i="4"/>
  <c r="H90" i="4"/>
  <c r="D91" i="4"/>
  <c r="I91" i="4"/>
  <c r="D93" i="4"/>
  <c r="D94" i="4"/>
  <c r="I94" i="4"/>
  <c r="D95" i="4"/>
  <c r="I95" i="4"/>
  <c r="D96" i="4"/>
  <c r="I96" i="4"/>
  <c r="D97" i="4"/>
  <c r="I97" i="4"/>
  <c r="D98" i="4"/>
  <c r="I98" i="4"/>
  <c r="D99" i="4"/>
  <c r="H99" i="4"/>
  <c r="D100" i="4"/>
  <c r="I100" i="4"/>
  <c r="D101" i="4"/>
  <c r="I101" i="4"/>
  <c r="D103" i="4"/>
  <c r="I103" i="4"/>
  <c r="D104" i="4"/>
  <c r="I104" i="4"/>
  <c r="D105" i="4"/>
  <c r="H105" i="4"/>
  <c r="D106" i="4"/>
  <c r="H106" i="4"/>
  <c r="D107" i="4"/>
  <c r="I107" i="4"/>
  <c r="D108" i="4"/>
  <c r="H108" i="4"/>
  <c r="D109" i="4"/>
  <c r="I109" i="4"/>
  <c r="D110" i="4"/>
  <c r="I110" i="4"/>
  <c r="D5" i="4"/>
  <c r="I5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<sst xmlns="http://schemas.openxmlformats.org/spreadsheetml/2006/main" count="414" uniqueCount="92">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</sst>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1" tableBorderDxfId="60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8" headerRowBorderDxfId="59" tableBorderDxfId="57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8" headerRowBorderDxfId="29" tableBorderDxfId="27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 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 /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57" zoomScale="85" zoomScaleNormal="85" workbookViewId="0">
      <pane xSplit="2" topLeftCell="C57" activePane="topRight" state="frozen"/>
      <selection activeCell="A57" sqref="A57"/>
      <selection pane="topRight" activeCell="C63" sqref="C63"/>
    </sheetView>
  </sheetViews>
  <sheetFormatPr defaultRowHeight="15" x14ac:dyDescent="0.2"/>
  <cols>
    <col min="1" max="1" width="10.0859375" bestFit="1" customWidth="1"/>
    <col min="2" max="2" width="27.84375" customWidth="1"/>
    <col min="3" max="5" width="24.88671875" bestFit="1" customWidth="1"/>
    <col min="6" max="6" width="19.1015625" bestFit="1" customWidth="1"/>
    <col min="7" max="7" width="15.19921875" customWidth="1"/>
    <col min="8" max="8" width="16.140625" bestFit="1" customWidth="1"/>
  </cols>
  <sheetData>
    <row r="1" spans="1:8" s="14" customFormat="1" ht="64.900000000000006" customHeight="1" x14ac:dyDescent="0.2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 x14ac:dyDescent="0.25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 x14ac:dyDescent="0.25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 x14ac:dyDescent="0.25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 x14ac:dyDescent="0.25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20.25" x14ac:dyDescent="0.2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x14ac:dyDescent="0.2">
      <c r="C7" s="6"/>
      <c r="D7" s="6"/>
      <c r="E7" s="6"/>
    </row>
    <row r="8" spans="1:8" ht="39.75" customHeight="1" x14ac:dyDescent="0.25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 x14ac:dyDescent="0.25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 x14ac:dyDescent="0.25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 x14ac:dyDescent="0.25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20.25" x14ac:dyDescent="0.2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x14ac:dyDescent="0.2">
      <c r="C13" s="6"/>
      <c r="D13" s="6"/>
      <c r="E13" s="6"/>
    </row>
    <row r="14" spans="1:8" ht="49.5" customHeight="1" x14ac:dyDescent="0.25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 x14ac:dyDescent="0.25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 x14ac:dyDescent="0.25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 x14ac:dyDescent="0.25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 x14ac:dyDescent="0.25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20.25" x14ac:dyDescent="0.2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x14ac:dyDescent="0.2">
      <c r="A20" s="7"/>
      <c r="B20" s="7"/>
      <c r="C20" s="8"/>
      <c r="D20" s="8"/>
      <c r="E20" s="8"/>
      <c r="F20" s="7"/>
      <c r="G20" s="7"/>
      <c r="H20" s="7"/>
    </row>
    <row r="21" spans="1:8" ht="28.5" customHeight="1" x14ac:dyDescent="0.25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 x14ac:dyDescent="0.25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20.25" x14ac:dyDescent="0.2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 x14ac:dyDescent="0.25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 x14ac:dyDescent="0.25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 x14ac:dyDescent="0.25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 x14ac:dyDescent="0.25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 x14ac:dyDescent="0.25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 x14ac:dyDescent="0.25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 x14ac:dyDescent="0.2">
      <c r="A30" s="7"/>
      <c r="B30" s="7"/>
      <c r="C30" s="8"/>
      <c r="D30" s="8"/>
      <c r="E30" s="8"/>
      <c r="F30" s="7"/>
      <c r="G30" s="7"/>
      <c r="H30" s="7"/>
    </row>
    <row r="31" spans="1:8" ht="27.75" customHeight="1" x14ac:dyDescent="0.25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 x14ac:dyDescent="0.25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 x14ac:dyDescent="0.25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 x14ac:dyDescent="0.25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 x14ac:dyDescent="0.25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 x14ac:dyDescent="0.25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 x14ac:dyDescent="0.25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 x14ac:dyDescent="0.25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 x14ac:dyDescent="0.25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 x14ac:dyDescent="0.2">
      <c r="A40" s="7"/>
      <c r="B40" s="7"/>
      <c r="C40" s="8"/>
      <c r="D40" s="8"/>
      <c r="E40" s="8"/>
      <c r="F40" s="7"/>
      <c r="G40" s="7"/>
      <c r="H40" s="7"/>
    </row>
    <row r="41" spans="1:8" ht="27.75" customHeight="1" x14ac:dyDescent="0.25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 x14ac:dyDescent="0.25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 x14ac:dyDescent="0.25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 x14ac:dyDescent="0.25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 x14ac:dyDescent="0.25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 x14ac:dyDescent="0.25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 x14ac:dyDescent="0.25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 x14ac:dyDescent="0.25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 x14ac:dyDescent="0.25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 x14ac:dyDescent="0.2">
      <c r="A50" s="7"/>
      <c r="B50" s="7"/>
      <c r="C50" s="8"/>
      <c r="D50" s="8"/>
      <c r="E50" s="8"/>
      <c r="F50" s="7"/>
      <c r="G50" s="7"/>
      <c r="H50" s="7"/>
    </row>
    <row r="51" spans="1:8" ht="27.75" customHeight="1" x14ac:dyDescent="0.25">
      <c r="A51" s="10">
        <v>7</v>
      </c>
      <c r="B51" s="11" t="s">
        <v>14</v>
      </c>
      <c r="C51" s="10">
        <v>208</v>
      </c>
      <c r="D51" s="10">
        <v>131</v>
      </c>
      <c r="E51" s="10">
        <v>2025</v>
      </c>
      <c r="F51" s="12" t="s">
        <v>20</v>
      </c>
      <c r="G51" s="3">
        <f t="shared" ref="G51:G59" si="10">IF((C51-D51)&lt;0,0,C51-D51)</f>
        <v>77</v>
      </c>
      <c r="H51" s="4">
        <f t="shared" ref="H51:H59" si="11">IF((D51-C51)&lt;0,0,D51-C51)</f>
        <v>0</v>
      </c>
    </row>
    <row r="52" spans="1:8" ht="27.75" customHeight="1" x14ac:dyDescent="0.25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 x14ac:dyDescent="0.25">
      <c r="A53" s="10">
        <v>7</v>
      </c>
      <c r="B53" s="11" t="s">
        <v>12</v>
      </c>
      <c r="C53" s="10">
        <v>208</v>
      </c>
      <c r="D53" s="10">
        <v>131</v>
      </c>
      <c r="E53" s="10">
        <v>2024</v>
      </c>
      <c r="F53" s="12" t="s">
        <v>20</v>
      </c>
      <c r="G53" s="3">
        <f t="shared" si="10"/>
        <v>77</v>
      </c>
      <c r="H53" s="4">
        <f t="shared" si="11"/>
        <v>0</v>
      </c>
    </row>
    <row r="54" spans="1:8" ht="27.75" customHeight="1" x14ac:dyDescent="0.25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 x14ac:dyDescent="0.25">
      <c r="A55" s="10">
        <v>7</v>
      </c>
      <c r="B55" s="11" t="s">
        <v>16</v>
      </c>
      <c r="C55" s="10">
        <v>208</v>
      </c>
      <c r="D55" s="10">
        <v>131</v>
      </c>
      <c r="E55" s="10">
        <v>2025</v>
      </c>
      <c r="F55" s="12" t="s">
        <v>20</v>
      </c>
      <c r="G55" s="3">
        <f t="shared" si="10"/>
        <v>77</v>
      </c>
      <c r="H55" s="4">
        <f t="shared" si="11"/>
        <v>0</v>
      </c>
    </row>
    <row r="56" spans="1:8" ht="27.75" customHeight="1" x14ac:dyDescent="0.25">
      <c r="A56" s="10">
        <v>7</v>
      </c>
      <c r="B56" s="11" t="s">
        <v>13</v>
      </c>
      <c r="C56" s="10">
        <v>208</v>
      </c>
      <c r="D56" s="10">
        <v>131</v>
      </c>
      <c r="E56" s="10">
        <v>2024</v>
      </c>
      <c r="F56" s="12" t="s">
        <v>20</v>
      </c>
      <c r="G56" s="3">
        <f t="shared" si="10"/>
        <v>77</v>
      </c>
      <c r="H56" s="4">
        <f t="shared" si="11"/>
        <v>0</v>
      </c>
    </row>
    <row r="57" spans="1:8" ht="27.75" customHeight="1" x14ac:dyDescent="0.25">
      <c r="A57" s="10">
        <v>7</v>
      </c>
      <c r="B57" s="11" t="s">
        <v>17</v>
      </c>
      <c r="C57" s="10">
        <v>208</v>
      </c>
      <c r="D57" s="10">
        <v>131</v>
      </c>
      <c r="E57" s="10">
        <v>2025</v>
      </c>
      <c r="F57" s="12" t="s">
        <v>20</v>
      </c>
      <c r="G57" s="3">
        <f t="shared" si="10"/>
        <v>77</v>
      </c>
      <c r="H57" s="4">
        <f t="shared" si="11"/>
        <v>0</v>
      </c>
    </row>
    <row r="58" spans="1:8" ht="27.75" customHeight="1" x14ac:dyDescent="0.25">
      <c r="A58" s="10">
        <v>7</v>
      </c>
      <c r="B58" s="11" t="s">
        <v>22</v>
      </c>
      <c r="C58" s="10">
        <v>208</v>
      </c>
      <c r="D58" s="10">
        <v>131</v>
      </c>
      <c r="E58" s="10">
        <v>2025</v>
      </c>
      <c r="F58" s="12" t="s">
        <v>20</v>
      </c>
      <c r="G58" s="3">
        <f t="shared" si="10"/>
        <v>77</v>
      </c>
      <c r="H58" s="4">
        <f t="shared" si="11"/>
        <v>0</v>
      </c>
    </row>
    <row r="59" spans="1:8" ht="27.75" customHeight="1" x14ac:dyDescent="0.25">
      <c r="A59" s="10">
        <v>7</v>
      </c>
      <c r="B59" s="11" t="s">
        <v>19</v>
      </c>
      <c r="C59" s="10">
        <v>208</v>
      </c>
      <c r="D59" s="10">
        <v>131</v>
      </c>
      <c r="E59" s="10">
        <v>2025</v>
      </c>
      <c r="F59" s="12" t="s">
        <v>20</v>
      </c>
      <c r="G59" s="3">
        <f t="shared" si="10"/>
        <v>77</v>
      </c>
      <c r="H59" s="4">
        <f t="shared" si="11"/>
        <v>0</v>
      </c>
    </row>
    <row r="60" spans="1:8" ht="27.75" customHeight="1" x14ac:dyDescent="0.2">
      <c r="A60" s="7"/>
      <c r="B60" s="7"/>
      <c r="C60" s="8"/>
      <c r="D60" s="8"/>
      <c r="E60" s="8"/>
      <c r="F60" s="7"/>
      <c r="G60" s="7"/>
      <c r="H60" s="7"/>
    </row>
    <row r="61" spans="1:8" ht="27.75" customHeight="1" x14ac:dyDescent="0.25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 x14ac:dyDescent="0.25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 x14ac:dyDescent="0.25">
      <c r="A63" s="10">
        <v>8</v>
      </c>
      <c r="B63" s="11" t="s">
        <v>12</v>
      </c>
      <c r="C63" s="10">
        <v>171</v>
      </c>
      <c r="D63" s="10">
        <v>110</v>
      </c>
      <c r="E63" s="10">
        <v>2025</v>
      </c>
      <c r="F63" s="12" t="s">
        <v>20</v>
      </c>
      <c r="G63" s="3">
        <f t="shared" si="12"/>
        <v>61</v>
      </c>
      <c r="H63" s="4">
        <f t="shared" si="13"/>
        <v>0</v>
      </c>
    </row>
    <row r="64" spans="1:8" ht="27.75" customHeight="1" x14ac:dyDescent="0.25">
      <c r="A64" s="10">
        <v>8</v>
      </c>
      <c r="B64" s="11" t="s">
        <v>21</v>
      </c>
      <c r="C64" s="10">
        <v>171</v>
      </c>
      <c r="D64" s="10">
        <v>110</v>
      </c>
      <c r="E64" s="10">
        <v>2025</v>
      </c>
      <c r="F64" s="12" t="s">
        <v>20</v>
      </c>
      <c r="G64" s="3">
        <f t="shared" si="12"/>
        <v>61</v>
      </c>
      <c r="H64" s="4">
        <f t="shared" si="13"/>
        <v>0</v>
      </c>
    </row>
    <row r="65" spans="1:8" ht="27.75" customHeight="1" x14ac:dyDescent="0.25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 x14ac:dyDescent="0.25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 x14ac:dyDescent="0.25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 x14ac:dyDescent="0.25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 x14ac:dyDescent="0.25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 x14ac:dyDescent="0.2">
      <c r="A70" s="7"/>
      <c r="B70" s="7"/>
      <c r="C70" s="8"/>
      <c r="D70" s="8"/>
      <c r="E70" s="8"/>
      <c r="F70" s="7"/>
      <c r="G70" s="7"/>
      <c r="H70" s="7"/>
    </row>
    <row r="71" spans="1:8" ht="27.75" customHeight="1" x14ac:dyDescent="0.25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 x14ac:dyDescent="0.25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 x14ac:dyDescent="0.25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 x14ac:dyDescent="0.25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 x14ac:dyDescent="0.25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 x14ac:dyDescent="0.25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 x14ac:dyDescent="0.25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 x14ac:dyDescent="0.25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 x14ac:dyDescent="0.25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 x14ac:dyDescent="0.2">
      <c r="A80" s="7"/>
      <c r="B80" s="8"/>
      <c r="C80" s="8"/>
      <c r="D80" s="8"/>
      <c r="E80" s="8"/>
      <c r="F80" s="7"/>
      <c r="G80" s="7"/>
      <c r="H80" s="7"/>
    </row>
    <row r="81" spans="1:8" ht="27.75" customHeight="1" x14ac:dyDescent="0.25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 x14ac:dyDescent="0.25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 x14ac:dyDescent="0.25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 x14ac:dyDescent="0.25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 x14ac:dyDescent="0.25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 x14ac:dyDescent="0.25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 x14ac:dyDescent="0.25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 x14ac:dyDescent="0.25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 x14ac:dyDescent="0.25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 x14ac:dyDescent="0.2">
      <c r="A90" s="7"/>
      <c r="B90" s="7"/>
      <c r="C90" s="8"/>
      <c r="D90" s="8"/>
      <c r="E90" s="8"/>
      <c r="F90" s="7"/>
      <c r="G90" s="7"/>
      <c r="H90" s="7"/>
    </row>
    <row r="91" spans="1:8" ht="39.75" customHeight="1" x14ac:dyDescent="0.25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 x14ac:dyDescent="0.25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 x14ac:dyDescent="0.25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 x14ac:dyDescent="0.25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 x14ac:dyDescent="0.25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 x14ac:dyDescent="0.25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 x14ac:dyDescent="0.25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 x14ac:dyDescent="0.25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91:E98 E61:E69 E41:E49 E2:E6 E71:E79 E81:E89 E8:E12 E51:E59" xr:uid="{B46E7B13-721E-4D49-837E-C02BF9777D48}">
      <formula1>"2024,2025"</formula1>
    </dataValidation>
    <dataValidation type="list" allowBlank="1" showInputMessage="1" showErrorMessage="1" sqref="F14:F19 F21:F29 F31:F39 F41:F49 F91:F98 F61:F69 F71:F79 F81:F89 F2:F6 F8:F12 F51:F5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topLeftCell="A70" zoomScale="70" zoomScaleNormal="70" workbookViewId="0">
      <selection activeCell="A75" sqref="A75"/>
    </sheetView>
  </sheetViews>
  <sheetFormatPr defaultRowHeight="15" x14ac:dyDescent="0.2"/>
  <cols>
    <col min="1" max="1" width="9.4140625" customWidth="1"/>
    <col min="2" max="2" width="27.84375" customWidth="1"/>
    <col min="3" max="3" width="17.08203125" customWidth="1"/>
    <col min="4" max="4" width="26.0976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35.51171875" customWidth="1"/>
    <col min="12" max="12" width="24.88671875" bestFit="1" customWidth="1"/>
    <col min="13" max="13" width="31.609375" customWidth="1"/>
    <col min="14" max="15" width="20.84765625" customWidth="1"/>
    <col min="16" max="16" width="21.5234375" customWidth="1"/>
    <col min="17" max="17" width="33.35937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 x14ac:dyDescent="0.25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20.25" x14ac:dyDescent="0.2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4.5" x14ac:dyDescent="0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 x14ac:dyDescent="0.2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20.25" x14ac:dyDescent="0.2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 x14ac:dyDescent="0.2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 x14ac:dyDescent="0.2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 x14ac:dyDescent="0.2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 x14ac:dyDescent="0.2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 x14ac:dyDescent="0.2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 x14ac:dyDescent="0.2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x14ac:dyDescent="0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 x14ac:dyDescent="0.2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 x14ac:dyDescent="0.2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 x14ac:dyDescent="0.2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 x14ac:dyDescent="0.2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 x14ac:dyDescent="0.2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 x14ac:dyDescent="0.2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 x14ac:dyDescent="0.2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 x14ac:dyDescent="0.2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4.5" x14ac:dyDescent="0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 x14ac:dyDescent="0.2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 x14ac:dyDescent="0.2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 x14ac:dyDescent="0.2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 x14ac:dyDescent="0.2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 x14ac:dyDescent="0.2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 x14ac:dyDescent="0.2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 x14ac:dyDescent="0.2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 x14ac:dyDescent="0.2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 x14ac:dyDescent="0.2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20.25" x14ac:dyDescent="0.2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 x14ac:dyDescent="0.2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 x14ac:dyDescent="0.2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 x14ac:dyDescent="0.2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 x14ac:dyDescent="0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 x14ac:dyDescent="0.2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 x14ac:dyDescent="0.2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 x14ac:dyDescent="0.2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 x14ac:dyDescent="0.2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 x14ac:dyDescent="0.2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20.25" x14ac:dyDescent="0.2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 x14ac:dyDescent="0.2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 x14ac:dyDescent="0.2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 x14ac:dyDescent="0.2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 x14ac:dyDescent="0.2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20.25" x14ac:dyDescent="0.2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 x14ac:dyDescent="0.2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 x14ac:dyDescent="0.2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 x14ac:dyDescent="0.2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 x14ac:dyDescent="0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 x14ac:dyDescent="0.2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 x14ac:dyDescent="0.2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 x14ac:dyDescent="0.2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 x14ac:dyDescent="0.2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20.25" x14ac:dyDescent="0.2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20.25" x14ac:dyDescent="0.2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20.25" x14ac:dyDescent="0.2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20.25" x14ac:dyDescent="0.2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20.25" x14ac:dyDescent="0.2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20.25" x14ac:dyDescent="0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20.25" x14ac:dyDescent="0.2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20.25" x14ac:dyDescent="0.2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20.25" x14ac:dyDescent="0.2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20.25" x14ac:dyDescent="0.2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20.25" x14ac:dyDescent="0.2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20.25" x14ac:dyDescent="0.25">
      <c r="A73" s="10">
        <v>8</v>
      </c>
      <c r="B73" s="11" t="s">
        <v>14</v>
      </c>
      <c r="C73" s="10">
        <v>171</v>
      </c>
      <c r="D73" s="12">
        <f>Table1[[#This Row],[Enrolment S.Y. 2025-2026 ]]*8</f>
        <v>1368</v>
      </c>
      <c r="E73" s="12">
        <v>464</v>
      </c>
      <c r="F73" s="10">
        <v>2025</v>
      </c>
      <c r="G73" s="12" t="s">
        <v>91</v>
      </c>
      <c r="H73" s="12">
        <f t="shared" si="2"/>
        <v>904</v>
      </c>
      <c r="I73" s="12">
        <f t="shared" si="3"/>
        <v>0</v>
      </c>
      <c r="J73" s="12">
        <f>Table1[[#This Row],[Enrolment S.Y. 2025-2026 ]]*8</f>
        <v>1368</v>
      </c>
      <c r="K73" s="12"/>
      <c r="L73" s="10"/>
      <c r="M73" s="12"/>
      <c r="N73" s="12">
        <f t="shared" si="16"/>
        <v>1368</v>
      </c>
      <c r="O73" s="12">
        <f t="shared" si="17"/>
        <v>0</v>
      </c>
      <c r="P73" s="12">
        <f>Table1[[#This Row],[Enrolment S.Y. 2025-2026 ]]*8</f>
        <v>1368</v>
      </c>
      <c r="Q73" s="12"/>
      <c r="R73" s="10"/>
      <c r="S73" s="12"/>
      <c r="T73" s="12">
        <f t="shared" si="18"/>
        <v>1368</v>
      </c>
      <c r="U73" s="12">
        <f t="shared" si="19"/>
        <v>0</v>
      </c>
      <c r="V73" s="12">
        <f>Table1[[#This Row],[Enrolment S.Y. 2025-2026 ]]*8</f>
        <v>1368</v>
      </c>
      <c r="W73" s="12"/>
      <c r="X73" s="10"/>
      <c r="Y73" s="12"/>
      <c r="Z73" s="12">
        <f t="shared" si="20"/>
        <v>1368</v>
      </c>
      <c r="AA73" s="12">
        <f t="shared" si="21"/>
        <v>0</v>
      </c>
    </row>
    <row r="74" spans="1:27" ht="20.25" x14ac:dyDescent="0.25">
      <c r="A74" s="10">
        <v>8</v>
      </c>
      <c r="B74" s="11" t="s">
        <v>15</v>
      </c>
      <c r="C74" s="10">
        <v>171</v>
      </c>
      <c r="D74" s="12">
        <f>Table1[[#This Row],[Enrolment S.Y. 2025-2026 ]]*8</f>
        <v>1368</v>
      </c>
      <c r="E74" s="12">
        <v>464</v>
      </c>
      <c r="F74" s="10">
        <v>2025</v>
      </c>
      <c r="G74" s="12" t="s">
        <v>91</v>
      </c>
      <c r="H74" s="12">
        <f t="shared" si="2"/>
        <v>904</v>
      </c>
      <c r="I74" s="12">
        <f t="shared" si="3"/>
        <v>0</v>
      </c>
      <c r="J74" s="12">
        <f>Table1[[#This Row],[Enrolment S.Y. 2025-2026 ]]*8</f>
        <v>1368</v>
      </c>
      <c r="K74" s="12"/>
      <c r="L74" s="10"/>
      <c r="M74" s="12"/>
      <c r="N74" s="12">
        <f t="shared" si="16"/>
        <v>1368</v>
      </c>
      <c r="O74" s="12">
        <f t="shared" si="17"/>
        <v>0</v>
      </c>
      <c r="P74" s="12">
        <f>Table1[[#This Row],[Enrolment S.Y. 2025-2026 ]]*8</f>
        <v>1368</v>
      </c>
      <c r="Q74" s="12"/>
      <c r="R74" s="10"/>
      <c r="S74" s="12"/>
      <c r="T74" s="12">
        <f t="shared" si="18"/>
        <v>1368</v>
      </c>
      <c r="U74" s="12">
        <f t="shared" si="19"/>
        <v>0</v>
      </c>
      <c r="V74" s="12">
        <f>Table1[[#This Row],[Enrolment S.Y. 2025-2026 ]]*8</f>
        <v>1368</v>
      </c>
      <c r="W74" s="12"/>
      <c r="X74" s="10"/>
      <c r="Y74" s="12"/>
      <c r="Z74" s="12">
        <f t="shared" si="20"/>
        <v>1368</v>
      </c>
      <c r="AA74" s="12">
        <f t="shared" si="21"/>
        <v>0</v>
      </c>
    </row>
    <row r="75" spans="1:27" ht="20.25" x14ac:dyDescent="0.25">
      <c r="A75" s="10">
        <v>8</v>
      </c>
      <c r="B75" s="11" t="s">
        <v>12</v>
      </c>
      <c r="C75" s="10">
        <v>171</v>
      </c>
      <c r="D75" s="12">
        <f>Table1[[#This Row],[Enrolment S.Y. 2025-2026 ]]*8</f>
        <v>1368</v>
      </c>
      <c r="E75" s="12">
        <v>464</v>
      </c>
      <c r="F75" s="10">
        <v>2025</v>
      </c>
      <c r="G75" s="12" t="s">
        <v>91</v>
      </c>
      <c r="H75" s="12">
        <f t="shared" si="2"/>
        <v>904</v>
      </c>
      <c r="I75" s="12">
        <f t="shared" si="3"/>
        <v>0</v>
      </c>
      <c r="J75" s="12">
        <f>Table1[[#This Row],[Enrolment S.Y. 2025-2026 ]]*8</f>
        <v>1368</v>
      </c>
      <c r="K75" s="12"/>
      <c r="L75" s="10"/>
      <c r="M75" s="12"/>
      <c r="N75" s="12">
        <f t="shared" si="16"/>
        <v>1368</v>
      </c>
      <c r="O75" s="12">
        <f t="shared" si="17"/>
        <v>0</v>
      </c>
      <c r="P75" s="12">
        <f>Table1[[#This Row],[Enrolment S.Y. 2025-2026 ]]*8</f>
        <v>1368</v>
      </c>
      <c r="Q75" s="12"/>
      <c r="R75" s="10"/>
      <c r="S75" s="12"/>
      <c r="T75" s="12">
        <f t="shared" si="18"/>
        <v>1368</v>
      </c>
      <c r="U75" s="12">
        <f t="shared" si="19"/>
        <v>0</v>
      </c>
      <c r="V75" s="12">
        <f>Table1[[#This Row],[Enrolment S.Y. 2025-2026 ]]*8</f>
        <v>1368</v>
      </c>
      <c r="W75" s="12"/>
      <c r="X75" s="10"/>
      <c r="Y75" s="12"/>
      <c r="Z75" s="12">
        <f t="shared" si="20"/>
        <v>1368</v>
      </c>
      <c r="AA75" s="12">
        <f t="shared" si="21"/>
        <v>0</v>
      </c>
    </row>
    <row r="76" spans="1:27" ht="20.25" x14ac:dyDescent="0.25">
      <c r="A76" s="10">
        <v>8</v>
      </c>
      <c r="B76" s="11" t="s">
        <v>21</v>
      </c>
      <c r="C76" s="10">
        <v>171</v>
      </c>
      <c r="D76" s="12">
        <f>Table1[[#This Row],[Enrolment S.Y. 2025-2026 ]]*8</f>
        <v>1368</v>
      </c>
      <c r="E76" s="12">
        <v>464</v>
      </c>
      <c r="F76" s="10">
        <v>2025</v>
      </c>
      <c r="G76" s="12" t="s">
        <v>91</v>
      </c>
      <c r="H76" s="12">
        <f t="shared" si="2"/>
        <v>904</v>
      </c>
      <c r="I76" s="12">
        <f t="shared" si="3"/>
        <v>0</v>
      </c>
      <c r="J76" s="12">
        <f>Table1[[#This Row],[Enrolment S.Y. 2025-2026 ]]*8</f>
        <v>1368</v>
      </c>
      <c r="K76" s="12"/>
      <c r="L76" s="10"/>
      <c r="M76" s="12"/>
      <c r="N76" s="12">
        <f t="shared" si="16"/>
        <v>1368</v>
      </c>
      <c r="O76" s="12">
        <f t="shared" si="17"/>
        <v>0</v>
      </c>
      <c r="P76" s="12">
        <f>Table1[[#This Row],[Enrolment S.Y. 2025-2026 ]]*8</f>
        <v>1368</v>
      </c>
      <c r="Q76" s="12"/>
      <c r="R76" s="10"/>
      <c r="S76" s="12"/>
      <c r="T76" s="12">
        <f t="shared" si="18"/>
        <v>1368</v>
      </c>
      <c r="U76" s="12">
        <f t="shared" si="19"/>
        <v>0</v>
      </c>
      <c r="V76" s="12">
        <f>Table1[[#This Row],[Enrolment S.Y. 2025-2026 ]]*8</f>
        <v>1368</v>
      </c>
      <c r="W76" s="12"/>
      <c r="X76" s="10"/>
      <c r="Y76" s="12"/>
      <c r="Z76" s="12">
        <f t="shared" si="20"/>
        <v>1368</v>
      </c>
      <c r="AA76" s="12">
        <f t="shared" si="21"/>
        <v>0</v>
      </c>
    </row>
    <row r="77" spans="1:27" ht="20.25" x14ac:dyDescent="0.25">
      <c r="A77" s="10">
        <v>8</v>
      </c>
      <c r="B77" s="11" t="s">
        <v>23</v>
      </c>
      <c r="C77" s="10">
        <v>171</v>
      </c>
      <c r="D77" s="12">
        <f>Table1[[#This Row],[Enrolment S.Y. 2025-2026 ]]*8</f>
        <v>1368</v>
      </c>
      <c r="E77" s="12">
        <v>464</v>
      </c>
      <c r="F77" s="10">
        <v>2025</v>
      </c>
      <c r="G77" s="12" t="s">
        <v>91</v>
      </c>
      <c r="H77" s="12">
        <f t="shared" si="2"/>
        <v>904</v>
      </c>
      <c r="I77" s="12">
        <f t="shared" si="3"/>
        <v>0</v>
      </c>
      <c r="J77" s="12">
        <f>Table1[[#This Row],[Enrolment S.Y. 2025-2026 ]]*8</f>
        <v>1368</v>
      </c>
      <c r="K77" s="12"/>
      <c r="L77" s="10"/>
      <c r="M77" s="12"/>
      <c r="N77" s="12">
        <f t="shared" si="16"/>
        <v>1368</v>
      </c>
      <c r="O77" s="12">
        <f t="shared" si="17"/>
        <v>0</v>
      </c>
      <c r="P77" s="12">
        <f>Table1[[#This Row],[Enrolment S.Y. 2025-2026 ]]*8</f>
        <v>1368</v>
      </c>
      <c r="Q77" s="12"/>
      <c r="R77" s="10"/>
      <c r="S77" s="12"/>
      <c r="T77" s="12">
        <f t="shared" si="18"/>
        <v>1368</v>
      </c>
      <c r="U77" s="12">
        <f t="shared" si="19"/>
        <v>0</v>
      </c>
      <c r="V77" s="12">
        <f>Table1[[#This Row],[Enrolment S.Y. 2025-2026 ]]*8</f>
        <v>1368</v>
      </c>
      <c r="W77" s="12"/>
      <c r="X77" s="10"/>
      <c r="Y77" s="12"/>
      <c r="Z77" s="12">
        <f t="shared" si="20"/>
        <v>1368</v>
      </c>
      <c r="AA77" s="12">
        <f t="shared" si="21"/>
        <v>0</v>
      </c>
    </row>
    <row r="78" spans="1:27" ht="20.25" x14ac:dyDescent="0.25">
      <c r="A78" s="10">
        <v>8</v>
      </c>
      <c r="B78" s="11" t="s">
        <v>13</v>
      </c>
      <c r="C78" s="10">
        <v>171</v>
      </c>
      <c r="D78" s="12">
        <f>Table1[[#This Row],[Enrolment S.Y. 2025-2026 ]]*8</f>
        <v>1368</v>
      </c>
      <c r="E78" s="12">
        <v>464</v>
      </c>
      <c r="F78" s="10">
        <v>2025</v>
      </c>
      <c r="G78" s="12" t="s">
        <v>91</v>
      </c>
      <c r="H78" s="12">
        <f t="shared" ref="H78:H127" si="22">IF((D78-E78)&lt;0,0,(D78-E78))</f>
        <v>904</v>
      </c>
      <c r="I78" s="12">
        <f t="shared" ref="I78:I127" si="23">IF((E78-D78)&lt;0,0,(E78-D78))</f>
        <v>0</v>
      </c>
      <c r="J78" s="12">
        <f>Table1[[#This Row],[Enrolment S.Y. 2025-2026 ]]*8</f>
        <v>1368</v>
      </c>
      <c r="K78" s="12"/>
      <c r="L78" s="10"/>
      <c r="M78" s="12"/>
      <c r="N78" s="12">
        <f t="shared" si="16"/>
        <v>1368</v>
      </c>
      <c r="O78" s="12">
        <f t="shared" si="17"/>
        <v>0</v>
      </c>
      <c r="P78" s="12">
        <f>Table1[[#This Row],[Enrolment S.Y. 2025-2026 ]]*8</f>
        <v>1368</v>
      </c>
      <c r="Q78" s="12"/>
      <c r="R78" s="10"/>
      <c r="S78" s="12"/>
      <c r="T78" s="12">
        <f t="shared" si="18"/>
        <v>1368</v>
      </c>
      <c r="U78" s="12">
        <f t="shared" si="19"/>
        <v>0</v>
      </c>
      <c r="V78" s="12">
        <f>Table1[[#This Row],[Enrolment S.Y. 2025-2026 ]]*8</f>
        <v>1368</v>
      </c>
      <c r="W78" s="12"/>
      <c r="X78" s="10"/>
      <c r="Y78" s="12"/>
      <c r="Z78" s="12">
        <f t="shared" si="20"/>
        <v>1368</v>
      </c>
      <c r="AA78" s="12">
        <f t="shared" si="21"/>
        <v>0</v>
      </c>
    </row>
    <row r="79" spans="1:27" ht="20.25" x14ac:dyDescent="0.25">
      <c r="A79" s="10">
        <v>8</v>
      </c>
      <c r="B79" s="11" t="s">
        <v>17</v>
      </c>
      <c r="C79" s="10">
        <v>171</v>
      </c>
      <c r="D79" s="12">
        <f>Table1[[#This Row],[Enrolment S.Y. 2025-2026 ]]*8</f>
        <v>1368</v>
      </c>
      <c r="E79" s="12">
        <v>464</v>
      </c>
      <c r="F79" s="10">
        <v>2025</v>
      </c>
      <c r="G79" s="12" t="s">
        <v>91</v>
      </c>
      <c r="H79" s="12">
        <f t="shared" si="22"/>
        <v>904</v>
      </c>
      <c r="I79" s="12">
        <f t="shared" si="23"/>
        <v>0</v>
      </c>
      <c r="J79" s="12">
        <f>Table1[[#This Row],[Enrolment S.Y. 2025-2026 ]]*8</f>
        <v>1368</v>
      </c>
      <c r="K79" s="12"/>
      <c r="L79" s="10"/>
      <c r="M79" s="12"/>
      <c r="N79" s="12">
        <f t="shared" si="16"/>
        <v>1368</v>
      </c>
      <c r="O79" s="12">
        <f t="shared" si="17"/>
        <v>0</v>
      </c>
      <c r="P79" s="12">
        <f>Table1[[#This Row],[Enrolment S.Y. 2025-2026 ]]*8</f>
        <v>1368</v>
      </c>
      <c r="Q79" s="12"/>
      <c r="R79" s="10"/>
      <c r="S79" s="12"/>
      <c r="T79" s="12">
        <f t="shared" si="18"/>
        <v>1368</v>
      </c>
      <c r="U79" s="12">
        <f t="shared" si="19"/>
        <v>0</v>
      </c>
      <c r="V79" s="12">
        <f>Table1[[#This Row],[Enrolment S.Y. 2025-2026 ]]*8</f>
        <v>1368</v>
      </c>
      <c r="W79" s="12"/>
      <c r="X79" s="10"/>
      <c r="Y79" s="12"/>
      <c r="Z79" s="12">
        <f t="shared" si="20"/>
        <v>1368</v>
      </c>
      <c r="AA79" s="12">
        <f t="shared" si="21"/>
        <v>0</v>
      </c>
    </row>
    <row r="80" spans="1:27" ht="20.25" x14ac:dyDescent="0.25">
      <c r="A80" s="10">
        <v>8</v>
      </c>
      <c r="B80" s="11" t="s">
        <v>22</v>
      </c>
      <c r="C80" s="10">
        <v>171</v>
      </c>
      <c r="D80" s="12">
        <f>Table1[[#This Row],[Enrolment S.Y. 2025-2026 ]]*8</f>
        <v>1368</v>
      </c>
      <c r="E80" s="12">
        <v>464</v>
      </c>
      <c r="F80" s="10">
        <v>2025</v>
      </c>
      <c r="G80" s="12" t="s">
        <v>91</v>
      </c>
      <c r="H80" s="12">
        <f t="shared" si="22"/>
        <v>904</v>
      </c>
      <c r="I80" s="12">
        <f t="shared" si="23"/>
        <v>0</v>
      </c>
      <c r="J80" s="12">
        <f>Table1[[#This Row],[Enrolment S.Y. 2025-2026 ]]*8</f>
        <v>1368</v>
      </c>
      <c r="K80" s="12"/>
      <c r="L80" s="10"/>
      <c r="M80" s="12"/>
      <c r="N80" s="12">
        <f t="shared" si="16"/>
        <v>1368</v>
      </c>
      <c r="O80" s="12">
        <f t="shared" si="17"/>
        <v>0</v>
      </c>
      <c r="P80" s="12">
        <f>Table1[[#This Row],[Enrolment S.Y. 2025-2026 ]]*8</f>
        <v>1368</v>
      </c>
      <c r="Q80" s="12"/>
      <c r="R80" s="10"/>
      <c r="S80" s="12"/>
      <c r="T80" s="12">
        <f t="shared" si="18"/>
        <v>1368</v>
      </c>
      <c r="U80" s="12">
        <f t="shared" si="19"/>
        <v>0</v>
      </c>
      <c r="V80" s="12">
        <f>Table1[[#This Row],[Enrolment S.Y. 2025-2026 ]]*8</f>
        <v>1368</v>
      </c>
      <c r="W80" s="12"/>
      <c r="X80" s="10"/>
      <c r="Y80" s="12"/>
      <c r="Z80" s="12">
        <f t="shared" si="20"/>
        <v>1368</v>
      </c>
      <c r="AA80" s="12">
        <f t="shared" si="21"/>
        <v>0</v>
      </c>
    </row>
    <row r="81" spans="1:27" ht="20.25" x14ac:dyDescent="0.25">
      <c r="A81" s="10">
        <v>8</v>
      </c>
      <c r="B81" s="11" t="s">
        <v>19</v>
      </c>
      <c r="C81" s="10">
        <v>171</v>
      </c>
      <c r="D81" s="12">
        <f>Table1[[#This Row],[Enrolment S.Y. 2025-2026 ]]*8</f>
        <v>1368</v>
      </c>
      <c r="E81" s="12">
        <v>464</v>
      </c>
      <c r="F81" s="10">
        <v>2025</v>
      </c>
      <c r="G81" s="12" t="s">
        <v>91</v>
      </c>
      <c r="H81" s="12">
        <f t="shared" si="22"/>
        <v>904</v>
      </c>
      <c r="I81" s="12">
        <f t="shared" si="23"/>
        <v>0</v>
      </c>
      <c r="J81" s="12">
        <f>Table1[[#This Row],[Enrolment S.Y. 2025-2026 ]]*8</f>
        <v>1368</v>
      </c>
      <c r="K81" s="12"/>
      <c r="L81" s="10"/>
      <c r="M81" s="12"/>
      <c r="N81" s="12">
        <f t="shared" si="16"/>
        <v>1368</v>
      </c>
      <c r="O81" s="12">
        <f t="shared" si="17"/>
        <v>0</v>
      </c>
      <c r="P81" s="12">
        <f>Table1[[#This Row],[Enrolment S.Y. 2025-2026 ]]*8</f>
        <v>1368</v>
      </c>
      <c r="Q81" s="12"/>
      <c r="R81" s="10"/>
      <c r="S81" s="12"/>
      <c r="T81" s="12">
        <f t="shared" si="18"/>
        <v>1368</v>
      </c>
      <c r="U81" s="12">
        <f t="shared" si="19"/>
        <v>0</v>
      </c>
      <c r="V81" s="12">
        <f>Table1[[#This Row],[Enrolment S.Y. 2025-2026 ]]*8</f>
        <v>1368</v>
      </c>
      <c r="W81" s="12"/>
      <c r="X81" s="10"/>
      <c r="Y81" s="12"/>
      <c r="Z81" s="12">
        <f t="shared" si="20"/>
        <v>1368</v>
      </c>
      <c r="AA81" s="12">
        <f t="shared" si="21"/>
        <v>0</v>
      </c>
    </row>
    <row r="82" spans="1:27" s="7" customFormat="1" ht="20.25" x14ac:dyDescent="0.2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20.25" x14ac:dyDescent="0.2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20.25" x14ac:dyDescent="0.2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20.25" x14ac:dyDescent="0.2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20.25" x14ac:dyDescent="0.2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20.25" x14ac:dyDescent="0.2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20.25" x14ac:dyDescent="0.2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20.25" x14ac:dyDescent="0.2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20.25" x14ac:dyDescent="0.2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20.25" x14ac:dyDescent="0.2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20.25" x14ac:dyDescent="0.2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20.25" x14ac:dyDescent="0.2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20.25" x14ac:dyDescent="0.2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20.25" x14ac:dyDescent="0.2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20.25" x14ac:dyDescent="0.2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20.25" x14ac:dyDescent="0.2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20.25" x14ac:dyDescent="0.2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20.25" x14ac:dyDescent="0.2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20.25" x14ac:dyDescent="0.2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4.5" x14ac:dyDescent="0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20.25" x14ac:dyDescent="0.2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20.25" x14ac:dyDescent="0.2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20.25" x14ac:dyDescent="0.2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4.5" x14ac:dyDescent="0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4.5" x14ac:dyDescent="0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4.5" x14ac:dyDescent="0.2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4.5" x14ac:dyDescent="0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20.25" x14ac:dyDescent="0.2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20.25" x14ac:dyDescent="0.2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20.25" x14ac:dyDescent="0.2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20.25" x14ac:dyDescent="0.2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20.25" x14ac:dyDescent="0.2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20.25" x14ac:dyDescent="0.2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20.25" x14ac:dyDescent="0.2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20.25" x14ac:dyDescent="0.2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20.25" x14ac:dyDescent="0.2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20.25" x14ac:dyDescent="0.2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20.25" x14ac:dyDescent="0.2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20.25" x14ac:dyDescent="0.2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20.25" x14ac:dyDescent="0.2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20.25" x14ac:dyDescent="0.2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20.25" x14ac:dyDescent="0.2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20.25" x14ac:dyDescent="0.2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20.25" x14ac:dyDescent="0.2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x14ac:dyDescent="0.2">
      <c r="J128" t="e">
        <f>#REF!*8</f>
        <v>#REF!</v>
      </c>
    </row>
    <row r="129" spans="10:10" x14ac:dyDescent="0.2">
      <c r="J129" t="e">
        <f>#REF!*8</f>
        <v>#REF!</v>
      </c>
    </row>
    <row r="130" spans="10:10" x14ac:dyDescent="0.2">
      <c r="J130" t="e">
        <f>#REF!*8</f>
        <v>#REF!</v>
      </c>
    </row>
    <row r="131" spans="10:10" x14ac:dyDescent="0.2">
      <c r="J131" t="e">
        <f>#REF!*8</f>
        <v>#REF!</v>
      </c>
    </row>
    <row r="132" spans="10:10" x14ac:dyDescent="0.2">
      <c r="J132" t="e">
        <f>#REF!*8</f>
        <v>#REF!</v>
      </c>
    </row>
    <row r="133" spans="10:10" x14ac:dyDescent="0.2">
      <c r="J133" t="e">
        <f>#REF!*8</f>
        <v>#REF!</v>
      </c>
    </row>
    <row r="134" spans="10:10" x14ac:dyDescent="0.2">
      <c r="J134" t="e">
        <f>#REF!*8</f>
        <v>#REF!</v>
      </c>
    </row>
    <row r="135" spans="10:10" x14ac:dyDescent="0.2">
      <c r="J135" t="e">
        <f>#REF!*8</f>
        <v>#REF!</v>
      </c>
    </row>
    <row r="136" spans="10:10" x14ac:dyDescent="0.2">
      <c r="J136" t="e">
        <f>#REF!*8</f>
        <v>#REF!</v>
      </c>
    </row>
    <row r="137" spans="10:10" x14ac:dyDescent="0.2">
      <c r="J137" t="e">
        <f>#REF!*8</f>
        <v>#REF!</v>
      </c>
    </row>
    <row r="138" spans="10:10" x14ac:dyDescent="0.2">
      <c r="J138" t="e">
        <f>#REF!*8</f>
        <v>#REF!</v>
      </c>
    </row>
    <row r="139" spans="10:10" x14ac:dyDescent="0.2">
      <c r="J139" t="e">
        <f>#REF!*8</f>
        <v>#REF!</v>
      </c>
    </row>
    <row r="140" spans="10:10" x14ac:dyDescent="0.2">
      <c r="J140" t="e">
        <f>#REF!*8</f>
        <v>#REF!</v>
      </c>
    </row>
    <row r="141" spans="10:10" x14ac:dyDescent="0.2">
      <c r="J141" t="e">
        <f>#REF!*8</f>
        <v>#REF!</v>
      </c>
    </row>
    <row r="142" spans="10:10" x14ac:dyDescent="0.2">
      <c r="J142" t="e">
        <f>#REF!*8</f>
        <v>#REF!</v>
      </c>
    </row>
    <row r="143" spans="10:10" x14ac:dyDescent="0.2">
      <c r="J143" t="e">
        <f>#REF!*8</f>
        <v>#REF!</v>
      </c>
    </row>
    <row r="144" spans="10:10" x14ac:dyDescent="0.2">
      <c r="J144" t="e">
        <f>#REF!*8</f>
        <v>#REF!</v>
      </c>
    </row>
    <row r="145" spans="10:10" x14ac:dyDescent="0.2">
      <c r="J145" t="e">
        <f>#REF!*8</f>
        <v>#REF!</v>
      </c>
    </row>
    <row r="146" spans="10:10" x14ac:dyDescent="0.2">
      <c r="J146" t="e">
        <f>#REF!*8</f>
        <v>#REF!</v>
      </c>
    </row>
    <row r="147" spans="10:10" x14ac:dyDescent="0.2">
      <c r="J147" t="e">
        <f>#REF!*8</f>
        <v>#REF!</v>
      </c>
    </row>
    <row r="148" spans="10:10" x14ac:dyDescent="0.2">
      <c r="J148" t="e">
        <f>#REF!*8</f>
        <v>#REF!</v>
      </c>
    </row>
    <row r="149" spans="10:10" x14ac:dyDescent="0.2">
      <c r="J149" t="e">
        <f>#REF!*8</f>
        <v>#REF!</v>
      </c>
    </row>
    <row r="150" spans="10:10" x14ac:dyDescent="0.2">
      <c r="J150" t="e">
        <f>#REF!*8</f>
        <v>#REF!</v>
      </c>
    </row>
    <row r="151" spans="10:10" x14ac:dyDescent="0.2">
      <c r="J151" t="e">
        <f>#REF!*8</f>
        <v>#REF!</v>
      </c>
    </row>
    <row r="152" spans="10:10" x14ac:dyDescent="0.2">
      <c r="J152" t="e">
        <f>#REF!*8</f>
        <v>#REF!</v>
      </c>
    </row>
    <row r="153" spans="10:10" x14ac:dyDescent="0.2">
      <c r="J153" t="e">
        <f>#REF!*8</f>
        <v>#REF!</v>
      </c>
    </row>
    <row r="154" spans="10:10" x14ac:dyDescent="0.2">
      <c r="J154" t="e">
        <f>#REF!*8</f>
        <v>#REF!</v>
      </c>
    </row>
    <row r="155" spans="10:10" x14ac:dyDescent="0.2">
      <c r="J155" t="e">
        <f>#REF!*8</f>
        <v>#REF!</v>
      </c>
    </row>
    <row r="156" spans="10:10" x14ac:dyDescent="0.2">
      <c r="J156" t="e">
        <f>#REF!*8</f>
        <v>#REF!</v>
      </c>
    </row>
    <row r="157" spans="10:10" x14ac:dyDescent="0.2">
      <c r="J157" t="e">
        <f>#REF!*8</f>
        <v>#REF!</v>
      </c>
    </row>
  </sheetData>
  <protectedRanges>
    <protectedRange sqref="C2:C3 C14:C21 C23:C31 C33:C41 C43:C51 C53:C61 C63:C7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73:F81" name="LAS"/>
    <protectedRange sqref="G2:I3 M2:O2 S2:U3 Y2:AA3 G112:G127 M112:M127 S112:S127 Y112:Y127 G5:G12 M5:M12 S4:S110 Y5:Y12 G14:G21 M14:M110 M3 Y14:Y110 G23:G31 G33:G41 G43:G51 G53:G61 G63:G71 G83:G91 G93:G101 G103:G110 G73:G81" name="SOURCE"/>
    <protectedRange sqref="C73" name="Textbooks_1"/>
    <protectedRange sqref="C74" name="Textbooks_2"/>
    <protectedRange sqref="C75" name="Textbooks_3"/>
    <protectedRange sqref="C76" name="Textbooks_4"/>
    <protectedRange sqref="C77" name="Textbooks_5"/>
    <protectedRange sqref="C78" name="Textbooks_6"/>
    <protectedRange sqref="C79" name="Textbooks_7"/>
    <protectedRange sqref="C80" name="Textbooks_8"/>
    <protectedRange sqref="C81" name="Textbooks_9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X112:X127 F53:F61 F5:F12 F83:F91 F93:F101 F14:F21 F103:F110 R103:R110 L103:L110 X103:X110 F73:F8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103:G110 G83:G91 G93:G101 G73:G8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I88" zoomScale="55" zoomScaleNormal="55" workbookViewId="0">
      <selection activeCell="N93" sqref="N93"/>
    </sheetView>
  </sheetViews>
  <sheetFormatPr defaultRowHeight="15" x14ac:dyDescent="0.2"/>
  <cols>
    <col min="1" max="1" width="9.4140625" customWidth="1"/>
    <col min="2" max="2" width="31.34375" customWidth="1"/>
    <col min="3" max="3" width="17.08203125" customWidth="1"/>
    <col min="4" max="4" width="16.41015625" customWidth="1"/>
    <col min="5" max="5" width="23.13671875" customWidth="1"/>
    <col min="6" max="6" width="24.88671875" bestFit="1" customWidth="1"/>
    <col min="7" max="7" width="18.5625" customWidth="1"/>
    <col min="8" max="9" width="20.84765625" customWidth="1"/>
    <col min="10" max="10" width="13.71875" customWidth="1"/>
    <col min="11" max="11" width="24.48046875" customWidth="1"/>
    <col min="12" max="12" width="18.16015625" customWidth="1"/>
    <col min="13" max="15" width="20.84765625" customWidth="1"/>
    <col min="16" max="16" width="21.5234375" customWidth="1"/>
    <col min="17" max="17" width="29.19140625" customWidth="1"/>
    <col min="18" max="18" width="25.828125" customWidth="1"/>
    <col min="19" max="19" width="32.8203125" customWidth="1"/>
    <col min="20" max="21" width="20.84765625" customWidth="1"/>
    <col min="22" max="22" width="16.140625" customWidth="1"/>
    <col min="23" max="23" width="25.01953125" customWidth="1"/>
    <col min="24" max="24" width="15.33203125" customWidth="1"/>
    <col min="25" max="25" width="20.84765625" customWidth="1"/>
    <col min="26" max="26" width="14.796875" customWidth="1"/>
    <col min="27" max="27" width="15.19921875" customWidth="1"/>
  </cols>
  <sheetData>
    <row r="1" spans="1:27" s="28" customFormat="1" ht="34.15" customHeight="1" x14ac:dyDescent="0.2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 x14ac:dyDescent="0.2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2.25" customHeight="1" x14ac:dyDescent="0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20.25" x14ac:dyDescent="0.2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 x14ac:dyDescent="0.2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 x14ac:dyDescent="0.2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 x14ac:dyDescent="0.2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 x14ac:dyDescent="0.2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 x14ac:dyDescent="0.2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 x14ac:dyDescent="0.2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x14ac:dyDescent="0.2"/>
    <row r="12" spans="1:27" ht="20.25" x14ac:dyDescent="0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 x14ac:dyDescent="0.2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 x14ac:dyDescent="0.2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 x14ac:dyDescent="0.2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 x14ac:dyDescent="0.2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 x14ac:dyDescent="0.2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 x14ac:dyDescent="0.2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 x14ac:dyDescent="0.2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x14ac:dyDescent="0.2"/>
    <row r="21" spans="1:27" ht="20.25" x14ac:dyDescent="0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 x14ac:dyDescent="0.2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 x14ac:dyDescent="0.2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 x14ac:dyDescent="0.2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 x14ac:dyDescent="0.2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 x14ac:dyDescent="0.2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 x14ac:dyDescent="0.2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 x14ac:dyDescent="0.2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 x14ac:dyDescent="0.2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x14ac:dyDescent="0.2"/>
    <row r="31" spans="1:27" ht="20.25" x14ac:dyDescent="0.2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 x14ac:dyDescent="0.2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 x14ac:dyDescent="0.2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 x14ac:dyDescent="0.2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 x14ac:dyDescent="0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 x14ac:dyDescent="0.2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 x14ac:dyDescent="0.2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 x14ac:dyDescent="0.2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 x14ac:dyDescent="0.2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 x14ac:dyDescent="0.2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 x14ac:dyDescent="0.2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x14ac:dyDescent="0.2"/>
    <row r="43" spans="1:27" ht="20.25" x14ac:dyDescent="0.2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 x14ac:dyDescent="0.2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 x14ac:dyDescent="0.2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 x14ac:dyDescent="0.2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 x14ac:dyDescent="0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 x14ac:dyDescent="0.2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 x14ac:dyDescent="0.2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 x14ac:dyDescent="0.2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 x14ac:dyDescent="0.2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 x14ac:dyDescent="0.2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 x14ac:dyDescent="0.2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x14ac:dyDescent="0.2"/>
    <row r="55" spans="1:27" ht="20.25" x14ac:dyDescent="0.2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 x14ac:dyDescent="0.2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 x14ac:dyDescent="0.2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 x14ac:dyDescent="0.2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 x14ac:dyDescent="0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 x14ac:dyDescent="0.2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 x14ac:dyDescent="0.2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 x14ac:dyDescent="0.2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 x14ac:dyDescent="0.2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 x14ac:dyDescent="0.2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 x14ac:dyDescent="0.2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x14ac:dyDescent="0.2"/>
    <row r="67" spans="1:27" ht="20.25" x14ac:dyDescent="0.2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20.25" x14ac:dyDescent="0.2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20.25" x14ac:dyDescent="0.2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20.25" x14ac:dyDescent="0.2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20.25" x14ac:dyDescent="0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20.25" x14ac:dyDescent="0.2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20.25" x14ac:dyDescent="0.2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20.25" x14ac:dyDescent="0.2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20.25" x14ac:dyDescent="0.2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20.25" x14ac:dyDescent="0.2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20.25" x14ac:dyDescent="0.2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x14ac:dyDescent="0.2"/>
    <row r="79" spans="1:27" ht="20.25" x14ac:dyDescent="0.2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20.25" x14ac:dyDescent="0.2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20.25" x14ac:dyDescent="0.2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20.25" x14ac:dyDescent="0.2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20.25" x14ac:dyDescent="0.2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20.25" x14ac:dyDescent="0.2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20.25" x14ac:dyDescent="0.2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20.25" x14ac:dyDescent="0.2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20.25" x14ac:dyDescent="0.2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20.25" x14ac:dyDescent="0.2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20.25" x14ac:dyDescent="0.2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x14ac:dyDescent="0.2"/>
    <row r="91" spans="1:27" ht="20.25" x14ac:dyDescent="0.2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20.25" x14ac:dyDescent="0.25">
      <c r="A92" s="10">
        <v>9</v>
      </c>
      <c r="B92" s="11" t="s">
        <v>15</v>
      </c>
      <c r="C92" s="10">
        <v>117</v>
      </c>
      <c r="D92" s="12">
        <f>Table14[[#This Row],[Enrolment S.Y. 2025-2026 ]]*8</f>
        <v>936</v>
      </c>
      <c r="E92" s="12">
        <v>246</v>
      </c>
      <c r="F92" s="10">
        <v>2025</v>
      </c>
      <c r="G92" s="12" t="s">
        <v>91</v>
      </c>
      <c r="H92" s="12">
        <f t="shared" si="22"/>
        <v>690</v>
      </c>
      <c r="I92" s="12">
        <f t="shared" si="23"/>
        <v>0</v>
      </c>
      <c r="J92" s="12">
        <f>Table14[[#This Row],[Enrolment S.Y. 2025-2026 ]]*8</f>
        <v>936</v>
      </c>
      <c r="K92" s="12">
        <v>460</v>
      </c>
      <c r="L92" s="10">
        <v>2025</v>
      </c>
      <c r="M92" s="12" t="s">
        <v>91</v>
      </c>
      <c r="N92" s="12">
        <f t="shared" si="20"/>
        <v>476</v>
      </c>
      <c r="O92" s="12">
        <f t="shared" si="21"/>
        <v>0</v>
      </c>
      <c r="P92" s="12">
        <f>Table14[[#This Row],[Enrolment S.Y. 2025-2026 ]]*8</f>
        <v>936</v>
      </c>
      <c r="Q92" s="12"/>
      <c r="R92" s="10"/>
      <c r="S92" s="12"/>
      <c r="T92" s="12">
        <f t="shared" si="16"/>
        <v>936</v>
      </c>
      <c r="U92" s="12">
        <f t="shared" si="17"/>
        <v>0</v>
      </c>
      <c r="V92" s="12">
        <f>Table14[[#This Row],[Enrolment S.Y. 2025-2026 ]]*8</f>
        <v>936</v>
      </c>
      <c r="W92" s="12"/>
      <c r="X92" s="10"/>
      <c r="Y92" s="12"/>
      <c r="Z92" s="12">
        <f t="shared" si="18"/>
        <v>936</v>
      </c>
      <c r="AA92" s="12">
        <f t="shared" si="19"/>
        <v>0</v>
      </c>
    </row>
    <row r="93" spans="1:27" ht="20.25" x14ac:dyDescent="0.25">
      <c r="A93" s="10">
        <v>9</v>
      </c>
      <c r="B93" s="11" t="s">
        <v>12</v>
      </c>
      <c r="C93" s="10">
        <v>117</v>
      </c>
      <c r="D93" s="12">
        <f>Table14[[#This Row],[Enrolment S.Y. 2025-2026 ]]*8</f>
        <v>936</v>
      </c>
      <c r="E93" s="12">
        <v>943</v>
      </c>
      <c r="F93" s="10">
        <v>2025</v>
      </c>
      <c r="G93" s="12" t="s">
        <v>91</v>
      </c>
      <c r="H93" s="12">
        <f t="shared" si="22"/>
        <v>0</v>
      </c>
      <c r="I93" s="12">
        <f t="shared" si="23"/>
        <v>7</v>
      </c>
      <c r="J93" s="12">
        <f>Table14[[#This Row],[Enrolment S.Y. 2025-2026 ]]*8</f>
        <v>936</v>
      </c>
      <c r="K93" s="12">
        <v>437</v>
      </c>
      <c r="L93" s="10">
        <v>2025</v>
      </c>
      <c r="M93" s="12" t="s">
        <v>91</v>
      </c>
      <c r="N93" s="12">
        <f>IF((J93-K93)&lt;0,0,(J93-K93))</f>
        <v>499</v>
      </c>
      <c r="O93" s="12">
        <f t="shared" si="21"/>
        <v>0</v>
      </c>
      <c r="P93" s="12">
        <f>Table14[[#This Row],[Enrolment S.Y. 2025-2026 ]]*8</f>
        <v>936</v>
      </c>
      <c r="Q93" s="12"/>
      <c r="R93" s="10"/>
      <c r="S93" s="12"/>
      <c r="T93" s="12">
        <f t="shared" si="16"/>
        <v>936</v>
      </c>
      <c r="U93" s="12">
        <f t="shared" si="17"/>
        <v>0</v>
      </c>
      <c r="V93" s="12">
        <f>Table14[[#This Row],[Enrolment S.Y. 2025-2026 ]]*8</f>
        <v>936</v>
      </c>
      <c r="W93" s="12"/>
      <c r="X93" s="10"/>
      <c r="Y93" s="12"/>
      <c r="Z93" s="12">
        <f t="shared" si="18"/>
        <v>936</v>
      </c>
      <c r="AA93" s="12">
        <f t="shared" si="19"/>
        <v>0</v>
      </c>
    </row>
    <row r="94" spans="1:27" ht="20.25" x14ac:dyDescent="0.2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20.25" x14ac:dyDescent="0.2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20.25" x14ac:dyDescent="0.2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20.25" x14ac:dyDescent="0.2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20.25" x14ac:dyDescent="0.2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20.25" x14ac:dyDescent="0.2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20.25" x14ac:dyDescent="0.2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20.25" x14ac:dyDescent="0.2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x14ac:dyDescent="0.2"/>
    <row r="103" spans="1:27" ht="20.25" x14ac:dyDescent="0.25">
      <c r="A103" s="10">
        <v>10</v>
      </c>
      <c r="B103" s="11" t="s">
        <v>14</v>
      </c>
      <c r="C103" s="10">
        <v>98</v>
      </c>
      <c r="D103" s="12">
        <f>Table14[[#This Row],[Enrolment S.Y. 2025-2026 ]]*8</f>
        <v>784</v>
      </c>
      <c r="E103" s="12">
        <v>40</v>
      </c>
      <c r="F103" s="10">
        <v>2025</v>
      </c>
      <c r="G103" s="12" t="s">
        <v>91</v>
      </c>
      <c r="H103" s="12">
        <f t="shared" si="22"/>
        <v>744</v>
      </c>
      <c r="I103" s="12">
        <f t="shared" si="23"/>
        <v>0</v>
      </c>
      <c r="J103" s="12">
        <f>Table14[[#This Row],[Enrolment S.Y. 2025-2026 ]]*8</f>
        <v>784</v>
      </c>
      <c r="K103" s="12">
        <v>352</v>
      </c>
      <c r="L103" s="10">
        <v>2025</v>
      </c>
      <c r="M103" s="12" t="s">
        <v>91</v>
      </c>
      <c r="N103" s="12">
        <f t="shared" si="20"/>
        <v>432</v>
      </c>
      <c r="O103" s="12">
        <f t="shared" si="21"/>
        <v>0</v>
      </c>
      <c r="P103" s="12">
        <f>Table14[[#This Row],[Enrolment S.Y. 2025-2026 ]]*8</f>
        <v>784</v>
      </c>
      <c r="Q103" s="12"/>
      <c r="R103" s="10"/>
      <c r="S103" s="12"/>
      <c r="T103" s="12">
        <f t="shared" si="16"/>
        <v>784</v>
      </c>
      <c r="U103" s="12">
        <f t="shared" si="17"/>
        <v>0</v>
      </c>
      <c r="V103" s="12">
        <f>Table14[[#This Row],[Enrolment S.Y. 2025-2026 ]]*8</f>
        <v>784</v>
      </c>
      <c r="W103" s="12"/>
      <c r="X103" s="10"/>
      <c r="Y103" s="12"/>
      <c r="Z103" s="12">
        <f t="shared" si="18"/>
        <v>784</v>
      </c>
      <c r="AA103" s="12">
        <f t="shared" si="19"/>
        <v>0</v>
      </c>
    </row>
    <row r="104" spans="1:27" ht="20.25" x14ac:dyDescent="0.25">
      <c r="A104" s="10">
        <v>10</v>
      </c>
      <c r="B104" s="11" t="s">
        <v>15</v>
      </c>
      <c r="C104" s="10">
        <v>98</v>
      </c>
      <c r="D104" s="12">
        <f>Table14[[#This Row],[Enrolment S.Y. 2025-2026 ]]*8</f>
        <v>784</v>
      </c>
      <c r="E104" s="12">
        <v>35</v>
      </c>
      <c r="F104" s="10">
        <v>2025</v>
      </c>
      <c r="G104" s="12" t="s">
        <v>91</v>
      </c>
      <c r="H104" s="12">
        <f t="shared" si="22"/>
        <v>749</v>
      </c>
      <c r="I104" s="12">
        <f t="shared" si="23"/>
        <v>0</v>
      </c>
      <c r="J104" s="12">
        <f>Table14[[#This Row],[Enrolment S.Y. 2025-2026 ]]*8</f>
        <v>784</v>
      </c>
      <c r="K104" s="12"/>
      <c r="L104" s="10"/>
      <c r="M104" s="12"/>
      <c r="N104" s="12">
        <f t="shared" si="20"/>
        <v>784</v>
      </c>
      <c r="O104" s="12">
        <f t="shared" si="21"/>
        <v>0</v>
      </c>
      <c r="P104" s="12">
        <f>Table14[[#This Row],[Enrolment S.Y. 2025-2026 ]]*8</f>
        <v>784</v>
      </c>
      <c r="Q104" s="12"/>
      <c r="R104" s="10"/>
      <c r="S104" s="12"/>
      <c r="T104" s="12">
        <f t="shared" si="16"/>
        <v>784</v>
      </c>
      <c r="U104" s="12">
        <f t="shared" si="17"/>
        <v>0</v>
      </c>
      <c r="V104" s="12">
        <f>Table14[[#This Row],[Enrolment S.Y. 2025-2026 ]]*8</f>
        <v>784</v>
      </c>
      <c r="W104" s="12"/>
      <c r="X104" s="10"/>
      <c r="Y104" s="12"/>
      <c r="Z104" s="12">
        <f t="shared" si="18"/>
        <v>784</v>
      </c>
      <c r="AA104" s="12">
        <f t="shared" si="19"/>
        <v>0</v>
      </c>
    </row>
    <row r="105" spans="1:27" ht="20.25" x14ac:dyDescent="0.25">
      <c r="A105" s="10">
        <v>10</v>
      </c>
      <c r="B105" s="11" t="s">
        <v>12</v>
      </c>
      <c r="C105" s="10">
        <v>98</v>
      </c>
      <c r="D105" s="12">
        <f>Table14[[#This Row],[Enrolment S.Y. 2025-2026 ]]*8</f>
        <v>784</v>
      </c>
      <c r="E105" s="12"/>
      <c r="F105" s="10"/>
      <c r="G105" s="12"/>
      <c r="H105" s="12">
        <f t="shared" si="22"/>
        <v>784</v>
      </c>
      <c r="I105" s="12">
        <f t="shared" si="23"/>
        <v>0</v>
      </c>
      <c r="J105" s="12">
        <f>Table14[[#This Row],[Enrolment S.Y. 2025-2026 ]]*8</f>
        <v>784</v>
      </c>
      <c r="K105" s="12">
        <v>418</v>
      </c>
      <c r="L105" s="10">
        <v>2025</v>
      </c>
      <c r="M105" s="12" t="s">
        <v>91</v>
      </c>
      <c r="N105" s="12">
        <f t="shared" si="20"/>
        <v>366</v>
      </c>
      <c r="O105" s="12">
        <f t="shared" si="21"/>
        <v>0</v>
      </c>
      <c r="P105" s="12">
        <f>Table14[[#This Row],[Enrolment S.Y. 2025-2026 ]]*8</f>
        <v>784</v>
      </c>
      <c r="Q105" s="12"/>
      <c r="R105" s="10"/>
      <c r="S105" s="12"/>
      <c r="T105" s="12">
        <f t="shared" si="16"/>
        <v>784</v>
      </c>
      <c r="U105" s="12">
        <f t="shared" si="17"/>
        <v>0</v>
      </c>
      <c r="V105" s="12">
        <f>Table14[[#This Row],[Enrolment S.Y. 2025-2026 ]]*8</f>
        <v>784</v>
      </c>
      <c r="W105" s="12"/>
      <c r="X105" s="10"/>
      <c r="Y105" s="12"/>
      <c r="Z105" s="12">
        <f t="shared" si="18"/>
        <v>784</v>
      </c>
      <c r="AA105" s="12">
        <f t="shared" si="19"/>
        <v>0</v>
      </c>
    </row>
    <row r="106" spans="1:27" ht="20.25" x14ac:dyDescent="0.2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20.25" x14ac:dyDescent="0.2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20.25" x14ac:dyDescent="0.2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20.25" x14ac:dyDescent="0.2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20.25" x14ac:dyDescent="0.2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20.25" x14ac:dyDescent="0.2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20.25" x14ac:dyDescent="0.2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20.25" x14ac:dyDescent="0.2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x14ac:dyDescent="0.2"/>
    <row r="115" spans="1:28" ht="20.25" x14ac:dyDescent="0.25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20.25" x14ac:dyDescent="0.2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20.25" x14ac:dyDescent="0.2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20.25" x14ac:dyDescent="0.2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4.5" x14ac:dyDescent="0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20.25" x14ac:dyDescent="0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4.5" x14ac:dyDescent="0.2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4.5" x14ac:dyDescent="0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x14ac:dyDescent="0.2"/>
    <row r="124" spans="1:28" x14ac:dyDescent="0.2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x14ac:dyDescent="0.2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x14ac:dyDescent="0.2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x14ac:dyDescent="0.2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x14ac:dyDescent="0.2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x14ac:dyDescent="0.2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x14ac:dyDescent="0.2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x14ac:dyDescent="0.2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x14ac:dyDescent="0.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x14ac:dyDescent="0.2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x14ac:dyDescent="0.2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x14ac:dyDescent="0.2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x14ac:dyDescent="0.2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x14ac:dyDescent="0.2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x14ac:dyDescent="0.2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x14ac:dyDescent="0.2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x14ac:dyDescent="0.2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x14ac:dyDescent="0.2">
      <c r="J141" t="e">
        <f>#REF!*8</f>
        <v>#REF!</v>
      </c>
    </row>
    <row r="142" spans="1:28" x14ac:dyDescent="0.2">
      <c r="J142" t="e">
        <f>#REF!*8</f>
        <v>#REF!</v>
      </c>
    </row>
    <row r="143" spans="1:28" x14ac:dyDescent="0.2">
      <c r="J143" t="e">
        <f>#REF!*8</f>
        <v>#REF!</v>
      </c>
    </row>
    <row r="144" spans="1:28" x14ac:dyDescent="0.2">
      <c r="J144" t="e">
        <f>#REF!*8</f>
        <v>#REF!</v>
      </c>
    </row>
    <row r="145" spans="10:10" x14ac:dyDescent="0.2">
      <c r="J145" t="e">
        <f>#REF!*8</f>
        <v>#REF!</v>
      </c>
    </row>
    <row r="146" spans="10:10" x14ac:dyDescent="0.2">
      <c r="J146" t="e">
        <f>#REF!*8</f>
        <v>#REF!</v>
      </c>
    </row>
    <row r="147" spans="10:10" x14ac:dyDescent="0.2">
      <c r="J147" t="e">
        <f>#REF!*8</f>
        <v>#REF!</v>
      </c>
    </row>
    <row r="148" spans="10:10" x14ac:dyDescent="0.2">
      <c r="J148" t="e">
        <f>#REF!*8</f>
        <v>#REF!</v>
      </c>
    </row>
    <row r="149" spans="10:10" x14ac:dyDescent="0.2">
      <c r="J149" t="e">
        <f>#REF!*8</f>
        <v>#REF!</v>
      </c>
    </row>
    <row r="150" spans="10:10" x14ac:dyDescent="0.2">
      <c r="J150" t="e">
        <f>#REF!*8</f>
        <v>#REF!</v>
      </c>
    </row>
    <row r="151" spans="10:10" x14ac:dyDescent="0.2">
      <c r="J151" t="e">
        <f>#REF!*8</f>
        <v>#REF!</v>
      </c>
    </row>
    <row r="152" spans="10:10" x14ac:dyDescent="0.2">
      <c r="J152" t="e">
        <f>#REF!*8</f>
        <v>#REF!</v>
      </c>
    </row>
    <row r="153" spans="10:10" x14ac:dyDescent="0.2">
      <c r="J153" t="e">
        <f>#REF!*8</f>
        <v>#REF!</v>
      </c>
    </row>
    <row r="154" spans="10:10" x14ac:dyDescent="0.2">
      <c r="J154" t="e">
        <f>#REF!*8</f>
        <v>#REF!</v>
      </c>
    </row>
    <row r="155" spans="10:10" x14ac:dyDescent="0.2">
      <c r="J155" t="e">
        <f>#REF!*8</f>
        <v>#REF!</v>
      </c>
    </row>
    <row r="156" spans="10:10" x14ac:dyDescent="0.2">
      <c r="J156" t="e">
        <f>#REF!*8</f>
        <v>#REF!</v>
      </c>
    </row>
    <row r="157" spans="10:10" x14ac:dyDescent="0.2">
      <c r="J157" t="e">
        <f>#REF!*8</f>
        <v>#REF!</v>
      </c>
    </row>
    <row r="158" spans="10:10" x14ac:dyDescent="0.2">
      <c r="J158" t="e">
        <f>#REF!*8</f>
        <v>#REF!</v>
      </c>
    </row>
    <row r="159" spans="10:10" x14ac:dyDescent="0.2">
      <c r="J159" t="e">
        <f>#REF!*8</f>
        <v>#REF!</v>
      </c>
    </row>
    <row r="160" spans="10:10" x14ac:dyDescent="0.2">
      <c r="J160" t="e">
        <f>#REF!*8</f>
        <v>#REF!</v>
      </c>
    </row>
    <row r="161" spans="10:10" x14ac:dyDescent="0.2">
      <c r="J161" t="e">
        <f>#REF!*8</f>
        <v>#REF!</v>
      </c>
    </row>
    <row r="162" spans="10:10" x14ac:dyDescent="0.2">
      <c r="J162" t="e">
        <f>#REF!*8</f>
        <v>#REF!</v>
      </c>
    </row>
    <row r="163" spans="10:10" x14ac:dyDescent="0.2">
      <c r="J163" t="e">
        <f>#REF!*8</f>
        <v>#REF!</v>
      </c>
    </row>
    <row r="164" spans="10:10" x14ac:dyDescent="0.2">
      <c r="J164" t="e">
        <f>#REF!*8</f>
        <v>#REF!</v>
      </c>
    </row>
    <row r="165" spans="10:10" x14ac:dyDescent="0.2">
      <c r="J165" t="e">
        <f>#REF!*8</f>
        <v>#REF!</v>
      </c>
    </row>
    <row r="166" spans="10:10" x14ac:dyDescent="0.2">
      <c r="J166" t="e">
        <f>#REF!*8</f>
        <v>#REF!</v>
      </c>
    </row>
    <row r="167" spans="10:10" x14ac:dyDescent="0.2">
      <c r="J167" t="e">
        <f>#REF!*8</f>
        <v>#REF!</v>
      </c>
    </row>
    <row r="168" spans="10:10" x14ac:dyDescent="0.2">
      <c r="J168" t="e">
        <f>#REF!*8</f>
        <v>#REF!</v>
      </c>
    </row>
    <row r="169" spans="10:10" x14ac:dyDescent="0.2">
      <c r="J169" t="e">
        <f>#REF!*8</f>
        <v>#REF!</v>
      </c>
    </row>
    <row r="170" spans="10:10" x14ac:dyDescent="0.2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103:F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M103:M113 S103:S113 Y115:Y122 G115:G122 M115:M122 S115:S122 G103:G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M115:M122 Y103:Y113 S103:S113 M103:M113 G103:G113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TextBooks</vt:lpstr>
      <vt:lpstr>LAS</vt:lpstr>
      <vt:lpstr>ADM-SLM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2025-12-15T05:12:27Z</dcterms:modified>
  <cp:category/>
  <cp:contentStatus/>
</cp:coreProperties>
</file>