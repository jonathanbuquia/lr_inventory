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8" documentId="13_ncr:1_{BFB59F67-F0DC-4675-A682-EB0734A8026A}" xr6:coauthVersionLast="47" xr6:coauthVersionMax="47" xr10:uidLastSave="{5BF9148E-2942-45BD-B431-64AA336B9B02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3" i="5" l="1"/>
  <c r="N93" i="5"/>
  <c r="P109" i="5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J3" i="4"/>
  <c r="O3" i="4"/>
  <c r="N3" i="4"/>
  <c r="D3" i="4"/>
  <c r="H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<sst xmlns="http://schemas.openxmlformats.org/spreadsheetml/2006/main" count="414" uniqueCount="92">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</sst>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57" zoomScale="85" zoomScaleNormal="85" workbookViewId="0">
      <pane xSplit="2" topLeftCell="C91" activePane="topRight" state="frozen"/>
      <selection pane="topRight" activeCell="E91" sqref="E91:E98"/>
      <selection activeCell="A57" sqref="A5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20.2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0.2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0.2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20.2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208</v>
      </c>
      <c r="D51" s="10">
        <v>131</v>
      </c>
      <c r="E51" s="10">
        <v>2025</v>
      </c>
      <c r="F51" s="12" t="s">
        <v>20</v>
      </c>
      <c r="G51" s="3">
        <f t="shared" ref="G51:G59" si="10">IF((C51-D51)&lt;0,0,C51-D51)</f>
        <v>77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208</v>
      </c>
      <c r="D53" s="10">
        <v>131</v>
      </c>
      <c r="E53" s="10">
        <v>2024</v>
      </c>
      <c r="F53" s="12" t="s">
        <v>20</v>
      </c>
      <c r="G53" s="3">
        <f t="shared" si="10"/>
        <v>77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208</v>
      </c>
      <c r="D55" s="10">
        <v>131</v>
      </c>
      <c r="E55" s="10">
        <v>2025</v>
      </c>
      <c r="F55" s="12" t="s">
        <v>20</v>
      </c>
      <c r="G55" s="3">
        <f t="shared" si="10"/>
        <v>77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208</v>
      </c>
      <c r="D56" s="10">
        <v>131</v>
      </c>
      <c r="E56" s="10">
        <v>2024</v>
      </c>
      <c r="F56" s="12" t="s">
        <v>20</v>
      </c>
      <c r="G56" s="3">
        <f t="shared" si="10"/>
        <v>77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208</v>
      </c>
      <c r="D57" s="10">
        <v>131</v>
      </c>
      <c r="E57" s="10">
        <v>2025</v>
      </c>
      <c r="F57" s="12" t="s">
        <v>20</v>
      </c>
      <c r="G57" s="3">
        <f t="shared" si="10"/>
        <v>77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208</v>
      </c>
      <c r="D58" s="10">
        <v>131</v>
      </c>
      <c r="E58" s="10">
        <v>2025</v>
      </c>
      <c r="F58" s="12" t="s">
        <v>20</v>
      </c>
      <c r="G58" s="3">
        <f t="shared" si="10"/>
        <v>77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208</v>
      </c>
      <c r="D59" s="10">
        <v>131</v>
      </c>
      <c r="E59" s="10">
        <v>2025</v>
      </c>
      <c r="F59" s="12" t="s">
        <v>20</v>
      </c>
      <c r="G59" s="3">
        <f t="shared" si="10"/>
        <v>77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171</v>
      </c>
      <c r="D63" s="10">
        <v>110</v>
      </c>
      <c r="E63" s="10">
        <v>2025</v>
      </c>
      <c r="F63" s="12" t="s">
        <v>20</v>
      </c>
      <c r="G63" s="3">
        <f t="shared" si="12"/>
        <v>61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171</v>
      </c>
      <c r="D64" s="10">
        <v>110</v>
      </c>
      <c r="E64" s="10">
        <v>2025</v>
      </c>
      <c r="F64" s="12" t="s">
        <v>20</v>
      </c>
      <c r="G64" s="3">
        <f t="shared" si="12"/>
        <v>61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91:F98 F61:F69 F71:F79 F81:F89 F2:F6 F8:F12 F51:F59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F7D7B578-631D-4667-81BF-E7747A147386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39" zoomScale="70" zoomScaleNormal="70" workbookViewId="0">
      <selection activeCell="J128" sqref="J128:J15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>
      <c r="A73" s="10">
        <v>8</v>
      </c>
      <c r="B73" s="11" t="s">
        <v>14</v>
      </c>
      <c r="C73" s="10">
        <v>171</v>
      </c>
      <c r="D73" s="12">
        <f>Table1[[#This Row],[Enrolment S.Y. 2025-2026 ]]*8</f>
        <v>1368</v>
      </c>
      <c r="E73" s="12">
        <v>464</v>
      </c>
      <c r="F73" s="10">
        <v>2025</v>
      </c>
      <c r="G73" s="12" t="s">
        <v>63</v>
      </c>
      <c r="H73" s="12">
        <f t="shared" si="2"/>
        <v>904</v>
      </c>
      <c r="I73" s="12">
        <f t="shared" si="3"/>
        <v>0</v>
      </c>
      <c r="J73" s="12">
        <f>Table1[[#This Row],[Enrolment S.Y. 2025-2026 ]]*8</f>
        <v>1368</v>
      </c>
      <c r="K73" s="12"/>
      <c r="L73" s="10"/>
      <c r="M73" s="12"/>
      <c r="N73" s="12">
        <f t="shared" si="16"/>
        <v>1368</v>
      </c>
      <c r="O73" s="12">
        <f t="shared" si="17"/>
        <v>0</v>
      </c>
      <c r="P73" s="12">
        <f>Table1[[#This Row],[Enrolment S.Y. 2025-2026 ]]*8</f>
        <v>1368</v>
      </c>
      <c r="Q73" s="12"/>
      <c r="R73" s="10"/>
      <c r="S73" s="12"/>
      <c r="T73" s="12">
        <f t="shared" si="18"/>
        <v>1368</v>
      </c>
      <c r="U73" s="12">
        <f t="shared" si="19"/>
        <v>0</v>
      </c>
      <c r="V73" s="12">
        <f>Table1[[#This Row],[Enrolment S.Y. 2025-2026 ]]*8</f>
        <v>1368</v>
      </c>
      <c r="W73" s="12"/>
      <c r="X73" s="10"/>
      <c r="Y73" s="12"/>
      <c r="Z73" s="12">
        <f t="shared" si="20"/>
        <v>1368</v>
      </c>
      <c r="AA73" s="12">
        <f t="shared" si="21"/>
        <v>0</v>
      </c>
    </row>
    <row r="74" spans="1:27" ht="20.25">
      <c r="A74" s="10">
        <v>8</v>
      </c>
      <c r="B74" s="11" t="s">
        <v>15</v>
      </c>
      <c r="C74" s="10">
        <v>171</v>
      </c>
      <c r="D74" s="12">
        <f>Table1[[#This Row],[Enrolment S.Y. 2025-2026 ]]*8</f>
        <v>1368</v>
      </c>
      <c r="E74" s="12">
        <v>464</v>
      </c>
      <c r="F74" s="10">
        <v>2025</v>
      </c>
      <c r="G74" s="12" t="s">
        <v>63</v>
      </c>
      <c r="H74" s="12">
        <f t="shared" si="2"/>
        <v>904</v>
      </c>
      <c r="I74" s="12">
        <f t="shared" si="3"/>
        <v>0</v>
      </c>
      <c r="J74" s="12">
        <f>Table1[[#This Row],[Enrolment S.Y. 2025-2026 ]]*8</f>
        <v>1368</v>
      </c>
      <c r="K74" s="12"/>
      <c r="L74" s="10"/>
      <c r="M74" s="12"/>
      <c r="N74" s="12">
        <f t="shared" si="16"/>
        <v>1368</v>
      </c>
      <c r="O74" s="12">
        <f t="shared" si="17"/>
        <v>0</v>
      </c>
      <c r="P74" s="12">
        <f>Table1[[#This Row],[Enrolment S.Y. 2025-2026 ]]*8</f>
        <v>1368</v>
      </c>
      <c r="Q74" s="12"/>
      <c r="R74" s="10"/>
      <c r="S74" s="12"/>
      <c r="T74" s="12">
        <f t="shared" si="18"/>
        <v>1368</v>
      </c>
      <c r="U74" s="12">
        <f t="shared" si="19"/>
        <v>0</v>
      </c>
      <c r="V74" s="12">
        <f>Table1[[#This Row],[Enrolment S.Y. 2025-2026 ]]*8</f>
        <v>1368</v>
      </c>
      <c r="W74" s="12"/>
      <c r="X74" s="10"/>
      <c r="Y74" s="12"/>
      <c r="Z74" s="12">
        <f t="shared" si="20"/>
        <v>1368</v>
      </c>
      <c r="AA74" s="12">
        <f t="shared" si="21"/>
        <v>0</v>
      </c>
    </row>
    <row r="75" spans="1:27" ht="20.25">
      <c r="A75" s="10">
        <v>8</v>
      </c>
      <c r="B75" s="11" t="s">
        <v>12</v>
      </c>
      <c r="C75" s="10">
        <v>171</v>
      </c>
      <c r="D75" s="12">
        <f>Table1[[#This Row],[Enrolment S.Y. 2025-2026 ]]*8</f>
        <v>1368</v>
      </c>
      <c r="E75" s="12">
        <v>464</v>
      </c>
      <c r="F75" s="10">
        <v>2025</v>
      </c>
      <c r="G75" s="12" t="s">
        <v>63</v>
      </c>
      <c r="H75" s="12">
        <f t="shared" si="2"/>
        <v>904</v>
      </c>
      <c r="I75" s="12">
        <f t="shared" si="3"/>
        <v>0</v>
      </c>
      <c r="J75" s="12">
        <f>Table1[[#This Row],[Enrolment S.Y. 2025-2026 ]]*8</f>
        <v>1368</v>
      </c>
      <c r="K75" s="12"/>
      <c r="L75" s="10"/>
      <c r="M75" s="12"/>
      <c r="N75" s="12">
        <f t="shared" si="16"/>
        <v>1368</v>
      </c>
      <c r="O75" s="12">
        <f t="shared" si="17"/>
        <v>0</v>
      </c>
      <c r="P75" s="12">
        <f>Table1[[#This Row],[Enrolment S.Y. 2025-2026 ]]*8</f>
        <v>1368</v>
      </c>
      <c r="Q75" s="12"/>
      <c r="R75" s="10"/>
      <c r="S75" s="12"/>
      <c r="T75" s="12">
        <f t="shared" si="18"/>
        <v>1368</v>
      </c>
      <c r="U75" s="12">
        <f t="shared" si="19"/>
        <v>0</v>
      </c>
      <c r="V75" s="12">
        <f>Table1[[#This Row],[Enrolment S.Y. 2025-2026 ]]*8</f>
        <v>1368</v>
      </c>
      <c r="W75" s="12"/>
      <c r="X75" s="10"/>
      <c r="Y75" s="12"/>
      <c r="Z75" s="12">
        <f t="shared" si="20"/>
        <v>1368</v>
      </c>
      <c r="AA75" s="12">
        <f t="shared" si="21"/>
        <v>0</v>
      </c>
    </row>
    <row r="76" spans="1:27" ht="20.25">
      <c r="A76" s="10">
        <v>8</v>
      </c>
      <c r="B76" s="11" t="s">
        <v>21</v>
      </c>
      <c r="C76" s="10">
        <v>171</v>
      </c>
      <c r="D76" s="12">
        <f>Table1[[#This Row],[Enrolment S.Y. 2025-2026 ]]*8</f>
        <v>1368</v>
      </c>
      <c r="E76" s="12">
        <v>464</v>
      </c>
      <c r="F76" s="10">
        <v>2025</v>
      </c>
      <c r="G76" s="12" t="s">
        <v>63</v>
      </c>
      <c r="H76" s="12">
        <f t="shared" si="2"/>
        <v>904</v>
      </c>
      <c r="I76" s="12">
        <f t="shared" si="3"/>
        <v>0</v>
      </c>
      <c r="J76" s="12">
        <f>Table1[[#This Row],[Enrolment S.Y. 2025-2026 ]]*8</f>
        <v>1368</v>
      </c>
      <c r="K76" s="12"/>
      <c r="L76" s="10"/>
      <c r="M76" s="12"/>
      <c r="N76" s="12">
        <f t="shared" si="16"/>
        <v>1368</v>
      </c>
      <c r="O76" s="12">
        <f t="shared" si="17"/>
        <v>0</v>
      </c>
      <c r="P76" s="12">
        <f>Table1[[#This Row],[Enrolment S.Y. 2025-2026 ]]*8</f>
        <v>1368</v>
      </c>
      <c r="Q76" s="12"/>
      <c r="R76" s="10"/>
      <c r="S76" s="12"/>
      <c r="T76" s="12">
        <f t="shared" si="18"/>
        <v>1368</v>
      </c>
      <c r="U76" s="12">
        <f t="shared" si="19"/>
        <v>0</v>
      </c>
      <c r="V76" s="12">
        <f>Table1[[#This Row],[Enrolment S.Y. 2025-2026 ]]*8</f>
        <v>1368</v>
      </c>
      <c r="W76" s="12"/>
      <c r="X76" s="10"/>
      <c r="Y76" s="12"/>
      <c r="Z76" s="12">
        <f t="shared" si="20"/>
        <v>1368</v>
      </c>
      <c r="AA76" s="12">
        <f t="shared" si="21"/>
        <v>0</v>
      </c>
    </row>
    <row r="77" spans="1:27" ht="20.25">
      <c r="A77" s="10">
        <v>8</v>
      </c>
      <c r="B77" s="11" t="s">
        <v>23</v>
      </c>
      <c r="C77" s="10">
        <v>171</v>
      </c>
      <c r="D77" s="12">
        <f>Table1[[#This Row],[Enrolment S.Y. 2025-2026 ]]*8</f>
        <v>1368</v>
      </c>
      <c r="E77" s="12">
        <v>464</v>
      </c>
      <c r="F77" s="10">
        <v>2025</v>
      </c>
      <c r="G77" s="12" t="s">
        <v>63</v>
      </c>
      <c r="H77" s="12">
        <f t="shared" si="2"/>
        <v>904</v>
      </c>
      <c r="I77" s="12">
        <f t="shared" si="3"/>
        <v>0</v>
      </c>
      <c r="J77" s="12">
        <f>Table1[[#This Row],[Enrolment S.Y. 2025-2026 ]]*8</f>
        <v>1368</v>
      </c>
      <c r="K77" s="12"/>
      <c r="L77" s="10"/>
      <c r="M77" s="12"/>
      <c r="N77" s="12">
        <f t="shared" si="16"/>
        <v>1368</v>
      </c>
      <c r="O77" s="12">
        <f t="shared" si="17"/>
        <v>0</v>
      </c>
      <c r="P77" s="12">
        <f>Table1[[#This Row],[Enrolment S.Y. 2025-2026 ]]*8</f>
        <v>1368</v>
      </c>
      <c r="Q77" s="12"/>
      <c r="R77" s="10"/>
      <c r="S77" s="12"/>
      <c r="T77" s="12">
        <f t="shared" si="18"/>
        <v>1368</v>
      </c>
      <c r="U77" s="12">
        <f t="shared" si="19"/>
        <v>0</v>
      </c>
      <c r="V77" s="12">
        <f>Table1[[#This Row],[Enrolment S.Y. 2025-2026 ]]*8</f>
        <v>1368</v>
      </c>
      <c r="W77" s="12"/>
      <c r="X77" s="10"/>
      <c r="Y77" s="12"/>
      <c r="Z77" s="12">
        <f t="shared" si="20"/>
        <v>1368</v>
      </c>
      <c r="AA77" s="12">
        <f t="shared" si="21"/>
        <v>0</v>
      </c>
    </row>
    <row r="78" spans="1:27" ht="20.25">
      <c r="A78" s="10">
        <v>8</v>
      </c>
      <c r="B78" s="11" t="s">
        <v>13</v>
      </c>
      <c r="C78" s="10">
        <v>171</v>
      </c>
      <c r="D78" s="12">
        <f>Table1[[#This Row],[Enrolment S.Y. 2025-2026 ]]*8</f>
        <v>1368</v>
      </c>
      <c r="E78" s="12">
        <v>464</v>
      </c>
      <c r="F78" s="10">
        <v>2025</v>
      </c>
      <c r="G78" s="12" t="s">
        <v>63</v>
      </c>
      <c r="H78" s="12">
        <f t="shared" ref="H78:H127" si="22">IF((D78-E78)&lt;0,0,(D78-E78))</f>
        <v>904</v>
      </c>
      <c r="I78" s="12">
        <f t="shared" ref="I78:I127" si="23">IF((E78-D78)&lt;0,0,(E78-D78))</f>
        <v>0</v>
      </c>
      <c r="J78" s="12">
        <f>Table1[[#This Row],[Enrolment S.Y. 2025-2026 ]]*8</f>
        <v>1368</v>
      </c>
      <c r="K78" s="12"/>
      <c r="L78" s="10"/>
      <c r="M78" s="12"/>
      <c r="N78" s="12">
        <f t="shared" si="16"/>
        <v>1368</v>
      </c>
      <c r="O78" s="12">
        <f t="shared" si="17"/>
        <v>0</v>
      </c>
      <c r="P78" s="12">
        <f>Table1[[#This Row],[Enrolment S.Y. 2025-2026 ]]*8</f>
        <v>1368</v>
      </c>
      <c r="Q78" s="12"/>
      <c r="R78" s="10"/>
      <c r="S78" s="12"/>
      <c r="T78" s="12">
        <f t="shared" si="18"/>
        <v>1368</v>
      </c>
      <c r="U78" s="12">
        <f t="shared" si="19"/>
        <v>0</v>
      </c>
      <c r="V78" s="12">
        <f>Table1[[#This Row],[Enrolment S.Y. 2025-2026 ]]*8</f>
        <v>1368</v>
      </c>
      <c r="W78" s="12"/>
      <c r="X78" s="10"/>
      <c r="Y78" s="12"/>
      <c r="Z78" s="12">
        <f t="shared" si="20"/>
        <v>1368</v>
      </c>
      <c r="AA78" s="12">
        <f t="shared" si="21"/>
        <v>0</v>
      </c>
    </row>
    <row r="79" spans="1:27" ht="20.25">
      <c r="A79" s="10">
        <v>8</v>
      </c>
      <c r="B79" s="11" t="s">
        <v>17</v>
      </c>
      <c r="C79" s="10">
        <v>171</v>
      </c>
      <c r="D79" s="12">
        <f>Table1[[#This Row],[Enrolment S.Y. 2025-2026 ]]*8</f>
        <v>1368</v>
      </c>
      <c r="E79" s="12">
        <v>464</v>
      </c>
      <c r="F79" s="10">
        <v>2025</v>
      </c>
      <c r="G79" s="12" t="s">
        <v>63</v>
      </c>
      <c r="H79" s="12">
        <f t="shared" si="22"/>
        <v>904</v>
      </c>
      <c r="I79" s="12">
        <f t="shared" si="23"/>
        <v>0</v>
      </c>
      <c r="J79" s="12">
        <f>Table1[[#This Row],[Enrolment S.Y. 2025-2026 ]]*8</f>
        <v>1368</v>
      </c>
      <c r="K79" s="12"/>
      <c r="L79" s="10"/>
      <c r="M79" s="12"/>
      <c r="N79" s="12">
        <f t="shared" si="16"/>
        <v>1368</v>
      </c>
      <c r="O79" s="12">
        <f t="shared" si="17"/>
        <v>0</v>
      </c>
      <c r="P79" s="12">
        <f>Table1[[#This Row],[Enrolment S.Y. 2025-2026 ]]*8</f>
        <v>1368</v>
      </c>
      <c r="Q79" s="12"/>
      <c r="R79" s="10"/>
      <c r="S79" s="12"/>
      <c r="T79" s="12">
        <f t="shared" si="18"/>
        <v>1368</v>
      </c>
      <c r="U79" s="12">
        <f t="shared" si="19"/>
        <v>0</v>
      </c>
      <c r="V79" s="12">
        <f>Table1[[#This Row],[Enrolment S.Y. 2025-2026 ]]*8</f>
        <v>1368</v>
      </c>
      <c r="W79" s="12"/>
      <c r="X79" s="10"/>
      <c r="Y79" s="12"/>
      <c r="Z79" s="12">
        <f t="shared" si="20"/>
        <v>1368</v>
      </c>
      <c r="AA79" s="12">
        <f t="shared" si="21"/>
        <v>0</v>
      </c>
    </row>
    <row r="80" spans="1:27" ht="20.25">
      <c r="A80" s="10">
        <v>8</v>
      </c>
      <c r="B80" s="11" t="s">
        <v>22</v>
      </c>
      <c r="C80" s="10">
        <v>171</v>
      </c>
      <c r="D80" s="12">
        <f>Table1[[#This Row],[Enrolment S.Y. 2025-2026 ]]*8</f>
        <v>1368</v>
      </c>
      <c r="E80" s="12">
        <v>464</v>
      </c>
      <c r="F80" s="10">
        <v>2025</v>
      </c>
      <c r="G80" s="12" t="s">
        <v>63</v>
      </c>
      <c r="H80" s="12">
        <f t="shared" si="22"/>
        <v>904</v>
      </c>
      <c r="I80" s="12">
        <f t="shared" si="23"/>
        <v>0</v>
      </c>
      <c r="J80" s="12">
        <f>Table1[[#This Row],[Enrolment S.Y. 2025-2026 ]]*8</f>
        <v>1368</v>
      </c>
      <c r="K80" s="12"/>
      <c r="L80" s="10"/>
      <c r="M80" s="12"/>
      <c r="N80" s="12">
        <f t="shared" si="16"/>
        <v>1368</v>
      </c>
      <c r="O80" s="12">
        <f t="shared" si="17"/>
        <v>0</v>
      </c>
      <c r="P80" s="12">
        <f>Table1[[#This Row],[Enrolment S.Y. 2025-2026 ]]*8</f>
        <v>1368</v>
      </c>
      <c r="Q80" s="12"/>
      <c r="R80" s="10"/>
      <c r="S80" s="12"/>
      <c r="T80" s="12">
        <f t="shared" si="18"/>
        <v>1368</v>
      </c>
      <c r="U80" s="12">
        <f t="shared" si="19"/>
        <v>0</v>
      </c>
      <c r="V80" s="12">
        <f>Table1[[#This Row],[Enrolment S.Y. 2025-2026 ]]*8</f>
        <v>1368</v>
      </c>
      <c r="W80" s="12"/>
      <c r="X80" s="10"/>
      <c r="Y80" s="12"/>
      <c r="Z80" s="12">
        <f t="shared" si="20"/>
        <v>1368</v>
      </c>
      <c r="AA80" s="12">
        <f t="shared" si="21"/>
        <v>0</v>
      </c>
    </row>
    <row r="81" spans="1:27" ht="20.25">
      <c r="A81" s="10">
        <v>8</v>
      </c>
      <c r="B81" s="11" t="s">
        <v>19</v>
      </c>
      <c r="C81" s="10">
        <v>171</v>
      </c>
      <c r="D81" s="12">
        <f>Table1[[#This Row],[Enrolment S.Y. 2025-2026 ]]*8</f>
        <v>1368</v>
      </c>
      <c r="E81" s="12">
        <v>464</v>
      </c>
      <c r="F81" s="10">
        <v>2025</v>
      </c>
      <c r="G81" s="12" t="s">
        <v>63</v>
      </c>
      <c r="H81" s="12">
        <f t="shared" si="22"/>
        <v>904</v>
      </c>
      <c r="I81" s="12">
        <f t="shared" si="23"/>
        <v>0</v>
      </c>
      <c r="J81" s="12">
        <f>Table1[[#This Row],[Enrolment S.Y. 2025-2026 ]]*8</f>
        <v>1368</v>
      </c>
      <c r="K81" s="12"/>
      <c r="L81" s="10"/>
      <c r="M81" s="12"/>
      <c r="N81" s="12">
        <f t="shared" si="16"/>
        <v>1368</v>
      </c>
      <c r="O81" s="12">
        <f t="shared" si="17"/>
        <v>0</v>
      </c>
      <c r="P81" s="12">
        <f>Table1[[#This Row],[Enrolment S.Y. 2025-2026 ]]*8</f>
        <v>1368</v>
      </c>
      <c r="Q81" s="12"/>
      <c r="R81" s="10"/>
      <c r="S81" s="12"/>
      <c r="T81" s="12">
        <f t="shared" si="18"/>
        <v>1368</v>
      </c>
      <c r="U81" s="12">
        <f t="shared" si="19"/>
        <v>0</v>
      </c>
      <c r="V81" s="12">
        <f>Table1[[#This Row],[Enrolment S.Y. 2025-2026 ]]*8</f>
        <v>1368</v>
      </c>
      <c r="W81" s="12"/>
      <c r="X81" s="10"/>
      <c r="Y81" s="12"/>
      <c r="Z81" s="12">
        <f t="shared" si="20"/>
        <v>1368</v>
      </c>
      <c r="AA81" s="12">
        <f t="shared" si="21"/>
        <v>0</v>
      </c>
    </row>
    <row r="82" spans="1:27" s="7" customFormat="1" ht="20.2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83:G91 G93:G101 G103:G110 G73:G81" name="SOURCE"/>
    <protectedRange sqref="C73" name="Textbooks_1"/>
    <protectedRange sqref="C74" name="Textbooks_2"/>
    <protectedRange sqref="C75" name="Textbooks_3"/>
    <protectedRange sqref="C76" name="Textbooks_4"/>
    <protectedRange sqref="C77" name="Textbooks_5"/>
    <protectedRange sqref="C78" name="Textbooks_6"/>
    <protectedRange sqref="C79" name="Textbooks_7"/>
    <protectedRange sqref="C80" name="Textbooks_8"/>
    <protectedRange sqref="C81" name="Textbooks_9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103:G110 G83:G91 G93:G101 G73:G81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7BFE8C6-CB23-4AD4-A9B9-90B4ABF26190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56" zoomScale="55" zoomScaleNormal="55" workbookViewId="0">
      <selection activeCell="J141" sqref="J141:J170"/>
    </sheetView>
  </sheetViews>
  <sheetFormatPr defaultRowHeight="15"/>
  <cols>
    <col min="1" max="1" width="9.42578125" customWidth="1"/>
    <col min="2" max="2" width="31.285156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2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2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2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2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2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2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>
      <c r="A92" s="10">
        <v>9</v>
      </c>
      <c r="B92" s="11" t="s">
        <v>15</v>
      </c>
      <c r="C92" s="10">
        <v>117</v>
      </c>
      <c r="D92" s="12">
        <f>Table14[[#This Row],[Enrolment S.Y. 2025-2026 ]]*8</f>
        <v>936</v>
      </c>
      <c r="E92" s="12">
        <v>246</v>
      </c>
      <c r="F92" s="10">
        <v>2025</v>
      </c>
      <c r="G92" s="12" t="s">
        <v>63</v>
      </c>
      <c r="H92" s="12">
        <f t="shared" si="22"/>
        <v>690</v>
      </c>
      <c r="I92" s="12">
        <f t="shared" si="23"/>
        <v>0</v>
      </c>
      <c r="J92" s="12">
        <f>Table14[[#This Row],[Enrolment S.Y. 2025-2026 ]]*8</f>
        <v>936</v>
      </c>
      <c r="K92" s="12">
        <v>460</v>
      </c>
      <c r="L92" s="10">
        <v>2025</v>
      </c>
      <c r="M92" s="12" t="s">
        <v>63</v>
      </c>
      <c r="N92" s="12">
        <f t="shared" si="20"/>
        <v>476</v>
      </c>
      <c r="O92" s="12">
        <f t="shared" si="21"/>
        <v>0</v>
      </c>
      <c r="P92" s="12">
        <f>Table14[[#This Row],[Enrolment S.Y. 2025-2026 ]]*8</f>
        <v>936</v>
      </c>
      <c r="Q92" s="12"/>
      <c r="R92" s="10"/>
      <c r="S92" s="12"/>
      <c r="T92" s="12">
        <f t="shared" si="16"/>
        <v>936</v>
      </c>
      <c r="U92" s="12">
        <f t="shared" si="17"/>
        <v>0</v>
      </c>
      <c r="V92" s="12">
        <f>Table14[[#This Row],[Enrolment S.Y. 2025-2026 ]]*8</f>
        <v>936</v>
      </c>
      <c r="W92" s="12"/>
      <c r="X92" s="10"/>
      <c r="Y92" s="12"/>
      <c r="Z92" s="12">
        <f t="shared" si="18"/>
        <v>936</v>
      </c>
      <c r="AA92" s="12">
        <f t="shared" si="19"/>
        <v>0</v>
      </c>
    </row>
    <row r="93" spans="1:27" ht="20.25">
      <c r="A93" s="10">
        <v>9</v>
      </c>
      <c r="B93" s="11" t="s">
        <v>12</v>
      </c>
      <c r="C93" s="10">
        <v>117</v>
      </c>
      <c r="D93" s="12">
        <f>Table14[[#This Row],[Enrolment S.Y. 2025-2026 ]]*8</f>
        <v>936</v>
      </c>
      <c r="E93" s="12">
        <v>943</v>
      </c>
      <c r="F93" s="10">
        <v>2025</v>
      </c>
      <c r="G93" s="12" t="s">
        <v>63</v>
      </c>
      <c r="H93" s="12">
        <f t="shared" si="22"/>
        <v>0</v>
      </c>
      <c r="I93" s="12">
        <f t="shared" si="23"/>
        <v>7</v>
      </c>
      <c r="J93" s="12">
        <f>Table14[[#This Row],[Enrolment S.Y. 2025-2026 ]]*8</f>
        <v>936</v>
      </c>
      <c r="K93" s="12">
        <v>437</v>
      </c>
      <c r="L93" s="10">
        <v>2025</v>
      </c>
      <c r="M93" s="12" t="s">
        <v>63</v>
      </c>
      <c r="N93" s="12">
        <f>IF((J93-K93)&lt;0,0,(J93-K93))</f>
        <v>499</v>
      </c>
      <c r="O93" s="12">
        <f t="shared" si="21"/>
        <v>0</v>
      </c>
      <c r="P93" s="12">
        <f>Table14[[#This Row],[Enrolment S.Y. 2025-2026 ]]*8</f>
        <v>936</v>
      </c>
      <c r="Q93" s="12"/>
      <c r="R93" s="10"/>
      <c r="S93" s="12"/>
      <c r="T93" s="12">
        <f t="shared" si="16"/>
        <v>936</v>
      </c>
      <c r="U93" s="12">
        <f t="shared" si="17"/>
        <v>0</v>
      </c>
      <c r="V93" s="12">
        <f>Table14[[#This Row],[Enrolment S.Y. 2025-2026 ]]*8</f>
        <v>936</v>
      </c>
      <c r="W93" s="12"/>
      <c r="X93" s="10"/>
      <c r="Y93" s="12"/>
      <c r="Z93" s="12">
        <f t="shared" si="18"/>
        <v>936</v>
      </c>
      <c r="AA93" s="12">
        <f t="shared" si="19"/>
        <v>0</v>
      </c>
    </row>
    <row r="94" spans="1:27" ht="20.2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20.25">
      <c r="A103" s="10">
        <v>10</v>
      </c>
      <c r="B103" s="11" t="s">
        <v>14</v>
      </c>
      <c r="C103" s="10">
        <v>98</v>
      </c>
      <c r="D103" s="12">
        <f>Table14[[#This Row],[Enrolment S.Y. 2025-2026 ]]*8</f>
        <v>784</v>
      </c>
      <c r="E103" s="12">
        <v>40</v>
      </c>
      <c r="F103" s="10">
        <v>2025</v>
      </c>
      <c r="G103" s="12" t="s">
        <v>63</v>
      </c>
      <c r="H103" s="12">
        <f t="shared" si="22"/>
        <v>744</v>
      </c>
      <c r="I103" s="12">
        <f t="shared" si="23"/>
        <v>0</v>
      </c>
      <c r="J103" s="12">
        <f>Table14[[#This Row],[Enrolment S.Y. 2025-2026 ]]*8</f>
        <v>784</v>
      </c>
      <c r="K103" s="12">
        <v>352</v>
      </c>
      <c r="L103" s="10">
        <v>2025</v>
      </c>
      <c r="M103" s="12" t="s">
        <v>63</v>
      </c>
      <c r="N103" s="12">
        <f t="shared" si="20"/>
        <v>432</v>
      </c>
      <c r="O103" s="12">
        <f t="shared" si="21"/>
        <v>0</v>
      </c>
      <c r="P103" s="12">
        <f>Table14[[#This Row],[Enrolment S.Y. 2025-2026 ]]*8</f>
        <v>784</v>
      </c>
      <c r="Q103" s="12"/>
      <c r="R103" s="10"/>
      <c r="S103" s="12"/>
      <c r="T103" s="12">
        <f t="shared" si="16"/>
        <v>784</v>
      </c>
      <c r="U103" s="12">
        <f t="shared" si="17"/>
        <v>0</v>
      </c>
      <c r="V103" s="12">
        <f>Table14[[#This Row],[Enrolment S.Y. 2025-2026 ]]*8</f>
        <v>784</v>
      </c>
      <c r="W103" s="12"/>
      <c r="X103" s="10"/>
      <c r="Y103" s="12"/>
      <c r="Z103" s="12">
        <f t="shared" si="18"/>
        <v>784</v>
      </c>
      <c r="AA103" s="12">
        <f t="shared" si="19"/>
        <v>0</v>
      </c>
    </row>
    <row r="104" spans="1:27" ht="20.25">
      <c r="A104" s="10">
        <v>10</v>
      </c>
      <c r="B104" s="11" t="s">
        <v>15</v>
      </c>
      <c r="C104" s="10">
        <v>98</v>
      </c>
      <c r="D104" s="12">
        <f>Table14[[#This Row],[Enrolment S.Y. 2025-2026 ]]*8</f>
        <v>784</v>
      </c>
      <c r="E104" s="12">
        <v>35</v>
      </c>
      <c r="F104" s="10">
        <v>2025</v>
      </c>
      <c r="G104" s="12" t="s">
        <v>63</v>
      </c>
      <c r="H104" s="12">
        <f t="shared" si="22"/>
        <v>749</v>
      </c>
      <c r="I104" s="12">
        <f t="shared" si="23"/>
        <v>0</v>
      </c>
      <c r="J104" s="12">
        <f>Table14[[#This Row],[Enrolment S.Y. 2025-2026 ]]*8</f>
        <v>784</v>
      </c>
      <c r="K104" s="12"/>
      <c r="L104" s="10"/>
      <c r="M104" s="12"/>
      <c r="N104" s="12">
        <f t="shared" si="20"/>
        <v>784</v>
      </c>
      <c r="O104" s="12">
        <f t="shared" si="21"/>
        <v>0</v>
      </c>
      <c r="P104" s="12">
        <f>Table14[[#This Row],[Enrolment S.Y. 2025-2026 ]]*8</f>
        <v>784</v>
      </c>
      <c r="Q104" s="12"/>
      <c r="R104" s="10"/>
      <c r="S104" s="12"/>
      <c r="T104" s="12">
        <f t="shared" si="16"/>
        <v>784</v>
      </c>
      <c r="U104" s="12">
        <f t="shared" si="17"/>
        <v>0</v>
      </c>
      <c r="V104" s="12">
        <f>Table14[[#This Row],[Enrolment S.Y. 2025-2026 ]]*8</f>
        <v>784</v>
      </c>
      <c r="W104" s="12"/>
      <c r="X104" s="10"/>
      <c r="Y104" s="12"/>
      <c r="Z104" s="12">
        <f t="shared" si="18"/>
        <v>784</v>
      </c>
      <c r="AA104" s="12">
        <f t="shared" si="19"/>
        <v>0</v>
      </c>
    </row>
    <row r="105" spans="1:27" ht="20.25">
      <c r="A105" s="10">
        <v>10</v>
      </c>
      <c r="B105" s="11" t="s">
        <v>12</v>
      </c>
      <c r="C105" s="10">
        <v>98</v>
      </c>
      <c r="D105" s="12">
        <f>Table14[[#This Row],[Enrolment S.Y. 2025-2026 ]]*8</f>
        <v>784</v>
      </c>
      <c r="E105" s="12"/>
      <c r="F105" s="10"/>
      <c r="G105" s="12"/>
      <c r="H105" s="12">
        <f t="shared" si="22"/>
        <v>784</v>
      </c>
      <c r="I105" s="12">
        <f t="shared" si="23"/>
        <v>0</v>
      </c>
      <c r="J105" s="12">
        <f>Table14[[#This Row],[Enrolment S.Y. 2025-2026 ]]*8</f>
        <v>784</v>
      </c>
      <c r="K105" s="12">
        <v>418</v>
      </c>
      <c r="L105" s="10">
        <v>2025</v>
      </c>
      <c r="M105" s="12" t="s">
        <v>63</v>
      </c>
      <c r="N105" s="12">
        <f t="shared" si="20"/>
        <v>366</v>
      </c>
      <c r="O105" s="12">
        <f t="shared" si="21"/>
        <v>0</v>
      </c>
      <c r="P105" s="12">
        <f>Table14[[#This Row],[Enrolment S.Y. 2025-2026 ]]*8</f>
        <v>784</v>
      </c>
      <c r="Q105" s="12"/>
      <c r="R105" s="10"/>
      <c r="S105" s="12"/>
      <c r="T105" s="12">
        <f t="shared" si="16"/>
        <v>784</v>
      </c>
      <c r="U105" s="12">
        <f t="shared" si="17"/>
        <v>0</v>
      </c>
      <c r="V105" s="12">
        <f>Table14[[#This Row],[Enrolment S.Y. 2025-2026 ]]*8</f>
        <v>784</v>
      </c>
      <c r="W105" s="12"/>
      <c r="X105" s="10"/>
      <c r="Y105" s="12"/>
      <c r="Z105" s="12">
        <f t="shared" si="18"/>
        <v>784</v>
      </c>
      <c r="AA105" s="12">
        <f t="shared" si="19"/>
        <v>0</v>
      </c>
    </row>
    <row r="106" spans="1:27" ht="20.2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20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20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103:F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M103:M113 S103:S113 Y115:Y122 G115:G122 M115:M122 S115:S122 G103:G113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M115:M122 Y103:Y113 S103:S113 M103:M113 G103:G113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357942B-9C44-4F94-9EF3-22C6B48F3C10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2026-03-06T03:34:46Z</dcterms:modified>
  <cp:category/>
  <cp:contentStatus/>
</cp:coreProperties>
</file>