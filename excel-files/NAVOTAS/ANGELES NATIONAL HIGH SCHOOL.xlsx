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4" documentId="13_ncr:1_{BFB59F67-F0DC-4675-A682-EB0734A8026A}" xr6:coauthVersionLast="47" xr6:coauthVersionMax="47" xr10:uidLastSave="{235897B1-3E00-4DFF-BDF9-5F181DD253E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5" l="1"/>
  <c r="N29" i="5"/>
  <c r="P45" i="5"/>
  <c r="T45" i="5"/>
  <c r="P46" i="5"/>
  <c r="U46" i="5"/>
  <c r="P47" i="5"/>
  <c r="P48" i="5"/>
  <c r="P49" i="5"/>
  <c r="P33" i="5"/>
  <c r="T33" i="5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/>
  <c r="J48" i="5"/>
  <c r="U48" i="5"/>
  <c r="T48" i="5"/>
  <c r="V48" i="5"/>
  <c r="Z48" i="5"/>
  <c r="D45" i="5"/>
  <c r="H45" i="5"/>
  <c r="J45" i="5"/>
  <c r="U45" i="5"/>
  <c r="V45" i="5"/>
  <c r="Z45" i="5"/>
  <c r="D24" i="5"/>
  <c r="H24" i="5"/>
  <c r="J24" i="5"/>
  <c r="T24" i="5"/>
  <c r="V24" i="5"/>
  <c r="Z24" i="5"/>
  <c r="D36" i="5"/>
  <c r="H36" i="5"/>
  <c r="J36" i="5"/>
  <c r="T36" i="5"/>
  <c r="V36" i="5"/>
  <c r="Z36" i="5"/>
  <c r="D33" i="5"/>
  <c r="H33" i="5"/>
  <c r="J33" i="5"/>
  <c r="V33" i="5"/>
  <c r="Z33" i="5"/>
  <c r="D21" i="5"/>
  <c r="H21" i="5"/>
  <c r="J21" i="5"/>
  <c r="T21" i="5"/>
  <c r="V21" i="5"/>
  <c r="Z21" i="5"/>
  <c r="D12" i="5"/>
  <c r="H12" i="5"/>
  <c r="J12" i="5"/>
  <c r="T12" i="5"/>
  <c r="V12" i="5"/>
  <c r="Z12" i="5"/>
  <c r="D9" i="5"/>
  <c r="H9" i="5"/>
  <c r="J9" i="5"/>
  <c r="T9" i="5"/>
  <c r="V9" i="5"/>
  <c r="Z9" i="5"/>
  <c r="V58" i="5"/>
  <c r="AA58" i="5"/>
  <c r="P58" i="5"/>
  <c r="T58" i="5"/>
  <c r="J58" i="5"/>
  <c r="O58" i="5"/>
  <c r="D58" i="5"/>
  <c r="I58" i="5"/>
  <c r="V57" i="5"/>
  <c r="Z57" i="5"/>
  <c r="P57" i="5"/>
  <c r="J57" i="5"/>
  <c r="N57" i="5"/>
  <c r="D57" i="5"/>
  <c r="I57" i="5"/>
  <c r="V56" i="5"/>
  <c r="AA56" i="5"/>
  <c r="P56" i="5"/>
  <c r="U56" i="5"/>
  <c r="J56" i="5"/>
  <c r="O56" i="5"/>
  <c r="D56" i="5"/>
  <c r="I56" i="5"/>
  <c r="V55" i="5"/>
  <c r="Z55" i="5"/>
  <c r="P55" i="5"/>
  <c r="J55" i="5"/>
  <c r="N55" i="5"/>
  <c r="D55" i="5"/>
  <c r="I55" i="5"/>
  <c r="V54" i="5"/>
  <c r="AA54" i="5"/>
  <c r="P54" i="5"/>
  <c r="U54" i="5"/>
  <c r="J54" i="5"/>
  <c r="O54" i="5"/>
  <c r="D54" i="5"/>
  <c r="I54" i="5"/>
  <c r="V53" i="5"/>
  <c r="Z53" i="5"/>
  <c r="P53" i="5"/>
  <c r="J53" i="5"/>
  <c r="N53" i="5"/>
  <c r="D53" i="5"/>
  <c r="I53" i="5"/>
  <c r="V52" i="5"/>
  <c r="AA52" i="5"/>
  <c r="P52" i="5"/>
  <c r="U52" i="5"/>
  <c r="J52" i="5"/>
  <c r="O52" i="5"/>
  <c r="D52" i="5"/>
  <c r="I52" i="5"/>
  <c r="V51" i="5"/>
  <c r="Z51" i="5"/>
  <c r="P51" i="5"/>
  <c r="J51" i="5"/>
  <c r="N51" i="5"/>
  <c r="D51" i="5"/>
  <c r="I51" i="5"/>
  <c r="V49" i="5"/>
  <c r="AA49" i="5"/>
  <c r="U49" i="5"/>
  <c r="J49" i="5"/>
  <c r="D49" i="5"/>
  <c r="I49" i="5"/>
  <c r="V47" i="5"/>
  <c r="Z47" i="5"/>
  <c r="J47" i="5"/>
  <c r="D47" i="5"/>
  <c r="I47" i="5"/>
  <c r="V46" i="5"/>
  <c r="AA46" i="5"/>
  <c r="J46" i="5"/>
  <c r="D46" i="5"/>
  <c r="I46" i="5"/>
  <c r="V44" i="5"/>
  <c r="Z44" i="5"/>
  <c r="P44" i="5"/>
  <c r="J44" i="5"/>
  <c r="N44" i="5"/>
  <c r="D44" i="5"/>
  <c r="I44" i="5"/>
  <c r="V43" i="5"/>
  <c r="AA43" i="5"/>
  <c r="P43" i="5"/>
  <c r="U43" i="5"/>
  <c r="J43" i="5"/>
  <c r="O43" i="5"/>
  <c r="D43" i="5"/>
  <c r="I43" i="5"/>
  <c r="V42" i="5"/>
  <c r="Z42" i="5"/>
  <c r="P42" i="5"/>
  <c r="J42" i="5"/>
  <c r="N42" i="5"/>
  <c r="D42" i="5"/>
  <c r="I42" i="5"/>
  <c r="V41" i="5"/>
  <c r="AA41" i="5"/>
  <c r="P41" i="5"/>
  <c r="U41" i="5"/>
  <c r="J41" i="5"/>
  <c r="O41" i="5"/>
  <c r="D41" i="5"/>
  <c r="I41" i="5"/>
  <c r="V40" i="5"/>
  <c r="AA40" i="5"/>
  <c r="P40" i="5"/>
  <c r="J40" i="5"/>
  <c r="N40" i="5"/>
  <c r="D40" i="5"/>
  <c r="I40" i="5"/>
  <c r="V39" i="5"/>
  <c r="AA39" i="5"/>
  <c r="P39" i="5"/>
  <c r="U39" i="5"/>
  <c r="J39" i="5"/>
  <c r="O39" i="5"/>
  <c r="D39" i="5"/>
  <c r="I39" i="5"/>
  <c r="V37" i="5"/>
  <c r="AA37" i="5"/>
  <c r="J37" i="5"/>
  <c r="D37" i="5"/>
  <c r="I37" i="5"/>
  <c r="V35" i="5"/>
  <c r="AA35" i="5"/>
  <c r="U35" i="5"/>
  <c r="J35" i="5"/>
  <c r="D35" i="5"/>
  <c r="I35" i="5"/>
  <c r="V34" i="5"/>
  <c r="AA34" i="5"/>
  <c r="J34" i="5"/>
  <c r="D34" i="5"/>
  <c r="I34" i="5"/>
  <c r="V32" i="5"/>
  <c r="AA32" i="5"/>
  <c r="P32" i="5"/>
  <c r="U32" i="5"/>
  <c r="J32" i="5"/>
  <c r="O32" i="5"/>
  <c r="D32" i="5"/>
  <c r="I32" i="5"/>
  <c r="V31" i="5"/>
  <c r="AA31" i="5"/>
  <c r="P31" i="5"/>
  <c r="J31" i="5"/>
  <c r="N31" i="5"/>
  <c r="D31" i="5"/>
  <c r="H31" i="5"/>
  <c r="V30" i="5"/>
  <c r="AA30" i="5"/>
  <c r="P30" i="5"/>
  <c r="U30" i="5"/>
  <c r="J30" i="5"/>
  <c r="O30" i="5"/>
  <c r="D30" i="5"/>
  <c r="H30" i="5"/>
  <c r="V29" i="5"/>
  <c r="AA29" i="5"/>
  <c r="P29" i="5"/>
  <c r="D29" i="5"/>
  <c r="I29" i="5"/>
  <c r="V28" i="5"/>
  <c r="AA28" i="5"/>
  <c r="P28" i="5"/>
  <c r="U28" i="5"/>
  <c r="J28" i="5"/>
  <c r="O28" i="5"/>
  <c r="D28" i="5"/>
  <c r="I28" i="5"/>
  <c r="V27" i="5"/>
  <c r="AA27" i="5"/>
  <c r="P27" i="5"/>
  <c r="J27" i="5"/>
  <c r="N27" i="5"/>
  <c r="D27" i="5"/>
  <c r="I27" i="5"/>
  <c r="V25" i="5"/>
  <c r="AA25" i="5"/>
  <c r="U25" i="5"/>
  <c r="J25" i="5"/>
  <c r="D25" i="5"/>
  <c r="I25" i="5"/>
  <c r="V23" i="5"/>
  <c r="AA23" i="5"/>
  <c r="J23" i="5"/>
  <c r="D23" i="5"/>
  <c r="I23" i="5"/>
  <c r="V22" i="5"/>
  <c r="AA22" i="5"/>
  <c r="U22" i="5"/>
  <c r="J22" i="5"/>
  <c r="D22" i="5"/>
  <c r="I22" i="5"/>
  <c r="V20" i="5"/>
  <c r="AA20" i="5"/>
  <c r="J20" i="5"/>
  <c r="D20" i="5"/>
  <c r="I20" i="5"/>
  <c r="V19" i="5"/>
  <c r="AA19" i="5"/>
  <c r="P19" i="5"/>
  <c r="U19" i="5"/>
  <c r="J19" i="5"/>
  <c r="O19" i="5"/>
  <c r="D19" i="5"/>
  <c r="I19" i="5"/>
  <c r="V18" i="5"/>
  <c r="Z18" i="5"/>
  <c r="P18" i="5"/>
  <c r="J18" i="5"/>
  <c r="N18" i="5"/>
  <c r="D18" i="5"/>
  <c r="I18" i="5"/>
  <c r="V17" i="5"/>
  <c r="AA17" i="5"/>
  <c r="P17" i="5"/>
  <c r="U17" i="5"/>
  <c r="J17" i="5"/>
  <c r="O17" i="5"/>
  <c r="D17" i="5"/>
  <c r="I17" i="5"/>
  <c r="V16" i="5"/>
  <c r="AA16" i="5"/>
  <c r="P16" i="5"/>
  <c r="U16" i="5"/>
  <c r="J16" i="5"/>
  <c r="N16" i="5"/>
  <c r="D16" i="5"/>
  <c r="I16" i="5"/>
  <c r="V15" i="5"/>
  <c r="AA15" i="5"/>
  <c r="P15" i="5"/>
  <c r="U15" i="5"/>
  <c r="J15" i="5"/>
  <c r="D15" i="5"/>
  <c r="I15" i="5"/>
  <c r="V13" i="5"/>
  <c r="AA13" i="5"/>
  <c r="U13" i="5"/>
  <c r="J13" i="5"/>
  <c r="D13" i="5"/>
  <c r="I13" i="5"/>
  <c r="V11" i="5"/>
  <c r="AA11" i="5"/>
  <c r="U11" i="5"/>
  <c r="J11" i="5"/>
  <c r="D11" i="5"/>
  <c r="H11" i="5"/>
  <c r="V10" i="5"/>
  <c r="Z10" i="5"/>
  <c r="U10" i="5"/>
  <c r="J10" i="5"/>
  <c r="D10" i="5"/>
  <c r="I10" i="5"/>
  <c r="V8" i="5"/>
  <c r="Z8" i="5"/>
  <c r="U8" i="5"/>
  <c r="J8" i="5"/>
  <c r="D8" i="5"/>
  <c r="I8" i="5"/>
  <c r="V7" i="5"/>
  <c r="AA7" i="5"/>
  <c r="U7" i="5"/>
  <c r="J7" i="5"/>
  <c r="D7" i="5"/>
  <c r="H7" i="5"/>
  <c r="V6" i="5"/>
  <c r="AA6" i="5"/>
  <c r="P6" i="5"/>
  <c r="U6" i="5"/>
  <c r="J6" i="5"/>
  <c r="D6" i="5"/>
  <c r="H6" i="5"/>
  <c r="V5" i="5"/>
  <c r="AA5" i="5"/>
  <c r="P5" i="5"/>
  <c r="U5" i="5"/>
  <c r="J5" i="5"/>
  <c r="N5" i="5"/>
  <c r="D5" i="5"/>
  <c r="I5" i="5"/>
  <c r="V4" i="5"/>
  <c r="AA4" i="5"/>
  <c r="P4" i="5"/>
  <c r="U4" i="5"/>
  <c r="J4" i="5"/>
  <c r="D4" i="5"/>
  <c r="I4" i="5"/>
  <c r="V3" i="5"/>
  <c r="AA3" i="5"/>
  <c r="P3" i="5"/>
  <c r="U3" i="5"/>
  <c r="J3" i="5"/>
  <c r="N3" i="5"/>
  <c r="D3" i="5"/>
  <c r="I3" i="5"/>
  <c r="V3" i="4"/>
  <c r="Z3" i="4"/>
  <c r="V4" i="4"/>
  <c r="Z4" i="4"/>
  <c r="V5" i="4"/>
  <c r="AA5" i="4"/>
  <c r="V6" i="4"/>
  <c r="Z6" i="4"/>
  <c r="V7" i="4"/>
  <c r="Z7" i="4"/>
  <c r="V8" i="4"/>
  <c r="Z8" i="4"/>
  <c r="V9" i="4"/>
  <c r="AA9" i="4"/>
  <c r="V10" i="4"/>
  <c r="Z10" i="4"/>
  <c r="V11" i="4"/>
  <c r="Z11" i="4"/>
  <c r="V13" i="4"/>
  <c r="Z13" i="4"/>
  <c r="V14" i="4"/>
  <c r="AA14" i="4"/>
  <c r="V15" i="4"/>
  <c r="Z15" i="4"/>
  <c r="V16" i="4"/>
  <c r="Z16" i="4"/>
  <c r="V17" i="4"/>
  <c r="Z17" i="4"/>
  <c r="V18" i="4"/>
  <c r="AA18" i="4"/>
  <c r="V19" i="4"/>
  <c r="Z19" i="4"/>
  <c r="V20" i="4"/>
  <c r="AA20" i="4"/>
  <c r="V21" i="4"/>
  <c r="Z21" i="4"/>
  <c r="V23" i="4"/>
  <c r="AA23" i="4"/>
  <c r="V24" i="4"/>
  <c r="Z24" i="4"/>
  <c r="V25" i="4"/>
  <c r="Z25" i="4"/>
  <c r="V26" i="4"/>
  <c r="Z26" i="4"/>
  <c r="V27" i="4"/>
  <c r="AA27" i="4"/>
  <c r="V28" i="4"/>
  <c r="Z28" i="4"/>
  <c r="V29" i="4"/>
  <c r="Z29" i="4"/>
  <c r="V30" i="4"/>
  <c r="Z30" i="4"/>
  <c r="V31" i="4"/>
  <c r="AA31" i="4"/>
  <c r="V33" i="4"/>
  <c r="V34" i="4"/>
  <c r="Z34" i="4"/>
  <c r="V35" i="4"/>
  <c r="Z35" i="4"/>
  <c r="V36" i="4"/>
  <c r="AA36" i="4"/>
  <c r="V37" i="4"/>
  <c r="Z37" i="4"/>
  <c r="V38" i="4"/>
  <c r="Z38" i="4"/>
  <c r="V39" i="4"/>
  <c r="Z39" i="4"/>
  <c r="V40" i="4"/>
  <c r="AA40" i="4"/>
  <c r="V41" i="4"/>
  <c r="V43" i="4"/>
  <c r="Z43" i="4"/>
  <c r="V44" i="4"/>
  <c r="Z44" i="4"/>
  <c r="V45" i="4"/>
  <c r="AA45" i="4"/>
  <c r="V46" i="4"/>
  <c r="Z46" i="4"/>
  <c r="V47" i="4"/>
  <c r="Z47" i="4"/>
  <c r="V48" i="4"/>
  <c r="Z48" i="4"/>
  <c r="V49" i="4"/>
  <c r="AA49" i="4"/>
  <c r="V50" i="4"/>
  <c r="P3" i="4"/>
  <c r="P4" i="4"/>
  <c r="U4" i="4"/>
  <c r="P5" i="4"/>
  <c r="T5" i="4"/>
  <c r="P6" i="4"/>
  <c r="T6" i="4"/>
  <c r="P7" i="4"/>
  <c r="P8" i="4"/>
  <c r="T8" i="4"/>
  <c r="P9" i="4"/>
  <c r="T9" i="4"/>
  <c r="P10" i="4"/>
  <c r="T10" i="4"/>
  <c r="P11" i="4"/>
  <c r="P13" i="4"/>
  <c r="U13" i="4"/>
  <c r="P14" i="4"/>
  <c r="T14" i="4"/>
  <c r="P15" i="4"/>
  <c r="T15" i="4"/>
  <c r="P16" i="4"/>
  <c r="P17" i="4"/>
  <c r="T17" i="4"/>
  <c r="P18" i="4"/>
  <c r="T18" i="4"/>
  <c r="P19" i="4"/>
  <c r="T19" i="4"/>
  <c r="P20" i="4"/>
  <c r="P21" i="4"/>
  <c r="U21" i="4"/>
  <c r="P23" i="4"/>
  <c r="T23" i="4"/>
  <c r="P24" i="4"/>
  <c r="T24" i="4"/>
  <c r="P25" i="4"/>
  <c r="P26" i="4"/>
  <c r="T26" i="4"/>
  <c r="P27" i="4"/>
  <c r="T27" i="4"/>
  <c r="P28" i="4"/>
  <c r="T28" i="4"/>
  <c r="P29" i="4"/>
  <c r="P30" i="4"/>
  <c r="U30" i="4"/>
  <c r="P31" i="4"/>
  <c r="T31" i="4"/>
  <c r="P33" i="4"/>
  <c r="T33" i="4"/>
  <c r="P34" i="4"/>
  <c r="P35" i="4"/>
  <c r="T35" i="4"/>
  <c r="P36" i="4"/>
  <c r="T36" i="4"/>
  <c r="P37" i="4"/>
  <c r="T37" i="4"/>
  <c r="P38" i="4"/>
  <c r="P39" i="4"/>
  <c r="U39" i="4"/>
  <c r="P40" i="4"/>
  <c r="T40" i="4"/>
  <c r="P41" i="4"/>
  <c r="T41" i="4"/>
  <c r="P43" i="4"/>
  <c r="P44" i="4"/>
  <c r="U44" i="4"/>
  <c r="P45" i="4"/>
  <c r="T45" i="4"/>
  <c r="P46" i="4"/>
  <c r="T46" i="4"/>
  <c r="P47" i="4"/>
  <c r="P48" i="4"/>
  <c r="U48" i="4"/>
  <c r="P49" i="4"/>
  <c r="T49" i="4"/>
  <c r="P50" i="4"/>
  <c r="T50" i="4"/>
  <c r="J3" i="4"/>
  <c r="N3" i="4"/>
  <c r="J4" i="4"/>
  <c r="O4" i="4"/>
  <c r="J5" i="4"/>
  <c r="O5" i="4"/>
  <c r="J6" i="4"/>
  <c r="N6" i="4"/>
  <c r="J7" i="4"/>
  <c r="N7" i="4"/>
  <c r="J8" i="4"/>
  <c r="N8" i="4"/>
  <c r="J9" i="4"/>
  <c r="O9" i="4"/>
  <c r="J10" i="4"/>
  <c r="N10" i="4"/>
  <c r="J11" i="4"/>
  <c r="N11" i="4"/>
  <c r="J13" i="4"/>
  <c r="O13" i="4"/>
  <c r="J14" i="4"/>
  <c r="O14" i="4"/>
  <c r="J15" i="4"/>
  <c r="N15" i="4"/>
  <c r="J16" i="4"/>
  <c r="N16" i="4"/>
  <c r="J17" i="4"/>
  <c r="N17" i="4"/>
  <c r="J18" i="4"/>
  <c r="O18" i="4"/>
  <c r="J19" i="4"/>
  <c r="N19" i="4"/>
  <c r="J20" i="4"/>
  <c r="N20" i="4"/>
  <c r="J21" i="4"/>
  <c r="O21" i="4"/>
  <c r="J23" i="4"/>
  <c r="O23" i="4"/>
  <c r="J24" i="4"/>
  <c r="N24" i="4"/>
  <c r="J25" i="4"/>
  <c r="N25" i="4"/>
  <c r="J26" i="4"/>
  <c r="N26" i="4"/>
  <c r="J27" i="4"/>
  <c r="O27" i="4"/>
  <c r="J28" i="4"/>
  <c r="N28" i="4"/>
  <c r="J29" i="4"/>
  <c r="N29" i="4"/>
  <c r="J30" i="4"/>
  <c r="O30" i="4"/>
  <c r="J31" i="4"/>
  <c r="O31" i="4"/>
  <c r="J33" i="4"/>
  <c r="N33" i="4"/>
  <c r="J34" i="4"/>
  <c r="N34" i="4"/>
  <c r="J35" i="4"/>
  <c r="N35" i="4"/>
  <c r="J36" i="4"/>
  <c r="O36" i="4"/>
  <c r="J37" i="4"/>
  <c r="N37" i="4"/>
  <c r="J38" i="4"/>
  <c r="N38" i="4"/>
  <c r="J39" i="4"/>
  <c r="O39" i="4"/>
  <c r="J40" i="4"/>
  <c r="O40" i="4"/>
  <c r="J41" i="4"/>
  <c r="N41" i="4"/>
  <c r="J43" i="4"/>
  <c r="N43" i="4"/>
  <c r="J44" i="4"/>
  <c r="N44" i="4"/>
  <c r="J45" i="4"/>
  <c r="O45" i="4"/>
  <c r="J46" i="4"/>
  <c r="N46" i="4"/>
  <c r="J47" i="4"/>
  <c r="N47" i="4"/>
  <c r="J48" i="4"/>
  <c r="O48" i="4"/>
  <c r="J49" i="4"/>
  <c r="O49" i="4"/>
  <c r="J50" i="4"/>
  <c r="N50" i="4"/>
  <c r="D3" i="4"/>
  <c r="H3" i="4"/>
  <c r="D4" i="4"/>
  <c r="H4" i="4"/>
  <c r="D5" i="4"/>
  <c r="D6" i="4"/>
  <c r="D7" i="4"/>
  <c r="I7" i="4"/>
  <c r="D8" i="4"/>
  <c r="I8" i="4"/>
  <c r="D9" i="4"/>
  <c r="H9" i="4"/>
  <c r="D10" i="4"/>
  <c r="H10" i="4"/>
  <c r="D11" i="4"/>
  <c r="H11" i="4"/>
  <c r="D13" i="4"/>
  <c r="H13" i="4"/>
  <c r="D14" i="4"/>
  <c r="D15" i="4"/>
  <c r="D16" i="4"/>
  <c r="I16" i="4"/>
  <c r="D17" i="4"/>
  <c r="I17" i="4"/>
  <c r="D18" i="4"/>
  <c r="I18" i="4"/>
  <c r="D19" i="4"/>
  <c r="I19" i="4"/>
  <c r="D20" i="4"/>
  <c r="H20" i="4"/>
  <c r="D21" i="4"/>
  <c r="H21" i="4"/>
  <c r="D23" i="4"/>
  <c r="D24" i="4"/>
  <c r="D25" i="4"/>
  <c r="I25" i="4"/>
  <c r="D26" i="4"/>
  <c r="I26" i="4"/>
  <c r="D27" i="4"/>
  <c r="H27" i="4"/>
  <c r="D28" i="4"/>
  <c r="H28" i="4"/>
  <c r="D29" i="4"/>
  <c r="H29" i="4"/>
  <c r="D30" i="4"/>
  <c r="H30" i="4"/>
  <c r="D31" i="4"/>
  <c r="I31" i="4"/>
  <c r="D33" i="4"/>
  <c r="D34" i="4"/>
  <c r="I34" i="4"/>
  <c r="D35" i="4"/>
  <c r="I35" i="4"/>
  <c r="D36" i="4"/>
  <c r="I36" i="4"/>
  <c r="D37" i="4"/>
  <c r="I37" i="4"/>
  <c r="D38" i="4"/>
  <c r="I38" i="4"/>
  <c r="D39" i="4"/>
  <c r="H39" i="4"/>
  <c r="D40" i="4"/>
  <c r="I40" i="4"/>
  <c r="D41" i="4"/>
  <c r="I41" i="4"/>
  <c r="D43" i="4"/>
  <c r="I43" i="4"/>
  <c r="D44" i="4"/>
  <c r="I44" i="4"/>
  <c r="D45" i="4"/>
  <c r="H45" i="4"/>
  <c r="D46" i="4"/>
  <c r="H46" i="4"/>
  <c r="D47" i="4"/>
  <c r="I47" i="4"/>
  <c r="D48" i="4"/>
  <c r="H48" i="4"/>
  <c r="D49" i="4"/>
  <c r="I49" i="4"/>
  <c r="D50" i="4"/>
  <c r="I50" i="4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<sst xmlns="http://schemas.openxmlformats.org/spreadsheetml/2006/main" count="260" uniqueCount="85">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</sst>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57" zoomScale="85" zoomScaleNormal="85" workbookViewId="0">
      <pane xSplit="2" topLeftCell="C41" activePane="topRight" state="frozen"/>
      <selection pane="topRight" activeCell="E100" sqref="E100"/>
      <selection activeCell="A57" sqref="A57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208</v>
      </c>
      <c r="D2" s="8">
        <v>131</v>
      </c>
      <c r="E2" s="8">
        <v>2025</v>
      </c>
      <c r="F2" s="10" t="s">
        <v>9</v>
      </c>
      <c r="G2" s="2">
        <f t="shared" ref="G2:G10" si="0">IF((C2-D2)&lt;0,0,C2-D2)</f>
        <v>77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10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208</v>
      </c>
      <c r="D4" s="8">
        <v>131</v>
      </c>
      <c r="E4" s="8">
        <v>2024</v>
      </c>
      <c r="F4" s="10" t="s">
        <v>9</v>
      </c>
      <c r="G4" s="2">
        <f t="shared" si="0"/>
        <v>77</v>
      </c>
      <c r="H4" s="3">
        <f t="shared" si="1"/>
        <v>0</v>
      </c>
    </row>
    <row r="5" spans="1:8" ht="25.5" customHeight="1">
      <c r="A5" s="8">
        <v>7</v>
      </c>
      <c r="B5" s="9" t="s">
        <v>12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208</v>
      </c>
      <c r="D6" s="8">
        <v>131</v>
      </c>
      <c r="E6" s="8">
        <v>2025</v>
      </c>
      <c r="F6" s="10" t="s">
        <v>9</v>
      </c>
      <c r="G6" s="2">
        <f t="shared" si="0"/>
        <v>77</v>
      </c>
      <c r="H6" s="3">
        <f t="shared" si="1"/>
        <v>0</v>
      </c>
    </row>
    <row r="7" spans="1:8" ht="19.5">
      <c r="A7" s="8">
        <v>7</v>
      </c>
      <c r="B7" s="9" t="s">
        <v>14</v>
      </c>
      <c r="C7" s="8">
        <v>208</v>
      </c>
      <c r="D7" s="8">
        <v>131</v>
      </c>
      <c r="E7" s="8">
        <v>2024</v>
      </c>
      <c r="F7" s="10" t="s">
        <v>9</v>
      </c>
      <c r="G7" s="2">
        <f t="shared" si="0"/>
        <v>77</v>
      </c>
      <c r="H7" s="3">
        <f t="shared" si="1"/>
        <v>0</v>
      </c>
    </row>
    <row r="8" spans="1:8" ht="39.75" customHeight="1">
      <c r="A8" s="8">
        <v>7</v>
      </c>
      <c r="B8" s="9" t="s">
        <v>15</v>
      </c>
      <c r="C8" s="8">
        <v>208</v>
      </c>
      <c r="D8" s="8">
        <v>131</v>
      </c>
      <c r="E8" s="8">
        <v>2025</v>
      </c>
      <c r="F8" s="10" t="s">
        <v>9</v>
      </c>
      <c r="G8" s="2">
        <f t="shared" si="0"/>
        <v>77</v>
      </c>
      <c r="H8" s="3">
        <f t="shared" si="1"/>
        <v>0</v>
      </c>
    </row>
    <row r="9" spans="1:8" ht="29.25" customHeight="1">
      <c r="A9" s="8">
        <v>7</v>
      </c>
      <c r="B9" s="9" t="s">
        <v>16</v>
      </c>
      <c r="C9" s="8">
        <v>208</v>
      </c>
      <c r="D9" s="8">
        <v>131</v>
      </c>
      <c r="E9" s="8">
        <v>2025</v>
      </c>
      <c r="F9" s="10" t="s">
        <v>9</v>
      </c>
      <c r="G9" s="2">
        <f t="shared" si="0"/>
        <v>77</v>
      </c>
      <c r="H9" s="3">
        <f t="shared" si="1"/>
        <v>0</v>
      </c>
    </row>
    <row r="10" spans="1:8" ht="28.5" customHeight="1">
      <c r="A10" s="8">
        <v>7</v>
      </c>
      <c r="B10" s="9" t="s">
        <v>17</v>
      </c>
      <c r="C10" s="8">
        <v>208</v>
      </c>
      <c r="D10" s="8">
        <v>131</v>
      </c>
      <c r="E10" s="8">
        <v>2025</v>
      </c>
      <c r="F10" s="10" t="s">
        <v>9</v>
      </c>
      <c r="G10" s="2">
        <f t="shared" si="0"/>
        <v>77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171</v>
      </c>
      <c r="D14" s="8">
        <v>110</v>
      </c>
      <c r="E14" s="8">
        <v>2025</v>
      </c>
      <c r="F14" s="10" t="s">
        <v>9</v>
      </c>
      <c r="G14" s="2">
        <f t="shared" si="2"/>
        <v>61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>
        <v>171</v>
      </c>
      <c r="D15" s="8">
        <v>110</v>
      </c>
      <c r="E15" s="8">
        <v>2025</v>
      </c>
      <c r="F15" s="10" t="s">
        <v>9</v>
      </c>
      <c r="G15" s="2">
        <f t="shared" si="2"/>
        <v>61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42:F49 F12:F20 F22:F30 F32:F40 F2:F1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zoomScale="70" zoomScaleNormal="70" workbookViewId="0">
      <selection activeCell="AC73" sqref="AC73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0" t="s">
        <v>41</v>
      </c>
      <c r="N2" s="30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1" t="s">
        <v>53</v>
      </c>
      <c r="Z2" s="31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171</v>
      </c>
      <c r="D13" s="10">
        <f>Table1[[#This Row],[Enrolment S.Y. 2025-2026 ]]*8</f>
        <v>1368</v>
      </c>
      <c r="E13" s="10">
        <v>464</v>
      </c>
      <c r="F13" s="8">
        <v>2025</v>
      </c>
      <c r="G13" s="10" t="s">
        <v>56</v>
      </c>
      <c r="H13" s="10">
        <f t="shared" si="0"/>
        <v>904</v>
      </c>
      <c r="I13" s="10">
        <f t="shared" si="1"/>
        <v>0</v>
      </c>
      <c r="J13" s="10">
        <f>Table1[[#This Row],[Enrolment S.Y. 2025-2026 ]]*8</f>
        <v>1368</v>
      </c>
      <c r="K13" s="10"/>
      <c r="L13" s="8"/>
      <c r="M13" s="10"/>
      <c r="N13" s="10">
        <f t="shared" si="8"/>
        <v>1368</v>
      </c>
      <c r="O13" s="10">
        <f t="shared" si="9"/>
        <v>0</v>
      </c>
      <c r="P13" s="10">
        <f>Table1[[#This Row],[Enrolment S.Y. 2025-2026 ]]*8</f>
        <v>1368</v>
      </c>
      <c r="Q13" s="10"/>
      <c r="R13" s="8"/>
      <c r="S13" s="10"/>
      <c r="T13" s="10">
        <f t="shared" si="10"/>
        <v>1368</v>
      </c>
      <c r="U13" s="10">
        <f t="shared" si="11"/>
        <v>0</v>
      </c>
      <c r="V13" s="10">
        <f>Table1[[#This Row],[Enrolment S.Y. 2025-2026 ]]*8</f>
        <v>1368</v>
      </c>
      <c r="W13" s="10"/>
      <c r="X13" s="8"/>
      <c r="Y13" s="10"/>
      <c r="Z13" s="10">
        <f t="shared" si="12"/>
        <v>1368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171</v>
      </c>
      <c r="D14" s="10">
        <f>Table1[[#This Row],[Enrolment S.Y. 2025-2026 ]]*8</f>
        <v>1368</v>
      </c>
      <c r="E14" s="10">
        <v>464</v>
      </c>
      <c r="F14" s="8">
        <v>2025</v>
      </c>
      <c r="G14" s="10" t="s">
        <v>56</v>
      </c>
      <c r="H14" s="10">
        <f t="shared" si="0"/>
        <v>904</v>
      </c>
      <c r="I14" s="10">
        <f t="shared" si="1"/>
        <v>0</v>
      </c>
      <c r="J14" s="10">
        <f>Table1[[#This Row],[Enrolment S.Y. 2025-2026 ]]*8</f>
        <v>1368</v>
      </c>
      <c r="K14" s="10"/>
      <c r="L14" s="8"/>
      <c r="M14" s="10"/>
      <c r="N14" s="10">
        <f t="shared" si="8"/>
        <v>1368</v>
      </c>
      <c r="O14" s="10">
        <f t="shared" si="9"/>
        <v>0</v>
      </c>
      <c r="P14" s="10">
        <f>Table1[[#This Row],[Enrolment S.Y. 2025-2026 ]]*8</f>
        <v>1368</v>
      </c>
      <c r="Q14" s="10"/>
      <c r="R14" s="8"/>
      <c r="S14" s="10"/>
      <c r="T14" s="10">
        <f t="shared" si="10"/>
        <v>1368</v>
      </c>
      <c r="U14" s="10">
        <f t="shared" si="11"/>
        <v>0</v>
      </c>
      <c r="V14" s="10">
        <f>Table1[[#This Row],[Enrolment S.Y. 2025-2026 ]]*8</f>
        <v>1368</v>
      </c>
      <c r="W14" s="10"/>
      <c r="X14" s="8"/>
      <c r="Y14" s="10"/>
      <c r="Z14" s="10">
        <f t="shared" si="12"/>
        <v>1368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171</v>
      </c>
      <c r="D15" s="10">
        <f>Table1[[#This Row],[Enrolment S.Y. 2025-2026 ]]*8</f>
        <v>1368</v>
      </c>
      <c r="E15" s="10">
        <v>464</v>
      </c>
      <c r="F15" s="8">
        <v>2025</v>
      </c>
      <c r="G15" s="10" t="s">
        <v>56</v>
      </c>
      <c r="H15" s="10">
        <f t="shared" si="0"/>
        <v>904</v>
      </c>
      <c r="I15" s="10">
        <f t="shared" si="1"/>
        <v>0</v>
      </c>
      <c r="J15" s="10">
        <f>Table1[[#This Row],[Enrolment S.Y. 2025-2026 ]]*8</f>
        <v>1368</v>
      </c>
      <c r="K15" s="10"/>
      <c r="L15" s="8"/>
      <c r="M15" s="10"/>
      <c r="N15" s="10">
        <f t="shared" si="8"/>
        <v>1368</v>
      </c>
      <c r="O15" s="10">
        <f t="shared" si="9"/>
        <v>0</v>
      </c>
      <c r="P15" s="10">
        <f>Table1[[#This Row],[Enrolment S.Y. 2025-2026 ]]*8</f>
        <v>1368</v>
      </c>
      <c r="Q15" s="10"/>
      <c r="R15" s="8"/>
      <c r="S15" s="10"/>
      <c r="T15" s="10">
        <f t="shared" si="10"/>
        <v>1368</v>
      </c>
      <c r="U15" s="10">
        <f t="shared" si="11"/>
        <v>0</v>
      </c>
      <c r="V15" s="10">
        <f>Table1[[#This Row],[Enrolment S.Y. 2025-2026 ]]*8</f>
        <v>1368</v>
      </c>
      <c r="W15" s="10"/>
      <c r="X15" s="8"/>
      <c r="Y15" s="10"/>
      <c r="Z15" s="10">
        <f t="shared" si="12"/>
        <v>1368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171</v>
      </c>
      <c r="D16" s="10">
        <f>Table1[[#This Row],[Enrolment S.Y. 2025-2026 ]]*8</f>
        <v>1368</v>
      </c>
      <c r="E16" s="10">
        <v>464</v>
      </c>
      <c r="F16" s="8">
        <v>2025</v>
      </c>
      <c r="G16" s="10" t="s">
        <v>56</v>
      </c>
      <c r="H16" s="10">
        <f t="shared" si="0"/>
        <v>904</v>
      </c>
      <c r="I16" s="10">
        <f t="shared" si="1"/>
        <v>0</v>
      </c>
      <c r="J16" s="10">
        <f>Table1[[#This Row],[Enrolment S.Y. 2025-2026 ]]*8</f>
        <v>1368</v>
      </c>
      <c r="K16" s="10"/>
      <c r="L16" s="8"/>
      <c r="M16" s="10"/>
      <c r="N16" s="10">
        <f t="shared" si="8"/>
        <v>1368</v>
      </c>
      <c r="O16" s="10">
        <f t="shared" si="9"/>
        <v>0</v>
      </c>
      <c r="P16" s="10">
        <f>Table1[[#This Row],[Enrolment S.Y. 2025-2026 ]]*8</f>
        <v>1368</v>
      </c>
      <c r="Q16" s="10"/>
      <c r="R16" s="8"/>
      <c r="S16" s="10"/>
      <c r="T16" s="10">
        <f t="shared" si="10"/>
        <v>1368</v>
      </c>
      <c r="U16" s="10">
        <f t="shared" si="11"/>
        <v>0</v>
      </c>
      <c r="V16" s="10">
        <f>Table1[[#This Row],[Enrolment S.Y. 2025-2026 ]]*8</f>
        <v>1368</v>
      </c>
      <c r="W16" s="10"/>
      <c r="X16" s="8"/>
      <c r="Y16" s="10"/>
      <c r="Z16" s="10">
        <f t="shared" si="12"/>
        <v>1368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171</v>
      </c>
      <c r="D17" s="10">
        <f>Table1[[#This Row],[Enrolment S.Y. 2025-2026 ]]*8</f>
        <v>1368</v>
      </c>
      <c r="E17" s="10">
        <v>464</v>
      </c>
      <c r="F17" s="8">
        <v>2025</v>
      </c>
      <c r="G17" s="10" t="s">
        <v>56</v>
      </c>
      <c r="H17" s="10">
        <f t="shared" si="0"/>
        <v>904</v>
      </c>
      <c r="I17" s="10">
        <f t="shared" si="1"/>
        <v>0</v>
      </c>
      <c r="J17" s="10">
        <f>Table1[[#This Row],[Enrolment S.Y. 2025-2026 ]]*8</f>
        <v>1368</v>
      </c>
      <c r="K17" s="10"/>
      <c r="L17" s="8"/>
      <c r="M17" s="10"/>
      <c r="N17" s="10">
        <f t="shared" si="8"/>
        <v>1368</v>
      </c>
      <c r="O17" s="10">
        <f t="shared" si="9"/>
        <v>0</v>
      </c>
      <c r="P17" s="10">
        <f>Table1[[#This Row],[Enrolment S.Y. 2025-2026 ]]*8</f>
        <v>1368</v>
      </c>
      <c r="Q17" s="10"/>
      <c r="R17" s="8"/>
      <c r="S17" s="10"/>
      <c r="T17" s="10">
        <f t="shared" si="10"/>
        <v>1368</v>
      </c>
      <c r="U17" s="10">
        <f t="shared" si="11"/>
        <v>0</v>
      </c>
      <c r="V17" s="10">
        <f>Table1[[#This Row],[Enrolment S.Y. 2025-2026 ]]*8</f>
        <v>1368</v>
      </c>
      <c r="W17" s="10"/>
      <c r="X17" s="8"/>
      <c r="Y17" s="10"/>
      <c r="Z17" s="10">
        <f t="shared" si="12"/>
        <v>1368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171</v>
      </c>
      <c r="D18" s="10">
        <f>Table1[[#This Row],[Enrolment S.Y. 2025-2026 ]]*8</f>
        <v>1368</v>
      </c>
      <c r="E18" s="10">
        <v>464</v>
      </c>
      <c r="F18" s="8">
        <v>2025</v>
      </c>
      <c r="G18" s="10" t="s">
        <v>56</v>
      </c>
      <c r="H18" s="10">
        <f t="shared" ref="H18:H50" si="14">IF((D18-E18)&lt;0,0,(D18-E18))</f>
        <v>904</v>
      </c>
      <c r="I18" s="10">
        <f t="shared" ref="I18:I50" si="15">IF((E18-D18)&lt;0,0,(E18-D18))</f>
        <v>0</v>
      </c>
      <c r="J18" s="10">
        <f>Table1[[#This Row],[Enrolment S.Y. 2025-2026 ]]*8</f>
        <v>1368</v>
      </c>
      <c r="K18" s="10"/>
      <c r="L18" s="8"/>
      <c r="M18" s="10"/>
      <c r="N18" s="10">
        <f t="shared" si="8"/>
        <v>1368</v>
      </c>
      <c r="O18" s="10">
        <f t="shared" si="9"/>
        <v>0</v>
      </c>
      <c r="P18" s="10">
        <f>Table1[[#This Row],[Enrolment S.Y. 2025-2026 ]]*8</f>
        <v>1368</v>
      </c>
      <c r="Q18" s="10"/>
      <c r="R18" s="8"/>
      <c r="S18" s="10"/>
      <c r="T18" s="10">
        <f t="shared" si="10"/>
        <v>1368</v>
      </c>
      <c r="U18" s="10">
        <f t="shared" si="11"/>
        <v>0</v>
      </c>
      <c r="V18" s="10">
        <f>Table1[[#This Row],[Enrolment S.Y. 2025-2026 ]]*8</f>
        <v>1368</v>
      </c>
      <c r="W18" s="10"/>
      <c r="X18" s="8"/>
      <c r="Y18" s="10"/>
      <c r="Z18" s="10">
        <f t="shared" si="12"/>
        <v>1368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171</v>
      </c>
      <c r="D19" s="10">
        <f>Table1[[#This Row],[Enrolment S.Y. 2025-2026 ]]*8</f>
        <v>1368</v>
      </c>
      <c r="E19" s="10">
        <v>464</v>
      </c>
      <c r="F19" s="8">
        <v>2025</v>
      </c>
      <c r="G19" s="10" t="s">
        <v>56</v>
      </c>
      <c r="H19" s="10">
        <f t="shared" si="14"/>
        <v>904</v>
      </c>
      <c r="I19" s="10">
        <f t="shared" si="15"/>
        <v>0</v>
      </c>
      <c r="J19" s="10">
        <f>Table1[[#This Row],[Enrolment S.Y. 2025-2026 ]]*8</f>
        <v>1368</v>
      </c>
      <c r="K19" s="10"/>
      <c r="L19" s="8"/>
      <c r="M19" s="10"/>
      <c r="N19" s="10">
        <f t="shared" si="8"/>
        <v>1368</v>
      </c>
      <c r="O19" s="10">
        <f t="shared" si="9"/>
        <v>0</v>
      </c>
      <c r="P19" s="10">
        <f>Table1[[#This Row],[Enrolment S.Y. 2025-2026 ]]*8</f>
        <v>1368</v>
      </c>
      <c r="Q19" s="10"/>
      <c r="R19" s="8"/>
      <c r="S19" s="10"/>
      <c r="T19" s="10">
        <f t="shared" si="10"/>
        <v>1368</v>
      </c>
      <c r="U19" s="10">
        <f t="shared" si="11"/>
        <v>0</v>
      </c>
      <c r="V19" s="10">
        <f>Table1[[#This Row],[Enrolment S.Y. 2025-2026 ]]*8</f>
        <v>1368</v>
      </c>
      <c r="W19" s="10"/>
      <c r="X19" s="8"/>
      <c r="Y19" s="10"/>
      <c r="Z19" s="10">
        <f t="shared" si="12"/>
        <v>1368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171</v>
      </c>
      <c r="D20" s="10">
        <f>Table1[[#This Row],[Enrolment S.Y. 2025-2026 ]]*8</f>
        <v>1368</v>
      </c>
      <c r="E20" s="10">
        <v>464</v>
      </c>
      <c r="F20" s="8">
        <v>2025</v>
      </c>
      <c r="G20" s="10" t="s">
        <v>56</v>
      </c>
      <c r="H20" s="10">
        <f t="shared" si="14"/>
        <v>904</v>
      </c>
      <c r="I20" s="10">
        <f t="shared" si="15"/>
        <v>0</v>
      </c>
      <c r="J20" s="10">
        <f>Table1[[#This Row],[Enrolment S.Y. 2025-2026 ]]*8</f>
        <v>1368</v>
      </c>
      <c r="K20" s="10"/>
      <c r="L20" s="8"/>
      <c r="M20" s="10"/>
      <c r="N20" s="10">
        <f t="shared" si="8"/>
        <v>1368</v>
      </c>
      <c r="O20" s="10">
        <f t="shared" si="9"/>
        <v>0</v>
      </c>
      <c r="P20" s="10">
        <f>Table1[[#This Row],[Enrolment S.Y. 2025-2026 ]]*8</f>
        <v>1368</v>
      </c>
      <c r="Q20" s="10"/>
      <c r="R20" s="8"/>
      <c r="S20" s="10"/>
      <c r="T20" s="10">
        <f t="shared" si="10"/>
        <v>1368</v>
      </c>
      <c r="U20" s="10">
        <f t="shared" si="11"/>
        <v>0</v>
      </c>
      <c r="V20" s="10">
        <f>Table1[[#This Row],[Enrolment S.Y. 2025-2026 ]]*8</f>
        <v>1368</v>
      </c>
      <c r="W20" s="10"/>
      <c r="X20" s="8"/>
      <c r="Y20" s="10"/>
      <c r="Z20" s="10">
        <f t="shared" si="12"/>
        <v>1368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171</v>
      </c>
      <c r="D21" s="10">
        <f>Table1[[#This Row],[Enrolment S.Y. 2025-2026 ]]*8</f>
        <v>1368</v>
      </c>
      <c r="E21" s="10">
        <v>464</v>
      </c>
      <c r="F21" s="8">
        <v>2025</v>
      </c>
      <c r="G21" s="10" t="s">
        <v>56</v>
      </c>
      <c r="H21" s="10">
        <f t="shared" si="14"/>
        <v>904</v>
      </c>
      <c r="I21" s="10">
        <f t="shared" si="15"/>
        <v>0</v>
      </c>
      <c r="J21" s="10">
        <f>Table1[[#This Row],[Enrolment S.Y. 2025-2026 ]]*8</f>
        <v>1368</v>
      </c>
      <c r="K21" s="10"/>
      <c r="L21" s="8"/>
      <c r="M21" s="10"/>
      <c r="N21" s="10">
        <f t="shared" si="8"/>
        <v>1368</v>
      </c>
      <c r="O21" s="10">
        <f t="shared" si="9"/>
        <v>0</v>
      </c>
      <c r="P21" s="10">
        <f>Table1[[#This Row],[Enrolment S.Y. 2025-2026 ]]*8</f>
        <v>1368</v>
      </c>
      <c r="Q21" s="10"/>
      <c r="R21" s="8"/>
      <c r="S21" s="10"/>
      <c r="T21" s="10">
        <f t="shared" si="10"/>
        <v>1368</v>
      </c>
      <c r="U21" s="10">
        <f t="shared" si="11"/>
        <v>0</v>
      </c>
      <c r="V21" s="10">
        <f>Table1[[#This Row],[Enrolment S.Y. 2025-2026 ]]*8</f>
        <v>1368</v>
      </c>
      <c r="W21" s="10"/>
      <c r="X21" s="8"/>
      <c r="Y21" s="10"/>
      <c r="Z21" s="10">
        <f t="shared" si="12"/>
        <v>1368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2" spans="1:27" s="5" customForma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62" spans="1:27" s="5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5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5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5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5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11 C23:C31 C33:C41 C43:C50" name="Textbooks"/>
    <protectedRange sqref="Q43:R50 W43:X50 H33:I41 Q33:R41 W33:X41 D43:F50 V2:X2 N3:P50 P2:R2 D13:F21 T3:V50 J3:J50 H43:I50 K3:L11 K13:L21 K23:L31 K33:L41 K43:L50 Z3:AA50 J2:L2 D2:F11 H3:I11 Q3:R11 W3:X11 H13:I21 Q13:R21 W13:X21 D23:F31 H23:I31 Q23:R31 W23:X31 D33:F41" name="LAS"/>
    <protectedRange sqref="S2:U2 M2:O2 Y2:AA2 Y3:Y50 G13:G21 M3:M50 G3:G11 G2:I2 G23:G31 G33:G41 S3:S50 G43:G50" name="SOURCE"/>
    <protectedRange sqref="C13" name="Textbooks_1"/>
    <protectedRange sqref="C14" name="Textbooks_2"/>
    <protectedRange sqref="C15" name="Textbooks_3"/>
    <protectedRange sqref="C16" name="Textbooks_4"/>
    <protectedRange sqref="C17" name="Textbooks_5"/>
    <protectedRange sqref="C18" name="Textbooks_6"/>
    <protectedRange sqref="C19" name="Textbooks_7"/>
    <protectedRange sqref="C20" name="Textbooks_8"/>
    <protectedRange sqref="C21" name="Textbooks_9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3:F11 F13:F21 F23:F31 F33:F41 F43:F50 L3:L11 L13:L21 L23:L31 L33:L41 L43:L50 R3:R11 R13:R21 R23:R31 R33:R41 R43:R50 X3:X11 X13:X21 X23:X31 X33:X41 X43:X50" xr:uid="{4ECCD083-8EC4-42EE-B46C-B614411F330D}">
      <formula1>"2024,2025 ,2026"</formula1>
    </dataValidation>
    <dataValidation type="list" allowBlank="1" showInputMessage="1" showErrorMessage="1" sqref="G3:G11 G43:G50 G23:G31 G33:G41 G13:G21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7" zoomScale="55" zoomScaleNormal="55" workbookViewId="0">
      <selection activeCell="Z79" sqref="Z79"/>
    </sheetView>
  </sheetViews>
  <sheetFormatPr defaultRowHeight="15"/>
  <cols>
    <col min="1" max="1" width="9.42578125" customWidth="1"/>
    <col min="2" max="2" width="31.2851562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0" t="s">
        <v>66</v>
      </c>
      <c r="N2" s="30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1" t="s">
        <v>78</v>
      </c>
      <c r="Z2" s="31" t="s">
        <v>79</v>
      </c>
      <c r="AA2" s="24" t="s">
        <v>80</v>
      </c>
    </row>
    <row r="3" spans="1:27" ht="32.25" customHeight="1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81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82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83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81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83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117</v>
      </c>
      <c r="D28" s="10">
        <f>Table14[[#This Row],[Enrolment S.Y. 2025-2026 ]]*8</f>
        <v>936</v>
      </c>
      <c r="E28" s="10">
        <v>246</v>
      </c>
      <c r="F28" s="8">
        <v>2025</v>
      </c>
      <c r="G28" s="10" t="s">
        <v>56</v>
      </c>
      <c r="H28" s="10">
        <f t="shared" si="16"/>
        <v>690</v>
      </c>
      <c r="I28" s="10">
        <f t="shared" si="17"/>
        <v>0</v>
      </c>
      <c r="J28" s="10">
        <f>Table14[[#This Row],[Enrolment S.Y. 2025-2026 ]]*8</f>
        <v>936</v>
      </c>
      <c r="K28" s="10">
        <v>460</v>
      </c>
      <c r="L28" s="8">
        <v>2025</v>
      </c>
      <c r="M28" s="10" t="s">
        <v>56</v>
      </c>
      <c r="N28" s="10">
        <f t="shared" si="14"/>
        <v>476</v>
      </c>
      <c r="O28" s="10">
        <f t="shared" si="15"/>
        <v>0</v>
      </c>
      <c r="P28" s="10">
        <f>Table14[[#This Row],[Enrolment S.Y. 2025-2026 ]]*8</f>
        <v>936</v>
      </c>
      <c r="Q28" s="10"/>
      <c r="R28" s="8"/>
      <c r="S28" s="10"/>
      <c r="T28" s="10">
        <f t="shared" si="10"/>
        <v>936</v>
      </c>
      <c r="U28" s="10">
        <f t="shared" si="11"/>
        <v>0</v>
      </c>
      <c r="V28" s="10">
        <f>Table14[[#This Row],[Enrolment S.Y. 2025-2026 ]]*8</f>
        <v>936</v>
      </c>
      <c r="W28" s="10"/>
      <c r="X28" s="8"/>
      <c r="Y28" s="10"/>
      <c r="Z28" s="10">
        <f t="shared" si="12"/>
        <v>936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117</v>
      </c>
      <c r="D29" s="10">
        <f>Table14[[#This Row],[Enrolment S.Y. 2025-2026 ]]*8</f>
        <v>936</v>
      </c>
      <c r="E29" s="10">
        <v>943</v>
      </c>
      <c r="F29" s="8">
        <v>2025</v>
      </c>
      <c r="G29" s="10" t="s">
        <v>56</v>
      </c>
      <c r="H29" s="10">
        <f t="shared" si="16"/>
        <v>0</v>
      </c>
      <c r="I29" s="10">
        <f t="shared" si="17"/>
        <v>7</v>
      </c>
      <c r="J29" s="10">
        <f>Table14[[#This Row],[Enrolment S.Y. 2025-2026 ]]*8</f>
        <v>936</v>
      </c>
      <c r="K29" s="10">
        <v>437</v>
      </c>
      <c r="L29" s="8">
        <v>2025</v>
      </c>
      <c r="M29" s="10" t="s">
        <v>56</v>
      </c>
      <c r="N29" s="10">
        <f>IF((J29-K29)&lt;0,0,(J29-K29))</f>
        <v>499</v>
      </c>
      <c r="O29" s="10">
        <f t="shared" si="15"/>
        <v>0</v>
      </c>
      <c r="P29" s="10">
        <f>Table14[[#This Row],[Enrolment S.Y. 2025-2026 ]]*8</f>
        <v>936</v>
      </c>
      <c r="Q29" s="10"/>
      <c r="R29" s="8"/>
      <c r="S29" s="10"/>
      <c r="T29" s="10">
        <f t="shared" si="10"/>
        <v>936</v>
      </c>
      <c r="U29" s="10">
        <f t="shared" si="11"/>
        <v>0</v>
      </c>
      <c r="V29" s="10">
        <f>Table14[[#This Row],[Enrolment S.Y. 2025-2026 ]]*8</f>
        <v>936</v>
      </c>
      <c r="W29" s="10"/>
      <c r="X29" s="8"/>
      <c r="Y29" s="10"/>
      <c r="Z29" s="10">
        <f t="shared" si="12"/>
        <v>936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81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83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98</v>
      </c>
      <c r="D39" s="10">
        <f>Table14[[#This Row],[Enrolment S.Y. 2025-2026 ]]*8</f>
        <v>784</v>
      </c>
      <c r="E39" s="10">
        <v>40</v>
      </c>
      <c r="F39" s="8">
        <v>2025</v>
      </c>
      <c r="G39" s="10" t="s">
        <v>56</v>
      </c>
      <c r="H39" s="10">
        <f t="shared" si="16"/>
        <v>744</v>
      </c>
      <c r="I39" s="10">
        <f t="shared" si="17"/>
        <v>0</v>
      </c>
      <c r="J39" s="10">
        <f>Table14[[#This Row],[Enrolment S.Y. 2025-2026 ]]*8</f>
        <v>784</v>
      </c>
      <c r="K39" s="10">
        <v>352</v>
      </c>
      <c r="L39" s="8">
        <v>2025</v>
      </c>
      <c r="M39" s="10" t="s">
        <v>56</v>
      </c>
      <c r="N39" s="10">
        <f t="shared" si="14"/>
        <v>432</v>
      </c>
      <c r="O39" s="10">
        <f t="shared" si="15"/>
        <v>0</v>
      </c>
      <c r="P39" s="10">
        <f>Table14[[#This Row],[Enrolment S.Y. 2025-2026 ]]*8</f>
        <v>784</v>
      </c>
      <c r="Q39" s="10"/>
      <c r="R39" s="8"/>
      <c r="S39" s="10"/>
      <c r="T39" s="10">
        <f t="shared" si="10"/>
        <v>784</v>
      </c>
      <c r="U39" s="10">
        <f t="shared" si="11"/>
        <v>0</v>
      </c>
      <c r="V39" s="10">
        <f>Table14[[#This Row],[Enrolment S.Y. 2025-2026 ]]*8</f>
        <v>784</v>
      </c>
      <c r="W39" s="10"/>
      <c r="X39" s="8"/>
      <c r="Y39" s="10"/>
      <c r="Z39" s="10">
        <f t="shared" si="12"/>
        <v>784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98</v>
      </c>
      <c r="D40" s="10">
        <f>Table14[[#This Row],[Enrolment S.Y. 2025-2026 ]]*8</f>
        <v>784</v>
      </c>
      <c r="E40" s="10">
        <v>35</v>
      </c>
      <c r="F40" s="8">
        <v>2025</v>
      </c>
      <c r="G40" s="10" t="s">
        <v>56</v>
      </c>
      <c r="H40" s="10">
        <f t="shared" si="16"/>
        <v>749</v>
      </c>
      <c r="I40" s="10">
        <f t="shared" si="17"/>
        <v>0</v>
      </c>
      <c r="J40" s="10">
        <f>Table14[[#This Row],[Enrolment S.Y. 2025-2026 ]]*8</f>
        <v>784</v>
      </c>
      <c r="K40" s="10"/>
      <c r="L40" s="8"/>
      <c r="M40" s="10"/>
      <c r="N40" s="10">
        <f t="shared" si="14"/>
        <v>784</v>
      </c>
      <c r="O40" s="10">
        <f t="shared" si="15"/>
        <v>0</v>
      </c>
      <c r="P40" s="10">
        <f>Table14[[#This Row],[Enrolment S.Y. 2025-2026 ]]*8</f>
        <v>784</v>
      </c>
      <c r="Q40" s="10"/>
      <c r="R40" s="8"/>
      <c r="S40" s="10"/>
      <c r="T40" s="10">
        <f t="shared" si="10"/>
        <v>784</v>
      </c>
      <c r="U40" s="10">
        <f t="shared" si="11"/>
        <v>0</v>
      </c>
      <c r="V40" s="10">
        <f>Table14[[#This Row],[Enrolment S.Y. 2025-2026 ]]*8</f>
        <v>784</v>
      </c>
      <c r="W40" s="10"/>
      <c r="X40" s="8"/>
      <c r="Y40" s="10"/>
      <c r="Z40" s="10">
        <f t="shared" si="12"/>
        <v>784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98</v>
      </c>
      <c r="D41" s="10">
        <f>Table14[[#This Row],[Enrolment S.Y. 2025-2026 ]]*8</f>
        <v>784</v>
      </c>
      <c r="E41" s="10"/>
      <c r="F41" s="8"/>
      <c r="G41" s="10"/>
      <c r="H41" s="10">
        <f t="shared" si="16"/>
        <v>784</v>
      </c>
      <c r="I41" s="10">
        <f t="shared" si="17"/>
        <v>0</v>
      </c>
      <c r="J41" s="10">
        <f>Table14[[#This Row],[Enrolment S.Y. 2025-2026 ]]*8</f>
        <v>784</v>
      </c>
      <c r="K41" s="10">
        <v>418</v>
      </c>
      <c r="L41" s="8">
        <v>2025</v>
      </c>
      <c r="M41" s="10" t="s">
        <v>56</v>
      </c>
      <c r="N41" s="10">
        <f t="shared" si="14"/>
        <v>366</v>
      </c>
      <c r="O41" s="10">
        <f t="shared" si="15"/>
        <v>0</v>
      </c>
      <c r="P41" s="10">
        <f>Table14[[#This Row],[Enrolment S.Y. 2025-2026 ]]*8</f>
        <v>784</v>
      </c>
      <c r="Q41" s="10"/>
      <c r="R41" s="8"/>
      <c r="S41" s="10"/>
      <c r="T41" s="10">
        <f t="shared" si="10"/>
        <v>784</v>
      </c>
      <c r="U41" s="10">
        <f t="shared" si="11"/>
        <v>0</v>
      </c>
      <c r="V41" s="10">
        <f>Table14[[#This Row],[Enrolment S.Y. 2025-2026 ]]*8</f>
        <v>784</v>
      </c>
      <c r="W41" s="10"/>
      <c r="X41" s="8"/>
      <c r="Y41" s="10"/>
      <c r="Z41" s="10">
        <f t="shared" si="12"/>
        <v>784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81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83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66" spans="1:27" s="5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N27:R37 N39:R49 D39:F49 N3:R13 P2:R2 D15:F25 D27:F37 D51:F58 N15:R25 V2:X2 T3:X13 Z3:AA13 H3:L13 T15:X25 Z15:AA25 H15:L25 T27:X37 Z27:AA37 H27:L37 T39:X49 Z39:AA49 H39:L49 N51:R58 T51:X58 Z51:AA58 D2:F13" name="LAS"/>
    <protectedRange sqref="G2:I2 M2:O2 S2:U2 Y2:AA2 G51:G58 M51:M58 S51:S58 G39:G49 Y3:Y13 G3:G13 M3:M13 S3:S13 Y15:Y25 G15:G25 M15:M25 S15:S25 Y27:Y37 G27:G37 M27:M37 S27:S37 Y39:Y49 M39:M49 S39:S49 Y51:Y58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M51:M58 Y39:Y49 S39:S49 M39:M49 G39:G49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2026-04-13T07:46:17Z</dcterms:modified>
  <cp:category/>
  <cp:contentStatus/>
</cp:coreProperties>
</file>