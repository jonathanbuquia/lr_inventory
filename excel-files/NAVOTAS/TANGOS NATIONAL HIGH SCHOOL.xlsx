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9123B03F-5D31-4B05-A35C-36455AC363AD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H105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<sst xmlns="http://schemas.openxmlformats.org/spreadsheetml/2006/main" count="465" uniqueCount="99">
  <si>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</si>
  <si>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</si>
  <si>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</si>
  <si>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</si>
  <si>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</si>
  <si>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</si>
  <si>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</si>
  <si>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</si>
  <si>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</si>
  <si>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</si>
  <si>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</si>
  <si>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</si>
  <si>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</si>
  <si>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</si>
  <si>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</si>
  <si>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</si>
  <si>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</si>
  <si>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</si>
  <si>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</si>
  <si>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</si>
  <si>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</si>
  <si>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</si>
  <si>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</si>
  <si>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</si>
  <si>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</si>
  <si>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</si>
  <si>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</si>
  <si>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</si>
  <si>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</si>
  <si>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</si>
  <si>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</si>
  <si>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</si>
  <si>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</si>
  <si>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</si>
  <si>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</si>
  <si>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Creative Writing</t>
  </si>
  <si>
    <t>Philippine Politics and Governance</t>
  </si>
  <si>
    <t>Trends, Networks and Critical Thinking in the 21st Century</t>
  </si>
  <si>
    <t>Discipline and Ideas in Applied Social Sciences</t>
  </si>
  <si>
    <t>Business Finance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</si>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</sst>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zoomScale="85" zoomScaleNormal="85" workbookViewId="0">
      <pane xSplit="2" topLeftCell="C44" activePane="topRight" state="frozen"/>
      <selection pane="topRight" activeCell="C63" sqref="C6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371</v>
      </c>
      <c r="D51" s="10">
        <v>346</v>
      </c>
      <c r="E51" s="10">
        <v>2025</v>
      </c>
      <c r="F51" s="12" t="s">
        <v>20</v>
      </c>
      <c r="G51" s="3">
        <f t="shared" ref="G51:G59" si="10">IF((C51-D51)&lt;0,0,C51-D51)</f>
        <v>25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371</v>
      </c>
      <c r="D53" s="10">
        <v>334</v>
      </c>
      <c r="E53" s="10">
        <v>2024</v>
      </c>
      <c r="F53" s="12" t="s">
        <v>20</v>
      </c>
      <c r="G53" s="3">
        <f t="shared" si="10"/>
        <v>37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371</v>
      </c>
      <c r="D55" s="10">
        <v>346</v>
      </c>
      <c r="E55" s="10">
        <v>2025</v>
      </c>
      <c r="F55" s="12" t="s">
        <v>20</v>
      </c>
      <c r="G55" s="3">
        <f t="shared" si="10"/>
        <v>25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371</v>
      </c>
      <c r="D56" s="10">
        <v>333</v>
      </c>
      <c r="E56" s="10">
        <v>2024</v>
      </c>
      <c r="F56" s="12" t="s">
        <v>20</v>
      </c>
      <c r="G56" s="3">
        <f t="shared" si="10"/>
        <v>38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371</v>
      </c>
      <c r="D57" s="10">
        <v>346</v>
      </c>
      <c r="E57" s="10">
        <v>2025</v>
      </c>
      <c r="F57" s="12" t="s">
        <v>20</v>
      </c>
      <c r="G57" s="3">
        <f t="shared" si="10"/>
        <v>25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371</v>
      </c>
      <c r="D58" s="10">
        <v>346</v>
      </c>
      <c r="E58" s="10">
        <v>2025</v>
      </c>
      <c r="F58" s="12" t="s">
        <v>20</v>
      </c>
      <c r="G58" s="3">
        <f t="shared" si="10"/>
        <v>25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371</v>
      </c>
      <c r="D59" s="10">
        <v>346</v>
      </c>
      <c r="E59" s="10">
        <v>2025</v>
      </c>
      <c r="F59" s="12" t="s">
        <v>20</v>
      </c>
      <c r="G59" s="3">
        <f t="shared" si="10"/>
        <v>25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395</v>
      </c>
      <c r="D63" s="10">
        <v>322</v>
      </c>
      <c r="E63" s="10">
        <v>2025</v>
      </c>
      <c r="F63" s="12" t="s">
        <v>20</v>
      </c>
      <c r="G63" s="3">
        <f t="shared" si="12"/>
        <v>73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395</v>
      </c>
      <c r="D64" s="10">
        <v>322</v>
      </c>
      <c r="E64" s="10">
        <v>2025</v>
      </c>
      <c r="F64" s="12" t="s">
        <v>20</v>
      </c>
      <c r="G64" s="3">
        <f t="shared" si="12"/>
        <v>73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169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169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169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169</v>
      </c>
    </row>
    <row r="94" spans="1:8" ht="27.75" customHeight="1">
      <c r="A94" s="1" t="s">
        <v>24</v>
      </c>
      <c r="B94" s="9" t="s">
        <v>28</v>
      </c>
      <c r="C94" s="1"/>
      <c r="D94" s="1">
        <v>169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169</v>
      </c>
    </row>
    <row r="95" spans="1:8" ht="40.5" customHeight="1">
      <c r="A95" s="1" t="s">
        <v>24</v>
      </c>
      <c r="B95" s="9" t="s">
        <v>29</v>
      </c>
      <c r="C95" s="1"/>
      <c r="D95" s="1">
        <v>169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169</v>
      </c>
    </row>
    <row r="96" spans="1:8" ht="38.25" customHeight="1">
      <c r="A96" s="1" t="s">
        <v>24</v>
      </c>
      <c r="B96" s="9" t="s">
        <v>30</v>
      </c>
      <c r="C96" s="1"/>
      <c r="D96" s="1">
        <v>169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169</v>
      </c>
    </row>
    <row r="97" spans="1:8" ht="56.25" customHeight="1">
      <c r="A97" s="1" t="s">
        <v>24</v>
      </c>
      <c r="B97" s="9" t="s">
        <v>31</v>
      </c>
      <c r="C97" s="1"/>
      <c r="D97" s="1">
        <v>169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169</v>
      </c>
    </row>
    <row r="98" spans="1:8" ht="47.25" customHeight="1">
      <c r="A98" s="1" t="s">
        <v>24</v>
      </c>
      <c r="B98" s="9" t="s">
        <v>32</v>
      </c>
      <c r="C98" s="1"/>
      <c r="D98" s="1">
        <v>169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169</v>
      </c>
    </row>
    <row r="99" spans="1:8" ht="38.25">
      <c r="A99" s="1" t="s">
        <v>24</v>
      </c>
      <c r="B99" s="9" t="s">
        <v>33</v>
      </c>
      <c r="C99" s="1"/>
      <c r="D99" s="1">
        <v>169</v>
      </c>
      <c r="E99" s="1">
        <v>2024</v>
      </c>
      <c r="F99" s="5" t="s">
        <v>20</v>
      </c>
      <c r="G99" s="3">
        <f t="shared" ref="G99:G104" si="20">IF((C99-D99)&lt;0,0,C99-D99)</f>
        <v>0</v>
      </c>
      <c r="H99" s="4">
        <f t="shared" ref="H99:H104" si="21">IF((D99-C99)&lt;0,0,D99-C99)</f>
        <v>169</v>
      </c>
    </row>
    <row r="100" spans="1:8" ht="76.5">
      <c r="A100" s="1" t="s">
        <v>24</v>
      </c>
      <c r="B100" s="9" t="s">
        <v>34</v>
      </c>
      <c r="C100" s="1"/>
      <c r="D100" s="1">
        <v>169</v>
      </c>
      <c r="E100" s="1">
        <v>2025</v>
      </c>
      <c r="F100" s="5" t="s">
        <v>20</v>
      </c>
      <c r="G100" s="3">
        <f t="shared" si="20"/>
        <v>0</v>
      </c>
      <c r="H100" s="4">
        <f t="shared" si="21"/>
        <v>169</v>
      </c>
    </row>
    <row r="101" spans="1:8" ht="19.5">
      <c r="A101" s="1" t="s">
        <v>24</v>
      </c>
      <c r="B101" s="9" t="s">
        <v>35</v>
      </c>
      <c r="C101" s="1"/>
      <c r="D101" s="1"/>
      <c r="E101" s="1"/>
      <c r="F101" s="5"/>
      <c r="G101" s="3">
        <f t="shared" si="20"/>
        <v>0</v>
      </c>
      <c r="H101" s="4">
        <f t="shared" si="21"/>
        <v>0</v>
      </c>
    </row>
    <row r="102" spans="1:8" ht="38.25">
      <c r="A102" s="1" t="s">
        <v>24</v>
      </c>
      <c r="B102" s="9" t="s">
        <v>36</v>
      </c>
      <c r="C102" s="1"/>
      <c r="D102" s="1"/>
      <c r="E102" s="1"/>
      <c r="F102" s="5"/>
      <c r="G102" s="3">
        <f t="shared" si="20"/>
        <v>0</v>
      </c>
      <c r="H102" s="4">
        <f t="shared" si="21"/>
        <v>0</v>
      </c>
    </row>
    <row r="103" spans="1:8" ht="76.5">
      <c r="A103" s="1" t="s">
        <v>24</v>
      </c>
      <c r="B103" s="9" t="s">
        <v>37</v>
      </c>
      <c r="C103" s="1"/>
      <c r="D103" s="1"/>
      <c r="E103" s="1"/>
      <c r="F103" s="5"/>
      <c r="G103" s="3">
        <f t="shared" si="20"/>
        <v>0</v>
      </c>
      <c r="H103" s="4">
        <f t="shared" si="21"/>
        <v>0</v>
      </c>
    </row>
    <row r="104" spans="1:8" ht="57.75">
      <c r="A104" s="1" t="s">
        <v>24</v>
      </c>
      <c r="B104" s="9" t="s">
        <v>38</v>
      </c>
      <c r="C104" s="1"/>
      <c r="D104" s="1"/>
      <c r="E104" s="1"/>
      <c r="F104" s="5"/>
      <c r="G104" s="3">
        <f t="shared" si="20"/>
        <v>0</v>
      </c>
      <c r="H104" s="4">
        <f t="shared" si="21"/>
        <v>0</v>
      </c>
    </row>
    <row r="105" spans="1:8" ht="19.5">
      <c r="A105" s="1" t="s">
        <v>24</v>
      </c>
      <c r="B105" s="9" t="s">
        <v>39</v>
      </c>
      <c r="C105" s="1"/>
      <c r="D105" s="1">
        <v>37</v>
      </c>
      <c r="E105" s="1">
        <v>2025</v>
      </c>
      <c r="F105" s="5" t="s">
        <v>20</v>
      </c>
      <c r="G105" s="3">
        <f t="shared" ref="G105" si="22">IF((C105-D105)&lt;0,0,C105-D105)</f>
        <v>0</v>
      </c>
      <c r="H105" s="4">
        <f t="shared" ref="H105" si="23">IF((D105-C105)&lt;0,0,D105-C105)</f>
        <v>37</v>
      </c>
    </row>
  </sheetData>
  <protectedRanges>
    <protectedRange sqref="C1:E105" name="Textbooks"/>
    <protectedRange sqref="F1:F105" name="SOURCE"/>
  </protectedRanges>
  <phoneticPr fontId="8" type="noConversion"/>
  <dataValidations count="2">
    <dataValidation type="list" allowBlank="1" showInputMessage="1" showErrorMessage="1" sqref="E14:E19 E21:E29 E31:E39 E61:E69 E51:E59 E41:E49 E2:E6 E71:E79 E81:E89 E8:E12 E91:E105" xr:uid="{B46E7B13-721E-4D49-837E-C02BF9777D48}">
      <formula1>"2024,2025"</formula1>
    </dataValidation>
    <dataValidation type="list" allowBlank="1" showInputMessage="1" showErrorMessage="1" sqref="F14:F19 F21:F29 F31:F39 F41:F49 F61:F69 F51:F59 F71:F79 F81:F89 F2:F6 F8:F12 F91:F105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62" zoomScale="70" zoomScaleNormal="70" workbookViewId="0">
      <selection activeCell="E83" sqref="E8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40</v>
      </c>
      <c r="E1" s="40"/>
      <c r="F1" s="40"/>
      <c r="G1" s="40"/>
      <c r="H1" s="40"/>
      <c r="I1" s="40"/>
      <c r="J1" s="41" t="s">
        <v>41</v>
      </c>
      <c r="K1" s="41"/>
      <c r="L1" s="41"/>
      <c r="M1" s="41"/>
      <c r="N1" s="41"/>
      <c r="O1" s="41"/>
      <c r="P1" s="42" t="s">
        <v>42</v>
      </c>
      <c r="Q1" s="42"/>
      <c r="R1" s="42"/>
      <c r="S1" s="42"/>
      <c r="T1" s="42"/>
      <c r="U1" s="42"/>
      <c r="V1" s="43" t="s">
        <v>43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44</v>
      </c>
      <c r="E2" s="20" t="s">
        <v>45</v>
      </c>
      <c r="F2" s="21" t="s">
        <v>46</v>
      </c>
      <c r="G2" s="24" t="s">
        <v>47</v>
      </c>
      <c r="H2" s="17" t="s">
        <v>48</v>
      </c>
      <c r="I2" s="24" t="s">
        <v>49</v>
      </c>
      <c r="J2" s="22" t="s">
        <v>50</v>
      </c>
      <c r="K2" s="22" t="s">
        <v>51</v>
      </c>
      <c r="L2" s="23" t="s">
        <v>52</v>
      </c>
      <c r="M2" s="44" t="s">
        <v>53</v>
      </c>
      <c r="N2" s="44" t="s">
        <v>54</v>
      </c>
      <c r="O2" s="22" t="s">
        <v>55</v>
      </c>
      <c r="P2" s="24" t="s">
        <v>56</v>
      </c>
      <c r="Q2" s="24" t="s">
        <v>57</v>
      </c>
      <c r="R2" s="25" t="s">
        <v>58</v>
      </c>
      <c r="S2" s="17" t="s">
        <v>59</v>
      </c>
      <c r="T2" s="17" t="s">
        <v>60</v>
      </c>
      <c r="U2" s="24" t="s">
        <v>61</v>
      </c>
      <c r="V2" s="26" t="s">
        <v>62</v>
      </c>
      <c r="W2" s="26" t="s">
        <v>63</v>
      </c>
      <c r="X2" s="27" t="s">
        <v>64</v>
      </c>
      <c r="Y2" s="45" t="s">
        <v>65</v>
      </c>
      <c r="Z2" s="45" t="s">
        <v>66</v>
      </c>
      <c r="AA2" s="26" t="s">
        <v>67</v>
      </c>
    </row>
    <row r="3" spans="1:27" ht="30.6" customHeight="1">
      <c r="A3" s="39" t="s">
        <v>68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395</v>
      </c>
      <c r="D73" s="12">
        <f>Table1[[#This Row],[Enrolment S.Y. 2025-2026 ]]*8</f>
        <v>3160</v>
      </c>
      <c r="E73" s="12">
        <v>616</v>
      </c>
      <c r="F73" s="10">
        <v>2025</v>
      </c>
      <c r="G73" s="12" t="s">
        <v>70</v>
      </c>
      <c r="H73" s="12">
        <f t="shared" si="2"/>
        <v>2544</v>
      </c>
      <c r="I73" s="12">
        <f t="shared" si="3"/>
        <v>0</v>
      </c>
      <c r="J73" s="12">
        <f>Table1[[#This Row],[Enrolment S.Y. 2025-2026 ]]*8</f>
        <v>3160</v>
      </c>
      <c r="K73" s="12"/>
      <c r="L73" s="10"/>
      <c r="M73" s="12"/>
      <c r="N73" s="12">
        <f t="shared" si="16"/>
        <v>3160</v>
      </c>
      <c r="O73" s="12">
        <f t="shared" si="17"/>
        <v>0</v>
      </c>
      <c r="P73" s="12">
        <f>Table1[[#This Row],[Enrolment S.Y. 2025-2026 ]]*8</f>
        <v>3160</v>
      </c>
      <c r="Q73" s="12"/>
      <c r="R73" s="10"/>
      <c r="S73" s="12"/>
      <c r="T73" s="12">
        <f t="shared" si="18"/>
        <v>3160</v>
      </c>
      <c r="U73" s="12">
        <f t="shared" si="19"/>
        <v>0</v>
      </c>
      <c r="V73" s="12">
        <f>Table1[[#This Row],[Enrolment S.Y. 2025-2026 ]]*8</f>
        <v>3160</v>
      </c>
      <c r="W73" s="12"/>
      <c r="X73" s="10"/>
      <c r="Y73" s="12"/>
      <c r="Z73" s="12">
        <f t="shared" si="20"/>
        <v>3160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395</v>
      </c>
      <c r="D75" s="12">
        <f>Table1[[#This Row],[Enrolment S.Y. 2025-2026 ]]*8</f>
        <v>3160</v>
      </c>
      <c r="E75" s="12">
        <v>616</v>
      </c>
      <c r="F75" s="10">
        <v>2025</v>
      </c>
      <c r="G75" s="12" t="s">
        <v>70</v>
      </c>
      <c r="H75" s="12">
        <f t="shared" si="2"/>
        <v>2544</v>
      </c>
      <c r="I75" s="12">
        <f t="shared" si="3"/>
        <v>0</v>
      </c>
      <c r="J75" s="12">
        <f>Table1[[#This Row],[Enrolment S.Y. 2025-2026 ]]*8</f>
        <v>3160</v>
      </c>
      <c r="K75" s="12"/>
      <c r="L75" s="10"/>
      <c r="M75" s="12"/>
      <c r="N75" s="12">
        <f t="shared" si="16"/>
        <v>3160</v>
      </c>
      <c r="O75" s="12">
        <f t="shared" si="17"/>
        <v>0</v>
      </c>
      <c r="P75" s="12">
        <f>Table1[[#This Row],[Enrolment S.Y. 2025-2026 ]]*8</f>
        <v>3160</v>
      </c>
      <c r="Q75" s="12"/>
      <c r="R75" s="10"/>
      <c r="S75" s="12"/>
      <c r="T75" s="12">
        <f t="shared" si="18"/>
        <v>3160</v>
      </c>
      <c r="U75" s="12">
        <f t="shared" si="19"/>
        <v>0</v>
      </c>
      <c r="V75" s="12">
        <f>Table1[[#This Row],[Enrolment S.Y. 2025-2026 ]]*8</f>
        <v>3160</v>
      </c>
      <c r="W75" s="12"/>
      <c r="X75" s="10"/>
      <c r="Y75" s="12"/>
      <c r="Z75" s="12">
        <f t="shared" si="20"/>
        <v>3160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395</v>
      </c>
      <c r="D78" s="12">
        <f>Table1[[#This Row],[Enrolment S.Y. 2025-2026 ]]*8</f>
        <v>3160</v>
      </c>
      <c r="E78" s="12">
        <v>616</v>
      </c>
      <c r="F78" s="10">
        <v>2025</v>
      </c>
      <c r="G78" s="12" t="s">
        <v>70</v>
      </c>
      <c r="H78" s="12">
        <f t="shared" ref="H78:H127" si="22">IF((D78-E78)&lt;0,0,(D78-E78))</f>
        <v>2544</v>
      </c>
      <c r="I78" s="12">
        <f t="shared" ref="I78:I127" si="23">IF((E78-D78)&lt;0,0,(E78-D78))</f>
        <v>0</v>
      </c>
      <c r="J78" s="12">
        <f>Table1[[#This Row],[Enrolment S.Y. 2025-2026 ]]*8</f>
        <v>3160</v>
      </c>
      <c r="K78" s="12"/>
      <c r="L78" s="10"/>
      <c r="M78" s="12"/>
      <c r="N78" s="12">
        <f t="shared" si="16"/>
        <v>3160</v>
      </c>
      <c r="O78" s="12">
        <f t="shared" si="17"/>
        <v>0</v>
      </c>
      <c r="P78" s="12">
        <f>Table1[[#This Row],[Enrolment S.Y. 2025-2026 ]]*8</f>
        <v>3160</v>
      </c>
      <c r="Q78" s="12"/>
      <c r="R78" s="10"/>
      <c r="S78" s="12"/>
      <c r="T78" s="12">
        <f t="shared" si="18"/>
        <v>3160</v>
      </c>
      <c r="U78" s="12">
        <f t="shared" si="19"/>
        <v>0</v>
      </c>
      <c r="V78" s="12">
        <f>Table1[[#This Row],[Enrolment S.Y. 2025-2026 ]]*8</f>
        <v>3160</v>
      </c>
      <c r="W78" s="12"/>
      <c r="X78" s="10"/>
      <c r="Y78" s="12"/>
      <c r="Z78" s="12">
        <f t="shared" si="20"/>
        <v>3160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395</v>
      </c>
      <c r="D80" s="12">
        <f>Table1[[#This Row],[Enrolment S.Y. 2025-2026 ]]*8</f>
        <v>3160</v>
      </c>
      <c r="E80" s="12">
        <v>640</v>
      </c>
      <c r="F80" s="10">
        <v>2025</v>
      </c>
      <c r="G80" s="12" t="s">
        <v>70</v>
      </c>
      <c r="H80" s="12">
        <f t="shared" si="22"/>
        <v>2520</v>
      </c>
      <c r="I80" s="12">
        <f t="shared" si="23"/>
        <v>0</v>
      </c>
      <c r="J80" s="12">
        <f>Table1[[#This Row],[Enrolment S.Y. 2025-2026 ]]*8</f>
        <v>3160</v>
      </c>
      <c r="K80" s="12"/>
      <c r="L80" s="10"/>
      <c r="M80" s="12"/>
      <c r="N80" s="12">
        <f t="shared" si="16"/>
        <v>3160</v>
      </c>
      <c r="O80" s="12">
        <f t="shared" si="17"/>
        <v>0</v>
      </c>
      <c r="P80" s="12">
        <f>Table1[[#This Row],[Enrolment S.Y. 2025-2026 ]]*8</f>
        <v>3160</v>
      </c>
      <c r="Q80" s="12"/>
      <c r="R80" s="10"/>
      <c r="S80" s="12"/>
      <c r="T80" s="12">
        <f t="shared" si="18"/>
        <v>3160</v>
      </c>
      <c r="U80" s="12">
        <f t="shared" si="19"/>
        <v>0</v>
      </c>
      <c r="V80" s="12">
        <f>Table1[[#This Row],[Enrolment S.Y. 2025-2026 ]]*8</f>
        <v>3160</v>
      </c>
      <c r="W80" s="12"/>
      <c r="X80" s="10"/>
      <c r="Y80" s="12"/>
      <c r="Z80" s="12">
        <f t="shared" si="20"/>
        <v>3160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395</v>
      </c>
      <c r="D81" s="12">
        <f>Table1[[#This Row],[Enrolment S.Y. 2025-2026 ]]*8</f>
        <v>3160</v>
      </c>
      <c r="E81" s="12">
        <v>616</v>
      </c>
      <c r="F81" s="10">
        <v>2025</v>
      </c>
      <c r="G81" s="12" t="s">
        <v>70</v>
      </c>
      <c r="H81" s="12">
        <f t="shared" si="22"/>
        <v>2544</v>
      </c>
      <c r="I81" s="12">
        <f t="shared" si="23"/>
        <v>0</v>
      </c>
      <c r="J81" s="12">
        <f>Table1[[#This Row],[Enrolment S.Y. 2025-2026 ]]*8</f>
        <v>3160</v>
      </c>
      <c r="K81" s="12"/>
      <c r="L81" s="10"/>
      <c r="M81" s="12"/>
      <c r="N81" s="12">
        <f t="shared" si="16"/>
        <v>3160</v>
      </c>
      <c r="O81" s="12">
        <f t="shared" si="17"/>
        <v>0</v>
      </c>
      <c r="P81" s="12">
        <f>Table1[[#This Row],[Enrolment S.Y. 2025-2026 ]]*8</f>
        <v>3160</v>
      </c>
      <c r="Q81" s="12"/>
      <c r="R81" s="10"/>
      <c r="S81" s="12"/>
      <c r="T81" s="12">
        <f t="shared" si="18"/>
        <v>3160</v>
      </c>
      <c r="U81" s="12">
        <f t="shared" si="19"/>
        <v>0</v>
      </c>
      <c r="V81" s="12">
        <f>Table1[[#This Row],[Enrolment S.Y. 2025-2026 ]]*8</f>
        <v>3160</v>
      </c>
      <c r="W81" s="12"/>
      <c r="X81" s="10"/>
      <c r="Y81" s="12"/>
      <c r="Z81" s="12">
        <f t="shared" si="20"/>
        <v>3160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4 C83:C91 C93:C101 C103:C110 C112:C127 C5:C12 C79 C76:C77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  <protectedRange sqref="C80" name="Textbooks_1"/>
    <protectedRange sqref="C81" name="Textbooks_2"/>
    <protectedRange sqref="C78" name="Textbooks_3"/>
    <protectedRange sqref="C75" name="Textbooks_4"/>
    <protectedRange sqref="C73" name="Textbooks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V107" activePane="bottomRight" state="frozen"/>
      <selection pane="bottomRight" activeCell="X112" sqref="X112:Y11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40</v>
      </c>
      <c r="E1" s="40"/>
      <c r="F1" s="40"/>
      <c r="G1" s="40"/>
      <c r="H1" s="40"/>
      <c r="I1" s="40"/>
      <c r="J1" s="41" t="s">
        <v>41</v>
      </c>
      <c r="K1" s="41"/>
      <c r="L1" s="41"/>
      <c r="M1" s="41"/>
      <c r="N1" s="41"/>
      <c r="O1" s="41"/>
      <c r="P1" s="42" t="s">
        <v>42</v>
      </c>
      <c r="Q1" s="42"/>
      <c r="R1" s="42"/>
      <c r="S1" s="42"/>
      <c r="T1" s="42"/>
      <c r="U1" s="42"/>
      <c r="V1" s="43" t="s">
        <v>43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71</v>
      </c>
      <c r="E2" s="20" t="s">
        <v>72</v>
      </c>
      <c r="F2" s="21" t="s">
        <v>73</v>
      </c>
      <c r="G2" s="24" t="s">
        <v>74</v>
      </c>
      <c r="H2" s="17" t="s">
        <v>75</v>
      </c>
      <c r="I2" s="24" t="s">
        <v>76</v>
      </c>
      <c r="J2" s="22" t="s">
        <v>77</v>
      </c>
      <c r="K2" s="22" t="s">
        <v>78</v>
      </c>
      <c r="L2" s="23" t="s">
        <v>79</v>
      </c>
      <c r="M2" s="44" t="s">
        <v>80</v>
      </c>
      <c r="N2" s="44" t="s">
        <v>81</v>
      </c>
      <c r="O2" s="22" t="s">
        <v>82</v>
      </c>
      <c r="P2" s="24" t="s">
        <v>83</v>
      </c>
      <c r="Q2" s="24" t="s">
        <v>84</v>
      </c>
      <c r="R2" s="25" t="s">
        <v>85</v>
      </c>
      <c r="S2" s="17" t="s">
        <v>86</v>
      </c>
      <c r="T2" s="17" t="s">
        <v>87</v>
      </c>
      <c r="U2" s="24" t="s">
        <v>88</v>
      </c>
      <c r="V2" s="26" t="s">
        <v>89</v>
      </c>
      <c r="W2" s="26" t="s">
        <v>90</v>
      </c>
      <c r="X2" s="27" t="s">
        <v>91</v>
      </c>
      <c r="Y2" s="45" t="s">
        <v>92</v>
      </c>
      <c r="Z2" s="45" t="s">
        <v>93</v>
      </c>
      <c r="AA2" s="26" t="s">
        <v>94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95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96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97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98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95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96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97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98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275</v>
      </c>
      <c r="D91" s="12">
        <f>Table14[[#This Row],[Enrolment S.Y. 2025-2026 ]]*8</f>
        <v>2200</v>
      </c>
      <c r="E91" s="12"/>
      <c r="F91" s="10"/>
      <c r="G91" s="12"/>
      <c r="H91" s="12">
        <f t="shared" si="22"/>
        <v>2200</v>
      </c>
      <c r="I91" s="12">
        <f t="shared" si="23"/>
        <v>0</v>
      </c>
      <c r="J91" s="12">
        <f>Table14[[#This Row],[Enrolment S.Y. 2025-2026 ]]*8</f>
        <v>2200</v>
      </c>
      <c r="K91" s="12"/>
      <c r="L91" s="10"/>
      <c r="M91" s="12"/>
      <c r="N91" s="12">
        <f t="shared" si="20"/>
        <v>2200</v>
      </c>
      <c r="O91" s="12">
        <f t="shared" si="21"/>
        <v>0</v>
      </c>
      <c r="P91" s="12">
        <f>Table14[[#This Row],[Enrolment S.Y. 2025-2026 ]]*8</f>
        <v>2200</v>
      </c>
      <c r="Q91" s="12"/>
      <c r="R91" s="10"/>
      <c r="S91" s="12"/>
      <c r="T91" s="12">
        <f t="shared" si="16"/>
        <v>2200</v>
      </c>
      <c r="U91" s="12">
        <f t="shared" si="17"/>
        <v>0</v>
      </c>
      <c r="V91" s="12">
        <f>Table14[[#This Row],[Enrolment S.Y. 2025-2026 ]]*8</f>
        <v>2200</v>
      </c>
      <c r="W91" s="12">
        <v>742</v>
      </c>
      <c r="X91" s="10">
        <v>2025</v>
      </c>
      <c r="Y91" s="12" t="s">
        <v>70</v>
      </c>
      <c r="Z91" s="12">
        <f t="shared" si="18"/>
        <v>1458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275</v>
      </c>
      <c r="D92" s="12">
        <f>Table14[[#This Row],[Enrolment S.Y. 2025-2026 ]]*8</f>
        <v>2200</v>
      </c>
      <c r="E92" s="12">
        <v>570</v>
      </c>
      <c r="F92" s="10">
        <v>2025</v>
      </c>
      <c r="G92" s="12" t="s">
        <v>70</v>
      </c>
      <c r="H92" s="12">
        <f t="shared" si="22"/>
        <v>1630</v>
      </c>
      <c r="I92" s="12">
        <f t="shared" si="23"/>
        <v>0</v>
      </c>
      <c r="J92" s="12">
        <f>Table14[[#This Row],[Enrolment S.Y. 2025-2026 ]]*8</f>
        <v>2200</v>
      </c>
      <c r="K92" s="12">
        <v>477</v>
      </c>
      <c r="L92" s="10">
        <v>2025</v>
      </c>
      <c r="M92" s="12" t="s">
        <v>70</v>
      </c>
      <c r="N92" s="12">
        <f t="shared" si="20"/>
        <v>1723</v>
      </c>
      <c r="O92" s="12">
        <f t="shared" si="21"/>
        <v>0</v>
      </c>
      <c r="P92" s="12">
        <f>Table14[[#This Row],[Enrolment S.Y. 2025-2026 ]]*8</f>
        <v>2200</v>
      </c>
      <c r="Q92" s="12">
        <v>265</v>
      </c>
      <c r="R92" s="10"/>
      <c r="S92" s="12"/>
      <c r="T92" s="12">
        <f t="shared" si="16"/>
        <v>1935</v>
      </c>
      <c r="U92" s="12">
        <f t="shared" si="17"/>
        <v>0</v>
      </c>
      <c r="V92" s="12">
        <f>Table14[[#This Row],[Enrolment S.Y. 2025-2026 ]]*8</f>
        <v>2200</v>
      </c>
      <c r="W92" s="12">
        <v>371</v>
      </c>
      <c r="X92" s="10">
        <v>2025</v>
      </c>
      <c r="Y92" s="12" t="s">
        <v>70</v>
      </c>
      <c r="Z92" s="12">
        <f t="shared" si="18"/>
        <v>1829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275</v>
      </c>
      <c r="D93" s="12">
        <f>Table14[[#This Row],[Enrolment S.Y. 2025-2026 ]]*8</f>
        <v>2200</v>
      </c>
      <c r="E93" s="12">
        <v>2185</v>
      </c>
      <c r="F93" s="10">
        <v>2025</v>
      </c>
      <c r="G93" s="12" t="s">
        <v>70</v>
      </c>
      <c r="H93" s="12">
        <f t="shared" si="22"/>
        <v>15</v>
      </c>
      <c r="I93" s="12">
        <f t="shared" si="23"/>
        <v>0</v>
      </c>
      <c r="J93" s="12">
        <f>Table14[[#This Row],[Enrolment S.Y. 2025-2026 ]]*8</f>
        <v>2200</v>
      </c>
      <c r="K93" s="12">
        <v>530</v>
      </c>
      <c r="L93" s="10">
        <v>2025</v>
      </c>
      <c r="M93" s="12" t="s">
        <v>70</v>
      </c>
      <c r="N93" s="12">
        <f t="shared" si="20"/>
        <v>1670</v>
      </c>
      <c r="O93" s="12">
        <f t="shared" si="21"/>
        <v>0</v>
      </c>
      <c r="P93" s="12">
        <f>Table14[[#This Row],[Enrolment S.Y. 2025-2026 ]]*8</f>
        <v>2200</v>
      </c>
      <c r="Q93" s="12">
        <v>848</v>
      </c>
      <c r="R93" s="10"/>
      <c r="S93" s="12"/>
      <c r="T93" s="12">
        <f t="shared" si="16"/>
        <v>1352</v>
      </c>
      <c r="U93" s="12">
        <f t="shared" si="17"/>
        <v>0</v>
      </c>
      <c r="V93" s="12">
        <f>Table14[[#This Row],[Enrolment S.Y. 2025-2026 ]]*8</f>
        <v>2200</v>
      </c>
      <c r="W93" s="12">
        <v>477</v>
      </c>
      <c r="X93" s="10">
        <v>2025</v>
      </c>
      <c r="Y93" s="12" t="s">
        <v>70</v>
      </c>
      <c r="Z93" s="12">
        <f t="shared" si="18"/>
        <v>1723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275</v>
      </c>
      <c r="D94" s="12">
        <f>Table14[[#This Row],[Enrolment S.Y. 2025-2026 ]]*8</f>
        <v>2200</v>
      </c>
      <c r="E94" s="12"/>
      <c r="F94" s="10"/>
      <c r="G94" s="12"/>
      <c r="H94" s="12">
        <f t="shared" si="22"/>
        <v>2200</v>
      </c>
      <c r="I94" s="12">
        <f t="shared" si="23"/>
        <v>0</v>
      </c>
      <c r="J94" s="12">
        <f>Table14[[#This Row],[Enrolment S.Y. 2025-2026 ]]*8</f>
        <v>2200</v>
      </c>
      <c r="K94" s="12"/>
      <c r="L94" s="10"/>
      <c r="M94" s="12"/>
      <c r="N94" s="12">
        <f t="shared" si="20"/>
        <v>2200</v>
      </c>
      <c r="O94" s="12">
        <f t="shared" si="21"/>
        <v>0</v>
      </c>
      <c r="P94" s="12">
        <f>Table14[[#This Row],[Enrolment S.Y. 2025-2026 ]]*8</f>
        <v>2200</v>
      </c>
      <c r="Q94" s="12">
        <v>212</v>
      </c>
      <c r="R94" s="10"/>
      <c r="S94" s="12"/>
      <c r="T94" s="12">
        <f t="shared" si="16"/>
        <v>1988</v>
      </c>
      <c r="U94" s="12">
        <f t="shared" si="17"/>
        <v>0</v>
      </c>
      <c r="V94" s="12">
        <f>Table14[[#This Row],[Enrolment S.Y. 2025-2026 ]]*8</f>
        <v>2200</v>
      </c>
      <c r="W94" s="12">
        <v>424</v>
      </c>
      <c r="X94" s="10">
        <v>2025</v>
      </c>
      <c r="Y94" s="12" t="s">
        <v>70</v>
      </c>
      <c r="Z94" s="12">
        <f t="shared" si="18"/>
        <v>1776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275</v>
      </c>
      <c r="D95" s="12">
        <f>Table14[[#This Row],[Enrolment S.Y. 2025-2026 ]]*8</f>
        <v>2200</v>
      </c>
      <c r="E95" s="12"/>
      <c r="F95" s="10"/>
      <c r="G95" s="12"/>
      <c r="H95" s="12">
        <f t="shared" si="22"/>
        <v>2200</v>
      </c>
      <c r="I95" s="12">
        <f t="shared" si="23"/>
        <v>0</v>
      </c>
      <c r="J95" s="12">
        <f>Table14[[#This Row],[Enrolment S.Y. 2025-2026 ]]*8</f>
        <v>2200</v>
      </c>
      <c r="K95" s="12"/>
      <c r="L95" s="10"/>
      <c r="M95" s="12"/>
      <c r="N95" s="12">
        <f t="shared" si="20"/>
        <v>2200</v>
      </c>
      <c r="O95" s="12">
        <f t="shared" si="21"/>
        <v>0</v>
      </c>
      <c r="P95" s="12">
        <f>Table14[[#This Row],[Enrolment S.Y. 2025-2026 ]]*8</f>
        <v>2200</v>
      </c>
      <c r="Q95" s="12">
        <v>318</v>
      </c>
      <c r="R95" s="10"/>
      <c r="S95" s="12"/>
      <c r="T95" s="12">
        <f t="shared" si="16"/>
        <v>1882</v>
      </c>
      <c r="U95" s="12">
        <f t="shared" si="17"/>
        <v>0</v>
      </c>
      <c r="V95" s="12">
        <f>Table14[[#This Row],[Enrolment S.Y. 2025-2026 ]]*8</f>
        <v>2200</v>
      </c>
      <c r="W95" s="12">
        <v>212</v>
      </c>
      <c r="X95" s="10">
        <v>2025</v>
      </c>
      <c r="Y95" s="12" t="s">
        <v>70</v>
      </c>
      <c r="Z95" s="12">
        <f t="shared" si="18"/>
        <v>1988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275</v>
      </c>
      <c r="D96" s="12">
        <f>Table14[[#This Row],[Enrolment S.Y. 2025-2026 ]]*8</f>
        <v>2200</v>
      </c>
      <c r="E96" s="12"/>
      <c r="F96" s="10"/>
      <c r="G96" s="12"/>
      <c r="H96" s="12">
        <f t="shared" si="22"/>
        <v>2200</v>
      </c>
      <c r="I96" s="12">
        <f t="shared" si="23"/>
        <v>0</v>
      </c>
      <c r="J96" s="12">
        <f>Table14[[#This Row],[Enrolment S.Y. 2025-2026 ]]*8</f>
        <v>2200</v>
      </c>
      <c r="K96" s="12"/>
      <c r="L96" s="10"/>
      <c r="M96" s="12"/>
      <c r="N96" s="12">
        <f t="shared" si="20"/>
        <v>2200</v>
      </c>
      <c r="O96" s="12">
        <f t="shared" si="21"/>
        <v>0</v>
      </c>
      <c r="P96" s="12">
        <f>Table14[[#This Row],[Enrolment S.Y. 2025-2026 ]]*8</f>
        <v>2200</v>
      </c>
      <c r="Q96" s="12">
        <v>318</v>
      </c>
      <c r="R96" s="10"/>
      <c r="S96" s="12"/>
      <c r="T96" s="12">
        <f t="shared" si="16"/>
        <v>1882</v>
      </c>
      <c r="U96" s="12">
        <f t="shared" si="17"/>
        <v>0</v>
      </c>
      <c r="V96" s="12">
        <f>Table14[[#This Row],[Enrolment S.Y. 2025-2026 ]]*8</f>
        <v>2200</v>
      </c>
      <c r="W96" s="12">
        <v>477</v>
      </c>
      <c r="X96" s="10">
        <v>2025</v>
      </c>
      <c r="Y96" s="12" t="s">
        <v>70</v>
      </c>
      <c r="Z96" s="12">
        <f t="shared" si="18"/>
        <v>1723</v>
      </c>
      <c r="AA96" s="12">
        <f t="shared" si="19"/>
        <v>0</v>
      </c>
    </row>
    <row r="97" spans="1:27" ht="19.5">
      <c r="A97" s="38">
        <v>9</v>
      </c>
      <c r="B97" s="11" t="s">
        <v>95</v>
      </c>
      <c r="C97" s="10">
        <v>275</v>
      </c>
      <c r="D97" s="12">
        <f>Table14[[#This Row],[Enrolment S.Y. 2025-2026 ]]*8</f>
        <v>2200</v>
      </c>
      <c r="E97" s="12"/>
      <c r="F97" s="10"/>
      <c r="G97" s="12"/>
      <c r="H97" s="12">
        <f>IF((D97-E97)&lt;0,0,(D97-E97))</f>
        <v>2200</v>
      </c>
      <c r="I97" s="12">
        <f>IF((E97-D97)&lt;0,0,(E97-D97))</f>
        <v>0</v>
      </c>
      <c r="J97" s="12">
        <f>Table14[[#This Row],[Enrolment S.Y. 2025-2026 ]]*8</f>
        <v>2200</v>
      </c>
      <c r="K97" s="12"/>
      <c r="L97" s="10"/>
      <c r="M97" s="12"/>
      <c r="N97" s="12">
        <f t="shared" ref="N97:N101" si="26">IF((J97-K97)&lt;0,0,(J97-K97))</f>
        <v>2200</v>
      </c>
      <c r="O97" s="12">
        <f t="shared" ref="O97:O101" si="27">IF((K97-J97)&lt;0,0,(K97-J97))</f>
        <v>0</v>
      </c>
      <c r="P97" s="12">
        <f>Table14[[#This Row],[Enrolment S.Y. 2025-2026 ]]*8</f>
        <v>2200</v>
      </c>
      <c r="Q97" s="12"/>
      <c r="R97" s="10"/>
      <c r="S97" s="12"/>
      <c r="T97" s="12">
        <f>IF((P97-Q97)&lt;0,0,(P97-Q97))</f>
        <v>2200</v>
      </c>
      <c r="U97" s="12">
        <f>IF((Q97-P97)&lt;0,0,(Q97-P97))</f>
        <v>0</v>
      </c>
      <c r="V97" s="12">
        <f>Table14[[#This Row],[Enrolment S.Y. 2025-2026 ]]*8</f>
        <v>2200</v>
      </c>
      <c r="W97" s="12">
        <v>424</v>
      </c>
      <c r="X97" s="10">
        <v>2025</v>
      </c>
      <c r="Y97" s="12" t="s">
        <v>70</v>
      </c>
      <c r="Z97" s="12">
        <f>IF((V97-W97)&lt;0,0,(V97-W97))</f>
        <v>1776</v>
      </c>
      <c r="AA97" s="12">
        <f>IF((W97-V97)&lt;0,0,(W97-V97))</f>
        <v>0</v>
      </c>
    </row>
    <row r="98" spans="1:27" ht="19.5">
      <c r="A98" s="10">
        <v>9</v>
      </c>
      <c r="B98" s="11" t="s">
        <v>96</v>
      </c>
      <c r="C98" s="10">
        <v>275</v>
      </c>
      <c r="D98" s="12">
        <f>Table14[[#This Row],[Enrolment S.Y. 2025-2026 ]]*8</f>
        <v>2200</v>
      </c>
      <c r="E98" s="12"/>
      <c r="F98" s="10"/>
      <c r="G98" s="12"/>
      <c r="H98" s="12">
        <f t="shared" si="22"/>
        <v>2200</v>
      </c>
      <c r="I98" s="12">
        <f t="shared" si="23"/>
        <v>0</v>
      </c>
      <c r="J98" s="12">
        <f>Table14[[#This Row],[Enrolment S.Y. 2025-2026 ]]*8</f>
        <v>2200</v>
      </c>
      <c r="K98" s="12"/>
      <c r="L98" s="10"/>
      <c r="M98" s="12"/>
      <c r="N98" s="12">
        <f t="shared" si="26"/>
        <v>2200</v>
      </c>
      <c r="O98" s="12">
        <f t="shared" si="27"/>
        <v>0</v>
      </c>
      <c r="P98" s="12">
        <f>Table14[[#This Row],[Enrolment S.Y. 2025-2026 ]]*8</f>
        <v>2200</v>
      </c>
      <c r="Q98" s="12"/>
      <c r="R98" s="10"/>
      <c r="S98" s="12"/>
      <c r="T98" s="12">
        <f t="shared" si="16"/>
        <v>2200</v>
      </c>
      <c r="U98" s="12">
        <f t="shared" si="17"/>
        <v>0</v>
      </c>
      <c r="V98" s="12">
        <f>Table14[[#This Row],[Enrolment S.Y. 2025-2026 ]]*8</f>
        <v>2200</v>
      </c>
      <c r="W98" s="12">
        <v>424</v>
      </c>
      <c r="X98" s="10">
        <v>2025</v>
      </c>
      <c r="Y98" s="12" t="s">
        <v>70</v>
      </c>
      <c r="Z98" s="12">
        <f t="shared" si="18"/>
        <v>1776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97</v>
      </c>
      <c r="C100" s="10">
        <v>275</v>
      </c>
      <c r="D100" s="12">
        <f>Table14[[#This Row],[Enrolment S.Y. 2025-2026 ]]*8</f>
        <v>2200</v>
      </c>
      <c r="E100" s="12"/>
      <c r="F100" s="10"/>
      <c r="G100" s="12"/>
      <c r="H100" s="12">
        <f>IF((D100-E100)&lt;0,0,(D100-E100))</f>
        <v>2200</v>
      </c>
      <c r="I100" s="12">
        <f>IF((E100-D100)&lt;0,0,(E100-D100))</f>
        <v>0</v>
      </c>
      <c r="J100" s="12">
        <f>Table14[[#This Row],[Enrolment S.Y. 2025-2026 ]]*8</f>
        <v>2200</v>
      </c>
      <c r="K100" s="12"/>
      <c r="L100" s="10"/>
      <c r="M100" s="12"/>
      <c r="N100" s="12">
        <f t="shared" si="26"/>
        <v>2200</v>
      </c>
      <c r="O100" s="12">
        <f t="shared" si="27"/>
        <v>0</v>
      </c>
      <c r="P100" s="12">
        <f>Table14[[#This Row],[Enrolment S.Y. 2025-2026 ]]*8</f>
        <v>2200</v>
      </c>
      <c r="Q100" s="12">
        <v>371</v>
      </c>
      <c r="R100" s="10"/>
      <c r="S100" s="12"/>
      <c r="T100" s="12">
        <f>IF((P100-Q100)&lt;0,0,(P100-Q100))</f>
        <v>1829</v>
      </c>
      <c r="U100" s="12">
        <f>IF((Q100-P100)&lt;0,0,(Q100-P100))</f>
        <v>0</v>
      </c>
      <c r="V100" s="12">
        <f>Table14[[#This Row],[Enrolment S.Y. 2025-2026 ]]*8</f>
        <v>2200</v>
      </c>
      <c r="W100" s="12">
        <v>265</v>
      </c>
      <c r="X100" s="10">
        <v>2025</v>
      </c>
      <c r="Y100" s="12" t="s">
        <v>70</v>
      </c>
      <c r="Z100" s="12">
        <f>IF((V100-W100)&lt;0,0,(V100-W100))</f>
        <v>1935</v>
      </c>
      <c r="AA100" s="12">
        <f>IF((W100-V100)&lt;0,0,(W100-V100))</f>
        <v>0</v>
      </c>
    </row>
    <row r="101" spans="1:27" ht="19.5">
      <c r="A101" s="10">
        <v>9</v>
      </c>
      <c r="B101" s="11" t="s">
        <v>98</v>
      </c>
      <c r="C101" s="10">
        <v>275</v>
      </c>
      <c r="D101" s="12">
        <f>Table14[[#This Row],[Enrolment S.Y. 2025-2026 ]]*8</f>
        <v>2200</v>
      </c>
      <c r="E101" s="12"/>
      <c r="F101" s="10"/>
      <c r="G101" s="12"/>
      <c r="H101" s="12">
        <f t="shared" si="22"/>
        <v>2200</v>
      </c>
      <c r="I101" s="12">
        <f t="shared" si="23"/>
        <v>0</v>
      </c>
      <c r="J101" s="12">
        <f>Table14[[#This Row],[Enrolment S.Y. 2025-2026 ]]*8</f>
        <v>2200</v>
      </c>
      <c r="K101" s="12"/>
      <c r="L101" s="10"/>
      <c r="M101" s="12"/>
      <c r="N101" s="12">
        <f t="shared" si="26"/>
        <v>2200</v>
      </c>
      <c r="O101" s="12">
        <f t="shared" si="27"/>
        <v>0</v>
      </c>
      <c r="P101" s="12">
        <f>Table14[[#This Row],[Enrolment S.Y. 2025-2026 ]]*8</f>
        <v>2200</v>
      </c>
      <c r="Q101" s="12">
        <v>159</v>
      </c>
      <c r="R101" s="10"/>
      <c r="S101" s="12"/>
      <c r="T101" s="12">
        <f t="shared" si="16"/>
        <v>2041</v>
      </c>
      <c r="U101" s="12">
        <f t="shared" si="17"/>
        <v>0</v>
      </c>
      <c r="V101" s="12">
        <f>Table14[[#This Row],[Enrolment S.Y. 2025-2026 ]]*8</f>
        <v>2200</v>
      </c>
      <c r="W101" s="12">
        <v>265</v>
      </c>
      <c r="X101" s="10">
        <v>2025</v>
      </c>
      <c r="Y101" s="12" t="s">
        <v>70</v>
      </c>
      <c r="Z101" s="12">
        <f t="shared" si="18"/>
        <v>1935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254</v>
      </c>
      <c r="D103" s="12">
        <f>Table14[[#This Row],[Enrolment S.Y. 2025-2026 ]]*8</f>
        <v>2032</v>
      </c>
      <c r="E103" s="12">
        <v>80</v>
      </c>
      <c r="F103" s="10">
        <v>2025</v>
      </c>
      <c r="G103" s="12" t="s">
        <v>70</v>
      </c>
      <c r="H103" s="12">
        <f t="shared" si="22"/>
        <v>1952</v>
      </c>
      <c r="I103" s="12">
        <f t="shared" si="23"/>
        <v>0</v>
      </c>
      <c r="J103" s="12">
        <f>Table14[[#This Row],[Enrolment S.Y. 2025-2026 ]]*8</f>
        <v>2032</v>
      </c>
      <c r="K103" s="12">
        <v>392</v>
      </c>
      <c r="L103" s="10">
        <v>2025</v>
      </c>
      <c r="M103" s="12" t="s">
        <v>70</v>
      </c>
      <c r="N103" s="12">
        <f t="shared" si="20"/>
        <v>1640</v>
      </c>
      <c r="O103" s="12">
        <f t="shared" si="21"/>
        <v>0</v>
      </c>
      <c r="P103" s="12">
        <f>Table14[[#This Row],[Enrolment S.Y. 2025-2026 ]]*8</f>
        <v>2032</v>
      </c>
      <c r="Q103" s="12">
        <v>245</v>
      </c>
      <c r="R103" s="10">
        <v>2025</v>
      </c>
      <c r="S103" s="12" t="s">
        <v>70</v>
      </c>
      <c r="T103" s="12">
        <f t="shared" si="16"/>
        <v>1787</v>
      </c>
      <c r="U103" s="12">
        <f t="shared" si="17"/>
        <v>0</v>
      </c>
      <c r="V103" s="12">
        <f>Table14[[#This Row],[Enrolment S.Y. 2025-2026 ]]*8</f>
        <v>2032</v>
      </c>
      <c r="W103" s="12">
        <v>147</v>
      </c>
      <c r="X103" s="10">
        <v>2025</v>
      </c>
      <c r="Y103" s="12" t="s">
        <v>70</v>
      </c>
      <c r="Z103" s="12">
        <f t="shared" si="18"/>
        <v>1885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254</v>
      </c>
      <c r="D104" s="12">
        <f>Table14[[#This Row],[Enrolment S.Y. 2025-2026 ]]*8</f>
        <v>2032</v>
      </c>
      <c r="E104" s="12">
        <v>70</v>
      </c>
      <c r="F104" s="10">
        <v>2025</v>
      </c>
      <c r="G104" s="12" t="s">
        <v>70</v>
      </c>
      <c r="H104" s="12">
        <f t="shared" si="22"/>
        <v>1962</v>
      </c>
      <c r="I104" s="12">
        <f t="shared" si="23"/>
        <v>0</v>
      </c>
      <c r="J104" s="12">
        <f>Table14[[#This Row],[Enrolment S.Y. 2025-2026 ]]*8</f>
        <v>2032</v>
      </c>
      <c r="K104" s="12"/>
      <c r="L104" s="10"/>
      <c r="M104" s="12"/>
      <c r="N104" s="12">
        <f t="shared" si="20"/>
        <v>2032</v>
      </c>
      <c r="O104" s="12">
        <f t="shared" si="21"/>
        <v>0</v>
      </c>
      <c r="P104" s="12">
        <f>Table14[[#This Row],[Enrolment S.Y. 2025-2026 ]]*8</f>
        <v>2032</v>
      </c>
      <c r="Q104" s="12">
        <v>294</v>
      </c>
      <c r="R104" s="10">
        <v>2025</v>
      </c>
      <c r="S104" s="12" t="s">
        <v>70</v>
      </c>
      <c r="T104" s="12">
        <f t="shared" si="16"/>
        <v>1738</v>
      </c>
      <c r="U104" s="12">
        <f t="shared" si="17"/>
        <v>0</v>
      </c>
      <c r="V104" s="12">
        <f>Table14[[#This Row],[Enrolment S.Y. 2025-2026 ]]*8</f>
        <v>2032</v>
      </c>
      <c r="W104" s="12">
        <v>343</v>
      </c>
      <c r="X104" s="10">
        <v>2025</v>
      </c>
      <c r="Y104" s="12" t="s">
        <v>70</v>
      </c>
      <c r="Z104" s="12">
        <f t="shared" si="18"/>
        <v>1689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254</v>
      </c>
      <c r="D105" s="12">
        <f>Table14[[#This Row],[Enrolment S.Y. 2025-2026 ]]*8</f>
        <v>2032</v>
      </c>
      <c r="E105" s="12">
        <v>100</v>
      </c>
      <c r="F105" s="10">
        <v>2025</v>
      </c>
      <c r="G105" s="12" t="s">
        <v>70</v>
      </c>
      <c r="H105" s="12">
        <f t="shared" si="22"/>
        <v>1932</v>
      </c>
      <c r="I105" s="12">
        <f t="shared" si="23"/>
        <v>0</v>
      </c>
      <c r="J105" s="12">
        <f>Table14[[#This Row],[Enrolment S.Y. 2025-2026 ]]*8</f>
        <v>2032</v>
      </c>
      <c r="K105" s="12">
        <v>441</v>
      </c>
      <c r="L105" s="10">
        <v>2025</v>
      </c>
      <c r="M105" s="12" t="s">
        <v>70</v>
      </c>
      <c r="N105" s="12">
        <f t="shared" si="20"/>
        <v>1591</v>
      </c>
      <c r="O105" s="12">
        <f t="shared" si="21"/>
        <v>0</v>
      </c>
      <c r="P105" s="12">
        <f>Table14[[#This Row],[Enrolment S.Y. 2025-2026 ]]*8</f>
        <v>2032</v>
      </c>
      <c r="Q105" s="12">
        <v>343</v>
      </c>
      <c r="R105" s="10">
        <v>2025</v>
      </c>
      <c r="S105" s="12" t="s">
        <v>70</v>
      </c>
      <c r="T105" s="12">
        <f t="shared" si="16"/>
        <v>1689</v>
      </c>
      <c r="U105" s="12">
        <f t="shared" si="17"/>
        <v>0</v>
      </c>
      <c r="V105" s="12">
        <f>Table14[[#This Row],[Enrolment S.Y. 2025-2026 ]]*8</f>
        <v>2032</v>
      </c>
      <c r="W105" s="12">
        <v>196</v>
      </c>
      <c r="X105" s="10">
        <v>2025</v>
      </c>
      <c r="Y105" s="12" t="s">
        <v>70</v>
      </c>
      <c r="Z105" s="12">
        <f t="shared" si="18"/>
        <v>1836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254</v>
      </c>
      <c r="D106" s="12">
        <f>Table14[[#This Row],[Enrolment S.Y. 2025-2026 ]]*8</f>
        <v>2032</v>
      </c>
      <c r="E106" s="12"/>
      <c r="F106" s="10"/>
      <c r="G106" s="12"/>
      <c r="H106" s="12">
        <f t="shared" si="22"/>
        <v>2032</v>
      </c>
      <c r="I106" s="12">
        <f t="shared" si="23"/>
        <v>0</v>
      </c>
      <c r="J106" s="12">
        <f>Table14[[#This Row],[Enrolment S.Y. 2025-2026 ]]*8</f>
        <v>2032</v>
      </c>
      <c r="K106" s="12"/>
      <c r="L106" s="10"/>
      <c r="M106" s="12"/>
      <c r="N106" s="12">
        <f t="shared" si="20"/>
        <v>2032</v>
      </c>
      <c r="O106" s="12">
        <f t="shared" si="21"/>
        <v>0</v>
      </c>
      <c r="P106" s="12">
        <f>Table14[[#This Row],[Enrolment S.Y. 2025-2026 ]]*8</f>
        <v>2032</v>
      </c>
      <c r="Q106" s="12">
        <v>343</v>
      </c>
      <c r="R106" s="10">
        <v>2025</v>
      </c>
      <c r="S106" s="12" t="s">
        <v>70</v>
      </c>
      <c r="T106" s="12">
        <f t="shared" si="16"/>
        <v>1689</v>
      </c>
      <c r="U106" s="12">
        <f t="shared" si="17"/>
        <v>0</v>
      </c>
      <c r="V106" s="12">
        <f>Table14[[#This Row],[Enrolment S.Y. 2025-2026 ]]*8</f>
        <v>2032</v>
      </c>
      <c r="W106" s="12">
        <v>196</v>
      </c>
      <c r="X106" s="10">
        <v>2025</v>
      </c>
      <c r="Y106" s="12" t="s">
        <v>70</v>
      </c>
      <c r="Z106" s="12">
        <f t="shared" si="18"/>
        <v>1836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254</v>
      </c>
      <c r="D107" s="12">
        <f>Table14[[#This Row],[Enrolment S.Y. 2025-2026 ]]*8</f>
        <v>2032</v>
      </c>
      <c r="E107" s="12"/>
      <c r="F107" s="10"/>
      <c r="G107" s="12"/>
      <c r="H107" s="12">
        <f t="shared" si="22"/>
        <v>2032</v>
      </c>
      <c r="I107" s="12">
        <f t="shared" si="23"/>
        <v>0</v>
      </c>
      <c r="J107" s="12">
        <f>Table14[[#This Row],[Enrolment S.Y. 2025-2026 ]]*8</f>
        <v>2032</v>
      </c>
      <c r="K107" s="12"/>
      <c r="L107" s="10"/>
      <c r="M107" s="12"/>
      <c r="N107" s="12">
        <f t="shared" si="20"/>
        <v>2032</v>
      </c>
      <c r="O107" s="12">
        <f t="shared" si="21"/>
        <v>0</v>
      </c>
      <c r="P107" s="12">
        <f>Table14[[#This Row],[Enrolment S.Y. 2025-2026 ]]*8</f>
        <v>2032</v>
      </c>
      <c r="Q107" s="12">
        <v>196</v>
      </c>
      <c r="R107" s="10">
        <v>2025</v>
      </c>
      <c r="S107" s="12" t="s">
        <v>70</v>
      </c>
      <c r="T107" s="12">
        <f t="shared" si="16"/>
        <v>1836</v>
      </c>
      <c r="U107" s="12">
        <f t="shared" si="17"/>
        <v>0</v>
      </c>
      <c r="V107" s="12">
        <f>Table14[[#This Row],[Enrolment S.Y. 2025-2026 ]]*8</f>
        <v>2032</v>
      </c>
      <c r="W107" s="12">
        <v>196</v>
      </c>
      <c r="X107" s="10">
        <v>2025</v>
      </c>
      <c r="Y107" s="12" t="s">
        <v>70</v>
      </c>
      <c r="Z107" s="12">
        <f t="shared" si="18"/>
        <v>1836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254</v>
      </c>
      <c r="D108" s="12">
        <f>Table14[[#This Row],[Enrolment S.Y. 2025-2026 ]]*8</f>
        <v>2032</v>
      </c>
      <c r="E108" s="12"/>
      <c r="F108" s="10"/>
      <c r="G108" s="12"/>
      <c r="H108" s="12">
        <f t="shared" si="22"/>
        <v>2032</v>
      </c>
      <c r="I108" s="12">
        <f t="shared" si="23"/>
        <v>0</v>
      </c>
      <c r="J108" s="12">
        <f>Table14[[#This Row],[Enrolment S.Y. 2025-2026 ]]*8</f>
        <v>2032</v>
      </c>
      <c r="K108" s="12"/>
      <c r="L108" s="10"/>
      <c r="M108" s="12"/>
      <c r="N108" s="12">
        <f t="shared" si="20"/>
        <v>2032</v>
      </c>
      <c r="O108" s="12">
        <f t="shared" si="21"/>
        <v>0</v>
      </c>
      <c r="P108" s="12">
        <f>Table14[[#This Row],[Enrolment S.Y. 2025-2026 ]]*8</f>
        <v>2032</v>
      </c>
      <c r="Q108" s="12">
        <v>343</v>
      </c>
      <c r="R108" s="10">
        <v>2025</v>
      </c>
      <c r="S108" s="12" t="s">
        <v>70</v>
      </c>
      <c r="T108" s="12">
        <f t="shared" si="16"/>
        <v>1689</v>
      </c>
      <c r="U108" s="12">
        <f t="shared" si="17"/>
        <v>0</v>
      </c>
      <c r="V108" s="12">
        <f>Table14[[#This Row],[Enrolment S.Y. 2025-2026 ]]*8</f>
        <v>2032</v>
      </c>
      <c r="W108" s="12">
        <v>196</v>
      </c>
      <c r="X108" s="10">
        <v>2025</v>
      </c>
      <c r="Y108" s="12" t="s">
        <v>70</v>
      </c>
      <c r="Z108" s="12">
        <f t="shared" si="18"/>
        <v>1836</v>
      </c>
      <c r="AA108" s="12">
        <f t="shared" si="19"/>
        <v>0</v>
      </c>
    </row>
    <row r="109" spans="1:27" ht="19.5">
      <c r="A109" s="38">
        <v>10</v>
      </c>
      <c r="B109" s="11" t="s">
        <v>95</v>
      </c>
      <c r="C109" s="10">
        <v>254</v>
      </c>
      <c r="D109" s="12">
        <f>Table14[[#This Row],[Enrolment S.Y. 2025-2026 ]]*8</f>
        <v>2032</v>
      </c>
      <c r="E109" s="12"/>
      <c r="F109" s="10"/>
      <c r="G109" s="12"/>
      <c r="H109" s="12">
        <f>IF((D109-E109)&lt;0,0,(D109-E109))</f>
        <v>2032</v>
      </c>
      <c r="I109" s="12">
        <f>IF((E109-D109)&lt;0,0,(E109-D109))</f>
        <v>0</v>
      </c>
      <c r="J109" s="12">
        <f>Table14[[#This Row],[Enrolment S.Y. 2025-2026 ]]*8</f>
        <v>2032</v>
      </c>
      <c r="K109" s="12"/>
      <c r="L109" s="10"/>
      <c r="M109" s="12"/>
      <c r="N109" s="12">
        <f t="shared" ref="N109:N113" si="28">IF((J109-K109)&lt;0,0,(J109-K109))</f>
        <v>2032</v>
      </c>
      <c r="O109" s="12">
        <f t="shared" ref="O109:O113" si="29">IF((K109-J109)&lt;0,0,(K109-J109))</f>
        <v>0</v>
      </c>
      <c r="P109" s="12">
        <f>Table14[[#This Row],[Enrolment S.Y. 2025-2026 ]]*8</f>
        <v>2032</v>
      </c>
      <c r="Q109" s="12">
        <v>98</v>
      </c>
      <c r="R109" s="10">
        <v>2025</v>
      </c>
      <c r="S109" s="12" t="s">
        <v>70</v>
      </c>
      <c r="T109" s="12">
        <f>IF((P109-Q109)&lt;0,0,(P109-Q109))</f>
        <v>1934</v>
      </c>
      <c r="U109" s="12">
        <f>IF((Q109-P109)&lt;0,0,(Q109-P109))</f>
        <v>0</v>
      </c>
      <c r="V109" s="12">
        <f>Table14[[#This Row],[Enrolment S.Y. 2025-2026 ]]*8</f>
        <v>2032</v>
      </c>
      <c r="W109" s="12">
        <v>98</v>
      </c>
      <c r="X109" s="10">
        <v>2025</v>
      </c>
      <c r="Y109" s="12" t="s">
        <v>70</v>
      </c>
      <c r="Z109" s="12">
        <f>IF((V109-W109)&lt;0,0,(V109-W109))</f>
        <v>1934</v>
      </c>
      <c r="AA109" s="12">
        <f>IF((W109-V109)&lt;0,0,(W109-V109))</f>
        <v>0</v>
      </c>
    </row>
    <row r="110" spans="1:27" ht="19.5">
      <c r="A110" s="10">
        <v>10</v>
      </c>
      <c r="B110" s="11" t="s">
        <v>96</v>
      </c>
      <c r="C110" s="10">
        <v>254</v>
      </c>
      <c r="D110" s="12">
        <f>Table14[[#This Row],[Enrolment S.Y. 2025-2026 ]]*8</f>
        <v>2032</v>
      </c>
      <c r="E110" s="12"/>
      <c r="F110" s="10"/>
      <c r="G110" s="12"/>
      <c r="H110" s="12">
        <f t="shared" si="22"/>
        <v>2032</v>
      </c>
      <c r="I110" s="12">
        <f t="shared" si="23"/>
        <v>0</v>
      </c>
      <c r="J110" s="12">
        <f>Table14[[#This Row],[Enrolment S.Y. 2025-2026 ]]*8</f>
        <v>2032</v>
      </c>
      <c r="K110" s="12"/>
      <c r="L110" s="10"/>
      <c r="M110" s="12"/>
      <c r="N110" s="12">
        <f t="shared" si="28"/>
        <v>2032</v>
      </c>
      <c r="O110" s="12">
        <f t="shared" si="29"/>
        <v>0</v>
      </c>
      <c r="P110" s="12">
        <f>Table14[[#This Row],[Enrolment S.Y. 2025-2026 ]]*8</f>
        <v>2032</v>
      </c>
      <c r="Q110" s="12">
        <v>147</v>
      </c>
      <c r="R110" s="10">
        <v>2025</v>
      </c>
      <c r="S110" s="12" t="s">
        <v>70</v>
      </c>
      <c r="T110" s="12">
        <f t="shared" si="16"/>
        <v>1885</v>
      </c>
      <c r="U110" s="12">
        <f t="shared" si="17"/>
        <v>0</v>
      </c>
      <c r="V110" s="12">
        <f>Table14[[#This Row],[Enrolment S.Y. 2025-2026 ]]*8</f>
        <v>2032</v>
      </c>
      <c r="W110" s="12">
        <v>196</v>
      </c>
      <c r="X110" s="10">
        <v>2025</v>
      </c>
      <c r="Y110" s="12" t="s">
        <v>70</v>
      </c>
      <c r="Z110" s="12">
        <f t="shared" si="18"/>
        <v>1836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97</v>
      </c>
      <c r="C112" s="10">
        <v>254</v>
      </c>
      <c r="D112" s="12">
        <f>Table14[[#This Row],[Enrolment S.Y. 2025-2026 ]]*8</f>
        <v>2032</v>
      </c>
      <c r="E112" s="12"/>
      <c r="F112" s="10"/>
      <c r="G112" s="12"/>
      <c r="H112" s="12">
        <f>IF((D112-E112)&lt;0,0,(D112-E112))</f>
        <v>2032</v>
      </c>
      <c r="I112" s="12">
        <f>IF((E112-D112)&lt;0,0,(E112-D112))</f>
        <v>0</v>
      </c>
      <c r="J112" s="12">
        <f>Table14[[#This Row],[Enrolment S.Y. 2025-2026 ]]*8</f>
        <v>2032</v>
      </c>
      <c r="K112" s="12"/>
      <c r="L112" s="10"/>
      <c r="M112" s="12"/>
      <c r="N112" s="12">
        <f t="shared" si="28"/>
        <v>2032</v>
      </c>
      <c r="O112" s="12">
        <f t="shared" si="29"/>
        <v>0</v>
      </c>
      <c r="P112" s="12">
        <f>Table14[[#This Row],[Enrolment S.Y. 2025-2026 ]]*8</f>
        <v>2032</v>
      </c>
      <c r="Q112" s="12">
        <v>98</v>
      </c>
      <c r="R112" s="10">
        <v>2025</v>
      </c>
      <c r="S112" s="12" t="s">
        <v>70</v>
      </c>
      <c r="T112" s="12">
        <f>IF((P112-Q112)&lt;0,0,(P112-Q112))</f>
        <v>1934</v>
      </c>
      <c r="U112" s="12">
        <f>IF((Q112-P112)&lt;0,0,(Q112-P112))</f>
        <v>0</v>
      </c>
      <c r="V112" s="12">
        <f>Table14[[#This Row],[Enrolment S.Y. 2025-2026 ]]*8</f>
        <v>2032</v>
      </c>
      <c r="W112" s="12">
        <v>49</v>
      </c>
      <c r="X112" s="10">
        <v>2025</v>
      </c>
      <c r="Y112" s="12" t="s">
        <v>70</v>
      </c>
      <c r="Z112" s="12">
        <f>IF((V112-W112)&lt;0,0,(V112-W112))</f>
        <v>1983</v>
      </c>
      <c r="AA112" s="12">
        <f>IF((W112-V112)&lt;0,0,(W112-V112))</f>
        <v>0</v>
      </c>
    </row>
    <row r="113" spans="1:28" ht="19.5">
      <c r="A113" s="10">
        <v>10</v>
      </c>
      <c r="B113" s="11" t="s">
        <v>98</v>
      </c>
      <c r="C113" s="10">
        <v>254</v>
      </c>
      <c r="D113" s="12">
        <f>Table14[[#This Row],[Enrolment S.Y. 2025-2026 ]]*8</f>
        <v>2032</v>
      </c>
      <c r="E113" s="12"/>
      <c r="F113" s="10"/>
      <c r="G113" s="12"/>
      <c r="H113" s="12">
        <f t="shared" si="22"/>
        <v>2032</v>
      </c>
      <c r="I113" s="12">
        <f t="shared" si="23"/>
        <v>0</v>
      </c>
      <c r="J113" s="12">
        <f>Table14[[#This Row],[Enrolment S.Y. 2025-2026 ]]*8</f>
        <v>2032</v>
      </c>
      <c r="K113" s="12"/>
      <c r="L113" s="10"/>
      <c r="M113" s="12"/>
      <c r="N113" s="12">
        <f t="shared" si="28"/>
        <v>2032</v>
      </c>
      <c r="O113" s="12">
        <f t="shared" si="29"/>
        <v>0</v>
      </c>
      <c r="P113" s="12">
        <f>Table14[[#This Row],[Enrolment S.Y. 2025-2026 ]]*8</f>
        <v>2032</v>
      </c>
      <c r="Q113" s="12">
        <v>98</v>
      </c>
      <c r="R113" s="10">
        <v>2025</v>
      </c>
      <c r="S113" s="12" t="s">
        <v>70</v>
      </c>
      <c r="T113" s="12">
        <f t="shared" si="16"/>
        <v>1934</v>
      </c>
      <c r="U113" s="12">
        <f t="shared" si="17"/>
        <v>0</v>
      </c>
      <c r="V113" s="12">
        <f>Table14[[#This Row],[Enrolment S.Y. 2025-2026 ]]*8</f>
        <v>2032</v>
      </c>
      <c r="W113" s="12">
        <v>147</v>
      </c>
      <c r="X113" s="10">
        <v>2025</v>
      </c>
      <c r="Y113" s="12" t="s">
        <v>70</v>
      </c>
      <c r="Z113" s="12">
        <f t="shared" si="18"/>
        <v>1885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91:C101 C103:C113" name="Textbooks"/>
    <protectedRange sqref="J2:L2 D2:F10 D12:F19 D21:F29 D31:F41 D43:F53 D55:F65 D67:F77 D79:F89 D115:F122 P2:R10 N3:O10 V2:X10 T3:U10 N12:R19 T12:X19 H3:L10 Z3:AA10 Z12:AA19 H12:L19 N21:R29 T21:X29 Z21:AA29 H21:L29 T31:X41 Z31:AA41 H31:L41 T43:X53 Z43:AA53 H43:L53 T55:X65 Z55:AA65 H55:L65 T67:X77 Z67:AA77 H67:L77 T79:X89 Z79:AA89 H79:L89 Z91:AA101 Z103:AA113 N115:R122 T115:X122 Z115:AA122 H115:L122 N31:R41 N43:R53 N55:R65 N67:R77 N79:R89 N91:R101 D91:F101 H91:L101 T91:X101 D103:F113 H103:L113 N103:R113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S91:S101 Y115:Y122 G115:G122 M115:M122 S115:S122 G91:G101 M91:M101 Y91:Y101 G103:G113 M103:M113 S103:S113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M91:M101 S91:S101 G91:G101 G103:G113 M115:M122 S103:S113 M103:M113 Y91:Y101 Y103:Y113" xr:uid="{CBD486C7-A5DB-48F1-B496-5027CC51E830}">
      <formula1>"CO,RO,SDO,LGU,SCHOOL"</formula1>
    </dataValidation>
    <dataValidation type="list" allowBlank="1" showInputMessage="1" showErrorMessage="1" sqref="X21:X29 X31:X41 X43:X53 X67:X77 X79:X89 X55:X65 L91:L101 R103:R113 X12:X19 X3:X10 L21:L29 L31:L41 L43:L53 L67:L77 L79:L89 L55:L65 F91:F101 X91:X101 L12:L19 L3:L10 R21:R29 R31:R41 R43:R53 R67:R77 R79:R89 R55:R65 R91:R101 L103:L113 R12:R19 R3:R10 F21:F29 F31:F41 F43:F53 F67:F77 F79:F89 F55:F65 F3:F10 F103:F113 X115:X122 F12:F19 F115:F122 R115:R122 L115:L122 X103:X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2026-01-07T02:57:05Z</dcterms:modified>
  <cp:category/>
  <cp:contentStatus/>
</cp:coreProperties>
</file>