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4" documentId="13_ncr:1_{BFB59F67-F0DC-4675-A682-EB0734A8026A}" xr6:coauthVersionLast="47" xr6:coauthVersionMax="47" xr10:uidLastSave="{0AE30DFE-BFEC-4881-A243-5DA21B7A6D31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<sst xmlns="http://schemas.openxmlformats.org/spreadsheetml/2006/main" count="447" uniqueCount="92">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</sst>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D36" sqref="D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189</v>
      </c>
      <c r="D2" s="1">
        <v>420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231</v>
      </c>
    </row>
    <row r="3" spans="1:8" ht="29.25" customHeight="1">
      <c r="A3" s="1">
        <v>1</v>
      </c>
      <c r="B3" s="2" t="s">
        <v>10</v>
      </c>
      <c r="C3" s="1">
        <v>189</v>
      </c>
      <c r="D3" s="1">
        <v>420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231</v>
      </c>
    </row>
    <row r="4" spans="1:8" ht="21" customHeight="1">
      <c r="A4" s="1">
        <v>1</v>
      </c>
      <c r="B4" s="2" t="s">
        <v>11</v>
      </c>
      <c r="C4" s="1">
        <v>189</v>
      </c>
      <c r="D4" s="1">
        <v>420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231</v>
      </c>
    </row>
    <row r="5" spans="1:8" ht="25.5" customHeight="1">
      <c r="A5" s="1">
        <v>1</v>
      </c>
      <c r="B5" s="2" t="s">
        <v>12</v>
      </c>
      <c r="C5" s="1">
        <v>189</v>
      </c>
      <c r="D5" s="1">
        <v>420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231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197</v>
      </c>
      <c r="D11" s="1">
        <v>238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41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261</v>
      </c>
      <c r="D22" s="1">
        <v>361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100</v>
      </c>
    </row>
    <row r="23" spans="1:8" ht="19.5">
      <c r="A23" s="1">
        <v>4</v>
      </c>
      <c r="B23" s="9" t="s">
        <v>13</v>
      </c>
      <c r="C23" s="1">
        <v>261</v>
      </c>
      <c r="D23" s="1">
        <v>361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100</v>
      </c>
    </row>
    <row r="24" spans="1:8" ht="27" customHeight="1">
      <c r="A24" s="1">
        <v>4</v>
      </c>
      <c r="B24" s="9" t="s">
        <v>11</v>
      </c>
      <c r="C24" s="1">
        <v>261</v>
      </c>
      <c r="D24" s="1">
        <v>361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100</v>
      </c>
    </row>
    <row r="25" spans="1:8" ht="33.75" customHeight="1">
      <c r="A25" s="1">
        <v>4</v>
      </c>
      <c r="B25" s="9" t="s">
        <v>18</v>
      </c>
      <c r="C25" s="1">
        <v>261</v>
      </c>
      <c r="D25" s="1">
        <v>361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100</v>
      </c>
    </row>
    <row r="26" spans="1:8" ht="33.75" customHeight="1">
      <c r="A26" s="1">
        <v>4</v>
      </c>
      <c r="B26" s="9" t="s">
        <v>15</v>
      </c>
      <c r="C26" s="1">
        <v>261</v>
      </c>
      <c r="D26" s="1">
        <v>361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100</v>
      </c>
    </row>
    <row r="27" spans="1:8" ht="33.75" customHeight="1">
      <c r="A27" s="1">
        <v>4</v>
      </c>
      <c r="B27" s="9" t="s">
        <v>19</v>
      </c>
      <c r="C27" s="1">
        <v>261</v>
      </c>
      <c r="D27" s="1">
        <v>361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100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261</v>
      </c>
      <c r="D29" s="1">
        <v>361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100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261</v>
      </c>
      <c r="D31" s="1">
        <v>325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261</v>
      </c>
      <c r="D35" s="1">
        <v>315</v>
      </c>
      <c r="E35" s="1">
        <v>2025</v>
      </c>
      <c r="F35" s="5" t="s">
        <v>14</v>
      </c>
      <c r="G35" s="3">
        <f t="shared" si="6"/>
        <v>0</v>
      </c>
      <c r="H35" s="4">
        <f t="shared" si="7"/>
        <v>54</v>
      </c>
    </row>
    <row r="36" spans="1:8" ht="27.75" customHeight="1">
      <c r="A36" s="1">
        <v>5</v>
      </c>
      <c r="B36" s="9" t="s">
        <v>15</v>
      </c>
      <c r="C36" s="1">
        <v>261</v>
      </c>
      <c r="D36" s="1">
        <v>325</v>
      </c>
      <c r="E36" s="1">
        <v>2025</v>
      </c>
      <c r="F36" s="5" t="s">
        <v>14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19</v>
      </c>
      <c r="C37" s="1">
        <v>261</v>
      </c>
      <c r="D37" s="1">
        <v>325</v>
      </c>
      <c r="E37" s="1">
        <v>2025</v>
      </c>
      <c r="F37" s="5" t="s">
        <v>14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20</v>
      </c>
      <c r="C38" s="1">
        <v>261</v>
      </c>
      <c r="D38" s="1">
        <v>325</v>
      </c>
      <c r="E38" s="1">
        <v>2026</v>
      </c>
      <c r="F38" s="5" t="s">
        <v>14</v>
      </c>
      <c r="G38" s="3">
        <f t="shared" si="6"/>
        <v>0</v>
      </c>
      <c r="H38" s="4">
        <f t="shared" si="7"/>
        <v>64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2:E6 E21:E29 E14:E19 E8:E12 E31:E39" xr:uid="{B46E7B13-721E-4D49-837E-C02BF9777D48}">
      <formula1>"2024,2025,2026"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E40" activePane="bottomRight" state="frozen"/>
      <selection pane="bottomRight" activeCell="K19" sqref="K1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6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197</v>
      </c>
      <c r="D17" s="5">
        <f>Table1[[#This Row],[Enrolment S.Y. 2025-2026 ]]*8</f>
        <v>1576</v>
      </c>
      <c r="E17" s="5"/>
      <c r="F17" s="1"/>
      <c r="G17" s="5"/>
      <c r="H17" s="5">
        <f t="shared" si="2"/>
        <v>1576</v>
      </c>
      <c r="I17" s="5">
        <f t="shared" si="3"/>
        <v>0</v>
      </c>
      <c r="J17" s="5">
        <f>Table1[[#This Row],[Enrolment S.Y. 2025-2026 ]]*8</f>
        <v>1576</v>
      </c>
      <c r="K17" s="5">
        <v>1616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40</v>
      </c>
      <c r="P17" s="5">
        <f>Table1[[#This Row],[Enrolment S.Y. 2025-2026 ]]*8</f>
        <v>1576</v>
      </c>
      <c r="Q17" s="5"/>
      <c r="R17" s="1"/>
      <c r="S17" s="5"/>
      <c r="T17" s="5">
        <f t="shared" si="12"/>
        <v>1576</v>
      </c>
      <c r="U17" s="5">
        <f t="shared" si="13"/>
        <v>0</v>
      </c>
      <c r="V17" s="5">
        <f>Table1[[#This Row],[Enrolment S.Y. 2025-2026 ]]*8</f>
        <v>1576</v>
      </c>
      <c r="W17" s="5"/>
      <c r="X17" s="1"/>
      <c r="Y17" s="5"/>
      <c r="Z17" s="5">
        <f t="shared" si="14"/>
        <v>1576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197</v>
      </c>
      <c r="D19" s="5">
        <f>Table1[[#This Row],[Enrolment S.Y. 2025-2026 ]]*8</f>
        <v>1576</v>
      </c>
      <c r="E19" s="5">
        <v>1464</v>
      </c>
      <c r="F19" s="1">
        <v>2025</v>
      </c>
      <c r="G19" s="5" t="s">
        <v>9</v>
      </c>
      <c r="H19" s="5">
        <f>IF((D19-E19)&lt;0,0,(D19-E19))</f>
        <v>112</v>
      </c>
      <c r="I19" s="5">
        <f>IF((E19-D19)&lt;0,0,(E19-D19))</f>
        <v>0</v>
      </c>
      <c r="J19" s="5">
        <f>Table1[[#This Row],[Enrolment S.Y. 2025-2026 ]]*8</f>
        <v>1576</v>
      </c>
      <c r="K19" s="5">
        <v>1616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40</v>
      </c>
      <c r="P19" s="5">
        <f>Table1[[#This Row],[Enrolment S.Y. 2025-2026 ]]*8</f>
        <v>1576</v>
      </c>
      <c r="Q19" s="5"/>
      <c r="R19" s="1"/>
      <c r="S19" s="5"/>
      <c r="T19" s="5">
        <f t="shared" si="12"/>
        <v>1576</v>
      </c>
      <c r="U19" s="5">
        <f t="shared" si="13"/>
        <v>0</v>
      </c>
      <c r="V19" s="5">
        <f>Table1[[#This Row],[Enrolment S.Y. 2025-2026 ]]*8</f>
        <v>1576</v>
      </c>
      <c r="W19" s="5"/>
      <c r="X19" s="1"/>
      <c r="Y19" s="5"/>
      <c r="Z19" s="5">
        <f t="shared" si="14"/>
        <v>1576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197</v>
      </c>
      <c r="D20" s="5">
        <f>Table1[[#This Row],[Enrolment S.Y. 2025-2026 ]]*8</f>
        <v>1576</v>
      </c>
      <c r="E20" s="5">
        <v>1464</v>
      </c>
      <c r="F20" s="1">
        <v>2025</v>
      </c>
      <c r="G20" s="5" t="s">
        <v>9</v>
      </c>
      <c r="H20" s="5">
        <f>IF((D20-E20)&lt;0,0,(D20-E20))</f>
        <v>112</v>
      </c>
      <c r="I20" s="5">
        <f>IF((E20-D20)&lt;0,0,(E20-D20))</f>
        <v>0</v>
      </c>
      <c r="J20" s="5">
        <f>Table1[[#This Row],[Enrolment S.Y. 2025-2026 ]]*8</f>
        <v>1576</v>
      </c>
      <c r="K20" s="5"/>
      <c r="L20" s="1"/>
      <c r="M20" s="5"/>
      <c r="N20" s="5">
        <f t="shared" si="10"/>
        <v>1576</v>
      </c>
      <c r="O20" s="5">
        <f t="shared" si="11"/>
        <v>0</v>
      </c>
      <c r="P20" s="5">
        <f>Table1[[#This Row],[Enrolment S.Y. 2025-2026 ]]*8</f>
        <v>1576</v>
      </c>
      <c r="Q20" s="5"/>
      <c r="R20" s="1"/>
      <c r="S20" s="5"/>
      <c r="T20" s="5">
        <f t="shared" si="12"/>
        <v>1576</v>
      </c>
      <c r="U20" s="5">
        <f t="shared" si="13"/>
        <v>0</v>
      </c>
      <c r="V20" s="5">
        <f>Table1[[#This Row],[Enrolment S.Y. 2025-2026 ]]*8</f>
        <v>1576</v>
      </c>
      <c r="W20" s="5"/>
      <c r="X20" s="1"/>
      <c r="Y20" s="5"/>
      <c r="Z20" s="5">
        <f t="shared" si="14"/>
        <v>1576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215</v>
      </c>
      <c r="D26" s="5">
        <f>Table1[[#This Row],[Enrolment S.Y. 2025-2026 ]]*8</f>
        <v>1720</v>
      </c>
      <c r="E26" s="5">
        <v>1616</v>
      </c>
      <c r="F26" s="1">
        <v>2025</v>
      </c>
      <c r="G26" s="5" t="s">
        <v>9</v>
      </c>
      <c r="H26" s="5">
        <f t="shared" si="2"/>
        <v>104</v>
      </c>
      <c r="I26" s="5">
        <f t="shared" si="3"/>
        <v>0</v>
      </c>
      <c r="J26" s="5">
        <f>Table1[[#This Row],[Enrolment S.Y. 2025-2026 ]]*8</f>
        <v>1720</v>
      </c>
      <c r="K26" s="5"/>
      <c r="L26" s="1"/>
      <c r="M26" s="5"/>
      <c r="N26" s="5">
        <f t="shared" si="10"/>
        <v>1720</v>
      </c>
      <c r="O26" s="5">
        <f t="shared" si="11"/>
        <v>0</v>
      </c>
      <c r="P26" s="5">
        <f>Table1[[#This Row],[Enrolment S.Y. 2025-2026 ]]*8</f>
        <v>1720</v>
      </c>
      <c r="Q26" s="5"/>
      <c r="R26" s="1"/>
      <c r="S26" s="5"/>
      <c r="T26" s="5">
        <f t="shared" si="12"/>
        <v>1720</v>
      </c>
      <c r="U26" s="5">
        <f t="shared" si="13"/>
        <v>0</v>
      </c>
      <c r="V26" s="5">
        <f>Table1[[#This Row],[Enrolment S.Y. 2025-2026 ]]*8</f>
        <v>1720</v>
      </c>
      <c r="W26" s="5"/>
      <c r="X26" s="1"/>
      <c r="Y26" s="5"/>
      <c r="Z26" s="5">
        <f t="shared" si="14"/>
        <v>1720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215</v>
      </c>
      <c r="D28" s="5">
        <f>Table1[[#This Row],[Enrolment S.Y. 2025-2026 ]]*8</f>
        <v>1720</v>
      </c>
      <c r="E28" s="5">
        <v>1616</v>
      </c>
      <c r="F28" s="1">
        <v>2025</v>
      </c>
      <c r="G28" s="5" t="s">
        <v>9</v>
      </c>
      <c r="H28" s="5">
        <f t="shared" si="2"/>
        <v>104</v>
      </c>
      <c r="I28" s="5">
        <f t="shared" si="3"/>
        <v>0</v>
      </c>
      <c r="J28" s="5">
        <f>Table1[[#This Row],[Enrolment S.Y. 2025-2026 ]]*8</f>
        <v>1720</v>
      </c>
      <c r="K28" s="5"/>
      <c r="L28" s="1"/>
      <c r="M28" s="5"/>
      <c r="N28" s="5">
        <f t="shared" si="10"/>
        <v>1720</v>
      </c>
      <c r="O28" s="5">
        <f t="shared" si="11"/>
        <v>0</v>
      </c>
      <c r="P28" s="5">
        <f>Table1[[#This Row],[Enrolment S.Y. 2025-2026 ]]*8</f>
        <v>1720</v>
      </c>
      <c r="Q28" s="5"/>
      <c r="R28" s="1"/>
      <c r="S28" s="5"/>
      <c r="T28" s="5">
        <f t="shared" si="12"/>
        <v>1720</v>
      </c>
      <c r="U28" s="5">
        <f t="shared" si="13"/>
        <v>0</v>
      </c>
      <c r="V28" s="5">
        <f>Table1[[#This Row],[Enrolment S.Y. 2025-2026 ]]*8</f>
        <v>1720</v>
      </c>
      <c r="W28" s="5"/>
      <c r="X28" s="1"/>
      <c r="Y28" s="5"/>
      <c r="Z28" s="5">
        <f t="shared" si="14"/>
        <v>1720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215</v>
      </c>
      <c r="D29" s="5">
        <f>Table1[[#This Row],[Enrolment S.Y. 2025-2026 ]]*8</f>
        <v>1720</v>
      </c>
      <c r="E29" s="5">
        <v>1616</v>
      </c>
      <c r="F29" s="1">
        <v>2025</v>
      </c>
      <c r="G29" s="5" t="s">
        <v>9</v>
      </c>
      <c r="H29" s="5">
        <f>IF((D29-E29)&lt;0,0,(D29-E29))</f>
        <v>104</v>
      </c>
      <c r="I29" s="5">
        <f>IF((E29-D29)&lt;0,0,(E29-D29))</f>
        <v>0</v>
      </c>
      <c r="J29" s="5">
        <f>Table1[[#This Row],[Enrolment S.Y. 2025-2026 ]]*8</f>
        <v>1720</v>
      </c>
      <c r="K29" s="5"/>
      <c r="L29" s="1"/>
      <c r="M29" s="5"/>
      <c r="N29" s="5">
        <f t="shared" si="10"/>
        <v>1720</v>
      </c>
      <c r="O29" s="5">
        <f t="shared" si="11"/>
        <v>0</v>
      </c>
      <c r="P29" s="5">
        <f>Table1[[#This Row],[Enrolment S.Y. 2025-2026 ]]*8</f>
        <v>1720</v>
      </c>
      <c r="Q29" s="5"/>
      <c r="R29" s="1"/>
      <c r="S29" s="5"/>
      <c r="T29" s="5">
        <f t="shared" si="12"/>
        <v>1720</v>
      </c>
      <c r="U29" s="5">
        <f t="shared" si="13"/>
        <v>0</v>
      </c>
      <c r="V29" s="5">
        <f>Table1[[#This Row],[Enrolment S.Y. 2025-2026 ]]*8</f>
        <v>1720</v>
      </c>
      <c r="W29" s="5"/>
      <c r="X29" s="1"/>
      <c r="Y29" s="5"/>
      <c r="Z29" s="5">
        <f t="shared" si="14"/>
        <v>1720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261</v>
      </c>
      <c r="D43" s="5">
        <f>Table1[[#This Row],[Enrolment S.Y. 2025-2026 ]]*8</f>
        <v>2088</v>
      </c>
      <c r="E43" s="5"/>
      <c r="F43" s="1"/>
      <c r="G43" s="5"/>
      <c r="H43" s="5">
        <f t="shared" si="2"/>
        <v>2088</v>
      </c>
      <c r="I43" s="5">
        <f t="shared" si="3"/>
        <v>0</v>
      </c>
      <c r="J43" s="5">
        <f>Table1[[#This Row],[Enrolment S.Y. 2025-2026 ]]*8</f>
        <v>2088</v>
      </c>
      <c r="K43" s="5">
        <v>1648</v>
      </c>
      <c r="L43" s="1">
        <v>2025</v>
      </c>
      <c r="M43" s="5" t="s">
        <v>9</v>
      </c>
      <c r="N43" s="5">
        <f t="shared" si="10"/>
        <v>440</v>
      </c>
      <c r="O43" s="5">
        <f t="shared" si="11"/>
        <v>0</v>
      </c>
      <c r="P43" s="5">
        <f>Table1[[#This Row],[Enrolment S.Y. 2025-2026 ]]*8</f>
        <v>2088</v>
      </c>
      <c r="Q43" s="5"/>
      <c r="R43" s="1"/>
      <c r="S43" s="5"/>
      <c r="T43" s="5">
        <f t="shared" si="12"/>
        <v>2088</v>
      </c>
      <c r="U43" s="5">
        <f t="shared" si="13"/>
        <v>0</v>
      </c>
      <c r="V43" s="5">
        <f>Table1[[#This Row],[Enrolment S.Y. 2025-2026 ]]*8</f>
        <v>2088</v>
      </c>
      <c r="W43" s="5"/>
      <c r="X43" s="1"/>
      <c r="Y43" s="5"/>
      <c r="Z43" s="5">
        <f t="shared" si="14"/>
        <v>2088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261</v>
      </c>
      <c r="D45" s="5">
        <f>Table1[[#This Row],[Enrolment S.Y. 2025-2026 ]]*8</f>
        <v>2088</v>
      </c>
      <c r="E45" s="5">
        <v>928</v>
      </c>
      <c r="F45" s="1">
        <v>2025</v>
      </c>
      <c r="G45" s="5" t="s">
        <v>9</v>
      </c>
      <c r="H45" s="5">
        <f t="shared" si="2"/>
        <v>1160</v>
      </c>
      <c r="I45" s="5">
        <f t="shared" si="3"/>
        <v>0</v>
      </c>
      <c r="J45" s="5">
        <f>Table1[[#This Row],[Enrolment S.Y. 2025-2026 ]]*8</f>
        <v>2088</v>
      </c>
      <c r="K45" s="5">
        <v>1648</v>
      </c>
      <c r="L45" s="1">
        <v>2025</v>
      </c>
      <c r="M45" s="5" t="s">
        <v>9</v>
      </c>
      <c r="N45" s="5">
        <f t="shared" si="10"/>
        <v>440</v>
      </c>
      <c r="O45" s="5">
        <f t="shared" si="11"/>
        <v>0</v>
      </c>
      <c r="P45" s="5">
        <f>Table1[[#This Row],[Enrolment S.Y. 2025-2026 ]]*8</f>
        <v>2088</v>
      </c>
      <c r="Q45" s="5"/>
      <c r="R45" s="1"/>
      <c r="S45" s="5"/>
      <c r="T45" s="5">
        <f t="shared" si="12"/>
        <v>2088</v>
      </c>
      <c r="U45" s="5">
        <f t="shared" si="13"/>
        <v>0</v>
      </c>
      <c r="V45" s="5">
        <f>Table1[[#This Row],[Enrolment S.Y. 2025-2026 ]]*8</f>
        <v>2088</v>
      </c>
      <c r="W45" s="5"/>
      <c r="X45" s="1"/>
      <c r="Y45" s="5"/>
      <c r="Z45" s="5">
        <f t="shared" si="14"/>
        <v>2088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261</v>
      </c>
      <c r="D48" s="5">
        <f>Table1[[#This Row],[Enrolment S.Y. 2025-2026 ]]*8</f>
        <v>2088</v>
      </c>
      <c r="E48" s="5">
        <v>928</v>
      </c>
      <c r="F48" s="1">
        <v>2025</v>
      </c>
      <c r="G48" s="5" t="s">
        <v>9</v>
      </c>
      <c r="H48" s="5">
        <f t="shared" si="2"/>
        <v>1160</v>
      </c>
      <c r="I48" s="5">
        <f t="shared" si="3"/>
        <v>0</v>
      </c>
      <c r="J48" s="5">
        <f>Table1[[#This Row],[Enrolment S.Y. 2025-2026 ]]*8</f>
        <v>2088</v>
      </c>
      <c r="K48" s="5"/>
      <c r="L48" s="1"/>
      <c r="M48" s="5"/>
      <c r="N48" s="5">
        <f t="shared" si="10"/>
        <v>2088</v>
      </c>
      <c r="O48" s="5">
        <f t="shared" si="11"/>
        <v>0</v>
      </c>
      <c r="P48" s="5">
        <f>Table1[[#This Row],[Enrolment S.Y. 2025-2026 ]]*8</f>
        <v>2088</v>
      </c>
      <c r="Q48" s="5"/>
      <c r="R48" s="1"/>
      <c r="S48" s="5"/>
      <c r="T48" s="5">
        <f t="shared" si="12"/>
        <v>2088</v>
      </c>
      <c r="U48" s="5">
        <f t="shared" si="13"/>
        <v>0</v>
      </c>
      <c r="V48" s="5">
        <f>Table1[[#This Row],[Enrolment S.Y. 2025-2026 ]]*8</f>
        <v>2088</v>
      </c>
      <c r="W48" s="5"/>
      <c r="X48" s="1"/>
      <c r="Y48" s="5"/>
      <c r="Z48" s="5">
        <f t="shared" si="14"/>
        <v>2088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16 C23:C25 C33:C41 C44 C53:C61 C63:C71 C73:C81 C83:C91 C93:C101 C103:C110 C112:C127 C5:C12 C21 C18 C30:C31 C27 C46:C47 C49:C51" name="Textbooks"/>
    <protectedRange sqref="J2:L3 D2:F3 H5:L5 D14:F21 Q14:R21 W14:X2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23:F31" name="LAS"/>
    <protectedRange sqref="G2:I3 M2:O2 S2:U3 Y2:AA3 G112:G127 M112:M127 S112:S127 Y112:Y127 G5:G12 M5:M12 S4:S110 Y5:Y12 G14:G21 M14:M110 M3 Y14:Y110 G33:G41 G43:G51 G53:G61 G63:G71 G73:G81 G83:G91 G93:G101 G103:G110 G23:G31" name="SOURCE"/>
    <protectedRange sqref="C19" name="Textbooks_1"/>
    <protectedRange sqref="C20" name="Textbooks_2"/>
    <protectedRange sqref="C17" name="Textbooks_3"/>
    <protectedRange sqref="C28" name="Textbooks_4"/>
    <protectedRange sqref="C26" name="Textbooks_5"/>
    <protectedRange sqref="C29" name="Textbooks_6"/>
    <protectedRange sqref="C45 C43" name="Textbooks_7"/>
    <protectedRange sqref="C48" name="Textbooks_8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103:G110 G33:G41 G43:G51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D132" activePane="bottomRight" state="frozen"/>
      <selection pane="bottomRight" activeCell="J141" sqref="J1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29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197</v>
      </c>
      <c r="D16" s="5">
        <f>Table14[[#This Row],[Enrolment S.Y. 2025-2026 ]]*8</f>
        <v>1576</v>
      </c>
      <c r="E16" s="5">
        <v>1836</v>
      </c>
      <c r="F16" s="1">
        <v>2024</v>
      </c>
      <c r="G16" s="5" t="s">
        <v>9</v>
      </c>
      <c r="H16" s="5">
        <f t="shared" si="0"/>
        <v>0</v>
      </c>
      <c r="I16" s="5">
        <f t="shared" si="1"/>
        <v>260</v>
      </c>
      <c r="J16" s="5">
        <f>Table14[[#This Row],[Enrolment S.Y. 2025-2026 ]]*8</f>
        <v>1576</v>
      </c>
      <c r="K16" s="5"/>
      <c r="L16" s="1"/>
      <c r="M16" s="5"/>
      <c r="N16" s="5">
        <f t="shared" si="2"/>
        <v>1576</v>
      </c>
      <c r="O16" s="5">
        <f t="shared" si="3"/>
        <v>0</v>
      </c>
      <c r="P16" s="5">
        <f>Table14[[#This Row],[Enrolment S.Y. 2025-2026 ]]*8</f>
        <v>1576</v>
      </c>
      <c r="Q16" s="5"/>
      <c r="R16" s="1"/>
      <c r="S16" s="5"/>
      <c r="T16" s="5">
        <f t="shared" si="4"/>
        <v>1576</v>
      </c>
      <c r="U16" s="5">
        <f t="shared" si="5"/>
        <v>0</v>
      </c>
      <c r="V16" s="5">
        <f>Table14[[#This Row],[Enrolment S.Y. 2025-2026 ]]*8</f>
        <v>1576</v>
      </c>
      <c r="W16" s="5"/>
      <c r="X16" s="1"/>
      <c r="Y16" s="5"/>
      <c r="Z16" s="5">
        <f t="shared" si="6"/>
        <v>1576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197</v>
      </c>
      <c r="D17" s="5">
        <f>Table14[[#This Row],[Enrolment S.Y. 2025-2026 ]]*8</f>
        <v>1576</v>
      </c>
      <c r="E17" s="5">
        <v>918</v>
      </c>
      <c r="F17" s="1">
        <v>2024</v>
      </c>
      <c r="G17" s="5" t="s">
        <v>9</v>
      </c>
      <c r="H17" s="5">
        <f>IF((D17-E17)&lt;0,0,(D17-E17))</f>
        <v>658</v>
      </c>
      <c r="I17" s="5">
        <f>IF((E17-D17)&lt;0,0,(E17-D17))</f>
        <v>0</v>
      </c>
      <c r="J17" s="5">
        <f>Table14[[#This Row],[Enrolment S.Y. 2025-2026 ]]*8</f>
        <v>1576</v>
      </c>
      <c r="K17" s="5"/>
      <c r="L17" s="1"/>
      <c r="M17" s="5"/>
      <c r="N17" s="5">
        <f t="shared" si="2"/>
        <v>1576</v>
      </c>
      <c r="O17" s="5">
        <f t="shared" si="3"/>
        <v>0</v>
      </c>
      <c r="P17" s="5">
        <f>Table14[[#This Row],[Enrolment S.Y. 2025-2026 ]]*8</f>
        <v>1576</v>
      </c>
      <c r="Q17" s="5"/>
      <c r="R17" s="1"/>
      <c r="S17" s="5"/>
      <c r="T17" s="5">
        <f t="shared" si="4"/>
        <v>1576</v>
      </c>
      <c r="U17" s="5">
        <f t="shared" si="5"/>
        <v>0</v>
      </c>
      <c r="V17" s="5">
        <f>Table14[[#This Row],[Enrolment S.Y. 2025-2026 ]]*8</f>
        <v>1576</v>
      </c>
      <c r="W17" s="5"/>
      <c r="X17" s="1"/>
      <c r="Y17" s="5"/>
      <c r="Z17" s="5">
        <f t="shared" si="6"/>
        <v>1576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197</v>
      </c>
      <c r="D18" s="5">
        <f>Table14[[#This Row],[Enrolment S.Y. 2025-2026 ]]*8</f>
        <v>1576</v>
      </c>
      <c r="E18" s="5">
        <v>918</v>
      </c>
      <c r="F18" s="1">
        <v>2024</v>
      </c>
      <c r="G18" s="5" t="s">
        <v>9</v>
      </c>
      <c r="H18" s="5">
        <f>IF((D18-E18)&lt;0,0,(D18-E18))</f>
        <v>658</v>
      </c>
      <c r="I18" s="5">
        <f>IF((E18-D18)&lt;0,0,(E18-D18))</f>
        <v>0</v>
      </c>
      <c r="J18" s="5">
        <f>Table14[[#This Row],[Enrolment S.Y. 2025-2026 ]]*8</f>
        <v>1576</v>
      </c>
      <c r="K18" s="5"/>
      <c r="L18" s="1"/>
      <c r="M18" s="5"/>
      <c r="N18" s="5">
        <f t="shared" si="2"/>
        <v>1576</v>
      </c>
      <c r="O18" s="5">
        <f t="shared" si="3"/>
        <v>0</v>
      </c>
      <c r="P18" s="5">
        <f>Table14[[#This Row],[Enrolment S.Y. 2025-2026 ]]*8</f>
        <v>1576</v>
      </c>
      <c r="Q18" s="5"/>
      <c r="R18" s="1"/>
      <c r="S18" s="5"/>
      <c r="T18" s="5">
        <f t="shared" si="4"/>
        <v>1576</v>
      </c>
      <c r="U18" s="5">
        <f t="shared" si="5"/>
        <v>0</v>
      </c>
      <c r="V18" s="5">
        <f>Table14[[#This Row],[Enrolment S.Y. 2025-2026 ]]*8</f>
        <v>1576</v>
      </c>
      <c r="W18" s="5"/>
      <c r="X18" s="1"/>
      <c r="Y18" s="5"/>
      <c r="Z18" s="5">
        <f t="shared" si="6"/>
        <v>1576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215</v>
      </c>
      <c r="D26" s="5">
        <f>Table14[[#This Row],[Enrolment S.Y. 2025-2026 ]]*8</f>
        <v>1720</v>
      </c>
      <c r="E26" s="5">
        <v>1375</v>
      </c>
      <c r="F26" s="1">
        <v>2024</v>
      </c>
      <c r="G26" s="5" t="s">
        <v>9</v>
      </c>
      <c r="H26" s="5">
        <f t="shared" si="0"/>
        <v>345</v>
      </c>
      <c r="I26" s="5">
        <f t="shared" si="1"/>
        <v>0</v>
      </c>
      <c r="J26" s="5">
        <f>Table14[[#This Row],[Enrolment S.Y. 2025-2026 ]]*8</f>
        <v>1720</v>
      </c>
      <c r="K26" s="5"/>
      <c r="L26" s="1"/>
      <c r="M26" s="5"/>
      <c r="N26" s="5">
        <f t="shared" si="2"/>
        <v>1720</v>
      </c>
      <c r="O26" s="5">
        <f t="shared" si="3"/>
        <v>0</v>
      </c>
      <c r="P26" s="5">
        <f>Table14[[#This Row],[Enrolment S.Y. 2025-2026 ]]*8</f>
        <v>1720</v>
      </c>
      <c r="Q26" s="5"/>
      <c r="R26" s="1"/>
      <c r="S26" s="5"/>
      <c r="T26" s="5">
        <f t="shared" si="4"/>
        <v>1720</v>
      </c>
      <c r="U26" s="5">
        <f t="shared" si="5"/>
        <v>0</v>
      </c>
      <c r="V26" s="5">
        <f>Table14[[#This Row],[Enrolment S.Y. 2025-2026 ]]*8</f>
        <v>1720</v>
      </c>
      <c r="W26" s="5"/>
      <c r="X26" s="1"/>
      <c r="Y26" s="5"/>
      <c r="Z26" s="5">
        <f t="shared" si="6"/>
        <v>1720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215</v>
      </c>
      <c r="D27" s="5">
        <f>Table14[[#This Row],[Enrolment S.Y. 2025-2026 ]]*8</f>
        <v>1720</v>
      </c>
      <c r="E27" s="5">
        <v>1650</v>
      </c>
      <c r="F27" s="1">
        <v>2024</v>
      </c>
      <c r="G27" s="5" t="s">
        <v>9</v>
      </c>
      <c r="H27" s="5">
        <f>IF((D27-E27)&lt;0,0,(D27-E27))</f>
        <v>70</v>
      </c>
      <c r="I27" s="5">
        <f>IF((E27-D27)&lt;0,0,(E27-D27))</f>
        <v>0</v>
      </c>
      <c r="J27" s="5">
        <f>Table14[[#This Row],[Enrolment S.Y. 2025-2026 ]]*8</f>
        <v>1720</v>
      </c>
      <c r="K27" s="5"/>
      <c r="L27" s="1"/>
      <c r="M27" s="5"/>
      <c r="N27" s="5">
        <f t="shared" si="2"/>
        <v>1720</v>
      </c>
      <c r="O27" s="5">
        <f t="shared" si="3"/>
        <v>0</v>
      </c>
      <c r="P27" s="5">
        <f>Table14[[#This Row],[Enrolment S.Y. 2025-2026 ]]*8</f>
        <v>1720</v>
      </c>
      <c r="Q27" s="5"/>
      <c r="R27" s="1"/>
      <c r="S27" s="5"/>
      <c r="T27" s="5">
        <f t="shared" si="4"/>
        <v>1720</v>
      </c>
      <c r="U27" s="5">
        <f t="shared" si="5"/>
        <v>0</v>
      </c>
      <c r="V27" s="5">
        <f>Table14[[#This Row],[Enrolment S.Y. 2025-2026 ]]*8</f>
        <v>1720</v>
      </c>
      <c r="W27" s="5"/>
      <c r="X27" s="1"/>
      <c r="Y27" s="5"/>
      <c r="Z27" s="5">
        <f t="shared" si="6"/>
        <v>1720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215</v>
      </c>
      <c r="D28" s="5">
        <f>Table14[[#This Row],[Enrolment S.Y. 2025-2026 ]]*8</f>
        <v>1720</v>
      </c>
      <c r="E28" s="5">
        <v>2475</v>
      </c>
      <c r="F28" s="1">
        <v>2024</v>
      </c>
      <c r="G28" s="5" t="s">
        <v>9</v>
      </c>
      <c r="H28" s="5">
        <f>IF((D28-E28)&lt;0,0,(D28-E28))</f>
        <v>0</v>
      </c>
      <c r="I28" s="5">
        <f>IF((E28-D28)&lt;0,0,(E28-D28))</f>
        <v>755</v>
      </c>
      <c r="J28" s="5">
        <f>Table14[[#This Row],[Enrolment S.Y. 2025-2026 ]]*8</f>
        <v>1720</v>
      </c>
      <c r="K28" s="5"/>
      <c r="L28" s="1"/>
      <c r="M28" s="5"/>
      <c r="N28" s="5">
        <f t="shared" si="2"/>
        <v>1720</v>
      </c>
      <c r="O28" s="5">
        <f t="shared" si="3"/>
        <v>0</v>
      </c>
      <c r="P28" s="5">
        <f>Table14[[#This Row],[Enrolment S.Y. 2025-2026 ]]*8</f>
        <v>1720</v>
      </c>
      <c r="Q28" s="5"/>
      <c r="R28" s="1"/>
      <c r="S28" s="5"/>
      <c r="T28" s="5">
        <f t="shared" si="4"/>
        <v>1720</v>
      </c>
      <c r="U28" s="5">
        <f t="shared" si="5"/>
        <v>0</v>
      </c>
      <c r="V28" s="5">
        <f>Table14[[#This Row],[Enrolment S.Y. 2025-2026 ]]*8</f>
        <v>1720</v>
      </c>
      <c r="W28" s="5"/>
      <c r="X28" s="1"/>
      <c r="Y28" s="5"/>
      <c r="Z28" s="5">
        <f t="shared" si="6"/>
        <v>1720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218</v>
      </c>
      <c r="D55" s="5">
        <f>Table14[[#This Row],[Enrolment S.Y. 2025-2026 ]]*8</f>
        <v>1744</v>
      </c>
      <c r="E55" s="5">
        <v>255</v>
      </c>
      <c r="F55" s="1">
        <v>2025</v>
      </c>
      <c r="G55" s="5" t="s">
        <v>9</v>
      </c>
      <c r="H55" s="5">
        <f t="shared" si="0"/>
        <v>1489</v>
      </c>
      <c r="I55" s="5">
        <f t="shared" si="1"/>
        <v>0</v>
      </c>
      <c r="J55" s="5">
        <f>Table14[[#This Row],[Enrolment S.Y. 2025-2026 ]]*8</f>
        <v>1744</v>
      </c>
      <c r="K55" s="5">
        <v>644</v>
      </c>
      <c r="L55" s="1">
        <v>2025</v>
      </c>
      <c r="M55" s="5" t="s">
        <v>9</v>
      </c>
      <c r="N55" s="5">
        <f t="shared" si="2"/>
        <v>1100</v>
      </c>
      <c r="O55" s="5">
        <f t="shared" si="3"/>
        <v>0</v>
      </c>
      <c r="P55" s="5">
        <f>Table14[[#This Row],[Enrolment S.Y. 2025-2026 ]]*8</f>
        <v>1744</v>
      </c>
      <c r="Q55" s="5">
        <v>92</v>
      </c>
      <c r="R55" s="1">
        <v>2025</v>
      </c>
      <c r="S55" s="5" t="s">
        <v>9</v>
      </c>
      <c r="T55" s="5">
        <f t="shared" si="4"/>
        <v>1652</v>
      </c>
      <c r="U55" s="5">
        <f t="shared" si="5"/>
        <v>0</v>
      </c>
      <c r="V55" s="5">
        <f>Table14[[#This Row],[Enrolment S.Y. 2025-2026 ]]*8</f>
        <v>1744</v>
      </c>
      <c r="W55" s="5">
        <v>322</v>
      </c>
      <c r="X55" s="1">
        <v>2025</v>
      </c>
      <c r="Y55" s="5" t="s">
        <v>9</v>
      </c>
      <c r="Z55" s="5">
        <f t="shared" si="6"/>
        <v>1422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218</v>
      </c>
      <c r="D56" s="5">
        <f>Table14[[#This Row],[Enrolment S.Y. 2025-2026 ]]*8</f>
        <v>1744</v>
      </c>
      <c r="E56" s="5">
        <v>1190</v>
      </c>
      <c r="F56" s="1">
        <v>2025</v>
      </c>
      <c r="G56" s="5" t="s">
        <v>9</v>
      </c>
      <c r="H56" s="5">
        <f t="shared" si="0"/>
        <v>554</v>
      </c>
      <c r="I56" s="5">
        <f t="shared" si="1"/>
        <v>0</v>
      </c>
      <c r="J56" s="5">
        <f>Table14[[#This Row],[Enrolment S.Y. 2025-2026 ]]*8</f>
        <v>1744</v>
      </c>
      <c r="K56" s="5">
        <v>138</v>
      </c>
      <c r="L56" s="1">
        <v>2025</v>
      </c>
      <c r="M56" s="5" t="s">
        <v>9</v>
      </c>
      <c r="N56" s="5">
        <f t="shared" si="2"/>
        <v>1606</v>
      </c>
      <c r="O56" s="5">
        <f t="shared" si="3"/>
        <v>0</v>
      </c>
      <c r="P56" s="5">
        <f>Table14[[#This Row],[Enrolment S.Y. 2025-2026 ]]*8</f>
        <v>1744</v>
      </c>
      <c r="Q56" s="5">
        <v>276</v>
      </c>
      <c r="R56" s="1">
        <v>2025</v>
      </c>
      <c r="S56" s="5" t="s">
        <v>9</v>
      </c>
      <c r="T56" s="5">
        <f t="shared" si="4"/>
        <v>1468</v>
      </c>
      <c r="U56" s="5">
        <f t="shared" si="5"/>
        <v>0</v>
      </c>
      <c r="V56" s="5">
        <f>Table14[[#This Row],[Enrolment S.Y. 2025-2026 ]]*8</f>
        <v>1744</v>
      </c>
      <c r="W56" s="5">
        <v>230</v>
      </c>
      <c r="X56" s="1">
        <v>2025</v>
      </c>
      <c r="Y56" s="5" t="s">
        <v>9</v>
      </c>
      <c r="Z56" s="5">
        <f t="shared" si="6"/>
        <v>1514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218</v>
      </c>
      <c r="D57" s="5">
        <f>Table14[[#This Row],[Enrolment S.Y. 2025-2026 ]]*8</f>
        <v>1744</v>
      </c>
      <c r="E57" s="5">
        <v>935</v>
      </c>
      <c r="F57" s="1">
        <v>2025</v>
      </c>
      <c r="G57" s="5" t="s">
        <v>9</v>
      </c>
      <c r="H57" s="5">
        <f t="shared" si="0"/>
        <v>809</v>
      </c>
      <c r="I57" s="5">
        <f t="shared" si="1"/>
        <v>0</v>
      </c>
      <c r="J57" s="5">
        <f>Table14[[#This Row],[Enrolment S.Y. 2025-2026 ]]*8</f>
        <v>1744</v>
      </c>
      <c r="K57" s="5">
        <v>644</v>
      </c>
      <c r="L57" s="1">
        <v>2025</v>
      </c>
      <c r="M57" s="5" t="s">
        <v>9</v>
      </c>
      <c r="N57" s="5">
        <f t="shared" si="2"/>
        <v>1100</v>
      </c>
      <c r="O57" s="5">
        <f t="shared" si="3"/>
        <v>0</v>
      </c>
      <c r="P57" s="5">
        <f>Table14[[#This Row],[Enrolment S.Y. 2025-2026 ]]*8</f>
        <v>1744</v>
      </c>
      <c r="Q57" s="5">
        <v>414</v>
      </c>
      <c r="R57" s="1">
        <v>2025</v>
      </c>
      <c r="S57" s="5" t="s">
        <v>9</v>
      </c>
      <c r="T57" s="5">
        <f t="shared" si="4"/>
        <v>1330</v>
      </c>
      <c r="U57" s="5">
        <f t="shared" si="5"/>
        <v>0</v>
      </c>
      <c r="V57" s="5">
        <f>Table14[[#This Row],[Enrolment S.Y. 2025-2026 ]]*8</f>
        <v>1744</v>
      </c>
      <c r="W57" s="5">
        <v>414</v>
      </c>
      <c r="X57" s="1">
        <v>2025</v>
      </c>
      <c r="Y57" s="5" t="s">
        <v>9</v>
      </c>
      <c r="Z57" s="5">
        <f t="shared" si="6"/>
        <v>1330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218</v>
      </c>
      <c r="D58" s="5">
        <f>Table14[[#This Row],[Enrolment S.Y. 2025-2026 ]]*8</f>
        <v>1744</v>
      </c>
      <c r="E58" s="5"/>
      <c r="F58" s="1"/>
      <c r="G58" s="5"/>
      <c r="H58" s="5">
        <f t="shared" si="0"/>
        <v>1744</v>
      </c>
      <c r="I58" s="5">
        <f t="shared" si="1"/>
        <v>0</v>
      </c>
      <c r="J58" s="5">
        <f>Table14[[#This Row],[Enrolment S.Y. 2025-2026 ]]*8</f>
        <v>1744</v>
      </c>
      <c r="K58" s="5"/>
      <c r="L58" s="1"/>
      <c r="M58" s="5"/>
      <c r="N58" s="5">
        <f t="shared" si="2"/>
        <v>1744</v>
      </c>
      <c r="O58" s="5">
        <f t="shared" si="3"/>
        <v>0</v>
      </c>
      <c r="P58" s="5">
        <f>Table14[[#This Row],[Enrolment S.Y. 2025-2026 ]]*8</f>
        <v>1744</v>
      </c>
      <c r="Q58" s="5">
        <v>184</v>
      </c>
      <c r="R58" s="1">
        <v>2025</v>
      </c>
      <c r="S58" s="5" t="s">
        <v>9</v>
      </c>
      <c r="T58" s="5">
        <f t="shared" si="4"/>
        <v>1560</v>
      </c>
      <c r="U58" s="5">
        <f t="shared" si="5"/>
        <v>0</v>
      </c>
      <c r="V58" s="5">
        <f>Table14[[#This Row],[Enrolment S.Y. 2025-2026 ]]*8</f>
        <v>1744</v>
      </c>
      <c r="W58" s="5">
        <v>92</v>
      </c>
      <c r="X58" s="1">
        <v>2025</v>
      </c>
      <c r="Y58" s="5" t="s">
        <v>9</v>
      </c>
      <c r="Z58" s="5">
        <f t="shared" si="6"/>
        <v>1652</v>
      </c>
      <c r="AA58" s="5">
        <f t="shared" si="7"/>
        <v>0</v>
      </c>
    </row>
    <row r="59" spans="1:27" ht="35.25" customHeight="1">
      <c r="A59" s="1">
        <v>6</v>
      </c>
      <c r="B59" s="9" t="s">
        <v>18</v>
      </c>
      <c r="C59" s="1">
        <v>218</v>
      </c>
      <c r="D59" s="5">
        <f>Table14[[#This Row],[Enrolment S.Y. 2025-2026 ]]*8</f>
        <v>1744</v>
      </c>
      <c r="E59" s="5"/>
      <c r="F59" s="1"/>
      <c r="G59" s="5"/>
      <c r="H59" s="5">
        <f t="shared" si="0"/>
        <v>1744</v>
      </c>
      <c r="I59" s="5">
        <f t="shared" si="1"/>
        <v>0</v>
      </c>
      <c r="J59" s="5">
        <f>Table14[[#This Row],[Enrolment S.Y. 2025-2026 ]]*8</f>
        <v>1744</v>
      </c>
      <c r="K59" s="5"/>
      <c r="L59" s="1"/>
      <c r="M59" s="5"/>
      <c r="N59" s="5">
        <f t="shared" si="2"/>
        <v>1744</v>
      </c>
      <c r="O59" s="5">
        <f t="shared" si="3"/>
        <v>0</v>
      </c>
      <c r="P59" s="5">
        <f>Table14[[#This Row],[Enrolment S.Y. 2025-2026 ]]*8</f>
        <v>1744</v>
      </c>
      <c r="Q59" s="5">
        <v>276</v>
      </c>
      <c r="R59" s="1">
        <v>2025</v>
      </c>
      <c r="S59" s="5" t="s">
        <v>9</v>
      </c>
      <c r="T59" s="5">
        <f t="shared" si="4"/>
        <v>1468</v>
      </c>
      <c r="U59" s="5">
        <f t="shared" si="5"/>
        <v>0</v>
      </c>
      <c r="V59" s="5">
        <f>Table14[[#This Row],[Enrolment S.Y. 2025-2026 ]]*8</f>
        <v>1744</v>
      </c>
      <c r="W59" s="5">
        <v>276</v>
      </c>
      <c r="X59" s="1">
        <v>2025</v>
      </c>
      <c r="Y59" s="5" t="s">
        <v>9</v>
      </c>
      <c r="Z59" s="5">
        <f t="shared" si="6"/>
        <v>1468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218</v>
      </c>
      <c r="D60" s="5">
        <f>Table14[[#This Row],[Enrolment S.Y. 2025-2026 ]]*8</f>
        <v>1744</v>
      </c>
      <c r="E60" s="5"/>
      <c r="F60" s="1"/>
      <c r="G60" s="5"/>
      <c r="H60" s="5">
        <f t="shared" si="0"/>
        <v>1744</v>
      </c>
      <c r="I60" s="5">
        <f t="shared" si="1"/>
        <v>0</v>
      </c>
      <c r="J60" s="5">
        <f>Table14[[#This Row],[Enrolment S.Y. 2025-2026 ]]*8</f>
        <v>1744</v>
      </c>
      <c r="K60" s="5"/>
      <c r="L60" s="1"/>
      <c r="M60" s="5"/>
      <c r="N60" s="5">
        <f t="shared" si="2"/>
        <v>1744</v>
      </c>
      <c r="O60" s="5">
        <f t="shared" si="3"/>
        <v>0</v>
      </c>
      <c r="P60" s="5">
        <f>Table14[[#This Row],[Enrolment S.Y. 2025-2026 ]]*8</f>
        <v>1744</v>
      </c>
      <c r="Q60" s="5">
        <v>184</v>
      </c>
      <c r="R60" s="1">
        <v>2025</v>
      </c>
      <c r="S60" s="5" t="s">
        <v>9</v>
      </c>
      <c r="T60" s="5">
        <f t="shared" si="4"/>
        <v>1560</v>
      </c>
      <c r="U60" s="5">
        <f t="shared" si="5"/>
        <v>0</v>
      </c>
      <c r="V60" s="5">
        <f>Table14[[#This Row],[Enrolment S.Y. 2025-2026 ]]*8</f>
        <v>1744</v>
      </c>
      <c r="W60" s="5"/>
      <c r="X60" s="1"/>
      <c r="Y60" s="5"/>
      <c r="Z60" s="5">
        <f t="shared" si="6"/>
        <v>1744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218</v>
      </c>
      <c r="D61" s="5">
        <f>Table14[[#This Row],[Enrolment S.Y. 2025-2026 ]]*8</f>
        <v>1744</v>
      </c>
      <c r="E61" s="5"/>
      <c r="F61" s="1"/>
      <c r="G61" s="5"/>
      <c r="H61" s="5">
        <f>IF((D61-E61)&lt;0,0,(D61-E61))</f>
        <v>1744</v>
      </c>
      <c r="I61" s="5">
        <f>IF((E61-D61)&lt;0,0,(E61-D61))</f>
        <v>0</v>
      </c>
      <c r="J61" s="5">
        <f>Table14[[#This Row],[Enrolment S.Y. 2025-2026 ]]*8</f>
        <v>1744</v>
      </c>
      <c r="K61" s="5"/>
      <c r="L61" s="1"/>
      <c r="M61" s="5"/>
      <c r="N61" s="5">
        <f t="shared" ref="N61:N65" si="12">IF((J61-K61)&lt;0,0,(J61-K61))</f>
        <v>1744</v>
      </c>
      <c r="O61" s="5">
        <f t="shared" ref="O61:O65" si="13">IF((K61-J61)&lt;0,0,(K61-J61))</f>
        <v>0</v>
      </c>
      <c r="P61" s="5">
        <f>Table14[[#This Row],[Enrolment S.Y. 2025-2026 ]]*8</f>
        <v>1744</v>
      </c>
      <c r="Q61" s="5">
        <v>184</v>
      </c>
      <c r="R61" s="1">
        <v>2025</v>
      </c>
      <c r="S61" s="5" t="s">
        <v>9</v>
      </c>
      <c r="T61" s="5">
        <f>IF((P61-Q61)&lt;0,0,(P61-Q61))</f>
        <v>1560</v>
      </c>
      <c r="U61" s="5">
        <f>IF((Q61-P61)&lt;0,0,(Q61-P61))</f>
        <v>0</v>
      </c>
      <c r="V61" s="5">
        <f>Table14[[#This Row],[Enrolment S.Y. 2025-2026 ]]*8</f>
        <v>1744</v>
      </c>
      <c r="W61" s="5">
        <v>138</v>
      </c>
      <c r="X61" s="1">
        <v>2025</v>
      </c>
      <c r="Y61" s="5" t="s">
        <v>9</v>
      </c>
      <c r="Z61" s="5">
        <f>IF((V61-W61)&lt;0,0,(V61-W61))</f>
        <v>1606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218</v>
      </c>
      <c r="D62" s="5">
        <f>Table14[[#This Row],[Enrolment S.Y. 2025-2026 ]]*8</f>
        <v>1744</v>
      </c>
      <c r="E62" s="5"/>
      <c r="F62" s="1"/>
      <c r="G62" s="5"/>
      <c r="H62" s="5">
        <f t="shared" si="0"/>
        <v>1744</v>
      </c>
      <c r="I62" s="5">
        <f t="shared" si="1"/>
        <v>0</v>
      </c>
      <c r="J62" s="5">
        <f>Table14[[#This Row],[Enrolment S.Y. 2025-2026 ]]*8</f>
        <v>1744</v>
      </c>
      <c r="K62" s="5"/>
      <c r="L62" s="1"/>
      <c r="M62" s="5"/>
      <c r="N62" s="5">
        <f t="shared" si="12"/>
        <v>1744</v>
      </c>
      <c r="O62" s="5">
        <f t="shared" si="13"/>
        <v>0</v>
      </c>
      <c r="P62" s="5">
        <f>Table14[[#This Row],[Enrolment S.Y. 2025-2026 ]]*8</f>
        <v>1744</v>
      </c>
      <c r="Q62" s="5">
        <v>322</v>
      </c>
      <c r="R62" s="1">
        <v>2025</v>
      </c>
      <c r="S62" s="5" t="s">
        <v>9</v>
      </c>
      <c r="T62" s="5">
        <f t="shared" si="4"/>
        <v>1422</v>
      </c>
      <c r="U62" s="5">
        <f t="shared" si="5"/>
        <v>0</v>
      </c>
      <c r="V62" s="5">
        <f>Table14[[#This Row],[Enrolment S.Y. 2025-2026 ]]*8</f>
        <v>1744</v>
      </c>
      <c r="W62" s="5">
        <v>414</v>
      </c>
      <c r="X62" s="1">
        <v>2025</v>
      </c>
      <c r="Y62" s="5" t="s">
        <v>9</v>
      </c>
      <c r="Z62" s="5">
        <f t="shared" si="6"/>
        <v>1330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218</v>
      </c>
      <c r="D64" s="5">
        <f>Table14[[#This Row],[Enrolment S.Y. 2025-2026 ]]*8</f>
        <v>1744</v>
      </c>
      <c r="E64" s="5"/>
      <c r="F64" s="1"/>
      <c r="G64" s="5"/>
      <c r="H64" s="5">
        <f>IF((D64-E64)&lt;0,0,(D64-E64))</f>
        <v>1744</v>
      </c>
      <c r="I64" s="5">
        <f>IF((E64-D64)&lt;0,0,(E64-D64))</f>
        <v>0</v>
      </c>
      <c r="J64" s="5">
        <f>Table14[[#This Row],[Enrolment S.Y. 2025-2026 ]]*8</f>
        <v>1744</v>
      </c>
      <c r="K64" s="5"/>
      <c r="L64" s="1"/>
      <c r="M64" s="5"/>
      <c r="N64" s="5">
        <f t="shared" si="12"/>
        <v>1744</v>
      </c>
      <c r="O64" s="5">
        <f t="shared" si="13"/>
        <v>0</v>
      </c>
      <c r="P64" s="5">
        <f>Table14[[#This Row],[Enrolment S.Y. 2025-2026 ]]*8</f>
        <v>1744</v>
      </c>
      <c r="Q64" s="5">
        <v>138</v>
      </c>
      <c r="R64" s="1">
        <v>2025</v>
      </c>
      <c r="S64" s="5" t="s">
        <v>9</v>
      </c>
      <c r="T64" s="5">
        <f>IF((P64-Q64)&lt;0,0,(P64-Q64))</f>
        <v>1606</v>
      </c>
      <c r="U64" s="5">
        <f>IF((Q64-P64)&lt;0,0,(Q64-P64))</f>
        <v>0</v>
      </c>
      <c r="V64" s="5">
        <f>Table14[[#This Row],[Enrolment S.Y. 2025-2026 ]]*8</f>
        <v>1744</v>
      </c>
      <c r="W64" s="5">
        <v>138</v>
      </c>
      <c r="X64" s="1">
        <v>2025</v>
      </c>
      <c r="Y64" s="5" t="s">
        <v>9</v>
      </c>
      <c r="Z64" s="5">
        <f>IF((V64-W64)&lt;0,0,(V64-W64))</f>
        <v>1606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218</v>
      </c>
      <c r="D65" s="5">
        <f>Table14[[#This Row],[Enrolment S.Y. 2025-2026 ]]*8</f>
        <v>1744</v>
      </c>
      <c r="E65" s="5"/>
      <c r="F65" s="1"/>
      <c r="G65" s="5"/>
      <c r="H65" s="5">
        <f t="shared" si="0"/>
        <v>1744</v>
      </c>
      <c r="I65" s="5">
        <f t="shared" si="1"/>
        <v>0</v>
      </c>
      <c r="J65" s="5">
        <f>Table14[[#This Row],[Enrolment S.Y. 2025-2026 ]]*8</f>
        <v>1744</v>
      </c>
      <c r="K65" s="5"/>
      <c r="L65" s="1"/>
      <c r="M65" s="5"/>
      <c r="N65" s="5">
        <f t="shared" si="12"/>
        <v>1744</v>
      </c>
      <c r="O65" s="5">
        <f t="shared" si="13"/>
        <v>0</v>
      </c>
      <c r="P65" s="5">
        <f>Table14[[#This Row],[Enrolment S.Y. 2025-2026 ]]*8</f>
        <v>1744</v>
      </c>
      <c r="Q65" s="5">
        <v>138</v>
      </c>
      <c r="R65" s="1">
        <v>2025</v>
      </c>
      <c r="S65" s="5" t="s">
        <v>9</v>
      </c>
      <c r="T65" s="5">
        <f t="shared" si="4"/>
        <v>1606</v>
      </c>
      <c r="U65" s="5">
        <f t="shared" si="5"/>
        <v>0</v>
      </c>
      <c r="V65" s="5">
        <f>Table14[[#This Row],[Enrolment S.Y. 2025-2026 ]]*8</f>
        <v>1744</v>
      </c>
      <c r="W65" s="5">
        <v>414</v>
      </c>
      <c r="X65" s="1">
        <v>2025</v>
      </c>
      <c r="Y65" s="5" t="s">
        <v>9</v>
      </c>
      <c r="Z65" s="5">
        <f t="shared" si="6"/>
        <v>1330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67:C77 C79:C89 C115:C122 C103:C113 C91:C101 C55:C65" name="Textbooks"/>
    <protectedRange sqref="J2:L2 D2:F10 D31:F41 D43:F53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D12:F19 D21:F29 D55:F65 H55:L65 N55:R65 T55:X65" name="LAS"/>
    <protectedRange sqref="G2:I2 M2:O2 S2:U2 Y2:AA2 G3:G10 M3:M10 S3:S10 Y3:Y10 Y12:Y19 M12:M19 S12:S19 Y21:Y29 M21:M29 S21:S29 Y31:Y41 G31:G41 M31:M41 S31:S41 Y43:Y53 G43:G53 M43:M53 S43:S53 Y67:Y77 G67:G77 M67:M77 S67:S77 Y79:Y89 G79:G89 M79:M89 S79:S89 Y91:Y101 G91:G101 M91:M101 S91:S101 Y103:Y113 G103:G113 M103:M113 S103:S113 Y115:Y122 G115:G122 M115:M122 S115:S122 G12:G19 G21:G29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Y12:Y19 S12:S19 M12:M19 M21:M29 G12:G19 Y21:Y29 S21:S29 S31:S41 M31:M41 G31:G41 Y31:Y41 Y43:Y53 S43:S53 M43:M53 G43:G53 G21:G29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2026-03-26T02:30:26Z</dcterms:modified>
  <cp:category/>
  <cp:contentStatus/>
</cp:coreProperties>
</file>