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3" documentId="13_ncr:1_{BFB59F67-F0DC-4675-A682-EB0734A8026A}" xr6:coauthVersionLast="47" xr6:coauthVersionMax="47" xr10:uidLastSave="{6B24ADC5-177A-4A64-BD1D-80FEE42E2A3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1" l="1"/>
  <c r="H55" i="1"/>
  <c r="G55" i="1"/>
  <c r="H54" i="1"/>
  <c r="G54" i="1"/>
  <c r="H53" i="1"/>
  <c r="G53" i="1"/>
  <c r="H52" i="1"/>
  <c r="G52" i="1"/>
  <c r="H51" i="1"/>
  <c r="G51" i="1"/>
  <c r="H50" i="1"/>
  <c r="G50" i="1"/>
  <c r="P45" i="5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</calcChain>
</file>

<file path=xl/sharedStrings.xml><?xml version="1.0" encoding="utf-8"?>
<sst xmlns="http://schemas.openxmlformats.org/spreadsheetml/2006/main" count="259" uniqueCount="90">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</sst>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5" totalsRowShown="0" headerRowDxfId="62" headerRowBorderDxfId="60" tableBorderDxfId="61">
  <autoFilter ref="A1:H5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opLeftCell="A87" zoomScale="85" zoomScaleNormal="85" workbookViewId="0">
      <pane xSplit="2" topLeftCell="C1" activePane="topRight" state="frozen"/>
      <selection pane="topRight" activeCell="E102" sqref="E102"/>
      <selection activeCell="A87" sqref="A8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>
        <v>578</v>
      </c>
      <c r="E42" s="1">
        <v>2024</v>
      </c>
      <c r="F42" s="4" t="s">
        <v>20</v>
      </c>
      <c r="G42" s="2">
        <f t="shared" ref="G42:G51" si="8">IF((C42-D42)&lt;0,0,C42-D42)</f>
        <v>0</v>
      </c>
      <c r="H42" s="3">
        <f t="shared" ref="H42:H51" si="9">IF((D42-C42)&lt;0,0,D42-C42)</f>
        <v>578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/>
      <c r="D44" s="1">
        <v>569</v>
      </c>
      <c r="E44" s="1">
        <v>2025</v>
      </c>
      <c r="F44" s="4" t="s">
        <v>20</v>
      </c>
      <c r="G44" s="2">
        <f t="shared" si="8"/>
        <v>0</v>
      </c>
      <c r="H44" s="3">
        <f t="shared" si="9"/>
        <v>569</v>
      </c>
    </row>
    <row r="45" spans="1:8" ht="36.75" customHeight="1">
      <c r="A45" s="1" t="s">
        <v>18</v>
      </c>
      <c r="B45" s="7" t="s">
        <v>23</v>
      </c>
      <c r="C45" s="1"/>
      <c r="D45" s="1">
        <f>481+108</f>
        <v>589</v>
      </c>
      <c r="E45" s="1">
        <v>2025</v>
      </c>
      <c r="F45" s="4" t="s">
        <v>20</v>
      </c>
      <c r="G45" s="2">
        <f t="shared" si="8"/>
        <v>0</v>
      </c>
      <c r="H45" s="3">
        <f t="shared" si="9"/>
        <v>589</v>
      </c>
    </row>
    <row r="46" spans="1:8" ht="27.75" customHeight="1">
      <c r="A46" s="1" t="s">
        <v>18</v>
      </c>
      <c r="B46" s="7" t="s">
        <v>24</v>
      </c>
      <c r="C46" s="1"/>
      <c r="D46" s="1">
        <v>589</v>
      </c>
      <c r="E46" s="1">
        <v>2025</v>
      </c>
      <c r="F46" s="4" t="s">
        <v>20</v>
      </c>
      <c r="G46" s="2">
        <f t="shared" si="8"/>
        <v>0</v>
      </c>
      <c r="H46" s="3">
        <f t="shared" si="9"/>
        <v>589</v>
      </c>
    </row>
    <row r="47" spans="1:8" ht="27.75" customHeight="1">
      <c r="A47" s="1" t="s">
        <v>18</v>
      </c>
      <c r="B47" s="7" t="s">
        <v>25</v>
      </c>
      <c r="C47" s="1"/>
      <c r="D47" s="1">
        <v>481</v>
      </c>
      <c r="E47" s="1">
        <v>2025</v>
      </c>
      <c r="F47" s="4" t="s">
        <v>20</v>
      </c>
      <c r="G47" s="2">
        <f t="shared" si="8"/>
        <v>0</v>
      </c>
      <c r="H47" s="3">
        <f t="shared" si="9"/>
        <v>481</v>
      </c>
    </row>
    <row r="48" spans="1:8" ht="27.75" customHeight="1">
      <c r="A48" s="1" t="s">
        <v>18</v>
      </c>
      <c r="B48" s="7" t="s">
        <v>26</v>
      </c>
      <c r="C48" s="1"/>
      <c r="D48" s="1">
        <v>589</v>
      </c>
      <c r="E48" s="1">
        <v>2025</v>
      </c>
      <c r="F48" s="4" t="s">
        <v>20</v>
      </c>
      <c r="G48" s="2">
        <f t="shared" si="8"/>
        <v>0</v>
      </c>
      <c r="H48" s="3">
        <f t="shared" si="9"/>
        <v>589</v>
      </c>
    </row>
    <row r="49" spans="1:8" ht="27.75" customHeight="1">
      <c r="A49" s="1" t="s">
        <v>18</v>
      </c>
      <c r="B49" s="7" t="s">
        <v>27</v>
      </c>
      <c r="C49" s="1"/>
      <c r="D49" s="1">
        <v>589</v>
      </c>
      <c r="E49" s="1">
        <v>2025</v>
      </c>
      <c r="F49" s="4" t="s">
        <v>20</v>
      </c>
      <c r="G49" s="2">
        <f t="shared" si="8"/>
        <v>0</v>
      </c>
      <c r="H49" s="3">
        <f t="shared" si="9"/>
        <v>589</v>
      </c>
    </row>
    <row r="50" spans="1:8" ht="27.75" customHeight="1">
      <c r="A50" s="1" t="s">
        <v>18</v>
      </c>
      <c r="B50" s="7" t="s">
        <v>28</v>
      </c>
      <c r="C50" s="1"/>
      <c r="D50" s="1">
        <v>589</v>
      </c>
      <c r="E50" s="1">
        <v>2024</v>
      </c>
      <c r="F50" s="4" t="s">
        <v>20</v>
      </c>
      <c r="G50" s="2">
        <f t="shared" si="8"/>
        <v>0</v>
      </c>
      <c r="H50" s="3">
        <f t="shared" si="9"/>
        <v>589</v>
      </c>
    </row>
    <row r="51" spans="1:8" ht="27.75" customHeight="1">
      <c r="A51" s="1" t="s">
        <v>18</v>
      </c>
      <c r="B51" s="7" t="s">
        <v>29</v>
      </c>
      <c r="C51" s="1"/>
      <c r="D51" s="1">
        <v>589</v>
      </c>
      <c r="E51" s="1">
        <v>2025</v>
      </c>
      <c r="F51" s="4" t="s">
        <v>20</v>
      </c>
      <c r="G51" s="2">
        <f t="shared" si="8"/>
        <v>0</v>
      </c>
      <c r="H51" s="3">
        <f t="shared" si="9"/>
        <v>589</v>
      </c>
    </row>
    <row r="52" spans="1:8" ht="27.75" customHeight="1">
      <c r="A52" s="1" t="s">
        <v>18</v>
      </c>
      <c r="B52" s="7" t="s">
        <v>30</v>
      </c>
      <c r="C52" s="1"/>
      <c r="D52" s="1">
        <v>246</v>
      </c>
      <c r="E52" s="1">
        <v>2025</v>
      </c>
      <c r="F52" s="4" t="s">
        <v>20</v>
      </c>
      <c r="G52" s="2">
        <f t="shared" ref="G52:G55" si="10">IF((C52-D52)&lt;0,0,C52-D52)</f>
        <v>0</v>
      </c>
      <c r="H52" s="3">
        <f t="shared" ref="H52:H55" si="11">IF((D52-C52)&lt;0,0,D52-C52)</f>
        <v>246</v>
      </c>
    </row>
    <row r="53" spans="1:8" ht="27.75" customHeight="1">
      <c r="A53" s="1" t="s">
        <v>18</v>
      </c>
      <c r="B53" s="7" t="s">
        <v>31</v>
      </c>
      <c r="C53" s="1"/>
      <c r="D53" s="1">
        <v>240</v>
      </c>
      <c r="E53" s="1">
        <v>2025</v>
      </c>
      <c r="F53" s="4" t="s">
        <v>20</v>
      </c>
      <c r="G53" s="2">
        <f t="shared" si="10"/>
        <v>0</v>
      </c>
      <c r="H53" s="3">
        <f t="shared" si="11"/>
        <v>240</v>
      </c>
    </row>
    <row r="54" spans="1:8" ht="27.75" customHeight="1">
      <c r="A54" s="1" t="s">
        <v>18</v>
      </c>
      <c r="B54" s="7" t="s">
        <v>32</v>
      </c>
      <c r="C54" s="1"/>
      <c r="D54" s="1">
        <v>243</v>
      </c>
      <c r="E54" s="1">
        <v>2025</v>
      </c>
      <c r="F54" s="4" t="s">
        <v>20</v>
      </c>
      <c r="G54" s="2">
        <f t="shared" si="10"/>
        <v>0</v>
      </c>
      <c r="H54" s="3">
        <f t="shared" si="11"/>
        <v>243</v>
      </c>
    </row>
    <row r="55" spans="1:8" ht="39" customHeight="1">
      <c r="A55" s="1" t="s">
        <v>18</v>
      </c>
      <c r="B55" s="7" t="s">
        <v>33</v>
      </c>
      <c r="C55" s="1"/>
      <c r="D55" s="1">
        <v>241</v>
      </c>
      <c r="E55" s="1">
        <v>2025</v>
      </c>
      <c r="F55" s="4" t="s">
        <v>20</v>
      </c>
      <c r="G55" s="2">
        <f t="shared" si="10"/>
        <v>0</v>
      </c>
      <c r="H55" s="3">
        <f t="shared" si="11"/>
        <v>241</v>
      </c>
    </row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4" customHeight="1"/>
    <row r="98" ht="47.25" customHeight="1"/>
    <row r="99" ht="41.25" customHeight="1"/>
  </sheetData>
  <protectedRanges>
    <protectedRange sqref="C1:E49" name="Textbooks"/>
    <protectedRange sqref="F1:F55" name="SOURCE"/>
    <protectedRange sqref="C50:E55" name="Textbooks_1"/>
  </protectedRanges>
  <phoneticPr fontId="8" type="noConversion"/>
  <dataValidations count="2">
    <dataValidation type="list" allowBlank="1" showInputMessage="1" showErrorMessage="1" sqref="E32:E40 E2:E10 E12:E20 E22:E30 E42:E55" xr:uid="{B46E7B13-721E-4D49-837E-C02BF9777D48}">
      <formula1>"2024,2025 ,2026"</formula1>
    </dataValidation>
    <dataValidation type="list" allowBlank="1" showInputMessage="1" showErrorMessage="1" sqref="F2:F10 F12:F20 F22:F30 F32:F40 F42:F55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selection activeCell="AD70" sqref="AD7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34</v>
      </c>
      <c r="E1" s="32"/>
      <c r="F1" s="32"/>
      <c r="G1" s="32"/>
      <c r="H1" s="32"/>
      <c r="I1" s="32"/>
      <c r="J1" s="33" t="s">
        <v>35</v>
      </c>
      <c r="K1" s="33"/>
      <c r="L1" s="33"/>
      <c r="M1" s="33"/>
      <c r="N1" s="33"/>
      <c r="O1" s="33"/>
      <c r="P1" s="34" t="s">
        <v>36</v>
      </c>
      <c r="Q1" s="34"/>
      <c r="R1" s="34"/>
      <c r="S1" s="34"/>
      <c r="T1" s="34"/>
      <c r="U1" s="34"/>
      <c r="V1" s="35" t="s">
        <v>37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38</v>
      </c>
      <c r="E2" s="18" t="s">
        <v>39</v>
      </c>
      <c r="F2" s="19" t="s">
        <v>40</v>
      </c>
      <c r="G2" s="22" t="s">
        <v>41</v>
      </c>
      <c r="H2" s="15" t="s">
        <v>42</v>
      </c>
      <c r="I2" s="22" t="s">
        <v>43</v>
      </c>
      <c r="J2" s="20" t="s">
        <v>44</v>
      </c>
      <c r="K2" s="20" t="s">
        <v>45</v>
      </c>
      <c r="L2" s="21" t="s">
        <v>46</v>
      </c>
      <c r="M2" s="30" t="s">
        <v>47</v>
      </c>
      <c r="N2" s="30" t="s">
        <v>48</v>
      </c>
      <c r="O2" s="20" t="s">
        <v>49</v>
      </c>
      <c r="P2" s="22" t="s">
        <v>50</v>
      </c>
      <c r="Q2" s="22" t="s">
        <v>51</v>
      </c>
      <c r="R2" s="23" t="s">
        <v>52</v>
      </c>
      <c r="S2" s="15" t="s">
        <v>53</v>
      </c>
      <c r="T2" s="15" t="s">
        <v>54</v>
      </c>
      <c r="U2" s="22" t="s">
        <v>55</v>
      </c>
      <c r="V2" s="24" t="s">
        <v>56</v>
      </c>
      <c r="W2" s="24" t="s">
        <v>57</v>
      </c>
      <c r="X2" s="25" t="s">
        <v>58</v>
      </c>
      <c r="Y2" s="31" t="s">
        <v>59</v>
      </c>
      <c r="Z2" s="31" t="s">
        <v>60</v>
      </c>
      <c r="AA2" s="24" t="s">
        <v>61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2" spans="1:27" s="5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5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5" sqref="AC6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34</v>
      </c>
      <c r="E1" s="32"/>
      <c r="F1" s="32"/>
      <c r="G1" s="32"/>
      <c r="H1" s="32"/>
      <c r="I1" s="32"/>
      <c r="J1" s="33" t="s">
        <v>35</v>
      </c>
      <c r="K1" s="33"/>
      <c r="L1" s="33"/>
      <c r="M1" s="33"/>
      <c r="N1" s="33"/>
      <c r="O1" s="33"/>
      <c r="P1" s="34" t="s">
        <v>36</v>
      </c>
      <c r="Q1" s="34"/>
      <c r="R1" s="34"/>
      <c r="S1" s="34"/>
      <c r="T1" s="34"/>
      <c r="U1" s="34"/>
      <c r="V1" s="35" t="s">
        <v>37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62</v>
      </c>
      <c r="E2" s="18" t="s">
        <v>63</v>
      </c>
      <c r="F2" s="19" t="s">
        <v>64</v>
      </c>
      <c r="G2" s="22" t="s">
        <v>65</v>
      </c>
      <c r="H2" s="15" t="s">
        <v>66</v>
      </c>
      <c r="I2" s="22" t="s">
        <v>67</v>
      </c>
      <c r="J2" s="20" t="s">
        <v>68</v>
      </c>
      <c r="K2" s="20" t="s">
        <v>69</v>
      </c>
      <c r="L2" s="21" t="s">
        <v>70</v>
      </c>
      <c r="M2" s="30" t="s">
        <v>71</v>
      </c>
      <c r="N2" s="30" t="s">
        <v>72</v>
      </c>
      <c r="O2" s="20" t="s">
        <v>73</v>
      </c>
      <c r="P2" s="22" t="s">
        <v>74</v>
      </c>
      <c r="Q2" s="22" t="s">
        <v>75</v>
      </c>
      <c r="R2" s="23" t="s">
        <v>76</v>
      </c>
      <c r="S2" s="15" t="s">
        <v>77</v>
      </c>
      <c r="T2" s="15" t="s">
        <v>78</v>
      </c>
      <c r="U2" s="22" t="s">
        <v>79</v>
      </c>
      <c r="V2" s="24" t="s">
        <v>80</v>
      </c>
      <c r="W2" s="24" t="s">
        <v>81</v>
      </c>
      <c r="X2" s="25" t="s">
        <v>82</v>
      </c>
      <c r="Y2" s="31" t="s">
        <v>83</v>
      </c>
      <c r="Z2" s="31" t="s">
        <v>84</v>
      </c>
      <c r="AA2" s="24" t="s">
        <v>85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86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87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88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89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86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87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88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89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86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87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88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89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86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87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88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89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2026-04-13T07:57:52Z</dcterms:modified>
  <cp:category/>
  <cp:contentStatus/>
</cp:coreProperties>
</file>