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7" documentId="13_ncr:1_{BFB59F67-F0DC-4675-A682-EB0734A8026A}" xr6:coauthVersionLast="47" xr6:coauthVersionMax="47" xr10:uidLastSave="{A511639F-7B35-4823-8897-844000CAFAC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" l="1"/>
  <c r="H104" i="1"/>
  <c r="G104" i="1"/>
  <c r="H103" i="1"/>
  <c r="G103" i="1"/>
  <c r="H102" i="1"/>
  <c r="G102" i="1"/>
  <c r="H101" i="1"/>
  <c r="G101" i="1"/>
  <c r="H100" i="1"/>
  <c r="G100" i="1"/>
  <c r="H99" i="1"/>
  <c r="G99" i="1"/>
  <c r="N109" i="5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<sst xmlns="http://schemas.openxmlformats.org/spreadsheetml/2006/main" count="413" uniqueCount="97">
  <si>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</si>
  <si>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</si>
  <si>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</si>
  <si>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</si>
  <si>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</si>
  <si>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</si>
  <si>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</si>
  <si>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</si>
  <si>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</si>
  <si>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</si>
  <si>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</si>
  <si>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</si>
  <si>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</si>
  <si>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</si>
  <si>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</si>
  <si>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</si>
  <si>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</si>
  <si>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</si>
  <si>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</si>
  <si>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</si>
  <si>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</si>
  <si>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</si>
  <si>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</si>
  <si>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</si>
  <si>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</si>
  <si>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</si>
  <si>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</si>
  <si>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</si>
  <si>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</si>
  <si>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</si>
  <si>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</si>
  <si>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</si>
  <si>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</si>
  <si>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</si>
  <si>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</si>
  <si>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Creative Writing</t>
  </si>
  <si>
    <t>Philippine Politics and Governance</t>
  </si>
  <si>
    <t>Trends, Networks and Critical Thinking in the 21st Century</t>
  </si>
  <si>
    <t>Discipline and Ideas in Applied Social Sciences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</si>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</sst>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opLeftCell="A87" zoomScale="85" zoomScaleNormal="85" workbookViewId="0">
      <pane xSplit="2" topLeftCell="C83" activePane="topRight" state="frozen"/>
      <selection pane="topRight" activeCell="E101" sqref="E101:E104"/>
      <selection activeCell="A87" sqref="A8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20.2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0.2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0.2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20.2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578</v>
      </c>
      <c r="E91" s="1">
        <v>2024</v>
      </c>
      <c r="F91" s="5" t="s">
        <v>25</v>
      </c>
      <c r="G91" s="3">
        <f t="shared" ref="G91:G100" si="18">IF((C91-D91)&lt;0,0,C91-D91)</f>
        <v>0</v>
      </c>
      <c r="H91" s="4">
        <f t="shared" ref="H91:H100" si="19">IF((D91-C91)&lt;0,0,D91-C91)</f>
        <v>578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/>
      <c r="D93" s="1">
        <v>569</v>
      </c>
      <c r="E93" s="1">
        <v>2025</v>
      </c>
      <c r="F93" s="5" t="s">
        <v>25</v>
      </c>
      <c r="G93" s="3">
        <f t="shared" si="18"/>
        <v>0</v>
      </c>
      <c r="H93" s="4">
        <f t="shared" si="19"/>
        <v>569</v>
      </c>
    </row>
    <row r="94" spans="1:8" ht="27.75" customHeight="1">
      <c r="A94" s="1" t="s">
        <v>23</v>
      </c>
      <c r="B94" s="9" t="s">
        <v>28</v>
      </c>
      <c r="C94" s="1"/>
      <c r="D94" s="1">
        <f>481+108</f>
        <v>589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589</v>
      </c>
    </row>
    <row r="95" spans="1:8" ht="40.5" customHeight="1">
      <c r="A95" s="1" t="s">
        <v>23</v>
      </c>
      <c r="B95" s="9" t="s">
        <v>29</v>
      </c>
      <c r="C95" s="1"/>
      <c r="D95" s="1">
        <v>589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589</v>
      </c>
    </row>
    <row r="96" spans="1:8" ht="38.25" customHeight="1">
      <c r="A96" s="1" t="s">
        <v>23</v>
      </c>
      <c r="B96" s="9" t="s">
        <v>30</v>
      </c>
      <c r="C96" s="1"/>
      <c r="D96" s="1">
        <v>481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481</v>
      </c>
    </row>
    <row r="97" spans="1:8" ht="54" customHeight="1">
      <c r="A97" s="1" t="s">
        <v>23</v>
      </c>
      <c r="B97" s="9" t="s">
        <v>31</v>
      </c>
      <c r="C97" s="1"/>
      <c r="D97" s="1">
        <v>589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589</v>
      </c>
    </row>
    <row r="98" spans="1:8" ht="47.25" customHeight="1">
      <c r="A98" s="1" t="s">
        <v>23</v>
      </c>
      <c r="B98" s="9" t="s">
        <v>32</v>
      </c>
      <c r="C98" s="1"/>
      <c r="D98" s="1">
        <v>589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589</v>
      </c>
    </row>
    <row r="99" spans="1:8" ht="41.25" customHeight="1">
      <c r="A99" s="1" t="s">
        <v>23</v>
      </c>
      <c r="B99" s="9" t="s">
        <v>33</v>
      </c>
      <c r="C99" s="1"/>
      <c r="D99" s="1">
        <v>589</v>
      </c>
      <c r="E99" s="1">
        <v>2024</v>
      </c>
      <c r="F99" s="5" t="s">
        <v>25</v>
      </c>
      <c r="G99" s="3">
        <f t="shared" si="18"/>
        <v>0</v>
      </c>
      <c r="H99" s="4">
        <f t="shared" si="19"/>
        <v>589</v>
      </c>
    </row>
    <row r="100" spans="1:8" ht="76.5">
      <c r="A100" s="1" t="s">
        <v>23</v>
      </c>
      <c r="B100" s="9" t="s">
        <v>34</v>
      </c>
      <c r="C100" s="1"/>
      <c r="D100" s="1">
        <v>589</v>
      </c>
      <c r="E100" s="1">
        <v>2025</v>
      </c>
      <c r="F100" s="5" t="s">
        <v>25</v>
      </c>
      <c r="G100" s="3">
        <f t="shared" si="18"/>
        <v>0</v>
      </c>
      <c r="H100" s="4">
        <f t="shared" si="19"/>
        <v>589</v>
      </c>
    </row>
    <row r="101" spans="1:8" ht="19.5">
      <c r="A101" s="1" t="s">
        <v>23</v>
      </c>
      <c r="B101" s="9" t="s">
        <v>35</v>
      </c>
      <c r="C101" s="1"/>
      <c r="D101" s="1">
        <v>246</v>
      </c>
      <c r="E101" s="1">
        <v>2025</v>
      </c>
      <c r="F101" s="5" t="s">
        <v>25</v>
      </c>
      <c r="G101" s="3">
        <f t="shared" ref="G101:G104" si="20">IF((C101-D101)&lt;0,0,C101-D101)</f>
        <v>0</v>
      </c>
      <c r="H101" s="4">
        <f t="shared" ref="H101:H104" si="21">IF((D101-C101)&lt;0,0,D101-C101)</f>
        <v>246</v>
      </c>
    </row>
    <row r="102" spans="1:8" ht="38.25">
      <c r="A102" s="1" t="s">
        <v>23</v>
      </c>
      <c r="B102" s="9" t="s">
        <v>36</v>
      </c>
      <c r="C102" s="1"/>
      <c r="D102" s="1">
        <v>240</v>
      </c>
      <c r="E102" s="1">
        <v>2025</v>
      </c>
      <c r="F102" s="5" t="s">
        <v>25</v>
      </c>
      <c r="G102" s="3">
        <f t="shared" si="20"/>
        <v>0</v>
      </c>
      <c r="H102" s="4">
        <f t="shared" si="21"/>
        <v>240</v>
      </c>
    </row>
    <row r="103" spans="1:8" ht="76.5">
      <c r="A103" s="1" t="s">
        <v>23</v>
      </c>
      <c r="B103" s="9" t="s">
        <v>37</v>
      </c>
      <c r="C103" s="1"/>
      <c r="D103" s="1">
        <v>243</v>
      </c>
      <c r="E103" s="1">
        <v>2025</v>
      </c>
      <c r="F103" s="5" t="s">
        <v>25</v>
      </c>
      <c r="G103" s="3">
        <f t="shared" si="20"/>
        <v>0</v>
      </c>
      <c r="H103" s="4">
        <f t="shared" si="21"/>
        <v>243</v>
      </c>
    </row>
    <row r="104" spans="1:8" ht="57.75">
      <c r="A104" s="1" t="s">
        <v>23</v>
      </c>
      <c r="B104" s="9" t="s">
        <v>38</v>
      </c>
      <c r="C104" s="1"/>
      <c r="D104" s="1">
        <v>241</v>
      </c>
      <c r="E104" s="1">
        <v>2025</v>
      </c>
      <c r="F104" s="5" t="s">
        <v>25</v>
      </c>
      <c r="G104" s="3">
        <f t="shared" si="20"/>
        <v>0</v>
      </c>
      <c r="H104" s="4">
        <f t="shared" si="21"/>
        <v>241</v>
      </c>
    </row>
  </sheetData>
  <protectedRanges>
    <protectedRange sqref="C1:E98" name="Textbooks"/>
    <protectedRange sqref="F1:F104" name="SOURCE"/>
    <protectedRange sqref="C99:E104" name="Textbooks_1"/>
  </protectedRanges>
  <phoneticPr fontId="8" type="noConversion"/>
  <dataValidations count="2">
    <dataValidation type="list" allowBlank="1" showInputMessage="1" showErrorMessage="1" sqref="E81:E89 E2:E6 E8:E12 E14:E19 E21:E29 E31:E39 E41:E49 E51:E59 E61:E69 E71:E79 E91:E104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104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0" zoomScale="70" zoomScaleNormal="70" workbookViewId="0">
      <selection activeCell="J128" sqref="J128:J15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39</v>
      </c>
      <c r="E1" s="42"/>
      <c r="F1" s="42"/>
      <c r="G1" s="42"/>
      <c r="H1" s="42"/>
      <c r="I1" s="42"/>
      <c r="J1" s="43" t="s">
        <v>40</v>
      </c>
      <c r="K1" s="43"/>
      <c r="L1" s="43"/>
      <c r="M1" s="43"/>
      <c r="N1" s="43"/>
      <c r="O1" s="43"/>
      <c r="P1" s="44" t="s">
        <v>41</v>
      </c>
      <c r="Q1" s="44"/>
      <c r="R1" s="44"/>
      <c r="S1" s="44"/>
      <c r="T1" s="44"/>
      <c r="U1" s="44"/>
      <c r="V1" s="45" t="s">
        <v>42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43</v>
      </c>
      <c r="E2" s="20" t="s">
        <v>44</v>
      </c>
      <c r="F2" s="21" t="s">
        <v>45</v>
      </c>
      <c r="G2" s="24" t="s">
        <v>46</v>
      </c>
      <c r="H2" s="17" t="s">
        <v>47</v>
      </c>
      <c r="I2" s="24" t="s">
        <v>48</v>
      </c>
      <c r="J2" s="22" t="s">
        <v>49</v>
      </c>
      <c r="K2" s="22" t="s">
        <v>50</v>
      </c>
      <c r="L2" s="23" t="s">
        <v>51</v>
      </c>
      <c r="M2" s="40" t="s">
        <v>52</v>
      </c>
      <c r="N2" s="40" t="s">
        <v>53</v>
      </c>
      <c r="O2" s="22" t="s">
        <v>54</v>
      </c>
      <c r="P2" s="24" t="s">
        <v>55</v>
      </c>
      <c r="Q2" s="24" t="s">
        <v>56</v>
      </c>
      <c r="R2" s="25" t="s">
        <v>57</v>
      </c>
      <c r="S2" s="17" t="s">
        <v>58</v>
      </c>
      <c r="T2" s="17" t="s">
        <v>59</v>
      </c>
      <c r="U2" s="24" t="s">
        <v>60</v>
      </c>
      <c r="V2" s="26" t="s">
        <v>61</v>
      </c>
      <c r="W2" s="26" t="s">
        <v>62</v>
      </c>
      <c r="X2" s="27" t="s">
        <v>63</v>
      </c>
      <c r="Y2" s="41" t="s">
        <v>64</v>
      </c>
      <c r="Z2" s="41" t="s">
        <v>65</v>
      </c>
      <c r="AA2" s="26" t="s">
        <v>66</v>
      </c>
    </row>
    <row r="3" spans="1:27" ht="30.6" customHeight="1">
      <c r="A3" s="39" t="s">
        <v>67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68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68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68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allowBlank="1" showInputMessage="1" showErrorMessage="1" sqref="E5:E12" xr:uid="{F660D32C-EF3B-4DA4-BAD8-273E7B69A264}"/>
    <dataValidation type="list" allowBlank="1" showInputMessage="1" showErrorMessage="1" sqref="F5:F12" xr:uid="{B52DADE4-22FC-4D8E-8204-61756D8EE993}">
      <formula1>"2024,2025, 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57" zoomScale="55" zoomScaleNormal="55" workbookViewId="0">
      <selection activeCell="J141" sqref="J141:J17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39</v>
      </c>
      <c r="E1" s="42"/>
      <c r="F1" s="42"/>
      <c r="G1" s="42"/>
      <c r="H1" s="42"/>
      <c r="I1" s="42"/>
      <c r="J1" s="43" t="s">
        <v>40</v>
      </c>
      <c r="K1" s="43"/>
      <c r="L1" s="43"/>
      <c r="M1" s="43"/>
      <c r="N1" s="43"/>
      <c r="O1" s="43"/>
      <c r="P1" s="44" t="s">
        <v>41</v>
      </c>
      <c r="Q1" s="44"/>
      <c r="R1" s="44"/>
      <c r="S1" s="44"/>
      <c r="T1" s="44"/>
      <c r="U1" s="44"/>
      <c r="V1" s="45" t="s">
        <v>42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69</v>
      </c>
      <c r="E2" s="20" t="s">
        <v>70</v>
      </c>
      <c r="F2" s="21" t="s">
        <v>71</v>
      </c>
      <c r="G2" s="24" t="s">
        <v>72</v>
      </c>
      <c r="H2" s="17" t="s">
        <v>73</v>
      </c>
      <c r="I2" s="24" t="s">
        <v>74</v>
      </c>
      <c r="J2" s="22" t="s">
        <v>75</v>
      </c>
      <c r="K2" s="22" t="s">
        <v>76</v>
      </c>
      <c r="L2" s="23" t="s">
        <v>77</v>
      </c>
      <c r="M2" s="40" t="s">
        <v>78</v>
      </c>
      <c r="N2" s="40" t="s">
        <v>79</v>
      </c>
      <c r="O2" s="22" t="s">
        <v>80</v>
      </c>
      <c r="P2" s="24" t="s">
        <v>81</v>
      </c>
      <c r="Q2" s="24" t="s">
        <v>82</v>
      </c>
      <c r="R2" s="25" t="s">
        <v>83</v>
      </c>
      <c r="S2" s="17" t="s">
        <v>84</v>
      </c>
      <c r="T2" s="17" t="s">
        <v>85</v>
      </c>
      <c r="U2" s="24" t="s">
        <v>86</v>
      </c>
      <c r="V2" s="26" t="s">
        <v>87</v>
      </c>
      <c r="W2" s="26" t="s">
        <v>88</v>
      </c>
      <c r="X2" s="27" t="s">
        <v>89</v>
      </c>
      <c r="Y2" s="41" t="s">
        <v>90</v>
      </c>
      <c r="Z2" s="41" t="s">
        <v>91</v>
      </c>
      <c r="AA2" s="26" t="s">
        <v>92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68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68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68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7">
        <v>4</v>
      </c>
      <c r="B37" s="9" t="s">
        <v>93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94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7">
        <v>4</v>
      </c>
      <c r="B40" s="9" t="s">
        <v>95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96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7">
        <v>5</v>
      </c>
      <c r="B49" s="9" t="s">
        <v>93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94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7">
        <v>5</v>
      </c>
      <c r="B52" s="9" t="s">
        <v>95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96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7">
        <v>6</v>
      </c>
      <c r="B61" s="9" t="s">
        <v>93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94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7">
        <v>6</v>
      </c>
      <c r="B64" s="9" t="s">
        <v>95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96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>
      <c r="A73" s="38">
        <v>7</v>
      </c>
      <c r="B73" s="11" t="s">
        <v>93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>
      <c r="A74" s="10">
        <v>7</v>
      </c>
      <c r="B74" s="11" t="s">
        <v>94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>
      <c r="A76" s="38">
        <v>7</v>
      </c>
      <c r="B76" s="11" t="s">
        <v>95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>
      <c r="A77" s="10">
        <v>7</v>
      </c>
      <c r="B77" s="11" t="s">
        <v>96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2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>
      <c r="A85" s="38">
        <v>8</v>
      </c>
      <c r="B85" s="11" t="s">
        <v>93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>
      <c r="A86" s="10">
        <v>8</v>
      </c>
      <c r="B86" s="11" t="s">
        <v>94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>
      <c r="A88" s="38">
        <v>8</v>
      </c>
      <c r="B88" s="11" t="s">
        <v>95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>
      <c r="A89" s="10">
        <v>8</v>
      </c>
      <c r="B89" s="11" t="s">
        <v>96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2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>
      <c r="A97" s="38">
        <v>9</v>
      </c>
      <c r="B97" s="11" t="s">
        <v>93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>
      <c r="A98" s="10">
        <v>9</v>
      </c>
      <c r="B98" s="11" t="s">
        <v>94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>
      <c r="A100" s="38">
        <v>9</v>
      </c>
      <c r="B100" s="11" t="s">
        <v>95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>
      <c r="A101" s="10">
        <v>9</v>
      </c>
      <c r="B101" s="11" t="s">
        <v>96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2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>
      <c r="A109" s="38">
        <v>10</v>
      </c>
      <c r="B109" s="11" t="s">
        <v>93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>
      <c r="A110" s="10">
        <v>10</v>
      </c>
      <c r="B110" s="11" t="s">
        <v>94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>
      <c r="A112" s="38">
        <v>10</v>
      </c>
      <c r="B112" s="11" t="s">
        <v>95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>
      <c r="A113" s="10">
        <v>10</v>
      </c>
      <c r="B113" s="11" t="s">
        <v>96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4.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2026-03-27T02:29:14Z</dcterms:modified>
  <cp:category/>
  <cp:contentStatus/>
</cp:coreProperties>
</file>