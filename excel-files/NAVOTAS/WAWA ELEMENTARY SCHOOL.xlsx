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21" documentId="13_ncr:1_{BFB59F67-F0DC-4675-A682-EB0734A8026A}" xr6:coauthVersionLast="47" xr6:coauthVersionMax="47" xr10:uidLastSave="{49F73554-3E02-4789-9439-736580784612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<sst xmlns="http://schemas.openxmlformats.org/spreadsheetml/2006/main" count="262" uniqueCount="80">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</sst>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34" activePane="topRight" state="frozen"/>
      <selection pane="topRight" activeCell="A50" sqref="A50:H14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25</v>
      </c>
      <c r="D2" s="1">
        <v>170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145</v>
      </c>
    </row>
    <row r="3" spans="1:8" ht="29.25" customHeight="1">
      <c r="A3" s="1">
        <v>1</v>
      </c>
      <c r="B3" s="2" t="s">
        <v>10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25</v>
      </c>
      <c r="D4" s="1">
        <v>170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145</v>
      </c>
    </row>
    <row r="5" spans="1:8" ht="25.5" customHeight="1">
      <c r="A5" s="1">
        <v>1</v>
      </c>
      <c r="B5" s="2" t="s">
        <v>12</v>
      </c>
      <c r="C5" s="1">
        <v>25</v>
      </c>
      <c r="D5" s="1">
        <v>170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145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48</v>
      </c>
      <c r="D11" s="1">
        <v>60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12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61</v>
      </c>
      <c r="D22" s="1">
        <v>96</v>
      </c>
      <c r="E22" s="1">
        <v>2024</v>
      </c>
      <c r="F22" s="5" t="s">
        <v>14</v>
      </c>
      <c r="G22" s="3">
        <f t="shared" si="4"/>
        <v>0</v>
      </c>
      <c r="H22" s="4">
        <f t="shared" si="5"/>
        <v>35</v>
      </c>
    </row>
    <row r="23" spans="1:8" ht="19.5">
      <c r="A23" s="1">
        <v>4</v>
      </c>
      <c r="B23" s="9" t="s">
        <v>13</v>
      </c>
      <c r="C23" s="1">
        <v>61</v>
      </c>
      <c r="D23" s="1">
        <v>97</v>
      </c>
      <c r="E23" s="1">
        <v>2025</v>
      </c>
      <c r="F23" s="5" t="s">
        <v>14</v>
      </c>
      <c r="G23" s="3">
        <f t="shared" si="4"/>
        <v>0</v>
      </c>
      <c r="H23" s="4">
        <f t="shared" si="5"/>
        <v>36</v>
      </c>
    </row>
    <row r="24" spans="1:8" ht="27" customHeight="1">
      <c r="A24" s="1">
        <v>4</v>
      </c>
      <c r="B24" s="9" t="s">
        <v>11</v>
      </c>
      <c r="C24" s="1">
        <v>61</v>
      </c>
      <c r="D24" s="1">
        <v>97</v>
      </c>
      <c r="E24" s="1">
        <v>2025</v>
      </c>
      <c r="F24" s="5" t="s">
        <v>14</v>
      </c>
      <c r="G24" s="3">
        <f t="shared" si="4"/>
        <v>0</v>
      </c>
      <c r="H24" s="4">
        <f t="shared" si="5"/>
        <v>36</v>
      </c>
    </row>
    <row r="25" spans="1:8" ht="33.75" customHeight="1">
      <c r="A25" s="1">
        <v>4</v>
      </c>
      <c r="B25" s="9" t="s">
        <v>18</v>
      </c>
      <c r="C25" s="1">
        <v>61</v>
      </c>
      <c r="D25" s="1">
        <v>97</v>
      </c>
      <c r="E25" s="1">
        <v>2024</v>
      </c>
      <c r="F25" s="5" t="s">
        <v>14</v>
      </c>
      <c r="G25" s="3">
        <f t="shared" si="4"/>
        <v>0</v>
      </c>
      <c r="H25" s="4">
        <f t="shared" si="5"/>
        <v>36</v>
      </c>
    </row>
    <row r="26" spans="1:8" ht="33.75" customHeight="1">
      <c r="A26" s="1">
        <v>4</v>
      </c>
      <c r="B26" s="9" t="s">
        <v>15</v>
      </c>
      <c r="C26" s="1">
        <v>61</v>
      </c>
      <c r="D26" s="1">
        <v>97</v>
      </c>
      <c r="E26" s="1">
        <v>2024</v>
      </c>
      <c r="F26" s="5" t="s">
        <v>14</v>
      </c>
      <c r="G26" s="3">
        <f t="shared" si="4"/>
        <v>0</v>
      </c>
      <c r="H26" s="4">
        <f t="shared" si="5"/>
        <v>36</v>
      </c>
    </row>
    <row r="27" spans="1:8" ht="33.75" customHeight="1">
      <c r="A27" s="1">
        <v>4</v>
      </c>
      <c r="B27" s="9" t="s">
        <v>19</v>
      </c>
      <c r="C27" s="1">
        <v>61</v>
      </c>
      <c r="D27" s="1">
        <v>94</v>
      </c>
      <c r="E27" s="1">
        <v>2024</v>
      </c>
      <c r="F27" s="5" t="s">
        <v>14</v>
      </c>
      <c r="G27" s="3">
        <f t="shared" si="4"/>
        <v>0</v>
      </c>
      <c r="H27" s="4">
        <f t="shared" si="5"/>
        <v>33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61</v>
      </c>
      <c r="D29" s="1">
        <v>97</v>
      </c>
      <c r="E29" s="1">
        <v>2026</v>
      </c>
      <c r="F29" s="5" t="s">
        <v>14</v>
      </c>
      <c r="G29" s="3">
        <f t="shared" si="4"/>
        <v>0</v>
      </c>
      <c r="H29" s="4">
        <f t="shared" si="5"/>
        <v>36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69</v>
      </c>
      <c r="D31" s="1">
        <v>86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17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69</v>
      </c>
      <c r="D35" s="1">
        <v>83</v>
      </c>
      <c r="E35" s="1">
        <v>2025</v>
      </c>
      <c r="F35" s="5" t="s">
        <v>14</v>
      </c>
      <c r="G35" s="3">
        <f t="shared" si="6"/>
        <v>0</v>
      </c>
      <c r="H35" s="4">
        <f t="shared" si="7"/>
        <v>14</v>
      </c>
    </row>
    <row r="36" spans="1:8" ht="27.75" customHeight="1">
      <c r="A36" s="1">
        <v>5</v>
      </c>
      <c r="B36" s="9" t="s">
        <v>15</v>
      </c>
      <c r="C36" s="1">
        <v>69</v>
      </c>
      <c r="D36" s="1">
        <v>86</v>
      </c>
      <c r="E36" s="1">
        <v>2025</v>
      </c>
      <c r="F36" s="5" t="s">
        <v>14</v>
      </c>
      <c r="G36" s="3">
        <f t="shared" si="6"/>
        <v>0</v>
      </c>
      <c r="H36" s="4">
        <f t="shared" si="7"/>
        <v>17</v>
      </c>
    </row>
    <row r="37" spans="1:8" ht="27.75" customHeight="1">
      <c r="A37" s="1">
        <v>5</v>
      </c>
      <c r="B37" s="9" t="s">
        <v>19</v>
      </c>
      <c r="C37" s="1">
        <v>69</v>
      </c>
      <c r="D37" s="1">
        <v>86</v>
      </c>
      <c r="E37" s="1">
        <v>2025</v>
      </c>
      <c r="F37" s="5" t="s">
        <v>14</v>
      </c>
      <c r="G37" s="3">
        <f t="shared" si="6"/>
        <v>0</v>
      </c>
      <c r="H37" s="4">
        <f t="shared" si="7"/>
        <v>17</v>
      </c>
    </row>
    <row r="38" spans="1:8" ht="27.75" customHeight="1">
      <c r="A38" s="1">
        <v>5</v>
      </c>
      <c r="B38" s="9" t="s">
        <v>20</v>
      </c>
      <c r="C38" s="1">
        <v>69</v>
      </c>
      <c r="D38" s="1">
        <v>86</v>
      </c>
      <c r="E38" s="1">
        <v>2026</v>
      </c>
      <c r="F38" s="5" t="s">
        <v>14</v>
      </c>
      <c r="G38" s="3">
        <f t="shared" si="6"/>
        <v>0</v>
      </c>
      <c r="H38" s="4">
        <f t="shared" si="7"/>
        <v>17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2:E6 E31:E39 E14:E19 E8:E12 E21:E29" xr:uid="{B46E7B13-721E-4D49-837E-C02BF9777D48}">
      <formula1>"2024,2025,2026"</formula1>
    </dataValidation>
    <dataValidation type="list" allowBlank="1" showInputMessage="1" showErrorMessage="1" sqref="F14:F19 F21:F29 F41:F4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ySplit="2" topLeftCell="C56" activePane="bottomRight" state="frozen"/>
      <selection pane="bottomRight" activeCell="A62" sqref="A62:AA127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3.75" customHeight="1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4.5" customHeight="1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48</v>
      </c>
      <c r="D16" s="5">
        <f>Table1[[#This Row],[Enrolment S.Y. 2025-2026 ]]*8</f>
        <v>384</v>
      </c>
      <c r="E16" s="5">
        <v>512</v>
      </c>
      <c r="F16" s="1">
        <v>2025</v>
      </c>
      <c r="G16" s="5" t="s">
        <v>9</v>
      </c>
      <c r="H16" s="5">
        <f t="shared" si="2"/>
        <v>0</v>
      </c>
      <c r="I16" s="5">
        <f t="shared" si="3"/>
        <v>128</v>
      </c>
      <c r="J16" s="5">
        <f>Table1[[#This Row],[Enrolment S.Y. 2025-2026 ]]*8</f>
        <v>384</v>
      </c>
      <c r="K16" s="5"/>
      <c r="L16" s="1"/>
      <c r="M16" s="5"/>
      <c r="N16" s="5">
        <f t="shared" si="10"/>
        <v>384</v>
      </c>
      <c r="O16" s="5">
        <f t="shared" si="11"/>
        <v>0</v>
      </c>
      <c r="P16" s="5">
        <f>Table1[[#This Row],[Enrolment S.Y. 2025-2026 ]]*8</f>
        <v>384</v>
      </c>
      <c r="Q16" s="5"/>
      <c r="R16" s="1"/>
      <c r="S16" s="5"/>
      <c r="T16" s="5">
        <f t="shared" si="12"/>
        <v>384</v>
      </c>
      <c r="U16" s="5">
        <f t="shared" si="13"/>
        <v>0</v>
      </c>
      <c r="V16" s="5">
        <f>Table1[[#This Row],[Enrolment S.Y. 2025-2026 ]]*8</f>
        <v>384</v>
      </c>
      <c r="W16" s="5"/>
      <c r="X16" s="1"/>
      <c r="Y16" s="5"/>
      <c r="Z16" s="5">
        <f t="shared" si="14"/>
        <v>384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48</v>
      </c>
      <c r="D17" s="5">
        <f>Table1[[#This Row],[Enrolment S.Y. 2025-2026 ]]*8</f>
        <v>384</v>
      </c>
      <c r="E17" s="5">
        <v>512</v>
      </c>
      <c r="F17" s="1">
        <v>2025</v>
      </c>
      <c r="G17" s="5" t="s">
        <v>9</v>
      </c>
      <c r="H17" s="5">
        <f t="shared" si="2"/>
        <v>0</v>
      </c>
      <c r="I17" s="5">
        <f t="shared" si="3"/>
        <v>128</v>
      </c>
      <c r="J17" s="5">
        <f>Table1[[#This Row],[Enrolment S.Y. 2025-2026 ]]*8</f>
        <v>384</v>
      </c>
      <c r="K17" s="5">
        <v>360</v>
      </c>
      <c r="L17" s="1">
        <v>2025</v>
      </c>
      <c r="M17" s="5" t="s">
        <v>9</v>
      </c>
      <c r="N17" s="5">
        <f t="shared" si="10"/>
        <v>24</v>
      </c>
      <c r="O17" s="5">
        <f t="shared" si="11"/>
        <v>0</v>
      </c>
      <c r="P17" s="5">
        <f>Table1[[#This Row],[Enrolment S.Y. 2025-2026 ]]*8</f>
        <v>384</v>
      </c>
      <c r="Q17" s="5"/>
      <c r="R17" s="1"/>
      <c r="S17" s="5"/>
      <c r="T17" s="5">
        <f t="shared" si="12"/>
        <v>384</v>
      </c>
      <c r="U17" s="5">
        <f t="shared" si="13"/>
        <v>0</v>
      </c>
      <c r="V17" s="5">
        <f>Table1[[#This Row],[Enrolment S.Y. 2025-2026 ]]*8</f>
        <v>384</v>
      </c>
      <c r="W17" s="5"/>
      <c r="X17" s="1"/>
      <c r="Y17" s="5"/>
      <c r="Z17" s="5">
        <f t="shared" si="14"/>
        <v>384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48</v>
      </c>
      <c r="D18" s="5">
        <f>Table1[[#This Row],[Enrolment S.Y. 2025-2026 ]]*8</f>
        <v>384</v>
      </c>
      <c r="E18" s="5">
        <v>512</v>
      </c>
      <c r="F18" s="1">
        <v>2025</v>
      </c>
      <c r="G18" s="5" t="s">
        <v>9</v>
      </c>
      <c r="H18" s="5">
        <f t="shared" si="2"/>
        <v>0</v>
      </c>
      <c r="I18" s="5">
        <f t="shared" si="3"/>
        <v>128</v>
      </c>
      <c r="J18" s="5">
        <f>Table1[[#This Row],[Enrolment S.Y. 2025-2026 ]]*8</f>
        <v>384</v>
      </c>
      <c r="K18" s="5">
        <v>320</v>
      </c>
      <c r="L18" s="1">
        <v>2025</v>
      </c>
      <c r="M18" s="5" t="s">
        <v>9</v>
      </c>
      <c r="N18" s="5">
        <f t="shared" si="10"/>
        <v>64</v>
      </c>
      <c r="O18" s="5">
        <f t="shared" si="11"/>
        <v>0</v>
      </c>
      <c r="P18" s="5">
        <f>Table1[[#This Row],[Enrolment S.Y. 2025-2026 ]]*8</f>
        <v>384</v>
      </c>
      <c r="Q18" s="5"/>
      <c r="R18" s="1"/>
      <c r="S18" s="5"/>
      <c r="T18" s="5">
        <f t="shared" si="12"/>
        <v>384</v>
      </c>
      <c r="U18" s="5">
        <f t="shared" si="13"/>
        <v>0</v>
      </c>
      <c r="V18" s="5">
        <f>Table1[[#This Row],[Enrolment S.Y. 2025-2026 ]]*8</f>
        <v>384</v>
      </c>
      <c r="W18" s="5"/>
      <c r="X18" s="1"/>
      <c r="Y18" s="5"/>
      <c r="Z18" s="5">
        <f t="shared" si="14"/>
        <v>384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48</v>
      </c>
      <c r="D19" s="5">
        <f>Table1[[#This Row],[Enrolment S.Y. 2025-2026 ]]*8</f>
        <v>384</v>
      </c>
      <c r="E19" s="5">
        <v>512</v>
      </c>
      <c r="F19" s="1">
        <v>2025</v>
      </c>
      <c r="G19" s="5" t="s">
        <v>9</v>
      </c>
      <c r="H19" s="5">
        <f>IF((D19-E19)&lt;0,0,(D19-E19))</f>
        <v>0</v>
      </c>
      <c r="I19" s="5">
        <f>IF((E19-D19)&lt;0,0,(E19-D19))</f>
        <v>128</v>
      </c>
      <c r="J19" s="5">
        <f>Table1[[#This Row],[Enrolment S.Y. 2025-2026 ]]*8</f>
        <v>384</v>
      </c>
      <c r="K19" s="5">
        <v>360</v>
      </c>
      <c r="L19" s="1">
        <v>2025</v>
      </c>
      <c r="M19" s="5" t="s">
        <v>9</v>
      </c>
      <c r="N19" s="5">
        <f t="shared" si="10"/>
        <v>24</v>
      </c>
      <c r="O19" s="5">
        <f t="shared" si="11"/>
        <v>0</v>
      </c>
      <c r="P19" s="5">
        <f>Table1[[#This Row],[Enrolment S.Y. 2025-2026 ]]*8</f>
        <v>384</v>
      </c>
      <c r="Q19" s="5"/>
      <c r="R19" s="1"/>
      <c r="S19" s="5"/>
      <c r="T19" s="5">
        <f t="shared" si="12"/>
        <v>384</v>
      </c>
      <c r="U19" s="5">
        <f t="shared" si="13"/>
        <v>0</v>
      </c>
      <c r="V19" s="5">
        <f>Table1[[#This Row],[Enrolment S.Y. 2025-2026 ]]*8</f>
        <v>384</v>
      </c>
      <c r="W19" s="5"/>
      <c r="X19" s="1"/>
      <c r="Y19" s="5"/>
      <c r="Z19" s="5">
        <f t="shared" si="14"/>
        <v>384</v>
      </c>
      <c r="AA19" s="5">
        <f t="shared" si="15"/>
        <v>0</v>
      </c>
    </row>
    <row r="20" spans="1:27" ht="19.5">
      <c r="A20" s="1">
        <v>2</v>
      </c>
      <c r="B20" s="9" t="s">
        <v>16</v>
      </c>
      <c r="C20" s="1">
        <v>48</v>
      </c>
      <c r="D20" s="5">
        <f>Table1[[#This Row],[Enrolment S.Y. 2025-2026 ]]*8</f>
        <v>384</v>
      </c>
      <c r="E20" s="5">
        <v>512</v>
      </c>
      <c r="F20" s="1">
        <v>2025</v>
      </c>
      <c r="G20" s="5" t="s">
        <v>9</v>
      </c>
      <c r="H20" s="5">
        <f>IF((D20-E20)&lt;0,0,(D20-E20))</f>
        <v>0</v>
      </c>
      <c r="I20" s="5">
        <f>IF((E20-D20)&lt;0,0,(E20-D20))</f>
        <v>128</v>
      </c>
      <c r="J20" s="5">
        <f>Table1[[#This Row],[Enrolment S.Y. 2025-2026 ]]*8</f>
        <v>384</v>
      </c>
      <c r="K20" s="5">
        <v>320</v>
      </c>
      <c r="L20" s="1">
        <v>2025</v>
      </c>
      <c r="M20" s="5" t="s">
        <v>9</v>
      </c>
      <c r="N20" s="5">
        <f t="shared" si="10"/>
        <v>64</v>
      </c>
      <c r="O20" s="5">
        <f t="shared" si="11"/>
        <v>0</v>
      </c>
      <c r="P20" s="5">
        <f>Table1[[#This Row],[Enrolment S.Y. 2025-2026 ]]*8</f>
        <v>384</v>
      </c>
      <c r="Q20" s="5"/>
      <c r="R20" s="1"/>
      <c r="S20" s="5"/>
      <c r="T20" s="5">
        <f t="shared" si="12"/>
        <v>384</v>
      </c>
      <c r="U20" s="5">
        <f t="shared" si="13"/>
        <v>0</v>
      </c>
      <c r="V20" s="5">
        <f>Table1[[#This Row],[Enrolment S.Y. 2025-2026 ]]*8</f>
        <v>384</v>
      </c>
      <c r="W20" s="5"/>
      <c r="X20" s="1"/>
      <c r="Y20" s="5"/>
      <c r="Z20" s="5">
        <f t="shared" si="14"/>
        <v>384</v>
      </c>
      <c r="AA20" s="5">
        <f t="shared" si="15"/>
        <v>0</v>
      </c>
    </row>
    <row r="21" spans="1:27" ht="19.149999999999999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42.75" customHeight="1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59</v>
      </c>
      <c r="D25" s="5">
        <f>Table1[[#This Row],[Enrolment S.Y. 2025-2026 ]]*8</f>
        <v>472</v>
      </c>
      <c r="E25" s="5">
        <v>576</v>
      </c>
      <c r="F25" s="1">
        <v>2025</v>
      </c>
      <c r="G25" s="5" t="s">
        <v>9</v>
      </c>
      <c r="H25" s="5">
        <f t="shared" si="2"/>
        <v>0</v>
      </c>
      <c r="I25" s="5">
        <f t="shared" si="3"/>
        <v>104</v>
      </c>
      <c r="J25" s="5">
        <f>Table1[[#This Row],[Enrolment S.Y. 2025-2026 ]]*8</f>
        <v>472</v>
      </c>
      <c r="K25" s="5"/>
      <c r="L25" s="1"/>
      <c r="M25" s="5"/>
      <c r="N25" s="5">
        <f t="shared" si="10"/>
        <v>472</v>
      </c>
      <c r="O25" s="5">
        <f t="shared" si="11"/>
        <v>0</v>
      </c>
      <c r="P25" s="5">
        <f>Table1[[#This Row],[Enrolment S.Y. 2025-2026 ]]*8</f>
        <v>472</v>
      </c>
      <c r="Q25" s="5"/>
      <c r="R25" s="1"/>
      <c r="S25" s="5"/>
      <c r="T25" s="5">
        <f t="shared" si="12"/>
        <v>472</v>
      </c>
      <c r="U25" s="5">
        <f t="shared" si="13"/>
        <v>0</v>
      </c>
      <c r="V25" s="5">
        <f>Table1[[#This Row],[Enrolment S.Y. 2025-2026 ]]*8</f>
        <v>472</v>
      </c>
      <c r="W25" s="5"/>
      <c r="X25" s="1"/>
      <c r="Y25" s="5"/>
      <c r="Z25" s="5">
        <f t="shared" si="14"/>
        <v>472</v>
      </c>
      <c r="AA25" s="5">
        <f t="shared" si="15"/>
        <v>0</v>
      </c>
    </row>
    <row r="26" spans="1:27" ht="19.5">
      <c r="A26" s="1">
        <v>3</v>
      </c>
      <c r="B26" s="2" t="s">
        <v>15</v>
      </c>
      <c r="C26" s="1">
        <v>59</v>
      </c>
      <c r="D26" s="5">
        <f>Table1[[#This Row],[Enrolment S.Y. 2025-2026 ]]*8</f>
        <v>472</v>
      </c>
      <c r="E26" s="5">
        <v>576</v>
      </c>
      <c r="F26" s="1">
        <v>2025</v>
      </c>
      <c r="G26" s="5" t="s">
        <v>9</v>
      </c>
      <c r="H26" s="5">
        <f t="shared" si="2"/>
        <v>0</v>
      </c>
      <c r="I26" s="5">
        <f t="shared" si="3"/>
        <v>104</v>
      </c>
      <c r="J26" s="5">
        <f>Table1[[#This Row],[Enrolment S.Y. 2025-2026 ]]*8</f>
        <v>472</v>
      </c>
      <c r="K26" s="5"/>
      <c r="L26" s="1"/>
      <c r="M26" s="5"/>
      <c r="N26" s="5">
        <f t="shared" si="10"/>
        <v>472</v>
      </c>
      <c r="O26" s="5">
        <f t="shared" si="11"/>
        <v>0</v>
      </c>
      <c r="P26" s="5">
        <f>Table1[[#This Row],[Enrolment S.Y. 2025-2026 ]]*8</f>
        <v>472</v>
      </c>
      <c r="Q26" s="5"/>
      <c r="R26" s="1"/>
      <c r="S26" s="5"/>
      <c r="T26" s="5">
        <f t="shared" si="12"/>
        <v>472</v>
      </c>
      <c r="U26" s="5">
        <f t="shared" si="13"/>
        <v>0</v>
      </c>
      <c r="V26" s="5">
        <f>Table1[[#This Row],[Enrolment S.Y. 2025-2026 ]]*8</f>
        <v>472</v>
      </c>
      <c r="W26" s="5"/>
      <c r="X26" s="1"/>
      <c r="Y26" s="5"/>
      <c r="Z26" s="5">
        <f t="shared" si="14"/>
        <v>472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59</v>
      </c>
      <c r="D27" s="5">
        <f>Table1[[#This Row],[Enrolment S.Y. 2025-2026 ]]*8</f>
        <v>472</v>
      </c>
      <c r="E27" s="5">
        <v>576</v>
      </c>
      <c r="F27" s="1">
        <v>2025</v>
      </c>
      <c r="G27" s="5" t="s">
        <v>9</v>
      </c>
      <c r="H27" s="5">
        <f t="shared" si="2"/>
        <v>0</v>
      </c>
      <c r="I27" s="5">
        <f t="shared" si="3"/>
        <v>104</v>
      </c>
      <c r="J27" s="5">
        <f>Table1[[#This Row],[Enrolment S.Y. 2025-2026 ]]*8</f>
        <v>472</v>
      </c>
      <c r="K27" s="5"/>
      <c r="L27" s="1"/>
      <c r="M27" s="5"/>
      <c r="N27" s="5">
        <f t="shared" si="10"/>
        <v>472</v>
      </c>
      <c r="O27" s="5">
        <f t="shared" si="11"/>
        <v>0</v>
      </c>
      <c r="P27" s="5">
        <f>Table1[[#This Row],[Enrolment S.Y. 2025-2026 ]]*8</f>
        <v>472</v>
      </c>
      <c r="Q27" s="5"/>
      <c r="R27" s="1"/>
      <c r="S27" s="5"/>
      <c r="T27" s="5">
        <f t="shared" si="12"/>
        <v>472</v>
      </c>
      <c r="U27" s="5">
        <f t="shared" si="13"/>
        <v>0</v>
      </c>
      <c r="V27" s="5">
        <f>Table1[[#This Row],[Enrolment S.Y. 2025-2026 ]]*8</f>
        <v>472</v>
      </c>
      <c r="W27" s="5"/>
      <c r="X27" s="1"/>
      <c r="Y27" s="5"/>
      <c r="Z27" s="5">
        <f t="shared" si="14"/>
        <v>472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59</v>
      </c>
      <c r="D28" s="5">
        <f>Table1[[#This Row],[Enrolment S.Y. 2025-2026 ]]*8</f>
        <v>472</v>
      </c>
      <c r="E28" s="5">
        <v>576</v>
      </c>
      <c r="F28" s="1">
        <v>2025</v>
      </c>
      <c r="G28" s="5" t="s">
        <v>9</v>
      </c>
      <c r="H28" s="5">
        <f t="shared" si="2"/>
        <v>0</v>
      </c>
      <c r="I28" s="5">
        <f t="shared" si="3"/>
        <v>104</v>
      </c>
      <c r="J28" s="5">
        <f>Table1[[#This Row],[Enrolment S.Y. 2025-2026 ]]*8</f>
        <v>472</v>
      </c>
      <c r="K28" s="5"/>
      <c r="L28" s="1"/>
      <c r="M28" s="5"/>
      <c r="N28" s="5">
        <f t="shared" si="10"/>
        <v>472</v>
      </c>
      <c r="O28" s="5">
        <f t="shared" si="11"/>
        <v>0</v>
      </c>
      <c r="P28" s="5">
        <f>Table1[[#This Row],[Enrolment S.Y. 2025-2026 ]]*8</f>
        <v>472</v>
      </c>
      <c r="Q28" s="5"/>
      <c r="R28" s="1"/>
      <c r="S28" s="5"/>
      <c r="T28" s="5">
        <f t="shared" si="12"/>
        <v>472</v>
      </c>
      <c r="U28" s="5">
        <f t="shared" si="13"/>
        <v>0</v>
      </c>
      <c r="V28" s="5">
        <f>Table1[[#This Row],[Enrolment S.Y. 2025-2026 ]]*8</f>
        <v>472</v>
      </c>
      <c r="W28" s="5"/>
      <c r="X28" s="1"/>
      <c r="Y28" s="5"/>
      <c r="Z28" s="5">
        <f t="shared" si="14"/>
        <v>472</v>
      </c>
      <c r="AA28" s="5">
        <f t="shared" si="15"/>
        <v>0</v>
      </c>
    </row>
    <row r="29" spans="1:27" ht="19.5">
      <c r="A29" s="1">
        <v>3</v>
      </c>
      <c r="B29" s="9" t="s">
        <v>16</v>
      </c>
      <c r="C29" s="1">
        <v>59</v>
      </c>
      <c r="D29" s="5">
        <f>Table1[[#This Row],[Enrolment S.Y. 2025-2026 ]]*8</f>
        <v>472</v>
      </c>
      <c r="E29" s="5">
        <v>576</v>
      </c>
      <c r="F29" s="1">
        <v>2025</v>
      </c>
      <c r="G29" s="5" t="s">
        <v>9</v>
      </c>
      <c r="H29" s="5">
        <f>IF((D29-E29)&lt;0,0,(D29-E29))</f>
        <v>0</v>
      </c>
      <c r="I29" s="5">
        <f>IF((E29-D29)&lt;0,0,(E29-D29))</f>
        <v>104</v>
      </c>
      <c r="J29" s="5">
        <f>Table1[[#This Row],[Enrolment S.Y. 2025-2026 ]]*8</f>
        <v>472</v>
      </c>
      <c r="K29" s="5"/>
      <c r="L29" s="1"/>
      <c r="M29" s="5"/>
      <c r="N29" s="5">
        <f t="shared" si="10"/>
        <v>472</v>
      </c>
      <c r="O29" s="5">
        <f t="shared" si="11"/>
        <v>0</v>
      </c>
      <c r="P29" s="5">
        <f>Table1[[#This Row],[Enrolment S.Y. 2025-2026 ]]*8</f>
        <v>472</v>
      </c>
      <c r="Q29" s="5"/>
      <c r="R29" s="1"/>
      <c r="S29" s="5"/>
      <c r="T29" s="5">
        <f t="shared" si="12"/>
        <v>472</v>
      </c>
      <c r="U29" s="5">
        <f t="shared" si="13"/>
        <v>0</v>
      </c>
      <c r="V29" s="5">
        <f>Table1[[#This Row],[Enrolment S.Y. 2025-2026 ]]*8</f>
        <v>472</v>
      </c>
      <c r="W29" s="5"/>
      <c r="X29" s="1"/>
      <c r="Y29" s="5"/>
      <c r="Z29" s="5">
        <f t="shared" si="14"/>
        <v>472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59</v>
      </c>
      <c r="D30" s="5">
        <f>Table1[[#This Row],[Enrolment S.Y. 2025-2026 ]]*8</f>
        <v>472</v>
      </c>
      <c r="E30" s="5">
        <v>576</v>
      </c>
      <c r="F30" s="1">
        <v>2025</v>
      </c>
      <c r="G30" s="5" t="s">
        <v>9</v>
      </c>
      <c r="H30" s="5">
        <f>IF((D30-E30)&lt;0,0,(D30-E30))</f>
        <v>0</v>
      </c>
      <c r="I30" s="5">
        <f>IF((E30-D30)&lt;0,0,(E30-D30))</f>
        <v>104</v>
      </c>
      <c r="J30" s="5">
        <f>Table1[[#This Row],[Enrolment S.Y. 2025-2026 ]]*8</f>
        <v>472</v>
      </c>
      <c r="K30" s="5"/>
      <c r="L30" s="1"/>
      <c r="M30" s="5"/>
      <c r="N30" s="5">
        <f t="shared" si="10"/>
        <v>472</v>
      </c>
      <c r="O30" s="5">
        <f t="shared" si="11"/>
        <v>0</v>
      </c>
      <c r="P30" s="5">
        <f>Table1[[#This Row],[Enrolment S.Y. 2025-2026 ]]*8</f>
        <v>472</v>
      </c>
      <c r="Q30" s="5"/>
      <c r="R30" s="1"/>
      <c r="S30" s="5"/>
      <c r="T30" s="5">
        <f t="shared" si="12"/>
        <v>472</v>
      </c>
      <c r="U30" s="5">
        <f t="shared" si="13"/>
        <v>0</v>
      </c>
      <c r="V30" s="5">
        <f>Table1[[#This Row],[Enrolment S.Y. 2025-2026 ]]*8</f>
        <v>472</v>
      </c>
      <c r="W30" s="5"/>
      <c r="X30" s="1"/>
      <c r="Y30" s="5"/>
      <c r="Z30" s="5">
        <f t="shared" si="14"/>
        <v>472</v>
      </c>
      <c r="AA30" s="5">
        <f t="shared" si="15"/>
        <v>0</v>
      </c>
    </row>
    <row r="31" spans="1:27" ht="19.149999999999999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16</v>
      </c>
      <c r="C43" s="1">
        <v>69</v>
      </c>
      <c r="D43" s="5">
        <f>Table1[[#This Row],[Enrolment S.Y. 2025-2026 ]]*8</f>
        <v>552</v>
      </c>
      <c r="E43" s="5">
        <v>384</v>
      </c>
      <c r="F43" s="1">
        <v>2025</v>
      </c>
      <c r="G43" s="5" t="s">
        <v>9</v>
      </c>
      <c r="H43" s="5">
        <f t="shared" si="2"/>
        <v>168</v>
      </c>
      <c r="I43" s="5">
        <f t="shared" si="3"/>
        <v>0</v>
      </c>
      <c r="J43" s="5">
        <f>Table1[[#This Row],[Enrolment S.Y. 2025-2026 ]]*8</f>
        <v>552</v>
      </c>
      <c r="K43" s="5"/>
      <c r="L43" s="1"/>
      <c r="M43" s="5"/>
      <c r="N43" s="5">
        <f t="shared" si="10"/>
        <v>552</v>
      </c>
      <c r="O43" s="5">
        <f t="shared" si="11"/>
        <v>0</v>
      </c>
      <c r="P43" s="5">
        <f>Table1[[#This Row],[Enrolment S.Y. 2025-2026 ]]*8</f>
        <v>552</v>
      </c>
      <c r="Q43" s="5"/>
      <c r="R43" s="1"/>
      <c r="S43" s="5"/>
      <c r="T43" s="5">
        <f t="shared" si="12"/>
        <v>552</v>
      </c>
      <c r="U43" s="5">
        <f t="shared" si="13"/>
        <v>0</v>
      </c>
      <c r="V43" s="5">
        <f>Table1[[#This Row],[Enrolment S.Y. 2025-2026 ]]*8</f>
        <v>552</v>
      </c>
      <c r="W43" s="5"/>
      <c r="X43" s="1"/>
      <c r="Y43" s="5"/>
      <c r="Z43" s="5">
        <f t="shared" si="14"/>
        <v>552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69</v>
      </c>
      <c r="D44" s="5">
        <f>Table1[[#This Row],[Enrolment S.Y. 2025-2026 ]]*8</f>
        <v>552</v>
      </c>
      <c r="E44" s="5">
        <v>384</v>
      </c>
      <c r="F44" s="1">
        <v>2025</v>
      </c>
      <c r="G44" s="5" t="s">
        <v>9</v>
      </c>
      <c r="H44" s="5">
        <f t="shared" si="2"/>
        <v>168</v>
      </c>
      <c r="I44" s="5">
        <f t="shared" si="3"/>
        <v>0</v>
      </c>
      <c r="J44" s="5">
        <f>Table1[[#This Row],[Enrolment S.Y. 2025-2026 ]]*8</f>
        <v>552</v>
      </c>
      <c r="K44" s="5"/>
      <c r="L44" s="1"/>
      <c r="M44" s="5"/>
      <c r="N44" s="5">
        <f t="shared" si="10"/>
        <v>552</v>
      </c>
      <c r="O44" s="5">
        <f t="shared" si="11"/>
        <v>0</v>
      </c>
      <c r="P44" s="5">
        <f>Table1[[#This Row],[Enrolment S.Y. 2025-2026 ]]*8</f>
        <v>552</v>
      </c>
      <c r="Q44" s="5"/>
      <c r="R44" s="1"/>
      <c r="S44" s="5"/>
      <c r="T44" s="5">
        <f t="shared" si="12"/>
        <v>552</v>
      </c>
      <c r="U44" s="5">
        <f t="shared" si="13"/>
        <v>0</v>
      </c>
      <c r="V44" s="5">
        <f>Table1[[#This Row],[Enrolment S.Y. 2025-2026 ]]*8</f>
        <v>552</v>
      </c>
      <c r="W44" s="5"/>
      <c r="X44" s="1"/>
      <c r="Y44" s="5"/>
      <c r="Z44" s="5">
        <f t="shared" si="14"/>
        <v>552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69</v>
      </c>
      <c r="D45" s="5">
        <f>Table1[[#This Row],[Enrolment S.Y. 2025-2026 ]]*8</f>
        <v>552</v>
      </c>
      <c r="E45" s="5">
        <v>384</v>
      </c>
      <c r="F45" s="1">
        <v>2025</v>
      </c>
      <c r="G45" s="5" t="s">
        <v>9</v>
      </c>
      <c r="H45" s="5">
        <f t="shared" si="2"/>
        <v>168</v>
      </c>
      <c r="I45" s="5">
        <f t="shared" si="3"/>
        <v>0</v>
      </c>
      <c r="J45" s="5">
        <f>Table1[[#This Row],[Enrolment S.Y. 2025-2026 ]]*8</f>
        <v>552</v>
      </c>
      <c r="K45" s="5"/>
      <c r="L45" s="1"/>
      <c r="M45" s="5"/>
      <c r="N45" s="5">
        <f t="shared" si="10"/>
        <v>552</v>
      </c>
      <c r="O45" s="5">
        <f t="shared" si="11"/>
        <v>0</v>
      </c>
      <c r="P45" s="5">
        <f>Table1[[#This Row],[Enrolment S.Y. 2025-2026 ]]*8</f>
        <v>552</v>
      </c>
      <c r="Q45" s="5"/>
      <c r="R45" s="1"/>
      <c r="S45" s="5"/>
      <c r="T45" s="5">
        <f t="shared" si="12"/>
        <v>552</v>
      </c>
      <c r="U45" s="5">
        <f t="shared" si="13"/>
        <v>0</v>
      </c>
      <c r="V45" s="5">
        <f>Table1[[#This Row],[Enrolment S.Y. 2025-2026 ]]*8</f>
        <v>552</v>
      </c>
      <c r="W45" s="5"/>
      <c r="X45" s="1"/>
      <c r="Y45" s="5"/>
      <c r="Z45" s="5">
        <f t="shared" si="14"/>
        <v>552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69</v>
      </c>
      <c r="D46" s="5">
        <f>Table1[[#This Row],[Enrolment S.Y. 2025-2026 ]]*8</f>
        <v>552</v>
      </c>
      <c r="E46" s="5">
        <v>384</v>
      </c>
      <c r="F46" s="1">
        <v>2025</v>
      </c>
      <c r="G46" s="5" t="s">
        <v>9</v>
      </c>
      <c r="H46" s="5">
        <f t="shared" si="2"/>
        <v>168</v>
      </c>
      <c r="I46" s="5">
        <f t="shared" si="3"/>
        <v>0</v>
      </c>
      <c r="J46" s="5">
        <f>Table1[[#This Row],[Enrolment S.Y. 2025-2026 ]]*8</f>
        <v>552</v>
      </c>
      <c r="K46" s="5"/>
      <c r="L46" s="1"/>
      <c r="M46" s="5"/>
      <c r="N46" s="5">
        <f t="shared" si="10"/>
        <v>552</v>
      </c>
      <c r="O46" s="5">
        <f t="shared" si="11"/>
        <v>0</v>
      </c>
      <c r="P46" s="5">
        <f>Table1[[#This Row],[Enrolment S.Y. 2025-2026 ]]*8</f>
        <v>552</v>
      </c>
      <c r="Q46" s="5"/>
      <c r="R46" s="1"/>
      <c r="S46" s="5"/>
      <c r="T46" s="5">
        <f t="shared" si="12"/>
        <v>552</v>
      </c>
      <c r="U46" s="5">
        <f t="shared" si="13"/>
        <v>0</v>
      </c>
      <c r="V46" s="5">
        <f>Table1[[#This Row],[Enrolment S.Y. 2025-2026 ]]*8</f>
        <v>552</v>
      </c>
      <c r="W46" s="5"/>
      <c r="X46" s="1"/>
      <c r="Y46" s="5"/>
      <c r="Z46" s="5">
        <f t="shared" si="14"/>
        <v>552</v>
      </c>
      <c r="AA46" s="5">
        <f t="shared" si="15"/>
        <v>0</v>
      </c>
    </row>
    <row r="47" spans="1:27" ht="33" customHeight="1">
      <c r="A47" s="1">
        <v>5</v>
      </c>
      <c r="B47" s="9" t="s">
        <v>18</v>
      </c>
      <c r="C47" s="1">
        <v>69</v>
      </c>
      <c r="D47" s="5">
        <f>Table1[[#This Row],[Enrolment S.Y. 2025-2026 ]]*8</f>
        <v>552</v>
      </c>
      <c r="E47" s="5">
        <v>384</v>
      </c>
      <c r="F47" s="1">
        <v>2025</v>
      </c>
      <c r="G47" s="5" t="s">
        <v>9</v>
      </c>
      <c r="H47" s="5">
        <f t="shared" si="2"/>
        <v>168</v>
      </c>
      <c r="I47" s="5">
        <f t="shared" si="3"/>
        <v>0</v>
      </c>
      <c r="J47" s="5">
        <f>Table1[[#This Row],[Enrolment S.Y. 2025-2026 ]]*8</f>
        <v>552</v>
      </c>
      <c r="K47" s="5"/>
      <c r="L47" s="1"/>
      <c r="M47" s="5"/>
      <c r="N47" s="5">
        <f t="shared" si="10"/>
        <v>552</v>
      </c>
      <c r="O47" s="5">
        <f t="shared" si="11"/>
        <v>0</v>
      </c>
      <c r="P47" s="5">
        <f>Table1[[#This Row],[Enrolment S.Y. 2025-2026 ]]*8</f>
        <v>552</v>
      </c>
      <c r="Q47" s="5"/>
      <c r="R47" s="1"/>
      <c r="S47" s="5"/>
      <c r="T47" s="5">
        <f t="shared" si="12"/>
        <v>552</v>
      </c>
      <c r="U47" s="5">
        <f t="shared" si="13"/>
        <v>0</v>
      </c>
      <c r="V47" s="5">
        <f>Table1[[#This Row],[Enrolment S.Y. 2025-2026 ]]*8</f>
        <v>552</v>
      </c>
      <c r="W47" s="5"/>
      <c r="X47" s="1"/>
      <c r="Y47" s="5"/>
      <c r="Z47" s="5">
        <f t="shared" si="14"/>
        <v>552</v>
      </c>
      <c r="AA47" s="5">
        <f t="shared" si="15"/>
        <v>0</v>
      </c>
    </row>
    <row r="48" spans="1:27" ht="19.149999999999999">
      <c r="A48" s="1">
        <v>5</v>
      </c>
      <c r="B48" s="9" t="s">
        <v>15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69</v>
      </c>
      <c r="D49" s="5">
        <f>Table1[[#This Row],[Enrolment S.Y. 2025-2026 ]]*8</f>
        <v>552</v>
      </c>
      <c r="E49" s="5">
        <v>384</v>
      </c>
      <c r="F49" s="1">
        <v>2025</v>
      </c>
      <c r="G49" s="5" t="s">
        <v>9</v>
      </c>
      <c r="H49" s="5">
        <f t="shared" si="2"/>
        <v>168</v>
      </c>
      <c r="I49" s="5">
        <f t="shared" si="3"/>
        <v>0</v>
      </c>
      <c r="J49" s="5">
        <f>Table1[[#This Row],[Enrolment S.Y. 2025-2026 ]]*8</f>
        <v>552</v>
      </c>
      <c r="K49" s="5"/>
      <c r="L49" s="1"/>
      <c r="M49" s="5"/>
      <c r="N49" s="5">
        <f t="shared" si="10"/>
        <v>552</v>
      </c>
      <c r="O49" s="5">
        <f t="shared" si="11"/>
        <v>0</v>
      </c>
      <c r="P49" s="5">
        <f>Table1[[#This Row],[Enrolment S.Y. 2025-2026 ]]*8</f>
        <v>552</v>
      </c>
      <c r="Q49" s="5"/>
      <c r="R49" s="1"/>
      <c r="S49" s="5"/>
      <c r="T49" s="5">
        <f t="shared" si="12"/>
        <v>552</v>
      </c>
      <c r="U49" s="5">
        <f t="shared" si="13"/>
        <v>0</v>
      </c>
      <c r="V49" s="5">
        <f>Table1[[#This Row],[Enrolment S.Y. 2025-2026 ]]*8</f>
        <v>552</v>
      </c>
      <c r="W49" s="5"/>
      <c r="X49" s="1"/>
      <c r="Y49" s="5"/>
      <c r="Z49" s="5">
        <f t="shared" si="14"/>
        <v>552</v>
      </c>
      <c r="AA49" s="5">
        <f t="shared" si="15"/>
        <v>0</v>
      </c>
    </row>
    <row r="50" spans="1:27" ht="19.149999999999999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69</v>
      </c>
      <c r="D51" s="5">
        <f>Table1[[#This Row],[Enrolment S.Y. 2025-2026 ]]*8</f>
        <v>552</v>
      </c>
      <c r="E51" s="5">
        <v>384</v>
      </c>
      <c r="F51" s="1">
        <v>2025</v>
      </c>
      <c r="G51" s="5" t="s">
        <v>9</v>
      </c>
      <c r="H51" s="5">
        <f t="shared" si="2"/>
        <v>168</v>
      </c>
      <c r="I51" s="5">
        <f t="shared" si="3"/>
        <v>0</v>
      </c>
      <c r="J51" s="5">
        <f>Table1[[#This Row],[Enrolment S.Y. 2025-2026 ]]*8</f>
        <v>552</v>
      </c>
      <c r="K51" s="5"/>
      <c r="L51" s="1"/>
      <c r="M51" s="5"/>
      <c r="N51" s="5">
        <f t="shared" si="10"/>
        <v>552</v>
      </c>
      <c r="O51" s="5">
        <f t="shared" si="11"/>
        <v>0</v>
      </c>
      <c r="P51" s="5">
        <f>Table1[[#This Row],[Enrolment S.Y. 2025-2026 ]]*8</f>
        <v>552</v>
      </c>
      <c r="Q51" s="5"/>
      <c r="R51" s="1"/>
      <c r="S51" s="5"/>
      <c r="T51" s="5">
        <f t="shared" si="12"/>
        <v>552</v>
      </c>
      <c r="U51" s="5">
        <f t="shared" si="13"/>
        <v>0</v>
      </c>
      <c r="V51" s="5">
        <f>Table1[[#This Row],[Enrolment S.Y. 2025-2026 ]]*8</f>
        <v>552</v>
      </c>
      <c r="W51" s="5"/>
      <c r="X51" s="1"/>
      <c r="Y51" s="5"/>
      <c r="Z51" s="5">
        <f t="shared" si="14"/>
        <v>552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Q14:R21 W14:X21 Q23:R31 W23:X31 D33:F41 H33:I41 Q33:R41 W33:X41 H43:I51 Q43:R51 W43:X51 D53:F61 H53:I61 Q53:R61 W53:X61 H6:I12 K6:L12 K33:L41 K43:L51 K53:L61 D43:F51 N3:R3 Y13 D14:F21 K14:L21 D23:F31 K23:L31 N13:P61 P2:R2 V2:X3 T13:V61 J6:J61 Z4:AA61 D5:F12 N5:R12 T5:X12 N4:P4 T4:V4 J4 H14:I21 H23:I31" name="LAS"/>
    <protectedRange sqref="G2:I3 M2:O2 S2:U3 Y2:AA3 M14:M61 G14:G21 G43:G51 S4:S61 G5:G12 M5:M12 Y14:Y61 Y5:Y12 M3 G23:G31 G33:G41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G14:G21 Y14:Y61 S4:S61 G5:G12 M5:M12 Y5:Y12 M14:M61 G33:G41 G23:G31 G53:G6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W122" zoomScale="55" zoomScaleNormal="55" workbookViewId="0">
      <selection activeCell="A66" sqref="A66:AA14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4.5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16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2026-04-13T08:28:09Z</dcterms:modified>
  <cp:category/>
  <cp:contentStatus/>
</cp:coreProperties>
</file>