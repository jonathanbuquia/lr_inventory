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6" documentId="13_ncr:1_{BFB59F67-F0DC-4675-A682-EB0734A8026A}" xr6:coauthVersionLast="47" xr6:coauthVersionMax="47" xr10:uidLastSave="{9554733D-C312-4689-9B94-426D9EE3E75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4" l="1"/>
  <c r="K43" i="4"/>
  <c r="K19" i="4"/>
  <c r="K17" i="4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<sst xmlns="http://schemas.openxmlformats.org/spreadsheetml/2006/main" count="402" uniqueCount="92">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</sst>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8" sqref="C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279</v>
      </c>
      <c r="D11" s="1">
        <v>337</v>
      </c>
      <c r="E11" s="1">
        <v>2026</v>
      </c>
      <c r="F11" s="5" t="s">
        <v>13</v>
      </c>
      <c r="G11" s="3">
        <f>IF((C11-D11)&lt;0,0,C11-D11)</f>
        <v>0</v>
      </c>
      <c r="H11" s="4">
        <f>IF((D11-C11)&lt;0,0,D11-C11)</f>
        <v>58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282</v>
      </c>
      <c r="D23" s="1">
        <v>480</v>
      </c>
      <c r="E23" s="1">
        <v>2025</v>
      </c>
      <c r="F23" s="5" t="s">
        <v>13</v>
      </c>
      <c r="G23" s="3">
        <f t="shared" si="4"/>
        <v>0</v>
      </c>
      <c r="H23" s="4">
        <f t="shared" si="5"/>
        <v>198</v>
      </c>
    </row>
    <row r="24" spans="1:8" ht="27" customHeight="1">
      <c r="A24" s="1">
        <v>4</v>
      </c>
      <c r="B24" s="9" t="s">
        <v>10</v>
      </c>
      <c r="C24" s="1">
        <v>282</v>
      </c>
      <c r="D24" s="1">
        <v>480</v>
      </c>
      <c r="E24" s="1">
        <v>2025</v>
      </c>
      <c r="F24" s="5" t="s">
        <v>13</v>
      </c>
      <c r="G24" s="3">
        <f t="shared" si="4"/>
        <v>0</v>
      </c>
      <c r="H24" s="4">
        <f t="shared" si="5"/>
        <v>198</v>
      </c>
    </row>
    <row r="25" spans="1:8" ht="33.75" customHeight="1">
      <c r="A25" s="1">
        <v>4</v>
      </c>
      <c r="B25" s="9" t="s">
        <v>17</v>
      </c>
      <c r="C25" s="1">
        <v>282</v>
      </c>
      <c r="D25" s="1">
        <v>480</v>
      </c>
      <c r="E25" s="1">
        <v>2024</v>
      </c>
      <c r="F25" s="5" t="s">
        <v>13</v>
      </c>
      <c r="G25" s="3">
        <f t="shared" si="4"/>
        <v>0</v>
      </c>
      <c r="H25" s="4">
        <f t="shared" si="5"/>
        <v>198</v>
      </c>
    </row>
    <row r="26" spans="1:8" ht="33.75" customHeight="1">
      <c r="A26" s="1">
        <v>4</v>
      </c>
      <c r="B26" s="9" t="s">
        <v>14</v>
      </c>
      <c r="C26" s="1">
        <v>282</v>
      </c>
      <c r="D26" s="1">
        <v>480</v>
      </c>
      <c r="E26" s="1">
        <v>2024</v>
      </c>
      <c r="F26" s="5" t="s">
        <v>13</v>
      </c>
      <c r="G26" s="3">
        <f t="shared" si="4"/>
        <v>0</v>
      </c>
      <c r="H26" s="4">
        <f t="shared" si="5"/>
        <v>198</v>
      </c>
    </row>
    <row r="27" spans="1:8" ht="33.75" customHeight="1">
      <c r="A27" s="1">
        <v>4</v>
      </c>
      <c r="B27" s="9" t="s">
        <v>18</v>
      </c>
      <c r="C27" s="1">
        <v>282</v>
      </c>
      <c r="D27" s="1">
        <v>480</v>
      </c>
      <c r="E27" s="1">
        <v>2024</v>
      </c>
      <c r="F27" s="5" t="s">
        <v>13</v>
      </c>
      <c r="G27" s="3">
        <f t="shared" si="4"/>
        <v>0</v>
      </c>
      <c r="H27" s="4">
        <f t="shared" si="5"/>
        <v>198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282</v>
      </c>
      <c r="D29" s="1">
        <v>480</v>
      </c>
      <c r="E29" s="1">
        <v>2026</v>
      </c>
      <c r="F29" s="5" t="s">
        <v>13</v>
      </c>
      <c r="G29" s="3">
        <f t="shared" si="4"/>
        <v>0</v>
      </c>
      <c r="H29" s="4">
        <f t="shared" si="5"/>
        <v>198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280</v>
      </c>
      <c r="D31" s="1">
        <v>352</v>
      </c>
      <c r="E31" s="1">
        <v>2025</v>
      </c>
      <c r="F31" s="5" t="s">
        <v>13</v>
      </c>
      <c r="G31" s="3">
        <f t="shared" ref="G31:G39" si="6">IF((C31-D31)&lt;0,0,C31-D31)</f>
        <v>0</v>
      </c>
      <c r="H31" s="4">
        <f t="shared" ref="H31:H39" si="7">IF((D31-C31)&lt;0,0,D31-C31)</f>
        <v>72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280</v>
      </c>
      <c r="D35" s="1">
        <v>356</v>
      </c>
      <c r="E35" s="1">
        <v>2025</v>
      </c>
      <c r="F35" s="5" t="s">
        <v>13</v>
      </c>
      <c r="G35" s="3">
        <f t="shared" si="6"/>
        <v>0</v>
      </c>
      <c r="H35" s="4">
        <f t="shared" si="7"/>
        <v>76</v>
      </c>
    </row>
    <row r="36" spans="1:8" ht="27.75" customHeight="1">
      <c r="A36" s="1">
        <v>5</v>
      </c>
      <c r="B36" s="9" t="s">
        <v>14</v>
      </c>
      <c r="C36" s="1">
        <v>280</v>
      </c>
      <c r="D36" s="1">
        <v>352</v>
      </c>
      <c r="E36" s="1">
        <v>2025</v>
      </c>
      <c r="F36" s="5" t="s">
        <v>13</v>
      </c>
      <c r="G36" s="3">
        <f t="shared" si="6"/>
        <v>0</v>
      </c>
      <c r="H36" s="4">
        <f t="shared" si="7"/>
        <v>72</v>
      </c>
    </row>
    <row r="37" spans="1:8" ht="27.75" customHeight="1">
      <c r="A37" s="1">
        <v>5</v>
      </c>
      <c r="B37" s="9" t="s">
        <v>18</v>
      </c>
      <c r="C37" s="1">
        <v>280</v>
      </c>
      <c r="D37" s="1">
        <v>352</v>
      </c>
      <c r="E37" s="1">
        <v>2025</v>
      </c>
      <c r="F37" s="5" t="s">
        <v>13</v>
      </c>
      <c r="G37" s="3">
        <f t="shared" si="6"/>
        <v>0</v>
      </c>
      <c r="H37" s="4">
        <f t="shared" si="7"/>
        <v>72</v>
      </c>
    </row>
    <row r="38" spans="1:8" ht="27.75" customHeight="1">
      <c r="A38" s="1">
        <v>5</v>
      </c>
      <c r="B38" s="9" t="s">
        <v>19</v>
      </c>
      <c r="C38" s="1">
        <v>280</v>
      </c>
      <c r="D38" s="1">
        <v>352</v>
      </c>
      <c r="E38" s="1">
        <v>2026</v>
      </c>
      <c r="F38" s="5" t="s">
        <v>13</v>
      </c>
      <c r="G38" s="3">
        <f t="shared" si="6"/>
        <v>0</v>
      </c>
      <c r="H38" s="4">
        <f t="shared" si="7"/>
        <v>72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" zoomScale="70" zoomScaleNormal="70" workbookViewId="0">
      <selection activeCell="K46" sqref="K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6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279</v>
      </c>
      <c r="D17" s="5">
        <f>Table1[[#This Row],[Enrolment S.Y. 2025-2026 ]]*8</f>
        <v>2232</v>
      </c>
      <c r="E17" s="5"/>
      <c r="F17" s="1"/>
      <c r="G17" s="5"/>
      <c r="H17" s="5">
        <f t="shared" si="2"/>
        <v>2232</v>
      </c>
      <c r="I17" s="5">
        <f t="shared" si="3"/>
        <v>0</v>
      </c>
      <c r="J17" s="5">
        <f>Table1[[#This Row],[Enrolment S.Y. 2025-2026 ]]*8</f>
        <v>2232</v>
      </c>
      <c r="K17" s="5">
        <f>248*8</f>
        <v>1984</v>
      </c>
      <c r="L17" s="1">
        <v>2025</v>
      </c>
      <c r="M17" s="5" t="s">
        <v>63</v>
      </c>
      <c r="N17" s="5">
        <f t="shared" si="10"/>
        <v>248</v>
      </c>
      <c r="O17" s="5">
        <f t="shared" si="11"/>
        <v>0</v>
      </c>
      <c r="P17" s="5">
        <f>Table1[[#This Row],[Enrolment S.Y. 2025-2026 ]]*8</f>
        <v>2232</v>
      </c>
      <c r="Q17" s="5"/>
      <c r="R17" s="1"/>
      <c r="S17" s="5"/>
      <c r="T17" s="5">
        <f t="shared" si="12"/>
        <v>2232</v>
      </c>
      <c r="U17" s="5">
        <f t="shared" si="13"/>
        <v>0</v>
      </c>
      <c r="V17" s="5">
        <f>Table1[[#This Row],[Enrolment S.Y. 2025-2026 ]]*8</f>
        <v>2232</v>
      </c>
      <c r="W17" s="5"/>
      <c r="X17" s="1"/>
      <c r="Y17" s="5"/>
      <c r="Z17" s="5">
        <f t="shared" si="14"/>
        <v>2232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279</v>
      </c>
      <c r="D19" s="5">
        <f>Table1[[#This Row],[Enrolment S.Y. 2025-2026 ]]*8</f>
        <v>2232</v>
      </c>
      <c r="E19" s="5"/>
      <c r="F19" s="1"/>
      <c r="G19" s="5"/>
      <c r="H19" s="5">
        <f>IF((D19-E19)&lt;0,0,(D19-E19))</f>
        <v>2232</v>
      </c>
      <c r="I19" s="5">
        <f>IF((E19-D19)&lt;0,0,(E19-D19))</f>
        <v>0</v>
      </c>
      <c r="J19" s="5">
        <f>Table1[[#This Row],[Enrolment S.Y. 2025-2026 ]]*8</f>
        <v>2232</v>
      </c>
      <c r="K19" s="5">
        <f>248*8</f>
        <v>1984</v>
      </c>
      <c r="L19" s="1">
        <v>2025</v>
      </c>
      <c r="M19" s="5" t="s">
        <v>63</v>
      </c>
      <c r="N19" s="5">
        <f t="shared" si="10"/>
        <v>248</v>
      </c>
      <c r="O19" s="5">
        <f t="shared" si="11"/>
        <v>0</v>
      </c>
      <c r="P19" s="5">
        <f>Table1[[#This Row],[Enrolment S.Y. 2025-2026 ]]*8</f>
        <v>2232</v>
      </c>
      <c r="Q19" s="5"/>
      <c r="R19" s="1"/>
      <c r="S19" s="5"/>
      <c r="T19" s="5">
        <f t="shared" si="12"/>
        <v>2232</v>
      </c>
      <c r="U19" s="5">
        <f t="shared" si="13"/>
        <v>0</v>
      </c>
      <c r="V19" s="5">
        <f>Table1[[#This Row],[Enrolment S.Y. 2025-2026 ]]*8</f>
        <v>2232</v>
      </c>
      <c r="W19" s="5"/>
      <c r="X19" s="1"/>
      <c r="Y19" s="5"/>
      <c r="Z19" s="5">
        <f t="shared" si="14"/>
        <v>2232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280</v>
      </c>
      <c r="D43" s="5">
        <f>Table1[[#This Row],[Enrolment S.Y. 2025-2026 ]]*8</f>
        <v>2240</v>
      </c>
      <c r="E43" s="5"/>
      <c r="F43" s="1"/>
      <c r="G43" s="5"/>
      <c r="H43" s="5">
        <f t="shared" si="2"/>
        <v>2240</v>
      </c>
      <c r="I43" s="5">
        <f t="shared" si="3"/>
        <v>0</v>
      </c>
      <c r="J43" s="5">
        <f>Table1[[#This Row],[Enrolment S.Y. 2025-2026 ]]*8</f>
        <v>2240</v>
      </c>
      <c r="K43" s="5">
        <f>286*8</f>
        <v>2288</v>
      </c>
      <c r="L43" s="1"/>
      <c r="M43" s="5"/>
      <c r="N43" s="5">
        <f t="shared" si="10"/>
        <v>0</v>
      </c>
      <c r="O43" s="5">
        <f t="shared" si="11"/>
        <v>48</v>
      </c>
      <c r="P43" s="5">
        <f>Table1[[#This Row],[Enrolment S.Y. 2025-2026 ]]*8</f>
        <v>2240</v>
      </c>
      <c r="Q43" s="5"/>
      <c r="R43" s="1"/>
      <c r="S43" s="5"/>
      <c r="T43" s="5">
        <f t="shared" si="12"/>
        <v>2240</v>
      </c>
      <c r="U43" s="5">
        <f t="shared" si="13"/>
        <v>0</v>
      </c>
      <c r="V43" s="5">
        <f>Table1[[#This Row],[Enrolment S.Y. 2025-2026 ]]*8</f>
        <v>2240</v>
      </c>
      <c r="W43" s="5"/>
      <c r="X43" s="1"/>
      <c r="Y43" s="5"/>
      <c r="Z43" s="5">
        <f t="shared" si="14"/>
        <v>2240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280</v>
      </c>
      <c r="D45" s="5">
        <f>Table1[[#This Row],[Enrolment S.Y. 2025-2026 ]]*8</f>
        <v>2240</v>
      </c>
      <c r="E45" s="5"/>
      <c r="F45" s="1"/>
      <c r="G45" s="5"/>
      <c r="H45" s="5">
        <f t="shared" si="2"/>
        <v>2240</v>
      </c>
      <c r="I45" s="5">
        <f t="shared" si="3"/>
        <v>0</v>
      </c>
      <c r="J45" s="5">
        <f>Table1[[#This Row],[Enrolment S.Y. 2025-2026 ]]*8</f>
        <v>2240</v>
      </c>
      <c r="K45" s="5">
        <f>286*8</f>
        <v>2288</v>
      </c>
      <c r="L45" s="1"/>
      <c r="M45" s="5"/>
      <c r="N45" s="5">
        <f t="shared" si="10"/>
        <v>0</v>
      </c>
      <c r="O45" s="5">
        <f t="shared" si="11"/>
        <v>48</v>
      </c>
      <c r="P45" s="5">
        <f>Table1[[#This Row],[Enrolment S.Y. 2025-2026 ]]*8</f>
        <v>2240</v>
      </c>
      <c r="Q45" s="5"/>
      <c r="R45" s="1"/>
      <c r="S45" s="5"/>
      <c r="T45" s="5">
        <f t="shared" si="12"/>
        <v>2240</v>
      </c>
      <c r="U45" s="5">
        <f t="shared" si="13"/>
        <v>0</v>
      </c>
      <c r="V45" s="5">
        <f>Table1[[#This Row],[Enrolment S.Y. 2025-2026 ]]*8</f>
        <v>2240</v>
      </c>
      <c r="W45" s="5"/>
      <c r="X45" s="1"/>
      <c r="Y45" s="5"/>
      <c r="Z45" s="5">
        <f t="shared" si="14"/>
        <v>2240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16 C23:C31 C33:C41 C44 C53:C61 C63:C71 C73:C81 C83:C91 C93:C101 C103:C110 C112:C127 C5:C12 C20:C21 C18 C46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K14:L2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19" name="Textbooks_1"/>
    <protectedRange sqref="C17" name="Textbooks_2"/>
    <protectedRange sqref="C43" name="Textbooks_3"/>
    <protectedRange sqref="C45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73:X81 X83:X91 X93:X101 X103:X110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53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2026-03-26T00:57:44Z</dcterms:modified>
  <cp:category/>
  <cp:contentStatus/>
</cp:coreProperties>
</file>