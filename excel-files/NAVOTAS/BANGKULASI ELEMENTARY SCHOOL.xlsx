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4" documentId="13_ncr:1_{BFB59F67-F0DC-4675-A682-EB0734A8026A}" xr6:coauthVersionLast="47" xr6:coauthVersionMax="47" xr10:uidLastSave="{FBF2606F-34F3-4D2D-9347-A6D056670383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4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I43" i="4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<sst xmlns="http://schemas.openxmlformats.org/spreadsheetml/2006/main" count="429" uniqueCount="92">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</sst>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3" fontId="11" fillId="7" borderId="3" xfId="0" applyNumberFormat="1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6" activePane="topRight" state="frozen"/>
      <selection pane="topRight" activeCell="D36" sqref="D3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122</v>
      </c>
      <c r="D2" s="1">
        <v>241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119</v>
      </c>
    </row>
    <row r="3" spans="1:8" ht="29.25" customHeight="1">
      <c r="A3" s="1">
        <v>1</v>
      </c>
      <c r="B3" s="2" t="s">
        <v>10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122</v>
      </c>
      <c r="D4" s="1">
        <v>241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119</v>
      </c>
    </row>
    <row r="5" spans="1:8" ht="25.5" customHeight="1">
      <c r="A5" s="1">
        <v>1</v>
      </c>
      <c r="B5" s="2" t="s">
        <v>12</v>
      </c>
      <c r="C5" s="1">
        <v>122</v>
      </c>
      <c r="D5" s="1">
        <v>241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119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151</v>
      </c>
      <c r="D22" s="1">
        <v>222</v>
      </c>
      <c r="E22" s="1">
        <v>2024</v>
      </c>
      <c r="F22" s="5" t="s">
        <v>17</v>
      </c>
      <c r="G22" s="3">
        <f t="shared" si="4"/>
        <v>0</v>
      </c>
      <c r="H22" s="4">
        <f t="shared" si="5"/>
        <v>71</v>
      </c>
    </row>
    <row r="23" spans="1:8" ht="19.5">
      <c r="A23" s="1">
        <v>4</v>
      </c>
      <c r="B23" s="9" t="s">
        <v>13</v>
      </c>
      <c r="C23" s="1">
        <v>151</v>
      </c>
      <c r="D23" s="1">
        <v>222</v>
      </c>
      <c r="E23" s="1">
        <v>2024</v>
      </c>
      <c r="F23" s="5" t="s">
        <v>17</v>
      </c>
      <c r="G23" s="3">
        <f t="shared" si="4"/>
        <v>0</v>
      </c>
      <c r="H23" s="4">
        <f t="shared" si="5"/>
        <v>71</v>
      </c>
    </row>
    <row r="24" spans="1:8" ht="27" customHeight="1">
      <c r="A24" s="1">
        <v>4</v>
      </c>
      <c r="B24" s="9" t="s">
        <v>11</v>
      </c>
      <c r="C24" s="1">
        <v>151</v>
      </c>
      <c r="D24" s="1">
        <v>222</v>
      </c>
      <c r="E24" s="1">
        <v>2024</v>
      </c>
      <c r="F24" s="5" t="s">
        <v>17</v>
      </c>
      <c r="G24" s="3">
        <f t="shared" si="4"/>
        <v>0</v>
      </c>
      <c r="H24" s="4">
        <f t="shared" si="5"/>
        <v>71</v>
      </c>
    </row>
    <row r="25" spans="1:8" ht="33.75" customHeight="1">
      <c r="A25" s="1">
        <v>4</v>
      </c>
      <c r="B25" s="9" t="s">
        <v>18</v>
      </c>
      <c r="C25" s="1">
        <v>151</v>
      </c>
      <c r="D25" s="1">
        <v>222</v>
      </c>
      <c r="E25" s="1">
        <v>2024</v>
      </c>
      <c r="F25" s="5" t="s">
        <v>17</v>
      </c>
      <c r="G25" s="3">
        <f t="shared" si="4"/>
        <v>0</v>
      </c>
      <c r="H25" s="4">
        <f t="shared" si="5"/>
        <v>71</v>
      </c>
    </row>
    <row r="26" spans="1:8" ht="33.75" customHeight="1">
      <c r="A26" s="1">
        <v>4</v>
      </c>
      <c r="B26" s="9" t="s">
        <v>14</v>
      </c>
      <c r="C26" s="1">
        <v>151</v>
      </c>
      <c r="D26" s="1">
        <v>222</v>
      </c>
      <c r="E26" s="1">
        <v>2024</v>
      </c>
      <c r="F26" s="5" t="s">
        <v>17</v>
      </c>
      <c r="G26" s="3">
        <f t="shared" si="4"/>
        <v>0</v>
      </c>
      <c r="H26" s="4">
        <f t="shared" si="5"/>
        <v>71</v>
      </c>
    </row>
    <row r="27" spans="1:8" ht="33.75" customHeight="1">
      <c r="A27" s="1">
        <v>4</v>
      </c>
      <c r="B27" s="9" t="s">
        <v>19</v>
      </c>
      <c r="C27" s="1">
        <v>151</v>
      </c>
      <c r="D27" s="1">
        <v>222</v>
      </c>
      <c r="E27" s="1">
        <v>2024</v>
      </c>
      <c r="F27" s="5" t="s">
        <v>17</v>
      </c>
      <c r="G27" s="3">
        <f t="shared" si="4"/>
        <v>0</v>
      </c>
      <c r="H27" s="4">
        <f t="shared" si="5"/>
        <v>71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146</v>
      </c>
      <c r="D35" s="1">
        <v>179</v>
      </c>
      <c r="E35" s="1">
        <v>2025</v>
      </c>
      <c r="F35" s="5" t="s">
        <v>17</v>
      </c>
      <c r="G35" s="3">
        <f t="shared" si="6"/>
        <v>0</v>
      </c>
      <c r="H35" s="4">
        <f t="shared" si="7"/>
        <v>33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:E6 E31:E39 E51:E59 E61:E69 E41:E49 E91:E98 E71:E79 E81:E89 E8:E12 E21:E29" xr:uid="{B46E7B13-721E-4D49-837E-C02BF9777D48}">
      <formula1>"2024,2025"</formula1>
    </dataValidation>
    <dataValidation type="list" allowBlank="1" showInputMessage="1" showErrorMessage="1" sqref="F14:F19 F2:F6 F31:F39 F41:F49 F51:F59 F61:F69 F71:F79 F81:F89 F91:F98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pane xSplit="2" ySplit="2" topLeftCell="C38" activePane="bottomRight" state="frozen"/>
      <selection pane="bottomRight" activeCell="P45" sqref="P45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137</v>
      </c>
      <c r="D3" s="34">
        <f>Table1[[#This Row],[Enrolment S.Y. 2025-2026 ]]*8</f>
        <v>1096</v>
      </c>
      <c r="E3" s="42">
        <v>1632</v>
      </c>
      <c r="F3" s="32">
        <v>2025</v>
      </c>
      <c r="G3" s="34" t="s">
        <v>9</v>
      </c>
      <c r="H3" s="34">
        <f>IF((D3-E3)&lt;0,0,(D3-E3))</f>
        <v>0</v>
      </c>
      <c r="I3" s="34">
        <f>IF((E3-D3)&lt;0,0,(E3-D3))</f>
        <v>536</v>
      </c>
      <c r="J3" s="34">
        <f>Table1[[#This Row],[Enrolment S.Y. 2025-2026 ]]*8</f>
        <v>1096</v>
      </c>
      <c r="K3" s="34"/>
      <c r="L3" s="32"/>
      <c r="M3" s="34"/>
      <c r="N3" s="5">
        <f t="shared" ref="N3" si="0">IF((J3-K3)&lt;0,0,(J3-K3))</f>
        <v>1096</v>
      </c>
      <c r="O3" s="5">
        <f t="shared" ref="O3" si="1">IF((K3-J3)&lt;0,0,(K3-J3))</f>
        <v>0</v>
      </c>
      <c r="P3" s="5">
        <f>Table1[[#This Row],[Enrolment S.Y. 2025-2026 ]]*8</f>
        <v>1096</v>
      </c>
      <c r="Q3" s="34"/>
      <c r="R3" s="32"/>
      <c r="S3" s="34"/>
      <c r="T3" s="34">
        <f>IF((P3-Q3)&lt;0,0,(P3-Q3))</f>
        <v>1096</v>
      </c>
      <c r="U3" s="34">
        <f>IF((Q3-P3)&lt;0,0,(Q3-P3))</f>
        <v>0</v>
      </c>
      <c r="V3" s="34">
        <f>Table1[[#This Row],[Enrolment S.Y. 2025-2026 ]]*8</f>
        <v>1096</v>
      </c>
      <c r="W3" s="34"/>
      <c r="X3" s="32"/>
      <c r="Y3" s="34"/>
      <c r="Z3" s="34">
        <f>IF((V3-W3)&lt;0,0,(V3-W3))</f>
        <v>1096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2.25" customHeight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134</v>
      </c>
      <c r="D16" s="5">
        <f>Table1[[#This Row],[Enrolment S.Y. 2025-2026 ]]*8</f>
        <v>1072</v>
      </c>
      <c r="E16" s="5">
        <v>1400</v>
      </c>
      <c r="F16" s="1">
        <v>2025</v>
      </c>
      <c r="G16" s="5" t="s">
        <v>9</v>
      </c>
      <c r="H16" s="5">
        <f t="shared" si="2"/>
        <v>0</v>
      </c>
      <c r="I16" s="5">
        <f t="shared" si="3"/>
        <v>328</v>
      </c>
      <c r="J16" s="5">
        <f>Table1[[#This Row],[Enrolment S.Y. 2025-2026 ]]*8</f>
        <v>1072</v>
      </c>
      <c r="K16" s="5"/>
      <c r="L16" s="1"/>
      <c r="M16" s="5"/>
      <c r="N16" s="5">
        <f t="shared" si="10"/>
        <v>1072</v>
      </c>
      <c r="O16" s="5">
        <f t="shared" si="11"/>
        <v>0</v>
      </c>
      <c r="P16" s="5">
        <f>Table1[[#This Row],[Enrolment S.Y. 2025-2026 ]]*8</f>
        <v>1072</v>
      </c>
      <c r="Q16" s="5"/>
      <c r="R16" s="1"/>
      <c r="S16" s="5"/>
      <c r="T16" s="5">
        <f t="shared" si="12"/>
        <v>1072</v>
      </c>
      <c r="U16" s="5">
        <f t="shared" si="13"/>
        <v>0</v>
      </c>
      <c r="V16" s="5">
        <f>Table1[[#This Row],[Enrolment S.Y. 2025-2026 ]]*8</f>
        <v>1072</v>
      </c>
      <c r="W16" s="5"/>
      <c r="X16" s="1"/>
      <c r="Y16" s="5"/>
      <c r="Z16" s="5">
        <f t="shared" si="14"/>
        <v>1072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134</v>
      </c>
      <c r="D17" s="5">
        <f>Table1[[#This Row],[Enrolment S.Y. 2025-2026 ]]*8</f>
        <v>1072</v>
      </c>
      <c r="E17" s="5">
        <v>1400</v>
      </c>
      <c r="F17" s="1">
        <v>2025</v>
      </c>
      <c r="G17" s="5" t="s">
        <v>9</v>
      </c>
      <c r="H17" s="5">
        <f t="shared" si="2"/>
        <v>0</v>
      </c>
      <c r="I17" s="5">
        <f t="shared" si="3"/>
        <v>328</v>
      </c>
      <c r="J17" s="5">
        <f>Table1[[#This Row],[Enrolment S.Y. 2025-2026 ]]*8</f>
        <v>1072</v>
      </c>
      <c r="K17" s="5">
        <v>1104</v>
      </c>
      <c r="L17" s="1">
        <v>2025</v>
      </c>
      <c r="M17" s="5" t="s">
        <v>9</v>
      </c>
      <c r="N17" s="5">
        <f t="shared" si="10"/>
        <v>0</v>
      </c>
      <c r="O17" s="5">
        <f t="shared" si="11"/>
        <v>32</v>
      </c>
      <c r="P17" s="5">
        <f>Table1[[#This Row],[Enrolment S.Y. 2025-2026 ]]*8</f>
        <v>1072</v>
      </c>
      <c r="Q17" s="5"/>
      <c r="R17" s="1"/>
      <c r="S17" s="5"/>
      <c r="T17" s="5">
        <f t="shared" si="12"/>
        <v>1072</v>
      </c>
      <c r="U17" s="5">
        <f t="shared" si="13"/>
        <v>0</v>
      </c>
      <c r="V17" s="5">
        <f>Table1[[#This Row],[Enrolment S.Y. 2025-2026 ]]*8</f>
        <v>1072</v>
      </c>
      <c r="W17" s="5"/>
      <c r="X17" s="1"/>
      <c r="Y17" s="5"/>
      <c r="Z17" s="5">
        <f t="shared" si="14"/>
        <v>1072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134</v>
      </c>
      <c r="D18" s="5">
        <f>Table1[[#This Row],[Enrolment S.Y. 2025-2026 ]]*8</f>
        <v>1072</v>
      </c>
      <c r="E18" s="5">
        <v>1400</v>
      </c>
      <c r="F18" s="1">
        <v>2025</v>
      </c>
      <c r="G18" s="5" t="s">
        <v>9</v>
      </c>
      <c r="H18" s="5">
        <f t="shared" si="2"/>
        <v>0</v>
      </c>
      <c r="I18" s="5">
        <f t="shared" si="3"/>
        <v>328</v>
      </c>
      <c r="J18" s="5">
        <f>Table1[[#This Row],[Enrolment S.Y. 2025-2026 ]]*8</f>
        <v>1072</v>
      </c>
      <c r="K18" s="5"/>
      <c r="L18" s="1"/>
      <c r="M18" s="5"/>
      <c r="N18" s="5">
        <f t="shared" si="10"/>
        <v>1072</v>
      </c>
      <c r="O18" s="5">
        <f t="shared" si="11"/>
        <v>0</v>
      </c>
      <c r="P18" s="5">
        <f>Table1[[#This Row],[Enrolment S.Y. 2025-2026 ]]*8</f>
        <v>1072</v>
      </c>
      <c r="Q18" s="5"/>
      <c r="R18" s="1"/>
      <c r="S18" s="5"/>
      <c r="T18" s="5">
        <f t="shared" si="12"/>
        <v>1072</v>
      </c>
      <c r="U18" s="5">
        <f t="shared" si="13"/>
        <v>0</v>
      </c>
      <c r="V18" s="5">
        <f>Table1[[#This Row],[Enrolment S.Y. 2025-2026 ]]*8</f>
        <v>1072</v>
      </c>
      <c r="W18" s="5"/>
      <c r="X18" s="1"/>
      <c r="Y18" s="5"/>
      <c r="Z18" s="5">
        <f t="shared" si="14"/>
        <v>1072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134</v>
      </c>
      <c r="D19" s="5">
        <f>Table1[[#This Row],[Enrolment S.Y. 2025-2026 ]]*8</f>
        <v>1072</v>
      </c>
      <c r="E19" s="5">
        <v>1400</v>
      </c>
      <c r="F19" s="1">
        <v>2025</v>
      </c>
      <c r="G19" s="5" t="s">
        <v>9</v>
      </c>
      <c r="H19" s="5">
        <f>IF((D19-E19)&lt;0,0,(D19-E19))</f>
        <v>0</v>
      </c>
      <c r="I19" s="5">
        <f>IF((E19-D19)&lt;0,0,(E19-D19))</f>
        <v>328</v>
      </c>
      <c r="J19" s="5">
        <f>Table1[[#This Row],[Enrolment S.Y. 2025-2026 ]]*8</f>
        <v>1072</v>
      </c>
      <c r="K19" s="5">
        <v>1984</v>
      </c>
      <c r="L19" s="1">
        <v>2025</v>
      </c>
      <c r="M19" s="5" t="s">
        <v>9</v>
      </c>
      <c r="N19" s="5">
        <f t="shared" si="10"/>
        <v>0</v>
      </c>
      <c r="O19" s="5">
        <f t="shared" si="11"/>
        <v>912</v>
      </c>
      <c r="P19" s="5">
        <f>Table1[[#This Row],[Enrolment S.Y. 2025-2026 ]]*8</f>
        <v>1072</v>
      </c>
      <c r="Q19" s="5"/>
      <c r="R19" s="1"/>
      <c r="S19" s="5"/>
      <c r="T19" s="5">
        <f t="shared" si="12"/>
        <v>1072</v>
      </c>
      <c r="U19" s="5">
        <f t="shared" si="13"/>
        <v>0</v>
      </c>
      <c r="V19" s="5">
        <f>Table1[[#This Row],[Enrolment S.Y. 2025-2026 ]]*8</f>
        <v>1072</v>
      </c>
      <c r="W19" s="5"/>
      <c r="X19" s="1"/>
      <c r="Y19" s="5"/>
      <c r="Z19" s="5">
        <f t="shared" si="14"/>
        <v>1072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134</v>
      </c>
      <c r="D20" s="5">
        <f>Table1[[#This Row],[Enrolment S.Y. 2025-2026 ]]*8</f>
        <v>1072</v>
      </c>
      <c r="E20" s="5">
        <v>1400</v>
      </c>
      <c r="F20" s="1">
        <v>2025</v>
      </c>
      <c r="G20" s="5" t="s">
        <v>9</v>
      </c>
      <c r="H20" s="5">
        <f>IF((D20-E20)&lt;0,0,(D20-E20))</f>
        <v>0</v>
      </c>
      <c r="I20" s="5">
        <f>IF((E20-D20)&lt;0,0,(E20-D20))</f>
        <v>328</v>
      </c>
      <c r="J20" s="5">
        <f>Table1[[#This Row],[Enrolment S.Y. 2025-2026 ]]*8</f>
        <v>1072</v>
      </c>
      <c r="K20" s="5"/>
      <c r="L20" s="1"/>
      <c r="M20" s="5"/>
      <c r="N20" s="5">
        <f t="shared" si="10"/>
        <v>1072</v>
      </c>
      <c r="O20" s="5">
        <f t="shared" si="11"/>
        <v>0</v>
      </c>
      <c r="P20" s="5">
        <f>Table1[[#This Row],[Enrolment S.Y. 2025-2026 ]]*8</f>
        <v>1072</v>
      </c>
      <c r="Q20" s="5"/>
      <c r="R20" s="1"/>
      <c r="S20" s="5"/>
      <c r="T20" s="5">
        <f t="shared" si="12"/>
        <v>1072</v>
      </c>
      <c r="U20" s="5">
        <f t="shared" si="13"/>
        <v>0</v>
      </c>
      <c r="V20" s="5">
        <f>Table1[[#This Row],[Enrolment S.Y. 2025-2026 ]]*8</f>
        <v>1072</v>
      </c>
      <c r="W20" s="5"/>
      <c r="X20" s="1"/>
      <c r="Y20" s="5"/>
      <c r="Z20" s="5">
        <f t="shared" si="14"/>
        <v>1072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.75" customHeight="1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172</v>
      </c>
      <c r="D25" s="5">
        <f>Table1[[#This Row],[Enrolment S.Y. 2025-2026 ]]*8</f>
        <v>1376</v>
      </c>
      <c r="E25" s="5">
        <v>1040</v>
      </c>
      <c r="F25" s="1">
        <v>2025</v>
      </c>
      <c r="G25" s="5" t="s">
        <v>9</v>
      </c>
      <c r="H25" s="5">
        <f t="shared" si="2"/>
        <v>336</v>
      </c>
      <c r="I25" s="5">
        <f t="shared" si="3"/>
        <v>0</v>
      </c>
      <c r="J25" s="5">
        <f>Table1[[#This Row],[Enrolment S.Y. 2025-2026 ]]*8</f>
        <v>1376</v>
      </c>
      <c r="K25" s="5"/>
      <c r="L25" s="1"/>
      <c r="M25" s="5"/>
      <c r="N25" s="5">
        <f t="shared" si="10"/>
        <v>1376</v>
      </c>
      <c r="O25" s="5">
        <f t="shared" si="11"/>
        <v>0</v>
      </c>
      <c r="P25" s="5">
        <f>Table1[[#This Row],[Enrolment S.Y. 2025-2026 ]]*8</f>
        <v>1376</v>
      </c>
      <c r="Q25" s="5"/>
      <c r="R25" s="1"/>
      <c r="S25" s="5"/>
      <c r="T25" s="5">
        <f t="shared" si="12"/>
        <v>1376</v>
      </c>
      <c r="U25" s="5">
        <f t="shared" si="13"/>
        <v>0</v>
      </c>
      <c r="V25" s="5">
        <f>Table1[[#This Row],[Enrolment S.Y. 2025-2026 ]]*8</f>
        <v>1376</v>
      </c>
      <c r="W25" s="5"/>
      <c r="X25" s="1"/>
      <c r="Y25" s="5"/>
      <c r="Z25" s="5">
        <f t="shared" si="14"/>
        <v>1376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172</v>
      </c>
      <c r="D26" s="5">
        <f>Table1[[#This Row],[Enrolment S.Y. 2025-2026 ]]*8</f>
        <v>1376</v>
      </c>
      <c r="E26" s="5">
        <v>2080</v>
      </c>
      <c r="F26" s="1">
        <v>2025</v>
      </c>
      <c r="G26" s="5" t="s">
        <v>9</v>
      </c>
      <c r="H26" s="5">
        <f t="shared" si="2"/>
        <v>0</v>
      </c>
      <c r="I26" s="5">
        <f t="shared" si="3"/>
        <v>704</v>
      </c>
      <c r="J26" s="5">
        <f>Table1[[#This Row],[Enrolment S.Y. 2025-2026 ]]*8</f>
        <v>1376</v>
      </c>
      <c r="K26" s="5"/>
      <c r="L26" s="1"/>
      <c r="M26" s="5"/>
      <c r="N26" s="5">
        <f t="shared" si="10"/>
        <v>1376</v>
      </c>
      <c r="O26" s="5">
        <f t="shared" si="11"/>
        <v>0</v>
      </c>
      <c r="P26" s="5">
        <f>Table1[[#This Row],[Enrolment S.Y. 2025-2026 ]]*8</f>
        <v>1376</v>
      </c>
      <c r="Q26" s="5"/>
      <c r="R26" s="1"/>
      <c r="S26" s="5"/>
      <c r="T26" s="5">
        <f t="shared" si="12"/>
        <v>1376</v>
      </c>
      <c r="U26" s="5">
        <f t="shared" si="13"/>
        <v>0</v>
      </c>
      <c r="V26" s="5">
        <f>Table1[[#This Row],[Enrolment S.Y. 2025-2026 ]]*8</f>
        <v>1376</v>
      </c>
      <c r="W26" s="5"/>
      <c r="X26" s="1"/>
      <c r="Y26" s="5"/>
      <c r="Z26" s="5">
        <f t="shared" si="14"/>
        <v>1376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172</v>
      </c>
      <c r="D27" s="5">
        <f>Table1[[#This Row],[Enrolment S.Y. 2025-2026 ]]*8</f>
        <v>1376</v>
      </c>
      <c r="E27" s="5">
        <v>2080</v>
      </c>
      <c r="F27" s="1">
        <v>2025</v>
      </c>
      <c r="G27" s="5" t="s">
        <v>9</v>
      </c>
      <c r="H27" s="5">
        <f t="shared" si="2"/>
        <v>0</v>
      </c>
      <c r="I27" s="5">
        <f t="shared" si="3"/>
        <v>704</v>
      </c>
      <c r="J27" s="5">
        <f>Table1[[#This Row],[Enrolment S.Y. 2025-2026 ]]*8</f>
        <v>1376</v>
      </c>
      <c r="K27" s="5"/>
      <c r="L27" s="1"/>
      <c r="M27" s="5"/>
      <c r="N27" s="5">
        <f t="shared" si="10"/>
        <v>1376</v>
      </c>
      <c r="O27" s="5">
        <f t="shared" si="11"/>
        <v>0</v>
      </c>
      <c r="P27" s="5">
        <f>Table1[[#This Row],[Enrolment S.Y. 2025-2026 ]]*8</f>
        <v>1376</v>
      </c>
      <c r="Q27" s="5"/>
      <c r="R27" s="1"/>
      <c r="S27" s="5"/>
      <c r="T27" s="5">
        <f t="shared" si="12"/>
        <v>1376</v>
      </c>
      <c r="U27" s="5">
        <f t="shared" si="13"/>
        <v>0</v>
      </c>
      <c r="V27" s="5">
        <f>Table1[[#This Row],[Enrolment S.Y. 2025-2026 ]]*8</f>
        <v>1376</v>
      </c>
      <c r="W27" s="5"/>
      <c r="X27" s="1"/>
      <c r="Y27" s="5"/>
      <c r="Z27" s="5">
        <f t="shared" si="14"/>
        <v>1376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172</v>
      </c>
      <c r="D28" s="5">
        <f>Table1[[#This Row],[Enrolment S.Y. 2025-2026 ]]*8</f>
        <v>1376</v>
      </c>
      <c r="E28" s="5">
        <v>2080</v>
      </c>
      <c r="F28" s="1">
        <v>2025</v>
      </c>
      <c r="G28" s="5" t="s">
        <v>9</v>
      </c>
      <c r="H28" s="5">
        <f t="shared" si="2"/>
        <v>0</v>
      </c>
      <c r="I28" s="5">
        <f t="shared" si="3"/>
        <v>704</v>
      </c>
      <c r="J28" s="5">
        <f>Table1[[#This Row],[Enrolment S.Y. 2025-2026 ]]*8</f>
        <v>1376</v>
      </c>
      <c r="K28" s="5"/>
      <c r="L28" s="1"/>
      <c r="M28" s="5"/>
      <c r="N28" s="5">
        <f t="shared" si="10"/>
        <v>1376</v>
      </c>
      <c r="O28" s="5">
        <f t="shared" si="11"/>
        <v>0</v>
      </c>
      <c r="P28" s="5">
        <f>Table1[[#This Row],[Enrolment S.Y. 2025-2026 ]]*8</f>
        <v>1376</v>
      </c>
      <c r="Q28" s="5"/>
      <c r="R28" s="1"/>
      <c r="S28" s="5"/>
      <c r="T28" s="5">
        <f t="shared" si="12"/>
        <v>1376</v>
      </c>
      <c r="U28" s="5">
        <f t="shared" si="13"/>
        <v>0</v>
      </c>
      <c r="V28" s="5">
        <f>Table1[[#This Row],[Enrolment S.Y. 2025-2026 ]]*8</f>
        <v>1376</v>
      </c>
      <c r="W28" s="5"/>
      <c r="X28" s="1"/>
      <c r="Y28" s="5"/>
      <c r="Z28" s="5">
        <f t="shared" si="14"/>
        <v>1376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172</v>
      </c>
      <c r="D29" s="5">
        <f>Table1[[#This Row],[Enrolment S.Y. 2025-2026 ]]*8</f>
        <v>1376</v>
      </c>
      <c r="E29" s="5">
        <v>2080</v>
      </c>
      <c r="F29" s="1">
        <v>2025</v>
      </c>
      <c r="G29" s="5" t="s">
        <v>9</v>
      </c>
      <c r="H29" s="5">
        <f>IF((D29-E29)&lt;0,0,(D29-E29))</f>
        <v>0</v>
      </c>
      <c r="I29" s="5">
        <f>IF((E29-D29)&lt;0,0,(E29-D29))</f>
        <v>704</v>
      </c>
      <c r="J29" s="5">
        <f>Table1[[#This Row],[Enrolment S.Y. 2025-2026 ]]*8</f>
        <v>1376</v>
      </c>
      <c r="K29" s="5"/>
      <c r="L29" s="1"/>
      <c r="M29" s="5"/>
      <c r="N29" s="5">
        <f t="shared" si="10"/>
        <v>1376</v>
      </c>
      <c r="O29" s="5">
        <f t="shared" si="11"/>
        <v>0</v>
      </c>
      <c r="P29" s="5">
        <f>Table1[[#This Row],[Enrolment S.Y. 2025-2026 ]]*8</f>
        <v>1376</v>
      </c>
      <c r="Q29" s="5"/>
      <c r="R29" s="1"/>
      <c r="S29" s="5"/>
      <c r="T29" s="5">
        <f t="shared" si="12"/>
        <v>1376</v>
      </c>
      <c r="U29" s="5">
        <f t="shared" si="13"/>
        <v>0</v>
      </c>
      <c r="V29" s="5">
        <f>Table1[[#This Row],[Enrolment S.Y. 2025-2026 ]]*8</f>
        <v>1376</v>
      </c>
      <c r="W29" s="5"/>
      <c r="X29" s="1"/>
      <c r="Y29" s="5"/>
      <c r="Z29" s="5">
        <f t="shared" si="14"/>
        <v>1376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172</v>
      </c>
      <c r="D30" s="5">
        <f>Table1[[#This Row],[Enrolment S.Y. 2025-2026 ]]*8</f>
        <v>1376</v>
      </c>
      <c r="E30" s="5">
        <v>1040</v>
      </c>
      <c r="F30" s="1">
        <v>2025</v>
      </c>
      <c r="G30" s="5" t="s">
        <v>9</v>
      </c>
      <c r="H30" s="5">
        <f>IF((D30-E30)&lt;0,0,(D30-E30))</f>
        <v>336</v>
      </c>
      <c r="I30" s="5">
        <f>IF((E30-D30)&lt;0,0,(E30-D30))</f>
        <v>0</v>
      </c>
      <c r="J30" s="5">
        <f>Table1[[#This Row],[Enrolment S.Y. 2025-2026 ]]*8</f>
        <v>1376</v>
      </c>
      <c r="K30" s="5"/>
      <c r="L30" s="1"/>
      <c r="M30" s="5"/>
      <c r="N30" s="5">
        <f t="shared" si="10"/>
        <v>1376</v>
      </c>
      <c r="O30" s="5">
        <f t="shared" si="11"/>
        <v>0</v>
      </c>
      <c r="P30" s="5">
        <f>Table1[[#This Row],[Enrolment S.Y. 2025-2026 ]]*8</f>
        <v>1376</v>
      </c>
      <c r="Q30" s="5"/>
      <c r="R30" s="1"/>
      <c r="S30" s="5"/>
      <c r="T30" s="5">
        <f t="shared" si="12"/>
        <v>1376</v>
      </c>
      <c r="U30" s="5">
        <f t="shared" si="13"/>
        <v>0</v>
      </c>
      <c r="V30" s="5">
        <f>Table1[[#This Row],[Enrolment S.Y. 2025-2026 ]]*8</f>
        <v>1376</v>
      </c>
      <c r="W30" s="5"/>
      <c r="X30" s="1"/>
      <c r="Y30" s="5"/>
      <c r="Z30" s="5">
        <f t="shared" si="14"/>
        <v>1376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146</v>
      </c>
      <c r="D43" s="5">
        <f>Table1[[#This Row],[Enrolment S.Y. 2025-2026 ]]*8</f>
        <v>1168</v>
      </c>
      <c r="E43" s="5">
        <v>272</v>
      </c>
      <c r="F43" s="1">
        <v>2025</v>
      </c>
      <c r="G43" s="5" t="s">
        <v>9</v>
      </c>
      <c r="H43" s="5">
        <f t="shared" si="2"/>
        <v>896</v>
      </c>
      <c r="I43" s="5">
        <f t="shared" si="3"/>
        <v>0</v>
      </c>
      <c r="J43" s="5">
        <f>Table1[[#This Row],[Enrolment S.Y. 2025-2026 ]]*8</f>
        <v>1168</v>
      </c>
      <c r="K43" s="5">
        <v>1208</v>
      </c>
      <c r="L43" s="1">
        <v>2025</v>
      </c>
      <c r="M43" s="5" t="s">
        <v>9</v>
      </c>
      <c r="N43" s="5">
        <f t="shared" si="10"/>
        <v>0</v>
      </c>
      <c r="O43" s="5">
        <f t="shared" si="11"/>
        <v>40</v>
      </c>
      <c r="P43" s="5">
        <f>Table1[[#This Row],[Enrolment S.Y. 2025-2026 ]]*8</f>
        <v>1168</v>
      </c>
      <c r="Q43" s="5"/>
      <c r="R43" s="1"/>
      <c r="S43" s="5"/>
      <c r="T43" s="5">
        <f t="shared" si="12"/>
        <v>1168</v>
      </c>
      <c r="U43" s="5">
        <f t="shared" si="13"/>
        <v>0</v>
      </c>
      <c r="V43" s="5">
        <f>Table1[[#This Row],[Enrolment S.Y. 2025-2026 ]]*8</f>
        <v>1168</v>
      </c>
      <c r="W43" s="5"/>
      <c r="X43" s="1"/>
      <c r="Y43" s="5"/>
      <c r="Z43" s="5">
        <f t="shared" si="14"/>
        <v>1168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146</v>
      </c>
      <c r="D44" s="5">
        <f>Table1[[#This Row],[Enrolment S.Y. 2025-2026 ]]*8</f>
        <v>1168</v>
      </c>
      <c r="E44" s="5">
        <v>272</v>
      </c>
      <c r="F44" s="1">
        <v>2025</v>
      </c>
      <c r="G44" s="5" t="s">
        <v>9</v>
      </c>
      <c r="H44" s="5">
        <f t="shared" si="2"/>
        <v>896</v>
      </c>
      <c r="I44" s="5">
        <f t="shared" si="3"/>
        <v>0</v>
      </c>
      <c r="J44" s="5">
        <f>Table1[[#This Row],[Enrolment S.Y. 2025-2026 ]]*8</f>
        <v>1168</v>
      </c>
      <c r="K44" s="5"/>
      <c r="L44" s="1"/>
      <c r="M44" s="5"/>
      <c r="N44" s="5">
        <f t="shared" si="10"/>
        <v>1168</v>
      </c>
      <c r="O44" s="5">
        <f t="shared" si="11"/>
        <v>0</v>
      </c>
      <c r="P44" s="5">
        <f>Table1[[#This Row],[Enrolment S.Y. 2025-2026 ]]*8</f>
        <v>1168</v>
      </c>
      <c r="Q44" s="5"/>
      <c r="R44" s="1"/>
      <c r="S44" s="5"/>
      <c r="T44" s="5">
        <f t="shared" si="12"/>
        <v>1168</v>
      </c>
      <c r="U44" s="5">
        <f t="shared" si="13"/>
        <v>0</v>
      </c>
      <c r="V44" s="5">
        <f>Table1[[#This Row],[Enrolment S.Y. 2025-2026 ]]*8</f>
        <v>1168</v>
      </c>
      <c r="W44" s="5"/>
      <c r="X44" s="1"/>
      <c r="Y44" s="5"/>
      <c r="Z44" s="5">
        <f t="shared" si="14"/>
        <v>1168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146</v>
      </c>
      <c r="D45" s="5">
        <f>Table1[[#This Row],[Enrolment S.Y. 2025-2026 ]]*8</f>
        <v>1168</v>
      </c>
      <c r="E45" s="5">
        <v>272</v>
      </c>
      <c r="F45" s="1">
        <v>2025</v>
      </c>
      <c r="G45" s="5" t="s">
        <v>9</v>
      </c>
      <c r="H45" s="5">
        <f t="shared" si="2"/>
        <v>896</v>
      </c>
      <c r="I45" s="5">
        <f t="shared" si="3"/>
        <v>0</v>
      </c>
      <c r="J45" s="5">
        <f>Table1[[#This Row],[Enrolment S.Y. 2025-2026 ]]*8</f>
        <v>1168</v>
      </c>
      <c r="K45" s="5">
        <v>1208</v>
      </c>
      <c r="L45" s="1">
        <v>2025</v>
      </c>
      <c r="M45" s="5" t="s">
        <v>9</v>
      </c>
      <c r="N45" s="5">
        <f t="shared" si="10"/>
        <v>0</v>
      </c>
      <c r="O45" s="5">
        <f t="shared" si="11"/>
        <v>40</v>
      </c>
      <c r="P45" s="5">
        <f>Table1[[#This Row],[Enrolment S.Y. 2025-2026 ]]*8</f>
        <v>1168</v>
      </c>
      <c r="Q45" s="5"/>
      <c r="R45" s="1"/>
      <c r="S45" s="5"/>
      <c r="T45" s="5">
        <f t="shared" si="12"/>
        <v>1168</v>
      </c>
      <c r="U45" s="5">
        <f t="shared" si="13"/>
        <v>0</v>
      </c>
      <c r="V45" s="5">
        <f>Table1[[#This Row],[Enrolment S.Y. 2025-2026 ]]*8</f>
        <v>1168</v>
      </c>
      <c r="W45" s="5"/>
      <c r="X45" s="1"/>
      <c r="Y45" s="5"/>
      <c r="Z45" s="5">
        <f t="shared" si="14"/>
        <v>1168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146</v>
      </c>
      <c r="D46" s="5">
        <f>Table1[[#This Row],[Enrolment S.Y. 2025-2026 ]]*8</f>
        <v>1168</v>
      </c>
      <c r="E46" s="5">
        <v>272</v>
      </c>
      <c r="F46" s="1">
        <v>2025</v>
      </c>
      <c r="G46" s="5" t="s">
        <v>9</v>
      </c>
      <c r="H46" s="5">
        <f t="shared" si="2"/>
        <v>896</v>
      </c>
      <c r="I46" s="5">
        <f t="shared" si="3"/>
        <v>0</v>
      </c>
      <c r="J46" s="5">
        <f>Table1[[#This Row],[Enrolment S.Y. 2025-2026 ]]*8</f>
        <v>1168</v>
      </c>
      <c r="K46" s="5"/>
      <c r="L46" s="1"/>
      <c r="M46" s="5"/>
      <c r="N46" s="5">
        <f t="shared" si="10"/>
        <v>1168</v>
      </c>
      <c r="O46" s="5">
        <f t="shared" si="11"/>
        <v>0</v>
      </c>
      <c r="P46" s="5">
        <f>Table1[[#This Row],[Enrolment S.Y. 2025-2026 ]]*8</f>
        <v>1168</v>
      </c>
      <c r="Q46" s="5"/>
      <c r="R46" s="1"/>
      <c r="S46" s="5"/>
      <c r="T46" s="5">
        <f t="shared" si="12"/>
        <v>1168</v>
      </c>
      <c r="U46" s="5">
        <f t="shared" si="13"/>
        <v>0</v>
      </c>
      <c r="V46" s="5">
        <f>Table1[[#This Row],[Enrolment S.Y. 2025-2026 ]]*8</f>
        <v>1168</v>
      </c>
      <c r="W46" s="5"/>
      <c r="X46" s="1"/>
      <c r="Y46" s="5"/>
      <c r="Z46" s="5">
        <f t="shared" si="14"/>
        <v>1168</v>
      </c>
      <c r="AA46" s="5">
        <f t="shared" si="15"/>
        <v>0</v>
      </c>
    </row>
    <row r="47" spans="1:27" ht="38.25" customHeight="1">
      <c r="A47" s="1">
        <v>5</v>
      </c>
      <c r="B47" s="9" t="s">
        <v>18</v>
      </c>
      <c r="C47" s="1">
        <v>146</v>
      </c>
      <c r="D47" s="5">
        <f>Table1[[#This Row],[Enrolment S.Y. 2025-2026 ]]*8</f>
        <v>1168</v>
      </c>
      <c r="E47" s="5">
        <v>272</v>
      </c>
      <c r="F47" s="1">
        <v>2025</v>
      </c>
      <c r="G47" s="5" t="s">
        <v>9</v>
      </c>
      <c r="H47" s="5">
        <f t="shared" si="2"/>
        <v>896</v>
      </c>
      <c r="I47" s="5">
        <f t="shared" si="3"/>
        <v>0</v>
      </c>
      <c r="J47" s="5">
        <f>Table1[[#This Row],[Enrolment S.Y. 2025-2026 ]]*8</f>
        <v>1168</v>
      </c>
      <c r="K47" s="5"/>
      <c r="L47" s="1"/>
      <c r="M47" s="5"/>
      <c r="N47" s="5">
        <f t="shared" si="10"/>
        <v>1168</v>
      </c>
      <c r="O47" s="5">
        <f t="shared" si="11"/>
        <v>0</v>
      </c>
      <c r="P47" s="5">
        <f>Table1[[#This Row],[Enrolment S.Y. 2025-2026 ]]*8</f>
        <v>1168</v>
      </c>
      <c r="Q47" s="5"/>
      <c r="R47" s="1"/>
      <c r="S47" s="5"/>
      <c r="T47" s="5">
        <f t="shared" si="12"/>
        <v>1168</v>
      </c>
      <c r="U47" s="5">
        <f t="shared" si="13"/>
        <v>0</v>
      </c>
      <c r="V47" s="5">
        <f>Table1[[#This Row],[Enrolment S.Y. 2025-2026 ]]*8</f>
        <v>1168</v>
      </c>
      <c r="W47" s="5"/>
      <c r="X47" s="1"/>
      <c r="Y47" s="5"/>
      <c r="Z47" s="5">
        <f t="shared" si="14"/>
        <v>1168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146</v>
      </c>
      <c r="D48" s="5">
        <f>Table1[[#This Row],[Enrolment S.Y. 2025-2026 ]]*8</f>
        <v>1168</v>
      </c>
      <c r="E48" s="5">
        <v>272</v>
      </c>
      <c r="F48" s="1">
        <v>2025</v>
      </c>
      <c r="G48" s="5" t="s">
        <v>9</v>
      </c>
      <c r="H48" s="5">
        <f t="shared" si="2"/>
        <v>896</v>
      </c>
      <c r="I48" s="5">
        <f t="shared" si="3"/>
        <v>0</v>
      </c>
      <c r="J48" s="5">
        <f>Table1[[#This Row],[Enrolment S.Y. 2025-2026 ]]*8</f>
        <v>1168</v>
      </c>
      <c r="K48" s="5"/>
      <c r="L48" s="1"/>
      <c r="M48" s="5"/>
      <c r="N48" s="5">
        <f t="shared" si="10"/>
        <v>1168</v>
      </c>
      <c r="O48" s="5">
        <f t="shared" si="11"/>
        <v>0</v>
      </c>
      <c r="P48" s="5">
        <f>Table1[[#This Row],[Enrolment S.Y. 2025-2026 ]]*8</f>
        <v>1168</v>
      </c>
      <c r="Q48" s="5"/>
      <c r="R48" s="1"/>
      <c r="S48" s="5"/>
      <c r="T48" s="5">
        <f t="shared" si="12"/>
        <v>1168</v>
      </c>
      <c r="U48" s="5">
        <f t="shared" si="13"/>
        <v>0</v>
      </c>
      <c r="V48" s="5">
        <f>Table1[[#This Row],[Enrolment S.Y. 2025-2026 ]]*8</f>
        <v>1168</v>
      </c>
      <c r="W48" s="5"/>
      <c r="X48" s="1"/>
      <c r="Y48" s="5"/>
      <c r="Z48" s="5">
        <f t="shared" si="14"/>
        <v>1168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146</v>
      </c>
      <c r="D49" s="5">
        <f>Table1[[#This Row],[Enrolment S.Y. 2025-2026 ]]*8</f>
        <v>1168</v>
      </c>
      <c r="E49" s="5">
        <v>272</v>
      </c>
      <c r="F49" s="1">
        <v>2025</v>
      </c>
      <c r="G49" s="5" t="s">
        <v>9</v>
      </c>
      <c r="H49" s="5">
        <f t="shared" si="2"/>
        <v>896</v>
      </c>
      <c r="I49" s="5">
        <f t="shared" si="3"/>
        <v>0</v>
      </c>
      <c r="J49" s="5">
        <f>Table1[[#This Row],[Enrolment S.Y. 2025-2026 ]]*8</f>
        <v>1168</v>
      </c>
      <c r="K49" s="5"/>
      <c r="L49" s="1"/>
      <c r="M49" s="5"/>
      <c r="N49" s="5">
        <f t="shared" si="10"/>
        <v>1168</v>
      </c>
      <c r="O49" s="5">
        <f t="shared" si="11"/>
        <v>0</v>
      </c>
      <c r="P49" s="5">
        <f>Table1[[#This Row],[Enrolment S.Y. 2025-2026 ]]*8</f>
        <v>1168</v>
      </c>
      <c r="Q49" s="5"/>
      <c r="R49" s="1"/>
      <c r="S49" s="5"/>
      <c r="T49" s="5">
        <f t="shared" si="12"/>
        <v>1168</v>
      </c>
      <c r="U49" s="5">
        <f t="shared" si="13"/>
        <v>0</v>
      </c>
      <c r="V49" s="5">
        <f>Table1[[#This Row],[Enrolment S.Y. 2025-2026 ]]*8</f>
        <v>1168</v>
      </c>
      <c r="W49" s="5"/>
      <c r="X49" s="1"/>
      <c r="Y49" s="5"/>
      <c r="Z49" s="5">
        <f t="shared" si="14"/>
        <v>1168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146</v>
      </c>
      <c r="D50" s="5">
        <f>Table1[[#This Row],[Enrolment S.Y. 2025-2026 ]]*8</f>
        <v>1168</v>
      </c>
      <c r="E50" s="5">
        <v>272</v>
      </c>
      <c r="F50" s="1">
        <v>2025</v>
      </c>
      <c r="G50" s="5" t="s">
        <v>9</v>
      </c>
      <c r="H50" s="5">
        <f t="shared" si="2"/>
        <v>896</v>
      </c>
      <c r="I50" s="5">
        <f t="shared" si="3"/>
        <v>0</v>
      </c>
      <c r="J50" s="5">
        <f>Table1[[#This Row],[Enrolment S.Y. 2025-2026 ]]*8</f>
        <v>1168</v>
      </c>
      <c r="K50" s="5"/>
      <c r="L50" s="1"/>
      <c r="M50" s="5"/>
      <c r="N50" s="5">
        <f t="shared" si="10"/>
        <v>1168</v>
      </c>
      <c r="O50" s="5">
        <f t="shared" si="11"/>
        <v>0</v>
      </c>
      <c r="P50" s="5">
        <f>Table1[[#This Row],[Enrolment S.Y. 2025-2026 ]]*8</f>
        <v>1168</v>
      </c>
      <c r="Q50" s="5"/>
      <c r="R50" s="1"/>
      <c r="S50" s="5"/>
      <c r="T50" s="5">
        <f t="shared" si="12"/>
        <v>1168</v>
      </c>
      <c r="U50" s="5">
        <f t="shared" si="13"/>
        <v>0</v>
      </c>
      <c r="V50" s="5">
        <f>Table1[[#This Row],[Enrolment S.Y. 2025-2026 ]]*8</f>
        <v>1168</v>
      </c>
      <c r="W50" s="5"/>
      <c r="X50" s="1"/>
      <c r="Y50" s="5"/>
      <c r="Z50" s="5">
        <f t="shared" si="14"/>
        <v>1168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146</v>
      </c>
      <c r="D51" s="5">
        <f>Table1[[#This Row],[Enrolment S.Y. 2025-2026 ]]*8</f>
        <v>1168</v>
      </c>
      <c r="E51" s="5">
        <v>272</v>
      </c>
      <c r="F51" s="1">
        <v>2025</v>
      </c>
      <c r="G51" s="5" t="s">
        <v>9</v>
      </c>
      <c r="H51" s="5">
        <f t="shared" si="2"/>
        <v>896</v>
      </c>
      <c r="I51" s="5">
        <f t="shared" si="3"/>
        <v>0</v>
      </c>
      <c r="J51" s="5">
        <f>Table1[[#This Row],[Enrolment S.Y. 2025-2026 ]]*8</f>
        <v>1168</v>
      </c>
      <c r="K51" s="5"/>
      <c r="L51" s="1"/>
      <c r="M51" s="5"/>
      <c r="N51" s="5">
        <f t="shared" si="10"/>
        <v>1168</v>
      </c>
      <c r="O51" s="5">
        <f t="shared" si="11"/>
        <v>0</v>
      </c>
      <c r="P51" s="5">
        <f>Table1[[#This Row],[Enrolment S.Y. 2025-2026 ]]*8</f>
        <v>1168</v>
      </c>
      <c r="Q51" s="5"/>
      <c r="R51" s="1"/>
      <c r="S51" s="5"/>
      <c r="T51" s="5">
        <f t="shared" si="12"/>
        <v>1168</v>
      </c>
      <c r="U51" s="5">
        <f t="shared" si="13"/>
        <v>0</v>
      </c>
      <c r="V51" s="5">
        <f>Table1[[#This Row],[Enrolment S.Y. 2025-2026 ]]*8</f>
        <v>1168</v>
      </c>
      <c r="W51" s="5"/>
      <c r="X51" s="1"/>
      <c r="Y51" s="5"/>
      <c r="Z51" s="5">
        <f t="shared" si="14"/>
        <v>1168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23:C31 C33:C41 C43:C51 C53:C61 C63:C71 C73:C81 C83:C91 C93:C101 C103:C110 C112:C127 C5:C12 C14:C21" name="Textbooks"/>
    <protectedRange sqref="J2:L3 D2:F3 H5:L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14:F21 D23:F31 D43:F51" name="LAS"/>
    <protectedRange sqref="G2:I3 M2:O2 S2:U3 Y2:AA3 G112:G127 M112:M127 S112:S127 Y112:Y127 G5:G12 M5:M12 S4:S110 Y5:Y12 M14:M110 M3 Y14:Y110 G33:G41 G53:G61 G63:G71 G73:G81 G83:G91 G93:G101 G103:G110 G14:G21 G23:G31 G43:G5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14:F21 F33:F41 F23:F31 F63:F71 F73:F81 F53:F61 F5:F12 F83:F91 F93:F101 X112:X127 F103:F110 R103:R110 L103:L110 X103:X110 F43:F51" xr:uid="{4ECCD083-8EC4-42EE-B46C-B614411F330D}">
      <formula1>"2024,2025"</formula1>
    </dataValidation>
    <dataValidation type="list" allowBlank="1" showInputMessage="1" showErrorMessage="1" sqref="M14:M110 Y14:Y110 S4:S110 G5:G12 M5:M12 Y5:Y12 G103:G110 G14:G21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ySplit="2" topLeftCell="C44" activePane="bottomRight" state="frozen"/>
      <selection pane="bottomRight" activeCell="K65" sqref="K65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34</v>
      </c>
      <c r="E1" s="43"/>
      <c r="F1" s="43"/>
      <c r="G1" s="43"/>
      <c r="H1" s="43"/>
      <c r="I1" s="43"/>
      <c r="J1" s="44" t="s">
        <v>35</v>
      </c>
      <c r="K1" s="44"/>
      <c r="L1" s="44"/>
      <c r="M1" s="44"/>
      <c r="N1" s="44"/>
      <c r="O1" s="44"/>
      <c r="P1" s="45" t="s">
        <v>36</v>
      </c>
      <c r="Q1" s="45"/>
      <c r="R1" s="45"/>
      <c r="S1" s="45"/>
      <c r="T1" s="45"/>
      <c r="U1" s="45"/>
      <c r="V1" s="46" t="s">
        <v>37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130</v>
      </c>
      <c r="D55" s="5">
        <f>Table14[[#This Row],[Enrolment S.Y. 2025-2026 ]]*8</f>
        <v>1040</v>
      </c>
      <c r="E55" s="5">
        <v>150</v>
      </c>
      <c r="F55" s="1">
        <v>2025</v>
      </c>
      <c r="G55" s="5" t="s">
        <v>9</v>
      </c>
      <c r="H55" s="5">
        <f t="shared" si="0"/>
        <v>890</v>
      </c>
      <c r="I55" s="5">
        <f t="shared" si="1"/>
        <v>0</v>
      </c>
      <c r="J55" s="5">
        <f>Table14[[#This Row],[Enrolment S.Y. 2025-2026 ]]*8</f>
        <v>1040</v>
      </c>
      <c r="K55" s="5">
        <v>81</v>
      </c>
      <c r="L55" s="1">
        <v>2025</v>
      </c>
      <c r="M55" s="5" t="s">
        <v>9</v>
      </c>
      <c r="N55" s="5">
        <f t="shared" si="2"/>
        <v>959</v>
      </c>
      <c r="O55" s="5">
        <f t="shared" si="3"/>
        <v>0</v>
      </c>
      <c r="P55" s="5">
        <f>Table14[[#This Row],[Enrolment S.Y. 2025-2026 ]]*8</f>
        <v>1040</v>
      </c>
      <c r="Q55" s="5"/>
      <c r="R55" s="1"/>
      <c r="S55" s="5"/>
      <c r="T55" s="5">
        <f t="shared" si="4"/>
        <v>1040</v>
      </c>
      <c r="U55" s="5">
        <f t="shared" si="5"/>
        <v>0</v>
      </c>
      <c r="V55" s="5">
        <f>Table14[[#This Row],[Enrolment S.Y. 2025-2026 ]]*8</f>
        <v>1040</v>
      </c>
      <c r="W55" s="5"/>
      <c r="X55" s="1"/>
      <c r="Y55" s="5"/>
      <c r="Z55" s="5">
        <f t="shared" si="6"/>
        <v>1040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130</v>
      </c>
      <c r="D56" s="5">
        <f>Table14[[#This Row],[Enrolment S.Y. 2025-2026 ]]*8</f>
        <v>1040</v>
      </c>
      <c r="E56" s="5">
        <v>700</v>
      </c>
      <c r="F56" s="1">
        <v>2025</v>
      </c>
      <c r="G56" s="5" t="s">
        <v>9</v>
      </c>
      <c r="H56" s="5">
        <f t="shared" si="0"/>
        <v>340</v>
      </c>
      <c r="I56" s="5">
        <f t="shared" si="1"/>
        <v>0</v>
      </c>
      <c r="J56" s="5">
        <f>Table14[[#This Row],[Enrolment S.Y. 2025-2026 ]]*8</f>
        <v>1040</v>
      </c>
      <c r="K56" s="5">
        <v>378</v>
      </c>
      <c r="L56" s="1">
        <v>2025</v>
      </c>
      <c r="M56" s="5" t="s">
        <v>9</v>
      </c>
      <c r="N56" s="5">
        <f t="shared" si="2"/>
        <v>662</v>
      </c>
      <c r="O56" s="5">
        <f t="shared" si="3"/>
        <v>0</v>
      </c>
      <c r="P56" s="5">
        <f>Table14[[#This Row],[Enrolment S.Y. 2025-2026 ]]*8</f>
        <v>1040</v>
      </c>
      <c r="Q56" s="5"/>
      <c r="R56" s="1"/>
      <c r="S56" s="5"/>
      <c r="T56" s="5">
        <f t="shared" si="4"/>
        <v>1040</v>
      </c>
      <c r="U56" s="5">
        <f t="shared" si="5"/>
        <v>0</v>
      </c>
      <c r="V56" s="5">
        <f>Table14[[#This Row],[Enrolment S.Y. 2025-2026 ]]*8</f>
        <v>1040</v>
      </c>
      <c r="W56" s="5"/>
      <c r="X56" s="1"/>
      <c r="Y56" s="5"/>
      <c r="Z56" s="5">
        <f t="shared" si="6"/>
        <v>1040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130</v>
      </c>
      <c r="D57" s="5">
        <f>Table14[[#This Row],[Enrolment S.Y. 2025-2026 ]]*8</f>
        <v>1040</v>
      </c>
      <c r="E57" s="5">
        <v>550</v>
      </c>
      <c r="F57" s="1">
        <v>2025</v>
      </c>
      <c r="G57" s="5" t="s">
        <v>9</v>
      </c>
      <c r="H57" s="5">
        <f t="shared" si="0"/>
        <v>490</v>
      </c>
      <c r="I57" s="5">
        <f t="shared" si="1"/>
        <v>0</v>
      </c>
      <c r="J57" s="5">
        <f>Table14[[#This Row],[Enrolment S.Y. 2025-2026 ]]*8</f>
        <v>1040</v>
      </c>
      <c r="K57" s="5">
        <v>378</v>
      </c>
      <c r="L57" s="1">
        <v>2025</v>
      </c>
      <c r="M57" s="5" t="s">
        <v>9</v>
      </c>
      <c r="N57" s="5">
        <f t="shared" si="2"/>
        <v>662</v>
      </c>
      <c r="O57" s="5">
        <f t="shared" si="3"/>
        <v>0</v>
      </c>
      <c r="P57" s="5">
        <f>Table14[[#This Row],[Enrolment S.Y. 2025-2026 ]]*8</f>
        <v>1040</v>
      </c>
      <c r="Q57" s="5"/>
      <c r="R57" s="1"/>
      <c r="S57" s="5"/>
      <c r="T57" s="5">
        <f t="shared" si="4"/>
        <v>1040</v>
      </c>
      <c r="U57" s="5">
        <f t="shared" si="5"/>
        <v>0</v>
      </c>
      <c r="V57" s="5">
        <f>Table14[[#This Row],[Enrolment S.Y. 2025-2026 ]]*8</f>
        <v>1040</v>
      </c>
      <c r="W57" s="5"/>
      <c r="X57" s="1"/>
      <c r="Y57" s="5"/>
      <c r="Z57" s="5">
        <f t="shared" si="6"/>
        <v>1040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3" customHeight="1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67:F77 D79:F89 D91:F101 D115:F122 P2:R10 N3:O10 V2:X10 T3:U10 N12:R19 T12:X19 H3:L10 Z3:AA10 Z12:AA19 H12:L19 N21:R29 T21:X29 Z21:AA29 H21:L29 T31:X41 Z31:AA41 H31:L41 T43:X53 Z43:AA53 H43:L53 T55:X65 Z55:AA65 T67:X77 Z67:AA77 H67:L77 T79:X89 Z79:AA89 H79:L89 T91:X101 Z91:AA101 H91:L101 T103:X113 Z103:AA113 H103:L113 N115:R122 T115:X122 Z115:AA122 H115:L122 D103:F113 N31:R41 N43:R53 N55:R65 N67:R77 N79:R89 N91:R101 N103:R113 D55:F65 H55:L65" name="LAS"/>
    <protectedRange sqref="G2:I2 M2:O2 S2:U2 Y2:AA2 G3:G10 M3:M10 S3:S10 Y3:Y10 Y12:Y19 G12:G19 M12:M19 S12:S19 Y21:Y29 G21:G29 M21:M29 S21:S29 Y31:Y41 G31:G41 M31:M41 S31:S41 Y43:Y53 G43:G53 M43:M53 S43:S53 Y55:Y65 S55:S65 Y67:Y77 G67:G77 M67:M77 S67:S77 Y79:Y89 G79:G89 M79:M89 S79:S89 Y91:Y101 G91:G101 M91:M101 S91:S101 Y103:Y113 G103:G113 M103:M113 S103:S113 Y115:Y122 G115:G122 M115:M122 S115:S122 G55:G65 M55:M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M115:M122 Y55:Y65 S55:S65 G55:G65 M67:M77 G67:G77 Y67:Y77 S67:S77 S79:S89 M79:M89 G79:G89 Y79:Y89 Y91:Y101 S91:S101 M91:M101 G91:G101 G103:G113 Y103:Y113 S103:S113 M103:M113 M55:M65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F55:F65 L91:L101 L103:L113 L12:L19 L3:L10 R21:R29 R31:R41 R43:R53 R67:R77 R79:R89 R55:R65 R91:R101 R103:R113 R12:R19 R3:R10 F21:F29 F31:F41 F43:F53 F67:F77 F79:F89 F103:F113 F3:F10 F91:F101 X115:X122 F12:F19 F115:F122 R115:R122 L115:L122 L55:L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Vergel Junior Eusebio</cp:lastModifiedBy>
  <cp:revision/>
  <dcterms:created xsi:type="dcterms:W3CDTF">2025-11-19T20:48:15Z</dcterms:created>
  <dcterms:modified xsi:type="dcterms:W3CDTF">2026-01-08T01:31:58Z</dcterms:modified>
  <cp:category/>
  <cp:contentStatus/>
</cp:coreProperties>
</file>