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6" documentId="13_ncr:1_{BFB59F67-F0DC-4675-A682-EB0734A8026A}" xr6:coauthVersionLast="47" xr6:coauthVersionMax="47" xr10:uidLastSave="{4630D100-EA57-4D1F-9EAC-5242158709B8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1" l="1"/>
  <c r="G50" i="1"/>
  <c r="H51" i="1"/>
  <c r="G51" i="1"/>
  <c r="P45" i="5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<sst xmlns="http://schemas.openxmlformats.org/spreadsheetml/2006/main" count="301" uniqueCount="87">
  <si>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</si>
  <si>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</si>
  <si>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</si>
  <si>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</si>
  <si>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</si>
  <si>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</si>
  <si>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</si>
  <si>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</si>
  <si>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</si>
  <si>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</si>
  <si>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</si>
  <si>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</si>
  <si>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</si>
  <si>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</si>
  <si>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</si>
  <si>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</si>
  <si>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</si>
  <si>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</si>
  <si>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</si>
  <si>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</si>
  <si>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</si>
  <si>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</si>
  <si>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</si>
  <si>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</si>
  <si>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</si>
  <si>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</si>
  <si>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</si>
  <si>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</si>
  <si>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Earth &amp; Life Science</t>
  </si>
  <si>
    <t>Heritage (Understanding Culture, Society &amp; Politics)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</si>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</sst>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1" totalsRowShown="0" headerRowDxfId="62" headerRowBorderDxfId="60" tableBorderDxfId="61">
  <autoFilter ref="A1:H51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zoomScale="85" zoomScaleNormal="85" workbookViewId="0">
      <pane xSplit="2" topLeftCell="C37" activePane="topRight" state="frozen"/>
      <selection pane="topRight" activeCell="E99" sqref="E9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928</v>
      </c>
      <c r="D2" s="8">
        <v>1086</v>
      </c>
      <c r="E2" s="8">
        <v>2025</v>
      </c>
      <c r="F2" s="10" t="s">
        <v>9</v>
      </c>
      <c r="G2" s="2">
        <f t="shared" ref="G2:G10" si="0">IF((C2-D2)&lt;0,0,C2-D2)</f>
        <v>0</v>
      </c>
      <c r="H2" s="3">
        <f t="shared" ref="H2:H10" si="1">IF((D2-C2)&lt;0,0,D2-C2)</f>
        <v>158</v>
      </c>
    </row>
    <row r="3" spans="1:8" ht="29.25" customHeight="1">
      <c r="A3" s="8">
        <v>7</v>
      </c>
      <c r="B3" s="9" t="s">
        <v>10</v>
      </c>
      <c r="C3" s="8">
        <v>928</v>
      </c>
      <c r="D3" s="8"/>
      <c r="E3" s="8"/>
      <c r="F3" s="10"/>
      <c r="G3" s="2">
        <f t="shared" si="0"/>
        <v>928</v>
      </c>
      <c r="H3" s="3">
        <f t="shared" si="1"/>
        <v>0</v>
      </c>
    </row>
    <row r="4" spans="1:8" ht="21" customHeight="1">
      <c r="A4" s="8">
        <v>7</v>
      </c>
      <c r="B4" s="9" t="s">
        <v>11</v>
      </c>
      <c r="C4" s="8">
        <v>928</v>
      </c>
      <c r="D4" s="8">
        <v>960</v>
      </c>
      <c r="E4" s="8">
        <v>2024</v>
      </c>
      <c r="F4" s="10" t="s">
        <v>9</v>
      </c>
      <c r="G4" s="2">
        <f t="shared" si="0"/>
        <v>0</v>
      </c>
      <c r="H4" s="3">
        <f t="shared" si="1"/>
        <v>32</v>
      </c>
    </row>
    <row r="5" spans="1:8" ht="25.5" customHeight="1">
      <c r="A5" s="8">
        <v>7</v>
      </c>
      <c r="B5" s="9" t="s">
        <v>12</v>
      </c>
      <c r="C5" s="8">
        <v>928</v>
      </c>
      <c r="D5" s="8"/>
      <c r="E5" s="8"/>
      <c r="F5" s="10"/>
      <c r="G5" s="2">
        <f t="shared" si="0"/>
        <v>928</v>
      </c>
      <c r="H5" s="3">
        <f t="shared" si="1"/>
        <v>0</v>
      </c>
    </row>
    <row r="6" spans="1:8" ht="38.25">
      <c r="A6" s="8">
        <v>7</v>
      </c>
      <c r="B6" s="9" t="s">
        <v>13</v>
      </c>
      <c r="C6" s="8">
        <v>928</v>
      </c>
      <c r="D6" s="8">
        <v>1086</v>
      </c>
      <c r="E6" s="8">
        <v>2025</v>
      </c>
      <c r="F6" s="10" t="s">
        <v>9</v>
      </c>
      <c r="G6" s="2">
        <f t="shared" si="0"/>
        <v>0</v>
      </c>
      <c r="H6" s="3">
        <f t="shared" si="1"/>
        <v>158</v>
      </c>
    </row>
    <row r="7" spans="1:8" ht="19.5">
      <c r="A7" s="8">
        <v>7</v>
      </c>
      <c r="B7" s="9" t="s">
        <v>14</v>
      </c>
      <c r="C7" s="8">
        <v>928</v>
      </c>
      <c r="D7" s="8">
        <v>946</v>
      </c>
      <c r="E7" s="8">
        <v>2024</v>
      </c>
      <c r="F7" s="10" t="s">
        <v>9</v>
      </c>
      <c r="G7" s="2">
        <f t="shared" si="0"/>
        <v>0</v>
      </c>
      <c r="H7" s="3">
        <f t="shared" si="1"/>
        <v>18</v>
      </c>
    </row>
    <row r="8" spans="1:8" ht="39.75" customHeight="1">
      <c r="A8" s="8">
        <v>7</v>
      </c>
      <c r="B8" s="9" t="s">
        <v>15</v>
      </c>
      <c r="C8" s="8">
        <v>928</v>
      </c>
      <c r="D8" s="8">
        <v>1086</v>
      </c>
      <c r="E8" s="8">
        <v>2025</v>
      </c>
      <c r="F8" s="10" t="s">
        <v>9</v>
      </c>
      <c r="G8" s="2">
        <f t="shared" si="0"/>
        <v>0</v>
      </c>
      <c r="H8" s="3">
        <f t="shared" si="1"/>
        <v>158</v>
      </c>
    </row>
    <row r="9" spans="1:8" ht="29.25" customHeight="1">
      <c r="A9" s="8">
        <v>7</v>
      </c>
      <c r="B9" s="9" t="s">
        <v>16</v>
      </c>
      <c r="C9" s="8">
        <v>928</v>
      </c>
      <c r="D9" s="8">
        <v>1086</v>
      </c>
      <c r="E9" s="8">
        <v>2025</v>
      </c>
      <c r="F9" s="10" t="s">
        <v>9</v>
      </c>
      <c r="G9" s="2">
        <f t="shared" si="0"/>
        <v>0</v>
      </c>
      <c r="H9" s="3">
        <f t="shared" si="1"/>
        <v>158</v>
      </c>
    </row>
    <row r="10" spans="1:8" ht="28.5" customHeight="1">
      <c r="A10" s="8">
        <v>7</v>
      </c>
      <c r="B10" s="9" t="s">
        <v>17</v>
      </c>
      <c r="C10" s="8">
        <v>928</v>
      </c>
      <c r="D10" s="8">
        <v>1086</v>
      </c>
      <c r="E10" s="8">
        <v>2025</v>
      </c>
      <c r="F10" s="10" t="s">
        <v>9</v>
      </c>
      <c r="G10" s="2">
        <f t="shared" si="0"/>
        <v>0</v>
      </c>
      <c r="H10" s="3">
        <f t="shared" si="1"/>
        <v>158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1020</v>
      </c>
      <c r="D12" s="8"/>
      <c r="E12" s="8"/>
      <c r="F12" s="10"/>
      <c r="G12" s="2">
        <f t="shared" ref="G12:G20" si="2">IF((C12-D12)&lt;0,0,C12-D12)</f>
        <v>1020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10</v>
      </c>
      <c r="C13" s="8">
        <v>1020</v>
      </c>
      <c r="D13" s="8"/>
      <c r="E13" s="8"/>
      <c r="F13" s="10"/>
      <c r="G13" s="2">
        <f t="shared" si="2"/>
        <v>1020</v>
      </c>
      <c r="H13" s="3">
        <f t="shared" si="3"/>
        <v>0</v>
      </c>
    </row>
    <row r="14" spans="1:8" ht="49.5" customHeight="1">
      <c r="A14" s="8">
        <v>8</v>
      </c>
      <c r="B14" s="9" t="s">
        <v>11</v>
      </c>
      <c r="C14" s="8">
        <v>1020</v>
      </c>
      <c r="D14" s="8">
        <v>799</v>
      </c>
      <c r="E14" s="8">
        <v>2025</v>
      </c>
      <c r="F14" s="10" t="s">
        <v>9</v>
      </c>
      <c r="G14" s="2">
        <f t="shared" si="2"/>
        <v>221</v>
      </c>
      <c r="H14" s="3">
        <f t="shared" si="3"/>
        <v>0</v>
      </c>
    </row>
    <row r="15" spans="1:8" ht="29.25" customHeight="1">
      <c r="A15" s="8">
        <v>8</v>
      </c>
      <c r="B15" s="9" t="s">
        <v>12</v>
      </c>
      <c r="C15" s="8">
        <v>1020</v>
      </c>
      <c r="D15" s="8">
        <v>799</v>
      </c>
      <c r="E15" s="8">
        <v>2025</v>
      </c>
      <c r="F15" s="10" t="s">
        <v>9</v>
      </c>
      <c r="G15" s="2">
        <f t="shared" si="2"/>
        <v>221</v>
      </c>
      <c r="H15" s="3">
        <f t="shared" si="3"/>
        <v>0</v>
      </c>
    </row>
    <row r="16" spans="1:8" ht="27" customHeight="1">
      <c r="A16" s="8">
        <v>8</v>
      </c>
      <c r="B16" s="9" t="s">
        <v>18</v>
      </c>
      <c r="C16" s="8">
        <v>1020</v>
      </c>
      <c r="D16" s="8"/>
      <c r="E16" s="8"/>
      <c r="F16" s="10"/>
      <c r="G16" s="2">
        <f t="shared" si="2"/>
        <v>1020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>
        <v>1020</v>
      </c>
      <c r="D17" s="8"/>
      <c r="E17" s="8"/>
      <c r="F17" s="10"/>
      <c r="G17" s="2">
        <f t="shared" si="2"/>
        <v>1020</v>
      </c>
      <c r="H17" s="3">
        <f t="shared" si="3"/>
        <v>0</v>
      </c>
    </row>
    <row r="18" spans="1:8" ht="21" customHeight="1">
      <c r="A18" s="8">
        <v>8</v>
      </c>
      <c r="B18" s="9" t="s">
        <v>15</v>
      </c>
      <c r="C18" s="8">
        <v>1020</v>
      </c>
      <c r="D18" s="8"/>
      <c r="E18" s="8"/>
      <c r="F18" s="10"/>
      <c r="G18" s="2">
        <f t="shared" si="2"/>
        <v>1020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>
        <v>1020</v>
      </c>
      <c r="D19" s="8"/>
      <c r="E19" s="8"/>
      <c r="F19" s="10"/>
      <c r="G19" s="2">
        <f t="shared" si="2"/>
        <v>1020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>
        <v>1020</v>
      </c>
      <c r="D20" s="8"/>
      <c r="E20" s="8"/>
      <c r="F20" s="10"/>
      <c r="G20" s="2">
        <f t="shared" si="2"/>
        <v>1020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10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11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11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/>
      <c r="D42" s="1">
        <v>139</v>
      </c>
      <c r="E42" s="1">
        <v>2024</v>
      </c>
      <c r="F42" s="4" t="s">
        <v>9</v>
      </c>
      <c r="G42" s="2">
        <f t="shared" ref="G42:G50" si="8">IF((C42-D42)&lt;0,0,C42-D42)</f>
        <v>0</v>
      </c>
      <c r="H42" s="3">
        <f t="shared" ref="H42:H50" si="9">IF((D42-C42)&lt;0,0,D42-C42)</f>
        <v>139</v>
      </c>
    </row>
    <row r="43" spans="1:8" ht="27.75" customHeight="1">
      <c r="A43" s="1" t="s">
        <v>19</v>
      </c>
      <c r="B43" s="7" t="s">
        <v>21</v>
      </c>
      <c r="C43" s="1"/>
      <c r="D43" s="1"/>
      <c r="E43" s="1"/>
      <c r="F43" s="4" t="s">
        <v>9</v>
      </c>
      <c r="G43" s="2">
        <f t="shared" si="8"/>
        <v>0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/>
      <c r="D44" s="1">
        <v>139</v>
      </c>
      <c r="E44" s="1">
        <v>2024</v>
      </c>
      <c r="F44" s="4" t="s">
        <v>9</v>
      </c>
      <c r="G44" s="2">
        <f t="shared" si="8"/>
        <v>0</v>
      </c>
      <c r="H44" s="3">
        <f t="shared" si="9"/>
        <v>139</v>
      </c>
    </row>
    <row r="45" spans="1:8" ht="36.75" customHeight="1">
      <c r="A45" s="1" t="s">
        <v>19</v>
      </c>
      <c r="B45" s="7" t="s">
        <v>23</v>
      </c>
      <c r="C45" s="1"/>
      <c r="D45" s="1">
        <v>139</v>
      </c>
      <c r="E45" s="1">
        <v>2025</v>
      </c>
      <c r="F45" s="4" t="s">
        <v>9</v>
      </c>
      <c r="G45" s="2">
        <f t="shared" si="8"/>
        <v>0</v>
      </c>
      <c r="H45" s="3">
        <f t="shared" si="9"/>
        <v>139</v>
      </c>
    </row>
    <row r="46" spans="1:8" ht="27.75" customHeight="1">
      <c r="A46" s="1" t="s">
        <v>19</v>
      </c>
      <c r="B46" s="7" t="s">
        <v>24</v>
      </c>
      <c r="C46" s="1"/>
      <c r="D46" s="1">
        <v>139</v>
      </c>
      <c r="E46" s="1">
        <v>2025</v>
      </c>
      <c r="F46" s="4" t="s">
        <v>9</v>
      </c>
      <c r="G46" s="2">
        <f t="shared" si="8"/>
        <v>0</v>
      </c>
      <c r="H46" s="3">
        <f t="shared" si="9"/>
        <v>139</v>
      </c>
    </row>
    <row r="47" spans="1:8" ht="27.75" customHeight="1">
      <c r="A47" s="1" t="s">
        <v>19</v>
      </c>
      <c r="B47" s="7" t="s">
        <v>25</v>
      </c>
      <c r="C47" s="1"/>
      <c r="D47" s="1">
        <v>139</v>
      </c>
      <c r="E47" s="1">
        <v>2025</v>
      </c>
      <c r="F47" s="4" t="s">
        <v>9</v>
      </c>
      <c r="G47" s="2">
        <f t="shared" si="8"/>
        <v>0</v>
      </c>
      <c r="H47" s="3">
        <f t="shared" si="9"/>
        <v>139</v>
      </c>
    </row>
    <row r="48" spans="1:8" ht="27.75" customHeight="1">
      <c r="A48" s="1" t="s">
        <v>19</v>
      </c>
      <c r="B48" s="7" t="s">
        <v>26</v>
      </c>
      <c r="C48" s="1"/>
      <c r="D48" s="1">
        <v>139</v>
      </c>
      <c r="E48" s="1">
        <v>2025</v>
      </c>
      <c r="F48" s="4" t="s">
        <v>9</v>
      </c>
      <c r="G48" s="2">
        <f t="shared" si="8"/>
        <v>0</v>
      </c>
      <c r="H48" s="3">
        <f t="shared" si="9"/>
        <v>139</v>
      </c>
    </row>
    <row r="49" spans="1:8" ht="27.75" customHeight="1">
      <c r="A49" s="1" t="s">
        <v>19</v>
      </c>
      <c r="B49" s="7" t="s">
        <v>27</v>
      </c>
      <c r="C49" s="1"/>
      <c r="D49" s="1">
        <v>139</v>
      </c>
      <c r="E49" s="1">
        <v>2025</v>
      </c>
      <c r="F49" s="4" t="s">
        <v>9</v>
      </c>
      <c r="G49" s="2">
        <f t="shared" si="8"/>
        <v>0</v>
      </c>
      <c r="H49" s="3">
        <f t="shared" si="9"/>
        <v>139</v>
      </c>
    </row>
    <row r="50" spans="1:8" ht="27.75" customHeight="1">
      <c r="A50" s="1" t="s">
        <v>19</v>
      </c>
      <c r="B50" s="7" t="s">
        <v>28</v>
      </c>
      <c r="C50" s="1"/>
      <c r="D50" s="1">
        <v>139</v>
      </c>
      <c r="E50" s="1">
        <v>2025</v>
      </c>
      <c r="F50" s="4" t="s">
        <v>9</v>
      </c>
      <c r="G50" s="2">
        <f t="shared" si="8"/>
        <v>0</v>
      </c>
      <c r="H50" s="3">
        <f t="shared" si="9"/>
        <v>139</v>
      </c>
    </row>
    <row r="51" spans="1:8" ht="27.75" customHeight="1">
      <c r="A51" s="1" t="s">
        <v>19</v>
      </c>
      <c r="B51" s="7" t="s">
        <v>29</v>
      </c>
      <c r="C51" s="1"/>
      <c r="D51" s="1">
        <v>139</v>
      </c>
      <c r="E51" s="1">
        <v>2025</v>
      </c>
      <c r="F51" s="4" t="s">
        <v>9</v>
      </c>
      <c r="G51" s="2">
        <f t="shared" ref="G51" si="10">IF((C51-D51)&lt;0,0,C51-D51)</f>
        <v>0</v>
      </c>
      <c r="H51" s="3">
        <f t="shared" ref="H51" si="11">IF((D51-C51)&lt;0,0,D51-C51)</f>
        <v>139</v>
      </c>
    </row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61.5" customHeight="1"/>
    <row r="92" ht="61.5" customHeight="1"/>
    <row r="93" ht="61.5" customHeight="1"/>
    <row r="94" ht="61.5" customHeight="1"/>
    <row r="95" ht="61.5" customHeight="1"/>
    <row r="96" ht="61.5" customHeight="1"/>
    <row r="97" ht="61.5" customHeight="1"/>
    <row r="98" ht="61.5" customHeight="1"/>
    <row r="99" ht="61.5" customHeight="1"/>
    <row r="100" ht="15"/>
  </sheetData>
  <protectedRanges>
    <protectedRange sqref="C1:E51" name="Textbooks"/>
    <protectedRange sqref="F1:F51" name="SOURCE"/>
  </protectedRanges>
  <phoneticPr fontId="8" type="noConversion"/>
  <dataValidations count="2">
    <dataValidation type="list" allowBlank="1" showInputMessage="1" showErrorMessage="1" sqref="E42:E51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51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D70" sqref="AD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2" t="s">
        <v>30</v>
      </c>
      <c r="E1" s="32"/>
      <c r="F1" s="32"/>
      <c r="G1" s="32"/>
      <c r="H1" s="32"/>
      <c r="I1" s="32"/>
      <c r="J1" s="33" t="s">
        <v>31</v>
      </c>
      <c r="K1" s="33"/>
      <c r="L1" s="33"/>
      <c r="M1" s="33"/>
      <c r="N1" s="33"/>
      <c r="O1" s="33"/>
      <c r="P1" s="34" t="s">
        <v>32</v>
      </c>
      <c r="Q1" s="34"/>
      <c r="R1" s="34"/>
      <c r="S1" s="34"/>
      <c r="T1" s="34"/>
      <c r="U1" s="34"/>
      <c r="V1" s="35" t="s">
        <v>33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34</v>
      </c>
      <c r="E2" s="18" t="s">
        <v>35</v>
      </c>
      <c r="F2" s="19" t="s">
        <v>36</v>
      </c>
      <c r="G2" s="22" t="s">
        <v>37</v>
      </c>
      <c r="H2" s="15" t="s">
        <v>38</v>
      </c>
      <c r="I2" s="22" t="s">
        <v>39</v>
      </c>
      <c r="J2" s="20" t="s">
        <v>40</v>
      </c>
      <c r="K2" s="20" t="s">
        <v>41</v>
      </c>
      <c r="L2" s="21" t="s">
        <v>42</v>
      </c>
      <c r="M2" s="30" t="s">
        <v>43</v>
      </c>
      <c r="N2" s="30" t="s">
        <v>44</v>
      </c>
      <c r="O2" s="20" t="s">
        <v>45</v>
      </c>
      <c r="P2" s="22" t="s">
        <v>46</v>
      </c>
      <c r="Q2" s="22" t="s">
        <v>47</v>
      </c>
      <c r="R2" s="23" t="s">
        <v>48</v>
      </c>
      <c r="S2" s="15" t="s">
        <v>49</v>
      </c>
      <c r="T2" s="15" t="s">
        <v>50</v>
      </c>
      <c r="U2" s="22" t="s">
        <v>51</v>
      </c>
      <c r="V2" s="24" t="s">
        <v>52</v>
      </c>
      <c r="W2" s="24" t="s">
        <v>53</v>
      </c>
      <c r="X2" s="25" t="s">
        <v>54</v>
      </c>
      <c r="Y2" s="31" t="s">
        <v>55</v>
      </c>
      <c r="Z2" s="31" t="s">
        <v>56</v>
      </c>
      <c r="AA2" s="24" t="s">
        <v>57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50" si="8">IF((J10-K10)&lt;0,0,(J10-K10))</f>
        <v>0</v>
      </c>
      <c r="O10" s="10">
        <f t="shared" ref="O10:O50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50" si="10">IF((P10-Q10)&lt;0,0,(P10-Q10))</f>
        <v>0</v>
      </c>
      <c r="U10" s="10">
        <f t="shared" ref="U10:U50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50" si="12">IF((V10-W10)&lt;0,0,(V10-W10))</f>
        <v>0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17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50" si="14">IF((D18-E18)&lt;0,0,(D18-E18))</f>
        <v>0</v>
      </c>
      <c r="I18" s="10">
        <f t="shared" ref="I18:I50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3:C50 C13:C21 C23:C31 C33:C41 C2:C11" name="Textbooks"/>
    <protectedRange sqref="W23:X31 D33:F41 H33:I41 Q33:R41 W33:X41 D43:F50 H43:I50 Q43:R50 W43:X50 K3:L11 K13:L21 K23:L31 K33:L41 K43:L50 T3:V50 J3:J50 V2:X2 N3:P50 P2:R2 Z3:AA50 D2:F11 H3:I11 Q3:R11 W3:X11 D13:F21 H13:I21 Q13:R21 W13:X21 D23:F31 H23:I31 Q23:R31 J2:L2" name="LAS"/>
    <protectedRange sqref="S2:U2 M2:O2 Y2:AA2 G3:G11 G13:G21 G23:G31 G33:G41 G43:G50 Y3:Y50 M3:M50 S3:S50 G2:I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43:F50 F33:F41 F23:F31 F13:F21 F3:F11 L43:L50 L33:L41 L23:L31 L13:L21 L3:L11 R43:R50 R33:R41 R23:R31 R13:R21 R3:R11 X43:X50 X33:X41 X23:X31 X13:X21 X3:X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D67" sqref="AD6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2" t="s">
        <v>30</v>
      </c>
      <c r="E1" s="32"/>
      <c r="F1" s="32"/>
      <c r="G1" s="32"/>
      <c r="H1" s="32"/>
      <c r="I1" s="32"/>
      <c r="J1" s="33" t="s">
        <v>31</v>
      </c>
      <c r="K1" s="33"/>
      <c r="L1" s="33"/>
      <c r="M1" s="33"/>
      <c r="N1" s="33"/>
      <c r="O1" s="33"/>
      <c r="P1" s="34" t="s">
        <v>32</v>
      </c>
      <c r="Q1" s="34"/>
      <c r="R1" s="34"/>
      <c r="S1" s="34"/>
      <c r="T1" s="34"/>
      <c r="U1" s="34"/>
      <c r="V1" s="35" t="s">
        <v>33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58</v>
      </c>
      <c r="E2" s="18" t="s">
        <v>59</v>
      </c>
      <c r="F2" s="19" t="s">
        <v>60</v>
      </c>
      <c r="G2" s="22" t="s">
        <v>61</v>
      </c>
      <c r="H2" s="15" t="s">
        <v>62</v>
      </c>
      <c r="I2" s="22" t="s">
        <v>63</v>
      </c>
      <c r="J2" s="20" t="s">
        <v>64</v>
      </c>
      <c r="K2" s="20" t="s">
        <v>65</v>
      </c>
      <c r="L2" s="21" t="s">
        <v>66</v>
      </c>
      <c r="M2" s="30" t="s">
        <v>67</v>
      </c>
      <c r="N2" s="30" t="s">
        <v>68</v>
      </c>
      <c r="O2" s="20" t="s">
        <v>69</v>
      </c>
      <c r="P2" s="22" t="s">
        <v>70</v>
      </c>
      <c r="Q2" s="22" t="s">
        <v>71</v>
      </c>
      <c r="R2" s="23" t="s">
        <v>72</v>
      </c>
      <c r="S2" s="15" t="s">
        <v>73</v>
      </c>
      <c r="T2" s="15" t="s">
        <v>74</v>
      </c>
      <c r="U2" s="22" t="s">
        <v>75</v>
      </c>
      <c r="V2" s="24" t="s">
        <v>76</v>
      </c>
      <c r="W2" s="24" t="s">
        <v>77</v>
      </c>
      <c r="X2" s="25" t="s">
        <v>78</v>
      </c>
      <c r="Y2" s="31" t="s">
        <v>79</v>
      </c>
      <c r="Z2" s="31" t="s">
        <v>80</v>
      </c>
      <c r="AA2" s="24" t="s">
        <v>81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29">
        <v>7</v>
      </c>
      <c r="B9" s="9" t="s">
        <v>82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83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29">
        <v>7</v>
      </c>
      <c r="B12" s="9" t="s">
        <v>84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85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29">
        <v>8</v>
      </c>
      <c r="B21" s="9" t="s">
        <v>82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83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29">
        <v>8</v>
      </c>
      <c r="B24" s="9" t="s">
        <v>84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85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>
        <v>775</v>
      </c>
      <c r="D27" s="10">
        <f>Table14[[#This Row],[Enrolment S.Y. 2025-2026 ]]*8</f>
        <v>6200</v>
      </c>
      <c r="E27" s="10"/>
      <c r="F27" s="8"/>
      <c r="G27" s="10"/>
      <c r="H27" s="10">
        <f t="shared" si="16"/>
        <v>6200</v>
      </c>
      <c r="I27" s="10">
        <f t="shared" si="17"/>
        <v>0</v>
      </c>
      <c r="J27" s="10">
        <f>Table14[[#This Row],[Enrolment S.Y. 2025-2026 ]]*8</f>
        <v>6200</v>
      </c>
      <c r="K27" s="10"/>
      <c r="L27" s="8"/>
      <c r="M27" s="10"/>
      <c r="N27" s="10">
        <f t="shared" si="14"/>
        <v>6200</v>
      </c>
      <c r="O27" s="10">
        <f t="shared" si="15"/>
        <v>0</v>
      </c>
      <c r="P27" s="10">
        <f>Table14[[#This Row],[Enrolment S.Y. 2025-2026 ]]*8</f>
        <v>6200</v>
      </c>
      <c r="Q27" s="10"/>
      <c r="R27" s="8"/>
      <c r="S27" s="10"/>
      <c r="T27" s="10">
        <f t="shared" si="10"/>
        <v>6200</v>
      </c>
      <c r="U27" s="10">
        <f t="shared" si="11"/>
        <v>0</v>
      </c>
      <c r="V27" s="10">
        <f>Table14[[#This Row],[Enrolment S.Y. 2025-2026 ]]*8</f>
        <v>6200</v>
      </c>
      <c r="W27" s="10">
        <v>1932</v>
      </c>
      <c r="X27" s="8">
        <v>2025</v>
      </c>
      <c r="Y27" s="10" t="s">
        <v>86</v>
      </c>
      <c r="Z27" s="10">
        <f t="shared" si="12"/>
        <v>4268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>
        <v>775</v>
      </c>
      <c r="D28" s="10">
        <f>Table14[[#This Row],[Enrolment S.Y. 2025-2026 ]]*8</f>
        <v>6200</v>
      </c>
      <c r="E28" s="10">
        <v>1494</v>
      </c>
      <c r="F28" s="8">
        <v>2025</v>
      </c>
      <c r="G28" s="10" t="s">
        <v>86</v>
      </c>
      <c r="H28" s="10">
        <f t="shared" si="16"/>
        <v>4706</v>
      </c>
      <c r="I28" s="10">
        <f t="shared" si="17"/>
        <v>0</v>
      </c>
      <c r="J28" s="10">
        <f>Table14[[#This Row],[Enrolment S.Y. 2025-2026 ]]*8</f>
        <v>6200</v>
      </c>
      <c r="K28" s="10">
        <v>966</v>
      </c>
      <c r="L28" s="8">
        <v>2025</v>
      </c>
      <c r="M28" s="10" t="s">
        <v>86</v>
      </c>
      <c r="N28" s="10">
        <f t="shared" si="14"/>
        <v>5234</v>
      </c>
      <c r="O28" s="10">
        <f t="shared" si="15"/>
        <v>0</v>
      </c>
      <c r="P28" s="10">
        <f>Table14[[#This Row],[Enrolment S.Y. 2025-2026 ]]*8</f>
        <v>6200</v>
      </c>
      <c r="Q28" s="10">
        <v>690</v>
      </c>
      <c r="R28" s="8">
        <v>2025</v>
      </c>
      <c r="S28" s="10" t="s">
        <v>86</v>
      </c>
      <c r="T28" s="10">
        <f t="shared" si="10"/>
        <v>5510</v>
      </c>
      <c r="U28" s="10">
        <f t="shared" si="11"/>
        <v>0</v>
      </c>
      <c r="V28" s="10">
        <f>Table14[[#This Row],[Enrolment S.Y. 2025-2026 ]]*8</f>
        <v>6200</v>
      </c>
      <c r="W28" s="10">
        <v>966</v>
      </c>
      <c r="X28" s="8">
        <v>2025</v>
      </c>
      <c r="Y28" s="10" t="s">
        <v>86</v>
      </c>
      <c r="Z28" s="10">
        <f t="shared" si="12"/>
        <v>5234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>
        <v>775</v>
      </c>
      <c r="D29" s="10">
        <f>Table14[[#This Row],[Enrolment S.Y. 2025-2026 ]]*8</f>
        <v>6200</v>
      </c>
      <c r="E29" s="10">
        <v>5727</v>
      </c>
      <c r="F29" s="8">
        <v>2025</v>
      </c>
      <c r="G29" s="10" t="s">
        <v>86</v>
      </c>
      <c r="H29" s="10">
        <f t="shared" si="16"/>
        <v>473</v>
      </c>
      <c r="I29" s="10">
        <f t="shared" si="17"/>
        <v>0</v>
      </c>
      <c r="J29" s="10">
        <f>Table14[[#This Row],[Enrolment S.Y. 2025-2026 ]]*8</f>
        <v>6200</v>
      </c>
      <c r="K29" s="10">
        <v>1380</v>
      </c>
      <c r="L29" s="8">
        <v>2025</v>
      </c>
      <c r="M29" s="10" t="s">
        <v>86</v>
      </c>
      <c r="N29" s="10">
        <f t="shared" si="14"/>
        <v>4820</v>
      </c>
      <c r="O29" s="10">
        <f t="shared" si="15"/>
        <v>0</v>
      </c>
      <c r="P29" s="10">
        <f>Table14[[#This Row],[Enrolment S.Y. 2025-2026 ]]*8</f>
        <v>6200</v>
      </c>
      <c r="Q29" s="10">
        <v>2208</v>
      </c>
      <c r="R29" s="8">
        <v>2025</v>
      </c>
      <c r="S29" s="10" t="s">
        <v>86</v>
      </c>
      <c r="T29" s="10">
        <f t="shared" si="10"/>
        <v>3992</v>
      </c>
      <c r="U29" s="10">
        <f t="shared" si="11"/>
        <v>0</v>
      </c>
      <c r="V29" s="10">
        <f>Table14[[#This Row],[Enrolment S.Y. 2025-2026 ]]*8</f>
        <v>6200</v>
      </c>
      <c r="W29" s="10">
        <v>1242</v>
      </c>
      <c r="X29" s="8">
        <v>2025</v>
      </c>
      <c r="Y29" s="10" t="s">
        <v>86</v>
      </c>
      <c r="Z29" s="10">
        <f t="shared" si="12"/>
        <v>4958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>
        <v>775</v>
      </c>
      <c r="D30" s="10">
        <f>Table14[[#This Row],[Enrolment S.Y. 2025-2026 ]]*8</f>
        <v>6200</v>
      </c>
      <c r="E30" s="10"/>
      <c r="F30" s="8"/>
      <c r="G30" s="10"/>
      <c r="H30" s="10">
        <f t="shared" si="16"/>
        <v>6200</v>
      </c>
      <c r="I30" s="10">
        <f t="shared" si="17"/>
        <v>0</v>
      </c>
      <c r="J30" s="10">
        <f>Table14[[#This Row],[Enrolment S.Y. 2025-2026 ]]*8</f>
        <v>6200</v>
      </c>
      <c r="K30" s="10"/>
      <c r="L30" s="8"/>
      <c r="M30" s="10"/>
      <c r="N30" s="10">
        <f t="shared" si="14"/>
        <v>6200</v>
      </c>
      <c r="O30" s="10">
        <f t="shared" si="15"/>
        <v>0</v>
      </c>
      <c r="P30" s="10">
        <f>Table14[[#This Row],[Enrolment S.Y. 2025-2026 ]]*8</f>
        <v>6200</v>
      </c>
      <c r="Q30" s="10">
        <v>690</v>
      </c>
      <c r="R30" s="8">
        <v>2025</v>
      </c>
      <c r="S30" s="10" t="s">
        <v>86</v>
      </c>
      <c r="T30" s="10">
        <f t="shared" si="10"/>
        <v>5510</v>
      </c>
      <c r="U30" s="10">
        <f t="shared" si="11"/>
        <v>0</v>
      </c>
      <c r="V30" s="10">
        <f>Table14[[#This Row],[Enrolment S.Y. 2025-2026 ]]*8</f>
        <v>6200</v>
      </c>
      <c r="W30" s="10">
        <v>1104</v>
      </c>
      <c r="X30" s="8">
        <v>2025</v>
      </c>
      <c r="Y30" s="10" t="s">
        <v>86</v>
      </c>
      <c r="Z30" s="10">
        <f t="shared" si="12"/>
        <v>5096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>
        <v>775</v>
      </c>
      <c r="D31" s="10">
        <f>Table14[[#This Row],[Enrolment S.Y. 2025-2026 ]]*8</f>
        <v>6200</v>
      </c>
      <c r="E31" s="10"/>
      <c r="F31" s="8"/>
      <c r="G31" s="10"/>
      <c r="H31" s="10">
        <f t="shared" si="16"/>
        <v>6200</v>
      </c>
      <c r="I31" s="10">
        <f t="shared" si="17"/>
        <v>0</v>
      </c>
      <c r="J31" s="10">
        <f>Table14[[#This Row],[Enrolment S.Y. 2025-2026 ]]*8</f>
        <v>6200</v>
      </c>
      <c r="K31" s="10"/>
      <c r="L31" s="8"/>
      <c r="M31" s="10"/>
      <c r="N31" s="10">
        <f t="shared" si="14"/>
        <v>6200</v>
      </c>
      <c r="O31" s="10">
        <f t="shared" si="15"/>
        <v>0</v>
      </c>
      <c r="P31" s="10">
        <f>Table14[[#This Row],[Enrolment S.Y. 2025-2026 ]]*8</f>
        <v>6200</v>
      </c>
      <c r="Q31" s="10">
        <v>966</v>
      </c>
      <c r="R31" s="8">
        <v>2025</v>
      </c>
      <c r="S31" s="10" t="s">
        <v>86</v>
      </c>
      <c r="T31" s="10">
        <f t="shared" si="10"/>
        <v>5234</v>
      </c>
      <c r="U31" s="10">
        <f t="shared" si="11"/>
        <v>0</v>
      </c>
      <c r="V31" s="10">
        <f>Table14[[#This Row],[Enrolment S.Y. 2025-2026 ]]*8</f>
        <v>6200</v>
      </c>
      <c r="W31" s="10">
        <v>690</v>
      </c>
      <c r="X31" s="8">
        <v>2025</v>
      </c>
      <c r="Y31" s="10" t="s">
        <v>86</v>
      </c>
      <c r="Z31" s="10">
        <f t="shared" si="12"/>
        <v>5510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>
        <v>775</v>
      </c>
      <c r="D32" s="10">
        <f>Table14[[#This Row],[Enrolment S.Y. 2025-2026 ]]*8</f>
        <v>6200</v>
      </c>
      <c r="E32" s="10"/>
      <c r="F32" s="8"/>
      <c r="G32" s="10"/>
      <c r="H32" s="10">
        <f t="shared" si="16"/>
        <v>6200</v>
      </c>
      <c r="I32" s="10">
        <f t="shared" si="17"/>
        <v>0</v>
      </c>
      <c r="J32" s="10">
        <f>Table14[[#This Row],[Enrolment S.Y. 2025-2026 ]]*8</f>
        <v>6200</v>
      </c>
      <c r="K32" s="10"/>
      <c r="L32" s="8"/>
      <c r="M32" s="10"/>
      <c r="N32" s="10">
        <f t="shared" si="14"/>
        <v>6200</v>
      </c>
      <c r="O32" s="10">
        <f t="shared" si="15"/>
        <v>0</v>
      </c>
      <c r="P32" s="10">
        <f>Table14[[#This Row],[Enrolment S.Y. 2025-2026 ]]*8</f>
        <v>6200</v>
      </c>
      <c r="Q32" s="10">
        <v>828</v>
      </c>
      <c r="R32" s="8">
        <v>2025</v>
      </c>
      <c r="S32" s="10" t="s">
        <v>86</v>
      </c>
      <c r="T32" s="10">
        <f t="shared" si="10"/>
        <v>5372</v>
      </c>
      <c r="U32" s="10">
        <f t="shared" si="11"/>
        <v>0</v>
      </c>
      <c r="V32" s="10">
        <f>Table14[[#This Row],[Enrolment S.Y. 2025-2026 ]]*8</f>
        <v>6200</v>
      </c>
      <c r="W32" s="10">
        <v>1380</v>
      </c>
      <c r="X32" s="8">
        <v>2025</v>
      </c>
      <c r="Y32" s="10" t="s">
        <v>86</v>
      </c>
      <c r="Z32" s="10">
        <f t="shared" si="12"/>
        <v>4820</v>
      </c>
      <c r="AA32" s="10">
        <f t="shared" si="13"/>
        <v>0</v>
      </c>
    </row>
    <row r="33" spans="1:27" ht="19.5">
      <c r="A33" s="29">
        <v>9</v>
      </c>
      <c r="B33" s="9" t="s">
        <v>82</v>
      </c>
      <c r="C33" s="8">
        <v>775</v>
      </c>
      <c r="D33" s="10">
        <f>Table14[[#This Row],[Enrolment S.Y. 2025-2026 ]]*8</f>
        <v>6200</v>
      </c>
      <c r="E33" s="10"/>
      <c r="F33" s="8"/>
      <c r="G33" s="10"/>
      <c r="H33" s="10">
        <f>IF((D33-E33)&lt;0,0,(D33-E33))</f>
        <v>6200</v>
      </c>
      <c r="I33" s="10">
        <f>IF((E33-D33)&lt;0,0,(E33-D33))</f>
        <v>0</v>
      </c>
      <c r="J33" s="10">
        <f>Table14[[#This Row],[Enrolment S.Y. 2025-2026 ]]*8</f>
        <v>6200</v>
      </c>
      <c r="K33" s="10"/>
      <c r="L33" s="8"/>
      <c r="M33" s="10"/>
      <c r="N33" s="10">
        <f t="shared" ref="N33:N37" si="20">IF((J33-K33)&lt;0,0,(J33-K33))</f>
        <v>6200</v>
      </c>
      <c r="O33" s="10">
        <f t="shared" ref="O33:O37" si="21">IF((K33-J33)&lt;0,0,(K33-J33))</f>
        <v>0</v>
      </c>
      <c r="P33" s="10">
        <f>Table14[[#This Row],[Enrolment S.Y. 2025-2026 ]]*8</f>
        <v>6200</v>
      </c>
      <c r="Q33" s="10"/>
      <c r="R33" s="8"/>
      <c r="S33" s="10"/>
      <c r="T33" s="10">
        <f>IF((P33-Q33)&lt;0,0,(P33-Q33))</f>
        <v>6200</v>
      </c>
      <c r="U33" s="10">
        <f>IF((Q33-P33)&lt;0,0,(Q33-P33))</f>
        <v>0</v>
      </c>
      <c r="V33" s="10">
        <f>Table14[[#This Row],[Enrolment S.Y. 2025-2026 ]]*8</f>
        <v>6200</v>
      </c>
      <c r="W33" s="10">
        <v>1104</v>
      </c>
      <c r="X33" s="8">
        <v>2025</v>
      </c>
      <c r="Y33" s="10" t="s">
        <v>86</v>
      </c>
      <c r="Z33" s="10">
        <f>IF((V33-W33)&lt;0,0,(V33-W33))</f>
        <v>5096</v>
      </c>
      <c r="AA33" s="10">
        <f>IF((W33-V33)&lt;0,0,(W33-V33))</f>
        <v>0</v>
      </c>
    </row>
    <row r="34" spans="1:27" ht="19.5">
      <c r="A34" s="8">
        <v>9</v>
      </c>
      <c r="B34" s="9" t="s">
        <v>83</v>
      </c>
      <c r="C34" s="8">
        <v>775</v>
      </c>
      <c r="D34" s="10">
        <f>Table14[[#This Row],[Enrolment S.Y. 2025-2026 ]]*8</f>
        <v>6200</v>
      </c>
      <c r="E34" s="10"/>
      <c r="F34" s="8"/>
      <c r="G34" s="10"/>
      <c r="H34" s="10">
        <f t="shared" si="16"/>
        <v>6200</v>
      </c>
      <c r="I34" s="10">
        <f t="shared" si="17"/>
        <v>0</v>
      </c>
      <c r="J34" s="10">
        <f>Table14[[#This Row],[Enrolment S.Y. 2025-2026 ]]*8</f>
        <v>6200</v>
      </c>
      <c r="K34" s="10"/>
      <c r="L34" s="8"/>
      <c r="M34" s="10"/>
      <c r="N34" s="10">
        <f t="shared" si="20"/>
        <v>6200</v>
      </c>
      <c r="O34" s="10">
        <f t="shared" si="21"/>
        <v>0</v>
      </c>
      <c r="P34" s="10">
        <f>Table14[[#This Row],[Enrolment S.Y. 2025-2026 ]]*8</f>
        <v>6200</v>
      </c>
      <c r="Q34" s="10"/>
      <c r="R34" s="8"/>
      <c r="S34" s="10"/>
      <c r="T34" s="10">
        <f t="shared" si="10"/>
        <v>6200</v>
      </c>
      <c r="U34" s="10">
        <f t="shared" si="11"/>
        <v>0</v>
      </c>
      <c r="V34" s="10">
        <f>Table14[[#This Row],[Enrolment S.Y. 2025-2026 ]]*8</f>
        <v>6200</v>
      </c>
      <c r="W34" s="10"/>
      <c r="X34" s="8"/>
      <c r="Y34" s="10"/>
      <c r="Z34" s="10">
        <f t="shared" si="12"/>
        <v>6200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>
        <v>775</v>
      </c>
      <c r="D35" s="10">
        <f>Table14[[#This Row],[Enrolment S.Y. 2025-2026 ]]*8</f>
        <v>6200</v>
      </c>
      <c r="E35" s="10"/>
      <c r="F35" s="8"/>
      <c r="G35" s="10"/>
      <c r="H35" s="10">
        <f t="shared" si="16"/>
        <v>6200</v>
      </c>
      <c r="I35" s="10">
        <f t="shared" si="17"/>
        <v>0</v>
      </c>
      <c r="J35" s="10">
        <f>Table14[[#This Row],[Enrolment S.Y. 2025-2026 ]]*8</f>
        <v>6200</v>
      </c>
      <c r="K35" s="10"/>
      <c r="L35" s="8"/>
      <c r="M35" s="10"/>
      <c r="N35" s="10">
        <f t="shared" si="20"/>
        <v>6200</v>
      </c>
      <c r="O35" s="10">
        <f t="shared" si="21"/>
        <v>0</v>
      </c>
      <c r="P35" s="10">
        <f>Table14[[#This Row],[Enrolment S.Y. 2025-2026 ]]*8</f>
        <v>6200</v>
      </c>
      <c r="Q35" s="10">
        <v>1104</v>
      </c>
      <c r="R35" s="8">
        <v>2025</v>
      </c>
      <c r="S35" s="10" t="s">
        <v>86</v>
      </c>
      <c r="T35" s="10">
        <f t="shared" si="10"/>
        <v>5096</v>
      </c>
      <c r="U35" s="10">
        <f t="shared" si="11"/>
        <v>0</v>
      </c>
      <c r="V35" s="10">
        <f>Table14[[#This Row],[Enrolment S.Y. 2025-2026 ]]*8</f>
        <v>6200</v>
      </c>
      <c r="W35" s="10">
        <v>690</v>
      </c>
      <c r="X35" s="8">
        <v>2025</v>
      </c>
      <c r="Y35" s="10" t="s">
        <v>86</v>
      </c>
      <c r="Z35" s="10">
        <f t="shared" si="12"/>
        <v>5510</v>
      </c>
      <c r="AA35" s="10">
        <f t="shared" si="13"/>
        <v>0</v>
      </c>
    </row>
    <row r="36" spans="1:27" ht="19.5">
      <c r="A36" s="29">
        <v>9</v>
      </c>
      <c r="B36" s="9" t="s">
        <v>84</v>
      </c>
      <c r="C36" s="8">
        <v>775</v>
      </c>
      <c r="D36" s="10">
        <f>Table14[[#This Row],[Enrolment S.Y. 2025-2026 ]]*8</f>
        <v>6200</v>
      </c>
      <c r="E36" s="10"/>
      <c r="F36" s="8"/>
      <c r="G36" s="10"/>
      <c r="H36" s="10">
        <f>IF((D36-E36)&lt;0,0,(D36-E36))</f>
        <v>6200</v>
      </c>
      <c r="I36" s="10">
        <f>IF((E36-D36)&lt;0,0,(E36-D36))</f>
        <v>0</v>
      </c>
      <c r="J36" s="10">
        <f>Table14[[#This Row],[Enrolment S.Y. 2025-2026 ]]*8</f>
        <v>6200</v>
      </c>
      <c r="K36" s="10"/>
      <c r="L36" s="8"/>
      <c r="M36" s="10"/>
      <c r="N36" s="10">
        <f t="shared" si="20"/>
        <v>6200</v>
      </c>
      <c r="O36" s="10">
        <f t="shared" si="21"/>
        <v>0</v>
      </c>
      <c r="P36" s="10">
        <f>Table14[[#This Row],[Enrolment S.Y. 2025-2026 ]]*8</f>
        <v>6200</v>
      </c>
      <c r="Q36" s="10"/>
      <c r="R36" s="8"/>
      <c r="S36" s="10"/>
      <c r="T36" s="10">
        <f>IF((P36-Q36)&lt;0,0,(P36-Q36))</f>
        <v>6200</v>
      </c>
      <c r="U36" s="10">
        <f>IF((Q36-P36)&lt;0,0,(Q36-P36))</f>
        <v>0</v>
      </c>
      <c r="V36" s="10">
        <f>Table14[[#This Row],[Enrolment S.Y. 2025-2026 ]]*8</f>
        <v>6200</v>
      </c>
      <c r="W36" s="10">
        <v>690</v>
      </c>
      <c r="X36" s="8">
        <v>2025</v>
      </c>
      <c r="Y36" s="10" t="s">
        <v>86</v>
      </c>
      <c r="Z36" s="10">
        <f>IF((V36-W36)&lt;0,0,(V36-W36))</f>
        <v>5510</v>
      </c>
      <c r="AA36" s="10">
        <f>IF((W36-V36)&lt;0,0,(W36-V36))</f>
        <v>0</v>
      </c>
    </row>
    <row r="37" spans="1:27" ht="19.5">
      <c r="A37" s="8">
        <v>9</v>
      </c>
      <c r="B37" s="9" t="s">
        <v>85</v>
      </c>
      <c r="C37" s="8">
        <v>775</v>
      </c>
      <c r="D37" s="10">
        <f>Table14[[#This Row],[Enrolment S.Y. 2025-2026 ]]*8</f>
        <v>6200</v>
      </c>
      <c r="E37" s="10"/>
      <c r="F37" s="8"/>
      <c r="G37" s="10"/>
      <c r="H37" s="10">
        <f t="shared" si="16"/>
        <v>6200</v>
      </c>
      <c r="I37" s="10">
        <f t="shared" si="17"/>
        <v>0</v>
      </c>
      <c r="J37" s="10">
        <f>Table14[[#This Row],[Enrolment S.Y. 2025-2026 ]]*8</f>
        <v>6200</v>
      </c>
      <c r="K37" s="10"/>
      <c r="L37" s="8"/>
      <c r="M37" s="10"/>
      <c r="N37" s="10">
        <f t="shared" si="20"/>
        <v>6200</v>
      </c>
      <c r="O37" s="10">
        <f t="shared" si="21"/>
        <v>0</v>
      </c>
      <c r="P37" s="10">
        <f>Table14[[#This Row],[Enrolment S.Y. 2025-2026 ]]*8</f>
        <v>6200</v>
      </c>
      <c r="Q37" s="10"/>
      <c r="R37" s="8"/>
      <c r="S37" s="10"/>
      <c r="T37" s="10">
        <f t="shared" si="10"/>
        <v>6200</v>
      </c>
      <c r="U37" s="10">
        <f t="shared" si="11"/>
        <v>0</v>
      </c>
      <c r="V37" s="10">
        <f>Table14[[#This Row],[Enrolment S.Y. 2025-2026 ]]*8</f>
        <v>6200</v>
      </c>
      <c r="W37" s="10">
        <v>1104</v>
      </c>
      <c r="X37" s="8">
        <v>2025</v>
      </c>
      <c r="Y37" s="10" t="s">
        <v>86</v>
      </c>
      <c r="Z37" s="10">
        <f t="shared" si="12"/>
        <v>5096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>
        <v>699</v>
      </c>
      <c r="D39" s="10">
        <f>Table14[[#This Row],[Enrolment S.Y. 2025-2026 ]]*8</f>
        <v>5592</v>
      </c>
      <c r="E39" s="10">
        <v>224</v>
      </c>
      <c r="F39" s="8">
        <v>2025</v>
      </c>
      <c r="G39" s="10" t="s">
        <v>86</v>
      </c>
      <c r="H39" s="10">
        <f t="shared" si="16"/>
        <v>5368</v>
      </c>
      <c r="I39" s="10">
        <f t="shared" si="17"/>
        <v>0</v>
      </c>
      <c r="J39" s="10">
        <f>Table14[[#This Row],[Enrolment S.Y. 2025-2026 ]]*8</f>
        <v>5592</v>
      </c>
      <c r="K39" s="10">
        <v>1136</v>
      </c>
      <c r="L39" s="8">
        <v>2025</v>
      </c>
      <c r="M39" s="10" t="s">
        <v>86</v>
      </c>
      <c r="N39" s="10">
        <f t="shared" si="14"/>
        <v>4456</v>
      </c>
      <c r="O39" s="10">
        <f t="shared" si="15"/>
        <v>0</v>
      </c>
      <c r="P39" s="10">
        <f>Table14[[#This Row],[Enrolment S.Y. 2025-2026 ]]*8</f>
        <v>5592</v>
      </c>
      <c r="Q39" s="10">
        <v>710</v>
      </c>
      <c r="R39" s="8">
        <v>2025</v>
      </c>
      <c r="S39" s="10" t="s">
        <v>86</v>
      </c>
      <c r="T39" s="10">
        <f t="shared" si="10"/>
        <v>4882</v>
      </c>
      <c r="U39" s="10">
        <f t="shared" si="11"/>
        <v>0</v>
      </c>
      <c r="V39" s="10">
        <f>Table14[[#This Row],[Enrolment S.Y. 2025-2026 ]]*8</f>
        <v>5592</v>
      </c>
      <c r="W39" s="10">
        <v>426</v>
      </c>
      <c r="X39" s="8">
        <v>2025</v>
      </c>
      <c r="Y39" s="10" t="s">
        <v>86</v>
      </c>
      <c r="Z39" s="10">
        <f t="shared" si="12"/>
        <v>5166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>
        <v>699</v>
      </c>
      <c r="D40" s="10">
        <f>Table14[[#This Row],[Enrolment S.Y. 2025-2026 ]]*8</f>
        <v>5592</v>
      </c>
      <c r="E40" s="10">
        <v>196</v>
      </c>
      <c r="F40" s="8">
        <v>2025</v>
      </c>
      <c r="G40" s="10" t="s">
        <v>86</v>
      </c>
      <c r="H40" s="10">
        <f t="shared" si="16"/>
        <v>5396</v>
      </c>
      <c r="I40" s="10">
        <f t="shared" si="17"/>
        <v>0</v>
      </c>
      <c r="J40" s="10">
        <f>Table14[[#This Row],[Enrolment S.Y. 2025-2026 ]]*8</f>
        <v>5592</v>
      </c>
      <c r="K40" s="10"/>
      <c r="L40" s="8"/>
      <c r="M40" s="10"/>
      <c r="N40" s="10">
        <f t="shared" si="14"/>
        <v>5592</v>
      </c>
      <c r="O40" s="10">
        <f t="shared" si="15"/>
        <v>0</v>
      </c>
      <c r="P40" s="10">
        <f>Table14[[#This Row],[Enrolment S.Y. 2025-2026 ]]*8</f>
        <v>5592</v>
      </c>
      <c r="Q40" s="10">
        <v>994</v>
      </c>
      <c r="R40" s="8">
        <v>2025</v>
      </c>
      <c r="S40" s="10" t="s">
        <v>86</v>
      </c>
      <c r="T40" s="10">
        <f t="shared" si="10"/>
        <v>4598</v>
      </c>
      <c r="U40" s="10">
        <f t="shared" si="11"/>
        <v>0</v>
      </c>
      <c r="V40" s="10">
        <f>Table14[[#This Row],[Enrolment S.Y. 2025-2026 ]]*8</f>
        <v>5592</v>
      </c>
      <c r="W40" s="10">
        <v>994</v>
      </c>
      <c r="X40" s="8">
        <v>2025</v>
      </c>
      <c r="Y40" s="10" t="s">
        <v>86</v>
      </c>
      <c r="Z40" s="10">
        <f t="shared" si="12"/>
        <v>4598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>
        <v>699</v>
      </c>
      <c r="D41" s="10">
        <f>Table14[[#This Row],[Enrolment S.Y. 2025-2026 ]]*8</f>
        <v>5592</v>
      </c>
      <c r="E41" s="10"/>
      <c r="F41" s="8"/>
      <c r="G41" s="10"/>
      <c r="H41" s="10">
        <f t="shared" si="16"/>
        <v>5592</v>
      </c>
      <c r="I41" s="10">
        <f t="shared" si="17"/>
        <v>0</v>
      </c>
      <c r="J41" s="10">
        <f>Table14[[#This Row],[Enrolment S.Y. 2025-2026 ]]*8</f>
        <v>5592</v>
      </c>
      <c r="K41" s="10">
        <v>1278</v>
      </c>
      <c r="L41" s="8">
        <v>2025</v>
      </c>
      <c r="M41" s="10" t="s">
        <v>86</v>
      </c>
      <c r="N41" s="10">
        <f t="shared" si="14"/>
        <v>4314</v>
      </c>
      <c r="O41" s="10">
        <f t="shared" si="15"/>
        <v>0</v>
      </c>
      <c r="P41" s="10">
        <f>Table14[[#This Row],[Enrolment S.Y. 2025-2026 ]]*8</f>
        <v>5592</v>
      </c>
      <c r="Q41" s="10">
        <v>994</v>
      </c>
      <c r="R41" s="8">
        <v>2025</v>
      </c>
      <c r="S41" s="10" t="s">
        <v>86</v>
      </c>
      <c r="T41" s="10">
        <f t="shared" si="10"/>
        <v>4598</v>
      </c>
      <c r="U41" s="10">
        <f t="shared" si="11"/>
        <v>0</v>
      </c>
      <c r="V41" s="10">
        <f>Table14[[#This Row],[Enrolment S.Y. 2025-2026 ]]*8</f>
        <v>5592</v>
      </c>
      <c r="W41" s="10">
        <v>568</v>
      </c>
      <c r="X41" s="8">
        <v>2025</v>
      </c>
      <c r="Y41" s="10" t="s">
        <v>86</v>
      </c>
      <c r="Z41" s="10">
        <f t="shared" si="12"/>
        <v>5024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>
        <v>699</v>
      </c>
      <c r="D42" s="10">
        <f>Table14[[#This Row],[Enrolment S.Y. 2025-2026 ]]*8</f>
        <v>5592</v>
      </c>
      <c r="E42" s="10"/>
      <c r="F42" s="8"/>
      <c r="G42" s="10"/>
      <c r="H42" s="10">
        <f t="shared" si="16"/>
        <v>5592</v>
      </c>
      <c r="I42" s="10">
        <f t="shared" si="17"/>
        <v>0</v>
      </c>
      <c r="J42" s="10">
        <f>Table14[[#This Row],[Enrolment S.Y. 2025-2026 ]]*8</f>
        <v>5592</v>
      </c>
      <c r="K42" s="10"/>
      <c r="L42" s="8"/>
      <c r="M42" s="10"/>
      <c r="N42" s="10">
        <f t="shared" si="14"/>
        <v>5592</v>
      </c>
      <c r="O42" s="10">
        <f t="shared" si="15"/>
        <v>0</v>
      </c>
      <c r="P42" s="10">
        <f>Table14[[#This Row],[Enrolment S.Y. 2025-2026 ]]*8</f>
        <v>5592</v>
      </c>
      <c r="Q42" s="10">
        <v>1136</v>
      </c>
      <c r="R42" s="8">
        <v>2025</v>
      </c>
      <c r="S42" s="10" t="s">
        <v>86</v>
      </c>
      <c r="T42" s="10">
        <f t="shared" si="10"/>
        <v>4456</v>
      </c>
      <c r="U42" s="10">
        <f t="shared" si="11"/>
        <v>0</v>
      </c>
      <c r="V42" s="10">
        <f>Table14[[#This Row],[Enrolment S.Y. 2025-2026 ]]*8</f>
        <v>5592</v>
      </c>
      <c r="W42" s="10">
        <v>568</v>
      </c>
      <c r="X42" s="8">
        <v>2025</v>
      </c>
      <c r="Y42" s="10" t="s">
        <v>86</v>
      </c>
      <c r="Z42" s="10">
        <f t="shared" si="12"/>
        <v>5024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>
        <v>699</v>
      </c>
      <c r="D43" s="10">
        <f>Table14[[#This Row],[Enrolment S.Y. 2025-2026 ]]*8</f>
        <v>5592</v>
      </c>
      <c r="E43" s="10"/>
      <c r="F43" s="8"/>
      <c r="G43" s="10"/>
      <c r="H43" s="10">
        <f t="shared" si="16"/>
        <v>5592</v>
      </c>
      <c r="I43" s="10">
        <f t="shared" si="17"/>
        <v>0</v>
      </c>
      <c r="J43" s="10">
        <f>Table14[[#This Row],[Enrolment S.Y. 2025-2026 ]]*8</f>
        <v>5592</v>
      </c>
      <c r="K43" s="10"/>
      <c r="L43" s="8"/>
      <c r="M43" s="10"/>
      <c r="N43" s="10">
        <f t="shared" si="14"/>
        <v>5592</v>
      </c>
      <c r="O43" s="10">
        <f t="shared" si="15"/>
        <v>0</v>
      </c>
      <c r="P43" s="10">
        <f>Table14[[#This Row],[Enrolment S.Y. 2025-2026 ]]*8</f>
        <v>5592</v>
      </c>
      <c r="Q43" s="10">
        <v>568</v>
      </c>
      <c r="R43" s="8">
        <v>2025</v>
      </c>
      <c r="S43" s="10" t="s">
        <v>86</v>
      </c>
      <c r="T43" s="10">
        <f t="shared" si="10"/>
        <v>5024</v>
      </c>
      <c r="U43" s="10">
        <f t="shared" si="11"/>
        <v>0</v>
      </c>
      <c r="V43" s="10">
        <f>Table14[[#This Row],[Enrolment S.Y. 2025-2026 ]]*8</f>
        <v>5592</v>
      </c>
      <c r="W43" s="10">
        <v>568</v>
      </c>
      <c r="X43" s="8">
        <v>2025</v>
      </c>
      <c r="Y43" s="10" t="s">
        <v>86</v>
      </c>
      <c r="Z43" s="10">
        <f t="shared" si="12"/>
        <v>5024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>
        <v>699</v>
      </c>
      <c r="D44" s="10">
        <f>Table14[[#This Row],[Enrolment S.Y. 2025-2026 ]]*8</f>
        <v>5592</v>
      </c>
      <c r="E44" s="10"/>
      <c r="F44" s="8"/>
      <c r="G44" s="10"/>
      <c r="H44" s="10">
        <f t="shared" si="16"/>
        <v>5592</v>
      </c>
      <c r="I44" s="10">
        <f t="shared" si="17"/>
        <v>0</v>
      </c>
      <c r="J44" s="10">
        <f>Table14[[#This Row],[Enrolment S.Y. 2025-2026 ]]*8</f>
        <v>5592</v>
      </c>
      <c r="K44" s="10"/>
      <c r="L44" s="8"/>
      <c r="M44" s="10"/>
      <c r="N44" s="10">
        <f t="shared" si="14"/>
        <v>5592</v>
      </c>
      <c r="O44" s="10">
        <f t="shared" si="15"/>
        <v>0</v>
      </c>
      <c r="P44" s="10">
        <f>Table14[[#This Row],[Enrolment S.Y. 2025-2026 ]]*8</f>
        <v>5592</v>
      </c>
      <c r="Q44" s="10">
        <v>994</v>
      </c>
      <c r="R44" s="8">
        <v>2025</v>
      </c>
      <c r="S44" s="10" t="s">
        <v>86</v>
      </c>
      <c r="T44" s="10">
        <f t="shared" si="10"/>
        <v>4598</v>
      </c>
      <c r="U44" s="10">
        <f t="shared" si="11"/>
        <v>0</v>
      </c>
      <c r="V44" s="10">
        <f>Table14[[#This Row],[Enrolment S.Y. 2025-2026 ]]*8</f>
        <v>5592</v>
      </c>
      <c r="W44" s="10">
        <v>852</v>
      </c>
      <c r="X44" s="8">
        <v>2025</v>
      </c>
      <c r="Y44" s="10" t="s">
        <v>86</v>
      </c>
      <c r="Z44" s="10">
        <f t="shared" si="12"/>
        <v>4740</v>
      </c>
      <c r="AA44" s="10">
        <f t="shared" si="13"/>
        <v>0</v>
      </c>
    </row>
    <row r="45" spans="1:27" ht="19.5">
      <c r="A45" s="29">
        <v>10</v>
      </c>
      <c r="B45" s="9" t="s">
        <v>82</v>
      </c>
      <c r="C45" s="8">
        <v>699</v>
      </c>
      <c r="D45" s="10">
        <f>Table14[[#This Row],[Enrolment S.Y. 2025-2026 ]]*8</f>
        <v>5592</v>
      </c>
      <c r="E45" s="10"/>
      <c r="F45" s="8"/>
      <c r="G45" s="10"/>
      <c r="H45" s="10">
        <f>IF((D45-E45)&lt;0,0,(D45-E45))</f>
        <v>5592</v>
      </c>
      <c r="I45" s="10">
        <f>IF((E45-D45)&lt;0,0,(E45-D45))</f>
        <v>0</v>
      </c>
      <c r="J45" s="10">
        <f>Table14[[#This Row],[Enrolment S.Y. 2025-2026 ]]*8</f>
        <v>5592</v>
      </c>
      <c r="K45" s="10"/>
      <c r="L45" s="8"/>
      <c r="M45" s="10"/>
      <c r="N45" s="10">
        <f t="shared" ref="N45:N49" si="22">IF((J45-K45)&lt;0,0,(J45-K45))</f>
        <v>5592</v>
      </c>
      <c r="O45" s="10">
        <f t="shared" ref="O45:O49" si="23">IF((K45-J45)&lt;0,0,(K45-J45))</f>
        <v>0</v>
      </c>
      <c r="P45" s="10">
        <f>Table14[[#This Row],[Enrolment S.Y. 2025-2026 ]]*8</f>
        <v>5592</v>
      </c>
      <c r="Q45" s="10">
        <v>284</v>
      </c>
      <c r="R45" s="8">
        <v>2025</v>
      </c>
      <c r="S45" s="10" t="s">
        <v>86</v>
      </c>
      <c r="T45" s="10">
        <f>IF((P45-Q45)&lt;0,0,(P45-Q45))</f>
        <v>5308</v>
      </c>
      <c r="U45" s="10">
        <f>IF((Q45-P45)&lt;0,0,(Q45-P45))</f>
        <v>0</v>
      </c>
      <c r="V45" s="10">
        <f>Table14[[#This Row],[Enrolment S.Y. 2025-2026 ]]*8</f>
        <v>5592</v>
      </c>
      <c r="W45" s="10">
        <v>284</v>
      </c>
      <c r="X45" s="8">
        <v>2025</v>
      </c>
      <c r="Y45" s="10" t="s">
        <v>86</v>
      </c>
      <c r="Z45" s="10">
        <f>IF((V45-W45)&lt;0,0,(V45-W45))</f>
        <v>5308</v>
      </c>
      <c r="AA45" s="10">
        <f>IF((W45-V45)&lt;0,0,(W45-V45))</f>
        <v>0</v>
      </c>
    </row>
    <row r="46" spans="1:27" ht="19.5">
      <c r="A46" s="8">
        <v>10</v>
      </c>
      <c r="B46" s="9" t="s">
        <v>83</v>
      </c>
      <c r="C46" s="8">
        <v>699</v>
      </c>
      <c r="D46" s="10">
        <f>Table14[[#This Row],[Enrolment S.Y. 2025-2026 ]]*8</f>
        <v>5592</v>
      </c>
      <c r="E46" s="10"/>
      <c r="F46" s="8"/>
      <c r="G46" s="10"/>
      <c r="H46" s="10">
        <f t="shared" si="16"/>
        <v>5592</v>
      </c>
      <c r="I46" s="10">
        <f t="shared" si="17"/>
        <v>0</v>
      </c>
      <c r="J46" s="10">
        <f>Table14[[#This Row],[Enrolment S.Y. 2025-2026 ]]*8</f>
        <v>5592</v>
      </c>
      <c r="K46" s="10"/>
      <c r="L46" s="8"/>
      <c r="M46" s="10"/>
      <c r="N46" s="10">
        <f t="shared" si="22"/>
        <v>5592</v>
      </c>
      <c r="O46" s="10">
        <f t="shared" si="23"/>
        <v>0</v>
      </c>
      <c r="P46" s="10">
        <f>Table14[[#This Row],[Enrolment S.Y. 2025-2026 ]]*8</f>
        <v>5592</v>
      </c>
      <c r="Q46" s="10"/>
      <c r="R46" s="8"/>
      <c r="S46" s="10"/>
      <c r="T46" s="10">
        <f t="shared" si="10"/>
        <v>5592</v>
      </c>
      <c r="U46" s="10">
        <f t="shared" si="11"/>
        <v>0</v>
      </c>
      <c r="V46" s="10">
        <f>Table14[[#This Row],[Enrolment S.Y. 2025-2026 ]]*8</f>
        <v>5592</v>
      </c>
      <c r="W46" s="10"/>
      <c r="X46" s="8"/>
      <c r="Y46" s="10"/>
      <c r="Z46" s="10">
        <f t="shared" si="12"/>
        <v>5592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>
        <v>699</v>
      </c>
      <c r="D47" s="10">
        <f>Table14[[#This Row],[Enrolment S.Y. 2025-2026 ]]*8</f>
        <v>5592</v>
      </c>
      <c r="E47" s="10"/>
      <c r="F47" s="8"/>
      <c r="G47" s="10"/>
      <c r="H47" s="10">
        <f t="shared" si="16"/>
        <v>5592</v>
      </c>
      <c r="I47" s="10">
        <f t="shared" si="17"/>
        <v>0</v>
      </c>
      <c r="J47" s="10">
        <f>Table14[[#This Row],[Enrolment S.Y. 2025-2026 ]]*8</f>
        <v>5592</v>
      </c>
      <c r="K47" s="10"/>
      <c r="L47" s="8"/>
      <c r="M47" s="10"/>
      <c r="N47" s="10">
        <f t="shared" si="22"/>
        <v>5592</v>
      </c>
      <c r="O47" s="10">
        <f t="shared" si="23"/>
        <v>0</v>
      </c>
      <c r="P47" s="10">
        <f>Table14[[#This Row],[Enrolment S.Y. 2025-2026 ]]*8</f>
        <v>5592</v>
      </c>
      <c r="Q47" s="10">
        <v>284</v>
      </c>
      <c r="R47" s="8">
        <v>2025</v>
      </c>
      <c r="S47" s="10" t="s">
        <v>86</v>
      </c>
      <c r="T47" s="10">
        <f t="shared" si="10"/>
        <v>5308</v>
      </c>
      <c r="U47" s="10">
        <f t="shared" si="11"/>
        <v>0</v>
      </c>
      <c r="V47" s="10">
        <f>Table14[[#This Row],[Enrolment S.Y. 2025-2026 ]]*8</f>
        <v>5592</v>
      </c>
      <c r="W47" s="10">
        <v>142</v>
      </c>
      <c r="X47" s="8">
        <v>2025</v>
      </c>
      <c r="Y47" s="10" t="s">
        <v>86</v>
      </c>
      <c r="Z47" s="10">
        <f t="shared" si="12"/>
        <v>5450</v>
      </c>
      <c r="AA47" s="10">
        <f t="shared" si="13"/>
        <v>0</v>
      </c>
    </row>
    <row r="48" spans="1:27" ht="19.5">
      <c r="A48" s="29">
        <v>10</v>
      </c>
      <c r="B48" s="9" t="s">
        <v>84</v>
      </c>
      <c r="C48" s="8">
        <v>699</v>
      </c>
      <c r="D48" s="10">
        <f>Table14[[#This Row],[Enrolment S.Y. 2025-2026 ]]*8</f>
        <v>5592</v>
      </c>
      <c r="E48" s="10"/>
      <c r="F48" s="8"/>
      <c r="G48" s="10"/>
      <c r="H48" s="10">
        <f>IF((D48-E48)&lt;0,0,(D48-E48))</f>
        <v>5592</v>
      </c>
      <c r="I48" s="10">
        <f>IF((E48-D48)&lt;0,0,(E48-D48))</f>
        <v>0</v>
      </c>
      <c r="J48" s="10">
        <f>Table14[[#This Row],[Enrolment S.Y. 2025-2026 ]]*8</f>
        <v>5592</v>
      </c>
      <c r="K48" s="10"/>
      <c r="L48" s="8"/>
      <c r="M48" s="10"/>
      <c r="N48" s="10">
        <f t="shared" si="22"/>
        <v>5592</v>
      </c>
      <c r="O48" s="10">
        <f t="shared" si="23"/>
        <v>0</v>
      </c>
      <c r="P48" s="10">
        <f>Table14[[#This Row],[Enrolment S.Y. 2025-2026 ]]*8</f>
        <v>5592</v>
      </c>
      <c r="Q48" s="10">
        <v>284</v>
      </c>
      <c r="R48" s="8">
        <v>2025</v>
      </c>
      <c r="S48" s="10" t="s">
        <v>86</v>
      </c>
      <c r="T48" s="10">
        <f>IF((P48-Q48)&lt;0,0,(P48-Q48))</f>
        <v>5308</v>
      </c>
      <c r="U48" s="10">
        <f>IF((Q48-P48)&lt;0,0,(Q48-P48))</f>
        <v>0</v>
      </c>
      <c r="V48" s="10">
        <f>Table14[[#This Row],[Enrolment S.Y. 2025-2026 ]]*8</f>
        <v>5592</v>
      </c>
      <c r="W48" s="10">
        <v>426</v>
      </c>
      <c r="X48" s="8">
        <v>2025</v>
      </c>
      <c r="Y48" s="10" t="s">
        <v>86</v>
      </c>
      <c r="Z48" s="10">
        <f>IF((V48-W48)&lt;0,0,(V48-W48))</f>
        <v>5166</v>
      </c>
      <c r="AA48" s="10">
        <f>IF((W48-V48)&lt;0,0,(W48-V48))</f>
        <v>0</v>
      </c>
    </row>
    <row r="49" spans="1:27" ht="19.5">
      <c r="A49" s="8">
        <v>10</v>
      </c>
      <c r="B49" s="9" t="s">
        <v>85</v>
      </c>
      <c r="C49" s="8">
        <v>699</v>
      </c>
      <c r="D49" s="10">
        <f>Table14[[#This Row],[Enrolment S.Y. 2025-2026 ]]*8</f>
        <v>5592</v>
      </c>
      <c r="E49" s="10"/>
      <c r="F49" s="8"/>
      <c r="G49" s="10"/>
      <c r="H49" s="10">
        <f t="shared" si="16"/>
        <v>5592</v>
      </c>
      <c r="I49" s="10">
        <f t="shared" si="17"/>
        <v>0</v>
      </c>
      <c r="J49" s="10">
        <f>Table14[[#This Row],[Enrolment S.Y. 2025-2026 ]]*8</f>
        <v>5592</v>
      </c>
      <c r="K49" s="10"/>
      <c r="L49" s="8"/>
      <c r="M49" s="10"/>
      <c r="N49" s="10">
        <f t="shared" si="22"/>
        <v>5592</v>
      </c>
      <c r="O49" s="10">
        <f t="shared" si="23"/>
        <v>0</v>
      </c>
      <c r="P49" s="10">
        <f>Table14[[#This Row],[Enrolment S.Y. 2025-2026 ]]*8</f>
        <v>5592</v>
      </c>
      <c r="Q49" s="10">
        <v>426</v>
      </c>
      <c r="R49" s="8">
        <v>2025</v>
      </c>
      <c r="S49" s="10" t="s">
        <v>86</v>
      </c>
      <c r="T49" s="10">
        <f t="shared" si="10"/>
        <v>5166</v>
      </c>
      <c r="U49" s="10">
        <f t="shared" si="11"/>
        <v>0</v>
      </c>
      <c r="V49" s="10">
        <f>Table14[[#This Row],[Enrolment S.Y. 2025-2026 ]]*8</f>
        <v>5592</v>
      </c>
      <c r="W49" s="10">
        <v>568</v>
      </c>
      <c r="X49" s="8">
        <v>2025</v>
      </c>
      <c r="Y49" s="10" t="s">
        <v>86</v>
      </c>
      <c r="Z49" s="10">
        <f t="shared" si="12"/>
        <v>5024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43.5" customHeight="1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2026-04-13T08:08:36Z</dcterms:modified>
  <cp:category/>
  <cp:contentStatus/>
</cp:coreProperties>
</file>