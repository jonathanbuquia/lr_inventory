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" documentId="13_ncr:1_{BFB59F67-F0DC-4675-A682-EB0734A8026A}" xr6:coauthVersionLast="47" xr6:coauthVersionMax="47" xr10:uidLastSave="{35A5F77D-7E2C-4F5D-9221-23E3015B80B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9" i="1" l="1"/>
  <c r="G99" i="1"/>
  <c r="H100" i="1"/>
  <c r="G10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<sst xmlns="http://schemas.openxmlformats.org/spreadsheetml/2006/main" count="455" uniqueCount="94">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</sst>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zoomScale="85" zoomScaleNormal="85" workbookViewId="0">
      <pane xSplit="2" topLeftCell="D98" activePane="topRight" state="frozen"/>
      <selection pane="topRight" activeCell="A99" sqref="A99:B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928</v>
      </c>
      <c r="D51" s="10">
        <v>1086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158</v>
      </c>
    </row>
    <row r="52" spans="1:8" ht="27.75" customHeight="1">
      <c r="A52" s="10">
        <v>7</v>
      </c>
      <c r="B52" s="11" t="s">
        <v>15</v>
      </c>
      <c r="C52" s="10">
        <v>928</v>
      </c>
      <c r="D52" s="10"/>
      <c r="E52" s="10"/>
      <c r="F52" s="12"/>
      <c r="G52" s="3">
        <f t="shared" si="10"/>
        <v>928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928</v>
      </c>
      <c r="D53" s="10">
        <v>960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32</v>
      </c>
    </row>
    <row r="54" spans="1:8" ht="27.75" customHeight="1">
      <c r="A54" s="10">
        <v>7</v>
      </c>
      <c r="B54" s="11" t="s">
        <v>21</v>
      </c>
      <c r="C54" s="10">
        <v>928</v>
      </c>
      <c r="D54" s="10"/>
      <c r="E54" s="10"/>
      <c r="F54" s="12"/>
      <c r="G54" s="3">
        <f t="shared" si="10"/>
        <v>928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928</v>
      </c>
      <c r="D55" s="10">
        <v>1086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158</v>
      </c>
    </row>
    <row r="56" spans="1:8" ht="27.75" customHeight="1">
      <c r="A56" s="10">
        <v>7</v>
      </c>
      <c r="B56" s="11" t="s">
        <v>13</v>
      </c>
      <c r="C56" s="10">
        <v>928</v>
      </c>
      <c r="D56" s="10">
        <v>946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18</v>
      </c>
    </row>
    <row r="57" spans="1:8" ht="27.75" customHeight="1">
      <c r="A57" s="10">
        <v>7</v>
      </c>
      <c r="B57" s="11" t="s">
        <v>17</v>
      </c>
      <c r="C57" s="10">
        <v>928</v>
      </c>
      <c r="D57" s="10">
        <v>1086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158</v>
      </c>
    </row>
    <row r="58" spans="1:8" ht="27.75" customHeight="1">
      <c r="A58" s="10">
        <v>7</v>
      </c>
      <c r="B58" s="11" t="s">
        <v>22</v>
      </c>
      <c r="C58" s="10">
        <v>928</v>
      </c>
      <c r="D58" s="10">
        <v>1086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158</v>
      </c>
    </row>
    <row r="59" spans="1:8" ht="27.75" customHeight="1">
      <c r="A59" s="10">
        <v>7</v>
      </c>
      <c r="B59" s="11" t="s">
        <v>19</v>
      </c>
      <c r="C59" s="10">
        <v>928</v>
      </c>
      <c r="D59" s="10">
        <v>1086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158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1020</v>
      </c>
      <c r="D61" s="10"/>
      <c r="E61" s="10"/>
      <c r="F61" s="12"/>
      <c r="G61" s="3">
        <f t="shared" ref="G61:G69" si="12">IF((C61-D61)&lt;0,0,C61-D61)</f>
        <v>1020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1020</v>
      </c>
      <c r="D62" s="10"/>
      <c r="E62" s="10"/>
      <c r="F62" s="12"/>
      <c r="G62" s="3">
        <f t="shared" si="12"/>
        <v>1020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1020</v>
      </c>
      <c r="D63" s="10">
        <v>799</v>
      </c>
      <c r="E63" s="10">
        <v>2025</v>
      </c>
      <c r="F63" s="12" t="s">
        <v>20</v>
      </c>
      <c r="G63" s="3">
        <f t="shared" si="12"/>
        <v>221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1020</v>
      </c>
      <c r="D64" s="10">
        <v>799</v>
      </c>
      <c r="E64" s="10">
        <v>2025</v>
      </c>
      <c r="F64" s="12" t="s">
        <v>20</v>
      </c>
      <c r="G64" s="3">
        <f t="shared" si="12"/>
        <v>221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1020</v>
      </c>
      <c r="D65" s="10"/>
      <c r="E65" s="10"/>
      <c r="F65" s="12"/>
      <c r="G65" s="3">
        <f t="shared" si="12"/>
        <v>1020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1020</v>
      </c>
      <c r="D66" s="10"/>
      <c r="E66" s="10"/>
      <c r="F66" s="12"/>
      <c r="G66" s="3">
        <f t="shared" si="12"/>
        <v>1020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1020</v>
      </c>
      <c r="D67" s="10"/>
      <c r="E67" s="10"/>
      <c r="F67" s="12"/>
      <c r="G67" s="3">
        <f t="shared" si="12"/>
        <v>1020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1020</v>
      </c>
      <c r="D68" s="10"/>
      <c r="E68" s="10"/>
      <c r="F68" s="12"/>
      <c r="G68" s="3">
        <f t="shared" si="12"/>
        <v>1020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1020</v>
      </c>
      <c r="D69" s="10"/>
      <c r="E69" s="10"/>
      <c r="F69" s="12"/>
      <c r="G69" s="3">
        <f t="shared" si="12"/>
        <v>1020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61.5" customHeight="1">
      <c r="A91" s="1" t="s">
        <v>24</v>
      </c>
      <c r="B91" s="9" t="s">
        <v>25</v>
      </c>
      <c r="C91" s="1"/>
      <c r="D91" s="1">
        <v>139</v>
      </c>
      <c r="E91" s="1">
        <v>2024</v>
      </c>
      <c r="F91" s="5" t="s">
        <v>20</v>
      </c>
      <c r="G91" s="3">
        <f t="shared" ref="G91:G99" si="18">IF((C91-D91)&lt;0,0,C91-D91)</f>
        <v>0</v>
      </c>
      <c r="H91" s="4">
        <f t="shared" ref="H91:H99" si="19">IF((D91-C91)&lt;0,0,D91-C91)</f>
        <v>139</v>
      </c>
    </row>
    <row r="92" spans="1:8" ht="61.5" customHeight="1">
      <c r="A92" s="1" t="s">
        <v>24</v>
      </c>
      <c r="B92" s="9" t="s">
        <v>26</v>
      </c>
      <c r="C92" s="1"/>
      <c r="D92" s="1"/>
      <c r="E92" s="1"/>
      <c r="F92" s="5" t="s">
        <v>20</v>
      </c>
      <c r="G92" s="3">
        <f t="shared" si="18"/>
        <v>0</v>
      </c>
      <c r="H92" s="4">
        <f t="shared" si="19"/>
        <v>0</v>
      </c>
    </row>
    <row r="93" spans="1:8" ht="61.5" customHeight="1">
      <c r="A93" s="1" t="s">
        <v>24</v>
      </c>
      <c r="B93" s="9" t="s">
        <v>27</v>
      </c>
      <c r="C93" s="1"/>
      <c r="D93" s="1">
        <v>139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139</v>
      </c>
    </row>
    <row r="94" spans="1:8" ht="61.5" customHeight="1">
      <c r="A94" s="1" t="s">
        <v>24</v>
      </c>
      <c r="B94" s="9" t="s">
        <v>28</v>
      </c>
      <c r="C94" s="1"/>
      <c r="D94" s="1">
        <v>139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139</v>
      </c>
    </row>
    <row r="95" spans="1:8" ht="61.5" customHeight="1">
      <c r="A95" s="1" t="s">
        <v>24</v>
      </c>
      <c r="B95" s="9" t="s">
        <v>29</v>
      </c>
      <c r="C95" s="1"/>
      <c r="D95" s="1">
        <v>139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139</v>
      </c>
    </row>
    <row r="96" spans="1:8" ht="61.5" customHeight="1">
      <c r="A96" s="1" t="s">
        <v>24</v>
      </c>
      <c r="B96" s="9" t="s">
        <v>30</v>
      </c>
      <c r="C96" s="1"/>
      <c r="D96" s="1">
        <v>139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139</v>
      </c>
    </row>
    <row r="97" spans="1:8" ht="61.5" customHeight="1">
      <c r="A97" s="1" t="s">
        <v>24</v>
      </c>
      <c r="B97" s="9" t="s">
        <v>31</v>
      </c>
      <c r="C97" s="1"/>
      <c r="D97" s="1">
        <v>139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139</v>
      </c>
    </row>
    <row r="98" spans="1:8" ht="61.5" customHeight="1">
      <c r="A98" s="1" t="s">
        <v>24</v>
      </c>
      <c r="B98" s="9" t="s">
        <v>32</v>
      </c>
      <c r="C98" s="1"/>
      <c r="D98" s="1">
        <v>139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139</v>
      </c>
    </row>
    <row r="99" spans="1:8" ht="61.5" customHeight="1">
      <c r="A99" s="1" t="s">
        <v>24</v>
      </c>
      <c r="B99" s="9" t="s">
        <v>33</v>
      </c>
      <c r="C99" s="1"/>
      <c r="D99" s="1">
        <v>139</v>
      </c>
      <c r="E99" s="1">
        <v>2025</v>
      </c>
      <c r="F99" s="5" t="s">
        <v>20</v>
      </c>
      <c r="G99" s="3">
        <f t="shared" si="18"/>
        <v>0</v>
      </c>
      <c r="H99" s="4">
        <f t="shared" si="19"/>
        <v>139</v>
      </c>
    </row>
    <row r="100" spans="1:8" ht="76.5">
      <c r="A100" s="1" t="s">
        <v>24</v>
      </c>
      <c r="B100" s="9" t="s">
        <v>34</v>
      </c>
      <c r="C100" s="1"/>
      <c r="D100" s="1">
        <v>139</v>
      </c>
      <c r="E100" s="1">
        <v>2025</v>
      </c>
      <c r="F100" s="5" t="s">
        <v>20</v>
      </c>
      <c r="G100" s="3">
        <f t="shared" ref="G100" si="20">IF((C100-D100)&lt;0,0,C100-D100)</f>
        <v>0</v>
      </c>
      <c r="H100" s="4">
        <f t="shared" ref="H100" si="21">IF((D100-C100)&lt;0,0,D100-C100)</f>
        <v>139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0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6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2" zoomScale="55" zoomScaleNormal="55" workbookViewId="0">
      <selection activeCell="A120" sqref="A120:XFD12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775</v>
      </c>
      <c r="D91" s="12">
        <f>Table14[[#This Row],[Enrolment S.Y. 2025-2026 ]]*8</f>
        <v>6200</v>
      </c>
      <c r="E91" s="12"/>
      <c r="F91" s="10"/>
      <c r="G91" s="12"/>
      <c r="H91" s="12">
        <f t="shared" si="22"/>
        <v>6200</v>
      </c>
      <c r="I91" s="12">
        <f t="shared" si="23"/>
        <v>0</v>
      </c>
      <c r="J91" s="12">
        <f>Table14[[#This Row],[Enrolment S.Y. 2025-2026 ]]*8</f>
        <v>6200</v>
      </c>
      <c r="K91" s="12"/>
      <c r="L91" s="10"/>
      <c r="M91" s="12"/>
      <c r="N91" s="12">
        <f t="shared" si="20"/>
        <v>6200</v>
      </c>
      <c r="O91" s="12">
        <f t="shared" si="21"/>
        <v>0</v>
      </c>
      <c r="P91" s="12">
        <f>Table14[[#This Row],[Enrolment S.Y. 2025-2026 ]]*8</f>
        <v>6200</v>
      </c>
      <c r="Q91" s="12"/>
      <c r="R91" s="10"/>
      <c r="S91" s="12"/>
      <c r="T91" s="12">
        <f t="shared" si="16"/>
        <v>6200</v>
      </c>
      <c r="U91" s="12">
        <f t="shared" si="17"/>
        <v>0</v>
      </c>
      <c r="V91" s="12">
        <f>Table14[[#This Row],[Enrolment S.Y. 2025-2026 ]]*8</f>
        <v>6200</v>
      </c>
      <c r="W91" s="12">
        <v>1932</v>
      </c>
      <c r="X91" s="10">
        <v>2025</v>
      </c>
      <c r="Y91" s="12" t="s">
        <v>93</v>
      </c>
      <c r="Z91" s="12">
        <f t="shared" si="18"/>
        <v>4268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775</v>
      </c>
      <c r="D92" s="12">
        <f>Table14[[#This Row],[Enrolment S.Y. 2025-2026 ]]*8</f>
        <v>6200</v>
      </c>
      <c r="E92" s="12">
        <v>1494</v>
      </c>
      <c r="F92" s="10">
        <v>2025</v>
      </c>
      <c r="G92" s="12" t="s">
        <v>93</v>
      </c>
      <c r="H92" s="12">
        <f t="shared" si="22"/>
        <v>4706</v>
      </c>
      <c r="I92" s="12">
        <f t="shared" si="23"/>
        <v>0</v>
      </c>
      <c r="J92" s="12">
        <f>Table14[[#This Row],[Enrolment S.Y. 2025-2026 ]]*8</f>
        <v>6200</v>
      </c>
      <c r="K92" s="12">
        <v>966</v>
      </c>
      <c r="L92" s="10">
        <v>2025</v>
      </c>
      <c r="M92" s="12" t="s">
        <v>93</v>
      </c>
      <c r="N92" s="12">
        <f t="shared" si="20"/>
        <v>5234</v>
      </c>
      <c r="O92" s="12">
        <f t="shared" si="21"/>
        <v>0</v>
      </c>
      <c r="P92" s="12">
        <f>Table14[[#This Row],[Enrolment S.Y. 2025-2026 ]]*8</f>
        <v>6200</v>
      </c>
      <c r="Q92" s="12">
        <v>690</v>
      </c>
      <c r="R92" s="10">
        <v>2025</v>
      </c>
      <c r="S92" s="12" t="s">
        <v>93</v>
      </c>
      <c r="T92" s="12">
        <f t="shared" si="16"/>
        <v>5510</v>
      </c>
      <c r="U92" s="12">
        <f t="shared" si="17"/>
        <v>0</v>
      </c>
      <c r="V92" s="12">
        <f>Table14[[#This Row],[Enrolment S.Y. 2025-2026 ]]*8</f>
        <v>6200</v>
      </c>
      <c r="W92" s="12">
        <v>966</v>
      </c>
      <c r="X92" s="10">
        <v>2025</v>
      </c>
      <c r="Y92" s="12" t="s">
        <v>93</v>
      </c>
      <c r="Z92" s="12">
        <f t="shared" si="18"/>
        <v>5234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775</v>
      </c>
      <c r="D93" s="12">
        <f>Table14[[#This Row],[Enrolment S.Y. 2025-2026 ]]*8</f>
        <v>6200</v>
      </c>
      <c r="E93" s="12">
        <v>5727</v>
      </c>
      <c r="F93" s="10">
        <v>2025</v>
      </c>
      <c r="G93" s="12" t="s">
        <v>93</v>
      </c>
      <c r="H93" s="12">
        <f t="shared" si="22"/>
        <v>473</v>
      </c>
      <c r="I93" s="12">
        <f t="shared" si="23"/>
        <v>0</v>
      </c>
      <c r="J93" s="12">
        <f>Table14[[#This Row],[Enrolment S.Y. 2025-2026 ]]*8</f>
        <v>6200</v>
      </c>
      <c r="K93" s="12">
        <v>1380</v>
      </c>
      <c r="L93" s="10">
        <v>2025</v>
      </c>
      <c r="M93" s="12" t="s">
        <v>93</v>
      </c>
      <c r="N93" s="12">
        <f t="shared" si="20"/>
        <v>4820</v>
      </c>
      <c r="O93" s="12">
        <f t="shared" si="21"/>
        <v>0</v>
      </c>
      <c r="P93" s="12">
        <f>Table14[[#This Row],[Enrolment S.Y. 2025-2026 ]]*8</f>
        <v>6200</v>
      </c>
      <c r="Q93" s="12">
        <v>2208</v>
      </c>
      <c r="R93" s="10">
        <v>2025</v>
      </c>
      <c r="S93" s="12" t="s">
        <v>93</v>
      </c>
      <c r="T93" s="12">
        <f t="shared" si="16"/>
        <v>3992</v>
      </c>
      <c r="U93" s="12">
        <f t="shared" si="17"/>
        <v>0</v>
      </c>
      <c r="V93" s="12">
        <f>Table14[[#This Row],[Enrolment S.Y. 2025-2026 ]]*8</f>
        <v>6200</v>
      </c>
      <c r="W93" s="12">
        <v>1242</v>
      </c>
      <c r="X93" s="10">
        <v>2025</v>
      </c>
      <c r="Y93" s="12" t="s">
        <v>93</v>
      </c>
      <c r="Z93" s="12">
        <f t="shared" si="18"/>
        <v>4958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775</v>
      </c>
      <c r="D94" s="12">
        <f>Table14[[#This Row],[Enrolment S.Y. 2025-2026 ]]*8</f>
        <v>6200</v>
      </c>
      <c r="E94" s="12"/>
      <c r="F94" s="10"/>
      <c r="G94" s="12"/>
      <c r="H94" s="12">
        <f t="shared" si="22"/>
        <v>6200</v>
      </c>
      <c r="I94" s="12">
        <f t="shared" si="23"/>
        <v>0</v>
      </c>
      <c r="J94" s="12">
        <f>Table14[[#This Row],[Enrolment S.Y. 2025-2026 ]]*8</f>
        <v>6200</v>
      </c>
      <c r="K94" s="12"/>
      <c r="L94" s="10"/>
      <c r="M94" s="12"/>
      <c r="N94" s="12">
        <f t="shared" si="20"/>
        <v>6200</v>
      </c>
      <c r="O94" s="12">
        <f t="shared" si="21"/>
        <v>0</v>
      </c>
      <c r="P94" s="12">
        <f>Table14[[#This Row],[Enrolment S.Y. 2025-2026 ]]*8</f>
        <v>6200</v>
      </c>
      <c r="Q94" s="12">
        <v>690</v>
      </c>
      <c r="R94" s="10">
        <v>2025</v>
      </c>
      <c r="S94" s="12" t="s">
        <v>93</v>
      </c>
      <c r="T94" s="12">
        <f t="shared" si="16"/>
        <v>5510</v>
      </c>
      <c r="U94" s="12">
        <f t="shared" si="17"/>
        <v>0</v>
      </c>
      <c r="V94" s="12">
        <f>Table14[[#This Row],[Enrolment S.Y. 2025-2026 ]]*8</f>
        <v>6200</v>
      </c>
      <c r="W94" s="12">
        <v>1104</v>
      </c>
      <c r="X94" s="10">
        <v>2025</v>
      </c>
      <c r="Y94" s="12" t="s">
        <v>93</v>
      </c>
      <c r="Z94" s="12">
        <f t="shared" si="18"/>
        <v>5096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775</v>
      </c>
      <c r="D95" s="12">
        <f>Table14[[#This Row],[Enrolment S.Y. 2025-2026 ]]*8</f>
        <v>6200</v>
      </c>
      <c r="E95" s="12"/>
      <c r="F95" s="10"/>
      <c r="G95" s="12"/>
      <c r="H95" s="12">
        <f t="shared" si="22"/>
        <v>6200</v>
      </c>
      <c r="I95" s="12">
        <f t="shared" si="23"/>
        <v>0</v>
      </c>
      <c r="J95" s="12">
        <f>Table14[[#This Row],[Enrolment S.Y. 2025-2026 ]]*8</f>
        <v>6200</v>
      </c>
      <c r="K95" s="12"/>
      <c r="L95" s="10"/>
      <c r="M95" s="12"/>
      <c r="N95" s="12">
        <f t="shared" si="20"/>
        <v>6200</v>
      </c>
      <c r="O95" s="12">
        <f t="shared" si="21"/>
        <v>0</v>
      </c>
      <c r="P95" s="12">
        <f>Table14[[#This Row],[Enrolment S.Y. 2025-2026 ]]*8</f>
        <v>6200</v>
      </c>
      <c r="Q95" s="12">
        <v>966</v>
      </c>
      <c r="R95" s="10">
        <v>2025</v>
      </c>
      <c r="S95" s="12" t="s">
        <v>93</v>
      </c>
      <c r="T95" s="12">
        <f t="shared" si="16"/>
        <v>5234</v>
      </c>
      <c r="U95" s="12">
        <f t="shared" si="17"/>
        <v>0</v>
      </c>
      <c r="V95" s="12">
        <f>Table14[[#This Row],[Enrolment S.Y. 2025-2026 ]]*8</f>
        <v>6200</v>
      </c>
      <c r="W95" s="12">
        <v>690</v>
      </c>
      <c r="X95" s="10">
        <v>2025</v>
      </c>
      <c r="Y95" s="12" t="s">
        <v>93</v>
      </c>
      <c r="Z95" s="12">
        <f t="shared" si="18"/>
        <v>5510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775</v>
      </c>
      <c r="D96" s="12">
        <f>Table14[[#This Row],[Enrolment S.Y. 2025-2026 ]]*8</f>
        <v>6200</v>
      </c>
      <c r="E96" s="12"/>
      <c r="F96" s="10"/>
      <c r="G96" s="12"/>
      <c r="H96" s="12">
        <f t="shared" si="22"/>
        <v>6200</v>
      </c>
      <c r="I96" s="12">
        <f t="shared" si="23"/>
        <v>0</v>
      </c>
      <c r="J96" s="12">
        <f>Table14[[#This Row],[Enrolment S.Y. 2025-2026 ]]*8</f>
        <v>6200</v>
      </c>
      <c r="K96" s="12"/>
      <c r="L96" s="10"/>
      <c r="M96" s="12"/>
      <c r="N96" s="12">
        <f t="shared" si="20"/>
        <v>6200</v>
      </c>
      <c r="O96" s="12">
        <f t="shared" si="21"/>
        <v>0</v>
      </c>
      <c r="P96" s="12">
        <f>Table14[[#This Row],[Enrolment S.Y. 2025-2026 ]]*8</f>
        <v>6200</v>
      </c>
      <c r="Q96" s="12">
        <v>828</v>
      </c>
      <c r="R96" s="10">
        <v>2025</v>
      </c>
      <c r="S96" s="12" t="s">
        <v>93</v>
      </c>
      <c r="T96" s="12">
        <f t="shared" si="16"/>
        <v>5372</v>
      </c>
      <c r="U96" s="12">
        <f t="shared" si="17"/>
        <v>0</v>
      </c>
      <c r="V96" s="12">
        <f>Table14[[#This Row],[Enrolment S.Y. 2025-2026 ]]*8</f>
        <v>6200</v>
      </c>
      <c r="W96" s="12">
        <v>1380</v>
      </c>
      <c r="X96" s="10">
        <v>2025</v>
      </c>
      <c r="Y96" s="12" t="s">
        <v>93</v>
      </c>
      <c r="Z96" s="12">
        <f t="shared" si="18"/>
        <v>4820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>
        <v>775</v>
      </c>
      <c r="D97" s="12">
        <f>Table14[[#This Row],[Enrolment S.Y. 2025-2026 ]]*8</f>
        <v>6200</v>
      </c>
      <c r="E97" s="12"/>
      <c r="F97" s="10"/>
      <c r="G97" s="12"/>
      <c r="H97" s="12">
        <f>IF((D97-E97)&lt;0,0,(D97-E97))</f>
        <v>6200</v>
      </c>
      <c r="I97" s="12">
        <f>IF((E97-D97)&lt;0,0,(E97-D97))</f>
        <v>0</v>
      </c>
      <c r="J97" s="12">
        <f>Table14[[#This Row],[Enrolment S.Y. 2025-2026 ]]*8</f>
        <v>6200</v>
      </c>
      <c r="K97" s="12"/>
      <c r="L97" s="10"/>
      <c r="M97" s="12"/>
      <c r="N97" s="12">
        <f t="shared" ref="N97:N101" si="26">IF((J97-K97)&lt;0,0,(J97-K97))</f>
        <v>6200</v>
      </c>
      <c r="O97" s="12">
        <f t="shared" ref="O97:O101" si="27">IF((K97-J97)&lt;0,0,(K97-J97))</f>
        <v>0</v>
      </c>
      <c r="P97" s="12">
        <f>Table14[[#This Row],[Enrolment S.Y. 2025-2026 ]]*8</f>
        <v>6200</v>
      </c>
      <c r="Q97" s="12"/>
      <c r="R97" s="10"/>
      <c r="S97" s="12"/>
      <c r="T97" s="12">
        <f>IF((P97-Q97)&lt;0,0,(P97-Q97))</f>
        <v>6200</v>
      </c>
      <c r="U97" s="12">
        <f>IF((Q97-P97)&lt;0,0,(Q97-P97))</f>
        <v>0</v>
      </c>
      <c r="V97" s="12">
        <f>Table14[[#This Row],[Enrolment S.Y. 2025-2026 ]]*8</f>
        <v>6200</v>
      </c>
      <c r="W97" s="12">
        <v>1104</v>
      </c>
      <c r="X97" s="10">
        <v>2025</v>
      </c>
      <c r="Y97" s="12" t="s">
        <v>93</v>
      </c>
      <c r="Z97" s="12">
        <f>IF((V97-W97)&lt;0,0,(V97-W97))</f>
        <v>5096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>
        <v>775</v>
      </c>
      <c r="D98" s="12">
        <f>Table14[[#This Row],[Enrolment S.Y. 2025-2026 ]]*8</f>
        <v>6200</v>
      </c>
      <c r="E98" s="12"/>
      <c r="F98" s="10"/>
      <c r="G98" s="12"/>
      <c r="H98" s="12">
        <f t="shared" si="22"/>
        <v>6200</v>
      </c>
      <c r="I98" s="12">
        <f t="shared" si="23"/>
        <v>0</v>
      </c>
      <c r="J98" s="12">
        <f>Table14[[#This Row],[Enrolment S.Y. 2025-2026 ]]*8</f>
        <v>6200</v>
      </c>
      <c r="K98" s="12"/>
      <c r="L98" s="10"/>
      <c r="M98" s="12"/>
      <c r="N98" s="12">
        <f t="shared" si="26"/>
        <v>6200</v>
      </c>
      <c r="O98" s="12">
        <f t="shared" si="27"/>
        <v>0</v>
      </c>
      <c r="P98" s="12">
        <f>Table14[[#This Row],[Enrolment S.Y. 2025-2026 ]]*8</f>
        <v>6200</v>
      </c>
      <c r="Q98" s="12"/>
      <c r="R98" s="10"/>
      <c r="S98" s="12"/>
      <c r="T98" s="12">
        <f t="shared" si="16"/>
        <v>6200</v>
      </c>
      <c r="U98" s="12">
        <f t="shared" si="17"/>
        <v>0</v>
      </c>
      <c r="V98" s="12">
        <f>Table14[[#This Row],[Enrolment S.Y. 2025-2026 ]]*8</f>
        <v>6200</v>
      </c>
      <c r="W98" s="12"/>
      <c r="X98" s="10"/>
      <c r="Y98" s="12"/>
      <c r="Z98" s="12">
        <f t="shared" si="18"/>
        <v>6200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775</v>
      </c>
      <c r="D99" s="12">
        <f>Table14[[#This Row],[Enrolment S.Y. 2025-2026 ]]*8</f>
        <v>6200</v>
      </c>
      <c r="E99" s="12"/>
      <c r="F99" s="10"/>
      <c r="G99" s="12"/>
      <c r="H99" s="12">
        <f t="shared" si="22"/>
        <v>6200</v>
      </c>
      <c r="I99" s="12">
        <f t="shared" si="23"/>
        <v>0</v>
      </c>
      <c r="J99" s="12">
        <f>Table14[[#This Row],[Enrolment S.Y. 2025-2026 ]]*8</f>
        <v>6200</v>
      </c>
      <c r="K99" s="12"/>
      <c r="L99" s="10"/>
      <c r="M99" s="12"/>
      <c r="N99" s="12">
        <f t="shared" si="26"/>
        <v>6200</v>
      </c>
      <c r="O99" s="12">
        <f t="shared" si="27"/>
        <v>0</v>
      </c>
      <c r="P99" s="12">
        <f>Table14[[#This Row],[Enrolment S.Y. 2025-2026 ]]*8</f>
        <v>6200</v>
      </c>
      <c r="Q99" s="12">
        <v>1104</v>
      </c>
      <c r="R99" s="10">
        <v>2025</v>
      </c>
      <c r="S99" s="12" t="s">
        <v>93</v>
      </c>
      <c r="T99" s="12">
        <f t="shared" si="16"/>
        <v>5096</v>
      </c>
      <c r="U99" s="12">
        <f t="shared" si="17"/>
        <v>0</v>
      </c>
      <c r="V99" s="12">
        <f>Table14[[#This Row],[Enrolment S.Y. 2025-2026 ]]*8</f>
        <v>6200</v>
      </c>
      <c r="W99" s="12">
        <v>690</v>
      </c>
      <c r="X99" s="10">
        <v>2025</v>
      </c>
      <c r="Y99" s="12" t="s">
        <v>93</v>
      </c>
      <c r="Z99" s="12">
        <f t="shared" si="18"/>
        <v>5510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>
        <v>775</v>
      </c>
      <c r="D100" s="12">
        <f>Table14[[#This Row],[Enrolment S.Y. 2025-2026 ]]*8</f>
        <v>6200</v>
      </c>
      <c r="E100" s="12"/>
      <c r="F100" s="10"/>
      <c r="G100" s="12"/>
      <c r="H100" s="12">
        <f>IF((D100-E100)&lt;0,0,(D100-E100))</f>
        <v>6200</v>
      </c>
      <c r="I100" s="12">
        <f>IF((E100-D100)&lt;0,0,(E100-D100))</f>
        <v>0</v>
      </c>
      <c r="J100" s="12">
        <f>Table14[[#This Row],[Enrolment S.Y. 2025-2026 ]]*8</f>
        <v>6200</v>
      </c>
      <c r="K100" s="12"/>
      <c r="L100" s="10"/>
      <c r="M100" s="12"/>
      <c r="N100" s="12">
        <f t="shared" si="26"/>
        <v>6200</v>
      </c>
      <c r="O100" s="12">
        <f t="shared" si="27"/>
        <v>0</v>
      </c>
      <c r="P100" s="12">
        <f>Table14[[#This Row],[Enrolment S.Y. 2025-2026 ]]*8</f>
        <v>6200</v>
      </c>
      <c r="Q100" s="12"/>
      <c r="R100" s="10"/>
      <c r="S100" s="12"/>
      <c r="T100" s="12">
        <f>IF((P100-Q100)&lt;0,0,(P100-Q100))</f>
        <v>6200</v>
      </c>
      <c r="U100" s="12">
        <f>IF((Q100-P100)&lt;0,0,(Q100-P100))</f>
        <v>0</v>
      </c>
      <c r="V100" s="12">
        <f>Table14[[#This Row],[Enrolment S.Y. 2025-2026 ]]*8</f>
        <v>6200</v>
      </c>
      <c r="W100" s="12">
        <v>690</v>
      </c>
      <c r="X100" s="10">
        <v>2025</v>
      </c>
      <c r="Y100" s="12" t="s">
        <v>93</v>
      </c>
      <c r="Z100" s="12">
        <f>IF((V100-W100)&lt;0,0,(V100-W100))</f>
        <v>5510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>
        <v>775</v>
      </c>
      <c r="D101" s="12">
        <f>Table14[[#This Row],[Enrolment S.Y. 2025-2026 ]]*8</f>
        <v>6200</v>
      </c>
      <c r="E101" s="12"/>
      <c r="F101" s="10"/>
      <c r="G101" s="12"/>
      <c r="H101" s="12">
        <f t="shared" si="22"/>
        <v>6200</v>
      </c>
      <c r="I101" s="12">
        <f t="shared" si="23"/>
        <v>0</v>
      </c>
      <c r="J101" s="12">
        <f>Table14[[#This Row],[Enrolment S.Y. 2025-2026 ]]*8</f>
        <v>6200</v>
      </c>
      <c r="K101" s="12"/>
      <c r="L101" s="10"/>
      <c r="M101" s="12"/>
      <c r="N101" s="12">
        <f t="shared" si="26"/>
        <v>6200</v>
      </c>
      <c r="O101" s="12">
        <f t="shared" si="27"/>
        <v>0</v>
      </c>
      <c r="P101" s="12">
        <f>Table14[[#This Row],[Enrolment S.Y. 2025-2026 ]]*8</f>
        <v>6200</v>
      </c>
      <c r="Q101" s="12"/>
      <c r="R101" s="10"/>
      <c r="S101" s="12"/>
      <c r="T101" s="12">
        <f t="shared" si="16"/>
        <v>6200</v>
      </c>
      <c r="U101" s="12">
        <f t="shared" si="17"/>
        <v>0</v>
      </c>
      <c r="V101" s="12">
        <f>Table14[[#This Row],[Enrolment S.Y. 2025-2026 ]]*8</f>
        <v>6200</v>
      </c>
      <c r="W101" s="12">
        <v>1104</v>
      </c>
      <c r="X101" s="10">
        <v>2025</v>
      </c>
      <c r="Y101" s="12" t="s">
        <v>93</v>
      </c>
      <c r="Z101" s="12">
        <f t="shared" si="18"/>
        <v>5096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699</v>
      </c>
      <c r="D103" s="12">
        <f>Table14[[#This Row],[Enrolment S.Y. 2025-2026 ]]*8</f>
        <v>5592</v>
      </c>
      <c r="E103" s="12">
        <v>224</v>
      </c>
      <c r="F103" s="10">
        <v>2025</v>
      </c>
      <c r="G103" s="12" t="s">
        <v>93</v>
      </c>
      <c r="H103" s="12">
        <f t="shared" si="22"/>
        <v>5368</v>
      </c>
      <c r="I103" s="12">
        <f t="shared" si="23"/>
        <v>0</v>
      </c>
      <c r="J103" s="12">
        <f>Table14[[#This Row],[Enrolment S.Y. 2025-2026 ]]*8</f>
        <v>5592</v>
      </c>
      <c r="K103" s="12">
        <v>1136</v>
      </c>
      <c r="L103" s="10">
        <v>2025</v>
      </c>
      <c r="M103" s="12" t="s">
        <v>93</v>
      </c>
      <c r="N103" s="12">
        <f t="shared" si="20"/>
        <v>4456</v>
      </c>
      <c r="O103" s="12">
        <f t="shared" si="21"/>
        <v>0</v>
      </c>
      <c r="P103" s="12">
        <f>Table14[[#This Row],[Enrolment S.Y. 2025-2026 ]]*8</f>
        <v>5592</v>
      </c>
      <c r="Q103" s="12">
        <v>710</v>
      </c>
      <c r="R103" s="10">
        <v>2025</v>
      </c>
      <c r="S103" s="12" t="s">
        <v>93</v>
      </c>
      <c r="T103" s="12">
        <f t="shared" si="16"/>
        <v>4882</v>
      </c>
      <c r="U103" s="12">
        <f t="shared" si="17"/>
        <v>0</v>
      </c>
      <c r="V103" s="12">
        <f>Table14[[#This Row],[Enrolment S.Y. 2025-2026 ]]*8</f>
        <v>5592</v>
      </c>
      <c r="W103" s="12">
        <v>426</v>
      </c>
      <c r="X103" s="10">
        <v>2025</v>
      </c>
      <c r="Y103" s="12" t="s">
        <v>93</v>
      </c>
      <c r="Z103" s="12">
        <f t="shared" si="18"/>
        <v>5166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699</v>
      </c>
      <c r="D104" s="12">
        <f>Table14[[#This Row],[Enrolment S.Y. 2025-2026 ]]*8</f>
        <v>5592</v>
      </c>
      <c r="E104" s="12">
        <v>196</v>
      </c>
      <c r="F104" s="10">
        <v>2025</v>
      </c>
      <c r="G104" s="12" t="s">
        <v>93</v>
      </c>
      <c r="H104" s="12">
        <f t="shared" si="22"/>
        <v>5396</v>
      </c>
      <c r="I104" s="12">
        <f t="shared" si="23"/>
        <v>0</v>
      </c>
      <c r="J104" s="12">
        <f>Table14[[#This Row],[Enrolment S.Y. 2025-2026 ]]*8</f>
        <v>5592</v>
      </c>
      <c r="K104" s="12"/>
      <c r="L104" s="10"/>
      <c r="M104" s="12"/>
      <c r="N104" s="12">
        <f t="shared" si="20"/>
        <v>5592</v>
      </c>
      <c r="O104" s="12">
        <f t="shared" si="21"/>
        <v>0</v>
      </c>
      <c r="P104" s="12">
        <f>Table14[[#This Row],[Enrolment S.Y. 2025-2026 ]]*8</f>
        <v>5592</v>
      </c>
      <c r="Q104" s="12">
        <v>994</v>
      </c>
      <c r="R104" s="10">
        <v>2025</v>
      </c>
      <c r="S104" s="12" t="s">
        <v>93</v>
      </c>
      <c r="T104" s="12">
        <f t="shared" si="16"/>
        <v>4598</v>
      </c>
      <c r="U104" s="12">
        <f t="shared" si="17"/>
        <v>0</v>
      </c>
      <c r="V104" s="12">
        <f>Table14[[#This Row],[Enrolment S.Y. 2025-2026 ]]*8</f>
        <v>5592</v>
      </c>
      <c r="W104" s="12">
        <v>994</v>
      </c>
      <c r="X104" s="10">
        <v>2025</v>
      </c>
      <c r="Y104" s="12" t="s">
        <v>93</v>
      </c>
      <c r="Z104" s="12">
        <f t="shared" si="18"/>
        <v>4598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699</v>
      </c>
      <c r="D105" s="12">
        <f>Table14[[#This Row],[Enrolment S.Y. 2025-2026 ]]*8</f>
        <v>5592</v>
      </c>
      <c r="E105" s="12"/>
      <c r="F105" s="10"/>
      <c r="G105" s="12"/>
      <c r="H105" s="12">
        <f t="shared" si="22"/>
        <v>5592</v>
      </c>
      <c r="I105" s="12">
        <f t="shared" si="23"/>
        <v>0</v>
      </c>
      <c r="J105" s="12">
        <f>Table14[[#This Row],[Enrolment S.Y. 2025-2026 ]]*8</f>
        <v>5592</v>
      </c>
      <c r="K105" s="12">
        <v>1278</v>
      </c>
      <c r="L105" s="10">
        <v>2025</v>
      </c>
      <c r="M105" s="12" t="s">
        <v>93</v>
      </c>
      <c r="N105" s="12">
        <f t="shared" si="20"/>
        <v>4314</v>
      </c>
      <c r="O105" s="12">
        <f t="shared" si="21"/>
        <v>0</v>
      </c>
      <c r="P105" s="12">
        <f>Table14[[#This Row],[Enrolment S.Y. 2025-2026 ]]*8</f>
        <v>5592</v>
      </c>
      <c r="Q105" s="12">
        <v>994</v>
      </c>
      <c r="R105" s="10">
        <v>2025</v>
      </c>
      <c r="S105" s="12" t="s">
        <v>93</v>
      </c>
      <c r="T105" s="12">
        <f t="shared" si="16"/>
        <v>4598</v>
      </c>
      <c r="U105" s="12">
        <f t="shared" si="17"/>
        <v>0</v>
      </c>
      <c r="V105" s="12">
        <f>Table14[[#This Row],[Enrolment S.Y. 2025-2026 ]]*8</f>
        <v>5592</v>
      </c>
      <c r="W105" s="12">
        <v>568</v>
      </c>
      <c r="X105" s="10">
        <v>2025</v>
      </c>
      <c r="Y105" s="12" t="s">
        <v>93</v>
      </c>
      <c r="Z105" s="12">
        <f t="shared" si="18"/>
        <v>5024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699</v>
      </c>
      <c r="D106" s="12">
        <f>Table14[[#This Row],[Enrolment S.Y. 2025-2026 ]]*8</f>
        <v>5592</v>
      </c>
      <c r="E106" s="12"/>
      <c r="F106" s="10"/>
      <c r="G106" s="12"/>
      <c r="H106" s="12">
        <f t="shared" si="22"/>
        <v>5592</v>
      </c>
      <c r="I106" s="12">
        <f t="shared" si="23"/>
        <v>0</v>
      </c>
      <c r="J106" s="12">
        <f>Table14[[#This Row],[Enrolment S.Y. 2025-2026 ]]*8</f>
        <v>5592</v>
      </c>
      <c r="K106" s="12"/>
      <c r="L106" s="10"/>
      <c r="M106" s="12"/>
      <c r="N106" s="12">
        <f t="shared" si="20"/>
        <v>5592</v>
      </c>
      <c r="O106" s="12">
        <f t="shared" si="21"/>
        <v>0</v>
      </c>
      <c r="P106" s="12">
        <f>Table14[[#This Row],[Enrolment S.Y. 2025-2026 ]]*8</f>
        <v>5592</v>
      </c>
      <c r="Q106" s="12">
        <v>1136</v>
      </c>
      <c r="R106" s="10">
        <v>2025</v>
      </c>
      <c r="S106" s="12" t="s">
        <v>93</v>
      </c>
      <c r="T106" s="12">
        <f t="shared" si="16"/>
        <v>4456</v>
      </c>
      <c r="U106" s="12">
        <f t="shared" si="17"/>
        <v>0</v>
      </c>
      <c r="V106" s="12">
        <f>Table14[[#This Row],[Enrolment S.Y. 2025-2026 ]]*8</f>
        <v>5592</v>
      </c>
      <c r="W106" s="12">
        <v>568</v>
      </c>
      <c r="X106" s="10">
        <v>2025</v>
      </c>
      <c r="Y106" s="12" t="s">
        <v>93</v>
      </c>
      <c r="Z106" s="12">
        <f t="shared" si="18"/>
        <v>5024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699</v>
      </c>
      <c r="D107" s="12">
        <f>Table14[[#This Row],[Enrolment S.Y. 2025-2026 ]]*8</f>
        <v>5592</v>
      </c>
      <c r="E107" s="12"/>
      <c r="F107" s="10"/>
      <c r="G107" s="12"/>
      <c r="H107" s="12">
        <f t="shared" si="22"/>
        <v>5592</v>
      </c>
      <c r="I107" s="12">
        <f t="shared" si="23"/>
        <v>0</v>
      </c>
      <c r="J107" s="12">
        <f>Table14[[#This Row],[Enrolment S.Y. 2025-2026 ]]*8</f>
        <v>5592</v>
      </c>
      <c r="K107" s="12"/>
      <c r="L107" s="10"/>
      <c r="M107" s="12"/>
      <c r="N107" s="12">
        <f t="shared" si="20"/>
        <v>5592</v>
      </c>
      <c r="O107" s="12">
        <f t="shared" si="21"/>
        <v>0</v>
      </c>
      <c r="P107" s="12">
        <f>Table14[[#This Row],[Enrolment S.Y. 2025-2026 ]]*8</f>
        <v>5592</v>
      </c>
      <c r="Q107" s="12">
        <v>568</v>
      </c>
      <c r="R107" s="10">
        <v>2025</v>
      </c>
      <c r="S107" s="12" t="s">
        <v>93</v>
      </c>
      <c r="T107" s="12">
        <f t="shared" si="16"/>
        <v>5024</v>
      </c>
      <c r="U107" s="12">
        <f t="shared" si="17"/>
        <v>0</v>
      </c>
      <c r="V107" s="12">
        <f>Table14[[#This Row],[Enrolment S.Y. 2025-2026 ]]*8</f>
        <v>5592</v>
      </c>
      <c r="W107" s="12">
        <v>568</v>
      </c>
      <c r="X107" s="10">
        <v>2025</v>
      </c>
      <c r="Y107" s="12" t="s">
        <v>93</v>
      </c>
      <c r="Z107" s="12">
        <f t="shared" si="18"/>
        <v>5024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699</v>
      </c>
      <c r="D108" s="12">
        <f>Table14[[#This Row],[Enrolment S.Y. 2025-2026 ]]*8</f>
        <v>5592</v>
      </c>
      <c r="E108" s="12"/>
      <c r="F108" s="10"/>
      <c r="G108" s="12"/>
      <c r="H108" s="12">
        <f t="shared" si="22"/>
        <v>5592</v>
      </c>
      <c r="I108" s="12">
        <f t="shared" si="23"/>
        <v>0</v>
      </c>
      <c r="J108" s="12">
        <f>Table14[[#This Row],[Enrolment S.Y. 2025-2026 ]]*8</f>
        <v>5592</v>
      </c>
      <c r="K108" s="12"/>
      <c r="L108" s="10"/>
      <c r="M108" s="12"/>
      <c r="N108" s="12">
        <f t="shared" si="20"/>
        <v>5592</v>
      </c>
      <c r="O108" s="12">
        <f t="shared" si="21"/>
        <v>0</v>
      </c>
      <c r="P108" s="12">
        <f>Table14[[#This Row],[Enrolment S.Y. 2025-2026 ]]*8</f>
        <v>5592</v>
      </c>
      <c r="Q108" s="12">
        <v>994</v>
      </c>
      <c r="R108" s="10">
        <v>2025</v>
      </c>
      <c r="S108" s="12" t="s">
        <v>93</v>
      </c>
      <c r="T108" s="12">
        <f t="shared" si="16"/>
        <v>4598</v>
      </c>
      <c r="U108" s="12">
        <f t="shared" si="17"/>
        <v>0</v>
      </c>
      <c r="V108" s="12">
        <f>Table14[[#This Row],[Enrolment S.Y. 2025-2026 ]]*8</f>
        <v>5592</v>
      </c>
      <c r="W108" s="12">
        <v>852</v>
      </c>
      <c r="X108" s="10">
        <v>2025</v>
      </c>
      <c r="Y108" s="12" t="s">
        <v>93</v>
      </c>
      <c r="Z108" s="12">
        <f t="shared" si="18"/>
        <v>4740</v>
      </c>
      <c r="AA108" s="12">
        <f t="shared" si="19"/>
        <v>0</v>
      </c>
    </row>
    <row r="109" spans="1:27" ht="19.5">
      <c r="A109" s="38">
        <v>10</v>
      </c>
      <c r="B109" s="11" t="s">
        <v>89</v>
      </c>
      <c r="C109" s="10">
        <v>699</v>
      </c>
      <c r="D109" s="12">
        <f>Table14[[#This Row],[Enrolment S.Y. 2025-2026 ]]*8</f>
        <v>5592</v>
      </c>
      <c r="E109" s="12"/>
      <c r="F109" s="10"/>
      <c r="G109" s="12"/>
      <c r="H109" s="12">
        <f>IF((D109-E109)&lt;0,0,(D109-E109))</f>
        <v>5592</v>
      </c>
      <c r="I109" s="12">
        <f>IF((E109-D109)&lt;0,0,(E109-D109))</f>
        <v>0</v>
      </c>
      <c r="J109" s="12">
        <f>Table14[[#This Row],[Enrolment S.Y. 2025-2026 ]]*8</f>
        <v>5592</v>
      </c>
      <c r="K109" s="12"/>
      <c r="L109" s="10"/>
      <c r="M109" s="12"/>
      <c r="N109" s="12">
        <f t="shared" ref="N109:N113" si="28">IF((J109-K109)&lt;0,0,(J109-K109))</f>
        <v>5592</v>
      </c>
      <c r="O109" s="12">
        <f t="shared" ref="O109:O113" si="29">IF((K109-J109)&lt;0,0,(K109-J109))</f>
        <v>0</v>
      </c>
      <c r="P109" s="12">
        <f>Table14[[#This Row],[Enrolment S.Y. 2025-2026 ]]*8</f>
        <v>5592</v>
      </c>
      <c r="Q109" s="12">
        <v>284</v>
      </c>
      <c r="R109" s="10">
        <v>2025</v>
      </c>
      <c r="S109" s="12" t="s">
        <v>93</v>
      </c>
      <c r="T109" s="12">
        <f>IF((P109-Q109)&lt;0,0,(P109-Q109))</f>
        <v>5308</v>
      </c>
      <c r="U109" s="12">
        <f>IF((Q109-P109)&lt;0,0,(Q109-P109))</f>
        <v>0</v>
      </c>
      <c r="V109" s="12">
        <f>Table14[[#This Row],[Enrolment S.Y. 2025-2026 ]]*8</f>
        <v>5592</v>
      </c>
      <c r="W109" s="12">
        <v>284</v>
      </c>
      <c r="X109" s="10">
        <v>2025</v>
      </c>
      <c r="Y109" s="12" t="s">
        <v>93</v>
      </c>
      <c r="Z109" s="12">
        <f>IF((V109-W109)&lt;0,0,(V109-W109))</f>
        <v>5308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>
        <v>699</v>
      </c>
      <c r="D110" s="12">
        <f>Table14[[#This Row],[Enrolment S.Y. 2025-2026 ]]*8</f>
        <v>5592</v>
      </c>
      <c r="E110" s="12"/>
      <c r="F110" s="10"/>
      <c r="G110" s="12"/>
      <c r="H110" s="12">
        <f t="shared" si="22"/>
        <v>5592</v>
      </c>
      <c r="I110" s="12">
        <f t="shared" si="23"/>
        <v>0</v>
      </c>
      <c r="J110" s="12">
        <f>Table14[[#This Row],[Enrolment S.Y. 2025-2026 ]]*8</f>
        <v>5592</v>
      </c>
      <c r="K110" s="12"/>
      <c r="L110" s="10"/>
      <c r="M110" s="12"/>
      <c r="N110" s="12">
        <f t="shared" si="28"/>
        <v>5592</v>
      </c>
      <c r="O110" s="12">
        <f t="shared" si="29"/>
        <v>0</v>
      </c>
      <c r="P110" s="12">
        <f>Table14[[#This Row],[Enrolment S.Y. 2025-2026 ]]*8</f>
        <v>5592</v>
      </c>
      <c r="Q110" s="12"/>
      <c r="R110" s="10"/>
      <c r="S110" s="12"/>
      <c r="T110" s="12">
        <f t="shared" si="16"/>
        <v>5592</v>
      </c>
      <c r="U110" s="12">
        <f t="shared" si="17"/>
        <v>0</v>
      </c>
      <c r="V110" s="12">
        <f>Table14[[#This Row],[Enrolment S.Y. 2025-2026 ]]*8</f>
        <v>5592</v>
      </c>
      <c r="W110" s="12"/>
      <c r="X110" s="10"/>
      <c r="Y110" s="12"/>
      <c r="Z110" s="12">
        <f t="shared" si="18"/>
        <v>5592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699</v>
      </c>
      <c r="D111" s="12">
        <f>Table14[[#This Row],[Enrolment S.Y. 2025-2026 ]]*8</f>
        <v>5592</v>
      </c>
      <c r="E111" s="12"/>
      <c r="F111" s="10"/>
      <c r="G111" s="12"/>
      <c r="H111" s="12">
        <f t="shared" si="22"/>
        <v>5592</v>
      </c>
      <c r="I111" s="12">
        <f t="shared" si="23"/>
        <v>0</v>
      </c>
      <c r="J111" s="12">
        <f>Table14[[#This Row],[Enrolment S.Y. 2025-2026 ]]*8</f>
        <v>5592</v>
      </c>
      <c r="K111" s="12"/>
      <c r="L111" s="10"/>
      <c r="M111" s="12"/>
      <c r="N111" s="12">
        <f t="shared" si="28"/>
        <v>5592</v>
      </c>
      <c r="O111" s="12">
        <f t="shared" si="29"/>
        <v>0</v>
      </c>
      <c r="P111" s="12">
        <f>Table14[[#This Row],[Enrolment S.Y. 2025-2026 ]]*8</f>
        <v>5592</v>
      </c>
      <c r="Q111" s="12">
        <v>284</v>
      </c>
      <c r="R111" s="10">
        <v>2025</v>
      </c>
      <c r="S111" s="12" t="s">
        <v>93</v>
      </c>
      <c r="T111" s="12">
        <f t="shared" si="16"/>
        <v>5308</v>
      </c>
      <c r="U111" s="12">
        <f t="shared" si="17"/>
        <v>0</v>
      </c>
      <c r="V111" s="12">
        <f>Table14[[#This Row],[Enrolment S.Y. 2025-2026 ]]*8</f>
        <v>5592</v>
      </c>
      <c r="W111" s="12">
        <v>142</v>
      </c>
      <c r="X111" s="10">
        <v>2025</v>
      </c>
      <c r="Y111" s="12" t="s">
        <v>93</v>
      </c>
      <c r="Z111" s="12">
        <f t="shared" si="18"/>
        <v>5450</v>
      </c>
      <c r="AA111" s="12">
        <f t="shared" si="19"/>
        <v>0</v>
      </c>
    </row>
    <row r="112" spans="1:27" ht="19.5">
      <c r="A112" s="38">
        <v>10</v>
      </c>
      <c r="B112" s="11" t="s">
        <v>91</v>
      </c>
      <c r="C112" s="10">
        <v>699</v>
      </c>
      <c r="D112" s="12">
        <f>Table14[[#This Row],[Enrolment S.Y. 2025-2026 ]]*8</f>
        <v>5592</v>
      </c>
      <c r="E112" s="12"/>
      <c r="F112" s="10"/>
      <c r="G112" s="12"/>
      <c r="H112" s="12">
        <f>IF((D112-E112)&lt;0,0,(D112-E112))</f>
        <v>5592</v>
      </c>
      <c r="I112" s="12">
        <f>IF((E112-D112)&lt;0,0,(E112-D112))</f>
        <v>0</v>
      </c>
      <c r="J112" s="12">
        <f>Table14[[#This Row],[Enrolment S.Y. 2025-2026 ]]*8</f>
        <v>5592</v>
      </c>
      <c r="K112" s="12"/>
      <c r="L112" s="10"/>
      <c r="M112" s="12"/>
      <c r="N112" s="12">
        <f t="shared" si="28"/>
        <v>5592</v>
      </c>
      <c r="O112" s="12">
        <f t="shared" si="29"/>
        <v>0</v>
      </c>
      <c r="P112" s="12">
        <f>Table14[[#This Row],[Enrolment S.Y. 2025-2026 ]]*8</f>
        <v>5592</v>
      </c>
      <c r="Q112" s="12">
        <v>284</v>
      </c>
      <c r="R112" s="10">
        <v>2025</v>
      </c>
      <c r="S112" s="12" t="s">
        <v>93</v>
      </c>
      <c r="T112" s="12">
        <f>IF((P112-Q112)&lt;0,0,(P112-Q112))</f>
        <v>5308</v>
      </c>
      <c r="U112" s="12">
        <f>IF((Q112-P112)&lt;0,0,(Q112-P112))</f>
        <v>0</v>
      </c>
      <c r="V112" s="12">
        <f>Table14[[#This Row],[Enrolment S.Y. 2025-2026 ]]*8</f>
        <v>5592</v>
      </c>
      <c r="W112" s="12">
        <v>426</v>
      </c>
      <c r="X112" s="10">
        <v>2025</v>
      </c>
      <c r="Y112" s="12" t="s">
        <v>93</v>
      </c>
      <c r="Z112" s="12">
        <f>IF((V112-W112)&lt;0,0,(V112-W112))</f>
        <v>5166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>
        <v>699</v>
      </c>
      <c r="D113" s="12">
        <f>Table14[[#This Row],[Enrolment S.Y. 2025-2026 ]]*8</f>
        <v>5592</v>
      </c>
      <c r="E113" s="12"/>
      <c r="F113" s="10"/>
      <c r="G113" s="12"/>
      <c r="H113" s="12">
        <f t="shared" si="22"/>
        <v>5592</v>
      </c>
      <c r="I113" s="12">
        <f t="shared" si="23"/>
        <v>0</v>
      </c>
      <c r="J113" s="12">
        <f>Table14[[#This Row],[Enrolment S.Y. 2025-2026 ]]*8</f>
        <v>5592</v>
      </c>
      <c r="K113" s="12"/>
      <c r="L113" s="10"/>
      <c r="M113" s="12"/>
      <c r="N113" s="12">
        <f t="shared" si="28"/>
        <v>5592</v>
      </c>
      <c r="O113" s="12">
        <f t="shared" si="29"/>
        <v>0</v>
      </c>
      <c r="P113" s="12">
        <f>Table14[[#This Row],[Enrolment S.Y. 2025-2026 ]]*8</f>
        <v>5592</v>
      </c>
      <c r="Q113" s="12">
        <v>426</v>
      </c>
      <c r="R113" s="10">
        <v>2025</v>
      </c>
      <c r="S113" s="12" t="s">
        <v>93</v>
      </c>
      <c r="T113" s="12">
        <f t="shared" si="16"/>
        <v>5166</v>
      </c>
      <c r="U113" s="12">
        <f t="shared" si="17"/>
        <v>0</v>
      </c>
      <c r="V113" s="12">
        <f>Table14[[#This Row],[Enrolment S.Y. 2025-2026 ]]*8</f>
        <v>5592</v>
      </c>
      <c r="W113" s="12">
        <v>568</v>
      </c>
      <c r="X113" s="10">
        <v>2025</v>
      </c>
      <c r="Y113" s="12" t="s">
        <v>93</v>
      </c>
      <c r="Z113" s="12">
        <f t="shared" si="18"/>
        <v>5024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43.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2026-01-05T06:19:31Z</dcterms:modified>
  <cp:category/>
  <cp:contentStatus/>
</cp:coreProperties>
</file>