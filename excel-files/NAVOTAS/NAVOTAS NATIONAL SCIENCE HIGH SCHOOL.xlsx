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9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16" documentId="13_ncr:1_{BFB59F67-F0DC-4675-A682-EB0734A8026A}" xr6:coauthVersionLast="47" xr6:coauthVersionMax="47" xr10:uidLastSave="{B5BB02A3-EF5C-4918-BB44-217A5534B3ED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9" i="1" l="1"/>
  <c r="H99" i="1"/>
  <c r="G100" i="1"/>
  <c r="H100" i="1"/>
  <c r="P109" i="5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O3" i="4"/>
  <c r="N3" i="4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<sst xmlns="http://schemas.openxmlformats.org/spreadsheetml/2006/main" count="429" uniqueCount="94">
  <si>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</si>
  <si>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</si>
  <si>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</si>
  <si>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</si>
  <si>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</si>
  <si>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</si>
  <si>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</si>
  <si>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</si>
  <si>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</si>
  <si>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</si>
  <si>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</si>
  <si>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</si>
  <si>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</si>
  <si>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</si>
  <si>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</si>
  <si>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</si>
  <si>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</si>
  <si>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</si>
  <si>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</si>
  <si>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</si>
  <si>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</si>
  <si>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</si>
  <si>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</si>
  <si>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</si>
  <si>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</si>
  <si>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</si>
  <si>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</si>
  <si>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</si>
  <si>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</si>
  <si>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</si>
  <si>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</si>
  <si>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</si>
  <si>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</si>
  <si>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Earth &amp; Life Science</t>
  </si>
  <si>
    <t>Heritage (Understanding Culture, Society &amp; Politics)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</si>
  <si>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</si>
  <si>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</si>
  <si>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</si>
  <si>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</si>
  <si>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</si>
  <si>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</si>
  <si>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</si>
  <si>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</si>
  <si>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</si>
  <si>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</si>
  <si>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</si>
  <si>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</si>
  <si>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</si>
  <si>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</si>
  <si>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</si>
  <si>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</si>
  <si>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</si>
  <si>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</si>
  <si>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</si>
  <si>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</si>
  <si>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</si>
  <si>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</si>
  <si>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</si>
  <si>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</si>
  <si>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</si>
  <si>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</si>
  <si>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</si>
  <si>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</si>
  <si>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</si>
  <si>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</si>
  <si>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</si>
  <si>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</si>
  <si>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</si>
  <si>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</si>
  <si>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</si>
  <si>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</si>
  <si>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</si>
  <si>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</si>
  <si>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</si>
  <si>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</si>
  <si>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</si>
  <si>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</si>
  <si>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</si>
  <si>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</si>
  <si>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</si>
  <si>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</si>
  <si>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</si>
  <si>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</si>
  <si>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</si>
  <si>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</si>
  <si>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</si>
  <si>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</si>
  <si>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</si>
  <si>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</si>
  <si>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</si>
  <si>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</si>
  <si>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</si>
  <si>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</si>
  <si>
    <t>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</si>
</sst>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6"/>
  <sheetViews>
    <sheetView zoomScale="85" zoomScaleNormal="85" workbookViewId="0">
      <pane xSplit="2" topLeftCell="D55" activePane="topRight" state="frozen"/>
      <selection pane="topRight" activeCell="E102" sqref="E102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106</v>
      </c>
      <c r="D51" s="10">
        <v>116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10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106</v>
      </c>
      <c r="D53" s="10">
        <v>106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106</v>
      </c>
      <c r="D55" s="10">
        <v>116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10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106</v>
      </c>
      <c r="D57" s="10">
        <v>116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10</v>
      </c>
    </row>
    <row r="58" spans="1:8" ht="27.75" customHeight="1">
      <c r="A58" s="10">
        <v>7</v>
      </c>
      <c r="B58" s="11" t="s">
        <v>22</v>
      </c>
      <c r="C58" s="10">
        <v>106</v>
      </c>
      <c r="D58" s="10">
        <v>116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10</v>
      </c>
    </row>
    <row r="59" spans="1:8" ht="27.75" customHeight="1">
      <c r="A59" s="10">
        <v>7</v>
      </c>
      <c r="B59" s="11" t="s">
        <v>19</v>
      </c>
      <c r="C59" s="10">
        <v>106</v>
      </c>
      <c r="D59" s="10">
        <v>118</v>
      </c>
      <c r="E59" s="10">
        <v>2025</v>
      </c>
      <c r="F59" s="12" t="s">
        <v>20</v>
      </c>
      <c r="G59" s="3">
        <f t="shared" si="10"/>
        <v>0</v>
      </c>
      <c r="H59" s="4">
        <f t="shared" si="11"/>
        <v>12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21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>
        <v>47</v>
      </c>
      <c r="E91" s="1">
        <v>2024</v>
      </c>
      <c r="F91" s="5" t="s">
        <v>20</v>
      </c>
      <c r="G91" s="3">
        <f t="shared" ref="G91:G98" si="18">IF((C91-D91)&lt;0,0,C91-D91)</f>
        <v>0</v>
      </c>
      <c r="H91" s="4">
        <f t="shared" ref="H91:H98" si="19">IF((D91-C91)&lt;0,0,D91-C91)</f>
        <v>47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>
        <v>52</v>
      </c>
      <c r="E94" s="1">
        <v>2025</v>
      </c>
      <c r="F94" s="5" t="s">
        <v>20</v>
      </c>
      <c r="G94" s="3">
        <f t="shared" si="18"/>
        <v>0</v>
      </c>
      <c r="H94" s="4">
        <f t="shared" si="19"/>
        <v>52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>
        <v>52</v>
      </c>
      <c r="E96" s="1">
        <v>2025</v>
      </c>
      <c r="F96" s="5" t="s">
        <v>20</v>
      </c>
      <c r="G96" s="3">
        <f t="shared" si="18"/>
        <v>0</v>
      </c>
      <c r="H96" s="4">
        <f t="shared" si="19"/>
        <v>52</v>
      </c>
    </row>
    <row r="97" spans="1:8" ht="27.75" customHeight="1">
      <c r="A97" s="1" t="s">
        <v>24</v>
      </c>
      <c r="B97" s="9" t="s">
        <v>31</v>
      </c>
      <c r="C97" s="1"/>
      <c r="D97" s="1">
        <v>52</v>
      </c>
      <c r="E97" s="1">
        <v>2025</v>
      </c>
      <c r="F97" s="5" t="s">
        <v>20</v>
      </c>
      <c r="G97" s="3">
        <f t="shared" si="18"/>
        <v>0</v>
      </c>
      <c r="H97" s="4">
        <f t="shared" si="19"/>
        <v>52</v>
      </c>
    </row>
    <row r="98" spans="1:8" ht="47.25" customHeight="1">
      <c r="A98" s="1" t="s">
        <v>24</v>
      </c>
      <c r="B98" s="9" t="s">
        <v>32</v>
      </c>
      <c r="C98" s="1"/>
      <c r="D98" s="1">
        <v>52</v>
      </c>
      <c r="E98" s="1">
        <v>2025</v>
      </c>
      <c r="F98" s="5" t="s">
        <v>20</v>
      </c>
      <c r="G98" s="3">
        <f t="shared" si="18"/>
        <v>0</v>
      </c>
      <c r="H98" s="4">
        <f t="shared" si="19"/>
        <v>52</v>
      </c>
    </row>
    <row r="99" spans="1:8" ht="38.25">
      <c r="A99" s="1" t="s">
        <v>24</v>
      </c>
      <c r="B99" s="9" t="s">
        <v>33</v>
      </c>
      <c r="C99" s="1"/>
      <c r="D99" s="1">
        <v>52</v>
      </c>
      <c r="E99" s="1">
        <v>2024</v>
      </c>
      <c r="F99" s="5" t="s">
        <v>20</v>
      </c>
      <c r="G99" s="3">
        <f t="shared" ref="G99:G100" si="20">IF((C99-D99)&lt;0,0,C99-D99)</f>
        <v>0</v>
      </c>
      <c r="H99" s="4">
        <f t="shared" ref="H99:H100" si="21">IF((D99-C99)&lt;0,0,D99-C99)</f>
        <v>52</v>
      </c>
    </row>
    <row r="100" spans="1:8" ht="76.5">
      <c r="A100" s="1" t="s">
        <v>24</v>
      </c>
      <c r="B100" s="9" t="s">
        <v>34</v>
      </c>
      <c r="C100" s="1"/>
      <c r="D100" s="1">
        <v>52</v>
      </c>
      <c r="E100" s="1">
        <v>2025</v>
      </c>
      <c r="F100" s="5" t="s">
        <v>20</v>
      </c>
      <c r="G100" s="3">
        <f t="shared" si="20"/>
        <v>0</v>
      </c>
      <c r="H100" s="4">
        <f t="shared" si="21"/>
        <v>52</v>
      </c>
    </row>
    <row r="101" spans="1:8" ht="19.5">
      <c r="A101" s="1"/>
      <c r="B101" s="9"/>
      <c r="C101" s="1"/>
      <c r="D101" s="1"/>
      <c r="E101" s="1"/>
      <c r="F101" s="5"/>
      <c r="G101" s="3"/>
      <c r="H101" s="4"/>
    </row>
    <row r="102" spans="1:8" ht="19.5">
      <c r="A102" s="1"/>
      <c r="B102" s="9"/>
      <c r="C102" s="1"/>
      <c r="D102" s="1"/>
      <c r="E102" s="1"/>
      <c r="F102" s="5"/>
      <c r="G102" s="3"/>
      <c r="H102" s="4"/>
    </row>
    <row r="103" spans="1:8" ht="19.5">
      <c r="A103" s="1"/>
      <c r="B103" s="9"/>
      <c r="C103" s="1"/>
      <c r="D103" s="1"/>
      <c r="E103" s="1"/>
      <c r="F103" s="5"/>
      <c r="G103" s="3"/>
      <c r="H103" s="4"/>
    </row>
    <row r="104" spans="1:8" ht="19.5">
      <c r="A104" s="1"/>
      <c r="B104" s="9"/>
      <c r="C104" s="1"/>
      <c r="D104" s="1"/>
      <c r="E104" s="1"/>
      <c r="F104" s="5"/>
      <c r="G104" s="3"/>
      <c r="H104" s="4"/>
    </row>
    <row r="105" spans="1:8" ht="19.5">
      <c r="A105" s="1"/>
      <c r="B105" s="9"/>
      <c r="C105" s="1"/>
      <c r="D105" s="1"/>
      <c r="E105" s="1"/>
      <c r="F105" s="5"/>
      <c r="G105" s="3"/>
      <c r="H105" s="4"/>
    </row>
    <row r="106" spans="1:8" ht="19.5">
      <c r="A106" s="1"/>
      <c r="B106" s="9"/>
      <c r="C106" s="1"/>
      <c r="D106" s="1"/>
      <c r="E106" s="1"/>
      <c r="F106" s="5"/>
      <c r="G106" s="3"/>
      <c r="H106" s="4"/>
    </row>
  </sheetData>
  <protectedRanges>
    <protectedRange sqref="C1:E106" name="Textbooks"/>
    <protectedRange sqref="F1:F106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106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106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zoomScale="70" zoomScaleNormal="70" workbookViewId="0"/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44" t="s">
        <v>48</v>
      </c>
      <c r="N2" s="44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45" t="s">
        <v>60</v>
      </c>
      <c r="Z2" s="45" t="s">
        <v>61</v>
      </c>
      <c r="AA2" s="26" t="s">
        <v>62</v>
      </c>
    </row>
    <row r="3" spans="1:27" ht="30.6" customHeight="1">
      <c r="A3" s="39" t="s">
        <v>63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64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64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64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I1" zoomScale="55" zoomScaleNormal="55" workbookViewId="0">
      <selection activeCell="M105" sqref="M105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35</v>
      </c>
      <c r="E1" s="40"/>
      <c r="F1" s="40"/>
      <c r="G1" s="40"/>
      <c r="H1" s="40"/>
      <c r="I1" s="40"/>
      <c r="J1" s="41" t="s">
        <v>36</v>
      </c>
      <c r="K1" s="41"/>
      <c r="L1" s="41"/>
      <c r="M1" s="41"/>
      <c r="N1" s="41"/>
      <c r="O1" s="41"/>
      <c r="P1" s="42" t="s">
        <v>37</v>
      </c>
      <c r="Q1" s="42"/>
      <c r="R1" s="42"/>
      <c r="S1" s="42"/>
      <c r="T1" s="42"/>
      <c r="U1" s="42"/>
      <c r="V1" s="43" t="s">
        <v>38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65</v>
      </c>
      <c r="E2" s="20" t="s">
        <v>66</v>
      </c>
      <c r="F2" s="21" t="s">
        <v>67</v>
      </c>
      <c r="G2" s="24" t="s">
        <v>68</v>
      </c>
      <c r="H2" s="17" t="s">
        <v>69</v>
      </c>
      <c r="I2" s="24" t="s">
        <v>70</v>
      </c>
      <c r="J2" s="22" t="s">
        <v>71</v>
      </c>
      <c r="K2" s="22" t="s">
        <v>72</v>
      </c>
      <c r="L2" s="23" t="s">
        <v>73</v>
      </c>
      <c r="M2" s="44" t="s">
        <v>74</v>
      </c>
      <c r="N2" s="44" t="s">
        <v>75</v>
      </c>
      <c r="O2" s="22" t="s">
        <v>76</v>
      </c>
      <c r="P2" s="24" t="s">
        <v>77</v>
      </c>
      <c r="Q2" s="24" t="s">
        <v>78</v>
      </c>
      <c r="R2" s="25" t="s">
        <v>79</v>
      </c>
      <c r="S2" s="17" t="s">
        <v>80</v>
      </c>
      <c r="T2" s="17" t="s">
        <v>81</v>
      </c>
      <c r="U2" s="24" t="s">
        <v>82</v>
      </c>
      <c r="V2" s="26" t="s">
        <v>83</v>
      </c>
      <c r="W2" s="26" t="s">
        <v>84</v>
      </c>
      <c r="X2" s="27" t="s">
        <v>85</v>
      </c>
      <c r="Y2" s="45" t="s">
        <v>86</v>
      </c>
      <c r="Z2" s="45" t="s">
        <v>87</v>
      </c>
      <c r="AA2" s="26" t="s">
        <v>88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64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64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64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89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90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91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92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89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90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91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92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89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90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91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92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5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89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90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91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92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89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90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91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92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5">
      <c r="A91" s="10">
        <v>9</v>
      </c>
      <c r="B91" s="11" t="s">
        <v>14</v>
      </c>
      <c r="C91" s="10">
        <v>99</v>
      </c>
      <c r="D91" s="12">
        <f>Table14[[#This Row],[Enrolment S.Y. 2025-2026 ]]*8</f>
        <v>792</v>
      </c>
      <c r="E91" s="12"/>
      <c r="F91" s="10"/>
      <c r="G91" s="12"/>
      <c r="H91" s="12">
        <f t="shared" si="22"/>
        <v>792</v>
      </c>
      <c r="I91" s="12">
        <f t="shared" si="23"/>
        <v>0</v>
      </c>
      <c r="J91" s="12">
        <f>Table14[[#This Row],[Enrolment S.Y. 2025-2026 ]]*8</f>
        <v>792</v>
      </c>
      <c r="K91" s="12"/>
      <c r="L91" s="10"/>
      <c r="M91" s="12"/>
      <c r="N91" s="12">
        <f t="shared" si="20"/>
        <v>792</v>
      </c>
      <c r="O91" s="12">
        <f t="shared" si="21"/>
        <v>0</v>
      </c>
      <c r="P91" s="12">
        <f>Table14[[#This Row],[Enrolment S.Y. 2025-2026 ]]*8</f>
        <v>792</v>
      </c>
      <c r="Q91" s="12"/>
      <c r="R91" s="10"/>
      <c r="S91" s="12"/>
      <c r="T91" s="12">
        <f t="shared" si="16"/>
        <v>792</v>
      </c>
      <c r="U91" s="12">
        <f t="shared" si="17"/>
        <v>0</v>
      </c>
      <c r="V91" s="12">
        <f>Table14[[#This Row],[Enrolment S.Y. 2025-2026 ]]*8</f>
        <v>792</v>
      </c>
      <c r="W91" s="12">
        <v>266</v>
      </c>
      <c r="X91" s="10">
        <v>2025</v>
      </c>
      <c r="Y91" s="12" t="s">
        <v>93</v>
      </c>
      <c r="Z91" s="12">
        <f t="shared" si="18"/>
        <v>526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>
        <v>99</v>
      </c>
      <c r="D92" s="12">
        <f>Table14[[#This Row],[Enrolment S.Y. 2025-2026 ]]*8</f>
        <v>792</v>
      </c>
      <c r="E92" s="12">
        <v>204</v>
      </c>
      <c r="F92" s="10">
        <v>2025</v>
      </c>
      <c r="G92" s="12" t="s">
        <v>93</v>
      </c>
      <c r="H92" s="12">
        <f t="shared" si="22"/>
        <v>588</v>
      </c>
      <c r="I92" s="12">
        <f t="shared" si="23"/>
        <v>0</v>
      </c>
      <c r="J92" s="12">
        <f>Table14[[#This Row],[Enrolment S.Y. 2025-2026 ]]*8</f>
        <v>792</v>
      </c>
      <c r="K92" s="12">
        <v>171</v>
      </c>
      <c r="L92" s="10">
        <v>2025</v>
      </c>
      <c r="M92" s="12" t="s">
        <v>93</v>
      </c>
      <c r="N92" s="12">
        <f t="shared" si="20"/>
        <v>621</v>
      </c>
      <c r="O92" s="12">
        <f t="shared" si="21"/>
        <v>0</v>
      </c>
      <c r="P92" s="12">
        <f>Table14[[#This Row],[Enrolment S.Y. 2025-2026 ]]*8</f>
        <v>792</v>
      </c>
      <c r="Q92" s="12">
        <v>95</v>
      </c>
      <c r="R92" s="10">
        <v>2025</v>
      </c>
      <c r="S92" s="12" t="s">
        <v>93</v>
      </c>
      <c r="T92" s="12">
        <f t="shared" si="16"/>
        <v>697</v>
      </c>
      <c r="U92" s="12">
        <f t="shared" si="17"/>
        <v>0</v>
      </c>
      <c r="V92" s="12">
        <f>Table14[[#This Row],[Enrolment S.Y. 2025-2026 ]]*8</f>
        <v>792</v>
      </c>
      <c r="W92" s="12">
        <v>133</v>
      </c>
      <c r="X92" s="10">
        <v>2025</v>
      </c>
      <c r="Y92" s="12" t="s">
        <v>93</v>
      </c>
      <c r="Z92" s="12">
        <f t="shared" si="18"/>
        <v>659</v>
      </c>
      <c r="AA92" s="12">
        <f t="shared" si="19"/>
        <v>0</v>
      </c>
    </row>
    <row r="93" spans="1:27" ht="19.5">
      <c r="A93" s="10">
        <v>9</v>
      </c>
      <c r="B93" s="11" t="s">
        <v>12</v>
      </c>
      <c r="C93" s="10">
        <v>99</v>
      </c>
      <c r="D93" s="12">
        <f>Table14[[#This Row],[Enrolment S.Y. 2025-2026 ]]*8</f>
        <v>792</v>
      </c>
      <c r="E93" s="12">
        <v>782</v>
      </c>
      <c r="F93" s="10">
        <v>2025</v>
      </c>
      <c r="G93" s="12" t="s">
        <v>93</v>
      </c>
      <c r="H93" s="12">
        <f t="shared" si="22"/>
        <v>10</v>
      </c>
      <c r="I93" s="12">
        <f t="shared" si="23"/>
        <v>0</v>
      </c>
      <c r="J93" s="12">
        <f>Table14[[#This Row],[Enrolment S.Y. 2025-2026 ]]*8</f>
        <v>792</v>
      </c>
      <c r="K93" s="12">
        <v>190</v>
      </c>
      <c r="L93" s="10">
        <v>2025</v>
      </c>
      <c r="M93" s="12" t="s">
        <v>93</v>
      </c>
      <c r="N93" s="12">
        <f t="shared" si="20"/>
        <v>602</v>
      </c>
      <c r="O93" s="12">
        <f t="shared" si="21"/>
        <v>0</v>
      </c>
      <c r="P93" s="12">
        <f>Table14[[#This Row],[Enrolment S.Y. 2025-2026 ]]*8</f>
        <v>792</v>
      </c>
      <c r="Q93" s="12">
        <v>304</v>
      </c>
      <c r="R93" s="10">
        <v>2025</v>
      </c>
      <c r="S93" s="12" t="s">
        <v>93</v>
      </c>
      <c r="T93" s="12">
        <f t="shared" si="16"/>
        <v>488</v>
      </c>
      <c r="U93" s="12">
        <f t="shared" si="17"/>
        <v>0</v>
      </c>
      <c r="V93" s="12">
        <f>Table14[[#This Row],[Enrolment S.Y. 2025-2026 ]]*8</f>
        <v>792</v>
      </c>
      <c r="W93" s="12">
        <v>171</v>
      </c>
      <c r="X93" s="10">
        <v>2025</v>
      </c>
      <c r="Y93" s="12" t="s">
        <v>93</v>
      </c>
      <c r="Z93" s="12">
        <f t="shared" si="18"/>
        <v>621</v>
      </c>
      <c r="AA93" s="12">
        <f t="shared" si="19"/>
        <v>0</v>
      </c>
    </row>
    <row r="94" spans="1:27" ht="19.5">
      <c r="A94" s="10">
        <v>9</v>
      </c>
      <c r="B94" s="11" t="s">
        <v>21</v>
      </c>
      <c r="C94" s="10">
        <v>99</v>
      </c>
      <c r="D94" s="12">
        <f>Table14[[#This Row],[Enrolment S.Y. 2025-2026 ]]*8</f>
        <v>792</v>
      </c>
      <c r="E94" s="12"/>
      <c r="F94" s="10"/>
      <c r="G94" s="12"/>
      <c r="H94" s="12">
        <f t="shared" si="22"/>
        <v>792</v>
      </c>
      <c r="I94" s="12">
        <f t="shared" si="23"/>
        <v>0</v>
      </c>
      <c r="J94" s="12">
        <f>Table14[[#This Row],[Enrolment S.Y. 2025-2026 ]]*8</f>
        <v>792</v>
      </c>
      <c r="K94" s="12"/>
      <c r="L94" s="10"/>
      <c r="M94" s="12"/>
      <c r="N94" s="12">
        <f t="shared" si="20"/>
        <v>792</v>
      </c>
      <c r="O94" s="12">
        <f t="shared" si="21"/>
        <v>0</v>
      </c>
      <c r="P94" s="12">
        <f>Table14[[#This Row],[Enrolment S.Y. 2025-2026 ]]*8</f>
        <v>792</v>
      </c>
      <c r="Q94" s="12">
        <v>95</v>
      </c>
      <c r="R94" s="10">
        <v>2025</v>
      </c>
      <c r="S94" s="12" t="s">
        <v>93</v>
      </c>
      <c r="T94" s="12">
        <f t="shared" si="16"/>
        <v>697</v>
      </c>
      <c r="U94" s="12">
        <f t="shared" si="17"/>
        <v>0</v>
      </c>
      <c r="V94" s="12">
        <f>Table14[[#This Row],[Enrolment S.Y. 2025-2026 ]]*8</f>
        <v>792</v>
      </c>
      <c r="W94" s="12">
        <v>152</v>
      </c>
      <c r="X94" s="10">
        <v>2025</v>
      </c>
      <c r="Y94" s="12" t="s">
        <v>93</v>
      </c>
      <c r="Z94" s="12">
        <f t="shared" si="18"/>
        <v>640</v>
      </c>
      <c r="AA94" s="12">
        <f t="shared" si="19"/>
        <v>0</v>
      </c>
    </row>
    <row r="95" spans="1:27" ht="19.5">
      <c r="A95" s="10">
        <v>9</v>
      </c>
      <c r="B95" s="11" t="s">
        <v>23</v>
      </c>
      <c r="C95" s="10">
        <v>99</v>
      </c>
      <c r="D95" s="12">
        <f>Table14[[#This Row],[Enrolment S.Y. 2025-2026 ]]*8</f>
        <v>792</v>
      </c>
      <c r="E95" s="12"/>
      <c r="F95" s="10"/>
      <c r="G95" s="12"/>
      <c r="H95" s="12">
        <f t="shared" si="22"/>
        <v>792</v>
      </c>
      <c r="I95" s="12">
        <f t="shared" si="23"/>
        <v>0</v>
      </c>
      <c r="J95" s="12">
        <f>Table14[[#This Row],[Enrolment S.Y. 2025-2026 ]]*8</f>
        <v>792</v>
      </c>
      <c r="K95" s="12"/>
      <c r="L95" s="10"/>
      <c r="M95" s="12"/>
      <c r="N95" s="12">
        <f t="shared" si="20"/>
        <v>792</v>
      </c>
      <c r="O95" s="12">
        <f t="shared" si="21"/>
        <v>0</v>
      </c>
      <c r="P95" s="12">
        <f>Table14[[#This Row],[Enrolment S.Y. 2025-2026 ]]*8</f>
        <v>792</v>
      </c>
      <c r="Q95" s="12">
        <v>133</v>
      </c>
      <c r="R95" s="10">
        <v>2025</v>
      </c>
      <c r="S95" s="12" t="s">
        <v>93</v>
      </c>
      <c r="T95" s="12">
        <f t="shared" si="16"/>
        <v>659</v>
      </c>
      <c r="U95" s="12">
        <f t="shared" si="17"/>
        <v>0</v>
      </c>
      <c r="V95" s="12">
        <f>Table14[[#This Row],[Enrolment S.Y. 2025-2026 ]]*8</f>
        <v>792</v>
      </c>
      <c r="W95" s="12">
        <v>76</v>
      </c>
      <c r="X95" s="10">
        <v>2025</v>
      </c>
      <c r="Y95" s="12" t="s">
        <v>93</v>
      </c>
      <c r="Z95" s="12">
        <f t="shared" si="18"/>
        <v>716</v>
      </c>
      <c r="AA95" s="12">
        <f t="shared" si="19"/>
        <v>0</v>
      </c>
    </row>
    <row r="96" spans="1:27" ht="19.5">
      <c r="A96" s="10">
        <v>9</v>
      </c>
      <c r="B96" s="11" t="s">
        <v>13</v>
      </c>
      <c r="C96" s="10">
        <v>99</v>
      </c>
      <c r="D96" s="12">
        <f>Table14[[#This Row],[Enrolment S.Y. 2025-2026 ]]*8</f>
        <v>792</v>
      </c>
      <c r="E96" s="12"/>
      <c r="F96" s="10"/>
      <c r="G96" s="12"/>
      <c r="H96" s="12">
        <f t="shared" si="22"/>
        <v>792</v>
      </c>
      <c r="I96" s="12">
        <f t="shared" si="23"/>
        <v>0</v>
      </c>
      <c r="J96" s="12">
        <f>Table14[[#This Row],[Enrolment S.Y. 2025-2026 ]]*8</f>
        <v>792</v>
      </c>
      <c r="K96" s="12"/>
      <c r="L96" s="10"/>
      <c r="M96" s="12"/>
      <c r="N96" s="12">
        <f t="shared" si="20"/>
        <v>792</v>
      </c>
      <c r="O96" s="12">
        <f t="shared" si="21"/>
        <v>0</v>
      </c>
      <c r="P96" s="12">
        <f>Table14[[#This Row],[Enrolment S.Y. 2025-2026 ]]*8</f>
        <v>792</v>
      </c>
      <c r="Q96" s="12">
        <v>114</v>
      </c>
      <c r="R96" s="10">
        <v>2025</v>
      </c>
      <c r="S96" s="12" t="s">
        <v>93</v>
      </c>
      <c r="T96" s="12">
        <f t="shared" si="16"/>
        <v>678</v>
      </c>
      <c r="U96" s="12">
        <f t="shared" si="17"/>
        <v>0</v>
      </c>
      <c r="V96" s="12">
        <f>Table14[[#This Row],[Enrolment S.Y. 2025-2026 ]]*8</f>
        <v>792</v>
      </c>
      <c r="W96" s="12">
        <v>190</v>
      </c>
      <c r="X96" s="10">
        <v>2025</v>
      </c>
      <c r="Y96" s="12" t="s">
        <v>93</v>
      </c>
      <c r="Z96" s="12">
        <f t="shared" si="18"/>
        <v>602</v>
      </c>
      <c r="AA96" s="12">
        <f t="shared" si="19"/>
        <v>0</v>
      </c>
    </row>
    <row r="97" spans="1:27" ht="19.5">
      <c r="A97" s="38">
        <v>9</v>
      </c>
      <c r="B97" s="11" t="s">
        <v>89</v>
      </c>
      <c r="C97" s="10">
        <v>99</v>
      </c>
      <c r="D97" s="12">
        <f>Table14[[#This Row],[Enrolment S.Y. 2025-2026 ]]*8</f>
        <v>792</v>
      </c>
      <c r="E97" s="12"/>
      <c r="F97" s="10"/>
      <c r="G97" s="12"/>
      <c r="H97" s="12">
        <f>IF((D97-E97)&lt;0,0,(D97-E97))</f>
        <v>792</v>
      </c>
      <c r="I97" s="12">
        <f>IF((E97-D97)&lt;0,0,(E97-D97))</f>
        <v>0</v>
      </c>
      <c r="J97" s="12">
        <f>Table14[[#This Row],[Enrolment S.Y. 2025-2026 ]]*8</f>
        <v>792</v>
      </c>
      <c r="K97" s="12"/>
      <c r="L97" s="10"/>
      <c r="M97" s="12"/>
      <c r="N97" s="12">
        <f t="shared" ref="N97:N101" si="26">IF((J97-K97)&lt;0,0,(J97-K97))</f>
        <v>792</v>
      </c>
      <c r="O97" s="12">
        <f t="shared" ref="O97:O101" si="27">IF((K97-J97)&lt;0,0,(K97-J97))</f>
        <v>0</v>
      </c>
      <c r="P97" s="12">
        <f>Table14[[#This Row],[Enrolment S.Y. 2025-2026 ]]*8</f>
        <v>792</v>
      </c>
      <c r="Q97" s="12"/>
      <c r="R97" s="10"/>
      <c r="S97" s="12"/>
      <c r="T97" s="12">
        <f>IF((P97-Q97)&lt;0,0,(P97-Q97))</f>
        <v>792</v>
      </c>
      <c r="U97" s="12">
        <f>IF((Q97-P97)&lt;0,0,(Q97-P97))</f>
        <v>0</v>
      </c>
      <c r="V97" s="12">
        <f>Table14[[#This Row],[Enrolment S.Y. 2025-2026 ]]*8</f>
        <v>792</v>
      </c>
      <c r="W97" s="12">
        <v>152</v>
      </c>
      <c r="X97" s="10">
        <v>2025</v>
      </c>
      <c r="Y97" s="12" t="s">
        <v>93</v>
      </c>
      <c r="Z97" s="12">
        <f>IF((V97-W97)&lt;0,0,(V97-W97))</f>
        <v>640</v>
      </c>
      <c r="AA97" s="12">
        <f>IF((W97-V97)&lt;0,0,(W97-V97))</f>
        <v>0</v>
      </c>
    </row>
    <row r="98" spans="1:27" ht="19.5">
      <c r="A98" s="10">
        <v>9</v>
      </c>
      <c r="B98" s="11" t="s">
        <v>90</v>
      </c>
      <c r="C98" s="10">
        <v>99</v>
      </c>
      <c r="D98" s="12">
        <f>Table14[[#This Row],[Enrolment S.Y. 2025-2026 ]]*8</f>
        <v>792</v>
      </c>
      <c r="E98" s="12"/>
      <c r="F98" s="10"/>
      <c r="G98" s="12"/>
      <c r="H98" s="12">
        <f t="shared" si="22"/>
        <v>792</v>
      </c>
      <c r="I98" s="12">
        <f t="shared" si="23"/>
        <v>0</v>
      </c>
      <c r="J98" s="12">
        <f>Table14[[#This Row],[Enrolment S.Y. 2025-2026 ]]*8</f>
        <v>792</v>
      </c>
      <c r="K98" s="12"/>
      <c r="L98" s="10"/>
      <c r="M98" s="12"/>
      <c r="N98" s="12">
        <f t="shared" si="26"/>
        <v>792</v>
      </c>
      <c r="O98" s="12">
        <f t="shared" si="27"/>
        <v>0</v>
      </c>
      <c r="P98" s="12">
        <f>Table14[[#This Row],[Enrolment S.Y. 2025-2026 ]]*8</f>
        <v>792</v>
      </c>
      <c r="Q98" s="12"/>
      <c r="R98" s="10"/>
      <c r="S98" s="12"/>
      <c r="T98" s="12">
        <f t="shared" si="16"/>
        <v>792</v>
      </c>
      <c r="U98" s="12">
        <f t="shared" si="17"/>
        <v>0</v>
      </c>
      <c r="V98" s="12">
        <f>Table14[[#This Row],[Enrolment S.Y. 2025-2026 ]]*8</f>
        <v>792</v>
      </c>
      <c r="W98" s="12">
        <v>152</v>
      </c>
      <c r="X98" s="10">
        <v>2025</v>
      </c>
      <c r="Y98" s="12" t="s">
        <v>93</v>
      </c>
      <c r="Z98" s="12">
        <f t="shared" si="18"/>
        <v>640</v>
      </c>
      <c r="AA98" s="12">
        <f t="shared" si="19"/>
        <v>0</v>
      </c>
    </row>
    <row r="99" spans="1:27" ht="19.149999999999999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5">
      <c r="A100" s="38">
        <v>9</v>
      </c>
      <c r="B100" s="11" t="s">
        <v>91</v>
      </c>
      <c r="C100" s="10">
        <v>99</v>
      </c>
      <c r="D100" s="12">
        <f>Table14[[#This Row],[Enrolment S.Y. 2025-2026 ]]*8</f>
        <v>792</v>
      </c>
      <c r="E100" s="12"/>
      <c r="F100" s="10"/>
      <c r="G100" s="12"/>
      <c r="H100" s="12">
        <f>IF((D100-E100)&lt;0,0,(D100-E100))</f>
        <v>792</v>
      </c>
      <c r="I100" s="12">
        <f>IF((E100-D100)&lt;0,0,(E100-D100))</f>
        <v>0</v>
      </c>
      <c r="J100" s="12">
        <f>Table14[[#This Row],[Enrolment S.Y. 2025-2026 ]]*8</f>
        <v>792</v>
      </c>
      <c r="K100" s="12"/>
      <c r="L100" s="10"/>
      <c r="M100" s="12"/>
      <c r="N100" s="12">
        <f t="shared" si="26"/>
        <v>792</v>
      </c>
      <c r="O100" s="12">
        <f t="shared" si="27"/>
        <v>0</v>
      </c>
      <c r="P100" s="12">
        <f>Table14[[#This Row],[Enrolment S.Y. 2025-2026 ]]*8</f>
        <v>792</v>
      </c>
      <c r="Q100" s="12">
        <v>152</v>
      </c>
      <c r="R100" s="10">
        <v>2025</v>
      </c>
      <c r="S100" s="12" t="s">
        <v>93</v>
      </c>
      <c r="T100" s="12">
        <f>IF((P100-Q100)&lt;0,0,(P100-Q100))</f>
        <v>640</v>
      </c>
      <c r="U100" s="12">
        <f>IF((Q100-P100)&lt;0,0,(Q100-P100))</f>
        <v>0</v>
      </c>
      <c r="V100" s="12">
        <f>Table14[[#This Row],[Enrolment S.Y. 2025-2026 ]]*8</f>
        <v>792</v>
      </c>
      <c r="W100" s="12">
        <v>95</v>
      </c>
      <c r="X100" s="10">
        <v>2025</v>
      </c>
      <c r="Y100" s="12" t="s">
        <v>93</v>
      </c>
      <c r="Z100" s="12">
        <f>IF((V100-W100)&lt;0,0,(V100-W100))</f>
        <v>697</v>
      </c>
      <c r="AA100" s="12">
        <f>IF((W100-V100)&lt;0,0,(W100-V100))</f>
        <v>0</v>
      </c>
    </row>
    <row r="101" spans="1:27" ht="19.5">
      <c r="A101" s="10">
        <v>9</v>
      </c>
      <c r="B101" s="11" t="s">
        <v>92</v>
      </c>
      <c r="C101" s="10">
        <v>99</v>
      </c>
      <c r="D101" s="12">
        <f>Table14[[#This Row],[Enrolment S.Y. 2025-2026 ]]*8</f>
        <v>792</v>
      </c>
      <c r="E101" s="12"/>
      <c r="F101" s="10"/>
      <c r="G101" s="12"/>
      <c r="H101" s="12">
        <f t="shared" si="22"/>
        <v>792</v>
      </c>
      <c r="I101" s="12">
        <f t="shared" si="23"/>
        <v>0</v>
      </c>
      <c r="J101" s="12">
        <f>Table14[[#This Row],[Enrolment S.Y. 2025-2026 ]]*8</f>
        <v>792</v>
      </c>
      <c r="K101" s="12"/>
      <c r="L101" s="10"/>
      <c r="M101" s="12"/>
      <c r="N101" s="12">
        <f t="shared" si="26"/>
        <v>792</v>
      </c>
      <c r="O101" s="12">
        <f t="shared" si="27"/>
        <v>0</v>
      </c>
      <c r="P101" s="12">
        <f>Table14[[#This Row],[Enrolment S.Y. 2025-2026 ]]*8</f>
        <v>792</v>
      </c>
      <c r="Q101" s="12"/>
      <c r="R101" s="10"/>
      <c r="S101" s="12"/>
      <c r="T101" s="12">
        <f t="shared" si="16"/>
        <v>792</v>
      </c>
      <c r="U101" s="12">
        <f t="shared" si="17"/>
        <v>0</v>
      </c>
      <c r="V101" s="12">
        <f>Table14[[#This Row],[Enrolment S.Y. 2025-2026 ]]*8</f>
        <v>792</v>
      </c>
      <c r="W101" s="12">
        <v>95</v>
      </c>
      <c r="X101" s="10">
        <v>2025</v>
      </c>
      <c r="Y101" s="12" t="s">
        <v>93</v>
      </c>
      <c r="Z101" s="12">
        <f t="shared" si="18"/>
        <v>697</v>
      </c>
      <c r="AA101" s="12">
        <f t="shared" si="19"/>
        <v>0</v>
      </c>
    </row>
    <row r="102" spans="1:27" s="7" customFormat="1"/>
    <row r="103" spans="1:27" ht="19.5">
      <c r="A103" s="10">
        <v>10</v>
      </c>
      <c r="B103" s="11" t="s">
        <v>14</v>
      </c>
      <c r="C103" s="10">
        <v>102</v>
      </c>
      <c r="D103" s="12">
        <f>Table14[[#This Row],[Enrolment S.Y. 2025-2026 ]]*8</f>
        <v>816</v>
      </c>
      <c r="E103" s="12">
        <v>32</v>
      </c>
      <c r="F103" s="10">
        <v>2025</v>
      </c>
      <c r="G103" s="12" t="s">
        <v>93</v>
      </c>
      <c r="H103" s="12">
        <f t="shared" si="22"/>
        <v>784</v>
      </c>
      <c r="I103" s="12">
        <f t="shared" si="23"/>
        <v>0</v>
      </c>
      <c r="J103" s="12">
        <f>Table14[[#This Row],[Enrolment S.Y. 2025-2026 ]]*8</f>
        <v>816</v>
      </c>
      <c r="K103" s="12">
        <v>168</v>
      </c>
      <c r="L103" s="10">
        <v>2025</v>
      </c>
      <c r="M103" s="12" t="s">
        <v>93</v>
      </c>
      <c r="N103" s="12">
        <f t="shared" si="20"/>
        <v>648</v>
      </c>
      <c r="O103" s="12">
        <f t="shared" si="21"/>
        <v>0</v>
      </c>
      <c r="P103" s="12">
        <f>Table14[[#This Row],[Enrolment S.Y. 2025-2026 ]]*8</f>
        <v>816</v>
      </c>
      <c r="Q103" s="12"/>
      <c r="R103" s="10"/>
      <c r="S103" s="12"/>
      <c r="T103" s="12">
        <f t="shared" si="16"/>
        <v>816</v>
      </c>
      <c r="U103" s="12">
        <f t="shared" si="17"/>
        <v>0</v>
      </c>
      <c r="V103" s="12">
        <f>Table14[[#This Row],[Enrolment S.Y. 2025-2026 ]]*8</f>
        <v>816</v>
      </c>
      <c r="W103" s="12"/>
      <c r="X103" s="10"/>
      <c r="Y103" s="12"/>
      <c r="Z103" s="12">
        <f t="shared" si="18"/>
        <v>816</v>
      </c>
      <c r="AA103" s="12">
        <f t="shared" si="19"/>
        <v>0</v>
      </c>
    </row>
    <row r="104" spans="1:27" ht="19.5">
      <c r="A104" s="10">
        <v>10</v>
      </c>
      <c r="B104" s="11" t="s">
        <v>15</v>
      </c>
      <c r="C104" s="10">
        <v>102</v>
      </c>
      <c r="D104" s="12">
        <f>Table14[[#This Row],[Enrolment S.Y. 2025-2026 ]]*8</f>
        <v>816</v>
      </c>
      <c r="E104" s="12">
        <v>28</v>
      </c>
      <c r="F104" s="10">
        <v>2025</v>
      </c>
      <c r="G104" s="12" t="s">
        <v>93</v>
      </c>
      <c r="H104" s="12">
        <f t="shared" si="22"/>
        <v>788</v>
      </c>
      <c r="I104" s="12">
        <f t="shared" si="23"/>
        <v>0</v>
      </c>
      <c r="J104" s="12">
        <f>Table14[[#This Row],[Enrolment S.Y. 2025-2026 ]]*8</f>
        <v>816</v>
      </c>
      <c r="K104" s="12"/>
      <c r="L104" s="10"/>
      <c r="M104" s="12"/>
      <c r="N104" s="12">
        <f t="shared" si="20"/>
        <v>816</v>
      </c>
      <c r="O104" s="12">
        <f t="shared" si="21"/>
        <v>0</v>
      </c>
      <c r="P104" s="12">
        <f>Table14[[#This Row],[Enrolment S.Y. 2025-2026 ]]*8</f>
        <v>816</v>
      </c>
      <c r="Q104" s="12"/>
      <c r="R104" s="10"/>
      <c r="S104" s="12"/>
      <c r="T104" s="12">
        <f t="shared" si="16"/>
        <v>816</v>
      </c>
      <c r="U104" s="12">
        <f t="shared" si="17"/>
        <v>0</v>
      </c>
      <c r="V104" s="12">
        <f>Table14[[#This Row],[Enrolment S.Y. 2025-2026 ]]*8</f>
        <v>816</v>
      </c>
      <c r="W104" s="12"/>
      <c r="X104" s="10"/>
      <c r="Y104" s="12"/>
      <c r="Z104" s="12">
        <f t="shared" si="18"/>
        <v>816</v>
      </c>
      <c r="AA104" s="12">
        <f t="shared" si="19"/>
        <v>0</v>
      </c>
    </row>
    <row r="105" spans="1:27" ht="19.5">
      <c r="A105" s="10">
        <v>10</v>
      </c>
      <c r="B105" s="11" t="s">
        <v>12</v>
      </c>
      <c r="C105" s="10">
        <v>102</v>
      </c>
      <c r="D105" s="12">
        <f>Table14[[#This Row],[Enrolment S.Y. 2025-2026 ]]*8</f>
        <v>816</v>
      </c>
      <c r="E105" s="12"/>
      <c r="F105" s="10"/>
      <c r="G105" s="12"/>
      <c r="H105" s="12">
        <f t="shared" si="22"/>
        <v>816</v>
      </c>
      <c r="I105" s="12">
        <f t="shared" si="23"/>
        <v>0</v>
      </c>
      <c r="J105" s="12">
        <f>Table14[[#This Row],[Enrolment S.Y. 2025-2026 ]]*8</f>
        <v>816</v>
      </c>
      <c r="K105" s="12">
        <v>189</v>
      </c>
      <c r="L105" s="10">
        <v>2025</v>
      </c>
      <c r="M105" s="12" t="s">
        <v>93</v>
      </c>
      <c r="N105" s="12">
        <f t="shared" si="20"/>
        <v>627</v>
      </c>
      <c r="O105" s="12">
        <f t="shared" si="21"/>
        <v>0</v>
      </c>
      <c r="P105" s="12">
        <f>Table14[[#This Row],[Enrolment S.Y. 2025-2026 ]]*8</f>
        <v>816</v>
      </c>
      <c r="Q105" s="12"/>
      <c r="R105" s="10"/>
      <c r="S105" s="12"/>
      <c r="T105" s="12">
        <f t="shared" si="16"/>
        <v>816</v>
      </c>
      <c r="U105" s="12">
        <f t="shared" si="17"/>
        <v>0</v>
      </c>
      <c r="V105" s="12">
        <f>Table14[[#This Row],[Enrolment S.Y. 2025-2026 ]]*8</f>
        <v>816</v>
      </c>
      <c r="W105" s="12"/>
      <c r="X105" s="10"/>
      <c r="Y105" s="12"/>
      <c r="Z105" s="12">
        <f t="shared" si="18"/>
        <v>816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89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90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91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92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Z91:AA101 H91:L101 T103:X113 Z103:AA113 H103:L113 N115:R122 T115:X122 Z115:AA122 H115:L122 N31:R41 N43:R53 N55:R65 N67:R77 N79:R89 N103:R113 N91:R101 T91:X101 D103:F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G91:G101 M91:M101 Y103:Y113 M103:M113 S103:S113 Y115:Y122 G115:G122 M115:M122 S115:S122 S91:S101 Y91:Y101 G103:G113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91:S101 M115:M122 M91:M101 G91:G101 Y91:Y101 Y103:Y113 S103:S113 M103:M113 G103:G113" xr:uid="{CBD486C7-A5DB-48F1-B496-5027CC51E830}">
      <formula1>"CO,RO,SDO,LGU,SCHOOL"</formula1>
    </dataValidation>
    <dataValidation type="list" allowBlank="1" showInputMessage="1" showErrorMessage="1" sqref="X21:X29 X31:X41 X43:X53 X67:X77 X79:X89 X55:X65 R91:R101 X103:X113 X12:X19 X3:X10 L21:L29 L31:L41 L43:L53 L67:L77 L79:L89 L55:L65 L91:L101 L103:L113 L12:L19 L3:L10 R21:R29 R31:R41 R43:R53 R67:R77 R79:R89 R55:R65 X91:X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2026-01-05T06:19:29Z</dcterms:modified>
  <cp:category/>
  <cp:contentStatus/>
</cp:coreProperties>
</file>