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8" documentId="13_ncr:1_{BFB59F67-F0DC-4675-A682-EB0734A8026A}" xr6:coauthVersionLast="47" xr6:coauthVersionMax="47" xr10:uidLastSave="{194A89F6-ED1B-4F38-91CC-0F2DF2376EC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H50" i="1"/>
  <c r="G51" i="1"/>
  <c r="H51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<sst xmlns="http://schemas.openxmlformats.org/spreadsheetml/2006/main" count="275" uniqueCount="87">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</sst>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zoomScale="85" zoomScaleNormal="85" workbookViewId="0">
      <pane xSplit="2" topLeftCell="C1" activePane="topRight" state="frozen"/>
      <selection pane="topRight" activeCell="D54" sqref="D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106</v>
      </c>
      <c r="D2" s="8">
        <v>116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10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106</v>
      </c>
      <c r="D4" s="8">
        <v>106</v>
      </c>
      <c r="E4" s="8">
        <v>2024</v>
      </c>
      <c r="F4" s="10" t="s">
        <v>9</v>
      </c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106</v>
      </c>
      <c r="D6" s="8">
        <v>116</v>
      </c>
      <c r="E6" s="8">
        <v>2025</v>
      </c>
      <c r="F6" s="10" t="s">
        <v>9</v>
      </c>
      <c r="G6" s="2">
        <f t="shared" si="0"/>
        <v>0</v>
      </c>
      <c r="H6" s="3">
        <f t="shared" si="1"/>
        <v>10</v>
      </c>
    </row>
    <row r="7" spans="1:8" ht="19.5">
      <c r="A7" s="8">
        <v>7</v>
      </c>
      <c r="B7" s="9" t="s">
        <v>14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106</v>
      </c>
      <c r="D8" s="8">
        <v>116</v>
      </c>
      <c r="E8" s="8">
        <v>2025</v>
      </c>
      <c r="F8" s="10" t="s">
        <v>9</v>
      </c>
      <c r="G8" s="2">
        <f t="shared" si="0"/>
        <v>0</v>
      </c>
      <c r="H8" s="3">
        <f t="shared" si="1"/>
        <v>10</v>
      </c>
    </row>
    <row r="9" spans="1:8" ht="29.25" customHeight="1">
      <c r="A9" s="8">
        <v>7</v>
      </c>
      <c r="B9" s="9" t="s">
        <v>16</v>
      </c>
      <c r="C9" s="8">
        <v>106</v>
      </c>
      <c r="D9" s="8">
        <v>116</v>
      </c>
      <c r="E9" s="8">
        <v>2025</v>
      </c>
      <c r="F9" s="10" t="s">
        <v>9</v>
      </c>
      <c r="G9" s="2">
        <f t="shared" si="0"/>
        <v>0</v>
      </c>
      <c r="H9" s="3">
        <f t="shared" si="1"/>
        <v>10</v>
      </c>
    </row>
    <row r="10" spans="1:8" ht="28.5" customHeight="1">
      <c r="A10" s="8">
        <v>7</v>
      </c>
      <c r="B10" s="9" t="s">
        <v>17</v>
      </c>
      <c r="C10" s="8">
        <v>106</v>
      </c>
      <c r="D10" s="8">
        <v>118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47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47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>
        <v>52</v>
      </c>
      <c r="E45" s="1">
        <v>2025</v>
      </c>
      <c r="F45" s="4" t="s">
        <v>9</v>
      </c>
      <c r="G45" s="2">
        <f t="shared" si="8"/>
        <v>0</v>
      </c>
      <c r="H45" s="3">
        <f t="shared" si="9"/>
        <v>52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>
        <v>52</v>
      </c>
      <c r="E47" s="1">
        <v>2025</v>
      </c>
      <c r="F47" s="4" t="s">
        <v>9</v>
      </c>
      <c r="G47" s="2">
        <f t="shared" si="8"/>
        <v>0</v>
      </c>
      <c r="H47" s="3">
        <f t="shared" si="9"/>
        <v>52</v>
      </c>
    </row>
    <row r="48" spans="1:8" ht="27.75" customHeight="1">
      <c r="A48" s="1" t="s">
        <v>19</v>
      </c>
      <c r="B48" s="7" t="s">
        <v>26</v>
      </c>
      <c r="C48" s="1"/>
      <c r="D48" s="1">
        <v>52</v>
      </c>
      <c r="E48" s="1">
        <v>2025</v>
      </c>
      <c r="F48" s="4" t="s">
        <v>9</v>
      </c>
      <c r="G48" s="2">
        <f t="shared" si="8"/>
        <v>0</v>
      </c>
      <c r="H48" s="3">
        <f t="shared" si="9"/>
        <v>52</v>
      </c>
    </row>
    <row r="49" spans="1:8" ht="27.75" customHeight="1">
      <c r="A49" s="1" t="s">
        <v>19</v>
      </c>
      <c r="B49" s="7" t="s">
        <v>27</v>
      </c>
      <c r="C49" s="1"/>
      <c r="D49" s="1">
        <v>52</v>
      </c>
      <c r="E49" s="1">
        <v>2025</v>
      </c>
      <c r="F49" s="4" t="s">
        <v>9</v>
      </c>
      <c r="G49" s="2">
        <f t="shared" si="8"/>
        <v>0</v>
      </c>
      <c r="H49" s="3">
        <f t="shared" si="9"/>
        <v>52</v>
      </c>
    </row>
    <row r="50" spans="1:8" ht="27.75" customHeight="1">
      <c r="A50" s="1" t="s">
        <v>19</v>
      </c>
      <c r="B50" s="7" t="s">
        <v>28</v>
      </c>
      <c r="C50" s="1"/>
      <c r="D50" s="1">
        <v>52</v>
      </c>
      <c r="E50" s="1">
        <v>2024</v>
      </c>
      <c r="F50" s="4" t="s">
        <v>9</v>
      </c>
      <c r="G50" s="2">
        <f t="shared" ref="G50:G51" si="10">IF((C50-D50)&lt;0,0,C50-D50)</f>
        <v>0</v>
      </c>
      <c r="H50" s="3">
        <f t="shared" ref="H50:H51" si="11">IF((D50-C50)&lt;0,0,D50-C50)</f>
        <v>52</v>
      </c>
    </row>
    <row r="51" spans="1:8" ht="27.75" customHeight="1">
      <c r="A51" s="1" t="s">
        <v>19</v>
      </c>
      <c r="B51" s="7" t="s">
        <v>29</v>
      </c>
      <c r="C51" s="1"/>
      <c r="D51" s="1">
        <v>52</v>
      </c>
      <c r="E51" s="1">
        <v>2025</v>
      </c>
      <c r="F51" s="4" t="s">
        <v>9</v>
      </c>
      <c r="G51" s="2">
        <f t="shared" si="10"/>
        <v>0</v>
      </c>
      <c r="H51" s="3">
        <f t="shared" si="11"/>
        <v>52</v>
      </c>
    </row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  <row r="100" ht="15"/>
    <row r="101" ht="15"/>
    <row r="102" ht="15"/>
    <row r="103" ht="15"/>
    <row r="104" ht="15"/>
    <row r="105" ht="15"/>
    <row r="106" ht="15"/>
  </sheetData>
  <protectedRanges>
    <protectedRange sqref="C1:E51" name="Textbooks"/>
    <protectedRange sqref="F1:F51" name="SOURCE"/>
  </protectedRanges>
  <phoneticPr fontId="8" type="noConversion"/>
  <dataValidations count="2">
    <dataValidation type="list" allowBlank="1" showInputMessage="1" showErrorMessage="1" sqref="E42:E51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5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9" sqref="AD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30</v>
      </c>
      <c r="E1" s="32"/>
      <c r="F1" s="32"/>
      <c r="G1" s="32"/>
      <c r="H1" s="32"/>
      <c r="I1" s="32"/>
      <c r="J1" s="33" t="s">
        <v>31</v>
      </c>
      <c r="K1" s="33"/>
      <c r="L1" s="33"/>
      <c r="M1" s="33"/>
      <c r="N1" s="33"/>
      <c r="O1" s="33"/>
      <c r="P1" s="34" t="s">
        <v>32</v>
      </c>
      <c r="Q1" s="34"/>
      <c r="R1" s="34"/>
      <c r="S1" s="34"/>
      <c r="T1" s="34"/>
      <c r="U1" s="34"/>
      <c r="V1" s="35" t="s">
        <v>33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34</v>
      </c>
      <c r="E2" s="18" t="s">
        <v>35</v>
      </c>
      <c r="F2" s="19" t="s">
        <v>36</v>
      </c>
      <c r="G2" s="22" t="s">
        <v>37</v>
      </c>
      <c r="H2" s="15" t="s">
        <v>38</v>
      </c>
      <c r="I2" s="22" t="s">
        <v>39</v>
      </c>
      <c r="J2" s="20" t="s">
        <v>40</v>
      </c>
      <c r="K2" s="20" t="s">
        <v>41</v>
      </c>
      <c r="L2" s="21" t="s">
        <v>42</v>
      </c>
      <c r="M2" s="30" t="s">
        <v>43</v>
      </c>
      <c r="N2" s="30" t="s">
        <v>44</v>
      </c>
      <c r="O2" s="20" t="s">
        <v>45</v>
      </c>
      <c r="P2" s="22" t="s">
        <v>46</v>
      </c>
      <c r="Q2" s="22" t="s">
        <v>47</v>
      </c>
      <c r="R2" s="23" t="s">
        <v>48</v>
      </c>
      <c r="S2" s="15" t="s">
        <v>49</v>
      </c>
      <c r="T2" s="15" t="s">
        <v>50</v>
      </c>
      <c r="U2" s="22" t="s">
        <v>51</v>
      </c>
      <c r="V2" s="24" t="s">
        <v>52</v>
      </c>
      <c r="W2" s="24" t="s">
        <v>53</v>
      </c>
      <c r="X2" s="25" t="s">
        <v>54</v>
      </c>
      <c r="Y2" s="31" t="s">
        <v>55</v>
      </c>
      <c r="Z2" s="31" t="s">
        <v>56</v>
      </c>
      <c r="AA2" s="24" t="s">
        <v>57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D66" sqref="AD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30</v>
      </c>
      <c r="E1" s="32"/>
      <c r="F1" s="32"/>
      <c r="G1" s="32"/>
      <c r="H1" s="32"/>
      <c r="I1" s="32"/>
      <c r="J1" s="33" t="s">
        <v>31</v>
      </c>
      <c r="K1" s="33"/>
      <c r="L1" s="33"/>
      <c r="M1" s="33"/>
      <c r="N1" s="33"/>
      <c r="O1" s="33"/>
      <c r="P1" s="34" t="s">
        <v>32</v>
      </c>
      <c r="Q1" s="34"/>
      <c r="R1" s="34"/>
      <c r="S1" s="34"/>
      <c r="T1" s="34"/>
      <c r="U1" s="34"/>
      <c r="V1" s="35" t="s">
        <v>33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0" t="s">
        <v>67</v>
      </c>
      <c r="N2" s="30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1" t="s">
        <v>79</v>
      </c>
      <c r="Z2" s="31" t="s">
        <v>80</v>
      </c>
      <c r="AA2" s="24" t="s">
        <v>81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82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83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84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85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82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83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84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85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99</v>
      </c>
      <c r="D27" s="10">
        <f>Table14[[#This Row],[Enrolment S.Y. 2025-2026 ]]*8</f>
        <v>792</v>
      </c>
      <c r="E27" s="10"/>
      <c r="F27" s="8"/>
      <c r="G27" s="10"/>
      <c r="H27" s="10">
        <f t="shared" si="16"/>
        <v>792</v>
      </c>
      <c r="I27" s="10">
        <f t="shared" si="17"/>
        <v>0</v>
      </c>
      <c r="J27" s="10">
        <f>Table14[[#This Row],[Enrolment S.Y. 2025-2026 ]]*8</f>
        <v>792</v>
      </c>
      <c r="K27" s="10"/>
      <c r="L27" s="8"/>
      <c r="M27" s="10"/>
      <c r="N27" s="10">
        <f t="shared" si="14"/>
        <v>792</v>
      </c>
      <c r="O27" s="10">
        <f t="shared" si="15"/>
        <v>0</v>
      </c>
      <c r="P27" s="10">
        <f>Table14[[#This Row],[Enrolment S.Y. 2025-2026 ]]*8</f>
        <v>792</v>
      </c>
      <c r="Q27" s="10"/>
      <c r="R27" s="8"/>
      <c r="S27" s="10"/>
      <c r="T27" s="10">
        <f t="shared" si="10"/>
        <v>792</v>
      </c>
      <c r="U27" s="10">
        <f t="shared" si="11"/>
        <v>0</v>
      </c>
      <c r="V27" s="10">
        <f>Table14[[#This Row],[Enrolment S.Y. 2025-2026 ]]*8</f>
        <v>792</v>
      </c>
      <c r="W27" s="10">
        <v>266</v>
      </c>
      <c r="X27" s="8">
        <v>2025</v>
      </c>
      <c r="Y27" s="10" t="s">
        <v>86</v>
      </c>
      <c r="Z27" s="10">
        <f t="shared" si="12"/>
        <v>526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99</v>
      </c>
      <c r="D28" s="10">
        <f>Table14[[#This Row],[Enrolment S.Y. 2025-2026 ]]*8</f>
        <v>792</v>
      </c>
      <c r="E28" s="10">
        <v>204</v>
      </c>
      <c r="F28" s="8">
        <v>2025</v>
      </c>
      <c r="G28" s="10" t="s">
        <v>86</v>
      </c>
      <c r="H28" s="10">
        <f t="shared" si="16"/>
        <v>588</v>
      </c>
      <c r="I28" s="10">
        <f t="shared" si="17"/>
        <v>0</v>
      </c>
      <c r="J28" s="10">
        <f>Table14[[#This Row],[Enrolment S.Y. 2025-2026 ]]*8</f>
        <v>792</v>
      </c>
      <c r="K28" s="10">
        <v>171</v>
      </c>
      <c r="L28" s="8">
        <v>2025</v>
      </c>
      <c r="M28" s="10" t="s">
        <v>86</v>
      </c>
      <c r="N28" s="10">
        <f t="shared" si="14"/>
        <v>621</v>
      </c>
      <c r="O28" s="10">
        <f t="shared" si="15"/>
        <v>0</v>
      </c>
      <c r="P28" s="10">
        <f>Table14[[#This Row],[Enrolment S.Y. 2025-2026 ]]*8</f>
        <v>792</v>
      </c>
      <c r="Q28" s="10">
        <v>95</v>
      </c>
      <c r="R28" s="8">
        <v>2025</v>
      </c>
      <c r="S28" s="10" t="s">
        <v>86</v>
      </c>
      <c r="T28" s="10">
        <f t="shared" si="10"/>
        <v>697</v>
      </c>
      <c r="U28" s="10">
        <f t="shared" si="11"/>
        <v>0</v>
      </c>
      <c r="V28" s="10">
        <f>Table14[[#This Row],[Enrolment S.Y. 2025-2026 ]]*8</f>
        <v>792</v>
      </c>
      <c r="W28" s="10">
        <v>133</v>
      </c>
      <c r="X28" s="8">
        <v>2025</v>
      </c>
      <c r="Y28" s="10" t="s">
        <v>86</v>
      </c>
      <c r="Z28" s="10">
        <f t="shared" si="12"/>
        <v>659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99</v>
      </c>
      <c r="D29" s="10">
        <f>Table14[[#This Row],[Enrolment S.Y. 2025-2026 ]]*8</f>
        <v>792</v>
      </c>
      <c r="E29" s="10">
        <v>782</v>
      </c>
      <c r="F29" s="8">
        <v>2025</v>
      </c>
      <c r="G29" s="10" t="s">
        <v>86</v>
      </c>
      <c r="H29" s="10">
        <f t="shared" si="16"/>
        <v>10</v>
      </c>
      <c r="I29" s="10">
        <f t="shared" si="17"/>
        <v>0</v>
      </c>
      <c r="J29" s="10">
        <f>Table14[[#This Row],[Enrolment S.Y. 2025-2026 ]]*8</f>
        <v>792</v>
      </c>
      <c r="K29" s="10">
        <v>190</v>
      </c>
      <c r="L29" s="8">
        <v>2025</v>
      </c>
      <c r="M29" s="10" t="s">
        <v>86</v>
      </c>
      <c r="N29" s="10">
        <f t="shared" si="14"/>
        <v>602</v>
      </c>
      <c r="O29" s="10">
        <f t="shared" si="15"/>
        <v>0</v>
      </c>
      <c r="P29" s="10">
        <f>Table14[[#This Row],[Enrolment S.Y. 2025-2026 ]]*8</f>
        <v>792</v>
      </c>
      <c r="Q29" s="10">
        <v>304</v>
      </c>
      <c r="R29" s="8">
        <v>2025</v>
      </c>
      <c r="S29" s="10" t="s">
        <v>86</v>
      </c>
      <c r="T29" s="10">
        <f t="shared" si="10"/>
        <v>488</v>
      </c>
      <c r="U29" s="10">
        <f t="shared" si="11"/>
        <v>0</v>
      </c>
      <c r="V29" s="10">
        <f>Table14[[#This Row],[Enrolment S.Y. 2025-2026 ]]*8</f>
        <v>792</v>
      </c>
      <c r="W29" s="10">
        <v>171</v>
      </c>
      <c r="X29" s="8">
        <v>2025</v>
      </c>
      <c r="Y29" s="10" t="s">
        <v>86</v>
      </c>
      <c r="Z29" s="10">
        <f t="shared" si="12"/>
        <v>621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99</v>
      </c>
      <c r="D30" s="10">
        <f>Table14[[#This Row],[Enrolment S.Y. 2025-2026 ]]*8</f>
        <v>792</v>
      </c>
      <c r="E30" s="10"/>
      <c r="F30" s="8"/>
      <c r="G30" s="10"/>
      <c r="H30" s="10">
        <f t="shared" si="16"/>
        <v>792</v>
      </c>
      <c r="I30" s="10">
        <f t="shared" si="17"/>
        <v>0</v>
      </c>
      <c r="J30" s="10">
        <f>Table14[[#This Row],[Enrolment S.Y. 2025-2026 ]]*8</f>
        <v>792</v>
      </c>
      <c r="K30" s="10"/>
      <c r="L30" s="8"/>
      <c r="M30" s="10"/>
      <c r="N30" s="10">
        <f t="shared" si="14"/>
        <v>792</v>
      </c>
      <c r="O30" s="10">
        <f t="shared" si="15"/>
        <v>0</v>
      </c>
      <c r="P30" s="10">
        <f>Table14[[#This Row],[Enrolment S.Y. 2025-2026 ]]*8</f>
        <v>792</v>
      </c>
      <c r="Q30" s="10">
        <v>95</v>
      </c>
      <c r="R30" s="8">
        <v>2025</v>
      </c>
      <c r="S30" s="10" t="s">
        <v>86</v>
      </c>
      <c r="T30" s="10">
        <f t="shared" si="10"/>
        <v>697</v>
      </c>
      <c r="U30" s="10">
        <f t="shared" si="11"/>
        <v>0</v>
      </c>
      <c r="V30" s="10">
        <f>Table14[[#This Row],[Enrolment S.Y. 2025-2026 ]]*8</f>
        <v>792</v>
      </c>
      <c r="W30" s="10">
        <v>152</v>
      </c>
      <c r="X30" s="8">
        <v>2025</v>
      </c>
      <c r="Y30" s="10" t="s">
        <v>86</v>
      </c>
      <c r="Z30" s="10">
        <f t="shared" si="12"/>
        <v>640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99</v>
      </c>
      <c r="D31" s="10">
        <f>Table14[[#This Row],[Enrolment S.Y. 2025-2026 ]]*8</f>
        <v>792</v>
      </c>
      <c r="E31" s="10"/>
      <c r="F31" s="8"/>
      <c r="G31" s="10"/>
      <c r="H31" s="10">
        <f t="shared" si="16"/>
        <v>792</v>
      </c>
      <c r="I31" s="10">
        <f t="shared" si="17"/>
        <v>0</v>
      </c>
      <c r="J31" s="10">
        <f>Table14[[#This Row],[Enrolment S.Y. 2025-2026 ]]*8</f>
        <v>792</v>
      </c>
      <c r="K31" s="10"/>
      <c r="L31" s="8"/>
      <c r="M31" s="10"/>
      <c r="N31" s="10">
        <f t="shared" si="14"/>
        <v>792</v>
      </c>
      <c r="O31" s="10">
        <f t="shared" si="15"/>
        <v>0</v>
      </c>
      <c r="P31" s="10">
        <f>Table14[[#This Row],[Enrolment S.Y. 2025-2026 ]]*8</f>
        <v>792</v>
      </c>
      <c r="Q31" s="10">
        <v>133</v>
      </c>
      <c r="R31" s="8">
        <v>2025</v>
      </c>
      <c r="S31" s="10" t="s">
        <v>86</v>
      </c>
      <c r="T31" s="10">
        <f t="shared" si="10"/>
        <v>659</v>
      </c>
      <c r="U31" s="10">
        <f t="shared" si="11"/>
        <v>0</v>
      </c>
      <c r="V31" s="10">
        <f>Table14[[#This Row],[Enrolment S.Y. 2025-2026 ]]*8</f>
        <v>792</v>
      </c>
      <c r="W31" s="10">
        <v>76</v>
      </c>
      <c r="X31" s="8">
        <v>2025</v>
      </c>
      <c r="Y31" s="10" t="s">
        <v>86</v>
      </c>
      <c r="Z31" s="10">
        <f t="shared" si="12"/>
        <v>716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99</v>
      </c>
      <c r="D32" s="10">
        <f>Table14[[#This Row],[Enrolment S.Y. 2025-2026 ]]*8</f>
        <v>792</v>
      </c>
      <c r="E32" s="10"/>
      <c r="F32" s="8"/>
      <c r="G32" s="10"/>
      <c r="H32" s="10">
        <f t="shared" si="16"/>
        <v>792</v>
      </c>
      <c r="I32" s="10">
        <f t="shared" si="17"/>
        <v>0</v>
      </c>
      <c r="J32" s="10">
        <f>Table14[[#This Row],[Enrolment S.Y. 2025-2026 ]]*8</f>
        <v>792</v>
      </c>
      <c r="K32" s="10"/>
      <c r="L32" s="8"/>
      <c r="M32" s="10"/>
      <c r="N32" s="10">
        <f t="shared" si="14"/>
        <v>792</v>
      </c>
      <c r="O32" s="10">
        <f t="shared" si="15"/>
        <v>0</v>
      </c>
      <c r="P32" s="10">
        <f>Table14[[#This Row],[Enrolment S.Y. 2025-2026 ]]*8</f>
        <v>792</v>
      </c>
      <c r="Q32" s="10">
        <v>114</v>
      </c>
      <c r="R32" s="8">
        <v>2025</v>
      </c>
      <c r="S32" s="10" t="s">
        <v>86</v>
      </c>
      <c r="T32" s="10">
        <f t="shared" si="10"/>
        <v>678</v>
      </c>
      <c r="U32" s="10">
        <f t="shared" si="11"/>
        <v>0</v>
      </c>
      <c r="V32" s="10">
        <f>Table14[[#This Row],[Enrolment S.Y. 2025-2026 ]]*8</f>
        <v>792</v>
      </c>
      <c r="W32" s="10">
        <v>190</v>
      </c>
      <c r="X32" s="8">
        <v>2025</v>
      </c>
      <c r="Y32" s="10" t="s">
        <v>86</v>
      </c>
      <c r="Z32" s="10">
        <f t="shared" si="12"/>
        <v>602</v>
      </c>
      <c r="AA32" s="10">
        <f t="shared" si="13"/>
        <v>0</v>
      </c>
    </row>
    <row r="33" spans="1:27" ht="19.5">
      <c r="A33" s="29">
        <v>9</v>
      </c>
      <c r="B33" s="9" t="s">
        <v>82</v>
      </c>
      <c r="C33" s="8">
        <v>99</v>
      </c>
      <c r="D33" s="10">
        <f>Table14[[#This Row],[Enrolment S.Y. 2025-2026 ]]*8</f>
        <v>792</v>
      </c>
      <c r="E33" s="10"/>
      <c r="F33" s="8"/>
      <c r="G33" s="10"/>
      <c r="H33" s="10">
        <f>IF((D33-E33)&lt;0,0,(D33-E33))</f>
        <v>792</v>
      </c>
      <c r="I33" s="10">
        <f>IF((E33-D33)&lt;0,0,(E33-D33))</f>
        <v>0</v>
      </c>
      <c r="J33" s="10">
        <f>Table14[[#This Row],[Enrolment S.Y. 2025-2026 ]]*8</f>
        <v>792</v>
      </c>
      <c r="K33" s="10"/>
      <c r="L33" s="8"/>
      <c r="M33" s="10"/>
      <c r="N33" s="10">
        <f t="shared" ref="N33:N37" si="20">IF((J33-K33)&lt;0,0,(J33-K33))</f>
        <v>792</v>
      </c>
      <c r="O33" s="10">
        <f t="shared" ref="O33:O37" si="21">IF((K33-J33)&lt;0,0,(K33-J33))</f>
        <v>0</v>
      </c>
      <c r="P33" s="10">
        <f>Table14[[#This Row],[Enrolment S.Y. 2025-2026 ]]*8</f>
        <v>792</v>
      </c>
      <c r="Q33" s="10"/>
      <c r="R33" s="8"/>
      <c r="S33" s="10"/>
      <c r="T33" s="10">
        <f>IF((P33-Q33)&lt;0,0,(P33-Q33))</f>
        <v>792</v>
      </c>
      <c r="U33" s="10">
        <f>IF((Q33-P33)&lt;0,0,(Q33-P33))</f>
        <v>0</v>
      </c>
      <c r="V33" s="10">
        <f>Table14[[#This Row],[Enrolment S.Y. 2025-2026 ]]*8</f>
        <v>792</v>
      </c>
      <c r="W33" s="10">
        <v>152</v>
      </c>
      <c r="X33" s="8">
        <v>2025</v>
      </c>
      <c r="Y33" s="10" t="s">
        <v>86</v>
      </c>
      <c r="Z33" s="10">
        <f>IF((V33-W33)&lt;0,0,(V33-W33))</f>
        <v>640</v>
      </c>
      <c r="AA33" s="10">
        <f>IF((W33-V33)&lt;0,0,(W33-V33))</f>
        <v>0</v>
      </c>
    </row>
    <row r="34" spans="1:27" ht="19.5">
      <c r="A34" s="8">
        <v>9</v>
      </c>
      <c r="B34" s="9" t="s">
        <v>83</v>
      </c>
      <c r="C34" s="8">
        <v>99</v>
      </c>
      <c r="D34" s="10">
        <f>Table14[[#This Row],[Enrolment S.Y. 2025-2026 ]]*8</f>
        <v>792</v>
      </c>
      <c r="E34" s="10"/>
      <c r="F34" s="8"/>
      <c r="G34" s="10"/>
      <c r="H34" s="10">
        <f t="shared" si="16"/>
        <v>792</v>
      </c>
      <c r="I34" s="10">
        <f t="shared" si="17"/>
        <v>0</v>
      </c>
      <c r="J34" s="10">
        <f>Table14[[#This Row],[Enrolment S.Y. 2025-2026 ]]*8</f>
        <v>792</v>
      </c>
      <c r="K34" s="10"/>
      <c r="L34" s="8"/>
      <c r="M34" s="10"/>
      <c r="N34" s="10">
        <f t="shared" si="20"/>
        <v>792</v>
      </c>
      <c r="O34" s="10">
        <f t="shared" si="21"/>
        <v>0</v>
      </c>
      <c r="P34" s="10">
        <f>Table14[[#This Row],[Enrolment S.Y. 2025-2026 ]]*8</f>
        <v>792</v>
      </c>
      <c r="Q34" s="10"/>
      <c r="R34" s="8"/>
      <c r="S34" s="10"/>
      <c r="T34" s="10">
        <f t="shared" si="10"/>
        <v>792</v>
      </c>
      <c r="U34" s="10">
        <f t="shared" si="11"/>
        <v>0</v>
      </c>
      <c r="V34" s="10">
        <f>Table14[[#This Row],[Enrolment S.Y. 2025-2026 ]]*8</f>
        <v>792</v>
      </c>
      <c r="W34" s="10">
        <v>152</v>
      </c>
      <c r="X34" s="8">
        <v>2025</v>
      </c>
      <c r="Y34" s="10" t="s">
        <v>86</v>
      </c>
      <c r="Z34" s="10">
        <f t="shared" si="12"/>
        <v>640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84</v>
      </c>
      <c r="C36" s="8">
        <v>99</v>
      </c>
      <c r="D36" s="10">
        <f>Table14[[#This Row],[Enrolment S.Y. 2025-2026 ]]*8</f>
        <v>792</v>
      </c>
      <c r="E36" s="10"/>
      <c r="F36" s="8"/>
      <c r="G36" s="10"/>
      <c r="H36" s="10">
        <f>IF((D36-E36)&lt;0,0,(D36-E36))</f>
        <v>792</v>
      </c>
      <c r="I36" s="10">
        <f>IF((E36-D36)&lt;0,0,(E36-D36))</f>
        <v>0</v>
      </c>
      <c r="J36" s="10">
        <f>Table14[[#This Row],[Enrolment S.Y. 2025-2026 ]]*8</f>
        <v>792</v>
      </c>
      <c r="K36" s="10"/>
      <c r="L36" s="8"/>
      <c r="M36" s="10"/>
      <c r="N36" s="10">
        <f t="shared" si="20"/>
        <v>792</v>
      </c>
      <c r="O36" s="10">
        <f t="shared" si="21"/>
        <v>0</v>
      </c>
      <c r="P36" s="10">
        <f>Table14[[#This Row],[Enrolment S.Y. 2025-2026 ]]*8</f>
        <v>792</v>
      </c>
      <c r="Q36" s="10">
        <v>152</v>
      </c>
      <c r="R36" s="8">
        <v>2025</v>
      </c>
      <c r="S36" s="10" t="s">
        <v>86</v>
      </c>
      <c r="T36" s="10">
        <f>IF((P36-Q36)&lt;0,0,(P36-Q36))</f>
        <v>640</v>
      </c>
      <c r="U36" s="10">
        <f>IF((Q36-P36)&lt;0,0,(Q36-P36))</f>
        <v>0</v>
      </c>
      <c r="V36" s="10">
        <f>Table14[[#This Row],[Enrolment S.Y. 2025-2026 ]]*8</f>
        <v>792</v>
      </c>
      <c r="W36" s="10">
        <v>95</v>
      </c>
      <c r="X36" s="8">
        <v>2025</v>
      </c>
      <c r="Y36" s="10" t="s">
        <v>86</v>
      </c>
      <c r="Z36" s="10">
        <f>IF((V36-W36)&lt;0,0,(V36-W36))</f>
        <v>697</v>
      </c>
      <c r="AA36" s="10">
        <f>IF((W36-V36)&lt;0,0,(W36-V36))</f>
        <v>0</v>
      </c>
    </row>
    <row r="37" spans="1:27" ht="19.5">
      <c r="A37" s="8">
        <v>9</v>
      </c>
      <c r="B37" s="9" t="s">
        <v>85</v>
      </c>
      <c r="C37" s="8">
        <v>99</v>
      </c>
      <c r="D37" s="10">
        <f>Table14[[#This Row],[Enrolment S.Y. 2025-2026 ]]*8</f>
        <v>792</v>
      </c>
      <c r="E37" s="10"/>
      <c r="F37" s="8"/>
      <c r="G37" s="10"/>
      <c r="H37" s="10">
        <f t="shared" si="16"/>
        <v>792</v>
      </c>
      <c r="I37" s="10">
        <f t="shared" si="17"/>
        <v>0</v>
      </c>
      <c r="J37" s="10">
        <f>Table14[[#This Row],[Enrolment S.Y. 2025-2026 ]]*8</f>
        <v>792</v>
      </c>
      <c r="K37" s="10"/>
      <c r="L37" s="8"/>
      <c r="M37" s="10"/>
      <c r="N37" s="10">
        <f t="shared" si="20"/>
        <v>792</v>
      </c>
      <c r="O37" s="10">
        <f t="shared" si="21"/>
        <v>0</v>
      </c>
      <c r="P37" s="10">
        <f>Table14[[#This Row],[Enrolment S.Y. 2025-2026 ]]*8</f>
        <v>792</v>
      </c>
      <c r="Q37" s="10"/>
      <c r="R37" s="8"/>
      <c r="S37" s="10"/>
      <c r="T37" s="10">
        <f t="shared" si="10"/>
        <v>792</v>
      </c>
      <c r="U37" s="10">
        <f t="shared" si="11"/>
        <v>0</v>
      </c>
      <c r="V37" s="10">
        <f>Table14[[#This Row],[Enrolment S.Y. 2025-2026 ]]*8</f>
        <v>792</v>
      </c>
      <c r="W37" s="10">
        <v>95</v>
      </c>
      <c r="X37" s="8">
        <v>2025</v>
      </c>
      <c r="Y37" s="10" t="s">
        <v>86</v>
      </c>
      <c r="Z37" s="10">
        <f t="shared" si="12"/>
        <v>697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102</v>
      </c>
      <c r="D39" s="10">
        <f>Table14[[#This Row],[Enrolment S.Y. 2025-2026 ]]*8</f>
        <v>816</v>
      </c>
      <c r="E39" s="10">
        <v>32</v>
      </c>
      <c r="F39" s="8">
        <v>2025</v>
      </c>
      <c r="G39" s="10" t="s">
        <v>86</v>
      </c>
      <c r="H39" s="10">
        <f t="shared" si="16"/>
        <v>784</v>
      </c>
      <c r="I39" s="10">
        <f t="shared" si="17"/>
        <v>0</v>
      </c>
      <c r="J39" s="10">
        <f>Table14[[#This Row],[Enrolment S.Y. 2025-2026 ]]*8</f>
        <v>816</v>
      </c>
      <c r="K39" s="10">
        <v>168</v>
      </c>
      <c r="L39" s="8">
        <v>2025</v>
      </c>
      <c r="M39" s="10" t="s">
        <v>86</v>
      </c>
      <c r="N39" s="10">
        <f t="shared" si="14"/>
        <v>648</v>
      </c>
      <c r="O39" s="10">
        <f t="shared" si="15"/>
        <v>0</v>
      </c>
      <c r="P39" s="10">
        <f>Table14[[#This Row],[Enrolment S.Y. 2025-2026 ]]*8</f>
        <v>816</v>
      </c>
      <c r="Q39" s="10"/>
      <c r="R39" s="8"/>
      <c r="S39" s="10"/>
      <c r="T39" s="10">
        <f t="shared" si="10"/>
        <v>816</v>
      </c>
      <c r="U39" s="10">
        <f t="shared" si="11"/>
        <v>0</v>
      </c>
      <c r="V39" s="10">
        <f>Table14[[#This Row],[Enrolment S.Y. 2025-2026 ]]*8</f>
        <v>816</v>
      </c>
      <c r="W39" s="10"/>
      <c r="X39" s="8"/>
      <c r="Y39" s="10"/>
      <c r="Z39" s="10">
        <f t="shared" si="12"/>
        <v>816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102</v>
      </c>
      <c r="D40" s="10">
        <f>Table14[[#This Row],[Enrolment S.Y. 2025-2026 ]]*8</f>
        <v>816</v>
      </c>
      <c r="E40" s="10">
        <v>28</v>
      </c>
      <c r="F40" s="8">
        <v>2025</v>
      </c>
      <c r="G40" s="10" t="s">
        <v>86</v>
      </c>
      <c r="H40" s="10">
        <f t="shared" si="16"/>
        <v>788</v>
      </c>
      <c r="I40" s="10">
        <f t="shared" si="17"/>
        <v>0</v>
      </c>
      <c r="J40" s="10">
        <f>Table14[[#This Row],[Enrolment S.Y. 2025-2026 ]]*8</f>
        <v>816</v>
      </c>
      <c r="K40" s="10"/>
      <c r="L40" s="8"/>
      <c r="M40" s="10"/>
      <c r="N40" s="10">
        <f t="shared" si="14"/>
        <v>816</v>
      </c>
      <c r="O40" s="10">
        <f t="shared" si="15"/>
        <v>0</v>
      </c>
      <c r="P40" s="10">
        <f>Table14[[#This Row],[Enrolment S.Y. 2025-2026 ]]*8</f>
        <v>816</v>
      </c>
      <c r="Q40" s="10"/>
      <c r="R40" s="8"/>
      <c r="S40" s="10"/>
      <c r="T40" s="10">
        <f t="shared" si="10"/>
        <v>816</v>
      </c>
      <c r="U40" s="10">
        <f t="shared" si="11"/>
        <v>0</v>
      </c>
      <c r="V40" s="10">
        <f>Table14[[#This Row],[Enrolment S.Y. 2025-2026 ]]*8</f>
        <v>816</v>
      </c>
      <c r="W40" s="10"/>
      <c r="X40" s="8"/>
      <c r="Y40" s="10"/>
      <c r="Z40" s="10">
        <f t="shared" si="12"/>
        <v>816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102</v>
      </c>
      <c r="D41" s="10">
        <f>Table14[[#This Row],[Enrolment S.Y. 2025-2026 ]]*8</f>
        <v>816</v>
      </c>
      <c r="E41" s="10"/>
      <c r="F41" s="8"/>
      <c r="G41" s="10"/>
      <c r="H41" s="10">
        <f t="shared" si="16"/>
        <v>816</v>
      </c>
      <c r="I41" s="10">
        <f t="shared" si="17"/>
        <v>0</v>
      </c>
      <c r="J41" s="10">
        <f>Table14[[#This Row],[Enrolment S.Y. 2025-2026 ]]*8</f>
        <v>816</v>
      </c>
      <c r="K41" s="10">
        <v>189</v>
      </c>
      <c r="L41" s="8">
        <v>2025</v>
      </c>
      <c r="M41" s="10" t="s">
        <v>86</v>
      </c>
      <c r="N41" s="10">
        <f t="shared" si="14"/>
        <v>627</v>
      </c>
      <c r="O41" s="10">
        <f t="shared" si="15"/>
        <v>0</v>
      </c>
      <c r="P41" s="10">
        <f>Table14[[#This Row],[Enrolment S.Y. 2025-2026 ]]*8</f>
        <v>816</v>
      </c>
      <c r="Q41" s="10"/>
      <c r="R41" s="8"/>
      <c r="S41" s="10"/>
      <c r="T41" s="10">
        <f t="shared" si="10"/>
        <v>816</v>
      </c>
      <c r="U41" s="10">
        <f t="shared" si="11"/>
        <v>0</v>
      </c>
      <c r="V41" s="10">
        <f>Table14[[#This Row],[Enrolment S.Y. 2025-2026 ]]*8</f>
        <v>816</v>
      </c>
      <c r="W41" s="10"/>
      <c r="X41" s="8"/>
      <c r="Y41" s="10"/>
      <c r="Z41" s="10">
        <f t="shared" si="12"/>
        <v>816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82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83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84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85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N27:R37 T27:X37 D39:F49 N3:R13 N15:R25 P2:R2 D15:F25 D27:F37 D51:F58 N39:R49 V2:X2 T3:X13 Z3:AA13 H3:L13 T15:X25 Z15:AA25 H15:L25 Z27:AA37 H27:L37 T39:X49 Z39:AA49 H39:L49 N51:R58 T51:X58 Z51:AA58 H51:L58 D2:F13" name="LAS"/>
    <protectedRange sqref="G2:I2 M2:O2 S2:U2 Y2:AA2 S51:S58 S27:S37 Y27:Y37 G39:G49 Y3:Y13 G3:G13 M3:M13 S3:S13 Y15:Y25 G15:G25 M15:M25 S15:S25 G27:G37 M27:M37 Y39:Y49 M39:M49 S39:S49 Y51:Y58 G51:G58 M51:M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:S37 M51:M58 M27:M37 G27:G37 Y27:Y37 Y39:Y49 S39:S49 M39:M49 G39:G49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2026-04-13T08:10:42Z</dcterms:modified>
  <cp:category/>
  <cp:contentStatus/>
</cp:coreProperties>
</file>