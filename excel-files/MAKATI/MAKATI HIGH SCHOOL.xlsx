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39" documentId="13_ncr:1_{BFB59F67-F0DC-4675-A682-EB0734A8026A}" xr6:coauthVersionLast="47" xr6:coauthVersionMax="47" xr10:uidLastSave="{1321B998-E8C5-4714-81FF-D5682700225D}"/>
  <bookViews>
    <workbookView xWindow="960" yWindow="0" windowWidth="14100" windowHeight="1539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T112" i="5" s="1"/>
  <c r="P113" i="5"/>
  <c r="U113" i="5" s="1"/>
  <c r="P97" i="5"/>
  <c r="T97" i="5" s="1"/>
  <c r="P98" i="5"/>
  <c r="P99" i="5"/>
  <c r="U99" i="5" s="1"/>
  <c r="P100" i="5"/>
  <c r="T100" i="5" s="1"/>
  <c r="P101" i="5"/>
  <c r="P84" i="5"/>
  <c r="P85" i="5"/>
  <c r="T85" i="5" s="1"/>
  <c r="P86" i="5"/>
  <c r="U86" i="5" s="1"/>
  <c r="P87" i="5"/>
  <c r="P88" i="5"/>
  <c r="P89" i="5"/>
  <c r="P71" i="5"/>
  <c r="U71" i="5" s="1"/>
  <c r="P72" i="5"/>
  <c r="P73" i="5"/>
  <c r="P74" i="5"/>
  <c r="U74" i="5" s="1"/>
  <c r="P75" i="5"/>
  <c r="P76" i="5"/>
  <c r="T76" i="5" s="1"/>
  <c r="P77" i="5"/>
  <c r="U77" i="5" s="1"/>
  <c r="P61" i="5"/>
  <c r="T61" i="5" s="1"/>
  <c r="P62" i="5"/>
  <c r="U62" i="5" s="1"/>
  <c r="P63" i="5"/>
  <c r="P64" i="5"/>
  <c r="P65" i="5"/>
  <c r="U65" i="5" s="1"/>
  <c r="P48" i="5"/>
  <c r="U48" i="5" s="1"/>
  <c r="P49" i="5"/>
  <c r="U49" i="5" s="1"/>
  <c r="P50" i="5"/>
  <c r="P51" i="5"/>
  <c r="P52" i="5"/>
  <c r="U52" i="5" s="1"/>
  <c r="P53" i="5"/>
  <c r="U53" i="5" s="1"/>
  <c r="P36" i="5"/>
  <c r="U36" i="5" s="1"/>
  <c r="P37" i="5"/>
  <c r="U37" i="5" s="1"/>
  <c r="P38" i="5"/>
  <c r="U38" i="5" s="1"/>
  <c r="P39" i="5"/>
  <c r="P40" i="5"/>
  <c r="U40" i="5" s="1"/>
  <c r="P41" i="5"/>
  <c r="D112" i="5"/>
  <c r="H112" i="5" s="1"/>
  <c r="J112" i="5"/>
  <c r="V112" i="5"/>
  <c r="Z112" i="5" s="1"/>
  <c r="D109" i="5"/>
  <c r="H109" i="5" s="1"/>
  <c r="J109" i="5"/>
  <c r="N109" i="5" s="1"/>
  <c r="V109" i="5"/>
  <c r="Z109" i="5" s="1"/>
  <c r="D88" i="5"/>
  <c r="H88" i="5" s="1"/>
  <c r="J88" i="5"/>
  <c r="N88" i="5" s="1"/>
  <c r="T88" i="5"/>
  <c r="V88" i="5"/>
  <c r="Z88" i="5" s="1"/>
  <c r="D100" i="5"/>
  <c r="H100" i="5" s="1"/>
  <c r="J100" i="5"/>
  <c r="N100" i="5" s="1"/>
  <c r="V100" i="5"/>
  <c r="Z100" i="5" s="1"/>
  <c r="D97" i="5"/>
  <c r="H97" i="5" s="1"/>
  <c r="J97" i="5"/>
  <c r="N97" i="5" s="1"/>
  <c r="V97" i="5"/>
  <c r="Z97" i="5" s="1"/>
  <c r="D85" i="5"/>
  <c r="H85" i="5" s="1"/>
  <c r="J85" i="5"/>
  <c r="N85" i="5" s="1"/>
  <c r="V85" i="5"/>
  <c r="Z85" i="5" s="1"/>
  <c r="D76" i="5"/>
  <c r="H76" i="5" s="1"/>
  <c r="J76" i="5"/>
  <c r="V76" i="5"/>
  <c r="Z76" i="5" s="1"/>
  <c r="D73" i="5"/>
  <c r="H73" i="5" s="1"/>
  <c r="J73" i="5"/>
  <c r="N73" i="5" s="1"/>
  <c r="T73" i="5"/>
  <c r="V73" i="5"/>
  <c r="Z73" i="5" s="1"/>
  <c r="D64" i="5"/>
  <c r="H64" i="5" s="1"/>
  <c r="J64" i="5"/>
  <c r="N64" i="5" s="1"/>
  <c r="T64" i="5"/>
  <c r="V64" i="5"/>
  <c r="Z64" i="5" s="1"/>
  <c r="D61" i="5"/>
  <c r="H61" i="5" s="1"/>
  <c r="J61" i="5"/>
  <c r="O61" i="5" s="1"/>
  <c r="V61" i="5"/>
  <c r="Z61" i="5" s="1"/>
  <c r="D52" i="5"/>
  <c r="H52" i="5" s="1"/>
  <c r="J52" i="5"/>
  <c r="N52" i="5" s="1"/>
  <c r="V52" i="5"/>
  <c r="Z52" i="5" s="1"/>
  <c r="D49" i="5"/>
  <c r="H49" i="5" s="1"/>
  <c r="J49" i="5"/>
  <c r="V49" i="5"/>
  <c r="Z49" i="5" s="1"/>
  <c r="D40" i="5"/>
  <c r="H40" i="5" s="1"/>
  <c r="J40" i="5"/>
  <c r="N40" i="5" s="1"/>
  <c r="V40" i="5"/>
  <c r="Z40" i="5" s="1"/>
  <c r="D37" i="5"/>
  <c r="H37" i="5" s="1"/>
  <c r="J37" i="5"/>
  <c r="N37" i="5" s="1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J113" i="5"/>
  <c r="N113" i="5" s="1"/>
  <c r="D113" i="5"/>
  <c r="I113" i="5" s="1"/>
  <c r="V111" i="5"/>
  <c r="Z111" i="5" s="1"/>
  <c r="J111" i="5"/>
  <c r="D111" i="5"/>
  <c r="I111" i="5" s="1"/>
  <c r="V110" i="5"/>
  <c r="AA110" i="5" s="1"/>
  <c r="J110" i="5"/>
  <c r="O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N101" i="5" s="1"/>
  <c r="D101" i="5"/>
  <c r="I101" i="5" s="1"/>
  <c r="V99" i="5"/>
  <c r="AA99" i="5" s="1"/>
  <c r="J99" i="5"/>
  <c r="N99" i="5" s="1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N89" i="5" s="1"/>
  <c r="D89" i="5"/>
  <c r="I89" i="5" s="1"/>
  <c r="V87" i="5"/>
  <c r="AA87" i="5" s="1"/>
  <c r="J87" i="5"/>
  <c r="N87" i="5" s="1"/>
  <c r="D87" i="5"/>
  <c r="I87" i="5" s="1"/>
  <c r="V86" i="5"/>
  <c r="AA86" i="5" s="1"/>
  <c r="J86" i="5"/>
  <c r="D86" i="5"/>
  <c r="I86" i="5" s="1"/>
  <c r="V84" i="5"/>
  <c r="AA84" i="5" s="1"/>
  <c r="J84" i="5"/>
  <c r="N84" i="5" s="1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J77" i="5"/>
  <c r="D77" i="5"/>
  <c r="I77" i="5" s="1"/>
  <c r="V75" i="5"/>
  <c r="AA75" i="5" s="1"/>
  <c r="U75" i="5"/>
  <c r="J75" i="5"/>
  <c r="N75" i="5" s="1"/>
  <c r="D75" i="5"/>
  <c r="H75" i="5" s="1"/>
  <c r="V74" i="5"/>
  <c r="Z74" i="5" s="1"/>
  <c r="J74" i="5"/>
  <c r="N74" i="5" s="1"/>
  <c r="D74" i="5"/>
  <c r="I74" i="5" s="1"/>
  <c r="V72" i="5"/>
  <c r="Z72" i="5" s="1"/>
  <c r="U72" i="5"/>
  <c r="J72" i="5"/>
  <c r="O72" i="5" s="1"/>
  <c r="D72" i="5"/>
  <c r="I72" i="5" s="1"/>
  <c r="V71" i="5"/>
  <c r="AA71" i="5" s="1"/>
  <c r="J71" i="5"/>
  <c r="N71" i="5" s="1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J65" i="5"/>
  <c r="N65" i="5" s="1"/>
  <c r="D65" i="5"/>
  <c r="I65" i="5" s="1"/>
  <c r="V63" i="5"/>
  <c r="AA63" i="5" s="1"/>
  <c r="U63" i="5"/>
  <c r="J63" i="5"/>
  <c r="N63" i="5" s="1"/>
  <c r="D63" i="5"/>
  <c r="I63" i="5" s="1"/>
  <c r="V62" i="5"/>
  <c r="AA62" i="5" s="1"/>
  <c r="J62" i="5"/>
  <c r="N62" i="5" s="1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J53" i="5"/>
  <c r="D53" i="5"/>
  <c r="I53" i="5" s="1"/>
  <c r="V51" i="5"/>
  <c r="AA51" i="5" s="1"/>
  <c r="U51" i="5"/>
  <c r="J51" i="5"/>
  <c r="N51" i="5" s="1"/>
  <c r="D51" i="5"/>
  <c r="I51" i="5" s="1"/>
  <c r="V50" i="5"/>
  <c r="AA50" i="5" s="1"/>
  <c r="U50" i="5"/>
  <c r="J50" i="5"/>
  <c r="N50" i="5" s="1"/>
  <c r="D50" i="5"/>
  <c r="I50" i="5" s="1"/>
  <c r="V48" i="5"/>
  <c r="AA48" i="5" s="1"/>
  <c r="J48" i="5"/>
  <c r="N48" i="5" s="1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O41" i="5" s="1"/>
  <c r="D41" i="5"/>
  <c r="I41" i="5" s="1"/>
  <c r="V39" i="5"/>
  <c r="AA39" i="5" s="1"/>
  <c r="U39" i="5"/>
  <c r="J39" i="5"/>
  <c r="O39" i="5" s="1"/>
  <c r="D39" i="5"/>
  <c r="H39" i="5" s="1"/>
  <c r="V38" i="5"/>
  <c r="AA38" i="5" s="1"/>
  <c r="J38" i="5"/>
  <c r="D38" i="5"/>
  <c r="I38" i="5" s="1"/>
  <c r="V36" i="5"/>
  <c r="Z36" i="5" s="1"/>
  <c r="J36" i="5"/>
  <c r="N36" i="5" s="1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8" i="5" l="1"/>
  <c r="O38" i="5"/>
  <c r="O53" i="5"/>
  <c r="N53" i="5"/>
  <c r="N77" i="5"/>
  <c r="O77" i="5"/>
  <c r="N86" i="5"/>
  <c r="O86" i="5"/>
  <c r="N98" i="5"/>
  <c r="O98" i="5"/>
  <c r="N111" i="5"/>
  <c r="O111" i="5"/>
  <c r="N49" i="5"/>
  <c r="O49" i="5"/>
  <c r="N76" i="5"/>
  <c r="O76" i="5"/>
  <c r="N112" i="5"/>
  <c r="O112" i="5"/>
  <c r="O3" i="4"/>
  <c r="N3" i="4"/>
  <c r="N61" i="5"/>
  <c r="O84" i="5"/>
  <c r="O101" i="5"/>
  <c r="U109" i="5"/>
  <c r="O50" i="5"/>
  <c r="O100" i="5"/>
  <c r="N72" i="5"/>
  <c r="O36" i="5"/>
  <c r="O99" i="5"/>
  <c r="O71" i="5"/>
  <c r="N39" i="5"/>
  <c r="O88" i="5"/>
  <c r="O65" i="5"/>
  <c r="O75" i="5"/>
  <c r="O87" i="5"/>
  <c r="O37" i="5"/>
  <c r="O89" i="5"/>
  <c r="O48" i="5"/>
  <c r="O64" i="5"/>
  <c r="O74" i="5"/>
  <c r="N41" i="5"/>
  <c r="O52" i="5"/>
  <c r="O63" i="5"/>
  <c r="O97" i="5"/>
  <c r="O40" i="5"/>
  <c r="O73" i="5"/>
  <c r="O51" i="5"/>
  <c r="O85" i="5"/>
  <c r="O62" i="5"/>
  <c r="O113" i="5"/>
  <c r="N110" i="5"/>
  <c r="U112" i="5"/>
  <c r="O109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<sst xmlns="http://schemas.openxmlformats.org/spreadsheetml/2006/main" count="449" uniqueCount="92">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</sst>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835</v>
      </c>
      <c r="D51" s="10">
        <v>857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22</v>
      </c>
    </row>
    <row r="52" spans="1:10" ht="27.75" customHeight="1">
      <c r="A52" s="10">
        <v>7</v>
      </c>
      <c r="B52" s="11" t="s">
        <v>15</v>
      </c>
      <c r="C52" s="10">
        <v>835</v>
      </c>
      <c r="D52" s="10"/>
      <c r="E52" s="10"/>
      <c r="F52" s="12"/>
      <c r="G52" s="3">
        <f t="shared" si="10"/>
        <v>835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835</v>
      </c>
      <c r="D53" s="10">
        <v>857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22</v>
      </c>
    </row>
    <row r="54" spans="1:10" ht="27.75" customHeight="1">
      <c r="A54" s="10">
        <v>7</v>
      </c>
      <c r="B54" s="11" t="s">
        <v>21</v>
      </c>
      <c r="C54" s="10">
        <v>835</v>
      </c>
      <c r="D54" s="10">
        <v>857</v>
      </c>
      <c r="E54" s="10"/>
      <c r="F54" s="12" t="s">
        <v>20</v>
      </c>
      <c r="G54" s="3">
        <f t="shared" si="10"/>
        <v>0</v>
      </c>
      <c r="H54" s="4">
        <f t="shared" si="11"/>
        <v>22</v>
      </c>
      <c r="J54">
        <v>2026</v>
      </c>
    </row>
    <row r="55" spans="1:10" ht="39" customHeight="1">
      <c r="A55" s="10">
        <v>7</v>
      </c>
      <c r="B55" s="11" t="s">
        <v>16</v>
      </c>
      <c r="C55" s="10">
        <v>835</v>
      </c>
      <c r="D55" s="10">
        <v>857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22</v>
      </c>
    </row>
    <row r="56" spans="1:10" ht="27.75" customHeight="1">
      <c r="A56" s="10">
        <v>7</v>
      </c>
      <c r="B56" s="11" t="s">
        <v>13</v>
      </c>
      <c r="C56" s="10">
        <v>835</v>
      </c>
      <c r="D56" s="10">
        <v>857</v>
      </c>
      <c r="E56" s="10"/>
      <c r="F56" s="12" t="s">
        <v>20</v>
      </c>
      <c r="G56" s="3">
        <f t="shared" si="10"/>
        <v>0</v>
      </c>
      <c r="H56" s="4">
        <f t="shared" si="11"/>
        <v>22</v>
      </c>
    </row>
    <row r="57" spans="1:10" ht="27.75" customHeight="1">
      <c r="A57" s="10">
        <v>7</v>
      </c>
      <c r="B57" s="11" t="s">
        <v>17</v>
      </c>
      <c r="C57" s="10">
        <v>835</v>
      </c>
      <c r="D57" s="10">
        <v>857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22</v>
      </c>
    </row>
    <row r="58" spans="1:10" ht="27.75" customHeight="1">
      <c r="A58" s="10">
        <v>7</v>
      </c>
      <c r="B58" s="11" t="s">
        <v>22</v>
      </c>
      <c r="C58" s="10">
        <v>835</v>
      </c>
      <c r="D58" s="10">
        <v>857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22</v>
      </c>
    </row>
    <row r="59" spans="1:10" ht="27.75" customHeight="1">
      <c r="A59" s="10">
        <v>7</v>
      </c>
      <c r="B59" s="11" t="s">
        <v>19</v>
      </c>
      <c r="C59" s="10">
        <v>835</v>
      </c>
      <c r="D59" s="10">
        <v>857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22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>
        <v>723</v>
      </c>
      <c r="D61" s="10"/>
      <c r="E61" s="10"/>
      <c r="F61" s="12"/>
      <c r="G61" s="3">
        <f t="shared" ref="G61:G69" si="12">IF((C61-D61)&lt;0,0,C61-D61)</f>
        <v>723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>
        <v>723</v>
      </c>
      <c r="D62" s="10"/>
      <c r="E62" s="10"/>
      <c r="F62" s="12"/>
      <c r="G62" s="3">
        <f t="shared" si="12"/>
        <v>723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>
        <v>723</v>
      </c>
      <c r="D63" s="10">
        <v>594</v>
      </c>
      <c r="E63" s="10">
        <v>2025</v>
      </c>
      <c r="F63" s="12" t="s">
        <v>20</v>
      </c>
      <c r="G63" s="3">
        <f t="shared" si="12"/>
        <v>129</v>
      </c>
      <c r="H63" s="4">
        <f t="shared" si="13"/>
        <v>0</v>
      </c>
    </row>
    <row r="64" spans="1:10" ht="27.75" customHeight="1">
      <c r="A64" s="10">
        <v>8</v>
      </c>
      <c r="B64" s="11" t="s">
        <v>21</v>
      </c>
      <c r="C64" s="10">
        <v>723</v>
      </c>
      <c r="D64" s="10">
        <v>594</v>
      </c>
      <c r="E64" s="10">
        <v>2025</v>
      </c>
      <c r="F64" s="12" t="s">
        <v>20</v>
      </c>
      <c r="G64" s="3">
        <f t="shared" si="12"/>
        <v>129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723</v>
      </c>
      <c r="D65" s="10"/>
      <c r="E65" s="10"/>
      <c r="F65" s="12"/>
      <c r="G65" s="3">
        <f t="shared" si="12"/>
        <v>723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723</v>
      </c>
      <c r="D66" s="10"/>
      <c r="E66" s="10"/>
      <c r="F66" s="12"/>
      <c r="G66" s="3">
        <f t="shared" si="12"/>
        <v>723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723</v>
      </c>
      <c r="D67" s="10"/>
      <c r="E67" s="10"/>
      <c r="F67" s="12"/>
      <c r="G67" s="3">
        <f t="shared" si="12"/>
        <v>723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723</v>
      </c>
      <c r="D68" s="10"/>
      <c r="E68" s="10"/>
      <c r="F68" s="12"/>
      <c r="G68" s="3">
        <f t="shared" si="12"/>
        <v>723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723</v>
      </c>
      <c r="D69" s="10"/>
      <c r="E69" s="10"/>
      <c r="F69" s="12"/>
      <c r="G69" s="3">
        <f t="shared" si="12"/>
        <v>723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626</v>
      </c>
      <c r="D91" s="1">
        <v>853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227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582</v>
      </c>
      <c r="D94" s="1">
        <v>853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271</v>
      </c>
    </row>
    <row r="95" spans="1:8" ht="40.5" customHeight="1">
      <c r="A95" s="1" t="s">
        <v>24</v>
      </c>
      <c r="B95" s="9" t="s">
        <v>29</v>
      </c>
      <c r="C95" s="1">
        <v>582</v>
      </c>
      <c r="D95" s="1">
        <v>853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271</v>
      </c>
    </row>
    <row r="96" spans="1:8" ht="38.25" customHeight="1">
      <c r="A96" s="1" t="s">
        <v>24</v>
      </c>
      <c r="B96" s="9" t="s">
        <v>30</v>
      </c>
      <c r="C96" s="1">
        <v>626</v>
      </c>
      <c r="D96" s="1">
        <v>853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227</v>
      </c>
    </row>
    <row r="97" spans="1:8" ht="27.75" customHeight="1">
      <c r="A97" s="1" t="s">
        <v>24</v>
      </c>
      <c r="B97" s="9" t="s">
        <v>31</v>
      </c>
      <c r="C97" s="1">
        <v>582</v>
      </c>
      <c r="D97" s="1">
        <v>853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271</v>
      </c>
    </row>
    <row r="98" spans="1:8" ht="47.25" customHeight="1">
      <c r="A98" s="1" t="s">
        <v>24</v>
      </c>
      <c r="B98" s="9" t="s">
        <v>32</v>
      </c>
      <c r="C98" s="1">
        <v>626</v>
      </c>
      <c r="D98" s="1">
        <v>853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227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91:F98 F51:F59 F71:F79 F81:F89 F2:F6 F8:F12 F61:F6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K97" activePane="bottomRight" state="frozen"/>
      <selection pane="bottomRight" activeCell="X127" sqref="X127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853</v>
      </c>
      <c r="D63" s="12">
        <f>Table1[[#This Row],[Enrolment S.Y. 2025-2026 ]]*8</f>
        <v>6824</v>
      </c>
      <c r="E63" s="12">
        <v>1570</v>
      </c>
      <c r="F63" s="10">
        <v>2024</v>
      </c>
      <c r="G63" s="12" t="s">
        <v>63</v>
      </c>
      <c r="H63" s="12">
        <f t="shared" si="2"/>
        <v>5254</v>
      </c>
      <c r="I63" s="12">
        <f t="shared" si="3"/>
        <v>0</v>
      </c>
      <c r="J63" s="12">
        <f>Table1[[#This Row],[Enrolment S.Y. 2025-2026 ]]*8</f>
        <v>6824</v>
      </c>
      <c r="K63" s="12"/>
      <c r="L63" s="10"/>
      <c r="M63" s="12"/>
      <c r="N63" s="12">
        <f t="shared" si="10"/>
        <v>6824</v>
      </c>
      <c r="O63" s="12">
        <f t="shared" si="11"/>
        <v>0</v>
      </c>
      <c r="P63" s="12">
        <f>Table1[[#This Row],[Enrolment S.Y. 2025-2026 ]]*8</f>
        <v>6824</v>
      </c>
      <c r="Q63" s="12"/>
      <c r="R63" s="10"/>
      <c r="S63" s="12"/>
      <c r="T63" s="12">
        <f t="shared" si="12"/>
        <v>6824</v>
      </c>
      <c r="U63" s="12">
        <f t="shared" si="13"/>
        <v>0</v>
      </c>
      <c r="V63" s="12">
        <f>Table1[[#This Row],[Enrolment S.Y. 2025-2026 ]]*8</f>
        <v>6824</v>
      </c>
      <c r="W63" s="12"/>
      <c r="X63" s="10"/>
      <c r="Y63" s="12"/>
      <c r="Z63" s="12">
        <f t="shared" si="14"/>
        <v>6824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853</v>
      </c>
      <c r="D64" s="12">
        <f>Table1[[#This Row],[Enrolment S.Y. 2025-2026 ]]*8</f>
        <v>6824</v>
      </c>
      <c r="E64" s="12">
        <v>1982</v>
      </c>
      <c r="F64" s="10"/>
      <c r="G64" s="12"/>
      <c r="H64" s="12">
        <f t="shared" si="2"/>
        <v>4842</v>
      </c>
      <c r="I64" s="12">
        <f t="shared" si="3"/>
        <v>0</v>
      </c>
      <c r="J64" s="12">
        <f>Table1[[#This Row],[Enrolment S.Y. 2025-2026 ]]*8</f>
        <v>6824</v>
      </c>
      <c r="K64" s="12"/>
      <c r="L64" s="10"/>
      <c r="M64" s="12"/>
      <c r="N64" s="12">
        <f t="shared" si="10"/>
        <v>6824</v>
      </c>
      <c r="O64" s="12">
        <f t="shared" si="11"/>
        <v>0</v>
      </c>
      <c r="P64" s="12">
        <f>Table1[[#This Row],[Enrolment S.Y. 2025-2026 ]]*8</f>
        <v>6824</v>
      </c>
      <c r="Q64" s="12"/>
      <c r="R64" s="10"/>
      <c r="S64" s="12"/>
      <c r="T64" s="12">
        <f t="shared" si="12"/>
        <v>6824</v>
      </c>
      <c r="U64" s="12">
        <f t="shared" si="13"/>
        <v>0</v>
      </c>
      <c r="V64" s="12">
        <f>Table1[[#This Row],[Enrolment S.Y. 2025-2026 ]]*8</f>
        <v>6824</v>
      </c>
      <c r="W64" s="12"/>
      <c r="X64" s="10"/>
      <c r="Y64" s="12"/>
      <c r="Z64" s="12">
        <f t="shared" si="14"/>
        <v>6824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853</v>
      </c>
      <c r="D65" s="12">
        <f>Table1[[#This Row],[Enrolment S.Y. 2025-2026 ]]*8</f>
        <v>6824</v>
      </c>
      <c r="E65" s="12"/>
      <c r="F65" s="10"/>
      <c r="G65" s="12"/>
      <c r="H65" s="12">
        <f t="shared" si="2"/>
        <v>6824</v>
      </c>
      <c r="I65" s="12">
        <f t="shared" si="3"/>
        <v>0</v>
      </c>
      <c r="J65" s="12">
        <f>Table1[[#This Row],[Enrolment S.Y. 2025-2026 ]]*8</f>
        <v>6824</v>
      </c>
      <c r="K65" s="12"/>
      <c r="L65" s="10"/>
      <c r="M65" s="12"/>
      <c r="N65" s="12">
        <f t="shared" si="10"/>
        <v>6824</v>
      </c>
      <c r="O65" s="12">
        <f t="shared" si="11"/>
        <v>0</v>
      </c>
      <c r="P65" s="12">
        <f>Table1[[#This Row],[Enrolment S.Y. 2025-2026 ]]*8</f>
        <v>6824</v>
      </c>
      <c r="Q65" s="12"/>
      <c r="R65" s="10"/>
      <c r="S65" s="12"/>
      <c r="T65" s="12">
        <f t="shared" si="12"/>
        <v>6824</v>
      </c>
      <c r="U65" s="12">
        <f t="shared" si="13"/>
        <v>0</v>
      </c>
      <c r="V65" s="12">
        <f>Table1[[#This Row],[Enrolment S.Y. 2025-2026 ]]*8</f>
        <v>6824</v>
      </c>
      <c r="W65" s="12"/>
      <c r="X65" s="10"/>
      <c r="Y65" s="12"/>
      <c r="Z65" s="12">
        <f t="shared" si="14"/>
        <v>6824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853</v>
      </c>
      <c r="D66" s="12">
        <f>Table1[[#This Row],[Enrolment S.Y. 2025-2026 ]]*8</f>
        <v>6824</v>
      </c>
      <c r="E66" s="12">
        <v>2154</v>
      </c>
      <c r="F66" s="10"/>
      <c r="G66" s="12"/>
      <c r="H66" s="12">
        <f t="shared" si="2"/>
        <v>4670</v>
      </c>
      <c r="I66" s="12">
        <f t="shared" si="3"/>
        <v>0</v>
      </c>
      <c r="J66" s="12">
        <f>Table1[[#This Row],[Enrolment S.Y. 2025-2026 ]]*8</f>
        <v>6824</v>
      </c>
      <c r="K66" s="12"/>
      <c r="L66" s="10"/>
      <c r="M66" s="12"/>
      <c r="N66" s="12">
        <f t="shared" si="10"/>
        <v>6824</v>
      </c>
      <c r="O66" s="12">
        <f t="shared" si="11"/>
        <v>0</v>
      </c>
      <c r="P66" s="12">
        <f>Table1[[#This Row],[Enrolment S.Y. 2025-2026 ]]*8</f>
        <v>6824</v>
      </c>
      <c r="Q66" s="12"/>
      <c r="R66" s="10"/>
      <c r="S66" s="12"/>
      <c r="T66" s="12">
        <f t="shared" si="12"/>
        <v>6824</v>
      </c>
      <c r="U66" s="12">
        <f t="shared" si="13"/>
        <v>0</v>
      </c>
      <c r="V66" s="12">
        <f>Table1[[#This Row],[Enrolment S.Y. 2025-2026 ]]*8</f>
        <v>6824</v>
      </c>
      <c r="W66" s="12"/>
      <c r="X66" s="10"/>
      <c r="Y66" s="12"/>
      <c r="Z66" s="12">
        <f t="shared" si="14"/>
        <v>6824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853</v>
      </c>
      <c r="D67" s="12">
        <f>Table1[[#This Row],[Enrolment S.Y. 2025-2026 ]]*8</f>
        <v>6824</v>
      </c>
      <c r="E67" s="12">
        <v>1897</v>
      </c>
      <c r="F67" s="10">
        <v>2024</v>
      </c>
      <c r="G67" s="12" t="s">
        <v>63</v>
      </c>
      <c r="H67" s="12">
        <f t="shared" si="2"/>
        <v>4927</v>
      </c>
      <c r="I67" s="12">
        <f t="shared" si="3"/>
        <v>0</v>
      </c>
      <c r="J67" s="12">
        <f>Table1[[#This Row],[Enrolment S.Y. 2025-2026 ]]*8</f>
        <v>6824</v>
      </c>
      <c r="K67" s="12"/>
      <c r="L67" s="10"/>
      <c r="M67" s="12"/>
      <c r="N67" s="12">
        <f t="shared" si="10"/>
        <v>6824</v>
      </c>
      <c r="O67" s="12">
        <f t="shared" si="11"/>
        <v>0</v>
      </c>
      <c r="P67" s="12">
        <f>Table1[[#This Row],[Enrolment S.Y. 2025-2026 ]]*8</f>
        <v>6824</v>
      </c>
      <c r="Q67" s="12"/>
      <c r="R67" s="10"/>
      <c r="S67" s="12"/>
      <c r="T67" s="12">
        <f t="shared" si="12"/>
        <v>6824</v>
      </c>
      <c r="U67" s="12">
        <f t="shared" si="13"/>
        <v>0</v>
      </c>
      <c r="V67" s="12">
        <f>Table1[[#This Row],[Enrolment S.Y. 2025-2026 ]]*8</f>
        <v>6824</v>
      </c>
      <c r="W67" s="12"/>
      <c r="X67" s="10"/>
      <c r="Y67" s="12"/>
      <c r="Z67" s="12">
        <f t="shared" si="14"/>
        <v>6824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853</v>
      </c>
      <c r="D68" s="12">
        <f>Table1[[#This Row],[Enrolment S.Y. 2025-2026 ]]*8</f>
        <v>6824</v>
      </c>
      <c r="E68" s="12"/>
      <c r="F68" s="10"/>
      <c r="G68" s="12"/>
      <c r="H68" s="12">
        <f t="shared" si="2"/>
        <v>6824</v>
      </c>
      <c r="I68" s="12">
        <f t="shared" si="3"/>
        <v>0</v>
      </c>
      <c r="J68" s="12">
        <f>Table1[[#This Row],[Enrolment S.Y. 2025-2026 ]]*8</f>
        <v>6824</v>
      </c>
      <c r="K68" s="12"/>
      <c r="L68" s="10"/>
      <c r="M68" s="12"/>
      <c r="N68" s="12">
        <f t="shared" si="10"/>
        <v>6824</v>
      </c>
      <c r="O68" s="12">
        <f t="shared" si="11"/>
        <v>0</v>
      </c>
      <c r="P68" s="12">
        <f>Table1[[#This Row],[Enrolment S.Y. 2025-2026 ]]*8</f>
        <v>6824</v>
      </c>
      <c r="Q68" s="12"/>
      <c r="R68" s="10"/>
      <c r="S68" s="12"/>
      <c r="T68" s="12">
        <f t="shared" si="12"/>
        <v>6824</v>
      </c>
      <c r="U68" s="12">
        <f t="shared" si="13"/>
        <v>0</v>
      </c>
      <c r="V68" s="12">
        <f>Table1[[#This Row],[Enrolment S.Y. 2025-2026 ]]*8</f>
        <v>6824</v>
      </c>
      <c r="W68" s="12"/>
      <c r="X68" s="10"/>
      <c r="Y68" s="12"/>
      <c r="Z68" s="12">
        <f t="shared" si="14"/>
        <v>6824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853</v>
      </c>
      <c r="D69" s="12">
        <f>Table1[[#This Row],[Enrolment S.Y. 2025-2026 ]]*8</f>
        <v>6824</v>
      </c>
      <c r="E69" s="12"/>
      <c r="F69" s="10"/>
      <c r="G69" s="12"/>
      <c r="H69" s="12">
        <f t="shared" si="2"/>
        <v>6824</v>
      </c>
      <c r="I69" s="12">
        <f t="shared" si="3"/>
        <v>0</v>
      </c>
      <c r="J69" s="12">
        <f>Table1[[#This Row],[Enrolment S.Y. 2025-2026 ]]*8</f>
        <v>6824</v>
      </c>
      <c r="K69" s="12"/>
      <c r="L69" s="10"/>
      <c r="M69" s="12"/>
      <c r="N69" s="12">
        <f t="shared" si="10"/>
        <v>6824</v>
      </c>
      <c r="O69" s="12">
        <f t="shared" si="11"/>
        <v>0</v>
      </c>
      <c r="P69" s="12">
        <f>Table1[[#This Row],[Enrolment S.Y. 2025-2026 ]]*8</f>
        <v>6824</v>
      </c>
      <c r="Q69" s="12"/>
      <c r="R69" s="10"/>
      <c r="S69" s="12"/>
      <c r="T69" s="12">
        <f t="shared" si="12"/>
        <v>6824</v>
      </c>
      <c r="U69" s="12">
        <f t="shared" si="13"/>
        <v>0</v>
      </c>
      <c r="V69" s="12">
        <f>Table1[[#This Row],[Enrolment S.Y. 2025-2026 ]]*8</f>
        <v>6824</v>
      </c>
      <c r="W69" s="12"/>
      <c r="X69" s="10"/>
      <c r="Y69" s="12"/>
      <c r="Z69" s="12">
        <f t="shared" si="14"/>
        <v>6824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853</v>
      </c>
      <c r="D70" s="12">
        <f>Table1[[#This Row],[Enrolment S.Y. 2025-2026 ]]*8</f>
        <v>6824</v>
      </c>
      <c r="E70" s="12">
        <v>2742</v>
      </c>
      <c r="F70" s="10">
        <v>2024</v>
      </c>
      <c r="G70" s="12" t="s">
        <v>63</v>
      </c>
      <c r="H70" s="12">
        <f t="shared" si="2"/>
        <v>4082</v>
      </c>
      <c r="I70" s="12">
        <f t="shared" si="3"/>
        <v>0</v>
      </c>
      <c r="J70" s="12">
        <f>Table1[[#This Row],[Enrolment S.Y. 2025-2026 ]]*8</f>
        <v>6824</v>
      </c>
      <c r="K70" s="12"/>
      <c r="L70" s="10"/>
      <c r="M70" s="12"/>
      <c r="N70" s="12">
        <f t="shared" ref="N70:N126" si="16">IF((J70-K70)&lt;0,0,(J70-K70))</f>
        <v>6824</v>
      </c>
      <c r="O70" s="12">
        <f t="shared" ref="O70:O126" si="17">IF((K70-J70)&lt;0,0,(K70-J70))</f>
        <v>0</v>
      </c>
      <c r="P70" s="12">
        <f>Table1[[#This Row],[Enrolment S.Y. 2025-2026 ]]*8</f>
        <v>6824</v>
      </c>
      <c r="Q70" s="12"/>
      <c r="R70" s="10"/>
      <c r="S70" s="12"/>
      <c r="T70" s="12">
        <f t="shared" ref="T70:T127" si="18">IF((P70-Q70)&lt;0,0,(P70-Q70))</f>
        <v>6824</v>
      </c>
      <c r="U70" s="12">
        <f t="shared" ref="U70:U127" si="19">IF((Q70-P70)&lt;0,0,(Q70-P70))</f>
        <v>0</v>
      </c>
      <c r="V70" s="12">
        <f>Table1[[#This Row],[Enrolment S.Y. 2025-2026 ]]*8</f>
        <v>6824</v>
      </c>
      <c r="W70" s="12"/>
      <c r="X70" s="10"/>
      <c r="Y70" s="12"/>
      <c r="Z70" s="12">
        <f t="shared" ref="Z70:Z127" si="20">IF((V70-W70)&lt;0,0,(V70-W70))</f>
        <v>6824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853</v>
      </c>
      <c r="D71" s="12">
        <f>Table1[[#This Row],[Enrolment S.Y. 2025-2026 ]]*8</f>
        <v>6824</v>
      </c>
      <c r="E71" s="12">
        <v>1615</v>
      </c>
      <c r="F71" s="10">
        <v>2024</v>
      </c>
      <c r="G71" s="12" t="s">
        <v>63</v>
      </c>
      <c r="H71" s="12">
        <f t="shared" si="2"/>
        <v>5209</v>
      </c>
      <c r="I71" s="12">
        <f t="shared" si="3"/>
        <v>0</v>
      </c>
      <c r="J71" s="12">
        <f>Table1[[#This Row],[Enrolment S.Y. 2025-2026 ]]*8</f>
        <v>6824</v>
      </c>
      <c r="K71" s="12"/>
      <c r="L71" s="10"/>
      <c r="M71" s="12"/>
      <c r="N71" s="12">
        <f t="shared" si="16"/>
        <v>6824</v>
      </c>
      <c r="O71" s="12">
        <f t="shared" si="17"/>
        <v>0</v>
      </c>
      <c r="P71" s="12">
        <f>Table1[[#This Row],[Enrolment S.Y. 2025-2026 ]]*8</f>
        <v>6824</v>
      </c>
      <c r="Q71" s="12"/>
      <c r="R71" s="10"/>
      <c r="S71" s="12"/>
      <c r="T71" s="12">
        <f t="shared" si="18"/>
        <v>6824</v>
      </c>
      <c r="U71" s="12">
        <f t="shared" si="19"/>
        <v>0</v>
      </c>
      <c r="V71" s="12">
        <f>Table1[[#This Row],[Enrolment S.Y. 2025-2026 ]]*8</f>
        <v>6824</v>
      </c>
      <c r="W71" s="12"/>
      <c r="X71" s="10"/>
      <c r="Y71" s="12"/>
      <c r="Z71" s="12">
        <f t="shared" si="20"/>
        <v>6824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D63:D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F63:F7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E63:E71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70" zoomScaleNormal="70" workbookViewId="0">
      <pane xSplit="2" ySplit="2" topLeftCell="I110" activePane="bottomRight" state="frozen"/>
      <selection pane="bottomRight" activeCell="L122" sqref="L122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663</v>
      </c>
      <c r="D91" s="12">
        <f>Table14[[#This Row],[Enrolment S.Y. 2025-2026 ]]*8</f>
        <v>5304</v>
      </c>
      <c r="E91" s="12"/>
      <c r="F91" s="10"/>
      <c r="G91" s="12"/>
      <c r="H91" s="12">
        <f t="shared" si="22"/>
        <v>5304</v>
      </c>
      <c r="I91" s="12">
        <f t="shared" si="23"/>
        <v>0</v>
      </c>
      <c r="J91" s="12">
        <f>Table14[[#This Row],[Enrolment S.Y. 2025-2026 ]]*8</f>
        <v>5304</v>
      </c>
      <c r="K91" s="12"/>
      <c r="L91" s="10"/>
      <c r="M91" s="12"/>
      <c r="N91" s="12">
        <f t="shared" si="20"/>
        <v>5304</v>
      </c>
      <c r="O91" s="12">
        <f t="shared" si="21"/>
        <v>0</v>
      </c>
      <c r="P91" s="12">
        <f>Table14[[#This Row],[Enrolment S.Y. 2025-2026 ]]*8</f>
        <v>5304</v>
      </c>
      <c r="Q91" s="12">
        <v>131</v>
      </c>
      <c r="R91" s="10">
        <v>2025</v>
      </c>
      <c r="S91" s="12" t="s">
        <v>63</v>
      </c>
      <c r="T91" s="12">
        <f t="shared" si="16"/>
        <v>5173</v>
      </c>
      <c r="U91" s="12">
        <f t="shared" si="17"/>
        <v>0</v>
      </c>
      <c r="V91" s="12">
        <f>Table14[[#This Row],[Enrolment S.Y. 2025-2026 ]]*8</f>
        <v>5304</v>
      </c>
      <c r="W91" s="12">
        <v>131</v>
      </c>
      <c r="X91" s="10">
        <v>2025</v>
      </c>
      <c r="Y91" s="12" t="s">
        <v>63</v>
      </c>
      <c r="Z91" s="12">
        <f t="shared" si="18"/>
        <v>5173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663</v>
      </c>
      <c r="D92" s="12">
        <f>Table14[[#This Row],[Enrolment S.Y. 2025-2026 ]]*8</f>
        <v>5304</v>
      </c>
      <c r="E92" s="12"/>
      <c r="F92" s="10"/>
      <c r="G92" s="12"/>
      <c r="H92" s="12">
        <f t="shared" si="22"/>
        <v>5304</v>
      </c>
      <c r="I92" s="12">
        <f t="shared" si="23"/>
        <v>0</v>
      </c>
      <c r="J92" s="12">
        <f>Table14[[#This Row],[Enrolment S.Y. 2025-2026 ]]*8</f>
        <v>5304</v>
      </c>
      <c r="K92" s="12"/>
      <c r="L92" s="10"/>
      <c r="M92" s="12"/>
      <c r="N92" s="12">
        <f t="shared" si="20"/>
        <v>5304</v>
      </c>
      <c r="O92" s="12">
        <f t="shared" si="21"/>
        <v>0</v>
      </c>
      <c r="P92" s="12">
        <f>Table14[[#This Row],[Enrolment S.Y. 2025-2026 ]]*8</f>
        <v>5304</v>
      </c>
      <c r="Q92" s="12">
        <v>131</v>
      </c>
      <c r="R92" s="10">
        <v>2025</v>
      </c>
      <c r="S92" s="12" t="s">
        <v>63</v>
      </c>
      <c r="T92" s="12">
        <f t="shared" si="16"/>
        <v>5173</v>
      </c>
      <c r="U92" s="12">
        <f t="shared" si="17"/>
        <v>0</v>
      </c>
      <c r="V92" s="12">
        <f>Table14[[#This Row],[Enrolment S.Y. 2025-2026 ]]*8</f>
        <v>5304</v>
      </c>
      <c r="W92" s="12">
        <v>131</v>
      </c>
      <c r="X92" s="10">
        <v>2025</v>
      </c>
      <c r="Y92" s="12" t="s">
        <v>63</v>
      </c>
      <c r="Z92" s="12">
        <f t="shared" si="18"/>
        <v>5173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663</v>
      </c>
      <c r="D93" s="12">
        <f>Table14[[#This Row],[Enrolment S.Y. 2025-2026 ]]*8</f>
        <v>5304</v>
      </c>
      <c r="E93" s="12"/>
      <c r="F93" s="10"/>
      <c r="G93" s="12"/>
      <c r="H93" s="12">
        <f t="shared" si="22"/>
        <v>5304</v>
      </c>
      <c r="I93" s="12">
        <f t="shared" si="23"/>
        <v>0</v>
      </c>
      <c r="J93" s="12">
        <f>Table14[[#This Row],[Enrolment S.Y. 2025-2026 ]]*8</f>
        <v>5304</v>
      </c>
      <c r="K93" s="12"/>
      <c r="L93" s="10"/>
      <c r="M93" s="12"/>
      <c r="N93" s="12">
        <f t="shared" si="20"/>
        <v>5304</v>
      </c>
      <c r="O93" s="12">
        <f t="shared" si="21"/>
        <v>0</v>
      </c>
      <c r="P93" s="12">
        <f>Table14[[#This Row],[Enrolment S.Y. 2025-2026 ]]*8</f>
        <v>5304</v>
      </c>
      <c r="Q93" s="12">
        <v>131</v>
      </c>
      <c r="R93" s="10">
        <v>2025</v>
      </c>
      <c r="S93" s="12" t="s">
        <v>63</v>
      </c>
      <c r="T93" s="12">
        <f t="shared" si="16"/>
        <v>5173</v>
      </c>
      <c r="U93" s="12">
        <f t="shared" si="17"/>
        <v>0</v>
      </c>
      <c r="V93" s="12">
        <f>Table14[[#This Row],[Enrolment S.Y. 2025-2026 ]]*8</f>
        <v>5304</v>
      </c>
      <c r="W93" s="12">
        <v>131</v>
      </c>
      <c r="X93" s="10">
        <v>2025</v>
      </c>
      <c r="Y93" s="12" t="s">
        <v>63</v>
      </c>
      <c r="Z93" s="12">
        <f t="shared" si="18"/>
        <v>5173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663</v>
      </c>
      <c r="D94" s="12">
        <f>Table14[[#This Row],[Enrolment S.Y. 2025-2026 ]]*8</f>
        <v>5304</v>
      </c>
      <c r="E94" s="12"/>
      <c r="F94" s="10"/>
      <c r="G94" s="12"/>
      <c r="H94" s="12">
        <f t="shared" si="22"/>
        <v>5304</v>
      </c>
      <c r="I94" s="12">
        <f t="shared" si="23"/>
        <v>0</v>
      </c>
      <c r="J94" s="12">
        <f>Table14[[#This Row],[Enrolment S.Y. 2025-2026 ]]*8</f>
        <v>5304</v>
      </c>
      <c r="K94" s="12"/>
      <c r="L94" s="10"/>
      <c r="M94" s="12"/>
      <c r="N94" s="12">
        <f t="shared" si="20"/>
        <v>5304</v>
      </c>
      <c r="O94" s="12">
        <f t="shared" si="21"/>
        <v>0</v>
      </c>
      <c r="P94" s="12">
        <f>Table14[[#This Row],[Enrolment S.Y. 2025-2026 ]]*8</f>
        <v>5304</v>
      </c>
      <c r="Q94" s="12">
        <v>131</v>
      </c>
      <c r="R94" s="10">
        <v>2025</v>
      </c>
      <c r="S94" s="12" t="s">
        <v>63</v>
      </c>
      <c r="T94" s="12">
        <f t="shared" si="16"/>
        <v>5173</v>
      </c>
      <c r="U94" s="12">
        <f t="shared" si="17"/>
        <v>0</v>
      </c>
      <c r="V94" s="12">
        <f>Table14[[#This Row],[Enrolment S.Y. 2025-2026 ]]*8</f>
        <v>5304</v>
      </c>
      <c r="W94" s="12">
        <v>131</v>
      </c>
      <c r="X94" s="10">
        <v>2025</v>
      </c>
      <c r="Y94" s="12" t="s">
        <v>63</v>
      </c>
      <c r="Z94" s="12">
        <f t="shared" si="18"/>
        <v>5173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663</v>
      </c>
      <c r="D95" s="12">
        <f>Table14[[#This Row],[Enrolment S.Y. 2025-2026 ]]*8</f>
        <v>5304</v>
      </c>
      <c r="E95" s="12"/>
      <c r="F95" s="10"/>
      <c r="G95" s="12"/>
      <c r="H95" s="12">
        <f t="shared" si="22"/>
        <v>5304</v>
      </c>
      <c r="I95" s="12">
        <f t="shared" si="23"/>
        <v>0</v>
      </c>
      <c r="J95" s="12">
        <f>Table14[[#This Row],[Enrolment S.Y. 2025-2026 ]]*8</f>
        <v>5304</v>
      </c>
      <c r="K95" s="12"/>
      <c r="L95" s="10"/>
      <c r="M95" s="12"/>
      <c r="N95" s="12">
        <f t="shared" si="20"/>
        <v>5304</v>
      </c>
      <c r="O95" s="12">
        <f t="shared" si="21"/>
        <v>0</v>
      </c>
      <c r="P95" s="12">
        <f>Table14[[#This Row],[Enrolment S.Y. 2025-2026 ]]*8</f>
        <v>5304</v>
      </c>
      <c r="Q95" s="12">
        <v>131</v>
      </c>
      <c r="R95" s="10">
        <v>2025</v>
      </c>
      <c r="S95" s="12" t="s">
        <v>63</v>
      </c>
      <c r="T95" s="12">
        <f t="shared" si="16"/>
        <v>5173</v>
      </c>
      <c r="U95" s="12">
        <f t="shared" si="17"/>
        <v>0</v>
      </c>
      <c r="V95" s="12">
        <f>Table14[[#This Row],[Enrolment S.Y. 2025-2026 ]]*8</f>
        <v>5304</v>
      </c>
      <c r="W95" s="12">
        <v>131</v>
      </c>
      <c r="X95" s="10">
        <v>2025</v>
      </c>
      <c r="Y95" s="12" t="s">
        <v>63</v>
      </c>
      <c r="Z95" s="12">
        <f t="shared" si="18"/>
        <v>5173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663</v>
      </c>
      <c r="D96" s="12">
        <f>Table14[[#This Row],[Enrolment S.Y. 2025-2026 ]]*8</f>
        <v>5304</v>
      </c>
      <c r="E96" s="12"/>
      <c r="F96" s="10"/>
      <c r="G96" s="12"/>
      <c r="H96" s="12">
        <f t="shared" si="22"/>
        <v>5304</v>
      </c>
      <c r="I96" s="12">
        <f t="shared" si="23"/>
        <v>0</v>
      </c>
      <c r="J96" s="12">
        <f>Table14[[#This Row],[Enrolment S.Y. 2025-2026 ]]*8</f>
        <v>5304</v>
      </c>
      <c r="K96" s="12"/>
      <c r="L96" s="10"/>
      <c r="M96" s="12"/>
      <c r="N96" s="12">
        <f t="shared" si="20"/>
        <v>5304</v>
      </c>
      <c r="O96" s="12">
        <f t="shared" si="21"/>
        <v>0</v>
      </c>
      <c r="P96" s="12">
        <f>Table14[[#This Row],[Enrolment S.Y. 2025-2026 ]]*8</f>
        <v>5304</v>
      </c>
      <c r="Q96" s="12">
        <v>131</v>
      </c>
      <c r="R96" s="10">
        <v>2025</v>
      </c>
      <c r="S96" s="12" t="s">
        <v>63</v>
      </c>
      <c r="T96" s="12">
        <f t="shared" si="16"/>
        <v>5173</v>
      </c>
      <c r="U96" s="12">
        <f t="shared" si="17"/>
        <v>0</v>
      </c>
      <c r="V96" s="12">
        <f>Table14[[#This Row],[Enrolment S.Y. 2025-2026 ]]*8</f>
        <v>5304</v>
      </c>
      <c r="W96" s="12">
        <v>131</v>
      </c>
      <c r="X96" s="10">
        <v>2025</v>
      </c>
      <c r="Y96" s="12" t="s">
        <v>63</v>
      </c>
      <c r="Z96" s="12">
        <f t="shared" si="18"/>
        <v>5173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>
        <v>663</v>
      </c>
      <c r="D97" s="12">
        <f>Table14[[#This Row],[Enrolment S.Y. 2025-2026 ]]*8</f>
        <v>5304</v>
      </c>
      <c r="E97" s="12"/>
      <c r="F97" s="10"/>
      <c r="G97" s="12"/>
      <c r="H97" s="12">
        <f>IF((D97-E97)&lt;0,0,(D97-E97))</f>
        <v>5304</v>
      </c>
      <c r="I97" s="12">
        <f>IF((E97-D97)&lt;0,0,(E97-D97))</f>
        <v>0</v>
      </c>
      <c r="J97" s="12">
        <f>Table14[[#This Row],[Enrolment S.Y. 2025-2026 ]]*8</f>
        <v>5304</v>
      </c>
      <c r="K97" s="12"/>
      <c r="L97" s="10"/>
      <c r="M97" s="12"/>
      <c r="N97" s="12">
        <f t="shared" ref="N97:N101" si="26">IF((J97-K97)&lt;0,0,(J97-K97))</f>
        <v>5304</v>
      </c>
      <c r="O97" s="12">
        <f t="shared" ref="O97:O101" si="27">IF((K97-J97)&lt;0,0,(K97-J97))</f>
        <v>0</v>
      </c>
      <c r="P97" s="12">
        <f>Table14[[#This Row],[Enrolment S.Y. 2025-2026 ]]*8</f>
        <v>5304</v>
      </c>
      <c r="Q97" s="12">
        <v>131</v>
      </c>
      <c r="R97" s="10">
        <v>2025</v>
      </c>
      <c r="S97" s="12" t="s">
        <v>63</v>
      </c>
      <c r="T97" s="12">
        <f>IF((P97-Q97)&lt;0,0,(P97-Q97))</f>
        <v>5173</v>
      </c>
      <c r="U97" s="12">
        <f>IF((Q97-P97)&lt;0,0,(Q97-P97))</f>
        <v>0</v>
      </c>
      <c r="V97" s="12">
        <f>Table14[[#This Row],[Enrolment S.Y. 2025-2026 ]]*8</f>
        <v>5304</v>
      </c>
      <c r="W97" s="12">
        <v>131</v>
      </c>
      <c r="X97" s="10">
        <v>2025</v>
      </c>
      <c r="Y97" s="12" t="s">
        <v>63</v>
      </c>
      <c r="Z97" s="12">
        <f>IF((V97-W97)&lt;0,0,(V97-W97))</f>
        <v>5173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663</v>
      </c>
      <c r="D98" s="12">
        <f>Table14[[#This Row],[Enrolment S.Y. 2025-2026 ]]*8</f>
        <v>5304</v>
      </c>
      <c r="E98" s="12"/>
      <c r="F98" s="10"/>
      <c r="G98" s="12"/>
      <c r="H98" s="12">
        <f t="shared" si="22"/>
        <v>5304</v>
      </c>
      <c r="I98" s="12">
        <f t="shared" si="23"/>
        <v>0</v>
      </c>
      <c r="J98" s="12">
        <f>Table14[[#This Row],[Enrolment S.Y. 2025-2026 ]]*8</f>
        <v>5304</v>
      </c>
      <c r="K98" s="12"/>
      <c r="L98" s="10"/>
      <c r="M98" s="12"/>
      <c r="N98" s="12">
        <f t="shared" si="26"/>
        <v>5304</v>
      </c>
      <c r="O98" s="12">
        <f t="shared" si="27"/>
        <v>0</v>
      </c>
      <c r="P98" s="12">
        <f>Table14[[#This Row],[Enrolment S.Y. 2025-2026 ]]*8</f>
        <v>5304</v>
      </c>
      <c r="Q98" s="12">
        <v>131</v>
      </c>
      <c r="R98" s="10">
        <v>2025</v>
      </c>
      <c r="S98" s="12" t="s">
        <v>63</v>
      </c>
      <c r="T98" s="12">
        <f t="shared" si="16"/>
        <v>5173</v>
      </c>
      <c r="U98" s="12">
        <f t="shared" si="17"/>
        <v>0</v>
      </c>
      <c r="V98" s="12">
        <f>Table14[[#This Row],[Enrolment S.Y. 2025-2026 ]]*8</f>
        <v>5304</v>
      </c>
      <c r="W98" s="12">
        <v>131</v>
      </c>
      <c r="X98" s="10">
        <v>2025</v>
      </c>
      <c r="Y98" s="12" t="s">
        <v>63</v>
      </c>
      <c r="Z98" s="12">
        <f t="shared" si="18"/>
        <v>5173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663</v>
      </c>
      <c r="D99" s="12">
        <f>Table14[[#This Row],[Enrolment S.Y. 2025-2026 ]]*8</f>
        <v>5304</v>
      </c>
      <c r="E99" s="12"/>
      <c r="F99" s="10"/>
      <c r="G99" s="12"/>
      <c r="H99" s="12">
        <f t="shared" si="22"/>
        <v>5304</v>
      </c>
      <c r="I99" s="12">
        <f t="shared" si="23"/>
        <v>0</v>
      </c>
      <c r="J99" s="12">
        <f>Table14[[#This Row],[Enrolment S.Y. 2025-2026 ]]*8</f>
        <v>5304</v>
      </c>
      <c r="K99" s="12"/>
      <c r="L99" s="10"/>
      <c r="M99" s="12"/>
      <c r="N99" s="12">
        <f t="shared" si="26"/>
        <v>5304</v>
      </c>
      <c r="O99" s="12">
        <f t="shared" si="27"/>
        <v>0</v>
      </c>
      <c r="P99" s="12">
        <f>Table14[[#This Row],[Enrolment S.Y. 2025-2026 ]]*8</f>
        <v>5304</v>
      </c>
      <c r="Q99" s="12">
        <v>131</v>
      </c>
      <c r="R99" s="10">
        <v>2025</v>
      </c>
      <c r="S99" s="12" t="s">
        <v>63</v>
      </c>
      <c r="T99" s="12">
        <f t="shared" si="16"/>
        <v>5173</v>
      </c>
      <c r="U99" s="12">
        <f t="shared" si="17"/>
        <v>0</v>
      </c>
      <c r="V99" s="12">
        <f>Table14[[#This Row],[Enrolment S.Y. 2025-2026 ]]*8</f>
        <v>5304</v>
      </c>
      <c r="W99" s="12"/>
      <c r="X99" s="10"/>
      <c r="Y99" s="12"/>
      <c r="Z99" s="12">
        <f t="shared" si="18"/>
        <v>5304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>
        <v>663</v>
      </c>
      <c r="D100" s="12">
        <f>Table14[[#This Row],[Enrolment S.Y. 2025-2026 ]]*8</f>
        <v>5304</v>
      </c>
      <c r="E100" s="12"/>
      <c r="F100" s="10"/>
      <c r="G100" s="12"/>
      <c r="H100" s="12">
        <f>IF((D100-E100)&lt;0,0,(D100-E100))</f>
        <v>5304</v>
      </c>
      <c r="I100" s="12">
        <f>IF((E100-D100)&lt;0,0,(E100-D100))</f>
        <v>0</v>
      </c>
      <c r="J100" s="12">
        <f>Table14[[#This Row],[Enrolment S.Y. 2025-2026 ]]*8</f>
        <v>5304</v>
      </c>
      <c r="K100" s="12"/>
      <c r="L100" s="10"/>
      <c r="M100" s="12"/>
      <c r="N100" s="12">
        <f t="shared" si="26"/>
        <v>5304</v>
      </c>
      <c r="O100" s="12">
        <f t="shared" si="27"/>
        <v>0</v>
      </c>
      <c r="P100" s="12">
        <f>Table14[[#This Row],[Enrolment S.Y. 2025-2026 ]]*8</f>
        <v>5304</v>
      </c>
      <c r="Q100" s="12">
        <v>131</v>
      </c>
      <c r="R100" s="10">
        <v>2025</v>
      </c>
      <c r="S100" s="12" t="s">
        <v>63</v>
      </c>
      <c r="T100" s="12">
        <f>IF((P100-Q100)&lt;0,0,(P100-Q100))</f>
        <v>5173</v>
      </c>
      <c r="U100" s="12">
        <f>IF((Q100-P100)&lt;0,0,(Q100-P100))</f>
        <v>0</v>
      </c>
      <c r="V100" s="12">
        <f>Table14[[#This Row],[Enrolment S.Y. 2025-2026 ]]*8</f>
        <v>5304</v>
      </c>
      <c r="W100" s="12">
        <v>131</v>
      </c>
      <c r="X100" s="10">
        <v>2025</v>
      </c>
      <c r="Y100" s="12" t="s">
        <v>63</v>
      </c>
      <c r="Z100" s="12">
        <f>IF((V100-W100)&lt;0,0,(V100-W100))</f>
        <v>5173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663</v>
      </c>
      <c r="D101" s="12">
        <f>Table14[[#This Row],[Enrolment S.Y. 2025-2026 ]]*8</f>
        <v>5304</v>
      </c>
      <c r="E101" s="12"/>
      <c r="F101" s="10"/>
      <c r="G101" s="12"/>
      <c r="H101" s="12">
        <f t="shared" si="22"/>
        <v>5304</v>
      </c>
      <c r="I101" s="12">
        <f t="shared" si="23"/>
        <v>0</v>
      </c>
      <c r="J101" s="12">
        <f>Table14[[#This Row],[Enrolment S.Y. 2025-2026 ]]*8</f>
        <v>5304</v>
      </c>
      <c r="K101" s="12"/>
      <c r="L101" s="10"/>
      <c r="M101" s="12"/>
      <c r="N101" s="12">
        <f t="shared" si="26"/>
        <v>5304</v>
      </c>
      <c r="O101" s="12">
        <f t="shared" si="27"/>
        <v>0</v>
      </c>
      <c r="P101" s="12">
        <f>Table14[[#This Row],[Enrolment S.Y. 2025-2026 ]]*8</f>
        <v>5304</v>
      </c>
      <c r="Q101" s="12">
        <v>131</v>
      </c>
      <c r="R101" s="10">
        <v>2025</v>
      </c>
      <c r="S101" s="12" t="s">
        <v>63</v>
      </c>
      <c r="T101" s="12">
        <f t="shared" si="16"/>
        <v>5173</v>
      </c>
      <c r="U101" s="12">
        <f t="shared" si="17"/>
        <v>0</v>
      </c>
      <c r="V101" s="12">
        <f>Table14[[#This Row],[Enrolment S.Y. 2025-2026 ]]*8</f>
        <v>5304</v>
      </c>
      <c r="W101" s="12">
        <v>131</v>
      </c>
      <c r="X101" s="10">
        <v>2025</v>
      </c>
      <c r="Y101" s="12" t="s">
        <v>63</v>
      </c>
      <c r="Z101" s="12">
        <f t="shared" si="18"/>
        <v>5173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597</v>
      </c>
      <c r="D103" s="12">
        <f>Table14[[#This Row],[Enrolment S.Y. 2025-2026 ]]*8</f>
        <v>4776</v>
      </c>
      <c r="E103" s="12"/>
      <c r="F103" s="10"/>
      <c r="G103" s="12"/>
      <c r="H103" s="12">
        <f t="shared" si="22"/>
        <v>4776</v>
      </c>
      <c r="I103" s="12">
        <f t="shared" si="23"/>
        <v>0</v>
      </c>
      <c r="J103" s="12">
        <f>Table14[[#This Row],[Enrolment S.Y. 2025-2026 ]]*8</f>
        <v>4776</v>
      </c>
      <c r="K103" s="12"/>
      <c r="L103" s="10"/>
      <c r="M103" s="12"/>
      <c r="N103" s="12">
        <f t="shared" si="20"/>
        <v>4776</v>
      </c>
      <c r="O103" s="12">
        <f t="shared" si="21"/>
        <v>0</v>
      </c>
      <c r="P103" s="12">
        <f>Table14[[#This Row],[Enrolment S.Y. 2025-2026 ]]*8</f>
        <v>4776</v>
      </c>
      <c r="Q103" s="12">
        <v>112</v>
      </c>
      <c r="R103" s="10">
        <v>2025</v>
      </c>
      <c r="S103" s="12" t="s">
        <v>63</v>
      </c>
      <c r="T103" s="12">
        <f t="shared" si="16"/>
        <v>4664</v>
      </c>
      <c r="U103" s="12">
        <f t="shared" si="17"/>
        <v>0</v>
      </c>
      <c r="V103" s="12">
        <f>Table14[[#This Row],[Enrolment S.Y. 2025-2026 ]]*8</f>
        <v>4776</v>
      </c>
      <c r="W103" s="12">
        <v>112</v>
      </c>
      <c r="X103" s="10">
        <v>2025</v>
      </c>
      <c r="Y103" s="12" t="s">
        <v>63</v>
      </c>
      <c r="Z103" s="12">
        <f t="shared" si="18"/>
        <v>4664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597</v>
      </c>
      <c r="D104" s="12">
        <f>Table14[[#This Row],[Enrolment S.Y. 2025-2026 ]]*8</f>
        <v>4776</v>
      </c>
      <c r="E104" s="12"/>
      <c r="F104" s="10"/>
      <c r="G104" s="12"/>
      <c r="H104" s="12">
        <f t="shared" si="22"/>
        <v>4776</v>
      </c>
      <c r="I104" s="12">
        <f t="shared" si="23"/>
        <v>0</v>
      </c>
      <c r="J104" s="12">
        <f>Table14[[#This Row],[Enrolment S.Y. 2025-2026 ]]*8</f>
        <v>4776</v>
      </c>
      <c r="K104" s="12"/>
      <c r="L104" s="10"/>
      <c r="M104" s="12"/>
      <c r="N104" s="12">
        <f t="shared" si="20"/>
        <v>4776</v>
      </c>
      <c r="O104" s="12">
        <f t="shared" si="21"/>
        <v>0</v>
      </c>
      <c r="P104" s="12">
        <f>Table14[[#This Row],[Enrolment S.Y. 2025-2026 ]]*8</f>
        <v>4776</v>
      </c>
      <c r="Q104" s="12">
        <v>112</v>
      </c>
      <c r="R104" s="10">
        <v>2025</v>
      </c>
      <c r="S104" s="12" t="s">
        <v>63</v>
      </c>
      <c r="T104" s="12">
        <f t="shared" si="16"/>
        <v>4664</v>
      </c>
      <c r="U104" s="12">
        <f t="shared" si="17"/>
        <v>0</v>
      </c>
      <c r="V104" s="12">
        <f>Table14[[#This Row],[Enrolment S.Y. 2025-2026 ]]*8</f>
        <v>4776</v>
      </c>
      <c r="W104" s="12">
        <v>112</v>
      </c>
      <c r="X104" s="10">
        <v>2025</v>
      </c>
      <c r="Y104" s="12" t="s">
        <v>63</v>
      </c>
      <c r="Z104" s="12">
        <f t="shared" si="18"/>
        <v>4664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597</v>
      </c>
      <c r="D105" s="12">
        <f>Table14[[#This Row],[Enrolment S.Y. 2025-2026 ]]*8</f>
        <v>4776</v>
      </c>
      <c r="E105" s="12"/>
      <c r="F105" s="10"/>
      <c r="G105" s="12"/>
      <c r="H105" s="12">
        <f t="shared" si="22"/>
        <v>4776</v>
      </c>
      <c r="I105" s="12">
        <f t="shared" si="23"/>
        <v>0</v>
      </c>
      <c r="J105" s="12">
        <f>Table14[[#This Row],[Enrolment S.Y. 2025-2026 ]]*8</f>
        <v>4776</v>
      </c>
      <c r="K105" s="12"/>
      <c r="L105" s="10"/>
      <c r="M105" s="12"/>
      <c r="N105" s="12">
        <f t="shared" si="20"/>
        <v>4776</v>
      </c>
      <c r="O105" s="12">
        <f t="shared" si="21"/>
        <v>0</v>
      </c>
      <c r="P105" s="12">
        <f>Table14[[#This Row],[Enrolment S.Y. 2025-2026 ]]*8</f>
        <v>4776</v>
      </c>
      <c r="Q105" s="12">
        <v>112</v>
      </c>
      <c r="R105" s="10">
        <v>2025</v>
      </c>
      <c r="S105" s="12" t="s">
        <v>63</v>
      </c>
      <c r="T105" s="12">
        <f t="shared" si="16"/>
        <v>4664</v>
      </c>
      <c r="U105" s="12">
        <f t="shared" si="17"/>
        <v>0</v>
      </c>
      <c r="V105" s="12">
        <f>Table14[[#This Row],[Enrolment S.Y. 2025-2026 ]]*8</f>
        <v>4776</v>
      </c>
      <c r="W105" s="12">
        <v>112</v>
      </c>
      <c r="X105" s="10">
        <v>2025</v>
      </c>
      <c r="Y105" s="12" t="s">
        <v>63</v>
      </c>
      <c r="Z105" s="12">
        <f t="shared" si="18"/>
        <v>4664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597</v>
      </c>
      <c r="D106" s="12">
        <f>Table14[[#This Row],[Enrolment S.Y. 2025-2026 ]]*8</f>
        <v>4776</v>
      </c>
      <c r="E106" s="12"/>
      <c r="F106" s="10"/>
      <c r="G106" s="12"/>
      <c r="H106" s="12">
        <f t="shared" si="22"/>
        <v>4776</v>
      </c>
      <c r="I106" s="12">
        <f t="shared" si="23"/>
        <v>0</v>
      </c>
      <c r="J106" s="12">
        <f>Table14[[#This Row],[Enrolment S.Y. 2025-2026 ]]*8</f>
        <v>4776</v>
      </c>
      <c r="K106" s="12"/>
      <c r="L106" s="10"/>
      <c r="M106" s="12"/>
      <c r="N106" s="12">
        <f t="shared" si="20"/>
        <v>4776</v>
      </c>
      <c r="O106" s="12">
        <f t="shared" si="21"/>
        <v>0</v>
      </c>
      <c r="P106" s="12">
        <f>Table14[[#This Row],[Enrolment S.Y. 2025-2026 ]]*8</f>
        <v>4776</v>
      </c>
      <c r="Q106" s="12">
        <v>112</v>
      </c>
      <c r="R106" s="10">
        <v>2025</v>
      </c>
      <c r="S106" s="12" t="s">
        <v>63</v>
      </c>
      <c r="T106" s="12">
        <f t="shared" si="16"/>
        <v>4664</v>
      </c>
      <c r="U106" s="12">
        <f t="shared" si="17"/>
        <v>0</v>
      </c>
      <c r="V106" s="12">
        <f>Table14[[#This Row],[Enrolment S.Y. 2025-2026 ]]*8</f>
        <v>4776</v>
      </c>
      <c r="W106" s="12">
        <v>112</v>
      </c>
      <c r="X106" s="10">
        <v>2025</v>
      </c>
      <c r="Y106" s="12" t="s">
        <v>63</v>
      </c>
      <c r="Z106" s="12">
        <f t="shared" si="18"/>
        <v>4664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597</v>
      </c>
      <c r="D107" s="12">
        <f>Table14[[#This Row],[Enrolment S.Y. 2025-2026 ]]*8</f>
        <v>4776</v>
      </c>
      <c r="E107" s="12"/>
      <c r="F107" s="10"/>
      <c r="G107" s="12"/>
      <c r="H107" s="12">
        <f t="shared" si="22"/>
        <v>4776</v>
      </c>
      <c r="I107" s="12">
        <f t="shared" si="23"/>
        <v>0</v>
      </c>
      <c r="J107" s="12">
        <f>Table14[[#This Row],[Enrolment S.Y. 2025-2026 ]]*8</f>
        <v>4776</v>
      </c>
      <c r="K107" s="12"/>
      <c r="L107" s="10"/>
      <c r="M107" s="12"/>
      <c r="N107" s="12">
        <f t="shared" si="20"/>
        <v>4776</v>
      </c>
      <c r="O107" s="12">
        <f t="shared" si="21"/>
        <v>0</v>
      </c>
      <c r="P107" s="12">
        <f>Table14[[#This Row],[Enrolment S.Y. 2025-2026 ]]*8</f>
        <v>4776</v>
      </c>
      <c r="Q107" s="12">
        <v>112</v>
      </c>
      <c r="R107" s="10">
        <v>2025</v>
      </c>
      <c r="S107" s="12" t="s">
        <v>63</v>
      </c>
      <c r="T107" s="12">
        <f t="shared" si="16"/>
        <v>4664</v>
      </c>
      <c r="U107" s="12">
        <f t="shared" si="17"/>
        <v>0</v>
      </c>
      <c r="V107" s="12">
        <f>Table14[[#This Row],[Enrolment S.Y. 2025-2026 ]]*8</f>
        <v>4776</v>
      </c>
      <c r="W107" s="12">
        <v>112</v>
      </c>
      <c r="X107" s="10">
        <v>2025</v>
      </c>
      <c r="Y107" s="12" t="s">
        <v>63</v>
      </c>
      <c r="Z107" s="12">
        <f t="shared" si="18"/>
        <v>4664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597</v>
      </c>
      <c r="D108" s="12">
        <f>Table14[[#This Row],[Enrolment S.Y. 2025-2026 ]]*8</f>
        <v>4776</v>
      </c>
      <c r="E108" s="12"/>
      <c r="F108" s="10"/>
      <c r="G108" s="12"/>
      <c r="H108" s="12">
        <f t="shared" si="22"/>
        <v>4776</v>
      </c>
      <c r="I108" s="12">
        <f t="shared" si="23"/>
        <v>0</v>
      </c>
      <c r="J108" s="12">
        <f>Table14[[#This Row],[Enrolment S.Y. 2025-2026 ]]*8</f>
        <v>4776</v>
      </c>
      <c r="K108" s="12"/>
      <c r="L108" s="10"/>
      <c r="M108" s="12"/>
      <c r="N108" s="12">
        <f t="shared" si="20"/>
        <v>4776</v>
      </c>
      <c r="O108" s="12">
        <f t="shared" si="21"/>
        <v>0</v>
      </c>
      <c r="P108" s="12">
        <f>Table14[[#This Row],[Enrolment S.Y. 2025-2026 ]]*8</f>
        <v>4776</v>
      </c>
      <c r="Q108" s="12">
        <v>112</v>
      </c>
      <c r="R108" s="10">
        <v>2025</v>
      </c>
      <c r="S108" s="12" t="s">
        <v>63</v>
      </c>
      <c r="T108" s="12">
        <f t="shared" si="16"/>
        <v>4664</v>
      </c>
      <c r="U108" s="12">
        <f t="shared" si="17"/>
        <v>0</v>
      </c>
      <c r="V108" s="12">
        <f>Table14[[#This Row],[Enrolment S.Y. 2025-2026 ]]*8</f>
        <v>4776</v>
      </c>
      <c r="W108" s="12">
        <v>112</v>
      </c>
      <c r="X108" s="10">
        <v>2025</v>
      </c>
      <c r="Y108" s="12" t="s">
        <v>63</v>
      </c>
      <c r="Z108" s="12">
        <f t="shared" si="18"/>
        <v>4664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>
        <v>597</v>
      </c>
      <c r="D109" s="12">
        <f>Table14[[#This Row],[Enrolment S.Y. 2025-2026 ]]*8</f>
        <v>4776</v>
      </c>
      <c r="E109" s="12"/>
      <c r="F109" s="10"/>
      <c r="G109" s="12"/>
      <c r="H109" s="12">
        <f>IF((D109-E109)&lt;0,0,(D109-E109))</f>
        <v>4776</v>
      </c>
      <c r="I109" s="12">
        <f>IF((E109-D109)&lt;0,0,(E109-D109))</f>
        <v>0</v>
      </c>
      <c r="J109" s="12">
        <f>Table14[[#This Row],[Enrolment S.Y. 2025-2026 ]]*8</f>
        <v>4776</v>
      </c>
      <c r="K109" s="12"/>
      <c r="L109" s="10"/>
      <c r="M109" s="12"/>
      <c r="N109" s="12">
        <f t="shared" ref="N109:N113" si="28">IF((J109-K109)&lt;0,0,(J109-K109))</f>
        <v>4776</v>
      </c>
      <c r="O109" s="12">
        <f t="shared" ref="O109:O113" si="29">IF((K109-J109)&lt;0,0,(K109-J109))</f>
        <v>0</v>
      </c>
      <c r="P109" s="12">
        <f>Table14[[#This Row],[Enrolment S.Y. 2025-2026 ]]*8</f>
        <v>4776</v>
      </c>
      <c r="Q109" s="12">
        <v>112</v>
      </c>
      <c r="R109" s="10">
        <v>2025</v>
      </c>
      <c r="S109" s="12" t="s">
        <v>63</v>
      </c>
      <c r="T109" s="12">
        <f>IF((P109-Q109)&lt;0,0,(P109-Q109))</f>
        <v>4664</v>
      </c>
      <c r="U109" s="12">
        <f>IF((Q109-P109)&lt;0,0,(Q109-P109))</f>
        <v>0</v>
      </c>
      <c r="V109" s="12">
        <f>Table14[[#This Row],[Enrolment S.Y. 2025-2026 ]]*8</f>
        <v>4776</v>
      </c>
      <c r="W109" s="12">
        <v>112</v>
      </c>
      <c r="X109" s="10">
        <v>2025</v>
      </c>
      <c r="Y109" s="12" t="s">
        <v>63</v>
      </c>
      <c r="Z109" s="12">
        <f>IF((V109-W109)&lt;0,0,(V109-W109))</f>
        <v>4664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597</v>
      </c>
      <c r="D110" s="12">
        <f>Table14[[#This Row],[Enrolment S.Y. 2025-2026 ]]*8</f>
        <v>4776</v>
      </c>
      <c r="E110" s="12"/>
      <c r="F110" s="10"/>
      <c r="G110" s="12"/>
      <c r="H110" s="12">
        <f t="shared" si="22"/>
        <v>4776</v>
      </c>
      <c r="I110" s="12">
        <f t="shared" si="23"/>
        <v>0</v>
      </c>
      <c r="J110" s="12">
        <f>Table14[[#This Row],[Enrolment S.Y. 2025-2026 ]]*8</f>
        <v>4776</v>
      </c>
      <c r="K110" s="12"/>
      <c r="L110" s="10"/>
      <c r="M110" s="12"/>
      <c r="N110" s="12">
        <f t="shared" si="28"/>
        <v>4776</v>
      </c>
      <c r="O110" s="12">
        <f t="shared" si="29"/>
        <v>0</v>
      </c>
      <c r="P110" s="12">
        <f>Table14[[#This Row],[Enrolment S.Y. 2025-2026 ]]*8</f>
        <v>4776</v>
      </c>
      <c r="Q110" s="12">
        <v>112</v>
      </c>
      <c r="R110" s="10">
        <v>2025</v>
      </c>
      <c r="S110" s="12" t="s">
        <v>63</v>
      </c>
      <c r="T110" s="12">
        <f t="shared" si="16"/>
        <v>4664</v>
      </c>
      <c r="U110" s="12">
        <f t="shared" si="17"/>
        <v>0</v>
      </c>
      <c r="V110" s="12">
        <f>Table14[[#This Row],[Enrolment S.Y. 2025-2026 ]]*8</f>
        <v>4776</v>
      </c>
      <c r="W110" s="12">
        <v>112</v>
      </c>
      <c r="X110" s="10">
        <v>2025</v>
      </c>
      <c r="Y110" s="12" t="s">
        <v>63</v>
      </c>
      <c r="Z110" s="12">
        <f t="shared" si="18"/>
        <v>4664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597</v>
      </c>
      <c r="D111" s="12">
        <f>Table14[[#This Row],[Enrolment S.Y. 2025-2026 ]]*8</f>
        <v>4776</v>
      </c>
      <c r="E111" s="12"/>
      <c r="F111" s="10"/>
      <c r="G111" s="12"/>
      <c r="H111" s="12">
        <f t="shared" si="22"/>
        <v>4776</v>
      </c>
      <c r="I111" s="12">
        <f t="shared" si="23"/>
        <v>0</v>
      </c>
      <c r="J111" s="12">
        <f>Table14[[#This Row],[Enrolment S.Y. 2025-2026 ]]*8</f>
        <v>4776</v>
      </c>
      <c r="K111" s="12"/>
      <c r="L111" s="10"/>
      <c r="M111" s="12"/>
      <c r="N111" s="12">
        <f t="shared" si="28"/>
        <v>4776</v>
      </c>
      <c r="O111" s="12">
        <f t="shared" si="29"/>
        <v>0</v>
      </c>
      <c r="P111" s="12">
        <f>Table14[[#This Row],[Enrolment S.Y. 2025-2026 ]]*8</f>
        <v>4776</v>
      </c>
      <c r="Q111" s="12"/>
      <c r="R111" s="10"/>
      <c r="S111" s="12"/>
      <c r="T111" s="12">
        <f t="shared" si="16"/>
        <v>4776</v>
      </c>
      <c r="U111" s="12">
        <f t="shared" si="17"/>
        <v>0</v>
      </c>
      <c r="V111" s="12">
        <f>Table14[[#This Row],[Enrolment S.Y. 2025-2026 ]]*8</f>
        <v>4776</v>
      </c>
      <c r="W111" s="12"/>
      <c r="X111" s="10"/>
      <c r="Y111" s="12"/>
      <c r="Z111" s="12">
        <f t="shared" si="18"/>
        <v>4776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>
        <v>597</v>
      </c>
      <c r="D112" s="12">
        <f>Table14[[#This Row],[Enrolment S.Y. 2025-2026 ]]*8</f>
        <v>4776</v>
      </c>
      <c r="E112" s="12"/>
      <c r="F112" s="10"/>
      <c r="G112" s="12"/>
      <c r="H112" s="12">
        <f>IF((D112-E112)&lt;0,0,(D112-E112))</f>
        <v>4776</v>
      </c>
      <c r="I112" s="12">
        <f>IF((E112-D112)&lt;0,0,(E112-D112))</f>
        <v>0</v>
      </c>
      <c r="J112" s="12">
        <f>Table14[[#This Row],[Enrolment S.Y. 2025-2026 ]]*8</f>
        <v>4776</v>
      </c>
      <c r="K112" s="12"/>
      <c r="L112" s="10"/>
      <c r="M112" s="12"/>
      <c r="N112" s="12">
        <f t="shared" si="28"/>
        <v>4776</v>
      </c>
      <c r="O112" s="12">
        <f t="shared" si="29"/>
        <v>0</v>
      </c>
      <c r="P112" s="12">
        <f>Table14[[#This Row],[Enrolment S.Y. 2025-2026 ]]*8</f>
        <v>4776</v>
      </c>
      <c r="Q112" s="12">
        <v>112</v>
      </c>
      <c r="R112" s="10">
        <v>2025</v>
      </c>
      <c r="S112" s="12" t="s">
        <v>63</v>
      </c>
      <c r="T112" s="12">
        <f>IF((P112-Q112)&lt;0,0,(P112-Q112))</f>
        <v>4664</v>
      </c>
      <c r="U112" s="12">
        <f>IF((Q112-P112)&lt;0,0,(Q112-P112))</f>
        <v>0</v>
      </c>
      <c r="V112" s="12">
        <f>Table14[[#This Row],[Enrolment S.Y. 2025-2026 ]]*8</f>
        <v>4776</v>
      </c>
      <c r="W112" s="12">
        <v>112</v>
      </c>
      <c r="X112" s="10">
        <v>2025</v>
      </c>
      <c r="Y112" s="12" t="s">
        <v>63</v>
      </c>
      <c r="Z112" s="12">
        <f>IF((V112-W112)&lt;0,0,(V112-W112))</f>
        <v>4664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597</v>
      </c>
      <c r="D113" s="12">
        <f>Table14[[#This Row],[Enrolment S.Y. 2025-2026 ]]*8</f>
        <v>4776</v>
      </c>
      <c r="E113" s="12"/>
      <c r="F113" s="10"/>
      <c r="G113" s="12"/>
      <c r="H113" s="12">
        <f t="shared" si="22"/>
        <v>4776</v>
      </c>
      <c r="I113" s="12">
        <f t="shared" si="23"/>
        <v>0</v>
      </c>
      <c r="J113" s="12">
        <f>Table14[[#This Row],[Enrolment S.Y. 2025-2026 ]]*8</f>
        <v>4776</v>
      </c>
      <c r="K113" s="12"/>
      <c r="L113" s="10"/>
      <c r="M113" s="12"/>
      <c r="N113" s="12">
        <f t="shared" si="28"/>
        <v>4776</v>
      </c>
      <c r="O113" s="12">
        <f t="shared" si="29"/>
        <v>0</v>
      </c>
      <c r="P113" s="12">
        <f>Table14[[#This Row],[Enrolment S.Y. 2025-2026 ]]*8</f>
        <v>4776</v>
      </c>
      <c r="Q113" s="12">
        <v>112</v>
      </c>
      <c r="R113" s="10">
        <v>2025</v>
      </c>
      <c r="S113" s="12" t="s">
        <v>63</v>
      </c>
      <c r="T113" s="12">
        <f t="shared" si="16"/>
        <v>4664</v>
      </c>
      <c r="U113" s="12">
        <f t="shared" si="17"/>
        <v>0</v>
      </c>
      <c r="V113" s="12">
        <f>Table14[[#This Row],[Enrolment S.Y. 2025-2026 ]]*8</f>
        <v>4776</v>
      </c>
      <c r="W113" s="12">
        <v>112</v>
      </c>
      <c r="X113" s="10">
        <v>2025</v>
      </c>
      <c r="Y113" s="12" t="s">
        <v>63</v>
      </c>
      <c r="Z113" s="12">
        <f t="shared" si="18"/>
        <v>4664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T103:X113 N103:R113 T91:X101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M91:M101 G103:G113 M103:M113 Y115:Y122 G115:G122 M115:M122 S115:S122 Y103:Y113 S103:S113 Y91:Y101 S91:S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103:S113 Y91:Y101 M91:M101 G91:G101 G103:G113 M115:M122 Y103:Y113 M103:M113 S91:S101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2026-02-26T03:11:33Z</dcterms:modified>
  <cp:category/>
  <cp:contentStatus/>
</cp:coreProperties>
</file>