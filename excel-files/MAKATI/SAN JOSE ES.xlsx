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jonathan_buquia_deped_gov_ph/Documents/SAMPLE CONSOLIDATED FOLDER/MAKATI/"/>
    </mc:Choice>
  </mc:AlternateContent>
  <xr:revisionPtr revIDLastSave="88" documentId="13_ncr:1_{BFB59F67-F0DC-4675-A682-EB0734A8026A}" xr6:coauthVersionLast="47" xr6:coauthVersionMax="47" xr10:uidLastSave="{0A8057BF-D812-4684-97FA-7448BDF3BC86}"/>
  <bookViews>
    <workbookView xWindow="-120" yWindow="-120" windowWidth="29040" windowHeight="15840" firstSheet="1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<sst xmlns="http://schemas.openxmlformats.org/spreadsheetml/2006/main" count="422" uniqueCount="92">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</sst>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30" sqref="E30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146</v>
      </c>
      <c r="D2" s="1">
        <v>184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38</v>
      </c>
    </row>
    <row r="3" spans="1:8" ht="29.25" customHeight="1">
      <c r="A3" s="1">
        <v>1</v>
      </c>
      <c r="B3" s="2" t="s">
        <v>10</v>
      </c>
      <c r="C3" s="1">
        <v>146</v>
      </c>
      <c r="D3" s="1">
        <v>184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38</v>
      </c>
    </row>
    <row r="4" spans="1:8" ht="21" customHeight="1">
      <c r="A4" s="1">
        <v>1</v>
      </c>
      <c r="B4" s="2" t="s">
        <v>11</v>
      </c>
      <c r="C4" s="1">
        <v>146</v>
      </c>
      <c r="D4" s="1">
        <v>184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38</v>
      </c>
    </row>
    <row r="5" spans="1:8" ht="25.5" customHeight="1">
      <c r="A5" s="1">
        <v>1</v>
      </c>
      <c r="B5" s="2" t="s">
        <v>12</v>
      </c>
      <c r="C5" s="1">
        <v>146</v>
      </c>
      <c r="D5" s="1">
        <v>184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38</v>
      </c>
    </row>
    <row r="6" spans="1:8" ht="19.5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168</v>
      </c>
      <c r="D21" s="1">
        <v>230</v>
      </c>
      <c r="E21" s="1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62</v>
      </c>
    </row>
    <row r="22" spans="1:8" ht="24" customHeight="1">
      <c r="A22" s="1">
        <v>4</v>
      </c>
      <c r="B22" s="9" t="s">
        <v>17</v>
      </c>
      <c r="C22" s="1">
        <v>168</v>
      </c>
      <c r="D22" s="1">
        <v>230</v>
      </c>
      <c r="E22" s="1">
        <v>2024</v>
      </c>
      <c r="F22" s="5" t="s">
        <v>16</v>
      </c>
      <c r="G22" s="3">
        <f t="shared" si="4"/>
        <v>0</v>
      </c>
      <c r="H22" s="4">
        <f t="shared" si="5"/>
        <v>62</v>
      </c>
    </row>
    <row r="23" spans="1:8" ht="19.5">
      <c r="A23" s="1">
        <v>4</v>
      </c>
      <c r="B23" s="9" t="s">
        <v>13</v>
      </c>
      <c r="C23" s="1">
        <v>168</v>
      </c>
      <c r="D23" s="1">
        <v>230</v>
      </c>
      <c r="E23" s="1">
        <v>2024</v>
      </c>
      <c r="F23" s="5" t="s">
        <v>16</v>
      </c>
      <c r="G23" s="3">
        <f t="shared" si="4"/>
        <v>0</v>
      </c>
      <c r="H23" s="4">
        <f t="shared" si="5"/>
        <v>62</v>
      </c>
    </row>
    <row r="24" spans="1:8" ht="27" customHeight="1">
      <c r="A24" s="1">
        <v>4</v>
      </c>
      <c r="B24" s="9" t="s">
        <v>11</v>
      </c>
      <c r="C24" s="1">
        <v>168</v>
      </c>
      <c r="D24" s="1">
        <v>230</v>
      </c>
      <c r="E24" s="1">
        <v>2025</v>
      </c>
      <c r="F24" s="5" t="s">
        <v>16</v>
      </c>
      <c r="G24" s="3">
        <f t="shared" si="4"/>
        <v>0</v>
      </c>
      <c r="H24" s="4">
        <f t="shared" si="5"/>
        <v>62</v>
      </c>
    </row>
    <row r="25" spans="1:8" ht="33.75" customHeight="1">
      <c r="A25" s="1">
        <v>4</v>
      </c>
      <c r="B25" s="9" t="s">
        <v>18</v>
      </c>
      <c r="C25" s="1">
        <v>168</v>
      </c>
      <c r="D25" s="1">
        <v>229</v>
      </c>
      <c r="E25" s="1">
        <v>2024</v>
      </c>
      <c r="F25" s="5" t="s">
        <v>16</v>
      </c>
      <c r="G25" s="3">
        <f t="shared" si="4"/>
        <v>0</v>
      </c>
      <c r="H25" s="4">
        <f t="shared" si="5"/>
        <v>61</v>
      </c>
    </row>
    <row r="26" spans="1:8" ht="33.75" customHeight="1">
      <c r="A26" s="1">
        <v>4</v>
      </c>
      <c r="B26" s="9" t="s">
        <v>14</v>
      </c>
      <c r="C26" s="1">
        <v>168</v>
      </c>
      <c r="D26" s="1">
        <v>229</v>
      </c>
      <c r="E26" s="1">
        <v>2024</v>
      </c>
      <c r="F26" s="5" t="s">
        <v>16</v>
      </c>
      <c r="G26" s="3">
        <f t="shared" si="4"/>
        <v>0</v>
      </c>
      <c r="H26" s="4">
        <f t="shared" si="5"/>
        <v>61</v>
      </c>
    </row>
    <row r="27" spans="1:8" ht="33.75" customHeight="1">
      <c r="A27" s="1">
        <v>4</v>
      </c>
      <c r="B27" s="9" t="s">
        <v>19</v>
      </c>
      <c r="C27" s="1">
        <v>168</v>
      </c>
      <c r="D27" s="1">
        <v>77</v>
      </c>
      <c r="E27" s="1">
        <v>2024</v>
      </c>
      <c r="F27" s="5" t="s">
        <v>16</v>
      </c>
      <c r="G27" s="3">
        <f t="shared" si="4"/>
        <v>91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168</v>
      </c>
      <c r="D31" s="1">
        <v>198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30</v>
      </c>
    </row>
    <row r="32" spans="1:8" ht="27.75" customHeight="1">
      <c r="A32" s="1">
        <v>5</v>
      </c>
      <c r="B32" s="9" t="s">
        <v>17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168</v>
      </c>
      <c r="D35" s="1">
        <v>199</v>
      </c>
      <c r="E35" s="1">
        <v>2025</v>
      </c>
      <c r="F35" s="5" t="s">
        <v>16</v>
      </c>
      <c r="G35" s="3">
        <f t="shared" si="6"/>
        <v>0</v>
      </c>
      <c r="H35" s="4">
        <f t="shared" si="7"/>
        <v>31</v>
      </c>
    </row>
    <row r="36" spans="1:8" ht="27.75" customHeight="1">
      <c r="A36" s="1">
        <v>5</v>
      </c>
      <c r="B36" s="9" t="s">
        <v>14</v>
      </c>
      <c r="C36" s="1">
        <v>168</v>
      </c>
      <c r="D36" s="1">
        <v>198</v>
      </c>
      <c r="E36" s="1"/>
      <c r="F36" s="5" t="s">
        <v>16</v>
      </c>
      <c r="G36" s="3">
        <f t="shared" si="6"/>
        <v>0</v>
      </c>
      <c r="H36" s="4">
        <f t="shared" si="7"/>
        <v>30</v>
      </c>
    </row>
    <row r="37" spans="1:8" ht="27.75" customHeight="1">
      <c r="A37" s="1">
        <v>5</v>
      </c>
      <c r="B37" s="9" t="s">
        <v>19</v>
      </c>
      <c r="C37" s="1">
        <v>168</v>
      </c>
      <c r="D37" s="1">
        <v>198</v>
      </c>
      <c r="E37" s="1">
        <v>2025</v>
      </c>
      <c r="F37" s="5" t="s">
        <v>16</v>
      </c>
      <c r="G37" s="3">
        <f t="shared" si="6"/>
        <v>0</v>
      </c>
      <c r="H37" s="4">
        <f t="shared" si="7"/>
        <v>30</v>
      </c>
    </row>
    <row r="38" spans="1:8" ht="27.75" customHeight="1">
      <c r="A38" s="1">
        <v>5</v>
      </c>
      <c r="B38" s="9" t="s">
        <v>20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91:E98 E71:E79 E81:E89 E8:E12 E2:E6" xr:uid="{B46E7B13-721E-4D49-837E-C02BF9777D48}">
      <formula1>"2024,2025"</formula1>
    </dataValidation>
    <dataValidation type="list" allowBlank="1" showInputMessage="1" showErrorMessage="1" sqref="F14:F19 F21:F29 F31:F39 F41:F49 F51:F59 F61:F69 F71:F79 F81:F89 F91:F98 F8:F12 F2:F6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topLeftCell="A25" zoomScale="70" zoomScaleNormal="70" workbookViewId="0">
      <selection activeCell="E42" sqref="E42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39" t="s">
        <v>34</v>
      </c>
      <c r="E1" s="39"/>
      <c r="F1" s="39"/>
      <c r="G1" s="39"/>
      <c r="H1" s="39"/>
      <c r="I1" s="39"/>
      <c r="J1" s="40" t="s">
        <v>35</v>
      </c>
      <c r="K1" s="40"/>
      <c r="L1" s="40"/>
      <c r="M1" s="40"/>
      <c r="N1" s="40"/>
      <c r="O1" s="40"/>
      <c r="P1" s="41" t="s">
        <v>36</v>
      </c>
      <c r="Q1" s="41"/>
      <c r="R1" s="41"/>
      <c r="S1" s="41"/>
      <c r="T1" s="41"/>
      <c r="U1" s="41"/>
      <c r="V1" s="42" t="s">
        <v>37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37" t="s">
        <v>47</v>
      </c>
      <c r="N2" s="37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38" t="s">
        <v>59</v>
      </c>
      <c r="Z2" s="38" t="s">
        <v>60</v>
      </c>
      <c r="AA2" s="26" t="s">
        <v>61</v>
      </c>
    </row>
    <row r="3" spans="1:27" ht="30.6" customHeight="1">
      <c r="A3" s="36" t="s">
        <v>62</v>
      </c>
      <c r="B3" s="9"/>
      <c r="C3" s="1">
        <v>179</v>
      </c>
      <c r="D3" s="5">
        <f>Table1[[#This Row],[Enrolment S.Y. 2025-2026 ]]*8</f>
        <v>1432</v>
      </c>
      <c r="E3" s="5"/>
      <c r="F3" s="1"/>
      <c r="G3" s="5"/>
      <c r="H3" s="5">
        <f>IF((D3-E3)&lt;0,0,(D3-E3))</f>
        <v>1432</v>
      </c>
      <c r="I3" s="5">
        <f>IF((E3-D3)&lt;0,0,(E3-D3))</f>
        <v>0</v>
      </c>
      <c r="J3" s="5">
        <f>Table1[[#This Row],[Enrolment S.Y. 2025-2026 ]]*8</f>
        <v>1432</v>
      </c>
      <c r="K3" s="5"/>
      <c r="L3" s="1"/>
      <c r="M3" s="5"/>
      <c r="N3" s="5">
        <f t="shared" ref="N3" si="0">IF((J3-K3)&lt;0,0,(J3-K3))</f>
        <v>1432</v>
      </c>
      <c r="O3" s="5">
        <f t="shared" ref="O3" si="1">IF((K3-J3)&lt;0,0,(K3-J3))</f>
        <v>0</v>
      </c>
      <c r="P3" s="5">
        <f>Table1[[#This Row],[Enrolment S.Y. 2025-2026 ]]*8</f>
        <v>1432</v>
      </c>
      <c r="Q3" s="5">
        <v>196</v>
      </c>
      <c r="R3" s="1"/>
      <c r="S3" s="5"/>
      <c r="T3" s="5">
        <f>IF((P3-Q3)&lt;0,0,(P3-Q3))</f>
        <v>1236</v>
      </c>
      <c r="U3" s="5">
        <f>IF((Q3-P3)&lt;0,0,(Q3-P3))</f>
        <v>0</v>
      </c>
      <c r="V3" s="5">
        <f>Table1[[#This Row],[Enrolment S.Y. 2025-2026 ]]*8</f>
        <v>1432</v>
      </c>
      <c r="W3" s="5"/>
      <c r="X3" s="1"/>
      <c r="Y3" s="5"/>
      <c r="Z3" s="5">
        <f>IF((V3-W3)&lt;0,0,(V3-W3))</f>
        <v>1432</v>
      </c>
      <c r="AA3" s="5">
        <f>IF((W3-V3)&lt;0,0,(W3-V3))</f>
        <v>0</v>
      </c>
    </row>
    <row r="4" spans="1:27" s="7" customFormat="1" ht="19.5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146</v>
      </c>
      <c r="D5" s="5">
        <f>Table1[[#This Row],[Enrolment S.Y. 2025-2026 ]]*8</f>
        <v>1168</v>
      </c>
      <c r="E5" s="5">
        <v>1407</v>
      </c>
      <c r="F5" s="1">
        <v>2024</v>
      </c>
      <c r="G5" s="5" t="s">
        <v>9</v>
      </c>
      <c r="H5" s="5">
        <f t="shared" ref="H5:H77" si="2">IF((D5-E5)&lt;0,0,(D5-E5))</f>
        <v>0</v>
      </c>
      <c r="I5" s="5">
        <f t="shared" ref="I5:I77" si="3">IF((E5-D5)&lt;0,0,(E5-D5))</f>
        <v>239</v>
      </c>
      <c r="J5" s="5">
        <f>Table1[[#This Row],[Enrolment S.Y. 2025-2026 ]]*8</f>
        <v>1168</v>
      </c>
      <c r="K5" s="5"/>
      <c r="L5" s="1"/>
      <c r="M5" s="5"/>
      <c r="N5" s="5">
        <f t="shared" ref="N5" si="4">IF((J5-K5)&lt;0,0,(J5-K5))</f>
        <v>1168</v>
      </c>
      <c r="O5" s="5">
        <f t="shared" ref="O5" si="5">IF((K5-J5)&lt;0,0,(K5-J5))</f>
        <v>0</v>
      </c>
      <c r="P5" s="5">
        <f>Table1[[#This Row],[Enrolment S.Y. 2025-2026 ]]*8</f>
        <v>1168</v>
      </c>
      <c r="Q5" s="5"/>
      <c r="R5" s="1"/>
      <c r="S5" s="5"/>
      <c r="T5" s="5">
        <f t="shared" ref="T5" si="6">IF((P5-Q5)&lt;0,0,(P5-Q5))</f>
        <v>1168</v>
      </c>
      <c r="U5" s="5">
        <f t="shared" ref="U5" si="7">IF((Q5-P5)&lt;0,0,(Q5-P5))</f>
        <v>0</v>
      </c>
      <c r="V5" s="5">
        <f>Table1[[#This Row],[Enrolment S.Y. 2025-2026 ]]*8</f>
        <v>1168</v>
      </c>
      <c r="W5" s="5"/>
      <c r="X5" s="1"/>
      <c r="Y5" s="5"/>
      <c r="Z5" s="5">
        <f t="shared" ref="Z5" si="8">IF((V5-W5)&lt;0,0,(V5-W5))</f>
        <v>1168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146</v>
      </c>
      <c r="D6" s="5">
        <f>Table1[[#This Row],[Enrolment S.Y. 2025-2026 ]]*8</f>
        <v>1168</v>
      </c>
      <c r="E6" s="5">
        <v>980</v>
      </c>
      <c r="F6" s="1">
        <v>2024</v>
      </c>
      <c r="G6" s="5" t="s">
        <v>9</v>
      </c>
      <c r="H6" s="5">
        <f t="shared" si="2"/>
        <v>188</v>
      </c>
      <c r="I6" s="5">
        <f t="shared" si="3"/>
        <v>0</v>
      </c>
      <c r="J6" s="5">
        <f>Table1[[#This Row],[Enrolment S.Y. 2025-2026 ]]*8</f>
        <v>1168</v>
      </c>
      <c r="K6" s="5"/>
      <c r="L6" s="1"/>
      <c r="M6" s="5"/>
      <c r="N6" s="5">
        <f t="shared" ref="N6:N69" si="10">IF((J6-K6)&lt;0,0,(J6-K6))</f>
        <v>1168</v>
      </c>
      <c r="O6" s="5">
        <f t="shared" ref="O6:O69" si="11">IF((K6-J6)&lt;0,0,(K6-J6))</f>
        <v>0</v>
      </c>
      <c r="P6" s="5">
        <f>Table1[[#This Row],[Enrolment S.Y. 2025-2026 ]]*8</f>
        <v>1168</v>
      </c>
      <c r="Q6" s="5"/>
      <c r="R6" s="1"/>
      <c r="S6" s="5"/>
      <c r="T6" s="5">
        <f t="shared" ref="T6:T69" si="12">IF((P6-Q6)&lt;0,0,(P6-Q6))</f>
        <v>1168</v>
      </c>
      <c r="U6" s="5">
        <f t="shared" ref="U6:U69" si="13">IF((Q6-P6)&lt;0,0,(Q6-P6))</f>
        <v>0</v>
      </c>
      <c r="V6" s="5">
        <f>Table1[[#This Row],[Enrolment S.Y. 2025-2026 ]]*8</f>
        <v>1168</v>
      </c>
      <c r="W6" s="5"/>
      <c r="X6" s="1"/>
      <c r="Y6" s="5"/>
      <c r="Z6" s="5">
        <f t="shared" ref="Z6:Z69" si="14">IF((V6-W6)&lt;0,0,(V6-W6))</f>
        <v>1168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146</v>
      </c>
      <c r="D7" s="5">
        <f>Table1[[#This Row],[Enrolment S.Y. 2025-2026 ]]*8</f>
        <v>1168</v>
      </c>
      <c r="E7" s="5">
        <v>1633</v>
      </c>
      <c r="F7" s="1">
        <v>2024</v>
      </c>
      <c r="G7" s="5" t="s">
        <v>9</v>
      </c>
      <c r="H7" s="5">
        <f t="shared" si="2"/>
        <v>0</v>
      </c>
      <c r="I7" s="5">
        <f t="shared" si="3"/>
        <v>465</v>
      </c>
      <c r="J7" s="5">
        <f>Table1[[#This Row],[Enrolment S.Y. 2025-2026 ]]*8</f>
        <v>1168</v>
      </c>
      <c r="K7" s="5"/>
      <c r="L7" s="1"/>
      <c r="M7" s="5"/>
      <c r="N7" s="5">
        <f t="shared" si="10"/>
        <v>1168</v>
      </c>
      <c r="O7" s="5">
        <f t="shared" si="11"/>
        <v>0</v>
      </c>
      <c r="P7" s="5">
        <f>Table1[[#This Row],[Enrolment S.Y. 2025-2026 ]]*8</f>
        <v>1168</v>
      </c>
      <c r="Q7" s="5"/>
      <c r="R7" s="1"/>
      <c r="S7" s="5"/>
      <c r="T7" s="5">
        <f t="shared" si="12"/>
        <v>1168</v>
      </c>
      <c r="U7" s="5">
        <f t="shared" si="13"/>
        <v>0</v>
      </c>
      <c r="V7" s="5">
        <f>Table1[[#This Row],[Enrolment S.Y. 2025-2026 ]]*8</f>
        <v>1168</v>
      </c>
      <c r="W7" s="5"/>
      <c r="X7" s="1"/>
      <c r="Y7" s="5"/>
      <c r="Z7" s="5">
        <f t="shared" si="14"/>
        <v>1168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146</v>
      </c>
      <c r="D8" s="5">
        <f>Table1[[#This Row],[Enrolment S.Y. 2025-2026 ]]*8</f>
        <v>1168</v>
      </c>
      <c r="E8" s="5">
        <v>1407</v>
      </c>
      <c r="F8" s="1">
        <v>2024</v>
      </c>
      <c r="G8" s="5" t="s">
        <v>9</v>
      </c>
      <c r="H8" s="5">
        <f t="shared" si="2"/>
        <v>0</v>
      </c>
      <c r="I8" s="5">
        <f t="shared" si="3"/>
        <v>239</v>
      </c>
      <c r="J8" s="5">
        <f>Table1[[#This Row],[Enrolment S.Y. 2025-2026 ]]*8</f>
        <v>1168</v>
      </c>
      <c r="K8" s="5"/>
      <c r="L8" s="1"/>
      <c r="M8" s="5"/>
      <c r="N8" s="5">
        <f t="shared" si="10"/>
        <v>1168</v>
      </c>
      <c r="O8" s="5">
        <f t="shared" si="11"/>
        <v>0</v>
      </c>
      <c r="P8" s="5">
        <f>Table1[[#This Row],[Enrolment S.Y. 2025-2026 ]]*8</f>
        <v>1168</v>
      </c>
      <c r="Q8" s="5"/>
      <c r="R8" s="1"/>
      <c r="S8" s="5"/>
      <c r="T8" s="5">
        <f t="shared" si="12"/>
        <v>1168</v>
      </c>
      <c r="U8" s="5">
        <f t="shared" si="13"/>
        <v>0</v>
      </c>
      <c r="V8" s="5">
        <f>Table1[[#This Row],[Enrolment S.Y. 2025-2026 ]]*8</f>
        <v>1168</v>
      </c>
      <c r="W8" s="5"/>
      <c r="X8" s="1"/>
      <c r="Y8" s="5"/>
      <c r="Z8" s="5">
        <f t="shared" si="14"/>
        <v>1168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146</v>
      </c>
      <c r="D9" s="5">
        <f>Table1[[#This Row],[Enrolment S.Y. 2025-2026 ]]*8</f>
        <v>1168</v>
      </c>
      <c r="E9" s="5">
        <v>1633</v>
      </c>
      <c r="F9" s="1">
        <v>2024</v>
      </c>
      <c r="G9" s="5" t="s">
        <v>9</v>
      </c>
      <c r="H9" s="5">
        <f t="shared" si="2"/>
        <v>0</v>
      </c>
      <c r="I9" s="5">
        <f t="shared" si="3"/>
        <v>465</v>
      </c>
      <c r="J9" s="5">
        <f>Table1[[#This Row],[Enrolment S.Y. 2025-2026 ]]*8</f>
        <v>1168</v>
      </c>
      <c r="K9" s="5"/>
      <c r="L9" s="1"/>
      <c r="M9" s="5"/>
      <c r="N9" s="5">
        <f t="shared" si="10"/>
        <v>1168</v>
      </c>
      <c r="O9" s="5">
        <f t="shared" si="11"/>
        <v>0</v>
      </c>
      <c r="P9" s="5">
        <f>Table1[[#This Row],[Enrolment S.Y. 2025-2026 ]]*8</f>
        <v>1168</v>
      </c>
      <c r="Q9" s="5"/>
      <c r="R9" s="1"/>
      <c r="S9" s="5"/>
      <c r="T9" s="5">
        <f t="shared" si="12"/>
        <v>1168</v>
      </c>
      <c r="U9" s="5">
        <f t="shared" si="13"/>
        <v>0</v>
      </c>
      <c r="V9" s="5">
        <f>Table1[[#This Row],[Enrolment S.Y. 2025-2026 ]]*8</f>
        <v>1168</v>
      </c>
      <c r="W9" s="5"/>
      <c r="X9" s="1"/>
      <c r="Y9" s="5"/>
      <c r="Z9" s="5">
        <f t="shared" si="14"/>
        <v>1168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>
        <v>2024</v>
      </c>
      <c r="G10" s="5" t="s">
        <v>9</v>
      </c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>
        <v>2024</v>
      </c>
      <c r="G11" s="5" t="s">
        <v>9</v>
      </c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>
        <v>2024</v>
      </c>
      <c r="G12" s="5" t="s">
        <v>9</v>
      </c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168</v>
      </c>
      <c r="D33" s="5">
        <f>Table1[[#This Row],[Enrolment S.Y. 2025-2026 ]]*8</f>
        <v>1344</v>
      </c>
      <c r="E33" s="5">
        <v>28</v>
      </c>
      <c r="F33" s="1">
        <v>2024</v>
      </c>
      <c r="G33" s="5" t="s">
        <v>9</v>
      </c>
      <c r="H33" s="5">
        <f t="shared" si="2"/>
        <v>1316</v>
      </c>
      <c r="I33" s="5">
        <f t="shared" si="3"/>
        <v>0</v>
      </c>
      <c r="J33" s="5">
        <f>Table1[[#This Row],[Enrolment S.Y. 2025-2026 ]]*8</f>
        <v>1344</v>
      </c>
      <c r="K33" s="5"/>
      <c r="L33" s="1"/>
      <c r="M33" s="5"/>
      <c r="N33" s="5">
        <f t="shared" si="10"/>
        <v>1344</v>
      </c>
      <c r="O33" s="5">
        <f t="shared" si="11"/>
        <v>0</v>
      </c>
      <c r="P33" s="5">
        <f>Table1[[#This Row],[Enrolment S.Y. 2025-2026 ]]*8</f>
        <v>1344</v>
      </c>
      <c r="Q33" s="5"/>
      <c r="R33" s="1"/>
      <c r="S33" s="5"/>
      <c r="T33" s="5">
        <f t="shared" si="12"/>
        <v>1344</v>
      </c>
      <c r="U33" s="5">
        <f t="shared" si="13"/>
        <v>0</v>
      </c>
      <c r="V33" s="5">
        <f>Table1[[#This Row],[Enrolment S.Y. 2025-2026 ]]*8</f>
        <v>1344</v>
      </c>
      <c r="W33" s="5"/>
      <c r="X33" s="1"/>
      <c r="Y33" s="5"/>
      <c r="Z33" s="5">
        <f t="shared" si="14"/>
        <v>1344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168</v>
      </c>
      <c r="D34" s="5">
        <f>Table1[[#This Row],[Enrolment S.Y. 2025-2026 ]]*8</f>
        <v>1344</v>
      </c>
      <c r="E34" s="5">
        <v>28</v>
      </c>
      <c r="F34" s="1">
        <v>2024</v>
      </c>
      <c r="G34" s="5" t="s">
        <v>9</v>
      </c>
      <c r="H34" s="5">
        <f t="shared" si="2"/>
        <v>1316</v>
      </c>
      <c r="I34" s="5">
        <f t="shared" si="3"/>
        <v>0</v>
      </c>
      <c r="J34" s="5">
        <f>Table1[[#This Row],[Enrolment S.Y. 2025-2026 ]]*8</f>
        <v>1344</v>
      </c>
      <c r="K34" s="5"/>
      <c r="L34" s="1"/>
      <c r="M34" s="5"/>
      <c r="N34" s="5">
        <f t="shared" si="10"/>
        <v>1344</v>
      </c>
      <c r="O34" s="5">
        <f t="shared" si="11"/>
        <v>0</v>
      </c>
      <c r="P34" s="5">
        <f>Table1[[#This Row],[Enrolment S.Y. 2025-2026 ]]*8</f>
        <v>1344</v>
      </c>
      <c r="Q34" s="5"/>
      <c r="R34" s="1"/>
      <c r="S34" s="5"/>
      <c r="T34" s="5">
        <f t="shared" si="12"/>
        <v>1344</v>
      </c>
      <c r="U34" s="5">
        <f t="shared" si="13"/>
        <v>0</v>
      </c>
      <c r="V34" s="5">
        <f>Table1[[#This Row],[Enrolment S.Y. 2025-2026 ]]*8</f>
        <v>1344</v>
      </c>
      <c r="W34" s="5"/>
      <c r="X34" s="1"/>
      <c r="Y34" s="5"/>
      <c r="Z34" s="5">
        <f t="shared" si="14"/>
        <v>1344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168</v>
      </c>
      <c r="D35" s="5">
        <f>Table1[[#This Row],[Enrolment S.Y. 2025-2026 ]]*8</f>
        <v>1344</v>
      </c>
      <c r="E35" s="5">
        <v>28</v>
      </c>
      <c r="F35" s="1">
        <v>2024</v>
      </c>
      <c r="G35" s="5" t="s">
        <v>9</v>
      </c>
      <c r="H35" s="5">
        <f t="shared" si="2"/>
        <v>1316</v>
      </c>
      <c r="I35" s="5">
        <f t="shared" si="3"/>
        <v>0</v>
      </c>
      <c r="J35" s="5">
        <f>Table1[[#This Row],[Enrolment S.Y. 2025-2026 ]]*8</f>
        <v>1344</v>
      </c>
      <c r="K35" s="5"/>
      <c r="L35" s="1"/>
      <c r="M35" s="5"/>
      <c r="N35" s="5">
        <f t="shared" si="10"/>
        <v>1344</v>
      </c>
      <c r="O35" s="5">
        <f t="shared" si="11"/>
        <v>0</v>
      </c>
      <c r="P35" s="5">
        <f>Table1[[#This Row],[Enrolment S.Y. 2025-2026 ]]*8</f>
        <v>1344</v>
      </c>
      <c r="Q35" s="5"/>
      <c r="R35" s="1"/>
      <c r="S35" s="5"/>
      <c r="T35" s="5">
        <f t="shared" si="12"/>
        <v>1344</v>
      </c>
      <c r="U35" s="5">
        <f t="shared" si="13"/>
        <v>0</v>
      </c>
      <c r="V35" s="5">
        <f>Table1[[#This Row],[Enrolment S.Y. 2025-2026 ]]*8</f>
        <v>1344</v>
      </c>
      <c r="W35" s="5"/>
      <c r="X35" s="1"/>
      <c r="Y35" s="5"/>
      <c r="Z35" s="5">
        <f t="shared" si="14"/>
        <v>1344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168</v>
      </c>
      <c r="D36" s="5">
        <f>Table1[[#This Row],[Enrolment S.Y. 2025-2026 ]]*8</f>
        <v>1344</v>
      </c>
      <c r="E36" s="5">
        <v>256</v>
      </c>
      <c r="F36" s="1">
        <v>2024</v>
      </c>
      <c r="G36" s="5" t="s">
        <v>9</v>
      </c>
      <c r="H36" s="5">
        <f t="shared" si="2"/>
        <v>1088</v>
      </c>
      <c r="I36" s="5">
        <f t="shared" si="3"/>
        <v>0</v>
      </c>
      <c r="J36" s="5">
        <f>Table1[[#This Row],[Enrolment S.Y. 2025-2026 ]]*8</f>
        <v>1344</v>
      </c>
      <c r="K36" s="5"/>
      <c r="L36" s="1"/>
      <c r="M36" s="5"/>
      <c r="N36" s="5">
        <f t="shared" si="10"/>
        <v>1344</v>
      </c>
      <c r="O36" s="5">
        <f t="shared" si="11"/>
        <v>0</v>
      </c>
      <c r="P36" s="5">
        <f>Table1[[#This Row],[Enrolment S.Y. 2025-2026 ]]*8</f>
        <v>1344</v>
      </c>
      <c r="Q36" s="5"/>
      <c r="R36" s="1"/>
      <c r="S36" s="5"/>
      <c r="T36" s="5">
        <f t="shared" si="12"/>
        <v>1344</v>
      </c>
      <c r="U36" s="5">
        <f t="shared" si="13"/>
        <v>0</v>
      </c>
      <c r="V36" s="5">
        <f>Table1[[#This Row],[Enrolment S.Y. 2025-2026 ]]*8</f>
        <v>1344</v>
      </c>
      <c r="W36" s="5"/>
      <c r="X36" s="1"/>
      <c r="Y36" s="5"/>
      <c r="Z36" s="5">
        <f t="shared" si="14"/>
        <v>1344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168</v>
      </c>
      <c r="D37" s="5">
        <f>Table1[[#This Row],[Enrolment S.Y. 2025-2026 ]]*8</f>
        <v>1344</v>
      </c>
      <c r="E37" s="5">
        <v>28</v>
      </c>
      <c r="F37" s="1">
        <v>2024</v>
      </c>
      <c r="G37" s="5" t="s">
        <v>9</v>
      </c>
      <c r="H37" s="5">
        <f t="shared" si="2"/>
        <v>1316</v>
      </c>
      <c r="I37" s="5">
        <f t="shared" si="3"/>
        <v>0</v>
      </c>
      <c r="J37" s="5">
        <f>Table1[[#This Row],[Enrolment S.Y. 2025-2026 ]]*8</f>
        <v>1344</v>
      </c>
      <c r="K37" s="5"/>
      <c r="L37" s="1"/>
      <c r="M37" s="5"/>
      <c r="N37" s="5">
        <f t="shared" si="10"/>
        <v>1344</v>
      </c>
      <c r="O37" s="5">
        <f t="shared" si="11"/>
        <v>0</v>
      </c>
      <c r="P37" s="5">
        <f>Table1[[#This Row],[Enrolment S.Y. 2025-2026 ]]*8</f>
        <v>1344</v>
      </c>
      <c r="Q37" s="5"/>
      <c r="R37" s="1"/>
      <c r="S37" s="5"/>
      <c r="T37" s="5">
        <f t="shared" si="12"/>
        <v>1344</v>
      </c>
      <c r="U37" s="5">
        <f t="shared" si="13"/>
        <v>0</v>
      </c>
      <c r="V37" s="5">
        <f>Table1[[#This Row],[Enrolment S.Y. 2025-2026 ]]*8</f>
        <v>1344</v>
      </c>
      <c r="W37" s="5"/>
      <c r="X37" s="1"/>
      <c r="Y37" s="5"/>
      <c r="Z37" s="5">
        <f t="shared" si="14"/>
        <v>1344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168</v>
      </c>
      <c r="D38" s="5">
        <f>Table1[[#This Row],[Enrolment S.Y. 2025-2026 ]]*8</f>
        <v>1344</v>
      </c>
      <c r="E38" s="5">
        <v>28</v>
      </c>
      <c r="F38" s="1">
        <v>2024</v>
      </c>
      <c r="G38" s="5" t="s">
        <v>9</v>
      </c>
      <c r="H38" s="5">
        <f t="shared" si="2"/>
        <v>1316</v>
      </c>
      <c r="I38" s="5">
        <f t="shared" si="3"/>
        <v>0</v>
      </c>
      <c r="J38" s="5">
        <f>Table1[[#This Row],[Enrolment S.Y. 2025-2026 ]]*8</f>
        <v>1344</v>
      </c>
      <c r="K38" s="5"/>
      <c r="L38" s="1"/>
      <c r="M38" s="5"/>
      <c r="N38" s="5">
        <f t="shared" si="10"/>
        <v>1344</v>
      </c>
      <c r="O38" s="5">
        <f t="shared" si="11"/>
        <v>0</v>
      </c>
      <c r="P38" s="5">
        <f>Table1[[#This Row],[Enrolment S.Y. 2025-2026 ]]*8</f>
        <v>1344</v>
      </c>
      <c r="Q38" s="5"/>
      <c r="R38" s="1"/>
      <c r="S38" s="5"/>
      <c r="T38" s="5">
        <f t="shared" si="12"/>
        <v>1344</v>
      </c>
      <c r="U38" s="5">
        <f t="shared" si="13"/>
        <v>0</v>
      </c>
      <c r="V38" s="5">
        <f>Table1[[#This Row],[Enrolment S.Y. 2025-2026 ]]*8</f>
        <v>1344</v>
      </c>
      <c r="W38" s="5"/>
      <c r="X38" s="1"/>
      <c r="Y38" s="5"/>
      <c r="Z38" s="5">
        <f t="shared" si="14"/>
        <v>1344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168</v>
      </c>
      <c r="D39" s="5">
        <f>Table1[[#This Row],[Enrolment S.Y. 2025-2026 ]]*8</f>
        <v>1344</v>
      </c>
      <c r="E39" s="5">
        <v>28</v>
      </c>
      <c r="F39" s="1">
        <v>2024</v>
      </c>
      <c r="G39" s="5" t="s">
        <v>9</v>
      </c>
      <c r="H39" s="5">
        <f t="shared" si="2"/>
        <v>1316</v>
      </c>
      <c r="I39" s="5">
        <f t="shared" si="3"/>
        <v>0</v>
      </c>
      <c r="J39" s="5">
        <f>Table1[[#This Row],[Enrolment S.Y. 2025-2026 ]]*8</f>
        <v>1344</v>
      </c>
      <c r="K39" s="5"/>
      <c r="L39" s="1"/>
      <c r="M39" s="5"/>
      <c r="N39" s="5">
        <f t="shared" si="10"/>
        <v>1344</v>
      </c>
      <c r="O39" s="5">
        <f t="shared" si="11"/>
        <v>0</v>
      </c>
      <c r="P39" s="5">
        <f>Table1[[#This Row],[Enrolment S.Y. 2025-2026 ]]*8</f>
        <v>1344</v>
      </c>
      <c r="Q39" s="5"/>
      <c r="R39" s="1"/>
      <c r="S39" s="5"/>
      <c r="T39" s="5">
        <f t="shared" si="12"/>
        <v>1344</v>
      </c>
      <c r="U39" s="5">
        <f t="shared" si="13"/>
        <v>0</v>
      </c>
      <c r="V39" s="5">
        <f>Table1[[#This Row],[Enrolment S.Y. 2025-2026 ]]*8</f>
        <v>1344</v>
      </c>
      <c r="W39" s="5"/>
      <c r="X39" s="1"/>
      <c r="Y39" s="5"/>
      <c r="Z39" s="5">
        <f t="shared" si="14"/>
        <v>1344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168</v>
      </c>
      <c r="D40" s="5">
        <f>Table1[[#This Row],[Enrolment S.Y. 2025-2026 ]]*8</f>
        <v>1344</v>
      </c>
      <c r="E40" s="5">
        <v>28</v>
      </c>
      <c r="F40" s="1">
        <v>2024</v>
      </c>
      <c r="G40" s="5" t="s">
        <v>9</v>
      </c>
      <c r="H40" s="5">
        <f t="shared" si="2"/>
        <v>1316</v>
      </c>
      <c r="I40" s="5">
        <f t="shared" si="3"/>
        <v>0</v>
      </c>
      <c r="J40" s="5">
        <f>Table1[[#This Row],[Enrolment S.Y. 2025-2026 ]]*8</f>
        <v>1344</v>
      </c>
      <c r="K40" s="5"/>
      <c r="L40" s="1"/>
      <c r="M40" s="5"/>
      <c r="N40" s="5">
        <f t="shared" si="10"/>
        <v>1344</v>
      </c>
      <c r="O40" s="5">
        <f t="shared" si="11"/>
        <v>0</v>
      </c>
      <c r="P40" s="5">
        <f>Table1[[#This Row],[Enrolment S.Y. 2025-2026 ]]*8</f>
        <v>1344</v>
      </c>
      <c r="Q40" s="5"/>
      <c r="R40" s="1"/>
      <c r="S40" s="5"/>
      <c r="T40" s="5">
        <f t="shared" si="12"/>
        <v>1344</v>
      </c>
      <c r="U40" s="5">
        <f t="shared" si="13"/>
        <v>0</v>
      </c>
      <c r="V40" s="5">
        <f>Table1[[#This Row],[Enrolment S.Y. 2025-2026 ]]*8</f>
        <v>1344</v>
      </c>
      <c r="W40" s="5"/>
      <c r="X40" s="1"/>
      <c r="Y40" s="5"/>
      <c r="Z40" s="5">
        <f t="shared" si="14"/>
        <v>1344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168</v>
      </c>
      <c r="D41" s="5">
        <f>Table1[[#This Row],[Enrolment S.Y. 2025-2026 ]]*8</f>
        <v>1344</v>
      </c>
      <c r="E41" s="5">
        <v>1139</v>
      </c>
      <c r="F41" s="1">
        <v>2024</v>
      </c>
      <c r="G41" s="5" t="s">
        <v>9</v>
      </c>
      <c r="H41" s="5">
        <f t="shared" si="2"/>
        <v>205</v>
      </c>
      <c r="I41" s="5">
        <f t="shared" si="3"/>
        <v>0</v>
      </c>
      <c r="J41" s="5">
        <f>Table1[[#This Row],[Enrolment S.Y. 2025-2026 ]]*8</f>
        <v>1344</v>
      </c>
      <c r="K41" s="5"/>
      <c r="L41" s="1"/>
      <c r="M41" s="5"/>
      <c r="N41" s="5">
        <f t="shared" si="10"/>
        <v>1344</v>
      </c>
      <c r="O41" s="5">
        <f t="shared" si="11"/>
        <v>0</v>
      </c>
      <c r="P41" s="5">
        <f>Table1[[#This Row],[Enrolment S.Y. 2025-2026 ]]*8</f>
        <v>1344</v>
      </c>
      <c r="Q41" s="5"/>
      <c r="R41" s="1"/>
      <c r="S41" s="5"/>
      <c r="T41" s="5">
        <f t="shared" si="12"/>
        <v>1344</v>
      </c>
      <c r="U41" s="5">
        <f t="shared" si="13"/>
        <v>0</v>
      </c>
      <c r="V41" s="5">
        <f>Table1[[#This Row],[Enrolment S.Y. 2025-2026 ]]*8</f>
        <v>1344</v>
      </c>
      <c r="W41" s="5"/>
      <c r="X41" s="1"/>
      <c r="Y41" s="5"/>
      <c r="Z41" s="5">
        <f t="shared" si="14"/>
        <v>1344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9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 t="shared" ref="H93:H101" si="24">IF((D93-E93)&lt;0,0,(D93-E93))</f>
        <v>0</v>
      </c>
      <c r="I93" s="12">
        <f t="shared" ref="I93:I101" si="25"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 t="shared" ref="N93:N101" si="26">IF((J93-K93)&lt;0,0,(J93-K93))</f>
        <v>0</v>
      </c>
      <c r="O93" s="12">
        <f t="shared" ref="O93:O101" si="27"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 t="shared" ref="T93:T101" si="28">IF((P93-Q93)&lt;0,0,(P93-Q93))</f>
        <v>0</v>
      </c>
      <c r="U93" s="12">
        <f t="shared" ref="U93:U101" si="29"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 t="shared" ref="Z93:Z101" si="30">IF((V93-W93)&lt;0,0,(V93-W93))</f>
        <v>0</v>
      </c>
      <c r="AA93" s="12">
        <f t="shared" ref="AA93:AA101" si="31">IF((W93-V93)&lt;0,0,(W93-V93))</f>
        <v>0</v>
      </c>
    </row>
    <row r="94" spans="1:27" ht="19.5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 t="shared" si="24"/>
        <v>0</v>
      </c>
      <c r="I94" s="12">
        <f t="shared" si="25"/>
        <v>0</v>
      </c>
      <c r="J94" s="12">
        <f>Table1[[#This Row],[Enrolment S.Y. 2025-2026 ]]*8</f>
        <v>0</v>
      </c>
      <c r="K94" s="12"/>
      <c r="L94" s="10"/>
      <c r="M94" s="12"/>
      <c r="N94" s="12">
        <f t="shared" si="26"/>
        <v>0</v>
      </c>
      <c r="O94" s="12">
        <f t="shared" si="27"/>
        <v>0</v>
      </c>
      <c r="P94" s="12">
        <f>Table1[[#This Row],[Enrolment S.Y. 2025-2026 ]]*8</f>
        <v>0</v>
      </c>
      <c r="Q94" s="12"/>
      <c r="R94" s="10"/>
      <c r="S94" s="12"/>
      <c r="T94" s="12">
        <f t="shared" si="28"/>
        <v>0</v>
      </c>
      <c r="U94" s="12">
        <f t="shared" si="29"/>
        <v>0</v>
      </c>
      <c r="V94" s="12">
        <f>Table1[[#This Row],[Enrolment S.Y. 2025-2026 ]]*8</f>
        <v>0</v>
      </c>
      <c r="W94" s="12"/>
      <c r="X94" s="10"/>
      <c r="Y94" s="12"/>
      <c r="Z94" s="12">
        <f t="shared" si="30"/>
        <v>0</v>
      </c>
      <c r="AA94" s="12">
        <f t="shared" si="31"/>
        <v>0</v>
      </c>
    </row>
    <row r="95" spans="1:27" ht="19.5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 t="shared" si="24"/>
        <v>0</v>
      </c>
      <c r="I95" s="12">
        <f t="shared" si="25"/>
        <v>0</v>
      </c>
      <c r="J95" s="12">
        <f>Table1[[#This Row],[Enrolment S.Y. 2025-2026 ]]*8</f>
        <v>0</v>
      </c>
      <c r="K95" s="12"/>
      <c r="L95" s="10"/>
      <c r="M95" s="12"/>
      <c r="N95" s="12">
        <f t="shared" si="26"/>
        <v>0</v>
      </c>
      <c r="O95" s="12">
        <f t="shared" si="27"/>
        <v>0</v>
      </c>
      <c r="P95" s="12">
        <f>Table1[[#This Row],[Enrolment S.Y. 2025-2026 ]]*8</f>
        <v>0</v>
      </c>
      <c r="Q95" s="12"/>
      <c r="R95" s="10"/>
      <c r="S95" s="12"/>
      <c r="T95" s="12">
        <f t="shared" si="28"/>
        <v>0</v>
      </c>
      <c r="U95" s="12">
        <f t="shared" si="29"/>
        <v>0</v>
      </c>
      <c r="V95" s="12">
        <f>Table1[[#This Row],[Enrolment S.Y. 2025-2026 ]]*8</f>
        <v>0</v>
      </c>
      <c r="W95" s="12"/>
      <c r="X95" s="10"/>
      <c r="Y95" s="12"/>
      <c r="Z95" s="12">
        <f t="shared" si="30"/>
        <v>0</v>
      </c>
      <c r="AA95" s="12">
        <f t="shared" si="31"/>
        <v>0</v>
      </c>
    </row>
    <row r="96" spans="1:27" ht="19.5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 t="shared" si="24"/>
        <v>0</v>
      </c>
      <c r="I96" s="12">
        <f t="shared" si="25"/>
        <v>0</v>
      </c>
      <c r="J96" s="12">
        <f>Table1[[#This Row],[Enrolment S.Y. 2025-2026 ]]*8</f>
        <v>0</v>
      </c>
      <c r="K96" s="12"/>
      <c r="L96" s="10"/>
      <c r="M96" s="12"/>
      <c r="N96" s="12">
        <f t="shared" si="26"/>
        <v>0</v>
      </c>
      <c r="O96" s="12">
        <f t="shared" si="27"/>
        <v>0</v>
      </c>
      <c r="P96" s="12">
        <f>Table1[[#This Row],[Enrolment S.Y. 2025-2026 ]]*8</f>
        <v>0</v>
      </c>
      <c r="Q96" s="12"/>
      <c r="R96" s="10"/>
      <c r="S96" s="12"/>
      <c r="T96" s="12">
        <f t="shared" si="28"/>
        <v>0</v>
      </c>
      <c r="U96" s="12">
        <f t="shared" si="29"/>
        <v>0</v>
      </c>
      <c r="V96" s="12">
        <f>Table1[[#This Row],[Enrolment S.Y. 2025-2026 ]]*8</f>
        <v>0</v>
      </c>
      <c r="W96" s="12"/>
      <c r="X96" s="10"/>
      <c r="Y96" s="12"/>
      <c r="Z96" s="12">
        <f t="shared" si="30"/>
        <v>0</v>
      </c>
      <c r="AA96" s="12">
        <f t="shared" si="31"/>
        <v>0</v>
      </c>
    </row>
    <row r="97" spans="1:27" ht="19.5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 t="shared" si="24"/>
        <v>0</v>
      </c>
      <c r="I97" s="12">
        <f t="shared" si="25"/>
        <v>0</v>
      </c>
      <c r="J97" s="12">
        <f>Table1[[#This Row],[Enrolment S.Y. 2025-2026 ]]*8</f>
        <v>0</v>
      </c>
      <c r="K97" s="12"/>
      <c r="L97" s="10"/>
      <c r="M97" s="12"/>
      <c r="N97" s="12">
        <f t="shared" si="26"/>
        <v>0</v>
      </c>
      <c r="O97" s="12">
        <f t="shared" si="27"/>
        <v>0</v>
      </c>
      <c r="P97" s="12">
        <f>Table1[[#This Row],[Enrolment S.Y. 2025-2026 ]]*8</f>
        <v>0</v>
      </c>
      <c r="Q97" s="12"/>
      <c r="R97" s="10"/>
      <c r="S97" s="12"/>
      <c r="T97" s="12">
        <f t="shared" si="28"/>
        <v>0</v>
      </c>
      <c r="U97" s="12">
        <f t="shared" si="29"/>
        <v>0</v>
      </c>
      <c r="V97" s="12">
        <f>Table1[[#This Row],[Enrolment S.Y. 2025-2026 ]]*8</f>
        <v>0</v>
      </c>
      <c r="W97" s="12"/>
      <c r="X97" s="10"/>
      <c r="Y97" s="12"/>
      <c r="Z97" s="12">
        <f t="shared" si="30"/>
        <v>0</v>
      </c>
      <c r="AA97" s="12">
        <f t="shared" si="31"/>
        <v>0</v>
      </c>
    </row>
    <row r="98" spans="1:27" ht="19.5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 t="shared" si="24"/>
        <v>0</v>
      </c>
      <c r="I98" s="12">
        <f t="shared" si="25"/>
        <v>0</v>
      </c>
      <c r="J98" s="12">
        <f>Table1[[#This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Table1[[#This Row],[Enrolment S.Y. 2025-2026 ]]*8</f>
        <v>0</v>
      </c>
      <c r="Q98" s="12"/>
      <c r="R98" s="10"/>
      <c r="S98" s="12"/>
      <c r="T98" s="12">
        <f t="shared" si="28"/>
        <v>0</v>
      </c>
      <c r="U98" s="12">
        <f t="shared" si="29"/>
        <v>0</v>
      </c>
      <c r="V98" s="12">
        <f>Table1[[#This Row],[Enrolment S.Y. 2025-2026 ]]*8</f>
        <v>0</v>
      </c>
      <c r="W98" s="12"/>
      <c r="X98" s="10"/>
      <c r="Y98" s="12"/>
      <c r="Z98" s="12">
        <f t="shared" si="30"/>
        <v>0</v>
      </c>
      <c r="AA98" s="12">
        <f t="shared" si="31"/>
        <v>0</v>
      </c>
    </row>
    <row r="99" spans="1:27" ht="19.5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 t="shared" si="24"/>
        <v>0</v>
      </c>
      <c r="I99" s="12">
        <f t="shared" si="25"/>
        <v>0</v>
      </c>
      <c r="J99" s="12">
        <f>Table1[[#This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Table1[[#This Row],[Enrolment S.Y. 2025-2026 ]]*8</f>
        <v>0</v>
      </c>
      <c r="Q99" s="12"/>
      <c r="R99" s="10"/>
      <c r="S99" s="12"/>
      <c r="T99" s="12">
        <f t="shared" si="28"/>
        <v>0</v>
      </c>
      <c r="U99" s="12">
        <f t="shared" si="29"/>
        <v>0</v>
      </c>
      <c r="V99" s="12">
        <f>Table1[[#This Row],[Enrolment S.Y. 2025-2026 ]]*8</f>
        <v>0</v>
      </c>
      <c r="W99" s="12"/>
      <c r="X99" s="10"/>
      <c r="Y99" s="12"/>
      <c r="Z99" s="12">
        <f t="shared" si="30"/>
        <v>0</v>
      </c>
      <c r="AA99" s="12">
        <f t="shared" si="31"/>
        <v>0</v>
      </c>
    </row>
    <row r="100" spans="1:27" ht="19.5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 t="shared" si="24"/>
        <v>0</v>
      </c>
      <c r="I100" s="12">
        <f t="shared" si="25"/>
        <v>0</v>
      </c>
      <c r="J100" s="12">
        <f>Table1[[#This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Table1[[#This Row],[Enrolment S.Y. 2025-2026 ]]*8</f>
        <v>0</v>
      </c>
      <c r="Q100" s="12"/>
      <c r="R100" s="10"/>
      <c r="S100" s="12"/>
      <c r="T100" s="12">
        <f t="shared" si="28"/>
        <v>0</v>
      </c>
      <c r="U100" s="12">
        <f t="shared" si="29"/>
        <v>0</v>
      </c>
      <c r="V100" s="12">
        <f>Table1[[#This Row],[Enrolment S.Y. 2025-2026 ]]*8</f>
        <v>0</v>
      </c>
      <c r="W100" s="12"/>
      <c r="X100" s="10"/>
      <c r="Y100" s="12"/>
      <c r="Z100" s="12">
        <f t="shared" si="30"/>
        <v>0</v>
      </c>
      <c r="AA100" s="12">
        <f t="shared" si="31"/>
        <v>0</v>
      </c>
    </row>
    <row r="101" spans="1:27" ht="19.5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 t="shared" si="24"/>
        <v>0</v>
      </c>
      <c r="I101" s="12">
        <f t="shared" si="25"/>
        <v>0</v>
      </c>
      <c r="J101" s="12">
        <f>Table1[[#This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Table1[[#This Row],[Enrolment S.Y. 2025-2026 ]]*8</f>
        <v>0</v>
      </c>
      <c r="Q101" s="12"/>
      <c r="R101" s="10"/>
      <c r="S101" s="12"/>
      <c r="T101" s="12">
        <f t="shared" si="28"/>
        <v>0</v>
      </c>
      <c r="U101" s="12">
        <f t="shared" si="29"/>
        <v>0</v>
      </c>
      <c r="V101" s="12">
        <f>Table1[[#This Row],[Enrolment S.Y. 2025-2026 ]]*8</f>
        <v>0</v>
      </c>
      <c r="W101" s="12"/>
      <c r="X101" s="10"/>
      <c r="Y101" s="12"/>
      <c r="Z101" s="12">
        <f t="shared" si="30"/>
        <v>0</v>
      </c>
      <c r="AA101" s="12">
        <f t="shared" si="31"/>
        <v>0</v>
      </c>
    </row>
    <row r="102" spans="1:27" s="7" customFormat="1" ht="19.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9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9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8.5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9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32">IF((J127-K127)&lt;0,0,(J127-K127))</f>
        <v>0</v>
      </c>
      <c r="O127" s="5">
        <f t="shared" ref="O127" si="33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43:C51 C53:C61 C63:C71 C73:C81 C83:C91 C93:C101 C103:C110 C112:C127 C33:C41 C5:C12" name="Textbooks"/>
    <protectedRange sqref="J2:L3 D2:F3 H5:L5 D14:F21 Q14:R21 W14:X21 D23:F31 Q23:R31 W23:X3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N5:R12 T5:X12 N4:P4 T4:V4 J4 Z4:AA127 N3:R3 Y13 D33:F40 D5 D10:F12 D6:D9 F6:F9 D41 F41 F5" name="LAS"/>
    <protectedRange sqref="G2:I3 M2:O2 S2:U3 Y2:AA3 G112:G127 M112:M127 S112:S127 Y112:Y127 M5:M12 S4:S110 Y5:Y12 G14:G21 M14:M110 M3 Y14:Y110 G23:G31 G43:G51 G53:G61 G63:G71 G73:G81 G83:G91 G93:G101 G103:G110 G33:G41 G5:G12" name="SOURCE"/>
    <protectedRange sqref="E6:E9" name="LAS_1"/>
    <protectedRange sqref="E41" name="LAS_2"/>
    <protectedRange sqref="E5" name="LAS_3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X112:X127 F43:F51 F63:F71 F73:F81 F53:F61 F33:F41 F83:F91 F93:F101 F14:F21 F103:F110 R103:R110 L103:L110 X103:X110 F5:F12" xr:uid="{4ECCD083-8EC4-42EE-B46C-B614411F330D}">
      <formula1>"2024,2025"</formula1>
    </dataValidation>
    <dataValidation type="list" allowBlank="1" showInputMessage="1" showErrorMessage="1" sqref="M14:M110 Y14:Y110 S4:S110 G33:G41 M5:M12 Y5:Y12 G14:G21 G23:G31 G103:G110 G43:G51 G53:G61 G63:G71 G73:G81 G83:G91 G93:G101 G5:G12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M34" sqref="M34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2"/>
      <c r="D1" s="39" t="s">
        <v>34</v>
      </c>
      <c r="E1" s="39"/>
      <c r="F1" s="39"/>
      <c r="G1" s="39"/>
      <c r="H1" s="39"/>
      <c r="I1" s="39"/>
      <c r="J1" s="40" t="s">
        <v>35</v>
      </c>
      <c r="K1" s="40"/>
      <c r="L1" s="40"/>
      <c r="M1" s="40"/>
      <c r="N1" s="40"/>
      <c r="O1" s="40"/>
      <c r="P1" s="41" t="s">
        <v>36</v>
      </c>
      <c r="Q1" s="41"/>
      <c r="R1" s="41"/>
      <c r="S1" s="41"/>
      <c r="T1" s="41"/>
      <c r="U1" s="41"/>
      <c r="V1" s="42" t="s">
        <v>37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33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37" t="s">
        <v>73</v>
      </c>
      <c r="N2" s="37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38" t="s">
        <v>85</v>
      </c>
      <c r="Z2" s="38" t="s">
        <v>86</v>
      </c>
      <c r="AA2" s="26" t="s">
        <v>87</v>
      </c>
    </row>
    <row r="3" spans="1:27" ht="3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0" si="2">IF((J3-K3)&lt;0,0,(J3-K3))</f>
        <v>0</v>
      </c>
      <c r="O3" s="5">
        <f t="shared" ref="O3:O7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9">
      <c r="A12" s="1">
        <v>2</v>
      </c>
      <c r="B12" s="2" t="s">
        <v>8</v>
      </c>
      <c r="C12" s="1">
        <v>146</v>
      </c>
      <c r="D12" s="5">
        <f>Table14[[#This Row],[Enrolment S.Y. 2025-2026 ]]*8</f>
        <v>1168</v>
      </c>
      <c r="E12" s="5"/>
      <c r="F12" s="1"/>
      <c r="G12" s="5"/>
      <c r="H12" s="5">
        <f t="shared" si="0"/>
        <v>1168</v>
      </c>
      <c r="I12" s="5">
        <f t="shared" si="1"/>
        <v>0</v>
      </c>
      <c r="J12" s="5">
        <f>Table14[[#This Row],[Enrolment S.Y. 2025-2026 ]]*8</f>
        <v>1168</v>
      </c>
      <c r="K12" s="5"/>
      <c r="L12" s="1"/>
      <c r="M12" s="5"/>
      <c r="N12" s="5">
        <f t="shared" si="2"/>
        <v>1168</v>
      </c>
      <c r="O12" s="5">
        <f t="shared" si="3"/>
        <v>0</v>
      </c>
      <c r="P12" s="5">
        <f>Table14[[#This Row],[Enrolment S.Y. 2025-2026 ]]*8</f>
        <v>1168</v>
      </c>
      <c r="Q12" s="5"/>
      <c r="R12" s="1"/>
      <c r="S12" s="5"/>
      <c r="T12" s="5">
        <f t="shared" si="4"/>
        <v>1168</v>
      </c>
      <c r="U12" s="5">
        <f t="shared" si="5"/>
        <v>0</v>
      </c>
      <c r="V12" s="5">
        <f>Table14[[#This Row],[Enrolment S.Y. 2025-2026 ]]*8</f>
        <v>1168</v>
      </c>
      <c r="W12" s="5"/>
      <c r="X12" s="1"/>
      <c r="Y12" s="5"/>
      <c r="Z12" s="5">
        <f t="shared" si="6"/>
        <v>1168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146</v>
      </c>
      <c r="D13" s="5">
        <f>Table14[[#This Row],[Enrolment S.Y. 2025-2026 ]]*8</f>
        <v>1168</v>
      </c>
      <c r="E13" s="5"/>
      <c r="F13" s="1"/>
      <c r="G13" s="5"/>
      <c r="H13" s="5">
        <f t="shared" si="0"/>
        <v>1168</v>
      </c>
      <c r="I13" s="5">
        <f t="shared" si="1"/>
        <v>0</v>
      </c>
      <c r="J13" s="5">
        <f>Table14[[#This Row],[Enrolment S.Y. 2025-2026 ]]*8</f>
        <v>1168</v>
      </c>
      <c r="K13" s="5"/>
      <c r="L13" s="1"/>
      <c r="M13" s="5"/>
      <c r="N13" s="5">
        <f t="shared" si="2"/>
        <v>1168</v>
      </c>
      <c r="O13" s="5">
        <f t="shared" si="3"/>
        <v>0</v>
      </c>
      <c r="P13" s="5">
        <f>Table14[[#This Row],[Enrolment S.Y. 2025-2026 ]]*8</f>
        <v>1168</v>
      </c>
      <c r="Q13" s="5"/>
      <c r="R13" s="1"/>
      <c r="S13" s="5"/>
      <c r="T13" s="5">
        <f t="shared" si="4"/>
        <v>1168</v>
      </c>
      <c r="U13" s="5">
        <f t="shared" si="5"/>
        <v>0</v>
      </c>
      <c r="V13" s="5">
        <f>Table14[[#This Row],[Enrolment S.Y. 2025-2026 ]]*8</f>
        <v>1168</v>
      </c>
      <c r="W13" s="5"/>
      <c r="X13" s="1"/>
      <c r="Y13" s="5"/>
      <c r="Z13" s="5">
        <f t="shared" si="6"/>
        <v>1168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146</v>
      </c>
      <c r="D14" s="5">
        <f>Table14[[#This Row],[Enrolment S.Y. 2025-2026 ]]*8</f>
        <v>1168</v>
      </c>
      <c r="E14" s="5"/>
      <c r="F14" s="1"/>
      <c r="G14" s="5"/>
      <c r="H14" s="5">
        <f t="shared" si="0"/>
        <v>1168</v>
      </c>
      <c r="I14" s="5">
        <f t="shared" si="1"/>
        <v>0</v>
      </c>
      <c r="J14" s="5">
        <f>Table14[[#This Row],[Enrolment S.Y. 2025-2026 ]]*8</f>
        <v>1168</v>
      </c>
      <c r="K14" s="5"/>
      <c r="L14" s="1"/>
      <c r="M14" s="5"/>
      <c r="N14" s="5">
        <f t="shared" si="2"/>
        <v>1168</v>
      </c>
      <c r="O14" s="5">
        <f t="shared" si="3"/>
        <v>0</v>
      </c>
      <c r="P14" s="5">
        <f>Table14[[#This Row],[Enrolment S.Y. 2025-2026 ]]*8</f>
        <v>1168</v>
      </c>
      <c r="Q14" s="5"/>
      <c r="R14" s="1"/>
      <c r="S14" s="5"/>
      <c r="T14" s="5">
        <f t="shared" si="4"/>
        <v>1168</v>
      </c>
      <c r="U14" s="5">
        <f t="shared" si="5"/>
        <v>0</v>
      </c>
      <c r="V14" s="5">
        <f>Table14[[#This Row],[Enrolment S.Y. 2025-2026 ]]*8</f>
        <v>1168</v>
      </c>
      <c r="W14" s="5"/>
      <c r="X14" s="1"/>
      <c r="Y14" s="5"/>
      <c r="Z14" s="5">
        <f t="shared" si="6"/>
        <v>1168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146</v>
      </c>
      <c r="D15" s="5">
        <f>Table14[[#This Row],[Enrolment S.Y. 2025-2026 ]]*8</f>
        <v>1168</v>
      </c>
      <c r="E15" s="5"/>
      <c r="F15" s="1"/>
      <c r="G15" s="5"/>
      <c r="H15" s="5">
        <f t="shared" si="0"/>
        <v>1168</v>
      </c>
      <c r="I15" s="5">
        <f t="shared" si="1"/>
        <v>0</v>
      </c>
      <c r="J15" s="5">
        <f>Table14[[#This Row],[Enrolment S.Y. 2025-2026 ]]*8</f>
        <v>1168</v>
      </c>
      <c r="K15" s="5"/>
      <c r="L15" s="1"/>
      <c r="M15" s="5"/>
      <c r="N15" s="5">
        <f t="shared" si="2"/>
        <v>1168</v>
      </c>
      <c r="O15" s="5">
        <f t="shared" si="3"/>
        <v>0</v>
      </c>
      <c r="P15" s="5">
        <f>Table14[[#This Row],[Enrolment S.Y. 2025-2026 ]]*8</f>
        <v>1168</v>
      </c>
      <c r="Q15" s="5"/>
      <c r="R15" s="1"/>
      <c r="S15" s="5"/>
      <c r="T15" s="5">
        <f t="shared" si="4"/>
        <v>1168</v>
      </c>
      <c r="U15" s="5">
        <f t="shared" si="5"/>
        <v>0</v>
      </c>
      <c r="V15" s="5">
        <f>Table14[[#This Row],[Enrolment S.Y. 2025-2026 ]]*8</f>
        <v>1168</v>
      </c>
      <c r="W15" s="5"/>
      <c r="X15" s="1"/>
      <c r="Y15" s="5"/>
      <c r="Z15" s="5">
        <f t="shared" si="6"/>
        <v>1168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146</v>
      </c>
      <c r="D16" s="5">
        <f>Table14[[#This Row],[Enrolment S.Y. 2025-2026 ]]*8</f>
        <v>1168</v>
      </c>
      <c r="E16" s="5"/>
      <c r="F16" s="1"/>
      <c r="G16" s="5"/>
      <c r="H16" s="5">
        <f t="shared" si="0"/>
        <v>1168</v>
      </c>
      <c r="I16" s="5">
        <f t="shared" si="1"/>
        <v>0</v>
      </c>
      <c r="J16" s="5">
        <f>Table14[[#This Row],[Enrolment S.Y. 2025-2026 ]]*8</f>
        <v>1168</v>
      </c>
      <c r="K16" s="5">
        <v>364</v>
      </c>
      <c r="L16" s="1">
        <v>2024</v>
      </c>
      <c r="M16" s="5" t="s">
        <v>9</v>
      </c>
      <c r="N16" s="5">
        <f t="shared" si="2"/>
        <v>804</v>
      </c>
      <c r="O16" s="5">
        <f t="shared" si="3"/>
        <v>0</v>
      </c>
      <c r="P16" s="5">
        <f>Table14[[#This Row],[Enrolment S.Y. 2025-2026 ]]*8</f>
        <v>1168</v>
      </c>
      <c r="Q16" s="5"/>
      <c r="R16" s="1"/>
      <c r="S16" s="5"/>
      <c r="T16" s="5">
        <f t="shared" si="4"/>
        <v>1168</v>
      </c>
      <c r="U16" s="5">
        <f t="shared" si="5"/>
        <v>0</v>
      </c>
      <c r="V16" s="5">
        <f>Table14[[#This Row],[Enrolment S.Y. 2025-2026 ]]*8</f>
        <v>1168</v>
      </c>
      <c r="W16" s="5"/>
      <c r="X16" s="1"/>
      <c r="Y16" s="5"/>
      <c r="Z16" s="5">
        <f t="shared" si="6"/>
        <v>1168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146</v>
      </c>
      <c r="D17" s="5">
        <f>Table14[[#This Row],[Enrolment S.Y. 2025-2026 ]]*8</f>
        <v>1168</v>
      </c>
      <c r="E17" s="5"/>
      <c r="F17" s="1"/>
      <c r="G17" s="5"/>
      <c r="H17" s="5">
        <f>IF((D17-E17)&lt;0,0,(D17-E17))</f>
        <v>1168</v>
      </c>
      <c r="I17" s="5">
        <f>IF((E17-D17)&lt;0,0,(E17-D17))</f>
        <v>0</v>
      </c>
      <c r="J17" s="5">
        <f>Table14[[#This Row],[Enrolment S.Y. 2025-2026 ]]*8</f>
        <v>1168</v>
      </c>
      <c r="K17" s="5"/>
      <c r="L17" s="1"/>
      <c r="M17" s="5"/>
      <c r="N17" s="5">
        <f t="shared" si="2"/>
        <v>1168</v>
      </c>
      <c r="O17" s="5">
        <f t="shared" si="3"/>
        <v>0</v>
      </c>
      <c r="P17" s="5">
        <f>Table14[[#This Row],[Enrolment S.Y. 2025-2026 ]]*8</f>
        <v>1168</v>
      </c>
      <c r="Q17" s="5"/>
      <c r="R17" s="1"/>
      <c r="S17" s="5"/>
      <c r="T17" s="5">
        <f t="shared" si="4"/>
        <v>1168</v>
      </c>
      <c r="U17" s="5">
        <f t="shared" si="5"/>
        <v>0</v>
      </c>
      <c r="V17" s="5">
        <f>Table14[[#This Row],[Enrolment S.Y. 2025-2026 ]]*8</f>
        <v>1168</v>
      </c>
      <c r="W17" s="5"/>
      <c r="X17" s="1"/>
      <c r="Y17" s="5"/>
      <c r="Z17" s="5">
        <f t="shared" si="6"/>
        <v>1168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146</v>
      </c>
      <c r="D18" s="5">
        <f>Table14[[#This Row],[Enrolment S.Y. 2025-2026 ]]*8</f>
        <v>1168</v>
      </c>
      <c r="E18" s="5"/>
      <c r="F18" s="1"/>
      <c r="G18" s="5"/>
      <c r="H18" s="5">
        <f>IF((D18-E18)&lt;0,0,(D18-E18))</f>
        <v>1168</v>
      </c>
      <c r="I18" s="5">
        <f>IF((E18-D18)&lt;0,0,(E18-D18))</f>
        <v>0</v>
      </c>
      <c r="J18" s="5">
        <f>Table14[[#This Row],[Enrolment S.Y. 2025-2026 ]]*8</f>
        <v>1168</v>
      </c>
      <c r="K18" s="5"/>
      <c r="L18" s="1"/>
      <c r="M18" s="5"/>
      <c r="N18" s="5">
        <f t="shared" si="2"/>
        <v>1168</v>
      </c>
      <c r="O18" s="5">
        <f t="shared" si="3"/>
        <v>0</v>
      </c>
      <c r="P18" s="5">
        <f>Table14[[#This Row],[Enrolment S.Y. 2025-2026 ]]*8</f>
        <v>1168</v>
      </c>
      <c r="Q18" s="5"/>
      <c r="R18" s="1"/>
      <c r="S18" s="5"/>
      <c r="T18" s="5">
        <f t="shared" si="4"/>
        <v>1168</v>
      </c>
      <c r="U18" s="5">
        <f t="shared" si="5"/>
        <v>0</v>
      </c>
      <c r="V18" s="5">
        <f>Table14[[#This Row],[Enrolment S.Y. 2025-2026 ]]*8</f>
        <v>1168</v>
      </c>
      <c r="W18" s="5"/>
      <c r="X18" s="1"/>
      <c r="Y18" s="5"/>
      <c r="Z18" s="5">
        <f t="shared" si="6"/>
        <v>1168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146</v>
      </c>
      <c r="D19" s="5">
        <f>Table14[[#This Row],[Enrolment S.Y. 2025-2026 ]]*8</f>
        <v>1168</v>
      </c>
      <c r="E19" s="5"/>
      <c r="F19" s="1"/>
      <c r="G19" s="5"/>
      <c r="H19" s="5">
        <f>IF((D19-E19)&lt;0,0,(D19-E19))</f>
        <v>1168</v>
      </c>
      <c r="I19" s="5">
        <f>IF((E19-D19)&lt;0,0,(E19-D19))</f>
        <v>0</v>
      </c>
      <c r="J19" s="5">
        <f>Table14[[#This Row],[Enrolment S.Y. 2025-2026 ]]*8</f>
        <v>1168</v>
      </c>
      <c r="K19" s="5"/>
      <c r="L19" s="1"/>
      <c r="M19" s="5"/>
      <c r="N19" s="5">
        <f t="shared" si="2"/>
        <v>1168</v>
      </c>
      <c r="O19" s="5">
        <f t="shared" si="3"/>
        <v>0</v>
      </c>
      <c r="P19" s="5">
        <f>Table14[[#This Row],[Enrolment S.Y. 2025-2026 ]]*8</f>
        <v>1168</v>
      </c>
      <c r="Q19" s="5"/>
      <c r="R19" s="1"/>
      <c r="S19" s="5"/>
      <c r="T19" s="5">
        <f t="shared" si="4"/>
        <v>1168</v>
      </c>
      <c r="U19" s="5">
        <f t="shared" si="5"/>
        <v>0</v>
      </c>
      <c r="V19" s="5">
        <f>Table14[[#This Row],[Enrolment S.Y. 2025-2026 ]]*8</f>
        <v>1168</v>
      </c>
      <c r="W19" s="5"/>
      <c r="X19" s="1"/>
      <c r="Y19" s="5"/>
      <c r="Z19" s="5">
        <f t="shared" si="6"/>
        <v>1168</v>
      </c>
      <c r="AA19" s="5">
        <f t="shared" si="7"/>
        <v>0</v>
      </c>
    </row>
    <row r="20" spans="1:27" s="7" customFormat="1"/>
    <row r="21" spans="1:27" ht="39">
      <c r="A21" s="1">
        <v>3</v>
      </c>
      <c r="B21" s="2" t="s">
        <v>8</v>
      </c>
      <c r="C21" s="1">
        <v>182</v>
      </c>
      <c r="D21" s="5">
        <f>Table14[[#This Row],[Enrolment S.Y. 2025-2026 ]]*8</f>
        <v>1456</v>
      </c>
      <c r="E21" s="5"/>
      <c r="F21" s="1"/>
      <c r="G21" s="5"/>
      <c r="H21" s="5">
        <f t="shared" si="0"/>
        <v>1456</v>
      </c>
      <c r="I21" s="5">
        <f t="shared" si="1"/>
        <v>0</v>
      </c>
      <c r="J21" s="5">
        <f>Table14[[#This Row],[Enrolment S.Y. 2025-2026 ]]*8</f>
        <v>1456</v>
      </c>
      <c r="K21" s="5"/>
      <c r="L21" s="1"/>
      <c r="M21" s="5"/>
      <c r="N21" s="5">
        <f t="shared" si="2"/>
        <v>1456</v>
      </c>
      <c r="O21" s="5">
        <f t="shared" si="3"/>
        <v>0</v>
      </c>
      <c r="P21" s="5">
        <f>Table14[[#This Row],[Enrolment S.Y. 2025-2026 ]]*8</f>
        <v>1456</v>
      </c>
      <c r="Q21" s="5"/>
      <c r="R21" s="1"/>
      <c r="S21" s="5"/>
      <c r="T21" s="5">
        <f t="shared" si="4"/>
        <v>1456</v>
      </c>
      <c r="U21" s="5">
        <f t="shared" si="5"/>
        <v>0</v>
      </c>
      <c r="V21" s="5">
        <f>Table14[[#This Row],[Enrolment S.Y. 2025-2026 ]]*8</f>
        <v>1456</v>
      </c>
      <c r="W21" s="5"/>
      <c r="X21" s="1"/>
      <c r="Y21" s="5"/>
      <c r="Z21" s="5">
        <f t="shared" si="6"/>
        <v>1456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182</v>
      </c>
      <c r="D22" s="5">
        <f>Table14[[#This Row],[Enrolment S.Y. 2025-2026 ]]*8</f>
        <v>1456</v>
      </c>
      <c r="E22" s="5"/>
      <c r="F22" s="1"/>
      <c r="G22" s="5"/>
      <c r="H22" s="5">
        <f t="shared" si="0"/>
        <v>1456</v>
      </c>
      <c r="I22" s="5">
        <f t="shared" si="1"/>
        <v>0</v>
      </c>
      <c r="J22" s="5">
        <f>Table14[[#This Row],[Enrolment S.Y. 2025-2026 ]]*8</f>
        <v>1456</v>
      </c>
      <c r="K22" s="5"/>
      <c r="L22" s="1"/>
      <c r="M22" s="5"/>
      <c r="N22" s="5">
        <f t="shared" si="2"/>
        <v>1456</v>
      </c>
      <c r="O22" s="5">
        <f t="shared" si="3"/>
        <v>0</v>
      </c>
      <c r="P22" s="5">
        <f>Table14[[#This Row],[Enrolment S.Y. 2025-2026 ]]*8</f>
        <v>1456</v>
      </c>
      <c r="Q22" s="5"/>
      <c r="R22" s="1"/>
      <c r="S22" s="5"/>
      <c r="T22" s="5">
        <f t="shared" si="4"/>
        <v>1456</v>
      </c>
      <c r="U22" s="5">
        <f t="shared" si="5"/>
        <v>0</v>
      </c>
      <c r="V22" s="5">
        <f>Table14[[#This Row],[Enrolment S.Y. 2025-2026 ]]*8</f>
        <v>1456</v>
      </c>
      <c r="W22" s="5"/>
      <c r="X22" s="1"/>
      <c r="Y22" s="5"/>
      <c r="Z22" s="5">
        <f t="shared" si="6"/>
        <v>1456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182</v>
      </c>
      <c r="D23" s="5">
        <f>Table14[[#This Row],[Enrolment S.Y. 2025-2026 ]]*8</f>
        <v>1456</v>
      </c>
      <c r="E23" s="5"/>
      <c r="F23" s="1"/>
      <c r="G23" s="5"/>
      <c r="H23" s="5">
        <f t="shared" si="0"/>
        <v>1456</v>
      </c>
      <c r="I23" s="5">
        <f t="shared" si="1"/>
        <v>0</v>
      </c>
      <c r="J23" s="5">
        <f>Table14[[#This Row],[Enrolment S.Y. 2025-2026 ]]*8</f>
        <v>1456</v>
      </c>
      <c r="K23" s="5"/>
      <c r="L23" s="1"/>
      <c r="M23" s="5"/>
      <c r="N23" s="5">
        <f t="shared" si="2"/>
        <v>1456</v>
      </c>
      <c r="O23" s="5">
        <f t="shared" si="3"/>
        <v>0</v>
      </c>
      <c r="P23" s="5">
        <f>Table14[[#This Row],[Enrolment S.Y. 2025-2026 ]]*8</f>
        <v>1456</v>
      </c>
      <c r="Q23" s="5"/>
      <c r="R23" s="1"/>
      <c r="S23" s="5"/>
      <c r="T23" s="5">
        <f t="shared" si="4"/>
        <v>1456</v>
      </c>
      <c r="U23" s="5">
        <f t="shared" si="5"/>
        <v>0</v>
      </c>
      <c r="V23" s="5">
        <f>Table14[[#This Row],[Enrolment S.Y. 2025-2026 ]]*8</f>
        <v>1456</v>
      </c>
      <c r="W23" s="5"/>
      <c r="X23" s="1"/>
      <c r="Y23" s="5"/>
      <c r="Z23" s="5">
        <f t="shared" si="6"/>
        <v>1456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182</v>
      </c>
      <c r="D24" s="5">
        <f>Table14[[#This Row],[Enrolment S.Y. 2025-2026 ]]*8</f>
        <v>1456</v>
      </c>
      <c r="E24" s="5"/>
      <c r="F24" s="1"/>
      <c r="G24" s="5"/>
      <c r="H24" s="5">
        <f t="shared" si="0"/>
        <v>1456</v>
      </c>
      <c r="I24" s="5">
        <f t="shared" si="1"/>
        <v>0</v>
      </c>
      <c r="J24" s="5">
        <f>Table14[[#This Row],[Enrolment S.Y. 2025-2026 ]]*8</f>
        <v>1456</v>
      </c>
      <c r="K24" s="5"/>
      <c r="L24" s="1"/>
      <c r="M24" s="5"/>
      <c r="N24" s="5">
        <f t="shared" si="2"/>
        <v>1456</v>
      </c>
      <c r="O24" s="5">
        <f t="shared" si="3"/>
        <v>0</v>
      </c>
      <c r="P24" s="5">
        <f>Table14[[#This Row],[Enrolment S.Y. 2025-2026 ]]*8</f>
        <v>1456</v>
      </c>
      <c r="Q24" s="5"/>
      <c r="R24" s="1"/>
      <c r="S24" s="5"/>
      <c r="T24" s="5">
        <f t="shared" si="4"/>
        <v>1456</v>
      </c>
      <c r="U24" s="5">
        <f t="shared" si="5"/>
        <v>0</v>
      </c>
      <c r="V24" s="5">
        <f>Table14[[#This Row],[Enrolment S.Y. 2025-2026 ]]*8</f>
        <v>1456</v>
      </c>
      <c r="W24" s="5"/>
      <c r="X24" s="1"/>
      <c r="Y24" s="5"/>
      <c r="Z24" s="5">
        <f t="shared" si="6"/>
        <v>1456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182</v>
      </c>
      <c r="D25" s="5">
        <f>Table14[[#This Row],[Enrolment S.Y. 2025-2026 ]]*8</f>
        <v>1456</v>
      </c>
      <c r="E25" s="5"/>
      <c r="F25" s="1"/>
      <c r="G25" s="5"/>
      <c r="H25" s="5">
        <f t="shared" si="0"/>
        <v>1456</v>
      </c>
      <c r="I25" s="5">
        <f t="shared" si="1"/>
        <v>0</v>
      </c>
      <c r="J25" s="5">
        <f>Table14[[#This Row],[Enrolment S.Y. 2025-2026 ]]*8</f>
        <v>1456</v>
      </c>
      <c r="K25" s="5"/>
      <c r="L25" s="1"/>
      <c r="M25" s="5"/>
      <c r="N25" s="5">
        <f t="shared" si="2"/>
        <v>1456</v>
      </c>
      <c r="O25" s="5">
        <f t="shared" si="3"/>
        <v>0</v>
      </c>
      <c r="P25" s="5">
        <f>Table14[[#This Row],[Enrolment S.Y. 2025-2026 ]]*8</f>
        <v>1456</v>
      </c>
      <c r="Q25" s="5"/>
      <c r="R25" s="1"/>
      <c r="S25" s="5"/>
      <c r="T25" s="5">
        <f t="shared" si="4"/>
        <v>1456</v>
      </c>
      <c r="U25" s="5">
        <f t="shared" si="5"/>
        <v>0</v>
      </c>
      <c r="V25" s="5">
        <f>Table14[[#This Row],[Enrolment S.Y. 2025-2026 ]]*8</f>
        <v>1456</v>
      </c>
      <c r="W25" s="5"/>
      <c r="X25" s="1"/>
      <c r="Y25" s="5"/>
      <c r="Z25" s="5">
        <f t="shared" si="6"/>
        <v>1456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182</v>
      </c>
      <c r="D26" s="5">
        <f>Table14[[#This Row],[Enrolment S.Y. 2025-2026 ]]*8</f>
        <v>1456</v>
      </c>
      <c r="E26" s="5"/>
      <c r="F26" s="1"/>
      <c r="G26" s="5"/>
      <c r="H26" s="5">
        <f t="shared" si="0"/>
        <v>1456</v>
      </c>
      <c r="I26" s="5">
        <f t="shared" si="1"/>
        <v>0</v>
      </c>
      <c r="J26" s="5">
        <f>Table14[[#This Row],[Enrolment S.Y. 2025-2026 ]]*8</f>
        <v>1456</v>
      </c>
      <c r="K26" s="5">
        <v>513</v>
      </c>
      <c r="L26" s="1">
        <v>2024</v>
      </c>
      <c r="M26" s="5" t="s">
        <v>9</v>
      </c>
      <c r="N26" s="5">
        <f t="shared" si="2"/>
        <v>943</v>
      </c>
      <c r="O26" s="5">
        <f t="shared" si="3"/>
        <v>0</v>
      </c>
      <c r="P26" s="5">
        <f>Table14[[#This Row],[Enrolment S.Y. 2025-2026 ]]*8</f>
        <v>1456</v>
      </c>
      <c r="Q26" s="5"/>
      <c r="R26" s="1"/>
      <c r="S26" s="5"/>
      <c r="T26" s="5">
        <f t="shared" si="4"/>
        <v>1456</v>
      </c>
      <c r="U26" s="5">
        <f t="shared" si="5"/>
        <v>0</v>
      </c>
      <c r="V26" s="5">
        <f>Table14[[#This Row],[Enrolment S.Y. 2025-2026 ]]*8</f>
        <v>1456</v>
      </c>
      <c r="W26" s="5"/>
      <c r="X26" s="1"/>
      <c r="Y26" s="5"/>
      <c r="Z26" s="5">
        <f t="shared" si="6"/>
        <v>1456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182</v>
      </c>
      <c r="D27" s="5">
        <f>Table14[[#This Row],[Enrolment S.Y. 2025-2026 ]]*8</f>
        <v>1456</v>
      </c>
      <c r="E27" s="5"/>
      <c r="F27" s="1"/>
      <c r="G27" s="5"/>
      <c r="H27" s="5">
        <f>IF((D27-E27)&lt;0,0,(D27-E27))</f>
        <v>1456</v>
      </c>
      <c r="I27" s="5">
        <f>IF((E27-D27)&lt;0,0,(E27-D27))</f>
        <v>0</v>
      </c>
      <c r="J27" s="5">
        <f>Table14[[#This Row],[Enrolment S.Y. 2025-2026 ]]*8</f>
        <v>1456</v>
      </c>
      <c r="K27" s="5"/>
      <c r="L27" s="1"/>
      <c r="M27" s="5"/>
      <c r="N27" s="5">
        <f t="shared" si="2"/>
        <v>1456</v>
      </c>
      <c r="O27" s="5">
        <f t="shared" si="3"/>
        <v>0</v>
      </c>
      <c r="P27" s="5">
        <f>Table14[[#This Row],[Enrolment S.Y. 2025-2026 ]]*8</f>
        <v>1456</v>
      </c>
      <c r="Q27" s="5"/>
      <c r="R27" s="1"/>
      <c r="S27" s="5"/>
      <c r="T27" s="5">
        <f t="shared" si="4"/>
        <v>1456</v>
      </c>
      <c r="U27" s="5">
        <f t="shared" si="5"/>
        <v>0</v>
      </c>
      <c r="V27" s="5">
        <f>Table14[[#This Row],[Enrolment S.Y. 2025-2026 ]]*8</f>
        <v>1456</v>
      </c>
      <c r="W27" s="5"/>
      <c r="X27" s="1"/>
      <c r="Y27" s="5"/>
      <c r="Z27" s="5">
        <f t="shared" si="6"/>
        <v>1456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182</v>
      </c>
      <c r="D28" s="5">
        <f>Table14[[#This Row],[Enrolment S.Y. 2025-2026 ]]*8</f>
        <v>1456</v>
      </c>
      <c r="E28" s="5"/>
      <c r="F28" s="1"/>
      <c r="G28" s="5"/>
      <c r="H28" s="5">
        <f>IF((D28-E28)&lt;0,0,(D28-E28))</f>
        <v>1456</v>
      </c>
      <c r="I28" s="5">
        <f>IF((E28-D28)&lt;0,0,(E28-D28))</f>
        <v>0</v>
      </c>
      <c r="J28" s="5">
        <f>Table14[[#This Row],[Enrolment S.Y. 2025-2026 ]]*8</f>
        <v>1456</v>
      </c>
      <c r="K28" s="5"/>
      <c r="L28" s="1"/>
      <c r="M28" s="5"/>
      <c r="N28" s="5">
        <f t="shared" si="2"/>
        <v>1456</v>
      </c>
      <c r="O28" s="5">
        <f t="shared" si="3"/>
        <v>0</v>
      </c>
      <c r="P28" s="5">
        <f>Table14[[#This Row],[Enrolment S.Y. 2025-2026 ]]*8</f>
        <v>1456</v>
      </c>
      <c r="Q28" s="5"/>
      <c r="R28" s="1"/>
      <c r="S28" s="5"/>
      <c r="T28" s="5">
        <f t="shared" si="4"/>
        <v>1456</v>
      </c>
      <c r="U28" s="5">
        <f t="shared" si="5"/>
        <v>0</v>
      </c>
      <c r="V28" s="5">
        <f>Table14[[#This Row],[Enrolment S.Y. 2025-2026 ]]*8</f>
        <v>1456</v>
      </c>
      <c r="W28" s="5"/>
      <c r="X28" s="1"/>
      <c r="Y28" s="5"/>
      <c r="Z28" s="5">
        <f t="shared" si="6"/>
        <v>1456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182</v>
      </c>
      <c r="D29" s="5">
        <f>Table14[[#This Row],[Enrolment S.Y. 2025-2026 ]]*8</f>
        <v>1456</v>
      </c>
      <c r="E29" s="5"/>
      <c r="F29" s="1"/>
      <c r="G29" s="5"/>
      <c r="H29" s="5">
        <f>IF((D29-E29)&lt;0,0,(D29-E29))</f>
        <v>1456</v>
      </c>
      <c r="I29" s="5">
        <f>IF((E29-D29)&lt;0,0,(E29-D29))</f>
        <v>0</v>
      </c>
      <c r="J29" s="5">
        <f>Table14[[#This Row],[Enrolment S.Y. 2025-2026 ]]*8</f>
        <v>1456</v>
      </c>
      <c r="K29" s="5"/>
      <c r="L29" s="1"/>
      <c r="M29" s="5"/>
      <c r="N29" s="5">
        <f t="shared" si="2"/>
        <v>1456</v>
      </c>
      <c r="O29" s="5">
        <f t="shared" si="3"/>
        <v>0</v>
      </c>
      <c r="P29" s="5">
        <f>Table14[[#This Row],[Enrolment S.Y. 2025-2026 ]]*8</f>
        <v>1456</v>
      </c>
      <c r="Q29" s="5"/>
      <c r="R29" s="1"/>
      <c r="S29" s="5"/>
      <c r="T29" s="5">
        <f t="shared" si="4"/>
        <v>1456</v>
      </c>
      <c r="U29" s="5">
        <f t="shared" si="5"/>
        <v>0</v>
      </c>
      <c r="V29" s="5">
        <f>Table14[[#This Row],[Enrolment S.Y. 2025-2026 ]]*8</f>
        <v>1456</v>
      </c>
      <c r="W29" s="5"/>
      <c r="X29" s="1"/>
      <c r="Y29" s="5"/>
      <c r="Z29" s="5">
        <f t="shared" si="6"/>
        <v>1456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4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4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4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4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9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4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4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5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5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9:N122" si="20">IF((J79-K79)&lt;0,0,(J79-K79))</f>
        <v>0</v>
      </c>
      <c r="O79" s="12">
        <f t="shared" ref="O79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5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5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5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5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5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5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9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9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8.5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9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31:C41 C43:C53 C55:C65 C67:C77 C79:C89 C115:C122 C103:C113 C91:C101 C12:C19 C21:C29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TOMAS GALIZA</cp:lastModifiedBy>
  <cp:revision/>
  <dcterms:created xsi:type="dcterms:W3CDTF">2025-11-19T20:48:15Z</dcterms:created>
  <dcterms:modified xsi:type="dcterms:W3CDTF">2026-01-14T06:13:19Z</dcterms:modified>
  <cp:category/>
  <cp:contentStatus/>
</cp:coreProperties>
</file>