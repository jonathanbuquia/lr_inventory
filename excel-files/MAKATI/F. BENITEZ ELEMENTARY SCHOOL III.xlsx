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34" documentId="13_ncr:1_{BFB59F67-F0DC-4675-A682-EB0734A8026A}" xr6:coauthVersionLast="47" xr6:coauthVersionMax="47" xr10:uidLastSave="{52DC873A-79BE-4DE8-BC20-7985AA4F7DFB}"/>
  <bookViews>
    <workbookView xWindow="13170" yWindow="330" windowWidth="14100" windowHeight="15390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<sst xmlns="http://schemas.openxmlformats.org/spreadsheetml/2006/main" count="255" uniqueCount="80">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</sst>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" activePane="topRight" state="frozen"/>
      <selection pane="topRight" activeCell="N144" sqref="N14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231</v>
      </c>
      <c r="D2" s="1">
        <v>280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49</v>
      </c>
    </row>
    <row r="3" spans="1:8" ht="29.25" customHeight="1">
      <c r="A3" s="1">
        <v>1</v>
      </c>
      <c r="B3" s="2" t="s">
        <v>10</v>
      </c>
      <c r="C3" s="1">
        <v>231</v>
      </c>
      <c r="D3" s="1">
        <v>280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49</v>
      </c>
    </row>
    <row r="4" spans="1:8" ht="21" customHeight="1">
      <c r="A4" s="1">
        <v>1</v>
      </c>
      <c r="B4" s="2" t="s">
        <v>11</v>
      </c>
      <c r="C4" s="1">
        <v>231</v>
      </c>
      <c r="D4" s="1">
        <v>280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49</v>
      </c>
    </row>
    <row r="5" spans="1:8" ht="25.5" customHeight="1">
      <c r="A5" s="1">
        <v>1</v>
      </c>
      <c r="B5" s="2" t="s">
        <v>12</v>
      </c>
      <c r="C5" s="1">
        <v>231</v>
      </c>
      <c r="D5" s="1">
        <v>280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252</v>
      </c>
      <c r="D21" s="1">
        <v>224</v>
      </c>
      <c r="E21" s="1">
        <v>2024</v>
      </c>
      <c r="F21" s="5" t="s">
        <v>16</v>
      </c>
      <c r="G21" s="3">
        <f t="shared" ref="G21:G29" si="4">IF((C21-D21)&lt;0,0,C21-D21)</f>
        <v>28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252</v>
      </c>
      <c r="D22" s="1">
        <v>224</v>
      </c>
      <c r="E22" s="1">
        <v>2024</v>
      </c>
      <c r="F22" s="5" t="s">
        <v>16</v>
      </c>
      <c r="G22" s="3">
        <f t="shared" si="4"/>
        <v>28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252</v>
      </c>
      <c r="D23" s="1">
        <v>224</v>
      </c>
      <c r="E23" s="1">
        <v>2025</v>
      </c>
      <c r="F23" s="5" t="s">
        <v>16</v>
      </c>
      <c r="G23" s="3">
        <f t="shared" si="4"/>
        <v>28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252</v>
      </c>
      <c r="D24" s="1">
        <v>224</v>
      </c>
      <c r="E24" s="1">
        <v>2024</v>
      </c>
      <c r="F24" s="5" t="s">
        <v>16</v>
      </c>
      <c r="G24" s="3">
        <f t="shared" si="4"/>
        <v>28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252</v>
      </c>
      <c r="D25" s="1">
        <v>224</v>
      </c>
      <c r="E25" s="1">
        <v>2025</v>
      </c>
      <c r="F25" s="5" t="s">
        <v>16</v>
      </c>
      <c r="G25" s="3">
        <f t="shared" si="4"/>
        <v>28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252</v>
      </c>
      <c r="D26" s="1">
        <v>224</v>
      </c>
      <c r="E26" s="1">
        <v>2025</v>
      </c>
      <c r="F26" s="5" t="s">
        <v>16</v>
      </c>
      <c r="G26" s="3">
        <f t="shared" si="4"/>
        <v>28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252</v>
      </c>
      <c r="D27" s="1">
        <v>224</v>
      </c>
      <c r="E27" s="1">
        <v>2024</v>
      </c>
      <c r="F27" s="5" t="s">
        <v>16</v>
      </c>
      <c r="G27" s="3">
        <f t="shared" si="4"/>
        <v>28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173</v>
      </c>
      <c r="D31" s="1">
        <v>214</v>
      </c>
      <c r="E31" s="1">
        <v>2024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173</v>
      </c>
      <c r="D35" s="1">
        <v>214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41</v>
      </c>
    </row>
    <row r="36" spans="1:10" ht="27.75" customHeight="1">
      <c r="A36" s="1">
        <v>5</v>
      </c>
      <c r="B36" s="9" t="s">
        <v>14</v>
      </c>
      <c r="C36" s="1">
        <v>173</v>
      </c>
      <c r="D36" s="1">
        <v>214</v>
      </c>
      <c r="E36" s="1"/>
      <c r="F36" s="5" t="s">
        <v>16</v>
      </c>
      <c r="G36" s="3">
        <f t="shared" si="6"/>
        <v>0</v>
      </c>
      <c r="H36" s="4">
        <f t="shared" si="7"/>
        <v>41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173</v>
      </c>
      <c r="D37" s="1">
        <v>214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0 C21:D27 C28:E49" name="Textbooks"/>
    <protectedRange sqref="F1:F20 F28:F49" name="SOURCE"/>
    <protectedRange sqref="E21:E27" name="Textbooks_1"/>
    <protectedRange sqref="F21:F27" name="SOURCE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4" zoomScale="70" zoomScaleNormal="70" workbookViewId="0">
      <selection activeCell="X133" sqref="X13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267</v>
      </c>
      <c r="D3" s="5">
        <f>Table1[[#This Row],[Enrolment S.Y. 2025-2026 ]]*8</f>
        <v>2136</v>
      </c>
      <c r="E3" s="5"/>
      <c r="F3" s="1"/>
      <c r="G3" s="5"/>
      <c r="H3" s="5">
        <f>IF((D3-E3)&lt;0,0,(D3-E3))</f>
        <v>2136</v>
      </c>
      <c r="I3" s="5">
        <f>IF((E3-D3)&lt;0,0,(E3-D3))</f>
        <v>0</v>
      </c>
      <c r="J3" s="5">
        <f>Table1[[#This Row],[Enrolment S.Y. 2025-2026 ]]*8</f>
        <v>2136</v>
      </c>
      <c r="K3" s="5"/>
      <c r="L3" s="1"/>
      <c r="M3" s="5"/>
      <c r="N3" s="5">
        <f t="shared" ref="N3" si="0">IF((J3-K3)&lt;0,0,(J3-K3))</f>
        <v>2136</v>
      </c>
      <c r="O3" s="5">
        <f t="shared" ref="O3" si="1">IF((K3-J3)&lt;0,0,(K3-J3))</f>
        <v>0</v>
      </c>
      <c r="P3" s="5">
        <f>Table1[[#This Row],[Enrolment S.Y. 2025-2026 ]]*8</f>
        <v>2136</v>
      </c>
      <c r="Q3" s="5">
        <v>293</v>
      </c>
      <c r="R3" s="1"/>
      <c r="S3" s="5"/>
      <c r="T3" s="5">
        <f>IF((P3-Q3)&lt;0,0,(P3-Q3))</f>
        <v>1843</v>
      </c>
      <c r="U3" s="5">
        <f>IF((Q3-P3)&lt;0,0,(Q3-P3))</f>
        <v>0</v>
      </c>
      <c r="V3" s="5">
        <f>Table1[[#This Row],[Enrolment S.Y. 2025-2026 ]]*8</f>
        <v>2136</v>
      </c>
      <c r="W3" s="5"/>
      <c r="X3" s="1"/>
      <c r="Y3" s="5"/>
      <c r="Z3" s="5">
        <f>IF((V3-W3)&lt;0,0,(V3-W3))</f>
        <v>2136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234</v>
      </c>
      <c r="D5" s="5">
        <f>Table1[[#This Row],[Enrolment S.Y. 2025-2026 ]]*8</f>
        <v>1872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465</v>
      </c>
      <c r="I5" s="5">
        <f t="shared" ref="I5:I61" si="3">IF((E5-D5)&lt;0,0,(E5-D5))</f>
        <v>0</v>
      </c>
      <c r="J5" s="5">
        <f>Table1[[#This Row],[Enrolment S.Y. 2025-2026 ]]*8</f>
        <v>1872</v>
      </c>
      <c r="K5" s="5"/>
      <c r="L5" s="1"/>
      <c r="M5" s="5"/>
      <c r="N5" s="5">
        <f t="shared" ref="N5" si="4">IF((J5-K5)&lt;0,0,(J5-K5))</f>
        <v>1872</v>
      </c>
      <c r="O5" s="5">
        <f t="shared" ref="O5" si="5">IF((K5-J5)&lt;0,0,(K5-J5))</f>
        <v>0</v>
      </c>
      <c r="P5" s="5">
        <f>Table1[[#This Row],[Enrolment S.Y. 2025-2026 ]]*8</f>
        <v>1872</v>
      </c>
      <c r="Q5" s="5"/>
      <c r="R5" s="1"/>
      <c r="S5" s="5"/>
      <c r="T5" s="5">
        <f t="shared" ref="T5" si="6">IF((P5-Q5)&lt;0,0,(P5-Q5))</f>
        <v>1872</v>
      </c>
      <c r="U5" s="5">
        <f t="shared" ref="U5" si="7">IF((Q5-P5)&lt;0,0,(Q5-P5))</f>
        <v>0</v>
      </c>
      <c r="V5" s="5">
        <f>Table1[[#This Row],[Enrolment S.Y. 2025-2026 ]]*8</f>
        <v>1872</v>
      </c>
      <c r="W5" s="5"/>
      <c r="X5" s="1"/>
      <c r="Y5" s="5"/>
      <c r="Z5" s="5">
        <f t="shared" ref="Z5" si="8">IF((V5-W5)&lt;0,0,(V5-W5))</f>
        <v>1872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234</v>
      </c>
      <c r="D6" s="5">
        <f>Table1[[#This Row],[Enrolment S.Y. 2025-2026 ]]*8</f>
        <v>1872</v>
      </c>
      <c r="E6" s="5">
        <v>980</v>
      </c>
      <c r="F6" s="1">
        <v>2024</v>
      </c>
      <c r="G6" s="5" t="s">
        <v>9</v>
      </c>
      <c r="H6" s="5">
        <f t="shared" si="2"/>
        <v>892</v>
      </c>
      <c r="I6" s="5">
        <f t="shared" si="3"/>
        <v>0</v>
      </c>
      <c r="J6" s="5">
        <f>Table1[[#This Row],[Enrolment S.Y. 2025-2026 ]]*8</f>
        <v>1872</v>
      </c>
      <c r="K6" s="5"/>
      <c r="L6" s="1"/>
      <c r="M6" s="5"/>
      <c r="N6" s="5">
        <f t="shared" ref="N6:N61" si="10">IF((J6-K6)&lt;0,0,(J6-K6))</f>
        <v>1872</v>
      </c>
      <c r="O6" s="5">
        <f t="shared" ref="O6:O61" si="11">IF((K6-J6)&lt;0,0,(K6-J6))</f>
        <v>0</v>
      </c>
      <c r="P6" s="5">
        <f>Table1[[#This Row],[Enrolment S.Y. 2025-2026 ]]*8</f>
        <v>1872</v>
      </c>
      <c r="Q6" s="5"/>
      <c r="R6" s="1"/>
      <c r="S6" s="5"/>
      <c r="T6" s="5">
        <f t="shared" ref="T6:T61" si="12">IF((P6-Q6)&lt;0,0,(P6-Q6))</f>
        <v>1872</v>
      </c>
      <c r="U6" s="5">
        <f t="shared" ref="U6:U61" si="13">IF((Q6-P6)&lt;0,0,(Q6-P6))</f>
        <v>0</v>
      </c>
      <c r="V6" s="5">
        <f>Table1[[#This Row],[Enrolment S.Y. 2025-2026 ]]*8</f>
        <v>1872</v>
      </c>
      <c r="W6" s="5"/>
      <c r="X6" s="1"/>
      <c r="Y6" s="5"/>
      <c r="Z6" s="5">
        <f t="shared" ref="Z6:Z61" si="14">IF((V6-W6)&lt;0,0,(V6-W6))</f>
        <v>1872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234</v>
      </c>
      <c r="D7" s="5">
        <f>Table1[[#This Row],[Enrolment S.Y. 2025-2026 ]]*8</f>
        <v>1872</v>
      </c>
      <c r="E7" s="5">
        <v>1633</v>
      </c>
      <c r="F7" s="1">
        <v>2024</v>
      </c>
      <c r="G7" s="5" t="s">
        <v>9</v>
      </c>
      <c r="H7" s="5">
        <f t="shared" si="2"/>
        <v>239</v>
      </c>
      <c r="I7" s="5">
        <f t="shared" si="3"/>
        <v>0</v>
      </c>
      <c r="J7" s="5">
        <f>Table1[[#This Row],[Enrolment S.Y. 2025-2026 ]]*8</f>
        <v>1872</v>
      </c>
      <c r="K7" s="5"/>
      <c r="L7" s="1"/>
      <c r="M7" s="5"/>
      <c r="N7" s="5">
        <f t="shared" si="10"/>
        <v>1872</v>
      </c>
      <c r="O7" s="5">
        <f t="shared" si="11"/>
        <v>0</v>
      </c>
      <c r="P7" s="5">
        <f>Table1[[#This Row],[Enrolment S.Y. 2025-2026 ]]*8</f>
        <v>1872</v>
      </c>
      <c r="Q7" s="5"/>
      <c r="R7" s="1"/>
      <c r="S7" s="5"/>
      <c r="T7" s="5">
        <f t="shared" si="12"/>
        <v>1872</v>
      </c>
      <c r="U7" s="5">
        <f t="shared" si="13"/>
        <v>0</v>
      </c>
      <c r="V7" s="5">
        <f>Table1[[#This Row],[Enrolment S.Y. 2025-2026 ]]*8</f>
        <v>1872</v>
      </c>
      <c r="W7" s="5"/>
      <c r="X7" s="1"/>
      <c r="Y7" s="5"/>
      <c r="Z7" s="5">
        <f t="shared" si="14"/>
        <v>1872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234</v>
      </c>
      <c r="D8" s="5">
        <f>Table1[[#This Row],[Enrolment S.Y. 2025-2026 ]]*8</f>
        <v>1872</v>
      </c>
      <c r="E8" s="5">
        <v>1407</v>
      </c>
      <c r="F8" s="1">
        <v>2024</v>
      </c>
      <c r="G8" s="5" t="s">
        <v>9</v>
      </c>
      <c r="H8" s="5">
        <f t="shared" si="2"/>
        <v>465</v>
      </c>
      <c r="I8" s="5">
        <f t="shared" si="3"/>
        <v>0</v>
      </c>
      <c r="J8" s="5">
        <f>Table1[[#This Row],[Enrolment S.Y. 2025-2026 ]]*8</f>
        <v>1872</v>
      </c>
      <c r="K8" s="5"/>
      <c r="L8" s="1"/>
      <c r="M8" s="5"/>
      <c r="N8" s="5">
        <f t="shared" si="10"/>
        <v>1872</v>
      </c>
      <c r="O8" s="5">
        <f t="shared" si="11"/>
        <v>0</v>
      </c>
      <c r="P8" s="5">
        <f>Table1[[#This Row],[Enrolment S.Y. 2025-2026 ]]*8</f>
        <v>1872</v>
      </c>
      <c r="Q8" s="5"/>
      <c r="R8" s="1"/>
      <c r="S8" s="5"/>
      <c r="T8" s="5">
        <f t="shared" si="12"/>
        <v>1872</v>
      </c>
      <c r="U8" s="5">
        <f t="shared" si="13"/>
        <v>0</v>
      </c>
      <c r="V8" s="5">
        <f>Table1[[#This Row],[Enrolment S.Y. 2025-2026 ]]*8</f>
        <v>1872</v>
      </c>
      <c r="W8" s="5"/>
      <c r="X8" s="1"/>
      <c r="Y8" s="5"/>
      <c r="Z8" s="5">
        <f t="shared" si="14"/>
        <v>1872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234</v>
      </c>
      <c r="D9" s="5">
        <f>Table1[[#This Row],[Enrolment S.Y. 2025-2026 ]]*8</f>
        <v>1872</v>
      </c>
      <c r="E9" s="5">
        <v>1633</v>
      </c>
      <c r="F9" s="1">
        <v>2024</v>
      </c>
      <c r="G9" s="5" t="s">
        <v>9</v>
      </c>
      <c r="H9" s="5">
        <f t="shared" si="2"/>
        <v>239</v>
      </c>
      <c r="I9" s="5">
        <f t="shared" si="3"/>
        <v>0</v>
      </c>
      <c r="J9" s="5">
        <f>Table1[[#This Row],[Enrolment S.Y. 2025-2026 ]]*8</f>
        <v>1872</v>
      </c>
      <c r="K9" s="5"/>
      <c r="L9" s="1"/>
      <c r="M9" s="5"/>
      <c r="N9" s="5">
        <f t="shared" si="10"/>
        <v>1872</v>
      </c>
      <c r="O9" s="5">
        <f t="shared" si="11"/>
        <v>0</v>
      </c>
      <c r="P9" s="5">
        <f>Table1[[#This Row],[Enrolment S.Y. 2025-2026 ]]*8</f>
        <v>1872</v>
      </c>
      <c r="Q9" s="5"/>
      <c r="R9" s="1"/>
      <c r="S9" s="5"/>
      <c r="T9" s="5">
        <f t="shared" si="12"/>
        <v>1872</v>
      </c>
      <c r="U9" s="5">
        <f t="shared" si="13"/>
        <v>0</v>
      </c>
      <c r="V9" s="5">
        <f>Table1[[#This Row],[Enrolment S.Y. 2025-2026 ]]*8</f>
        <v>1872</v>
      </c>
      <c r="W9" s="5"/>
      <c r="X9" s="1"/>
      <c r="Y9" s="5"/>
      <c r="Z9" s="5">
        <f t="shared" si="14"/>
        <v>1872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251</v>
      </c>
      <c r="D33" s="5">
        <f>Table1[[#This Row],[Enrolment S.Y. 2025-2026 ]]*8</f>
        <v>2008</v>
      </c>
      <c r="E33" s="5">
        <v>28</v>
      </c>
      <c r="F33" s="1">
        <v>2024</v>
      </c>
      <c r="G33" s="5" t="s">
        <v>9</v>
      </c>
      <c r="H33" s="5">
        <f t="shared" si="2"/>
        <v>1980</v>
      </c>
      <c r="I33" s="5">
        <f t="shared" si="3"/>
        <v>0</v>
      </c>
      <c r="J33" s="5">
        <f>Table1[[#This Row],[Enrolment S.Y. 2025-2026 ]]*8</f>
        <v>2008</v>
      </c>
      <c r="K33" s="5"/>
      <c r="L33" s="1"/>
      <c r="M33" s="5"/>
      <c r="N33" s="5">
        <f t="shared" si="10"/>
        <v>2008</v>
      </c>
      <c r="O33" s="5">
        <f t="shared" si="11"/>
        <v>0</v>
      </c>
      <c r="P33" s="5">
        <f>Table1[[#This Row],[Enrolment S.Y. 2025-2026 ]]*8</f>
        <v>2008</v>
      </c>
      <c r="Q33" s="5"/>
      <c r="R33" s="1"/>
      <c r="S33" s="5"/>
      <c r="T33" s="5">
        <f t="shared" si="12"/>
        <v>2008</v>
      </c>
      <c r="U33" s="5">
        <f t="shared" si="13"/>
        <v>0</v>
      </c>
      <c r="V33" s="5">
        <f>Table1[[#This Row],[Enrolment S.Y. 2025-2026 ]]*8</f>
        <v>2008</v>
      </c>
      <c r="W33" s="5"/>
      <c r="X33" s="1"/>
      <c r="Y33" s="5"/>
      <c r="Z33" s="5">
        <f t="shared" si="14"/>
        <v>2008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251</v>
      </c>
      <c r="D34" s="5">
        <f>Table1[[#This Row],[Enrolment S.Y. 2025-2026 ]]*8</f>
        <v>2008</v>
      </c>
      <c r="E34" s="5">
        <v>28</v>
      </c>
      <c r="F34" s="1">
        <v>2024</v>
      </c>
      <c r="G34" s="5" t="s">
        <v>9</v>
      </c>
      <c r="H34" s="5">
        <f t="shared" si="2"/>
        <v>1980</v>
      </c>
      <c r="I34" s="5">
        <f t="shared" si="3"/>
        <v>0</v>
      </c>
      <c r="J34" s="5">
        <f>Table1[[#This Row],[Enrolment S.Y. 2025-2026 ]]*8</f>
        <v>2008</v>
      </c>
      <c r="K34" s="5"/>
      <c r="L34" s="1"/>
      <c r="M34" s="5"/>
      <c r="N34" s="5">
        <f t="shared" si="10"/>
        <v>2008</v>
      </c>
      <c r="O34" s="5">
        <f t="shared" si="11"/>
        <v>0</v>
      </c>
      <c r="P34" s="5">
        <f>Table1[[#This Row],[Enrolment S.Y. 2025-2026 ]]*8</f>
        <v>2008</v>
      </c>
      <c r="Q34" s="5"/>
      <c r="R34" s="1"/>
      <c r="S34" s="5"/>
      <c r="T34" s="5">
        <f t="shared" si="12"/>
        <v>2008</v>
      </c>
      <c r="U34" s="5">
        <f t="shared" si="13"/>
        <v>0</v>
      </c>
      <c r="V34" s="5">
        <f>Table1[[#This Row],[Enrolment S.Y. 2025-2026 ]]*8</f>
        <v>2008</v>
      </c>
      <c r="W34" s="5"/>
      <c r="X34" s="1"/>
      <c r="Y34" s="5"/>
      <c r="Z34" s="5">
        <f t="shared" si="14"/>
        <v>2008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251</v>
      </c>
      <c r="D35" s="5">
        <f>Table1[[#This Row],[Enrolment S.Y. 2025-2026 ]]*8</f>
        <v>2008</v>
      </c>
      <c r="E35" s="5">
        <v>256</v>
      </c>
      <c r="F35" s="1">
        <v>2024</v>
      </c>
      <c r="G35" s="5" t="s">
        <v>9</v>
      </c>
      <c r="H35" s="5">
        <f t="shared" si="2"/>
        <v>1752</v>
      </c>
      <c r="I35" s="5">
        <f t="shared" si="3"/>
        <v>0</v>
      </c>
      <c r="J35" s="5">
        <f>Table1[[#This Row],[Enrolment S.Y. 2025-2026 ]]*8</f>
        <v>2008</v>
      </c>
      <c r="K35" s="5"/>
      <c r="L35" s="1"/>
      <c r="M35" s="5"/>
      <c r="N35" s="5">
        <f t="shared" si="10"/>
        <v>2008</v>
      </c>
      <c r="O35" s="5">
        <f t="shared" si="11"/>
        <v>0</v>
      </c>
      <c r="P35" s="5">
        <f>Table1[[#This Row],[Enrolment S.Y. 2025-2026 ]]*8</f>
        <v>2008</v>
      </c>
      <c r="Q35" s="5"/>
      <c r="R35" s="1"/>
      <c r="S35" s="5"/>
      <c r="T35" s="5">
        <f t="shared" si="12"/>
        <v>2008</v>
      </c>
      <c r="U35" s="5">
        <f t="shared" si="13"/>
        <v>0</v>
      </c>
      <c r="V35" s="5">
        <f>Table1[[#This Row],[Enrolment S.Y. 2025-2026 ]]*8</f>
        <v>2008</v>
      </c>
      <c r="W35" s="5"/>
      <c r="X35" s="1"/>
      <c r="Y35" s="5"/>
      <c r="Z35" s="5">
        <f t="shared" si="14"/>
        <v>2008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251</v>
      </c>
      <c r="D36" s="5">
        <f>Table1[[#This Row],[Enrolment S.Y. 2025-2026 ]]*8</f>
        <v>2008</v>
      </c>
      <c r="E36" s="5">
        <v>28</v>
      </c>
      <c r="F36" s="1">
        <v>2024</v>
      </c>
      <c r="G36" s="5" t="s">
        <v>9</v>
      </c>
      <c r="H36" s="5">
        <f t="shared" si="2"/>
        <v>1980</v>
      </c>
      <c r="I36" s="5">
        <f t="shared" si="3"/>
        <v>0</v>
      </c>
      <c r="J36" s="5">
        <f>Table1[[#This Row],[Enrolment S.Y. 2025-2026 ]]*8</f>
        <v>2008</v>
      </c>
      <c r="K36" s="5"/>
      <c r="L36" s="1"/>
      <c r="M36" s="5"/>
      <c r="N36" s="5">
        <f t="shared" si="10"/>
        <v>2008</v>
      </c>
      <c r="O36" s="5">
        <f t="shared" si="11"/>
        <v>0</v>
      </c>
      <c r="P36" s="5">
        <f>Table1[[#This Row],[Enrolment S.Y. 2025-2026 ]]*8</f>
        <v>2008</v>
      </c>
      <c r="Q36" s="5"/>
      <c r="R36" s="1"/>
      <c r="S36" s="5"/>
      <c r="T36" s="5">
        <f t="shared" si="12"/>
        <v>2008</v>
      </c>
      <c r="U36" s="5">
        <f t="shared" si="13"/>
        <v>0</v>
      </c>
      <c r="V36" s="5">
        <f>Table1[[#This Row],[Enrolment S.Y. 2025-2026 ]]*8</f>
        <v>2008</v>
      </c>
      <c r="W36" s="5"/>
      <c r="X36" s="1"/>
      <c r="Y36" s="5"/>
      <c r="Z36" s="5">
        <f t="shared" si="14"/>
        <v>2008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251</v>
      </c>
      <c r="D37" s="5">
        <f>Table1[[#This Row],[Enrolment S.Y. 2025-2026 ]]*8</f>
        <v>2008</v>
      </c>
      <c r="E37" s="5">
        <v>28</v>
      </c>
      <c r="F37" s="1">
        <v>2024</v>
      </c>
      <c r="G37" s="5" t="s">
        <v>9</v>
      </c>
      <c r="H37" s="5">
        <f t="shared" si="2"/>
        <v>1980</v>
      </c>
      <c r="I37" s="5">
        <f t="shared" si="3"/>
        <v>0</v>
      </c>
      <c r="J37" s="5">
        <f>Table1[[#This Row],[Enrolment S.Y. 2025-2026 ]]*8</f>
        <v>2008</v>
      </c>
      <c r="K37" s="5"/>
      <c r="L37" s="1"/>
      <c r="M37" s="5"/>
      <c r="N37" s="5">
        <f t="shared" si="10"/>
        <v>2008</v>
      </c>
      <c r="O37" s="5">
        <f t="shared" si="11"/>
        <v>0</v>
      </c>
      <c r="P37" s="5">
        <f>Table1[[#This Row],[Enrolment S.Y. 2025-2026 ]]*8</f>
        <v>2008</v>
      </c>
      <c r="Q37" s="5"/>
      <c r="R37" s="1"/>
      <c r="S37" s="5"/>
      <c r="T37" s="5">
        <f t="shared" si="12"/>
        <v>2008</v>
      </c>
      <c r="U37" s="5">
        <f t="shared" si="13"/>
        <v>0</v>
      </c>
      <c r="V37" s="5">
        <f>Table1[[#This Row],[Enrolment S.Y. 2025-2026 ]]*8</f>
        <v>2008</v>
      </c>
      <c r="W37" s="5"/>
      <c r="X37" s="1"/>
      <c r="Y37" s="5"/>
      <c r="Z37" s="5">
        <f t="shared" si="14"/>
        <v>2008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251</v>
      </c>
      <c r="D38" s="5">
        <f>Table1[[#This Row],[Enrolment S.Y. 2025-2026 ]]*8</f>
        <v>2008</v>
      </c>
      <c r="E38" s="5">
        <v>28</v>
      </c>
      <c r="F38" s="1">
        <v>2024</v>
      </c>
      <c r="G38" s="5" t="s">
        <v>9</v>
      </c>
      <c r="H38" s="5">
        <f t="shared" si="2"/>
        <v>1980</v>
      </c>
      <c r="I38" s="5">
        <f t="shared" si="3"/>
        <v>0</v>
      </c>
      <c r="J38" s="5">
        <f>Table1[[#This Row],[Enrolment S.Y. 2025-2026 ]]*8</f>
        <v>2008</v>
      </c>
      <c r="K38" s="5"/>
      <c r="L38" s="1"/>
      <c r="M38" s="5"/>
      <c r="N38" s="5">
        <f t="shared" si="10"/>
        <v>2008</v>
      </c>
      <c r="O38" s="5">
        <f t="shared" si="11"/>
        <v>0</v>
      </c>
      <c r="P38" s="5">
        <f>Table1[[#This Row],[Enrolment S.Y. 2025-2026 ]]*8</f>
        <v>2008</v>
      </c>
      <c r="Q38" s="5"/>
      <c r="R38" s="1"/>
      <c r="S38" s="5"/>
      <c r="T38" s="5">
        <f t="shared" si="12"/>
        <v>2008</v>
      </c>
      <c r="U38" s="5">
        <f t="shared" si="13"/>
        <v>0</v>
      </c>
      <c r="V38" s="5">
        <f>Table1[[#This Row],[Enrolment S.Y. 2025-2026 ]]*8</f>
        <v>2008</v>
      </c>
      <c r="W38" s="5"/>
      <c r="X38" s="1"/>
      <c r="Y38" s="5"/>
      <c r="Z38" s="5">
        <f t="shared" si="14"/>
        <v>2008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251</v>
      </c>
      <c r="D39" s="5">
        <f>Table1[[#This Row],[Enrolment S.Y. 2025-2026 ]]*8</f>
        <v>2008</v>
      </c>
      <c r="E39" s="5">
        <v>28</v>
      </c>
      <c r="F39" s="1">
        <v>2024</v>
      </c>
      <c r="G39" s="5" t="s">
        <v>9</v>
      </c>
      <c r="H39" s="5">
        <f t="shared" si="2"/>
        <v>1980</v>
      </c>
      <c r="I39" s="5">
        <f t="shared" si="3"/>
        <v>0</v>
      </c>
      <c r="J39" s="5">
        <f>Table1[[#This Row],[Enrolment S.Y. 2025-2026 ]]*8</f>
        <v>2008</v>
      </c>
      <c r="K39" s="5"/>
      <c r="L39" s="1"/>
      <c r="M39" s="5"/>
      <c r="N39" s="5">
        <f t="shared" si="10"/>
        <v>2008</v>
      </c>
      <c r="O39" s="5">
        <f t="shared" si="11"/>
        <v>0</v>
      </c>
      <c r="P39" s="5">
        <f>Table1[[#This Row],[Enrolment S.Y. 2025-2026 ]]*8</f>
        <v>2008</v>
      </c>
      <c r="Q39" s="5"/>
      <c r="R39" s="1"/>
      <c r="S39" s="5"/>
      <c r="T39" s="5">
        <f t="shared" si="12"/>
        <v>2008</v>
      </c>
      <c r="U39" s="5">
        <f t="shared" si="13"/>
        <v>0</v>
      </c>
      <c r="V39" s="5">
        <f>Table1[[#This Row],[Enrolment S.Y. 2025-2026 ]]*8</f>
        <v>2008</v>
      </c>
      <c r="W39" s="5"/>
      <c r="X39" s="1"/>
      <c r="Y39" s="5"/>
      <c r="Z39" s="5">
        <f t="shared" si="14"/>
        <v>2008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251</v>
      </c>
      <c r="D40" s="5">
        <f>Table1[[#This Row],[Enrolment S.Y. 2025-2026 ]]*8</f>
        <v>2008</v>
      </c>
      <c r="E40" s="5">
        <v>28</v>
      </c>
      <c r="F40" s="1">
        <v>2024</v>
      </c>
      <c r="G40" s="5" t="s">
        <v>9</v>
      </c>
      <c r="H40" s="5">
        <f t="shared" si="2"/>
        <v>1980</v>
      </c>
      <c r="I40" s="5">
        <f t="shared" si="3"/>
        <v>0</v>
      </c>
      <c r="J40" s="5">
        <f>Table1[[#This Row],[Enrolment S.Y. 2025-2026 ]]*8</f>
        <v>2008</v>
      </c>
      <c r="K40" s="5"/>
      <c r="L40" s="1"/>
      <c r="M40" s="5"/>
      <c r="N40" s="5">
        <f t="shared" si="10"/>
        <v>2008</v>
      </c>
      <c r="O40" s="5">
        <f t="shared" si="11"/>
        <v>0</v>
      </c>
      <c r="P40" s="5">
        <f>Table1[[#This Row],[Enrolment S.Y. 2025-2026 ]]*8</f>
        <v>2008</v>
      </c>
      <c r="Q40" s="5"/>
      <c r="R40" s="1"/>
      <c r="S40" s="5"/>
      <c r="T40" s="5">
        <f t="shared" si="12"/>
        <v>2008</v>
      </c>
      <c r="U40" s="5">
        <f t="shared" si="13"/>
        <v>0</v>
      </c>
      <c r="V40" s="5">
        <f>Table1[[#This Row],[Enrolment S.Y. 2025-2026 ]]*8</f>
        <v>2008</v>
      </c>
      <c r="W40" s="5"/>
      <c r="X40" s="1"/>
      <c r="Y40" s="5"/>
      <c r="Z40" s="5">
        <f t="shared" si="14"/>
        <v>2008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251</v>
      </c>
      <c r="D41" s="5">
        <f>Table1[[#This Row],[Enrolment S.Y. 2025-2026 ]]*8</f>
        <v>2008</v>
      </c>
      <c r="E41" s="5">
        <v>1139</v>
      </c>
      <c r="F41" s="1">
        <v>2024</v>
      </c>
      <c r="G41" s="5" t="s">
        <v>9</v>
      </c>
      <c r="H41" s="5">
        <f t="shared" si="2"/>
        <v>869</v>
      </c>
      <c r="I41" s="5">
        <f t="shared" si="3"/>
        <v>0</v>
      </c>
      <c r="J41" s="5">
        <f>Table1[[#This Row],[Enrolment S.Y. 2025-2026 ]]*8</f>
        <v>2008</v>
      </c>
      <c r="K41" s="5"/>
      <c r="L41" s="1"/>
      <c r="M41" s="5"/>
      <c r="N41" s="5">
        <f t="shared" si="10"/>
        <v>2008</v>
      </c>
      <c r="O41" s="5">
        <f t="shared" si="11"/>
        <v>0</v>
      </c>
      <c r="P41" s="5">
        <f>Table1[[#This Row],[Enrolment S.Y. 2025-2026 ]]*8</f>
        <v>2008</v>
      </c>
      <c r="Q41" s="5"/>
      <c r="R41" s="1"/>
      <c r="S41" s="5"/>
      <c r="T41" s="5">
        <f t="shared" si="12"/>
        <v>2008</v>
      </c>
      <c r="U41" s="5">
        <f t="shared" si="13"/>
        <v>0</v>
      </c>
      <c r="V41" s="5">
        <f>Table1[[#This Row],[Enrolment S.Y. 2025-2026 ]]*8</f>
        <v>2008</v>
      </c>
      <c r="W41" s="5"/>
      <c r="X41" s="1"/>
      <c r="Y41" s="5"/>
      <c r="Z41" s="5">
        <f t="shared" si="14"/>
        <v>2008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J2:L3 D2:F3 H5:L5 D14:F21 Q14:R21 W14:X21 D23:F31 Q23:R31 W23:X31 H33:I41 Q33:R41 W33:X41 D43:F51 H43:I51 Q43:R51 W43:X51 D53:F61 H53:I61 Q53:R61 W53:X61 K53:L61 D33:F40 D10:F12 D41 F41 K14:L21 K23:L31 N13:P61 P2:R2 V2:X3 T13:V61 J6:J61 Z4:AA61 N5:R12 T5:X12 N4:P4 T4:V4 J4 F5:F9 N3:R3 Y13 D5:D9 H14:I21 H23:I31 H6:I12 K6:L12 K33:L41 K43:L51" name="LAS"/>
    <protectedRange sqref="G2:I3 M2:O2 S2:U3 Y2:AA3 G43:G51 G53:G61 G33:G41 S4:S61 M5:M12 M14:M61 Y5:Y12 G14:G21 Y14:Y61 M3 G5:G12 G23:G31" name="SOURCE"/>
    <protectedRange sqref="E6:E9" name="LAS_2"/>
    <protectedRange sqref="E41" name="LAS_1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62" zoomScale="55" zoomScaleNormal="55" workbookViewId="0">
      <selection activeCell="AC132" sqref="AC13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237</v>
      </c>
      <c r="D12" s="5">
        <f>Table14[[#This Row],[Enrolment S.Y. 2025-2026 ]]*8</f>
        <v>1896</v>
      </c>
      <c r="E12" s="5"/>
      <c r="F12" s="1"/>
      <c r="G12" s="5"/>
      <c r="H12" s="5">
        <f t="shared" si="0"/>
        <v>1896</v>
      </c>
      <c r="I12" s="5">
        <f t="shared" si="1"/>
        <v>0</v>
      </c>
      <c r="J12" s="5">
        <f>Table14[[#This Row],[Enrolment S.Y. 2025-2026 ]]*8</f>
        <v>1896</v>
      </c>
      <c r="K12" s="5"/>
      <c r="L12" s="1"/>
      <c r="M12" s="5"/>
      <c r="N12" s="5">
        <f t="shared" si="2"/>
        <v>1896</v>
      </c>
      <c r="O12" s="5">
        <f t="shared" si="3"/>
        <v>0</v>
      </c>
      <c r="P12" s="5">
        <f>Table14[[#This Row],[Enrolment S.Y. 2025-2026 ]]*8</f>
        <v>1896</v>
      </c>
      <c r="Q12" s="5"/>
      <c r="R12" s="1"/>
      <c r="S12" s="5"/>
      <c r="T12" s="5">
        <f t="shared" si="4"/>
        <v>1896</v>
      </c>
      <c r="U12" s="5">
        <f t="shared" si="5"/>
        <v>0</v>
      </c>
      <c r="V12" s="5">
        <f>Table14[[#This Row],[Enrolment S.Y. 2025-2026 ]]*8</f>
        <v>1896</v>
      </c>
      <c r="W12" s="5"/>
      <c r="X12" s="1"/>
      <c r="Y12" s="5"/>
      <c r="Z12" s="5">
        <f t="shared" si="6"/>
        <v>1896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237</v>
      </c>
      <c r="D13" s="5">
        <f>Table14[[#This Row],[Enrolment S.Y. 2025-2026 ]]*8</f>
        <v>1896</v>
      </c>
      <c r="E13" s="5"/>
      <c r="F13" s="1"/>
      <c r="G13" s="5"/>
      <c r="H13" s="5">
        <f t="shared" si="0"/>
        <v>1896</v>
      </c>
      <c r="I13" s="5">
        <f t="shared" si="1"/>
        <v>0</v>
      </c>
      <c r="J13" s="5">
        <f>Table14[[#This Row],[Enrolment S.Y. 2025-2026 ]]*8</f>
        <v>1896</v>
      </c>
      <c r="K13" s="5"/>
      <c r="L13" s="1"/>
      <c r="M13" s="5"/>
      <c r="N13" s="5">
        <f t="shared" si="2"/>
        <v>1896</v>
      </c>
      <c r="O13" s="5">
        <f t="shared" si="3"/>
        <v>0</v>
      </c>
      <c r="P13" s="5">
        <f>Table14[[#This Row],[Enrolment S.Y. 2025-2026 ]]*8</f>
        <v>1896</v>
      </c>
      <c r="Q13" s="5"/>
      <c r="R13" s="1"/>
      <c r="S13" s="5"/>
      <c r="T13" s="5">
        <f t="shared" si="4"/>
        <v>1896</v>
      </c>
      <c r="U13" s="5">
        <f t="shared" si="5"/>
        <v>0</v>
      </c>
      <c r="V13" s="5">
        <f>Table14[[#This Row],[Enrolment S.Y. 2025-2026 ]]*8</f>
        <v>1896</v>
      </c>
      <c r="W13" s="5"/>
      <c r="X13" s="1"/>
      <c r="Y13" s="5"/>
      <c r="Z13" s="5">
        <f t="shared" si="6"/>
        <v>1896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237</v>
      </c>
      <c r="D14" s="5">
        <f>Table14[[#This Row],[Enrolment S.Y. 2025-2026 ]]*8</f>
        <v>1896</v>
      </c>
      <c r="E14" s="5"/>
      <c r="F14" s="1"/>
      <c r="G14" s="5"/>
      <c r="H14" s="5">
        <f t="shared" si="0"/>
        <v>1896</v>
      </c>
      <c r="I14" s="5">
        <f t="shared" si="1"/>
        <v>0</v>
      </c>
      <c r="J14" s="5">
        <f>Table14[[#This Row],[Enrolment S.Y. 2025-2026 ]]*8</f>
        <v>1896</v>
      </c>
      <c r="K14" s="5"/>
      <c r="L14" s="1"/>
      <c r="M14" s="5"/>
      <c r="N14" s="5">
        <f t="shared" si="2"/>
        <v>1896</v>
      </c>
      <c r="O14" s="5">
        <f t="shared" si="3"/>
        <v>0</v>
      </c>
      <c r="P14" s="5">
        <f>Table14[[#This Row],[Enrolment S.Y. 2025-2026 ]]*8</f>
        <v>1896</v>
      </c>
      <c r="Q14" s="5"/>
      <c r="R14" s="1"/>
      <c r="S14" s="5"/>
      <c r="T14" s="5">
        <f t="shared" si="4"/>
        <v>1896</v>
      </c>
      <c r="U14" s="5">
        <f t="shared" si="5"/>
        <v>0</v>
      </c>
      <c r="V14" s="5">
        <f>Table14[[#This Row],[Enrolment S.Y. 2025-2026 ]]*8</f>
        <v>1896</v>
      </c>
      <c r="W14" s="5"/>
      <c r="X14" s="1"/>
      <c r="Y14" s="5"/>
      <c r="Z14" s="5">
        <f t="shared" si="6"/>
        <v>1896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237</v>
      </c>
      <c r="D15" s="5">
        <f>Table14[[#This Row],[Enrolment S.Y. 2025-2026 ]]*8</f>
        <v>1896</v>
      </c>
      <c r="E15" s="5"/>
      <c r="F15" s="1"/>
      <c r="G15" s="5"/>
      <c r="H15" s="5">
        <f t="shared" si="0"/>
        <v>1896</v>
      </c>
      <c r="I15" s="5">
        <f t="shared" si="1"/>
        <v>0</v>
      </c>
      <c r="J15" s="5">
        <f>Table14[[#This Row],[Enrolment S.Y. 2025-2026 ]]*8</f>
        <v>1896</v>
      </c>
      <c r="K15" s="5"/>
      <c r="L15" s="1"/>
      <c r="M15" s="5"/>
      <c r="N15" s="5">
        <f t="shared" si="2"/>
        <v>1896</v>
      </c>
      <c r="O15" s="5">
        <f t="shared" si="3"/>
        <v>0</v>
      </c>
      <c r="P15" s="5">
        <f>Table14[[#This Row],[Enrolment S.Y. 2025-2026 ]]*8</f>
        <v>1896</v>
      </c>
      <c r="Q15" s="5"/>
      <c r="R15" s="1"/>
      <c r="S15" s="5"/>
      <c r="T15" s="5">
        <f t="shared" si="4"/>
        <v>1896</v>
      </c>
      <c r="U15" s="5">
        <f t="shared" si="5"/>
        <v>0</v>
      </c>
      <c r="V15" s="5">
        <f>Table14[[#This Row],[Enrolment S.Y. 2025-2026 ]]*8</f>
        <v>1896</v>
      </c>
      <c r="W15" s="5"/>
      <c r="X15" s="1"/>
      <c r="Y15" s="5"/>
      <c r="Z15" s="5">
        <f t="shared" si="6"/>
        <v>1896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237</v>
      </c>
      <c r="D16" s="5">
        <f>Table14[[#This Row],[Enrolment S.Y. 2025-2026 ]]*8</f>
        <v>1896</v>
      </c>
      <c r="E16" s="5"/>
      <c r="F16" s="1"/>
      <c r="G16" s="5"/>
      <c r="H16" s="5">
        <f t="shared" si="0"/>
        <v>1896</v>
      </c>
      <c r="I16" s="5">
        <f t="shared" si="1"/>
        <v>0</v>
      </c>
      <c r="J16" s="5">
        <f>Table14[[#This Row],[Enrolment S.Y. 2025-2026 ]]*8</f>
        <v>1896</v>
      </c>
      <c r="K16" s="5">
        <v>364</v>
      </c>
      <c r="L16" s="1">
        <v>2024</v>
      </c>
      <c r="M16" s="5" t="s">
        <v>9</v>
      </c>
      <c r="N16" s="5">
        <f t="shared" si="2"/>
        <v>1532</v>
      </c>
      <c r="O16" s="5">
        <f t="shared" si="3"/>
        <v>0</v>
      </c>
      <c r="P16" s="5">
        <f>Table14[[#This Row],[Enrolment S.Y. 2025-2026 ]]*8</f>
        <v>1896</v>
      </c>
      <c r="Q16" s="5"/>
      <c r="R16" s="1"/>
      <c r="S16" s="5"/>
      <c r="T16" s="5">
        <f t="shared" si="4"/>
        <v>1896</v>
      </c>
      <c r="U16" s="5">
        <f t="shared" si="5"/>
        <v>0</v>
      </c>
      <c r="V16" s="5">
        <f>Table14[[#This Row],[Enrolment S.Y. 2025-2026 ]]*8</f>
        <v>1896</v>
      </c>
      <c r="W16" s="5"/>
      <c r="X16" s="1"/>
      <c r="Y16" s="5"/>
      <c r="Z16" s="5">
        <f t="shared" si="6"/>
        <v>1896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237</v>
      </c>
      <c r="D17" s="5">
        <f>Table14[[#This Row],[Enrolment S.Y. 2025-2026 ]]*8</f>
        <v>1896</v>
      </c>
      <c r="E17" s="5"/>
      <c r="F17" s="1"/>
      <c r="G17" s="5"/>
      <c r="H17" s="5">
        <f>IF((D17-E17)&lt;0,0,(D17-E17))</f>
        <v>1896</v>
      </c>
      <c r="I17" s="5">
        <f>IF((E17-D17)&lt;0,0,(E17-D17))</f>
        <v>0</v>
      </c>
      <c r="J17" s="5">
        <f>Table14[[#This Row],[Enrolment S.Y. 2025-2026 ]]*8</f>
        <v>1896</v>
      </c>
      <c r="K17" s="5"/>
      <c r="L17" s="1"/>
      <c r="M17" s="5"/>
      <c r="N17" s="5">
        <f t="shared" si="2"/>
        <v>1896</v>
      </c>
      <c r="O17" s="5">
        <f t="shared" si="3"/>
        <v>0</v>
      </c>
      <c r="P17" s="5">
        <f>Table14[[#This Row],[Enrolment S.Y. 2025-2026 ]]*8</f>
        <v>1896</v>
      </c>
      <c r="Q17" s="5"/>
      <c r="R17" s="1"/>
      <c r="S17" s="5"/>
      <c r="T17" s="5">
        <f t="shared" si="4"/>
        <v>1896</v>
      </c>
      <c r="U17" s="5">
        <f t="shared" si="5"/>
        <v>0</v>
      </c>
      <c r="V17" s="5">
        <f>Table14[[#This Row],[Enrolment S.Y. 2025-2026 ]]*8</f>
        <v>1896</v>
      </c>
      <c r="W17" s="5"/>
      <c r="X17" s="1"/>
      <c r="Y17" s="5"/>
      <c r="Z17" s="5">
        <f t="shared" si="6"/>
        <v>1896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237</v>
      </c>
      <c r="D18" s="5">
        <f>Table14[[#This Row],[Enrolment S.Y. 2025-2026 ]]*8</f>
        <v>1896</v>
      </c>
      <c r="E18" s="5"/>
      <c r="F18" s="1"/>
      <c r="G18" s="5"/>
      <c r="H18" s="5">
        <f>IF((D18-E18)&lt;0,0,(D18-E18))</f>
        <v>1896</v>
      </c>
      <c r="I18" s="5">
        <f>IF((E18-D18)&lt;0,0,(E18-D18))</f>
        <v>0</v>
      </c>
      <c r="J18" s="5">
        <f>Table14[[#This Row],[Enrolment S.Y. 2025-2026 ]]*8</f>
        <v>1896</v>
      </c>
      <c r="K18" s="5"/>
      <c r="L18" s="1"/>
      <c r="M18" s="5"/>
      <c r="N18" s="5">
        <f t="shared" si="2"/>
        <v>1896</v>
      </c>
      <c r="O18" s="5">
        <f t="shared" si="3"/>
        <v>0</v>
      </c>
      <c r="P18" s="5">
        <f>Table14[[#This Row],[Enrolment S.Y. 2025-2026 ]]*8</f>
        <v>1896</v>
      </c>
      <c r="Q18" s="5"/>
      <c r="R18" s="1"/>
      <c r="S18" s="5"/>
      <c r="T18" s="5">
        <f t="shared" si="4"/>
        <v>1896</v>
      </c>
      <c r="U18" s="5">
        <f t="shared" si="5"/>
        <v>0</v>
      </c>
      <c r="V18" s="5">
        <f>Table14[[#This Row],[Enrolment S.Y. 2025-2026 ]]*8</f>
        <v>1896</v>
      </c>
      <c r="W18" s="5"/>
      <c r="X18" s="1"/>
      <c r="Y18" s="5"/>
      <c r="Z18" s="5">
        <f t="shared" si="6"/>
        <v>1896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237</v>
      </c>
      <c r="D19" s="5">
        <f>Table14[[#This Row],[Enrolment S.Y. 2025-2026 ]]*8</f>
        <v>1896</v>
      </c>
      <c r="E19" s="5"/>
      <c r="F19" s="1"/>
      <c r="G19" s="5"/>
      <c r="H19" s="5">
        <f>IF((D19-E19)&lt;0,0,(D19-E19))</f>
        <v>1896</v>
      </c>
      <c r="I19" s="5">
        <f>IF((E19-D19)&lt;0,0,(E19-D19))</f>
        <v>0</v>
      </c>
      <c r="J19" s="5">
        <f>Table14[[#This Row],[Enrolment S.Y. 2025-2026 ]]*8</f>
        <v>1896</v>
      </c>
      <c r="K19" s="5"/>
      <c r="L19" s="1"/>
      <c r="M19" s="5"/>
      <c r="N19" s="5">
        <f t="shared" si="2"/>
        <v>1896</v>
      </c>
      <c r="O19" s="5">
        <f t="shared" si="3"/>
        <v>0</v>
      </c>
      <c r="P19" s="5">
        <f>Table14[[#This Row],[Enrolment S.Y. 2025-2026 ]]*8</f>
        <v>1896</v>
      </c>
      <c r="Q19" s="5"/>
      <c r="R19" s="1"/>
      <c r="S19" s="5"/>
      <c r="T19" s="5">
        <f t="shared" si="4"/>
        <v>1896</v>
      </c>
      <c r="U19" s="5">
        <f t="shared" si="5"/>
        <v>0</v>
      </c>
      <c r="V19" s="5">
        <f>Table14[[#This Row],[Enrolment S.Y. 2025-2026 ]]*8</f>
        <v>1896</v>
      </c>
      <c r="W19" s="5"/>
      <c r="X19" s="1"/>
      <c r="Y19" s="5"/>
      <c r="Z19" s="5">
        <f t="shared" si="6"/>
        <v>1896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254</v>
      </c>
      <c r="D21" s="5">
        <f>Table14[[#This Row],[Enrolment S.Y. 2025-2026 ]]*8</f>
        <v>2032</v>
      </c>
      <c r="E21" s="5"/>
      <c r="F21" s="1"/>
      <c r="G21" s="5"/>
      <c r="H21" s="5">
        <f t="shared" si="0"/>
        <v>2032</v>
      </c>
      <c r="I21" s="5">
        <f t="shared" si="1"/>
        <v>0</v>
      </c>
      <c r="J21" s="5">
        <f>Table14[[#This Row],[Enrolment S.Y. 2025-2026 ]]*8</f>
        <v>2032</v>
      </c>
      <c r="K21" s="5"/>
      <c r="L21" s="1"/>
      <c r="M21" s="5"/>
      <c r="N21" s="5">
        <f t="shared" si="2"/>
        <v>2032</v>
      </c>
      <c r="O21" s="5">
        <f t="shared" si="3"/>
        <v>0</v>
      </c>
      <c r="P21" s="5">
        <f>Table14[[#This Row],[Enrolment S.Y. 2025-2026 ]]*8</f>
        <v>2032</v>
      </c>
      <c r="Q21" s="5"/>
      <c r="R21" s="1"/>
      <c r="S21" s="5"/>
      <c r="T21" s="5">
        <f t="shared" si="4"/>
        <v>2032</v>
      </c>
      <c r="U21" s="5">
        <f t="shared" si="5"/>
        <v>0</v>
      </c>
      <c r="V21" s="5">
        <f>Table14[[#This Row],[Enrolment S.Y. 2025-2026 ]]*8</f>
        <v>2032</v>
      </c>
      <c r="W21" s="5"/>
      <c r="X21" s="1"/>
      <c r="Y21" s="5"/>
      <c r="Z21" s="5">
        <f t="shared" si="6"/>
        <v>2032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254</v>
      </c>
      <c r="D22" s="5">
        <f>Table14[[#This Row],[Enrolment S.Y. 2025-2026 ]]*8</f>
        <v>2032</v>
      </c>
      <c r="E22" s="5"/>
      <c r="F22" s="1"/>
      <c r="G22" s="5"/>
      <c r="H22" s="5">
        <f t="shared" si="0"/>
        <v>2032</v>
      </c>
      <c r="I22" s="5">
        <f t="shared" si="1"/>
        <v>0</v>
      </c>
      <c r="J22" s="5">
        <f>Table14[[#This Row],[Enrolment S.Y. 2025-2026 ]]*8</f>
        <v>2032</v>
      </c>
      <c r="K22" s="5"/>
      <c r="L22" s="1"/>
      <c r="M22" s="5"/>
      <c r="N22" s="5">
        <f t="shared" si="2"/>
        <v>2032</v>
      </c>
      <c r="O22" s="5">
        <f t="shared" si="3"/>
        <v>0</v>
      </c>
      <c r="P22" s="5">
        <f>Table14[[#This Row],[Enrolment S.Y. 2025-2026 ]]*8</f>
        <v>2032</v>
      </c>
      <c r="Q22" s="5"/>
      <c r="R22" s="1"/>
      <c r="S22" s="5"/>
      <c r="T22" s="5">
        <f t="shared" si="4"/>
        <v>2032</v>
      </c>
      <c r="U22" s="5">
        <f t="shared" si="5"/>
        <v>0</v>
      </c>
      <c r="V22" s="5">
        <f>Table14[[#This Row],[Enrolment S.Y. 2025-2026 ]]*8</f>
        <v>2032</v>
      </c>
      <c r="W22" s="5"/>
      <c r="X22" s="1"/>
      <c r="Y22" s="5"/>
      <c r="Z22" s="5">
        <f t="shared" si="6"/>
        <v>2032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254</v>
      </c>
      <c r="D23" s="5">
        <f>Table14[[#This Row],[Enrolment S.Y. 2025-2026 ]]*8</f>
        <v>2032</v>
      </c>
      <c r="E23" s="5"/>
      <c r="F23" s="1"/>
      <c r="G23" s="5"/>
      <c r="H23" s="5">
        <f t="shared" si="0"/>
        <v>2032</v>
      </c>
      <c r="I23" s="5">
        <f t="shared" si="1"/>
        <v>0</v>
      </c>
      <c r="J23" s="5">
        <f>Table14[[#This Row],[Enrolment S.Y. 2025-2026 ]]*8</f>
        <v>2032</v>
      </c>
      <c r="K23" s="5"/>
      <c r="L23" s="1"/>
      <c r="M23" s="5"/>
      <c r="N23" s="5">
        <f t="shared" si="2"/>
        <v>2032</v>
      </c>
      <c r="O23" s="5">
        <f t="shared" si="3"/>
        <v>0</v>
      </c>
      <c r="P23" s="5">
        <f>Table14[[#This Row],[Enrolment S.Y. 2025-2026 ]]*8</f>
        <v>2032</v>
      </c>
      <c r="Q23" s="5"/>
      <c r="R23" s="1"/>
      <c r="S23" s="5"/>
      <c r="T23" s="5">
        <f t="shared" si="4"/>
        <v>2032</v>
      </c>
      <c r="U23" s="5">
        <f t="shared" si="5"/>
        <v>0</v>
      </c>
      <c r="V23" s="5">
        <f>Table14[[#This Row],[Enrolment S.Y. 2025-2026 ]]*8</f>
        <v>2032</v>
      </c>
      <c r="W23" s="5"/>
      <c r="X23" s="1"/>
      <c r="Y23" s="5"/>
      <c r="Z23" s="5">
        <f t="shared" si="6"/>
        <v>2032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254</v>
      </c>
      <c r="D24" s="5">
        <f>Table14[[#This Row],[Enrolment S.Y. 2025-2026 ]]*8</f>
        <v>2032</v>
      </c>
      <c r="E24" s="5"/>
      <c r="F24" s="1"/>
      <c r="G24" s="5"/>
      <c r="H24" s="5">
        <f t="shared" si="0"/>
        <v>2032</v>
      </c>
      <c r="I24" s="5">
        <f t="shared" si="1"/>
        <v>0</v>
      </c>
      <c r="J24" s="5">
        <f>Table14[[#This Row],[Enrolment S.Y. 2025-2026 ]]*8</f>
        <v>2032</v>
      </c>
      <c r="K24" s="5"/>
      <c r="L24" s="1"/>
      <c r="M24" s="5"/>
      <c r="N24" s="5">
        <f t="shared" si="2"/>
        <v>2032</v>
      </c>
      <c r="O24" s="5">
        <f t="shared" si="3"/>
        <v>0</v>
      </c>
      <c r="P24" s="5">
        <f>Table14[[#This Row],[Enrolment S.Y. 2025-2026 ]]*8</f>
        <v>2032</v>
      </c>
      <c r="Q24" s="5"/>
      <c r="R24" s="1"/>
      <c r="S24" s="5"/>
      <c r="T24" s="5">
        <f t="shared" si="4"/>
        <v>2032</v>
      </c>
      <c r="U24" s="5">
        <f t="shared" si="5"/>
        <v>0</v>
      </c>
      <c r="V24" s="5">
        <f>Table14[[#This Row],[Enrolment S.Y. 2025-2026 ]]*8</f>
        <v>2032</v>
      </c>
      <c r="W24" s="5"/>
      <c r="X24" s="1"/>
      <c r="Y24" s="5"/>
      <c r="Z24" s="5">
        <f t="shared" si="6"/>
        <v>2032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254</v>
      </c>
      <c r="D25" s="5">
        <f>Table14[[#This Row],[Enrolment S.Y. 2025-2026 ]]*8</f>
        <v>2032</v>
      </c>
      <c r="E25" s="5"/>
      <c r="F25" s="1"/>
      <c r="G25" s="5"/>
      <c r="H25" s="5">
        <f t="shared" si="0"/>
        <v>2032</v>
      </c>
      <c r="I25" s="5">
        <f t="shared" si="1"/>
        <v>0</v>
      </c>
      <c r="J25" s="5">
        <f>Table14[[#This Row],[Enrolment S.Y. 2025-2026 ]]*8</f>
        <v>2032</v>
      </c>
      <c r="K25" s="5"/>
      <c r="L25" s="1"/>
      <c r="M25" s="5"/>
      <c r="N25" s="5">
        <f t="shared" si="2"/>
        <v>2032</v>
      </c>
      <c r="O25" s="5">
        <f t="shared" si="3"/>
        <v>0</v>
      </c>
      <c r="P25" s="5">
        <f>Table14[[#This Row],[Enrolment S.Y. 2025-2026 ]]*8</f>
        <v>2032</v>
      </c>
      <c r="Q25" s="5"/>
      <c r="R25" s="1"/>
      <c r="S25" s="5"/>
      <c r="T25" s="5">
        <f t="shared" si="4"/>
        <v>2032</v>
      </c>
      <c r="U25" s="5">
        <f t="shared" si="5"/>
        <v>0</v>
      </c>
      <c r="V25" s="5">
        <f>Table14[[#This Row],[Enrolment S.Y. 2025-2026 ]]*8</f>
        <v>2032</v>
      </c>
      <c r="W25" s="5"/>
      <c r="X25" s="1"/>
      <c r="Y25" s="5"/>
      <c r="Z25" s="5">
        <f t="shared" si="6"/>
        <v>2032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254</v>
      </c>
      <c r="D26" s="5">
        <f>Table14[[#This Row],[Enrolment S.Y. 2025-2026 ]]*8</f>
        <v>2032</v>
      </c>
      <c r="E26" s="5"/>
      <c r="F26" s="1"/>
      <c r="G26" s="5"/>
      <c r="H26" s="5">
        <f t="shared" si="0"/>
        <v>2032</v>
      </c>
      <c r="I26" s="5">
        <f t="shared" si="1"/>
        <v>0</v>
      </c>
      <c r="J26" s="5">
        <f>Table14[[#This Row],[Enrolment S.Y. 2025-2026 ]]*8</f>
        <v>2032</v>
      </c>
      <c r="K26" s="5">
        <v>513</v>
      </c>
      <c r="L26" s="1">
        <v>2024</v>
      </c>
      <c r="M26" s="5" t="s">
        <v>9</v>
      </c>
      <c r="N26" s="5">
        <f t="shared" si="2"/>
        <v>1519</v>
      </c>
      <c r="O26" s="5">
        <f t="shared" si="3"/>
        <v>0</v>
      </c>
      <c r="P26" s="5">
        <f>Table14[[#This Row],[Enrolment S.Y. 2025-2026 ]]*8</f>
        <v>2032</v>
      </c>
      <c r="Q26" s="5"/>
      <c r="R26" s="1"/>
      <c r="S26" s="5"/>
      <c r="T26" s="5">
        <f t="shared" si="4"/>
        <v>2032</v>
      </c>
      <c r="U26" s="5">
        <f t="shared" si="5"/>
        <v>0</v>
      </c>
      <c r="V26" s="5">
        <f>Table14[[#This Row],[Enrolment S.Y. 2025-2026 ]]*8</f>
        <v>2032</v>
      </c>
      <c r="W26" s="5"/>
      <c r="X26" s="1"/>
      <c r="Y26" s="5"/>
      <c r="Z26" s="5">
        <f t="shared" si="6"/>
        <v>2032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254</v>
      </c>
      <c r="D27" s="5">
        <f>Table14[[#This Row],[Enrolment S.Y. 2025-2026 ]]*8</f>
        <v>2032</v>
      </c>
      <c r="E27" s="5"/>
      <c r="F27" s="1"/>
      <c r="G27" s="5"/>
      <c r="H27" s="5">
        <f>IF((D27-E27)&lt;0,0,(D27-E27))</f>
        <v>2032</v>
      </c>
      <c r="I27" s="5">
        <f>IF((E27-D27)&lt;0,0,(E27-D27))</f>
        <v>0</v>
      </c>
      <c r="J27" s="5">
        <f>Table14[[#This Row],[Enrolment S.Y. 2025-2026 ]]*8</f>
        <v>2032</v>
      </c>
      <c r="K27" s="5"/>
      <c r="L27" s="1"/>
      <c r="M27" s="5"/>
      <c r="N27" s="5">
        <f t="shared" si="2"/>
        <v>2032</v>
      </c>
      <c r="O27" s="5">
        <f t="shared" si="3"/>
        <v>0</v>
      </c>
      <c r="P27" s="5">
        <f>Table14[[#This Row],[Enrolment S.Y. 2025-2026 ]]*8</f>
        <v>2032</v>
      </c>
      <c r="Q27" s="5"/>
      <c r="R27" s="1"/>
      <c r="S27" s="5"/>
      <c r="T27" s="5">
        <f t="shared" si="4"/>
        <v>2032</v>
      </c>
      <c r="U27" s="5">
        <f t="shared" si="5"/>
        <v>0</v>
      </c>
      <c r="V27" s="5">
        <f>Table14[[#This Row],[Enrolment S.Y. 2025-2026 ]]*8</f>
        <v>2032</v>
      </c>
      <c r="W27" s="5"/>
      <c r="X27" s="1"/>
      <c r="Y27" s="5"/>
      <c r="Z27" s="5">
        <f t="shared" si="6"/>
        <v>2032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254</v>
      </c>
      <c r="D28" s="5">
        <f>Table14[[#This Row],[Enrolment S.Y. 2025-2026 ]]*8</f>
        <v>2032</v>
      </c>
      <c r="E28" s="5"/>
      <c r="F28" s="1"/>
      <c r="G28" s="5"/>
      <c r="H28" s="5">
        <f>IF((D28-E28)&lt;0,0,(D28-E28))</f>
        <v>2032</v>
      </c>
      <c r="I28" s="5">
        <f>IF((E28-D28)&lt;0,0,(E28-D28))</f>
        <v>0</v>
      </c>
      <c r="J28" s="5">
        <f>Table14[[#This Row],[Enrolment S.Y. 2025-2026 ]]*8</f>
        <v>2032</v>
      </c>
      <c r="K28" s="5"/>
      <c r="L28" s="1"/>
      <c r="M28" s="5"/>
      <c r="N28" s="5">
        <f t="shared" si="2"/>
        <v>2032</v>
      </c>
      <c r="O28" s="5">
        <f t="shared" si="3"/>
        <v>0</v>
      </c>
      <c r="P28" s="5">
        <f>Table14[[#This Row],[Enrolment S.Y. 2025-2026 ]]*8</f>
        <v>2032</v>
      </c>
      <c r="Q28" s="5"/>
      <c r="R28" s="1"/>
      <c r="S28" s="5"/>
      <c r="T28" s="5">
        <f t="shared" si="4"/>
        <v>2032</v>
      </c>
      <c r="U28" s="5">
        <f t="shared" si="5"/>
        <v>0</v>
      </c>
      <c r="V28" s="5">
        <f>Table14[[#This Row],[Enrolment S.Y. 2025-2026 ]]*8</f>
        <v>2032</v>
      </c>
      <c r="W28" s="5"/>
      <c r="X28" s="1"/>
      <c r="Y28" s="5"/>
      <c r="Z28" s="5">
        <f t="shared" si="6"/>
        <v>2032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254</v>
      </c>
      <c r="D29" s="5">
        <f>Table14[[#This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Table14[[#This Row],[Enrolment S.Y. 2025-2026 ]]*8</f>
        <v>2032</v>
      </c>
      <c r="K29" s="5"/>
      <c r="L29" s="1"/>
      <c r="M29" s="5"/>
      <c r="N29" s="5">
        <f t="shared" si="2"/>
        <v>2032</v>
      </c>
      <c r="O29" s="5">
        <f t="shared" si="3"/>
        <v>0</v>
      </c>
      <c r="P29" s="5">
        <f>Table14[[#This Row],[Enrolment S.Y. 2025-2026 ]]*8</f>
        <v>2032</v>
      </c>
      <c r="Q29" s="5"/>
      <c r="R29" s="1"/>
      <c r="S29" s="5"/>
      <c r="T29" s="5">
        <f t="shared" si="4"/>
        <v>2032</v>
      </c>
      <c r="U29" s="5">
        <f t="shared" si="5"/>
        <v>0</v>
      </c>
      <c r="V29" s="5">
        <f>Table14[[#This Row],[Enrolment S.Y. 2025-2026 ]]*8</f>
        <v>2032</v>
      </c>
      <c r="W29" s="5"/>
      <c r="X29" s="1"/>
      <c r="Y29" s="5"/>
      <c r="Z29" s="5">
        <f t="shared" si="6"/>
        <v>2032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2026-04-07T06:06:35Z</dcterms:modified>
  <cp:category/>
  <cp:contentStatus/>
</cp:coreProperties>
</file>