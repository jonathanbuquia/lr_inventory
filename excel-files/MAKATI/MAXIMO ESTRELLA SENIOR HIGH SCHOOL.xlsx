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7" documentId="13_ncr:1_{BFB59F67-F0DC-4675-A682-EB0734A8026A}" xr6:coauthVersionLast="47" xr6:coauthVersionMax="47" xr10:uidLastSave="{FE20CAD9-6A2D-4330-9C3D-151C5222B861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<sst xmlns="http://schemas.openxmlformats.org/spreadsheetml/2006/main" count="241" uniqueCount="84">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</sst>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51" sqref="L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>
        <v>312</v>
      </c>
      <c r="D42" s="1">
        <v>351</v>
      </c>
      <c r="E42" s="1">
        <v>2025</v>
      </c>
      <c r="F42" s="4" t="s">
        <v>20</v>
      </c>
      <c r="G42" s="2">
        <f t="shared" ref="G42:G49" si="8">IF((C42-D42)&lt;0,0,C42-D42)</f>
        <v>0</v>
      </c>
      <c r="H42" s="3">
        <f t="shared" ref="H42:H49" si="9">IF((D42-C42)&lt;0,0,D42-C42)</f>
        <v>39</v>
      </c>
    </row>
    <row r="43" spans="1:8" ht="27.75" customHeight="1">
      <c r="A43" s="1" t="s">
        <v>18</v>
      </c>
      <c r="B43" s="7" t="s">
        <v>21</v>
      </c>
      <c r="C43" s="1">
        <v>312</v>
      </c>
      <c r="D43" s="1">
        <v>351</v>
      </c>
      <c r="E43" s="1">
        <v>2024</v>
      </c>
      <c r="F43" s="4" t="s">
        <v>20</v>
      </c>
      <c r="G43" s="2">
        <f t="shared" si="8"/>
        <v>0</v>
      </c>
      <c r="H43" s="3">
        <f t="shared" si="9"/>
        <v>39</v>
      </c>
    </row>
    <row r="44" spans="1:8" ht="27.75" customHeight="1">
      <c r="A44" s="1" t="s">
        <v>18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23</v>
      </c>
      <c r="C45" s="1">
        <v>222</v>
      </c>
      <c r="D45" s="1">
        <v>351</v>
      </c>
      <c r="E45" s="1">
        <v>2025</v>
      </c>
      <c r="F45" s="4" t="s">
        <v>20</v>
      </c>
      <c r="G45" s="2">
        <f t="shared" si="8"/>
        <v>0</v>
      </c>
      <c r="H45" s="3">
        <f t="shared" si="9"/>
        <v>129</v>
      </c>
    </row>
    <row r="46" spans="1:8" ht="27.75" customHeight="1">
      <c r="A46" s="1" t="s">
        <v>18</v>
      </c>
      <c r="B46" s="7" t="s">
        <v>24</v>
      </c>
      <c r="C46" s="1">
        <v>222</v>
      </c>
      <c r="D46" s="1">
        <v>351</v>
      </c>
      <c r="E46" s="1">
        <v>2025</v>
      </c>
      <c r="F46" s="4" t="s">
        <v>20</v>
      </c>
      <c r="G46" s="2">
        <f t="shared" si="8"/>
        <v>0</v>
      </c>
      <c r="H46" s="3">
        <f t="shared" si="9"/>
        <v>129</v>
      </c>
    </row>
    <row r="47" spans="1:8" ht="27.75" customHeight="1">
      <c r="A47" s="1" t="s">
        <v>18</v>
      </c>
      <c r="B47" s="7" t="s">
        <v>25</v>
      </c>
      <c r="C47" s="1">
        <v>312</v>
      </c>
      <c r="D47" s="1">
        <v>351</v>
      </c>
      <c r="E47" s="1">
        <v>2025</v>
      </c>
      <c r="F47" s="4" t="s">
        <v>20</v>
      </c>
      <c r="G47" s="2">
        <f t="shared" si="8"/>
        <v>0</v>
      </c>
      <c r="H47" s="3">
        <f t="shared" si="9"/>
        <v>39</v>
      </c>
    </row>
    <row r="48" spans="1:8" ht="27.75" customHeight="1">
      <c r="A48" s="1" t="s">
        <v>18</v>
      </c>
      <c r="B48" s="7" t="s">
        <v>26</v>
      </c>
      <c r="C48" s="1">
        <v>222</v>
      </c>
      <c r="D48" s="1">
        <v>351</v>
      </c>
      <c r="E48" s="1">
        <v>2025</v>
      </c>
      <c r="F48" s="4" t="s">
        <v>20</v>
      </c>
      <c r="G48" s="2">
        <f t="shared" si="8"/>
        <v>0</v>
      </c>
      <c r="H48" s="3">
        <f t="shared" si="9"/>
        <v>129</v>
      </c>
    </row>
    <row r="49" spans="1:8" ht="27.75" customHeight="1">
      <c r="A49" s="1" t="s">
        <v>18</v>
      </c>
      <c r="B49" s="7" t="s">
        <v>27</v>
      </c>
      <c r="C49" s="1">
        <v>312</v>
      </c>
      <c r="D49" s="1">
        <v>351</v>
      </c>
      <c r="E49" s="1">
        <v>2025</v>
      </c>
      <c r="F49" s="4" t="s">
        <v>20</v>
      </c>
      <c r="G49" s="2">
        <f t="shared" si="8"/>
        <v>0</v>
      </c>
      <c r="H49" s="3">
        <f t="shared" si="9"/>
        <v>39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E76" sqref="AE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>
        <v>351</v>
      </c>
      <c r="F51" s="1">
        <v>2025</v>
      </c>
      <c r="G51" s="4"/>
      <c r="H51" s="4">
        <f t="shared" si="16"/>
        <v>0</v>
      </c>
      <c r="I51" s="4">
        <f t="shared" si="17"/>
        <v>351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21</v>
      </c>
      <c r="C52" s="1"/>
      <c r="D52" s="4">
        <f>Table14[[#This Row],[Enrolment S.Y. 2025-2026 ]]*8</f>
        <v>0</v>
      </c>
      <c r="E52" s="4">
        <v>351</v>
      </c>
      <c r="F52" s="1">
        <v>2024</v>
      </c>
      <c r="G52" s="4"/>
      <c r="H52" s="4">
        <f t="shared" si="16"/>
        <v>0</v>
      </c>
      <c r="I52" s="4">
        <f t="shared" si="17"/>
        <v>351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23</v>
      </c>
      <c r="C54" s="1"/>
      <c r="D54" s="4">
        <f>Table14[[#This Row],[Enrolment S.Y. 2025-2026 ]]*8</f>
        <v>0</v>
      </c>
      <c r="E54" s="4">
        <v>351</v>
      </c>
      <c r="F54" s="1">
        <v>2025</v>
      </c>
      <c r="G54" s="4"/>
      <c r="H54" s="4">
        <f t="shared" si="16"/>
        <v>0</v>
      </c>
      <c r="I54" s="4">
        <f t="shared" si="17"/>
        <v>351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24</v>
      </c>
      <c r="C55" s="1"/>
      <c r="D55" s="4">
        <f>Table14[[#This Row],[Enrolment S.Y. 2025-2026 ]]*8</f>
        <v>0</v>
      </c>
      <c r="E55" s="4">
        <v>351</v>
      </c>
      <c r="F55" s="1">
        <v>2025</v>
      </c>
      <c r="G55" s="4"/>
      <c r="H55" s="4">
        <f t="shared" si="16"/>
        <v>0</v>
      </c>
      <c r="I55" s="4">
        <f t="shared" si="17"/>
        <v>351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25</v>
      </c>
      <c r="C56" s="1"/>
      <c r="D56" s="4">
        <f>Table14[[#This Row],[Enrolment S.Y. 2025-2026 ]]*8</f>
        <v>0</v>
      </c>
      <c r="E56" s="4">
        <v>351</v>
      </c>
      <c r="F56" s="1">
        <v>2025</v>
      </c>
      <c r="G56" s="4"/>
      <c r="H56" s="4">
        <f t="shared" si="16"/>
        <v>0</v>
      </c>
      <c r="I56" s="4">
        <f t="shared" si="17"/>
        <v>351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26</v>
      </c>
      <c r="C57" s="1"/>
      <c r="D57" s="4">
        <f>Table14[[#This Row],[Enrolment S.Y. 2025-2026 ]]*8</f>
        <v>0</v>
      </c>
      <c r="E57" s="4">
        <v>351</v>
      </c>
      <c r="F57" s="1">
        <v>2025</v>
      </c>
      <c r="G57" s="4"/>
      <c r="H57" s="4">
        <f t="shared" si="16"/>
        <v>0</v>
      </c>
      <c r="I57" s="4">
        <f t="shared" si="17"/>
        <v>351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27</v>
      </c>
      <c r="C58" s="1"/>
      <c r="D58" s="4">
        <f>Table14[[#This Row],[Enrolment S.Y. 2025-2026 ]]*8</f>
        <v>0</v>
      </c>
      <c r="E58" s="4">
        <v>351</v>
      </c>
      <c r="F58" s="1">
        <v>2025</v>
      </c>
      <c r="G58" s="4"/>
      <c r="H58" s="4">
        <f t="shared" si="16"/>
        <v>0</v>
      </c>
      <c r="I58" s="4">
        <f t="shared" si="17"/>
        <v>351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2026-04-07T06:25:35Z</dcterms:modified>
  <cp:category/>
  <cp:contentStatus/>
</cp:coreProperties>
</file>