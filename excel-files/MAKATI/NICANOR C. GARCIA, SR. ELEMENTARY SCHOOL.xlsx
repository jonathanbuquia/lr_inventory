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57" documentId="13_ncr:1_{BFB59F67-F0DC-4675-A682-EB0734A8026A}" xr6:coauthVersionLast="47" xr6:coauthVersionMax="47" xr10:uidLastSave="{606F8FB2-4DD0-403F-9E3D-D317C8254B2F}"/>
  <bookViews>
    <workbookView xWindow="-120" yWindow="-120" windowWidth="29040" windowHeight="15840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<sst xmlns="http://schemas.openxmlformats.org/spreadsheetml/2006/main" count="255" uniqueCount="80">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</sst>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50" activePane="topRight" state="frozen"/>
      <selection pane="topRight" activeCell="A51" sqref="A51:H9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119</v>
      </c>
      <c r="D2" s="1">
        <v>199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80</v>
      </c>
    </row>
    <row r="3" spans="1:8" ht="29.25" customHeight="1">
      <c r="A3" s="1">
        <v>1</v>
      </c>
      <c r="B3" s="2" t="s">
        <v>10</v>
      </c>
      <c r="C3" s="1">
        <v>119</v>
      </c>
      <c r="D3" s="1">
        <v>199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80</v>
      </c>
    </row>
    <row r="4" spans="1:8" ht="21" customHeight="1">
      <c r="A4" s="1">
        <v>1</v>
      </c>
      <c r="B4" s="2" t="s">
        <v>11</v>
      </c>
      <c r="C4" s="1">
        <v>119</v>
      </c>
      <c r="D4" s="1">
        <v>199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80</v>
      </c>
    </row>
    <row r="5" spans="1:8" ht="25.5" customHeight="1">
      <c r="A5" s="1">
        <v>1</v>
      </c>
      <c r="B5" s="2" t="s">
        <v>12</v>
      </c>
      <c r="C5" s="1">
        <v>119</v>
      </c>
      <c r="D5" s="1">
        <v>199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80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154</v>
      </c>
      <c r="D21" s="1">
        <v>200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46</v>
      </c>
    </row>
    <row r="22" spans="1:8" ht="24" customHeight="1">
      <c r="A22" s="1">
        <v>4</v>
      </c>
      <c r="B22" s="9" t="s">
        <v>17</v>
      </c>
      <c r="C22" s="1">
        <v>154</v>
      </c>
      <c r="D22" s="1">
        <v>200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46</v>
      </c>
    </row>
    <row r="23" spans="1:8" ht="19.5">
      <c r="A23" s="1">
        <v>4</v>
      </c>
      <c r="B23" s="9" t="s">
        <v>13</v>
      </c>
      <c r="C23" s="1">
        <v>154</v>
      </c>
      <c r="D23" s="1">
        <v>200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46</v>
      </c>
    </row>
    <row r="24" spans="1:8" ht="27" customHeight="1">
      <c r="A24" s="1">
        <v>4</v>
      </c>
      <c r="B24" s="9" t="s">
        <v>11</v>
      </c>
      <c r="C24" s="1">
        <v>154</v>
      </c>
      <c r="D24" s="1">
        <v>200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46</v>
      </c>
    </row>
    <row r="25" spans="1:8" ht="33.75" customHeight="1">
      <c r="A25" s="1">
        <v>4</v>
      </c>
      <c r="B25" s="9" t="s">
        <v>18</v>
      </c>
      <c r="C25" s="1">
        <v>154</v>
      </c>
      <c r="D25" s="1">
        <v>200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46</v>
      </c>
    </row>
    <row r="26" spans="1:8" ht="33.75" customHeight="1">
      <c r="A26" s="1">
        <v>4</v>
      </c>
      <c r="B26" s="9" t="s">
        <v>14</v>
      </c>
      <c r="C26" s="1">
        <v>154</v>
      </c>
      <c r="D26" s="1">
        <v>200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46</v>
      </c>
    </row>
    <row r="27" spans="1:8" ht="33.75" customHeight="1">
      <c r="A27" s="1">
        <v>4</v>
      </c>
      <c r="B27" s="9" t="s">
        <v>19</v>
      </c>
      <c r="C27" s="1">
        <v>154</v>
      </c>
      <c r="D27" s="1">
        <v>200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46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146</v>
      </c>
      <c r="D31" s="1">
        <v>177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31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146</v>
      </c>
      <c r="D35" s="1">
        <v>180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34</v>
      </c>
    </row>
    <row r="36" spans="1:10" ht="27.75" customHeight="1">
      <c r="A36" s="1">
        <v>5</v>
      </c>
      <c r="B36" s="9" t="s">
        <v>14</v>
      </c>
      <c r="C36" s="1">
        <v>146</v>
      </c>
      <c r="D36" s="1">
        <v>177</v>
      </c>
      <c r="E36" s="1"/>
      <c r="F36" s="5" t="s">
        <v>16</v>
      </c>
      <c r="G36" s="3">
        <f t="shared" si="6"/>
        <v>0</v>
      </c>
      <c r="H36" s="4">
        <f t="shared" si="7"/>
        <v>31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146</v>
      </c>
      <c r="D37" s="1">
        <v>177</v>
      </c>
      <c r="E37" s="1">
        <v>2025</v>
      </c>
      <c r="F37" s="5" t="s">
        <v>16</v>
      </c>
      <c r="G37" s="3">
        <f t="shared" si="6"/>
        <v>0</v>
      </c>
      <c r="H37" s="4">
        <f t="shared" si="7"/>
        <v>31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9" zoomScale="70" zoomScaleNormal="70" workbookViewId="0">
      <selection activeCell="A63" sqref="A63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0" t="s">
        <v>35</v>
      </c>
      <c r="N2" s="30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1" t="s">
        <v>47</v>
      </c>
      <c r="Z2" s="31" t="s">
        <v>48</v>
      </c>
      <c r="AA2" s="23" t="s">
        <v>49</v>
      </c>
    </row>
    <row r="3" spans="1:27" ht="30.6" customHeight="1">
      <c r="A3" s="29" t="s">
        <v>50</v>
      </c>
      <c r="B3" s="9"/>
      <c r="C3" s="1">
        <v>144</v>
      </c>
      <c r="D3" s="5">
        <f>Table1[[#This Row],[Enrolment S.Y. 2025-2026 ]]*8</f>
        <v>1152</v>
      </c>
      <c r="E3" s="5"/>
      <c r="F3" s="1"/>
      <c r="G3" s="5"/>
      <c r="H3" s="5">
        <f>IF((D3-E3)&lt;0,0,(D3-E3))</f>
        <v>1152</v>
      </c>
      <c r="I3" s="5">
        <f>IF((E3-D3)&lt;0,0,(E3-D3))</f>
        <v>0</v>
      </c>
      <c r="J3" s="5">
        <f>Table1[[#This Row],[Enrolment S.Y. 2025-2026 ]]*8</f>
        <v>1152</v>
      </c>
      <c r="K3" s="5"/>
      <c r="L3" s="1"/>
      <c r="M3" s="5"/>
      <c r="N3" s="5">
        <f t="shared" ref="N3" si="0">IF((J3-K3)&lt;0,0,(J3-K3))</f>
        <v>1152</v>
      </c>
      <c r="O3" s="5">
        <f t="shared" ref="O3" si="1">IF((K3-J3)&lt;0,0,(K3-J3))</f>
        <v>0</v>
      </c>
      <c r="P3" s="5">
        <f>Table1[[#This Row],[Enrolment S.Y. 2025-2026 ]]*8</f>
        <v>1152</v>
      </c>
      <c r="Q3" s="5">
        <v>188</v>
      </c>
      <c r="R3" s="1"/>
      <c r="S3" s="5"/>
      <c r="T3" s="5">
        <f>IF((P3-Q3)&lt;0,0,(P3-Q3))</f>
        <v>964</v>
      </c>
      <c r="U3" s="5">
        <f>IF((Q3-P3)&lt;0,0,(Q3-P3))</f>
        <v>0</v>
      </c>
      <c r="V3" s="5">
        <f>Table1[[#This Row],[Enrolment S.Y. 2025-2026 ]]*8</f>
        <v>1152</v>
      </c>
      <c r="W3" s="5"/>
      <c r="X3" s="1"/>
      <c r="Y3" s="5"/>
      <c r="Z3" s="5">
        <f>IF((V3-W3)&lt;0,0,(V3-W3))</f>
        <v>1152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121</v>
      </c>
      <c r="D5" s="5">
        <f>Table1[[#This Row],[Enrolment S.Y. 2025-2026 ]]*8</f>
        <v>968</v>
      </c>
      <c r="E5" s="5">
        <v>1407</v>
      </c>
      <c r="F5" s="1">
        <v>2024</v>
      </c>
      <c r="G5" s="5" t="s">
        <v>9</v>
      </c>
      <c r="H5" s="5">
        <f t="shared" ref="H5:H61" si="2">IF((D5-E5)&lt;0,0,(D5-E5))</f>
        <v>0</v>
      </c>
      <c r="I5" s="5">
        <f t="shared" ref="I5:I61" si="3">IF((E5-D5)&lt;0,0,(E5-D5))</f>
        <v>439</v>
      </c>
      <c r="J5" s="5">
        <f>Table1[[#This Row],[Enrolment S.Y. 2025-2026 ]]*8</f>
        <v>968</v>
      </c>
      <c r="K5" s="5"/>
      <c r="L5" s="1"/>
      <c r="M5" s="5"/>
      <c r="N5" s="5">
        <f t="shared" ref="N5" si="4">IF((J5-K5)&lt;0,0,(J5-K5))</f>
        <v>968</v>
      </c>
      <c r="O5" s="5">
        <f t="shared" ref="O5" si="5">IF((K5-J5)&lt;0,0,(K5-J5))</f>
        <v>0</v>
      </c>
      <c r="P5" s="5">
        <f>Table1[[#This Row],[Enrolment S.Y. 2025-2026 ]]*8</f>
        <v>968</v>
      </c>
      <c r="Q5" s="5"/>
      <c r="R5" s="1"/>
      <c r="S5" s="5"/>
      <c r="T5" s="5">
        <f t="shared" ref="T5" si="6">IF((P5-Q5)&lt;0,0,(P5-Q5))</f>
        <v>968</v>
      </c>
      <c r="U5" s="5">
        <f t="shared" ref="U5" si="7">IF((Q5-P5)&lt;0,0,(Q5-P5))</f>
        <v>0</v>
      </c>
      <c r="V5" s="5">
        <f>Table1[[#This Row],[Enrolment S.Y. 2025-2026 ]]*8</f>
        <v>968</v>
      </c>
      <c r="W5" s="5"/>
      <c r="X5" s="1"/>
      <c r="Y5" s="5"/>
      <c r="Z5" s="5">
        <f t="shared" ref="Z5" si="8">IF((V5-W5)&lt;0,0,(V5-W5))</f>
        <v>968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121</v>
      </c>
      <c r="D6" s="5">
        <f>Table1[[#This Row],[Enrolment S.Y. 2025-2026 ]]*8</f>
        <v>968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12</v>
      </c>
      <c r="J6" s="5">
        <f>Table1[[#This Row],[Enrolment S.Y. 2025-2026 ]]*8</f>
        <v>968</v>
      </c>
      <c r="K6" s="5"/>
      <c r="L6" s="1"/>
      <c r="M6" s="5"/>
      <c r="N6" s="5">
        <f t="shared" ref="N6:N61" si="10">IF((J6-K6)&lt;0,0,(J6-K6))</f>
        <v>968</v>
      </c>
      <c r="O6" s="5">
        <f t="shared" ref="O6:O61" si="11">IF((K6-J6)&lt;0,0,(K6-J6))</f>
        <v>0</v>
      </c>
      <c r="P6" s="5">
        <f>Table1[[#This Row],[Enrolment S.Y. 2025-2026 ]]*8</f>
        <v>968</v>
      </c>
      <c r="Q6" s="5"/>
      <c r="R6" s="1"/>
      <c r="S6" s="5"/>
      <c r="T6" s="5">
        <f t="shared" ref="T6:T61" si="12">IF((P6-Q6)&lt;0,0,(P6-Q6))</f>
        <v>968</v>
      </c>
      <c r="U6" s="5">
        <f t="shared" ref="U6:U61" si="13">IF((Q6-P6)&lt;0,0,(Q6-P6))</f>
        <v>0</v>
      </c>
      <c r="V6" s="5">
        <f>Table1[[#This Row],[Enrolment S.Y. 2025-2026 ]]*8</f>
        <v>968</v>
      </c>
      <c r="W6" s="5"/>
      <c r="X6" s="1"/>
      <c r="Y6" s="5"/>
      <c r="Z6" s="5">
        <f t="shared" ref="Z6:Z61" si="14">IF((V6-W6)&lt;0,0,(V6-W6))</f>
        <v>968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121</v>
      </c>
      <c r="D7" s="5">
        <f>Table1[[#This Row],[Enrolment S.Y. 2025-2026 ]]*8</f>
        <v>968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665</v>
      </c>
      <c r="J7" s="5">
        <f>Table1[[#This Row],[Enrolment S.Y. 2025-2026 ]]*8</f>
        <v>968</v>
      </c>
      <c r="K7" s="5"/>
      <c r="L7" s="1"/>
      <c r="M7" s="5"/>
      <c r="N7" s="5">
        <f t="shared" si="10"/>
        <v>968</v>
      </c>
      <c r="O7" s="5">
        <f t="shared" si="11"/>
        <v>0</v>
      </c>
      <c r="P7" s="5">
        <f>Table1[[#This Row],[Enrolment S.Y. 2025-2026 ]]*8</f>
        <v>968</v>
      </c>
      <c r="Q7" s="5"/>
      <c r="R7" s="1"/>
      <c r="S7" s="5"/>
      <c r="T7" s="5">
        <f t="shared" si="12"/>
        <v>968</v>
      </c>
      <c r="U7" s="5">
        <f t="shared" si="13"/>
        <v>0</v>
      </c>
      <c r="V7" s="5">
        <f>Table1[[#This Row],[Enrolment S.Y. 2025-2026 ]]*8</f>
        <v>968</v>
      </c>
      <c r="W7" s="5"/>
      <c r="X7" s="1"/>
      <c r="Y7" s="5"/>
      <c r="Z7" s="5">
        <f t="shared" si="14"/>
        <v>968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121</v>
      </c>
      <c r="D8" s="5">
        <f>Table1[[#This Row],[Enrolment S.Y. 2025-2026 ]]*8</f>
        <v>968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439</v>
      </c>
      <c r="J8" s="5">
        <f>Table1[[#This Row],[Enrolment S.Y. 2025-2026 ]]*8</f>
        <v>968</v>
      </c>
      <c r="K8" s="5"/>
      <c r="L8" s="1"/>
      <c r="M8" s="5"/>
      <c r="N8" s="5">
        <f t="shared" si="10"/>
        <v>968</v>
      </c>
      <c r="O8" s="5">
        <f t="shared" si="11"/>
        <v>0</v>
      </c>
      <c r="P8" s="5">
        <f>Table1[[#This Row],[Enrolment S.Y. 2025-2026 ]]*8</f>
        <v>968</v>
      </c>
      <c r="Q8" s="5"/>
      <c r="R8" s="1"/>
      <c r="S8" s="5"/>
      <c r="T8" s="5">
        <f t="shared" si="12"/>
        <v>968</v>
      </c>
      <c r="U8" s="5">
        <f t="shared" si="13"/>
        <v>0</v>
      </c>
      <c r="V8" s="5">
        <f>Table1[[#This Row],[Enrolment S.Y. 2025-2026 ]]*8</f>
        <v>968</v>
      </c>
      <c r="W8" s="5"/>
      <c r="X8" s="1"/>
      <c r="Y8" s="5"/>
      <c r="Z8" s="5">
        <f t="shared" si="14"/>
        <v>968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121</v>
      </c>
      <c r="D9" s="5">
        <f>Table1[[#This Row],[Enrolment S.Y. 2025-2026 ]]*8</f>
        <v>968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665</v>
      </c>
      <c r="J9" s="5">
        <f>Table1[[#This Row],[Enrolment S.Y. 2025-2026 ]]*8</f>
        <v>968</v>
      </c>
      <c r="K9" s="5"/>
      <c r="L9" s="1"/>
      <c r="M9" s="5"/>
      <c r="N9" s="5">
        <f t="shared" si="10"/>
        <v>968</v>
      </c>
      <c r="O9" s="5">
        <f t="shared" si="11"/>
        <v>0</v>
      </c>
      <c r="P9" s="5">
        <f>Table1[[#This Row],[Enrolment S.Y. 2025-2026 ]]*8</f>
        <v>968</v>
      </c>
      <c r="Q9" s="5"/>
      <c r="R9" s="1"/>
      <c r="S9" s="5"/>
      <c r="T9" s="5">
        <f t="shared" si="12"/>
        <v>968</v>
      </c>
      <c r="U9" s="5">
        <f t="shared" si="13"/>
        <v>0</v>
      </c>
      <c r="V9" s="5">
        <f>Table1[[#This Row],[Enrolment S.Y. 2025-2026 ]]*8</f>
        <v>968</v>
      </c>
      <c r="W9" s="5"/>
      <c r="X9" s="1"/>
      <c r="Y9" s="5"/>
      <c r="Z9" s="5">
        <f t="shared" si="14"/>
        <v>968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>
        <v>138</v>
      </c>
      <c r="F16" s="1"/>
      <c r="G16" s="5"/>
      <c r="H16" s="5">
        <f t="shared" si="2"/>
        <v>0</v>
      </c>
      <c r="I16" s="5">
        <f t="shared" si="3"/>
        <v>138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>
        <v>138</v>
      </c>
      <c r="F17" s="1"/>
      <c r="G17" s="5"/>
      <c r="H17" s="5">
        <f t="shared" si="2"/>
        <v>0</v>
      </c>
      <c r="I17" s="5">
        <f t="shared" si="3"/>
        <v>138</v>
      </c>
      <c r="J17" s="5">
        <f>Table1[[#This Row],[Enrolment S.Y. 2025-2026 ]]*8</f>
        <v>0</v>
      </c>
      <c r="K17" s="5">
        <v>138</v>
      </c>
      <c r="L17" s="1"/>
      <c r="M17" s="5"/>
      <c r="N17" s="5">
        <f t="shared" si="10"/>
        <v>0</v>
      </c>
      <c r="O17" s="5">
        <f t="shared" si="11"/>
        <v>138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>
        <v>138</v>
      </c>
      <c r="F18" s="1"/>
      <c r="G18" s="5"/>
      <c r="H18" s="5">
        <f t="shared" si="2"/>
        <v>0</v>
      </c>
      <c r="I18" s="5">
        <f t="shared" si="3"/>
        <v>138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>
        <v>138</v>
      </c>
      <c r="F19" s="1"/>
      <c r="G19" s="5"/>
      <c r="H19" s="5">
        <f>IF((D19-E19)&lt;0,0,(D19-E19))</f>
        <v>0</v>
      </c>
      <c r="I19" s="5">
        <f>IF((E19-D19)&lt;0,0,(E19-D19))</f>
        <v>138</v>
      </c>
      <c r="J19" s="5">
        <f>Table1[[#This Row],[Enrolment S.Y. 2025-2026 ]]*8</f>
        <v>0</v>
      </c>
      <c r="K19" s="5">
        <v>138</v>
      </c>
      <c r="L19" s="1"/>
      <c r="M19" s="5"/>
      <c r="N19" s="5">
        <f t="shared" si="10"/>
        <v>0</v>
      </c>
      <c r="O19" s="5">
        <f t="shared" si="11"/>
        <v>138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>
        <v>138</v>
      </c>
      <c r="F20" s="1"/>
      <c r="G20" s="5"/>
      <c r="H20" s="5">
        <f>IF((D20-E20)&lt;0,0,(D20-E20))</f>
        <v>0</v>
      </c>
      <c r="I20" s="5">
        <f>IF((E20-D20)&lt;0,0,(E20-D20))</f>
        <v>138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>
        <v>120</v>
      </c>
      <c r="F26" s="1"/>
      <c r="G26" s="5"/>
      <c r="H26" s="5">
        <f t="shared" si="2"/>
        <v>0</v>
      </c>
      <c r="I26" s="5">
        <f t="shared" si="3"/>
        <v>120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>
        <v>120</v>
      </c>
      <c r="F27" s="1"/>
      <c r="G27" s="5"/>
      <c r="H27" s="5">
        <f t="shared" si="2"/>
        <v>0</v>
      </c>
      <c r="I27" s="5">
        <f t="shared" si="3"/>
        <v>120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>
        <v>120</v>
      </c>
      <c r="F28" s="1"/>
      <c r="G28" s="5"/>
      <c r="H28" s="5">
        <f t="shared" si="2"/>
        <v>0</v>
      </c>
      <c r="I28" s="5">
        <f t="shared" si="3"/>
        <v>120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>
        <v>120</v>
      </c>
      <c r="F29" s="1"/>
      <c r="G29" s="5"/>
      <c r="H29" s="5">
        <f>IF((D29-E29)&lt;0,0,(D29-E29))</f>
        <v>0</v>
      </c>
      <c r="I29" s="5">
        <f>IF((E29-D29)&lt;0,0,(E29-D29))</f>
        <v>120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152</v>
      </c>
      <c r="D33" s="5">
        <f>Table1[[#This Row],[Enrolment S.Y. 2025-2026 ]]*8</f>
        <v>1216</v>
      </c>
      <c r="E33" s="5">
        <v>28</v>
      </c>
      <c r="F33" s="1">
        <v>2024</v>
      </c>
      <c r="G33" s="5" t="s">
        <v>9</v>
      </c>
      <c r="H33" s="5">
        <f t="shared" si="2"/>
        <v>1188</v>
      </c>
      <c r="I33" s="5">
        <f t="shared" si="3"/>
        <v>0</v>
      </c>
      <c r="J33" s="5">
        <f>Table1[[#This Row],[Enrolment S.Y. 2025-2026 ]]*8</f>
        <v>1216</v>
      </c>
      <c r="K33" s="5"/>
      <c r="L33" s="1"/>
      <c r="M33" s="5"/>
      <c r="N33" s="5">
        <f t="shared" si="10"/>
        <v>1216</v>
      </c>
      <c r="O33" s="5">
        <f t="shared" si="11"/>
        <v>0</v>
      </c>
      <c r="P33" s="5">
        <f>Table1[[#This Row],[Enrolment S.Y. 2025-2026 ]]*8</f>
        <v>1216</v>
      </c>
      <c r="Q33" s="5"/>
      <c r="R33" s="1"/>
      <c r="S33" s="5"/>
      <c r="T33" s="5">
        <f t="shared" si="12"/>
        <v>1216</v>
      </c>
      <c r="U33" s="5">
        <f t="shared" si="13"/>
        <v>0</v>
      </c>
      <c r="V33" s="5">
        <f>Table1[[#This Row],[Enrolment S.Y. 2025-2026 ]]*8</f>
        <v>1216</v>
      </c>
      <c r="W33" s="5"/>
      <c r="X33" s="1"/>
      <c r="Y33" s="5"/>
      <c r="Z33" s="5">
        <f t="shared" si="14"/>
        <v>1216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152</v>
      </c>
      <c r="D34" s="5">
        <f>Table1[[#This Row],[Enrolment S.Y. 2025-2026 ]]*8</f>
        <v>1216</v>
      </c>
      <c r="E34" s="5">
        <v>28</v>
      </c>
      <c r="F34" s="1">
        <v>2024</v>
      </c>
      <c r="G34" s="5" t="s">
        <v>9</v>
      </c>
      <c r="H34" s="5">
        <f t="shared" si="2"/>
        <v>1188</v>
      </c>
      <c r="I34" s="5">
        <f t="shared" si="3"/>
        <v>0</v>
      </c>
      <c r="J34" s="5">
        <f>Table1[[#This Row],[Enrolment S.Y. 2025-2026 ]]*8</f>
        <v>1216</v>
      </c>
      <c r="K34" s="5"/>
      <c r="L34" s="1"/>
      <c r="M34" s="5"/>
      <c r="N34" s="5">
        <f t="shared" si="10"/>
        <v>1216</v>
      </c>
      <c r="O34" s="5">
        <f t="shared" si="11"/>
        <v>0</v>
      </c>
      <c r="P34" s="5">
        <f>Table1[[#This Row],[Enrolment S.Y. 2025-2026 ]]*8</f>
        <v>1216</v>
      </c>
      <c r="Q34" s="5"/>
      <c r="R34" s="1"/>
      <c r="S34" s="5"/>
      <c r="T34" s="5">
        <f t="shared" si="12"/>
        <v>1216</v>
      </c>
      <c r="U34" s="5">
        <f t="shared" si="13"/>
        <v>0</v>
      </c>
      <c r="V34" s="5">
        <f>Table1[[#This Row],[Enrolment S.Y. 2025-2026 ]]*8</f>
        <v>1216</v>
      </c>
      <c r="W34" s="5"/>
      <c r="X34" s="1"/>
      <c r="Y34" s="5"/>
      <c r="Z34" s="5">
        <f t="shared" si="14"/>
        <v>1216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152</v>
      </c>
      <c r="D35" s="5">
        <f>Table1[[#This Row],[Enrolment S.Y. 2025-2026 ]]*8</f>
        <v>1216</v>
      </c>
      <c r="E35" s="5">
        <v>256</v>
      </c>
      <c r="F35" s="1">
        <v>2024</v>
      </c>
      <c r="G35" s="5" t="s">
        <v>9</v>
      </c>
      <c r="H35" s="5">
        <f t="shared" si="2"/>
        <v>960</v>
      </c>
      <c r="I35" s="5">
        <f t="shared" si="3"/>
        <v>0</v>
      </c>
      <c r="J35" s="5">
        <f>Table1[[#This Row],[Enrolment S.Y. 2025-2026 ]]*8</f>
        <v>1216</v>
      </c>
      <c r="K35" s="5"/>
      <c r="L35" s="1"/>
      <c r="M35" s="5"/>
      <c r="N35" s="5">
        <f t="shared" si="10"/>
        <v>1216</v>
      </c>
      <c r="O35" s="5">
        <f t="shared" si="11"/>
        <v>0</v>
      </c>
      <c r="P35" s="5">
        <f>Table1[[#This Row],[Enrolment S.Y. 2025-2026 ]]*8</f>
        <v>1216</v>
      </c>
      <c r="Q35" s="5"/>
      <c r="R35" s="1"/>
      <c r="S35" s="5"/>
      <c r="T35" s="5">
        <f t="shared" si="12"/>
        <v>1216</v>
      </c>
      <c r="U35" s="5">
        <f t="shared" si="13"/>
        <v>0</v>
      </c>
      <c r="V35" s="5">
        <f>Table1[[#This Row],[Enrolment S.Y. 2025-2026 ]]*8</f>
        <v>1216</v>
      </c>
      <c r="W35" s="5"/>
      <c r="X35" s="1"/>
      <c r="Y35" s="5"/>
      <c r="Z35" s="5">
        <f t="shared" si="14"/>
        <v>1216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152</v>
      </c>
      <c r="D36" s="5">
        <f>Table1[[#This Row],[Enrolment S.Y. 2025-2026 ]]*8</f>
        <v>1216</v>
      </c>
      <c r="E36" s="5">
        <v>28</v>
      </c>
      <c r="F36" s="1">
        <v>2024</v>
      </c>
      <c r="G36" s="5" t="s">
        <v>9</v>
      </c>
      <c r="H36" s="5">
        <f t="shared" si="2"/>
        <v>1188</v>
      </c>
      <c r="I36" s="5">
        <f t="shared" si="3"/>
        <v>0</v>
      </c>
      <c r="J36" s="5">
        <f>Table1[[#This Row],[Enrolment S.Y. 2025-2026 ]]*8</f>
        <v>1216</v>
      </c>
      <c r="K36" s="5"/>
      <c r="L36" s="1"/>
      <c r="M36" s="5"/>
      <c r="N36" s="5">
        <f t="shared" si="10"/>
        <v>1216</v>
      </c>
      <c r="O36" s="5">
        <f t="shared" si="11"/>
        <v>0</v>
      </c>
      <c r="P36" s="5">
        <f>Table1[[#This Row],[Enrolment S.Y. 2025-2026 ]]*8</f>
        <v>1216</v>
      </c>
      <c r="Q36" s="5"/>
      <c r="R36" s="1"/>
      <c r="S36" s="5"/>
      <c r="T36" s="5">
        <f t="shared" si="12"/>
        <v>1216</v>
      </c>
      <c r="U36" s="5">
        <f t="shared" si="13"/>
        <v>0</v>
      </c>
      <c r="V36" s="5">
        <f>Table1[[#This Row],[Enrolment S.Y. 2025-2026 ]]*8</f>
        <v>1216</v>
      </c>
      <c r="W36" s="5"/>
      <c r="X36" s="1"/>
      <c r="Y36" s="5"/>
      <c r="Z36" s="5">
        <f t="shared" si="14"/>
        <v>1216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152</v>
      </c>
      <c r="D37" s="5">
        <f>Table1[[#This Row],[Enrolment S.Y. 2025-2026 ]]*8</f>
        <v>1216</v>
      </c>
      <c r="E37" s="5">
        <v>28</v>
      </c>
      <c r="F37" s="1">
        <v>2024</v>
      </c>
      <c r="G37" s="5" t="s">
        <v>9</v>
      </c>
      <c r="H37" s="5">
        <f t="shared" si="2"/>
        <v>1188</v>
      </c>
      <c r="I37" s="5">
        <f t="shared" si="3"/>
        <v>0</v>
      </c>
      <c r="J37" s="5">
        <f>Table1[[#This Row],[Enrolment S.Y. 2025-2026 ]]*8</f>
        <v>1216</v>
      </c>
      <c r="K37" s="5"/>
      <c r="L37" s="1"/>
      <c r="M37" s="5"/>
      <c r="N37" s="5">
        <f t="shared" si="10"/>
        <v>1216</v>
      </c>
      <c r="O37" s="5">
        <f t="shared" si="11"/>
        <v>0</v>
      </c>
      <c r="P37" s="5">
        <f>Table1[[#This Row],[Enrolment S.Y. 2025-2026 ]]*8</f>
        <v>1216</v>
      </c>
      <c r="Q37" s="5"/>
      <c r="R37" s="1"/>
      <c r="S37" s="5"/>
      <c r="T37" s="5">
        <f t="shared" si="12"/>
        <v>1216</v>
      </c>
      <c r="U37" s="5">
        <f t="shared" si="13"/>
        <v>0</v>
      </c>
      <c r="V37" s="5">
        <f>Table1[[#This Row],[Enrolment S.Y. 2025-2026 ]]*8</f>
        <v>1216</v>
      </c>
      <c r="W37" s="5"/>
      <c r="X37" s="1"/>
      <c r="Y37" s="5"/>
      <c r="Z37" s="5">
        <f t="shared" si="14"/>
        <v>1216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152</v>
      </c>
      <c r="D38" s="5">
        <f>Table1[[#This Row],[Enrolment S.Y. 2025-2026 ]]*8</f>
        <v>1216</v>
      </c>
      <c r="E38" s="5">
        <v>44</v>
      </c>
      <c r="F38" s="1">
        <v>2024</v>
      </c>
      <c r="G38" s="5" t="s">
        <v>9</v>
      </c>
      <c r="H38" s="5">
        <f t="shared" si="2"/>
        <v>1172</v>
      </c>
      <c r="I38" s="5">
        <f t="shared" si="3"/>
        <v>0</v>
      </c>
      <c r="J38" s="5">
        <f>Table1[[#This Row],[Enrolment S.Y. 2025-2026 ]]*8</f>
        <v>1216</v>
      </c>
      <c r="K38" s="5"/>
      <c r="L38" s="1"/>
      <c r="M38" s="5"/>
      <c r="N38" s="5">
        <f t="shared" si="10"/>
        <v>1216</v>
      </c>
      <c r="O38" s="5">
        <f t="shared" si="11"/>
        <v>0</v>
      </c>
      <c r="P38" s="5">
        <f>Table1[[#This Row],[Enrolment S.Y. 2025-2026 ]]*8</f>
        <v>1216</v>
      </c>
      <c r="Q38" s="5"/>
      <c r="R38" s="1"/>
      <c r="S38" s="5"/>
      <c r="T38" s="5">
        <f t="shared" si="12"/>
        <v>1216</v>
      </c>
      <c r="U38" s="5">
        <f t="shared" si="13"/>
        <v>0</v>
      </c>
      <c r="V38" s="5">
        <f>Table1[[#This Row],[Enrolment S.Y. 2025-2026 ]]*8</f>
        <v>1216</v>
      </c>
      <c r="W38" s="5"/>
      <c r="X38" s="1"/>
      <c r="Y38" s="5"/>
      <c r="Z38" s="5">
        <f t="shared" si="14"/>
        <v>1216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152</v>
      </c>
      <c r="D39" s="5">
        <f>Table1[[#This Row],[Enrolment S.Y. 2025-2026 ]]*8</f>
        <v>1216</v>
      </c>
      <c r="E39" s="5">
        <v>28</v>
      </c>
      <c r="F39" s="1">
        <v>2024</v>
      </c>
      <c r="G39" s="5" t="s">
        <v>9</v>
      </c>
      <c r="H39" s="5">
        <f t="shared" si="2"/>
        <v>1188</v>
      </c>
      <c r="I39" s="5">
        <f t="shared" si="3"/>
        <v>0</v>
      </c>
      <c r="J39" s="5">
        <f>Table1[[#This Row],[Enrolment S.Y. 2025-2026 ]]*8</f>
        <v>1216</v>
      </c>
      <c r="K39" s="5"/>
      <c r="L39" s="1"/>
      <c r="M39" s="5"/>
      <c r="N39" s="5">
        <f t="shared" si="10"/>
        <v>1216</v>
      </c>
      <c r="O39" s="5">
        <f t="shared" si="11"/>
        <v>0</v>
      </c>
      <c r="P39" s="5">
        <f>Table1[[#This Row],[Enrolment S.Y. 2025-2026 ]]*8</f>
        <v>1216</v>
      </c>
      <c r="Q39" s="5"/>
      <c r="R39" s="1"/>
      <c r="S39" s="5"/>
      <c r="T39" s="5">
        <f t="shared" si="12"/>
        <v>1216</v>
      </c>
      <c r="U39" s="5">
        <f t="shared" si="13"/>
        <v>0</v>
      </c>
      <c r="V39" s="5">
        <f>Table1[[#This Row],[Enrolment S.Y. 2025-2026 ]]*8</f>
        <v>1216</v>
      </c>
      <c r="W39" s="5"/>
      <c r="X39" s="1"/>
      <c r="Y39" s="5"/>
      <c r="Z39" s="5">
        <f t="shared" si="14"/>
        <v>1216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152</v>
      </c>
      <c r="D40" s="5">
        <f>Table1[[#This Row],[Enrolment S.Y. 2025-2026 ]]*8</f>
        <v>1216</v>
      </c>
      <c r="E40" s="5">
        <v>28</v>
      </c>
      <c r="F40" s="1">
        <v>2024</v>
      </c>
      <c r="G40" s="5" t="s">
        <v>9</v>
      </c>
      <c r="H40" s="5">
        <f t="shared" si="2"/>
        <v>1188</v>
      </c>
      <c r="I40" s="5">
        <f t="shared" si="3"/>
        <v>0</v>
      </c>
      <c r="J40" s="5">
        <f>Table1[[#This Row],[Enrolment S.Y. 2025-2026 ]]*8</f>
        <v>1216</v>
      </c>
      <c r="K40" s="5"/>
      <c r="L40" s="1"/>
      <c r="M40" s="5"/>
      <c r="N40" s="5">
        <f t="shared" si="10"/>
        <v>1216</v>
      </c>
      <c r="O40" s="5">
        <f t="shared" si="11"/>
        <v>0</v>
      </c>
      <c r="P40" s="5">
        <f>Table1[[#This Row],[Enrolment S.Y. 2025-2026 ]]*8</f>
        <v>1216</v>
      </c>
      <c r="Q40" s="5"/>
      <c r="R40" s="1"/>
      <c r="S40" s="5"/>
      <c r="T40" s="5">
        <f t="shared" si="12"/>
        <v>1216</v>
      </c>
      <c r="U40" s="5">
        <f t="shared" si="13"/>
        <v>0</v>
      </c>
      <c r="V40" s="5">
        <f>Table1[[#This Row],[Enrolment S.Y. 2025-2026 ]]*8</f>
        <v>1216</v>
      </c>
      <c r="W40" s="5"/>
      <c r="X40" s="1"/>
      <c r="Y40" s="5"/>
      <c r="Z40" s="5">
        <f t="shared" si="14"/>
        <v>1216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152</v>
      </c>
      <c r="D41" s="5">
        <f>Table1[[#This Row],[Enrolment S.Y. 2025-2026 ]]*8</f>
        <v>1216</v>
      </c>
      <c r="E41" s="5">
        <v>1140</v>
      </c>
      <c r="F41" s="1">
        <v>2024</v>
      </c>
      <c r="G41" s="5" t="s">
        <v>9</v>
      </c>
      <c r="H41" s="5">
        <f t="shared" si="2"/>
        <v>76</v>
      </c>
      <c r="I41" s="5">
        <f t="shared" si="3"/>
        <v>0</v>
      </c>
      <c r="J41" s="5">
        <f>Table1[[#This Row],[Enrolment S.Y. 2025-2026 ]]*8</f>
        <v>1216</v>
      </c>
      <c r="K41" s="5"/>
      <c r="L41" s="1"/>
      <c r="M41" s="5"/>
      <c r="N41" s="5">
        <f t="shared" si="10"/>
        <v>1216</v>
      </c>
      <c r="O41" s="5">
        <f t="shared" si="11"/>
        <v>0</v>
      </c>
      <c r="P41" s="5">
        <f>Table1[[#This Row],[Enrolment S.Y. 2025-2026 ]]*8</f>
        <v>1216</v>
      </c>
      <c r="Q41" s="5"/>
      <c r="R41" s="1"/>
      <c r="S41" s="5"/>
      <c r="T41" s="5">
        <f t="shared" si="12"/>
        <v>1216</v>
      </c>
      <c r="U41" s="5">
        <f t="shared" si="13"/>
        <v>0</v>
      </c>
      <c r="V41" s="5">
        <f>Table1[[#This Row],[Enrolment S.Y. 2025-2026 ]]*8</f>
        <v>1216</v>
      </c>
      <c r="W41" s="5"/>
      <c r="X41" s="1"/>
      <c r="Y41" s="5"/>
      <c r="Z41" s="5">
        <f t="shared" si="14"/>
        <v>1216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44</v>
      </c>
      <c r="F43" s="1"/>
      <c r="G43" s="5"/>
      <c r="H43" s="5">
        <f t="shared" si="2"/>
        <v>0</v>
      </c>
      <c r="I43" s="5">
        <f t="shared" si="3"/>
        <v>44</v>
      </c>
      <c r="J43" s="5">
        <f>Table1[[#This Row],[Enrolment S.Y. 2025-2026 ]]*8</f>
        <v>0</v>
      </c>
      <c r="K43" s="5">
        <v>147</v>
      </c>
      <c r="L43" s="1"/>
      <c r="M43" s="5"/>
      <c r="N43" s="5">
        <f t="shared" si="10"/>
        <v>0</v>
      </c>
      <c r="O43" s="5">
        <f t="shared" si="11"/>
        <v>147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>
        <v>44</v>
      </c>
      <c r="F44" s="1"/>
      <c r="G44" s="5"/>
      <c r="H44" s="5">
        <f t="shared" si="2"/>
        <v>0</v>
      </c>
      <c r="I44" s="5">
        <f t="shared" si="3"/>
        <v>44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44</v>
      </c>
      <c r="F45" s="1"/>
      <c r="G45" s="5"/>
      <c r="H45" s="5">
        <f t="shared" si="2"/>
        <v>0</v>
      </c>
      <c r="I45" s="5">
        <f t="shared" si="3"/>
        <v>44</v>
      </c>
      <c r="J45" s="5">
        <f>Table1[[#This Row],[Enrolment S.Y. 2025-2026 ]]*8</f>
        <v>0</v>
      </c>
      <c r="K45" s="5">
        <v>147</v>
      </c>
      <c r="L45" s="1"/>
      <c r="M45" s="5"/>
      <c r="N45" s="5">
        <f t="shared" si="10"/>
        <v>0</v>
      </c>
      <c r="O45" s="5">
        <f t="shared" si="11"/>
        <v>147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>
        <v>44</v>
      </c>
      <c r="F48" s="1"/>
      <c r="G48" s="5"/>
      <c r="H48" s="5">
        <f t="shared" si="2"/>
        <v>0</v>
      </c>
      <c r="I48" s="5">
        <f t="shared" si="3"/>
        <v>44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>
        <v>44</v>
      </c>
      <c r="F50" s="1"/>
      <c r="G50" s="5"/>
      <c r="H50" s="5">
        <f t="shared" si="2"/>
        <v>0</v>
      </c>
      <c r="I50" s="5">
        <f t="shared" si="3"/>
        <v>44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43:C51 C53:C61 C5:C12 C33:C41" name="Textbooks"/>
    <protectedRange sqref="J2:L3 D2:F3 H5:L5 D14:F21 Q14:R21 W14:X21 D23:F31 Q23:R31 W23:X31 H33:I41 Q33:R41 W33:X41 D43:F51 H43:I51 Q43:R51 W43:X51 D53:F61 H53:I61 Q53:R61 W53:X61 K53:L61 D33:F40 D10:F12 D41 F41 K14:L21 K23:L31 N13:P62 P2:R2 V2:X3 T13:V62 J6:J62 Z4:AA62 N5:R12 T5:X12 N4:P4 T4:V4 J4 F5:F9 N3:R3 Y13 D5:D9 H14:I21 H23:I31 H6:I12 K6:L12 K33:L41 K43:L51" name="LAS"/>
    <protectedRange sqref="G2:I3 M2:O2 S2:U3 Y2:AA3 G43:G51 G53:G61 G33:G41 S4:S62 M5:M12 M14:M62 Y5:Y12 G14:G21 Y14:Y62 M3 G5:G12 G23:G3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M5:M12 Y5:Y12 G14:G21 G23:G31 G5:G12 G43:G51 G53:G6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28" zoomScale="55" zoomScaleNormal="55" workbookViewId="0">
      <selection activeCell="A67" sqref="A67:AA12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0" t="s">
        <v>61</v>
      </c>
      <c r="N2" s="30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1" t="s">
        <v>73</v>
      </c>
      <c r="Z2" s="31" t="s">
        <v>74</v>
      </c>
      <c r="AA2" s="23" t="s">
        <v>75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>
        <v>364</v>
      </c>
      <c r="L16" s="1">
        <v>2024</v>
      </c>
      <c r="M16" s="5" t="s">
        <v>9</v>
      </c>
      <c r="N16" s="5">
        <f t="shared" si="2"/>
        <v>0</v>
      </c>
      <c r="O16" s="5">
        <f t="shared" si="3"/>
        <v>364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>
        <v>513</v>
      </c>
      <c r="L26" s="1">
        <v>2024</v>
      </c>
      <c r="M26" s="5" t="s">
        <v>9</v>
      </c>
      <c r="N26" s="5">
        <f t="shared" si="2"/>
        <v>0</v>
      </c>
      <c r="O26" s="5">
        <f t="shared" si="3"/>
        <v>513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38</v>
      </c>
      <c r="F55" s="1"/>
      <c r="G55" s="5"/>
      <c r="H55" s="5">
        <f t="shared" si="0"/>
        <v>0</v>
      </c>
      <c r="I55" s="5">
        <f t="shared" si="1"/>
        <v>38</v>
      </c>
      <c r="J55" s="5">
        <f>Table14[[#This Row],[Enrolment S.Y. 2025-2026 ]]*8</f>
        <v>0</v>
      </c>
      <c r="K55" s="5">
        <v>32</v>
      </c>
      <c r="L55" s="1"/>
      <c r="M55" s="5"/>
      <c r="N55" s="5">
        <f t="shared" si="2"/>
        <v>0</v>
      </c>
      <c r="O55" s="5">
        <f t="shared" si="3"/>
        <v>32</v>
      </c>
      <c r="P55" s="5">
        <f>Table14[[#This Row],[Enrolment S.Y. 2025-2026 ]]*8</f>
        <v>0</v>
      </c>
      <c r="Q55" s="5">
        <v>32</v>
      </c>
      <c r="R55" s="1"/>
      <c r="S55" s="5"/>
      <c r="T55" s="5">
        <f t="shared" si="4"/>
        <v>0</v>
      </c>
      <c r="U55" s="5">
        <f t="shared" si="5"/>
        <v>32</v>
      </c>
      <c r="V55" s="5">
        <f>Table14[[#This Row],[Enrolment S.Y. 2025-2026 ]]*8</f>
        <v>0</v>
      </c>
      <c r="W55" s="5">
        <v>32</v>
      </c>
      <c r="X55" s="1"/>
      <c r="Y55" s="5"/>
      <c r="Z55" s="5">
        <f t="shared" si="6"/>
        <v>0</v>
      </c>
      <c r="AA55" s="5">
        <f t="shared" si="7"/>
        <v>32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>
        <v>38</v>
      </c>
      <c r="F56" s="1"/>
      <c r="G56" s="5"/>
      <c r="H56" s="5">
        <f t="shared" si="0"/>
        <v>0</v>
      </c>
      <c r="I56" s="5">
        <f t="shared" si="1"/>
        <v>38</v>
      </c>
      <c r="J56" s="5">
        <f>Table14[[#This Row],[Enrolment S.Y. 2025-2026 ]]*8</f>
        <v>0</v>
      </c>
      <c r="K56" s="5">
        <v>32</v>
      </c>
      <c r="L56" s="1"/>
      <c r="M56" s="5"/>
      <c r="N56" s="5">
        <f t="shared" si="2"/>
        <v>0</v>
      </c>
      <c r="O56" s="5">
        <f t="shared" si="3"/>
        <v>32</v>
      </c>
      <c r="P56" s="5">
        <f>Table14[[#This Row],[Enrolment S.Y. 2025-2026 ]]*8</f>
        <v>0</v>
      </c>
      <c r="Q56" s="5">
        <v>32</v>
      </c>
      <c r="R56" s="1"/>
      <c r="S56" s="5"/>
      <c r="T56" s="5">
        <f t="shared" si="4"/>
        <v>0</v>
      </c>
      <c r="U56" s="5">
        <f t="shared" si="5"/>
        <v>32</v>
      </c>
      <c r="V56" s="5">
        <f>Table14[[#This Row],[Enrolment S.Y. 2025-2026 ]]*8</f>
        <v>0</v>
      </c>
      <c r="W56" s="5">
        <v>32</v>
      </c>
      <c r="X56" s="1"/>
      <c r="Y56" s="5"/>
      <c r="Z56" s="5">
        <f t="shared" si="6"/>
        <v>0</v>
      </c>
      <c r="AA56" s="5">
        <f t="shared" si="7"/>
        <v>32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38</v>
      </c>
      <c r="F57" s="1"/>
      <c r="G57" s="5"/>
      <c r="H57" s="5">
        <f t="shared" si="0"/>
        <v>0</v>
      </c>
      <c r="I57" s="5">
        <f t="shared" si="1"/>
        <v>38</v>
      </c>
      <c r="J57" s="5">
        <f>Table14[[#This Row],[Enrolment S.Y. 2025-2026 ]]*8</f>
        <v>0</v>
      </c>
      <c r="K57" s="5">
        <v>32</v>
      </c>
      <c r="L57" s="1"/>
      <c r="M57" s="5"/>
      <c r="N57" s="5">
        <f t="shared" si="2"/>
        <v>0</v>
      </c>
      <c r="O57" s="5">
        <f t="shared" si="3"/>
        <v>32</v>
      </c>
      <c r="P57" s="5">
        <f>Table14[[#This Row],[Enrolment S.Y. 2025-2026 ]]*8</f>
        <v>0</v>
      </c>
      <c r="Q57" s="5">
        <v>32</v>
      </c>
      <c r="R57" s="1"/>
      <c r="S57" s="5"/>
      <c r="T57" s="5">
        <f t="shared" si="4"/>
        <v>0</v>
      </c>
      <c r="U57" s="5">
        <f t="shared" si="5"/>
        <v>32</v>
      </c>
      <c r="V57" s="5">
        <f>Table14[[#This Row],[Enrolment S.Y. 2025-2026 ]]*8</f>
        <v>0</v>
      </c>
      <c r="W57" s="5">
        <v>32</v>
      </c>
      <c r="X57" s="1"/>
      <c r="Y57" s="5"/>
      <c r="Z57" s="5">
        <f t="shared" si="6"/>
        <v>0</v>
      </c>
      <c r="AA57" s="5">
        <f t="shared" si="7"/>
        <v>32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32</v>
      </c>
      <c r="R58" s="1"/>
      <c r="S58" s="5"/>
      <c r="T58" s="5">
        <f t="shared" si="4"/>
        <v>0</v>
      </c>
      <c r="U58" s="5">
        <f t="shared" si="5"/>
        <v>32</v>
      </c>
      <c r="V58" s="5">
        <f>Table14[[#This Row],[Enrolment S.Y. 2025-2026 ]]*8</f>
        <v>0</v>
      </c>
      <c r="W58" s="5">
        <v>32</v>
      </c>
      <c r="X58" s="1"/>
      <c r="Y58" s="5"/>
      <c r="Z58" s="5">
        <f t="shared" si="6"/>
        <v>0</v>
      </c>
      <c r="AA58" s="5">
        <f t="shared" si="7"/>
        <v>32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32</v>
      </c>
      <c r="R59" s="1"/>
      <c r="S59" s="5"/>
      <c r="T59" s="5">
        <f t="shared" si="4"/>
        <v>0</v>
      </c>
      <c r="U59" s="5">
        <f t="shared" si="5"/>
        <v>32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32</v>
      </c>
      <c r="R60" s="1"/>
      <c r="S60" s="5"/>
      <c r="T60" s="5">
        <f t="shared" si="4"/>
        <v>0</v>
      </c>
      <c r="U60" s="5">
        <f t="shared" si="5"/>
        <v>32</v>
      </c>
      <c r="V60" s="5">
        <f>Table14[[#This Row],[Enrolment S.Y. 2025-2026 ]]*8</f>
        <v>0</v>
      </c>
      <c r="W60" s="5">
        <v>32</v>
      </c>
      <c r="X60" s="1"/>
      <c r="Y60" s="5"/>
      <c r="Z60" s="5">
        <f t="shared" si="6"/>
        <v>0</v>
      </c>
      <c r="AA60" s="5">
        <f t="shared" si="7"/>
        <v>32</v>
      </c>
    </row>
    <row r="61" spans="1:27" ht="19.5">
      <c r="A61" s="28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32</v>
      </c>
      <c r="R61" s="1"/>
      <c r="S61" s="5"/>
      <c r="T61" s="5">
        <f>IF((P61-Q61)&lt;0,0,(P61-Q61))</f>
        <v>0</v>
      </c>
      <c r="U61" s="5">
        <f>IF((Q61-P61)&lt;0,0,(Q61-P61))</f>
        <v>32</v>
      </c>
      <c r="V61" s="5">
        <f>Table14[[#This Row],[Enrolment S.Y. 2025-2026 ]]*8</f>
        <v>0</v>
      </c>
      <c r="W61" s="5">
        <v>32</v>
      </c>
      <c r="X61" s="1"/>
      <c r="Y61" s="5"/>
      <c r="Z61" s="5">
        <f>IF((V61-W61)&lt;0,0,(V61-W61))</f>
        <v>0</v>
      </c>
      <c r="AA61" s="5">
        <f>IF((W61-V61)&lt;0,0,(W61-V61))</f>
        <v>32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>
        <v>32</v>
      </c>
      <c r="X62" s="1"/>
      <c r="Y62" s="5"/>
      <c r="Z62" s="5">
        <f t="shared" si="6"/>
        <v>0</v>
      </c>
      <c r="AA62" s="5">
        <f t="shared" si="7"/>
        <v>32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>
        <v>32</v>
      </c>
      <c r="X64" s="1"/>
      <c r="Y64" s="5"/>
      <c r="Z64" s="5">
        <f>IF((V64-W64)&lt;0,0,(V64-W64))</f>
        <v>0</v>
      </c>
      <c r="AA64" s="5">
        <f>IF((W64-V64)&lt;0,0,(W64-V64))</f>
        <v>32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32</v>
      </c>
      <c r="R65" s="1"/>
      <c r="S65" s="5"/>
      <c r="T65" s="5">
        <f t="shared" si="4"/>
        <v>0</v>
      </c>
      <c r="U65" s="5">
        <f t="shared" si="5"/>
        <v>32</v>
      </c>
      <c r="V65" s="5">
        <f>Table14[[#This Row],[Enrolment S.Y. 2025-2026 ]]*8</f>
        <v>0</v>
      </c>
      <c r="W65" s="5">
        <v>32</v>
      </c>
      <c r="X65" s="1"/>
      <c r="Y65" s="5"/>
      <c r="Z65" s="5">
        <f t="shared" si="6"/>
        <v>0</v>
      </c>
      <c r="AA65" s="5">
        <f t="shared" si="7"/>
        <v>32</v>
      </c>
    </row>
    <row r="66" spans="1:27" s="7" customFormat="1"/>
    <row r="67" spans="1:2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/>
    <row r="79" spans="1:2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2026-04-07T06:29:04Z</dcterms:modified>
  <cp:category/>
  <cp:contentStatus/>
</cp:coreProperties>
</file>