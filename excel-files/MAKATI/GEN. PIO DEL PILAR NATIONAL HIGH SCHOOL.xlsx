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jonathan_buquia_deped_gov_ph/Documents/SAMPLE CONSOLIDATED FOLDER/MAKATI/"/>
    </mc:Choice>
  </mc:AlternateContent>
  <xr:revisionPtr revIDLastSave="133" documentId="13_ncr:1_{BFB59F67-F0DC-4675-A682-EB0734A8026A}" xr6:coauthVersionLast="47" xr6:coauthVersionMax="47" xr10:uidLastSave="{D5A8AADE-741D-4181-8303-C1FBA7D317D7}"/>
  <bookViews>
    <workbookView xWindow="465" yWindow="0" windowWidth="14100" windowHeight="15390" firstSheet="1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U48" i="5" s="1"/>
  <c r="P49" i="5"/>
  <c r="U49" i="5" s="1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V48" i="5"/>
  <c r="Z48" i="5" s="1"/>
  <c r="D45" i="5"/>
  <c r="H45" i="5" s="1"/>
  <c r="J45" i="5"/>
  <c r="N45" i="5" s="1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N36" i="5" s="1"/>
  <c r="T36" i="5"/>
  <c r="V36" i="5"/>
  <c r="Z36" i="5" s="1"/>
  <c r="D33" i="5"/>
  <c r="H33" i="5" s="1"/>
  <c r="J33" i="5"/>
  <c r="N33" i="5" s="1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J49" i="5"/>
  <c r="D49" i="5"/>
  <c r="I49" i="5" s="1"/>
  <c r="V47" i="5"/>
  <c r="Z47" i="5" s="1"/>
  <c r="J47" i="5"/>
  <c r="D47" i="5"/>
  <c r="I47" i="5" s="1"/>
  <c r="V46" i="5"/>
  <c r="AA46" i="5" s="1"/>
  <c r="J46" i="5"/>
  <c r="N46" i="5" s="1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N34" i="5" s="1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O35" i="5"/>
  <c r="N35" i="5"/>
  <c r="O37" i="5"/>
  <c r="N37" i="5"/>
  <c r="N47" i="5"/>
  <c r="O47" i="5"/>
  <c r="N49" i="5"/>
  <c r="O49" i="5"/>
  <c r="N9" i="5"/>
  <c r="O9" i="5"/>
  <c r="N12" i="5"/>
  <c r="O12" i="5"/>
  <c r="N21" i="5"/>
  <c r="O21" i="5"/>
  <c r="N24" i="5"/>
  <c r="O24" i="5"/>
  <c r="N48" i="5"/>
  <c r="O48" i="5"/>
  <c r="O34" i="5"/>
  <c r="O33" i="5"/>
  <c r="O36" i="5"/>
  <c r="O46" i="5"/>
  <c r="T48" i="5"/>
  <c r="O45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<sst xmlns="http://schemas.openxmlformats.org/spreadsheetml/2006/main" count="296" uniqueCount="85">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</sst>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6" totalsRowShown="0" headerRowDxfId="62" headerRowBorderDxfId="60" tableBorderDxfId="61">
  <autoFilter ref="A1:H9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zoomScale="85" zoomScaleNormal="85" workbookViewId="0">
      <pane xSplit="2" topLeftCell="C1" activePane="topRight" state="frozen"/>
      <selection pane="topRight" activeCell="A2" sqref="A2:H50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>
        <v>97</v>
      </c>
      <c r="D2" s="8">
        <v>120</v>
      </c>
      <c r="E2" s="8">
        <v>2025</v>
      </c>
      <c r="F2" s="10" t="s">
        <v>9</v>
      </c>
      <c r="G2" s="2">
        <f t="shared" ref="G2:G10" si="0">IF((C2-D2)&lt;0,0,C2-D2)</f>
        <v>0</v>
      </c>
      <c r="H2" s="3">
        <f t="shared" ref="H2:H10" si="1">IF((D2-C2)&lt;0,0,D2-C2)</f>
        <v>23</v>
      </c>
    </row>
    <row r="3" spans="1:8" ht="29.25" customHeight="1">
      <c r="A3" s="8">
        <v>7</v>
      </c>
      <c r="B3" s="9" t="s">
        <v>10</v>
      </c>
      <c r="C3" s="8">
        <v>97</v>
      </c>
      <c r="D3" s="8"/>
      <c r="E3" s="8"/>
      <c r="F3" s="10"/>
      <c r="G3" s="2">
        <f t="shared" si="0"/>
        <v>97</v>
      </c>
      <c r="H3" s="3">
        <f t="shared" si="1"/>
        <v>0</v>
      </c>
    </row>
    <row r="4" spans="1:8" ht="21" customHeight="1">
      <c r="A4" s="8">
        <v>7</v>
      </c>
      <c r="B4" s="9" t="s">
        <v>11</v>
      </c>
      <c r="C4" s="8">
        <v>97</v>
      </c>
      <c r="D4" s="8">
        <v>299</v>
      </c>
      <c r="E4" s="8">
        <v>2024</v>
      </c>
      <c r="F4" s="10" t="s">
        <v>9</v>
      </c>
      <c r="G4" s="2">
        <f t="shared" si="0"/>
        <v>0</v>
      </c>
      <c r="H4" s="3">
        <f t="shared" si="1"/>
        <v>202</v>
      </c>
    </row>
    <row r="5" spans="1:8" ht="25.5" customHeight="1">
      <c r="A5" s="8">
        <v>7</v>
      </c>
      <c r="B5" s="9" t="s">
        <v>12</v>
      </c>
      <c r="C5" s="8">
        <v>97</v>
      </c>
      <c r="D5" s="8">
        <v>572</v>
      </c>
      <c r="E5" s="8"/>
      <c r="F5" s="10" t="s">
        <v>9</v>
      </c>
      <c r="G5" s="2">
        <f t="shared" si="0"/>
        <v>0</v>
      </c>
      <c r="H5" s="3">
        <f t="shared" si="1"/>
        <v>475</v>
      </c>
    </row>
    <row r="6" spans="1:8" ht="38.25">
      <c r="A6" s="8">
        <v>7</v>
      </c>
      <c r="B6" s="9" t="s">
        <v>13</v>
      </c>
      <c r="C6" s="8">
        <v>97</v>
      </c>
      <c r="D6" s="8">
        <v>120</v>
      </c>
      <c r="E6" s="8">
        <v>2024</v>
      </c>
      <c r="F6" s="10" t="s">
        <v>9</v>
      </c>
      <c r="G6" s="2">
        <f t="shared" si="0"/>
        <v>0</v>
      </c>
      <c r="H6" s="3">
        <f t="shared" si="1"/>
        <v>23</v>
      </c>
    </row>
    <row r="7" spans="1:8" ht="19.5">
      <c r="A7" s="8">
        <v>7</v>
      </c>
      <c r="B7" s="9" t="s">
        <v>14</v>
      </c>
      <c r="C7" s="8">
        <v>97</v>
      </c>
      <c r="D7" s="8">
        <v>217</v>
      </c>
      <c r="E7" s="8">
        <v>2024</v>
      </c>
      <c r="F7" s="10" t="s">
        <v>9</v>
      </c>
      <c r="G7" s="2">
        <f t="shared" si="0"/>
        <v>0</v>
      </c>
      <c r="H7" s="3">
        <f t="shared" si="1"/>
        <v>120</v>
      </c>
    </row>
    <row r="8" spans="1:8" ht="39.75" customHeight="1">
      <c r="A8" s="8">
        <v>7</v>
      </c>
      <c r="B8" s="9" t="s">
        <v>15</v>
      </c>
      <c r="C8" s="8">
        <v>97</v>
      </c>
      <c r="D8" s="8">
        <v>120</v>
      </c>
      <c r="E8" s="8">
        <v>2025</v>
      </c>
      <c r="F8" s="10" t="s">
        <v>9</v>
      </c>
      <c r="G8" s="2">
        <f t="shared" si="0"/>
        <v>0</v>
      </c>
      <c r="H8" s="3">
        <f t="shared" si="1"/>
        <v>23</v>
      </c>
    </row>
    <row r="9" spans="1:8" ht="29.25" customHeight="1">
      <c r="A9" s="8">
        <v>7</v>
      </c>
      <c r="B9" s="9" t="s">
        <v>16</v>
      </c>
      <c r="C9" s="8">
        <v>97</v>
      </c>
      <c r="D9" s="8">
        <v>120</v>
      </c>
      <c r="E9" s="8">
        <v>2025</v>
      </c>
      <c r="F9" s="10" t="s">
        <v>9</v>
      </c>
      <c r="G9" s="2">
        <f t="shared" si="0"/>
        <v>0</v>
      </c>
      <c r="H9" s="3">
        <f t="shared" si="1"/>
        <v>23</v>
      </c>
    </row>
    <row r="10" spans="1:8" ht="28.5" customHeight="1">
      <c r="A10" s="8">
        <v>7</v>
      </c>
      <c r="B10" s="9" t="s">
        <v>17</v>
      </c>
      <c r="C10" s="8">
        <v>97</v>
      </c>
      <c r="D10" s="8">
        <v>572</v>
      </c>
      <c r="E10" s="8">
        <v>2025</v>
      </c>
      <c r="F10" s="10" t="s">
        <v>9</v>
      </c>
      <c r="G10" s="2">
        <f t="shared" si="0"/>
        <v>0</v>
      </c>
      <c r="H10" s="3">
        <f t="shared" si="1"/>
        <v>475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>
        <v>415</v>
      </c>
      <c r="D12" s="8"/>
      <c r="E12" s="8"/>
      <c r="F12" s="10"/>
      <c r="G12" s="2">
        <f t="shared" ref="G12:G20" si="2">IF((C12-D12)&lt;0,0,C12-D12)</f>
        <v>415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10</v>
      </c>
      <c r="C13" s="8">
        <v>415</v>
      </c>
      <c r="D13" s="8"/>
      <c r="E13" s="8"/>
      <c r="F13" s="10"/>
      <c r="G13" s="2">
        <f t="shared" si="2"/>
        <v>415</v>
      </c>
      <c r="H13" s="3">
        <f t="shared" si="3"/>
        <v>0</v>
      </c>
    </row>
    <row r="14" spans="1:8" ht="49.5" customHeight="1">
      <c r="A14" s="8">
        <v>8</v>
      </c>
      <c r="B14" s="9" t="s">
        <v>11</v>
      </c>
      <c r="C14" s="8">
        <v>415</v>
      </c>
      <c r="D14" s="8">
        <v>527</v>
      </c>
      <c r="E14" s="8">
        <v>2025</v>
      </c>
      <c r="F14" s="10" t="s">
        <v>9</v>
      </c>
      <c r="G14" s="2">
        <f t="shared" si="2"/>
        <v>0</v>
      </c>
      <c r="H14" s="3">
        <f t="shared" si="3"/>
        <v>112</v>
      </c>
    </row>
    <row r="15" spans="1:8" ht="29.25" customHeight="1">
      <c r="A15" s="8">
        <v>8</v>
      </c>
      <c r="B15" s="9" t="s">
        <v>12</v>
      </c>
      <c r="C15" s="8">
        <v>415</v>
      </c>
      <c r="D15" s="8">
        <v>527</v>
      </c>
      <c r="E15" s="8">
        <v>2025</v>
      </c>
      <c r="F15" s="10" t="s">
        <v>9</v>
      </c>
      <c r="G15" s="2">
        <f t="shared" si="2"/>
        <v>0</v>
      </c>
      <c r="H15" s="3">
        <f t="shared" si="3"/>
        <v>112</v>
      </c>
    </row>
    <row r="16" spans="1:8" ht="27" customHeight="1">
      <c r="A16" s="8">
        <v>8</v>
      </c>
      <c r="B16" s="9" t="s">
        <v>18</v>
      </c>
      <c r="C16" s="8">
        <v>415</v>
      </c>
      <c r="D16" s="8"/>
      <c r="E16" s="8"/>
      <c r="F16" s="10"/>
      <c r="G16" s="2">
        <f t="shared" si="2"/>
        <v>415</v>
      </c>
      <c r="H16" s="3">
        <f t="shared" si="3"/>
        <v>0</v>
      </c>
    </row>
    <row r="17" spans="1:8" ht="23.25" customHeight="1">
      <c r="A17" s="8">
        <v>8</v>
      </c>
      <c r="B17" s="9" t="s">
        <v>14</v>
      </c>
      <c r="C17" s="8">
        <v>415</v>
      </c>
      <c r="D17" s="8">
        <v>527</v>
      </c>
      <c r="E17" s="8"/>
      <c r="F17" s="10" t="s">
        <v>9</v>
      </c>
      <c r="G17" s="2">
        <f t="shared" si="2"/>
        <v>0</v>
      </c>
      <c r="H17" s="3">
        <f t="shared" si="3"/>
        <v>112</v>
      </c>
    </row>
    <row r="18" spans="1:8" ht="21" customHeight="1">
      <c r="A18" s="8">
        <v>8</v>
      </c>
      <c r="B18" s="9" t="s">
        <v>15</v>
      </c>
      <c r="C18" s="8">
        <v>415</v>
      </c>
      <c r="D18" s="8"/>
      <c r="E18" s="8"/>
      <c r="F18" s="10"/>
      <c r="G18" s="2">
        <f t="shared" si="2"/>
        <v>415</v>
      </c>
      <c r="H18" s="3">
        <f t="shared" si="3"/>
        <v>0</v>
      </c>
    </row>
    <row r="19" spans="1:8" ht="19.5">
      <c r="A19" s="8">
        <v>8</v>
      </c>
      <c r="B19" s="9" t="s">
        <v>16</v>
      </c>
      <c r="C19" s="8">
        <v>415</v>
      </c>
      <c r="D19" s="8"/>
      <c r="E19" s="8"/>
      <c r="F19" s="10"/>
      <c r="G19" s="2">
        <f t="shared" si="2"/>
        <v>415</v>
      </c>
      <c r="H19" s="3">
        <f t="shared" si="3"/>
        <v>0</v>
      </c>
    </row>
    <row r="20" spans="1:8" ht="19.5">
      <c r="A20" s="8">
        <v>8</v>
      </c>
      <c r="B20" s="9" t="s">
        <v>17</v>
      </c>
      <c r="C20" s="8">
        <v>415</v>
      </c>
      <c r="D20" s="8"/>
      <c r="E20" s="8"/>
      <c r="F20" s="10"/>
      <c r="G20" s="2">
        <f t="shared" si="2"/>
        <v>415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10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11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12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18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14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15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16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17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10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11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12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18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14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15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16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17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19</v>
      </c>
      <c r="B42" s="7" t="s">
        <v>20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19</v>
      </c>
      <c r="B43" s="7" t="s">
        <v>21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19</v>
      </c>
      <c r="B44" s="7" t="s">
        <v>22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19</v>
      </c>
      <c r="B45" s="7" t="s">
        <v>23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19</v>
      </c>
      <c r="B46" s="7" t="s">
        <v>24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19</v>
      </c>
      <c r="B47" s="7" t="s">
        <v>25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19</v>
      </c>
      <c r="B48" s="7" t="s">
        <v>26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10" ht="27.75" customHeight="1">
      <c r="A49" s="1" t="s">
        <v>19</v>
      </c>
      <c r="B49" s="7" t="s">
        <v>27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10" ht="27.75" customHeight="1"/>
    <row r="51" spans="1:10" ht="27.75" customHeight="1"/>
    <row r="52" spans="1:10" ht="27.75" customHeight="1"/>
    <row r="53" spans="1:10" ht="27.75" customHeight="1"/>
    <row r="54" spans="1:10" ht="27.75" customHeight="1">
      <c r="J54">
        <v>2026</v>
      </c>
    </row>
    <row r="55" spans="1:10" ht="39" customHeight="1"/>
    <row r="56" spans="1:10" ht="27.75" customHeight="1"/>
    <row r="57" spans="1:10" ht="27.75" customHeight="1"/>
    <row r="58" spans="1:10" ht="27.75" customHeight="1"/>
    <row r="59" spans="1:10" ht="27.75" customHeight="1"/>
    <row r="60" spans="1:10" ht="27.75" customHeight="1"/>
    <row r="61" spans="1:10" ht="27.75" customHeight="1"/>
    <row r="62" spans="1:10" ht="27.75" customHeight="1"/>
    <row r="63" spans="1:10" ht="27.75" customHeight="1"/>
    <row r="64" spans="1:10" ht="27.75" customHeight="1"/>
    <row r="65" spans="10:10" ht="27.75" customHeight="1"/>
    <row r="66" spans="10:10" ht="27.75" customHeight="1">
      <c r="J66">
        <v>2026</v>
      </c>
    </row>
    <row r="67" spans="10:10" ht="27.75" customHeight="1"/>
    <row r="68" spans="10:10" ht="27.75" customHeight="1"/>
    <row r="69" spans="10:10" ht="27.75" customHeight="1"/>
    <row r="70" spans="10:10" ht="27.75" customHeight="1"/>
    <row r="71" spans="10:10" ht="27.75" customHeight="1"/>
    <row r="72" spans="10:10" ht="27.75" customHeight="1"/>
    <row r="73" spans="10:10" ht="27.75" customHeight="1"/>
    <row r="74" spans="10:10" ht="27.75" customHeight="1"/>
    <row r="75" spans="10:10" ht="27.75" customHeight="1"/>
    <row r="76" spans="10:10" ht="27.75" customHeight="1"/>
    <row r="77" spans="10:10" ht="27.75" customHeight="1"/>
    <row r="78" spans="10:10" ht="27.75" customHeight="1"/>
    <row r="79" spans="10:10" ht="27.75" customHeight="1"/>
    <row r="80" spans="10:1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32:E40 E22:E30 E12:E20 E2:E10" xr:uid="{B46E7B13-721E-4D49-837E-C02BF9777D48}">
      <formula1>"2024,2025,2026"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tabSelected="1" zoomScale="70" zoomScaleNormal="70" workbookViewId="0">
      <pane xSplit="2" ySplit="2" topLeftCell="Q3" activePane="bottomRight" state="frozen"/>
      <selection pane="bottomRight" activeCell="A3" sqref="A3"/>
      <selection pane="bottomLeft" activeCell="A3" sqref="A3"/>
      <selection pane="topRight" activeCell="C1" sqref="C1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3" t="s">
        <v>41</v>
      </c>
      <c r="N2" s="33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4" t="s">
        <v>53</v>
      </c>
      <c r="Z2" s="34" t="s">
        <v>54</v>
      </c>
      <c r="AA2" s="24" t="s">
        <v>55</v>
      </c>
    </row>
    <row r="3" spans="1:27" ht="30.6" customHeight="1">
      <c r="A3" s="8">
        <v>7</v>
      </c>
      <c r="B3" s="9" t="s">
        <v>8</v>
      </c>
      <c r="C3" s="8">
        <v>109</v>
      </c>
      <c r="D3" s="10">
        <f>Table1[[#This Row],[Enrolment S.Y. 2025-2026 ]]*8</f>
        <v>872</v>
      </c>
      <c r="E3" s="10">
        <v>1570</v>
      </c>
      <c r="F3" s="8">
        <v>2024</v>
      </c>
      <c r="G3" s="10" t="s">
        <v>56</v>
      </c>
      <c r="H3" s="10">
        <f t="shared" ref="H3:H17" si="0">IF((D3-E3)&lt;0,0,(D3-E3))</f>
        <v>0</v>
      </c>
      <c r="I3" s="10">
        <f t="shared" ref="I3:I17" si="1">IF((E3-D3)&lt;0,0,(E3-D3))</f>
        <v>698</v>
      </c>
      <c r="J3" s="10">
        <f>Table1[[#This Row],[Enrolment S.Y. 2025-2026 ]]*8</f>
        <v>872</v>
      </c>
      <c r="K3" s="10"/>
      <c r="L3" s="8"/>
      <c r="M3" s="10"/>
      <c r="N3" s="10">
        <f t="shared" ref="N3:N9" si="2">IF((J3-K3)&lt;0,0,(J3-K3))</f>
        <v>872</v>
      </c>
      <c r="O3" s="10">
        <f t="shared" ref="O3:O9" si="3">IF((K3-J3)&lt;0,0,(K3-J3))</f>
        <v>0</v>
      </c>
      <c r="P3" s="10">
        <f>Table1[[#This Row],[Enrolment S.Y. 2025-2026 ]]*8</f>
        <v>872</v>
      </c>
      <c r="Q3" s="10"/>
      <c r="R3" s="8"/>
      <c r="S3" s="10"/>
      <c r="T3" s="10">
        <f t="shared" ref="T3:T9" si="4">IF((P3-Q3)&lt;0,0,(P3-Q3))</f>
        <v>872</v>
      </c>
      <c r="U3" s="10">
        <f t="shared" ref="U3:U9" si="5">IF((Q3-P3)&lt;0,0,(Q3-P3))</f>
        <v>0</v>
      </c>
      <c r="V3" s="10">
        <f>Table1[[#This Row],[Enrolment S.Y. 2025-2026 ]]*8</f>
        <v>872</v>
      </c>
      <c r="W3" s="10"/>
      <c r="X3" s="8"/>
      <c r="Y3" s="10"/>
      <c r="Z3" s="10">
        <f t="shared" ref="Z3:Z9" si="6">IF((V3-W3)&lt;0,0,(V3-W3))</f>
        <v>872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10</v>
      </c>
      <c r="C4" s="8">
        <v>109</v>
      </c>
      <c r="D4" s="10">
        <f>Table1[[#This Row],[Enrolment S.Y. 2025-2026 ]]*8</f>
        <v>872</v>
      </c>
      <c r="E4" s="10">
        <v>1978</v>
      </c>
      <c r="F4" s="8">
        <v>2024</v>
      </c>
      <c r="G4" s="10" t="s">
        <v>56</v>
      </c>
      <c r="H4" s="10">
        <f t="shared" si="0"/>
        <v>0</v>
      </c>
      <c r="I4" s="10">
        <f t="shared" si="1"/>
        <v>1106</v>
      </c>
      <c r="J4" s="10">
        <f>Table1[[#This Row],[Enrolment S.Y. 2025-2026 ]]*8</f>
        <v>872</v>
      </c>
      <c r="K4" s="10"/>
      <c r="L4" s="8"/>
      <c r="M4" s="10"/>
      <c r="N4" s="10">
        <f t="shared" si="2"/>
        <v>872</v>
      </c>
      <c r="O4" s="10">
        <f t="shared" si="3"/>
        <v>0</v>
      </c>
      <c r="P4" s="10">
        <f>Table1[[#This Row],[Enrolment S.Y. 2025-2026 ]]*8</f>
        <v>872</v>
      </c>
      <c r="Q4" s="10"/>
      <c r="R4" s="8"/>
      <c r="S4" s="10"/>
      <c r="T4" s="10">
        <f t="shared" si="4"/>
        <v>872</v>
      </c>
      <c r="U4" s="10">
        <f t="shared" si="5"/>
        <v>0</v>
      </c>
      <c r="V4" s="10">
        <f>Table1[[#This Row],[Enrolment S.Y. 2025-2026 ]]*8</f>
        <v>872</v>
      </c>
      <c r="W4" s="10"/>
      <c r="X4" s="8"/>
      <c r="Y4" s="10"/>
      <c r="Z4" s="10">
        <f t="shared" si="6"/>
        <v>872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>
        <v>109</v>
      </c>
      <c r="D5" s="10">
        <f>Table1[[#This Row],[Enrolment S.Y. 2025-2026 ]]*8</f>
        <v>872</v>
      </c>
      <c r="E5" s="10"/>
      <c r="F5" s="8">
        <v>2024</v>
      </c>
      <c r="G5" s="10" t="s">
        <v>56</v>
      </c>
      <c r="H5" s="10">
        <f t="shared" si="0"/>
        <v>872</v>
      </c>
      <c r="I5" s="10">
        <f t="shared" si="1"/>
        <v>0</v>
      </c>
      <c r="J5" s="10">
        <f>Table1[[#This Row],[Enrolment S.Y. 2025-2026 ]]*8</f>
        <v>872</v>
      </c>
      <c r="K5" s="10"/>
      <c r="L5" s="8"/>
      <c r="M5" s="10"/>
      <c r="N5" s="10">
        <f t="shared" si="2"/>
        <v>872</v>
      </c>
      <c r="O5" s="10">
        <f t="shared" si="3"/>
        <v>0</v>
      </c>
      <c r="P5" s="10">
        <f>Table1[[#This Row],[Enrolment S.Y. 2025-2026 ]]*8</f>
        <v>872</v>
      </c>
      <c r="Q5" s="10"/>
      <c r="R5" s="8"/>
      <c r="S5" s="10"/>
      <c r="T5" s="10">
        <f t="shared" si="4"/>
        <v>872</v>
      </c>
      <c r="U5" s="10">
        <f t="shared" si="5"/>
        <v>0</v>
      </c>
      <c r="V5" s="10">
        <f>Table1[[#This Row],[Enrolment S.Y. 2025-2026 ]]*8</f>
        <v>872</v>
      </c>
      <c r="W5" s="10"/>
      <c r="X5" s="8"/>
      <c r="Y5" s="10"/>
      <c r="Z5" s="10">
        <f t="shared" si="6"/>
        <v>872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>
        <v>109</v>
      </c>
      <c r="D6" s="10">
        <f>Table1[[#This Row],[Enrolment S.Y. 2025-2026 ]]*8</f>
        <v>872</v>
      </c>
      <c r="E6" s="10">
        <v>2152</v>
      </c>
      <c r="F6" s="8">
        <v>2024</v>
      </c>
      <c r="G6" s="10" t="s">
        <v>56</v>
      </c>
      <c r="H6" s="10">
        <f t="shared" si="0"/>
        <v>0</v>
      </c>
      <c r="I6" s="10">
        <f t="shared" si="1"/>
        <v>1280</v>
      </c>
      <c r="J6" s="10">
        <f>Table1[[#This Row],[Enrolment S.Y. 2025-2026 ]]*8</f>
        <v>872</v>
      </c>
      <c r="K6" s="10"/>
      <c r="L6" s="8"/>
      <c r="M6" s="10"/>
      <c r="N6" s="10">
        <f t="shared" si="2"/>
        <v>872</v>
      </c>
      <c r="O6" s="10">
        <f t="shared" si="3"/>
        <v>0</v>
      </c>
      <c r="P6" s="10">
        <f>Table1[[#This Row],[Enrolment S.Y. 2025-2026 ]]*8</f>
        <v>872</v>
      </c>
      <c r="Q6" s="10"/>
      <c r="R6" s="8"/>
      <c r="S6" s="10"/>
      <c r="T6" s="10">
        <f t="shared" si="4"/>
        <v>872</v>
      </c>
      <c r="U6" s="10">
        <f t="shared" si="5"/>
        <v>0</v>
      </c>
      <c r="V6" s="10">
        <f>Table1[[#This Row],[Enrolment S.Y. 2025-2026 ]]*8</f>
        <v>872</v>
      </c>
      <c r="W6" s="10"/>
      <c r="X6" s="8"/>
      <c r="Y6" s="10"/>
      <c r="Z6" s="10">
        <f t="shared" si="6"/>
        <v>872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>
        <v>109</v>
      </c>
      <c r="D7" s="10">
        <f>Table1[[#This Row],[Enrolment S.Y. 2025-2026 ]]*8</f>
        <v>872</v>
      </c>
      <c r="E7" s="10">
        <v>1889</v>
      </c>
      <c r="F7" s="8">
        <v>2024</v>
      </c>
      <c r="G7" s="10" t="s">
        <v>56</v>
      </c>
      <c r="H7" s="10">
        <f t="shared" si="0"/>
        <v>0</v>
      </c>
      <c r="I7" s="10">
        <f t="shared" si="1"/>
        <v>1017</v>
      </c>
      <c r="J7" s="10">
        <f>Table1[[#This Row],[Enrolment S.Y. 2025-2026 ]]*8</f>
        <v>872</v>
      </c>
      <c r="K7" s="10"/>
      <c r="L7" s="8"/>
      <c r="M7" s="10"/>
      <c r="N7" s="10">
        <f t="shared" si="2"/>
        <v>872</v>
      </c>
      <c r="O7" s="10">
        <f t="shared" si="3"/>
        <v>0</v>
      </c>
      <c r="P7" s="10">
        <f>Table1[[#This Row],[Enrolment S.Y. 2025-2026 ]]*8</f>
        <v>872</v>
      </c>
      <c r="Q7" s="10"/>
      <c r="R7" s="8"/>
      <c r="S7" s="10"/>
      <c r="T7" s="10">
        <f t="shared" si="4"/>
        <v>872</v>
      </c>
      <c r="U7" s="10">
        <f t="shared" si="5"/>
        <v>0</v>
      </c>
      <c r="V7" s="10">
        <f>Table1[[#This Row],[Enrolment S.Y. 2025-2026 ]]*8</f>
        <v>872</v>
      </c>
      <c r="W7" s="10"/>
      <c r="X7" s="8"/>
      <c r="Y7" s="10"/>
      <c r="Z7" s="10">
        <f t="shared" si="6"/>
        <v>872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>
        <v>109</v>
      </c>
      <c r="D8" s="10">
        <f>Table1[[#This Row],[Enrolment S.Y. 2025-2026 ]]*8</f>
        <v>872</v>
      </c>
      <c r="E8" s="10"/>
      <c r="F8" s="8">
        <v>2024</v>
      </c>
      <c r="G8" s="10" t="s">
        <v>56</v>
      </c>
      <c r="H8" s="10">
        <f t="shared" si="0"/>
        <v>872</v>
      </c>
      <c r="I8" s="10">
        <f t="shared" si="1"/>
        <v>0</v>
      </c>
      <c r="J8" s="10">
        <f>Table1[[#This Row],[Enrolment S.Y. 2025-2026 ]]*8</f>
        <v>872</v>
      </c>
      <c r="K8" s="10"/>
      <c r="L8" s="8"/>
      <c r="M8" s="10"/>
      <c r="N8" s="10">
        <f t="shared" si="2"/>
        <v>872</v>
      </c>
      <c r="O8" s="10">
        <f t="shared" si="3"/>
        <v>0</v>
      </c>
      <c r="P8" s="10">
        <f>Table1[[#This Row],[Enrolment S.Y. 2025-2026 ]]*8</f>
        <v>872</v>
      </c>
      <c r="Q8" s="10"/>
      <c r="R8" s="8"/>
      <c r="S8" s="10"/>
      <c r="T8" s="10">
        <f t="shared" si="4"/>
        <v>872</v>
      </c>
      <c r="U8" s="10">
        <f t="shared" si="5"/>
        <v>0</v>
      </c>
      <c r="V8" s="10">
        <f>Table1[[#This Row],[Enrolment S.Y. 2025-2026 ]]*8</f>
        <v>872</v>
      </c>
      <c r="W8" s="10"/>
      <c r="X8" s="8"/>
      <c r="Y8" s="10"/>
      <c r="Z8" s="10">
        <f t="shared" si="6"/>
        <v>872</v>
      </c>
      <c r="AA8" s="10">
        <f t="shared" si="7"/>
        <v>0</v>
      </c>
    </row>
    <row r="9" spans="1:27" ht="19.5">
      <c r="A9" s="8">
        <v>7</v>
      </c>
      <c r="B9" s="9" t="s">
        <v>15</v>
      </c>
      <c r="C9" s="8">
        <v>109</v>
      </c>
      <c r="D9" s="10">
        <f>Table1[[#This Row],[Enrolment S.Y. 2025-2026 ]]*8</f>
        <v>872</v>
      </c>
      <c r="E9" s="10"/>
      <c r="F9" s="8">
        <v>2024</v>
      </c>
      <c r="G9" s="10" t="s">
        <v>56</v>
      </c>
      <c r="H9" s="10">
        <f t="shared" si="0"/>
        <v>872</v>
      </c>
      <c r="I9" s="10">
        <f t="shared" si="1"/>
        <v>0</v>
      </c>
      <c r="J9" s="10">
        <f>Table1[[#This Row],[Enrolment S.Y. 2025-2026 ]]*8</f>
        <v>872</v>
      </c>
      <c r="K9" s="10"/>
      <c r="L9" s="8"/>
      <c r="M9" s="10"/>
      <c r="N9" s="10">
        <f t="shared" si="2"/>
        <v>872</v>
      </c>
      <c r="O9" s="10">
        <f t="shared" si="3"/>
        <v>0</v>
      </c>
      <c r="P9" s="10">
        <f>Table1[[#This Row],[Enrolment S.Y. 2025-2026 ]]*8</f>
        <v>872</v>
      </c>
      <c r="Q9" s="10"/>
      <c r="R9" s="8"/>
      <c r="S9" s="10"/>
      <c r="T9" s="10">
        <f t="shared" si="4"/>
        <v>872</v>
      </c>
      <c r="U9" s="10">
        <f t="shared" si="5"/>
        <v>0</v>
      </c>
      <c r="V9" s="10">
        <f>Table1[[#This Row],[Enrolment S.Y. 2025-2026 ]]*8</f>
        <v>872</v>
      </c>
      <c r="W9" s="10"/>
      <c r="X9" s="8"/>
      <c r="Y9" s="10"/>
      <c r="Z9" s="10">
        <f t="shared" si="6"/>
        <v>872</v>
      </c>
      <c r="AA9" s="10">
        <f t="shared" si="7"/>
        <v>0</v>
      </c>
    </row>
    <row r="10" spans="1:27" ht="19.5">
      <c r="A10" s="8">
        <v>7</v>
      </c>
      <c r="B10" s="9" t="s">
        <v>16</v>
      </c>
      <c r="C10" s="8">
        <v>109</v>
      </c>
      <c r="D10" s="10">
        <f>Table1[[#This Row],[Enrolment S.Y. 2025-2026 ]]*8</f>
        <v>872</v>
      </c>
      <c r="E10" s="10">
        <v>2742</v>
      </c>
      <c r="F10" s="8">
        <v>2024</v>
      </c>
      <c r="G10" s="10" t="s">
        <v>56</v>
      </c>
      <c r="H10" s="10">
        <f t="shared" si="0"/>
        <v>0</v>
      </c>
      <c r="I10" s="10">
        <f t="shared" si="1"/>
        <v>1870</v>
      </c>
      <c r="J10" s="10">
        <f>Table1[[#This Row],[Enrolment S.Y. 2025-2026 ]]*8</f>
        <v>872</v>
      </c>
      <c r="K10" s="10"/>
      <c r="L10" s="8"/>
      <c r="M10" s="10"/>
      <c r="N10" s="10">
        <f t="shared" ref="N10:N66" si="8">IF((J10-K10)&lt;0,0,(J10-K10))</f>
        <v>872</v>
      </c>
      <c r="O10" s="10">
        <f t="shared" ref="O10:O66" si="9">IF((K10-J10)&lt;0,0,(K10-J10))</f>
        <v>0</v>
      </c>
      <c r="P10" s="10">
        <f>Table1[[#This Row],[Enrolment S.Y. 2025-2026 ]]*8</f>
        <v>872</v>
      </c>
      <c r="Q10" s="10"/>
      <c r="R10" s="8"/>
      <c r="S10" s="10"/>
      <c r="T10" s="10">
        <f t="shared" ref="T10:T67" si="10">IF((P10-Q10)&lt;0,0,(P10-Q10))</f>
        <v>872</v>
      </c>
      <c r="U10" s="10">
        <f t="shared" ref="U10:U67" si="11">IF((Q10-P10)&lt;0,0,(Q10-P10))</f>
        <v>0</v>
      </c>
      <c r="V10" s="10">
        <f>Table1[[#This Row],[Enrolment S.Y. 2025-2026 ]]*8</f>
        <v>872</v>
      </c>
      <c r="W10" s="10"/>
      <c r="X10" s="8"/>
      <c r="Y10" s="10"/>
      <c r="Z10" s="10">
        <f t="shared" ref="Z10:Z67" si="12">IF((V10-W10)&lt;0,0,(V10-W10))</f>
        <v>872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17</v>
      </c>
      <c r="C11" s="8">
        <v>109</v>
      </c>
      <c r="D11" s="10">
        <f>Table1[[#This Row],[Enrolment S.Y. 2025-2026 ]]*8</f>
        <v>872</v>
      </c>
      <c r="E11" s="10">
        <v>1615</v>
      </c>
      <c r="F11" s="8">
        <v>2024</v>
      </c>
      <c r="G11" s="10" t="s">
        <v>56</v>
      </c>
      <c r="H11" s="10">
        <f t="shared" si="0"/>
        <v>0</v>
      </c>
      <c r="I11" s="10">
        <f t="shared" si="1"/>
        <v>743</v>
      </c>
      <c r="J11" s="10">
        <f>Table1[[#This Row],[Enrolment S.Y. 2025-2026 ]]*8</f>
        <v>872</v>
      </c>
      <c r="K11" s="10"/>
      <c r="L11" s="8"/>
      <c r="M11" s="10"/>
      <c r="N11" s="10">
        <f t="shared" si="8"/>
        <v>872</v>
      </c>
      <c r="O11" s="10">
        <f t="shared" si="9"/>
        <v>0</v>
      </c>
      <c r="P11" s="10">
        <f>Table1[[#This Row],[Enrolment S.Y. 2025-2026 ]]*8</f>
        <v>872</v>
      </c>
      <c r="Q11" s="10"/>
      <c r="R11" s="8"/>
      <c r="S11" s="10"/>
      <c r="T11" s="10">
        <f t="shared" si="10"/>
        <v>872</v>
      </c>
      <c r="U11" s="10">
        <f t="shared" si="11"/>
        <v>0</v>
      </c>
      <c r="V11" s="10">
        <f>Table1[[#This Row],[Enrolment S.Y. 2025-2026 ]]*8</f>
        <v>872</v>
      </c>
      <c r="W11" s="10"/>
      <c r="X11" s="8"/>
      <c r="Y11" s="10"/>
      <c r="Z11" s="10">
        <f t="shared" si="12"/>
        <v>872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10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11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12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18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14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67" si="14">IF((D18-E18)&lt;0,0,(D18-E18))</f>
        <v>0</v>
      </c>
      <c r="I18" s="10">
        <f t="shared" ref="I18:I67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15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16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17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10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11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12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18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14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15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16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 t="shared" ref="H33:H41" si="16">IF((D33-E33)&lt;0,0,(D33-E33))</f>
        <v>0</v>
      </c>
      <c r="I33" s="10">
        <f t="shared" ref="I33:I41" si="17"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 t="shared" ref="N33:N41" si="18">IF((J33-K33)&lt;0,0,(J33-K33))</f>
        <v>0</v>
      </c>
      <c r="O33" s="10">
        <f t="shared" ref="O33:O41" si="19"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 t="shared" ref="T33:T41" si="20">IF((P33-Q33)&lt;0,0,(P33-Q33))</f>
        <v>0</v>
      </c>
      <c r="U33" s="10">
        <f t="shared" ref="U33:U41" si="21"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 t="shared" ref="Z33:Z41" si="22">IF((V33-W33)&lt;0,0,(V33-W33))</f>
        <v>0</v>
      </c>
      <c r="AA33" s="10">
        <f t="shared" ref="AA33:AA41" si="23">IF((W33-V33)&lt;0,0,(W33-V33))</f>
        <v>0</v>
      </c>
    </row>
    <row r="34" spans="1:27" ht="19.5">
      <c r="A34" s="8">
        <v>10</v>
      </c>
      <c r="B34" s="9" t="s">
        <v>10</v>
      </c>
      <c r="C34" s="8"/>
      <c r="D34" s="10">
        <f>Table1[[#This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Table1[[#This Row],[Enrolment S.Y. 2025-2026 ]]*8</f>
        <v>0</v>
      </c>
      <c r="K34" s="10"/>
      <c r="L34" s="8"/>
      <c r="M34" s="10"/>
      <c r="N34" s="10">
        <f t="shared" si="18"/>
        <v>0</v>
      </c>
      <c r="O34" s="10">
        <f t="shared" si="19"/>
        <v>0</v>
      </c>
      <c r="P34" s="10">
        <f>Table1[[#This Row],[Enrolment S.Y. 2025-2026 ]]*8</f>
        <v>0</v>
      </c>
      <c r="Q34" s="10"/>
      <c r="R34" s="8"/>
      <c r="S34" s="10"/>
      <c r="T34" s="10">
        <f t="shared" si="20"/>
        <v>0</v>
      </c>
      <c r="U34" s="10">
        <f t="shared" si="21"/>
        <v>0</v>
      </c>
      <c r="V34" s="10">
        <f>Table1[[#This Row],[Enrolment S.Y. 2025-2026 ]]*8</f>
        <v>0</v>
      </c>
      <c r="W34" s="10"/>
      <c r="X34" s="8"/>
      <c r="Y34" s="10"/>
      <c r="Z34" s="10">
        <f t="shared" si="22"/>
        <v>0</v>
      </c>
      <c r="AA34" s="10">
        <f t="shared" si="23"/>
        <v>0</v>
      </c>
    </row>
    <row r="35" spans="1:27" ht="19.5">
      <c r="A35" s="8">
        <v>10</v>
      </c>
      <c r="B35" s="9" t="s">
        <v>11</v>
      </c>
      <c r="C35" s="8"/>
      <c r="D35" s="10">
        <f>Table1[[#This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Table1[[#This Row],[Enrolment S.Y. 2025-2026 ]]*8</f>
        <v>0</v>
      </c>
      <c r="K35" s="10"/>
      <c r="L35" s="8"/>
      <c r="M35" s="10"/>
      <c r="N35" s="10">
        <f t="shared" si="18"/>
        <v>0</v>
      </c>
      <c r="O35" s="10">
        <f t="shared" si="19"/>
        <v>0</v>
      </c>
      <c r="P35" s="10">
        <f>Table1[[#This Row],[Enrolment S.Y. 2025-2026 ]]*8</f>
        <v>0</v>
      </c>
      <c r="Q35" s="10"/>
      <c r="R35" s="8"/>
      <c r="S35" s="10"/>
      <c r="T35" s="10">
        <f t="shared" si="20"/>
        <v>0</v>
      </c>
      <c r="U35" s="10">
        <f t="shared" si="21"/>
        <v>0</v>
      </c>
      <c r="V35" s="10">
        <f>Table1[[#This Row],[Enrolment S.Y. 2025-2026 ]]*8</f>
        <v>0</v>
      </c>
      <c r="W35" s="10"/>
      <c r="X35" s="8"/>
      <c r="Y35" s="10"/>
      <c r="Z35" s="10">
        <f t="shared" si="22"/>
        <v>0</v>
      </c>
      <c r="AA35" s="10">
        <f t="shared" si="23"/>
        <v>0</v>
      </c>
    </row>
    <row r="36" spans="1:27" ht="19.5">
      <c r="A36" s="8">
        <v>10</v>
      </c>
      <c r="B36" s="9" t="s">
        <v>12</v>
      </c>
      <c r="C36" s="8"/>
      <c r="D36" s="10">
        <f>Table1[[#This Row],[Enrolment S.Y. 2025-2026 ]]*8</f>
        <v>0</v>
      </c>
      <c r="E36" s="10"/>
      <c r="F36" s="8"/>
      <c r="G36" s="10"/>
      <c r="H36" s="10">
        <f t="shared" si="16"/>
        <v>0</v>
      </c>
      <c r="I36" s="10">
        <f t="shared" si="17"/>
        <v>0</v>
      </c>
      <c r="J36" s="10">
        <f>Table1[[#This Row],[Enrolment S.Y. 2025-2026 ]]*8</f>
        <v>0</v>
      </c>
      <c r="K36" s="10"/>
      <c r="L36" s="8"/>
      <c r="M36" s="10"/>
      <c r="N36" s="10">
        <f t="shared" si="18"/>
        <v>0</v>
      </c>
      <c r="O36" s="10">
        <f t="shared" si="19"/>
        <v>0</v>
      </c>
      <c r="P36" s="10">
        <f>Table1[[#This Row],[Enrolment S.Y. 2025-2026 ]]*8</f>
        <v>0</v>
      </c>
      <c r="Q36" s="10"/>
      <c r="R36" s="8"/>
      <c r="S36" s="10"/>
      <c r="T36" s="10">
        <f t="shared" si="20"/>
        <v>0</v>
      </c>
      <c r="U36" s="10">
        <f t="shared" si="21"/>
        <v>0</v>
      </c>
      <c r="V36" s="10">
        <f>Table1[[#This Row],[Enrolment S.Y. 2025-2026 ]]*8</f>
        <v>0</v>
      </c>
      <c r="W36" s="10"/>
      <c r="X36" s="8"/>
      <c r="Y36" s="10"/>
      <c r="Z36" s="10">
        <f t="shared" si="22"/>
        <v>0</v>
      </c>
      <c r="AA36" s="10">
        <f t="shared" si="23"/>
        <v>0</v>
      </c>
    </row>
    <row r="37" spans="1:27" ht="19.5">
      <c r="A37" s="8">
        <v>10</v>
      </c>
      <c r="B37" s="9" t="s">
        <v>18</v>
      </c>
      <c r="C37" s="8"/>
      <c r="D37" s="10">
        <f>Table1[[#This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Table1[[#This Row],[Enrolment S.Y. 2025-2026 ]]*8</f>
        <v>0</v>
      </c>
      <c r="K37" s="10"/>
      <c r="L37" s="8"/>
      <c r="M37" s="10"/>
      <c r="N37" s="10">
        <f t="shared" si="18"/>
        <v>0</v>
      </c>
      <c r="O37" s="10">
        <f t="shared" si="19"/>
        <v>0</v>
      </c>
      <c r="P37" s="10">
        <f>Table1[[#This Row],[Enrolment S.Y. 2025-2026 ]]*8</f>
        <v>0</v>
      </c>
      <c r="Q37" s="10"/>
      <c r="R37" s="8"/>
      <c r="S37" s="10"/>
      <c r="T37" s="10">
        <f t="shared" si="20"/>
        <v>0</v>
      </c>
      <c r="U37" s="10">
        <f t="shared" si="21"/>
        <v>0</v>
      </c>
      <c r="V37" s="10">
        <f>Table1[[#This Row],[Enrolment S.Y. 2025-2026 ]]*8</f>
        <v>0</v>
      </c>
      <c r="W37" s="10"/>
      <c r="X37" s="8"/>
      <c r="Y37" s="10"/>
      <c r="Z37" s="10">
        <f t="shared" si="22"/>
        <v>0</v>
      </c>
      <c r="AA37" s="10">
        <f t="shared" si="23"/>
        <v>0</v>
      </c>
    </row>
    <row r="38" spans="1:27" ht="19.5">
      <c r="A38" s="8">
        <v>10</v>
      </c>
      <c r="B38" s="9" t="s">
        <v>14</v>
      </c>
      <c r="C38" s="8"/>
      <c r="D38" s="10">
        <f>Table1[[#This Row],[Enrolment S.Y. 2025-2026 ]]*8</f>
        <v>0</v>
      </c>
      <c r="E38" s="10"/>
      <c r="F38" s="8"/>
      <c r="G38" s="10"/>
      <c r="H38" s="10">
        <f t="shared" si="16"/>
        <v>0</v>
      </c>
      <c r="I38" s="10">
        <f t="shared" si="17"/>
        <v>0</v>
      </c>
      <c r="J38" s="10">
        <f>Table1[[#This Row],[Enrolment S.Y. 2025-2026 ]]*8</f>
        <v>0</v>
      </c>
      <c r="K38" s="10"/>
      <c r="L38" s="8"/>
      <c r="M38" s="10"/>
      <c r="N38" s="10">
        <f t="shared" si="18"/>
        <v>0</v>
      </c>
      <c r="O38" s="10">
        <f t="shared" si="19"/>
        <v>0</v>
      </c>
      <c r="P38" s="10">
        <f>Table1[[#This Row],[Enrolment S.Y. 2025-2026 ]]*8</f>
        <v>0</v>
      </c>
      <c r="Q38" s="10"/>
      <c r="R38" s="8"/>
      <c r="S38" s="10"/>
      <c r="T38" s="10">
        <f t="shared" si="20"/>
        <v>0</v>
      </c>
      <c r="U38" s="10">
        <f t="shared" si="21"/>
        <v>0</v>
      </c>
      <c r="V38" s="10">
        <f>Table1[[#This Row],[Enrolment S.Y. 2025-2026 ]]*8</f>
        <v>0</v>
      </c>
      <c r="W38" s="10"/>
      <c r="X38" s="8"/>
      <c r="Y38" s="10"/>
      <c r="Z38" s="10">
        <f t="shared" si="22"/>
        <v>0</v>
      </c>
      <c r="AA38" s="10">
        <f t="shared" si="23"/>
        <v>0</v>
      </c>
    </row>
    <row r="39" spans="1:27" ht="19.5">
      <c r="A39" s="8">
        <v>10</v>
      </c>
      <c r="B39" s="9" t="s">
        <v>15</v>
      </c>
      <c r="C39" s="8"/>
      <c r="D39" s="10">
        <f>Table1[[#This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Table1[[#This Row],[Enrolment S.Y. 2025-2026 ]]*8</f>
        <v>0</v>
      </c>
      <c r="K39" s="10"/>
      <c r="L39" s="8"/>
      <c r="M39" s="10"/>
      <c r="N39" s="10">
        <f t="shared" si="18"/>
        <v>0</v>
      </c>
      <c r="O39" s="10">
        <f t="shared" si="19"/>
        <v>0</v>
      </c>
      <c r="P39" s="10">
        <f>Table1[[#This Row],[Enrolment S.Y. 2025-2026 ]]*8</f>
        <v>0</v>
      </c>
      <c r="Q39" s="10"/>
      <c r="R39" s="8"/>
      <c r="S39" s="10"/>
      <c r="T39" s="10">
        <f t="shared" si="20"/>
        <v>0</v>
      </c>
      <c r="U39" s="10">
        <f t="shared" si="21"/>
        <v>0</v>
      </c>
      <c r="V39" s="10">
        <f>Table1[[#This Row],[Enrolment S.Y. 2025-2026 ]]*8</f>
        <v>0</v>
      </c>
      <c r="W39" s="10"/>
      <c r="X39" s="8"/>
      <c r="Y39" s="10"/>
      <c r="Z39" s="10">
        <f t="shared" si="22"/>
        <v>0</v>
      </c>
      <c r="AA39" s="10">
        <f t="shared" si="23"/>
        <v>0</v>
      </c>
    </row>
    <row r="40" spans="1:27" ht="19.5">
      <c r="A40" s="8">
        <v>10</v>
      </c>
      <c r="B40" s="9" t="s">
        <v>16</v>
      </c>
      <c r="C40" s="8"/>
      <c r="D40" s="10">
        <f>Table1[[#This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Table1[[#This Row],[Enrolment S.Y. 2025-2026 ]]*8</f>
        <v>0</v>
      </c>
      <c r="K40" s="10"/>
      <c r="L40" s="8"/>
      <c r="M40" s="10"/>
      <c r="N40" s="10">
        <f t="shared" si="18"/>
        <v>0</v>
      </c>
      <c r="O40" s="10">
        <f t="shared" si="19"/>
        <v>0</v>
      </c>
      <c r="P40" s="10">
        <f>Table1[[#This Row],[Enrolment S.Y. 2025-2026 ]]*8</f>
        <v>0</v>
      </c>
      <c r="Q40" s="10"/>
      <c r="R40" s="8"/>
      <c r="S40" s="10"/>
      <c r="T40" s="10">
        <f t="shared" si="20"/>
        <v>0</v>
      </c>
      <c r="U40" s="10">
        <f t="shared" si="21"/>
        <v>0</v>
      </c>
      <c r="V40" s="10">
        <f>Table1[[#This Row],[Enrolment S.Y. 2025-2026 ]]*8</f>
        <v>0</v>
      </c>
      <c r="W40" s="10"/>
      <c r="X40" s="8"/>
      <c r="Y40" s="10"/>
      <c r="Z40" s="10">
        <f t="shared" si="22"/>
        <v>0</v>
      </c>
      <c r="AA40" s="10">
        <f t="shared" si="23"/>
        <v>0</v>
      </c>
    </row>
    <row r="41" spans="1:27" ht="19.5">
      <c r="A41" s="8">
        <v>10</v>
      </c>
      <c r="B41" s="9" t="s">
        <v>17</v>
      </c>
      <c r="C41" s="8"/>
      <c r="D41" s="10">
        <f>Table1[[#This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Table1[[#This Row],[Enrolment S.Y. 2025-2026 ]]*8</f>
        <v>0</v>
      </c>
      <c r="K41" s="10"/>
      <c r="L41" s="8"/>
      <c r="M41" s="10"/>
      <c r="N41" s="10">
        <f t="shared" si="18"/>
        <v>0</v>
      </c>
      <c r="O41" s="10">
        <f t="shared" si="19"/>
        <v>0</v>
      </c>
      <c r="P41" s="10">
        <f>Table1[[#This Row],[Enrolment S.Y. 2025-2026 ]]*8</f>
        <v>0</v>
      </c>
      <c r="Q41" s="10"/>
      <c r="R41" s="8"/>
      <c r="S41" s="10"/>
      <c r="T41" s="10">
        <f t="shared" si="20"/>
        <v>0</v>
      </c>
      <c r="U41" s="10">
        <f t="shared" si="21"/>
        <v>0</v>
      </c>
      <c r="V41" s="10">
        <f>Table1[[#This Row],[Enrolment S.Y. 2025-2026 ]]*8</f>
        <v>0</v>
      </c>
      <c r="W41" s="10"/>
      <c r="X41" s="8"/>
      <c r="Y41" s="10"/>
      <c r="Z41" s="10">
        <f t="shared" si="22"/>
        <v>0</v>
      </c>
      <c r="AA41" s="10">
        <f t="shared" si="23"/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19</v>
      </c>
      <c r="B43" s="7" t="s">
        <v>20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19</v>
      </c>
      <c r="B44" s="7" t="s">
        <v>21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19</v>
      </c>
      <c r="B45" s="7" t="s">
        <v>22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19</v>
      </c>
      <c r="B46" s="7" t="s">
        <v>23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19</v>
      </c>
      <c r="B47" s="7" t="s">
        <v>24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19</v>
      </c>
      <c r="B48" s="7" t="s">
        <v>25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19</v>
      </c>
      <c r="B49" s="7" t="s">
        <v>26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19</v>
      </c>
      <c r="B50" s="7" t="s">
        <v>27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24">IF((J67-K67)&lt;0,0,(J67-K67))</f>
        <v>0</v>
      </c>
      <c r="O67" s="4">
        <f t="shared" ref="O67" si="25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72" spans="1:27" s="5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5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5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5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13:C21 C23:C31 C33:C41 C43:C50 C52:C67 C2:C11" name="Textbooks"/>
    <protectedRange sqref="D2:F2 W43:X50 D52:F67 H52:I67 N67:R67 W52:X67 Q52:R66 P2:R2 F3:F11 N3:P66 T3:V67 J3:J67 Z3:AA67 K3:L11 K13:L21 K23:L31 K33:L41 K43:L50 K52:L67 D3:D11 V2:X2 H3:I11 Q3:R11 W3:X11 D13:F21 H13:I21 Q13:R21 W13:X21 D23:F31 H23:I31 Q23:R31 W23:X31 D33:F41 H33:I41 Q33:R41 W33:X41 D43:F50 H43:I50 Q43:R50 J2:L2" name="LAS"/>
    <protectedRange sqref="S2:U2 M2:O2 Y2:AA2 Y3:Y50 G52:G67 M52:M67 S52:S67 Y52:Y67 G23:G31 G33:G41 S3:S50 G43:G50 G3:G11 M3:M50 G13:G21 G2:I2" name="SOURCE"/>
    <protectedRange sqref="E3:E11" name="LAS_2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F52:F67 F43:F50 F33:F41 F23:F31 F13:F21 F3:F11 L52:L67 L43:L50 L33:L41 L23:L31 L13:L21 L3:L11 R52:R67 R43:R50 R33:R41 R23:R31 R13:R21 R3:R11 X52:X67 X43:X50 X33:X41 X23:X31 X13:X21 X3:X11" xr:uid="{4ECCD083-8EC4-42EE-B46C-B614411F330D}">
      <formula1>"2024,2025,2026"</formula1>
    </dataValidation>
    <dataValidation type="list" allowBlank="1" showInputMessage="1" showErrorMessage="1" sqref="G43:G50 G13:G21 G23:G31 G33:G41 G3:G11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70" zoomScaleNormal="70" workbookViewId="0">
      <pane xSplit="2" ySplit="2" topLeftCell="C3" activePane="bottomRight" state="frozen"/>
      <selection pane="bottomRight" activeCell="A3" sqref="A3:AA66"/>
      <selection pane="bottomLeft" activeCell="A3" sqref="A3"/>
      <selection pane="topRight" activeCell="C1" sqref="C1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57</v>
      </c>
      <c r="E2" s="18" t="s">
        <v>58</v>
      </c>
      <c r="F2" s="19" t="s">
        <v>59</v>
      </c>
      <c r="G2" s="22" t="s">
        <v>60</v>
      </c>
      <c r="H2" s="15" t="s">
        <v>61</v>
      </c>
      <c r="I2" s="22" t="s">
        <v>62</v>
      </c>
      <c r="J2" s="20" t="s">
        <v>63</v>
      </c>
      <c r="K2" s="20" t="s">
        <v>64</v>
      </c>
      <c r="L2" s="21" t="s">
        <v>65</v>
      </c>
      <c r="M2" s="33" t="s">
        <v>66</v>
      </c>
      <c r="N2" s="33" t="s">
        <v>67</v>
      </c>
      <c r="O2" s="20" t="s">
        <v>68</v>
      </c>
      <c r="P2" s="22" t="s">
        <v>69</v>
      </c>
      <c r="Q2" s="22" t="s">
        <v>70</v>
      </c>
      <c r="R2" s="23" t="s">
        <v>71</v>
      </c>
      <c r="S2" s="15" t="s">
        <v>72</v>
      </c>
      <c r="T2" s="15" t="s">
        <v>73</v>
      </c>
      <c r="U2" s="22" t="s">
        <v>74</v>
      </c>
      <c r="V2" s="24" t="s">
        <v>75</v>
      </c>
      <c r="W2" s="24" t="s">
        <v>76</v>
      </c>
      <c r="X2" s="25" t="s">
        <v>77</v>
      </c>
      <c r="Y2" s="34" t="s">
        <v>78</v>
      </c>
      <c r="Z2" s="34" t="s">
        <v>79</v>
      </c>
      <c r="AA2" s="24" t="s">
        <v>80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10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32">
        <v>7</v>
      </c>
      <c r="B9" s="9" t="s">
        <v>81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82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16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32">
        <v>7</v>
      </c>
      <c r="B12" s="9" t="s">
        <v>83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84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5:N58" si="14">IF((J15-K15)&lt;0,0,(J15-K15))</f>
        <v>0</v>
      </c>
      <c r="O15" s="10">
        <f t="shared" ref="O15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10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11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12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18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14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32">
        <v>8</v>
      </c>
      <c r="B21" s="9" t="s">
        <v>81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82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16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32">
        <v>8</v>
      </c>
      <c r="B24" s="9" t="s">
        <v>83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84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>
        <v>345</v>
      </c>
      <c r="D27" s="10">
        <f>Table14[[#This Row],[Enrolment S.Y. 2025-2026 ]]*8</f>
        <v>2760</v>
      </c>
      <c r="E27" s="10"/>
      <c r="F27" s="8"/>
      <c r="G27" s="10"/>
      <c r="H27" s="10">
        <f t="shared" si="16"/>
        <v>2760</v>
      </c>
      <c r="I27" s="10">
        <f t="shared" si="17"/>
        <v>0</v>
      </c>
      <c r="J27" s="10">
        <f>Table14[[#This Row],[Enrolment S.Y. 2025-2026 ]]*8</f>
        <v>2760</v>
      </c>
      <c r="K27" s="10"/>
      <c r="L27" s="8"/>
      <c r="M27" s="10"/>
      <c r="N27" s="10">
        <f t="shared" si="14"/>
        <v>2760</v>
      </c>
      <c r="O27" s="10">
        <f t="shared" si="15"/>
        <v>0</v>
      </c>
      <c r="P27" s="10">
        <f>Table14[[#This Row],[Enrolment S.Y. 2025-2026 ]]*8</f>
        <v>2760</v>
      </c>
      <c r="Q27" s="10">
        <v>62</v>
      </c>
      <c r="R27" s="8">
        <v>2025</v>
      </c>
      <c r="S27" s="10" t="s">
        <v>56</v>
      </c>
      <c r="T27" s="10">
        <f t="shared" si="10"/>
        <v>2698</v>
      </c>
      <c r="U27" s="10">
        <f t="shared" si="11"/>
        <v>0</v>
      </c>
      <c r="V27" s="10">
        <f>Table14[[#This Row],[Enrolment S.Y. 2025-2026 ]]*8</f>
        <v>2760</v>
      </c>
      <c r="W27" s="10">
        <v>62</v>
      </c>
      <c r="X27" s="8">
        <v>2025</v>
      </c>
      <c r="Y27" s="10" t="s">
        <v>56</v>
      </c>
      <c r="Z27" s="10">
        <f t="shared" si="12"/>
        <v>2698</v>
      </c>
      <c r="AA27" s="10">
        <f t="shared" si="13"/>
        <v>0</v>
      </c>
    </row>
    <row r="28" spans="1:27" ht="19.5">
      <c r="A28" s="8">
        <v>9</v>
      </c>
      <c r="B28" s="9" t="s">
        <v>10</v>
      </c>
      <c r="C28" s="8">
        <v>345</v>
      </c>
      <c r="D28" s="10">
        <f>Table14[[#This Row],[Enrolment S.Y. 2025-2026 ]]*8</f>
        <v>2760</v>
      </c>
      <c r="E28" s="10"/>
      <c r="F28" s="8"/>
      <c r="G28" s="10"/>
      <c r="H28" s="10">
        <f t="shared" si="16"/>
        <v>2760</v>
      </c>
      <c r="I28" s="10">
        <f t="shared" si="17"/>
        <v>0</v>
      </c>
      <c r="J28" s="10">
        <f>Table14[[#This Row],[Enrolment S.Y. 2025-2026 ]]*8</f>
        <v>2760</v>
      </c>
      <c r="K28" s="10"/>
      <c r="L28" s="8"/>
      <c r="M28" s="10"/>
      <c r="N28" s="10">
        <f t="shared" si="14"/>
        <v>2760</v>
      </c>
      <c r="O28" s="10">
        <f t="shared" si="15"/>
        <v>0</v>
      </c>
      <c r="P28" s="10">
        <f>Table14[[#This Row],[Enrolment S.Y. 2025-2026 ]]*8</f>
        <v>2760</v>
      </c>
      <c r="Q28" s="10">
        <v>62</v>
      </c>
      <c r="R28" s="8">
        <v>2025</v>
      </c>
      <c r="S28" s="10" t="s">
        <v>56</v>
      </c>
      <c r="T28" s="10">
        <f t="shared" si="10"/>
        <v>2698</v>
      </c>
      <c r="U28" s="10">
        <f t="shared" si="11"/>
        <v>0</v>
      </c>
      <c r="V28" s="10">
        <f>Table14[[#This Row],[Enrolment S.Y. 2025-2026 ]]*8</f>
        <v>2760</v>
      </c>
      <c r="W28" s="10">
        <v>62</v>
      </c>
      <c r="X28" s="8">
        <v>2025</v>
      </c>
      <c r="Y28" s="10" t="s">
        <v>56</v>
      </c>
      <c r="Z28" s="10">
        <f t="shared" si="12"/>
        <v>2698</v>
      </c>
      <c r="AA28" s="10">
        <f t="shared" si="13"/>
        <v>0</v>
      </c>
    </row>
    <row r="29" spans="1:27" ht="19.5">
      <c r="A29" s="8">
        <v>9</v>
      </c>
      <c r="B29" s="9" t="s">
        <v>11</v>
      </c>
      <c r="C29" s="8">
        <v>345</v>
      </c>
      <c r="D29" s="10">
        <f>Table14[[#This Row],[Enrolment S.Y. 2025-2026 ]]*8</f>
        <v>2760</v>
      </c>
      <c r="E29" s="10"/>
      <c r="F29" s="8"/>
      <c r="G29" s="10"/>
      <c r="H29" s="10">
        <f t="shared" si="16"/>
        <v>2760</v>
      </c>
      <c r="I29" s="10">
        <f t="shared" si="17"/>
        <v>0</v>
      </c>
      <c r="J29" s="10">
        <f>Table14[[#This Row],[Enrolment S.Y. 2025-2026 ]]*8</f>
        <v>2760</v>
      </c>
      <c r="K29" s="10"/>
      <c r="L29" s="8"/>
      <c r="M29" s="10"/>
      <c r="N29" s="10">
        <f t="shared" si="14"/>
        <v>2760</v>
      </c>
      <c r="O29" s="10">
        <f t="shared" si="15"/>
        <v>0</v>
      </c>
      <c r="P29" s="10">
        <f>Table14[[#This Row],[Enrolment S.Y. 2025-2026 ]]*8</f>
        <v>2760</v>
      </c>
      <c r="Q29" s="10">
        <v>62</v>
      </c>
      <c r="R29" s="8">
        <v>2025</v>
      </c>
      <c r="S29" s="10" t="s">
        <v>56</v>
      </c>
      <c r="T29" s="10">
        <f t="shared" si="10"/>
        <v>2698</v>
      </c>
      <c r="U29" s="10">
        <f t="shared" si="11"/>
        <v>0</v>
      </c>
      <c r="V29" s="10">
        <f>Table14[[#This Row],[Enrolment S.Y. 2025-2026 ]]*8</f>
        <v>2760</v>
      </c>
      <c r="W29" s="10">
        <v>62</v>
      </c>
      <c r="X29" s="8">
        <v>2025</v>
      </c>
      <c r="Y29" s="10" t="s">
        <v>56</v>
      </c>
      <c r="Z29" s="10">
        <f t="shared" si="12"/>
        <v>2698</v>
      </c>
      <c r="AA29" s="10">
        <f t="shared" si="13"/>
        <v>0</v>
      </c>
    </row>
    <row r="30" spans="1:27" s="5" customFormat="1" ht="19.5">
      <c r="A30" s="8">
        <v>9</v>
      </c>
      <c r="B30" s="9" t="s">
        <v>12</v>
      </c>
      <c r="C30" s="8">
        <v>345</v>
      </c>
      <c r="D30" s="10">
        <f>Table14[[#This Row],[Enrolment S.Y. 2025-2026 ]]*8</f>
        <v>2760</v>
      </c>
      <c r="E30" s="10"/>
      <c r="F30" s="8"/>
      <c r="G30" s="10"/>
      <c r="H30" s="10">
        <f t="shared" si="16"/>
        <v>2760</v>
      </c>
      <c r="I30" s="10">
        <f t="shared" si="17"/>
        <v>0</v>
      </c>
      <c r="J30" s="10">
        <f>Table14[[#This Row],[Enrolment S.Y. 2025-2026 ]]*8</f>
        <v>2760</v>
      </c>
      <c r="K30" s="10"/>
      <c r="L30" s="8"/>
      <c r="M30" s="10"/>
      <c r="N30" s="10">
        <f t="shared" si="14"/>
        <v>2760</v>
      </c>
      <c r="O30" s="10">
        <f t="shared" si="15"/>
        <v>0</v>
      </c>
      <c r="P30" s="10">
        <f>Table14[[#This Row],[Enrolment S.Y. 2025-2026 ]]*8</f>
        <v>2760</v>
      </c>
      <c r="Q30" s="10">
        <v>62</v>
      </c>
      <c r="R30" s="8">
        <v>2025</v>
      </c>
      <c r="S30" s="10" t="s">
        <v>56</v>
      </c>
      <c r="T30" s="10">
        <f t="shared" si="10"/>
        <v>2698</v>
      </c>
      <c r="U30" s="10">
        <f t="shared" si="11"/>
        <v>0</v>
      </c>
      <c r="V30" s="10">
        <f>Table14[[#This Row],[Enrolment S.Y. 2025-2026 ]]*8</f>
        <v>2760</v>
      </c>
      <c r="W30" s="10">
        <v>62</v>
      </c>
      <c r="X30" s="8">
        <v>2025</v>
      </c>
      <c r="Y30" s="10" t="s">
        <v>56</v>
      </c>
      <c r="Z30" s="10">
        <f t="shared" si="12"/>
        <v>2698</v>
      </c>
      <c r="AA30" s="10">
        <f t="shared" si="13"/>
        <v>0</v>
      </c>
    </row>
    <row r="31" spans="1:27" ht="19.5">
      <c r="A31" s="8">
        <v>9</v>
      </c>
      <c r="B31" s="9" t="s">
        <v>18</v>
      </c>
      <c r="C31" s="8">
        <v>345</v>
      </c>
      <c r="D31" s="10">
        <f>Table14[[#This Row],[Enrolment S.Y. 2025-2026 ]]*8</f>
        <v>2760</v>
      </c>
      <c r="E31" s="10"/>
      <c r="F31" s="8"/>
      <c r="G31" s="10"/>
      <c r="H31" s="10">
        <f t="shared" si="16"/>
        <v>2760</v>
      </c>
      <c r="I31" s="10">
        <f t="shared" si="17"/>
        <v>0</v>
      </c>
      <c r="J31" s="10">
        <f>Table14[[#This Row],[Enrolment S.Y. 2025-2026 ]]*8</f>
        <v>2760</v>
      </c>
      <c r="K31" s="10"/>
      <c r="L31" s="8"/>
      <c r="M31" s="10"/>
      <c r="N31" s="10">
        <f t="shared" si="14"/>
        <v>2760</v>
      </c>
      <c r="O31" s="10">
        <f t="shared" si="15"/>
        <v>0</v>
      </c>
      <c r="P31" s="10">
        <f>Table14[[#This Row],[Enrolment S.Y. 2025-2026 ]]*8</f>
        <v>2760</v>
      </c>
      <c r="Q31" s="10">
        <v>62</v>
      </c>
      <c r="R31" s="8">
        <v>2025</v>
      </c>
      <c r="S31" s="10" t="s">
        <v>56</v>
      </c>
      <c r="T31" s="10">
        <f t="shared" si="10"/>
        <v>2698</v>
      </c>
      <c r="U31" s="10">
        <f t="shared" si="11"/>
        <v>0</v>
      </c>
      <c r="V31" s="10">
        <f>Table14[[#This Row],[Enrolment S.Y. 2025-2026 ]]*8</f>
        <v>2760</v>
      </c>
      <c r="W31" s="10">
        <v>62</v>
      </c>
      <c r="X31" s="8">
        <v>2025</v>
      </c>
      <c r="Y31" s="10" t="s">
        <v>56</v>
      </c>
      <c r="Z31" s="10">
        <f t="shared" si="12"/>
        <v>2698</v>
      </c>
      <c r="AA31" s="10">
        <f t="shared" si="13"/>
        <v>0</v>
      </c>
    </row>
    <row r="32" spans="1:27" ht="19.5">
      <c r="A32" s="8">
        <v>9</v>
      </c>
      <c r="B32" s="9" t="s">
        <v>14</v>
      </c>
      <c r="C32" s="8">
        <v>345</v>
      </c>
      <c r="D32" s="10">
        <f>Table14[[#This Row],[Enrolment S.Y. 2025-2026 ]]*8</f>
        <v>2760</v>
      </c>
      <c r="E32" s="10"/>
      <c r="F32" s="8"/>
      <c r="G32" s="10"/>
      <c r="H32" s="10">
        <f t="shared" si="16"/>
        <v>2760</v>
      </c>
      <c r="I32" s="10">
        <f t="shared" si="17"/>
        <v>0</v>
      </c>
      <c r="J32" s="10">
        <f>Table14[[#This Row],[Enrolment S.Y. 2025-2026 ]]*8</f>
        <v>2760</v>
      </c>
      <c r="K32" s="10"/>
      <c r="L32" s="8"/>
      <c r="M32" s="10"/>
      <c r="N32" s="10">
        <f t="shared" si="14"/>
        <v>2760</v>
      </c>
      <c r="O32" s="10">
        <f t="shared" si="15"/>
        <v>0</v>
      </c>
      <c r="P32" s="10">
        <f>Table14[[#This Row],[Enrolment S.Y. 2025-2026 ]]*8</f>
        <v>2760</v>
      </c>
      <c r="Q32" s="10">
        <v>62</v>
      </c>
      <c r="R32" s="8">
        <v>2025</v>
      </c>
      <c r="S32" s="10" t="s">
        <v>56</v>
      </c>
      <c r="T32" s="10">
        <f t="shared" si="10"/>
        <v>2698</v>
      </c>
      <c r="U32" s="10">
        <f t="shared" si="11"/>
        <v>0</v>
      </c>
      <c r="V32" s="10">
        <f>Table14[[#This Row],[Enrolment S.Y. 2025-2026 ]]*8</f>
        <v>2760</v>
      </c>
      <c r="W32" s="10">
        <v>62</v>
      </c>
      <c r="X32" s="8">
        <v>2025</v>
      </c>
      <c r="Y32" s="10" t="s">
        <v>56</v>
      </c>
      <c r="Z32" s="10">
        <f t="shared" si="12"/>
        <v>2698</v>
      </c>
      <c r="AA32" s="10">
        <f t="shared" si="13"/>
        <v>0</v>
      </c>
    </row>
    <row r="33" spans="1:27" ht="19.5">
      <c r="A33" s="32">
        <v>9</v>
      </c>
      <c r="B33" s="9" t="s">
        <v>81</v>
      </c>
      <c r="C33" s="8">
        <v>345</v>
      </c>
      <c r="D33" s="10">
        <f>Table14[[#This Row],[Enrolment S.Y. 2025-2026 ]]*8</f>
        <v>2760</v>
      </c>
      <c r="E33" s="10"/>
      <c r="F33" s="8"/>
      <c r="G33" s="10"/>
      <c r="H33" s="10">
        <f>IF((D33-E33)&lt;0,0,(D33-E33))</f>
        <v>2760</v>
      </c>
      <c r="I33" s="10">
        <f>IF((E33-D33)&lt;0,0,(E33-D33))</f>
        <v>0</v>
      </c>
      <c r="J33" s="10">
        <f>Table14[[#This Row],[Enrolment S.Y. 2025-2026 ]]*8</f>
        <v>2760</v>
      </c>
      <c r="K33" s="10"/>
      <c r="L33" s="8"/>
      <c r="M33" s="10"/>
      <c r="N33" s="10">
        <f t="shared" ref="N33:N37" si="20">IF((J33-K33)&lt;0,0,(J33-K33))</f>
        <v>2760</v>
      </c>
      <c r="O33" s="10">
        <f t="shared" ref="O33:O37" si="21">IF((K33-J33)&lt;0,0,(K33-J33))</f>
        <v>0</v>
      </c>
      <c r="P33" s="10">
        <f>Table14[[#This Row],[Enrolment S.Y. 2025-2026 ]]*8</f>
        <v>2760</v>
      </c>
      <c r="Q33" s="10">
        <v>62</v>
      </c>
      <c r="R33" s="8">
        <v>2025</v>
      </c>
      <c r="S33" s="10" t="s">
        <v>56</v>
      </c>
      <c r="T33" s="10">
        <f>IF((P33-Q33)&lt;0,0,(P33-Q33))</f>
        <v>2698</v>
      </c>
      <c r="U33" s="10">
        <f>IF((Q33-P33)&lt;0,0,(Q33-P33))</f>
        <v>0</v>
      </c>
      <c r="V33" s="10">
        <f>Table14[[#This Row],[Enrolment S.Y. 2025-2026 ]]*8</f>
        <v>2760</v>
      </c>
      <c r="W33" s="10">
        <v>62</v>
      </c>
      <c r="X33" s="8">
        <v>2025</v>
      </c>
      <c r="Y33" s="10" t="s">
        <v>56</v>
      </c>
      <c r="Z33" s="10">
        <f>IF((V33-W33)&lt;0,0,(V33-W33))</f>
        <v>2698</v>
      </c>
      <c r="AA33" s="10">
        <f>IF((W33-V33)&lt;0,0,(W33-V33))</f>
        <v>0</v>
      </c>
    </row>
    <row r="34" spans="1:27" ht="19.5">
      <c r="A34" s="8">
        <v>9</v>
      </c>
      <c r="B34" s="9" t="s">
        <v>82</v>
      </c>
      <c r="C34" s="8">
        <v>345</v>
      </c>
      <c r="D34" s="10">
        <f>Table14[[#This Row],[Enrolment S.Y. 2025-2026 ]]*8</f>
        <v>2760</v>
      </c>
      <c r="E34" s="10"/>
      <c r="F34" s="8"/>
      <c r="G34" s="10"/>
      <c r="H34" s="10">
        <f t="shared" si="16"/>
        <v>2760</v>
      </c>
      <c r="I34" s="10">
        <f t="shared" si="17"/>
        <v>0</v>
      </c>
      <c r="J34" s="10">
        <f>Table14[[#This Row],[Enrolment S.Y. 2025-2026 ]]*8</f>
        <v>2760</v>
      </c>
      <c r="K34" s="10"/>
      <c r="L34" s="8"/>
      <c r="M34" s="10"/>
      <c r="N34" s="10">
        <f t="shared" si="20"/>
        <v>2760</v>
      </c>
      <c r="O34" s="10">
        <f t="shared" si="21"/>
        <v>0</v>
      </c>
      <c r="P34" s="10">
        <f>Table14[[#This Row],[Enrolment S.Y. 2025-2026 ]]*8</f>
        <v>2760</v>
      </c>
      <c r="Q34" s="10">
        <v>62</v>
      </c>
      <c r="R34" s="8">
        <v>2025</v>
      </c>
      <c r="S34" s="10" t="s">
        <v>56</v>
      </c>
      <c r="T34" s="10">
        <f t="shared" si="10"/>
        <v>2698</v>
      </c>
      <c r="U34" s="10">
        <f t="shared" si="11"/>
        <v>0</v>
      </c>
      <c r="V34" s="10">
        <f>Table14[[#This Row],[Enrolment S.Y. 2025-2026 ]]*8</f>
        <v>2760</v>
      </c>
      <c r="W34" s="10">
        <v>62</v>
      </c>
      <c r="X34" s="8">
        <v>2025</v>
      </c>
      <c r="Y34" s="10" t="s">
        <v>56</v>
      </c>
      <c r="Z34" s="10">
        <f t="shared" si="12"/>
        <v>2698</v>
      </c>
      <c r="AA34" s="10">
        <f t="shared" si="13"/>
        <v>0</v>
      </c>
    </row>
    <row r="35" spans="1:27" ht="19.5">
      <c r="A35" s="8">
        <v>9</v>
      </c>
      <c r="B35" s="9" t="s">
        <v>16</v>
      </c>
      <c r="C35" s="8">
        <v>345</v>
      </c>
      <c r="D35" s="10">
        <f>Table14[[#This Row],[Enrolment S.Y. 2025-2026 ]]*8</f>
        <v>2760</v>
      </c>
      <c r="E35" s="10"/>
      <c r="F35" s="8"/>
      <c r="G35" s="10"/>
      <c r="H35" s="10">
        <f t="shared" si="16"/>
        <v>2760</v>
      </c>
      <c r="I35" s="10">
        <f t="shared" si="17"/>
        <v>0</v>
      </c>
      <c r="J35" s="10">
        <f>Table14[[#This Row],[Enrolment S.Y. 2025-2026 ]]*8</f>
        <v>2760</v>
      </c>
      <c r="K35" s="10"/>
      <c r="L35" s="8"/>
      <c r="M35" s="10"/>
      <c r="N35" s="10">
        <f t="shared" si="20"/>
        <v>2760</v>
      </c>
      <c r="O35" s="10">
        <f t="shared" si="21"/>
        <v>0</v>
      </c>
      <c r="P35" s="10">
        <f>Table14[[#This Row],[Enrolment S.Y. 2025-2026 ]]*8</f>
        <v>2760</v>
      </c>
      <c r="Q35" s="10">
        <v>62</v>
      </c>
      <c r="R35" s="8">
        <v>2025</v>
      </c>
      <c r="S35" s="10" t="s">
        <v>56</v>
      </c>
      <c r="T35" s="10">
        <f t="shared" si="10"/>
        <v>2698</v>
      </c>
      <c r="U35" s="10">
        <f t="shared" si="11"/>
        <v>0</v>
      </c>
      <c r="V35" s="10">
        <f>Table14[[#This Row],[Enrolment S.Y. 2025-2026 ]]*8</f>
        <v>2760</v>
      </c>
      <c r="W35" s="10"/>
      <c r="X35" s="8"/>
      <c r="Y35" s="10"/>
      <c r="Z35" s="10">
        <f t="shared" si="12"/>
        <v>2760</v>
      </c>
      <c r="AA35" s="10">
        <f t="shared" si="13"/>
        <v>0</v>
      </c>
    </row>
    <row r="36" spans="1:27" ht="19.5">
      <c r="A36" s="32">
        <v>9</v>
      </c>
      <c r="B36" s="9" t="s">
        <v>83</v>
      </c>
      <c r="C36" s="8">
        <v>345</v>
      </c>
      <c r="D36" s="10">
        <f>Table14[[#This Row],[Enrolment S.Y. 2025-2026 ]]*8</f>
        <v>2760</v>
      </c>
      <c r="E36" s="10"/>
      <c r="F36" s="8"/>
      <c r="G36" s="10"/>
      <c r="H36" s="10">
        <f>IF((D36-E36)&lt;0,0,(D36-E36))</f>
        <v>2760</v>
      </c>
      <c r="I36" s="10">
        <f>IF((E36-D36)&lt;0,0,(E36-D36))</f>
        <v>0</v>
      </c>
      <c r="J36" s="10">
        <f>Table14[[#This Row],[Enrolment S.Y. 2025-2026 ]]*8</f>
        <v>2760</v>
      </c>
      <c r="K36" s="10"/>
      <c r="L36" s="8"/>
      <c r="M36" s="10"/>
      <c r="N36" s="10">
        <f t="shared" si="20"/>
        <v>2760</v>
      </c>
      <c r="O36" s="10">
        <f t="shared" si="21"/>
        <v>0</v>
      </c>
      <c r="P36" s="10">
        <f>Table14[[#This Row],[Enrolment S.Y. 2025-2026 ]]*8</f>
        <v>2760</v>
      </c>
      <c r="Q36" s="10">
        <v>62</v>
      </c>
      <c r="R36" s="8">
        <v>2025</v>
      </c>
      <c r="S36" s="10" t="s">
        <v>56</v>
      </c>
      <c r="T36" s="10">
        <f>IF((P36-Q36)&lt;0,0,(P36-Q36))</f>
        <v>2698</v>
      </c>
      <c r="U36" s="10">
        <f>IF((Q36-P36)&lt;0,0,(Q36-P36))</f>
        <v>0</v>
      </c>
      <c r="V36" s="10">
        <f>Table14[[#This Row],[Enrolment S.Y. 2025-2026 ]]*8</f>
        <v>2760</v>
      </c>
      <c r="W36" s="10">
        <v>62</v>
      </c>
      <c r="X36" s="8">
        <v>2025</v>
      </c>
      <c r="Y36" s="10" t="s">
        <v>56</v>
      </c>
      <c r="Z36" s="10">
        <f>IF((V36-W36)&lt;0,0,(V36-W36))</f>
        <v>2698</v>
      </c>
      <c r="AA36" s="10">
        <f>IF((W36-V36)&lt;0,0,(W36-V36))</f>
        <v>0</v>
      </c>
    </row>
    <row r="37" spans="1:27" ht="19.5">
      <c r="A37" s="8">
        <v>9</v>
      </c>
      <c r="B37" s="9" t="s">
        <v>84</v>
      </c>
      <c r="C37" s="8">
        <v>345</v>
      </c>
      <c r="D37" s="10">
        <f>Table14[[#This Row],[Enrolment S.Y. 2025-2026 ]]*8</f>
        <v>2760</v>
      </c>
      <c r="E37" s="10"/>
      <c r="F37" s="8"/>
      <c r="G37" s="10"/>
      <c r="H37" s="10">
        <f t="shared" si="16"/>
        <v>2760</v>
      </c>
      <c r="I37" s="10">
        <f t="shared" si="17"/>
        <v>0</v>
      </c>
      <c r="J37" s="10">
        <f>Table14[[#This Row],[Enrolment S.Y. 2025-2026 ]]*8</f>
        <v>2760</v>
      </c>
      <c r="K37" s="10"/>
      <c r="L37" s="8"/>
      <c r="M37" s="10"/>
      <c r="N37" s="10">
        <f t="shared" si="20"/>
        <v>2760</v>
      </c>
      <c r="O37" s="10">
        <f t="shared" si="21"/>
        <v>0</v>
      </c>
      <c r="P37" s="10">
        <f>Table14[[#This Row],[Enrolment S.Y. 2025-2026 ]]*8</f>
        <v>2760</v>
      </c>
      <c r="Q37" s="10">
        <v>62</v>
      </c>
      <c r="R37" s="8">
        <v>2025</v>
      </c>
      <c r="S37" s="10" t="s">
        <v>56</v>
      </c>
      <c r="T37" s="10">
        <f t="shared" si="10"/>
        <v>2698</v>
      </c>
      <c r="U37" s="10">
        <f t="shared" si="11"/>
        <v>0</v>
      </c>
      <c r="V37" s="10">
        <f>Table14[[#This Row],[Enrolment S.Y. 2025-2026 ]]*8</f>
        <v>2760</v>
      </c>
      <c r="W37" s="10">
        <v>62</v>
      </c>
      <c r="X37" s="8">
        <v>2025</v>
      </c>
      <c r="Y37" s="10" t="s">
        <v>56</v>
      </c>
      <c r="Z37" s="10">
        <f t="shared" si="12"/>
        <v>2698</v>
      </c>
      <c r="AA37" s="10">
        <f t="shared" si="13"/>
        <v>0</v>
      </c>
    </row>
    <row r="38" spans="1:27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>
        <v>463</v>
      </c>
      <c r="D39" s="10">
        <f>Table14[[#This Row],[Enrolment S.Y. 2025-2026 ]]*8</f>
        <v>3704</v>
      </c>
      <c r="E39" s="10"/>
      <c r="F39" s="8"/>
      <c r="G39" s="10"/>
      <c r="H39" s="10">
        <f t="shared" si="16"/>
        <v>3704</v>
      </c>
      <c r="I39" s="10">
        <f t="shared" si="17"/>
        <v>0</v>
      </c>
      <c r="J39" s="10">
        <f>Table14[[#This Row],[Enrolment S.Y. 2025-2026 ]]*8</f>
        <v>3704</v>
      </c>
      <c r="K39" s="10"/>
      <c r="L39" s="8"/>
      <c r="M39" s="10"/>
      <c r="N39" s="10">
        <f t="shared" si="14"/>
        <v>3704</v>
      </c>
      <c r="O39" s="10">
        <f t="shared" si="15"/>
        <v>0</v>
      </c>
      <c r="P39" s="10">
        <f>Table14[[#This Row],[Enrolment S.Y. 2025-2026 ]]*8</f>
        <v>3704</v>
      </c>
      <c r="Q39" s="10">
        <v>87</v>
      </c>
      <c r="R39" s="8">
        <v>2025</v>
      </c>
      <c r="S39" s="10" t="s">
        <v>56</v>
      </c>
      <c r="T39" s="10">
        <f t="shared" si="10"/>
        <v>3617</v>
      </c>
      <c r="U39" s="10">
        <f t="shared" si="11"/>
        <v>0</v>
      </c>
      <c r="V39" s="10">
        <f>Table14[[#This Row],[Enrolment S.Y. 2025-2026 ]]*8</f>
        <v>3704</v>
      </c>
      <c r="W39" s="10">
        <v>87</v>
      </c>
      <c r="X39" s="8">
        <v>2025</v>
      </c>
      <c r="Y39" s="10" t="s">
        <v>56</v>
      </c>
      <c r="Z39" s="10">
        <f t="shared" si="12"/>
        <v>3617</v>
      </c>
      <c r="AA39" s="10">
        <f t="shared" si="13"/>
        <v>0</v>
      </c>
    </row>
    <row r="40" spans="1:27" ht="19.5">
      <c r="A40" s="8">
        <v>10</v>
      </c>
      <c r="B40" s="9" t="s">
        <v>10</v>
      </c>
      <c r="C40" s="8">
        <v>463</v>
      </c>
      <c r="D40" s="10">
        <f>Table14[[#This Row],[Enrolment S.Y. 2025-2026 ]]*8</f>
        <v>3704</v>
      </c>
      <c r="E40" s="10"/>
      <c r="F40" s="8"/>
      <c r="G40" s="10"/>
      <c r="H40" s="10">
        <f t="shared" si="16"/>
        <v>3704</v>
      </c>
      <c r="I40" s="10">
        <f t="shared" si="17"/>
        <v>0</v>
      </c>
      <c r="J40" s="10">
        <f>Table14[[#This Row],[Enrolment S.Y. 2025-2026 ]]*8</f>
        <v>3704</v>
      </c>
      <c r="K40" s="10"/>
      <c r="L40" s="8"/>
      <c r="M40" s="10"/>
      <c r="N40" s="10">
        <f t="shared" si="14"/>
        <v>3704</v>
      </c>
      <c r="O40" s="10">
        <f t="shared" si="15"/>
        <v>0</v>
      </c>
      <c r="P40" s="10">
        <f>Table14[[#This Row],[Enrolment S.Y. 2025-2026 ]]*8</f>
        <v>3704</v>
      </c>
      <c r="Q40" s="10">
        <v>87</v>
      </c>
      <c r="R40" s="8">
        <v>2025</v>
      </c>
      <c r="S40" s="10" t="s">
        <v>56</v>
      </c>
      <c r="T40" s="10">
        <f t="shared" si="10"/>
        <v>3617</v>
      </c>
      <c r="U40" s="10">
        <f t="shared" si="11"/>
        <v>0</v>
      </c>
      <c r="V40" s="10">
        <f>Table14[[#This Row],[Enrolment S.Y. 2025-2026 ]]*8</f>
        <v>3704</v>
      </c>
      <c r="W40" s="10">
        <v>87</v>
      </c>
      <c r="X40" s="8">
        <v>2025</v>
      </c>
      <c r="Y40" s="10" t="s">
        <v>56</v>
      </c>
      <c r="Z40" s="10">
        <f t="shared" si="12"/>
        <v>3617</v>
      </c>
      <c r="AA40" s="10">
        <f t="shared" si="13"/>
        <v>0</v>
      </c>
    </row>
    <row r="41" spans="1:27" ht="19.5">
      <c r="A41" s="8">
        <v>10</v>
      </c>
      <c r="B41" s="9" t="s">
        <v>11</v>
      </c>
      <c r="C41" s="8">
        <v>463</v>
      </c>
      <c r="D41" s="10">
        <f>Table14[[#This Row],[Enrolment S.Y. 2025-2026 ]]*8</f>
        <v>3704</v>
      </c>
      <c r="E41" s="10"/>
      <c r="F41" s="8"/>
      <c r="G41" s="10"/>
      <c r="H41" s="10">
        <f t="shared" si="16"/>
        <v>3704</v>
      </c>
      <c r="I41" s="10">
        <f t="shared" si="17"/>
        <v>0</v>
      </c>
      <c r="J41" s="10">
        <f>Table14[[#This Row],[Enrolment S.Y. 2025-2026 ]]*8</f>
        <v>3704</v>
      </c>
      <c r="K41" s="10"/>
      <c r="L41" s="8"/>
      <c r="M41" s="10"/>
      <c r="N41" s="10">
        <f t="shared" si="14"/>
        <v>3704</v>
      </c>
      <c r="O41" s="10">
        <f t="shared" si="15"/>
        <v>0</v>
      </c>
      <c r="P41" s="10">
        <f>Table14[[#This Row],[Enrolment S.Y. 2025-2026 ]]*8</f>
        <v>3704</v>
      </c>
      <c r="Q41" s="10">
        <v>87</v>
      </c>
      <c r="R41" s="8">
        <v>2025</v>
      </c>
      <c r="S41" s="10" t="s">
        <v>56</v>
      </c>
      <c r="T41" s="10">
        <f t="shared" si="10"/>
        <v>3617</v>
      </c>
      <c r="U41" s="10">
        <f t="shared" si="11"/>
        <v>0</v>
      </c>
      <c r="V41" s="10">
        <f>Table14[[#This Row],[Enrolment S.Y. 2025-2026 ]]*8</f>
        <v>3704</v>
      </c>
      <c r="W41" s="10">
        <v>87</v>
      </c>
      <c r="X41" s="8">
        <v>2025</v>
      </c>
      <c r="Y41" s="10" t="s">
        <v>56</v>
      </c>
      <c r="Z41" s="10">
        <f t="shared" si="12"/>
        <v>3617</v>
      </c>
      <c r="AA41" s="10">
        <f t="shared" si="13"/>
        <v>0</v>
      </c>
    </row>
    <row r="42" spans="1:27" s="5" customFormat="1" ht="19.5">
      <c r="A42" s="8">
        <v>10</v>
      </c>
      <c r="B42" s="9" t="s">
        <v>12</v>
      </c>
      <c r="C42" s="8">
        <v>463</v>
      </c>
      <c r="D42" s="10">
        <f>Table14[[#This Row],[Enrolment S.Y. 2025-2026 ]]*8</f>
        <v>3704</v>
      </c>
      <c r="E42" s="10"/>
      <c r="F42" s="8"/>
      <c r="G42" s="10"/>
      <c r="H42" s="10">
        <f t="shared" si="16"/>
        <v>3704</v>
      </c>
      <c r="I42" s="10">
        <f t="shared" si="17"/>
        <v>0</v>
      </c>
      <c r="J42" s="10">
        <f>Table14[[#This Row],[Enrolment S.Y. 2025-2026 ]]*8</f>
        <v>3704</v>
      </c>
      <c r="K42" s="10"/>
      <c r="L42" s="8"/>
      <c r="M42" s="10"/>
      <c r="N42" s="10">
        <f t="shared" si="14"/>
        <v>3704</v>
      </c>
      <c r="O42" s="10">
        <f t="shared" si="15"/>
        <v>0</v>
      </c>
      <c r="P42" s="10">
        <f>Table14[[#This Row],[Enrolment S.Y. 2025-2026 ]]*8</f>
        <v>3704</v>
      </c>
      <c r="Q42" s="10">
        <v>87</v>
      </c>
      <c r="R42" s="8">
        <v>2025</v>
      </c>
      <c r="S42" s="10" t="s">
        <v>56</v>
      </c>
      <c r="T42" s="10">
        <f t="shared" si="10"/>
        <v>3617</v>
      </c>
      <c r="U42" s="10">
        <f t="shared" si="11"/>
        <v>0</v>
      </c>
      <c r="V42" s="10">
        <f>Table14[[#This Row],[Enrolment S.Y. 2025-2026 ]]*8</f>
        <v>3704</v>
      </c>
      <c r="W42" s="10">
        <v>87</v>
      </c>
      <c r="X42" s="8">
        <v>2025</v>
      </c>
      <c r="Y42" s="10" t="s">
        <v>56</v>
      </c>
      <c r="Z42" s="10">
        <f t="shared" si="12"/>
        <v>3617</v>
      </c>
      <c r="AA42" s="10">
        <f t="shared" si="13"/>
        <v>0</v>
      </c>
    </row>
    <row r="43" spans="1:27" ht="19.5">
      <c r="A43" s="8">
        <v>10</v>
      </c>
      <c r="B43" s="9" t="s">
        <v>18</v>
      </c>
      <c r="C43" s="8">
        <v>463</v>
      </c>
      <c r="D43" s="10">
        <f>Table14[[#This Row],[Enrolment S.Y. 2025-2026 ]]*8</f>
        <v>3704</v>
      </c>
      <c r="E43" s="10"/>
      <c r="F43" s="8"/>
      <c r="G43" s="10"/>
      <c r="H43" s="10">
        <f t="shared" si="16"/>
        <v>3704</v>
      </c>
      <c r="I43" s="10">
        <f t="shared" si="17"/>
        <v>0</v>
      </c>
      <c r="J43" s="10">
        <f>Table14[[#This Row],[Enrolment S.Y. 2025-2026 ]]*8</f>
        <v>3704</v>
      </c>
      <c r="K43" s="10"/>
      <c r="L43" s="8"/>
      <c r="M43" s="10"/>
      <c r="N43" s="10">
        <f t="shared" si="14"/>
        <v>3704</v>
      </c>
      <c r="O43" s="10">
        <f t="shared" si="15"/>
        <v>0</v>
      </c>
      <c r="P43" s="10">
        <f>Table14[[#This Row],[Enrolment S.Y. 2025-2026 ]]*8</f>
        <v>3704</v>
      </c>
      <c r="Q43" s="10">
        <v>87</v>
      </c>
      <c r="R43" s="8">
        <v>2025</v>
      </c>
      <c r="S43" s="10" t="s">
        <v>56</v>
      </c>
      <c r="T43" s="10">
        <f t="shared" si="10"/>
        <v>3617</v>
      </c>
      <c r="U43" s="10">
        <f t="shared" si="11"/>
        <v>0</v>
      </c>
      <c r="V43" s="10">
        <f>Table14[[#This Row],[Enrolment S.Y. 2025-2026 ]]*8</f>
        <v>3704</v>
      </c>
      <c r="W43" s="10">
        <v>87</v>
      </c>
      <c r="X43" s="8">
        <v>2025</v>
      </c>
      <c r="Y43" s="10" t="s">
        <v>56</v>
      </c>
      <c r="Z43" s="10">
        <f t="shared" si="12"/>
        <v>3617</v>
      </c>
      <c r="AA43" s="10">
        <f t="shared" si="13"/>
        <v>0</v>
      </c>
    </row>
    <row r="44" spans="1:27" ht="19.5">
      <c r="A44" s="8">
        <v>10</v>
      </c>
      <c r="B44" s="9" t="s">
        <v>14</v>
      </c>
      <c r="C44" s="8">
        <v>463</v>
      </c>
      <c r="D44" s="10">
        <f>Table14[[#This Row],[Enrolment S.Y. 2025-2026 ]]*8</f>
        <v>3704</v>
      </c>
      <c r="E44" s="10"/>
      <c r="F44" s="8"/>
      <c r="G44" s="10"/>
      <c r="H44" s="10">
        <f t="shared" si="16"/>
        <v>3704</v>
      </c>
      <c r="I44" s="10">
        <f t="shared" si="17"/>
        <v>0</v>
      </c>
      <c r="J44" s="10">
        <f>Table14[[#This Row],[Enrolment S.Y. 2025-2026 ]]*8</f>
        <v>3704</v>
      </c>
      <c r="K44" s="10"/>
      <c r="L44" s="8"/>
      <c r="M44" s="10"/>
      <c r="N44" s="10">
        <f t="shared" si="14"/>
        <v>3704</v>
      </c>
      <c r="O44" s="10">
        <f t="shared" si="15"/>
        <v>0</v>
      </c>
      <c r="P44" s="10">
        <f>Table14[[#This Row],[Enrolment S.Y. 2025-2026 ]]*8</f>
        <v>3704</v>
      </c>
      <c r="Q44" s="10">
        <v>87</v>
      </c>
      <c r="R44" s="8">
        <v>2025</v>
      </c>
      <c r="S44" s="10" t="s">
        <v>56</v>
      </c>
      <c r="T44" s="10">
        <f t="shared" si="10"/>
        <v>3617</v>
      </c>
      <c r="U44" s="10">
        <f t="shared" si="11"/>
        <v>0</v>
      </c>
      <c r="V44" s="10">
        <f>Table14[[#This Row],[Enrolment S.Y. 2025-2026 ]]*8</f>
        <v>3704</v>
      </c>
      <c r="W44" s="10">
        <v>87</v>
      </c>
      <c r="X44" s="8">
        <v>2025</v>
      </c>
      <c r="Y44" s="10" t="s">
        <v>56</v>
      </c>
      <c r="Z44" s="10">
        <f t="shared" si="12"/>
        <v>3617</v>
      </c>
      <c r="AA44" s="10">
        <f t="shared" si="13"/>
        <v>0</v>
      </c>
    </row>
    <row r="45" spans="1:27" ht="19.5">
      <c r="A45" s="32">
        <v>10</v>
      </c>
      <c r="B45" s="9" t="s">
        <v>81</v>
      </c>
      <c r="C45" s="8">
        <v>463</v>
      </c>
      <c r="D45" s="10">
        <f>Table14[[#This Row],[Enrolment S.Y. 2025-2026 ]]*8</f>
        <v>3704</v>
      </c>
      <c r="E45" s="10"/>
      <c r="F45" s="8"/>
      <c r="G45" s="10"/>
      <c r="H45" s="10">
        <f>IF((D45-E45)&lt;0,0,(D45-E45))</f>
        <v>3704</v>
      </c>
      <c r="I45" s="10">
        <f>IF((E45-D45)&lt;0,0,(E45-D45))</f>
        <v>0</v>
      </c>
      <c r="J45" s="10">
        <f>Table14[[#This Row],[Enrolment S.Y. 2025-2026 ]]*8</f>
        <v>3704</v>
      </c>
      <c r="K45" s="10"/>
      <c r="L45" s="8"/>
      <c r="M45" s="10"/>
      <c r="N45" s="10">
        <f t="shared" ref="N45:N49" si="22">IF((J45-K45)&lt;0,0,(J45-K45))</f>
        <v>3704</v>
      </c>
      <c r="O45" s="10">
        <f t="shared" ref="O45:O49" si="23">IF((K45-J45)&lt;0,0,(K45-J45))</f>
        <v>0</v>
      </c>
      <c r="P45" s="10">
        <f>Table14[[#This Row],[Enrolment S.Y. 2025-2026 ]]*8</f>
        <v>3704</v>
      </c>
      <c r="Q45" s="10">
        <v>87</v>
      </c>
      <c r="R45" s="8">
        <v>2025</v>
      </c>
      <c r="S45" s="10" t="s">
        <v>56</v>
      </c>
      <c r="T45" s="10">
        <f>IF((P45-Q45)&lt;0,0,(P45-Q45))</f>
        <v>3617</v>
      </c>
      <c r="U45" s="10">
        <f>IF((Q45-P45)&lt;0,0,(Q45-P45))</f>
        <v>0</v>
      </c>
      <c r="V45" s="10">
        <f>Table14[[#This Row],[Enrolment S.Y. 2025-2026 ]]*8</f>
        <v>3704</v>
      </c>
      <c r="W45" s="10">
        <v>87</v>
      </c>
      <c r="X45" s="8">
        <v>2025</v>
      </c>
      <c r="Y45" s="10" t="s">
        <v>56</v>
      </c>
      <c r="Z45" s="10">
        <f>IF((V45-W45)&lt;0,0,(V45-W45))</f>
        <v>3617</v>
      </c>
      <c r="AA45" s="10">
        <f>IF((W45-V45)&lt;0,0,(W45-V45))</f>
        <v>0</v>
      </c>
    </row>
    <row r="46" spans="1:27" ht="19.5">
      <c r="A46" s="8">
        <v>10</v>
      </c>
      <c r="B46" s="9" t="s">
        <v>82</v>
      </c>
      <c r="C46" s="8">
        <v>463</v>
      </c>
      <c r="D46" s="10">
        <f>Table14[[#This Row],[Enrolment S.Y. 2025-2026 ]]*8</f>
        <v>3704</v>
      </c>
      <c r="E46" s="10"/>
      <c r="F46" s="8"/>
      <c r="G46" s="10"/>
      <c r="H46" s="10">
        <f t="shared" si="16"/>
        <v>3704</v>
      </c>
      <c r="I46" s="10">
        <f t="shared" si="17"/>
        <v>0</v>
      </c>
      <c r="J46" s="10">
        <f>Table14[[#This Row],[Enrolment S.Y. 2025-2026 ]]*8</f>
        <v>3704</v>
      </c>
      <c r="K46" s="10"/>
      <c r="L46" s="8"/>
      <c r="M46" s="10"/>
      <c r="N46" s="10">
        <f t="shared" si="22"/>
        <v>3704</v>
      </c>
      <c r="O46" s="10">
        <f t="shared" si="23"/>
        <v>0</v>
      </c>
      <c r="P46" s="10">
        <f>Table14[[#This Row],[Enrolment S.Y. 2025-2026 ]]*8</f>
        <v>3704</v>
      </c>
      <c r="Q46" s="10">
        <v>87</v>
      </c>
      <c r="R46" s="8">
        <v>2025</v>
      </c>
      <c r="S46" s="10" t="s">
        <v>56</v>
      </c>
      <c r="T46" s="10">
        <f t="shared" si="10"/>
        <v>3617</v>
      </c>
      <c r="U46" s="10">
        <f t="shared" si="11"/>
        <v>0</v>
      </c>
      <c r="V46" s="10">
        <f>Table14[[#This Row],[Enrolment S.Y. 2025-2026 ]]*8</f>
        <v>3704</v>
      </c>
      <c r="W46" s="10">
        <v>87</v>
      </c>
      <c r="X46" s="8">
        <v>2025</v>
      </c>
      <c r="Y46" s="10" t="s">
        <v>56</v>
      </c>
      <c r="Z46" s="10">
        <f t="shared" si="12"/>
        <v>3617</v>
      </c>
      <c r="AA46" s="10">
        <f t="shared" si="13"/>
        <v>0</v>
      </c>
    </row>
    <row r="47" spans="1:27" ht="19.5">
      <c r="A47" s="8">
        <v>10</v>
      </c>
      <c r="B47" s="9" t="s">
        <v>16</v>
      </c>
      <c r="C47" s="8">
        <v>463</v>
      </c>
      <c r="D47" s="10">
        <f>Table14[[#This Row],[Enrolment S.Y. 2025-2026 ]]*8</f>
        <v>3704</v>
      </c>
      <c r="E47" s="10"/>
      <c r="F47" s="8"/>
      <c r="G47" s="10"/>
      <c r="H47" s="10">
        <f t="shared" si="16"/>
        <v>3704</v>
      </c>
      <c r="I47" s="10">
        <f t="shared" si="17"/>
        <v>0</v>
      </c>
      <c r="J47" s="10">
        <f>Table14[[#This Row],[Enrolment S.Y. 2025-2026 ]]*8</f>
        <v>3704</v>
      </c>
      <c r="K47" s="10"/>
      <c r="L47" s="8"/>
      <c r="M47" s="10"/>
      <c r="N47" s="10">
        <f t="shared" si="22"/>
        <v>3704</v>
      </c>
      <c r="O47" s="10">
        <f t="shared" si="23"/>
        <v>0</v>
      </c>
      <c r="P47" s="10">
        <f>Table14[[#This Row],[Enrolment S.Y. 2025-2026 ]]*8</f>
        <v>3704</v>
      </c>
      <c r="Q47" s="10">
        <v>87</v>
      </c>
      <c r="R47" s="8">
        <v>2025</v>
      </c>
      <c r="S47" s="10" t="s">
        <v>56</v>
      </c>
      <c r="T47" s="10">
        <f t="shared" si="10"/>
        <v>3617</v>
      </c>
      <c r="U47" s="10">
        <f t="shared" si="11"/>
        <v>0</v>
      </c>
      <c r="V47" s="10">
        <f>Table14[[#This Row],[Enrolment S.Y. 2025-2026 ]]*8</f>
        <v>3704</v>
      </c>
      <c r="W47" s="10"/>
      <c r="X47" s="8"/>
      <c r="Y47" s="10"/>
      <c r="Z47" s="10">
        <f t="shared" si="12"/>
        <v>3704</v>
      </c>
      <c r="AA47" s="10">
        <f t="shared" si="13"/>
        <v>0</v>
      </c>
    </row>
    <row r="48" spans="1:27" ht="19.5">
      <c r="A48" s="32">
        <v>10</v>
      </c>
      <c r="B48" s="9" t="s">
        <v>83</v>
      </c>
      <c r="C48" s="8">
        <v>463</v>
      </c>
      <c r="D48" s="10">
        <f>Table14[[#This Row],[Enrolment S.Y. 2025-2026 ]]*8</f>
        <v>3704</v>
      </c>
      <c r="E48" s="10"/>
      <c r="F48" s="8"/>
      <c r="G48" s="10"/>
      <c r="H48" s="10">
        <f>IF((D48-E48)&lt;0,0,(D48-E48))</f>
        <v>3704</v>
      </c>
      <c r="I48" s="10">
        <f>IF((E48-D48)&lt;0,0,(E48-D48))</f>
        <v>0</v>
      </c>
      <c r="J48" s="10">
        <f>Table14[[#This Row],[Enrolment S.Y. 2025-2026 ]]*8</f>
        <v>3704</v>
      </c>
      <c r="K48" s="10"/>
      <c r="L48" s="8"/>
      <c r="M48" s="10"/>
      <c r="N48" s="10">
        <f t="shared" si="22"/>
        <v>3704</v>
      </c>
      <c r="O48" s="10">
        <f t="shared" si="23"/>
        <v>0</v>
      </c>
      <c r="P48" s="10">
        <f>Table14[[#This Row],[Enrolment S.Y. 2025-2026 ]]*8</f>
        <v>3704</v>
      </c>
      <c r="Q48" s="10">
        <v>87</v>
      </c>
      <c r="R48" s="8">
        <v>2025</v>
      </c>
      <c r="S48" s="10" t="s">
        <v>56</v>
      </c>
      <c r="T48" s="10">
        <f>IF((P48-Q48)&lt;0,0,(P48-Q48))</f>
        <v>3617</v>
      </c>
      <c r="U48" s="10">
        <f>IF((Q48-P48)&lt;0,0,(Q48-P48))</f>
        <v>0</v>
      </c>
      <c r="V48" s="10">
        <f>Table14[[#This Row],[Enrolment S.Y. 2025-2026 ]]*8</f>
        <v>3704</v>
      </c>
      <c r="W48" s="10">
        <v>87</v>
      </c>
      <c r="X48" s="8">
        <v>2025</v>
      </c>
      <c r="Y48" s="10" t="s">
        <v>56</v>
      </c>
      <c r="Z48" s="10">
        <f>IF((V48-W48)&lt;0,0,(V48-W48))</f>
        <v>3617</v>
      </c>
      <c r="AA48" s="10">
        <f>IF((W48-V48)&lt;0,0,(W48-V48))</f>
        <v>0</v>
      </c>
    </row>
    <row r="49" spans="1:27" ht="19.5">
      <c r="A49" s="8">
        <v>10</v>
      </c>
      <c r="B49" s="9" t="s">
        <v>84</v>
      </c>
      <c r="C49" s="8">
        <v>463</v>
      </c>
      <c r="D49" s="10">
        <f>Table14[[#This Row],[Enrolment S.Y. 2025-2026 ]]*8</f>
        <v>3704</v>
      </c>
      <c r="E49" s="10"/>
      <c r="F49" s="8"/>
      <c r="G49" s="10"/>
      <c r="H49" s="10">
        <f t="shared" si="16"/>
        <v>3704</v>
      </c>
      <c r="I49" s="10">
        <f t="shared" si="17"/>
        <v>0</v>
      </c>
      <c r="J49" s="10">
        <f>Table14[[#This Row],[Enrolment S.Y. 2025-2026 ]]*8</f>
        <v>3704</v>
      </c>
      <c r="K49" s="10"/>
      <c r="L49" s="8"/>
      <c r="M49" s="10"/>
      <c r="N49" s="10">
        <f t="shared" si="22"/>
        <v>3704</v>
      </c>
      <c r="O49" s="10">
        <f t="shared" si="23"/>
        <v>0</v>
      </c>
      <c r="P49" s="10">
        <f>Table14[[#This Row],[Enrolment S.Y. 2025-2026 ]]*8</f>
        <v>3704</v>
      </c>
      <c r="Q49" s="10">
        <v>87</v>
      </c>
      <c r="R49" s="8">
        <v>2025</v>
      </c>
      <c r="S49" s="10" t="s">
        <v>56</v>
      </c>
      <c r="T49" s="10">
        <f t="shared" si="10"/>
        <v>3617</v>
      </c>
      <c r="U49" s="10">
        <f t="shared" si="11"/>
        <v>0</v>
      </c>
      <c r="V49" s="10">
        <f>Table14[[#This Row],[Enrolment S.Y. 2025-2026 ]]*8</f>
        <v>3704</v>
      </c>
      <c r="W49" s="10">
        <v>87</v>
      </c>
      <c r="X49" s="8">
        <v>2025</v>
      </c>
      <c r="Y49" s="10" t="s">
        <v>56</v>
      </c>
      <c r="Z49" s="10">
        <f t="shared" si="12"/>
        <v>3617</v>
      </c>
      <c r="AA49" s="10">
        <f t="shared" si="13"/>
        <v>0</v>
      </c>
    </row>
    <row r="50" spans="1:27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19</v>
      </c>
      <c r="B51" s="7" t="s">
        <v>20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19</v>
      </c>
      <c r="B52" s="7" t="s">
        <v>21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19</v>
      </c>
      <c r="B53" s="7" t="s">
        <v>22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19</v>
      </c>
      <c r="B54" s="7" t="s">
        <v>23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19</v>
      </c>
      <c r="B55" s="7" t="s">
        <v>24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19</v>
      </c>
      <c r="B56" s="7" t="s">
        <v>25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19</v>
      </c>
      <c r="B57" s="7" t="s">
        <v>26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19</v>
      </c>
      <c r="B58" s="7" t="s">
        <v>27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/>
    <row r="67" spans="1:2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N39:R49 T27:X37 N27:R37 N3:R13 N15:R25 P2:R2 D15:F25 D27:F37 D51:F58 T39:X49 V2:X2 T3:X13 Z3:AA13 H3:L13 T15:X25 Z15:AA25 H15:L25 Z27:AA37 H27:L37 Z39:AA49 H39:L49 N51:R58 T51:X58 Z51:AA58 H51:L58 D39:F49 D2:F13" name="LAS"/>
    <protectedRange sqref="G2:I2 M2:O2 S2:U2 Y2:AA2 Y39:Y49 S39:S49 Y27:Y37 S27:S37 Y3:Y13 G3:G13 M3:M13 S3:S13 Y15:Y25 G15:G25 M15:M25 S15:S25 G27:G37 M27:M37 G39:G49 M39:M49 Y51:Y58 G51:G58 M51:M58 S51:S58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S39:S49 Y27:Y37 M27:M37 G27:G37 G39:G49 M51:M58 Y39:Y49 M39:M49 S27:S37" xr:uid="{CBD486C7-A5DB-48F1-B496-5027CC51E830}">
      <formula1>"CO,RO,SDO,LGU,SCHOOL"</formula1>
    </dataValidation>
    <dataValidation type="list" allowBlank="1" showInputMessage="1" showErrorMessage="1" sqref="F51:F58 F39:F49 F27:F37 F15:F25 F3:F13 L51:L58 L39:L49 L27:L37 L15:L25 L3:L13 R51:R58 R39:R49 R27:R37 R15:R25 R3:R13 X51:X58 X39:X49 X27:X37 X15:X25 X3:X1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2026-04-07T06:10:02Z</dcterms:modified>
  <cp:category/>
  <cp:contentStatus/>
</cp:coreProperties>
</file>