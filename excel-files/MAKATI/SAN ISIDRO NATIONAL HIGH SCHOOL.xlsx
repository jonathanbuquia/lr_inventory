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27" documentId="13_ncr:1_{BFB59F67-F0DC-4675-A682-EB0734A8026A}" xr6:coauthVersionLast="47" xr6:coauthVersionMax="47" xr10:uidLastSave="{69864B3D-9F21-42BE-A1A6-4A17809F8CA5}"/>
  <bookViews>
    <workbookView xWindow="465" yWindow="120" windowWidth="14100" windowHeight="15390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O111" i="5"/>
  <c r="P111" i="5"/>
  <c r="N112" i="5"/>
  <c r="O112" i="5"/>
  <c r="P112" i="5"/>
  <c r="U112" i="5" s="1"/>
  <c r="N113" i="5"/>
  <c r="O113" i="5"/>
  <c r="P113" i="5"/>
  <c r="U113" i="5" s="1"/>
  <c r="P97" i="5"/>
  <c r="T97" i="5" s="1"/>
  <c r="P98" i="5"/>
  <c r="N99" i="5"/>
  <c r="O99" i="5"/>
  <c r="P99" i="5"/>
  <c r="U99" i="5" s="1"/>
  <c r="N100" i="5"/>
  <c r="P100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V112" i="5"/>
  <c r="Z112" i="5" s="1"/>
  <c r="D109" i="5"/>
  <c r="H109" i="5" s="1"/>
  <c r="J109" i="5"/>
  <c r="N109" i="5" s="1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O100" i="5" s="1"/>
  <c r="T100" i="5"/>
  <c r="V100" i="5"/>
  <c r="Z100" i="5" s="1"/>
  <c r="D97" i="5"/>
  <c r="H97" i="5" s="1"/>
  <c r="J97" i="5"/>
  <c r="N97" i="5" s="1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J113" i="5"/>
  <c r="D113" i="5"/>
  <c r="I113" i="5" s="1"/>
  <c r="V111" i="5"/>
  <c r="Z111" i="5" s="1"/>
  <c r="J111" i="5"/>
  <c r="N111" i="5" s="1"/>
  <c r="D111" i="5"/>
  <c r="I111" i="5" s="1"/>
  <c r="V110" i="5"/>
  <c r="AA110" i="5" s="1"/>
  <c r="J110" i="5"/>
  <c r="N110" i="5" s="1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N101" i="5" s="1"/>
  <c r="D101" i="5"/>
  <c r="I101" i="5" s="1"/>
  <c r="V99" i="5"/>
  <c r="AA99" i="5" s="1"/>
  <c r="J99" i="5"/>
  <c r="D99" i="5"/>
  <c r="I99" i="5" s="1"/>
  <c r="V98" i="5"/>
  <c r="AA98" i="5" s="1"/>
  <c r="J98" i="5"/>
  <c r="N98" i="5" s="1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98" i="5"/>
  <c r="O97" i="5"/>
  <c r="O110" i="5"/>
  <c r="T112" i="5"/>
  <c r="O109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<sst xmlns="http://schemas.openxmlformats.org/spreadsheetml/2006/main" count="453" uniqueCount="92">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</sst>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5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>
        <v>296</v>
      </c>
      <c r="D51" s="10">
        <v>531</v>
      </c>
      <c r="E51" s="10">
        <v>2024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235</v>
      </c>
    </row>
    <row r="52" spans="1:10" ht="27.75" customHeight="1">
      <c r="A52" s="10">
        <v>7</v>
      </c>
      <c r="B52" s="11" t="s">
        <v>15</v>
      </c>
      <c r="C52" s="10">
        <v>296</v>
      </c>
      <c r="D52" s="10"/>
      <c r="E52" s="10"/>
      <c r="F52" s="12"/>
      <c r="G52" s="3">
        <f t="shared" si="10"/>
        <v>296</v>
      </c>
      <c r="H52" s="4">
        <f t="shared" si="11"/>
        <v>0</v>
      </c>
    </row>
    <row r="53" spans="1:10" ht="27.75" customHeight="1">
      <c r="A53" s="10">
        <v>7</v>
      </c>
      <c r="B53" s="11" t="s">
        <v>12</v>
      </c>
      <c r="C53" s="10">
        <v>296</v>
      </c>
      <c r="D53" s="10"/>
      <c r="E53" s="10"/>
      <c r="F53" s="12"/>
      <c r="G53" s="3">
        <f t="shared" si="10"/>
        <v>296</v>
      </c>
      <c r="H53" s="4">
        <f t="shared" si="11"/>
        <v>0</v>
      </c>
    </row>
    <row r="54" spans="1:10" ht="27.75" customHeight="1">
      <c r="A54" s="10">
        <v>7</v>
      </c>
      <c r="B54" s="11" t="s">
        <v>21</v>
      </c>
      <c r="C54" s="10">
        <v>296</v>
      </c>
      <c r="D54" s="10">
        <v>531</v>
      </c>
      <c r="E54" s="10"/>
      <c r="F54" s="12" t="s">
        <v>20</v>
      </c>
      <c r="G54" s="3">
        <f t="shared" si="10"/>
        <v>0</v>
      </c>
      <c r="H54" s="4">
        <f t="shared" si="11"/>
        <v>235</v>
      </c>
      <c r="J54">
        <v>2026</v>
      </c>
    </row>
    <row r="55" spans="1:10" ht="39" customHeight="1">
      <c r="A55" s="10">
        <v>7</v>
      </c>
      <c r="B55" s="11" t="s">
        <v>16</v>
      </c>
      <c r="C55" s="10">
        <v>296</v>
      </c>
      <c r="D55" s="10">
        <v>531</v>
      </c>
      <c r="E55" s="10">
        <v>2024</v>
      </c>
      <c r="F55" s="12" t="s">
        <v>20</v>
      </c>
      <c r="G55" s="3">
        <f t="shared" si="10"/>
        <v>0</v>
      </c>
      <c r="H55" s="4">
        <f t="shared" si="11"/>
        <v>235</v>
      </c>
    </row>
    <row r="56" spans="1:10" ht="27.75" customHeight="1">
      <c r="A56" s="10">
        <v>7</v>
      </c>
      <c r="B56" s="11" t="s">
        <v>13</v>
      </c>
      <c r="C56" s="10">
        <v>296</v>
      </c>
      <c r="D56" s="10"/>
      <c r="E56" s="10"/>
      <c r="F56" s="12"/>
      <c r="G56" s="3">
        <f t="shared" si="10"/>
        <v>296</v>
      </c>
      <c r="H56" s="4">
        <f t="shared" si="11"/>
        <v>0</v>
      </c>
    </row>
    <row r="57" spans="1:10" ht="27.75" customHeight="1">
      <c r="A57" s="10">
        <v>7</v>
      </c>
      <c r="B57" s="11" t="s">
        <v>17</v>
      </c>
      <c r="C57" s="10">
        <v>296</v>
      </c>
      <c r="D57" s="10"/>
      <c r="E57" s="10"/>
      <c r="F57" s="12"/>
      <c r="G57" s="3">
        <f t="shared" si="10"/>
        <v>296</v>
      </c>
      <c r="H57" s="4">
        <f t="shared" si="11"/>
        <v>0</v>
      </c>
    </row>
    <row r="58" spans="1:10" ht="27.75" customHeight="1">
      <c r="A58" s="10">
        <v>7</v>
      </c>
      <c r="B58" s="11" t="s">
        <v>22</v>
      </c>
      <c r="C58" s="10">
        <v>296</v>
      </c>
      <c r="D58" s="10">
        <v>531</v>
      </c>
      <c r="E58" s="10">
        <v>2024</v>
      </c>
      <c r="F58" s="12" t="s">
        <v>20</v>
      </c>
      <c r="G58" s="3">
        <f t="shared" si="10"/>
        <v>0</v>
      </c>
      <c r="H58" s="4">
        <f t="shared" si="11"/>
        <v>235</v>
      </c>
    </row>
    <row r="59" spans="1:10" ht="27.75" customHeight="1">
      <c r="A59" s="10">
        <v>7</v>
      </c>
      <c r="B59" s="11" t="s">
        <v>19</v>
      </c>
      <c r="C59" s="10">
        <v>296</v>
      </c>
      <c r="D59" s="10">
        <v>531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235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>
        <v>296</v>
      </c>
      <c r="D61" s="10"/>
      <c r="E61" s="10"/>
      <c r="F61" s="12"/>
      <c r="G61" s="3">
        <f t="shared" ref="G61:G69" si="12">IF((C61-D61)&lt;0,0,C61-D61)</f>
        <v>296</v>
      </c>
      <c r="H61" s="4">
        <f t="shared" ref="H61:H69" si="13">IF((D61-C61)&lt;0,0,D61-C61)</f>
        <v>0</v>
      </c>
    </row>
    <row r="62" spans="1:10" ht="27.75" customHeight="1">
      <c r="A62" s="10">
        <v>8</v>
      </c>
      <c r="B62" s="11" t="s">
        <v>15</v>
      </c>
      <c r="C62" s="10">
        <v>296</v>
      </c>
      <c r="D62" s="10"/>
      <c r="E62" s="10"/>
      <c r="F62" s="12"/>
      <c r="G62" s="3">
        <f t="shared" si="12"/>
        <v>296</v>
      </c>
      <c r="H62" s="4">
        <f t="shared" si="13"/>
        <v>0</v>
      </c>
    </row>
    <row r="63" spans="1:10" ht="27.75" customHeight="1">
      <c r="A63" s="10">
        <v>8</v>
      </c>
      <c r="B63" s="11" t="s">
        <v>12</v>
      </c>
      <c r="C63" s="10">
        <v>296</v>
      </c>
      <c r="D63" s="10">
        <v>330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34</v>
      </c>
    </row>
    <row r="64" spans="1:10" ht="27.75" customHeight="1">
      <c r="A64" s="10">
        <v>8</v>
      </c>
      <c r="B64" s="11" t="s">
        <v>21</v>
      </c>
      <c r="C64" s="10">
        <v>296</v>
      </c>
      <c r="D64" s="10">
        <v>330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34</v>
      </c>
    </row>
    <row r="65" spans="1:10" ht="27.75" customHeight="1">
      <c r="A65" s="10">
        <v>8</v>
      </c>
      <c r="B65" s="11" t="s">
        <v>23</v>
      </c>
      <c r="C65" s="10">
        <v>296</v>
      </c>
      <c r="D65" s="10"/>
      <c r="E65" s="10"/>
      <c r="F65" s="12"/>
      <c r="G65" s="3">
        <f t="shared" si="12"/>
        <v>296</v>
      </c>
      <c r="H65" s="4">
        <f t="shared" si="13"/>
        <v>0</v>
      </c>
    </row>
    <row r="66" spans="1:10" ht="27.75" customHeight="1">
      <c r="A66" s="10">
        <v>8</v>
      </c>
      <c r="B66" s="11" t="s">
        <v>13</v>
      </c>
      <c r="C66" s="10">
        <v>296</v>
      </c>
      <c r="D66" s="10">
        <v>330</v>
      </c>
      <c r="E66" s="10"/>
      <c r="F66" s="12" t="s">
        <v>20</v>
      </c>
      <c r="G66" s="3">
        <f t="shared" si="12"/>
        <v>0</v>
      </c>
      <c r="H66" s="4">
        <f t="shared" si="13"/>
        <v>34</v>
      </c>
      <c r="J66">
        <v>2026</v>
      </c>
    </row>
    <row r="67" spans="1:10" ht="27.75" customHeight="1">
      <c r="A67" s="10">
        <v>8</v>
      </c>
      <c r="B67" s="11" t="s">
        <v>17</v>
      </c>
      <c r="C67" s="10">
        <v>296</v>
      </c>
      <c r="D67" s="10"/>
      <c r="E67" s="10"/>
      <c r="F67" s="12"/>
      <c r="G67" s="3">
        <f t="shared" si="12"/>
        <v>296</v>
      </c>
      <c r="H67" s="4">
        <f t="shared" si="13"/>
        <v>0</v>
      </c>
    </row>
    <row r="68" spans="1:10" ht="27.75" customHeight="1">
      <c r="A68" s="10">
        <v>8</v>
      </c>
      <c r="B68" s="11" t="s">
        <v>22</v>
      </c>
      <c r="C68" s="10">
        <v>296</v>
      </c>
      <c r="D68" s="10"/>
      <c r="E68" s="10"/>
      <c r="F68" s="12"/>
      <c r="G68" s="3">
        <f t="shared" si="12"/>
        <v>296</v>
      </c>
      <c r="H68" s="4">
        <f t="shared" si="13"/>
        <v>0</v>
      </c>
    </row>
    <row r="69" spans="1:10" ht="27.75" customHeight="1">
      <c r="A69" s="10">
        <v>8</v>
      </c>
      <c r="B69" s="11" t="s">
        <v>19</v>
      </c>
      <c r="C69" s="10">
        <v>296</v>
      </c>
      <c r="D69" s="10"/>
      <c r="E69" s="10"/>
      <c r="F69" s="12"/>
      <c r="G69" s="3">
        <f t="shared" si="12"/>
        <v>296</v>
      </c>
      <c r="H69" s="4">
        <f t="shared" si="13"/>
        <v>0</v>
      </c>
    </row>
    <row r="70" spans="1:10" ht="27.75" customHeight="1">
      <c r="A70" s="7"/>
      <c r="B70" s="7"/>
      <c r="C70" s="8"/>
      <c r="D70" s="8"/>
      <c r="E70" s="8"/>
      <c r="F70" s="7"/>
      <c r="G70" s="7"/>
      <c r="H70" s="7"/>
    </row>
    <row r="71" spans="1:10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10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10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10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10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10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10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10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10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10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C106" activePane="bottomRight" state="frozen"/>
      <selection pane="bottomRight" activeCell="X127" sqref="X127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37" t="s">
        <v>46</v>
      </c>
      <c r="N2" s="37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38" t="s">
        <v>58</v>
      </c>
      <c r="Z2" s="38" t="s">
        <v>59</v>
      </c>
      <c r="AA2" s="26" t="s">
        <v>60</v>
      </c>
    </row>
    <row r="3" spans="1:27" ht="30.6" customHeight="1">
      <c r="A3" s="36" t="s">
        <v>61</v>
      </c>
      <c r="B3" s="9"/>
      <c r="C3" s="1"/>
      <c r="D3" s="5">
        <f>Table1[[#This Row],[Enrolment S.Y. 2025-2026 ]]*8</f>
        <v>0</v>
      </c>
      <c r="E3" s="5"/>
      <c r="F3" s="1"/>
      <c r="G3" s="5"/>
      <c r="H3" s="5">
        <f>IF((D3-E3)&lt;0,0,(D3-E3))</f>
        <v>0</v>
      </c>
      <c r="I3" s="5">
        <f>IF((E3-D3)&lt;0,0,(E3-D3))</f>
        <v>0</v>
      </c>
      <c r="J3" s="5">
        <f>Table1[[#This Row],[Enrolment S.Y. 2025-2026 ]]*8</f>
        <v>0</v>
      </c>
      <c r="K3" s="5"/>
      <c r="L3" s="1"/>
      <c r="M3" s="5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5"/>
      <c r="R3" s="1"/>
      <c r="S3" s="5"/>
      <c r="T3" s="5">
        <f>IF((P3-Q3)&lt;0,0,(P3-Q3))</f>
        <v>0</v>
      </c>
      <c r="U3" s="5">
        <f>IF((Q3-P3)&lt;0,0,(Q3-P3))</f>
        <v>0</v>
      </c>
      <c r="V3" s="5">
        <f>Table1[[#This Row],[Enrolment S.Y. 2025-2026 ]]*8</f>
        <v>0</v>
      </c>
      <c r="W3" s="5"/>
      <c r="X3" s="1"/>
      <c r="Y3" s="5"/>
      <c r="Z3" s="5">
        <f>IF((V3-W3)&lt;0,0,(V3-W3))</f>
        <v>0</v>
      </c>
      <c r="AA3" s="5">
        <f>IF((W3-V3)&lt;0,0,(W3-V3))</f>
        <v>0</v>
      </c>
    </row>
    <row r="4" spans="1:27" s="7" customFormat="1" ht="19.5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5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5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5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295</v>
      </c>
      <c r="D63" s="12">
        <f>Table1[[#This Row],[Enrolment S.Y. 2025-2026 ]]*8</f>
        <v>2360</v>
      </c>
      <c r="E63" s="12">
        <v>634</v>
      </c>
      <c r="F63" s="10">
        <v>2024</v>
      </c>
      <c r="G63" s="12" t="s">
        <v>63</v>
      </c>
      <c r="H63" s="12">
        <f t="shared" si="2"/>
        <v>1726</v>
      </c>
      <c r="I63" s="12">
        <f t="shared" si="3"/>
        <v>0</v>
      </c>
      <c r="J63" s="12">
        <f>Table1[[#This Row],[Enrolment S.Y. 2025-2026 ]]*8</f>
        <v>2360</v>
      </c>
      <c r="K63" s="12"/>
      <c r="L63" s="10"/>
      <c r="M63" s="12"/>
      <c r="N63" s="12">
        <f t="shared" si="10"/>
        <v>2360</v>
      </c>
      <c r="O63" s="12">
        <f t="shared" si="11"/>
        <v>0</v>
      </c>
      <c r="P63" s="12">
        <f>Table1[[#This Row],[Enrolment S.Y. 2025-2026 ]]*8</f>
        <v>2360</v>
      </c>
      <c r="Q63" s="12">
        <v>313</v>
      </c>
      <c r="R63" s="10">
        <v>2024</v>
      </c>
      <c r="S63" s="12" t="s">
        <v>63</v>
      </c>
      <c r="T63" s="12">
        <f t="shared" si="12"/>
        <v>2047</v>
      </c>
      <c r="U63" s="12">
        <f t="shared" si="13"/>
        <v>0</v>
      </c>
      <c r="V63" s="12">
        <f>Table1[[#This Row],[Enrolment S.Y. 2025-2026 ]]*8</f>
        <v>2360</v>
      </c>
      <c r="W63" s="12"/>
      <c r="X63" s="10"/>
      <c r="Y63" s="12"/>
      <c r="Z63" s="12">
        <f t="shared" si="14"/>
        <v>2360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295</v>
      </c>
      <c r="D64" s="12">
        <f>Table1[[#This Row],[Enrolment S.Y. 2025-2026 ]]*8</f>
        <v>2360</v>
      </c>
      <c r="E64" s="12">
        <v>134</v>
      </c>
      <c r="F64" s="10">
        <v>2024</v>
      </c>
      <c r="G64" s="12" t="s">
        <v>63</v>
      </c>
      <c r="H64" s="12">
        <f t="shared" si="2"/>
        <v>2226</v>
      </c>
      <c r="I64" s="12">
        <f t="shared" si="3"/>
        <v>0</v>
      </c>
      <c r="J64" s="12">
        <f>Table1[[#This Row],[Enrolment S.Y. 2025-2026 ]]*8</f>
        <v>2360</v>
      </c>
      <c r="K64" s="12"/>
      <c r="L64" s="10"/>
      <c r="M64" s="12"/>
      <c r="N64" s="12">
        <f t="shared" si="10"/>
        <v>2360</v>
      </c>
      <c r="O64" s="12">
        <f t="shared" si="11"/>
        <v>0</v>
      </c>
      <c r="P64" s="12">
        <f>Table1[[#This Row],[Enrolment S.Y. 2025-2026 ]]*8</f>
        <v>2360</v>
      </c>
      <c r="Q64" s="12"/>
      <c r="R64" s="10">
        <v>2024</v>
      </c>
      <c r="S64" s="12" t="s">
        <v>63</v>
      </c>
      <c r="T64" s="12">
        <f t="shared" si="12"/>
        <v>2360</v>
      </c>
      <c r="U64" s="12">
        <f t="shared" si="13"/>
        <v>0</v>
      </c>
      <c r="V64" s="12">
        <f>Table1[[#This Row],[Enrolment S.Y. 2025-2026 ]]*8</f>
        <v>2360</v>
      </c>
      <c r="W64" s="12"/>
      <c r="X64" s="10"/>
      <c r="Y64" s="12"/>
      <c r="Z64" s="12">
        <f t="shared" si="14"/>
        <v>2360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295</v>
      </c>
      <c r="D65" s="12">
        <f>Table1[[#This Row],[Enrolment S.Y. 2025-2026 ]]*8</f>
        <v>2360</v>
      </c>
      <c r="E65" s="12"/>
      <c r="F65" s="10"/>
      <c r="G65" s="12"/>
      <c r="H65" s="12">
        <f t="shared" si="2"/>
        <v>2360</v>
      </c>
      <c r="I65" s="12">
        <f t="shared" si="3"/>
        <v>0</v>
      </c>
      <c r="J65" s="12">
        <f>Table1[[#This Row],[Enrolment S.Y. 2025-2026 ]]*8</f>
        <v>2360</v>
      </c>
      <c r="K65" s="12"/>
      <c r="L65" s="10"/>
      <c r="M65" s="12"/>
      <c r="N65" s="12">
        <f t="shared" si="10"/>
        <v>2360</v>
      </c>
      <c r="O65" s="12">
        <f t="shared" si="11"/>
        <v>0</v>
      </c>
      <c r="P65" s="12">
        <f>Table1[[#This Row],[Enrolment S.Y. 2025-2026 ]]*8</f>
        <v>2360</v>
      </c>
      <c r="Q65" s="12"/>
      <c r="R65" s="10">
        <v>2024</v>
      </c>
      <c r="S65" s="12" t="s">
        <v>63</v>
      </c>
      <c r="T65" s="12">
        <f t="shared" si="12"/>
        <v>2360</v>
      </c>
      <c r="U65" s="12">
        <f t="shared" si="13"/>
        <v>0</v>
      </c>
      <c r="V65" s="12">
        <f>Table1[[#This Row],[Enrolment S.Y. 2025-2026 ]]*8</f>
        <v>2360</v>
      </c>
      <c r="W65" s="12"/>
      <c r="X65" s="10"/>
      <c r="Y65" s="12"/>
      <c r="Z65" s="12">
        <f t="shared" si="14"/>
        <v>2360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295</v>
      </c>
      <c r="D66" s="12">
        <f>Table1[[#This Row],[Enrolment S.Y. 2025-2026 ]]*8</f>
        <v>2360</v>
      </c>
      <c r="E66" s="12">
        <v>694</v>
      </c>
      <c r="F66" s="10">
        <v>2024</v>
      </c>
      <c r="G66" s="12" t="s">
        <v>63</v>
      </c>
      <c r="H66" s="12">
        <f t="shared" si="2"/>
        <v>1666</v>
      </c>
      <c r="I66" s="12">
        <f t="shared" si="3"/>
        <v>0</v>
      </c>
      <c r="J66" s="12">
        <f>Table1[[#This Row],[Enrolment S.Y. 2025-2026 ]]*8</f>
        <v>2360</v>
      </c>
      <c r="K66" s="12"/>
      <c r="L66" s="10"/>
      <c r="M66" s="12"/>
      <c r="N66" s="12">
        <f t="shared" si="10"/>
        <v>2360</v>
      </c>
      <c r="O66" s="12">
        <f t="shared" si="11"/>
        <v>0</v>
      </c>
      <c r="P66" s="12">
        <f>Table1[[#This Row],[Enrolment S.Y. 2025-2026 ]]*8</f>
        <v>2360</v>
      </c>
      <c r="Q66" s="12"/>
      <c r="R66" s="10">
        <v>2024</v>
      </c>
      <c r="S66" s="12" t="s">
        <v>63</v>
      </c>
      <c r="T66" s="12">
        <f t="shared" si="12"/>
        <v>2360</v>
      </c>
      <c r="U66" s="12">
        <f t="shared" si="13"/>
        <v>0</v>
      </c>
      <c r="V66" s="12">
        <f>Table1[[#This Row],[Enrolment S.Y. 2025-2026 ]]*8</f>
        <v>2360</v>
      </c>
      <c r="W66" s="12"/>
      <c r="X66" s="10"/>
      <c r="Y66" s="12"/>
      <c r="Z66" s="12">
        <f t="shared" si="14"/>
        <v>2360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295</v>
      </c>
      <c r="D67" s="12">
        <f>Table1[[#This Row],[Enrolment S.Y. 2025-2026 ]]*8</f>
        <v>2360</v>
      </c>
      <c r="E67" s="12">
        <v>387</v>
      </c>
      <c r="F67" s="10">
        <v>2024</v>
      </c>
      <c r="G67" s="12" t="s">
        <v>63</v>
      </c>
      <c r="H67" s="12">
        <f t="shared" si="2"/>
        <v>1973</v>
      </c>
      <c r="I67" s="12">
        <f t="shared" si="3"/>
        <v>0</v>
      </c>
      <c r="J67" s="12">
        <f>Table1[[#This Row],[Enrolment S.Y. 2025-2026 ]]*8</f>
        <v>2360</v>
      </c>
      <c r="K67" s="12"/>
      <c r="L67" s="10"/>
      <c r="M67" s="12"/>
      <c r="N67" s="12">
        <f t="shared" si="10"/>
        <v>2360</v>
      </c>
      <c r="O67" s="12">
        <f t="shared" si="11"/>
        <v>0</v>
      </c>
      <c r="P67" s="12">
        <f>Table1[[#This Row],[Enrolment S.Y. 2025-2026 ]]*8</f>
        <v>2360</v>
      </c>
      <c r="Q67" s="12">
        <v>274</v>
      </c>
      <c r="R67" s="10">
        <v>2024</v>
      </c>
      <c r="S67" s="12" t="s">
        <v>63</v>
      </c>
      <c r="T67" s="12">
        <f t="shared" si="12"/>
        <v>2086</v>
      </c>
      <c r="U67" s="12">
        <f t="shared" si="13"/>
        <v>0</v>
      </c>
      <c r="V67" s="12">
        <f>Table1[[#This Row],[Enrolment S.Y. 2025-2026 ]]*8</f>
        <v>2360</v>
      </c>
      <c r="W67" s="12"/>
      <c r="X67" s="10"/>
      <c r="Y67" s="12"/>
      <c r="Z67" s="12">
        <f t="shared" si="14"/>
        <v>2360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295</v>
      </c>
      <c r="D68" s="12">
        <f>Table1[[#This Row],[Enrolment S.Y. 2025-2026 ]]*8</f>
        <v>2360</v>
      </c>
      <c r="E68" s="12"/>
      <c r="F68" s="10"/>
      <c r="G68" s="12"/>
      <c r="H68" s="12">
        <f t="shared" si="2"/>
        <v>2360</v>
      </c>
      <c r="I68" s="12">
        <f t="shared" si="3"/>
        <v>0</v>
      </c>
      <c r="J68" s="12">
        <f>Table1[[#This Row],[Enrolment S.Y. 2025-2026 ]]*8</f>
        <v>2360</v>
      </c>
      <c r="K68" s="12"/>
      <c r="L68" s="10"/>
      <c r="M68" s="12"/>
      <c r="N68" s="12">
        <f t="shared" si="10"/>
        <v>2360</v>
      </c>
      <c r="O68" s="12">
        <f t="shared" si="11"/>
        <v>0</v>
      </c>
      <c r="P68" s="12">
        <f>Table1[[#This Row],[Enrolment S.Y. 2025-2026 ]]*8</f>
        <v>2360</v>
      </c>
      <c r="Q68" s="12"/>
      <c r="R68" s="10">
        <v>2024</v>
      </c>
      <c r="S68" s="12" t="s">
        <v>63</v>
      </c>
      <c r="T68" s="12">
        <f t="shared" si="12"/>
        <v>2360</v>
      </c>
      <c r="U68" s="12">
        <f t="shared" si="13"/>
        <v>0</v>
      </c>
      <c r="V68" s="12">
        <f>Table1[[#This Row],[Enrolment S.Y. 2025-2026 ]]*8</f>
        <v>2360</v>
      </c>
      <c r="W68" s="12"/>
      <c r="X68" s="10"/>
      <c r="Y68" s="12"/>
      <c r="Z68" s="12">
        <f t="shared" si="14"/>
        <v>2360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295</v>
      </c>
      <c r="D69" s="12">
        <f>Table1[[#This Row],[Enrolment S.Y. 2025-2026 ]]*8</f>
        <v>2360</v>
      </c>
      <c r="E69" s="12"/>
      <c r="F69" s="10"/>
      <c r="G69" s="12"/>
      <c r="H69" s="12">
        <f t="shared" si="2"/>
        <v>2360</v>
      </c>
      <c r="I69" s="12">
        <f t="shared" si="3"/>
        <v>0</v>
      </c>
      <c r="J69" s="12">
        <f>Table1[[#This Row],[Enrolment S.Y. 2025-2026 ]]*8</f>
        <v>2360</v>
      </c>
      <c r="K69" s="12"/>
      <c r="L69" s="10"/>
      <c r="M69" s="12"/>
      <c r="N69" s="12">
        <f t="shared" si="10"/>
        <v>2360</v>
      </c>
      <c r="O69" s="12">
        <f t="shared" si="11"/>
        <v>0</v>
      </c>
      <c r="P69" s="12">
        <f>Table1[[#This Row],[Enrolment S.Y. 2025-2026 ]]*8</f>
        <v>2360</v>
      </c>
      <c r="Q69" s="12"/>
      <c r="R69" s="10">
        <v>2024</v>
      </c>
      <c r="S69" s="12" t="s">
        <v>63</v>
      </c>
      <c r="T69" s="12">
        <f t="shared" si="12"/>
        <v>2360</v>
      </c>
      <c r="U69" s="12">
        <f t="shared" si="13"/>
        <v>0</v>
      </c>
      <c r="V69" s="12">
        <f>Table1[[#This Row],[Enrolment S.Y. 2025-2026 ]]*8</f>
        <v>2360</v>
      </c>
      <c r="W69" s="12"/>
      <c r="X69" s="10"/>
      <c r="Y69" s="12"/>
      <c r="Z69" s="12">
        <f t="shared" si="14"/>
        <v>2360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295</v>
      </c>
      <c r="D70" s="12">
        <f>Table1[[#This Row],[Enrolment S.Y. 2025-2026 ]]*8</f>
        <v>2360</v>
      </c>
      <c r="E70" s="12">
        <v>627</v>
      </c>
      <c r="F70" s="10">
        <v>2024</v>
      </c>
      <c r="G70" s="12" t="s">
        <v>63</v>
      </c>
      <c r="H70" s="12">
        <f t="shared" si="2"/>
        <v>1733</v>
      </c>
      <c r="I70" s="12">
        <f t="shared" si="3"/>
        <v>0</v>
      </c>
      <c r="J70" s="12">
        <f>Table1[[#This Row],[Enrolment S.Y. 2025-2026 ]]*8</f>
        <v>2360</v>
      </c>
      <c r="K70" s="12"/>
      <c r="L70" s="10"/>
      <c r="M70" s="12"/>
      <c r="N70" s="12">
        <f t="shared" ref="N70:N126" si="16">IF((J70-K70)&lt;0,0,(J70-K70))</f>
        <v>2360</v>
      </c>
      <c r="O70" s="12">
        <f t="shared" ref="O70:O126" si="17">IF((K70-J70)&lt;0,0,(K70-J70))</f>
        <v>0</v>
      </c>
      <c r="P70" s="12">
        <f>Table1[[#This Row],[Enrolment S.Y. 2025-2026 ]]*8</f>
        <v>2360</v>
      </c>
      <c r="Q70" s="12">
        <v>313</v>
      </c>
      <c r="R70" s="10">
        <v>2024</v>
      </c>
      <c r="S70" s="12" t="s">
        <v>63</v>
      </c>
      <c r="T70" s="12">
        <f t="shared" ref="T70:T127" si="18">IF((P70-Q70)&lt;0,0,(P70-Q70))</f>
        <v>2047</v>
      </c>
      <c r="U70" s="12">
        <f t="shared" ref="U70:U127" si="19">IF((Q70-P70)&lt;0,0,(Q70-P70))</f>
        <v>0</v>
      </c>
      <c r="V70" s="12">
        <f>Table1[[#This Row],[Enrolment S.Y. 2025-2026 ]]*8</f>
        <v>2360</v>
      </c>
      <c r="W70" s="12"/>
      <c r="X70" s="10"/>
      <c r="Y70" s="12"/>
      <c r="Z70" s="12">
        <f t="shared" ref="Z70:Z127" si="20">IF((V70-W70)&lt;0,0,(V70-W70))</f>
        <v>2360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295</v>
      </c>
      <c r="D71" s="12">
        <f>Table1[[#This Row],[Enrolment S.Y. 2025-2026 ]]*8</f>
        <v>2360</v>
      </c>
      <c r="E71" s="12">
        <v>359</v>
      </c>
      <c r="F71" s="10">
        <v>2024</v>
      </c>
      <c r="G71" s="12" t="s">
        <v>63</v>
      </c>
      <c r="H71" s="12">
        <f t="shared" si="2"/>
        <v>2001</v>
      </c>
      <c r="I71" s="12">
        <f t="shared" si="3"/>
        <v>0</v>
      </c>
      <c r="J71" s="12">
        <f>Table1[[#This Row],[Enrolment S.Y. 2025-2026 ]]*8</f>
        <v>2360</v>
      </c>
      <c r="K71" s="12"/>
      <c r="L71" s="10"/>
      <c r="M71" s="12"/>
      <c r="N71" s="12">
        <f t="shared" si="16"/>
        <v>2360</v>
      </c>
      <c r="O71" s="12">
        <f t="shared" si="17"/>
        <v>0</v>
      </c>
      <c r="P71" s="12">
        <f>Table1[[#This Row],[Enrolment S.Y. 2025-2026 ]]*8</f>
        <v>2360</v>
      </c>
      <c r="Q71" s="12">
        <v>313</v>
      </c>
      <c r="R71" s="10">
        <v>2024</v>
      </c>
      <c r="S71" s="12" t="s">
        <v>63</v>
      </c>
      <c r="T71" s="12">
        <f t="shared" si="18"/>
        <v>2047</v>
      </c>
      <c r="U71" s="12">
        <f t="shared" si="19"/>
        <v>0</v>
      </c>
      <c r="V71" s="12">
        <f>Table1[[#This Row],[Enrolment S.Y. 2025-2026 ]]*8</f>
        <v>2360</v>
      </c>
      <c r="W71" s="12"/>
      <c r="X71" s="10"/>
      <c r="Y71" s="12"/>
      <c r="Z71" s="12">
        <f t="shared" si="20"/>
        <v>2360</v>
      </c>
      <c r="AA71" s="12">
        <f t="shared" si="21"/>
        <v>0</v>
      </c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 t="shared" ref="H93:H101" si="24">IF((D93-E93)&lt;0,0,(D93-E93))</f>
        <v>0</v>
      </c>
      <c r="I93" s="12">
        <f t="shared" ref="I93:I101" si="25"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 t="shared" ref="N93:N101" si="26">IF((J93-K93)&lt;0,0,(J93-K93))</f>
        <v>0</v>
      </c>
      <c r="O93" s="12">
        <f t="shared" ref="O93:O101" si="27"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 t="shared" ref="T93:T101" si="28">IF((P93-Q93)&lt;0,0,(P93-Q93))</f>
        <v>0</v>
      </c>
      <c r="U93" s="12">
        <f t="shared" ref="U93:U101" si="29"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 t="shared" ref="Z93:Z101" si="30">IF((V93-W93)&lt;0,0,(V93-W93))</f>
        <v>0</v>
      </c>
      <c r="AA93" s="12">
        <f t="shared" ref="AA93:AA101" si="31"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 t="shared" si="24"/>
        <v>0</v>
      </c>
      <c r="I94" s="12">
        <f t="shared" si="25"/>
        <v>0</v>
      </c>
      <c r="J94" s="12">
        <f>Table1[[#This Row],[Enrolment S.Y. 2025-2026 ]]*8</f>
        <v>0</v>
      </c>
      <c r="K94" s="12"/>
      <c r="L94" s="10"/>
      <c r="M94" s="12"/>
      <c r="N94" s="12">
        <f t="shared" si="26"/>
        <v>0</v>
      </c>
      <c r="O94" s="12">
        <f t="shared" si="27"/>
        <v>0</v>
      </c>
      <c r="P94" s="12">
        <f>Table1[[#This Row],[Enrolment S.Y. 2025-2026 ]]*8</f>
        <v>0</v>
      </c>
      <c r="Q94" s="12"/>
      <c r="R94" s="10"/>
      <c r="S94" s="12"/>
      <c r="T94" s="12">
        <f t="shared" si="28"/>
        <v>0</v>
      </c>
      <c r="U94" s="12">
        <f t="shared" si="29"/>
        <v>0</v>
      </c>
      <c r="V94" s="12">
        <f>Table1[[#This Row],[Enrolment S.Y. 2025-2026 ]]*8</f>
        <v>0</v>
      </c>
      <c r="W94" s="12"/>
      <c r="X94" s="10"/>
      <c r="Y94" s="12"/>
      <c r="Z94" s="12">
        <f t="shared" si="30"/>
        <v>0</v>
      </c>
      <c r="AA94" s="12">
        <f t="shared" si="31"/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 t="shared" si="24"/>
        <v>0</v>
      </c>
      <c r="I95" s="12">
        <f t="shared" si="25"/>
        <v>0</v>
      </c>
      <c r="J95" s="12">
        <f>Table1[[#This Row],[Enrolment S.Y. 2025-2026 ]]*8</f>
        <v>0</v>
      </c>
      <c r="K95" s="12"/>
      <c r="L95" s="10"/>
      <c r="M95" s="12"/>
      <c r="N95" s="12">
        <f t="shared" si="26"/>
        <v>0</v>
      </c>
      <c r="O95" s="12">
        <f t="shared" si="27"/>
        <v>0</v>
      </c>
      <c r="P95" s="12">
        <f>Table1[[#This Row],[Enrolment S.Y. 2025-2026 ]]*8</f>
        <v>0</v>
      </c>
      <c r="Q95" s="12"/>
      <c r="R95" s="10"/>
      <c r="S95" s="12"/>
      <c r="T95" s="12">
        <f t="shared" si="28"/>
        <v>0</v>
      </c>
      <c r="U95" s="12">
        <f t="shared" si="29"/>
        <v>0</v>
      </c>
      <c r="V95" s="12">
        <f>Table1[[#This Row],[Enrolment S.Y. 2025-2026 ]]*8</f>
        <v>0</v>
      </c>
      <c r="W95" s="12"/>
      <c r="X95" s="10"/>
      <c r="Y95" s="12"/>
      <c r="Z95" s="12">
        <f t="shared" si="30"/>
        <v>0</v>
      </c>
      <c r="AA95" s="12">
        <f t="shared" si="31"/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 t="shared" si="24"/>
        <v>0</v>
      </c>
      <c r="I96" s="12">
        <f t="shared" si="25"/>
        <v>0</v>
      </c>
      <c r="J96" s="12">
        <f>Table1[[#This Row],[Enrolment S.Y. 2025-2026 ]]*8</f>
        <v>0</v>
      </c>
      <c r="K96" s="12"/>
      <c r="L96" s="10"/>
      <c r="M96" s="12"/>
      <c r="N96" s="12">
        <f t="shared" si="26"/>
        <v>0</v>
      </c>
      <c r="O96" s="12">
        <f t="shared" si="27"/>
        <v>0</v>
      </c>
      <c r="P96" s="12">
        <f>Table1[[#This Row],[Enrolment S.Y. 2025-2026 ]]*8</f>
        <v>0</v>
      </c>
      <c r="Q96" s="12"/>
      <c r="R96" s="10"/>
      <c r="S96" s="12"/>
      <c r="T96" s="12">
        <f t="shared" si="28"/>
        <v>0</v>
      </c>
      <c r="U96" s="12">
        <f t="shared" si="29"/>
        <v>0</v>
      </c>
      <c r="V96" s="12">
        <f>Table1[[#This Row],[Enrolment S.Y. 2025-2026 ]]*8</f>
        <v>0</v>
      </c>
      <c r="W96" s="12"/>
      <c r="X96" s="10"/>
      <c r="Y96" s="12"/>
      <c r="Z96" s="12">
        <f t="shared" si="30"/>
        <v>0</v>
      </c>
      <c r="AA96" s="12">
        <f t="shared" si="31"/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 t="shared" si="24"/>
        <v>0</v>
      </c>
      <c r="I97" s="12">
        <f t="shared" si="25"/>
        <v>0</v>
      </c>
      <c r="J97" s="12">
        <f>Table1[[#This Row],[Enrolment S.Y. 2025-2026 ]]*8</f>
        <v>0</v>
      </c>
      <c r="K97" s="12"/>
      <c r="L97" s="10"/>
      <c r="M97" s="12"/>
      <c r="N97" s="12">
        <f t="shared" si="26"/>
        <v>0</v>
      </c>
      <c r="O97" s="12">
        <f t="shared" si="27"/>
        <v>0</v>
      </c>
      <c r="P97" s="12">
        <f>Table1[[#This Row],[Enrolment S.Y. 2025-2026 ]]*8</f>
        <v>0</v>
      </c>
      <c r="Q97" s="12"/>
      <c r="R97" s="10"/>
      <c r="S97" s="12"/>
      <c r="T97" s="12">
        <f t="shared" si="28"/>
        <v>0</v>
      </c>
      <c r="U97" s="12">
        <f t="shared" si="29"/>
        <v>0</v>
      </c>
      <c r="V97" s="12">
        <f>Table1[[#This Row],[Enrolment S.Y. 2025-2026 ]]*8</f>
        <v>0</v>
      </c>
      <c r="W97" s="12"/>
      <c r="X97" s="10"/>
      <c r="Y97" s="12"/>
      <c r="Z97" s="12">
        <f t="shared" si="30"/>
        <v>0</v>
      </c>
      <c r="AA97" s="12">
        <f t="shared" si="31"/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 t="shared" si="24"/>
        <v>0</v>
      </c>
      <c r="I98" s="12">
        <f t="shared" si="25"/>
        <v>0</v>
      </c>
      <c r="J98" s="12">
        <f>Table1[[#This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Table1[[#This Row],[Enrolment S.Y. 2025-2026 ]]*8</f>
        <v>0</v>
      </c>
      <c r="Q98" s="12"/>
      <c r="R98" s="10"/>
      <c r="S98" s="12"/>
      <c r="T98" s="12">
        <f t="shared" si="28"/>
        <v>0</v>
      </c>
      <c r="U98" s="12">
        <f t="shared" si="29"/>
        <v>0</v>
      </c>
      <c r="V98" s="12">
        <f>Table1[[#This Row],[Enrolment S.Y. 2025-2026 ]]*8</f>
        <v>0</v>
      </c>
      <c r="W98" s="12"/>
      <c r="X98" s="10"/>
      <c r="Y98" s="12"/>
      <c r="Z98" s="12">
        <f t="shared" si="30"/>
        <v>0</v>
      </c>
      <c r="AA98" s="12">
        <f t="shared" si="31"/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 t="shared" si="24"/>
        <v>0</v>
      </c>
      <c r="I99" s="12">
        <f t="shared" si="25"/>
        <v>0</v>
      </c>
      <c r="J99" s="12">
        <f>Table1[[#This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Table1[[#This Row],[Enrolment S.Y. 2025-2026 ]]*8</f>
        <v>0</v>
      </c>
      <c r="Q99" s="12"/>
      <c r="R99" s="10"/>
      <c r="S99" s="12"/>
      <c r="T99" s="12">
        <f t="shared" si="28"/>
        <v>0</v>
      </c>
      <c r="U99" s="12">
        <f t="shared" si="29"/>
        <v>0</v>
      </c>
      <c r="V99" s="12">
        <f>Table1[[#This Row],[Enrolment S.Y. 2025-2026 ]]*8</f>
        <v>0</v>
      </c>
      <c r="W99" s="12"/>
      <c r="X99" s="10"/>
      <c r="Y99" s="12"/>
      <c r="Z99" s="12">
        <f t="shared" si="30"/>
        <v>0</v>
      </c>
      <c r="AA99" s="12">
        <f t="shared" si="31"/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 t="shared" si="24"/>
        <v>0</v>
      </c>
      <c r="I100" s="12">
        <f t="shared" si="25"/>
        <v>0</v>
      </c>
      <c r="J100" s="12">
        <f>Table1[[#This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Table1[[#This Row],[Enrolment S.Y. 2025-2026 ]]*8</f>
        <v>0</v>
      </c>
      <c r="Q100" s="12"/>
      <c r="R100" s="10"/>
      <c r="S100" s="12"/>
      <c r="T100" s="12">
        <f t="shared" si="28"/>
        <v>0</v>
      </c>
      <c r="U100" s="12">
        <f t="shared" si="29"/>
        <v>0</v>
      </c>
      <c r="V100" s="12">
        <f>Table1[[#This Row],[Enrolment S.Y. 2025-2026 ]]*8</f>
        <v>0</v>
      </c>
      <c r="W100" s="12"/>
      <c r="X100" s="10"/>
      <c r="Y100" s="12"/>
      <c r="Z100" s="12">
        <f t="shared" si="30"/>
        <v>0</v>
      </c>
      <c r="AA100" s="12">
        <f t="shared" si="31"/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 t="shared" si="24"/>
        <v>0</v>
      </c>
      <c r="I101" s="12">
        <f t="shared" si="25"/>
        <v>0</v>
      </c>
      <c r="J101" s="12">
        <f>Table1[[#This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Table1[[#This Row],[Enrolment S.Y. 2025-2026 ]]*8</f>
        <v>0</v>
      </c>
      <c r="Q101" s="12"/>
      <c r="R101" s="10"/>
      <c r="S101" s="12"/>
      <c r="T101" s="12">
        <f t="shared" si="28"/>
        <v>0</v>
      </c>
      <c r="U101" s="12">
        <f t="shared" si="29"/>
        <v>0</v>
      </c>
      <c r="V101" s="12">
        <f>Table1[[#This Row],[Enrolment S.Y. 2025-2026 ]]*8</f>
        <v>0</v>
      </c>
      <c r="W101" s="12"/>
      <c r="X101" s="10"/>
      <c r="Y101" s="12"/>
      <c r="Z101" s="12">
        <f t="shared" si="30"/>
        <v>0</v>
      </c>
      <c r="AA101" s="12">
        <f t="shared" si="31"/>
        <v>0</v>
      </c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9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9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8.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9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32">IF((J127-K127)&lt;0,0,(J127-K127))</f>
        <v>0</v>
      </c>
      <c r="O127" s="5">
        <f t="shared" ref="O127" si="33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73:C81 C83:C91 C93:C101 C103:C110 C112:C127 C5:C12 C63:C71" name="Textbooks"/>
    <protectedRange sqref="J2:L3 D2:F3 H5:L5 D14:F21 Q14:R21 W14:X21 D23:F31 Q23:R31 W23:X31 D33:F41 H33:I41 Q33:R41 W33:X41 D43:F51 H43:I51 Q43:R51 W43:X51 D53:F61 H53:I61 Q53:R61 W53:X61 D63:D71 H63:I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Q63:R71 F63:F71" name="LAS"/>
    <protectedRange sqref="G2:I3 M2:O2 S2:U3 Y2:AA3 G112:G127 M112:M127 S112:S127 Y112:Y127 G5:G12 M5:M12 Y5:Y12 G14:G21 M14:M110 M3 Y14:Y110 G23:G31 G33:G41 G43:G51 G53:G61 G73:G81 G83:G91 G93:G101 G103:G110 S4:S110 G63:G71" name="SOURCE"/>
    <protectedRange sqref="E63:E71" name="LA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G103:G110 G5:G12 M5:M12 Y5:Y12 G14:G21 G23:G31 G33:G41 G43:G51 G53:G61 S4:S110 G73:G81 G83:G91 G93:G101 G63:G7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70" zoomScaleNormal="70" workbookViewId="0">
      <pane xSplit="2" ySplit="2" topLeftCell="C103" activePane="bottomRight" state="frozen"/>
      <selection pane="bottomRight" activeCell="J141" sqref="J141:J170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2"/>
      <c r="D1" s="39" t="s">
        <v>33</v>
      </c>
      <c r="E1" s="39"/>
      <c r="F1" s="39"/>
      <c r="G1" s="39"/>
      <c r="H1" s="39"/>
      <c r="I1" s="39"/>
      <c r="J1" s="40" t="s">
        <v>34</v>
      </c>
      <c r="K1" s="40"/>
      <c r="L1" s="40"/>
      <c r="M1" s="40"/>
      <c r="N1" s="40"/>
      <c r="O1" s="40"/>
      <c r="P1" s="41" t="s">
        <v>35</v>
      </c>
      <c r="Q1" s="41"/>
      <c r="R1" s="41"/>
      <c r="S1" s="41"/>
      <c r="T1" s="41"/>
      <c r="U1" s="41"/>
      <c r="V1" s="42" t="s">
        <v>36</v>
      </c>
      <c r="W1" s="42"/>
      <c r="X1" s="42"/>
      <c r="Y1" s="42"/>
      <c r="Z1" s="42"/>
      <c r="AA1" s="42"/>
    </row>
    <row r="2" spans="1:27" ht="69.599999999999994" customHeight="1">
      <c r="A2" s="15" t="s">
        <v>0</v>
      </c>
      <c r="B2" s="33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37" t="s">
        <v>73</v>
      </c>
      <c r="N2" s="37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38" t="s">
        <v>85</v>
      </c>
      <c r="Z2" s="38" t="s">
        <v>86</v>
      </c>
      <c r="AA2" s="26" t="s">
        <v>87</v>
      </c>
    </row>
    <row r="3" spans="1:27" ht="3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0" si="2">IF((J3-K3)&lt;0,0,(J3-K3))</f>
        <v>0</v>
      </c>
      <c r="O3" s="5">
        <f t="shared" ref="O3:O7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4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4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4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4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4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4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5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5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9:N122" si="20">IF((J79-K79)&lt;0,0,(J79-K79))</f>
        <v>0</v>
      </c>
      <c r="O79" s="12">
        <f t="shared" ref="O79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5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5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320</v>
      </c>
      <c r="D91" s="12">
        <f>Table14[[#This Row],[Enrolment S.Y. 2025-2026 ]]*8</f>
        <v>2560</v>
      </c>
      <c r="E91" s="12"/>
      <c r="F91" s="10"/>
      <c r="G91" s="12"/>
      <c r="H91" s="12">
        <f t="shared" si="22"/>
        <v>2560</v>
      </c>
      <c r="I91" s="12">
        <f t="shared" si="23"/>
        <v>0</v>
      </c>
      <c r="J91" s="12">
        <f>Table14[[#This Row],[Enrolment S.Y. 2025-2026 ]]*8</f>
        <v>2560</v>
      </c>
      <c r="K91" s="12"/>
      <c r="L91" s="10"/>
      <c r="M91" s="12"/>
      <c r="N91" s="12">
        <f t="shared" si="20"/>
        <v>2560</v>
      </c>
      <c r="O91" s="12">
        <f t="shared" si="21"/>
        <v>0</v>
      </c>
      <c r="P91" s="12">
        <f>Table14[[#This Row],[Enrolment S.Y. 2025-2026 ]]*8</f>
        <v>2560</v>
      </c>
      <c r="Q91" s="12">
        <v>58</v>
      </c>
      <c r="R91" s="10">
        <v>2025</v>
      </c>
      <c r="S91" s="12" t="s">
        <v>63</v>
      </c>
      <c r="T91" s="12">
        <f t="shared" si="16"/>
        <v>2502</v>
      </c>
      <c r="U91" s="12">
        <f t="shared" si="17"/>
        <v>0</v>
      </c>
      <c r="V91" s="12">
        <f>Table14[[#This Row],[Enrolment S.Y. 2025-2026 ]]*8</f>
        <v>2560</v>
      </c>
      <c r="W91" s="12">
        <v>58</v>
      </c>
      <c r="X91" s="10">
        <v>2025</v>
      </c>
      <c r="Y91" s="12" t="s">
        <v>63</v>
      </c>
      <c r="Z91" s="12">
        <f t="shared" si="18"/>
        <v>2502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320</v>
      </c>
      <c r="D92" s="12">
        <f>Table14[[#This Row],[Enrolment S.Y. 2025-2026 ]]*8</f>
        <v>2560</v>
      </c>
      <c r="E92" s="12"/>
      <c r="F92" s="10"/>
      <c r="G92" s="12"/>
      <c r="H92" s="12">
        <f t="shared" si="22"/>
        <v>2560</v>
      </c>
      <c r="I92" s="12">
        <f t="shared" si="23"/>
        <v>0</v>
      </c>
      <c r="J92" s="12">
        <f>Table14[[#This Row],[Enrolment S.Y. 2025-2026 ]]*8</f>
        <v>2560</v>
      </c>
      <c r="K92" s="12"/>
      <c r="L92" s="10"/>
      <c r="M92" s="12"/>
      <c r="N92" s="12">
        <f t="shared" si="20"/>
        <v>2560</v>
      </c>
      <c r="O92" s="12">
        <f t="shared" si="21"/>
        <v>0</v>
      </c>
      <c r="P92" s="12">
        <f>Table14[[#This Row],[Enrolment S.Y. 2025-2026 ]]*8</f>
        <v>2560</v>
      </c>
      <c r="Q92" s="12">
        <v>58</v>
      </c>
      <c r="R92" s="10">
        <v>2025</v>
      </c>
      <c r="S92" s="12" t="s">
        <v>63</v>
      </c>
      <c r="T92" s="12">
        <f t="shared" si="16"/>
        <v>2502</v>
      </c>
      <c r="U92" s="12">
        <f t="shared" si="17"/>
        <v>0</v>
      </c>
      <c r="V92" s="12">
        <f>Table14[[#This Row],[Enrolment S.Y. 2025-2026 ]]*8</f>
        <v>2560</v>
      </c>
      <c r="W92" s="12">
        <v>58</v>
      </c>
      <c r="X92" s="10">
        <v>2025</v>
      </c>
      <c r="Y92" s="12" t="s">
        <v>63</v>
      </c>
      <c r="Z92" s="12">
        <f t="shared" si="18"/>
        <v>2502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320</v>
      </c>
      <c r="D93" s="12">
        <f>Table14[[#This Row],[Enrolment S.Y. 2025-2026 ]]*8</f>
        <v>2560</v>
      </c>
      <c r="E93" s="12"/>
      <c r="F93" s="10"/>
      <c r="G93" s="12"/>
      <c r="H93" s="12">
        <f t="shared" si="22"/>
        <v>2560</v>
      </c>
      <c r="I93" s="12">
        <f t="shared" si="23"/>
        <v>0</v>
      </c>
      <c r="J93" s="12">
        <f>Table14[[#This Row],[Enrolment S.Y. 2025-2026 ]]*8</f>
        <v>2560</v>
      </c>
      <c r="K93" s="12"/>
      <c r="L93" s="10"/>
      <c r="M93" s="12"/>
      <c r="N93" s="12">
        <f t="shared" si="20"/>
        <v>2560</v>
      </c>
      <c r="O93" s="12">
        <f t="shared" si="21"/>
        <v>0</v>
      </c>
      <c r="P93" s="12">
        <f>Table14[[#This Row],[Enrolment S.Y. 2025-2026 ]]*8</f>
        <v>2560</v>
      </c>
      <c r="Q93" s="12">
        <v>58</v>
      </c>
      <c r="R93" s="10">
        <v>2025</v>
      </c>
      <c r="S93" s="12" t="s">
        <v>63</v>
      </c>
      <c r="T93" s="12">
        <f t="shared" si="16"/>
        <v>2502</v>
      </c>
      <c r="U93" s="12">
        <f t="shared" si="17"/>
        <v>0</v>
      </c>
      <c r="V93" s="12">
        <f>Table14[[#This Row],[Enrolment S.Y. 2025-2026 ]]*8</f>
        <v>2560</v>
      </c>
      <c r="W93" s="12">
        <v>58</v>
      </c>
      <c r="X93" s="10">
        <v>2025</v>
      </c>
      <c r="Y93" s="12" t="s">
        <v>63</v>
      </c>
      <c r="Z93" s="12">
        <f t="shared" si="18"/>
        <v>2502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320</v>
      </c>
      <c r="D94" s="12">
        <f>Table14[[#This Row],[Enrolment S.Y. 2025-2026 ]]*8</f>
        <v>2560</v>
      </c>
      <c r="E94" s="12"/>
      <c r="F94" s="10"/>
      <c r="G94" s="12"/>
      <c r="H94" s="12">
        <f t="shared" si="22"/>
        <v>2560</v>
      </c>
      <c r="I94" s="12">
        <f t="shared" si="23"/>
        <v>0</v>
      </c>
      <c r="J94" s="12">
        <f>Table14[[#This Row],[Enrolment S.Y. 2025-2026 ]]*8</f>
        <v>2560</v>
      </c>
      <c r="K94" s="12"/>
      <c r="L94" s="10"/>
      <c r="M94" s="12"/>
      <c r="N94" s="12">
        <f t="shared" si="20"/>
        <v>2560</v>
      </c>
      <c r="O94" s="12">
        <f t="shared" si="21"/>
        <v>0</v>
      </c>
      <c r="P94" s="12">
        <f>Table14[[#This Row],[Enrolment S.Y. 2025-2026 ]]*8</f>
        <v>2560</v>
      </c>
      <c r="Q94" s="12">
        <v>58</v>
      </c>
      <c r="R94" s="10">
        <v>2025</v>
      </c>
      <c r="S94" s="12" t="s">
        <v>63</v>
      </c>
      <c r="T94" s="12">
        <f t="shared" si="16"/>
        <v>2502</v>
      </c>
      <c r="U94" s="12">
        <f t="shared" si="17"/>
        <v>0</v>
      </c>
      <c r="V94" s="12">
        <f>Table14[[#This Row],[Enrolment S.Y. 2025-2026 ]]*8</f>
        <v>2560</v>
      </c>
      <c r="W94" s="12">
        <v>58</v>
      </c>
      <c r="X94" s="10">
        <v>2025</v>
      </c>
      <c r="Y94" s="12" t="s">
        <v>63</v>
      </c>
      <c r="Z94" s="12">
        <f t="shared" si="18"/>
        <v>2502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320</v>
      </c>
      <c r="D95" s="12">
        <f>Table14[[#This Row],[Enrolment S.Y. 2025-2026 ]]*8</f>
        <v>2560</v>
      </c>
      <c r="E95" s="12"/>
      <c r="F95" s="10"/>
      <c r="G95" s="12"/>
      <c r="H95" s="12">
        <f t="shared" si="22"/>
        <v>2560</v>
      </c>
      <c r="I95" s="12">
        <f t="shared" si="23"/>
        <v>0</v>
      </c>
      <c r="J95" s="12">
        <f>Table14[[#This Row],[Enrolment S.Y. 2025-2026 ]]*8</f>
        <v>2560</v>
      </c>
      <c r="K95" s="12"/>
      <c r="L95" s="10"/>
      <c r="M95" s="12"/>
      <c r="N95" s="12">
        <f t="shared" si="20"/>
        <v>2560</v>
      </c>
      <c r="O95" s="12">
        <f t="shared" si="21"/>
        <v>0</v>
      </c>
      <c r="P95" s="12">
        <f>Table14[[#This Row],[Enrolment S.Y. 2025-2026 ]]*8</f>
        <v>2560</v>
      </c>
      <c r="Q95" s="12">
        <v>58</v>
      </c>
      <c r="R95" s="10">
        <v>2025</v>
      </c>
      <c r="S95" s="12" t="s">
        <v>63</v>
      </c>
      <c r="T95" s="12">
        <f t="shared" si="16"/>
        <v>2502</v>
      </c>
      <c r="U95" s="12">
        <f t="shared" si="17"/>
        <v>0</v>
      </c>
      <c r="V95" s="12">
        <f>Table14[[#This Row],[Enrolment S.Y. 2025-2026 ]]*8</f>
        <v>2560</v>
      </c>
      <c r="W95" s="12">
        <v>58</v>
      </c>
      <c r="X95" s="10">
        <v>2025</v>
      </c>
      <c r="Y95" s="12" t="s">
        <v>63</v>
      </c>
      <c r="Z95" s="12">
        <f t="shared" si="18"/>
        <v>2502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320</v>
      </c>
      <c r="D96" s="12">
        <f>Table14[[#This Row],[Enrolment S.Y. 2025-2026 ]]*8</f>
        <v>2560</v>
      </c>
      <c r="E96" s="12"/>
      <c r="F96" s="10"/>
      <c r="G96" s="12"/>
      <c r="H96" s="12">
        <f t="shared" si="22"/>
        <v>2560</v>
      </c>
      <c r="I96" s="12">
        <f t="shared" si="23"/>
        <v>0</v>
      </c>
      <c r="J96" s="12">
        <f>Table14[[#This Row],[Enrolment S.Y. 2025-2026 ]]*8</f>
        <v>2560</v>
      </c>
      <c r="K96" s="12"/>
      <c r="L96" s="10"/>
      <c r="M96" s="12"/>
      <c r="N96" s="12">
        <f t="shared" si="20"/>
        <v>2560</v>
      </c>
      <c r="O96" s="12">
        <f t="shared" si="21"/>
        <v>0</v>
      </c>
      <c r="P96" s="12">
        <f>Table14[[#This Row],[Enrolment S.Y. 2025-2026 ]]*8</f>
        <v>2560</v>
      </c>
      <c r="Q96" s="12">
        <v>58</v>
      </c>
      <c r="R96" s="10">
        <v>2025</v>
      </c>
      <c r="S96" s="12" t="s">
        <v>63</v>
      </c>
      <c r="T96" s="12">
        <f t="shared" si="16"/>
        <v>2502</v>
      </c>
      <c r="U96" s="12">
        <f t="shared" si="17"/>
        <v>0</v>
      </c>
      <c r="V96" s="12">
        <f>Table14[[#This Row],[Enrolment S.Y. 2025-2026 ]]*8</f>
        <v>2560</v>
      </c>
      <c r="W96" s="12">
        <v>58</v>
      </c>
      <c r="X96" s="10">
        <v>2025</v>
      </c>
      <c r="Y96" s="12" t="s">
        <v>63</v>
      </c>
      <c r="Z96" s="12">
        <f t="shared" si="18"/>
        <v>2502</v>
      </c>
      <c r="AA96" s="12">
        <f t="shared" si="19"/>
        <v>0</v>
      </c>
    </row>
    <row r="97" spans="1:27" ht="19.5">
      <c r="A97" s="35">
        <v>9</v>
      </c>
      <c r="B97" s="11" t="s">
        <v>88</v>
      </c>
      <c r="C97" s="10">
        <v>320</v>
      </c>
      <c r="D97" s="12">
        <f>Table14[[#This Row],[Enrolment S.Y. 2025-2026 ]]*8</f>
        <v>2560</v>
      </c>
      <c r="E97" s="12"/>
      <c r="F97" s="10"/>
      <c r="G97" s="12"/>
      <c r="H97" s="12">
        <f>IF((D97-E97)&lt;0,0,(D97-E97))</f>
        <v>2560</v>
      </c>
      <c r="I97" s="12">
        <f>IF((E97-D97)&lt;0,0,(E97-D97))</f>
        <v>0</v>
      </c>
      <c r="J97" s="12">
        <f>Table14[[#This Row],[Enrolment S.Y. 2025-2026 ]]*8</f>
        <v>2560</v>
      </c>
      <c r="K97" s="12"/>
      <c r="L97" s="10"/>
      <c r="M97" s="12"/>
      <c r="N97" s="12">
        <f t="shared" ref="N97:N101" si="26">IF((J97-K97)&lt;0,0,(J97-K97))</f>
        <v>2560</v>
      </c>
      <c r="O97" s="12">
        <f t="shared" ref="O97:O101" si="27">IF((K97-J97)&lt;0,0,(K97-J97))</f>
        <v>0</v>
      </c>
      <c r="P97" s="12">
        <f>Table14[[#This Row],[Enrolment S.Y. 2025-2026 ]]*8</f>
        <v>2560</v>
      </c>
      <c r="Q97" s="12">
        <v>58</v>
      </c>
      <c r="R97" s="10">
        <v>2025</v>
      </c>
      <c r="S97" s="12" t="s">
        <v>63</v>
      </c>
      <c r="T97" s="12">
        <f>IF((P97-Q97)&lt;0,0,(P97-Q97))</f>
        <v>2502</v>
      </c>
      <c r="U97" s="12">
        <f>IF((Q97-P97)&lt;0,0,(Q97-P97))</f>
        <v>0</v>
      </c>
      <c r="V97" s="12">
        <f>Table14[[#This Row],[Enrolment S.Y. 2025-2026 ]]*8</f>
        <v>2560</v>
      </c>
      <c r="W97" s="12">
        <v>58</v>
      </c>
      <c r="X97" s="10">
        <v>2025</v>
      </c>
      <c r="Y97" s="12" t="s">
        <v>63</v>
      </c>
      <c r="Z97" s="12">
        <f>IF((V97-W97)&lt;0,0,(V97-W97))</f>
        <v>2502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320</v>
      </c>
      <c r="D98" s="12">
        <f>Table14[[#This Row],[Enrolment S.Y. 2025-2026 ]]*8</f>
        <v>2560</v>
      </c>
      <c r="E98" s="12"/>
      <c r="F98" s="10"/>
      <c r="G98" s="12"/>
      <c r="H98" s="12">
        <f t="shared" si="22"/>
        <v>2560</v>
      </c>
      <c r="I98" s="12">
        <f t="shared" si="23"/>
        <v>0</v>
      </c>
      <c r="J98" s="12">
        <f>Table14[[#This Row],[Enrolment S.Y. 2025-2026 ]]*8</f>
        <v>2560</v>
      </c>
      <c r="K98" s="12"/>
      <c r="L98" s="10"/>
      <c r="M98" s="12"/>
      <c r="N98" s="12">
        <f t="shared" si="26"/>
        <v>2560</v>
      </c>
      <c r="O98" s="12">
        <f t="shared" si="27"/>
        <v>0</v>
      </c>
      <c r="P98" s="12">
        <f>Table14[[#This Row],[Enrolment S.Y. 2025-2026 ]]*8</f>
        <v>2560</v>
      </c>
      <c r="Q98" s="12">
        <v>58</v>
      </c>
      <c r="R98" s="10">
        <v>2025</v>
      </c>
      <c r="S98" s="12" t="s">
        <v>63</v>
      </c>
      <c r="T98" s="12">
        <f t="shared" si="16"/>
        <v>2502</v>
      </c>
      <c r="U98" s="12">
        <f t="shared" si="17"/>
        <v>0</v>
      </c>
      <c r="V98" s="12">
        <f>Table14[[#This Row],[Enrolment S.Y. 2025-2026 ]]*8</f>
        <v>2560</v>
      </c>
      <c r="W98" s="12">
        <v>58</v>
      </c>
      <c r="X98" s="10">
        <v>2025</v>
      </c>
      <c r="Y98" s="12" t="s">
        <v>63</v>
      </c>
      <c r="Z98" s="12">
        <f t="shared" si="18"/>
        <v>2502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320</v>
      </c>
      <c r="D99" s="12">
        <f>Table14[[#This Row],[Enrolment S.Y. 2025-2026 ]]*8</f>
        <v>2560</v>
      </c>
      <c r="E99" s="12"/>
      <c r="F99" s="10"/>
      <c r="G99" s="12"/>
      <c r="H99" s="12">
        <f t="shared" si="22"/>
        <v>2560</v>
      </c>
      <c r="I99" s="12">
        <f t="shared" si="23"/>
        <v>0</v>
      </c>
      <c r="J99" s="12">
        <f>Table14[[#This Row],[Enrolment S.Y. 2025-2026 ]]*8</f>
        <v>2560</v>
      </c>
      <c r="K99" s="12"/>
      <c r="L99" s="10"/>
      <c r="M99" s="12"/>
      <c r="N99" s="12">
        <f t="shared" si="26"/>
        <v>2560</v>
      </c>
      <c r="O99" s="12">
        <f t="shared" si="27"/>
        <v>0</v>
      </c>
      <c r="P99" s="12">
        <f>Table14[[#This Row],[Enrolment S.Y. 2025-2026 ]]*8</f>
        <v>2560</v>
      </c>
      <c r="Q99" s="12">
        <v>58</v>
      </c>
      <c r="R99" s="10">
        <v>2025</v>
      </c>
      <c r="S99" s="12" t="s">
        <v>63</v>
      </c>
      <c r="T99" s="12">
        <f t="shared" si="16"/>
        <v>2502</v>
      </c>
      <c r="U99" s="12">
        <f t="shared" si="17"/>
        <v>0</v>
      </c>
      <c r="V99" s="12">
        <f>Table14[[#This Row],[Enrolment S.Y. 2025-2026 ]]*8</f>
        <v>2560</v>
      </c>
      <c r="W99" s="12">
        <v>58</v>
      </c>
      <c r="X99" s="10">
        <v>2025</v>
      </c>
      <c r="Y99" s="12" t="s">
        <v>63</v>
      </c>
      <c r="Z99" s="12">
        <f t="shared" si="18"/>
        <v>2502</v>
      </c>
      <c r="AA99" s="12">
        <f t="shared" si="19"/>
        <v>0</v>
      </c>
    </row>
    <row r="100" spans="1:27" ht="19.5">
      <c r="A100" s="35">
        <v>9</v>
      </c>
      <c r="B100" s="11" t="s">
        <v>90</v>
      </c>
      <c r="C100" s="10">
        <v>320</v>
      </c>
      <c r="D100" s="12">
        <f>Table14[[#This Row],[Enrolment S.Y. 2025-2026 ]]*8</f>
        <v>2560</v>
      </c>
      <c r="E100" s="12"/>
      <c r="F100" s="10"/>
      <c r="G100" s="12"/>
      <c r="H100" s="12">
        <f>IF((D100-E100)&lt;0,0,(D100-E100))</f>
        <v>2560</v>
      </c>
      <c r="I100" s="12">
        <f>IF((E100-D100)&lt;0,0,(E100-D100))</f>
        <v>0</v>
      </c>
      <c r="J100" s="12">
        <f>Table14[[#This Row],[Enrolment S.Y. 2025-2026 ]]*8</f>
        <v>2560</v>
      </c>
      <c r="K100" s="12"/>
      <c r="L100" s="10"/>
      <c r="M100" s="12"/>
      <c r="N100" s="12">
        <f t="shared" si="26"/>
        <v>2560</v>
      </c>
      <c r="O100" s="12">
        <f t="shared" si="27"/>
        <v>0</v>
      </c>
      <c r="P100" s="12">
        <f>Table14[[#This Row],[Enrolment S.Y. 2025-2026 ]]*8</f>
        <v>2560</v>
      </c>
      <c r="Q100" s="12">
        <v>58</v>
      </c>
      <c r="R100" s="10">
        <v>2025</v>
      </c>
      <c r="S100" s="12" t="s">
        <v>63</v>
      </c>
      <c r="T100" s="12">
        <f>IF((P100-Q100)&lt;0,0,(P100-Q100))</f>
        <v>2502</v>
      </c>
      <c r="U100" s="12">
        <f>IF((Q100-P100)&lt;0,0,(Q100-P100))</f>
        <v>0</v>
      </c>
      <c r="V100" s="12">
        <f>Table14[[#This Row],[Enrolment S.Y. 2025-2026 ]]*8</f>
        <v>2560</v>
      </c>
      <c r="W100" s="12">
        <v>58</v>
      </c>
      <c r="X100" s="10">
        <v>2025</v>
      </c>
      <c r="Y100" s="12" t="s">
        <v>63</v>
      </c>
      <c r="Z100" s="12">
        <f>IF((V100-W100)&lt;0,0,(V100-W100))</f>
        <v>2502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320</v>
      </c>
      <c r="D101" s="12">
        <f>Table14[[#This Row],[Enrolment S.Y. 2025-2026 ]]*8</f>
        <v>2560</v>
      </c>
      <c r="E101" s="12"/>
      <c r="F101" s="10"/>
      <c r="G101" s="12"/>
      <c r="H101" s="12">
        <f t="shared" si="22"/>
        <v>2560</v>
      </c>
      <c r="I101" s="12">
        <f t="shared" si="23"/>
        <v>0</v>
      </c>
      <c r="J101" s="12">
        <f>Table14[[#This Row],[Enrolment S.Y. 2025-2026 ]]*8</f>
        <v>2560</v>
      </c>
      <c r="K101" s="12"/>
      <c r="L101" s="10"/>
      <c r="M101" s="12"/>
      <c r="N101" s="12">
        <f t="shared" si="26"/>
        <v>2560</v>
      </c>
      <c r="O101" s="12">
        <f t="shared" si="27"/>
        <v>0</v>
      </c>
      <c r="P101" s="12">
        <f>Table14[[#This Row],[Enrolment S.Y. 2025-2026 ]]*8</f>
        <v>2560</v>
      </c>
      <c r="Q101" s="12">
        <v>58</v>
      </c>
      <c r="R101" s="10">
        <v>2025</v>
      </c>
      <c r="S101" s="12" t="s">
        <v>63</v>
      </c>
      <c r="T101" s="12">
        <f t="shared" si="16"/>
        <v>2502</v>
      </c>
      <c r="U101" s="12">
        <f t="shared" si="17"/>
        <v>0</v>
      </c>
      <c r="V101" s="12">
        <f>Table14[[#This Row],[Enrolment S.Y. 2025-2026 ]]*8</f>
        <v>2560</v>
      </c>
      <c r="W101" s="12">
        <v>58</v>
      </c>
      <c r="X101" s="10">
        <v>2025</v>
      </c>
      <c r="Y101" s="12" t="s">
        <v>63</v>
      </c>
      <c r="Z101" s="12">
        <f t="shared" si="18"/>
        <v>2502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300</v>
      </c>
      <c r="D103" s="12">
        <f>Table14[[#This Row],[Enrolment S.Y. 2025-2026 ]]*8</f>
        <v>2400</v>
      </c>
      <c r="E103" s="12"/>
      <c r="F103" s="10"/>
      <c r="G103" s="12"/>
      <c r="H103" s="12">
        <f t="shared" si="22"/>
        <v>2400</v>
      </c>
      <c r="I103" s="12">
        <f t="shared" si="23"/>
        <v>0</v>
      </c>
      <c r="J103" s="12">
        <f>Table14[[#This Row],[Enrolment S.Y. 2025-2026 ]]*8</f>
        <v>2400</v>
      </c>
      <c r="K103" s="12"/>
      <c r="L103" s="10"/>
      <c r="M103" s="12"/>
      <c r="N103" s="12">
        <f t="shared" si="20"/>
        <v>2400</v>
      </c>
      <c r="O103" s="12">
        <f t="shared" si="21"/>
        <v>0</v>
      </c>
      <c r="P103" s="12">
        <f>Table14[[#This Row],[Enrolment S.Y. 2025-2026 ]]*8</f>
        <v>2400</v>
      </c>
      <c r="Q103" s="12">
        <v>56</v>
      </c>
      <c r="R103" s="10">
        <v>2025</v>
      </c>
      <c r="S103" s="12" t="s">
        <v>63</v>
      </c>
      <c r="T103" s="12">
        <f t="shared" si="16"/>
        <v>2344</v>
      </c>
      <c r="U103" s="12">
        <f t="shared" si="17"/>
        <v>0</v>
      </c>
      <c r="V103" s="12">
        <f>Table14[[#This Row],[Enrolment S.Y. 2025-2026 ]]*8</f>
        <v>2400</v>
      </c>
      <c r="W103" s="12">
        <v>56</v>
      </c>
      <c r="X103" s="10">
        <v>2025</v>
      </c>
      <c r="Y103" s="12" t="s">
        <v>63</v>
      </c>
      <c r="Z103" s="12">
        <f t="shared" si="18"/>
        <v>2344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300</v>
      </c>
      <c r="D104" s="12">
        <f>Table14[[#This Row],[Enrolment S.Y. 2025-2026 ]]*8</f>
        <v>2400</v>
      </c>
      <c r="E104" s="12"/>
      <c r="F104" s="10"/>
      <c r="G104" s="12"/>
      <c r="H104" s="12">
        <f t="shared" si="22"/>
        <v>2400</v>
      </c>
      <c r="I104" s="12">
        <f t="shared" si="23"/>
        <v>0</v>
      </c>
      <c r="J104" s="12">
        <f>Table14[[#This Row],[Enrolment S.Y. 2025-2026 ]]*8</f>
        <v>2400</v>
      </c>
      <c r="K104" s="12"/>
      <c r="L104" s="10"/>
      <c r="M104" s="12"/>
      <c r="N104" s="12">
        <f t="shared" si="20"/>
        <v>2400</v>
      </c>
      <c r="O104" s="12">
        <f t="shared" si="21"/>
        <v>0</v>
      </c>
      <c r="P104" s="12">
        <f>Table14[[#This Row],[Enrolment S.Y. 2025-2026 ]]*8</f>
        <v>2400</v>
      </c>
      <c r="Q104" s="12">
        <v>56</v>
      </c>
      <c r="R104" s="10">
        <v>2025</v>
      </c>
      <c r="S104" s="12" t="s">
        <v>63</v>
      </c>
      <c r="T104" s="12">
        <f t="shared" si="16"/>
        <v>2344</v>
      </c>
      <c r="U104" s="12">
        <f t="shared" si="17"/>
        <v>0</v>
      </c>
      <c r="V104" s="12">
        <f>Table14[[#This Row],[Enrolment S.Y. 2025-2026 ]]*8</f>
        <v>2400</v>
      </c>
      <c r="W104" s="12">
        <v>56</v>
      </c>
      <c r="X104" s="10">
        <v>2025</v>
      </c>
      <c r="Y104" s="12" t="s">
        <v>63</v>
      </c>
      <c r="Z104" s="12">
        <f t="shared" si="18"/>
        <v>2344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300</v>
      </c>
      <c r="D105" s="12">
        <f>Table14[[#This Row],[Enrolment S.Y. 2025-2026 ]]*8</f>
        <v>2400</v>
      </c>
      <c r="E105" s="12"/>
      <c r="F105" s="10"/>
      <c r="G105" s="12"/>
      <c r="H105" s="12">
        <f t="shared" si="22"/>
        <v>2400</v>
      </c>
      <c r="I105" s="12">
        <f t="shared" si="23"/>
        <v>0</v>
      </c>
      <c r="J105" s="12">
        <f>Table14[[#This Row],[Enrolment S.Y. 2025-2026 ]]*8</f>
        <v>2400</v>
      </c>
      <c r="K105" s="12"/>
      <c r="L105" s="10"/>
      <c r="M105" s="12"/>
      <c r="N105" s="12">
        <f t="shared" si="20"/>
        <v>2400</v>
      </c>
      <c r="O105" s="12">
        <f t="shared" si="21"/>
        <v>0</v>
      </c>
      <c r="P105" s="12">
        <f>Table14[[#This Row],[Enrolment S.Y. 2025-2026 ]]*8</f>
        <v>2400</v>
      </c>
      <c r="Q105" s="12">
        <v>56</v>
      </c>
      <c r="R105" s="10">
        <v>2025</v>
      </c>
      <c r="S105" s="12" t="s">
        <v>63</v>
      </c>
      <c r="T105" s="12">
        <f t="shared" si="16"/>
        <v>2344</v>
      </c>
      <c r="U105" s="12">
        <f t="shared" si="17"/>
        <v>0</v>
      </c>
      <c r="V105" s="12">
        <f>Table14[[#This Row],[Enrolment S.Y. 2025-2026 ]]*8</f>
        <v>2400</v>
      </c>
      <c r="W105" s="12">
        <v>56</v>
      </c>
      <c r="X105" s="10">
        <v>2025</v>
      </c>
      <c r="Y105" s="12" t="s">
        <v>63</v>
      </c>
      <c r="Z105" s="12">
        <f t="shared" si="18"/>
        <v>2344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300</v>
      </c>
      <c r="D106" s="12">
        <f>Table14[[#This Row],[Enrolment S.Y. 2025-2026 ]]*8</f>
        <v>2400</v>
      </c>
      <c r="E106" s="12"/>
      <c r="F106" s="10"/>
      <c r="G106" s="12"/>
      <c r="H106" s="12">
        <f t="shared" si="22"/>
        <v>2400</v>
      </c>
      <c r="I106" s="12">
        <f t="shared" si="23"/>
        <v>0</v>
      </c>
      <c r="J106" s="12">
        <f>Table14[[#This Row],[Enrolment S.Y. 2025-2026 ]]*8</f>
        <v>2400</v>
      </c>
      <c r="K106" s="12"/>
      <c r="L106" s="10"/>
      <c r="M106" s="12"/>
      <c r="N106" s="12">
        <f t="shared" si="20"/>
        <v>2400</v>
      </c>
      <c r="O106" s="12">
        <f t="shared" si="21"/>
        <v>0</v>
      </c>
      <c r="P106" s="12">
        <f>Table14[[#This Row],[Enrolment S.Y. 2025-2026 ]]*8</f>
        <v>2400</v>
      </c>
      <c r="Q106" s="12">
        <v>56</v>
      </c>
      <c r="R106" s="10">
        <v>2025</v>
      </c>
      <c r="S106" s="12" t="s">
        <v>63</v>
      </c>
      <c r="T106" s="12">
        <f t="shared" si="16"/>
        <v>2344</v>
      </c>
      <c r="U106" s="12">
        <f t="shared" si="17"/>
        <v>0</v>
      </c>
      <c r="V106" s="12">
        <f>Table14[[#This Row],[Enrolment S.Y. 2025-2026 ]]*8</f>
        <v>2400</v>
      </c>
      <c r="W106" s="12">
        <v>56</v>
      </c>
      <c r="X106" s="10">
        <v>2025</v>
      </c>
      <c r="Y106" s="12" t="s">
        <v>63</v>
      </c>
      <c r="Z106" s="12">
        <f t="shared" si="18"/>
        <v>2344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300</v>
      </c>
      <c r="D107" s="12">
        <f>Table14[[#This Row],[Enrolment S.Y. 2025-2026 ]]*8</f>
        <v>2400</v>
      </c>
      <c r="E107" s="12"/>
      <c r="F107" s="10"/>
      <c r="G107" s="12"/>
      <c r="H107" s="12">
        <f t="shared" si="22"/>
        <v>2400</v>
      </c>
      <c r="I107" s="12">
        <f t="shared" si="23"/>
        <v>0</v>
      </c>
      <c r="J107" s="12">
        <f>Table14[[#This Row],[Enrolment S.Y. 2025-2026 ]]*8</f>
        <v>2400</v>
      </c>
      <c r="K107" s="12"/>
      <c r="L107" s="10"/>
      <c r="M107" s="12"/>
      <c r="N107" s="12">
        <f t="shared" si="20"/>
        <v>2400</v>
      </c>
      <c r="O107" s="12">
        <f t="shared" si="21"/>
        <v>0</v>
      </c>
      <c r="P107" s="12">
        <f>Table14[[#This Row],[Enrolment S.Y. 2025-2026 ]]*8</f>
        <v>2400</v>
      </c>
      <c r="Q107" s="12">
        <v>56</v>
      </c>
      <c r="R107" s="10">
        <v>2025</v>
      </c>
      <c r="S107" s="12" t="s">
        <v>63</v>
      </c>
      <c r="T107" s="12">
        <f t="shared" si="16"/>
        <v>2344</v>
      </c>
      <c r="U107" s="12">
        <f t="shared" si="17"/>
        <v>0</v>
      </c>
      <c r="V107" s="12">
        <f>Table14[[#This Row],[Enrolment S.Y. 2025-2026 ]]*8</f>
        <v>2400</v>
      </c>
      <c r="W107" s="12">
        <v>56</v>
      </c>
      <c r="X107" s="10">
        <v>2025</v>
      </c>
      <c r="Y107" s="12" t="s">
        <v>63</v>
      </c>
      <c r="Z107" s="12">
        <f t="shared" si="18"/>
        <v>2344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300</v>
      </c>
      <c r="D108" s="12">
        <f>Table14[[#This Row],[Enrolment S.Y. 2025-2026 ]]*8</f>
        <v>2400</v>
      </c>
      <c r="E108" s="12"/>
      <c r="F108" s="10"/>
      <c r="G108" s="12"/>
      <c r="H108" s="12">
        <f t="shared" si="22"/>
        <v>2400</v>
      </c>
      <c r="I108" s="12">
        <f t="shared" si="23"/>
        <v>0</v>
      </c>
      <c r="J108" s="12">
        <f>Table14[[#This Row],[Enrolment S.Y. 2025-2026 ]]*8</f>
        <v>2400</v>
      </c>
      <c r="K108" s="12"/>
      <c r="L108" s="10"/>
      <c r="M108" s="12"/>
      <c r="N108" s="12">
        <f t="shared" si="20"/>
        <v>2400</v>
      </c>
      <c r="O108" s="12">
        <f t="shared" si="21"/>
        <v>0</v>
      </c>
      <c r="P108" s="12">
        <f>Table14[[#This Row],[Enrolment S.Y. 2025-2026 ]]*8</f>
        <v>2400</v>
      </c>
      <c r="Q108" s="12">
        <v>56</v>
      </c>
      <c r="R108" s="10">
        <v>2025</v>
      </c>
      <c r="S108" s="12" t="s">
        <v>63</v>
      </c>
      <c r="T108" s="12">
        <f t="shared" si="16"/>
        <v>2344</v>
      </c>
      <c r="U108" s="12">
        <f t="shared" si="17"/>
        <v>0</v>
      </c>
      <c r="V108" s="12">
        <f>Table14[[#This Row],[Enrolment S.Y. 2025-2026 ]]*8</f>
        <v>2400</v>
      </c>
      <c r="W108" s="12">
        <v>56</v>
      </c>
      <c r="X108" s="10">
        <v>2025</v>
      </c>
      <c r="Y108" s="12" t="s">
        <v>63</v>
      </c>
      <c r="Z108" s="12">
        <f t="shared" si="18"/>
        <v>2344</v>
      </c>
      <c r="AA108" s="12">
        <f t="shared" si="19"/>
        <v>0</v>
      </c>
    </row>
    <row r="109" spans="1:27" ht="19.5">
      <c r="A109" s="35">
        <v>10</v>
      </c>
      <c r="B109" s="11" t="s">
        <v>88</v>
      </c>
      <c r="C109" s="10">
        <v>300</v>
      </c>
      <c r="D109" s="12">
        <f>Table14[[#This Row],[Enrolment S.Y. 2025-2026 ]]*8</f>
        <v>2400</v>
      </c>
      <c r="E109" s="12"/>
      <c r="F109" s="10"/>
      <c r="G109" s="12"/>
      <c r="H109" s="12">
        <f>IF((D109-E109)&lt;0,0,(D109-E109))</f>
        <v>2400</v>
      </c>
      <c r="I109" s="12">
        <f>IF((E109-D109)&lt;0,0,(E109-D109))</f>
        <v>0</v>
      </c>
      <c r="J109" s="12">
        <f>Table14[[#This Row],[Enrolment S.Y. 2025-2026 ]]*8</f>
        <v>2400</v>
      </c>
      <c r="K109" s="12"/>
      <c r="L109" s="10"/>
      <c r="M109" s="12"/>
      <c r="N109" s="12">
        <f t="shared" ref="N109:N113" si="28">IF((J109-K109)&lt;0,0,(J109-K109))</f>
        <v>2400</v>
      </c>
      <c r="O109" s="12">
        <f t="shared" ref="O109:O113" si="29">IF((K109-J109)&lt;0,0,(K109-J109))</f>
        <v>0</v>
      </c>
      <c r="P109" s="12">
        <f>Table14[[#This Row],[Enrolment S.Y. 2025-2026 ]]*8</f>
        <v>2400</v>
      </c>
      <c r="Q109" s="12">
        <v>56</v>
      </c>
      <c r="R109" s="10">
        <v>2025</v>
      </c>
      <c r="S109" s="12" t="s">
        <v>63</v>
      </c>
      <c r="T109" s="12">
        <f>IF((P109-Q109)&lt;0,0,(P109-Q109))</f>
        <v>2344</v>
      </c>
      <c r="U109" s="12">
        <f>IF((Q109-P109)&lt;0,0,(Q109-P109))</f>
        <v>0</v>
      </c>
      <c r="V109" s="12">
        <f>Table14[[#This Row],[Enrolment S.Y. 2025-2026 ]]*8</f>
        <v>2400</v>
      </c>
      <c r="W109" s="12">
        <v>56</v>
      </c>
      <c r="X109" s="10">
        <v>2025</v>
      </c>
      <c r="Y109" s="12" t="s">
        <v>63</v>
      </c>
      <c r="Z109" s="12">
        <f>IF((V109-W109)&lt;0,0,(V109-W109))</f>
        <v>2344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300</v>
      </c>
      <c r="D110" s="12">
        <f>Table14[[#This Row],[Enrolment S.Y. 2025-2026 ]]*8</f>
        <v>2400</v>
      </c>
      <c r="E110" s="12"/>
      <c r="F110" s="10"/>
      <c r="G110" s="12"/>
      <c r="H110" s="12">
        <f t="shared" si="22"/>
        <v>2400</v>
      </c>
      <c r="I110" s="12">
        <f t="shared" si="23"/>
        <v>0</v>
      </c>
      <c r="J110" s="12">
        <f>Table14[[#This Row],[Enrolment S.Y. 2025-2026 ]]*8</f>
        <v>2400</v>
      </c>
      <c r="K110" s="12"/>
      <c r="L110" s="10"/>
      <c r="M110" s="12"/>
      <c r="N110" s="12">
        <f t="shared" si="28"/>
        <v>2400</v>
      </c>
      <c r="O110" s="12">
        <f t="shared" si="29"/>
        <v>0</v>
      </c>
      <c r="P110" s="12">
        <f>Table14[[#This Row],[Enrolment S.Y. 2025-2026 ]]*8</f>
        <v>2400</v>
      </c>
      <c r="Q110" s="12">
        <v>56</v>
      </c>
      <c r="R110" s="10">
        <v>2025</v>
      </c>
      <c r="S110" s="12" t="s">
        <v>63</v>
      </c>
      <c r="T110" s="12">
        <f t="shared" si="16"/>
        <v>2344</v>
      </c>
      <c r="U110" s="12">
        <f t="shared" si="17"/>
        <v>0</v>
      </c>
      <c r="V110" s="12">
        <f>Table14[[#This Row],[Enrolment S.Y. 2025-2026 ]]*8</f>
        <v>2400</v>
      </c>
      <c r="W110" s="12">
        <v>56</v>
      </c>
      <c r="X110" s="10">
        <v>2025</v>
      </c>
      <c r="Y110" s="12" t="s">
        <v>63</v>
      </c>
      <c r="Z110" s="12">
        <f t="shared" si="18"/>
        <v>2344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300</v>
      </c>
      <c r="D111" s="12">
        <f>Table14[[#This Row],[Enrolment S.Y. 2025-2026 ]]*8</f>
        <v>2400</v>
      </c>
      <c r="E111" s="12"/>
      <c r="F111" s="10"/>
      <c r="G111" s="12"/>
      <c r="H111" s="12">
        <f t="shared" si="22"/>
        <v>2400</v>
      </c>
      <c r="I111" s="12">
        <f t="shared" si="23"/>
        <v>0</v>
      </c>
      <c r="J111" s="12">
        <f>Table14[[#This Row],[Enrolment S.Y. 2025-2026 ]]*8</f>
        <v>2400</v>
      </c>
      <c r="K111" s="12"/>
      <c r="L111" s="10"/>
      <c r="M111" s="12"/>
      <c r="N111" s="12">
        <f t="shared" si="28"/>
        <v>2400</v>
      </c>
      <c r="O111" s="12">
        <f t="shared" si="29"/>
        <v>0</v>
      </c>
      <c r="P111" s="12">
        <f>Table14[[#This Row],[Enrolment S.Y. 2025-2026 ]]*8</f>
        <v>2400</v>
      </c>
      <c r="Q111" s="12"/>
      <c r="R111" s="10"/>
      <c r="S111" s="12"/>
      <c r="T111" s="12">
        <f t="shared" si="16"/>
        <v>2400</v>
      </c>
      <c r="U111" s="12">
        <f t="shared" si="17"/>
        <v>0</v>
      </c>
      <c r="V111" s="12">
        <f>Table14[[#This Row],[Enrolment S.Y. 2025-2026 ]]*8</f>
        <v>2400</v>
      </c>
      <c r="W111" s="12"/>
      <c r="X111" s="10"/>
      <c r="Y111" s="12"/>
      <c r="Z111" s="12">
        <f t="shared" si="18"/>
        <v>2400</v>
      </c>
      <c r="AA111" s="12">
        <f t="shared" si="19"/>
        <v>0</v>
      </c>
    </row>
    <row r="112" spans="1:27" ht="19.5">
      <c r="A112" s="35">
        <v>10</v>
      </c>
      <c r="B112" s="11" t="s">
        <v>90</v>
      </c>
      <c r="C112" s="10">
        <v>300</v>
      </c>
      <c r="D112" s="12">
        <f>Table14[[#This Row],[Enrolment S.Y. 2025-2026 ]]*8</f>
        <v>2400</v>
      </c>
      <c r="E112" s="12"/>
      <c r="F112" s="10"/>
      <c r="G112" s="12"/>
      <c r="H112" s="12">
        <f>IF((D112-E112)&lt;0,0,(D112-E112))</f>
        <v>2400</v>
      </c>
      <c r="I112" s="12">
        <f>IF((E112-D112)&lt;0,0,(E112-D112))</f>
        <v>0</v>
      </c>
      <c r="J112" s="12">
        <f>Table14[[#This Row],[Enrolment S.Y. 2025-2026 ]]*8</f>
        <v>2400</v>
      </c>
      <c r="K112" s="12"/>
      <c r="L112" s="10"/>
      <c r="M112" s="12"/>
      <c r="N112" s="12">
        <f t="shared" si="28"/>
        <v>2400</v>
      </c>
      <c r="O112" s="12">
        <f t="shared" si="29"/>
        <v>0</v>
      </c>
      <c r="P112" s="12">
        <f>Table14[[#This Row],[Enrolment S.Y. 2025-2026 ]]*8</f>
        <v>2400</v>
      </c>
      <c r="Q112" s="12">
        <v>56</v>
      </c>
      <c r="R112" s="10">
        <v>2025</v>
      </c>
      <c r="S112" s="12" t="s">
        <v>63</v>
      </c>
      <c r="T112" s="12">
        <f>IF((P112-Q112)&lt;0,0,(P112-Q112))</f>
        <v>2344</v>
      </c>
      <c r="U112" s="12">
        <f>IF((Q112-P112)&lt;0,0,(Q112-P112))</f>
        <v>0</v>
      </c>
      <c r="V112" s="12">
        <f>Table14[[#This Row],[Enrolment S.Y. 2025-2026 ]]*8</f>
        <v>2400</v>
      </c>
      <c r="W112" s="12">
        <v>56</v>
      </c>
      <c r="X112" s="10">
        <v>2025</v>
      </c>
      <c r="Y112" s="12" t="s">
        <v>63</v>
      </c>
      <c r="Z112" s="12">
        <f>IF((V112-W112)&lt;0,0,(V112-W112))</f>
        <v>2344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300</v>
      </c>
      <c r="D113" s="12">
        <f>Table14[[#This Row],[Enrolment S.Y. 2025-2026 ]]*8</f>
        <v>2400</v>
      </c>
      <c r="E113" s="12"/>
      <c r="F113" s="10"/>
      <c r="G113" s="12"/>
      <c r="H113" s="12">
        <f t="shared" si="22"/>
        <v>2400</v>
      </c>
      <c r="I113" s="12">
        <f t="shared" si="23"/>
        <v>0</v>
      </c>
      <c r="J113" s="12">
        <f>Table14[[#This Row],[Enrolment S.Y. 2025-2026 ]]*8</f>
        <v>2400</v>
      </c>
      <c r="K113" s="12"/>
      <c r="L113" s="10"/>
      <c r="M113" s="12"/>
      <c r="N113" s="12">
        <f t="shared" si="28"/>
        <v>2400</v>
      </c>
      <c r="O113" s="12">
        <f t="shared" si="29"/>
        <v>0</v>
      </c>
      <c r="P113" s="12">
        <f>Table14[[#This Row],[Enrolment S.Y. 2025-2026 ]]*8</f>
        <v>2400</v>
      </c>
      <c r="Q113" s="12">
        <v>56</v>
      </c>
      <c r="R113" s="10">
        <v>2025</v>
      </c>
      <c r="S113" s="12" t="s">
        <v>63</v>
      </c>
      <c r="T113" s="12">
        <f t="shared" si="16"/>
        <v>2344</v>
      </c>
      <c r="U113" s="12">
        <f t="shared" si="17"/>
        <v>0</v>
      </c>
      <c r="V113" s="12">
        <f>Table14[[#This Row],[Enrolment S.Y. 2025-2026 ]]*8</f>
        <v>2400</v>
      </c>
      <c r="W113" s="12">
        <v>56</v>
      </c>
      <c r="X113" s="10">
        <v>2025</v>
      </c>
      <c r="Y113" s="12" t="s">
        <v>63</v>
      </c>
      <c r="Z113" s="12">
        <f t="shared" si="18"/>
        <v>2344</v>
      </c>
      <c r="AA113" s="12">
        <f t="shared" si="19"/>
        <v>0</v>
      </c>
    </row>
    <row r="114" spans="1:28" s="7" customFormat="1"/>
    <row r="115" spans="1:28" ht="39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9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8.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9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Z91:AA101 H91:L101 Z103:AA113 H103:L113 N115:R122 T115:X122 Z115:AA122 H115:L122 D103:F113 N31:R41 N43:R53 N55:R65 N67:R77 N79:R89 T103:X113 T91:X101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G91:G101 M91:M101 G103:G113 M103:M113 Y115:Y122 G115:G122 M115:M122 S115:S122 Y103:Y113 Y91:Y101 S91:S101 S103:S11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103:Y113 Y91:Y101 M91:M101 G91:G101 G103:G113 M115:M122 S91:S101 M103:M113 S103:S113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2026-02-26T03:46:20Z</dcterms:modified>
  <cp:category/>
  <cp:contentStatus/>
</cp:coreProperties>
</file>