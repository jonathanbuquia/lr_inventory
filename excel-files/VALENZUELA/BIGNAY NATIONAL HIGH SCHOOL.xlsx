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04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236" documentId="13_ncr:1_{BFB59F67-F0DC-4675-A682-EB0734A8026A}" xr6:coauthVersionLast="47" xr6:coauthVersionMax="47" xr10:uidLastSave="{6799CFDD-1B27-47F0-88C8-6949CB26ADE3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J112" i="5"/>
  <c r="U112" i="5"/>
  <c r="T112" i="5"/>
  <c r="V112" i="5"/>
  <c r="Z112" i="5" s="1"/>
  <c r="D109" i="5"/>
  <c r="J109" i="5"/>
  <c r="U109" i="5"/>
  <c r="V109" i="5"/>
  <c r="Z109" i="5" s="1"/>
  <c r="D88" i="5"/>
  <c r="J88" i="5"/>
  <c r="T88" i="5"/>
  <c r="V88" i="5"/>
  <c r="Z88" i="5" s="1"/>
  <c r="D100" i="5"/>
  <c r="J100" i="5"/>
  <c r="T100" i="5"/>
  <c r="V100" i="5"/>
  <c r="Z100" i="5" s="1"/>
  <c r="D97" i="5"/>
  <c r="J97" i="5"/>
  <c r="V97" i="5"/>
  <c r="Z97" i="5" s="1"/>
  <c r="D85" i="5"/>
  <c r="J85" i="5"/>
  <c r="T85" i="5"/>
  <c r="V85" i="5"/>
  <c r="Z85" i="5" s="1"/>
  <c r="D76" i="5"/>
  <c r="J76" i="5"/>
  <c r="T76" i="5"/>
  <c r="V76" i="5"/>
  <c r="Z76" i="5" s="1"/>
  <c r="D73" i="5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V94" i="5"/>
  <c r="AA94" i="5" s="1"/>
  <c r="P94" i="5"/>
  <c r="U94" i="5" s="1"/>
  <c r="J94" i="5"/>
  <c r="O94" i="5" s="1"/>
  <c r="D94" i="5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V70" i="5"/>
  <c r="AA70" i="5" s="1"/>
  <c r="P70" i="5"/>
  <c r="U70" i="5" s="1"/>
  <c r="J70" i="5"/>
  <c r="D70" i="5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D64" i="4"/>
  <c r="D65" i="4"/>
  <c r="D66" i="4"/>
  <c r="D67" i="4"/>
  <c r="I67" i="4" s="1"/>
  <c r="D68" i="4"/>
  <c r="I68" i="4" s="1"/>
  <c r="D69" i="4"/>
  <c r="H69" i="4" s="1"/>
  <c r="D70" i="4"/>
  <c r="D71" i="4"/>
  <c r="D73" i="4"/>
  <c r="D74" i="4"/>
  <c r="D75" i="4"/>
  <c r="D76" i="4"/>
  <c r="I76" i="4" s="1"/>
  <c r="D77" i="4"/>
  <c r="I77" i="4" s="1"/>
  <c r="D78" i="4"/>
  <c r="I78" i="4" s="1"/>
  <c r="D79" i="4"/>
  <c r="I79" i="4" s="1"/>
  <c r="D80" i="4"/>
  <c r="D81" i="4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H62" i="1"/>
  <c r="G62" i="1"/>
  <c r="H61" i="1"/>
  <c r="G61" i="1"/>
  <c r="H59" i="1"/>
  <c r="H58" i="1"/>
  <c r="H57" i="1"/>
  <c r="H56" i="1"/>
  <c r="H55" i="1"/>
  <c r="H54" i="1"/>
  <c r="H53" i="1"/>
  <c r="H52" i="1"/>
  <c r="G52" i="1"/>
  <c r="H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AA111" i="5"/>
  <c r="I75" i="5"/>
  <c r="T92" i="5"/>
  <c r="Z71" i="5"/>
  <c r="AA74" i="5"/>
  <c r="H60" i="5"/>
  <c r="T74" i="5"/>
  <c r="T70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Z80" i="5"/>
  <c r="Z87" i="5"/>
  <c r="AA119" i="5"/>
  <c r="T22" i="5"/>
  <c r="O32" i="5"/>
  <c r="AA33" i="5"/>
  <c r="Z47" i="5"/>
  <c r="T53" i="5"/>
  <c r="I70" i="5"/>
  <c r="H120" i="5"/>
  <c r="H21" i="5"/>
  <c r="Z29" i="5"/>
  <c r="I45" i="5"/>
  <c r="T71" i="5"/>
  <c r="AA82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Z70" i="5"/>
  <c r="T72" i="5"/>
  <c r="Z92" i="5"/>
  <c r="Z93" i="5"/>
  <c r="T96" i="5"/>
  <c r="Z105" i="5"/>
  <c r="AA106" i="5"/>
  <c r="Z110" i="5"/>
  <c r="O117" i="5"/>
  <c r="AA121" i="5"/>
  <c r="Z107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Z98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T79" i="5"/>
  <c r="T81" i="5"/>
  <c r="T83" i="5"/>
  <c r="T86" i="5"/>
  <c r="O93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59" i="4"/>
  <c r="H40" i="4"/>
  <c r="H16" i="4"/>
  <c r="I66" i="4"/>
  <c r="H48" i="4"/>
  <c r="I83" i="4"/>
  <c r="H83" i="4"/>
  <c r="I47" i="4"/>
  <c r="H47" i="4"/>
  <c r="H110" i="4"/>
  <c r="H101" i="4"/>
  <c r="H91" i="4"/>
  <c r="H58" i="4"/>
  <c r="H39" i="4"/>
  <c r="H15" i="4"/>
  <c r="H27" i="4"/>
  <c r="I74" i="4"/>
  <c r="I26" i="4"/>
  <c r="H26" i="4"/>
  <c r="H109" i="4"/>
  <c r="H100" i="4"/>
  <c r="I108" i="4"/>
  <c r="I90" i="4"/>
  <c r="I73" i="4"/>
  <c r="I55" i="4"/>
  <c r="I36" i="4"/>
  <c r="I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<sst xmlns="http://schemas.openxmlformats.org/spreadsheetml/2006/main" count="424" uniqueCount="92">
  <si>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</si>
  <si>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</si>
  <si>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</si>
  <si>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</si>
  <si>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</si>
  <si>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</si>
  <si>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</si>
  <si>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</si>
  <si>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</si>
  <si>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</si>
  <si>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</si>
  <si>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</si>
  <si>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</si>
  <si>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</si>
  <si>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</si>
  <si>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</si>
  <si>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</si>
  <si>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</si>
  <si>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</si>
  <si>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</si>
  <si>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CO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</si>
  <si>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</si>
  <si>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</si>
  <si>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</si>
  <si>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</si>
  <si>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</si>
  <si>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</si>
  <si>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</si>
  <si>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</si>
  <si>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</si>
  <si>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</si>
  <si>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</si>
  <si>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</si>
  <si>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</si>
  <si>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</si>
  <si>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</si>
  <si>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</si>
  <si>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</si>
  <si>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</si>
  <si>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</si>
  <si>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</si>
  <si>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</si>
  <si>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</si>
  <si>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</si>
  <si>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</si>
  <si>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</si>
  <si>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</si>
  <si>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</si>
  <si>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</si>
  <si>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</si>
  <si>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</si>
  <si>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</si>
  <si>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</si>
  <si>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</si>
  <si>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</si>
  <si>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</si>
  <si>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</si>
  <si>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</si>
  <si>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</si>
  <si>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</si>
  <si>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</si>
  <si>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</si>
  <si>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</si>
  <si>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>SDO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</si>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</sst>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3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1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66" activePane="topRight" state="frozen"/>
      <selection pane="topRight" activeCell="G76" sqref="G76"/>
    </sheetView>
  </sheetViews>
  <sheetFormatPr defaultRowHeight="13.9"/>
  <cols>
    <col min="1" max="1" width="10.140625" bestFit="1" customWidth="1"/>
    <col min="2" max="2" width="27.85546875" customWidth="1"/>
    <col min="3" max="4" width="24.85546875" bestFit="1" customWidth="1"/>
    <col min="5" max="5" width="49.42578125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/>
      <c r="D2" s="1"/>
      <c r="E2" s="1"/>
      <c r="F2" s="5"/>
      <c r="G2" s="3">
        <f>IF((C2-D2)&lt;0,0,C2-D2)</f>
        <v>0</v>
      </c>
      <c r="H2" s="4">
        <f>IF((D2-C2)&lt;0,0,D2-C2)</f>
        <v>0</v>
      </c>
    </row>
    <row r="3" spans="1:8" ht="29.25" customHeight="1">
      <c r="A3" s="1">
        <v>1</v>
      </c>
      <c r="B3" s="2" t="s">
        <v>9</v>
      </c>
      <c r="C3" s="1"/>
      <c r="D3" s="1"/>
      <c r="E3" s="1"/>
      <c r="F3" s="5"/>
      <c r="G3" s="3">
        <f>IF((C3-D3)&lt;0,0,C3-D3)</f>
        <v>0</v>
      </c>
      <c r="H3" s="4">
        <f>IF((D3-C3)&lt;0,0,D3-C3)</f>
        <v>0</v>
      </c>
    </row>
    <row r="4" spans="1:8" ht="21" customHeight="1">
      <c r="A4" s="1">
        <v>1</v>
      </c>
      <c r="B4" s="2" t="s">
        <v>10</v>
      </c>
      <c r="C4" s="1"/>
      <c r="D4" s="1"/>
      <c r="E4" s="1"/>
      <c r="F4" s="5"/>
      <c r="G4" s="3">
        <f>IF((C4-D4)&lt;0,0,C4-D4)</f>
        <v>0</v>
      </c>
      <c r="H4" s="4">
        <f>IF((D4-C4)&lt;0,0,D4-C4)</f>
        <v>0</v>
      </c>
    </row>
    <row r="5" spans="1:8" ht="25.5" customHeight="1">
      <c r="A5" s="1">
        <v>1</v>
      </c>
      <c r="B5" s="2" t="s">
        <v>11</v>
      </c>
      <c r="C5" s="1"/>
      <c r="D5" s="1"/>
      <c r="E5" s="1"/>
      <c r="F5" s="5"/>
      <c r="G5" s="3">
        <f t="shared" ref="G5:G6" si="0">IF((C5-D5)&lt;0,0,C5-D5)</f>
        <v>0</v>
      </c>
      <c r="H5" s="4">
        <f t="shared" ref="H5:H6" si="1">IF((D5-C5)&lt;0,0,D5-C5)</f>
        <v>0</v>
      </c>
    </row>
    <row r="6" spans="1:8" ht="19.149999999999999">
      <c r="A6" s="1">
        <v>1</v>
      </c>
      <c r="B6" s="2" t="s">
        <v>12</v>
      </c>
      <c r="C6" s="1"/>
      <c r="D6" s="1"/>
      <c r="E6" s="1"/>
      <c r="F6" s="5"/>
      <c r="G6" s="3">
        <f t="shared" si="0"/>
        <v>0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/>
      <c r="D8" s="1"/>
      <c r="E8" s="1"/>
      <c r="F8" s="5"/>
      <c r="G8" s="3">
        <f>IF((C8-D8)&lt;0,0,C8-D8)</f>
        <v>0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/>
      <c r="D9" s="1"/>
      <c r="E9" s="1"/>
      <c r="F9" s="5"/>
      <c r="G9" s="3">
        <f>IF((C9-D9)&lt;0,0,C9-D9)</f>
        <v>0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/>
      <c r="D10" s="1"/>
      <c r="E10" s="1"/>
      <c r="F10" s="5"/>
      <c r="G10" s="3">
        <f>IF((C10-D10)&lt;0,0,C10-D10)</f>
        <v>0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/>
      <c r="D11" s="1"/>
      <c r="E11" s="1"/>
      <c r="F11" s="5"/>
      <c r="G11" s="3">
        <f>IF((C11-D11)&lt;0,0,C11-D11)</f>
        <v>0</v>
      </c>
      <c r="H11" s="4">
        <f>IF((D11-C11)&lt;0,0,D11-C11)</f>
        <v>0</v>
      </c>
    </row>
    <row r="12" spans="1:8" ht="19.149999999999999">
      <c r="A12" s="1">
        <v>2</v>
      </c>
      <c r="B12" s="2" t="s">
        <v>12</v>
      </c>
      <c r="C12" s="1"/>
      <c r="D12" s="1"/>
      <c r="E12" s="1"/>
      <c r="F12" s="5"/>
      <c r="G12" s="3">
        <f>IF((C12-D12)&lt;0,0,C12-D12)</f>
        <v>0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/>
      <c r="D14" s="1"/>
      <c r="E14" s="1"/>
      <c r="F14" s="5"/>
      <c r="G14" s="3">
        <f t="shared" ref="G14:G19" si="2">IF((C14-D14)&lt;0,0,C14-D14)</f>
        <v>0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/>
      <c r="D15" s="1"/>
      <c r="E15" s="1"/>
      <c r="F15" s="5"/>
      <c r="G15" s="3">
        <f t="shared" si="2"/>
        <v>0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/>
      <c r="D16" s="1"/>
      <c r="E16" s="1"/>
      <c r="F16" s="5"/>
      <c r="G16" s="3">
        <f t="shared" si="2"/>
        <v>0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/>
      <c r="D17" s="1"/>
      <c r="E17" s="1"/>
      <c r="F17" s="5"/>
      <c r="G17" s="3">
        <f t="shared" si="2"/>
        <v>0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/>
      <c r="D18" s="1"/>
      <c r="E18" s="1"/>
      <c r="F18" s="5"/>
      <c r="G18" s="3">
        <f t="shared" si="2"/>
        <v>0</v>
      </c>
      <c r="H18" s="4">
        <f t="shared" si="3"/>
        <v>0</v>
      </c>
    </row>
    <row r="19" spans="1:8" ht="19.149999999999999">
      <c r="A19" s="1">
        <v>3</v>
      </c>
      <c r="B19" s="2" t="s">
        <v>12</v>
      </c>
      <c r="C19" s="1"/>
      <c r="D19" s="1"/>
      <c r="E19" s="1"/>
      <c r="F19" s="5"/>
      <c r="G19" s="3">
        <f t="shared" si="2"/>
        <v>0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/>
      <c r="D21" s="1"/>
      <c r="E21" s="1"/>
      <c r="F21" s="5"/>
      <c r="G21" s="3">
        <f t="shared" ref="G21:G29" si="4">IF((C21-D21)&lt;0,0,C21-D21)</f>
        <v>0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15</v>
      </c>
      <c r="C22" s="1"/>
      <c r="D22" s="1"/>
      <c r="E22" s="1"/>
      <c r="F22" s="5"/>
      <c r="G22" s="3">
        <f t="shared" si="4"/>
        <v>0</v>
      </c>
      <c r="H22" s="4">
        <f t="shared" si="5"/>
        <v>0</v>
      </c>
    </row>
    <row r="23" spans="1:8" ht="19.149999999999999">
      <c r="A23" s="1">
        <v>4</v>
      </c>
      <c r="B23" s="9" t="s">
        <v>12</v>
      </c>
      <c r="C23" s="1"/>
      <c r="D23" s="1"/>
      <c r="E23" s="1"/>
      <c r="F23" s="5"/>
      <c r="G23" s="3">
        <f t="shared" si="4"/>
        <v>0</v>
      </c>
      <c r="H23" s="4">
        <f t="shared" si="5"/>
        <v>0</v>
      </c>
    </row>
    <row r="24" spans="1:8" ht="27" customHeight="1">
      <c r="A24" s="1">
        <v>4</v>
      </c>
      <c r="B24" s="9" t="s">
        <v>10</v>
      </c>
      <c r="C24" s="1"/>
      <c r="D24" s="1"/>
      <c r="E24" s="1"/>
      <c r="F24" s="5"/>
      <c r="G24" s="3">
        <f t="shared" si="4"/>
        <v>0</v>
      </c>
      <c r="H24" s="4">
        <f t="shared" si="5"/>
        <v>0</v>
      </c>
    </row>
    <row r="25" spans="1:8" ht="33.75" customHeight="1">
      <c r="A25" s="1">
        <v>4</v>
      </c>
      <c r="B25" s="9" t="s">
        <v>16</v>
      </c>
      <c r="C25" s="1"/>
      <c r="D25" s="1"/>
      <c r="E25" s="1"/>
      <c r="F25" s="5"/>
      <c r="G25" s="3">
        <f t="shared" si="4"/>
        <v>0</v>
      </c>
      <c r="H25" s="4">
        <f t="shared" si="5"/>
        <v>0</v>
      </c>
    </row>
    <row r="26" spans="1:8" ht="33.75" customHeight="1">
      <c r="A26" s="1">
        <v>4</v>
      </c>
      <c r="B26" s="9" t="s">
        <v>13</v>
      </c>
      <c r="C26" s="1"/>
      <c r="D26" s="1"/>
      <c r="E26" s="1"/>
      <c r="F26" s="5"/>
      <c r="G26" s="3">
        <f t="shared" si="4"/>
        <v>0</v>
      </c>
      <c r="H26" s="4">
        <f t="shared" si="5"/>
        <v>0</v>
      </c>
    </row>
    <row r="27" spans="1:8" ht="33.75" customHeight="1">
      <c r="A27" s="1">
        <v>4</v>
      </c>
      <c r="B27" s="9" t="s">
        <v>17</v>
      </c>
      <c r="C27" s="1"/>
      <c r="D27" s="1"/>
      <c r="E27" s="1"/>
      <c r="F27" s="5"/>
      <c r="G27" s="3">
        <f t="shared" si="4"/>
        <v>0</v>
      </c>
      <c r="H27" s="4">
        <f t="shared" si="5"/>
        <v>0</v>
      </c>
    </row>
    <row r="28" spans="1:8" ht="27.75" customHeight="1">
      <c r="A28" s="1">
        <v>4</v>
      </c>
      <c r="B28" s="9" t="s">
        <v>18</v>
      </c>
      <c r="C28" s="1"/>
      <c r="D28" s="1"/>
      <c r="E28" s="1"/>
      <c r="F28" s="5"/>
      <c r="G28" s="3">
        <f t="shared" si="4"/>
        <v>0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/>
      <c r="D29" s="1"/>
      <c r="E29" s="1"/>
      <c r="F29" s="5"/>
      <c r="G29" s="3">
        <f t="shared" si="4"/>
        <v>0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/>
      <c r="D31" s="1"/>
      <c r="E31" s="1"/>
      <c r="F31" s="5"/>
      <c r="G31" s="3">
        <f t="shared" ref="G31:G39" si="6">IF((C31-D31)&lt;0,0,C31-D31)</f>
        <v>0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15</v>
      </c>
      <c r="C32" s="1"/>
      <c r="D32" s="1"/>
      <c r="E32" s="1"/>
      <c r="F32" s="5"/>
      <c r="G32" s="3">
        <f t="shared" si="6"/>
        <v>0</v>
      </c>
      <c r="H32" s="4">
        <f t="shared" si="7"/>
        <v>0</v>
      </c>
    </row>
    <row r="33" spans="1:8" ht="27.75" customHeight="1">
      <c r="A33" s="1">
        <v>5</v>
      </c>
      <c r="B33" s="9" t="s">
        <v>12</v>
      </c>
      <c r="C33" s="1"/>
      <c r="D33" s="1"/>
      <c r="E33" s="1"/>
      <c r="F33" s="5"/>
      <c r="G33" s="3">
        <f t="shared" si="6"/>
        <v>0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/>
      <c r="D34" s="1"/>
      <c r="E34" s="1"/>
      <c r="F34" s="5"/>
      <c r="G34" s="3">
        <f t="shared" si="6"/>
        <v>0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/>
      <c r="D35" s="1"/>
      <c r="E35" s="1"/>
      <c r="F35" s="5"/>
      <c r="G35" s="3">
        <f t="shared" si="6"/>
        <v>0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/>
      <c r="D36" s="1"/>
      <c r="E36" s="1"/>
      <c r="F36" s="5"/>
      <c r="G36" s="3">
        <f t="shared" si="6"/>
        <v>0</v>
      </c>
      <c r="H36" s="4">
        <f t="shared" si="7"/>
        <v>0</v>
      </c>
    </row>
    <row r="37" spans="1:8" ht="27.75" customHeight="1">
      <c r="A37" s="1">
        <v>5</v>
      </c>
      <c r="B37" s="9" t="s">
        <v>17</v>
      </c>
      <c r="C37" s="1"/>
      <c r="D37" s="1"/>
      <c r="E37" s="1"/>
      <c r="F37" s="5"/>
      <c r="G37" s="3">
        <f t="shared" si="6"/>
        <v>0</v>
      </c>
      <c r="H37" s="4">
        <f t="shared" si="7"/>
        <v>0</v>
      </c>
    </row>
    <row r="38" spans="1:8" ht="27.75" customHeight="1">
      <c r="A38" s="1">
        <v>5</v>
      </c>
      <c r="B38" s="9" t="s">
        <v>18</v>
      </c>
      <c r="C38" s="1"/>
      <c r="D38" s="1"/>
      <c r="E38" s="1"/>
      <c r="F38" s="5"/>
      <c r="G38" s="3">
        <f t="shared" si="6"/>
        <v>0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/>
      <c r="D39" s="1"/>
      <c r="E39" s="1"/>
      <c r="F39" s="5"/>
      <c r="G39" s="3">
        <f t="shared" si="6"/>
        <v>0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/>
      <c r="D41" s="1"/>
      <c r="E41" s="1"/>
      <c r="F41" s="5"/>
      <c r="G41" s="3">
        <f t="shared" ref="G41:G49" si="8">IF((C41-D41)&lt;0,0,C41-D41)</f>
        <v>0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/>
      <c r="D42" s="1"/>
      <c r="E42" s="1"/>
      <c r="F42" s="5"/>
      <c r="G42" s="3">
        <f t="shared" si="8"/>
        <v>0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/>
      <c r="D43" s="1"/>
      <c r="E43" s="1"/>
      <c r="F43" s="5"/>
      <c r="G43" s="3">
        <f t="shared" si="8"/>
        <v>0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/>
      <c r="D44" s="1"/>
      <c r="E44" s="1"/>
      <c r="F44" s="5"/>
      <c r="G44" s="3">
        <f t="shared" si="8"/>
        <v>0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/>
      <c r="D45" s="1"/>
      <c r="E45" s="1"/>
      <c r="F45" s="5"/>
      <c r="G45" s="3">
        <f t="shared" si="8"/>
        <v>0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/>
      <c r="D46" s="1"/>
      <c r="E46" s="1"/>
      <c r="F46" s="5"/>
      <c r="G46" s="3">
        <f t="shared" si="8"/>
        <v>0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/>
      <c r="D47" s="1"/>
      <c r="E47" s="1"/>
      <c r="F47" s="5"/>
      <c r="G47" s="3">
        <f t="shared" si="8"/>
        <v>0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/>
      <c r="D48" s="1"/>
      <c r="E48" s="1"/>
      <c r="F48" s="5"/>
      <c r="G48" s="3">
        <f t="shared" si="8"/>
        <v>0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/>
      <c r="D49" s="1"/>
      <c r="E49" s="1"/>
      <c r="F49" s="5"/>
      <c r="G49" s="3">
        <f t="shared" si="8"/>
        <v>0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14</v>
      </c>
      <c r="C51" s="10">
        <v>746</v>
      </c>
      <c r="D51" s="10"/>
      <c r="E51" s="10">
        <v>2025</v>
      </c>
      <c r="F51" s="12" t="s">
        <v>20</v>
      </c>
      <c r="G51" s="3">
        <v>783</v>
      </c>
      <c r="H51" s="4">
        <f t="shared" ref="H51:H59" si="10">IF((D51-C51)&lt;0,0,D51-C51)</f>
        <v>0</v>
      </c>
    </row>
    <row r="52" spans="1:8" ht="27.75" customHeight="1">
      <c r="A52" s="10">
        <v>7</v>
      </c>
      <c r="B52" s="11" t="s">
        <v>15</v>
      </c>
      <c r="C52" s="10"/>
      <c r="D52" s="10"/>
      <c r="E52" s="10"/>
      <c r="F52" s="12"/>
      <c r="G52" s="3">
        <f t="shared" ref="G51:G59" si="11">IF((C52-D52)&lt;0,0,C52-D52)</f>
        <v>0</v>
      </c>
      <c r="H52" s="4">
        <f t="shared" si="10"/>
        <v>0</v>
      </c>
    </row>
    <row r="53" spans="1:8" ht="27.75" customHeight="1">
      <c r="A53" s="10">
        <v>7</v>
      </c>
      <c r="B53" s="11" t="s">
        <v>12</v>
      </c>
      <c r="C53" s="10">
        <v>746</v>
      </c>
      <c r="D53" s="10"/>
      <c r="E53" s="10">
        <v>2025</v>
      </c>
      <c r="F53" s="12" t="s">
        <v>20</v>
      </c>
      <c r="G53" s="3">
        <v>783</v>
      </c>
      <c r="H53" s="4">
        <f t="shared" si="10"/>
        <v>0</v>
      </c>
    </row>
    <row r="54" spans="1:8" ht="27.75" customHeight="1">
      <c r="A54" s="10">
        <v>7</v>
      </c>
      <c r="B54" s="11" t="s">
        <v>21</v>
      </c>
      <c r="C54" s="10">
        <v>746</v>
      </c>
      <c r="D54" s="10"/>
      <c r="E54" s="10">
        <v>2025</v>
      </c>
      <c r="F54" s="12" t="s">
        <v>20</v>
      </c>
      <c r="G54" s="3">
        <v>755</v>
      </c>
      <c r="H54" s="4">
        <f t="shared" si="10"/>
        <v>0</v>
      </c>
    </row>
    <row r="55" spans="1:8" ht="39" customHeight="1">
      <c r="A55" s="10">
        <v>7</v>
      </c>
      <c r="B55" s="11" t="s">
        <v>16</v>
      </c>
      <c r="C55" s="10">
        <v>746</v>
      </c>
      <c r="D55" s="10"/>
      <c r="E55" s="10">
        <v>2025</v>
      </c>
      <c r="F55" s="12" t="s">
        <v>20</v>
      </c>
      <c r="G55" s="3">
        <v>783</v>
      </c>
      <c r="H55" s="4">
        <f t="shared" si="10"/>
        <v>0</v>
      </c>
    </row>
    <row r="56" spans="1:8" ht="27.75" customHeight="1">
      <c r="A56" s="10">
        <v>7</v>
      </c>
      <c r="B56" s="11" t="s">
        <v>13</v>
      </c>
      <c r="C56" s="10">
        <v>746</v>
      </c>
      <c r="D56" s="10"/>
      <c r="E56" s="10">
        <v>2024</v>
      </c>
      <c r="F56" s="12" t="s">
        <v>20</v>
      </c>
      <c r="G56" s="3">
        <v>783</v>
      </c>
      <c r="H56" s="4">
        <f t="shared" si="10"/>
        <v>0</v>
      </c>
    </row>
    <row r="57" spans="1:8" ht="27.75" customHeight="1">
      <c r="A57" s="10">
        <v>7</v>
      </c>
      <c r="B57" s="11" t="s">
        <v>17</v>
      </c>
      <c r="C57" s="10">
        <v>746</v>
      </c>
      <c r="D57" s="10"/>
      <c r="E57" s="10">
        <v>2025</v>
      </c>
      <c r="F57" s="12" t="s">
        <v>20</v>
      </c>
      <c r="G57" s="3">
        <v>783</v>
      </c>
      <c r="H57" s="4">
        <f t="shared" si="10"/>
        <v>0</v>
      </c>
    </row>
    <row r="58" spans="1:8" ht="27.75" customHeight="1">
      <c r="A58" s="10">
        <v>7</v>
      </c>
      <c r="B58" s="11" t="s">
        <v>22</v>
      </c>
      <c r="C58" s="10">
        <v>746</v>
      </c>
      <c r="D58" s="10"/>
      <c r="E58" s="10">
        <v>2025</v>
      </c>
      <c r="F58" s="12" t="s">
        <v>20</v>
      </c>
      <c r="G58" s="3">
        <v>783</v>
      </c>
      <c r="H58" s="4">
        <f t="shared" si="10"/>
        <v>0</v>
      </c>
    </row>
    <row r="59" spans="1:8" ht="27.75" customHeight="1">
      <c r="A59" s="10">
        <v>7</v>
      </c>
      <c r="B59" s="11" t="s">
        <v>19</v>
      </c>
      <c r="C59" s="10">
        <v>746</v>
      </c>
      <c r="D59" s="10"/>
      <c r="E59" s="10">
        <v>2025</v>
      </c>
      <c r="F59" s="12" t="s">
        <v>20</v>
      </c>
      <c r="G59" s="3">
        <v>783</v>
      </c>
      <c r="H59" s="4">
        <f t="shared" si="10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14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15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12</v>
      </c>
      <c r="C63" s="10">
        <v>746</v>
      </c>
      <c r="D63" s="10"/>
      <c r="E63" s="10">
        <v>2025</v>
      </c>
      <c r="F63" s="12" t="s">
        <v>20</v>
      </c>
      <c r="G63" s="3">
        <v>755</v>
      </c>
      <c r="H63" s="4">
        <f t="shared" si="13"/>
        <v>0</v>
      </c>
    </row>
    <row r="64" spans="1:8" ht="27.75" customHeight="1">
      <c r="A64" s="10">
        <v>8</v>
      </c>
      <c r="B64" s="11" t="s">
        <v>21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23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13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17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22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19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14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15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12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21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23</v>
      </c>
      <c r="C75" s="10">
        <v>656</v>
      </c>
      <c r="D75" s="10"/>
      <c r="E75" s="10">
        <v>2025</v>
      </c>
      <c r="F75" s="12" t="s">
        <v>20</v>
      </c>
      <c r="G75" s="3">
        <v>670</v>
      </c>
      <c r="H75" s="4">
        <f t="shared" si="15"/>
        <v>0</v>
      </c>
    </row>
    <row r="76" spans="1:8" ht="27.75" customHeight="1">
      <c r="A76" s="10">
        <v>9</v>
      </c>
      <c r="B76" s="11" t="s">
        <v>13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17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22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19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14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15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12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21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23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13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17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22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19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24</v>
      </c>
      <c r="B91" s="9" t="s">
        <v>25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24</v>
      </c>
      <c r="B92" s="9" t="s">
        <v>26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24</v>
      </c>
      <c r="B93" s="9" t="s">
        <v>27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24</v>
      </c>
      <c r="B94" s="9" t="s">
        <v>28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24</v>
      </c>
      <c r="B95" s="9" t="s">
        <v>29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24</v>
      </c>
      <c r="B96" s="9" t="s">
        <v>30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24</v>
      </c>
      <c r="B97" s="9" t="s">
        <v>31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24</v>
      </c>
      <c r="B98" s="9" t="s">
        <v>32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2:F6 F8:F12 F91:F98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topLeftCell="A60" zoomScale="70" zoomScaleNormal="70" workbookViewId="0">
      <selection activeCell="G66" sqref="G6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37</v>
      </c>
      <c r="E2" s="20" t="s">
        <v>38</v>
      </c>
      <c r="F2" s="21" t="s">
        <v>39</v>
      </c>
      <c r="G2" s="24" t="s">
        <v>40</v>
      </c>
      <c r="H2" s="17" t="s">
        <v>41</v>
      </c>
      <c r="I2" s="24" t="s">
        <v>42</v>
      </c>
      <c r="J2" s="22" t="s">
        <v>43</v>
      </c>
      <c r="K2" s="22" t="s">
        <v>44</v>
      </c>
      <c r="L2" s="23" t="s">
        <v>45</v>
      </c>
      <c r="M2" s="40" t="s">
        <v>46</v>
      </c>
      <c r="N2" s="40" t="s">
        <v>47</v>
      </c>
      <c r="O2" s="22" t="s">
        <v>48</v>
      </c>
      <c r="P2" s="24" t="s">
        <v>49</v>
      </c>
      <c r="Q2" s="24" t="s">
        <v>50</v>
      </c>
      <c r="R2" s="25" t="s">
        <v>51</v>
      </c>
      <c r="S2" s="17" t="s">
        <v>52</v>
      </c>
      <c r="T2" s="17" t="s">
        <v>53</v>
      </c>
      <c r="U2" s="24" t="s">
        <v>54</v>
      </c>
      <c r="V2" s="26" t="s">
        <v>55</v>
      </c>
      <c r="W2" s="26" t="s">
        <v>56</v>
      </c>
      <c r="X2" s="27" t="s">
        <v>57</v>
      </c>
      <c r="Y2" s="41" t="s">
        <v>58</v>
      </c>
      <c r="Z2" s="41" t="s">
        <v>59</v>
      </c>
      <c r="AA2" s="26" t="s">
        <v>60</v>
      </c>
    </row>
    <row r="3" spans="1:27" ht="30.6" customHeight="1">
      <c r="A3" s="39" t="s">
        <v>61</v>
      </c>
      <c r="B3" s="33"/>
      <c r="C3" s="32"/>
      <c r="D3" s="34">
        <f>Table1[[#This Row],[Enrolment S.Y. 2025-2026 ]]*8</f>
        <v>0</v>
      </c>
      <c r="E3" s="34"/>
      <c r="F3" s="32"/>
      <c r="G3" s="34"/>
      <c r="H3" s="34">
        <f>IF((D3-E3)&lt;0,0,(D3-E3))</f>
        <v>0</v>
      </c>
      <c r="I3" s="34">
        <f>IF((E3-D3)&lt;0,0,(E3-D3))</f>
        <v>0</v>
      </c>
      <c r="J3" s="34">
        <f>Table1[[#This Row],[Enrolment S.Y. 2025-2026 ]]*8</f>
        <v>0</v>
      </c>
      <c r="K3" s="34"/>
      <c r="L3" s="32"/>
      <c r="M3" s="34"/>
      <c r="N3" s="5">
        <f t="shared" ref="N3" si="0">IF((J3-K3)&lt;0,0,(J3-K3))</f>
        <v>0</v>
      </c>
      <c r="O3" s="5">
        <f t="shared" ref="O3" si="1">IF((K3-J3)&lt;0,0,(K3-J3))</f>
        <v>0</v>
      </c>
      <c r="P3" s="5">
        <f>Table1[[#This Row],[Enrolment S.Y. 2025-2026 ]]*8</f>
        <v>0</v>
      </c>
      <c r="Q3" s="34"/>
      <c r="R3" s="32"/>
      <c r="S3" s="34"/>
      <c r="T3" s="34">
        <f>IF((P3-Q3)&lt;0,0,(P3-Q3))</f>
        <v>0</v>
      </c>
      <c r="U3" s="34">
        <f>IF((Q3-P3)&lt;0,0,(Q3-P3))</f>
        <v>0</v>
      </c>
      <c r="V3" s="34">
        <f>Table1[[#This Row],[Enrolment S.Y. 2025-2026 ]]*8</f>
        <v>0</v>
      </c>
      <c r="W3" s="34"/>
      <c r="X3" s="32"/>
      <c r="Y3" s="34"/>
      <c r="Z3" s="34">
        <f>IF((V3-W3)&lt;0,0,(V3-W3))</f>
        <v>0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77" si="2">IF((D5-E5)&lt;0,0,(D5-E5))</f>
        <v>0</v>
      </c>
      <c r="I5" s="5">
        <f t="shared" ref="I5:I77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9" si="10">IF((J6-K6)&lt;0,0,(J6-K6))</f>
        <v>0</v>
      </c>
      <c r="O6" s="5">
        <f t="shared" ref="O6:O69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9" si="12">IF((P6-Q6)&lt;0,0,(P6-Q6))</f>
        <v>0</v>
      </c>
      <c r="U6" s="5">
        <f t="shared" ref="U6:U69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9" si="14">IF((V6-W6)&lt;0,0,(V6-W6))</f>
        <v>0</v>
      </c>
      <c r="AA6" s="5">
        <f t="shared" ref="AA6:AA69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62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62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62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5">
      <c r="A63" s="10">
        <v>7</v>
      </c>
      <c r="B63" s="11" t="s">
        <v>14</v>
      </c>
      <c r="C63" s="10">
        <v>746</v>
      </c>
      <c r="D63" s="12">
        <f>Table1[[#This Row],[Enrolment S.Y. 2025-2026 ]]*8</f>
        <v>5968</v>
      </c>
      <c r="E63" s="12"/>
      <c r="F63" s="10">
        <v>2025</v>
      </c>
      <c r="G63" s="12" t="s">
        <v>63</v>
      </c>
      <c r="H63" s="12">
        <v>270</v>
      </c>
      <c r="I63" s="12">
        <f t="shared" si="3"/>
        <v>0</v>
      </c>
      <c r="J63" s="12">
        <f>Table1[[#This Row],[Enrolment S.Y. 2025-2026 ]]*8</f>
        <v>5968</v>
      </c>
      <c r="K63" s="12"/>
      <c r="L63" s="10"/>
      <c r="M63" s="12"/>
      <c r="N63" s="12">
        <f t="shared" si="10"/>
        <v>5968</v>
      </c>
      <c r="O63" s="12">
        <f t="shared" si="11"/>
        <v>0</v>
      </c>
      <c r="P63" s="12">
        <f>Table1[[#This Row],[Enrolment S.Y. 2025-2026 ]]*8</f>
        <v>5968</v>
      </c>
      <c r="Q63" s="12"/>
      <c r="R63" s="10"/>
      <c r="S63" s="12"/>
      <c r="T63" s="12">
        <f t="shared" si="12"/>
        <v>5968</v>
      </c>
      <c r="U63" s="12">
        <f t="shared" si="13"/>
        <v>0</v>
      </c>
      <c r="V63" s="12">
        <f>Table1[[#This Row],[Enrolment S.Y. 2025-2026 ]]*8</f>
        <v>5968</v>
      </c>
      <c r="W63" s="12"/>
      <c r="X63" s="10"/>
      <c r="Y63" s="12"/>
      <c r="Z63" s="12">
        <f t="shared" si="14"/>
        <v>5968</v>
      </c>
      <c r="AA63" s="12">
        <f t="shared" si="15"/>
        <v>0</v>
      </c>
    </row>
    <row r="64" spans="1:27" ht="19.5">
      <c r="A64" s="10">
        <v>7</v>
      </c>
      <c r="B64" s="11" t="s">
        <v>15</v>
      </c>
      <c r="C64" s="10">
        <v>746</v>
      </c>
      <c r="D64" s="12">
        <f>Table1[[#This Row],[Enrolment S.Y. 2025-2026 ]]*8</f>
        <v>5968</v>
      </c>
      <c r="E64" s="12"/>
      <c r="F64" s="10">
        <v>2025</v>
      </c>
      <c r="G64" s="12" t="s">
        <v>63</v>
      </c>
      <c r="H64" s="12">
        <v>270</v>
      </c>
      <c r="I64" s="12">
        <f t="shared" si="3"/>
        <v>0</v>
      </c>
      <c r="J64" s="12">
        <f>Table1[[#This Row],[Enrolment S.Y. 2025-2026 ]]*8</f>
        <v>5968</v>
      </c>
      <c r="K64" s="12"/>
      <c r="L64" s="10"/>
      <c r="M64" s="12"/>
      <c r="N64" s="12">
        <f t="shared" si="10"/>
        <v>5968</v>
      </c>
      <c r="O64" s="12">
        <f t="shared" si="11"/>
        <v>0</v>
      </c>
      <c r="P64" s="12">
        <f>Table1[[#This Row],[Enrolment S.Y. 2025-2026 ]]*8</f>
        <v>5968</v>
      </c>
      <c r="Q64" s="12"/>
      <c r="R64" s="10"/>
      <c r="S64" s="12"/>
      <c r="T64" s="12">
        <f t="shared" si="12"/>
        <v>5968</v>
      </c>
      <c r="U64" s="12">
        <f t="shared" si="13"/>
        <v>0</v>
      </c>
      <c r="V64" s="12">
        <f>Table1[[#This Row],[Enrolment S.Y. 2025-2026 ]]*8</f>
        <v>5968</v>
      </c>
      <c r="W64" s="12"/>
      <c r="X64" s="10"/>
      <c r="Y64" s="12"/>
      <c r="Z64" s="12">
        <f t="shared" si="14"/>
        <v>5968</v>
      </c>
      <c r="AA64" s="12">
        <f t="shared" si="15"/>
        <v>0</v>
      </c>
    </row>
    <row r="65" spans="1:27" ht="19.5">
      <c r="A65" s="10">
        <v>7</v>
      </c>
      <c r="B65" s="11" t="s">
        <v>12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5">
      <c r="A66" s="10">
        <v>7</v>
      </c>
      <c r="B66" s="11" t="s">
        <v>21</v>
      </c>
      <c r="C66" s="10">
        <v>746</v>
      </c>
      <c r="D66" s="12">
        <f>Table1[[#This Row],[Enrolment S.Y. 2025-2026 ]]*8</f>
        <v>5968</v>
      </c>
      <c r="E66" s="12"/>
      <c r="F66" s="10">
        <v>2025</v>
      </c>
      <c r="G66" s="12" t="s">
        <v>63</v>
      </c>
      <c r="H66" s="12">
        <v>270</v>
      </c>
      <c r="I66" s="12">
        <f t="shared" si="3"/>
        <v>0</v>
      </c>
      <c r="J66" s="12">
        <f>Table1[[#This Row],[Enrolment S.Y. 2025-2026 ]]*8</f>
        <v>5968</v>
      </c>
      <c r="K66" s="12"/>
      <c r="L66" s="10"/>
      <c r="M66" s="12"/>
      <c r="N66" s="12">
        <f t="shared" si="10"/>
        <v>5968</v>
      </c>
      <c r="O66" s="12">
        <f t="shared" si="11"/>
        <v>0</v>
      </c>
      <c r="P66" s="12">
        <f>Table1[[#This Row],[Enrolment S.Y. 2025-2026 ]]*8</f>
        <v>5968</v>
      </c>
      <c r="Q66" s="12"/>
      <c r="R66" s="10"/>
      <c r="S66" s="12"/>
      <c r="T66" s="12">
        <f t="shared" si="12"/>
        <v>5968</v>
      </c>
      <c r="U66" s="12">
        <f t="shared" si="13"/>
        <v>0</v>
      </c>
      <c r="V66" s="12">
        <f>Table1[[#This Row],[Enrolment S.Y. 2025-2026 ]]*8</f>
        <v>5968</v>
      </c>
      <c r="W66" s="12"/>
      <c r="X66" s="10"/>
      <c r="Y66" s="12"/>
      <c r="Z66" s="12">
        <f t="shared" si="14"/>
        <v>5968</v>
      </c>
      <c r="AA66" s="12">
        <f t="shared" si="15"/>
        <v>0</v>
      </c>
    </row>
    <row r="67" spans="1:27" ht="38.25">
      <c r="A67" s="10">
        <v>7</v>
      </c>
      <c r="B67" s="11" t="s">
        <v>16</v>
      </c>
      <c r="C67" s="10">
        <v>746</v>
      </c>
      <c r="D67" s="12">
        <f>Table1[[#This Row],[Enrolment S.Y. 2025-2026 ]]*8</f>
        <v>5968</v>
      </c>
      <c r="E67" s="12"/>
      <c r="F67" s="10">
        <v>2025</v>
      </c>
      <c r="G67" s="12" t="s">
        <v>63</v>
      </c>
      <c r="H67" s="12">
        <v>270</v>
      </c>
      <c r="I67" s="12">
        <f t="shared" si="3"/>
        <v>0</v>
      </c>
      <c r="J67" s="12">
        <f>Table1[[#This Row],[Enrolment S.Y. 2025-2026 ]]*8</f>
        <v>5968</v>
      </c>
      <c r="K67" s="12"/>
      <c r="L67" s="10"/>
      <c r="M67" s="12"/>
      <c r="N67" s="12">
        <f t="shared" si="10"/>
        <v>5968</v>
      </c>
      <c r="O67" s="12">
        <f t="shared" si="11"/>
        <v>0</v>
      </c>
      <c r="P67" s="12">
        <f>Table1[[#This Row],[Enrolment S.Y. 2025-2026 ]]*8</f>
        <v>5968</v>
      </c>
      <c r="Q67" s="12"/>
      <c r="R67" s="10"/>
      <c r="S67" s="12"/>
      <c r="T67" s="12">
        <f t="shared" si="12"/>
        <v>5968</v>
      </c>
      <c r="U67" s="12">
        <f t="shared" si="13"/>
        <v>0</v>
      </c>
      <c r="V67" s="12">
        <f>Table1[[#This Row],[Enrolment S.Y. 2025-2026 ]]*8</f>
        <v>5968</v>
      </c>
      <c r="W67" s="12"/>
      <c r="X67" s="10"/>
      <c r="Y67" s="12"/>
      <c r="Z67" s="12">
        <f t="shared" si="14"/>
        <v>5968</v>
      </c>
      <c r="AA67" s="12">
        <f t="shared" si="15"/>
        <v>0</v>
      </c>
    </row>
    <row r="68" spans="1:27" ht="19.5">
      <c r="A68" s="10">
        <v>7</v>
      </c>
      <c r="B68" s="11" t="s">
        <v>13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5">
      <c r="A69" s="10">
        <v>7</v>
      </c>
      <c r="B69" s="11" t="s">
        <v>17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5">
      <c r="A70" s="10">
        <v>7</v>
      </c>
      <c r="B70" s="11" t="s">
        <v>22</v>
      </c>
      <c r="C70" s="10">
        <v>746</v>
      </c>
      <c r="D70" s="12">
        <f>Table1[[#This Row],[Enrolment S.Y. 2025-2026 ]]*8</f>
        <v>5968</v>
      </c>
      <c r="E70" s="12"/>
      <c r="F70" s="10">
        <v>2025</v>
      </c>
      <c r="G70" s="12" t="s">
        <v>63</v>
      </c>
      <c r="H70" s="12">
        <v>270</v>
      </c>
      <c r="I70" s="12">
        <f t="shared" si="3"/>
        <v>0</v>
      </c>
      <c r="J70" s="12">
        <f>Table1[[#This Row],[Enrolment S.Y. 2025-2026 ]]*8</f>
        <v>5968</v>
      </c>
      <c r="K70" s="12"/>
      <c r="L70" s="10"/>
      <c r="M70" s="12"/>
      <c r="N70" s="12">
        <f t="shared" ref="N70:N126" si="16">IF((J70-K70)&lt;0,0,(J70-K70))</f>
        <v>5968</v>
      </c>
      <c r="O70" s="12">
        <f t="shared" ref="O70:O126" si="17">IF((K70-J70)&lt;0,0,(K70-J70))</f>
        <v>0</v>
      </c>
      <c r="P70" s="12">
        <f>Table1[[#This Row],[Enrolment S.Y. 2025-2026 ]]*8</f>
        <v>5968</v>
      </c>
      <c r="Q70" s="12"/>
      <c r="R70" s="10"/>
      <c r="S70" s="12"/>
      <c r="T70" s="12">
        <f t="shared" ref="T70:T127" si="18">IF((P70-Q70)&lt;0,0,(P70-Q70))</f>
        <v>5968</v>
      </c>
      <c r="U70" s="12">
        <f t="shared" ref="U70:U127" si="19">IF((Q70-P70)&lt;0,0,(Q70-P70))</f>
        <v>0</v>
      </c>
      <c r="V70" s="12">
        <f>Table1[[#This Row],[Enrolment S.Y. 2025-2026 ]]*8</f>
        <v>5968</v>
      </c>
      <c r="W70" s="12"/>
      <c r="X70" s="10"/>
      <c r="Y70" s="12"/>
      <c r="Z70" s="12">
        <f t="shared" ref="Z70:Z127" si="20">IF((V70-W70)&lt;0,0,(V70-W70))</f>
        <v>5968</v>
      </c>
      <c r="AA70" s="12">
        <f t="shared" ref="AA70:AA127" si="21">IF((W70-V70)&lt;0,0,(W70-V70))</f>
        <v>0</v>
      </c>
    </row>
    <row r="71" spans="1:27" ht="19.5">
      <c r="A71" s="10">
        <v>7</v>
      </c>
      <c r="B71" s="11" t="s">
        <v>19</v>
      </c>
      <c r="C71" s="10">
        <v>746</v>
      </c>
      <c r="D71" s="12">
        <f>Table1[[#This Row],[Enrolment S.Y. 2025-2026 ]]*8</f>
        <v>5968</v>
      </c>
      <c r="E71" s="12"/>
      <c r="F71" s="10">
        <v>2025</v>
      </c>
      <c r="G71" s="12" t="s">
        <v>63</v>
      </c>
      <c r="H71" s="12">
        <v>270</v>
      </c>
      <c r="I71" s="12">
        <f t="shared" si="3"/>
        <v>0</v>
      </c>
      <c r="J71" s="12">
        <f>Table1[[#This Row],[Enrolment S.Y. 2025-2026 ]]*8</f>
        <v>5968</v>
      </c>
      <c r="K71" s="12"/>
      <c r="L71" s="10"/>
      <c r="M71" s="12"/>
      <c r="N71" s="12">
        <f t="shared" si="16"/>
        <v>5968</v>
      </c>
      <c r="O71" s="12">
        <f t="shared" si="17"/>
        <v>0</v>
      </c>
      <c r="P71" s="12">
        <f>Table1[[#This Row],[Enrolment S.Y. 2025-2026 ]]*8</f>
        <v>5968</v>
      </c>
      <c r="Q71" s="12"/>
      <c r="R71" s="10"/>
      <c r="S71" s="12"/>
      <c r="T71" s="12">
        <f t="shared" si="18"/>
        <v>5968</v>
      </c>
      <c r="U71" s="12">
        <f t="shared" si="19"/>
        <v>0</v>
      </c>
      <c r="V71" s="12">
        <f>Table1[[#This Row],[Enrolment S.Y. 2025-2026 ]]*8</f>
        <v>5968</v>
      </c>
      <c r="W71" s="12"/>
      <c r="X71" s="10"/>
      <c r="Y71" s="12"/>
      <c r="Z71" s="12">
        <f t="shared" si="20"/>
        <v>5968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5">
      <c r="A73" s="10">
        <v>8</v>
      </c>
      <c r="B73" s="11" t="s">
        <v>14</v>
      </c>
      <c r="C73" s="10">
        <v>654</v>
      </c>
      <c r="D73" s="12">
        <f>Table1[[#This Row],[Enrolment S.Y. 2025-2026 ]]*8</f>
        <v>5232</v>
      </c>
      <c r="E73" s="12"/>
      <c r="F73" s="10">
        <v>2025</v>
      </c>
      <c r="G73" s="12" t="s">
        <v>63</v>
      </c>
      <c r="H73" s="12">
        <v>86</v>
      </c>
      <c r="I73" s="12">
        <f t="shared" si="3"/>
        <v>0</v>
      </c>
      <c r="J73" s="12">
        <f>Table1[[#This Row],[Enrolment S.Y. 2025-2026 ]]*8</f>
        <v>5232</v>
      </c>
      <c r="K73" s="12"/>
      <c r="L73" s="10"/>
      <c r="M73" s="12"/>
      <c r="N73" s="12">
        <f t="shared" si="16"/>
        <v>5232</v>
      </c>
      <c r="O73" s="12">
        <f t="shared" si="17"/>
        <v>0</v>
      </c>
      <c r="P73" s="12">
        <f>Table1[[#This Row],[Enrolment S.Y. 2025-2026 ]]*8</f>
        <v>5232</v>
      </c>
      <c r="Q73" s="12"/>
      <c r="R73" s="10"/>
      <c r="S73" s="12"/>
      <c r="T73" s="12">
        <f t="shared" si="18"/>
        <v>5232</v>
      </c>
      <c r="U73" s="12">
        <f t="shared" si="19"/>
        <v>0</v>
      </c>
      <c r="V73" s="12">
        <f>Table1[[#This Row],[Enrolment S.Y. 2025-2026 ]]*8</f>
        <v>5232</v>
      </c>
      <c r="W73" s="12"/>
      <c r="X73" s="10"/>
      <c r="Y73" s="12"/>
      <c r="Z73" s="12">
        <f t="shared" si="20"/>
        <v>5232</v>
      </c>
      <c r="AA73" s="12">
        <f t="shared" si="21"/>
        <v>0</v>
      </c>
    </row>
    <row r="74" spans="1:27" ht="19.5">
      <c r="A74" s="10">
        <v>8</v>
      </c>
      <c r="B74" s="11" t="s">
        <v>15</v>
      </c>
      <c r="C74" s="10">
        <v>654</v>
      </c>
      <c r="D74" s="12">
        <f>Table1[[#This Row],[Enrolment S.Y. 2025-2026 ]]*8</f>
        <v>5232</v>
      </c>
      <c r="E74" s="12"/>
      <c r="F74" s="10">
        <v>2025</v>
      </c>
      <c r="G74" s="12" t="s">
        <v>63</v>
      </c>
      <c r="H74" s="12">
        <v>86</v>
      </c>
      <c r="I74" s="12">
        <f t="shared" si="3"/>
        <v>0</v>
      </c>
      <c r="J74" s="12">
        <f>Table1[[#This Row],[Enrolment S.Y. 2025-2026 ]]*8</f>
        <v>5232</v>
      </c>
      <c r="K74" s="12"/>
      <c r="L74" s="10"/>
      <c r="M74" s="12"/>
      <c r="N74" s="12">
        <f t="shared" si="16"/>
        <v>5232</v>
      </c>
      <c r="O74" s="12">
        <f t="shared" si="17"/>
        <v>0</v>
      </c>
      <c r="P74" s="12">
        <f>Table1[[#This Row],[Enrolment S.Y. 2025-2026 ]]*8</f>
        <v>5232</v>
      </c>
      <c r="Q74" s="12"/>
      <c r="R74" s="10"/>
      <c r="S74" s="12"/>
      <c r="T74" s="12">
        <f t="shared" si="18"/>
        <v>5232</v>
      </c>
      <c r="U74" s="12">
        <f t="shared" si="19"/>
        <v>0</v>
      </c>
      <c r="V74" s="12">
        <f>Table1[[#This Row],[Enrolment S.Y. 2025-2026 ]]*8</f>
        <v>5232</v>
      </c>
      <c r="W74" s="12"/>
      <c r="X74" s="10"/>
      <c r="Y74" s="12"/>
      <c r="Z74" s="12">
        <f t="shared" si="20"/>
        <v>5232</v>
      </c>
      <c r="AA74" s="12">
        <f t="shared" si="21"/>
        <v>0</v>
      </c>
    </row>
    <row r="75" spans="1:27" ht="19.5">
      <c r="A75" s="10">
        <v>8</v>
      </c>
      <c r="B75" s="11" t="s">
        <v>12</v>
      </c>
      <c r="C75" s="10">
        <v>654</v>
      </c>
      <c r="D75" s="12">
        <f>Table1[[#This Row],[Enrolment S.Y. 2025-2026 ]]*8</f>
        <v>5232</v>
      </c>
      <c r="E75" s="12"/>
      <c r="F75" s="10">
        <v>2025</v>
      </c>
      <c r="G75" s="12" t="s">
        <v>63</v>
      </c>
      <c r="H75" s="12">
        <v>86</v>
      </c>
      <c r="I75" s="12">
        <f t="shared" si="3"/>
        <v>0</v>
      </c>
      <c r="J75" s="12">
        <f>Table1[[#This Row],[Enrolment S.Y. 2025-2026 ]]*8</f>
        <v>5232</v>
      </c>
      <c r="K75" s="12"/>
      <c r="L75" s="10"/>
      <c r="M75" s="12"/>
      <c r="N75" s="12">
        <f t="shared" si="16"/>
        <v>5232</v>
      </c>
      <c r="O75" s="12">
        <f t="shared" si="17"/>
        <v>0</v>
      </c>
      <c r="P75" s="12">
        <f>Table1[[#This Row],[Enrolment S.Y. 2025-2026 ]]*8</f>
        <v>5232</v>
      </c>
      <c r="Q75" s="12"/>
      <c r="R75" s="10"/>
      <c r="S75" s="12"/>
      <c r="T75" s="12">
        <f t="shared" si="18"/>
        <v>5232</v>
      </c>
      <c r="U75" s="12">
        <f t="shared" si="19"/>
        <v>0</v>
      </c>
      <c r="V75" s="12">
        <f>Table1[[#This Row],[Enrolment S.Y. 2025-2026 ]]*8</f>
        <v>5232</v>
      </c>
      <c r="W75" s="12"/>
      <c r="X75" s="10"/>
      <c r="Y75" s="12"/>
      <c r="Z75" s="12">
        <f t="shared" si="20"/>
        <v>5232</v>
      </c>
      <c r="AA75" s="12">
        <f t="shared" si="21"/>
        <v>0</v>
      </c>
    </row>
    <row r="76" spans="1:27" ht="19.5">
      <c r="A76" s="10">
        <v>8</v>
      </c>
      <c r="B76" s="11" t="s">
        <v>21</v>
      </c>
      <c r="C76" s="10">
        <v>654</v>
      </c>
      <c r="D76" s="12">
        <f>Table1[[#This Row],[Enrolment S.Y. 2025-2026 ]]*8</f>
        <v>5232</v>
      </c>
      <c r="E76" s="12"/>
      <c r="F76" s="10">
        <v>2025</v>
      </c>
      <c r="G76" s="12" t="s">
        <v>63</v>
      </c>
      <c r="H76" s="12">
        <v>86</v>
      </c>
      <c r="I76" s="12">
        <f t="shared" si="3"/>
        <v>0</v>
      </c>
      <c r="J76" s="12">
        <f>Table1[[#This Row],[Enrolment S.Y. 2025-2026 ]]*8</f>
        <v>5232</v>
      </c>
      <c r="K76" s="12"/>
      <c r="L76" s="10"/>
      <c r="M76" s="12"/>
      <c r="N76" s="12">
        <f t="shared" si="16"/>
        <v>5232</v>
      </c>
      <c r="O76" s="12">
        <f t="shared" si="17"/>
        <v>0</v>
      </c>
      <c r="P76" s="12">
        <f>Table1[[#This Row],[Enrolment S.Y. 2025-2026 ]]*8</f>
        <v>5232</v>
      </c>
      <c r="Q76" s="12"/>
      <c r="R76" s="10"/>
      <c r="S76" s="12"/>
      <c r="T76" s="12">
        <f t="shared" si="18"/>
        <v>5232</v>
      </c>
      <c r="U76" s="12">
        <f t="shared" si="19"/>
        <v>0</v>
      </c>
      <c r="V76" s="12">
        <f>Table1[[#This Row],[Enrolment S.Y. 2025-2026 ]]*8</f>
        <v>5232</v>
      </c>
      <c r="W76" s="12"/>
      <c r="X76" s="10"/>
      <c r="Y76" s="12"/>
      <c r="Z76" s="12">
        <f t="shared" si="20"/>
        <v>5232</v>
      </c>
      <c r="AA76" s="12">
        <f t="shared" si="21"/>
        <v>0</v>
      </c>
    </row>
    <row r="77" spans="1:27" ht="19.5">
      <c r="A77" s="10">
        <v>8</v>
      </c>
      <c r="B77" s="11" t="s">
        <v>23</v>
      </c>
      <c r="C77" s="10">
        <v>654</v>
      </c>
      <c r="D77" s="12">
        <f>Table1[[#This Row],[Enrolment S.Y. 2025-2026 ]]*8</f>
        <v>5232</v>
      </c>
      <c r="E77" s="12"/>
      <c r="F77" s="10">
        <v>2025</v>
      </c>
      <c r="G77" s="12" t="s">
        <v>63</v>
      </c>
      <c r="H77" s="12">
        <v>86</v>
      </c>
      <c r="I77" s="12">
        <f t="shared" si="3"/>
        <v>0</v>
      </c>
      <c r="J77" s="12">
        <f>Table1[[#This Row],[Enrolment S.Y. 2025-2026 ]]*8</f>
        <v>5232</v>
      </c>
      <c r="K77" s="12"/>
      <c r="L77" s="10"/>
      <c r="M77" s="12"/>
      <c r="N77" s="12">
        <f t="shared" si="16"/>
        <v>5232</v>
      </c>
      <c r="O77" s="12">
        <f t="shared" si="17"/>
        <v>0</v>
      </c>
      <c r="P77" s="12">
        <f>Table1[[#This Row],[Enrolment S.Y. 2025-2026 ]]*8</f>
        <v>5232</v>
      </c>
      <c r="Q77" s="12"/>
      <c r="R77" s="10"/>
      <c r="S77" s="12"/>
      <c r="T77" s="12">
        <f t="shared" si="18"/>
        <v>5232</v>
      </c>
      <c r="U77" s="12">
        <f t="shared" si="19"/>
        <v>0</v>
      </c>
      <c r="V77" s="12">
        <f>Table1[[#This Row],[Enrolment S.Y. 2025-2026 ]]*8</f>
        <v>5232</v>
      </c>
      <c r="W77" s="12"/>
      <c r="X77" s="10"/>
      <c r="Y77" s="12"/>
      <c r="Z77" s="12">
        <f t="shared" si="20"/>
        <v>5232</v>
      </c>
      <c r="AA77" s="12">
        <f t="shared" si="21"/>
        <v>0</v>
      </c>
    </row>
    <row r="78" spans="1:27" ht="19.5">
      <c r="A78" s="10">
        <v>8</v>
      </c>
      <c r="B78" s="11" t="s">
        <v>13</v>
      </c>
      <c r="C78" s="10">
        <v>654</v>
      </c>
      <c r="D78" s="12">
        <f>Table1[[#This Row],[Enrolment S.Y. 2025-2026 ]]*8</f>
        <v>5232</v>
      </c>
      <c r="E78" s="12"/>
      <c r="F78" s="10">
        <v>2025</v>
      </c>
      <c r="G78" s="12" t="s">
        <v>63</v>
      </c>
      <c r="H78" s="12">
        <v>86</v>
      </c>
      <c r="I78" s="12">
        <f t="shared" ref="I78:I127" si="22">IF((E78-D78)&lt;0,0,(E78-D78))</f>
        <v>0</v>
      </c>
      <c r="J78" s="12">
        <f>Table1[[#This Row],[Enrolment S.Y. 2025-2026 ]]*8</f>
        <v>5232</v>
      </c>
      <c r="K78" s="12"/>
      <c r="L78" s="10"/>
      <c r="M78" s="12"/>
      <c r="N78" s="12">
        <f t="shared" si="16"/>
        <v>5232</v>
      </c>
      <c r="O78" s="12">
        <f t="shared" si="17"/>
        <v>0</v>
      </c>
      <c r="P78" s="12">
        <f>Table1[[#This Row],[Enrolment S.Y. 2025-2026 ]]*8</f>
        <v>5232</v>
      </c>
      <c r="Q78" s="12"/>
      <c r="R78" s="10"/>
      <c r="S78" s="12"/>
      <c r="T78" s="12">
        <f t="shared" si="18"/>
        <v>5232</v>
      </c>
      <c r="U78" s="12">
        <f t="shared" si="19"/>
        <v>0</v>
      </c>
      <c r="V78" s="12">
        <f>Table1[[#This Row],[Enrolment S.Y. 2025-2026 ]]*8</f>
        <v>5232</v>
      </c>
      <c r="W78" s="12"/>
      <c r="X78" s="10"/>
      <c r="Y78" s="12"/>
      <c r="Z78" s="12">
        <f t="shared" si="20"/>
        <v>5232</v>
      </c>
      <c r="AA78" s="12">
        <f t="shared" si="21"/>
        <v>0</v>
      </c>
    </row>
    <row r="79" spans="1:27" ht="19.5">
      <c r="A79" s="10">
        <v>8</v>
      </c>
      <c r="B79" s="11" t="s">
        <v>17</v>
      </c>
      <c r="C79" s="10">
        <v>654</v>
      </c>
      <c r="D79" s="12">
        <f>Table1[[#This Row],[Enrolment S.Y. 2025-2026 ]]*8</f>
        <v>5232</v>
      </c>
      <c r="E79" s="12"/>
      <c r="F79" s="10">
        <v>2025</v>
      </c>
      <c r="G79" s="12" t="s">
        <v>63</v>
      </c>
      <c r="H79" s="12">
        <v>86</v>
      </c>
      <c r="I79" s="12">
        <f t="shared" si="22"/>
        <v>0</v>
      </c>
      <c r="J79" s="12">
        <f>Table1[[#This Row],[Enrolment S.Y. 2025-2026 ]]*8</f>
        <v>5232</v>
      </c>
      <c r="K79" s="12"/>
      <c r="L79" s="10"/>
      <c r="M79" s="12"/>
      <c r="N79" s="12">
        <f t="shared" si="16"/>
        <v>5232</v>
      </c>
      <c r="O79" s="12">
        <f t="shared" si="17"/>
        <v>0</v>
      </c>
      <c r="P79" s="12">
        <f>Table1[[#This Row],[Enrolment S.Y. 2025-2026 ]]*8</f>
        <v>5232</v>
      </c>
      <c r="Q79" s="12"/>
      <c r="R79" s="10"/>
      <c r="S79" s="12"/>
      <c r="T79" s="12">
        <f t="shared" si="18"/>
        <v>5232</v>
      </c>
      <c r="U79" s="12">
        <f t="shared" si="19"/>
        <v>0</v>
      </c>
      <c r="V79" s="12">
        <f>Table1[[#This Row],[Enrolment S.Y. 2025-2026 ]]*8</f>
        <v>5232</v>
      </c>
      <c r="W79" s="12"/>
      <c r="X79" s="10"/>
      <c r="Y79" s="12"/>
      <c r="Z79" s="12">
        <f t="shared" si="20"/>
        <v>5232</v>
      </c>
      <c r="AA79" s="12">
        <f t="shared" si="21"/>
        <v>0</v>
      </c>
    </row>
    <row r="80" spans="1:27" ht="19.5">
      <c r="A80" s="10">
        <v>8</v>
      </c>
      <c r="B80" s="11" t="s">
        <v>22</v>
      </c>
      <c r="C80" s="10">
        <v>654</v>
      </c>
      <c r="D80" s="12">
        <f>Table1[[#This Row],[Enrolment S.Y. 2025-2026 ]]*8</f>
        <v>5232</v>
      </c>
      <c r="E80" s="12"/>
      <c r="F80" s="10">
        <v>2025</v>
      </c>
      <c r="G80" s="12" t="s">
        <v>63</v>
      </c>
      <c r="H80" s="12">
        <v>86</v>
      </c>
      <c r="I80" s="12">
        <f t="shared" si="22"/>
        <v>0</v>
      </c>
      <c r="J80" s="12">
        <f>Table1[[#This Row],[Enrolment S.Y. 2025-2026 ]]*8</f>
        <v>5232</v>
      </c>
      <c r="K80" s="12"/>
      <c r="L80" s="10"/>
      <c r="M80" s="12"/>
      <c r="N80" s="12">
        <f t="shared" si="16"/>
        <v>5232</v>
      </c>
      <c r="O80" s="12">
        <f t="shared" si="17"/>
        <v>0</v>
      </c>
      <c r="P80" s="12">
        <f>Table1[[#This Row],[Enrolment S.Y. 2025-2026 ]]*8</f>
        <v>5232</v>
      </c>
      <c r="Q80" s="12"/>
      <c r="R80" s="10"/>
      <c r="S80" s="12"/>
      <c r="T80" s="12">
        <f t="shared" si="18"/>
        <v>5232</v>
      </c>
      <c r="U80" s="12">
        <f t="shared" si="19"/>
        <v>0</v>
      </c>
      <c r="V80" s="12">
        <f>Table1[[#This Row],[Enrolment S.Y. 2025-2026 ]]*8</f>
        <v>5232</v>
      </c>
      <c r="W80" s="12"/>
      <c r="X80" s="10"/>
      <c r="Y80" s="12"/>
      <c r="Z80" s="12">
        <f t="shared" si="20"/>
        <v>5232</v>
      </c>
      <c r="AA80" s="12">
        <f t="shared" si="21"/>
        <v>0</v>
      </c>
    </row>
    <row r="81" spans="1:27" ht="19.5">
      <c r="A81" s="10">
        <v>8</v>
      </c>
      <c r="B81" s="11" t="s">
        <v>19</v>
      </c>
      <c r="C81" s="10">
        <v>654</v>
      </c>
      <c r="D81" s="12">
        <f>Table1[[#This Row],[Enrolment S.Y. 2025-2026 ]]*8</f>
        <v>5232</v>
      </c>
      <c r="E81" s="12"/>
      <c r="F81" s="10">
        <v>2025</v>
      </c>
      <c r="G81" s="12" t="s">
        <v>63</v>
      </c>
      <c r="H81" s="12">
        <v>86</v>
      </c>
      <c r="I81" s="12">
        <f t="shared" si="22"/>
        <v>0</v>
      </c>
      <c r="J81" s="12">
        <f>Table1[[#This Row],[Enrolment S.Y. 2025-2026 ]]*8</f>
        <v>5232</v>
      </c>
      <c r="K81" s="12"/>
      <c r="L81" s="10"/>
      <c r="M81" s="12"/>
      <c r="N81" s="12">
        <f t="shared" si="16"/>
        <v>5232</v>
      </c>
      <c r="O81" s="12">
        <f t="shared" si="17"/>
        <v>0</v>
      </c>
      <c r="P81" s="12">
        <f>Table1[[#This Row],[Enrolment S.Y. 2025-2026 ]]*8</f>
        <v>5232</v>
      </c>
      <c r="Q81" s="12"/>
      <c r="R81" s="10"/>
      <c r="S81" s="12"/>
      <c r="T81" s="12">
        <f t="shared" si="18"/>
        <v>5232</v>
      </c>
      <c r="U81" s="12">
        <f t="shared" si="19"/>
        <v>0</v>
      </c>
      <c r="V81" s="12">
        <f>Table1[[#This Row],[Enrolment S.Y. 2025-2026 ]]*8</f>
        <v>5232</v>
      </c>
      <c r="W81" s="12"/>
      <c r="X81" s="10"/>
      <c r="Y81" s="12"/>
      <c r="Z81" s="12">
        <f t="shared" si="20"/>
        <v>5232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5">
      <c r="A83" s="10">
        <v>9</v>
      </c>
      <c r="B83" s="11" t="s">
        <v>14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ref="H78:H127" si="23">IF((D83-E83)&lt;0,0,(D83-E83))</f>
        <v>0</v>
      </c>
      <c r="I83" s="12">
        <f t="shared" si="22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5">
      <c r="A84" s="10">
        <v>9</v>
      </c>
      <c r="B84" s="11" t="s">
        <v>15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3"/>
        <v>0</v>
      </c>
      <c r="I84" s="12">
        <f t="shared" si="22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5">
      <c r="A85" s="10">
        <v>9</v>
      </c>
      <c r="B85" s="11" t="s">
        <v>12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3"/>
        <v>0</v>
      </c>
      <c r="I85" s="12">
        <f t="shared" si="22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5">
      <c r="A86" s="10">
        <v>9</v>
      </c>
      <c r="B86" s="11" t="s">
        <v>21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3"/>
        <v>0</v>
      </c>
      <c r="I86" s="12">
        <f t="shared" si="22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5">
      <c r="A87" s="10">
        <v>9</v>
      </c>
      <c r="B87" s="11" t="s">
        <v>23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3"/>
        <v>0</v>
      </c>
      <c r="I87" s="12">
        <f t="shared" si="22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5">
      <c r="A88" s="10">
        <v>9</v>
      </c>
      <c r="B88" s="11" t="s">
        <v>13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3"/>
        <v>0</v>
      </c>
      <c r="I88" s="12">
        <f t="shared" si="22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5">
      <c r="A89" s="10">
        <v>9</v>
      </c>
      <c r="B89" s="11" t="s">
        <v>17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3"/>
        <v>0</v>
      </c>
      <c r="I89" s="12">
        <f t="shared" si="22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5">
      <c r="A90" s="10">
        <v>9</v>
      </c>
      <c r="B90" s="11" t="s">
        <v>22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3"/>
        <v>0</v>
      </c>
      <c r="I90" s="12">
        <f t="shared" si="22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5">
      <c r="A91" s="10">
        <v>9</v>
      </c>
      <c r="B91" s="11" t="s">
        <v>19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3"/>
        <v>0</v>
      </c>
      <c r="I91" s="12">
        <f t="shared" si="22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5">
      <c r="A93" s="10">
        <v>10</v>
      </c>
      <c r="B93" s="11" t="s">
        <v>14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5">
      <c r="A94" s="10">
        <v>10</v>
      </c>
      <c r="B94" s="11" t="s">
        <v>15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5">
      <c r="A95" s="10">
        <v>10</v>
      </c>
      <c r="B95" s="11" t="s">
        <v>12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5">
      <c r="A96" s="10">
        <v>10</v>
      </c>
      <c r="B96" s="11" t="s">
        <v>21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5">
      <c r="A97" s="10">
        <v>10</v>
      </c>
      <c r="B97" s="11" t="s">
        <v>23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5">
      <c r="A98" s="10">
        <v>10</v>
      </c>
      <c r="B98" s="11" t="s">
        <v>13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5">
      <c r="A99" s="10">
        <v>10</v>
      </c>
      <c r="B99" s="11" t="s">
        <v>17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5">
      <c r="A100" s="10">
        <v>10</v>
      </c>
      <c r="B100" s="11" t="s">
        <v>22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5">
      <c r="A101" s="10">
        <v>10</v>
      </c>
      <c r="B101" s="11" t="s">
        <v>19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24</v>
      </c>
      <c r="B103" s="9" t="s">
        <v>25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3"/>
        <v>0</v>
      </c>
      <c r="I103" s="5">
        <f t="shared" si="22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24</v>
      </c>
      <c r="B104" s="9" t="s">
        <v>26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3"/>
        <v>0</v>
      </c>
      <c r="I104" s="5">
        <f t="shared" si="22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24</v>
      </c>
      <c r="B105" s="9" t="s">
        <v>27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3"/>
        <v>0</v>
      </c>
      <c r="I105" s="5">
        <f t="shared" si="22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24</v>
      </c>
      <c r="B106" s="9" t="s">
        <v>28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3"/>
        <v>0</v>
      </c>
      <c r="I106" s="5">
        <f t="shared" si="22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24</v>
      </c>
      <c r="B107" s="9" t="s">
        <v>29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3"/>
        <v>0</v>
      </c>
      <c r="I107" s="5">
        <f t="shared" si="22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24</v>
      </c>
      <c r="B108" s="9" t="s">
        <v>30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3"/>
        <v>0</v>
      </c>
      <c r="I108" s="5">
        <f t="shared" si="22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24</v>
      </c>
      <c r="B109" s="9" t="s">
        <v>31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3"/>
        <v>0</v>
      </c>
      <c r="I109" s="5">
        <f t="shared" si="22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24</v>
      </c>
      <c r="B110" s="9" t="s">
        <v>32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3"/>
        <v>0</v>
      </c>
      <c r="I110" s="5">
        <f t="shared" si="22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3"/>
        <v>0</v>
      </c>
      <c r="I112" s="5">
        <f t="shared" si="22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3"/>
        <v>0</v>
      </c>
      <c r="I113" s="5">
        <f t="shared" si="22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3"/>
        <v>0</v>
      </c>
      <c r="I114" s="5">
        <f t="shared" si="22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3"/>
        <v>0</v>
      </c>
      <c r="I115" s="5">
        <f t="shared" si="22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3"/>
        <v>0</v>
      </c>
      <c r="I116" s="5">
        <f t="shared" si="22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3"/>
        <v>0</v>
      </c>
      <c r="I117" s="5">
        <f t="shared" si="22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3"/>
        <v>0</v>
      </c>
      <c r="I118" s="5">
        <f t="shared" si="22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3"/>
        <v>0</v>
      </c>
      <c r="I119" s="5">
        <f t="shared" si="22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3"/>
        <v>0</v>
      </c>
      <c r="I120" s="5">
        <f t="shared" si="22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3"/>
        <v>0</v>
      </c>
      <c r="I121" s="5">
        <f t="shared" si="22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3"/>
        <v>0</v>
      </c>
      <c r="I122" s="5">
        <f t="shared" si="22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3"/>
        <v>0</v>
      </c>
      <c r="I123" s="5">
        <f t="shared" si="22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3"/>
        <v>0</v>
      </c>
      <c r="I124" s="5">
        <f t="shared" si="22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3"/>
        <v>0</v>
      </c>
      <c r="I125" s="5">
        <f t="shared" si="22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3"/>
        <v>0</v>
      </c>
      <c r="I126" s="5">
        <f t="shared" si="22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3"/>
        <v>0</v>
      </c>
      <c r="I127" s="5">
        <f t="shared" si="22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topLeftCell="A88" zoomScale="55" zoomScaleNormal="55" workbookViewId="0">
      <selection activeCell="D98" sqref="D98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2" t="s">
        <v>33</v>
      </c>
      <c r="E1" s="42"/>
      <c r="F1" s="42"/>
      <c r="G1" s="42"/>
      <c r="H1" s="42"/>
      <c r="I1" s="42"/>
      <c r="J1" s="43" t="s">
        <v>34</v>
      </c>
      <c r="K1" s="43"/>
      <c r="L1" s="43"/>
      <c r="M1" s="43"/>
      <c r="N1" s="43"/>
      <c r="O1" s="43"/>
      <c r="P1" s="44" t="s">
        <v>35</v>
      </c>
      <c r="Q1" s="44"/>
      <c r="R1" s="44"/>
      <c r="S1" s="44"/>
      <c r="T1" s="44"/>
      <c r="U1" s="44"/>
      <c r="V1" s="45" t="s">
        <v>36</v>
      </c>
      <c r="W1" s="45"/>
      <c r="X1" s="45"/>
      <c r="Y1" s="45"/>
      <c r="Z1" s="45"/>
      <c r="AA1" s="45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64</v>
      </c>
      <c r="E2" s="20" t="s">
        <v>65</v>
      </c>
      <c r="F2" s="21" t="s">
        <v>66</v>
      </c>
      <c r="G2" s="24" t="s">
        <v>67</v>
      </c>
      <c r="H2" s="17" t="s">
        <v>68</v>
      </c>
      <c r="I2" s="24" t="s">
        <v>69</v>
      </c>
      <c r="J2" s="22" t="s">
        <v>70</v>
      </c>
      <c r="K2" s="22" t="s">
        <v>71</v>
      </c>
      <c r="L2" s="23" t="s">
        <v>72</v>
      </c>
      <c r="M2" s="40" t="s">
        <v>73</v>
      </c>
      <c r="N2" s="40" t="s">
        <v>74</v>
      </c>
      <c r="O2" s="22" t="s">
        <v>75</v>
      </c>
      <c r="P2" s="24" t="s">
        <v>76</v>
      </c>
      <c r="Q2" s="24" t="s">
        <v>77</v>
      </c>
      <c r="R2" s="25" t="s">
        <v>78</v>
      </c>
      <c r="S2" s="17" t="s">
        <v>79</v>
      </c>
      <c r="T2" s="17" t="s">
        <v>80</v>
      </c>
      <c r="U2" s="24" t="s">
        <v>81</v>
      </c>
      <c r="V2" s="26" t="s">
        <v>82</v>
      </c>
      <c r="W2" s="26" t="s">
        <v>83</v>
      </c>
      <c r="X2" s="27" t="s">
        <v>84</v>
      </c>
      <c r="Y2" s="41" t="s">
        <v>85</v>
      </c>
      <c r="Z2" s="41" t="s">
        <v>86</v>
      </c>
      <c r="AA2" s="26" t="s">
        <v>87</v>
      </c>
    </row>
    <row r="3" spans="1:27" ht="19.149999999999999">
      <c r="A3" s="1">
        <v>1</v>
      </c>
      <c r="B3" s="2" t="s">
        <v>8</v>
      </c>
      <c r="C3" s="1"/>
      <c r="D3" s="5">
        <f>Table14[[#This Row],[Enrolment S.Y. 2025-2026 ]]*8</f>
        <v>0</v>
      </c>
      <c r="E3" s="5"/>
      <c r="F3" s="1"/>
      <c r="G3" s="5"/>
      <c r="H3" s="5">
        <f t="shared" ref="H3:H83" si="0">IF((D3-E3)&lt;0,0,(D3-E3))</f>
        <v>0</v>
      </c>
      <c r="I3" s="5">
        <f t="shared" ref="I3:I83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72" si="2">IF((J3-K3)&lt;0,0,(J3-K3))</f>
        <v>0</v>
      </c>
      <c r="O3" s="5">
        <f t="shared" ref="O3:O72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72" si="4">IF((P3-Q3)&lt;0,0,(P3-Q3))</f>
        <v>0</v>
      </c>
      <c r="U3" s="5">
        <f t="shared" ref="U3:U72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72" si="6">IF((V3-W3)&lt;0,0,(V3-W3))</f>
        <v>0</v>
      </c>
      <c r="AA3" s="5">
        <f t="shared" ref="AA3:AA72" si="7">IF((W3-V3)&lt;0,0,(W3-V3))</f>
        <v>0</v>
      </c>
    </row>
    <row r="4" spans="1:27" ht="19.149999999999999">
      <c r="A4" s="1">
        <v>1</v>
      </c>
      <c r="B4" s="2" t="s">
        <v>9</v>
      </c>
      <c r="C4" s="1"/>
      <c r="D4" s="5">
        <f>Table14[[#This Row],[Enrolment S.Y. 2025-2026 ]]*8</f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62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62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62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7">
        <v>4</v>
      </c>
      <c r="B37" s="9" t="s">
        <v>88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89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7">
        <v>4</v>
      </c>
      <c r="B40" s="9" t="s">
        <v>90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91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7">
        <v>5</v>
      </c>
      <c r="B49" s="9" t="s">
        <v>88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89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7">
        <v>5</v>
      </c>
      <c r="B52" s="9" t="s">
        <v>90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91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7">
        <v>6</v>
      </c>
      <c r="B61" s="9" t="s">
        <v>88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89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7">
        <v>6</v>
      </c>
      <c r="B64" s="9" t="s">
        <v>90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91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/>
    <row r="67" spans="1:27" ht="19.5">
      <c r="A67" s="10">
        <v>7</v>
      </c>
      <c r="B67" s="11" t="s">
        <v>14</v>
      </c>
      <c r="C67" s="10"/>
      <c r="D67" s="12">
        <f>Table14[[#This Row],[Enrolment S.Y. 2025-2026 ]]*8</f>
        <v>0</v>
      </c>
      <c r="E67" s="12"/>
      <c r="F67" s="10"/>
      <c r="G67" s="12"/>
      <c r="H67" s="12"/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5">
      <c r="A68" s="10">
        <v>7</v>
      </c>
      <c r="B68" s="11" t="s">
        <v>15</v>
      </c>
      <c r="C68" s="10"/>
      <c r="D68" s="12">
        <f>Table14[[#This Row],[Enrolment S.Y. 2025-2026 ]]*8</f>
        <v>0</v>
      </c>
      <c r="E68" s="12"/>
      <c r="F68" s="10"/>
      <c r="G68" s="12"/>
      <c r="H68" s="12"/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5">
      <c r="A69" s="10">
        <v>7</v>
      </c>
      <c r="B69" s="11" t="s">
        <v>12</v>
      </c>
      <c r="C69" s="10"/>
      <c r="D69" s="12">
        <f>Table14[[#This Row],[Enrolment S.Y. 2025-2026 ]]*8</f>
        <v>0</v>
      </c>
      <c r="E69" s="12"/>
      <c r="F69" s="10"/>
      <c r="G69" s="12"/>
      <c r="H69" s="12"/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5">
      <c r="A70" s="10">
        <v>7</v>
      </c>
      <c r="B70" s="11" t="s">
        <v>21</v>
      </c>
      <c r="C70" s="10"/>
      <c r="D70" s="12">
        <f>Table14[[#This Row],[Enrolment S.Y. 2025-2026 ]]*8</f>
        <v>0</v>
      </c>
      <c r="E70" s="12"/>
      <c r="F70" s="10"/>
      <c r="G70" s="12"/>
      <c r="H70" s="12"/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38.25">
      <c r="A71" s="10">
        <v>7</v>
      </c>
      <c r="B71" s="11" t="s">
        <v>16</v>
      </c>
      <c r="C71" s="10"/>
      <c r="D71" s="12">
        <f>Table14[[#This Row],[Enrolment S.Y. 2025-2026 ]]*8</f>
        <v>0</v>
      </c>
      <c r="E71" s="12"/>
      <c r="F71" s="10"/>
      <c r="G71" s="12"/>
      <c r="H71" s="12"/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5">
      <c r="A72" s="10">
        <v>7</v>
      </c>
      <c r="B72" s="11" t="s">
        <v>13</v>
      </c>
      <c r="C72" s="10"/>
      <c r="D72" s="12">
        <f>Table14[[#This Row],[Enrolment S.Y. 2025-2026 ]]*8</f>
        <v>0</v>
      </c>
      <c r="E72" s="12"/>
      <c r="F72" s="10"/>
      <c r="G72" s="12"/>
      <c r="H72" s="12"/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5">
      <c r="A73" s="38">
        <v>7</v>
      </c>
      <c r="B73" s="11" t="s">
        <v>88</v>
      </c>
      <c r="C73" s="10"/>
      <c r="D73" s="12">
        <f>Table14[[#This Row],[Enrolment S.Y. 2025-2026 ]]*8</f>
        <v>0</v>
      </c>
      <c r="E73" s="12"/>
      <c r="F73" s="10"/>
      <c r="G73" s="12"/>
      <c r="H73" s="12"/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5">
      <c r="A74" s="10">
        <v>7</v>
      </c>
      <c r="B74" s="11" t="s">
        <v>89</v>
      </c>
      <c r="C74" s="10"/>
      <c r="D74" s="12">
        <f>Table14[[#This Row],[Enrolment S.Y. 2025-2026 ]]*8</f>
        <v>0</v>
      </c>
      <c r="E74" s="12"/>
      <c r="F74" s="10"/>
      <c r="G74" s="12"/>
      <c r="H74" s="12"/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5">
      <c r="A75" s="10">
        <v>7</v>
      </c>
      <c r="B75" s="11" t="s">
        <v>22</v>
      </c>
      <c r="C75" s="10"/>
      <c r="D75" s="12">
        <f>Table14[[#This Row],[Enrolment S.Y. 2025-2026 ]]*8</f>
        <v>0</v>
      </c>
      <c r="E75" s="12"/>
      <c r="F75" s="10"/>
      <c r="G75" s="12"/>
      <c r="H75" s="12"/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5">
      <c r="A76" s="38">
        <v>7</v>
      </c>
      <c r="B76" s="11" t="s">
        <v>90</v>
      </c>
      <c r="C76" s="10"/>
      <c r="D76" s="12">
        <f>Table14[[#This Row],[Enrolment S.Y. 2025-2026 ]]*8</f>
        <v>0</v>
      </c>
      <c r="E76" s="12"/>
      <c r="F76" s="10"/>
      <c r="G76" s="12"/>
      <c r="H76" s="12"/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5">
      <c r="A77" s="10">
        <v>7</v>
      </c>
      <c r="B77" s="11" t="s">
        <v>91</v>
      </c>
      <c r="C77" s="10"/>
      <c r="D77" s="12">
        <f>Table14[[#This Row],[Enrolment S.Y. 2025-2026 ]]*8</f>
        <v>0</v>
      </c>
      <c r="E77" s="12"/>
      <c r="F77" s="10"/>
      <c r="G77" s="12"/>
      <c r="H77" s="12"/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5">
      <c r="A79" s="10">
        <v>8</v>
      </c>
      <c r="B79" s="11" t="s">
        <v>14</v>
      </c>
      <c r="C79" s="10"/>
      <c r="D79" s="12">
        <f>Table14[[#This Row],[Enrolment S.Y. 2025-2026 ]]*8</f>
        <v>0</v>
      </c>
      <c r="E79" s="12"/>
      <c r="F79" s="10"/>
      <c r="G79" s="12"/>
      <c r="H79" s="12"/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5">
      <c r="A80" s="10">
        <v>8</v>
      </c>
      <c r="B80" s="11" t="s">
        <v>15</v>
      </c>
      <c r="C80" s="10"/>
      <c r="D80" s="12">
        <f>Table14[[#This Row],[Enrolment S.Y. 2025-2026 ]]*8</f>
        <v>0</v>
      </c>
      <c r="E80" s="12"/>
      <c r="F80" s="10"/>
      <c r="G80" s="12"/>
      <c r="H80" s="12"/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5">
      <c r="A81" s="10">
        <v>8</v>
      </c>
      <c r="B81" s="11" t="s">
        <v>12</v>
      </c>
      <c r="C81" s="10"/>
      <c r="D81" s="12">
        <f>Table14[[#This Row],[Enrolment S.Y. 2025-2026 ]]*8</f>
        <v>0</v>
      </c>
      <c r="E81" s="12"/>
      <c r="F81" s="10"/>
      <c r="G81" s="12"/>
      <c r="H81" s="12"/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5">
      <c r="A82" s="10">
        <v>8</v>
      </c>
      <c r="B82" s="11" t="s">
        <v>21</v>
      </c>
      <c r="C82" s="10"/>
      <c r="D82" s="12">
        <f>Table14[[#This Row],[Enrolment S.Y. 2025-2026 ]]*8</f>
        <v>0</v>
      </c>
      <c r="E82" s="12"/>
      <c r="F82" s="10"/>
      <c r="G82" s="12"/>
      <c r="H82" s="12"/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5">
      <c r="A83" s="10">
        <v>8</v>
      </c>
      <c r="B83" s="11" t="s">
        <v>23</v>
      </c>
      <c r="C83" s="10"/>
      <c r="D83" s="12">
        <f>Table14[[#This Row],[Enrolment S.Y. 2025-2026 ]]*8</f>
        <v>0</v>
      </c>
      <c r="E83" s="12"/>
      <c r="F83" s="10"/>
      <c r="G83" s="12"/>
      <c r="H83" s="12"/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5">
      <c r="A84" s="10">
        <v>8</v>
      </c>
      <c r="B84" s="11" t="s">
        <v>13</v>
      </c>
      <c r="C84" s="10"/>
      <c r="D84" s="12">
        <f>Table14[[#This Row],[Enrolment S.Y. 2025-2026 ]]*8</f>
        <v>0</v>
      </c>
      <c r="E84" s="12"/>
      <c r="F84" s="10"/>
      <c r="G84" s="12"/>
      <c r="H84" s="12"/>
      <c r="I84" s="12">
        <f t="shared" ref="I84:I122" si="22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3">IF((J84-K84)&lt;0,0,(J84-K84))</f>
        <v>0</v>
      </c>
      <c r="O84" s="12">
        <f t="shared" ref="O84:O89" si="24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5">
      <c r="A85" s="38">
        <v>8</v>
      </c>
      <c r="B85" s="11" t="s">
        <v>88</v>
      </c>
      <c r="C85" s="10"/>
      <c r="D85" s="12">
        <f>Table14[[#This Row],[Enrolment S.Y. 2025-2026 ]]*8</f>
        <v>0</v>
      </c>
      <c r="E85" s="12"/>
      <c r="F85" s="10"/>
      <c r="G85" s="12"/>
      <c r="H85" s="12"/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3"/>
        <v>0</v>
      </c>
      <c r="O85" s="12">
        <f t="shared" si="24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5">
      <c r="A86" s="10">
        <v>8</v>
      </c>
      <c r="B86" s="11" t="s">
        <v>89</v>
      </c>
      <c r="C86" s="10"/>
      <c r="D86" s="12">
        <f>Table14[[#This Row],[Enrolment S.Y. 2025-2026 ]]*8</f>
        <v>0</v>
      </c>
      <c r="E86" s="12"/>
      <c r="F86" s="10"/>
      <c r="G86" s="12"/>
      <c r="H86" s="12"/>
      <c r="I86" s="12">
        <f t="shared" si="22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3"/>
        <v>0</v>
      </c>
      <c r="O86" s="12">
        <f t="shared" si="24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5">
      <c r="A87" s="10">
        <v>8</v>
      </c>
      <c r="B87" s="11" t="s">
        <v>22</v>
      </c>
      <c r="C87" s="10"/>
      <c r="D87" s="12">
        <f>Table14[[#This Row],[Enrolment S.Y. 2025-2026 ]]*8</f>
        <v>0</v>
      </c>
      <c r="E87" s="12"/>
      <c r="F87" s="10"/>
      <c r="G87" s="12"/>
      <c r="H87" s="12"/>
      <c r="I87" s="12">
        <f t="shared" si="22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3"/>
        <v>0</v>
      </c>
      <c r="O87" s="12">
        <f t="shared" si="24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5">
      <c r="A88" s="38">
        <v>8</v>
      </c>
      <c r="B88" s="11" t="s">
        <v>90</v>
      </c>
      <c r="C88" s="10"/>
      <c r="D88" s="12">
        <f>Table14[[#This Row],[Enrolment S.Y. 2025-2026 ]]*8</f>
        <v>0</v>
      </c>
      <c r="E88" s="12"/>
      <c r="F88" s="10"/>
      <c r="G88" s="12"/>
      <c r="H88" s="12"/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3"/>
        <v>0</v>
      </c>
      <c r="O88" s="12">
        <f t="shared" si="24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5">
      <c r="A89" s="10">
        <v>8</v>
      </c>
      <c r="B89" s="11" t="s">
        <v>91</v>
      </c>
      <c r="C89" s="10"/>
      <c r="D89" s="12">
        <f>Table14[[#This Row],[Enrolment S.Y. 2025-2026 ]]*8</f>
        <v>0</v>
      </c>
      <c r="E89" s="12"/>
      <c r="F89" s="10"/>
      <c r="G89" s="12"/>
      <c r="H89" s="12"/>
      <c r="I89" s="12">
        <f t="shared" si="22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3"/>
        <v>0</v>
      </c>
      <c r="O89" s="12">
        <f t="shared" si="24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5">
      <c r="A91" s="10">
        <v>9</v>
      </c>
      <c r="B91" s="11" t="s">
        <v>14</v>
      </c>
      <c r="C91" s="10">
        <v>656</v>
      </c>
      <c r="D91" s="12">
        <f>Table14[[#This Row],[Enrolment S.Y. 2025-2026 ]]*8</f>
        <v>5248</v>
      </c>
      <c r="E91" s="12"/>
      <c r="F91" s="10">
        <v>2025</v>
      </c>
      <c r="G91" s="12" t="s">
        <v>63</v>
      </c>
      <c r="H91" s="12">
        <v>80</v>
      </c>
      <c r="I91" s="12">
        <f t="shared" si="22"/>
        <v>0</v>
      </c>
      <c r="J91" s="12">
        <f>Table14[[#This Row],[Enrolment S.Y. 2025-2026 ]]*8</f>
        <v>5248</v>
      </c>
      <c r="K91" s="12"/>
      <c r="L91" s="10"/>
      <c r="M91" s="12"/>
      <c r="N91" s="12">
        <f t="shared" si="20"/>
        <v>5248</v>
      </c>
      <c r="O91" s="12">
        <f t="shared" si="21"/>
        <v>0</v>
      </c>
      <c r="P91" s="12">
        <f>Table14[[#This Row],[Enrolment S.Y. 2025-2026 ]]*8</f>
        <v>5248</v>
      </c>
      <c r="Q91" s="12"/>
      <c r="R91" s="10"/>
      <c r="S91" s="12"/>
      <c r="T91" s="12">
        <f t="shared" si="16"/>
        <v>5248</v>
      </c>
      <c r="U91" s="12">
        <f t="shared" si="17"/>
        <v>0</v>
      </c>
      <c r="V91" s="12">
        <f>Table14[[#This Row],[Enrolment S.Y. 2025-2026 ]]*8</f>
        <v>5248</v>
      </c>
      <c r="W91" s="12"/>
      <c r="X91" s="10"/>
      <c r="Y91" s="12"/>
      <c r="Z91" s="12">
        <f t="shared" si="18"/>
        <v>5248</v>
      </c>
      <c r="AA91" s="12">
        <f t="shared" si="19"/>
        <v>0</v>
      </c>
    </row>
    <row r="92" spans="1:27" ht="19.5">
      <c r="A92" s="10">
        <v>9</v>
      </c>
      <c r="B92" s="11" t="s">
        <v>15</v>
      </c>
      <c r="C92" s="10">
        <v>656</v>
      </c>
      <c r="D92" s="12">
        <f>Table14[[#This Row],[Enrolment S.Y. 2025-2026 ]]*8</f>
        <v>5248</v>
      </c>
      <c r="E92" s="12"/>
      <c r="F92" s="10">
        <v>2025</v>
      </c>
      <c r="G92" s="12" t="s">
        <v>63</v>
      </c>
      <c r="H92" s="12">
        <v>80</v>
      </c>
      <c r="I92" s="12">
        <f t="shared" si="22"/>
        <v>0</v>
      </c>
      <c r="J92" s="12">
        <f>Table14[[#This Row],[Enrolment S.Y. 2025-2026 ]]*8</f>
        <v>5248</v>
      </c>
      <c r="K92" s="12"/>
      <c r="L92" s="10"/>
      <c r="M92" s="12"/>
      <c r="N92" s="12">
        <f t="shared" si="20"/>
        <v>5248</v>
      </c>
      <c r="O92" s="12">
        <f t="shared" si="21"/>
        <v>0</v>
      </c>
      <c r="P92" s="12">
        <f>Table14[[#This Row],[Enrolment S.Y. 2025-2026 ]]*8</f>
        <v>5248</v>
      </c>
      <c r="Q92" s="12"/>
      <c r="R92" s="10"/>
      <c r="S92" s="12"/>
      <c r="T92" s="12">
        <f t="shared" si="16"/>
        <v>5248</v>
      </c>
      <c r="U92" s="12">
        <f t="shared" si="17"/>
        <v>0</v>
      </c>
      <c r="V92" s="12">
        <f>Table14[[#This Row],[Enrolment S.Y. 2025-2026 ]]*8</f>
        <v>5248</v>
      </c>
      <c r="W92" s="12"/>
      <c r="X92" s="10"/>
      <c r="Y92" s="12"/>
      <c r="Z92" s="12">
        <f t="shared" si="18"/>
        <v>5248</v>
      </c>
      <c r="AA92" s="12">
        <f t="shared" si="19"/>
        <v>0</v>
      </c>
    </row>
    <row r="93" spans="1:27" ht="19.5">
      <c r="A93" s="10">
        <v>9</v>
      </c>
      <c r="B93" s="11" t="s">
        <v>12</v>
      </c>
      <c r="C93" s="10">
        <v>656</v>
      </c>
      <c r="D93" s="12">
        <f>Table14[[#This Row],[Enrolment S.Y. 2025-2026 ]]*8</f>
        <v>5248</v>
      </c>
      <c r="E93" s="12"/>
      <c r="F93" s="10">
        <v>2025</v>
      </c>
      <c r="G93" s="12" t="s">
        <v>63</v>
      </c>
      <c r="H93" s="12">
        <v>80</v>
      </c>
      <c r="I93" s="12">
        <f t="shared" si="22"/>
        <v>0</v>
      </c>
      <c r="J93" s="12">
        <f>Table14[[#This Row],[Enrolment S.Y. 2025-2026 ]]*8</f>
        <v>5248</v>
      </c>
      <c r="K93" s="12"/>
      <c r="L93" s="10"/>
      <c r="M93" s="12"/>
      <c r="N93" s="12">
        <f t="shared" si="20"/>
        <v>5248</v>
      </c>
      <c r="O93" s="12">
        <f t="shared" si="21"/>
        <v>0</v>
      </c>
      <c r="P93" s="12">
        <f>Table14[[#This Row],[Enrolment S.Y. 2025-2026 ]]*8</f>
        <v>5248</v>
      </c>
      <c r="Q93" s="12"/>
      <c r="R93" s="10"/>
      <c r="S93" s="12"/>
      <c r="T93" s="12">
        <f t="shared" si="16"/>
        <v>5248</v>
      </c>
      <c r="U93" s="12">
        <f t="shared" si="17"/>
        <v>0</v>
      </c>
      <c r="V93" s="12">
        <f>Table14[[#This Row],[Enrolment S.Y. 2025-2026 ]]*8</f>
        <v>5248</v>
      </c>
      <c r="W93" s="12"/>
      <c r="X93" s="10"/>
      <c r="Y93" s="12"/>
      <c r="Z93" s="12">
        <f t="shared" si="18"/>
        <v>5248</v>
      </c>
      <c r="AA93" s="12">
        <f t="shared" si="19"/>
        <v>0</v>
      </c>
    </row>
    <row r="94" spans="1:27" ht="19.5">
      <c r="A94" s="10">
        <v>9</v>
      </c>
      <c r="B94" s="11" t="s">
        <v>21</v>
      </c>
      <c r="C94" s="10">
        <v>656</v>
      </c>
      <c r="D94" s="12">
        <f>Table14[[#This Row],[Enrolment S.Y. 2025-2026 ]]*8</f>
        <v>5248</v>
      </c>
      <c r="E94" s="12"/>
      <c r="F94" s="10">
        <v>2025</v>
      </c>
      <c r="G94" s="12" t="s">
        <v>63</v>
      </c>
      <c r="H94" s="12">
        <v>80</v>
      </c>
      <c r="I94" s="12">
        <f t="shared" si="22"/>
        <v>0</v>
      </c>
      <c r="J94" s="12">
        <f>Table14[[#This Row],[Enrolment S.Y. 2025-2026 ]]*8</f>
        <v>5248</v>
      </c>
      <c r="K94" s="12"/>
      <c r="L94" s="10"/>
      <c r="M94" s="12"/>
      <c r="N94" s="12">
        <f t="shared" si="20"/>
        <v>5248</v>
      </c>
      <c r="O94" s="12">
        <f t="shared" si="21"/>
        <v>0</v>
      </c>
      <c r="P94" s="12">
        <f>Table14[[#This Row],[Enrolment S.Y. 2025-2026 ]]*8</f>
        <v>5248</v>
      </c>
      <c r="Q94" s="12"/>
      <c r="R94" s="10"/>
      <c r="S94" s="12"/>
      <c r="T94" s="12">
        <f t="shared" si="16"/>
        <v>5248</v>
      </c>
      <c r="U94" s="12">
        <f t="shared" si="17"/>
        <v>0</v>
      </c>
      <c r="V94" s="12">
        <f>Table14[[#This Row],[Enrolment S.Y. 2025-2026 ]]*8</f>
        <v>5248</v>
      </c>
      <c r="W94" s="12"/>
      <c r="X94" s="10"/>
      <c r="Y94" s="12"/>
      <c r="Z94" s="12">
        <f t="shared" si="18"/>
        <v>5248</v>
      </c>
      <c r="AA94" s="12">
        <f t="shared" si="19"/>
        <v>0</v>
      </c>
    </row>
    <row r="95" spans="1:27" ht="19.5">
      <c r="A95" s="10">
        <v>9</v>
      </c>
      <c r="B95" s="11" t="s">
        <v>23</v>
      </c>
      <c r="C95" s="10">
        <v>656</v>
      </c>
      <c r="D95" s="12">
        <f>Table14[[#This Row],[Enrolment S.Y. 2025-2026 ]]*8</f>
        <v>5248</v>
      </c>
      <c r="E95" s="12"/>
      <c r="F95" s="10">
        <v>2025</v>
      </c>
      <c r="G95" s="12" t="s">
        <v>63</v>
      </c>
      <c r="H95" s="12">
        <v>80</v>
      </c>
      <c r="I95" s="12">
        <f t="shared" si="22"/>
        <v>0</v>
      </c>
      <c r="J95" s="12">
        <f>Table14[[#This Row],[Enrolment S.Y. 2025-2026 ]]*8</f>
        <v>5248</v>
      </c>
      <c r="K95" s="12"/>
      <c r="L95" s="10"/>
      <c r="M95" s="12"/>
      <c r="N95" s="12">
        <f t="shared" si="20"/>
        <v>5248</v>
      </c>
      <c r="O95" s="12">
        <f t="shared" si="21"/>
        <v>0</v>
      </c>
      <c r="P95" s="12">
        <f>Table14[[#This Row],[Enrolment S.Y. 2025-2026 ]]*8</f>
        <v>5248</v>
      </c>
      <c r="Q95" s="12"/>
      <c r="R95" s="10"/>
      <c r="S95" s="12"/>
      <c r="T95" s="12">
        <f t="shared" si="16"/>
        <v>5248</v>
      </c>
      <c r="U95" s="12">
        <f t="shared" si="17"/>
        <v>0</v>
      </c>
      <c r="V95" s="12">
        <f>Table14[[#This Row],[Enrolment S.Y. 2025-2026 ]]*8</f>
        <v>5248</v>
      </c>
      <c r="W95" s="12"/>
      <c r="X95" s="10"/>
      <c r="Y95" s="12"/>
      <c r="Z95" s="12">
        <f t="shared" si="18"/>
        <v>5248</v>
      </c>
      <c r="AA95" s="12">
        <f t="shared" si="19"/>
        <v>0</v>
      </c>
    </row>
    <row r="96" spans="1:27" ht="19.5">
      <c r="A96" s="10">
        <v>9</v>
      </c>
      <c r="B96" s="11" t="s">
        <v>13</v>
      </c>
      <c r="C96" s="10">
        <v>656</v>
      </c>
      <c r="D96" s="12">
        <f>Table14[[#This Row],[Enrolment S.Y. 2025-2026 ]]*8</f>
        <v>5248</v>
      </c>
      <c r="E96" s="12"/>
      <c r="F96" s="10">
        <v>2025</v>
      </c>
      <c r="G96" s="12" t="s">
        <v>63</v>
      </c>
      <c r="H96" s="12">
        <v>77</v>
      </c>
      <c r="I96" s="12">
        <f t="shared" si="22"/>
        <v>0</v>
      </c>
      <c r="J96" s="12">
        <f>Table14[[#This Row],[Enrolment S.Y. 2025-2026 ]]*8</f>
        <v>5248</v>
      </c>
      <c r="K96" s="12"/>
      <c r="L96" s="10"/>
      <c r="M96" s="12"/>
      <c r="N96" s="12">
        <f t="shared" si="20"/>
        <v>5248</v>
      </c>
      <c r="O96" s="12">
        <f t="shared" si="21"/>
        <v>0</v>
      </c>
      <c r="P96" s="12">
        <f>Table14[[#This Row],[Enrolment S.Y. 2025-2026 ]]*8</f>
        <v>5248</v>
      </c>
      <c r="Q96" s="12"/>
      <c r="R96" s="10"/>
      <c r="S96" s="12"/>
      <c r="T96" s="12">
        <f t="shared" si="16"/>
        <v>5248</v>
      </c>
      <c r="U96" s="12">
        <f t="shared" si="17"/>
        <v>0</v>
      </c>
      <c r="V96" s="12">
        <f>Table14[[#This Row],[Enrolment S.Y. 2025-2026 ]]*8</f>
        <v>5248</v>
      </c>
      <c r="W96" s="12"/>
      <c r="X96" s="10"/>
      <c r="Y96" s="12"/>
      <c r="Z96" s="12">
        <f t="shared" si="18"/>
        <v>5248</v>
      </c>
      <c r="AA96" s="12">
        <f t="shared" si="19"/>
        <v>0</v>
      </c>
    </row>
    <row r="97" spans="1:27" ht="19.5">
      <c r="A97" s="38">
        <v>9</v>
      </c>
      <c r="B97" s="11" t="s">
        <v>88</v>
      </c>
      <c r="C97" s="10">
        <v>656</v>
      </c>
      <c r="D97" s="12">
        <f>Table14[[#This Row],[Enrolment S.Y. 2025-2026 ]]*8</f>
        <v>5248</v>
      </c>
      <c r="E97" s="12"/>
      <c r="F97" s="10">
        <v>2025</v>
      </c>
      <c r="G97" s="12" t="s">
        <v>63</v>
      </c>
      <c r="H97" s="12">
        <v>80</v>
      </c>
      <c r="I97" s="12">
        <f>IF((E97-D97)&lt;0,0,(E97-D97))</f>
        <v>0</v>
      </c>
      <c r="J97" s="12">
        <f>Table14[[#This Row],[Enrolment S.Y. 2025-2026 ]]*8</f>
        <v>5248</v>
      </c>
      <c r="K97" s="12"/>
      <c r="L97" s="10"/>
      <c r="M97" s="12"/>
      <c r="N97" s="12">
        <f t="shared" ref="N97:N101" si="25">IF((J97-K97)&lt;0,0,(J97-K97))</f>
        <v>5248</v>
      </c>
      <c r="O97" s="12">
        <f t="shared" ref="O97:O101" si="26">IF((K97-J97)&lt;0,0,(K97-J97))</f>
        <v>0</v>
      </c>
      <c r="P97" s="12">
        <f>Table14[[#This Row],[Enrolment S.Y. 2025-2026 ]]*8</f>
        <v>5248</v>
      </c>
      <c r="Q97" s="12"/>
      <c r="R97" s="10"/>
      <c r="S97" s="12"/>
      <c r="T97" s="12">
        <f>IF((P97-Q97)&lt;0,0,(P97-Q97))</f>
        <v>5248</v>
      </c>
      <c r="U97" s="12">
        <f>IF((Q97-P97)&lt;0,0,(Q97-P97))</f>
        <v>0</v>
      </c>
      <c r="V97" s="12">
        <f>Table14[[#This Row],[Enrolment S.Y. 2025-2026 ]]*8</f>
        <v>5248</v>
      </c>
      <c r="W97" s="12"/>
      <c r="X97" s="10"/>
      <c r="Y97" s="12"/>
      <c r="Z97" s="12">
        <f>IF((V97-W97)&lt;0,0,(V97-W97))</f>
        <v>5248</v>
      </c>
      <c r="AA97" s="12">
        <f>IF((W97-V97)&lt;0,0,(W97-V97))</f>
        <v>0</v>
      </c>
    </row>
    <row r="98" spans="1:27" ht="19.5">
      <c r="A98" s="10">
        <v>9</v>
      </c>
      <c r="B98" s="11" t="s">
        <v>89</v>
      </c>
      <c r="C98" s="10">
        <v>656</v>
      </c>
      <c r="D98" s="12">
        <f>Table14[[#This Row],[Enrolment S.Y. 2025-2026 ]]*8</f>
        <v>5248</v>
      </c>
      <c r="E98" s="12"/>
      <c r="F98" s="10">
        <v>2025</v>
      </c>
      <c r="G98" s="12" t="s">
        <v>63</v>
      </c>
      <c r="H98" s="12">
        <v>77</v>
      </c>
      <c r="I98" s="12">
        <f t="shared" si="22"/>
        <v>0</v>
      </c>
      <c r="J98" s="12">
        <f>Table14[[#This Row],[Enrolment S.Y. 2025-2026 ]]*8</f>
        <v>5248</v>
      </c>
      <c r="K98" s="12"/>
      <c r="L98" s="10"/>
      <c r="M98" s="12"/>
      <c r="N98" s="12">
        <f t="shared" si="25"/>
        <v>5248</v>
      </c>
      <c r="O98" s="12">
        <f t="shared" si="26"/>
        <v>0</v>
      </c>
      <c r="P98" s="12">
        <f>Table14[[#This Row],[Enrolment S.Y. 2025-2026 ]]*8</f>
        <v>5248</v>
      </c>
      <c r="Q98" s="12"/>
      <c r="R98" s="10"/>
      <c r="S98" s="12"/>
      <c r="T98" s="12">
        <f t="shared" si="16"/>
        <v>5248</v>
      </c>
      <c r="U98" s="12">
        <f t="shared" si="17"/>
        <v>0</v>
      </c>
      <c r="V98" s="12">
        <f>Table14[[#This Row],[Enrolment S.Y. 2025-2026 ]]*8</f>
        <v>5248</v>
      </c>
      <c r="W98" s="12"/>
      <c r="X98" s="10"/>
      <c r="Y98" s="12"/>
      <c r="Z98" s="12">
        <f t="shared" si="18"/>
        <v>5248</v>
      </c>
      <c r="AA98" s="12">
        <f t="shared" si="19"/>
        <v>0</v>
      </c>
    </row>
    <row r="99" spans="1:27" ht="19.5">
      <c r="A99" s="10">
        <v>9</v>
      </c>
      <c r="B99" s="11" t="s">
        <v>22</v>
      </c>
      <c r="C99" s="10"/>
      <c r="D99" s="12">
        <f>Table14[[#This Row],[Enrolment S.Y. 2025-2026 ]]*8</f>
        <v>0</v>
      </c>
      <c r="E99" s="12"/>
      <c r="F99" s="10"/>
      <c r="G99" s="12"/>
      <c r="H99" s="12"/>
      <c r="I99" s="12">
        <f t="shared" si="22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5"/>
        <v>0</v>
      </c>
      <c r="O99" s="12">
        <f t="shared" si="26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5">
      <c r="A100" s="38">
        <v>9</v>
      </c>
      <c r="B100" s="11" t="s">
        <v>90</v>
      </c>
      <c r="C100" s="10">
        <v>656</v>
      </c>
      <c r="D100" s="12">
        <f>Table14[[#This Row],[Enrolment S.Y. 2025-2026 ]]*8</f>
        <v>5248</v>
      </c>
      <c r="E100" s="12"/>
      <c r="F100" s="10">
        <v>2025</v>
      </c>
      <c r="G100" s="12" t="s">
        <v>63</v>
      </c>
      <c r="H100" s="12">
        <v>80</v>
      </c>
      <c r="I100" s="12">
        <f>IF((E100-D100)&lt;0,0,(E100-D100))</f>
        <v>0</v>
      </c>
      <c r="J100" s="12">
        <f>Table14[[#This Row],[Enrolment S.Y. 2025-2026 ]]*8</f>
        <v>5248</v>
      </c>
      <c r="K100" s="12"/>
      <c r="L100" s="10"/>
      <c r="M100" s="12"/>
      <c r="N100" s="12">
        <f t="shared" si="25"/>
        <v>5248</v>
      </c>
      <c r="O100" s="12">
        <f t="shared" si="26"/>
        <v>0</v>
      </c>
      <c r="P100" s="12">
        <f>Table14[[#This Row],[Enrolment S.Y. 2025-2026 ]]*8</f>
        <v>5248</v>
      </c>
      <c r="Q100" s="12"/>
      <c r="R100" s="10"/>
      <c r="S100" s="12"/>
      <c r="T100" s="12">
        <f>IF((P100-Q100)&lt;0,0,(P100-Q100))</f>
        <v>5248</v>
      </c>
      <c r="U100" s="12">
        <f>IF((Q100-P100)&lt;0,0,(Q100-P100))</f>
        <v>0</v>
      </c>
      <c r="V100" s="12">
        <f>Table14[[#This Row],[Enrolment S.Y. 2025-2026 ]]*8</f>
        <v>5248</v>
      </c>
      <c r="W100" s="12"/>
      <c r="X100" s="10"/>
      <c r="Y100" s="12"/>
      <c r="Z100" s="12">
        <f>IF((V100-W100)&lt;0,0,(V100-W100))</f>
        <v>5248</v>
      </c>
      <c r="AA100" s="12">
        <f>IF((W100-V100)&lt;0,0,(W100-V100))</f>
        <v>0</v>
      </c>
    </row>
    <row r="101" spans="1:27" ht="19.5">
      <c r="A101" s="10">
        <v>9</v>
      </c>
      <c r="B101" s="11" t="s">
        <v>91</v>
      </c>
      <c r="C101" s="10"/>
      <c r="D101" s="12">
        <f>Table14[[#This Row],[Enrolment S.Y. 2025-2026 ]]*8</f>
        <v>0</v>
      </c>
      <c r="E101" s="12"/>
      <c r="F101" s="10"/>
      <c r="G101" s="12"/>
      <c r="H101" s="12"/>
      <c r="I101" s="12">
        <f t="shared" si="22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5"/>
        <v>0</v>
      </c>
      <c r="O101" s="12">
        <f t="shared" si="26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5">
      <c r="A103" s="10">
        <v>10</v>
      </c>
      <c r="B103" s="11" t="s">
        <v>14</v>
      </c>
      <c r="C103" s="10">
        <v>677</v>
      </c>
      <c r="D103" s="12">
        <f>Table14[[#This Row],[Enrolment S.Y. 2025-2026 ]]*8</f>
        <v>5416</v>
      </c>
      <c r="E103" s="12"/>
      <c r="F103" s="10">
        <v>2025</v>
      </c>
      <c r="G103" s="12" t="s">
        <v>63</v>
      </c>
      <c r="H103" s="12">
        <v>77</v>
      </c>
      <c r="I103" s="12">
        <f t="shared" si="22"/>
        <v>0</v>
      </c>
      <c r="J103" s="12">
        <f>Table14[[#This Row],[Enrolment S.Y. 2025-2026 ]]*8</f>
        <v>5416</v>
      </c>
      <c r="K103" s="12"/>
      <c r="L103" s="10"/>
      <c r="M103" s="12"/>
      <c r="N103" s="12">
        <f t="shared" si="20"/>
        <v>5416</v>
      </c>
      <c r="O103" s="12">
        <f t="shared" si="21"/>
        <v>0</v>
      </c>
      <c r="P103" s="12">
        <f>Table14[[#This Row],[Enrolment S.Y. 2025-2026 ]]*8</f>
        <v>5416</v>
      </c>
      <c r="Q103" s="12"/>
      <c r="R103" s="10"/>
      <c r="S103" s="12"/>
      <c r="T103" s="12">
        <f t="shared" si="16"/>
        <v>5416</v>
      </c>
      <c r="U103" s="12">
        <f t="shared" si="17"/>
        <v>0</v>
      </c>
      <c r="V103" s="12">
        <f>Table14[[#This Row],[Enrolment S.Y. 2025-2026 ]]*8</f>
        <v>5416</v>
      </c>
      <c r="W103" s="12"/>
      <c r="X103" s="10"/>
      <c r="Y103" s="12"/>
      <c r="Z103" s="12">
        <f t="shared" si="18"/>
        <v>5416</v>
      </c>
      <c r="AA103" s="12">
        <f t="shared" si="19"/>
        <v>0</v>
      </c>
    </row>
    <row r="104" spans="1:27" ht="19.5">
      <c r="A104" s="10">
        <v>10</v>
      </c>
      <c r="B104" s="11" t="s">
        <v>15</v>
      </c>
      <c r="C104" s="10"/>
      <c r="D104" s="12">
        <f>Table14[[#This Row],[Enrolment S.Y. 2025-2026 ]]*8</f>
        <v>0</v>
      </c>
      <c r="E104" s="12"/>
      <c r="F104" s="10"/>
      <c r="G104" s="12"/>
      <c r="H104" s="12"/>
      <c r="I104" s="12">
        <f t="shared" si="22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5">
      <c r="A105" s="10">
        <v>10</v>
      </c>
      <c r="B105" s="11" t="s">
        <v>12</v>
      </c>
      <c r="C105" s="10">
        <v>677</v>
      </c>
      <c r="D105" s="12">
        <f>Table14[[#This Row],[Enrolment S.Y. 2025-2026 ]]*8</f>
        <v>5416</v>
      </c>
      <c r="E105" s="12"/>
      <c r="F105" s="10">
        <v>2025</v>
      </c>
      <c r="G105" s="12" t="s">
        <v>63</v>
      </c>
      <c r="H105" s="12">
        <v>77</v>
      </c>
      <c r="I105" s="12">
        <f t="shared" si="22"/>
        <v>0</v>
      </c>
      <c r="J105" s="12">
        <f>Table14[[#This Row],[Enrolment S.Y. 2025-2026 ]]*8</f>
        <v>5416</v>
      </c>
      <c r="K105" s="12"/>
      <c r="L105" s="10"/>
      <c r="M105" s="12"/>
      <c r="N105" s="12">
        <f t="shared" si="20"/>
        <v>5416</v>
      </c>
      <c r="O105" s="12">
        <f t="shared" si="21"/>
        <v>0</v>
      </c>
      <c r="P105" s="12">
        <f>Table14[[#This Row],[Enrolment S.Y. 2025-2026 ]]*8</f>
        <v>5416</v>
      </c>
      <c r="Q105" s="12"/>
      <c r="R105" s="10"/>
      <c r="S105" s="12"/>
      <c r="T105" s="12">
        <f t="shared" si="16"/>
        <v>5416</v>
      </c>
      <c r="U105" s="12">
        <f t="shared" si="17"/>
        <v>0</v>
      </c>
      <c r="V105" s="12">
        <f>Table14[[#This Row],[Enrolment S.Y. 2025-2026 ]]*8</f>
        <v>5416</v>
      </c>
      <c r="W105" s="12"/>
      <c r="X105" s="10"/>
      <c r="Y105" s="12"/>
      <c r="Z105" s="12">
        <f t="shared" si="18"/>
        <v>5416</v>
      </c>
      <c r="AA105" s="12">
        <f t="shared" si="19"/>
        <v>0</v>
      </c>
    </row>
    <row r="106" spans="1:27" ht="19.5">
      <c r="A106" s="10">
        <v>10</v>
      </c>
      <c r="B106" s="11" t="s">
        <v>21</v>
      </c>
      <c r="C106" s="10"/>
      <c r="D106" s="12">
        <f>Table14[[#This Row],[Enrolment S.Y. 2025-2026 ]]*8</f>
        <v>0</v>
      </c>
      <c r="E106" s="12"/>
      <c r="F106" s="10"/>
      <c r="G106" s="12"/>
      <c r="H106" s="12"/>
      <c r="I106" s="12">
        <f t="shared" si="22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5">
      <c r="A107" s="10">
        <v>10</v>
      </c>
      <c r="B107" s="11" t="s">
        <v>23</v>
      </c>
      <c r="C107" s="10"/>
      <c r="D107" s="12">
        <f>Table14[[#This Row],[Enrolment S.Y. 2025-2026 ]]*8</f>
        <v>0</v>
      </c>
      <c r="E107" s="12"/>
      <c r="F107" s="10"/>
      <c r="G107" s="12"/>
      <c r="H107" s="12"/>
      <c r="I107" s="12">
        <f t="shared" si="22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5">
      <c r="A108" s="10">
        <v>10</v>
      </c>
      <c r="B108" s="11" t="s">
        <v>13</v>
      </c>
      <c r="C108" s="10"/>
      <c r="D108" s="12">
        <f>Table14[[#This Row],[Enrolment S.Y. 2025-2026 ]]*8</f>
        <v>0</v>
      </c>
      <c r="E108" s="12"/>
      <c r="F108" s="10"/>
      <c r="G108" s="12"/>
      <c r="H108" s="12"/>
      <c r="I108" s="12">
        <f t="shared" si="22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5">
      <c r="A109" s="38">
        <v>10</v>
      </c>
      <c r="B109" s="11" t="s">
        <v>88</v>
      </c>
      <c r="C109" s="10"/>
      <c r="D109" s="12">
        <f>Table14[[#This Row],[Enrolment S.Y. 2025-2026 ]]*8</f>
        <v>0</v>
      </c>
      <c r="E109" s="12"/>
      <c r="F109" s="10"/>
      <c r="G109" s="12"/>
      <c r="H109" s="12"/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7">IF((J109-K109)&lt;0,0,(J109-K109))</f>
        <v>0</v>
      </c>
      <c r="O109" s="12">
        <f t="shared" ref="O109:O113" si="28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5">
      <c r="A110" s="10">
        <v>10</v>
      </c>
      <c r="B110" s="11" t="s">
        <v>89</v>
      </c>
      <c r="C110" s="10"/>
      <c r="D110" s="12">
        <f>Table14[[#This Row],[Enrolment S.Y. 2025-2026 ]]*8</f>
        <v>0</v>
      </c>
      <c r="E110" s="12"/>
      <c r="F110" s="10"/>
      <c r="G110" s="12"/>
      <c r="H110" s="12"/>
      <c r="I110" s="12">
        <f t="shared" si="22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7"/>
        <v>0</v>
      </c>
      <c r="O110" s="12">
        <f t="shared" si="28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5">
      <c r="A111" s="10">
        <v>10</v>
      </c>
      <c r="B111" s="11" t="s">
        <v>22</v>
      </c>
      <c r="C111" s="10"/>
      <c r="D111" s="12">
        <f>Table14[[#This Row],[Enrolment S.Y. 2025-2026 ]]*8</f>
        <v>0</v>
      </c>
      <c r="E111" s="12"/>
      <c r="F111" s="10"/>
      <c r="G111" s="12"/>
      <c r="H111" s="12"/>
      <c r="I111" s="12">
        <f t="shared" si="22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7"/>
        <v>0</v>
      </c>
      <c r="O111" s="12">
        <f t="shared" si="28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5">
      <c r="A112" s="38">
        <v>10</v>
      </c>
      <c r="B112" s="11" t="s">
        <v>90</v>
      </c>
      <c r="C112" s="10"/>
      <c r="D112" s="12">
        <f>Table14[[#This Row],[Enrolment S.Y. 2025-2026 ]]*8</f>
        <v>0</v>
      </c>
      <c r="E112" s="12"/>
      <c r="F112" s="10"/>
      <c r="G112" s="12"/>
      <c r="H112" s="12"/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7"/>
        <v>0</v>
      </c>
      <c r="O112" s="12">
        <f t="shared" si="28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5">
      <c r="A113" s="10">
        <v>10</v>
      </c>
      <c r="B113" s="11" t="s">
        <v>91</v>
      </c>
      <c r="C113" s="10"/>
      <c r="D113" s="12">
        <f>Table14[[#This Row],[Enrolment S.Y. 2025-2026 ]]*8</f>
        <v>0</v>
      </c>
      <c r="E113" s="12"/>
      <c r="F113" s="10"/>
      <c r="G113" s="12"/>
      <c r="H113" s="12"/>
      <c r="I113" s="12">
        <f t="shared" si="22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7"/>
        <v>0</v>
      </c>
      <c r="O113" s="12">
        <f t="shared" si="28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24</v>
      </c>
      <c r="B115" s="9" t="s">
        <v>25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ref="H84:H122" si="29">IF((D115-E115)&lt;0,0,(D115-E115))</f>
        <v>0</v>
      </c>
      <c r="I115" s="5">
        <f t="shared" si="22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24</v>
      </c>
      <c r="B116" s="9" t="s">
        <v>26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9"/>
        <v>0</v>
      </c>
      <c r="I116" s="5">
        <f t="shared" si="22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24</v>
      </c>
      <c r="B117" s="9" t="s">
        <v>27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9"/>
        <v>0</v>
      </c>
      <c r="I117" s="5">
        <f t="shared" si="22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24</v>
      </c>
      <c r="B118" s="9" t="s">
        <v>28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9"/>
        <v>0</v>
      </c>
      <c r="I118" s="5">
        <f t="shared" si="22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24</v>
      </c>
      <c r="B119" s="9" t="s">
        <v>29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9"/>
        <v>0</v>
      </c>
      <c r="I119" s="5">
        <f t="shared" si="22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24</v>
      </c>
      <c r="B120" s="9" t="s">
        <v>30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9"/>
        <v>0</v>
      </c>
      <c r="I120" s="5">
        <f t="shared" si="22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24</v>
      </c>
      <c r="B121" s="9" t="s">
        <v>31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9"/>
        <v>0</v>
      </c>
      <c r="I121" s="5">
        <f t="shared" si="22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24</v>
      </c>
      <c r="B122" s="9" t="s">
        <v>32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9"/>
        <v>0</v>
      </c>
      <c r="I122" s="5">
        <f t="shared" si="22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115:C122 C103:C113 C67:C77 C79:C89 C91:C101" name="Textbooks"/>
    <protectedRange sqref="J2:L2 D2:F10 D12:F19 D21:F29 D31:F41 D43:F53 D55:F65 D67:F77 D79:F89 D91:F101 D115:F122 P2:R10 N3:O10 V2:X10 T3:U10 N12:R19 T12:X19 H3:L10 Z3:AA10 Z12:AA19 H12:L19 N21:R29 T21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" name="LAS"/>
    <protectedRange sqref="G2:I2 M2:O2 S2:U2 Y2:AA2 G3:G10 M3:M10 S3:S10 Y3:Y10 Y12:Y19 G12:G19 M12:M19 S12:S19 Y21: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Y21:Y29 S21:S29 S31:S41 M31:M41 G31:G41 Y31:Y41 Y43:Y53 S43:S53 M43:M53 G43:G53 G55:G65 Y55:Y65 S55:S65 M55:M65 M67:M77 G67:G77 Y67:Y77 S67:S77 S79:S89 M79:M89 G79:G89 Y79:Y89 Y91:Y101 S91:S101 M91:M101 G91:G101 G103:G113 Y103:Y113 S103:S113 M103:M113 M115:M122" xr:uid="{CBD486C7-A5DB-48F1-B496-5027CC51E830}">
      <formula1>"CO,RO,SDO,LGU,SCHOOL"</formula1>
    </dataValidation>
    <dataValidation type="list" allowBlank="1" showInputMessage="1" showErrorMessage="1" sqref="X21:X29 X31:X41 X43:X53 X67:X77 X79:X89 X55:X65 X91:X101 X103:X113 X12:X19 X3:X10 L21:L29 L31:L41 L43:L53 L67:L77 L79:L89 L55:L65 L91:L101 L103:L113 L12:L19 L3:L10 R21:R29 R31:R41 R43:R53 R67:R77 R79:R89 R55:R65 R91:R101 R103:R113 R12:R19 R3:R10 F21:F29 F31:F41 F43:F53 F67:F77 F79:F89 F55:F65 F3:F10 F91:F101 X115:X122 F12:F19 F115:F122 R115:R122 L115:L122 F103:F113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2026-01-12T07:33:17Z</dcterms:modified>
  <cp:category/>
  <cp:contentStatus/>
</cp:coreProperties>
</file>