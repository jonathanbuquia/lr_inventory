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2" documentId="13_ncr:1_{BFB59F67-F0DC-4675-A682-EB0734A8026A}" xr6:coauthVersionLast="47" xr6:coauthVersionMax="47" xr10:uidLastSave="{59E5BF54-A0D2-41B3-9D20-5F9B700FB4E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J49" i="5"/>
  <c r="U49" i="5"/>
  <c r="T49" i="5"/>
  <c r="V49" i="5"/>
  <c r="Z49" i="5" s="1"/>
  <c r="D46" i="5"/>
  <c r="J46" i="5"/>
  <c r="U46" i="5"/>
  <c r="V46" i="5"/>
  <c r="Z46" i="5" s="1"/>
  <c r="D25" i="5"/>
  <c r="J25" i="5"/>
  <c r="T25" i="5"/>
  <c r="V25" i="5"/>
  <c r="Z25" i="5" s="1"/>
  <c r="D37" i="5"/>
  <c r="J37" i="5"/>
  <c r="T37" i="5"/>
  <c r="V37" i="5"/>
  <c r="Z37" i="5" s="1"/>
  <c r="D34" i="5"/>
  <c r="J34" i="5"/>
  <c r="V34" i="5"/>
  <c r="Z34" i="5" s="1"/>
  <c r="D22" i="5"/>
  <c r="J22" i="5"/>
  <c r="T22" i="5"/>
  <c r="V22" i="5"/>
  <c r="Z22" i="5" s="1"/>
  <c r="D13" i="5"/>
  <c r="J13" i="5"/>
  <c r="T13" i="5"/>
  <c r="V13" i="5"/>
  <c r="Z13" i="5" s="1"/>
  <c r="D10" i="5"/>
  <c r="J10" i="5"/>
  <c r="T10" i="5"/>
  <c r="V10" i="5"/>
  <c r="Z10" i="5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V31" i="5"/>
  <c r="AA31" i="5" s="1"/>
  <c r="P31" i="5"/>
  <c r="U31" i="5" s="1"/>
  <c r="J31" i="5"/>
  <c r="O31" i="5" s="1"/>
  <c r="D31" i="5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V7" i="5"/>
  <c r="AA7" i="5" s="1"/>
  <c r="P7" i="5"/>
  <c r="U7" i="5" s="1"/>
  <c r="J7" i="5"/>
  <c r="D7" i="5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D4" i="4"/>
  <c r="D5" i="4"/>
  <c r="D6" i="4"/>
  <c r="D7" i="4"/>
  <c r="D8" i="4"/>
  <c r="I8" i="4" s="1"/>
  <c r="D9" i="4"/>
  <c r="I9" i="4" s="1"/>
  <c r="D10" i="4"/>
  <c r="H10" i="4" s="1"/>
  <c r="D11" i="4"/>
  <c r="D12" i="4"/>
  <c r="D14" i="4"/>
  <c r="D15" i="4"/>
  <c r="D16" i="4"/>
  <c r="D17" i="4"/>
  <c r="I17" i="4" s="1"/>
  <c r="D18" i="4"/>
  <c r="I18" i="4" s="1"/>
  <c r="D19" i="4"/>
  <c r="I19" i="4" s="1"/>
  <c r="D20" i="4"/>
  <c r="I20" i="4" s="1"/>
  <c r="D21" i="4"/>
  <c r="D22" i="4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H14" i="1"/>
  <c r="G14" i="1"/>
  <c r="H13" i="1"/>
  <c r="G13" i="1"/>
  <c r="H11" i="1"/>
  <c r="H10" i="1"/>
  <c r="H9" i="1"/>
  <c r="H8" i="1"/>
  <c r="H7" i="1"/>
  <c r="H6" i="1"/>
  <c r="H5" i="1"/>
  <c r="H4" i="1"/>
  <c r="G4" i="1"/>
  <c r="H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T22" i="4"/>
  <c r="U6" i="4"/>
  <c r="O29" i="4"/>
  <c r="AA44" i="4"/>
  <c r="Z21" i="4"/>
  <c r="AA8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AA48" i="5"/>
  <c r="I12" i="5"/>
  <c r="T29" i="5"/>
  <c r="Z8" i="5"/>
  <c r="AA11" i="5"/>
  <c r="T11" i="5"/>
  <c r="T7" i="5"/>
  <c r="O6" i="5"/>
  <c r="Z14" i="5"/>
  <c r="Z6" i="5"/>
  <c r="I8" i="5"/>
  <c r="Z17" i="5"/>
  <c r="Z24" i="5"/>
  <c r="AA56" i="5"/>
  <c r="I7" i="5"/>
  <c r="H57" i="5"/>
  <c r="T8" i="5"/>
  <c r="AA19" i="5"/>
  <c r="U59" i="5"/>
  <c r="O47" i="4"/>
  <c r="O16" i="4"/>
  <c r="T49" i="4"/>
  <c r="U32" i="4"/>
  <c r="U27" i="4"/>
  <c r="U10" i="4"/>
  <c r="AA30" i="4"/>
  <c r="Z19" i="4"/>
  <c r="N40" i="4"/>
  <c r="O34" i="4"/>
  <c r="U37" i="4"/>
  <c r="T5" i="4"/>
  <c r="Z41" i="4"/>
  <c r="AA17" i="4"/>
  <c r="Z6" i="4"/>
  <c r="N22" i="4"/>
  <c r="O51" i="4"/>
  <c r="N46" i="4"/>
  <c r="O20" i="4"/>
  <c r="T31" i="4"/>
  <c r="U15" i="4"/>
  <c r="U9" i="4"/>
  <c r="AA39" i="4"/>
  <c r="Z28" i="4"/>
  <c r="AA4" i="4"/>
  <c r="Z32" i="4"/>
  <c r="N14" i="4"/>
  <c r="O7" i="4"/>
  <c r="U41" i="4"/>
  <c r="U36" i="4"/>
  <c r="U19" i="4"/>
  <c r="Z50" i="4"/>
  <c r="AA26" i="4"/>
  <c r="Z15" i="4"/>
  <c r="O38" i="4"/>
  <c r="N31" i="4"/>
  <c r="O25" i="4"/>
  <c r="N19" i="4"/>
  <c r="U46" i="4"/>
  <c r="T14" i="4"/>
  <c r="AA48" i="4"/>
  <c r="Z37" i="4"/>
  <c r="AA12" i="4"/>
  <c r="N49" i="4"/>
  <c r="T40" i="4"/>
  <c r="U24" i="4"/>
  <c r="U18" i="4"/>
  <c r="AA35" i="4"/>
  <c r="Z24" i="4"/>
  <c r="O42" i="4"/>
  <c r="O11" i="4"/>
  <c r="N5" i="4"/>
  <c r="U50" i="4"/>
  <c r="U28" i="4"/>
  <c r="Z46" i="4"/>
  <c r="Z10" i="4"/>
  <c r="T12" i="4"/>
  <c r="U12" i="4"/>
  <c r="N37" i="4"/>
  <c r="N15" i="4"/>
  <c r="T4" i="4"/>
  <c r="U4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35" i="4"/>
  <c r="U35" i="4"/>
  <c r="T44" i="4"/>
  <c r="U44" i="4"/>
  <c r="N28" i="4"/>
  <c r="N6" i="4"/>
  <c r="N32" i="4"/>
  <c r="T21" i="4"/>
  <c r="U21" i="4"/>
  <c r="T48" i="4"/>
  <c r="U48" i="4"/>
  <c r="T26" i="4"/>
  <c r="U26" i="4"/>
  <c r="N10" i="4"/>
  <c r="Z51" i="4"/>
  <c r="AA51" i="4"/>
  <c r="O48" i="4"/>
  <c r="O39" i="4"/>
  <c r="O30" i="4"/>
  <c r="O21" i="4"/>
  <c r="O12" i="4"/>
  <c r="O4" i="4"/>
  <c r="U47" i="4"/>
  <c r="U38" i="4"/>
  <c r="U29" i="4"/>
  <c r="U20" i="4"/>
  <c r="U11" i="4"/>
  <c r="AA47" i="4"/>
  <c r="AA38" i="4"/>
  <c r="AA29" i="4"/>
  <c r="AA25" i="4"/>
  <c r="AA20" i="4"/>
  <c r="AA16" i="4"/>
  <c r="AA11" i="4"/>
  <c r="AA7" i="4"/>
  <c r="O45" i="4"/>
  <c r="O36" i="4"/>
  <c r="O27" i="4"/>
  <c r="O18" i="4"/>
  <c r="O9" i="4"/>
  <c r="O44" i="4"/>
  <c r="O35" i="4"/>
  <c r="O26" i="4"/>
  <c r="O17" i="4"/>
  <c r="O8" i="4"/>
  <c r="U51" i="4"/>
  <c r="U42" i="4"/>
  <c r="U34" i="4"/>
  <c r="U25" i="4"/>
  <c r="U16" i="4"/>
  <c r="U7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I31" i="5"/>
  <c r="O32" i="5"/>
  <c r="O41" i="5"/>
  <c r="T44" i="5"/>
  <c r="AA45" i="5"/>
  <c r="T14" i="5"/>
  <c r="Z23" i="5"/>
  <c r="O28" i="5"/>
  <c r="T40" i="5"/>
  <c r="O19" i="5"/>
  <c r="Z21" i="5"/>
  <c r="T31" i="5"/>
  <c r="Z32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I32" i="5"/>
  <c r="Z7" i="5"/>
  <c r="T9" i="5"/>
  <c r="Z29" i="5"/>
  <c r="Z30" i="5"/>
  <c r="T33" i="5"/>
  <c r="Z42" i="5"/>
  <c r="AA43" i="5"/>
  <c r="Z47" i="5"/>
  <c r="O54" i="5"/>
  <c r="AA58" i="5"/>
  <c r="Z44" i="5"/>
  <c r="O52" i="5"/>
  <c r="T55" i="5"/>
  <c r="T12" i="5"/>
  <c r="Z35" i="5"/>
  <c r="T53" i="5"/>
  <c r="Z57" i="5"/>
  <c r="H59" i="5"/>
  <c r="Z12" i="5"/>
  <c r="Z5" i="5"/>
  <c r="T6" i="5"/>
  <c r="T16" i="5"/>
  <c r="T18" i="5"/>
  <c r="T20" i="5"/>
  <c r="T23" i="5"/>
  <c r="O30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52" i="5"/>
  <c r="H54" i="5"/>
  <c r="H56" i="5"/>
  <c r="H58" i="5"/>
  <c r="H38" i="4"/>
  <c r="I47" i="4"/>
  <c r="I40" i="4"/>
  <c r="I5" i="4"/>
  <c r="H37" i="4"/>
  <c r="I46" i="4"/>
  <c r="I29" i="4"/>
  <c r="H27" i="4"/>
  <c r="H48" i="4"/>
  <c r="H9" i="4"/>
  <c r="I28" i="4"/>
  <c r="I22" i="4"/>
  <c r="I11" i="4"/>
  <c r="H39" i="4"/>
  <c r="I10" i="4"/>
  <c r="I25" i="4"/>
  <c r="H25" i="4"/>
  <c r="I6" i="4"/>
  <c r="H6" i="4"/>
  <c r="H45" i="4"/>
  <c r="H36" i="4"/>
  <c r="I21" i="4"/>
  <c r="I4" i="4"/>
  <c r="I34" i="4"/>
  <c r="H34" i="4"/>
  <c r="H26" i="4"/>
  <c r="H44" i="4"/>
  <c r="H35" i="4"/>
  <c r="I7" i="4"/>
  <c r="I24" i="4"/>
  <c r="H24" i="4"/>
  <c r="H51" i="4"/>
  <c r="H42" i="4"/>
  <c r="H32" i="4"/>
  <c r="I15" i="4"/>
  <c r="H50" i="4"/>
  <c r="H41" i="4"/>
  <c r="I49" i="4"/>
  <c r="I31" i="4"/>
  <c r="I14" i="4"/>
  <c r="I16" i="4"/>
  <c r="I30" i="4"/>
  <c r="I12" i="4"/>
</calcChain>
</file>

<file path=xl/sharedStrings.xml><?xml version="1.0" encoding="utf-8"?>
<sst xmlns="http://schemas.openxmlformats.org/spreadsheetml/2006/main" count="270" uniqueCount="85">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</sst>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5" sqref="J5"/>
    </sheetView>
  </sheetViews>
  <sheetFormatPr defaultRowHeight="13.9"/>
  <cols>
    <col min="1" max="1" width="10.140625" bestFit="1" customWidth="1"/>
    <col min="2" max="2" width="27.85546875" customWidth="1"/>
    <col min="3" max="4" width="24.85546875" bestFit="1" customWidth="1"/>
    <col min="5" max="5" width="27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7.75" customHeight="1">
      <c r="A2" s="5"/>
      <c r="B2" s="5"/>
      <c r="C2" s="6"/>
      <c r="D2" s="6"/>
      <c r="E2" s="6"/>
      <c r="F2" s="5"/>
      <c r="G2" s="5"/>
      <c r="H2" s="5"/>
    </row>
    <row r="3" spans="1:8" ht="27.75" customHeight="1">
      <c r="A3" s="8">
        <v>7</v>
      </c>
      <c r="B3" s="9" t="s">
        <v>8</v>
      </c>
      <c r="C3" s="8">
        <v>746</v>
      </c>
      <c r="D3" s="8"/>
      <c r="E3" s="8">
        <v>2025</v>
      </c>
      <c r="F3" s="10" t="s">
        <v>9</v>
      </c>
      <c r="G3" s="2">
        <v>783</v>
      </c>
      <c r="H3" s="3">
        <f t="shared" ref="H3:H11" si="0">IF((D3-C3)&lt;0,0,D3-C3)</f>
        <v>0</v>
      </c>
    </row>
    <row r="4" spans="1:8" ht="27.75" customHeight="1">
      <c r="A4" s="8">
        <v>7</v>
      </c>
      <c r="B4" s="9" t="s">
        <v>10</v>
      </c>
      <c r="C4" s="8"/>
      <c r="D4" s="8"/>
      <c r="E4" s="8"/>
      <c r="F4" s="10"/>
      <c r="G4" s="2">
        <f t="shared" ref="G3:G11" si="1">IF((C4-D4)&lt;0,0,C4-D4)</f>
        <v>0</v>
      </c>
      <c r="H4" s="3">
        <f t="shared" si="0"/>
        <v>0</v>
      </c>
    </row>
    <row r="5" spans="1:8" ht="27.75" customHeight="1">
      <c r="A5" s="8">
        <v>7</v>
      </c>
      <c r="B5" s="9" t="s">
        <v>11</v>
      </c>
      <c r="C5" s="8">
        <v>746</v>
      </c>
      <c r="D5" s="8"/>
      <c r="E5" s="8">
        <v>2025</v>
      </c>
      <c r="F5" s="10" t="s">
        <v>9</v>
      </c>
      <c r="G5" s="2">
        <v>783</v>
      </c>
      <c r="H5" s="3">
        <f t="shared" si="0"/>
        <v>0</v>
      </c>
    </row>
    <row r="6" spans="1:8" ht="27.75" customHeight="1">
      <c r="A6" s="8">
        <v>7</v>
      </c>
      <c r="B6" s="9" t="s">
        <v>12</v>
      </c>
      <c r="C6" s="8">
        <v>746</v>
      </c>
      <c r="D6" s="8"/>
      <c r="E6" s="8">
        <v>2025</v>
      </c>
      <c r="F6" s="10" t="s">
        <v>9</v>
      </c>
      <c r="G6" s="2">
        <v>755</v>
      </c>
      <c r="H6" s="3">
        <f t="shared" si="0"/>
        <v>0</v>
      </c>
    </row>
    <row r="7" spans="1:8" ht="39" customHeight="1">
      <c r="A7" s="8">
        <v>7</v>
      </c>
      <c r="B7" s="9" t="s">
        <v>13</v>
      </c>
      <c r="C7" s="8">
        <v>746</v>
      </c>
      <c r="D7" s="8"/>
      <c r="E7" s="8">
        <v>2025</v>
      </c>
      <c r="F7" s="10" t="s">
        <v>9</v>
      </c>
      <c r="G7" s="2">
        <v>783</v>
      </c>
      <c r="H7" s="3">
        <f t="shared" si="0"/>
        <v>0</v>
      </c>
    </row>
    <row r="8" spans="1:8" ht="27.75" customHeight="1">
      <c r="A8" s="8">
        <v>7</v>
      </c>
      <c r="B8" s="9" t="s">
        <v>14</v>
      </c>
      <c r="C8" s="8">
        <v>746</v>
      </c>
      <c r="D8" s="8"/>
      <c r="E8" s="8">
        <v>2024</v>
      </c>
      <c r="F8" s="10" t="s">
        <v>9</v>
      </c>
      <c r="G8" s="2">
        <v>783</v>
      </c>
      <c r="H8" s="3">
        <f t="shared" si="0"/>
        <v>0</v>
      </c>
    </row>
    <row r="9" spans="1:8" ht="27.75" customHeight="1">
      <c r="A9" s="8">
        <v>7</v>
      </c>
      <c r="B9" s="9" t="s">
        <v>15</v>
      </c>
      <c r="C9" s="8">
        <v>746</v>
      </c>
      <c r="D9" s="8"/>
      <c r="E9" s="8">
        <v>2025</v>
      </c>
      <c r="F9" s="10" t="s">
        <v>9</v>
      </c>
      <c r="G9" s="2">
        <v>783</v>
      </c>
      <c r="H9" s="3">
        <f t="shared" si="0"/>
        <v>0</v>
      </c>
    </row>
    <row r="10" spans="1:8" ht="27.75" customHeight="1">
      <c r="A10" s="8">
        <v>7</v>
      </c>
      <c r="B10" s="9" t="s">
        <v>16</v>
      </c>
      <c r="C10" s="8">
        <v>746</v>
      </c>
      <c r="D10" s="8"/>
      <c r="E10" s="8">
        <v>2025</v>
      </c>
      <c r="F10" s="10" t="s">
        <v>9</v>
      </c>
      <c r="G10" s="2">
        <v>783</v>
      </c>
      <c r="H10" s="3">
        <f t="shared" si="0"/>
        <v>0</v>
      </c>
    </row>
    <row r="11" spans="1:8" ht="27.75" customHeight="1">
      <c r="A11" s="8">
        <v>7</v>
      </c>
      <c r="B11" s="9" t="s">
        <v>17</v>
      </c>
      <c r="C11" s="8">
        <v>746</v>
      </c>
      <c r="D11" s="8"/>
      <c r="E11" s="8">
        <v>2025</v>
      </c>
      <c r="F11" s="10" t="s">
        <v>9</v>
      </c>
      <c r="G11" s="2">
        <v>783</v>
      </c>
      <c r="H11" s="3">
        <f t="shared" si="0"/>
        <v>0</v>
      </c>
    </row>
    <row r="12" spans="1:8" ht="27.75" customHeight="1">
      <c r="A12" s="5"/>
      <c r="B12" s="5"/>
      <c r="C12" s="6"/>
      <c r="D12" s="6"/>
      <c r="E12" s="6"/>
      <c r="F12" s="5"/>
      <c r="G12" s="5"/>
      <c r="H12" s="5"/>
    </row>
    <row r="13" spans="1:8" ht="27.75" customHeight="1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27.7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7.75" customHeight="1">
      <c r="A15" s="8">
        <v>8</v>
      </c>
      <c r="B15" s="9" t="s">
        <v>11</v>
      </c>
      <c r="C15" s="8">
        <v>746</v>
      </c>
      <c r="D15" s="8"/>
      <c r="E15" s="8">
        <v>2025</v>
      </c>
      <c r="F15" s="10" t="s">
        <v>9</v>
      </c>
      <c r="G15" s="2">
        <v>755</v>
      </c>
      <c r="H15" s="3">
        <f t="shared" si="3"/>
        <v>0</v>
      </c>
    </row>
    <row r="16" spans="1:8" ht="27.75" customHeight="1">
      <c r="A16" s="8">
        <v>8</v>
      </c>
      <c r="B16" s="9" t="s">
        <v>12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7.75" customHeight="1">
      <c r="A17" s="8">
        <v>8</v>
      </c>
      <c r="B17" s="9" t="s">
        <v>18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7.75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27.75" customHeight="1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27.75" customHeight="1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7.75" customHeight="1">
      <c r="A21" s="8">
        <v>8</v>
      </c>
      <c r="B21" s="9" t="s">
        <v>17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7.75" customHeight="1">
      <c r="A22" s="5"/>
      <c r="B22" s="5"/>
      <c r="C22" s="6"/>
      <c r="D22" s="6"/>
      <c r="E22" s="6"/>
      <c r="F22" s="5"/>
      <c r="G22" s="5"/>
      <c r="H22" s="5"/>
    </row>
    <row r="23" spans="1:8" ht="27.75" customHeight="1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.75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27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27.75" customHeight="1">
      <c r="A26" s="8">
        <v>9</v>
      </c>
      <c r="B26" s="9" t="s">
        <v>12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27.75" customHeight="1">
      <c r="A27" s="8">
        <v>9</v>
      </c>
      <c r="B27" s="9" t="s">
        <v>18</v>
      </c>
      <c r="C27" s="8">
        <v>656</v>
      </c>
      <c r="D27" s="8"/>
      <c r="E27" s="8">
        <v>2025</v>
      </c>
      <c r="F27" s="10" t="s">
        <v>9</v>
      </c>
      <c r="G27" s="2">
        <v>670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27.75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39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27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40.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38.2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47.2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3:E11 E13:E21 E23:E31 E33:E41 E43:E50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46" zoomScale="70" zoomScaleNormal="70" workbookViewId="0">
      <selection activeCell="X44" activeCellId="4" sqref="X4:X12 X14:X22 X24:X32 X34:X42 X44:X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s="5" customFormat="1" ht="19.149999999999999">
      <c r="J3" s="11"/>
      <c r="M3" s="4"/>
      <c r="N3" s="11"/>
      <c r="O3" s="11"/>
      <c r="P3" s="11"/>
      <c r="S3" s="4"/>
      <c r="T3" s="11"/>
      <c r="U3" s="11"/>
      <c r="V3" s="11"/>
      <c r="Y3" s="4"/>
      <c r="Z3" s="11"/>
      <c r="AA3" s="11"/>
    </row>
    <row r="4" spans="1:27" ht="19.5">
      <c r="A4" s="8">
        <v>7</v>
      </c>
      <c r="B4" s="9" t="s">
        <v>8</v>
      </c>
      <c r="C4" s="8">
        <v>746</v>
      </c>
      <c r="D4" s="10">
        <f>Table1[[#This Row],[Enrolment S.Y. 2025-2026 ]]*8</f>
        <v>5968</v>
      </c>
      <c r="E4" s="10"/>
      <c r="F4" s="8">
        <v>2025</v>
      </c>
      <c r="G4" s="10" t="s">
        <v>56</v>
      </c>
      <c r="H4" s="10">
        <v>270</v>
      </c>
      <c r="I4" s="10">
        <f t="shared" ref="I4:I18" si="0">IF((E4-D4)&lt;0,0,(E4-D4))</f>
        <v>0</v>
      </c>
      <c r="J4" s="10">
        <f>Table1[[#This Row],[Enrolment S.Y. 2025-2026 ]]*8</f>
        <v>5968</v>
      </c>
      <c r="K4" s="10"/>
      <c r="L4" s="8"/>
      <c r="M4" s="10"/>
      <c r="N4" s="10">
        <f t="shared" ref="N4:N10" si="1">IF((J4-K4)&lt;0,0,(J4-K4))</f>
        <v>5968</v>
      </c>
      <c r="O4" s="10">
        <f t="shared" ref="O4:O10" si="2">IF((K4-J4)&lt;0,0,(K4-J4))</f>
        <v>0</v>
      </c>
      <c r="P4" s="10">
        <f>Table1[[#This Row],[Enrolment S.Y. 2025-2026 ]]*8</f>
        <v>5968</v>
      </c>
      <c r="Q4" s="10"/>
      <c r="R4" s="8"/>
      <c r="S4" s="10"/>
      <c r="T4" s="10">
        <f t="shared" ref="T4:T10" si="3">IF((P4-Q4)&lt;0,0,(P4-Q4))</f>
        <v>5968</v>
      </c>
      <c r="U4" s="10">
        <f t="shared" ref="U4:U10" si="4">IF((Q4-P4)&lt;0,0,(Q4-P4))</f>
        <v>0</v>
      </c>
      <c r="V4" s="10">
        <f>Table1[[#This Row],[Enrolment S.Y. 2025-2026 ]]*8</f>
        <v>5968</v>
      </c>
      <c r="W4" s="10"/>
      <c r="X4" s="8"/>
      <c r="Y4" s="10"/>
      <c r="Z4" s="10">
        <f t="shared" ref="Z4:Z10" si="5">IF((V4-W4)&lt;0,0,(V4-W4))</f>
        <v>5968</v>
      </c>
      <c r="AA4" s="10">
        <f t="shared" ref="AA4:AA10" si="6">IF((W4-V4)&lt;0,0,(W4-V4))</f>
        <v>0</v>
      </c>
    </row>
    <row r="5" spans="1:27" ht="19.5">
      <c r="A5" s="8">
        <v>7</v>
      </c>
      <c r="B5" s="9" t="s">
        <v>10</v>
      </c>
      <c r="C5" s="8">
        <v>746</v>
      </c>
      <c r="D5" s="10">
        <f>Table1[[#This Row],[Enrolment S.Y. 2025-2026 ]]*8</f>
        <v>5968</v>
      </c>
      <c r="E5" s="10"/>
      <c r="F5" s="8">
        <v>2025</v>
      </c>
      <c r="G5" s="10" t="s">
        <v>56</v>
      </c>
      <c r="H5" s="10">
        <v>270</v>
      </c>
      <c r="I5" s="10">
        <f t="shared" si="0"/>
        <v>0</v>
      </c>
      <c r="J5" s="10">
        <f>Table1[[#This Row],[Enrolment S.Y. 2025-2026 ]]*8</f>
        <v>5968</v>
      </c>
      <c r="K5" s="10"/>
      <c r="L5" s="8"/>
      <c r="M5" s="10"/>
      <c r="N5" s="10">
        <f t="shared" si="1"/>
        <v>5968</v>
      </c>
      <c r="O5" s="10">
        <f t="shared" si="2"/>
        <v>0</v>
      </c>
      <c r="P5" s="10">
        <f>Table1[[#This Row],[Enrolment S.Y. 2025-2026 ]]*8</f>
        <v>5968</v>
      </c>
      <c r="Q5" s="10"/>
      <c r="R5" s="8"/>
      <c r="S5" s="10"/>
      <c r="T5" s="10">
        <f t="shared" si="3"/>
        <v>5968</v>
      </c>
      <c r="U5" s="10">
        <f t="shared" si="4"/>
        <v>0</v>
      </c>
      <c r="V5" s="10">
        <f>Table1[[#This Row],[Enrolment S.Y. 2025-2026 ]]*8</f>
        <v>5968</v>
      </c>
      <c r="W5" s="10"/>
      <c r="X5" s="8"/>
      <c r="Y5" s="10"/>
      <c r="Z5" s="10">
        <f t="shared" si="5"/>
        <v>5968</v>
      </c>
      <c r="AA5" s="10">
        <f t="shared" si="6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10" si="7">IF((D6-E6)&lt;0,0,(D6-E6))</f>
        <v>0</v>
      </c>
      <c r="I6" s="10">
        <f t="shared" si="0"/>
        <v>0</v>
      </c>
      <c r="J6" s="10">
        <f>Table1[[#This Row],[Enrolment S.Y. 2025-2026 ]]*8</f>
        <v>0</v>
      </c>
      <c r="K6" s="10"/>
      <c r="L6" s="8"/>
      <c r="M6" s="10"/>
      <c r="N6" s="10">
        <f t="shared" si="1"/>
        <v>0</v>
      </c>
      <c r="O6" s="10">
        <f t="shared" si="2"/>
        <v>0</v>
      </c>
      <c r="P6" s="10">
        <f>Table1[[#This Row],[Enrolment S.Y. 2025-2026 ]]*8</f>
        <v>0</v>
      </c>
      <c r="Q6" s="10"/>
      <c r="R6" s="8"/>
      <c r="S6" s="10"/>
      <c r="T6" s="10">
        <f t="shared" si="3"/>
        <v>0</v>
      </c>
      <c r="U6" s="10">
        <f t="shared" si="4"/>
        <v>0</v>
      </c>
      <c r="V6" s="10">
        <f>Table1[[#This Row],[Enrolment S.Y. 2025-2026 ]]*8</f>
        <v>0</v>
      </c>
      <c r="W6" s="10"/>
      <c r="X6" s="8"/>
      <c r="Y6" s="10"/>
      <c r="Z6" s="10">
        <f t="shared" si="5"/>
        <v>0</v>
      </c>
      <c r="AA6" s="10">
        <f t="shared" si="6"/>
        <v>0</v>
      </c>
    </row>
    <row r="7" spans="1:27" ht="19.5">
      <c r="A7" s="8">
        <v>7</v>
      </c>
      <c r="B7" s="9" t="s">
        <v>12</v>
      </c>
      <c r="C7" s="8">
        <v>746</v>
      </c>
      <c r="D7" s="10">
        <f>Table1[[#This Row],[Enrolment S.Y. 2025-2026 ]]*8</f>
        <v>5968</v>
      </c>
      <c r="E7" s="10"/>
      <c r="F7" s="8">
        <v>2025</v>
      </c>
      <c r="G7" s="10" t="s">
        <v>56</v>
      </c>
      <c r="H7" s="10">
        <v>270</v>
      </c>
      <c r="I7" s="10">
        <f t="shared" si="0"/>
        <v>0</v>
      </c>
      <c r="J7" s="10">
        <f>Table1[[#This Row],[Enrolment S.Y. 2025-2026 ]]*8</f>
        <v>5968</v>
      </c>
      <c r="K7" s="10"/>
      <c r="L7" s="8"/>
      <c r="M7" s="10"/>
      <c r="N7" s="10">
        <f t="shared" si="1"/>
        <v>5968</v>
      </c>
      <c r="O7" s="10">
        <f t="shared" si="2"/>
        <v>0</v>
      </c>
      <c r="P7" s="10">
        <f>Table1[[#This Row],[Enrolment S.Y. 2025-2026 ]]*8</f>
        <v>5968</v>
      </c>
      <c r="Q7" s="10"/>
      <c r="R7" s="8"/>
      <c r="S7" s="10"/>
      <c r="T7" s="10">
        <f t="shared" si="3"/>
        <v>5968</v>
      </c>
      <c r="U7" s="10">
        <f t="shared" si="4"/>
        <v>0</v>
      </c>
      <c r="V7" s="10">
        <f>Table1[[#This Row],[Enrolment S.Y. 2025-2026 ]]*8</f>
        <v>5968</v>
      </c>
      <c r="W7" s="10"/>
      <c r="X7" s="8"/>
      <c r="Y7" s="10"/>
      <c r="Z7" s="10">
        <f t="shared" si="5"/>
        <v>5968</v>
      </c>
      <c r="AA7" s="10">
        <f t="shared" si="6"/>
        <v>0</v>
      </c>
    </row>
    <row r="8" spans="1:27" ht="38.25">
      <c r="A8" s="8">
        <v>7</v>
      </c>
      <c r="B8" s="9" t="s">
        <v>13</v>
      </c>
      <c r="C8" s="8">
        <v>746</v>
      </c>
      <c r="D8" s="10">
        <f>Table1[[#This Row],[Enrolment S.Y. 2025-2026 ]]*8</f>
        <v>5968</v>
      </c>
      <c r="E8" s="10"/>
      <c r="F8" s="8">
        <v>2025</v>
      </c>
      <c r="G8" s="10" t="s">
        <v>56</v>
      </c>
      <c r="H8" s="10">
        <v>270</v>
      </c>
      <c r="I8" s="10">
        <f t="shared" si="0"/>
        <v>0</v>
      </c>
      <c r="J8" s="10">
        <f>Table1[[#This Row],[Enrolment S.Y. 2025-2026 ]]*8</f>
        <v>5968</v>
      </c>
      <c r="K8" s="10"/>
      <c r="L8" s="8"/>
      <c r="M8" s="10"/>
      <c r="N8" s="10">
        <f t="shared" si="1"/>
        <v>5968</v>
      </c>
      <c r="O8" s="10">
        <f t="shared" si="2"/>
        <v>0</v>
      </c>
      <c r="P8" s="10">
        <f>Table1[[#This Row],[Enrolment S.Y. 2025-2026 ]]*8</f>
        <v>5968</v>
      </c>
      <c r="Q8" s="10"/>
      <c r="R8" s="8"/>
      <c r="S8" s="10"/>
      <c r="T8" s="10">
        <f t="shared" si="3"/>
        <v>5968</v>
      </c>
      <c r="U8" s="10">
        <f t="shared" si="4"/>
        <v>0</v>
      </c>
      <c r="V8" s="10">
        <f>Table1[[#This Row],[Enrolment S.Y. 2025-2026 ]]*8</f>
        <v>5968</v>
      </c>
      <c r="W8" s="10"/>
      <c r="X8" s="8"/>
      <c r="Y8" s="10"/>
      <c r="Z8" s="10">
        <f t="shared" si="5"/>
        <v>5968</v>
      </c>
      <c r="AA8" s="10">
        <f t="shared" si="6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7"/>
        <v>0</v>
      </c>
      <c r="I9" s="10">
        <f t="shared" si="0"/>
        <v>0</v>
      </c>
      <c r="J9" s="10">
        <f>Table1[[#This Row],[Enrolment S.Y. 2025-2026 ]]*8</f>
        <v>0</v>
      </c>
      <c r="K9" s="10"/>
      <c r="L9" s="8"/>
      <c r="M9" s="10"/>
      <c r="N9" s="10">
        <f t="shared" si="1"/>
        <v>0</v>
      </c>
      <c r="O9" s="10">
        <f t="shared" si="2"/>
        <v>0</v>
      </c>
      <c r="P9" s="10">
        <f>Table1[[#This Row],[Enrolment S.Y. 2025-2026 ]]*8</f>
        <v>0</v>
      </c>
      <c r="Q9" s="10"/>
      <c r="R9" s="8"/>
      <c r="S9" s="10"/>
      <c r="T9" s="10">
        <f t="shared" si="3"/>
        <v>0</v>
      </c>
      <c r="U9" s="10">
        <f t="shared" si="4"/>
        <v>0</v>
      </c>
      <c r="V9" s="10">
        <f>Table1[[#This Row],[Enrolment S.Y. 2025-2026 ]]*8</f>
        <v>0</v>
      </c>
      <c r="W9" s="10"/>
      <c r="X9" s="8"/>
      <c r="Y9" s="10"/>
      <c r="Z9" s="10">
        <f t="shared" si="5"/>
        <v>0</v>
      </c>
      <c r="AA9" s="10">
        <f t="shared" si="6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7"/>
        <v>0</v>
      </c>
      <c r="I10" s="10">
        <f t="shared" si="0"/>
        <v>0</v>
      </c>
      <c r="J10" s="10">
        <f>Table1[[#This Row],[Enrolment S.Y. 2025-2026 ]]*8</f>
        <v>0</v>
      </c>
      <c r="K10" s="10"/>
      <c r="L10" s="8"/>
      <c r="M10" s="10"/>
      <c r="N10" s="10">
        <f t="shared" si="1"/>
        <v>0</v>
      </c>
      <c r="O10" s="10">
        <f t="shared" si="2"/>
        <v>0</v>
      </c>
      <c r="P10" s="10">
        <f>Table1[[#This Row],[Enrolment S.Y. 2025-2026 ]]*8</f>
        <v>0</v>
      </c>
      <c r="Q10" s="10"/>
      <c r="R10" s="8"/>
      <c r="S10" s="10"/>
      <c r="T10" s="10">
        <f t="shared" si="3"/>
        <v>0</v>
      </c>
      <c r="U10" s="10">
        <f t="shared" si="4"/>
        <v>0</v>
      </c>
      <c r="V10" s="10">
        <f>Table1[[#This Row],[Enrolment S.Y. 2025-2026 ]]*8</f>
        <v>0</v>
      </c>
      <c r="W10" s="10"/>
      <c r="X10" s="8"/>
      <c r="Y10" s="10"/>
      <c r="Z10" s="10">
        <f t="shared" si="5"/>
        <v>0</v>
      </c>
      <c r="AA10" s="10">
        <f t="shared" si="6"/>
        <v>0</v>
      </c>
    </row>
    <row r="11" spans="1:27" ht="19.5">
      <c r="A11" s="8">
        <v>7</v>
      </c>
      <c r="B11" s="9" t="s">
        <v>16</v>
      </c>
      <c r="C11" s="8">
        <v>746</v>
      </c>
      <c r="D11" s="10">
        <f>Table1[[#This Row],[Enrolment S.Y. 2025-2026 ]]*8</f>
        <v>5968</v>
      </c>
      <c r="E11" s="10"/>
      <c r="F11" s="8">
        <v>2025</v>
      </c>
      <c r="G11" s="10" t="s">
        <v>56</v>
      </c>
      <c r="H11" s="10">
        <v>270</v>
      </c>
      <c r="I11" s="10">
        <f t="shared" si="0"/>
        <v>0</v>
      </c>
      <c r="J11" s="10">
        <f>Table1[[#This Row],[Enrolment S.Y. 2025-2026 ]]*8</f>
        <v>5968</v>
      </c>
      <c r="K11" s="10"/>
      <c r="L11" s="8"/>
      <c r="M11" s="10"/>
      <c r="N11" s="10">
        <f t="shared" ref="N11:N67" si="8">IF((J11-K11)&lt;0,0,(J11-K11))</f>
        <v>5968</v>
      </c>
      <c r="O11" s="10">
        <f t="shared" ref="O11:O67" si="9">IF((K11-J11)&lt;0,0,(K11-J11))</f>
        <v>0</v>
      </c>
      <c r="P11" s="10">
        <f>Table1[[#This Row],[Enrolment S.Y. 2025-2026 ]]*8</f>
        <v>5968</v>
      </c>
      <c r="Q11" s="10"/>
      <c r="R11" s="8"/>
      <c r="S11" s="10"/>
      <c r="T11" s="10">
        <f t="shared" ref="T11:T68" si="10">IF((P11-Q11)&lt;0,0,(P11-Q11))</f>
        <v>5968</v>
      </c>
      <c r="U11" s="10">
        <f t="shared" ref="U11:U68" si="11">IF((Q11-P11)&lt;0,0,(Q11-P11))</f>
        <v>0</v>
      </c>
      <c r="V11" s="10">
        <f>Table1[[#This Row],[Enrolment S.Y. 2025-2026 ]]*8</f>
        <v>5968</v>
      </c>
      <c r="W11" s="10"/>
      <c r="X11" s="8"/>
      <c r="Y11" s="10"/>
      <c r="Z11" s="10">
        <f t="shared" ref="Z11:Z68" si="12">IF((V11-W11)&lt;0,0,(V11-W11))</f>
        <v>5968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746</v>
      </c>
      <c r="D12" s="10">
        <f>Table1[[#This Row],[Enrolment S.Y. 2025-2026 ]]*8</f>
        <v>5968</v>
      </c>
      <c r="E12" s="10"/>
      <c r="F12" s="8">
        <v>2025</v>
      </c>
      <c r="G12" s="10" t="s">
        <v>56</v>
      </c>
      <c r="H12" s="10">
        <v>270</v>
      </c>
      <c r="I12" s="10">
        <f t="shared" si="0"/>
        <v>0</v>
      </c>
      <c r="J12" s="10">
        <f>Table1[[#This Row],[Enrolment S.Y. 2025-2026 ]]*8</f>
        <v>5968</v>
      </c>
      <c r="K12" s="10"/>
      <c r="L12" s="8"/>
      <c r="M12" s="10"/>
      <c r="N12" s="10">
        <f t="shared" si="8"/>
        <v>5968</v>
      </c>
      <c r="O12" s="10">
        <f t="shared" si="9"/>
        <v>0</v>
      </c>
      <c r="P12" s="10">
        <f>Table1[[#This Row],[Enrolment S.Y. 2025-2026 ]]*8</f>
        <v>5968</v>
      </c>
      <c r="Q12" s="10"/>
      <c r="R12" s="8"/>
      <c r="S12" s="10"/>
      <c r="T12" s="10">
        <f t="shared" si="10"/>
        <v>5968</v>
      </c>
      <c r="U12" s="10">
        <f t="shared" si="11"/>
        <v>0</v>
      </c>
      <c r="V12" s="10">
        <f>Table1[[#This Row],[Enrolment S.Y. 2025-2026 ]]*8</f>
        <v>5968</v>
      </c>
      <c r="W12" s="10"/>
      <c r="X12" s="8"/>
      <c r="Y12" s="10"/>
      <c r="Z12" s="10">
        <f t="shared" si="12"/>
        <v>5968</v>
      </c>
      <c r="AA12" s="10">
        <f t="shared" si="13"/>
        <v>0</v>
      </c>
    </row>
    <row r="13" spans="1:27" s="5" customFormat="1" ht="19.149999999999999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654</v>
      </c>
      <c r="D14" s="10">
        <f>Table1[[#This Row],[Enrolment S.Y. 2025-2026 ]]*8</f>
        <v>5232</v>
      </c>
      <c r="E14" s="10"/>
      <c r="F14" s="8">
        <v>2025</v>
      </c>
      <c r="G14" s="10" t="s">
        <v>56</v>
      </c>
      <c r="H14" s="10">
        <v>86</v>
      </c>
      <c r="I14" s="10">
        <f t="shared" si="0"/>
        <v>0</v>
      </c>
      <c r="J14" s="10">
        <f>Table1[[#This Row],[Enrolment S.Y. 2025-2026 ]]*8</f>
        <v>5232</v>
      </c>
      <c r="K14" s="10"/>
      <c r="L14" s="8"/>
      <c r="M14" s="10"/>
      <c r="N14" s="10">
        <f t="shared" si="8"/>
        <v>5232</v>
      </c>
      <c r="O14" s="10">
        <f t="shared" si="9"/>
        <v>0</v>
      </c>
      <c r="P14" s="10">
        <f>Table1[[#This Row],[Enrolment S.Y. 2025-2026 ]]*8</f>
        <v>5232</v>
      </c>
      <c r="Q14" s="10"/>
      <c r="R14" s="8"/>
      <c r="S14" s="10"/>
      <c r="T14" s="10">
        <f t="shared" si="10"/>
        <v>5232</v>
      </c>
      <c r="U14" s="10">
        <f t="shared" si="11"/>
        <v>0</v>
      </c>
      <c r="V14" s="10">
        <f>Table1[[#This Row],[Enrolment S.Y. 2025-2026 ]]*8</f>
        <v>5232</v>
      </c>
      <c r="W14" s="10"/>
      <c r="X14" s="8"/>
      <c r="Y14" s="10"/>
      <c r="Z14" s="10">
        <f t="shared" si="12"/>
        <v>5232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654</v>
      </c>
      <c r="D15" s="10">
        <f>Table1[[#This Row],[Enrolment S.Y. 2025-2026 ]]*8</f>
        <v>5232</v>
      </c>
      <c r="E15" s="10"/>
      <c r="F15" s="8">
        <v>2025</v>
      </c>
      <c r="G15" s="10" t="s">
        <v>56</v>
      </c>
      <c r="H15" s="10">
        <v>86</v>
      </c>
      <c r="I15" s="10">
        <f t="shared" si="0"/>
        <v>0</v>
      </c>
      <c r="J15" s="10">
        <f>Table1[[#This Row],[Enrolment S.Y. 2025-2026 ]]*8</f>
        <v>5232</v>
      </c>
      <c r="K15" s="10"/>
      <c r="L15" s="8"/>
      <c r="M15" s="10"/>
      <c r="N15" s="10">
        <f t="shared" si="8"/>
        <v>5232</v>
      </c>
      <c r="O15" s="10">
        <f t="shared" si="9"/>
        <v>0</v>
      </c>
      <c r="P15" s="10">
        <f>Table1[[#This Row],[Enrolment S.Y. 2025-2026 ]]*8</f>
        <v>5232</v>
      </c>
      <c r="Q15" s="10"/>
      <c r="R15" s="8"/>
      <c r="S15" s="10"/>
      <c r="T15" s="10">
        <f t="shared" si="10"/>
        <v>5232</v>
      </c>
      <c r="U15" s="10">
        <f t="shared" si="11"/>
        <v>0</v>
      </c>
      <c r="V15" s="10">
        <f>Table1[[#This Row],[Enrolment S.Y. 2025-2026 ]]*8</f>
        <v>5232</v>
      </c>
      <c r="W15" s="10"/>
      <c r="X15" s="8"/>
      <c r="Y15" s="10"/>
      <c r="Z15" s="10">
        <f t="shared" si="12"/>
        <v>5232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654</v>
      </c>
      <c r="D16" s="10">
        <f>Table1[[#This Row],[Enrolment S.Y. 2025-2026 ]]*8</f>
        <v>5232</v>
      </c>
      <c r="E16" s="10"/>
      <c r="F16" s="8">
        <v>2025</v>
      </c>
      <c r="G16" s="10" t="s">
        <v>56</v>
      </c>
      <c r="H16" s="10">
        <v>86</v>
      </c>
      <c r="I16" s="10">
        <f t="shared" si="0"/>
        <v>0</v>
      </c>
      <c r="J16" s="10">
        <f>Table1[[#This Row],[Enrolment S.Y. 2025-2026 ]]*8</f>
        <v>5232</v>
      </c>
      <c r="K16" s="10"/>
      <c r="L16" s="8"/>
      <c r="M16" s="10"/>
      <c r="N16" s="10">
        <f t="shared" si="8"/>
        <v>5232</v>
      </c>
      <c r="O16" s="10">
        <f t="shared" si="9"/>
        <v>0</v>
      </c>
      <c r="P16" s="10">
        <f>Table1[[#This Row],[Enrolment S.Y. 2025-2026 ]]*8</f>
        <v>5232</v>
      </c>
      <c r="Q16" s="10"/>
      <c r="R16" s="8"/>
      <c r="S16" s="10"/>
      <c r="T16" s="10">
        <f t="shared" si="10"/>
        <v>5232</v>
      </c>
      <c r="U16" s="10">
        <f t="shared" si="11"/>
        <v>0</v>
      </c>
      <c r="V16" s="10">
        <f>Table1[[#This Row],[Enrolment S.Y. 2025-2026 ]]*8</f>
        <v>5232</v>
      </c>
      <c r="W16" s="10"/>
      <c r="X16" s="8"/>
      <c r="Y16" s="10"/>
      <c r="Z16" s="10">
        <f t="shared" si="12"/>
        <v>5232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654</v>
      </c>
      <c r="D17" s="10">
        <f>Table1[[#This Row],[Enrolment S.Y. 2025-2026 ]]*8</f>
        <v>5232</v>
      </c>
      <c r="E17" s="10"/>
      <c r="F17" s="8">
        <v>2025</v>
      </c>
      <c r="G17" s="10" t="s">
        <v>56</v>
      </c>
      <c r="H17" s="10">
        <v>86</v>
      </c>
      <c r="I17" s="10">
        <f t="shared" si="0"/>
        <v>0</v>
      </c>
      <c r="J17" s="10">
        <f>Table1[[#This Row],[Enrolment S.Y. 2025-2026 ]]*8</f>
        <v>5232</v>
      </c>
      <c r="K17" s="10"/>
      <c r="L17" s="8"/>
      <c r="M17" s="10"/>
      <c r="N17" s="10">
        <f t="shared" si="8"/>
        <v>5232</v>
      </c>
      <c r="O17" s="10">
        <f t="shared" si="9"/>
        <v>0</v>
      </c>
      <c r="P17" s="10">
        <f>Table1[[#This Row],[Enrolment S.Y. 2025-2026 ]]*8</f>
        <v>5232</v>
      </c>
      <c r="Q17" s="10"/>
      <c r="R17" s="8"/>
      <c r="S17" s="10"/>
      <c r="T17" s="10">
        <f t="shared" si="10"/>
        <v>5232</v>
      </c>
      <c r="U17" s="10">
        <f t="shared" si="11"/>
        <v>0</v>
      </c>
      <c r="V17" s="10">
        <f>Table1[[#This Row],[Enrolment S.Y. 2025-2026 ]]*8</f>
        <v>5232</v>
      </c>
      <c r="W17" s="10"/>
      <c r="X17" s="8"/>
      <c r="Y17" s="10"/>
      <c r="Z17" s="10">
        <f t="shared" si="12"/>
        <v>5232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654</v>
      </c>
      <c r="D18" s="10">
        <f>Table1[[#This Row],[Enrolment S.Y. 2025-2026 ]]*8</f>
        <v>5232</v>
      </c>
      <c r="E18" s="10"/>
      <c r="F18" s="8">
        <v>2025</v>
      </c>
      <c r="G18" s="10" t="s">
        <v>56</v>
      </c>
      <c r="H18" s="10">
        <v>86</v>
      </c>
      <c r="I18" s="10">
        <f t="shared" si="0"/>
        <v>0</v>
      </c>
      <c r="J18" s="10">
        <f>Table1[[#This Row],[Enrolment S.Y. 2025-2026 ]]*8</f>
        <v>5232</v>
      </c>
      <c r="K18" s="10"/>
      <c r="L18" s="8"/>
      <c r="M18" s="10"/>
      <c r="N18" s="10">
        <f t="shared" si="8"/>
        <v>5232</v>
      </c>
      <c r="O18" s="10">
        <f t="shared" si="9"/>
        <v>0</v>
      </c>
      <c r="P18" s="10">
        <f>Table1[[#This Row],[Enrolment S.Y. 2025-2026 ]]*8</f>
        <v>5232</v>
      </c>
      <c r="Q18" s="10"/>
      <c r="R18" s="8"/>
      <c r="S18" s="10"/>
      <c r="T18" s="10">
        <f t="shared" si="10"/>
        <v>5232</v>
      </c>
      <c r="U18" s="10">
        <f t="shared" si="11"/>
        <v>0</v>
      </c>
      <c r="V18" s="10">
        <f>Table1[[#This Row],[Enrolment S.Y. 2025-2026 ]]*8</f>
        <v>5232</v>
      </c>
      <c r="W18" s="10"/>
      <c r="X18" s="8"/>
      <c r="Y18" s="10"/>
      <c r="Z18" s="10">
        <f t="shared" si="12"/>
        <v>5232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654</v>
      </c>
      <c r="D19" s="10">
        <f>Table1[[#This Row],[Enrolment S.Y. 2025-2026 ]]*8</f>
        <v>5232</v>
      </c>
      <c r="E19" s="10"/>
      <c r="F19" s="8">
        <v>2025</v>
      </c>
      <c r="G19" s="10" t="s">
        <v>56</v>
      </c>
      <c r="H19" s="10">
        <v>86</v>
      </c>
      <c r="I19" s="10">
        <f t="shared" ref="I19:I68" si="14">IF((E19-D19)&lt;0,0,(E19-D19))</f>
        <v>0</v>
      </c>
      <c r="J19" s="10">
        <f>Table1[[#This Row],[Enrolment S.Y. 2025-2026 ]]*8</f>
        <v>5232</v>
      </c>
      <c r="K19" s="10"/>
      <c r="L19" s="8"/>
      <c r="M19" s="10"/>
      <c r="N19" s="10">
        <f t="shared" si="8"/>
        <v>5232</v>
      </c>
      <c r="O19" s="10">
        <f t="shared" si="9"/>
        <v>0</v>
      </c>
      <c r="P19" s="10">
        <f>Table1[[#This Row],[Enrolment S.Y. 2025-2026 ]]*8</f>
        <v>5232</v>
      </c>
      <c r="Q19" s="10"/>
      <c r="R19" s="8"/>
      <c r="S19" s="10"/>
      <c r="T19" s="10">
        <f t="shared" si="10"/>
        <v>5232</v>
      </c>
      <c r="U19" s="10">
        <f t="shared" si="11"/>
        <v>0</v>
      </c>
      <c r="V19" s="10">
        <f>Table1[[#This Row],[Enrolment S.Y. 2025-2026 ]]*8</f>
        <v>5232</v>
      </c>
      <c r="W19" s="10"/>
      <c r="X19" s="8"/>
      <c r="Y19" s="10"/>
      <c r="Z19" s="10">
        <f t="shared" si="12"/>
        <v>5232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654</v>
      </c>
      <c r="D20" s="10">
        <f>Table1[[#This Row],[Enrolment S.Y. 2025-2026 ]]*8</f>
        <v>5232</v>
      </c>
      <c r="E20" s="10"/>
      <c r="F20" s="8">
        <v>2025</v>
      </c>
      <c r="G20" s="10" t="s">
        <v>56</v>
      </c>
      <c r="H20" s="10">
        <v>86</v>
      </c>
      <c r="I20" s="10">
        <f t="shared" si="14"/>
        <v>0</v>
      </c>
      <c r="J20" s="10">
        <f>Table1[[#This Row],[Enrolment S.Y. 2025-2026 ]]*8</f>
        <v>5232</v>
      </c>
      <c r="K20" s="10"/>
      <c r="L20" s="8"/>
      <c r="M20" s="10"/>
      <c r="N20" s="10">
        <f t="shared" si="8"/>
        <v>5232</v>
      </c>
      <c r="O20" s="10">
        <f t="shared" si="9"/>
        <v>0</v>
      </c>
      <c r="P20" s="10">
        <f>Table1[[#This Row],[Enrolment S.Y. 2025-2026 ]]*8</f>
        <v>5232</v>
      </c>
      <c r="Q20" s="10"/>
      <c r="R20" s="8"/>
      <c r="S20" s="10"/>
      <c r="T20" s="10">
        <f t="shared" si="10"/>
        <v>5232</v>
      </c>
      <c r="U20" s="10">
        <f t="shared" si="11"/>
        <v>0</v>
      </c>
      <c r="V20" s="10">
        <f>Table1[[#This Row],[Enrolment S.Y. 2025-2026 ]]*8</f>
        <v>5232</v>
      </c>
      <c r="W20" s="10"/>
      <c r="X20" s="8"/>
      <c r="Y20" s="10"/>
      <c r="Z20" s="10">
        <f t="shared" si="12"/>
        <v>5232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654</v>
      </c>
      <c r="D21" s="10">
        <f>Table1[[#This Row],[Enrolment S.Y. 2025-2026 ]]*8</f>
        <v>5232</v>
      </c>
      <c r="E21" s="10"/>
      <c r="F21" s="8">
        <v>2025</v>
      </c>
      <c r="G21" s="10" t="s">
        <v>56</v>
      </c>
      <c r="H21" s="10">
        <v>86</v>
      </c>
      <c r="I21" s="10">
        <f t="shared" si="14"/>
        <v>0</v>
      </c>
      <c r="J21" s="10">
        <f>Table1[[#This Row],[Enrolment S.Y. 2025-2026 ]]*8</f>
        <v>5232</v>
      </c>
      <c r="K21" s="10"/>
      <c r="L21" s="8"/>
      <c r="M21" s="10"/>
      <c r="N21" s="10">
        <f t="shared" si="8"/>
        <v>5232</v>
      </c>
      <c r="O21" s="10">
        <f t="shared" si="9"/>
        <v>0</v>
      </c>
      <c r="P21" s="10">
        <f>Table1[[#This Row],[Enrolment S.Y. 2025-2026 ]]*8</f>
        <v>5232</v>
      </c>
      <c r="Q21" s="10"/>
      <c r="R21" s="8"/>
      <c r="S21" s="10"/>
      <c r="T21" s="10">
        <f t="shared" si="10"/>
        <v>5232</v>
      </c>
      <c r="U21" s="10">
        <f t="shared" si="11"/>
        <v>0</v>
      </c>
      <c r="V21" s="10">
        <f>Table1[[#This Row],[Enrolment S.Y. 2025-2026 ]]*8</f>
        <v>5232</v>
      </c>
      <c r="W21" s="10"/>
      <c r="X21" s="8"/>
      <c r="Y21" s="10"/>
      <c r="Z21" s="10">
        <f t="shared" si="12"/>
        <v>5232</v>
      </c>
      <c r="AA21" s="10">
        <f t="shared" si="13"/>
        <v>0</v>
      </c>
    </row>
    <row r="22" spans="1:27" ht="19.5">
      <c r="A22" s="8">
        <v>8</v>
      </c>
      <c r="B22" s="9" t="s">
        <v>17</v>
      </c>
      <c r="C22" s="8">
        <v>654</v>
      </c>
      <c r="D22" s="10">
        <f>Table1[[#This Row],[Enrolment S.Y. 2025-2026 ]]*8</f>
        <v>5232</v>
      </c>
      <c r="E22" s="10"/>
      <c r="F22" s="8">
        <v>2025</v>
      </c>
      <c r="G22" s="10" t="s">
        <v>56</v>
      </c>
      <c r="H22" s="10">
        <v>86</v>
      </c>
      <c r="I22" s="10">
        <f t="shared" si="14"/>
        <v>0</v>
      </c>
      <c r="J22" s="10">
        <f>Table1[[#This Row],[Enrolment S.Y. 2025-2026 ]]*8</f>
        <v>5232</v>
      </c>
      <c r="K22" s="10"/>
      <c r="L22" s="8"/>
      <c r="M22" s="10"/>
      <c r="N22" s="10">
        <f t="shared" si="8"/>
        <v>5232</v>
      </c>
      <c r="O22" s="10">
        <f t="shared" si="9"/>
        <v>0</v>
      </c>
      <c r="P22" s="10">
        <f>Table1[[#This Row],[Enrolment S.Y. 2025-2026 ]]*8</f>
        <v>5232</v>
      </c>
      <c r="Q22" s="10"/>
      <c r="R22" s="8"/>
      <c r="S22" s="10"/>
      <c r="T22" s="10">
        <f t="shared" si="10"/>
        <v>5232</v>
      </c>
      <c r="U22" s="10">
        <f t="shared" si="11"/>
        <v>0</v>
      </c>
      <c r="V22" s="10">
        <f>Table1[[#This Row],[Enrolment S.Y. 2025-2026 ]]*8</f>
        <v>5232</v>
      </c>
      <c r="W22" s="10"/>
      <c r="X22" s="8"/>
      <c r="Y22" s="10"/>
      <c r="Z22" s="10">
        <f t="shared" si="12"/>
        <v>5232</v>
      </c>
      <c r="AA22" s="10">
        <f t="shared" si="13"/>
        <v>0</v>
      </c>
    </row>
    <row r="23" spans="1:27" s="5" customFormat="1" ht="19.149999999999999">
      <c r="J23" s="11"/>
      <c r="M23" s="4"/>
      <c r="N23" s="11"/>
      <c r="O23" s="11"/>
      <c r="P23" s="11"/>
      <c r="S23" s="4"/>
      <c r="T23" s="11"/>
      <c r="U23" s="11"/>
      <c r="V23" s="11"/>
      <c r="Y23" s="4"/>
      <c r="Z23" s="11"/>
      <c r="AA23" s="11"/>
    </row>
    <row r="24" spans="1:27" ht="19.5">
      <c r="A24" s="8">
        <v>9</v>
      </c>
      <c r="B24" s="9" t="s">
        <v>8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ref="H19:H68" si="15">IF((D24-E24)&lt;0,0,(D24-E24))</f>
        <v>0</v>
      </c>
      <c r="I24" s="10">
        <f t="shared" si="14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5"/>
        <v>0</v>
      </c>
      <c r="I25" s="10">
        <f t="shared" si="14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5"/>
        <v>0</v>
      </c>
      <c r="I26" s="10">
        <f t="shared" si="14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5"/>
        <v>0</v>
      </c>
      <c r="I27" s="10">
        <f t="shared" si="14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5"/>
        <v>0</v>
      </c>
      <c r="I28" s="10">
        <f t="shared" si="14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5"/>
        <v>0</v>
      </c>
      <c r="I29" s="10">
        <f t="shared" si="14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5"/>
        <v>0</v>
      </c>
      <c r="I30" s="10">
        <f t="shared" si="14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5"/>
        <v>0</v>
      </c>
      <c r="I31" s="10">
        <f t="shared" si="14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5"/>
        <v>0</v>
      </c>
      <c r="I32" s="10">
        <f t="shared" si="14"/>
        <v>0</v>
      </c>
      <c r="J32" s="10">
        <f>Table1[[#This Row],[Enrolment S.Y. 2025-2026 ]]*8</f>
        <v>0</v>
      </c>
      <c r="K32" s="10"/>
      <c r="L32" s="8"/>
      <c r="M32" s="10"/>
      <c r="N32" s="10">
        <f t="shared" si="8"/>
        <v>0</v>
      </c>
      <c r="O32" s="10">
        <f t="shared" si="9"/>
        <v>0</v>
      </c>
      <c r="P32" s="10">
        <f>Table1[[#This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s="5" customFormat="1" ht="19.149999999999999">
      <c r="J33" s="11"/>
      <c r="M33" s="4"/>
      <c r="N33" s="11"/>
      <c r="O33" s="11"/>
      <c r="P33" s="11"/>
      <c r="S33" s="4"/>
      <c r="T33" s="11"/>
      <c r="U33" s="11"/>
      <c r="V33" s="11"/>
      <c r="Y33" s="4"/>
      <c r="Z33" s="11"/>
      <c r="AA33" s="11"/>
    </row>
    <row r="34" spans="1:27" ht="19.5">
      <c r="A34" s="8">
        <v>10</v>
      </c>
      <c r="B34" s="9" t="s">
        <v>8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ht="19.5">
      <c r="A42" s="8">
        <v>10</v>
      </c>
      <c r="B42" s="9" t="s">
        <v>17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s="5" customFormat="1" ht="19.149999999999999">
      <c r="J43" s="11"/>
      <c r="M43" s="4"/>
      <c r="N43" s="11"/>
      <c r="O43" s="11"/>
      <c r="P43" s="11"/>
      <c r="S43" s="4"/>
      <c r="T43" s="11"/>
      <c r="U43" s="11"/>
      <c r="V43" s="11"/>
      <c r="Y43" s="4"/>
      <c r="Z43" s="11"/>
      <c r="AA43" s="11"/>
    </row>
    <row r="44" spans="1:27" ht="38.450000000000003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5"/>
        <v>0</v>
      </c>
      <c r="I44" s="4">
        <f t="shared" si="14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149999999999999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5"/>
        <v>0</v>
      </c>
      <c r="I45" s="4">
        <f t="shared" si="14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149999999999999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5"/>
        <v>0</v>
      </c>
      <c r="I46" s="4">
        <f t="shared" si="14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149999999999999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5"/>
        <v>0</v>
      </c>
      <c r="I47" s="4">
        <f t="shared" si="14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450000000000003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5"/>
        <v>0</v>
      </c>
      <c r="I48" s="4">
        <f t="shared" si="14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19.149999999999999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5"/>
        <v>0</v>
      </c>
      <c r="I49" s="4">
        <f t="shared" si="14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450000000000003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5"/>
        <v>0</v>
      </c>
      <c r="I50" s="4">
        <f t="shared" si="14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450000000000003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5"/>
        <v>0</v>
      </c>
      <c r="I51" s="4">
        <f t="shared" si="14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149999999999999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/>
      <c r="I53" s="4"/>
      <c r="J53" s="4"/>
      <c r="K53" s="4"/>
      <c r="L53" s="1"/>
      <c r="M53" s="4"/>
      <c r="N53" s="4"/>
      <c r="O53" s="4"/>
      <c r="P53" s="4"/>
      <c r="Q53" s="4"/>
      <c r="R53" s="1"/>
      <c r="S53" s="4"/>
      <c r="T53" s="4"/>
      <c r="U53" s="4"/>
      <c r="V53" s="4"/>
      <c r="W53" s="4"/>
      <c r="X53" s="1"/>
      <c r="Y53" s="4"/>
      <c r="Z53" s="4"/>
      <c r="AA53" s="4"/>
    </row>
    <row r="54" spans="1:27" ht="19.5">
      <c r="A54" s="1"/>
      <c r="B54" s="7"/>
      <c r="C54" s="1"/>
      <c r="D54" s="4"/>
      <c r="E54" s="4"/>
      <c r="F54" s="1"/>
      <c r="G54" s="4"/>
      <c r="H54" s="4"/>
      <c r="I54" s="4"/>
      <c r="J54" s="4"/>
      <c r="K54" s="4"/>
      <c r="L54" s="1"/>
      <c r="M54" s="4"/>
      <c r="N54" s="4"/>
      <c r="O54" s="4"/>
      <c r="P54" s="4"/>
      <c r="Q54" s="4"/>
      <c r="R54" s="1"/>
      <c r="S54" s="4"/>
      <c r="T54" s="4"/>
      <c r="U54" s="4"/>
      <c r="V54" s="4"/>
      <c r="W54" s="4"/>
      <c r="X54" s="1"/>
      <c r="Y54" s="4"/>
      <c r="Z54" s="4"/>
      <c r="AA54" s="4"/>
    </row>
    <row r="55" spans="1:27" ht="19.5">
      <c r="A55" s="1"/>
      <c r="B55" s="7"/>
      <c r="C55" s="1"/>
      <c r="D55" s="4"/>
      <c r="E55" s="4"/>
      <c r="F55" s="1"/>
      <c r="G55" s="4"/>
      <c r="H55" s="4"/>
      <c r="I55" s="4"/>
      <c r="J55" s="4"/>
      <c r="K55" s="4"/>
      <c r="L55" s="1"/>
      <c r="M55" s="4"/>
      <c r="N55" s="4"/>
      <c r="O55" s="4"/>
      <c r="P55" s="4"/>
      <c r="Q55" s="4"/>
      <c r="R55" s="1"/>
      <c r="S55" s="4"/>
      <c r="T55" s="4"/>
      <c r="U55" s="4"/>
      <c r="V55" s="4"/>
      <c r="W55" s="4"/>
      <c r="X55" s="1"/>
      <c r="Y55" s="4"/>
      <c r="Z55" s="4"/>
      <c r="AA55" s="4"/>
    </row>
    <row r="56" spans="1:27" ht="19.5">
      <c r="A56" s="1"/>
      <c r="B56" s="7"/>
      <c r="C56" s="1"/>
      <c r="D56" s="4"/>
      <c r="E56" s="4"/>
      <c r="F56" s="1"/>
      <c r="G56" s="4"/>
      <c r="H56" s="4"/>
      <c r="I56" s="4"/>
      <c r="J56" s="4"/>
      <c r="K56" s="4"/>
      <c r="L56" s="1"/>
      <c r="M56" s="4"/>
      <c r="N56" s="4"/>
      <c r="O56" s="4"/>
      <c r="P56" s="4"/>
      <c r="Q56" s="4"/>
      <c r="R56" s="1"/>
      <c r="S56" s="4"/>
      <c r="T56" s="4"/>
      <c r="U56" s="4"/>
      <c r="V56" s="4"/>
      <c r="W56" s="4"/>
      <c r="X56" s="1"/>
      <c r="Y56" s="4"/>
      <c r="Z56" s="4"/>
      <c r="AA56" s="4"/>
    </row>
    <row r="57" spans="1:27" ht="19.5">
      <c r="A57" s="1"/>
      <c r="B57" s="7"/>
      <c r="C57" s="1"/>
      <c r="D57" s="4"/>
      <c r="E57" s="4"/>
      <c r="F57" s="1"/>
      <c r="G57" s="4"/>
      <c r="H57" s="4"/>
      <c r="I57" s="4"/>
      <c r="J57" s="4"/>
      <c r="K57" s="4"/>
      <c r="L57" s="1"/>
      <c r="M57" s="4"/>
      <c r="N57" s="4"/>
      <c r="O57" s="4"/>
      <c r="P57" s="4"/>
      <c r="Q57" s="4"/>
      <c r="R57" s="1"/>
      <c r="S57" s="4"/>
      <c r="T57" s="4"/>
      <c r="U57" s="4"/>
      <c r="V57" s="4"/>
      <c r="W57" s="4"/>
      <c r="X57" s="1"/>
      <c r="Y57" s="4"/>
      <c r="Z57" s="4"/>
      <c r="AA57" s="4"/>
    </row>
    <row r="58" spans="1:27" ht="19.5">
      <c r="A58" s="1"/>
      <c r="B58" s="7"/>
      <c r="C58" s="1"/>
      <c r="D58" s="4"/>
      <c r="E58" s="4"/>
      <c r="F58" s="1"/>
      <c r="G58" s="4"/>
      <c r="H58" s="4"/>
      <c r="I58" s="4"/>
      <c r="J58" s="4"/>
      <c r="K58" s="4"/>
      <c r="L58" s="1"/>
      <c r="M58" s="4"/>
      <c r="N58" s="4"/>
      <c r="O58" s="4"/>
      <c r="P58" s="4"/>
      <c r="Q58" s="4"/>
      <c r="R58" s="1"/>
      <c r="S58" s="4"/>
      <c r="T58" s="4"/>
      <c r="U58" s="4"/>
      <c r="V58" s="4"/>
      <c r="W58" s="4"/>
      <c r="X58" s="1"/>
      <c r="Y58" s="4"/>
      <c r="Z58" s="4"/>
      <c r="AA58" s="4"/>
    </row>
    <row r="59" spans="1:27" ht="19.5">
      <c r="A59" s="1"/>
      <c r="B59" s="7"/>
      <c r="C59" s="1"/>
      <c r="D59" s="4"/>
      <c r="E59" s="4"/>
      <c r="F59" s="1"/>
      <c r="G59" s="4"/>
      <c r="H59" s="4"/>
      <c r="I59" s="4"/>
      <c r="J59" s="4"/>
      <c r="K59" s="4"/>
      <c r="L59" s="1"/>
      <c r="M59" s="4"/>
      <c r="N59" s="4"/>
      <c r="O59" s="4"/>
      <c r="P59" s="4"/>
      <c r="Q59" s="4"/>
      <c r="R59" s="1"/>
      <c r="S59" s="4"/>
      <c r="T59" s="4"/>
      <c r="U59" s="4"/>
      <c r="V59" s="4"/>
      <c r="W59" s="4"/>
      <c r="X59" s="1"/>
      <c r="Y59" s="4"/>
      <c r="Z59" s="4"/>
      <c r="AA59" s="4"/>
    </row>
    <row r="60" spans="1:27" ht="19.5">
      <c r="A60" s="1"/>
      <c r="B60" s="7"/>
      <c r="C60" s="1"/>
      <c r="D60" s="4"/>
      <c r="E60" s="4"/>
      <c r="F60" s="1"/>
      <c r="G60" s="4"/>
      <c r="H60" s="4"/>
      <c r="I60" s="4"/>
      <c r="J60" s="4"/>
      <c r="K60" s="4"/>
      <c r="L60" s="1"/>
      <c r="M60" s="4"/>
      <c r="N60" s="4"/>
      <c r="O60" s="4"/>
      <c r="P60" s="4"/>
      <c r="Q60" s="4"/>
      <c r="R60" s="1"/>
      <c r="S60" s="4"/>
      <c r="T60" s="4"/>
      <c r="U60" s="4"/>
      <c r="V60" s="4"/>
      <c r="W60" s="4"/>
      <c r="X60" s="1"/>
      <c r="Y60" s="4"/>
      <c r="Z60" s="4"/>
      <c r="AA60" s="4"/>
    </row>
    <row r="61" spans="1:27" ht="19.5">
      <c r="A61" s="1"/>
      <c r="B61" s="7"/>
      <c r="C61" s="1"/>
      <c r="D61" s="4"/>
      <c r="E61" s="4"/>
      <c r="F61" s="1"/>
      <c r="G61" s="4"/>
      <c r="H61" s="4"/>
      <c r="I61" s="4"/>
      <c r="J61" s="4"/>
      <c r="K61" s="4"/>
      <c r="L61" s="1"/>
      <c r="M61" s="4"/>
      <c r="N61" s="4"/>
      <c r="O61" s="4"/>
      <c r="P61" s="4"/>
      <c r="Q61" s="4"/>
      <c r="R61" s="1"/>
      <c r="S61" s="4"/>
      <c r="T61" s="4"/>
      <c r="U61" s="4"/>
      <c r="V61" s="4"/>
      <c r="W61" s="4"/>
      <c r="X61" s="1"/>
      <c r="Y61" s="4"/>
      <c r="Z61" s="4"/>
      <c r="AA61" s="4"/>
    </row>
    <row r="62" spans="1:27" ht="19.5">
      <c r="A62" s="1"/>
      <c r="B62" s="7"/>
      <c r="C62" s="1"/>
      <c r="D62" s="4"/>
      <c r="E62" s="4"/>
      <c r="F62" s="1"/>
      <c r="G62" s="4"/>
      <c r="H62" s="4"/>
      <c r="I62" s="4"/>
      <c r="J62" s="4"/>
      <c r="K62" s="4"/>
      <c r="L62" s="1"/>
      <c r="M62" s="4"/>
      <c r="N62" s="4"/>
      <c r="O62" s="4"/>
      <c r="P62" s="4"/>
      <c r="Q62" s="4"/>
      <c r="R62" s="1"/>
      <c r="S62" s="4"/>
      <c r="T62" s="4"/>
      <c r="U62" s="4"/>
      <c r="V62" s="4"/>
      <c r="W62" s="4"/>
      <c r="X62" s="1"/>
      <c r="Y62" s="4"/>
      <c r="Z62" s="4"/>
      <c r="AA62" s="4"/>
    </row>
    <row r="63" spans="1:27" ht="19.5">
      <c r="A63" s="1"/>
      <c r="B63" s="7"/>
      <c r="C63" s="1"/>
      <c r="D63" s="4"/>
      <c r="E63" s="4"/>
      <c r="F63" s="1"/>
      <c r="G63" s="4"/>
      <c r="H63" s="4"/>
      <c r="I63" s="4"/>
      <c r="J63" s="4"/>
      <c r="K63" s="4"/>
      <c r="L63" s="1"/>
      <c r="M63" s="4"/>
      <c r="N63" s="4"/>
      <c r="O63" s="4"/>
      <c r="P63" s="4"/>
      <c r="Q63" s="4"/>
      <c r="R63" s="1"/>
      <c r="S63" s="4"/>
      <c r="T63" s="4"/>
      <c r="U63" s="4"/>
      <c r="V63" s="4"/>
      <c r="W63" s="4"/>
      <c r="X63" s="1"/>
      <c r="Y63" s="4"/>
      <c r="Z63" s="4"/>
      <c r="AA63" s="4"/>
    </row>
    <row r="64" spans="1:27" ht="19.5">
      <c r="A64" s="1"/>
      <c r="B64" s="7"/>
      <c r="C64" s="1"/>
      <c r="D64" s="4"/>
      <c r="E64" s="4"/>
      <c r="F64" s="1"/>
      <c r="G64" s="4"/>
      <c r="H64" s="4"/>
      <c r="I64" s="4"/>
      <c r="J64" s="4"/>
      <c r="K64" s="4"/>
      <c r="L64" s="1"/>
      <c r="M64" s="4"/>
      <c r="N64" s="4"/>
      <c r="O64" s="4"/>
      <c r="P64" s="4"/>
      <c r="Q64" s="4"/>
      <c r="R64" s="1"/>
      <c r="S64" s="4"/>
      <c r="T64" s="4"/>
      <c r="U64" s="4"/>
      <c r="V64" s="4"/>
      <c r="W64" s="4"/>
      <c r="X64" s="1"/>
      <c r="Y64" s="4"/>
      <c r="Z64" s="4"/>
      <c r="AA64" s="4"/>
    </row>
    <row r="65" spans="1:27" ht="19.5">
      <c r="A65" s="1"/>
      <c r="B65" s="7"/>
      <c r="C65" s="1"/>
      <c r="D65" s="4"/>
      <c r="E65" s="4"/>
      <c r="F65" s="1"/>
      <c r="G65" s="4"/>
      <c r="H65" s="4"/>
      <c r="I65" s="4"/>
      <c r="J65" s="4"/>
      <c r="K65" s="4"/>
      <c r="L65" s="1"/>
      <c r="M65" s="4"/>
      <c r="N65" s="4"/>
      <c r="O65" s="4"/>
      <c r="P65" s="4"/>
      <c r="Q65" s="4"/>
      <c r="R65" s="1"/>
      <c r="S65" s="4"/>
      <c r="T65" s="4"/>
      <c r="U65" s="4"/>
      <c r="V65" s="4"/>
      <c r="W65" s="4"/>
      <c r="X65" s="1"/>
      <c r="Y65" s="4"/>
      <c r="Z65" s="4"/>
      <c r="AA65" s="4"/>
    </row>
    <row r="66" spans="1:27" ht="19.5">
      <c r="A66" s="1"/>
      <c r="B66" s="7"/>
      <c r="C66" s="1"/>
      <c r="D66" s="4"/>
      <c r="E66" s="4"/>
      <c r="F66" s="1"/>
      <c r="G66" s="4"/>
      <c r="H66" s="4"/>
      <c r="I66" s="4"/>
      <c r="J66" s="4"/>
      <c r="K66" s="4"/>
      <c r="L66" s="1"/>
      <c r="M66" s="4"/>
      <c r="N66" s="4"/>
      <c r="O66" s="4"/>
      <c r="P66" s="4"/>
      <c r="Q66" s="4"/>
      <c r="R66" s="1"/>
      <c r="S66" s="4"/>
      <c r="T66" s="4"/>
      <c r="U66" s="4"/>
      <c r="V66" s="4"/>
      <c r="W66" s="4"/>
      <c r="X66" s="1"/>
      <c r="Y66" s="4"/>
      <c r="Z66" s="4"/>
      <c r="AA66" s="4"/>
    </row>
    <row r="67" spans="1:27" ht="19.5">
      <c r="A67" s="1"/>
      <c r="B67" s="7"/>
      <c r="C67" s="1"/>
      <c r="D67" s="4"/>
      <c r="E67" s="4"/>
      <c r="F67" s="1"/>
      <c r="G67" s="4"/>
      <c r="H67" s="4"/>
      <c r="I67" s="4"/>
      <c r="J67" s="4"/>
      <c r="K67" s="4"/>
      <c r="L67" s="1"/>
      <c r="M67" s="4"/>
      <c r="N67" s="4"/>
      <c r="O67" s="4"/>
      <c r="P67" s="4"/>
      <c r="Q67" s="4"/>
      <c r="R67" s="1"/>
      <c r="S67" s="4"/>
      <c r="T67" s="4"/>
      <c r="U67" s="4"/>
      <c r="V67" s="4"/>
      <c r="W67" s="4"/>
      <c r="X67" s="1"/>
      <c r="Y67" s="4"/>
      <c r="Z67" s="4"/>
      <c r="AA67" s="4"/>
    </row>
    <row r="68" spans="1:27" ht="19.5">
      <c r="A68" s="27"/>
      <c r="B68" s="28"/>
      <c r="C68" s="27"/>
      <c r="D68" s="4"/>
      <c r="E68" s="29"/>
      <c r="F68" s="27"/>
      <c r="G68" s="29"/>
      <c r="H68" s="4"/>
      <c r="I68" s="4"/>
      <c r="J68" s="4"/>
      <c r="K68" s="29"/>
      <c r="L68" s="27"/>
      <c r="M68" s="29"/>
      <c r="N68" s="4"/>
      <c r="O68" s="4"/>
      <c r="P68" s="4"/>
      <c r="Q68" s="29"/>
      <c r="R68" s="27"/>
      <c r="S68" s="29"/>
      <c r="T68" s="4"/>
      <c r="U68" s="4"/>
      <c r="V68" s="4"/>
      <c r="W68" s="29"/>
      <c r="X68" s="27"/>
      <c r="Y68" s="29"/>
      <c r="Z68" s="4"/>
      <c r="AA68" s="4"/>
    </row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:C12 C14:C22 C24:C32 C34:C42 C44:C51 C53:C68 C2" name="Textbooks"/>
    <protectedRange sqref="D2:F2 H44:I51 Q44:R51 W44:X51 D53:F68 H53:I68 N68:R68 W53:X68 J3:J68 V2:X2 Q53:R67 P2:R2 Z3:AA68 N3:P67 T3:V68 K4:L12 K14:L22 K24:L32 K34:L42 K44:L51 K53:L68 D4:F12 H4:I12 Q4:R12 W4:X12 D14:F22 H14:I22 Q14:R22 W14:X22 D24:F32 H24:I32 Q24:R32 W24:X32 D34:F42 H34:I42 Q34:R42 W34:X42 D44:F51 J2:L2" name="LAS"/>
    <protectedRange sqref="S2:U2 M2:O2 Y2:AA2 Y3:Y51 G53:G68 M53:M68 S53:S68 Y53:Y68 G14:G22 G24:G32 S3:S51 G34:G42 G44:G51 M3:M51 G4:G12 G2:I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53:X68 R53:R68 L53:L68 F53:F68" xr:uid="{4ECCD083-8EC4-42EE-B46C-B614411F330D}">
      <formula1>"2024,2025"</formula1>
    </dataValidation>
    <dataValidation type="list" allowBlank="1" showInputMessage="1" showErrorMessage="1" sqref="G4:G12 G14:G22 G24:G32 G34:G42 G44:G51 S3:S51 Y3:Y51 M3:M51" xr:uid="{5129D80C-83DF-45BE-B6AD-F21CA596CBA5}">
      <formula1>"CO,RO,SDO,LGU,SCHOOL"</formula1>
    </dataValidation>
    <dataValidation type="list" allowBlank="1" showInputMessage="1" showErrorMessage="1" sqref="F4:F12 F14:F22 F24:F32 F34:F42 F44:F51 L4:L12 L14:L22 L24:L32 L34:L42 L44:L51 R4:R12 R14:R22 R24:R32 R34:R42 R44:R51 X4:X12 X14:X22 X24:X32 X34:X42 X44:X51" xr:uid="{15727D97-A065-4FE2-9898-51201789465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22"/>
  <sheetViews>
    <sheetView tabSelected="1" zoomScale="55" zoomScaleNormal="55" workbookViewId="0">
      <selection activeCell="X52" activeCellId="4" sqref="X4:X14 X16:X26 X28:X38 X40:X50 X52:X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s="5" customFormat="1"/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/>
      <c r="I4" s="10">
        <f t="shared" ref="I4:I20" si="0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1">IF((J4-K4)&lt;0,0,(J4-K4))</f>
        <v>0</v>
      </c>
      <c r="O4" s="10">
        <f t="shared" ref="O4:O7" si="2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3">IF((P4-Q4)&lt;0,0,(P4-Q4))</f>
        <v>0</v>
      </c>
      <c r="U4" s="10">
        <f t="shared" ref="U4:U9" si="4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5">IF((V4-W4)&lt;0,0,(V4-W4))</f>
        <v>0</v>
      </c>
      <c r="AA4" s="10">
        <f t="shared" ref="AA4:AA9" si="6">IF((W4-V4)&lt;0,0,(W4-V4))</f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/>
      <c r="I5" s="10">
        <f t="shared" si="0"/>
        <v>0</v>
      </c>
      <c r="J5" s="10">
        <f>Table14[[#This Row],[Enrolment S.Y. 2025-2026 ]]*8</f>
        <v>0</v>
      </c>
      <c r="K5" s="10"/>
      <c r="L5" s="8"/>
      <c r="M5" s="10"/>
      <c r="N5" s="10">
        <f t="shared" si="1"/>
        <v>0</v>
      </c>
      <c r="O5" s="10">
        <f t="shared" si="2"/>
        <v>0</v>
      </c>
      <c r="P5" s="10">
        <f>Table14[[#This Row],[Enrolment S.Y. 2025-2026 ]]*8</f>
        <v>0</v>
      </c>
      <c r="Q5" s="10"/>
      <c r="R5" s="8"/>
      <c r="S5" s="10"/>
      <c r="T5" s="10">
        <f t="shared" si="3"/>
        <v>0</v>
      </c>
      <c r="U5" s="10">
        <f t="shared" si="4"/>
        <v>0</v>
      </c>
      <c r="V5" s="10">
        <f>Table14[[#This Row],[Enrolment S.Y. 2025-2026 ]]*8</f>
        <v>0</v>
      </c>
      <c r="W5" s="10"/>
      <c r="X5" s="8"/>
      <c r="Y5" s="10"/>
      <c r="Z5" s="10">
        <f t="shared" si="5"/>
        <v>0</v>
      </c>
      <c r="AA5" s="10">
        <f t="shared" si="6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/>
      <c r="I6" s="10">
        <f t="shared" si="0"/>
        <v>0</v>
      </c>
      <c r="J6" s="10">
        <f>Table14[[#This Row],[Enrolment S.Y. 2025-2026 ]]*8</f>
        <v>0</v>
      </c>
      <c r="K6" s="10"/>
      <c r="L6" s="8"/>
      <c r="M6" s="10"/>
      <c r="N6" s="10">
        <f t="shared" si="1"/>
        <v>0</v>
      </c>
      <c r="O6" s="10">
        <f t="shared" si="2"/>
        <v>0</v>
      </c>
      <c r="P6" s="10">
        <f>Table14[[#This Row],[Enrolment S.Y. 2025-2026 ]]*8</f>
        <v>0</v>
      </c>
      <c r="Q6" s="10"/>
      <c r="R6" s="8"/>
      <c r="S6" s="10"/>
      <c r="T6" s="10">
        <f t="shared" si="3"/>
        <v>0</v>
      </c>
      <c r="U6" s="10">
        <f t="shared" si="4"/>
        <v>0</v>
      </c>
      <c r="V6" s="10">
        <f>Table14[[#This Row],[Enrolment S.Y. 2025-2026 ]]*8</f>
        <v>0</v>
      </c>
      <c r="W6" s="10"/>
      <c r="X6" s="8"/>
      <c r="Y6" s="10"/>
      <c r="Z6" s="10">
        <f t="shared" si="5"/>
        <v>0</v>
      </c>
      <c r="AA6" s="10">
        <f t="shared" si="6"/>
        <v>0</v>
      </c>
    </row>
    <row r="7" spans="1:27" ht="19.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/>
      <c r="I7" s="10">
        <f t="shared" si="0"/>
        <v>0</v>
      </c>
      <c r="J7" s="10">
        <f>Table14[[#This Row],[Enrolment S.Y. 2025-2026 ]]*8</f>
        <v>0</v>
      </c>
      <c r="K7" s="10"/>
      <c r="L7" s="8"/>
      <c r="M7" s="10"/>
      <c r="N7" s="10">
        <f t="shared" si="1"/>
        <v>0</v>
      </c>
      <c r="O7" s="10">
        <f t="shared" si="2"/>
        <v>0</v>
      </c>
      <c r="P7" s="10">
        <f>Table14[[#This Row],[Enrolment S.Y. 2025-2026 ]]*8</f>
        <v>0</v>
      </c>
      <c r="Q7" s="10"/>
      <c r="R7" s="8"/>
      <c r="S7" s="10"/>
      <c r="T7" s="10">
        <f t="shared" si="3"/>
        <v>0</v>
      </c>
      <c r="U7" s="10">
        <f t="shared" si="4"/>
        <v>0</v>
      </c>
      <c r="V7" s="10">
        <f>Table14[[#This Row],[Enrolment S.Y. 2025-2026 ]]*8</f>
        <v>0</v>
      </c>
      <c r="W7" s="10"/>
      <c r="X7" s="8"/>
      <c r="Y7" s="10"/>
      <c r="Z7" s="10">
        <f t="shared" si="5"/>
        <v>0</v>
      </c>
      <c r="AA7" s="10">
        <f t="shared" si="6"/>
        <v>0</v>
      </c>
    </row>
    <row r="8" spans="1:27" ht="38.2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/>
      <c r="I8" s="10">
        <f t="shared" si="0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7">IF((J8-K8)&lt;0,0,(J8-K8))</f>
        <v>0</v>
      </c>
      <c r="O8" s="10">
        <f t="shared" ref="O8:O14" si="8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3"/>
        <v>0</v>
      </c>
      <c r="U8" s="10">
        <f t="shared" si="4"/>
        <v>0</v>
      </c>
      <c r="V8" s="10">
        <f>Table14[[#This Row],[Enrolment S.Y. 2025-2026 ]]*8</f>
        <v>0</v>
      </c>
      <c r="W8" s="10"/>
      <c r="X8" s="8"/>
      <c r="Y8" s="10"/>
      <c r="Z8" s="10">
        <f t="shared" si="5"/>
        <v>0</v>
      </c>
      <c r="AA8" s="10">
        <f t="shared" si="6"/>
        <v>0</v>
      </c>
    </row>
    <row r="9" spans="1:27" ht="19.5">
      <c r="A9" s="8">
        <v>7</v>
      </c>
      <c r="B9" s="9" t="s">
        <v>14</v>
      </c>
      <c r="C9" s="8"/>
      <c r="D9" s="10">
        <f>Table14[[#This Row],[Enrolment S.Y. 2025-2026 ]]*8</f>
        <v>0</v>
      </c>
      <c r="E9" s="10"/>
      <c r="F9" s="8"/>
      <c r="G9" s="10"/>
      <c r="H9" s="10"/>
      <c r="I9" s="10">
        <f t="shared" si="0"/>
        <v>0</v>
      </c>
      <c r="J9" s="10">
        <f>Table14[[#This Row],[Enrolment S.Y. 2025-2026 ]]*8</f>
        <v>0</v>
      </c>
      <c r="K9" s="10"/>
      <c r="L9" s="8"/>
      <c r="M9" s="10"/>
      <c r="N9" s="10">
        <f t="shared" si="7"/>
        <v>0</v>
      </c>
      <c r="O9" s="10">
        <f t="shared" si="8"/>
        <v>0</v>
      </c>
      <c r="P9" s="10">
        <f>Table14[[#This Row],[Enrolment S.Y. 2025-2026 ]]*8</f>
        <v>0</v>
      </c>
      <c r="Q9" s="10"/>
      <c r="R9" s="8"/>
      <c r="S9" s="10"/>
      <c r="T9" s="10">
        <f t="shared" si="3"/>
        <v>0</v>
      </c>
      <c r="U9" s="10">
        <f t="shared" si="4"/>
        <v>0</v>
      </c>
      <c r="V9" s="10">
        <f>Table14[[#This Row],[Enrolment S.Y. 2025-2026 ]]*8</f>
        <v>0</v>
      </c>
      <c r="W9" s="10"/>
      <c r="X9" s="8"/>
      <c r="Y9" s="10"/>
      <c r="Z9" s="10">
        <f t="shared" si="5"/>
        <v>0</v>
      </c>
      <c r="AA9" s="10">
        <f t="shared" si="6"/>
        <v>0</v>
      </c>
    </row>
    <row r="10" spans="1:27" ht="19.5">
      <c r="A10" s="32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/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7"/>
        <v>0</v>
      </c>
      <c r="O10" s="10">
        <f t="shared" si="8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ht="19.5">
      <c r="A11" s="8">
        <v>7</v>
      </c>
      <c r="B11" s="9" t="s">
        <v>82</v>
      </c>
      <c r="C11" s="8"/>
      <c r="D11" s="10">
        <f>Table14[[#This Row],[Enrolment S.Y. 2025-2026 ]]*8</f>
        <v>0</v>
      </c>
      <c r="E11" s="10"/>
      <c r="F11" s="8"/>
      <c r="G11" s="10"/>
      <c r="H11" s="10"/>
      <c r="I11" s="10">
        <f t="shared" si="0"/>
        <v>0</v>
      </c>
      <c r="J11" s="10">
        <f>Table14[[#This Row],[Enrolment S.Y. 2025-2026 ]]*8</f>
        <v>0</v>
      </c>
      <c r="K11" s="10"/>
      <c r="L11" s="8"/>
      <c r="M11" s="10"/>
      <c r="N11" s="10">
        <f t="shared" si="7"/>
        <v>0</v>
      </c>
      <c r="O11" s="10">
        <f t="shared" si="8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9">IF((P11-Q11)&lt;0,0,(P11-Q11))</f>
        <v>0</v>
      </c>
      <c r="U11" s="10">
        <f t="shared" ref="U11:U59" si="10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1">IF((V11-W11)&lt;0,0,(V11-W11))</f>
        <v>0</v>
      </c>
      <c r="AA11" s="10">
        <f t="shared" ref="AA11:AA59" si="12">IF((W11-V11)&lt;0,0,(W11-V11))</f>
        <v>0</v>
      </c>
    </row>
    <row r="12" spans="1:27" ht="19.5">
      <c r="A12" s="8">
        <v>7</v>
      </c>
      <c r="B12" s="9" t="s">
        <v>16</v>
      </c>
      <c r="C12" s="8"/>
      <c r="D12" s="10">
        <f>Table14[[#This Row],[Enrolment S.Y. 2025-2026 ]]*8</f>
        <v>0</v>
      </c>
      <c r="E12" s="10"/>
      <c r="F12" s="8"/>
      <c r="G12" s="10"/>
      <c r="H12" s="10"/>
      <c r="I12" s="10">
        <f t="shared" si="0"/>
        <v>0</v>
      </c>
      <c r="J12" s="10">
        <f>Table14[[#This Row],[Enrolment S.Y. 2025-2026 ]]*8</f>
        <v>0</v>
      </c>
      <c r="K12" s="10"/>
      <c r="L12" s="8"/>
      <c r="M12" s="10"/>
      <c r="N12" s="10">
        <f t="shared" si="7"/>
        <v>0</v>
      </c>
      <c r="O12" s="10">
        <f t="shared" si="8"/>
        <v>0</v>
      </c>
      <c r="P12" s="10">
        <f>Table14[[#This Row],[Enrolment S.Y. 2025-2026 ]]*8</f>
        <v>0</v>
      </c>
      <c r="Q12" s="10"/>
      <c r="R12" s="8"/>
      <c r="S12" s="10"/>
      <c r="T12" s="10">
        <f t="shared" si="9"/>
        <v>0</v>
      </c>
      <c r="U12" s="10">
        <f t="shared" si="10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1"/>
        <v>0</v>
      </c>
      <c r="AA12" s="10">
        <f t="shared" si="12"/>
        <v>0</v>
      </c>
    </row>
    <row r="13" spans="1:27" ht="19.5">
      <c r="A13" s="32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/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7"/>
        <v>0</v>
      </c>
      <c r="O13" s="10">
        <f t="shared" si="8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/>
      <c r="D14" s="10">
        <f>Table14[[#This Row],[Enrolment S.Y. 2025-2026 ]]*8</f>
        <v>0</v>
      </c>
      <c r="E14" s="10"/>
      <c r="F14" s="8"/>
      <c r="G14" s="10"/>
      <c r="H14" s="10"/>
      <c r="I14" s="10">
        <f t="shared" si="0"/>
        <v>0</v>
      </c>
      <c r="J14" s="10">
        <f>Table14[[#This Row],[Enrolment S.Y. 2025-2026 ]]*8</f>
        <v>0</v>
      </c>
      <c r="K14" s="10"/>
      <c r="L14" s="8"/>
      <c r="M14" s="10"/>
      <c r="N14" s="10">
        <f t="shared" si="7"/>
        <v>0</v>
      </c>
      <c r="O14" s="10">
        <f t="shared" si="8"/>
        <v>0</v>
      </c>
      <c r="P14" s="10">
        <f>Table14[[#This Row],[Enrolment S.Y. 2025-2026 ]]*8</f>
        <v>0</v>
      </c>
      <c r="Q14" s="10"/>
      <c r="R14" s="8"/>
      <c r="S14" s="10"/>
      <c r="T14" s="10">
        <f t="shared" si="9"/>
        <v>0</v>
      </c>
      <c r="U14" s="10">
        <f t="shared" si="10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1"/>
        <v>0</v>
      </c>
      <c r="AA14" s="10">
        <f t="shared" si="12"/>
        <v>0</v>
      </c>
    </row>
    <row r="15" spans="1:27" s="5" customFormat="1"/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/>
      <c r="I16" s="10">
        <f t="shared" si="0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3">IF((J16-K16)&lt;0,0,(J16-K16))</f>
        <v>0</v>
      </c>
      <c r="O16" s="10">
        <f t="shared" ref="O11:O59" si="14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9"/>
        <v>0</v>
      </c>
      <c r="U16" s="10">
        <f t="shared" si="10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1"/>
        <v>0</v>
      </c>
      <c r="AA16" s="10">
        <f t="shared" si="12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/>
      <c r="I17" s="10">
        <f t="shared" si="0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3"/>
        <v>0</v>
      </c>
      <c r="O17" s="10">
        <f t="shared" si="14"/>
        <v>0</v>
      </c>
      <c r="P17" s="10">
        <f>Table14[[#This Row],[Enrolment S.Y. 2025-2026 ]]*8</f>
        <v>0</v>
      </c>
      <c r="Q17" s="10"/>
      <c r="R17" s="8"/>
      <c r="S17" s="10"/>
      <c r="T17" s="10">
        <f t="shared" si="9"/>
        <v>0</v>
      </c>
      <c r="U17" s="10">
        <f t="shared" si="10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1"/>
        <v>0</v>
      </c>
      <c r="AA17" s="10">
        <f t="shared" si="12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/>
      <c r="I18" s="10">
        <f t="shared" si="0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3"/>
        <v>0</v>
      </c>
      <c r="O18" s="10">
        <f t="shared" si="14"/>
        <v>0</v>
      </c>
      <c r="P18" s="10">
        <f>Table14[[#This Row],[Enrolment S.Y. 2025-2026 ]]*8</f>
        <v>0</v>
      </c>
      <c r="Q18" s="10"/>
      <c r="R18" s="8"/>
      <c r="S18" s="10"/>
      <c r="T18" s="10">
        <f t="shared" si="9"/>
        <v>0</v>
      </c>
      <c r="U18" s="10">
        <f t="shared" si="10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1"/>
        <v>0</v>
      </c>
      <c r="AA18" s="10">
        <f t="shared" si="12"/>
        <v>0</v>
      </c>
    </row>
    <row r="19" spans="1:27" ht="19.5">
      <c r="A19" s="8">
        <v>8</v>
      </c>
      <c r="B19" s="9" t="s">
        <v>12</v>
      </c>
      <c r="C19" s="8"/>
      <c r="D19" s="10">
        <f>Table14[[#This Row],[Enrolment S.Y. 2025-2026 ]]*8</f>
        <v>0</v>
      </c>
      <c r="E19" s="10"/>
      <c r="F19" s="8"/>
      <c r="G19" s="10"/>
      <c r="H19" s="10"/>
      <c r="I19" s="10">
        <f t="shared" si="0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3"/>
        <v>0</v>
      </c>
      <c r="O19" s="10">
        <f t="shared" si="14"/>
        <v>0</v>
      </c>
      <c r="P19" s="10">
        <f>Table14[[#This Row],[Enrolment S.Y. 2025-2026 ]]*8</f>
        <v>0</v>
      </c>
      <c r="Q19" s="10"/>
      <c r="R19" s="8"/>
      <c r="S19" s="10"/>
      <c r="T19" s="10">
        <f t="shared" si="9"/>
        <v>0</v>
      </c>
      <c r="U19" s="10">
        <f t="shared" si="10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1"/>
        <v>0</v>
      </c>
      <c r="AA19" s="10">
        <f t="shared" si="12"/>
        <v>0</v>
      </c>
    </row>
    <row r="20" spans="1:27" ht="19.5">
      <c r="A20" s="8">
        <v>8</v>
      </c>
      <c r="B20" s="9" t="s">
        <v>18</v>
      </c>
      <c r="C20" s="8"/>
      <c r="D20" s="10">
        <f>Table14[[#This Row],[Enrolment S.Y. 2025-2026 ]]*8</f>
        <v>0</v>
      </c>
      <c r="E20" s="10"/>
      <c r="F20" s="8"/>
      <c r="G20" s="10"/>
      <c r="H20" s="10"/>
      <c r="I20" s="10">
        <f t="shared" si="0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3"/>
        <v>0</v>
      </c>
      <c r="O20" s="10">
        <f t="shared" si="14"/>
        <v>0</v>
      </c>
      <c r="P20" s="10">
        <f>Table14[[#This Row],[Enrolment S.Y. 2025-2026 ]]*8</f>
        <v>0</v>
      </c>
      <c r="Q20" s="10"/>
      <c r="R20" s="8"/>
      <c r="S20" s="10"/>
      <c r="T20" s="10">
        <f t="shared" si="9"/>
        <v>0</v>
      </c>
      <c r="U20" s="10">
        <f t="shared" si="10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1"/>
        <v>0</v>
      </c>
      <c r="AA20" s="10">
        <f t="shared" si="12"/>
        <v>0</v>
      </c>
    </row>
    <row r="21" spans="1:27" ht="19.5">
      <c r="A21" s="8">
        <v>8</v>
      </c>
      <c r="B21" s="9" t="s">
        <v>14</v>
      </c>
      <c r="C21" s="8"/>
      <c r="D21" s="10">
        <f>Table14[[#This Row],[Enrolment S.Y. 2025-2026 ]]*8</f>
        <v>0</v>
      </c>
      <c r="E21" s="10"/>
      <c r="F21" s="8"/>
      <c r="G21" s="10"/>
      <c r="H21" s="10"/>
      <c r="I21" s="10">
        <f t="shared" ref="I21:I59" si="15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6">IF((J21-K21)&lt;0,0,(J21-K21))</f>
        <v>0</v>
      </c>
      <c r="O21" s="10">
        <f t="shared" ref="O21:O26" si="17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9"/>
        <v>0</v>
      </c>
      <c r="U21" s="10">
        <f t="shared" si="10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1"/>
        <v>0</v>
      </c>
      <c r="AA21" s="10">
        <f t="shared" si="12"/>
        <v>0</v>
      </c>
    </row>
    <row r="22" spans="1:27" ht="19.5">
      <c r="A22" s="32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/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6"/>
        <v>0</v>
      </c>
      <c r="O22" s="10">
        <f t="shared" si="17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/>
      <c r="D23" s="10">
        <f>Table14[[#This Row],[Enrolment S.Y. 2025-2026 ]]*8</f>
        <v>0</v>
      </c>
      <c r="E23" s="10"/>
      <c r="F23" s="8"/>
      <c r="G23" s="10"/>
      <c r="H23" s="10"/>
      <c r="I23" s="10">
        <f t="shared" si="15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6"/>
        <v>0</v>
      </c>
      <c r="O23" s="10">
        <f t="shared" si="17"/>
        <v>0</v>
      </c>
      <c r="P23" s="10">
        <f>Table14[[#This Row],[Enrolment S.Y. 2025-2026 ]]*8</f>
        <v>0</v>
      </c>
      <c r="Q23" s="10"/>
      <c r="R23" s="8"/>
      <c r="S23" s="10"/>
      <c r="T23" s="10">
        <f t="shared" si="9"/>
        <v>0</v>
      </c>
      <c r="U23" s="10">
        <f t="shared" si="10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1"/>
        <v>0</v>
      </c>
      <c r="AA23" s="10">
        <f t="shared" si="12"/>
        <v>0</v>
      </c>
    </row>
    <row r="24" spans="1:27" ht="19.5">
      <c r="A24" s="8">
        <v>8</v>
      </c>
      <c r="B24" s="9" t="s">
        <v>16</v>
      </c>
      <c r="C24" s="8"/>
      <c r="D24" s="10">
        <f>Table14[[#This Row],[Enrolment S.Y. 2025-2026 ]]*8</f>
        <v>0</v>
      </c>
      <c r="E24" s="10"/>
      <c r="F24" s="8"/>
      <c r="G24" s="10"/>
      <c r="H24" s="10"/>
      <c r="I24" s="10">
        <f t="shared" si="15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6"/>
        <v>0</v>
      </c>
      <c r="O24" s="10">
        <f t="shared" si="17"/>
        <v>0</v>
      </c>
      <c r="P24" s="10">
        <f>Table14[[#This Row],[Enrolment S.Y. 2025-2026 ]]*8</f>
        <v>0</v>
      </c>
      <c r="Q24" s="10"/>
      <c r="R24" s="8"/>
      <c r="S24" s="10"/>
      <c r="T24" s="10">
        <f t="shared" si="9"/>
        <v>0</v>
      </c>
      <c r="U24" s="10">
        <f t="shared" si="10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1"/>
        <v>0</v>
      </c>
      <c r="AA24" s="10">
        <f t="shared" si="12"/>
        <v>0</v>
      </c>
    </row>
    <row r="25" spans="1:27" ht="19.5">
      <c r="A25" s="32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/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6"/>
        <v>0</v>
      </c>
      <c r="O25" s="10">
        <f t="shared" si="17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/>
      <c r="D26" s="10">
        <f>Table14[[#This Row],[Enrolment S.Y. 2025-2026 ]]*8</f>
        <v>0</v>
      </c>
      <c r="E26" s="10"/>
      <c r="F26" s="8"/>
      <c r="G26" s="10"/>
      <c r="H26" s="10"/>
      <c r="I26" s="10">
        <f t="shared" si="15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6"/>
        <v>0</v>
      </c>
      <c r="O26" s="10">
        <f t="shared" si="17"/>
        <v>0</v>
      </c>
      <c r="P26" s="10">
        <f>Table14[[#This Row],[Enrolment S.Y. 2025-2026 ]]*8</f>
        <v>0</v>
      </c>
      <c r="Q26" s="10"/>
      <c r="R26" s="8"/>
      <c r="S26" s="10"/>
      <c r="T26" s="10">
        <f t="shared" si="9"/>
        <v>0</v>
      </c>
      <c r="U26" s="10">
        <f t="shared" si="10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1"/>
        <v>0</v>
      </c>
      <c r="AA26" s="10">
        <f t="shared" si="12"/>
        <v>0</v>
      </c>
    </row>
    <row r="27" spans="1:27" s="5" customFormat="1"/>
    <row r="28" spans="1:27" ht="19.5">
      <c r="A28" s="8">
        <v>9</v>
      </c>
      <c r="B28" s="9" t="s">
        <v>8</v>
      </c>
      <c r="C28" s="8">
        <v>656</v>
      </c>
      <c r="D28" s="10">
        <f>Table14[[#This Row],[Enrolment S.Y. 2025-2026 ]]*8</f>
        <v>5248</v>
      </c>
      <c r="E28" s="10"/>
      <c r="F28" s="8">
        <v>2025</v>
      </c>
      <c r="G28" s="10" t="s">
        <v>56</v>
      </c>
      <c r="H28" s="10">
        <v>80</v>
      </c>
      <c r="I28" s="10">
        <f t="shared" si="15"/>
        <v>0</v>
      </c>
      <c r="J28" s="10">
        <f>Table14[[#This Row],[Enrolment S.Y. 2025-2026 ]]*8</f>
        <v>5248</v>
      </c>
      <c r="K28" s="10"/>
      <c r="L28" s="8"/>
      <c r="M28" s="10"/>
      <c r="N28" s="10">
        <f t="shared" si="13"/>
        <v>5248</v>
      </c>
      <c r="O28" s="10">
        <f t="shared" si="14"/>
        <v>0</v>
      </c>
      <c r="P28" s="10">
        <f>Table14[[#This Row],[Enrolment S.Y. 2025-2026 ]]*8</f>
        <v>5248</v>
      </c>
      <c r="Q28" s="10"/>
      <c r="R28" s="8"/>
      <c r="S28" s="10"/>
      <c r="T28" s="10">
        <f t="shared" si="9"/>
        <v>5248</v>
      </c>
      <c r="U28" s="10">
        <f t="shared" si="10"/>
        <v>0</v>
      </c>
      <c r="V28" s="10">
        <f>Table14[[#This Row],[Enrolment S.Y. 2025-2026 ]]*8</f>
        <v>5248</v>
      </c>
      <c r="W28" s="10"/>
      <c r="X28" s="8"/>
      <c r="Y28" s="10"/>
      <c r="Z28" s="10">
        <f t="shared" si="11"/>
        <v>5248</v>
      </c>
      <c r="AA28" s="10">
        <f t="shared" si="12"/>
        <v>0</v>
      </c>
    </row>
    <row r="29" spans="1:27" ht="19.5">
      <c r="A29" s="8">
        <v>9</v>
      </c>
      <c r="B29" s="9" t="s">
        <v>10</v>
      </c>
      <c r="C29" s="8">
        <v>656</v>
      </c>
      <c r="D29" s="10">
        <f>Table14[[#This Row],[Enrolment S.Y. 2025-2026 ]]*8</f>
        <v>5248</v>
      </c>
      <c r="E29" s="10"/>
      <c r="F29" s="8">
        <v>2025</v>
      </c>
      <c r="G29" s="10" t="s">
        <v>56</v>
      </c>
      <c r="H29" s="10">
        <v>80</v>
      </c>
      <c r="I29" s="10">
        <f t="shared" si="15"/>
        <v>0</v>
      </c>
      <c r="J29" s="10">
        <f>Table14[[#This Row],[Enrolment S.Y. 2025-2026 ]]*8</f>
        <v>5248</v>
      </c>
      <c r="K29" s="10"/>
      <c r="L29" s="8"/>
      <c r="M29" s="10"/>
      <c r="N29" s="10">
        <f t="shared" si="13"/>
        <v>5248</v>
      </c>
      <c r="O29" s="10">
        <f t="shared" si="14"/>
        <v>0</v>
      </c>
      <c r="P29" s="10">
        <f>Table14[[#This Row],[Enrolment S.Y. 2025-2026 ]]*8</f>
        <v>5248</v>
      </c>
      <c r="Q29" s="10"/>
      <c r="R29" s="8"/>
      <c r="S29" s="10"/>
      <c r="T29" s="10">
        <f t="shared" si="9"/>
        <v>5248</v>
      </c>
      <c r="U29" s="10">
        <f t="shared" si="10"/>
        <v>0</v>
      </c>
      <c r="V29" s="10">
        <f>Table14[[#This Row],[Enrolment S.Y. 2025-2026 ]]*8</f>
        <v>5248</v>
      </c>
      <c r="W29" s="10"/>
      <c r="X29" s="8"/>
      <c r="Y29" s="10"/>
      <c r="Z29" s="10">
        <f t="shared" si="11"/>
        <v>5248</v>
      </c>
      <c r="AA29" s="10">
        <f t="shared" si="12"/>
        <v>0</v>
      </c>
    </row>
    <row r="30" spans="1:27" ht="19.5">
      <c r="A30" s="8">
        <v>9</v>
      </c>
      <c r="B30" s="9" t="s">
        <v>11</v>
      </c>
      <c r="C30" s="8">
        <v>656</v>
      </c>
      <c r="D30" s="10">
        <f>Table14[[#This Row],[Enrolment S.Y. 2025-2026 ]]*8</f>
        <v>5248</v>
      </c>
      <c r="E30" s="10"/>
      <c r="F30" s="8">
        <v>2025</v>
      </c>
      <c r="G30" s="10" t="s">
        <v>56</v>
      </c>
      <c r="H30" s="10">
        <v>80</v>
      </c>
      <c r="I30" s="10">
        <f t="shared" si="15"/>
        <v>0</v>
      </c>
      <c r="J30" s="10">
        <f>Table14[[#This Row],[Enrolment S.Y. 2025-2026 ]]*8</f>
        <v>5248</v>
      </c>
      <c r="K30" s="10"/>
      <c r="L30" s="8"/>
      <c r="M30" s="10"/>
      <c r="N30" s="10">
        <f t="shared" si="13"/>
        <v>5248</v>
      </c>
      <c r="O30" s="10">
        <f t="shared" si="14"/>
        <v>0</v>
      </c>
      <c r="P30" s="10">
        <f>Table14[[#This Row],[Enrolment S.Y. 2025-2026 ]]*8</f>
        <v>5248</v>
      </c>
      <c r="Q30" s="10"/>
      <c r="R30" s="8"/>
      <c r="S30" s="10"/>
      <c r="T30" s="10">
        <f t="shared" si="9"/>
        <v>5248</v>
      </c>
      <c r="U30" s="10">
        <f t="shared" si="10"/>
        <v>0</v>
      </c>
      <c r="V30" s="10">
        <f>Table14[[#This Row],[Enrolment S.Y. 2025-2026 ]]*8</f>
        <v>5248</v>
      </c>
      <c r="W30" s="10"/>
      <c r="X30" s="8"/>
      <c r="Y30" s="10"/>
      <c r="Z30" s="10">
        <f t="shared" si="11"/>
        <v>5248</v>
      </c>
      <c r="AA30" s="10">
        <f t="shared" si="12"/>
        <v>0</v>
      </c>
    </row>
    <row r="31" spans="1:27" ht="19.5">
      <c r="A31" s="8">
        <v>9</v>
      </c>
      <c r="B31" s="9" t="s">
        <v>12</v>
      </c>
      <c r="C31" s="8">
        <v>656</v>
      </c>
      <c r="D31" s="10">
        <f>Table14[[#This Row],[Enrolment S.Y. 2025-2026 ]]*8</f>
        <v>5248</v>
      </c>
      <c r="E31" s="10"/>
      <c r="F31" s="8">
        <v>2025</v>
      </c>
      <c r="G31" s="10" t="s">
        <v>56</v>
      </c>
      <c r="H31" s="10">
        <v>80</v>
      </c>
      <c r="I31" s="10">
        <f t="shared" si="15"/>
        <v>0</v>
      </c>
      <c r="J31" s="10">
        <f>Table14[[#This Row],[Enrolment S.Y. 2025-2026 ]]*8</f>
        <v>5248</v>
      </c>
      <c r="K31" s="10"/>
      <c r="L31" s="8"/>
      <c r="M31" s="10"/>
      <c r="N31" s="10">
        <f t="shared" si="13"/>
        <v>5248</v>
      </c>
      <c r="O31" s="10">
        <f t="shared" si="14"/>
        <v>0</v>
      </c>
      <c r="P31" s="10">
        <f>Table14[[#This Row],[Enrolment S.Y. 2025-2026 ]]*8</f>
        <v>5248</v>
      </c>
      <c r="Q31" s="10"/>
      <c r="R31" s="8"/>
      <c r="S31" s="10"/>
      <c r="T31" s="10">
        <f t="shared" si="9"/>
        <v>5248</v>
      </c>
      <c r="U31" s="10">
        <f t="shared" si="10"/>
        <v>0</v>
      </c>
      <c r="V31" s="10">
        <f>Table14[[#This Row],[Enrolment S.Y. 2025-2026 ]]*8</f>
        <v>5248</v>
      </c>
      <c r="W31" s="10"/>
      <c r="X31" s="8"/>
      <c r="Y31" s="10"/>
      <c r="Z31" s="10">
        <f t="shared" si="11"/>
        <v>5248</v>
      </c>
      <c r="AA31" s="10">
        <f t="shared" si="12"/>
        <v>0</v>
      </c>
    </row>
    <row r="32" spans="1:27" ht="19.5">
      <c r="A32" s="8">
        <v>9</v>
      </c>
      <c r="B32" s="9" t="s">
        <v>18</v>
      </c>
      <c r="C32" s="8">
        <v>656</v>
      </c>
      <c r="D32" s="10">
        <f>Table14[[#This Row],[Enrolment S.Y. 2025-2026 ]]*8</f>
        <v>5248</v>
      </c>
      <c r="E32" s="10"/>
      <c r="F32" s="8">
        <v>2025</v>
      </c>
      <c r="G32" s="10" t="s">
        <v>56</v>
      </c>
      <c r="H32" s="10">
        <v>80</v>
      </c>
      <c r="I32" s="10">
        <f t="shared" si="15"/>
        <v>0</v>
      </c>
      <c r="J32" s="10">
        <f>Table14[[#This Row],[Enrolment S.Y. 2025-2026 ]]*8</f>
        <v>5248</v>
      </c>
      <c r="K32" s="10"/>
      <c r="L32" s="8"/>
      <c r="M32" s="10"/>
      <c r="N32" s="10">
        <f t="shared" si="13"/>
        <v>5248</v>
      </c>
      <c r="O32" s="10">
        <f t="shared" si="14"/>
        <v>0</v>
      </c>
      <c r="P32" s="10">
        <f>Table14[[#This Row],[Enrolment S.Y. 2025-2026 ]]*8</f>
        <v>5248</v>
      </c>
      <c r="Q32" s="10"/>
      <c r="R32" s="8"/>
      <c r="S32" s="10"/>
      <c r="T32" s="10">
        <f t="shared" si="9"/>
        <v>5248</v>
      </c>
      <c r="U32" s="10">
        <f t="shared" si="10"/>
        <v>0</v>
      </c>
      <c r="V32" s="10">
        <f>Table14[[#This Row],[Enrolment S.Y. 2025-2026 ]]*8</f>
        <v>5248</v>
      </c>
      <c r="W32" s="10"/>
      <c r="X32" s="8"/>
      <c r="Y32" s="10"/>
      <c r="Z32" s="10">
        <f t="shared" si="11"/>
        <v>5248</v>
      </c>
      <c r="AA32" s="10">
        <f t="shared" si="12"/>
        <v>0</v>
      </c>
    </row>
    <row r="33" spans="1:27" ht="19.5">
      <c r="A33" s="8">
        <v>9</v>
      </c>
      <c r="B33" s="9" t="s">
        <v>14</v>
      </c>
      <c r="C33" s="8">
        <v>656</v>
      </c>
      <c r="D33" s="10">
        <f>Table14[[#This Row],[Enrolment S.Y. 2025-2026 ]]*8</f>
        <v>5248</v>
      </c>
      <c r="E33" s="10"/>
      <c r="F33" s="8">
        <v>2025</v>
      </c>
      <c r="G33" s="10" t="s">
        <v>56</v>
      </c>
      <c r="H33" s="10">
        <v>77</v>
      </c>
      <c r="I33" s="10">
        <f t="shared" si="15"/>
        <v>0</v>
      </c>
      <c r="J33" s="10">
        <f>Table14[[#This Row],[Enrolment S.Y. 2025-2026 ]]*8</f>
        <v>5248</v>
      </c>
      <c r="K33" s="10"/>
      <c r="L33" s="8"/>
      <c r="M33" s="10"/>
      <c r="N33" s="10">
        <f t="shared" si="13"/>
        <v>5248</v>
      </c>
      <c r="O33" s="10">
        <f t="shared" si="14"/>
        <v>0</v>
      </c>
      <c r="P33" s="10">
        <f>Table14[[#This Row],[Enrolment S.Y. 2025-2026 ]]*8</f>
        <v>5248</v>
      </c>
      <c r="Q33" s="10"/>
      <c r="R33" s="8"/>
      <c r="S33" s="10"/>
      <c r="T33" s="10">
        <f t="shared" si="9"/>
        <v>5248</v>
      </c>
      <c r="U33" s="10">
        <f t="shared" si="10"/>
        <v>0</v>
      </c>
      <c r="V33" s="10">
        <f>Table14[[#This Row],[Enrolment S.Y. 2025-2026 ]]*8</f>
        <v>5248</v>
      </c>
      <c r="W33" s="10"/>
      <c r="X33" s="8"/>
      <c r="Y33" s="10"/>
      <c r="Z33" s="10">
        <f t="shared" si="11"/>
        <v>5248</v>
      </c>
      <c r="AA33" s="10">
        <f t="shared" si="12"/>
        <v>0</v>
      </c>
    </row>
    <row r="34" spans="1:27" ht="19.5">
      <c r="A34" s="32">
        <v>9</v>
      </c>
      <c r="B34" s="9" t="s">
        <v>81</v>
      </c>
      <c r="C34" s="8">
        <v>656</v>
      </c>
      <c r="D34" s="10">
        <f>Table14[[#This Row],[Enrolment S.Y. 2025-2026 ]]*8</f>
        <v>5248</v>
      </c>
      <c r="E34" s="10"/>
      <c r="F34" s="8">
        <v>2025</v>
      </c>
      <c r="G34" s="10" t="s">
        <v>56</v>
      </c>
      <c r="H34" s="10">
        <v>80</v>
      </c>
      <c r="I34" s="10">
        <f>IF((E34-D34)&lt;0,0,(E34-D34))</f>
        <v>0</v>
      </c>
      <c r="J34" s="10">
        <f>Table14[[#This Row],[Enrolment S.Y. 2025-2026 ]]*8</f>
        <v>5248</v>
      </c>
      <c r="K34" s="10"/>
      <c r="L34" s="8"/>
      <c r="M34" s="10"/>
      <c r="N34" s="10">
        <f t="shared" ref="N34:N38" si="18">IF((J34-K34)&lt;0,0,(J34-K34))</f>
        <v>5248</v>
      </c>
      <c r="O34" s="10">
        <f t="shared" ref="O34:O38" si="19">IF((K34-J34)&lt;0,0,(K34-J34))</f>
        <v>0</v>
      </c>
      <c r="P34" s="10">
        <f>Table14[[#This Row],[Enrolment S.Y. 2025-2026 ]]*8</f>
        <v>5248</v>
      </c>
      <c r="Q34" s="10"/>
      <c r="R34" s="8"/>
      <c r="S34" s="10"/>
      <c r="T34" s="10">
        <f>IF((P34-Q34)&lt;0,0,(P34-Q34))</f>
        <v>5248</v>
      </c>
      <c r="U34" s="10">
        <f>IF((Q34-P34)&lt;0,0,(Q34-P34))</f>
        <v>0</v>
      </c>
      <c r="V34" s="10">
        <f>Table14[[#This Row],[Enrolment S.Y. 2025-2026 ]]*8</f>
        <v>5248</v>
      </c>
      <c r="W34" s="10"/>
      <c r="X34" s="8"/>
      <c r="Y34" s="10"/>
      <c r="Z34" s="10">
        <f>IF((V34-W34)&lt;0,0,(V34-W34))</f>
        <v>5248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656</v>
      </c>
      <c r="D35" s="10">
        <f>Table14[[#This Row],[Enrolment S.Y. 2025-2026 ]]*8</f>
        <v>5248</v>
      </c>
      <c r="E35" s="10"/>
      <c r="F35" s="8">
        <v>2025</v>
      </c>
      <c r="G35" s="10" t="s">
        <v>56</v>
      </c>
      <c r="H35" s="10">
        <v>77</v>
      </c>
      <c r="I35" s="10">
        <f t="shared" si="15"/>
        <v>0</v>
      </c>
      <c r="J35" s="10">
        <f>Table14[[#This Row],[Enrolment S.Y. 2025-2026 ]]*8</f>
        <v>5248</v>
      </c>
      <c r="K35" s="10"/>
      <c r="L35" s="8"/>
      <c r="M35" s="10"/>
      <c r="N35" s="10">
        <f t="shared" si="18"/>
        <v>5248</v>
      </c>
      <c r="O35" s="10">
        <f t="shared" si="19"/>
        <v>0</v>
      </c>
      <c r="P35" s="10">
        <f>Table14[[#This Row],[Enrolment S.Y. 2025-2026 ]]*8</f>
        <v>5248</v>
      </c>
      <c r="Q35" s="10"/>
      <c r="R35" s="8"/>
      <c r="S35" s="10"/>
      <c r="T35" s="10">
        <f t="shared" si="9"/>
        <v>5248</v>
      </c>
      <c r="U35" s="10">
        <f t="shared" si="10"/>
        <v>0</v>
      </c>
      <c r="V35" s="10">
        <f>Table14[[#This Row],[Enrolment S.Y. 2025-2026 ]]*8</f>
        <v>5248</v>
      </c>
      <c r="W35" s="10"/>
      <c r="X35" s="8"/>
      <c r="Y35" s="10"/>
      <c r="Z35" s="10">
        <f t="shared" si="11"/>
        <v>5248</v>
      </c>
      <c r="AA35" s="10">
        <f t="shared" si="12"/>
        <v>0</v>
      </c>
    </row>
    <row r="36" spans="1:27" ht="19.5">
      <c r="A36" s="8">
        <v>9</v>
      </c>
      <c r="B36" s="9" t="s">
        <v>16</v>
      </c>
      <c r="C36" s="8"/>
      <c r="D36" s="10">
        <f>Table14[[#This Row],[Enrolment S.Y. 2025-2026 ]]*8</f>
        <v>0</v>
      </c>
      <c r="E36" s="10"/>
      <c r="F36" s="8"/>
      <c r="G36" s="10"/>
      <c r="H36" s="10"/>
      <c r="I36" s="10">
        <f t="shared" si="15"/>
        <v>0</v>
      </c>
      <c r="J36" s="10">
        <f>Table14[[#This Row],[Enrolment S.Y. 2025-2026 ]]*8</f>
        <v>0</v>
      </c>
      <c r="K36" s="10"/>
      <c r="L36" s="8"/>
      <c r="M36" s="10"/>
      <c r="N36" s="10">
        <f t="shared" si="18"/>
        <v>0</v>
      </c>
      <c r="O36" s="10">
        <f t="shared" si="19"/>
        <v>0</v>
      </c>
      <c r="P36" s="10">
        <f>Table14[[#This Row],[Enrolment S.Y. 2025-2026 ]]*8</f>
        <v>0</v>
      </c>
      <c r="Q36" s="10"/>
      <c r="R36" s="8"/>
      <c r="S36" s="10"/>
      <c r="T36" s="10">
        <f t="shared" si="9"/>
        <v>0</v>
      </c>
      <c r="U36" s="10">
        <f t="shared" si="10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1"/>
        <v>0</v>
      </c>
      <c r="AA36" s="10">
        <f t="shared" si="12"/>
        <v>0</v>
      </c>
    </row>
    <row r="37" spans="1:27" ht="19.5">
      <c r="A37" s="32">
        <v>9</v>
      </c>
      <c r="B37" s="9" t="s">
        <v>83</v>
      </c>
      <c r="C37" s="8">
        <v>656</v>
      </c>
      <c r="D37" s="10">
        <f>Table14[[#This Row],[Enrolment S.Y. 2025-2026 ]]*8</f>
        <v>5248</v>
      </c>
      <c r="E37" s="10"/>
      <c r="F37" s="8">
        <v>2025</v>
      </c>
      <c r="G37" s="10" t="s">
        <v>56</v>
      </c>
      <c r="H37" s="10">
        <v>80</v>
      </c>
      <c r="I37" s="10">
        <f>IF((E37-D37)&lt;0,0,(E37-D37))</f>
        <v>0</v>
      </c>
      <c r="J37" s="10">
        <f>Table14[[#This Row],[Enrolment S.Y. 2025-2026 ]]*8</f>
        <v>5248</v>
      </c>
      <c r="K37" s="10"/>
      <c r="L37" s="8"/>
      <c r="M37" s="10"/>
      <c r="N37" s="10">
        <f t="shared" si="18"/>
        <v>5248</v>
      </c>
      <c r="O37" s="10">
        <f t="shared" si="19"/>
        <v>0</v>
      </c>
      <c r="P37" s="10">
        <f>Table14[[#This Row],[Enrolment S.Y. 2025-2026 ]]*8</f>
        <v>5248</v>
      </c>
      <c r="Q37" s="10"/>
      <c r="R37" s="8"/>
      <c r="S37" s="10"/>
      <c r="T37" s="10">
        <f>IF((P37-Q37)&lt;0,0,(P37-Q37))</f>
        <v>5248</v>
      </c>
      <c r="U37" s="10">
        <f>IF((Q37-P37)&lt;0,0,(Q37-P37))</f>
        <v>0</v>
      </c>
      <c r="V37" s="10">
        <f>Table14[[#This Row],[Enrolment S.Y. 2025-2026 ]]*8</f>
        <v>5248</v>
      </c>
      <c r="W37" s="10"/>
      <c r="X37" s="8"/>
      <c r="Y37" s="10"/>
      <c r="Z37" s="10">
        <f>IF((V37-W37)&lt;0,0,(V37-W37))</f>
        <v>5248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/>
      <c r="D38" s="10">
        <f>Table14[[#This Row],[Enrolment S.Y. 2025-2026 ]]*8</f>
        <v>0</v>
      </c>
      <c r="E38" s="10"/>
      <c r="F38" s="8"/>
      <c r="G38" s="10"/>
      <c r="H38" s="10"/>
      <c r="I38" s="10">
        <f t="shared" si="15"/>
        <v>0</v>
      </c>
      <c r="J38" s="10">
        <f>Table14[[#This Row],[Enrolment S.Y. 2025-2026 ]]*8</f>
        <v>0</v>
      </c>
      <c r="K38" s="10"/>
      <c r="L38" s="8"/>
      <c r="M38" s="10"/>
      <c r="N38" s="10">
        <f t="shared" si="18"/>
        <v>0</v>
      </c>
      <c r="O38" s="10">
        <f t="shared" si="19"/>
        <v>0</v>
      </c>
      <c r="P38" s="10">
        <f>Table14[[#This Row],[Enrolment S.Y. 2025-2026 ]]*8</f>
        <v>0</v>
      </c>
      <c r="Q38" s="10"/>
      <c r="R38" s="8"/>
      <c r="S38" s="10"/>
      <c r="T38" s="10">
        <f t="shared" si="9"/>
        <v>0</v>
      </c>
      <c r="U38" s="10">
        <f t="shared" si="10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1"/>
        <v>0</v>
      </c>
      <c r="AA38" s="10">
        <f t="shared" si="12"/>
        <v>0</v>
      </c>
    </row>
    <row r="39" spans="1:27" s="5" customFormat="1"/>
    <row r="40" spans="1:27" ht="19.5">
      <c r="A40" s="8">
        <v>10</v>
      </c>
      <c r="B40" s="9" t="s">
        <v>8</v>
      </c>
      <c r="C40" s="8">
        <v>677</v>
      </c>
      <c r="D40" s="10">
        <f>Table14[[#This Row],[Enrolment S.Y. 2025-2026 ]]*8</f>
        <v>5416</v>
      </c>
      <c r="E40" s="10"/>
      <c r="F40" s="8">
        <v>2025</v>
      </c>
      <c r="G40" s="10" t="s">
        <v>56</v>
      </c>
      <c r="H40" s="10">
        <v>77</v>
      </c>
      <c r="I40" s="10">
        <f t="shared" si="15"/>
        <v>0</v>
      </c>
      <c r="J40" s="10">
        <f>Table14[[#This Row],[Enrolment S.Y. 2025-2026 ]]*8</f>
        <v>5416</v>
      </c>
      <c r="K40" s="10"/>
      <c r="L40" s="8"/>
      <c r="M40" s="10"/>
      <c r="N40" s="10">
        <f t="shared" si="13"/>
        <v>5416</v>
      </c>
      <c r="O40" s="10">
        <f t="shared" si="14"/>
        <v>0</v>
      </c>
      <c r="P40" s="10">
        <f>Table14[[#This Row],[Enrolment S.Y. 2025-2026 ]]*8</f>
        <v>5416</v>
      </c>
      <c r="Q40" s="10"/>
      <c r="R40" s="8"/>
      <c r="S40" s="10"/>
      <c r="T40" s="10">
        <f t="shared" si="9"/>
        <v>5416</v>
      </c>
      <c r="U40" s="10">
        <f t="shared" si="10"/>
        <v>0</v>
      </c>
      <c r="V40" s="10">
        <f>Table14[[#This Row],[Enrolment S.Y. 2025-2026 ]]*8</f>
        <v>5416</v>
      </c>
      <c r="W40" s="10"/>
      <c r="X40" s="8"/>
      <c r="Y40" s="10"/>
      <c r="Z40" s="10">
        <f t="shared" si="11"/>
        <v>5416</v>
      </c>
      <c r="AA40" s="10">
        <f t="shared" si="12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/>
      <c r="I41" s="10">
        <f t="shared" si="15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3"/>
        <v>0</v>
      </c>
      <c r="O41" s="10">
        <f t="shared" si="14"/>
        <v>0</v>
      </c>
      <c r="P41" s="10">
        <f>Table14[[#This Row],[Enrolment S.Y. 2025-2026 ]]*8</f>
        <v>0</v>
      </c>
      <c r="Q41" s="10"/>
      <c r="R41" s="8"/>
      <c r="S41" s="10"/>
      <c r="T41" s="10">
        <f t="shared" si="9"/>
        <v>0</v>
      </c>
      <c r="U41" s="10">
        <f t="shared" si="10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1"/>
        <v>0</v>
      </c>
      <c r="AA41" s="10">
        <f t="shared" si="12"/>
        <v>0</v>
      </c>
    </row>
    <row r="42" spans="1:27" ht="19.5">
      <c r="A42" s="8">
        <v>10</v>
      </c>
      <c r="B42" s="9" t="s">
        <v>11</v>
      </c>
      <c r="C42" s="8">
        <v>677</v>
      </c>
      <c r="D42" s="10">
        <f>Table14[[#This Row],[Enrolment S.Y. 2025-2026 ]]*8</f>
        <v>5416</v>
      </c>
      <c r="E42" s="10"/>
      <c r="F42" s="8">
        <v>2025</v>
      </c>
      <c r="G42" s="10" t="s">
        <v>56</v>
      </c>
      <c r="H42" s="10">
        <v>77</v>
      </c>
      <c r="I42" s="10">
        <f t="shared" si="15"/>
        <v>0</v>
      </c>
      <c r="J42" s="10">
        <f>Table14[[#This Row],[Enrolment S.Y. 2025-2026 ]]*8</f>
        <v>5416</v>
      </c>
      <c r="K42" s="10"/>
      <c r="L42" s="8"/>
      <c r="M42" s="10"/>
      <c r="N42" s="10">
        <f t="shared" si="13"/>
        <v>5416</v>
      </c>
      <c r="O42" s="10">
        <f t="shared" si="14"/>
        <v>0</v>
      </c>
      <c r="P42" s="10">
        <f>Table14[[#This Row],[Enrolment S.Y. 2025-2026 ]]*8</f>
        <v>5416</v>
      </c>
      <c r="Q42" s="10"/>
      <c r="R42" s="8"/>
      <c r="S42" s="10"/>
      <c r="T42" s="10">
        <f t="shared" si="9"/>
        <v>5416</v>
      </c>
      <c r="U42" s="10">
        <f t="shared" si="10"/>
        <v>0</v>
      </c>
      <c r="V42" s="10">
        <f>Table14[[#This Row],[Enrolment S.Y. 2025-2026 ]]*8</f>
        <v>5416</v>
      </c>
      <c r="W42" s="10"/>
      <c r="X42" s="8"/>
      <c r="Y42" s="10"/>
      <c r="Z42" s="10">
        <f t="shared" si="11"/>
        <v>5416</v>
      </c>
      <c r="AA42" s="10">
        <f t="shared" si="12"/>
        <v>0</v>
      </c>
    </row>
    <row r="43" spans="1:27" ht="19.5">
      <c r="A43" s="8">
        <v>10</v>
      </c>
      <c r="B43" s="9" t="s">
        <v>12</v>
      </c>
      <c r="C43" s="8"/>
      <c r="D43" s="10">
        <f>Table14[[#This Row],[Enrolment S.Y. 2025-2026 ]]*8</f>
        <v>0</v>
      </c>
      <c r="E43" s="10"/>
      <c r="F43" s="8"/>
      <c r="G43" s="10"/>
      <c r="H43" s="10"/>
      <c r="I43" s="10">
        <f t="shared" si="15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3"/>
        <v>0</v>
      </c>
      <c r="O43" s="10">
        <f t="shared" si="14"/>
        <v>0</v>
      </c>
      <c r="P43" s="10">
        <f>Table14[[#This Row],[Enrolment S.Y. 2025-2026 ]]*8</f>
        <v>0</v>
      </c>
      <c r="Q43" s="10"/>
      <c r="R43" s="8"/>
      <c r="S43" s="10"/>
      <c r="T43" s="10">
        <f t="shared" si="9"/>
        <v>0</v>
      </c>
      <c r="U43" s="10">
        <f t="shared" si="10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1"/>
        <v>0</v>
      </c>
      <c r="AA43" s="10">
        <f t="shared" si="12"/>
        <v>0</v>
      </c>
    </row>
    <row r="44" spans="1:27" ht="19.5">
      <c r="A44" s="8">
        <v>10</v>
      </c>
      <c r="B44" s="9" t="s">
        <v>18</v>
      </c>
      <c r="C44" s="8"/>
      <c r="D44" s="10">
        <f>Table14[[#This Row],[Enrolment S.Y. 2025-2026 ]]*8</f>
        <v>0</v>
      </c>
      <c r="E44" s="10"/>
      <c r="F44" s="8"/>
      <c r="G44" s="10"/>
      <c r="H44" s="10"/>
      <c r="I44" s="10">
        <f t="shared" si="15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3"/>
        <v>0</v>
      </c>
      <c r="O44" s="10">
        <f t="shared" si="14"/>
        <v>0</v>
      </c>
      <c r="P44" s="10">
        <f>Table14[[#This Row],[Enrolment S.Y. 2025-2026 ]]*8</f>
        <v>0</v>
      </c>
      <c r="Q44" s="10"/>
      <c r="R44" s="8"/>
      <c r="S44" s="10"/>
      <c r="T44" s="10">
        <f t="shared" si="9"/>
        <v>0</v>
      </c>
      <c r="U44" s="10">
        <f t="shared" si="10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1"/>
        <v>0</v>
      </c>
      <c r="AA44" s="10">
        <f t="shared" si="12"/>
        <v>0</v>
      </c>
    </row>
    <row r="45" spans="1:27" ht="19.5">
      <c r="A45" s="8">
        <v>10</v>
      </c>
      <c r="B45" s="9" t="s">
        <v>14</v>
      </c>
      <c r="C45" s="8"/>
      <c r="D45" s="10">
        <f>Table14[[#This Row],[Enrolment S.Y. 2025-2026 ]]*8</f>
        <v>0</v>
      </c>
      <c r="E45" s="10"/>
      <c r="F45" s="8"/>
      <c r="G45" s="10"/>
      <c r="H45" s="10"/>
      <c r="I45" s="10">
        <f t="shared" si="15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3"/>
        <v>0</v>
      </c>
      <c r="O45" s="10">
        <f t="shared" si="14"/>
        <v>0</v>
      </c>
      <c r="P45" s="10">
        <f>Table14[[#This Row],[Enrolment S.Y. 2025-2026 ]]*8</f>
        <v>0</v>
      </c>
      <c r="Q45" s="10"/>
      <c r="R45" s="8"/>
      <c r="S45" s="10"/>
      <c r="T45" s="10">
        <f t="shared" si="9"/>
        <v>0</v>
      </c>
      <c r="U45" s="10">
        <f t="shared" si="10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1"/>
        <v>0</v>
      </c>
      <c r="AA45" s="10">
        <f t="shared" si="12"/>
        <v>0</v>
      </c>
    </row>
    <row r="46" spans="1:27" ht="19.5">
      <c r="A46" s="32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/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0">IF((J46-K46)&lt;0,0,(J46-K46))</f>
        <v>0</v>
      </c>
      <c r="O46" s="10">
        <f t="shared" ref="O46:O50" si="21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/>
      <c r="D47" s="10">
        <f>Table14[[#This Row],[Enrolment S.Y. 2025-2026 ]]*8</f>
        <v>0</v>
      </c>
      <c r="E47" s="10"/>
      <c r="F47" s="8"/>
      <c r="G47" s="10"/>
      <c r="H47" s="10"/>
      <c r="I47" s="10">
        <f t="shared" si="15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0"/>
        <v>0</v>
      </c>
      <c r="O47" s="10">
        <f t="shared" si="21"/>
        <v>0</v>
      </c>
      <c r="P47" s="10">
        <f>Table14[[#This Row],[Enrolment S.Y. 2025-2026 ]]*8</f>
        <v>0</v>
      </c>
      <c r="Q47" s="10"/>
      <c r="R47" s="8"/>
      <c r="S47" s="10"/>
      <c r="T47" s="10">
        <f t="shared" si="9"/>
        <v>0</v>
      </c>
      <c r="U47" s="10">
        <f t="shared" si="10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1"/>
        <v>0</v>
      </c>
      <c r="AA47" s="10">
        <f t="shared" si="12"/>
        <v>0</v>
      </c>
    </row>
    <row r="48" spans="1:27" ht="19.5">
      <c r="A48" s="8">
        <v>10</v>
      </c>
      <c r="B48" s="9" t="s">
        <v>16</v>
      </c>
      <c r="C48" s="8"/>
      <c r="D48" s="10">
        <f>Table14[[#This Row],[Enrolment S.Y. 2025-2026 ]]*8</f>
        <v>0</v>
      </c>
      <c r="E48" s="10"/>
      <c r="F48" s="8"/>
      <c r="G48" s="10"/>
      <c r="H48" s="10"/>
      <c r="I48" s="10">
        <f t="shared" si="15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0"/>
        <v>0</v>
      </c>
      <c r="O48" s="10">
        <f t="shared" si="21"/>
        <v>0</v>
      </c>
      <c r="P48" s="10">
        <f>Table14[[#This Row],[Enrolment S.Y. 2025-2026 ]]*8</f>
        <v>0</v>
      </c>
      <c r="Q48" s="10"/>
      <c r="R48" s="8"/>
      <c r="S48" s="10"/>
      <c r="T48" s="10">
        <f t="shared" si="9"/>
        <v>0</v>
      </c>
      <c r="U48" s="10">
        <f t="shared" si="10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1"/>
        <v>0</v>
      </c>
      <c r="AA48" s="10">
        <f t="shared" si="12"/>
        <v>0</v>
      </c>
    </row>
    <row r="49" spans="1:28" ht="19.5">
      <c r="A49" s="32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/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0"/>
        <v>0</v>
      </c>
      <c r="O49" s="10">
        <f t="shared" si="21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8" ht="19.5">
      <c r="A50" s="8">
        <v>10</v>
      </c>
      <c r="B50" s="9" t="s">
        <v>84</v>
      </c>
      <c r="C50" s="8"/>
      <c r="D50" s="10">
        <f>Table14[[#This Row],[Enrolment S.Y. 2025-2026 ]]*8</f>
        <v>0</v>
      </c>
      <c r="E50" s="10"/>
      <c r="F50" s="8"/>
      <c r="G50" s="10"/>
      <c r="H50" s="10"/>
      <c r="I50" s="10">
        <f t="shared" si="15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0"/>
        <v>0</v>
      </c>
      <c r="O50" s="10">
        <f t="shared" si="21"/>
        <v>0</v>
      </c>
      <c r="P50" s="10">
        <f>Table14[[#This Row],[Enrolment S.Y. 2025-2026 ]]*8</f>
        <v>0</v>
      </c>
      <c r="Q50" s="10"/>
      <c r="R50" s="8"/>
      <c r="S50" s="10"/>
      <c r="T50" s="10">
        <f t="shared" si="9"/>
        <v>0</v>
      </c>
      <c r="U50" s="10">
        <f t="shared" si="10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1"/>
        <v>0</v>
      </c>
      <c r="AA50" s="10">
        <f t="shared" si="12"/>
        <v>0</v>
      </c>
    </row>
    <row r="51" spans="1:28" s="5" customFormat="1"/>
    <row r="52" spans="1:28" ht="38.450000000000003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ref="H21:H59" si="22">IF((D52-E52)&lt;0,0,(D52-E52))</f>
        <v>0</v>
      </c>
      <c r="I52" s="4">
        <f t="shared" si="15"/>
        <v>0</v>
      </c>
      <c r="J52" s="4">
        <f>Table14[[#This Row],[Enrolment S.Y. 2025-2026 ]]*8</f>
        <v>0</v>
      </c>
      <c r="K52" s="4"/>
      <c r="L52" s="1"/>
      <c r="M52" s="4"/>
      <c r="N52" s="4">
        <f t="shared" si="13"/>
        <v>0</v>
      </c>
      <c r="O52" s="4">
        <f t="shared" si="14"/>
        <v>0</v>
      </c>
      <c r="P52" s="4">
        <f>Table14[[#This Row],[Enrolment S.Y. 2025-2026 ]]*8</f>
        <v>0</v>
      </c>
      <c r="Q52" s="4"/>
      <c r="R52" s="1"/>
      <c r="S52" s="4"/>
      <c r="T52" s="4">
        <f t="shared" si="9"/>
        <v>0</v>
      </c>
      <c r="U52" s="4">
        <f t="shared" si="10"/>
        <v>0</v>
      </c>
      <c r="V52" s="4">
        <f>Table14[[#This Row],[Enrolment S.Y. 2025-2026 ]]*8</f>
        <v>0</v>
      </c>
      <c r="W52" s="4"/>
      <c r="X52" s="1"/>
      <c r="Y52" s="4"/>
      <c r="Z52" s="4">
        <f t="shared" si="11"/>
        <v>0</v>
      </c>
      <c r="AA52" s="4">
        <f t="shared" si="12"/>
        <v>0</v>
      </c>
    </row>
    <row r="53" spans="1:28" ht="19.149999999999999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22"/>
        <v>0</v>
      </c>
      <c r="I53" s="4">
        <f t="shared" si="15"/>
        <v>0</v>
      </c>
      <c r="J53" s="4">
        <f>Table14[[#This Row],[Enrolment S.Y. 2025-2026 ]]*8</f>
        <v>0</v>
      </c>
      <c r="K53" s="4"/>
      <c r="L53" s="1"/>
      <c r="M53" s="4"/>
      <c r="N53" s="4">
        <f t="shared" si="13"/>
        <v>0</v>
      </c>
      <c r="O53" s="4">
        <f t="shared" si="14"/>
        <v>0</v>
      </c>
      <c r="P53" s="4">
        <f>Table14[[#This Row],[Enrolment S.Y. 2025-2026 ]]*8</f>
        <v>0</v>
      </c>
      <c r="Q53" s="4"/>
      <c r="R53" s="1"/>
      <c r="S53" s="4"/>
      <c r="T53" s="4">
        <f t="shared" si="9"/>
        <v>0</v>
      </c>
      <c r="U53" s="4">
        <f t="shared" si="10"/>
        <v>0</v>
      </c>
      <c r="V53" s="4">
        <f>Table14[[#This Row],[Enrolment S.Y. 2025-2026 ]]*8</f>
        <v>0</v>
      </c>
      <c r="W53" s="4"/>
      <c r="X53" s="1"/>
      <c r="Y53" s="4"/>
      <c r="Z53" s="4">
        <f t="shared" si="11"/>
        <v>0</v>
      </c>
      <c r="AA53" s="4">
        <f t="shared" si="12"/>
        <v>0</v>
      </c>
    </row>
    <row r="54" spans="1:28" ht="19.149999999999999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22"/>
        <v>0</v>
      </c>
      <c r="I54" s="4">
        <f t="shared" si="15"/>
        <v>0</v>
      </c>
      <c r="J54" s="4">
        <f>Table14[[#This Row],[Enrolment S.Y. 2025-2026 ]]*8</f>
        <v>0</v>
      </c>
      <c r="K54" s="4"/>
      <c r="L54" s="1"/>
      <c r="M54" s="4"/>
      <c r="N54" s="4">
        <f t="shared" si="13"/>
        <v>0</v>
      </c>
      <c r="O54" s="4">
        <f t="shared" si="14"/>
        <v>0</v>
      </c>
      <c r="P54" s="4">
        <f>Table14[[#This Row],[Enrolment S.Y. 2025-2026 ]]*8</f>
        <v>0</v>
      </c>
      <c r="Q54" s="4"/>
      <c r="R54" s="1"/>
      <c r="S54" s="4"/>
      <c r="T54" s="4">
        <f t="shared" si="9"/>
        <v>0</v>
      </c>
      <c r="U54" s="4">
        <f t="shared" si="10"/>
        <v>0</v>
      </c>
      <c r="V54" s="4">
        <f>Table14[[#This Row],[Enrolment S.Y. 2025-2026 ]]*8</f>
        <v>0</v>
      </c>
      <c r="W54" s="4"/>
      <c r="X54" s="1"/>
      <c r="Y54" s="4"/>
      <c r="Z54" s="4">
        <f t="shared" si="11"/>
        <v>0</v>
      </c>
      <c r="AA54" s="4">
        <f t="shared" si="12"/>
        <v>0</v>
      </c>
    </row>
    <row r="55" spans="1:28" ht="19.149999999999999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22"/>
        <v>0</v>
      </c>
      <c r="I55" s="4">
        <f t="shared" si="15"/>
        <v>0</v>
      </c>
      <c r="J55" s="4">
        <f>Table14[[#This Row],[Enrolment S.Y. 2025-2026 ]]*8</f>
        <v>0</v>
      </c>
      <c r="K55" s="4"/>
      <c r="L55" s="1"/>
      <c r="M55" s="4"/>
      <c r="N55" s="4">
        <f t="shared" si="13"/>
        <v>0</v>
      </c>
      <c r="O55" s="4">
        <f t="shared" si="14"/>
        <v>0</v>
      </c>
      <c r="P55" s="4">
        <f>Table14[[#This Row],[Enrolment S.Y. 2025-2026 ]]*8</f>
        <v>0</v>
      </c>
      <c r="Q55" s="4"/>
      <c r="R55" s="1"/>
      <c r="S55" s="4"/>
      <c r="T55" s="4">
        <f t="shared" si="9"/>
        <v>0</v>
      </c>
      <c r="U55" s="4">
        <f t="shared" si="10"/>
        <v>0</v>
      </c>
      <c r="V55" s="4">
        <f>Table14[[#This Row],[Enrolment S.Y. 2025-2026 ]]*8</f>
        <v>0</v>
      </c>
      <c r="W55" s="4"/>
      <c r="X55" s="1"/>
      <c r="Y55" s="4"/>
      <c r="Z55" s="4">
        <f t="shared" si="11"/>
        <v>0</v>
      </c>
      <c r="AA55" s="4">
        <f t="shared" si="12"/>
        <v>0</v>
      </c>
    </row>
    <row r="56" spans="1:28" ht="38.450000000000003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22"/>
        <v>0</v>
      </c>
      <c r="I56" s="4">
        <f t="shared" si="15"/>
        <v>0</v>
      </c>
      <c r="J56" s="4">
        <f>Table14[[#This Row],[Enrolment S.Y. 2025-2026 ]]*8</f>
        <v>0</v>
      </c>
      <c r="K56" s="4"/>
      <c r="L56" s="1"/>
      <c r="M56" s="4"/>
      <c r="N56" s="4">
        <f t="shared" si="13"/>
        <v>0</v>
      </c>
      <c r="O56" s="4">
        <f t="shared" si="14"/>
        <v>0</v>
      </c>
      <c r="P56" s="4">
        <f>Table14[[#This Row],[Enrolment S.Y. 2025-2026 ]]*8</f>
        <v>0</v>
      </c>
      <c r="Q56" s="4"/>
      <c r="R56" s="1"/>
      <c r="S56" s="4"/>
      <c r="T56" s="4">
        <f t="shared" si="9"/>
        <v>0</v>
      </c>
      <c r="U56" s="4">
        <f t="shared" si="10"/>
        <v>0</v>
      </c>
      <c r="V56" s="4">
        <f>Table14[[#This Row],[Enrolment S.Y. 2025-2026 ]]*8</f>
        <v>0</v>
      </c>
      <c r="W56" s="4"/>
      <c r="X56" s="1"/>
      <c r="Y56" s="4"/>
      <c r="Z56" s="4">
        <f t="shared" si="11"/>
        <v>0</v>
      </c>
      <c r="AA56" s="4">
        <f t="shared" si="12"/>
        <v>0</v>
      </c>
    </row>
    <row r="57" spans="1:28" ht="19.149999999999999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22"/>
        <v>0</v>
      </c>
      <c r="I57" s="4">
        <f t="shared" si="15"/>
        <v>0</v>
      </c>
      <c r="J57" s="4">
        <f>Table14[[#This Row],[Enrolment S.Y. 2025-2026 ]]*8</f>
        <v>0</v>
      </c>
      <c r="K57" s="4"/>
      <c r="L57" s="1"/>
      <c r="M57" s="4"/>
      <c r="N57" s="4">
        <f t="shared" si="13"/>
        <v>0</v>
      </c>
      <c r="O57" s="4">
        <f t="shared" si="14"/>
        <v>0</v>
      </c>
      <c r="P57" s="4">
        <f>Table14[[#This Row],[Enrolment S.Y. 2025-2026 ]]*8</f>
        <v>0</v>
      </c>
      <c r="Q57" s="4"/>
      <c r="R57" s="1"/>
      <c r="S57" s="4"/>
      <c r="T57" s="4">
        <f t="shared" si="9"/>
        <v>0</v>
      </c>
      <c r="U57" s="4">
        <f t="shared" si="10"/>
        <v>0</v>
      </c>
      <c r="V57" s="4">
        <f>Table14[[#This Row],[Enrolment S.Y. 2025-2026 ]]*8</f>
        <v>0</v>
      </c>
      <c r="W57" s="4"/>
      <c r="X57" s="1"/>
      <c r="Y57" s="4"/>
      <c r="Z57" s="4">
        <f t="shared" si="11"/>
        <v>0</v>
      </c>
      <c r="AA57" s="4">
        <f t="shared" si="12"/>
        <v>0</v>
      </c>
    </row>
    <row r="58" spans="1:28" ht="38.450000000000003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22"/>
        <v>0</v>
      </c>
      <c r="I58" s="4">
        <f t="shared" si="15"/>
        <v>0</v>
      </c>
      <c r="J58" s="4">
        <f>Table14[[#This Row],[Enrolment S.Y. 2025-2026 ]]*8</f>
        <v>0</v>
      </c>
      <c r="K58" s="4"/>
      <c r="L58" s="1"/>
      <c r="M58" s="4"/>
      <c r="N58" s="4">
        <f t="shared" si="13"/>
        <v>0</v>
      </c>
      <c r="O58" s="4">
        <f t="shared" si="14"/>
        <v>0</v>
      </c>
      <c r="P58" s="4">
        <f>Table14[[#This Row],[Enrolment S.Y. 2025-2026 ]]*8</f>
        <v>0</v>
      </c>
      <c r="Q58" s="4"/>
      <c r="R58" s="1"/>
      <c r="S58" s="4"/>
      <c r="T58" s="4">
        <f t="shared" si="9"/>
        <v>0</v>
      </c>
      <c r="U58" s="4">
        <f t="shared" si="10"/>
        <v>0</v>
      </c>
      <c r="V58" s="4">
        <f>Table14[[#This Row],[Enrolment S.Y. 2025-2026 ]]*8</f>
        <v>0</v>
      </c>
      <c r="W58" s="4"/>
      <c r="X58" s="1"/>
      <c r="Y58" s="4"/>
      <c r="Z58" s="4">
        <f t="shared" si="11"/>
        <v>0</v>
      </c>
      <c r="AA58" s="4">
        <f t="shared" si="12"/>
        <v>0</v>
      </c>
    </row>
    <row r="59" spans="1:28" ht="38.450000000000003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22"/>
        <v>0</v>
      </c>
      <c r="I59" s="4">
        <f t="shared" si="15"/>
        <v>0</v>
      </c>
      <c r="J59" s="4">
        <f>Table14[[#This Row],[Enrolment S.Y. 2025-2026 ]]*8</f>
        <v>0</v>
      </c>
      <c r="K59" s="4"/>
      <c r="L59" s="1"/>
      <c r="M59" s="4"/>
      <c r="N59" s="4">
        <f t="shared" si="13"/>
        <v>0</v>
      </c>
      <c r="O59" s="4">
        <f t="shared" si="14"/>
        <v>0</v>
      </c>
      <c r="P59" s="4">
        <f>Table14[[#This Row],[Enrolment S.Y. 2025-2026 ]]*8</f>
        <v>0</v>
      </c>
      <c r="Q59" s="4"/>
      <c r="R59" s="1"/>
      <c r="S59" s="4"/>
      <c r="T59" s="4">
        <f t="shared" si="9"/>
        <v>0</v>
      </c>
      <c r="U59" s="4">
        <f t="shared" si="10"/>
        <v>0</v>
      </c>
      <c r="V59" s="4">
        <f>Table14[[#This Row],[Enrolment S.Y. 2025-2026 ]]*8</f>
        <v>0</v>
      </c>
      <c r="W59" s="4"/>
      <c r="X59" s="1"/>
      <c r="Y59" s="4"/>
      <c r="Z59" s="4">
        <f t="shared" si="11"/>
        <v>0</v>
      </c>
      <c r="AA59" s="4">
        <f t="shared" si="12"/>
        <v>0</v>
      </c>
    </row>
    <row r="60" spans="1:28" s="5" customFormat="1"/>
    <row r="61" spans="1:2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108" ht="15"/>
    <row r="109" ht="15"/>
    <row r="110" ht="15"/>
    <row r="111" ht="15"/>
    <row r="112" ht="15"/>
    <row r="113" ht="15"/>
    <row r="115" ht="15"/>
    <row r="116" ht="15"/>
    <row r="117" ht="15"/>
    <row r="118" ht="15"/>
    <row r="119" ht="15"/>
    <row r="120" ht="15"/>
    <row r="121" ht="15"/>
    <row r="122" ht="15"/>
  </sheetData>
  <protectedRanges>
    <protectedRange sqref="C28:C38 C52:C59 C40:C50 C4:C14 C16:C26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X4:X14 X16:X26 X28:X38 X40:X50 X52:X59" xr:uid="{77F72D89-8371-4D0C-A323-BD25723C617C}">
      <formula1>"2024,2025,2026"</formula1>
    </dataValidation>
    <dataValidation type="list" allowBlank="1" showInputMessage="1" showErrorMessage="1" sqref="F4:F14 F16:F26 F28:F38 F40:F50 F52:F59 L4:L14 L16:L26 L28:L38 L40:L50 L52:L59 R4:R14 R16:R26 R28:R38 R40:R50 R52:R59" xr:uid="{1E74DB62-53E4-4FFA-B38C-12D0AD554A0E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2026-03-27T04:05:37Z</dcterms:modified>
  <cp:category/>
  <cp:contentStatus/>
</cp:coreProperties>
</file>