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47B789FD-485E-4D1F-B89A-02F6BDD0A64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<sst xmlns="http://schemas.openxmlformats.org/spreadsheetml/2006/main" count="241" uniqueCount="85">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</sst>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>
        <v>430</v>
      </c>
      <c r="D43" s="1">
        <v>187</v>
      </c>
      <c r="E43" s="1">
        <v>2024</v>
      </c>
      <c r="F43" s="4" t="s">
        <v>20</v>
      </c>
      <c r="G43" s="2">
        <f t="shared" ref="G43:G50" si="8">IF((C43-D43)&lt;0,0,C43-D43)</f>
        <v>243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21</v>
      </c>
      <c r="C44" s="1">
        <v>430</v>
      </c>
      <c r="D44" s="1"/>
      <c r="E44" s="1"/>
      <c r="F44" s="4"/>
      <c r="G44" s="2">
        <f t="shared" si="8"/>
        <v>430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>
        <v>430</v>
      </c>
      <c r="D45" s="1">
        <v>187</v>
      </c>
      <c r="E45" s="1">
        <v>2024</v>
      </c>
      <c r="F45" s="4" t="s">
        <v>20</v>
      </c>
      <c r="G45" s="2">
        <f t="shared" si="8"/>
        <v>243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>
        <v>430</v>
      </c>
      <c r="D46" s="1">
        <v>187</v>
      </c>
      <c r="E46" s="1">
        <v>2025</v>
      </c>
      <c r="F46" s="4" t="s">
        <v>20</v>
      </c>
      <c r="G46" s="2">
        <f t="shared" si="8"/>
        <v>243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>
        <v>430</v>
      </c>
      <c r="D47" s="1">
        <v>187</v>
      </c>
      <c r="E47" s="1">
        <v>2025</v>
      </c>
      <c r="F47" s="4" t="s">
        <v>20</v>
      </c>
      <c r="G47" s="2">
        <f t="shared" si="8"/>
        <v>243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>
        <v>430</v>
      </c>
      <c r="D48" s="1"/>
      <c r="E48" s="1"/>
      <c r="F48" s="4"/>
      <c r="G48" s="2">
        <f t="shared" si="8"/>
        <v>430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>
        <v>430</v>
      </c>
      <c r="D49" s="1">
        <v>187</v>
      </c>
      <c r="E49" s="1">
        <v>2025</v>
      </c>
      <c r="F49" s="4" t="s">
        <v>20</v>
      </c>
      <c r="G49" s="2">
        <f t="shared" si="8"/>
        <v>243</v>
      </c>
      <c r="H49" s="3">
        <f t="shared" si="9"/>
        <v>0</v>
      </c>
    </row>
    <row r="50" spans="1:8" ht="27.75" customHeight="1">
      <c r="A50" s="1" t="s">
        <v>18</v>
      </c>
      <c r="B50" s="7" t="s">
        <v>27</v>
      </c>
      <c r="C50" s="1">
        <v>430</v>
      </c>
      <c r="D50" s="1">
        <v>187</v>
      </c>
      <c r="E50" s="1">
        <v>2025</v>
      </c>
      <c r="F50" s="4" t="s">
        <v>20</v>
      </c>
      <c r="G50" s="2">
        <f t="shared" si="8"/>
        <v>243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D43:E50 C1:E42" name="Textbooks"/>
    <protectedRange sqref="F1:F50" name="SOURCE"/>
    <protectedRange sqref="C43" name="Textbooks_1"/>
    <protectedRange sqref="C44" name="Textbooks_2"/>
    <protectedRange sqref="C45" name="Textbooks_3"/>
    <protectedRange sqref="C46" name="Textbooks_4"/>
    <protectedRange sqref="C47" name="Textbooks_5"/>
    <protectedRange sqref="C48" name="Textbooks_6"/>
    <protectedRange sqref="C49" name="Textbooks_7"/>
    <protectedRange sqref="C50" name="Textbooks_8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9"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7" t="s">
        <v>41</v>
      </c>
      <c r="N2" s="37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8" t="s">
        <v>53</v>
      </c>
      <c r="Z2" s="38" t="s">
        <v>54</v>
      </c>
      <c r="AA2" s="24" t="s">
        <v>55</v>
      </c>
    </row>
    <row r="3" spans="1:27" ht="30.6" customHeight="1">
      <c r="A3" s="36" t="s">
        <v>56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>
        <v>430</v>
      </c>
      <c r="D46" s="4">
        <f>Table1[[#This Row],[Enrolment S.Y. 2025-2026 ]]*8</f>
        <v>3440</v>
      </c>
      <c r="E46" s="4"/>
      <c r="F46" s="1"/>
      <c r="G46" s="4"/>
      <c r="H46" s="4">
        <f t="shared" si="16"/>
        <v>3440</v>
      </c>
      <c r="I46" s="4">
        <f t="shared" si="17"/>
        <v>0</v>
      </c>
      <c r="J46" s="4">
        <f>Table1[[#This Row],[Enrolment S.Y. 2025-2026 ]]*8</f>
        <v>3440</v>
      </c>
      <c r="K46" s="4"/>
      <c r="L46" s="1"/>
      <c r="M46" s="4"/>
      <c r="N46" s="4">
        <f t="shared" si="10"/>
        <v>3440</v>
      </c>
      <c r="O46" s="4">
        <f t="shared" si="11"/>
        <v>0</v>
      </c>
      <c r="P46" s="4">
        <f>Table1[[#This Row],[Enrolment S.Y. 2025-2026 ]]*8</f>
        <v>3440</v>
      </c>
      <c r="Q46" s="4"/>
      <c r="R46" s="1"/>
      <c r="S46" s="4"/>
      <c r="T46" s="4">
        <f t="shared" si="12"/>
        <v>3440</v>
      </c>
      <c r="U46" s="4">
        <f t="shared" si="13"/>
        <v>0</v>
      </c>
      <c r="V46" s="4">
        <f>Table1[[#This Row],[Enrolment S.Y. 2025-2026 ]]*8</f>
        <v>3440</v>
      </c>
      <c r="W46" s="4"/>
      <c r="X46" s="1"/>
      <c r="Y46" s="4"/>
      <c r="Z46" s="4">
        <f t="shared" si="14"/>
        <v>3440</v>
      </c>
      <c r="AA46" s="4">
        <f t="shared" si="15"/>
        <v>0</v>
      </c>
    </row>
    <row r="47" spans="1:27" ht="19.5">
      <c r="A47" s="1" t="s">
        <v>18</v>
      </c>
      <c r="B47" s="7" t="s">
        <v>21</v>
      </c>
      <c r="C47" s="1">
        <v>430</v>
      </c>
      <c r="D47" s="4">
        <f>Table1[[#This Row],[Enrolment S.Y. 2025-2026 ]]*8</f>
        <v>3440</v>
      </c>
      <c r="E47" s="4"/>
      <c r="F47" s="1"/>
      <c r="G47" s="4"/>
      <c r="H47" s="4">
        <f t="shared" si="16"/>
        <v>3440</v>
      </c>
      <c r="I47" s="4">
        <f t="shared" si="17"/>
        <v>0</v>
      </c>
      <c r="J47" s="4">
        <f>Table1[[#This Row],[Enrolment S.Y. 2025-2026 ]]*8</f>
        <v>3440</v>
      </c>
      <c r="K47" s="4"/>
      <c r="L47" s="1"/>
      <c r="M47" s="4"/>
      <c r="N47" s="4">
        <f t="shared" si="10"/>
        <v>3440</v>
      </c>
      <c r="O47" s="4">
        <f t="shared" si="11"/>
        <v>0</v>
      </c>
      <c r="P47" s="4">
        <f>Table1[[#This Row],[Enrolment S.Y. 2025-2026 ]]*8</f>
        <v>3440</v>
      </c>
      <c r="Q47" s="4"/>
      <c r="R47" s="1"/>
      <c r="S47" s="4"/>
      <c r="T47" s="4">
        <f t="shared" si="12"/>
        <v>3440</v>
      </c>
      <c r="U47" s="4">
        <f t="shared" si="13"/>
        <v>0</v>
      </c>
      <c r="V47" s="4">
        <f>Table1[[#This Row],[Enrolment S.Y. 2025-2026 ]]*8</f>
        <v>3440</v>
      </c>
      <c r="W47" s="4"/>
      <c r="X47" s="1"/>
      <c r="Y47" s="4"/>
      <c r="Z47" s="4">
        <f t="shared" si="14"/>
        <v>3440</v>
      </c>
      <c r="AA47" s="4">
        <f t="shared" si="15"/>
        <v>0</v>
      </c>
    </row>
    <row r="48" spans="1:27" ht="19.5">
      <c r="A48" s="1" t="s">
        <v>18</v>
      </c>
      <c r="B48" s="7" t="s">
        <v>22</v>
      </c>
      <c r="C48" s="1">
        <v>430</v>
      </c>
      <c r="D48" s="4">
        <f>Table1[[#This Row],[Enrolment S.Y. 2025-2026 ]]*8</f>
        <v>3440</v>
      </c>
      <c r="E48" s="4"/>
      <c r="F48" s="1"/>
      <c r="G48" s="4"/>
      <c r="H48" s="4">
        <f t="shared" si="16"/>
        <v>3440</v>
      </c>
      <c r="I48" s="4">
        <f t="shared" si="17"/>
        <v>0</v>
      </c>
      <c r="J48" s="4">
        <f>Table1[[#This Row],[Enrolment S.Y. 2025-2026 ]]*8</f>
        <v>3440</v>
      </c>
      <c r="K48" s="4"/>
      <c r="L48" s="1"/>
      <c r="M48" s="4"/>
      <c r="N48" s="4">
        <f t="shared" si="10"/>
        <v>3440</v>
      </c>
      <c r="O48" s="4">
        <f t="shared" si="11"/>
        <v>0</v>
      </c>
      <c r="P48" s="4">
        <f>Table1[[#This Row],[Enrolment S.Y. 2025-2026 ]]*8</f>
        <v>3440</v>
      </c>
      <c r="Q48" s="4"/>
      <c r="R48" s="1"/>
      <c r="S48" s="4"/>
      <c r="T48" s="4">
        <f t="shared" si="12"/>
        <v>3440</v>
      </c>
      <c r="U48" s="4">
        <f t="shared" si="13"/>
        <v>0</v>
      </c>
      <c r="V48" s="4">
        <f>Table1[[#This Row],[Enrolment S.Y. 2025-2026 ]]*8</f>
        <v>3440</v>
      </c>
      <c r="W48" s="4"/>
      <c r="X48" s="1"/>
      <c r="Y48" s="4"/>
      <c r="Z48" s="4">
        <f t="shared" si="14"/>
        <v>3440</v>
      </c>
      <c r="AA48" s="4">
        <f t="shared" si="15"/>
        <v>0</v>
      </c>
    </row>
    <row r="49" spans="1:27" ht="19.5">
      <c r="A49" s="1" t="s">
        <v>18</v>
      </c>
      <c r="B49" s="7" t="s">
        <v>23</v>
      </c>
      <c r="C49" s="1">
        <v>430</v>
      </c>
      <c r="D49" s="4">
        <f>Table1[[#This Row],[Enrolment S.Y. 2025-2026 ]]*8</f>
        <v>3440</v>
      </c>
      <c r="E49" s="4"/>
      <c r="F49" s="1"/>
      <c r="G49" s="4"/>
      <c r="H49" s="4">
        <f t="shared" si="16"/>
        <v>3440</v>
      </c>
      <c r="I49" s="4">
        <f t="shared" si="17"/>
        <v>0</v>
      </c>
      <c r="J49" s="4">
        <f>Table1[[#This Row],[Enrolment S.Y. 2025-2026 ]]*8</f>
        <v>3440</v>
      </c>
      <c r="K49" s="4"/>
      <c r="L49" s="1"/>
      <c r="M49" s="4"/>
      <c r="N49" s="4">
        <f t="shared" si="10"/>
        <v>3440</v>
      </c>
      <c r="O49" s="4">
        <f t="shared" si="11"/>
        <v>0</v>
      </c>
      <c r="P49" s="4">
        <f>Table1[[#This Row],[Enrolment S.Y. 2025-2026 ]]*8</f>
        <v>3440</v>
      </c>
      <c r="Q49" s="4"/>
      <c r="R49" s="1"/>
      <c r="S49" s="4"/>
      <c r="T49" s="4">
        <f t="shared" si="12"/>
        <v>3440</v>
      </c>
      <c r="U49" s="4">
        <f t="shared" si="13"/>
        <v>0</v>
      </c>
      <c r="V49" s="4">
        <f>Table1[[#This Row],[Enrolment S.Y. 2025-2026 ]]*8</f>
        <v>3440</v>
      </c>
      <c r="W49" s="4"/>
      <c r="X49" s="1"/>
      <c r="Y49" s="4"/>
      <c r="Z49" s="4">
        <f t="shared" si="14"/>
        <v>3440</v>
      </c>
      <c r="AA49" s="4">
        <f t="shared" si="15"/>
        <v>0</v>
      </c>
    </row>
    <row r="50" spans="1:27" ht="38.25">
      <c r="A50" s="1" t="s">
        <v>18</v>
      </c>
      <c r="B50" s="7" t="s">
        <v>24</v>
      </c>
      <c r="C50" s="1">
        <v>430</v>
      </c>
      <c r="D50" s="4">
        <f>Table1[[#This Row],[Enrolment S.Y. 2025-2026 ]]*8</f>
        <v>3440</v>
      </c>
      <c r="E50" s="4"/>
      <c r="F50" s="1"/>
      <c r="G50" s="4"/>
      <c r="H50" s="4">
        <f t="shared" si="16"/>
        <v>3440</v>
      </c>
      <c r="I50" s="4">
        <f t="shared" si="17"/>
        <v>0</v>
      </c>
      <c r="J50" s="4">
        <f>Table1[[#This Row],[Enrolment S.Y. 2025-2026 ]]*8</f>
        <v>3440</v>
      </c>
      <c r="K50" s="4"/>
      <c r="L50" s="1"/>
      <c r="M50" s="4"/>
      <c r="N50" s="4">
        <f t="shared" si="10"/>
        <v>3440</v>
      </c>
      <c r="O50" s="4">
        <f t="shared" si="11"/>
        <v>0</v>
      </c>
      <c r="P50" s="4">
        <f>Table1[[#This Row],[Enrolment S.Y. 2025-2026 ]]*8</f>
        <v>3440</v>
      </c>
      <c r="Q50" s="4"/>
      <c r="R50" s="1"/>
      <c r="S50" s="4"/>
      <c r="T50" s="4">
        <f t="shared" si="12"/>
        <v>3440</v>
      </c>
      <c r="U50" s="4">
        <f t="shared" si="13"/>
        <v>0</v>
      </c>
      <c r="V50" s="4">
        <f>Table1[[#This Row],[Enrolment S.Y. 2025-2026 ]]*8</f>
        <v>3440</v>
      </c>
      <c r="W50" s="4"/>
      <c r="X50" s="1"/>
      <c r="Y50" s="4"/>
      <c r="Z50" s="4">
        <f t="shared" si="14"/>
        <v>3440</v>
      </c>
      <c r="AA50" s="4">
        <f t="shared" si="15"/>
        <v>0</v>
      </c>
    </row>
    <row r="51" spans="1:27" ht="38.25">
      <c r="A51" s="1" t="s">
        <v>18</v>
      </c>
      <c r="B51" s="7" t="s">
        <v>25</v>
      </c>
      <c r="C51" s="1">
        <v>430</v>
      </c>
      <c r="D51" s="4">
        <f>Table1[[#This Row],[Enrolment S.Y. 2025-2026 ]]*8</f>
        <v>3440</v>
      </c>
      <c r="E51" s="4"/>
      <c r="F51" s="1"/>
      <c r="G51" s="4"/>
      <c r="H51" s="4">
        <f t="shared" si="16"/>
        <v>3440</v>
      </c>
      <c r="I51" s="4">
        <f t="shared" si="17"/>
        <v>0</v>
      </c>
      <c r="J51" s="4">
        <f>Table1[[#This Row],[Enrolment S.Y. 2025-2026 ]]*8</f>
        <v>3440</v>
      </c>
      <c r="K51" s="4"/>
      <c r="L51" s="1"/>
      <c r="M51" s="4"/>
      <c r="N51" s="4">
        <f t="shared" si="10"/>
        <v>3440</v>
      </c>
      <c r="O51" s="4">
        <f t="shared" si="11"/>
        <v>0</v>
      </c>
      <c r="P51" s="4">
        <f>Table1[[#This Row],[Enrolment S.Y. 2025-2026 ]]*8</f>
        <v>3440</v>
      </c>
      <c r="Q51" s="4"/>
      <c r="R51" s="1"/>
      <c r="S51" s="4"/>
      <c r="T51" s="4">
        <f t="shared" si="12"/>
        <v>3440</v>
      </c>
      <c r="U51" s="4">
        <f t="shared" si="13"/>
        <v>0</v>
      </c>
      <c r="V51" s="4">
        <f>Table1[[#This Row],[Enrolment S.Y. 2025-2026 ]]*8</f>
        <v>3440</v>
      </c>
      <c r="W51" s="4"/>
      <c r="X51" s="1"/>
      <c r="Y51" s="4"/>
      <c r="Z51" s="4">
        <f t="shared" si="14"/>
        <v>3440</v>
      </c>
      <c r="AA51" s="4">
        <f t="shared" si="15"/>
        <v>0</v>
      </c>
    </row>
    <row r="52" spans="1:27" s="5" customFormat="1" ht="57.75">
      <c r="A52" s="1" t="s">
        <v>18</v>
      </c>
      <c r="B52" s="7" t="s">
        <v>26</v>
      </c>
      <c r="C52" s="1">
        <v>430</v>
      </c>
      <c r="D52" s="4">
        <f>Table1[[#This Row],[Enrolment S.Y. 2025-2026 ]]*8</f>
        <v>3440</v>
      </c>
      <c r="E52" s="4"/>
      <c r="F52" s="1"/>
      <c r="G52" s="4"/>
      <c r="H52" s="4">
        <f t="shared" si="16"/>
        <v>3440</v>
      </c>
      <c r="I52" s="4">
        <f t="shared" si="17"/>
        <v>0</v>
      </c>
      <c r="J52" s="4">
        <f>Table1[[#This Row],[Enrolment S.Y. 2025-2026 ]]*8</f>
        <v>3440</v>
      </c>
      <c r="K52" s="4"/>
      <c r="L52" s="1"/>
      <c r="M52" s="4"/>
      <c r="N52" s="4">
        <f t="shared" si="10"/>
        <v>3440</v>
      </c>
      <c r="O52" s="4">
        <f t="shared" si="11"/>
        <v>0</v>
      </c>
      <c r="P52" s="4">
        <f>Table1[[#This Row],[Enrolment S.Y. 2025-2026 ]]*8</f>
        <v>3440</v>
      </c>
      <c r="Q52" s="4"/>
      <c r="R52" s="1"/>
      <c r="S52" s="4"/>
      <c r="T52" s="4">
        <f t="shared" si="12"/>
        <v>3440</v>
      </c>
      <c r="U52" s="4">
        <f t="shared" si="13"/>
        <v>0</v>
      </c>
      <c r="V52" s="4">
        <f>Table1[[#This Row],[Enrolment S.Y. 2025-2026 ]]*8</f>
        <v>3440</v>
      </c>
      <c r="W52" s="4"/>
      <c r="X52" s="1"/>
      <c r="Y52" s="4"/>
      <c r="Z52" s="4">
        <f t="shared" si="14"/>
        <v>3440</v>
      </c>
      <c r="AA52" s="4">
        <f t="shared" si="15"/>
        <v>0</v>
      </c>
    </row>
    <row r="53" spans="1:27" ht="38.25">
      <c r="A53" s="1" t="s">
        <v>18</v>
      </c>
      <c r="B53" s="7" t="s">
        <v>27</v>
      </c>
      <c r="C53" s="1">
        <v>430</v>
      </c>
      <c r="D53" s="4">
        <f>Table1[[#This Row],[Enrolment S.Y. 2025-2026 ]]*8</f>
        <v>3440</v>
      </c>
      <c r="E53" s="4"/>
      <c r="F53" s="1"/>
      <c r="G53" s="4"/>
      <c r="H53" s="4">
        <f t="shared" si="16"/>
        <v>3440</v>
      </c>
      <c r="I53" s="4">
        <f t="shared" si="17"/>
        <v>0</v>
      </c>
      <c r="J53" s="4">
        <f>Table1[[#This Row],[Enrolment S.Y. 2025-2026 ]]*8</f>
        <v>3440</v>
      </c>
      <c r="K53" s="4"/>
      <c r="L53" s="1"/>
      <c r="M53" s="4"/>
      <c r="N53" s="4">
        <f t="shared" si="10"/>
        <v>3440</v>
      </c>
      <c r="O53" s="4">
        <f t="shared" si="11"/>
        <v>0</v>
      </c>
      <c r="P53" s="4">
        <f>Table1[[#This Row],[Enrolment S.Y. 2025-2026 ]]*8</f>
        <v>3440</v>
      </c>
      <c r="Q53" s="4"/>
      <c r="R53" s="1"/>
      <c r="S53" s="4"/>
      <c r="T53" s="4">
        <f t="shared" si="12"/>
        <v>3440</v>
      </c>
      <c r="U53" s="4">
        <f t="shared" si="13"/>
        <v>0</v>
      </c>
      <c r="V53" s="4">
        <f>Table1[[#This Row],[Enrolment S.Y. 2025-2026 ]]*8</f>
        <v>3440</v>
      </c>
      <c r="W53" s="4"/>
      <c r="X53" s="1"/>
      <c r="Y53" s="4"/>
      <c r="Z53" s="4">
        <f t="shared" si="14"/>
        <v>3440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6:C14 C16:C24 C26:C34 C36:C44 C55:C70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  <protectedRange sqref="C46" name="Textbooks_1"/>
    <protectedRange sqref="C47" name="Textbooks_2"/>
    <protectedRange sqref="C48" name="Textbooks_3"/>
    <protectedRange sqref="C49" name="Textbooks_4"/>
    <protectedRange sqref="C50" name="Textbooks_5"/>
    <protectedRange sqref="C51" name="Textbooks_6"/>
    <protectedRange sqref="C52" name="Textbooks_7"/>
    <protectedRange sqref="C53" name="Textbooks_8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L55:L70 R55:R70 R46:R53 R36:R44 R26:R34 R16:R24 R6:R14 X6:X14 X16:X24 X26:X34 X36:X44 X46:X53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7" t="s">
        <v>66</v>
      </c>
      <c r="N2" s="37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8" t="s">
        <v>78</v>
      </c>
      <c r="Z2" s="38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81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83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81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83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>
        <v>430</v>
      </c>
      <c r="D52" s="4">
        <f>Table14[[#This Row],[Enrolment S.Y. 2025-2026 ]]*8</f>
        <v>3440</v>
      </c>
      <c r="E52" s="4"/>
      <c r="F52" s="1"/>
      <c r="G52" s="4"/>
      <c r="H52" s="4">
        <f t="shared" si="16"/>
        <v>3440</v>
      </c>
      <c r="I52" s="4">
        <f t="shared" si="17"/>
        <v>0</v>
      </c>
      <c r="J52" s="4">
        <f>Table14[[#This Row],[Enrolment S.Y. 2025-2026 ]]*8</f>
        <v>3440</v>
      </c>
      <c r="K52" s="4"/>
      <c r="L52" s="1"/>
      <c r="M52" s="4"/>
      <c r="N52" s="4">
        <f t="shared" si="14"/>
        <v>3440</v>
      </c>
      <c r="O52" s="4">
        <f t="shared" si="15"/>
        <v>0</v>
      </c>
      <c r="P52" s="4">
        <f>Table14[[#This Row],[Enrolment S.Y. 2025-2026 ]]*8</f>
        <v>3440</v>
      </c>
      <c r="Q52" s="4"/>
      <c r="R52" s="1"/>
      <c r="S52" s="4"/>
      <c r="T52" s="4">
        <f t="shared" si="10"/>
        <v>3440</v>
      </c>
      <c r="U52" s="4">
        <f t="shared" si="11"/>
        <v>0</v>
      </c>
      <c r="V52" s="4">
        <f>Table14[[#This Row],[Enrolment S.Y. 2025-2026 ]]*8</f>
        <v>3440</v>
      </c>
      <c r="W52" s="4"/>
      <c r="X52" s="1"/>
      <c r="Y52" s="4"/>
      <c r="Z52" s="4">
        <f t="shared" si="12"/>
        <v>3440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>
        <v>430</v>
      </c>
      <c r="D53" s="4">
        <f>Table14[[#This Row],[Enrolment S.Y. 2025-2026 ]]*8</f>
        <v>3440</v>
      </c>
      <c r="E53" s="4"/>
      <c r="F53" s="1"/>
      <c r="G53" s="4"/>
      <c r="H53" s="4">
        <f t="shared" si="16"/>
        <v>3440</v>
      </c>
      <c r="I53" s="4">
        <f t="shared" si="17"/>
        <v>0</v>
      </c>
      <c r="J53" s="4">
        <f>Table14[[#This Row],[Enrolment S.Y. 2025-2026 ]]*8</f>
        <v>3440</v>
      </c>
      <c r="K53" s="4"/>
      <c r="L53" s="1"/>
      <c r="M53" s="4"/>
      <c r="N53" s="4">
        <f t="shared" si="14"/>
        <v>3440</v>
      </c>
      <c r="O53" s="4">
        <f t="shared" si="15"/>
        <v>0</v>
      </c>
      <c r="P53" s="4">
        <f>Table14[[#This Row],[Enrolment S.Y. 2025-2026 ]]*8</f>
        <v>3440</v>
      </c>
      <c r="Q53" s="4"/>
      <c r="R53" s="1"/>
      <c r="S53" s="4"/>
      <c r="T53" s="4">
        <f t="shared" si="10"/>
        <v>3440</v>
      </c>
      <c r="U53" s="4">
        <f t="shared" si="11"/>
        <v>0</v>
      </c>
      <c r="V53" s="4">
        <f>Table14[[#This Row],[Enrolment S.Y. 2025-2026 ]]*8</f>
        <v>3440</v>
      </c>
      <c r="W53" s="4"/>
      <c r="X53" s="1"/>
      <c r="Y53" s="4"/>
      <c r="Z53" s="4">
        <f t="shared" si="12"/>
        <v>3440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>
        <v>430</v>
      </c>
      <c r="D54" s="4">
        <f>Table14[[#This Row],[Enrolment S.Y. 2025-2026 ]]*8</f>
        <v>3440</v>
      </c>
      <c r="E54" s="4"/>
      <c r="F54" s="1"/>
      <c r="G54" s="4"/>
      <c r="H54" s="4">
        <f t="shared" si="16"/>
        <v>3440</v>
      </c>
      <c r="I54" s="4">
        <f t="shared" si="17"/>
        <v>0</v>
      </c>
      <c r="J54" s="4">
        <f>Table14[[#This Row],[Enrolment S.Y. 2025-2026 ]]*8</f>
        <v>3440</v>
      </c>
      <c r="K54" s="4"/>
      <c r="L54" s="1"/>
      <c r="M54" s="4"/>
      <c r="N54" s="4">
        <f t="shared" si="14"/>
        <v>3440</v>
      </c>
      <c r="O54" s="4">
        <f t="shared" si="15"/>
        <v>0</v>
      </c>
      <c r="P54" s="4">
        <f>Table14[[#This Row],[Enrolment S.Y. 2025-2026 ]]*8</f>
        <v>3440</v>
      </c>
      <c r="Q54" s="4"/>
      <c r="R54" s="1"/>
      <c r="S54" s="4"/>
      <c r="T54" s="4">
        <f t="shared" si="10"/>
        <v>3440</v>
      </c>
      <c r="U54" s="4">
        <f t="shared" si="11"/>
        <v>0</v>
      </c>
      <c r="V54" s="4">
        <f>Table14[[#This Row],[Enrolment S.Y. 2025-2026 ]]*8</f>
        <v>3440</v>
      </c>
      <c r="W54" s="4"/>
      <c r="X54" s="1"/>
      <c r="Y54" s="4"/>
      <c r="Z54" s="4">
        <f t="shared" si="12"/>
        <v>3440</v>
      </c>
      <c r="AA54" s="4">
        <f t="shared" si="13"/>
        <v>0</v>
      </c>
    </row>
    <row r="55" spans="1:27" ht="19.5">
      <c r="A55" s="1" t="s">
        <v>18</v>
      </c>
      <c r="B55" s="7" t="s">
        <v>23</v>
      </c>
      <c r="C55" s="1">
        <v>430</v>
      </c>
      <c r="D55" s="4">
        <f>Table14[[#This Row],[Enrolment S.Y. 2025-2026 ]]*8</f>
        <v>3440</v>
      </c>
      <c r="E55" s="4"/>
      <c r="F55" s="1"/>
      <c r="G55" s="4"/>
      <c r="H55" s="4">
        <f t="shared" si="16"/>
        <v>3440</v>
      </c>
      <c r="I55" s="4">
        <f t="shared" si="17"/>
        <v>0</v>
      </c>
      <c r="J55" s="4">
        <f>Table14[[#This Row],[Enrolment S.Y. 2025-2026 ]]*8</f>
        <v>3440</v>
      </c>
      <c r="K55" s="4"/>
      <c r="L55" s="1"/>
      <c r="M55" s="4"/>
      <c r="N55" s="4">
        <f t="shared" si="14"/>
        <v>3440</v>
      </c>
      <c r="O55" s="4">
        <f t="shared" si="15"/>
        <v>0</v>
      </c>
      <c r="P55" s="4">
        <f>Table14[[#This Row],[Enrolment S.Y. 2025-2026 ]]*8</f>
        <v>3440</v>
      </c>
      <c r="Q55" s="4"/>
      <c r="R55" s="1"/>
      <c r="S55" s="4"/>
      <c r="T55" s="4">
        <f t="shared" si="10"/>
        <v>3440</v>
      </c>
      <c r="U55" s="4">
        <f t="shared" si="11"/>
        <v>0</v>
      </c>
      <c r="V55" s="4">
        <f>Table14[[#This Row],[Enrolment S.Y. 2025-2026 ]]*8</f>
        <v>3440</v>
      </c>
      <c r="W55" s="4"/>
      <c r="X55" s="1"/>
      <c r="Y55" s="4"/>
      <c r="Z55" s="4">
        <f t="shared" si="12"/>
        <v>3440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>
        <v>430</v>
      </c>
      <c r="D56" s="4">
        <f>Table14[[#This Row],[Enrolment S.Y. 2025-2026 ]]*8</f>
        <v>3440</v>
      </c>
      <c r="E56" s="4"/>
      <c r="F56" s="1"/>
      <c r="G56" s="4"/>
      <c r="H56" s="4">
        <f t="shared" si="16"/>
        <v>3440</v>
      </c>
      <c r="I56" s="4">
        <f t="shared" si="17"/>
        <v>0</v>
      </c>
      <c r="J56" s="4">
        <f>Table14[[#This Row],[Enrolment S.Y. 2025-2026 ]]*8</f>
        <v>3440</v>
      </c>
      <c r="K56" s="4"/>
      <c r="L56" s="1"/>
      <c r="M56" s="4"/>
      <c r="N56" s="4">
        <f t="shared" si="14"/>
        <v>3440</v>
      </c>
      <c r="O56" s="4">
        <f t="shared" si="15"/>
        <v>0</v>
      </c>
      <c r="P56" s="4">
        <f>Table14[[#This Row],[Enrolment S.Y. 2025-2026 ]]*8</f>
        <v>3440</v>
      </c>
      <c r="Q56" s="4"/>
      <c r="R56" s="1"/>
      <c r="S56" s="4"/>
      <c r="T56" s="4">
        <f t="shared" si="10"/>
        <v>3440</v>
      </c>
      <c r="U56" s="4">
        <f t="shared" si="11"/>
        <v>0</v>
      </c>
      <c r="V56" s="4">
        <f>Table14[[#This Row],[Enrolment S.Y. 2025-2026 ]]*8</f>
        <v>3440</v>
      </c>
      <c r="W56" s="4"/>
      <c r="X56" s="1"/>
      <c r="Y56" s="4"/>
      <c r="Z56" s="4">
        <f t="shared" si="12"/>
        <v>3440</v>
      </c>
      <c r="AA56" s="4">
        <f t="shared" si="13"/>
        <v>0</v>
      </c>
    </row>
    <row r="57" spans="1:27" ht="38.25">
      <c r="A57" s="1" t="s">
        <v>18</v>
      </c>
      <c r="B57" s="7" t="s">
        <v>25</v>
      </c>
      <c r="C57" s="1">
        <v>430</v>
      </c>
      <c r="D57" s="4">
        <f>Table14[[#This Row],[Enrolment S.Y. 2025-2026 ]]*8</f>
        <v>3440</v>
      </c>
      <c r="E57" s="4"/>
      <c r="F57" s="1"/>
      <c r="G57" s="4"/>
      <c r="H57" s="4">
        <f t="shared" si="16"/>
        <v>3440</v>
      </c>
      <c r="I57" s="4">
        <f t="shared" si="17"/>
        <v>0</v>
      </c>
      <c r="J57" s="4">
        <f>Table14[[#This Row],[Enrolment S.Y. 2025-2026 ]]*8</f>
        <v>3440</v>
      </c>
      <c r="K57" s="4"/>
      <c r="L57" s="1"/>
      <c r="M57" s="4"/>
      <c r="N57" s="4">
        <f t="shared" si="14"/>
        <v>3440</v>
      </c>
      <c r="O57" s="4">
        <f t="shared" si="15"/>
        <v>0</v>
      </c>
      <c r="P57" s="4">
        <f>Table14[[#This Row],[Enrolment S.Y. 2025-2026 ]]*8</f>
        <v>3440</v>
      </c>
      <c r="Q57" s="4"/>
      <c r="R57" s="1"/>
      <c r="S57" s="4"/>
      <c r="T57" s="4">
        <f t="shared" si="10"/>
        <v>3440</v>
      </c>
      <c r="U57" s="4">
        <f t="shared" si="11"/>
        <v>0</v>
      </c>
      <c r="V57" s="4">
        <f>Table14[[#This Row],[Enrolment S.Y. 2025-2026 ]]*8</f>
        <v>3440</v>
      </c>
      <c r="W57" s="4"/>
      <c r="X57" s="1"/>
      <c r="Y57" s="4"/>
      <c r="Z57" s="4">
        <f t="shared" si="12"/>
        <v>3440</v>
      </c>
      <c r="AA57" s="4">
        <f t="shared" si="13"/>
        <v>0</v>
      </c>
    </row>
    <row r="58" spans="1:27" ht="57.75">
      <c r="A58" s="1" t="s">
        <v>18</v>
      </c>
      <c r="B58" s="7" t="s">
        <v>26</v>
      </c>
      <c r="C58" s="1">
        <v>430</v>
      </c>
      <c r="D58" s="4">
        <f>Table14[[#This Row],[Enrolment S.Y. 2025-2026 ]]*8</f>
        <v>3440</v>
      </c>
      <c r="E58" s="4"/>
      <c r="F58" s="1"/>
      <c r="G58" s="4"/>
      <c r="H58" s="4">
        <f t="shared" si="16"/>
        <v>3440</v>
      </c>
      <c r="I58" s="4">
        <f t="shared" si="17"/>
        <v>0</v>
      </c>
      <c r="J58" s="4">
        <f>Table14[[#This Row],[Enrolment S.Y. 2025-2026 ]]*8</f>
        <v>3440</v>
      </c>
      <c r="K58" s="4"/>
      <c r="L58" s="1"/>
      <c r="M58" s="4"/>
      <c r="N58" s="4">
        <f t="shared" si="14"/>
        <v>3440</v>
      </c>
      <c r="O58" s="4">
        <f t="shared" si="15"/>
        <v>0</v>
      </c>
      <c r="P58" s="4">
        <f>Table14[[#This Row],[Enrolment S.Y. 2025-2026 ]]*8</f>
        <v>3440</v>
      </c>
      <c r="Q58" s="4"/>
      <c r="R58" s="1"/>
      <c r="S58" s="4"/>
      <c r="T58" s="4">
        <f t="shared" si="10"/>
        <v>3440</v>
      </c>
      <c r="U58" s="4">
        <f t="shared" si="11"/>
        <v>0</v>
      </c>
      <c r="V58" s="4">
        <f>Table14[[#This Row],[Enrolment S.Y. 2025-2026 ]]*8</f>
        <v>3440</v>
      </c>
      <c r="W58" s="4"/>
      <c r="X58" s="1"/>
      <c r="Y58" s="4"/>
      <c r="Z58" s="4">
        <f t="shared" si="12"/>
        <v>3440</v>
      </c>
      <c r="AA58" s="4">
        <f t="shared" si="13"/>
        <v>0</v>
      </c>
    </row>
    <row r="59" spans="1:27" ht="38.25">
      <c r="A59" s="1" t="s">
        <v>18</v>
      </c>
      <c r="B59" s="7" t="s">
        <v>27</v>
      </c>
      <c r="C59" s="1">
        <v>430</v>
      </c>
      <c r="D59" s="4">
        <f>Table14[[#This Row],[Enrolment S.Y. 2025-2026 ]]*8</f>
        <v>3440</v>
      </c>
      <c r="E59" s="4"/>
      <c r="F59" s="1"/>
      <c r="G59" s="4"/>
      <c r="H59" s="4">
        <f t="shared" si="16"/>
        <v>3440</v>
      </c>
      <c r="I59" s="4">
        <f t="shared" si="17"/>
        <v>0</v>
      </c>
      <c r="J59" s="4">
        <f>Table14[[#This Row],[Enrolment S.Y. 2025-2026 ]]*8</f>
        <v>3440</v>
      </c>
      <c r="K59" s="4"/>
      <c r="L59" s="1"/>
      <c r="M59" s="4"/>
      <c r="N59" s="4">
        <f t="shared" si="14"/>
        <v>3440</v>
      </c>
      <c r="O59" s="4">
        <f t="shared" si="15"/>
        <v>0</v>
      </c>
      <c r="P59" s="4">
        <f>Table14[[#This Row],[Enrolment S.Y. 2025-2026 ]]*8</f>
        <v>3440</v>
      </c>
      <c r="Q59" s="4"/>
      <c r="R59" s="1"/>
      <c r="S59" s="4"/>
      <c r="T59" s="4">
        <f t="shared" si="10"/>
        <v>3440</v>
      </c>
      <c r="U59" s="4">
        <f t="shared" si="11"/>
        <v>0</v>
      </c>
      <c r="V59" s="4">
        <f>Table14[[#This Row],[Enrolment S.Y. 2025-2026 ]]*8</f>
        <v>3440</v>
      </c>
      <c r="W59" s="4"/>
      <c r="X59" s="1"/>
      <c r="Y59" s="4"/>
      <c r="Z59" s="4">
        <f t="shared" si="12"/>
        <v>3440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40:C50 C28:C38 C4:C14 C16:C26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  <protectedRange sqref="C52" name="Textbooks_1"/>
    <protectedRange sqref="C53" name="Textbooks_2"/>
    <protectedRange sqref="C54" name="Textbooks_3"/>
    <protectedRange sqref="C55" name="Textbooks_4"/>
    <protectedRange sqref="C56" name="Textbooks_5"/>
    <protectedRange sqref="C57" name="Textbooks_6"/>
    <protectedRange sqref="C58" name="Textbooks_7"/>
    <protectedRange sqref="C59" name="Textbooks_8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085BA2F9-B67D-4C49-9107-0B3660D81590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2026-04-14T05:59:33Z</dcterms:modified>
  <cp:category/>
  <cp:contentStatus/>
</cp:coreProperties>
</file>