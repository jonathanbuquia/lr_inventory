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" documentId="13_ncr:1_{BFB59F67-F0DC-4675-A682-EB0734A8026A}" xr6:coauthVersionLast="47" xr6:coauthVersionMax="47" xr10:uidLastSave="{47755BD7-5174-4BBE-B7E8-799CEF25565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<sst xmlns="http://schemas.openxmlformats.org/spreadsheetml/2006/main" count="240" uniqueCount="84">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</sst>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J46" sqref="J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>
        <v>61</v>
      </c>
      <c r="D42" s="1">
        <v>63</v>
      </c>
      <c r="E42" s="1">
        <v>2024</v>
      </c>
      <c r="F42" s="4" t="s">
        <v>20</v>
      </c>
      <c r="G42" s="2">
        <f t="shared" ref="G42:G49" si="8">IF((C42-D42)&lt;0,0,C42-D42)</f>
        <v>0</v>
      </c>
      <c r="H42" s="3">
        <f t="shared" ref="H42:H49" si="9">IF((D42-C42)&lt;0,0,D42-C42)</f>
        <v>2</v>
      </c>
    </row>
    <row r="43" spans="1:8" ht="27.75" customHeight="1">
      <c r="A43" s="1" t="s">
        <v>18</v>
      </c>
      <c r="B43" s="7" t="s">
        <v>21</v>
      </c>
      <c r="C43" s="1">
        <v>61</v>
      </c>
      <c r="D43" s="1">
        <v>0</v>
      </c>
      <c r="E43" s="1"/>
      <c r="F43" s="4"/>
      <c r="G43" s="2">
        <f t="shared" si="8"/>
        <v>61</v>
      </c>
      <c r="H43" s="3">
        <f t="shared" si="9"/>
        <v>0</v>
      </c>
    </row>
    <row r="44" spans="1:8" ht="27.75" customHeight="1">
      <c r="A44" s="1" t="s">
        <v>18</v>
      </c>
      <c r="B44" s="7" t="s">
        <v>22</v>
      </c>
      <c r="C44" s="1">
        <v>61</v>
      </c>
      <c r="D44" s="1">
        <v>63</v>
      </c>
      <c r="E44" s="1">
        <v>2024</v>
      </c>
      <c r="F44" s="4" t="s">
        <v>20</v>
      </c>
      <c r="G44" s="2">
        <f t="shared" si="8"/>
        <v>0</v>
      </c>
      <c r="H44" s="3">
        <f t="shared" si="9"/>
        <v>2</v>
      </c>
    </row>
    <row r="45" spans="1:8" ht="36.75" customHeight="1">
      <c r="A45" s="1" t="s">
        <v>18</v>
      </c>
      <c r="B45" s="7" t="s">
        <v>23</v>
      </c>
      <c r="C45" s="1">
        <v>61</v>
      </c>
      <c r="D45" s="1">
        <v>63</v>
      </c>
      <c r="E45" s="1">
        <v>2025</v>
      </c>
      <c r="F45" s="4" t="s">
        <v>20</v>
      </c>
      <c r="G45" s="2">
        <f t="shared" si="8"/>
        <v>0</v>
      </c>
      <c r="H45" s="3">
        <f t="shared" si="9"/>
        <v>2</v>
      </c>
    </row>
    <row r="46" spans="1:8" ht="27.75" customHeight="1">
      <c r="A46" s="1" t="s">
        <v>18</v>
      </c>
      <c r="B46" s="7" t="s">
        <v>24</v>
      </c>
      <c r="C46" s="1">
        <v>61</v>
      </c>
      <c r="D46" s="1">
        <v>63</v>
      </c>
      <c r="E46" s="1">
        <v>2025</v>
      </c>
      <c r="F46" s="4" t="s">
        <v>20</v>
      </c>
      <c r="G46" s="2">
        <f t="shared" si="8"/>
        <v>0</v>
      </c>
      <c r="H46" s="3">
        <f t="shared" si="9"/>
        <v>2</v>
      </c>
    </row>
    <row r="47" spans="1:8" ht="27.75" customHeight="1">
      <c r="A47" s="1" t="s">
        <v>18</v>
      </c>
      <c r="B47" s="7" t="s">
        <v>25</v>
      </c>
      <c r="C47" s="1">
        <v>61</v>
      </c>
      <c r="D47" s="1">
        <v>63</v>
      </c>
      <c r="E47" s="1">
        <v>2025</v>
      </c>
      <c r="F47" s="4" t="s">
        <v>20</v>
      </c>
      <c r="G47" s="2">
        <f t="shared" si="8"/>
        <v>0</v>
      </c>
      <c r="H47" s="3">
        <f t="shared" si="9"/>
        <v>2</v>
      </c>
    </row>
    <row r="48" spans="1:8" ht="27.75" customHeight="1">
      <c r="A48" s="1" t="s">
        <v>18</v>
      </c>
      <c r="B48" s="7" t="s">
        <v>26</v>
      </c>
      <c r="C48" s="1">
        <v>61</v>
      </c>
      <c r="D48" s="1">
        <v>0</v>
      </c>
      <c r="E48" s="1"/>
      <c r="F48" s="4"/>
      <c r="G48" s="2">
        <f t="shared" si="8"/>
        <v>61</v>
      </c>
      <c r="H48" s="3">
        <f t="shared" si="9"/>
        <v>0</v>
      </c>
    </row>
    <row r="49" spans="1:8" ht="27.75" customHeight="1">
      <c r="A49" s="1" t="s">
        <v>18</v>
      </c>
      <c r="B49" s="7" t="s">
        <v>27</v>
      </c>
      <c r="C49" s="1">
        <v>61</v>
      </c>
      <c r="D49" s="1">
        <v>63</v>
      </c>
      <c r="E49" s="1">
        <v>2025</v>
      </c>
      <c r="F49" s="4" t="s">
        <v>20</v>
      </c>
      <c r="G49" s="2">
        <f t="shared" si="8"/>
        <v>0</v>
      </c>
      <c r="H49" s="3">
        <f t="shared" si="9"/>
        <v>2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P1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>
        <v>61</v>
      </c>
      <c r="D43" s="4">
        <f>Table1[[#This Row],[Enrolment S.Y. 2025-2026 ]]*8</f>
        <v>488</v>
      </c>
      <c r="E43" s="4">
        <v>0</v>
      </c>
      <c r="F43" s="1"/>
      <c r="G43" s="4"/>
      <c r="H43" s="4">
        <f t="shared" si="14"/>
        <v>488</v>
      </c>
      <c r="I43" s="4">
        <f t="shared" si="15"/>
        <v>0</v>
      </c>
      <c r="J43" s="4">
        <f>Table1[[#This Row],[Enrolment S.Y. 2025-2026 ]]*8</f>
        <v>488</v>
      </c>
      <c r="K43" s="4"/>
      <c r="L43" s="1"/>
      <c r="M43" s="4"/>
      <c r="N43" s="4">
        <f t="shared" si="8"/>
        <v>488</v>
      </c>
      <c r="O43" s="4">
        <f t="shared" si="9"/>
        <v>0</v>
      </c>
      <c r="P43" s="4">
        <f>Table1[[#This Row],[Enrolment S.Y. 2025-2026 ]]*8</f>
        <v>488</v>
      </c>
      <c r="Q43" s="4"/>
      <c r="R43" s="1"/>
      <c r="S43" s="4"/>
      <c r="T43" s="4">
        <f t="shared" si="10"/>
        <v>488</v>
      </c>
      <c r="U43" s="4">
        <f t="shared" si="11"/>
        <v>0</v>
      </c>
      <c r="V43" s="4">
        <f>Table1[[#This Row],[Enrolment S.Y. 2025-2026 ]]*8</f>
        <v>488</v>
      </c>
      <c r="W43" s="4"/>
      <c r="X43" s="1"/>
      <c r="Y43" s="4"/>
      <c r="Z43" s="4">
        <f t="shared" si="12"/>
        <v>488</v>
      </c>
      <c r="AA43" s="4">
        <f t="shared" si="13"/>
        <v>0</v>
      </c>
    </row>
    <row r="44" spans="1:27" ht="19.5">
      <c r="A44" s="1" t="s">
        <v>18</v>
      </c>
      <c r="B44" s="7" t="s">
        <v>21</v>
      </c>
      <c r="C44" s="1">
        <v>61</v>
      </c>
      <c r="D44" s="4">
        <f>Table1[[#This Row],[Enrolment S.Y. 2025-2026 ]]*8</f>
        <v>488</v>
      </c>
      <c r="E44" s="4">
        <v>0</v>
      </c>
      <c r="F44" s="1"/>
      <c r="G44" s="4"/>
      <c r="H44" s="4">
        <f t="shared" si="14"/>
        <v>488</v>
      </c>
      <c r="I44" s="4">
        <f t="shared" si="15"/>
        <v>0</v>
      </c>
      <c r="J44" s="4">
        <f>Table1[[#This Row],[Enrolment S.Y. 2025-2026 ]]*8</f>
        <v>488</v>
      </c>
      <c r="K44" s="4"/>
      <c r="L44" s="1"/>
      <c r="M44" s="4"/>
      <c r="N44" s="4">
        <f t="shared" si="8"/>
        <v>488</v>
      </c>
      <c r="O44" s="4">
        <f t="shared" si="9"/>
        <v>0</v>
      </c>
      <c r="P44" s="4">
        <f>Table1[[#This Row],[Enrolment S.Y. 2025-2026 ]]*8</f>
        <v>488</v>
      </c>
      <c r="Q44" s="4"/>
      <c r="R44" s="1"/>
      <c r="S44" s="4"/>
      <c r="T44" s="4">
        <f t="shared" si="10"/>
        <v>488</v>
      </c>
      <c r="U44" s="4">
        <f t="shared" si="11"/>
        <v>0</v>
      </c>
      <c r="V44" s="4">
        <f>Table1[[#This Row],[Enrolment S.Y. 2025-2026 ]]*8</f>
        <v>488</v>
      </c>
      <c r="W44" s="4"/>
      <c r="X44" s="1"/>
      <c r="Y44" s="4"/>
      <c r="Z44" s="4">
        <f t="shared" si="12"/>
        <v>488</v>
      </c>
      <c r="AA44" s="4">
        <f t="shared" si="13"/>
        <v>0</v>
      </c>
    </row>
    <row r="45" spans="1:27" ht="19.5">
      <c r="A45" s="1" t="s">
        <v>18</v>
      </c>
      <c r="B45" s="7" t="s">
        <v>22</v>
      </c>
      <c r="C45" s="1">
        <v>61</v>
      </c>
      <c r="D45" s="4">
        <f>Table1[[#This Row],[Enrolment S.Y. 2025-2026 ]]*8</f>
        <v>488</v>
      </c>
      <c r="E45" s="4">
        <v>0</v>
      </c>
      <c r="F45" s="1"/>
      <c r="G45" s="4"/>
      <c r="H45" s="4">
        <f t="shared" si="14"/>
        <v>488</v>
      </c>
      <c r="I45" s="4">
        <f t="shared" si="15"/>
        <v>0</v>
      </c>
      <c r="J45" s="4">
        <f>Table1[[#This Row],[Enrolment S.Y. 2025-2026 ]]*8</f>
        <v>488</v>
      </c>
      <c r="K45" s="4"/>
      <c r="L45" s="1"/>
      <c r="M45" s="4"/>
      <c r="N45" s="4">
        <f t="shared" si="8"/>
        <v>488</v>
      </c>
      <c r="O45" s="4">
        <f t="shared" si="9"/>
        <v>0</v>
      </c>
      <c r="P45" s="4">
        <f>Table1[[#This Row],[Enrolment S.Y. 2025-2026 ]]*8</f>
        <v>488</v>
      </c>
      <c r="Q45" s="4"/>
      <c r="R45" s="1"/>
      <c r="S45" s="4"/>
      <c r="T45" s="4">
        <f t="shared" si="10"/>
        <v>488</v>
      </c>
      <c r="U45" s="4">
        <f t="shared" si="11"/>
        <v>0</v>
      </c>
      <c r="V45" s="4">
        <f>Table1[[#This Row],[Enrolment S.Y. 2025-2026 ]]*8</f>
        <v>488</v>
      </c>
      <c r="W45" s="4"/>
      <c r="X45" s="1"/>
      <c r="Y45" s="4"/>
      <c r="Z45" s="4">
        <f t="shared" si="12"/>
        <v>488</v>
      </c>
      <c r="AA45" s="4">
        <f t="shared" si="13"/>
        <v>0</v>
      </c>
    </row>
    <row r="46" spans="1:27" ht="19.5">
      <c r="A46" s="1" t="s">
        <v>18</v>
      </c>
      <c r="B46" s="7" t="s">
        <v>23</v>
      </c>
      <c r="C46" s="1">
        <v>61</v>
      </c>
      <c r="D46" s="4">
        <f>Table1[[#This Row],[Enrolment S.Y. 2025-2026 ]]*8</f>
        <v>488</v>
      </c>
      <c r="E46" s="4">
        <v>0</v>
      </c>
      <c r="F46" s="1"/>
      <c r="G46" s="4"/>
      <c r="H46" s="4">
        <f t="shared" si="14"/>
        <v>488</v>
      </c>
      <c r="I46" s="4">
        <f t="shared" si="15"/>
        <v>0</v>
      </c>
      <c r="J46" s="4">
        <f>Table1[[#This Row],[Enrolment S.Y. 2025-2026 ]]*8</f>
        <v>488</v>
      </c>
      <c r="K46" s="4"/>
      <c r="L46" s="1"/>
      <c r="M46" s="4"/>
      <c r="N46" s="4">
        <f t="shared" si="8"/>
        <v>488</v>
      </c>
      <c r="O46" s="4">
        <f t="shared" si="9"/>
        <v>0</v>
      </c>
      <c r="P46" s="4">
        <f>Table1[[#This Row],[Enrolment S.Y. 2025-2026 ]]*8</f>
        <v>488</v>
      </c>
      <c r="Q46" s="4"/>
      <c r="R46" s="1"/>
      <c r="S46" s="4"/>
      <c r="T46" s="4">
        <f t="shared" si="10"/>
        <v>488</v>
      </c>
      <c r="U46" s="4">
        <f t="shared" si="11"/>
        <v>0</v>
      </c>
      <c r="V46" s="4">
        <f>Table1[[#This Row],[Enrolment S.Y. 2025-2026 ]]*8</f>
        <v>488</v>
      </c>
      <c r="W46" s="4"/>
      <c r="X46" s="1"/>
      <c r="Y46" s="4"/>
      <c r="Z46" s="4">
        <f t="shared" si="12"/>
        <v>488</v>
      </c>
      <c r="AA46" s="4">
        <f t="shared" si="13"/>
        <v>0</v>
      </c>
    </row>
    <row r="47" spans="1:27" ht="38.25">
      <c r="A47" s="1" t="s">
        <v>18</v>
      </c>
      <c r="B47" s="7" t="s">
        <v>24</v>
      </c>
      <c r="C47" s="1">
        <v>61</v>
      </c>
      <c r="D47" s="4">
        <f>Table1[[#This Row],[Enrolment S.Y. 2025-2026 ]]*8</f>
        <v>488</v>
      </c>
      <c r="E47" s="4">
        <v>0</v>
      </c>
      <c r="F47" s="1"/>
      <c r="G47" s="4"/>
      <c r="H47" s="4">
        <f t="shared" si="14"/>
        <v>488</v>
      </c>
      <c r="I47" s="4">
        <f t="shared" si="15"/>
        <v>0</v>
      </c>
      <c r="J47" s="4">
        <f>Table1[[#This Row],[Enrolment S.Y. 2025-2026 ]]*8</f>
        <v>488</v>
      </c>
      <c r="K47" s="4"/>
      <c r="L47" s="1"/>
      <c r="M47" s="4"/>
      <c r="N47" s="4">
        <f t="shared" si="8"/>
        <v>488</v>
      </c>
      <c r="O47" s="4">
        <f t="shared" si="9"/>
        <v>0</v>
      </c>
      <c r="P47" s="4">
        <f>Table1[[#This Row],[Enrolment S.Y. 2025-2026 ]]*8</f>
        <v>488</v>
      </c>
      <c r="Q47" s="4"/>
      <c r="R47" s="1"/>
      <c r="S47" s="4"/>
      <c r="T47" s="4">
        <f t="shared" si="10"/>
        <v>488</v>
      </c>
      <c r="U47" s="4">
        <f t="shared" si="11"/>
        <v>0</v>
      </c>
      <c r="V47" s="4">
        <f>Table1[[#This Row],[Enrolment S.Y. 2025-2026 ]]*8</f>
        <v>488</v>
      </c>
      <c r="W47" s="4"/>
      <c r="X47" s="1"/>
      <c r="Y47" s="4"/>
      <c r="Z47" s="4">
        <f t="shared" si="12"/>
        <v>488</v>
      </c>
      <c r="AA47" s="4">
        <f t="shared" si="13"/>
        <v>0</v>
      </c>
    </row>
    <row r="48" spans="1:27" ht="38.25">
      <c r="A48" s="1" t="s">
        <v>18</v>
      </c>
      <c r="B48" s="7" t="s">
        <v>25</v>
      </c>
      <c r="C48" s="1">
        <v>61</v>
      </c>
      <c r="D48" s="4">
        <f>Table1[[#This Row],[Enrolment S.Y. 2025-2026 ]]*8</f>
        <v>488</v>
      </c>
      <c r="E48" s="4">
        <v>0</v>
      </c>
      <c r="F48" s="1"/>
      <c r="G48" s="4"/>
      <c r="H48" s="4">
        <f t="shared" si="14"/>
        <v>488</v>
      </c>
      <c r="I48" s="4">
        <f t="shared" si="15"/>
        <v>0</v>
      </c>
      <c r="J48" s="4">
        <f>Table1[[#This Row],[Enrolment S.Y. 2025-2026 ]]*8</f>
        <v>488</v>
      </c>
      <c r="K48" s="4"/>
      <c r="L48" s="1"/>
      <c r="M48" s="4"/>
      <c r="N48" s="4">
        <f t="shared" si="8"/>
        <v>488</v>
      </c>
      <c r="O48" s="4">
        <f t="shared" si="9"/>
        <v>0</v>
      </c>
      <c r="P48" s="4">
        <f>Table1[[#This Row],[Enrolment S.Y. 2025-2026 ]]*8</f>
        <v>488</v>
      </c>
      <c r="Q48" s="4"/>
      <c r="R48" s="1"/>
      <c r="S48" s="4"/>
      <c r="T48" s="4">
        <f t="shared" si="10"/>
        <v>488</v>
      </c>
      <c r="U48" s="4">
        <f t="shared" si="11"/>
        <v>0</v>
      </c>
      <c r="V48" s="4">
        <f>Table1[[#This Row],[Enrolment S.Y. 2025-2026 ]]*8</f>
        <v>488</v>
      </c>
      <c r="W48" s="4"/>
      <c r="X48" s="1"/>
      <c r="Y48" s="4"/>
      <c r="Z48" s="4">
        <f t="shared" si="12"/>
        <v>488</v>
      </c>
      <c r="AA48" s="4">
        <f t="shared" si="13"/>
        <v>0</v>
      </c>
    </row>
    <row r="49" spans="1:27" ht="57.75">
      <c r="A49" s="1" t="s">
        <v>18</v>
      </c>
      <c r="B49" s="7" t="s">
        <v>26</v>
      </c>
      <c r="C49" s="1">
        <v>61</v>
      </c>
      <c r="D49" s="4">
        <f>Table1[[#This Row],[Enrolment S.Y. 2025-2026 ]]*8</f>
        <v>488</v>
      </c>
      <c r="E49" s="4">
        <v>0</v>
      </c>
      <c r="F49" s="1"/>
      <c r="G49" s="4"/>
      <c r="H49" s="4">
        <f t="shared" si="14"/>
        <v>488</v>
      </c>
      <c r="I49" s="4">
        <f t="shared" si="15"/>
        <v>0</v>
      </c>
      <c r="J49" s="4">
        <f>Table1[[#This Row],[Enrolment S.Y. 2025-2026 ]]*8</f>
        <v>488</v>
      </c>
      <c r="K49" s="4"/>
      <c r="L49" s="1"/>
      <c r="M49" s="4"/>
      <c r="N49" s="4">
        <f t="shared" si="8"/>
        <v>488</v>
      </c>
      <c r="O49" s="4">
        <f t="shared" si="9"/>
        <v>0</v>
      </c>
      <c r="P49" s="4">
        <f>Table1[[#This Row],[Enrolment S.Y. 2025-2026 ]]*8</f>
        <v>488</v>
      </c>
      <c r="Q49" s="4"/>
      <c r="R49" s="1"/>
      <c r="S49" s="4"/>
      <c r="T49" s="4">
        <f t="shared" si="10"/>
        <v>488</v>
      </c>
      <c r="U49" s="4">
        <f t="shared" si="11"/>
        <v>0</v>
      </c>
      <c r="V49" s="4">
        <f>Table1[[#This Row],[Enrolment S.Y. 2025-2026 ]]*8</f>
        <v>488</v>
      </c>
      <c r="W49" s="4"/>
      <c r="X49" s="1"/>
      <c r="Y49" s="4"/>
      <c r="Z49" s="4">
        <f t="shared" si="12"/>
        <v>488</v>
      </c>
      <c r="AA49" s="4">
        <f t="shared" si="13"/>
        <v>0</v>
      </c>
    </row>
    <row r="50" spans="1:27" ht="38.25">
      <c r="A50" s="1" t="s">
        <v>18</v>
      </c>
      <c r="B50" s="7" t="s">
        <v>27</v>
      </c>
      <c r="C50" s="1">
        <v>61</v>
      </c>
      <c r="D50" s="4">
        <f>Table1[[#This Row],[Enrolment S.Y. 2025-2026 ]]*8</f>
        <v>488</v>
      </c>
      <c r="E50" s="4">
        <v>0</v>
      </c>
      <c r="F50" s="1"/>
      <c r="G50" s="4"/>
      <c r="H50" s="4">
        <f t="shared" si="14"/>
        <v>488</v>
      </c>
      <c r="I50" s="4">
        <f t="shared" si="15"/>
        <v>0</v>
      </c>
      <c r="J50" s="4">
        <f>Table1[[#This Row],[Enrolment S.Y. 2025-2026 ]]*8</f>
        <v>488</v>
      </c>
      <c r="K50" s="4"/>
      <c r="L50" s="1"/>
      <c r="M50" s="4"/>
      <c r="N50" s="4">
        <f t="shared" si="8"/>
        <v>488</v>
      </c>
      <c r="O50" s="4">
        <f t="shared" si="9"/>
        <v>0</v>
      </c>
      <c r="P50" s="4">
        <f>Table1[[#This Row],[Enrolment S.Y. 2025-2026 ]]*8</f>
        <v>488</v>
      </c>
      <c r="Q50" s="4"/>
      <c r="R50" s="1"/>
      <c r="S50" s="4"/>
      <c r="T50" s="4">
        <f t="shared" si="10"/>
        <v>488</v>
      </c>
      <c r="U50" s="4">
        <f t="shared" si="11"/>
        <v>0</v>
      </c>
      <c r="V50" s="4">
        <f>Table1[[#This Row],[Enrolment S.Y. 2025-2026 ]]*8</f>
        <v>488</v>
      </c>
      <c r="W50" s="4"/>
      <c r="X50" s="1"/>
      <c r="Y50" s="4"/>
      <c r="Z50" s="4">
        <f t="shared" si="12"/>
        <v>488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52:C67 C13:C21 C23:C31 C33:C41 C2:C11" name="Textbooks"/>
    <protectedRange sqref="Q43:R50 W43:X50 D52:F67 H52:I67 N67:R67 W52:X67 V2:X2 Q52:R66 P2:R2 D43:F50 N3:P66 T3:V67 J3:J67 K3:L11 K13:L21 K23:L31 K33:L41 K43:L50 K52:L67 Z3:AA67 D2:F11 H3:I11 Q3:R11 W3:X11 D13:F21 H13:I21 Q13:R21 W13:X21 D23:F31 H23:I31 Q23:R31 W23:X31 D33:F41 H33:I41 Q33:R41 W33:X41 H43:I50 J2:L2" name="LAS"/>
    <protectedRange sqref="S2:U2 M2:O2 Y2:AA2 Y3:Y50 G52:G67 M52:M67 S52:S67 Y52:Y67 G13:G21 G23:G31 S3:S50 G33:G41 G43:G50 M3:M50 G3:G11 G2:I2" name="SOURCE"/>
    <protectedRange sqref="C43:C5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R1" zoomScale="55" zoomScaleNormal="55" workbookViewId="0">
      <selection activeCell="AD51" sqref="AD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>
        <v>61</v>
      </c>
      <c r="D51" s="4">
        <f>Table14[[#This Row],[Enrolment S.Y. 2025-2026 ]]*8</f>
        <v>488</v>
      </c>
      <c r="E51" s="4">
        <v>0</v>
      </c>
      <c r="F51" s="1"/>
      <c r="G51" s="4"/>
      <c r="H51" s="4">
        <f t="shared" si="16"/>
        <v>488</v>
      </c>
      <c r="I51" s="4">
        <f t="shared" si="17"/>
        <v>0</v>
      </c>
      <c r="J51" s="4">
        <f>Table14[[#This Row],[Enrolment S.Y. 2025-2026 ]]*8</f>
        <v>488</v>
      </c>
      <c r="K51" s="4"/>
      <c r="L51" s="1"/>
      <c r="M51" s="4"/>
      <c r="N51" s="4">
        <f t="shared" si="14"/>
        <v>488</v>
      </c>
      <c r="O51" s="4">
        <f t="shared" si="15"/>
        <v>0</v>
      </c>
      <c r="P51" s="4">
        <f>Table14[[#This Row],[Enrolment S.Y. 2025-2026 ]]*8</f>
        <v>488</v>
      </c>
      <c r="Q51" s="4"/>
      <c r="R51" s="1"/>
      <c r="S51" s="4"/>
      <c r="T51" s="4">
        <f t="shared" si="10"/>
        <v>488</v>
      </c>
      <c r="U51" s="4">
        <f t="shared" si="11"/>
        <v>0</v>
      </c>
      <c r="V51" s="4">
        <f>Table14[[#This Row],[Enrolment S.Y. 2025-2026 ]]*8</f>
        <v>488</v>
      </c>
      <c r="W51" s="4"/>
      <c r="X51" s="1"/>
      <c r="Y51" s="4"/>
      <c r="Z51" s="4">
        <f t="shared" si="12"/>
        <v>488</v>
      </c>
      <c r="AA51" s="4">
        <f t="shared" si="13"/>
        <v>0</v>
      </c>
    </row>
    <row r="52" spans="1:27" ht="19.5">
      <c r="A52" s="1" t="s">
        <v>18</v>
      </c>
      <c r="B52" s="7" t="s">
        <v>21</v>
      </c>
      <c r="C52" s="1">
        <v>61</v>
      </c>
      <c r="D52" s="4">
        <f>Table14[[#This Row],[Enrolment S.Y. 2025-2026 ]]*8</f>
        <v>488</v>
      </c>
      <c r="E52" s="4">
        <v>0</v>
      </c>
      <c r="F52" s="1"/>
      <c r="G52" s="4"/>
      <c r="H52" s="4">
        <f t="shared" si="16"/>
        <v>488</v>
      </c>
      <c r="I52" s="4">
        <f t="shared" si="17"/>
        <v>0</v>
      </c>
      <c r="J52" s="4">
        <f>Table14[[#This Row],[Enrolment S.Y. 2025-2026 ]]*8</f>
        <v>488</v>
      </c>
      <c r="K52" s="4"/>
      <c r="L52" s="1"/>
      <c r="M52" s="4"/>
      <c r="N52" s="4">
        <f t="shared" si="14"/>
        <v>488</v>
      </c>
      <c r="O52" s="4">
        <f t="shared" si="15"/>
        <v>0</v>
      </c>
      <c r="P52" s="4">
        <f>Table14[[#This Row],[Enrolment S.Y. 2025-2026 ]]*8</f>
        <v>488</v>
      </c>
      <c r="Q52" s="4"/>
      <c r="R52" s="1"/>
      <c r="S52" s="4"/>
      <c r="T52" s="4">
        <f t="shared" si="10"/>
        <v>488</v>
      </c>
      <c r="U52" s="4">
        <f t="shared" si="11"/>
        <v>0</v>
      </c>
      <c r="V52" s="4">
        <f>Table14[[#This Row],[Enrolment S.Y. 2025-2026 ]]*8</f>
        <v>488</v>
      </c>
      <c r="W52" s="4"/>
      <c r="X52" s="1"/>
      <c r="Y52" s="4"/>
      <c r="Z52" s="4">
        <f t="shared" si="12"/>
        <v>488</v>
      </c>
      <c r="AA52" s="4">
        <f t="shared" si="13"/>
        <v>0</v>
      </c>
    </row>
    <row r="53" spans="1:27" ht="19.5">
      <c r="A53" s="1" t="s">
        <v>18</v>
      </c>
      <c r="B53" s="7" t="s">
        <v>22</v>
      </c>
      <c r="C53" s="1">
        <v>61</v>
      </c>
      <c r="D53" s="4">
        <f>Table14[[#This Row],[Enrolment S.Y. 2025-2026 ]]*8</f>
        <v>488</v>
      </c>
      <c r="E53" s="4">
        <v>0</v>
      </c>
      <c r="F53" s="1"/>
      <c r="G53" s="4"/>
      <c r="H53" s="4">
        <f t="shared" si="16"/>
        <v>488</v>
      </c>
      <c r="I53" s="4">
        <f t="shared" si="17"/>
        <v>0</v>
      </c>
      <c r="J53" s="4">
        <f>Table14[[#This Row],[Enrolment S.Y. 2025-2026 ]]*8</f>
        <v>488</v>
      </c>
      <c r="K53" s="4"/>
      <c r="L53" s="1"/>
      <c r="M53" s="4"/>
      <c r="N53" s="4">
        <f t="shared" si="14"/>
        <v>488</v>
      </c>
      <c r="O53" s="4">
        <f t="shared" si="15"/>
        <v>0</v>
      </c>
      <c r="P53" s="4">
        <f>Table14[[#This Row],[Enrolment S.Y. 2025-2026 ]]*8</f>
        <v>488</v>
      </c>
      <c r="Q53" s="4"/>
      <c r="R53" s="1"/>
      <c r="S53" s="4"/>
      <c r="T53" s="4">
        <f t="shared" si="10"/>
        <v>488</v>
      </c>
      <c r="U53" s="4">
        <f t="shared" si="11"/>
        <v>0</v>
      </c>
      <c r="V53" s="4">
        <f>Table14[[#This Row],[Enrolment S.Y. 2025-2026 ]]*8</f>
        <v>488</v>
      </c>
      <c r="W53" s="4"/>
      <c r="X53" s="1"/>
      <c r="Y53" s="4"/>
      <c r="Z53" s="4">
        <f t="shared" si="12"/>
        <v>488</v>
      </c>
      <c r="AA53" s="4">
        <f t="shared" si="13"/>
        <v>0</v>
      </c>
    </row>
    <row r="54" spans="1:27" s="5" customFormat="1" ht="19.5">
      <c r="A54" s="1" t="s">
        <v>18</v>
      </c>
      <c r="B54" s="7" t="s">
        <v>23</v>
      </c>
      <c r="C54" s="1">
        <v>61</v>
      </c>
      <c r="D54" s="4">
        <f>Table14[[#This Row],[Enrolment S.Y. 2025-2026 ]]*8</f>
        <v>488</v>
      </c>
      <c r="E54" s="4">
        <v>0</v>
      </c>
      <c r="F54" s="1"/>
      <c r="G54" s="4"/>
      <c r="H54" s="4">
        <f t="shared" si="16"/>
        <v>488</v>
      </c>
      <c r="I54" s="4">
        <f t="shared" si="17"/>
        <v>0</v>
      </c>
      <c r="J54" s="4">
        <f>Table14[[#This Row],[Enrolment S.Y. 2025-2026 ]]*8</f>
        <v>488</v>
      </c>
      <c r="K54" s="4"/>
      <c r="L54" s="1"/>
      <c r="M54" s="4"/>
      <c r="N54" s="4">
        <f t="shared" si="14"/>
        <v>488</v>
      </c>
      <c r="O54" s="4">
        <f t="shared" si="15"/>
        <v>0</v>
      </c>
      <c r="P54" s="4">
        <f>Table14[[#This Row],[Enrolment S.Y. 2025-2026 ]]*8</f>
        <v>488</v>
      </c>
      <c r="Q54" s="4"/>
      <c r="R54" s="1"/>
      <c r="S54" s="4"/>
      <c r="T54" s="4">
        <f t="shared" si="10"/>
        <v>488</v>
      </c>
      <c r="U54" s="4">
        <f t="shared" si="11"/>
        <v>0</v>
      </c>
      <c r="V54" s="4">
        <f>Table14[[#This Row],[Enrolment S.Y. 2025-2026 ]]*8</f>
        <v>488</v>
      </c>
      <c r="W54" s="4"/>
      <c r="X54" s="1"/>
      <c r="Y54" s="4"/>
      <c r="Z54" s="4">
        <f t="shared" si="12"/>
        <v>488</v>
      </c>
      <c r="AA54" s="4">
        <f t="shared" si="13"/>
        <v>0</v>
      </c>
    </row>
    <row r="55" spans="1:27" ht="38.25">
      <c r="A55" s="1" t="s">
        <v>18</v>
      </c>
      <c r="B55" s="7" t="s">
        <v>24</v>
      </c>
      <c r="C55" s="1">
        <v>61</v>
      </c>
      <c r="D55" s="4">
        <f>Table14[[#This Row],[Enrolment S.Y. 2025-2026 ]]*8</f>
        <v>488</v>
      </c>
      <c r="E55" s="4">
        <v>0</v>
      </c>
      <c r="F55" s="1"/>
      <c r="G55" s="4"/>
      <c r="H55" s="4">
        <f t="shared" si="16"/>
        <v>488</v>
      </c>
      <c r="I55" s="4">
        <f t="shared" si="17"/>
        <v>0</v>
      </c>
      <c r="J55" s="4">
        <f>Table14[[#This Row],[Enrolment S.Y. 2025-2026 ]]*8</f>
        <v>488</v>
      </c>
      <c r="K55" s="4"/>
      <c r="L55" s="1"/>
      <c r="M55" s="4"/>
      <c r="N55" s="4">
        <f t="shared" si="14"/>
        <v>488</v>
      </c>
      <c r="O55" s="4">
        <f t="shared" si="15"/>
        <v>0</v>
      </c>
      <c r="P55" s="4">
        <f>Table14[[#This Row],[Enrolment S.Y. 2025-2026 ]]*8</f>
        <v>488</v>
      </c>
      <c r="Q55" s="4"/>
      <c r="R55" s="1"/>
      <c r="S55" s="4"/>
      <c r="T55" s="4">
        <f t="shared" si="10"/>
        <v>488</v>
      </c>
      <c r="U55" s="4">
        <f t="shared" si="11"/>
        <v>0</v>
      </c>
      <c r="V55" s="4">
        <f>Table14[[#This Row],[Enrolment S.Y. 2025-2026 ]]*8</f>
        <v>488</v>
      </c>
      <c r="W55" s="4"/>
      <c r="X55" s="1"/>
      <c r="Y55" s="4"/>
      <c r="Z55" s="4">
        <f t="shared" si="12"/>
        <v>488</v>
      </c>
      <c r="AA55" s="4">
        <f t="shared" si="13"/>
        <v>0</v>
      </c>
    </row>
    <row r="56" spans="1:27" ht="38.25">
      <c r="A56" s="1" t="s">
        <v>18</v>
      </c>
      <c r="B56" s="7" t="s">
        <v>25</v>
      </c>
      <c r="C56" s="1">
        <v>61</v>
      </c>
      <c r="D56" s="4">
        <f>Table14[[#This Row],[Enrolment S.Y. 2025-2026 ]]*8</f>
        <v>488</v>
      </c>
      <c r="E56" s="4">
        <v>0</v>
      </c>
      <c r="F56" s="1"/>
      <c r="G56" s="4"/>
      <c r="H56" s="4">
        <f t="shared" si="16"/>
        <v>488</v>
      </c>
      <c r="I56" s="4">
        <f t="shared" si="17"/>
        <v>0</v>
      </c>
      <c r="J56" s="4">
        <f>Table14[[#This Row],[Enrolment S.Y. 2025-2026 ]]*8</f>
        <v>488</v>
      </c>
      <c r="K56" s="4"/>
      <c r="L56" s="1"/>
      <c r="M56" s="4"/>
      <c r="N56" s="4">
        <f t="shared" si="14"/>
        <v>488</v>
      </c>
      <c r="O56" s="4">
        <f t="shared" si="15"/>
        <v>0</v>
      </c>
      <c r="P56" s="4">
        <f>Table14[[#This Row],[Enrolment S.Y. 2025-2026 ]]*8</f>
        <v>488</v>
      </c>
      <c r="Q56" s="4"/>
      <c r="R56" s="1"/>
      <c r="S56" s="4"/>
      <c r="T56" s="4">
        <f t="shared" si="10"/>
        <v>488</v>
      </c>
      <c r="U56" s="4">
        <f t="shared" si="11"/>
        <v>0</v>
      </c>
      <c r="V56" s="4">
        <f>Table14[[#This Row],[Enrolment S.Y. 2025-2026 ]]*8</f>
        <v>488</v>
      </c>
      <c r="W56" s="4"/>
      <c r="X56" s="1"/>
      <c r="Y56" s="4"/>
      <c r="Z56" s="4">
        <f t="shared" si="12"/>
        <v>488</v>
      </c>
      <c r="AA56" s="4">
        <f t="shared" si="13"/>
        <v>0</v>
      </c>
    </row>
    <row r="57" spans="1:27" ht="57.75">
      <c r="A57" s="1" t="s">
        <v>18</v>
      </c>
      <c r="B57" s="7" t="s">
        <v>26</v>
      </c>
      <c r="C57" s="1">
        <v>61</v>
      </c>
      <c r="D57" s="4">
        <f>Table14[[#This Row],[Enrolment S.Y. 2025-2026 ]]*8</f>
        <v>488</v>
      </c>
      <c r="E57" s="4">
        <v>0</v>
      </c>
      <c r="F57" s="1"/>
      <c r="G57" s="4"/>
      <c r="H57" s="4">
        <f t="shared" si="16"/>
        <v>488</v>
      </c>
      <c r="I57" s="4">
        <f t="shared" si="17"/>
        <v>0</v>
      </c>
      <c r="J57" s="4">
        <f>Table14[[#This Row],[Enrolment S.Y. 2025-2026 ]]*8</f>
        <v>488</v>
      </c>
      <c r="K57" s="4"/>
      <c r="L57" s="1"/>
      <c r="M57" s="4"/>
      <c r="N57" s="4">
        <f t="shared" si="14"/>
        <v>488</v>
      </c>
      <c r="O57" s="4">
        <f t="shared" si="15"/>
        <v>0</v>
      </c>
      <c r="P57" s="4">
        <f>Table14[[#This Row],[Enrolment S.Y. 2025-2026 ]]*8</f>
        <v>488</v>
      </c>
      <c r="Q57" s="4"/>
      <c r="R57" s="1"/>
      <c r="S57" s="4"/>
      <c r="T57" s="4">
        <f t="shared" si="10"/>
        <v>488</v>
      </c>
      <c r="U57" s="4">
        <f t="shared" si="11"/>
        <v>0</v>
      </c>
      <c r="V57" s="4">
        <f>Table14[[#This Row],[Enrolment S.Y. 2025-2026 ]]*8</f>
        <v>488</v>
      </c>
      <c r="W57" s="4"/>
      <c r="X57" s="1"/>
      <c r="Y57" s="4"/>
      <c r="Z57" s="4">
        <f t="shared" si="12"/>
        <v>488</v>
      </c>
      <c r="AA57" s="4">
        <f t="shared" si="13"/>
        <v>0</v>
      </c>
    </row>
    <row r="58" spans="1:27" ht="38.25">
      <c r="A58" s="1" t="s">
        <v>18</v>
      </c>
      <c r="B58" s="7" t="s">
        <v>27</v>
      </c>
      <c r="C58" s="1">
        <v>61</v>
      </c>
      <c r="D58" s="4">
        <f>Table14[[#This Row],[Enrolment S.Y. 2025-2026 ]]*8</f>
        <v>488</v>
      </c>
      <c r="E58" s="4">
        <v>0</v>
      </c>
      <c r="F58" s="1"/>
      <c r="G58" s="4"/>
      <c r="H58" s="4">
        <f t="shared" si="16"/>
        <v>488</v>
      </c>
      <c r="I58" s="4">
        <f t="shared" si="17"/>
        <v>0</v>
      </c>
      <c r="J58" s="4">
        <f>Table14[[#This Row],[Enrolment S.Y. 2025-2026 ]]*8</f>
        <v>488</v>
      </c>
      <c r="K58" s="4"/>
      <c r="L58" s="1"/>
      <c r="M58" s="4"/>
      <c r="N58" s="4">
        <f t="shared" si="14"/>
        <v>488</v>
      </c>
      <c r="O58" s="4">
        <f t="shared" si="15"/>
        <v>0</v>
      </c>
      <c r="P58" s="4">
        <f>Table14[[#This Row],[Enrolment S.Y. 2025-2026 ]]*8</f>
        <v>488</v>
      </c>
      <c r="Q58" s="4"/>
      <c r="R58" s="1"/>
      <c r="S58" s="4"/>
      <c r="T58" s="4">
        <f t="shared" si="10"/>
        <v>488</v>
      </c>
      <c r="U58" s="4">
        <f t="shared" si="11"/>
        <v>0</v>
      </c>
      <c r="V58" s="4">
        <f>Table14[[#This Row],[Enrolment S.Y. 2025-2026 ]]*8</f>
        <v>488</v>
      </c>
      <c r="W58" s="4"/>
      <c r="X58" s="1"/>
      <c r="Y58" s="4"/>
      <c r="Z58" s="4">
        <f t="shared" si="12"/>
        <v>488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39:C49 C27:C37 C15:C25 C2:C13" name="Textbooks"/>
    <protectedRange sqref="J2:L2 N27:R37 N39:R49 D51:F58 N3:R13 N15:R25 P2:R2 D15:F25 D27:F37 T3:X13 V2:X2 Z3:AA13 H3:L13 T15:X25 Z15:AA25 H15:L25 T27:X37 Z27:AA37 H27:L37 T39:X49 Z39:AA49 H39:L49 N51:R58 T51:X58 Z51:AA58 H51:L58 D39:F49 D2:F13" name="LAS"/>
    <protectedRange sqref="G2:I2 M2:O2 S2:U2 Y2:AA2 Y51:Y58 G51:G58 M51:M58 S51:S58 Y3:Y13 G3:G13 M3:M13 S3:S13 Y15:Y25 G15:G25 M15:M25 S15:S25 Y27:Y37 G27:G37 M27:M37 S27:S37 Y39:Y49 G39:G49 M39:M49 S39:S49" name="SOURCE"/>
    <protectedRange sqref="C51:C58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L19 F51:F58 F39:F49 F27:F37 F15:F25 F3:F13 L51:L58 L39:L49 L27:L37 L15:L25 L3:L13 R51:R58 R39:R49 R27:R37 R15:R25 R3:R13 X51:X58 X39:X49 X27:X37 X15:X25 X3:X13" xr:uid="{69BA776B-6F10-4CAF-A54B-3E86DC3F8C4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2026-04-14T03:43:00Z</dcterms:modified>
  <cp:category/>
  <cp:contentStatus/>
</cp:coreProperties>
</file>