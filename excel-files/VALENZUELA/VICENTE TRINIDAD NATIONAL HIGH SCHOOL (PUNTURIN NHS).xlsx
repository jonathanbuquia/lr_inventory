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04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90" documentId="13_ncr:1_{BFB59F67-F0DC-4675-A682-EB0734A8026A}" xr6:coauthVersionLast="47" xr6:coauthVersionMax="47" xr10:uidLastSave="{4A49A6B5-011A-41B8-AC79-99E1F72830CA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4" i="1" l="1"/>
  <c r="H84" i="1"/>
  <c r="G73" i="1"/>
  <c r="H73" i="1"/>
  <c r="G74" i="1"/>
  <c r="H74" i="1"/>
  <c r="H103" i="1"/>
  <c r="G103" i="1"/>
  <c r="H102" i="1"/>
  <c r="G102" i="1"/>
  <c r="H101" i="1"/>
  <c r="G101" i="1"/>
  <c r="H100" i="1"/>
  <c r="G100" i="1"/>
  <c r="N109" i="5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104" i="1"/>
  <c r="G104" i="1"/>
  <c r="H99" i="1"/>
  <c r="G99" i="1"/>
  <c r="H98" i="1"/>
  <c r="G98" i="1"/>
  <c r="H97" i="1"/>
  <c r="G97" i="1"/>
  <c r="H96" i="1"/>
  <c r="G96" i="1"/>
  <c r="H95" i="1"/>
  <c r="G95" i="1"/>
  <c r="H94" i="1"/>
  <c r="G94" i="1"/>
  <c r="H93" i="1"/>
  <c r="G93" i="1"/>
  <c r="H91" i="1"/>
  <c r="G91" i="1"/>
  <c r="H90" i="1"/>
  <c r="G90" i="1"/>
  <c r="H89" i="1"/>
  <c r="G89" i="1"/>
  <c r="H88" i="1"/>
  <c r="G88" i="1"/>
  <c r="H87" i="1"/>
  <c r="G87" i="1"/>
  <c r="H86" i="1"/>
  <c r="G86" i="1"/>
  <c r="H85" i="1"/>
  <c r="G85" i="1"/>
  <c r="H83" i="1"/>
  <c r="G83" i="1"/>
  <c r="H82" i="1"/>
  <c r="G82" i="1"/>
  <c r="H80" i="1"/>
  <c r="G80" i="1"/>
  <c r="H79" i="1"/>
  <c r="G79" i="1"/>
  <c r="H78" i="1"/>
  <c r="G78" i="1"/>
  <c r="H77" i="1"/>
  <c r="G77" i="1"/>
  <c r="H76" i="1"/>
  <c r="G76" i="1"/>
  <c r="H75" i="1"/>
  <c r="G75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12" i="4" l="1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<sst xmlns="http://schemas.openxmlformats.org/spreadsheetml/2006/main" count="416" uniqueCount="97">
  <si>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</si>
  <si>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</si>
  <si>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</si>
  <si>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</si>
  <si>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</si>
  <si>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</si>
  <si>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</si>
  <si>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</si>
  <si>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</si>
  <si>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</si>
  <si>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</si>
  <si>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</si>
  <si>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</si>
  <si>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</si>
  <si>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</si>
  <si>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</si>
  <si>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</si>
  <si>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</si>
  <si>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</si>
  <si>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</si>
  <si>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</si>
  <si>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</si>
  <si>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</si>
  <si>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</si>
  <si>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Noli Me Tangere</t>
  </si>
  <si>
    <t>El Filibusterismo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</si>
  <si>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</si>
  <si>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</si>
  <si>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</si>
  <si>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</si>
  <si>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</si>
  <si>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</si>
  <si>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</si>
  <si>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</si>
  <si>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</si>
  <si>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Creative Writing</t>
  </si>
  <si>
    <t>Trends, Networks and Critical Thinking in the 21st Century</t>
  </si>
  <si>
    <t>Philippine Politics and Governance</t>
  </si>
  <si>
    <t>Business Finance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</si>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</sst>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51" totalsRowShown="0" headerRowDxfId="62" headerRowBorderDxfId="60" tableBorderDxfId="61">
  <autoFilter ref="A1:H151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6"/>
  <sheetViews>
    <sheetView zoomScale="85" zoomScaleNormal="85" workbookViewId="0">
      <pane xSplit="2" topLeftCell="C10" activePane="topRight" state="frozen"/>
      <selection pane="topRight" activeCell="K102" sqref="K102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>
        <v>297</v>
      </c>
      <c r="D51" s="10">
        <v>323</v>
      </c>
      <c r="E51" s="10">
        <v>2025</v>
      </c>
      <c r="F51" s="12" t="s">
        <v>20</v>
      </c>
      <c r="G51" s="3">
        <f t="shared" ref="G51:G59" si="10">IF((C51-D51)&lt;0,0,C51-D51)</f>
        <v>0</v>
      </c>
      <c r="H51" s="4">
        <f t="shared" ref="H51:H59" si="11">IF((D51-C51)&lt;0,0,D51-C51)</f>
        <v>26</v>
      </c>
    </row>
    <row r="52" spans="1:8" ht="27.75" customHeight="1">
      <c r="A52" s="10">
        <v>7</v>
      </c>
      <c r="B52" s="11" t="s">
        <v>15</v>
      </c>
      <c r="C52" s="10">
        <v>297</v>
      </c>
      <c r="D52" s="10"/>
      <c r="E52" s="10"/>
      <c r="F52" s="12"/>
      <c r="G52" s="3">
        <f t="shared" si="10"/>
        <v>297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>
        <v>297</v>
      </c>
      <c r="D53" s="10">
        <v>285</v>
      </c>
      <c r="E53" s="10">
        <v>2024</v>
      </c>
      <c r="F53" s="12" t="s">
        <v>20</v>
      </c>
      <c r="G53" s="3">
        <f t="shared" si="10"/>
        <v>12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>
        <v>297</v>
      </c>
      <c r="D54" s="10"/>
      <c r="E54" s="10"/>
      <c r="F54" s="12"/>
      <c r="G54" s="3">
        <f t="shared" si="10"/>
        <v>297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>
        <v>297</v>
      </c>
      <c r="D55" s="10">
        <v>323</v>
      </c>
      <c r="E55" s="10">
        <v>2025</v>
      </c>
      <c r="F55" s="12" t="s">
        <v>20</v>
      </c>
      <c r="G55" s="3">
        <f t="shared" si="10"/>
        <v>0</v>
      </c>
      <c r="H55" s="4">
        <f t="shared" si="11"/>
        <v>26</v>
      </c>
    </row>
    <row r="56" spans="1:8" ht="27.75" customHeight="1">
      <c r="A56" s="10">
        <v>7</v>
      </c>
      <c r="B56" s="11" t="s">
        <v>13</v>
      </c>
      <c r="C56" s="10">
        <v>297</v>
      </c>
      <c r="D56" s="10">
        <v>323</v>
      </c>
      <c r="E56" s="10">
        <v>2024</v>
      </c>
      <c r="F56" s="12" t="s">
        <v>20</v>
      </c>
      <c r="G56" s="3">
        <f t="shared" si="10"/>
        <v>0</v>
      </c>
      <c r="H56" s="4">
        <f t="shared" si="11"/>
        <v>26</v>
      </c>
    </row>
    <row r="57" spans="1:8" ht="27.75" customHeight="1">
      <c r="A57" s="10">
        <v>7</v>
      </c>
      <c r="B57" s="11" t="s">
        <v>17</v>
      </c>
      <c r="C57" s="10">
        <v>297</v>
      </c>
      <c r="D57" s="10">
        <v>323</v>
      </c>
      <c r="E57" s="10">
        <v>2025</v>
      </c>
      <c r="F57" s="12" t="s">
        <v>20</v>
      </c>
      <c r="G57" s="3">
        <f t="shared" si="10"/>
        <v>0</v>
      </c>
      <c r="H57" s="4">
        <f t="shared" si="11"/>
        <v>26</v>
      </c>
    </row>
    <row r="58" spans="1:8" ht="27.75" customHeight="1">
      <c r="A58" s="10">
        <v>7</v>
      </c>
      <c r="B58" s="11" t="s">
        <v>22</v>
      </c>
      <c r="C58" s="10">
        <v>297</v>
      </c>
      <c r="D58" s="10">
        <v>323</v>
      </c>
      <c r="E58" s="10">
        <v>2024</v>
      </c>
      <c r="F58" s="12" t="s">
        <v>20</v>
      </c>
      <c r="G58" s="3">
        <f t="shared" si="10"/>
        <v>0</v>
      </c>
      <c r="H58" s="4">
        <f t="shared" si="11"/>
        <v>26</v>
      </c>
    </row>
    <row r="59" spans="1:8" ht="27.75" customHeight="1">
      <c r="A59" s="10">
        <v>7</v>
      </c>
      <c r="B59" s="11" t="s">
        <v>19</v>
      </c>
      <c r="C59" s="10">
        <v>297</v>
      </c>
      <c r="D59" s="10"/>
      <c r="E59" s="10"/>
      <c r="F59" s="12"/>
      <c r="G59" s="3">
        <f t="shared" si="10"/>
        <v>297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>
        <v>316</v>
      </c>
      <c r="D61" s="10"/>
      <c r="E61" s="10"/>
      <c r="F61" s="12"/>
      <c r="G61" s="3">
        <f t="shared" ref="G61:G69" si="12">IF((C61-D61)&lt;0,0,C61-D61)</f>
        <v>316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>
        <v>316</v>
      </c>
      <c r="D62" s="10"/>
      <c r="E62" s="10"/>
      <c r="F62" s="12"/>
      <c r="G62" s="3">
        <f t="shared" si="12"/>
        <v>316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>
        <v>316</v>
      </c>
      <c r="D63" s="10">
        <v>271</v>
      </c>
      <c r="E63" s="10">
        <v>2025</v>
      </c>
      <c r="F63" s="12" t="s">
        <v>20</v>
      </c>
      <c r="G63" s="3">
        <f t="shared" si="12"/>
        <v>45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>
        <v>316</v>
      </c>
      <c r="D64" s="10">
        <v>271</v>
      </c>
      <c r="E64" s="10">
        <v>2025</v>
      </c>
      <c r="F64" s="12" t="s">
        <v>20</v>
      </c>
      <c r="G64" s="3">
        <f t="shared" si="12"/>
        <v>45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>
        <v>316</v>
      </c>
      <c r="D65" s="10"/>
      <c r="E65" s="10"/>
      <c r="F65" s="12"/>
      <c r="G65" s="3">
        <f t="shared" si="12"/>
        <v>316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>
        <v>316</v>
      </c>
      <c r="D66" s="10"/>
      <c r="E66" s="10"/>
      <c r="F66" s="12"/>
      <c r="G66" s="3">
        <f t="shared" si="12"/>
        <v>316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>
        <v>316</v>
      </c>
      <c r="D67" s="10"/>
      <c r="E67" s="10"/>
      <c r="F67" s="12"/>
      <c r="G67" s="3">
        <f t="shared" si="12"/>
        <v>316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>
        <v>316</v>
      </c>
      <c r="D68" s="10"/>
      <c r="E68" s="10"/>
      <c r="F68" s="12"/>
      <c r="G68" s="3">
        <f t="shared" si="12"/>
        <v>316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>
        <v>316</v>
      </c>
      <c r="D69" s="10"/>
      <c r="E69" s="10"/>
      <c r="F69" s="12"/>
      <c r="G69" s="3">
        <f t="shared" si="12"/>
        <v>316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80" si="14">IF((C71-D71)&lt;0,0,C71-D71)</f>
        <v>0</v>
      </c>
      <c r="H71" s="4">
        <f t="shared" ref="H71:H80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24</v>
      </c>
      <c r="C73" s="10">
        <v>296</v>
      </c>
      <c r="D73" s="10">
        <v>376</v>
      </c>
      <c r="E73" s="10">
        <v>2024</v>
      </c>
      <c r="F73" s="12" t="s">
        <v>20</v>
      </c>
      <c r="G73" s="3">
        <f t="shared" ref="G73:G74" si="16">IF((C73-D73)&lt;0,0,C73-D73)</f>
        <v>0</v>
      </c>
      <c r="H73" s="4">
        <f t="shared" ref="H73:H74" si="17">IF((D73-C73)&lt;0,0,D73-C73)</f>
        <v>80</v>
      </c>
    </row>
    <row r="74" spans="1:8" ht="27.75" customHeight="1">
      <c r="A74" s="10">
        <v>9</v>
      </c>
      <c r="B74" s="11" t="s">
        <v>12</v>
      </c>
      <c r="C74" s="10"/>
      <c r="D74" s="10"/>
      <c r="E74" s="10"/>
      <c r="F74" s="12"/>
      <c r="G74" s="3">
        <f t="shared" si="16"/>
        <v>0</v>
      </c>
      <c r="H74" s="4">
        <f t="shared" si="17"/>
        <v>0</v>
      </c>
    </row>
    <row r="75" spans="1:8" ht="27.75" customHeight="1">
      <c r="A75" s="10">
        <v>9</v>
      </c>
      <c r="B75" s="11" t="s">
        <v>21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23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13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17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22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10">
        <v>9</v>
      </c>
      <c r="B80" s="11" t="s">
        <v>19</v>
      </c>
      <c r="C80" s="10"/>
      <c r="D80" s="10"/>
      <c r="E80" s="10"/>
      <c r="F80" s="12"/>
      <c r="G80" s="3">
        <f t="shared" si="14"/>
        <v>0</v>
      </c>
      <c r="H80" s="4">
        <f t="shared" si="15"/>
        <v>0</v>
      </c>
    </row>
    <row r="81" spans="1:8" ht="27.75" customHeight="1">
      <c r="A81" s="7"/>
      <c r="B81" s="8"/>
      <c r="C81" s="8"/>
      <c r="D81" s="8"/>
      <c r="E81" s="8"/>
      <c r="F81" s="7"/>
      <c r="G81" s="7"/>
      <c r="H81" s="7"/>
    </row>
    <row r="82" spans="1:8" ht="27.75" customHeight="1">
      <c r="A82" s="10">
        <v>10</v>
      </c>
      <c r="B82" s="11" t="s">
        <v>14</v>
      </c>
      <c r="C82" s="10"/>
      <c r="D82" s="10"/>
      <c r="E82" s="10"/>
      <c r="F82" s="12"/>
      <c r="G82" s="3">
        <f t="shared" ref="G82:G91" si="18">IF((C82-D82)&lt;0,0,C82-D82)</f>
        <v>0</v>
      </c>
      <c r="H82" s="4">
        <f t="shared" ref="H82:H91" si="19">IF((D82-C82)&lt;0,0,D82-C82)</f>
        <v>0</v>
      </c>
    </row>
    <row r="83" spans="1:8" ht="27.75" customHeight="1">
      <c r="A83" s="10">
        <v>10</v>
      </c>
      <c r="B83" s="11" t="s">
        <v>15</v>
      </c>
      <c r="C83" s="10"/>
      <c r="D83" s="10"/>
      <c r="E83" s="10"/>
      <c r="F83" s="12"/>
      <c r="G83" s="3">
        <f t="shared" si="18"/>
        <v>0</v>
      </c>
      <c r="H83" s="4">
        <f t="shared" si="19"/>
        <v>0</v>
      </c>
    </row>
    <row r="84" spans="1:8" ht="27.75" customHeight="1">
      <c r="A84" s="10">
        <v>10</v>
      </c>
      <c r="B84" s="11" t="s">
        <v>25</v>
      </c>
      <c r="C84" s="10">
        <v>268</v>
      </c>
      <c r="D84" s="10">
        <v>338</v>
      </c>
      <c r="E84" s="10">
        <v>2024</v>
      </c>
      <c r="F84" s="12" t="s">
        <v>20</v>
      </c>
      <c r="G84" s="3">
        <f t="shared" ref="G84" si="20">IF((C84-D84)&lt;0,0,C84-D84)</f>
        <v>0</v>
      </c>
      <c r="H84" s="4">
        <f t="shared" ref="H84" si="21">IF((D84-C84)&lt;0,0,D84-C84)</f>
        <v>70</v>
      </c>
    </row>
    <row r="85" spans="1:8" ht="27.75" customHeight="1">
      <c r="A85" s="10">
        <v>10</v>
      </c>
      <c r="B85" s="11" t="s">
        <v>12</v>
      </c>
      <c r="C85" s="10"/>
      <c r="D85" s="10"/>
      <c r="E85" s="10"/>
      <c r="F85" s="12"/>
      <c r="G85" s="3">
        <f t="shared" si="18"/>
        <v>0</v>
      </c>
      <c r="H85" s="4">
        <f t="shared" si="19"/>
        <v>0</v>
      </c>
    </row>
    <row r="86" spans="1:8" ht="27.75" customHeight="1">
      <c r="A86" s="10">
        <v>10</v>
      </c>
      <c r="B86" s="11" t="s">
        <v>21</v>
      </c>
      <c r="C86" s="10"/>
      <c r="D86" s="10"/>
      <c r="E86" s="10"/>
      <c r="F86" s="12"/>
      <c r="G86" s="3">
        <f t="shared" si="18"/>
        <v>0</v>
      </c>
      <c r="H86" s="4">
        <f t="shared" si="19"/>
        <v>0</v>
      </c>
    </row>
    <row r="87" spans="1:8" ht="27.75" customHeight="1">
      <c r="A87" s="10">
        <v>10</v>
      </c>
      <c r="B87" s="11" t="s">
        <v>23</v>
      </c>
      <c r="C87" s="10"/>
      <c r="D87" s="10"/>
      <c r="E87" s="10"/>
      <c r="F87" s="12"/>
      <c r="G87" s="3">
        <f t="shared" si="18"/>
        <v>0</v>
      </c>
      <c r="H87" s="4">
        <f t="shared" si="19"/>
        <v>0</v>
      </c>
    </row>
    <row r="88" spans="1:8" ht="27.75" customHeight="1">
      <c r="A88" s="10">
        <v>10</v>
      </c>
      <c r="B88" s="11" t="s">
        <v>13</v>
      </c>
      <c r="C88" s="10"/>
      <c r="D88" s="10"/>
      <c r="E88" s="10"/>
      <c r="F88" s="12"/>
      <c r="G88" s="3">
        <f t="shared" si="18"/>
        <v>0</v>
      </c>
      <c r="H88" s="4">
        <f t="shared" si="19"/>
        <v>0</v>
      </c>
    </row>
    <row r="89" spans="1:8" ht="27.75" customHeight="1">
      <c r="A89" s="10">
        <v>10</v>
      </c>
      <c r="B89" s="11" t="s">
        <v>17</v>
      </c>
      <c r="C89" s="10"/>
      <c r="D89" s="10"/>
      <c r="E89" s="10"/>
      <c r="F89" s="12"/>
      <c r="G89" s="3">
        <f t="shared" si="18"/>
        <v>0</v>
      </c>
      <c r="H89" s="4">
        <f t="shared" si="19"/>
        <v>0</v>
      </c>
    </row>
    <row r="90" spans="1:8" ht="27.75" customHeight="1">
      <c r="A90" s="10">
        <v>10</v>
      </c>
      <c r="B90" s="11" t="s">
        <v>22</v>
      </c>
      <c r="C90" s="10"/>
      <c r="D90" s="10"/>
      <c r="E90" s="10"/>
      <c r="F90" s="12"/>
      <c r="G90" s="3">
        <f t="shared" si="18"/>
        <v>0</v>
      </c>
      <c r="H90" s="4">
        <f t="shared" si="19"/>
        <v>0</v>
      </c>
    </row>
    <row r="91" spans="1:8" ht="27.75" customHeight="1">
      <c r="A91" s="10">
        <v>10</v>
      </c>
      <c r="B91" s="11" t="s">
        <v>19</v>
      </c>
      <c r="C91" s="10"/>
      <c r="D91" s="10"/>
      <c r="E91" s="10"/>
      <c r="F91" s="12"/>
      <c r="G91" s="3">
        <f t="shared" si="18"/>
        <v>0</v>
      </c>
      <c r="H91" s="4">
        <f t="shared" si="19"/>
        <v>0</v>
      </c>
    </row>
    <row r="92" spans="1:8" ht="27.75" customHeight="1">
      <c r="A92" s="7"/>
      <c r="B92" s="7"/>
      <c r="C92" s="8"/>
      <c r="D92" s="8"/>
      <c r="E92" s="8"/>
      <c r="F92" s="7"/>
      <c r="G92" s="7"/>
      <c r="H92" s="7"/>
    </row>
    <row r="93" spans="1:8" ht="38.25">
      <c r="A93" s="1" t="s">
        <v>26</v>
      </c>
      <c r="B93" s="9" t="s">
        <v>27</v>
      </c>
      <c r="C93" s="1"/>
      <c r="D93" s="1"/>
      <c r="E93" s="1"/>
      <c r="F93" s="5"/>
      <c r="G93" s="3">
        <f t="shared" ref="G93:G104" si="22">IF((C93-D93)&lt;0,0,C93-D93)</f>
        <v>0</v>
      </c>
      <c r="H93" s="4">
        <f t="shared" ref="H93:H104" si="23">IF((D93-C93)&lt;0,0,D93-C93)</f>
        <v>0</v>
      </c>
    </row>
    <row r="94" spans="1:8" ht="19.5">
      <c r="A94" s="1" t="s">
        <v>26</v>
      </c>
      <c r="B94" s="9" t="s">
        <v>28</v>
      </c>
      <c r="C94" s="1"/>
      <c r="D94" s="1"/>
      <c r="E94" s="1"/>
      <c r="F94" s="5"/>
      <c r="G94" s="3">
        <f t="shared" si="22"/>
        <v>0</v>
      </c>
      <c r="H94" s="4">
        <f t="shared" si="23"/>
        <v>0</v>
      </c>
    </row>
    <row r="95" spans="1:8" ht="19.5">
      <c r="A95" s="1" t="s">
        <v>26</v>
      </c>
      <c r="B95" s="9" t="s">
        <v>29</v>
      </c>
      <c r="C95" s="1"/>
      <c r="D95" s="1"/>
      <c r="E95" s="1"/>
      <c r="F95" s="5"/>
      <c r="G95" s="3">
        <f t="shared" si="22"/>
        <v>0</v>
      </c>
      <c r="H95" s="4">
        <f t="shared" si="23"/>
        <v>0</v>
      </c>
    </row>
    <row r="96" spans="1:8" ht="19.5">
      <c r="A96" s="1" t="s">
        <v>26</v>
      </c>
      <c r="B96" s="9" t="s">
        <v>30</v>
      </c>
      <c r="C96" s="1">
        <v>362</v>
      </c>
      <c r="D96" s="1">
        <v>384</v>
      </c>
      <c r="E96" s="1">
        <v>2025</v>
      </c>
      <c r="F96" s="5" t="s">
        <v>20</v>
      </c>
      <c r="G96" s="3">
        <f t="shared" si="22"/>
        <v>0</v>
      </c>
      <c r="H96" s="4">
        <f t="shared" si="23"/>
        <v>22</v>
      </c>
    </row>
    <row r="97" spans="1:8" ht="38.25">
      <c r="A97" s="1" t="s">
        <v>26</v>
      </c>
      <c r="B97" s="9" t="s">
        <v>31</v>
      </c>
      <c r="C97" s="1">
        <v>362</v>
      </c>
      <c r="D97" s="1">
        <v>384</v>
      </c>
      <c r="E97" s="1">
        <v>2025</v>
      </c>
      <c r="F97" s="5" t="s">
        <v>20</v>
      </c>
      <c r="G97" s="3">
        <f t="shared" si="22"/>
        <v>0</v>
      </c>
      <c r="H97" s="4">
        <f t="shared" si="23"/>
        <v>22</v>
      </c>
    </row>
    <row r="98" spans="1:8" ht="38.25">
      <c r="A98" s="1" t="s">
        <v>26</v>
      </c>
      <c r="B98" s="9" t="s">
        <v>32</v>
      </c>
      <c r="C98" s="1"/>
      <c r="D98" s="1"/>
      <c r="E98" s="1"/>
      <c r="F98" s="5"/>
      <c r="G98" s="3">
        <f t="shared" si="22"/>
        <v>0</v>
      </c>
      <c r="H98" s="4">
        <f t="shared" si="23"/>
        <v>0</v>
      </c>
    </row>
    <row r="99" spans="1:8" ht="57.75">
      <c r="A99" s="1" t="s">
        <v>26</v>
      </c>
      <c r="B99" s="9" t="s">
        <v>33</v>
      </c>
      <c r="C99" s="1">
        <v>362</v>
      </c>
      <c r="D99" s="1">
        <v>384</v>
      </c>
      <c r="E99" s="1">
        <v>2025</v>
      </c>
      <c r="F99" s="5" t="s">
        <v>20</v>
      </c>
      <c r="G99" s="3">
        <f t="shared" si="22"/>
        <v>0</v>
      </c>
      <c r="H99" s="4">
        <f t="shared" si="23"/>
        <v>22</v>
      </c>
    </row>
    <row r="100" spans="1:8" ht="38.25">
      <c r="A100" s="1" t="s">
        <v>26</v>
      </c>
      <c r="B100" s="9" t="s">
        <v>34</v>
      </c>
      <c r="C100" s="1">
        <v>362</v>
      </c>
      <c r="D100" s="1">
        <v>384</v>
      </c>
      <c r="E100" s="1">
        <v>2025</v>
      </c>
      <c r="F100" s="5" t="s">
        <v>20</v>
      </c>
      <c r="G100" s="3">
        <f t="shared" ref="G100:G103" si="24">IF((C100-D100)&lt;0,0,C100-D100)</f>
        <v>0</v>
      </c>
      <c r="H100" s="4">
        <f t="shared" ref="H100:H103" si="25">IF((D100-C100)&lt;0,0,D100-C100)</f>
        <v>22</v>
      </c>
    </row>
    <row r="101" spans="1:8" ht="19.5">
      <c r="A101" s="1" t="s">
        <v>26</v>
      </c>
      <c r="B101" s="9" t="s">
        <v>35</v>
      </c>
      <c r="C101" s="1">
        <v>0</v>
      </c>
      <c r="D101" s="1">
        <v>151</v>
      </c>
      <c r="E101" s="1">
        <v>2024</v>
      </c>
      <c r="F101" s="5" t="s">
        <v>20</v>
      </c>
      <c r="G101" s="3">
        <f t="shared" si="24"/>
        <v>0</v>
      </c>
      <c r="H101" s="4">
        <f t="shared" si="25"/>
        <v>151</v>
      </c>
    </row>
    <row r="102" spans="1:8" ht="76.5">
      <c r="A102" s="1" t="s">
        <v>26</v>
      </c>
      <c r="B102" s="9" t="s">
        <v>36</v>
      </c>
      <c r="C102" s="1">
        <v>0</v>
      </c>
      <c r="D102" s="1">
        <v>220</v>
      </c>
      <c r="E102" s="1">
        <v>2024</v>
      </c>
      <c r="F102" s="5" t="s">
        <v>20</v>
      </c>
      <c r="G102" s="3">
        <f t="shared" si="24"/>
        <v>0</v>
      </c>
      <c r="H102" s="4">
        <f t="shared" si="25"/>
        <v>220</v>
      </c>
    </row>
    <row r="103" spans="1:8" ht="38.25">
      <c r="A103" s="1" t="s">
        <v>26</v>
      </c>
      <c r="B103" s="9" t="s">
        <v>37</v>
      </c>
      <c r="C103" s="1">
        <v>48</v>
      </c>
      <c r="D103" s="1">
        <v>159</v>
      </c>
      <c r="E103" s="1">
        <v>2024</v>
      </c>
      <c r="F103" s="5" t="s">
        <v>20</v>
      </c>
      <c r="G103" s="3">
        <f t="shared" si="24"/>
        <v>0</v>
      </c>
      <c r="H103" s="4">
        <f t="shared" si="25"/>
        <v>111</v>
      </c>
    </row>
    <row r="104" spans="1:8" ht="19.5">
      <c r="A104" s="1" t="s">
        <v>26</v>
      </c>
      <c r="B104" s="9" t="s">
        <v>38</v>
      </c>
      <c r="C104" s="1">
        <v>81</v>
      </c>
      <c r="D104" s="1">
        <v>12</v>
      </c>
      <c r="E104" s="1">
        <v>2024</v>
      </c>
      <c r="F104" s="5" t="s">
        <v>20</v>
      </c>
      <c r="G104" s="3">
        <f t="shared" si="22"/>
        <v>69</v>
      </c>
      <c r="H104" s="4">
        <f t="shared" si="23"/>
        <v>0</v>
      </c>
    </row>
    <row r="105" spans="1:8" ht="15"/>
    <row r="106" spans="1:8" ht="15"/>
  </sheetData>
  <protectedRanges>
    <protectedRange sqref="C1:E104" name="Textbooks"/>
    <protectedRange sqref="F1:F104" name="SOURCE"/>
  </protectedRanges>
  <phoneticPr fontId="8" type="noConversion"/>
  <dataValidations count="2">
    <dataValidation type="list" allowBlank="1" showInputMessage="1" showErrorMessage="1" sqref="E14:E19 E21:E29 E31:E39 E51:E59 E61:E69 E41:E49 E2:E6 E71:E80 E82:E91 E8:E12 E93:E104" xr:uid="{B46E7B13-721E-4D49-837E-C02BF9777D48}">
      <formula1>"2024,2025"</formula1>
    </dataValidation>
    <dataValidation type="list" allowBlank="1" showInputMessage="1" showErrorMessage="1" sqref="F14:F19 F21:F29 F31:F39 F41:F49 F51:F59 F61:F69 F71:F80 F82:F91 F2:F6 F8:F12 F93:F104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zoomScale="70" zoomScaleNormal="70" workbookViewId="0"/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0" t="s">
        <v>39</v>
      </c>
      <c r="E1" s="40"/>
      <c r="F1" s="40"/>
      <c r="G1" s="40"/>
      <c r="H1" s="40"/>
      <c r="I1" s="40"/>
      <c r="J1" s="41" t="s">
        <v>40</v>
      </c>
      <c r="K1" s="41"/>
      <c r="L1" s="41"/>
      <c r="M1" s="41"/>
      <c r="N1" s="41"/>
      <c r="O1" s="41"/>
      <c r="P1" s="42" t="s">
        <v>41</v>
      </c>
      <c r="Q1" s="42"/>
      <c r="R1" s="42"/>
      <c r="S1" s="42"/>
      <c r="T1" s="42"/>
      <c r="U1" s="42"/>
      <c r="V1" s="43" t="s">
        <v>42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43</v>
      </c>
      <c r="E2" s="20" t="s">
        <v>44</v>
      </c>
      <c r="F2" s="21" t="s">
        <v>45</v>
      </c>
      <c r="G2" s="24" t="s">
        <v>46</v>
      </c>
      <c r="H2" s="17" t="s">
        <v>47</v>
      </c>
      <c r="I2" s="24" t="s">
        <v>48</v>
      </c>
      <c r="J2" s="22" t="s">
        <v>49</v>
      </c>
      <c r="K2" s="22" t="s">
        <v>50</v>
      </c>
      <c r="L2" s="23" t="s">
        <v>51</v>
      </c>
      <c r="M2" s="44" t="s">
        <v>52</v>
      </c>
      <c r="N2" s="44" t="s">
        <v>53</v>
      </c>
      <c r="O2" s="22" t="s">
        <v>54</v>
      </c>
      <c r="P2" s="24" t="s">
        <v>55</v>
      </c>
      <c r="Q2" s="24" t="s">
        <v>56</v>
      </c>
      <c r="R2" s="25" t="s">
        <v>57</v>
      </c>
      <c r="S2" s="17" t="s">
        <v>58</v>
      </c>
      <c r="T2" s="17" t="s">
        <v>59</v>
      </c>
      <c r="U2" s="24" t="s">
        <v>60</v>
      </c>
      <c r="V2" s="26" t="s">
        <v>61</v>
      </c>
      <c r="W2" s="26" t="s">
        <v>62</v>
      </c>
      <c r="X2" s="27" t="s">
        <v>63</v>
      </c>
      <c r="Y2" s="45" t="s">
        <v>64</v>
      </c>
      <c r="Z2" s="45" t="s">
        <v>65</v>
      </c>
      <c r="AA2" s="26" t="s">
        <v>66</v>
      </c>
    </row>
    <row r="3" spans="1:27" ht="30.6" customHeight="1">
      <c r="A3" s="39" t="s">
        <v>67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68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68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68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26</v>
      </c>
      <c r="B103" s="9" t="s">
        <v>27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26</v>
      </c>
      <c r="B104" s="9" t="s">
        <v>28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26</v>
      </c>
      <c r="B105" s="9" t="s">
        <v>29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26</v>
      </c>
      <c r="B106" s="9" t="s">
        <v>30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26</v>
      </c>
      <c r="B107" s="9" t="s">
        <v>31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26</v>
      </c>
      <c r="B108" s="9" t="s">
        <v>32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26</v>
      </c>
      <c r="B109" s="9" t="s">
        <v>33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26</v>
      </c>
      <c r="B110" s="9" t="s">
        <v>34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topLeftCell="A62" zoomScale="55" zoomScaleNormal="55" workbookViewId="0">
      <selection activeCell="G3" sqref="G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0" t="s">
        <v>39</v>
      </c>
      <c r="E1" s="40"/>
      <c r="F1" s="40"/>
      <c r="G1" s="40"/>
      <c r="H1" s="40"/>
      <c r="I1" s="40"/>
      <c r="J1" s="41" t="s">
        <v>40</v>
      </c>
      <c r="K1" s="41"/>
      <c r="L1" s="41"/>
      <c r="M1" s="41"/>
      <c r="N1" s="41"/>
      <c r="O1" s="41"/>
      <c r="P1" s="42" t="s">
        <v>41</v>
      </c>
      <c r="Q1" s="42"/>
      <c r="R1" s="42"/>
      <c r="S1" s="42"/>
      <c r="T1" s="42"/>
      <c r="U1" s="42"/>
      <c r="V1" s="43" t="s">
        <v>42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69</v>
      </c>
      <c r="E2" s="20" t="s">
        <v>70</v>
      </c>
      <c r="F2" s="21" t="s">
        <v>71</v>
      </c>
      <c r="G2" s="24" t="s">
        <v>72</v>
      </c>
      <c r="H2" s="17" t="s">
        <v>73</v>
      </c>
      <c r="I2" s="24" t="s">
        <v>74</v>
      </c>
      <c r="J2" s="22" t="s">
        <v>75</v>
      </c>
      <c r="K2" s="22" t="s">
        <v>76</v>
      </c>
      <c r="L2" s="23" t="s">
        <v>77</v>
      </c>
      <c r="M2" s="44" t="s">
        <v>78</v>
      </c>
      <c r="N2" s="44" t="s">
        <v>79</v>
      </c>
      <c r="O2" s="22" t="s">
        <v>80</v>
      </c>
      <c r="P2" s="24" t="s">
        <v>81</v>
      </c>
      <c r="Q2" s="24" t="s">
        <v>82</v>
      </c>
      <c r="R2" s="25" t="s">
        <v>83</v>
      </c>
      <c r="S2" s="17" t="s">
        <v>84</v>
      </c>
      <c r="T2" s="17" t="s">
        <v>85</v>
      </c>
      <c r="U2" s="24" t="s">
        <v>86</v>
      </c>
      <c r="V2" s="26" t="s">
        <v>87</v>
      </c>
      <c r="W2" s="26" t="s">
        <v>88</v>
      </c>
      <c r="X2" s="27" t="s">
        <v>89</v>
      </c>
      <c r="Y2" s="45" t="s">
        <v>90</v>
      </c>
      <c r="Z2" s="45" t="s">
        <v>91</v>
      </c>
      <c r="AA2" s="26" t="s">
        <v>92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68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68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68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93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94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95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96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93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94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95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96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93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94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95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96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93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94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95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96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93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94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95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96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93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94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95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96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93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94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95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96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26</v>
      </c>
      <c r="B115" s="9" t="s">
        <v>27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26</v>
      </c>
      <c r="B116" s="9" t="s">
        <v>28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26</v>
      </c>
      <c r="B117" s="9" t="s">
        <v>29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26</v>
      </c>
      <c r="B118" s="9" t="s">
        <v>30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26</v>
      </c>
      <c r="B119" s="9" t="s">
        <v>31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26</v>
      </c>
      <c r="B120" s="9" t="s">
        <v>32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26</v>
      </c>
      <c r="B121" s="9" t="s">
        <v>33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26</v>
      </c>
      <c r="B122" s="9" t="s">
        <v>34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2026-01-09T09:00:52Z</dcterms:modified>
  <cp:category/>
  <cp:contentStatus/>
</cp:coreProperties>
</file>