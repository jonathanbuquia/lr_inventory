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3" documentId="13_ncr:1_{BFB59F67-F0DC-4675-A682-EB0734A8026A}" xr6:coauthVersionLast="47" xr6:coauthVersionMax="47" xr10:uidLastSave="{209622CB-6FC6-47DF-9B44-EB1FCDE048F5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H35" i="1"/>
  <c r="G24" i="1"/>
  <c r="H24" i="1"/>
  <c r="G25" i="1"/>
  <c r="H25" i="1"/>
  <c r="H54" i="1"/>
  <c r="G54" i="1"/>
  <c r="H53" i="1"/>
  <c r="G53" i="1"/>
  <c r="H52" i="1"/>
  <c r="G52" i="1"/>
  <c r="H51" i="1"/>
  <c r="G51" i="1"/>
  <c r="P45" i="5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55" i="1"/>
  <c r="G55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<sst xmlns="http://schemas.openxmlformats.org/spreadsheetml/2006/main" count="262" uniqueCount="90">
  <si>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</si>
  <si>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</si>
  <si>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</si>
  <si>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</si>
  <si>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</si>
  <si>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</si>
  <si>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</si>
  <si>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</si>
  <si>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</si>
  <si>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</si>
  <si>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</si>
  <si>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</si>
  <si>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</si>
  <si>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</si>
  <si>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</si>
  <si>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</si>
  <si>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</si>
  <si>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</si>
  <si>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</si>
  <si>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Noli Me Tangere</t>
  </si>
  <si>
    <t>El Filibusterismo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</si>
  <si>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</si>
  <si>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</si>
  <si>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</si>
  <si>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</si>
  <si>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</si>
  <si>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</si>
  <si>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</si>
  <si>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</si>
  <si>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</si>
  <si>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Creative Writing</t>
  </si>
  <si>
    <t>Trends, Networks and Critical Thinking in the 21st Century</t>
  </si>
  <si>
    <t>Philippine Politics and Governance</t>
  </si>
  <si>
    <t>Business Finance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</si>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</sst>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02" totalsRowShown="0" headerRowDxfId="62" headerRowBorderDxfId="60" tableBorderDxfId="61">
  <autoFilter ref="A1:H102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zoomScale="85" zoomScaleNormal="85" workbookViewId="0">
      <pane xSplit="2" topLeftCell="C1" activePane="topRight" state="frozen"/>
      <selection pane="topRight" activeCell="J48" sqref="J4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297</v>
      </c>
      <c r="D2" s="8">
        <v>323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26</v>
      </c>
    </row>
    <row r="3" spans="1:8" ht="29.25" customHeight="1">
      <c r="A3" s="8">
        <v>7</v>
      </c>
      <c r="B3" s="9" t="s">
        <v>10</v>
      </c>
      <c r="C3" s="8">
        <v>297</v>
      </c>
      <c r="D3" s="8"/>
      <c r="E3" s="8"/>
      <c r="F3" s="10"/>
      <c r="G3" s="2">
        <f t="shared" si="0"/>
        <v>297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297</v>
      </c>
      <c r="D4" s="8">
        <v>285</v>
      </c>
      <c r="E4" s="8">
        <v>2024</v>
      </c>
      <c r="F4" s="10" t="s">
        <v>9</v>
      </c>
      <c r="G4" s="2">
        <f t="shared" si="0"/>
        <v>12</v>
      </c>
      <c r="H4" s="3">
        <f t="shared" si="1"/>
        <v>0</v>
      </c>
    </row>
    <row r="5" spans="1:8" ht="25.5" customHeight="1">
      <c r="A5" s="8">
        <v>7</v>
      </c>
      <c r="B5" s="9" t="s">
        <v>12</v>
      </c>
      <c r="C5" s="8">
        <v>297</v>
      </c>
      <c r="D5" s="8"/>
      <c r="E5" s="8"/>
      <c r="F5" s="10"/>
      <c r="G5" s="2">
        <f t="shared" si="0"/>
        <v>297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297</v>
      </c>
      <c r="D6" s="8">
        <v>323</v>
      </c>
      <c r="E6" s="8">
        <v>2025</v>
      </c>
      <c r="F6" s="10" t="s">
        <v>9</v>
      </c>
      <c r="G6" s="2">
        <f t="shared" si="0"/>
        <v>0</v>
      </c>
      <c r="H6" s="3">
        <f t="shared" si="1"/>
        <v>26</v>
      </c>
    </row>
    <row r="7" spans="1:8" ht="19.5">
      <c r="A7" s="8">
        <v>7</v>
      </c>
      <c r="B7" s="9" t="s">
        <v>14</v>
      </c>
      <c r="C7" s="8">
        <v>297</v>
      </c>
      <c r="D7" s="8">
        <v>323</v>
      </c>
      <c r="E7" s="8">
        <v>2024</v>
      </c>
      <c r="F7" s="10" t="s">
        <v>9</v>
      </c>
      <c r="G7" s="2">
        <f t="shared" si="0"/>
        <v>0</v>
      </c>
      <c r="H7" s="3">
        <f t="shared" si="1"/>
        <v>26</v>
      </c>
    </row>
    <row r="8" spans="1:8" ht="39.75" customHeight="1">
      <c r="A8" s="8">
        <v>7</v>
      </c>
      <c r="B8" s="9" t="s">
        <v>15</v>
      </c>
      <c r="C8" s="8">
        <v>297</v>
      </c>
      <c r="D8" s="8">
        <v>323</v>
      </c>
      <c r="E8" s="8">
        <v>2025</v>
      </c>
      <c r="F8" s="10" t="s">
        <v>9</v>
      </c>
      <c r="G8" s="2">
        <f t="shared" si="0"/>
        <v>0</v>
      </c>
      <c r="H8" s="3">
        <f t="shared" si="1"/>
        <v>26</v>
      </c>
    </row>
    <row r="9" spans="1:8" ht="29.25" customHeight="1">
      <c r="A9" s="8">
        <v>7</v>
      </c>
      <c r="B9" s="9" t="s">
        <v>16</v>
      </c>
      <c r="C9" s="8">
        <v>297</v>
      </c>
      <c r="D9" s="8">
        <v>323</v>
      </c>
      <c r="E9" s="8">
        <v>2024</v>
      </c>
      <c r="F9" s="10" t="s">
        <v>9</v>
      </c>
      <c r="G9" s="2">
        <f t="shared" si="0"/>
        <v>0</v>
      </c>
      <c r="H9" s="3">
        <f t="shared" si="1"/>
        <v>26</v>
      </c>
    </row>
    <row r="10" spans="1:8" ht="28.5" customHeight="1">
      <c r="A10" s="8">
        <v>7</v>
      </c>
      <c r="B10" s="9" t="s">
        <v>17</v>
      </c>
      <c r="C10" s="8">
        <v>297</v>
      </c>
      <c r="D10" s="8"/>
      <c r="E10" s="8"/>
      <c r="F10" s="10"/>
      <c r="G10" s="2">
        <f t="shared" si="0"/>
        <v>297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316</v>
      </c>
      <c r="D12" s="8"/>
      <c r="E12" s="8"/>
      <c r="F12" s="10"/>
      <c r="G12" s="2">
        <f t="shared" ref="G12:G20" si="2">IF((C12-D12)&lt;0,0,C12-D12)</f>
        <v>316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316</v>
      </c>
      <c r="D13" s="8"/>
      <c r="E13" s="8"/>
      <c r="F13" s="10"/>
      <c r="G13" s="2">
        <f t="shared" si="2"/>
        <v>316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316</v>
      </c>
      <c r="D14" s="8">
        <v>271</v>
      </c>
      <c r="E14" s="8">
        <v>2025</v>
      </c>
      <c r="F14" s="10" t="s">
        <v>9</v>
      </c>
      <c r="G14" s="2">
        <f t="shared" si="2"/>
        <v>45</v>
      </c>
      <c r="H14" s="3">
        <f t="shared" si="3"/>
        <v>0</v>
      </c>
    </row>
    <row r="15" spans="1:8" ht="29.25" customHeight="1">
      <c r="A15" s="8">
        <v>8</v>
      </c>
      <c r="B15" s="9" t="s">
        <v>12</v>
      </c>
      <c r="C15" s="8">
        <v>316</v>
      </c>
      <c r="D15" s="8">
        <v>271</v>
      </c>
      <c r="E15" s="8">
        <v>2025</v>
      </c>
      <c r="F15" s="10" t="s">
        <v>9</v>
      </c>
      <c r="G15" s="2">
        <f t="shared" si="2"/>
        <v>45</v>
      </c>
      <c r="H15" s="3">
        <f t="shared" si="3"/>
        <v>0</v>
      </c>
    </row>
    <row r="16" spans="1:8" ht="27" customHeight="1">
      <c r="A16" s="8">
        <v>8</v>
      </c>
      <c r="B16" s="9" t="s">
        <v>18</v>
      </c>
      <c r="C16" s="8">
        <v>316</v>
      </c>
      <c r="D16" s="8"/>
      <c r="E16" s="8"/>
      <c r="F16" s="10"/>
      <c r="G16" s="2">
        <f t="shared" si="2"/>
        <v>316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316</v>
      </c>
      <c r="D17" s="8"/>
      <c r="E17" s="8"/>
      <c r="F17" s="10"/>
      <c r="G17" s="2">
        <f t="shared" si="2"/>
        <v>316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316</v>
      </c>
      <c r="D18" s="8"/>
      <c r="E18" s="8"/>
      <c r="F18" s="10"/>
      <c r="G18" s="2">
        <f t="shared" si="2"/>
        <v>316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316</v>
      </c>
      <c r="D19" s="8"/>
      <c r="E19" s="8"/>
      <c r="F19" s="10"/>
      <c r="G19" s="2">
        <f t="shared" si="2"/>
        <v>316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316</v>
      </c>
      <c r="D20" s="8"/>
      <c r="E20" s="8"/>
      <c r="F20" s="10"/>
      <c r="G20" s="2">
        <f t="shared" si="2"/>
        <v>316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1" si="4">IF((C22-D22)&lt;0,0,C22-D22)</f>
        <v>0</v>
      </c>
      <c r="H22" s="3">
        <f t="shared" ref="H22:H31" si="5">IF((D22-C22)&lt;0,0,D22-C22)</f>
        <v>0</v>
      </c>
    </row>
    <row r="23" spans="1:8" ht="19.5">
      <c r="A23" s="8">
        <v>9</v>
      </c>
      <c r="B23" s="9" t="s">
        <v>10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19</v>
      </c>
      <c r="C24" s="8">
        <v>296</v>
      </c>
      <c r="D24" s="8">
        <v>376</v>
      </c>
      <c r="E24" s="8">
        <v>2024</v>
      </c>
      <c r="F24" s="10" t="s">
        <v>9</v>
      </c>
      <c r="G24" s="2">
        <f t="shared" ref="G24:G25" si="6">IF((C24-D24)&lt;0,0,C24-D24)</f>
        <v>0</v>
      </c>
      <c r="H24" s="3">
        <f t="shared" ref="H24:H25" si="7">IF((D24-C24)&lt;0,0,D24-C24)</f>
        <v>80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6"/>
        <v>0</v>
      </c>
      <c r="H25" s="3">
        <f t="shared" si="7"/>
        <v>0</v>
      </c>
    </row>
    <row r="26" spans="1:8" ht="33.75" customHeight="1">
      <c r="A26" s="8">
        <v>9</v>
      </c>
      <c r="B26" s="9" t="s">
        <v>12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18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/>
      <c r="D31" s="8"/>
      <c r="E31" s="8"/>
      <c r="F31" s="10"/>
      <c r="G31" s="2">
        <f t="shared" si="4"/>
        <v>0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/>
      <c r="D33" s="8"/>
      <c r="E33" s="8"/>
      <c r="F33" s="10"/>
      <c r="G33" s="2">
        <f t="shared" ref="G33:G42" si="8">IF((C33-D33)&lt;0,0,C33-D33)</f>
        <v>0</v>
      </c>
      <c r="H33" s="3">
        <f t="shared" ref="H33:H42" si="9">IF((D33-C33)&lt;0,0,D33-C33)</f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8"/>
        <v>0</v>
      </c>
      <c r="H34" s="3">
        <f t="shared" si="9"/>
        <v>0</v>
      </c>
    </row>
    <row r="35" spans="1:8" ht="39" customHeight="1">
      <c r="A35" s="8">
        <v>10</v>
      </c>
      <c r="B35" s="9" t="s">
        <v>20</v>
      </c>
      <c r="C35" s="8">
        <v>268</v>
      </c>
      <c r="D35" s="8">
        <v>338</v>
      </c>
      <c r="E35" s="8">
        <v>2024</v>
      </c>
      <c r="F35" s="10" t="s">
        <v>9</v>
      </c>
      <c r="G35" s="2">
        <f t="shared" ref="G35" si="10">IF((C35-D35)&lt;0,0,C35-D35)</f>
        <v>0</v>
      </c>
      <c r="H35" s="3">
        <f t="shared" ref="H35" si="11">IF((D35-C35)&lt;0,0,D35-C35)</f>
        <v>70</v>
      </c>
    </row>
    <row r="36" spans="1:8" ht="27.75" customHeight="1">
      <c r="A36" s="8">
        <v>10</v>
      </c>
      <c r="B36" s="9" t="s">
        <v>11</v>
      </c>
      <c r="C36" s="8"/>
      <c r="D36" s="8"/>
      <c r="E36" s="8"/>
      <c r="F36" s="10"/>
      <c r="G36" s="2">
        <f t="shared" si="8"/>
        <v>0</v>
      </c>
      <c r="H36" s="3">
        <f t="shared" si="9"/>
        <v>0</v>
      </c>
    </row>
    <row r="37" spans="1:8" ht="27.75" customHeight="1">
      <c r="A37" s="8">
        <v>10</v>
      </c>
      <c r="B37" s="9" t="s">
        <v>12</v>
      </c>
      <c r="C37" s="8"/>
      <c r="D37" s="8"/>
      <c r="E37" s="8"/>
      <c r="F37" s="10"/>
      <c r="G37" s="2">
        <f t="shared" si="8"/>
        <v>0</v>
      </c>
      <c r="H37" s="3">
        <f t="shared" si="9"/>
        <v>0</v>
      </c>
    </row>
    <row r="38" spans="1:8" ht="27.75" customHeight="1">
      <c r="A38" s="8">
        <v>10</v>
      </c>
      <c r="B38" s="9" t="s">
        <v>18</v>
      </c>
      <c r="C38" s="8"/>
      <c r="D38" s="8"/>
      <c r="E38" s="8"/>
      <c r="F38" s="10"/>
      <c r="G38" s="2">
        <f t="shared" si="8"/>
        <v>0</v>
      </c>
      <c r="H38" s="3">
        <f t="shared" si="9"/>
        <v>0</v>
      </c>
    </row>
    <row r="39" spans="1:8" ht="27.75" customHeight="1">
      <c r="A39" s="8">
        <v>10</v>
      </c>
      <c r="B39" s="9" t="s">
        <v>14</v>
      </c>
      <c r="C39" s="8"/>
      <c r="D39" s="8"/>
      <c r="E39" s="8"/>
      <c r="F39" s="10"/>
      <c r="G39" s="2">
        <f t="shared" si="8"/>
        <v>0</v>
      </c>
      <c r="H39" s="3">
        <f t="shared" si="9"/>
        <v>0</v>
      </c>
    </row>
    <row r="40" spans="1:8" ht="27.75" customHeight="1">
      <c r="A40" s="8">
        <v>10</v>
      </c>
      <c r="B40" s="9" t="s">
        <v>15</v>
      </c>
      <c r="C40" s="8"/>
      <c r="D40" s="8"/>
      <c r="E40" s="8"/>
      <c r="F40" s="10"/>
      <c r="G40" s="2">
        <f t="shared" si="8"/>
        <v>0</v>
      </c>
      <c r="H40" s="3">
        <f t="shared" si="9"/>
        <v>0</v>
      </c>
    </row>
    <row r="41" spans="1:8" ht="27.75" customHeight="1">
      <c r="A41" s="8">
        <v>10</v>
      </c>
      <c r="B41" s="9" t="s">
        <v>16</v>
      </c>
      <c r="C41" s="8"/>
      <c r="D41" s="8"/>
      <c r="E41" s="8"/>
      <c r="F41" s="10"/>
      <c r="G41" s="2">
        <f t="shared" si="8"/>
        <v>0</v>
      </c>
      <c r="H41" s="3">
        <f t="shared" si="9"/>
        <v>0</v>
      </c>
    </row>
    <row r="42" spans="1:8" ht="27.75" customHeight="1">
      <c r="A42" s="8">
        <v>10</v>
      </c>
      <c r="B42" s="9" t="s">
        <v>17</v>
      </c>
      <c r="C42" s="8"/>
      <c r="D42" s="8"/>
      <c r="E42" s="8"/>
      <c r="F42" s="10"/>
      <c r="G42" s="2">
        <f t="shared" si="8"/>
        <v>0</v>
      </c>
      <c r="H42" s="3">
        <f t="shared" si="9"/>
        <v>0</v>
      </c>
    </row>
    <row r="43" spans="1:8" ht="27.75" customHeight="1">
      <c r="A43" s="5"/>
      <c r="B43" s="5"/>
      <c r="C43" s="6"/>
      <c r="D43" s="6"/>
      <c r="E43" s="6"/>
      <c r="F43" s="5"/>
      <c r="G43" s="5"/>
      <c r="H43" s="5"/>
    </row>
    <row r="44" spans="1:8" ht="27.75" customHeight="1">
      <c r="A44" s="1" t="s">
        <v>21</v>
      </c>
      <c r="B44" s="7" t="s">
        <v>22</v>
      </c>
      <c r="C44" s="1"/>
      <c r="D44" s="1"/>
      <c r="E44" s="1"/>
      <c r="F44" s="4"/>
      <c r="G44" s="2">
        <f t="shared" ref="G44:G55" si="12">IF((C44-D44)&lt;0,0,C44-D44)</f>
        <v>0</v>
      </c>
      <c r="H44" s="3">
        <f t="shared" ref="H44:H55" si="13">IF((D44-C44)&lt;0,0,D44-C44)</f>
        <v>0</v>
      </c>
    </row>
    <row r="45" spans="1:8" ht="36.75" customHeight="1">
      <c r="A45" s="1" t="s">
        <v>21</v>
      </c>
      <c r="B45" s="7" t="s">
        <v>23</v>
      </c>
      <c r="C45" s="1"/>
      <c r="D45" s="1"/>
      <c r="E45" s="1"/>
      <c r="F45" s="4"/>
      <c r="G45" s="2">
        <f t="shared" si="12"/>
        <v>0</v>
      </c>
      <c r="H45" s="3">
        <f t="shared" si="13"/>
        <v>0</v>
      </c>
    </row>
    <row r="46" spans="1:8" ht="27.75" customHeight="1">
      <c r="A46" s="1" t="s">
        <v>21</v>
      </c>
      <c r="B46" s="7" t="s">
        <v>24</v>
      </c>
      <c r="C46" s="1"/>
      <c r="D46" s="1"/>
      <c r="E46" s="1"/>
      <c r="F46" s="4"/>
      <c r="G46" s="2">
        <f t="shared" si="12"/>
        <v>0</v>
      </c>
      <c r="H46" s="3">
        <f t="shared" si="13"/>
        <v>0</v>
      </c>
    </row>
    <row r="47" spans="1:8" ht="27.75" customHeight="1">
      <c r="A47" s="1" t="s">
        <v>21</v>
      </c>
      <c r="B47" s="7" t="s">
        <v>25</v>
      </c>
      <c r="C47" s="1">
        <v>362</v>
      </c>
      <c r="D47" s="1">
        <v>384</v>
      </c>
      <c r="E47" s="1">
        <v>2025</v>
      </c>
      <c r="F47" s="4" t="s">
        <v>9</v>
      </c>
      <c r="G47" s="2">
        <f t="shared" si="12"/>
        <v>0</v>
      </c>
      <c r="H47" s="3">
        <f t="shared" si="13"/>
        <v>22</v>
      </c>
    </row>
    <row r="48" spans="1:8" ht="27.75" customHeight="1">
      <c r="A48" s="1" t="s">
        <v>21</v>
      </c>
      <c r="B48" s="7" t="s">
        <v>26</v>
      </c>
      <c r="C48" s="1">
        <v>362</v>
      </c>
      <c r="D48" s="1">
        <v>384</v>
      </c>
      <c r="E48" s="1">
        <v>2025</v>
      </c>
      <c r="F48" s="4" t="s">
        <v>9</v>
      </c>
      <c r="G48" s="2">
        <f t="shared" si="12"/>
        <v>0</v>
      </c>
      <c r="H48" s="3">
        <f t="shared" si="13"/>
        <v>22</v>
      </c>
    </row>
    <row r="49" spans="1:8" ht="27.75" customHeight="1">
      <c r="A49" s="1" t="s">
        <v>21</v>
      </c>
      <c r="B49" s="7" t="s">
        <v>27</v>
      </c>
      <c r="C49" s="1"/>
      <c r="D49" s="1"/>
      <c r="E49" s="1"/>
      <c r="F49" s="4"/>
      <c r="G49" s="2">
        <f t="shared" si="12"/>
        <v>0</v>
      </c>
      <c r="H49" s="3">
        <f t="shared" si="13"/>
        <v>0</v>
      </c>
    </row>
    <row r="50" spans="1:8" ht="27.75" customHeight="1">
      <c r="A50" s="1" t="s">
        <v>21</v>
      </c>
      <c r="B50" s="7" t="s">
        <v>28</v>
      </c>
      <c r="C50" s="1">
        <v>362</v>
      </c>
      <c r="D50" s="1">
        <v>384</v>
      </c>
      <c r="E50" s="1">
        <v>2025</v>
      </c>
      <c r="F50" s="4" t="s">
        <v>9</v>
      </c>
      <c r="G50" s="2">
        <f t="shared" si="12"/>
        <v>0</v>
      </c>
      <c r="H50" s="3">
        <f t="shared" si="13"/>
        <v>22</v>
      </c>
    </row>
    <row r="51" spans="1:8" ht="27.75" customHeight="1">
      <c r="A51" s="1" t="s">
        <v>21</v>
      </c>
      <c r="B51" s="7" t="s">
        <v>29</v>
      </c>
      <c r="C51" s="1">
        <v>362</v>
      </c>
      <c r="D51" s="1">
        <v>384</v>
      </c>
      <c r="E51" s="1">
        <v>2025</v>
      </c>
      <c r="F51" s="4" t="s">
        <v>9</v>
      </c>
      <c r="G51" s="2">
        <f t="shared" ref="G51:G54" si="14">IF((C51-D51)&lt;0,0,C51-D51)</f>
        <v>0</v>
      </c>
      <c r="H51" s="3">
        <f t="shared" ref="H51:H54" si="15">IF((D51-C51)&lt;0,0,D51-C51)</f>
        <v>22</v>
      </c>
    </row>
    <row r="52" spans="1:8" ht="27.75" customHeight="1">
      <c r="A52" s="1" t="s">
        <v>21</v>
      </c>
      <c r="B52" s="7" t="s">
        <v>30</v>
      </c>
      <c r="C52" s="1">
        <v>0</v>
      </c>
      <c r="D52" s="1">
        <v>151</v>
      </c>
      <c r="E52" s="1">
        <v>2024</v>
      </c>
      <c r="F52" s="4" t="s">
        <v>9</v>
      </c>
      <c r="G52" s="2">
        <f t="shared" si="14"/>
        <v>0</v>
      </c>
      <c r="H52" s="3">
        <f t="shared" si="15"/>
        <v>151</v>
      </c>
    </row>
    <row r="53" spans="1:8" ht="27.75" customHeight="1">
      <c r="A53" s="1" t="s">
        <v>21</v>
      </c>
      <c r="B53" s="7" t="s">
        <v>31</v>
      </c>
      <c r="C53" s="1">
        <v>0</v>
      </c>
      <c r="D53" s="1">
        <v>220</v>
      </c>
      <c r="E53" s="1">
        <v>2024</v>
      </c>
      <c r="F53" s="4" t="s">
        <v>9</v>
      </c>
      <c r="G53" s="2">
        <f t="shared" si="14"/>
        <v>0</v>
      </c>
      <c r="H53" s="3">
        <f t="shared" si="15"/>
        <v>220</v>
      </c>
    </row>
    <row r="54" spans="1:8" ht="27.75" customHeight="1">
      <c r="A54" s="1" t="s">
        <v>21</v>
      </c>
      <c r="B54" s="7" t="s">
        <v>32</v>
      </c>
      <c r="C54" s="1">
        <v>48</v>
      </c>
      <c r="D54" s="1">
        <v>159</v>
      </c>
      <c r="E54" s="1">
        <v>2024</v>
      </c>
      <c r="F54" s="4" t="s">
        <v>9</v>
      </c>
      <c r="G54" s="2">
        <f t="shared" si="14"/>
        <v>0</v>
      </c>
      <c r="H54" s="3">
        <f t="shared" si="15"/>
        <v>111</v>
      </c>
    </row>
    <row r="55" spans="1:8" ht="39" customHeight="1">
      <c r="A55" s="1" t="s">
        <v>21</v>
      </c>
      <c r="B55" s="7" t="s">
        <v>33</v>
      </c>
      <c r="C55" s="1">
        <v>81</v>
      </c>
      <c r="D55" s="1">
        <v>12</v>
      </c>
      <c r="E55" s="1">
        <v>2024</v>
      </c>
      <c r="F55" s="4" t="s">
        <v>9</v>
      </c>
      <c r="G55" s="2">
        <f t="shared" si="12"/>
        <v>69</v>
      </c>
      <c r="H55" s="3">
        <f t="shared" si="13"/>
        <v>0</v>
      </c>
    </row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</sheetData>
  <protectedRanges>
    <protectedRange sqref="C1:E55" name="Textbooks"/>
    <protectedRange sqref="F1:F55" name="SOURCE"/>
  </protectedRanges>
  <phoneticPr fontId="8" type="noConversion"/>
  <dataValidations count="2">
    <dataValidation type="list" allowBlank="1" showInputMessage="1" showErrorMessage="1" sqref="E44:E55 E33:E42 E22:E31 E12:E20 E2:E10" xr:uid="{B46E7B13-721E-4D49-837E-C02BF9777D48}">
      <formula1>"2024,2025,2026"</formula1>
    </dataValidation>
    <dataValidation type="list" allowBlank="1" showInputMessage="1" showErrorMessage="1" sqref="F2:F10 F12:F20 F22:F31 F33:F42 F44:F55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P1" zoomScale="70" zoomScaleNormal="70" workbookViewId="0">
      <selection activeCell="AB50" sqref="AB5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34</v>
      </c>
      <c r="E1" s="35"/>
      <c r="F1" s="35"/>
      <c r="G1" s="35"/>
      <c r="H1" s="35"/>
      <c r="I1" s="35"/>
      <c r="J1" s="36" t="s">
        <v>35</v>
      </c>
      <c r="K1" s="36"/>
      <c r="L1" s="36"/>
      <c r="M1" s="36"/>
      <c r="N1" s="36"/>
      <c r="O1" s="36"/>
      <c r="P1" s="37" t="s">
        <v>36</v>
      </c>
      <c r="Q1" s="37"/>
      <c r="R1" s="37"/>
      <c r="S1" s="37"/>
      <c r="T1" s="37"/>
      <c r="U1" s="37"/>
      <c r="V1" s="38" t="s">
        <v>37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38</v>
      </c>
      <c r="E2" s="18" t="s">
        <v>39</v>
      </c>
      <c r="F2" s="19" t="s">
        <v>40</v>
      </c>
      <c r="G2" s="22" t="s">
        <v>41</v>
      </c>
      <c r="H2" s="15" t="s">
        <v>42</v>
      </c>
      <c r="I2" s="22" t="s">
        <v>43</v>
      </c>
      <c r="J2" s="20" t="s">
        <v>44</v>
      </c>
      <c r="K2" s="20" t="s">
        <v>45</v>
      </c>
      <c r="L2" s="21" t="s">
        <v>46</v>
      </c>
      <c r="M2" s="33" t="s">
        <v>47</v>
      </c>
      <c r="N2" s="33" t="s">
        <v>48</v>
      </c>
      <c r="O2" s="20" t="s">
        <v>49</v>
      </c>
      <c r="P2" s="22" t="s">
        <v>50</v>
      </c>
      <c r="Q2" s="22" t="s">
        <v>51</v>
      </c>
      <c r="R2" s="23" t="s">
        <v>52</v>
      </c>
      <c r="S2" s="15" t="s">
        <v>53</v>
      </c>
      <c r="T2" s="15" t="s">
        <v>54</v>
      </c>
      <c r="U2" s="22" t="s">
        <v>55</v>
      </c>
      <c r="V2" s="24" t="s">
        <v>56</v>
      </c>
      <c r="W2" s="24" t="s">
        <v>57</v>
      </c>
      <c r="X2" s="25" t="s">
        <v>58</v>
      </c>
      <c r="Y2" s="34" t="s">
        <v>59</v>
      </c>
      <c r="Z2" s="34" t="s">
        <v>60</v>
      </c>
      <c r="AA2" s="24" t="s">
        <v>61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17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21</v>
      </c>
      <c r="B43" s="7" t="s">
        <v>22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21</v>
      </c>
      <c r="B44" s="7" t="s">
        <v>23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21</v>
      </c>
      <c r="B45" s="7" t="s">
        <v>24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21</v>
      </c>
      <c r="B46" s="7" t="s">
        <v>25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21</v>
      </c>
      <c r="B47" s="7" t="s">
        <v>26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21</v>
      </c>
      <c r="B48" s="7" t="s">
        <v>27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21</v>
      </c>
      <c r="B49" s="7" t="s">
        <v>28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21</v>
      </c>
      <c r="B50" s="7" t="s">
        <v>29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F52:F67 F43:F50 F33:F41 F23:F31 F13:F21 F3:F11 L52:L67 L43:L50 L33:L41 L23:L31 L13:L21 L3:L11 R52:R67 R43:R50 R33:R41 R23:R31 R13:R21 R3:R11 X52:X67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P1"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34</v>
      </c>
      <c r="E1" s="35"/>
      <c r="F1" s="35"/>
      <c r="G1" s="35"/>
      <c r="H1" s="35"/>
      <c r="I1" s="35"/>
      <c r="J1" s="36" t="s">
        <v>35</v>
      </c>
      <c r="K1" s="36"/>
      <c r="L1" s="36"/>
      <c r="M1" s="36"/>
      <c r="N1" s="36"/>
      <c r="O1" s="36"/>
      <c r="P1" s="37" t="s">
        <v>36</v>
      </c>
      <c r="Q1" s="37"/>
      <c r="R1" s="37"/>
      <c r="S1" s="37"/>
      <c r="T1" s="37"/>
      <c r="U1" s="37"/>
      <c r="V1" s="38" t="s">
        <v>37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62</v>
      </c>
      <c r="E2" s="18" t="s">
        <v>63</v>
      </c>
      <c r="F2" s="19" t="s">
        <v>64</v>
      </c>
      <c r="G2" s="22" t="s">
        <v>65</v>
      </c>
      <c r="H2" s="15" t="s">
        <v>66</v>
      </c>
      <c r="I2" s="22" t="s">
        <v>67</v>
      </c>
      <c r="J2" s="20" t="s">
        <v>68</v>
      </c>
      <c r="K2" s="20" t="s">
        <v>69</v>
      </c>
      <c r="L2" s="21" t="s">
        <v>70</v>
      </c>
      <c r="M2" s="33" t="s">
        <v>71</v>
      </c>
      <c r="N2" s="33" t="s">
        <v>72</v>
      </c>
      <c r="O2" s="20" t="s">
        <v>73</v>
      </c>
      <c r="P2" s="22" t="s">
        <v>74</v>
      </c>
      <c r="Q2" s="22" t="s">
        <v>75</v>
      </c>
      <c r="R2" s="23" t="s">
        <v>76</v>
      </c>
      <c r="S2" s="15" t="s">
        <v>77</v>
      </c>
      <c r="T2" s="15" t="s">
        <v>78</v>
      </c>
      <c r="U2" s="22" t="s">
        <v>79</v>
      </c>
      <c r="V2" s="24" t="s">
        <v>80</v>
      </c>
      <c r="W2" s="24" t="s">
        <v>81</v>
      </c>
      <c r="X2" s="25" t="s">
        <v>82</v>
      </c>
      <c r="Y2" s="34" t="s">
        <v>83</v>
      </c>
      <c r="Z2" s="34" t="s">
        <v>84</v>
      </c>
      <c r="AA2" s="24" t="s">
        <v>85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86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87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88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89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86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87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88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89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86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87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88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89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86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87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88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89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21</v>
      </c>
      <c r="B51" s="7" t="s">
        <v>22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21</v>
      </c>
      <c r="B52" s="7" t="s">
        <v>23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21</v>
      </c>
      <c r="B53" s="7" t="s">
        <v>24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21</v>
      </c>
      <c r="B54" s="7" t="s">
        <v>25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21</v>
      </c>
      <c r="B55" s="7" t="s">
        <v>26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21</v>
      </c>
      <c r="B56" s="7" t="s">
        <v>27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21</v>
      </c>
      <c r="B57" s="7" t="s">
        <v>28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21</v>
      </c>
      <c r="B58" s="7" t="s">
        <v>29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2026-04-14T03:34:38Z</dcterms:modified>
  <cp:category/>
  <cp:contentStatus/>
</cp:coreProperties>
</file>