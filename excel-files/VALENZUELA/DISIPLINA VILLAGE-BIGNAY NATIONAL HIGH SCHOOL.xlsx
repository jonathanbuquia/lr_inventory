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2" documentId="13_ncr:1_{BFB59F67-F0DC-4675-A682-EB0734A8026A}" xr6:coauthVersionLast="47" xr6:coauthVersionMax="47" xr10:uidLastSave="{7E17D31A-1EC4-4ECF-BD6D-88CAD7FFA57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G75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G55" i="1"/>
  <c r="H54" i="1"/>
  <c r="G54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<sst xmlns="http://schemas.openxmlformats.org/spreadsheetml/2006/main" count="456" uniqueCount="93">
  <si>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</si>
  <si>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</si>
  <si>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</si>
  <si>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</si>
  <si>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</si>
  <si>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</si>
  <si>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</si>
  <si>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</si>
  <si>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</si>
  <si>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</si>
  <si>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</si>
  <si>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</si>
  <si>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</si>
  <si>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</si>
  <si>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</si>
  <si>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</si>
  <si>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</si>
  <si>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</si>
  <si>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</si>
  <si>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</si>
  <si>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</si>
  <si>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CO</t>
  </si>
  <si>
    <t>VE</t>
  </si>
  <si>
    <t>RO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</si>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</sst>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F41" activePane="topRight" state="frozen"/>
      <selection pane="topRight" activeCell="F53" sqref="F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360</v>
      </c>
      <c r="E51" s="10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360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 t="s">
        <v>21</v>
      </c>
      <c r="G53" s="3">
        <f t="shared" si="10"/>
        <v>0</v>
      </c>
      <c r="H53" s="4">
        <v>383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 t="s">
        <v>20</v>
      </c>
      <c r="G55" s="3">
        <f t="shared" si="10"/>
        <v>0</v>
      </c>
      <c r="H55" s="4">
        <v>383</v>
      </c>
    </row>
    <row r="56" spans="1:8" ht="27.75" customHeight="1">
      <c r="A56" s="10">
        <v>7</v>
      </c>
      <c r="B56" s="11" t="s">
        <v>13</v>
      </c>
      <c r="C56" s="10"/>
      <c r="D56" s="10">
        <v>383</v>
      </c>
      <c r="E56" s="10">
        <v>2024</v>
      </c>
      <c r="F56" s="12" t="s">
        <v>23</v>
      </c>
      <c r="G56" s="3">
        <f t="shared" si="10"/>
        <v>0</v>
      </c>
      <c r="H56" s="4">
        <f t="shared" si="11"/>
        <v>383</v>
      </c>
    </row>
    <row r="57" spans="1:8" ht="27.75" customHeight="1">
      <c r="A57" s="10">
        <v>7</v>
      </c>
      <c r="B57" s="11" t="s">
        <v>17</v>
      </c>
      <c r="C57" s="10"/>
      <c r="D57" s="10">
        <v>383</v>
      </c>
      <c r="E57" s="10">
        <v>2024</v>
      </c>
      <c r="F57" s="12" t="s">
        <v>21</v>
      </c>
      <c r="G57" s="3">
        <f t="shared" si="10"/>
        <v>0</v>
      </c>
      <c r="H57" s="4">
        <f t="shared" si="11"/>
        <v>383</v>
      </c>
    </row>
    <row r="58" spans="1:8" ht="27.75" customHeight="1">
      <c r="A58" s="10">
        <v>7</v>
      </c>
      <c r="B58" s="11" t="s">
        <v>24</v>
      </c>
      <c r="C58" s="10"/>
      <c r="D58" s="10">
        <v>383</v>
      </c>
      <c r="E58" s="10">
        <v>2024</v>
      </c>
      <c r="F58" s="12" t="s">
        <v>20</v>
      </c>
      <c r="G58" s="3">
        <f t="shared" si="10"/>
        <v>0</v>
      </c>
      <c r="H58" s="4">
        <f t="shared" si="11"/>
        <v>383</v>
      </c>
    </row>
    <row r="59" spans="1:8" ht="27.75" customHeight="1">
      <c r="A59" s="10">
        <v>7</v>
      </c>
      <c r="B59" s="11" t="s">
        <v>19</v>
      </c>
      <c r="C59" s="10"/>
      <c r="D59" s="10">
        <v>383</v>
      </c>
      <c r="E59" s="10">
        <v>2024</v>
      </c>
      <c r="F59" s="12" t="s">
        <v>21</v>
      </c>
      <c r="G59" s="3">
        <f t="shared" si="10"/>
        <v>0</v>
      </c>
      <c r="H59" s="4">
        <f t="shared" si="11"/>
        <v>383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288</v>
      </c>
      <c r="E63" s="10">
        <v>2024</v>
      </c>
      <c r="F63" s="12" t="s">
        <v>20</v>
      </c>
      <c r="G63" s="3">
        <f t="shared" si="12"/>
        <v>0</v>
      </c>
      <c r="H63" s="4">
        <f t="shared" si="13"/>
        <v>288</v>
      </c>
    </row>
    <row r="64" spans="1:8" ht="27.75" customHeight="1">
      <c r="A64" s="10">
        <v>8</v>
      </c>
      <c r="B64" s="11" t="s">
        <v>22</v>
      </c>
      <c r="C64" s="10"/>
      <c r="D64" s="10">
        <v>288</v>
      </c>
      <c r="E64" s="10">
        <v>2024</v>
      </c>
      <c r="F64" s="12" t="s">
        <v>20</v>
      </c>
      <c r="G64" s="3">
        <f t="shared" si="12"/>
        <v>0</v>
      </c>
      <c r="H64" s="4">
        <f t="shared" si="13"/>
        <v>288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 t="s">
        <v>21</v>
      </c>
      <c r="G74" s="3">
        <f t="shared" si="14"/>
        <v>0</v>
      </c>
      <c r="H74" s="4">
        <v>217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 t="s">
        <v>21</v>
      </c>
      <c r="G75" s="3">
        <f t="shared" si="14"/>
        <v>0</v>
      </c>
      <c r="H75" s="4">
        <v>217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 t="s">
        <v>20</v>
      </c>
      <c r="G89" s="3">
        <f t="shared" si="16"/>
        <v>0</v>
      </c>
      <c r="H89" s="4">
        <v>258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91:F98 F61:F69 F71:F79 F81:F89 F2:F6 F8:F12 F51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F76" sqref="F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2025</v>
      </c>
      <c r="D73" s="12">
        <f>Table1[[#This Row],[Enrolment S.Y. 2025-2026 ]]*8</f>
        <v>16200</v>
      </c>
      <c r="E73" s="12">
        <v>57</v>
      </c>
      <c r="F73" s="10">
        <v>2025</v>
      </c>
      <c r="G73" s="12" t="s">
        <v>20</v>
      </c>
      <c r="H73" s="12">
        <f t="shared" si="2"/>
        <v>16143</v>
      </c>
      <c r="I73" s="12">
        <f t="shared" si="3"/>
        <v>0</v>
      </c>
      <c r="J73" s="12">
        <f>Table1[[#This Row],[Enrolment S.Y. 2025-2026 ]]*8</f>
        <v>16200</v>
      </c>
      <c r="K73" s="12"/>
      <c r="L73" s="10"/>
      <c r="M73" s="12"/>
      <c r="N73" s="12">
        <f t="shared" si="16"/>
        <v>16200</v>
      </c>
      <c r="O73" s="12">
        <f t="shared" si="17"/>
        <v>0</v>
      </c>
      <c r="P73" s="12">
        <f>Table1[[#This Row],[Enrolment S.Y. 2025-2026 ]]*8</f>
        <v>16200</v>
      </c>
      <c r="Q73" s="12"/>
      <c r="R73" s="10"/>
      <c r="S73" s="12"/>
      <c r="T73" s="12">
        <f t="shared" si="18"/>
        <v>16200</v>
      </c>
      <c r="U73" s="12">
        <f t="shared" si="19"/>
        <v>0</v>
      </c>
      <c r="V73" s="12">
        <f>Table1[[#This Row],[Enrolment S.Y. 2025-2026 ]]*8</f>
        <v>16200</v>
      </c>
      <c r="W73" s="12"/>
      <c r="X73" s="10"/>
      <c r="Y73" s="12"/>
      <c r="Z73" s="12">
        <f t="shared" si="20"/>
        <v>16200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2025</v>
      </c>
      <c r="D74" s="12">
        <f>Table1[[#This Row],[Enrolment S.Y. 2025-2026 ]]*8</f>
        <v>16200</v>
      </c>
      <c r="E74" s="12">
        <v>57</v>
      </c>
      <c r="F74" s="10">
        <v>2025</v>
      </c>
      <c r="G74" s="12" t="s">
        <v>20</v>
      </c>
      <c r="H74" s="12">
        <f t="shared" si="2"/>
        <v>16143</v>
      </c>
      <c r="I74" s="12">
        <f t="shared" si="3"/>
        <v>0</v>
      </c>
      <c r="J74" s="12">
        <f>Table1[[#This Row],[Enrolment S.Y. 2025-2026 ]]*8</f>
        <v>16200</v>
      </c>
      <c r="K74" s="12"/>
      <c r="L74" s="10"/>
      <c r="M74" s="12"/>
      <c r="N74" s="12">
        <f t="shared" si="16"/>
        <v>16200</v>
      </c>
      <c r="O74" s="12">
        <f t="shared" si="17"/>
        <v>0</v>
      </c>
      <c r="P74" s="12">
        <f>Table1[[#This Row],[Enrolment S.Y. 2025-2026 ]]*8</f>
        <v>16200</v>
      </c>
      <c r="Q74" s="12"/>
      <c r="R74" s="10"/>
      <c r="S74" s="12"/>
      <c r="T74" s="12">
        <f t="shared" si="18"/>
        <v>16200</v>
      </c>
      <c r="U74" s="12">
        <f t="shared" si="19"/>
        <v>0</v>
      </c>
      <c r="V74" s="12">
        <f>Table1[[#This Row],[Enrolment S.Y. 2025-2026 ]]*8</f>
        <v>16200</v>
      </c>
      <c r="W74" s="12"/>
      <c r="X74" s="10"/>
      <c r="Y74" s="12"/>
      <c r="Z74" s="12">
        <f t="shared" si="20"/>
        <v>16200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2025</v>
      </c>
      <c r="D75" s="12">
        <f>Table1[[#This Row],[Enrolment S.Y. 2025-2026 ]]*8</f>
        <v>16200</v>
      </c>
      <c r="E75" s="12">
        <v>57</v>
      </c>
      <c r="F75" s="10">
        <v>2025</v>
      </c>
      <c r="G75" s="12" t="s">
        <v>20</v>
      </c>
      <c r="H75" s="12">
        <f t="shared" si="2"/>
        <v>16143</v>
      </c>
      <c r="I75" s="12">
        <f t="shared" si="3"/>
        <v>0</v>
      </c>
      <c r="J75" s="12">
        <f>Table1[[#This Row],[Enrolment S.Y. 2025-2026 ]]*8</f>
        <v>16200</v>
      </c>
      <c r="K75" s="12"/>
      <c r="L75" s="10"/>
      <c r="M75" s="12"/>
      <c r="N75" s="12">
        <f t="shared" si="16"/>
        <v>16200</v>
      </c>
      <c r="O75" s="12">
        <f t="shared" si="17"/>
        <v>0</v>
      </c>
      <c r="P75" s="12">
        <f>Table1[[#This Row],[Enrolment S.Y. 2025-2026 ]]*8</f>
        <v>16200</v>
      </c>
      <c r="Q75" s="12"/>
      <c r="R75" s="10"/>
      <c r="S75" s="12"/>
      <c r="T75" s="12">
        <f t="shared" si="18"/>
        <v>16200</v>
      </c>
      <c r="U75" s="12">
        <f t="shared" si="19"/>
        <v>0</v>
      </c>
      <c r="V75" s="12">
        <f>Table1[[#This Row],[Enrolment S.Y. 2025-2026 ]]*8</f>
        <v>16200</v>
      </c>
      <c r="W75" s="12"/>
      <c r="X75" s="10"/>
      <c r="Y75" s="12"/>
      <c r="Z75" s="12">
        <f t="shared" si="20"/>
        <v>16200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>
        <v>2025</v>
      </c>
      <c r="D76" s="12">
        <f>Table1[[#This Row],[Enrolment S.Y. 2025-2026 ]]*8</f>
        <v>16200</v>
      </c>
      <c r="E76" s="12">
        <v>57</v>
      </c>
      <c r="F76" s="10">
        <v>2025</v>
      </c>
      <c r="G76" s="12" t="s">
        <v>20</v>
      </c>
      <c r="H76" s="12">
        <f t="shared" si="2"/>
        <v>16143</v>
      </c>
      <c r="I76" s="12">
        <f t="shared" si="3"/>
        <v>0</v>
      </c>
      <c r="J76" s="12">
        <f>Table1[[#This Row],[Enrolment S.Y. 2025-2026 ]]*8</f>
        <v>16200</v>
      </c>
      <c r="K76" s="12"/>
      <c r="L76" s="10"/>
      <c r="M76" s="12"/>
      <c r="N76" s="12">
        <f t="shared" si="16"/>
        <v>16200</v>
      </c>
      <c r="O76" s="12">
        <f t="shared" si="17"/>
        <v>0</v>
      </c>
      <c r="P76" s="12">
        <f>Table1[[#This Row],[Enrolment S.Y. 2025-2026 ]]*8</f>
        <v>16200</v>
      </c>
      <c r="Q76" s="12"/>
      <c r="R76" s="10"/>
      <c r="S76" s="12"/>
      <c r="T76" s="12">
        <f t="shared" si="18"/>
        <v>16200</v>
      </c>
      <c r="U76" s="12">
        <f t="shared" si="19"/>
        <v>0</v>
      </c>
      <c r="V76" s="12">
        <f>Table1[[#This Row],[Enrolment S.Y. 2025-2026 ]]*8</f>
        <v>16200</v>
      </c>
      <c r="W76" s="12"/>
      <c r="X76" s="10"/>
      <c r="Y76" s="12"/>
      <c r="Z76" s="12">
        <f t="shared" si="20"/>
        <v>16200</v>
      </c>
      <c r="AA76" s="12">
        <f t="shared" si="21"/>
        <v>0</v>
      </c>
    </row>
    <row r="77" spans="1:27" ht="19.5">
      <c r="A77" s="10">
        <v>8</v>
      </c>
      <c r="B77" s="11" t="s">
        <v>25</v>
      </c>
      <c r="C77" s="10">
        <v>2025</v>
      </c>
      <c r="D77" s="12">
        <f>Table1[[#This Row],[Enrolment S.Y. 2025-2026 ]]*8</f>
        <v>16200</v>
      </c>
      <c r="E77" s="12">
        <v>57</v>
      </c>
      <c r="F77" s="10">
        <v>2025</v>
      </c>
      <c r="G77" s="12" t="s">
        <v>20</v>
      </c>
      <c r="H77" s="12">
        <f t="shared" si="2"/>
        <v>16143</v>
      </c>
      <c r="I77" s="12">
        <f t="shared" si="3"/>
        <v>0</v>
      </c>
      <c r="J77" s="12">
        <f>Table1[[#This Row],[Enrolment S.Y. 2025-2026 ]]*8</f>
        <v>16200</v>
      </c>
      <c r="K77" s="12"/>
      <c r="L77" s="10"/>
      <c r="M77" s="12"/>
      <c r="N77" s="12">
        <f t="shared" si="16"/>
        <v>16200</v>
      </c>
      <c r="O77" s="12">
        <f t="shared" si="17"/>
        <v>0</v>
      </c>
      <c r="P77" s="12">
        <f>Table1[[#This Row],[Enrolment S.Y. 2025-2026 ]]*8</f>
        <v>16200</v>
      </c>
      <c r="Q77" s="12"/>
      <c r="R77" s="10"/>
      <c r="S77" s="12"/>
      <c r="T77" s="12">
        <f t="shared" si="18"/>
        <v>16200</v>
      </c>
      <c r="U77" s="12">
        <f t="shared" si="19"/>
        <v>0</v>
      </c>
      <c r="V77" s="12">
        <f>Table1[[#This Row],[Enrolment S.Y. 2025-2026 ]]*8</f>
        <v>16200</v>
      </c>
      <c r="W77" s="12"/>
      <c r="X77" s="10"/>
      <c r="Y77" s="12"/>
      <c r="Z77" s="12">
        <f t="shared" si="20"/>
        <v>16200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2025</v>
      </c>
      <c r="D78" s="12">
        <f>Table1[[#This Row],[Enrolment S.Y. 2025-2026 ]]*8</f>
        <v>16200</v>
      </c>
      <c r="E78" s="12">
        <v>57</v>
      </c>
      <c r="F78" s="10">
        <v>2025</v>
      </c>
      <c r="G78" s="12" t="s">
        <v>20</v>
      </c>
      <c r="H78" s="12">
        <f t="shared" ref="H78:H127" si="22">IF((D78-E78)&lt;0,0,(D78-E78))</f>
        <v>16143</v>
      </c>
      <c r="I78" s="12">
        <f t="shared" ref="I78:I127" si="23">IF((E78-D78)&lt;0,0,(E78-D78))</f>
        <v>0</v>
      </c>
      <c r="J78" s="12">
        <f>Table1[[#This Row],[Enrolment S.Y. 2025-2026 ]]*8</f>
        <v>16200</v>
      </c>
      <c r="K78" s="12"/>
      <c r="L78" s="10"/>
      <c r="M78" s="12"/>
      <c r="N78" s="12">
        <f t="shared" si="16"/>
        <v>16200</v>
      </c>
      <c r="O78" s="12">
        <f t="shared" si="17"/>
        <v>0</v>
      </c>
      <c r="P78" s="12">
        <f>Table1[[#This Row],[Enrolment S.Y. 2025-2026 ]]*8</f>
        <v>16200</v>
      </c>
      <c r="Q78" s="12"/>
      <c r="R78" s="10"/>
      <c r="S78" s="12"/>
      <c r="T78" s="12">
        <f t="shared" si="18"/>
        <v>16200</v>
      </c>
      <c r="U78" s="12">
        <f t="shared" si="19"/>
        <v>0</v>
      </c>
      <c r="V78" s="12">
        <f>Table1[[#This Row],[Enrolment S.Y. 2025-2026 ]]*8</f>
        <v>16200</v>
      </c>
      <c r="W78" s="12"/>
      <c r="X78" s="10"/>
      <c r="Y78" s="12"/>
      <c r="Z78" s="12">
        <f t="shared" si="20"/>
        <v>16200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2025</v>
      </c>
      <c r="D79" s="12">
        <f>Table1[[#This Row],[Enrolment S.Y. 2025-2026 ]]*8</f>
        <v>16200</v>
      </c>
      <c r="E79" s="12">
        <v>57</v>
      </c>
      <c r="F79" s="10">
        <v>2025</v>
      </c>
      <c r="G79" s="12" t="s">
        <v>20</v>
      </c>
      <c r="H79" s="12">
        <f t="shared" si="22"/>
        <v>16143</v>
      </c>
      <c r="I79" s="12">
        <f t="shared" si="23"/>
        <v>0</v>
      </c>
      <c r="J79" s="12">
        <f>Table1[[#This Row],[Enrolment S.Y. 2025-2026 ]]*8</f>
        <v>16200</v>
      </c>
      <c r="K79" s="12"/>
      <c r="L79" s="10"/>
      <c r="M79" s="12"/>
      <c r="N79" s="12">
        <f t="shared" si="16"/>
        <v>16200</v>
      </c>
      <c r="O79" s="12">
        <f t="shared" si="17"/>
        <v>0</v>
      </c>
      <c r="P79" s="12">
        <f>Table1[[#This Row],[Enrolment S.Y. 2025-2026 ]]*8</f>
        <v>16200</v>
      </c>
      <c r="Q79" s="12"/>
      <c r="R79" s="10"/>
      <c r="S79" s="12"/>
      <c r="T79" s="12">
        <f t="shared" si="18"/>
        <v>16200</v>
      </c>
      <c r="U79" s="12">
        <f t="shared" si="19"/>
        <v>0</v>
      </c>
      <c r="V79" s="12">
        <f>Table1[[#This Row],[Enrolment S.Y. 2025-2026 ]]*8</f>
        <v>16200</v>
      </c>
      <c r="W79" s="12"/>
      <c r="X79" s="10"/>
      <c r="Y79" s="12"/>
      <c r="Z79" s="12">
        <f t="shared" si="20"/>
        <v>16200</v>
      </c>
      <c r="AA79" s="12">
        <f t="shared" si="21"/>
        <v>0</v>
      </c>
    </row>
    <row r="80" spans="1:27" ht="19.5">
      <c r="A80" s="10">
        <v>8</v>
      </c>
      <c r="B80" s="11" t="s">
        <v>24</v>
      </c>
      <c r="C80" s="10">
        <v>2025</v>
      </c>
      <c r="D80" s="12">
        <f>Table1[[#This Row],[Enrolment S.Y. 2025-2026 ]]*8</f>
        <v>16200</v>
      </c>
      <c r="E80" s="12">
        <v>57</v>
      </c>
      <c r="F80" s="10">
        <v>2025</v>
      </c>
      <c r="G80" s="12" t="s">
        <v>20</v>
      </c>
      <c r="H80" s="12">
        <f t="shared" si="22"/>
        <v>16143</v>
      </c>
      <c r="I80" s="12">
        <f t="shared" si="23"/>
        <v>0</v>
      </c>
      <c r="J80" s="12">
        <f>Table1[[#This Row],[Enrolment S.Y. 2025-2026 ]]*8</f>
        <v>16200</v>
      </c>
      <c r="K80" s="12"/>
      <c r="L80" s="10"/>
      <c r="M80" s="12"/>
      <c r="N80" s="12">
        <f t="shared" si="16"/>
        <v>16200</v>
      </c>
      <c r="O80" s="12">
        <f t="shared" si="17"/>
        <v>0</v>
      </c>
      <c r="P80" s="12">
        <f>Table1[[#This Row],[Enrolment S.Y. 2025-2026 ]]*8</f>
        <v>16200</v>
      </c>
      <c r="Q80" s="12"/>
      <c r="R80" s="10"/>
      <c r="S80" s="12"/>
      <c r="T80" s="12">
        <f t="shared" si="18"/>
        <v>16200</v>
      </c>
      <c r="U80" s="12">
        <f t="shared" si="19"/>
        <v>0</v>
      </c>
      <c r="V80" s="12">
        <f>Table1[[#This Row],[Enrolment S.Y. 2025-2026 ]]*8</f>
        <v>16200</v>
      </c>
      <c r="W80" s="12"/>
      <c r="X80" s="10"/>
      <c r="Y80" s="12"/>
      <c r="Z80" s="12">
        <f t="shared" si="20"/>
        <v>16200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2025</v>
      </c>
      <c r="D81" s="12">
        <f>Table1[[#This Row],[Enrolment S.Y. 2025-2026 ]]*8</f>
        <v>16200</v>
      </c>
      <c r="E81" s="12">
        <v>57</v>
      </c>
      <c r="F81" s="10">
        <v>2025</v>
      </c>
      <c r="G81" s="12" t="s">
        <v>20</v>
      </c>
      <c r="H81" s="12">
        <f t="shared" si="22"/>
        <v>16143</v>
      </c>
      <c r="I81" s="12">
        <f t="shared" si="23"/>
        <v>0</v>
      </c>
      <c r="J81" s="12">
        <f>Table1[[#This Row],[Enrolment S.Y. 2025-2026 ]]*8</f>
        <v>16200</v>
      </c>
      <c r="K81" s="12"/>
      <c r="L81" s="10"/>
      <c r="M81" s="12"/>
      <c r="N81" s="12">
        <f t="shared" si="16"/>
        <v>16200</v>
      </c>
      <c r="O81" s="12">
        <f t="shared" si="17"/>
        <v>0</v>
      </c>
      <c r="P81" s="12">
        <f>Table1[[#This Row],[Enrolment S.Y. 2025-2026 ]]*8</f>
        <v>16200</v>
      </c>
      <c r="Q81" s="12"/>
      <c r="R81" s="10"/>
      <c r="S81" s="12"/>
      <c r="T81" s="12">
        <f t="shared" si="18"/>
        <v>16200</v>
      </c>
      <c r="U81" s="12">
        <f t="shared" si="19"/>
        <v>0</v>
      </c>
      <c r="V81" s="12">
        <f>Table1[[#This Row],[Enrolment S.Y. 2025-2026 ]]*8</f>
        <v>16200</v>
      </c>
      <c r="W81" s="12"/>
      <c r="X81" s="10"/>
      <c r="Y81" s="12"/>
      <c r="Z81" s="12">
        <f t="shared" si="20"/>
        <v>16200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83:C91 C93:C101 C103:C110 C112:C127 C5:C12 C73:C81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X112:X127 F53:F61 F5:F12 F83:F91 F93:F101 F14:F21 F103:F110 R103:R110 L103:L110 X103:X110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W103" sqref="W10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2025</v>
      </c>
      <c r="D81" s="12">
        <f>Table14[[#This Row],[Enrolment S.Y. 2025-2026 ]]*8</f>
        <v>16200</v>
      </c>
      <c r="E81" s="12">
        <v>288</v>
      </c>
      <c r="F81" s="10">
        <v>2025</v>
      </c>
      <c r="G81" s="12" t="s">
        <v>20</v>
      </c>
      <c r="H81" s="12">
        <f t="shared" si="0"/>
        <v>15912</v>
      </c>
      <c r="I81" s="12">
        <f t="shared" si="1"/>
        <v>0</v>
      </c>
      <c r="J81" s="12">
        <f>Table14[[#This Row],[Enrolment S.Y. 2025-2026 ]]*8</f>
        <v>16200</v>
      </c>
      <c r="K81" s="12"/>
      <c r="L81" s="10"/>
      <c r="M81" s="12"/>
      <c r="N81" s="12">
        <f t="shared" si="20"/>
        <v>16200</v>
      </c>
      <c r="O81" s="12">
        <f t="shared" si="21"/>
        <v>0</v>
      </c>
      <c r="P81" s="12">
        <f>Table14[[#This Row],[Enrolment S.Y. 2025-2026 ]]*8</f>
        <v>16200</v>
      </c>
      <c r="Q81" s="12"/>
      <c r="R81" s="10"/>
      <c r="S81" s="12"/>
      <c r="T81" s="12">
        <f t="shared" si="16"/>
        <v>16200</v>
      </c>
      <c r="U81" s="12">
        <f t="shared" si="17"/>
        <v>0</v>
      </c>
      <c r="V81" s="12">
        <f>Table14[[#This Row],[Enrolment S.Y. 2025-2026 ]]*8</f>
        <v>16200</v>
      </c>
      <c r="W81" s="12"/>
      <c r="X81" s="10"/>
      <c r="Y81" s="12"/>
      <c r="Z81" s="12">
        <f t="shared" si="18"/>
        <v>16200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>
        <v>2025</v>
      </c>
      <c r="D91" s="12">
        <f>Table14[[#This Row],[Enrolment S.Y. 2025-2026 ]]*8</f>
        <v>16200</v>
      </c>
      <c r="E91" s="12"/>
      <c r="F91" s="10"/>
      <c r="G91" s="12"/>
      <c r="H91" s="12">
        <f t="shared" si="22"/>
        <v>16200</v>
      </c>
      <c r="I91" s="12">
        <f t="shared" si="23"/>
        <v>0</v>
      </c>
      <c r="J91" s="12">
        <f>Table14[[#This Row],[Enrolment S.Y. 2025-2026 ]]*8</f>
        <v>16200</v>
      </c>
      <c r="K91" s="12"/>
      <c r="L91" s="10"/>
      <c r="M91" s="12"/>
      <c r="N91" s="12">
        <f t="shared" si="20"/>
        <v>16200</v>
      </c>
      <c r="O91" s="12">
        <f t="shared" si="21"/>
        <v>0</v>
      </c>
      <c r="P91" s="12">
        <f>Table14[[#This Row],[Enrolment S.Y. 2025-2026 ]]*8</f>
        <v>16200</v>
      </c>
      <c r="Q91" s="12"/>
      <c r="R91" s="10"/>
      <c r="S91" s="12"/>
      <c r="T91" s="12">
        <f t="shared" si="16"/>
        <v>16200</v>
      </c>
      <c r="U91" s="12">
        <f t="shared" si="17"/>
        <v>0</v>
      </c>
      <c r="V91" s="12">
        <f>Table14[[#This Row],[Enrolment S.Y. 2025-2026 ]]*8</f>
        <v>16200</v>
      </c>
      <c r="W91" s="12">
        <v>1120</v>
      </c>
      <c r="X91" s="10">
        <v>2025</v>
      </c>
      <c r="Y91" s="12" t="s">
        <v>20</v>
      </c>
      <c r="Z91" s="12">
        <f t="shared" si="18"/>
        <v>15080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2025</v>
      </c>
      <c r="D92" s="12">
        <f>Table14[[#This Row],[Enrolment S.Y. 2025-2026 ]]*8</f>
        <v>16200</v>
      </c>
      <c r="E92" s="12">
        <v>102</v>
      </c>
      <c r="F92" s="10">
        <v>2025</v>
      </c>
      <c r="G92" s="12" t="s">
        <v>20</v>
      </c>
      <c r="H92" s="12">
        <f t="shared" si="22"/>
        <v>16098</v>
      </c>
      <c r="I92" s="12">
        <f t="shared" si="23"/>
        <v>0</v>
      </c>
      <c r="J92" s="12">
        <f>Table14[[#This Row],[Enrolment S.Y. 2025-2026 ]]*8</f>
        <v>16200</v>
      </c>
      <c r="K92" s="12">
        <v>560</v>
      </c>
      <c r="L92" s="10">
        <v>2025</v>
      </c>
      <c r="M92" s="12" t="s">
        <v>20</v>
      </c>
      <c r="N92" s="12">
        <f t="shared" si="20"/>
        <v>15640</v>
      </c>
      <c r="O92" s="12">
        <f t="shared" si="21"/>
        <v>0</v>
      </c>
      <c r="P92" s="12">
        <f>Table14[[#This Row],[Enrolment S.Y. 2025-2026 ]]*8</f>
        <v>16200</v>
      </c>
      <c r="Q92" s="12">
        <v>400</v>
      </c>
      <c r="R92" s="10">
        <v>2025</v>
      </c>
      <c r="S92" s="12" t="s">
        <v>20</v>
      </c>
      <c r="T92" s="12">
        <f t="shared" si="16"/>
        <v>15800</v>
      </c>
      <c r="U92" s="12">
        <f t="shared" si="17"/>
        <v>0</v>
      </c>
      <c r="V92" s="12">
        <f>Table14[[#This Row],[Enrolment S.Y. 2025-2026 ]]*8</f>
        <v>16200</v>
      </c>
      <c r="W92" s="12">
        <v>560</v>
      </c>
      <c r="X92" s="10">
        <v>2025</v>
      </c>
      <c r="Y92" s="12" t="s">
        <v>20</v>
      </c>
      <c r="Z92" s="12">
        <f t="shared" si="18"/>
        <v>15640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2025</v>
      </c>
      <c r="D93" s="12">
        <f>Table14[[#This Row],[Enrolment S.Y. 2025-2026 ]]*8</f>
        <v>16200</v>
      </c>
      <c r="E93" s="12">
        <v>391</v>
      </c>
      <c r="F93" s="10">
        <v>2025</v>
      </c>
      <c r="G93" s="12" t="s">
        <v>20</v>
      </c>
      <c r="H93" s="12">
        <f t="shared" si="22"/>
        <v>15809</v>
      </c>
      <c r="I93" s="12">
        <f t="shared" si="23"/>
        <v>0</v>
      </c>
      <c r="J93" s="12">
        <f>Table14[[#This Row],[Enrolment S.Y. 2025-2026 ]]*8</f>
        <v>16200</v>
      </c>
      <c r="K93" s="12">
        <v>800</v>
      </c>
      <c r="L93" s="10">
        <v>2025</v>
      </c>
      <c r="M93" s="12" t="s">
        <v>20</v>
      </c>
      <c r="N93" s="12">
        <f t="shared" si="20"/>
        <v>15400</v>
      </c>
      <c r="O93" s="12">
        <f t="shared" si="21"/>
        <v>0</v>
      </c>
      <c r="P93" s="12">
        <f>Table14[[#This Row],[Enrolment S.Y. 2025-2026 ]]*8</f>
        <v>16200</v>
      </c>
      <c r="Q93" s="12">
        <v>1280</v>
      </c>
      <c r="R93" s="10">
        <v>2025</v>
      </c>
      <c r="S93" s="12" t="s">
        <v>20</v>
      </c>
      <c r="T93" s="12">
        <f t="shared" si="16"/>
        <v>14920</v>
      </c>
      <c r="U93" s="12">
        <f t="shared" si="17"/>
        <v>0</v>
      </c>
      <c r="V93" s="12">
        <f>Table14[[#This Row],[Enrolment S.Y. 2025-2026 ]]*8</f>
        <v>16200</v>
      </c>
      <c r="W93" s="12">
        <v>720</v>
      </c>
      <c r="X93" s="10">
        <v>2025</v>
      </c>
      <c r="Y93" s="12" t="s">
        <v>20</v>
      </c>
      <c r="Z93" s="12">
        <f t="shared" si="18"/>
        <v>15480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>
        <v>2025</v>
      </c>
      <c r="D94" s="12">
        <f>Table14[[#This Row],[Enrolment S.Y. 2025-2026 ]]*8</f>
        <v>16200</v>
      </c>
      <c r="E94" s="12"/>
      <c r="F94" s="10"/>
      <c r="G94" s="12"/>
      <c r="H94" s="12">
        <f t="shared" si="22"/>
        <v>16200</v>
      </c>
      <c r="I94" s="12">
        <f t="shared" si="23"/>
        <v>0</v>
      </c>
      <c r="J94" s="12">
        <f>Table14[[#This Row],[Enrolment S.Y. 2025-2026 ]]*8</f>
        <v>16200</v>
      </c>
      <c r="K94" s="12">
        <v>80</v>
      </c>
      <c r="L94" s="10">
        <v>2025</v>
      </c>
      <c r="M94" s="12" t="s">
        <v>20</v>
      </c>
      <c r="N94" s="12">
        <f t="shared" si="20"/>
        <v>16120</v>
      </c>
      <c r="O94" s="12">
        <f t="shared" si="21"/>
        <v>0</v>
      </c>
      <c r="P94" s="12">
        <f>Table14[[#This Row],[Enrolment S.Y. 2025-2026 ]]*8</f>
        <v>16200</v>
      </c>
      <c r="Q94" s="12">
        <v>400</v>
      </c>
      <c r="R94" s="10">
        <v>2025</v>
      </c>
      <c r="S94" s="12" t="s">
        <v>20</v>
      </c>
      <c r="T94" s="12">
        <f t="shared" si="16"/>
        <v>15800</v>
      </c>
      <c r="U94" s="12">
        <f t="shared" si="17"/>
        <v>0</v>
      </c>
      <c r="V94" s="12">
        <f>Table14[[#This Row],[Enrolment S.Y. 2025-2026 ]]*8</f>
        <v>16200</v>
      </c>
      <c r="W94" s="12">
        <v>640</v>
      </c>
      <c r="X94" s="10">
        <v>2025</v>
      </c>
      <c r="Y94" s="12" t="s">
        <v>20</v>
      </c>
      <c r="Z94" s="12">
        <f t="shared" si="18"/>
        <v>15560</v>
      </c>
      <c r="AA94" s="12">
        <f t="shared" si="19"/>
        <v>0</v>
      </c>
    </row>
    <row r="95" spans="1:27" ht="19.5">
      <c r="A95" s="10">
        <v>9</v>
      </c>
      <c r="B95" s="11" t="s">
        <v>25</v>
      </c>
      <c r="C95" s="10">
        <v>2025</v>
      </c>
      <c r="D95" s="12">
        <f>Table14[[#This Row],[Enrolment S.Y. 2025-2026 ]]*8</f>
        <v>16200</v>
      </c>
      <c r="E95" s="12"/>
      <c r="F95" s="10"/>
      <c r="G95" s="12"/>
      <c r="H95" s="12">
        <f t="shared" si="22"/>
        <v>16200</v>
      </c>
      <c r="I95" s="12">
        <f t="shared" si="23"/>
        <v>0</v>
      </c>
      <c r="J95" s="12">
        <f>Table14[[#This Row],[Enrolment S.Y. 2025-2026 ]]*8</f>
        <v>16200</v>
      </c>
      <c r="K95" s="12"/>
      <c r="L95" s="10"/>
      <c r="M95" s="12"/>
      <c r="N95" s="12">
        <f t="shared" si="20"/>
        <v>16200</v>
      </c>
      <c r="O95" s="12">
        <f t="shared" si="21"/>
        <v>0</v>
      </c>
      <c r="P95" s="12">
        <f>Table14[[#This Row],[Enrolment S.Y. 2025-2026 ]]*8</f>
        <v>16200</v>
      </c>
      <c r="Q95" s="12">
        <v>480</v>
      </c>
      <c r="R95" s="10">
        <v>2025</v>
      </c>
      <c r="S95" s="12" t="s">
        <v>20</v>
      </c>
      <c r="T95" s="12">
        <f t="shared" si="16"/>
        <v>15720</v>
      </c>
      <c r="U95" s="12">
        <f t="shared" si="17"/>
        <v>0</v>
      </c>
      <c r="V95" s="12">
        <f>Table14[[#This Row],[Enrolment S.Y. 2025-2026 ]]*8</f>
        <v>16200</v>
      </c>
      <c r="W95" s="12">
        <v>320</v>
      </c>
      <c r="X95" s="10">
        <v>2025</v>
      </c>
      <c r="Y95" s="12" t="s">
        <v>20</v>
      </c>
      <c r="Z95" s="12">
        <f t="shared" si="18"/>
        <v>15880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2025</v>
      </c>
      <c r="D96" s="12">
        <f>Table14[[#This Row],[Enrolment S.Y. 2025-2026 ]]*8</f>
        <v>16200</v>
      </c>
      <c r="E96" s="12"/>
      <c r="F96" s="10"/>
      <c r="G96" s="12"/>
      <c r="H96" s="12">
        <f t="shared" si="22"/>
        <v>16200</v>
      </c>
      <c r="I96" s="12">
        <f t="shared" si="23"/>
        <v>0</v>
      </c>
      <c r="J96" s="12">
        <f>Table14[[#This Row],[Enrolment S.Y. 2025-2026 ]]*8</f>
        <v>16200</v>
      </c>
      <c r="K96" s="12"/>
      <c r="L96" s="10"/>
      <c r="M96" s="12"/>
      <c r="N96" s="12">
        <f t="shared" si="20"/>
        <v>16200</v>
      </c>
      <c r="O96" s="12">
        <f t="shared" si="21"/>
        <v>0</v>
      </c>
      <c r="P96" s="12">
        <f>Table14[[#This Row],[Enrolment S.Y. 2025-2026 ]]*8</f>
        <v>16200</v>
      </c>
      <c r="Q96" s="12">
        <v>480</v>
      </c>
      <c r="R96" s="10">
        <v>2025</v>
      </c>
      <c r="S96" s="12" t="s">
        <v>20</v>
      </c>
      <c r="T96" s="12">
        <f t="shared" si="16"/>
        <v>15720</v>
      </c>
      <c r="U96" s="12">
        <f t="shared" si="17"/>
        <v>0</v>
      </c>
      <c r="V96" s="12">
        <f>Table14[[#This Row],[Enrolment S.Y. 2025-2026 ]]*8</f>
        <v>16200</v>
      </c>
      <c r="W96" s="12">
        <v>800</v>
      </c>
      <c r="X96" s="10">
        <v>2025</v>
      </c>
      <c r="Y96" s="12" t="s">
        <v>20</v>
      </c>
      <c r="Z96" s="12">
        <f t="shared" si="18"/>
        <v>15400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>
        <v>2025</v>
      </c>
      <c r="D97" s="12">
        <f>Table14[[#This Row],[Enrolment S.Y. 2025-2026 ]]*8</f>
        <v>16200</v>
      </c>
      <c r="E97" s="12"/>
      <c r="F97" s="10"/>
      <c r="G97" s="12"/>
      <c r="H97" s="12">
        <f>IF((D97-E97)&lt;0,0,(D97-E97))</f>
        <v>16200</v>
      </c>
      <c r="I97" s="12">
        <f>IF((E97-D97)&lt;0,0,(E97-D97))</f>
        <v>0</v>
      </c>
      <c r="J97" s="12">
        <f>Table14[[#This Row],[Enrolment S.Y. 2025-2026 ]]*8</f>
        <v>16200</v>
      </c>
      <c r="K97" s="12"/>
      <c r="L97" s="10"/>
      <c r="M97" s="12"/>
      <c r="N97" s="12">
        <f t="shared" ref="N97:N101" si="26">IF((J97-K97)&lt;0,0,(J97-K97))</f>
        <v>16200</v>
      </c>
      <c r="O97" s="12">
        <f t="shared" ref="O97:O101" si="27">IF((K97-J97)&lt;0,0,(K97-J97))</f>
        <v>0</v>
      </c>
      <c r="P97" s="12">
        <f>Table14[[#This Row],[Enrolment S.Y. 2025-2026 ]]*8</f>
        <v>16200</v>
      </c>
      <c r="Q97" s="12"/>
      <c r="R97" s="10"/>
      <c r="S97" s="12"/>
      <c r="T97" s="12">
        <f>IF((P97-Q97)&lt;0,0,(P97-Q97))</f>
        <v>16200</v>
      </c>
      <c r="U97" s="12">
        <f>IF((Q97-P97)&lt;0,0,(Q97-P97))</f>
        <v>0</v>
      </c>
      <c r="V97" s="12">
        <f>Table14[[#This Row],[Enrolment S.Y. 2025-2026 ]]*8</f>
        <v>16200</v>
      </c>
      <c r="W97" s="12">
        <v>640</v>
      </c>
      <c r="X97" s="10">
        <v>2025</v>
      </c>
      <c r="Y97" s="12" t="s">
        <v>20</v>
      </c>
      <c r="Z97" s="12">
        <f>IF((V97-W97)&lt;0,0,(V97-W97))</f>
        <v>15560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>
        <v>2025</v>
      </c>
      <c r="D98" s="12">
        <f>Table14[[#This Row],[Enrolment S.Y. 2025-2026 ]]*8</f>
        <v>16200</v>
      </c>
      <c r="E98" s="12"/>
      <c r="F98" s="10"/>
      <c r="G98" s="12"/>
      <c r="H98" s="12">
        <f t="shared" si="22"/>
        <v>16200</v>
      </c>
      <c r="I98" s="12">
        <f t="shared" si="23"/>
        <v>0</v>
      </c>
      <c r="J98" s="12">
        <f>Table14[[#This Row],[Enrolment S.Y. 2025-2026 ]]*8</f>
        <v>16200</v>
      </c>
      <c r="K98" s="12"/>
      <c r="L98" s="10"/>
      <c r="M98" s="12"/>
      <c r="N98" s="12">
        <f t="shared" si="26"/>
        <v>16200</v>
      </c>
      <c r="O98" s="12">
        <f t="shared" si="27"/>
        <v>0</v>
      </c>
      <c r="P98" s="12">
        <f>Table14[[#This Row],[Enrolment S.Y. 2025-2026 ]]*8</f>
        <v>16200</v>
      </c>
      <c r="Q98" s="12"/>
      <c r="R98" s="10"/>
      <c r="S98" s="12"/>
      <c r="T98" s="12">
        <f t="shared" si="16"/>
        <v>16200</v>
      </c>
      <c r="U98" s="12">
        <f t="shared" si="17"/>
        <v>0</v>
      </c>
      <c r="V98" s="12">
        <f>Table14[[#This Row],[Enrolment S.Y. 2025-2026 ]]*8</f>
        <v>16200</v>
      </c>
      <c r="W98" s="12">
        <v>640</v>
      </c>
      <c r="X98" s="10">
        <v>2025</v>
      </c>
      <c r="Y98" s="12" t="s">
        <v>20</v>
      </c>
      <c r="Z98" s="12">
        <f t="shared" si="18"/>
        <v>15560</v>
      </c>
      <c r="AA98" s="12">
        <f t="shared" si="19"/>
        <v>0</v>
      </c>
    </row>
    <row r="99" spans="1:27" ht="19.5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>
        <v>2025</v>
      </c>
      <c r="D100" s="12">
        <f>Table14[[#This Row],[Enrolment S.Y. 2025-2026 ]]*8</f>
        <v>16200</v>
      </c>
      <c r="E100" s="12"/>
      <c r="F100" s="10"/>
      <c r="G100" s="12"/>
      <c r="H100" s="12">
        <f>IF((D100-E100)&lt;0,0,(D100-E100))</f>
        <v>16200</v>
      </c>
      <c r="I100" s="12">
        <f>IF((E100-D100)&lt;0,0,(E100-D100))</f>
        <v>0</v>
      </c>
      <c r="J100" s="12">
        <f>Table14[[#This Row],[Enrolment S.Y. 2025-2026 ]]*8</f>
        <v>16200</v>
      </c>
      <c r="K100" s="12"/>
      <c r="L100" s="10"/>
      <c r="M100" s="12"/>
      <c r="N100" s="12">
        <f t="shared" si="26"/>
        <v>16200</v>
      </c>
      <c r="O100" s="12">
        <f t="shared" si="27"/>
        <v>0</v>
      </c>
      <c r="P100" s="12">
        <f>Table14[[#This Row],[Enrolment S.Y. 2025-2026 ]]*8</f>
        <v>16200</v>
      </c>
      <c r="Q100" s="12">
        <v>640</v>
      </c>
      <c r="R100" s="10">
        <v>2025</v>
      </c>
      <c r="S100" s="12" t="s">
        <v>20</v>
      </c>
      <c r="T100" s="12">
        <f>IF((P100-Q100)&lt;0,0,(P100-Q100))</f>
        <v>15560</v>
      </c>
      <c r="U100" s="12">
        <f>IF((Q100-P100)&lt;0,0,(Q100-P100))</f>
        <v>0</v>
      </c>
      <c r="V100" s="12">
        <f>Table14[[#This Row],[Enrolment S.Y. 2025-2026 ]]*8</f>
        <v>16200</v>
      </c>
      <c r="W100" s="12">
        <v>400</v>
      </c>
      <c r="X100" s="10">
        <v>2025</v>
      </c>
      <c r="Y100" s="12" t="s">
        <v>20</v>
      </c>
      <c r="Z100" s="12">
        <f>IF((V100-W100)&lt;0,0,(V100-W100))</f>
        <v>15800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>
        <v>2025</v>
      </c>
      <c r="D101" s="12">
        <f>Table14[[#This Row],[Enrolment S.Y. 2025-2026 ]]*8</f>
        <v>16200</v>
      </c>
      <c r="E101" s="12"/>
      <c r="F101" s="10"/>
      <c r="G101" s="12"/>
      <c r="H101" s="12">
        <f t="shared" si="22"/>
        <v>16200</v>
      </c>
      <c r="I101" s="12">
        <f t="shared" si="23"/>
        <v>0</v>
      </c>
      <c r="J101" s="12">
        <f>Table14[[#This Row],[Enrolment S.Y. 2025-2026 ]]*8</f>
        <v>16200</v>
      </c>
      <c r="K101" s="12"/>
      <c r="L101" s="10"/>
      <c r="M101" s="12"/>
      <c r="N101" s="12">
        <f t="shared" si="26"/>
        <v>16200</v>
      </c>
      <c r="O101" s="12">
        <f t="shared" si="27"/>
        <v>0</v>
      </c>
      <c r="P101" s="12">
        <f>Table14[[#This Row],[Enrolment S.Y. 2025-2026 ]]*8</f>
        <v>16200</v>
      </c>
      <c r="Q101" s="12">
        <v>240</v>
      </c>
      <c r="R101" s="10">
        <v>2025</v>
      </c>
      <c r="S101" s="12" t="s">
        <v>20</v>
      </c>
      <c r="T101" s="12">
        <f t="shared" si="16"/>
        <v>15960</v>
      </c>
      <c r="U101" s="12">
        <f t="shared" si="17"/>
        <v>0</v>
      </c>
      <c r="V101" s="12">
        <f>Table14[[#This Row],[Enrolment S.Y. 2025-2026 ]]*8</f>
        <v>16200</v>
      </c>
      <c r="W101" s="12">
        <v>400</v>
      </c>
      <c r="X101" s="10">
        <v>2025</v>
      </c>
      <c r="Y101" s="12" t="s">
        <v>20</v>
      </c>
      <c r="Z101" s="12">
        <f t="shared" si="18"/>
        <v>15800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2025</v>
      </c>
      <c r="D103" s="12">
        <f>Table14[[#This Row],[Enrolment S.Y. 2025-2026 ]]*8</f>
        <v>16200</v>
      </c>
      <c r="E103" s="12">
        <v>616</v>
      </c>
      <c r="F103" s="10">
        <v>2025</v>
      </c>
      <c r="G103" s="12" t="s">
        <v>20</v>
      </c>
      <c r="H103" s="12">
        <f t="shared" si="22"/>
        <v>15584</v>
      </c>
      <c r="I103" s="12">
        <f t="shared" si="23"/>
        <v>0</v>
      </c>
      <c r="J103" s="12">
        <f>Table14[[#This Row],[Enrolment S.Y. 2025-2026 ]]*8</f>
        <v>16200</v>
      </c>
      <c r="K103" s="12">
        <v>77</v>
      </c>
      <c r="L103" s="10">
        <v>2025</v>
      </c>
      <c r="M103" s="12" t="s">
        <v>20</v>
      </c>
      <c r="N103" s="12">
        <f t="shared" si="20"/>
        <v>16123</v>
      </c>
      <c r="O103" s="12">
        <f t="shared" si="21"/>
        <v>0</v>
      </c>
      <c r="P103" s="12">
        <f>Table14[[#This Row],[Enrolment S.Y. 2025-2026 ]]*8</f>
        <v>16200</v>
      </c>
      <c r="Q103" s="12">
        <v>385</v>
      </c>
      <c r="R103" s="10">
        <v>2025</v>
      </c>
      <c r="S103" s="12" t="s">
        <v>20</v>
      </c>
      <c r="T103" s="12">
        <f t="shared" si="16"/>
        <v>15815</v>
      </c>
      <c r="U103" s="12">
        <f t="shared" si="17"/>
        <v>0</v>
      </c>
      <c r="V103" s="12">
        <f>Table14[[#This Row],[Enrolment S.Y. 2025-2026 ]]*8</f>
        <v>16200</v>
      </c>
      <c r="W103" s="12">
        <v>231</v>
      </c>
      <c r="X103" s="10">
        <v>2025</v>
      </c>
      <c r="Y103" s="12" t="s">
        <v>20</v>
      </c>
      <c r="Z103" s="12">
        <f t="shared" si="18"/>
        <v>15969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2025</v>
      </c>
      <c r="D104" s="12">
        <f>Table14[[#This Row],[Enrolment S.Y. 2025-2026 ]]*8</f>
        <v>16200</v>
      </c>
      <c r="E104" s="12">
        <v>98</v>
      </c>
      <c r="F104" s="10">
        <v>2025</v>
      </c>
      <c r="G104" s="12" t="s">
        <v>20</v>
      </c>
      <c r="H104" s="12">
        <f t="shared" si="22"/>
        <v>16102</v>
      </c>
      <c r="I104" s="12">
        <f t="shared" si="23"/>
        <v>0</v>
      </c>
      <c r="J104" s="12">
        <f>Table14[[#This Row],[Enrolment S.Y. 2025-2026 ]]*8</f>
        <v>16200</v>
      </c>
      <c r="K104" s="12"/>
      <c r="L104" s="10"/>
      <c r="M104" s="12"/>
      <c r="N104" s="12">
        <f t="shared" si="20"/>
        <v>16200</v>
      </c>
      <c r="O104" s="12">
        <f t="shared" si="21"/>
        <v>0</v>
      </c>
      <c r="P104" s="12">
        <f>Table14[[#This Row],[Enrolment S.Y. 2025-2026 ]]*8</f>
        <v>16200</v>
      </c>
      <c r="Q104" s="12">
        <v>539</v>
      </c>
      <c r="R104" s="10">
        <v>2025</v>
      </c>
      <c r="S104" s="12" t="s">
        <v>20</v>
      </c>
      <c r="T104" s="12">
        <f t="shared" si="16"/>
        <v>15661</v>
      </c>
      <c r="U104" s="12">
        <f t="shared" si="17"/>
        <v>0</v>
      </c>
      <c r="V104" s="12">
        <f>Table14[[#This Row],[Enrolment S.Y. 2025-2026 ]]*8</f>
        <v>16200</v>
      </c>
      <c r="W104" s="12">
        <v>539</v>
      </c>
      <c r="X104" s="10">
        <v>2025</v>
      </c>
      <c r="Y104" s="12" t="s">
        <v>20</v>
      </c>
      <c r="Z104" s="12">
        <f t="shared" si="18"/>
        <v>15661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2025</v>
      </c>
      <c r="D105" s="12">
        <f>Table14[[#This Row],[Enrolment S.Y. 2025-2026 ]]*8</f>
        <v>16200</v>
      </c>
      <c r="E105" s="12">
        <v>140</v>
      </c>
      <c r="F105" s="10">
        <v>2025</v>
      </c>
      <c r="G105" s="12" t="s">
        <v>20</v>
      </c>
      <c r="H105" s="12">
        <f t="shared" si="22"/>
        <v>16060</v>
      </c>
      <c r="I105" s="12">
        <f t="shared" si="23"/>
        <v>0</v>
      </c>
      <c r="J105" s="12">
        <f>Table14[[#This Row],[Enrolment S.Y. 2025-2026 ]]*8</f>
        <v>16200</v>
      </c>
      <c r="K105" s="12">
        <v>693</v>
      </c>
      <c r="L105" s="10">
        <v>2025</v>
      </c>
      <c r="M105" s="12" t="s">
        <v>20</v>
      </c>
      <c r="N105" s="12">
        <f t="shared" si="20"/>
        <v>15507</v>
      </c>
      <c r="O105" s="12">
        <f t="shared" si="21"/>
        <v>0</v>
      </c>
      <c r="P105" s="12">
        <f>Table14[[#This Row],[Enrolment S.Y. 2025-2026 ]]*8</f>
        <v>16200</v>
      </c>
      <c r="Q105" s="12">
        <v>539</v>
      </c>
      <c r="R105" s="10">
        <v>2025</v>
      </c>
      <c r="S105" s="12" t="s">
        <v>20</v>
      </c>
      <c r="T105" s="12">
        <f t="shared" si="16"/>
        <v>15661</v>
      </c>
      <c r="U105" s="12">
        <f t="shared" si="17"/>
        <v>0</v>
      </c>
      <c r="V105" s="12">
        <f>Table14[[#This Row],[Enrolment S.Y. 2025-2026 ]]*8</f>
        <v>16200</v>
      </c>
      <c r="W105" s="12">
        <v>308</v>
      </c>
      <c r="X105" s="10">
        <v>2025</v>
      </c>
      <c r="Y105" s="12" t="s">
        <v>20</v>
      </c>
      <c r="Z105" s="12">
        <f t="shared" si="18"/>
        <v>15892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>
        <v>2025</v>
      </c>
      <c r="D106" s="12">
        <f>Table14[[#This Row],[Enrolment S.Y. 2025-2026 ]]*8</f>
        <v>16200</v>
      </c>
      <c r="E106" s="12"/>
      <c r="F106" s="10"/>
      <c r="G106" s="12"/>
      <c r="H106" s="12">
        <f t="shared" si="22"/>
        <v>16200</v>
      </c>
      <c r="I106" s="12">
        <f t="shared" si="23"/>
        <v>0</v>
      </c>
      <c r="J106" s="12">
        <f>Table14[[#This Row],[Enrolment S.Y. 2025-2026 ]]*8</f>
        <v>16200</v>
      </c>
      <c r="K106" s="12"/>
      <c r="L106" s="10"/>
      <c r="M106" s="12"/>
      <c r="N106" s="12">
        <f t="shared" si="20"/>
        <v>16200</v>
      </c>
      <c r="O106" s="12">
        <f t="shared" si="21"/>
        <v>0</v>
      </c>
      <c r="P106" s="12">
        <f>Table14[[#This Row],[Enrolment S.Y. 2025-2026 ]]*8</f>
        <v>16200</v>
      </c>
      <c r="Q106" s="12">
        <v>616</v>
      </c>
      <c r="R106" s="10">
        <v>2025</v>
      </c>
      <c r="S106" s="12" t="s">
        <v>20</v>
      </c>
      <c r="T106" s="12">
        <f t="shared" si="16"/>
        <v>15584</v>
      </c>
      <c r="U106" s="12">
        <f t="shared" si="17"/>
        <v>0</v>
      </c>
      <c r="V106" s="12">
        <f>Table14[[#This Row],[Enrolment S.Y. 2025-2026 ]]*8</f>
        <v>16200</v>
      </c>
      <c r="W106" s="12">
        <v>308</v>
      </c>
      <c r="X106" s="10">
        <v>2025</v>
      </c>
      <c r="Y106" s="12" t="s">
        <v>20</v>
      </c>
      <c r="Z106" s="12">
        <f t="shared" si="18"/>
        <v>15892</v>
      </c>
      <c r="AA106" s="12">
        <f t="shared" si="19"/>
        <v>0</v>
      </c>
    </row>
    <row r="107" spans="1:27" ht="19.5">
      <c r="A107" s="10">
        <v>10</v>
      </c>
      <c r="B107" s="11" t="s">
        <v>25</v>
      </c>
      <c r="C107" s="10">
        <v>2025</v>
      </c>
      <c r="D107" s="12">
        <f>Table14[[#This Row],[Enrolment S.Y. 2025-2026 ]]*8</f>
        <v>16200</v>
      </c>
      <c r="E107" s="12"/>
      <c r="F107" s="10"/>
      <c r="G107" s="12"/>
      <c r="H107" s="12">
        <f t="shared" si="22"/>
        <v>16200</v>
      </c>
      <c r="I107" s="12">
        <f t="shared" si="23"/>
        <v>0</v>
      </c>
      <c r="J107" s="12">
        <f>Table14[[#This Row],[Enrolment S.Y. 2025-2026 ]]*8</f>
        <v>16200</v>
      </c>
      <c r="K107" s="12"/>
      <c r="L107" s="10"/>
      <c r="M107" s="12"/>
      <c r="N107" s="12">
        <f t="shared" si="20"/>
        <v>16200</v>
      </c>
      <c r="O107" s="12">
        <f t="shared" si="21"/>
        <v>0</v>
      </c>
      <c r="P107" s="12">
        <f>Table14[[#This Row],[Enrolment S.Y. 2025-2026 ]]*8</f>
        <v>16200</v>
      </c>
      <c r="Q107" s="12">
        <v>308</v>
      </c>
      <c r="R107" s="10">
        <v>2025</v>
      </c>
      <c r="S107" s="12" t="s">
        <v>20</v>
      </c>
      <c r="T107" s="12">
        <f t="shared" si="16"/>
        <v>15892</v>
      </c>
      <c r="U107" s="12">
        <f t="shared" si="17"/>
        <v>0</v>
      </c>
      <c r="V107" s="12">
        <f>Table14[[#This Row],[Enrolment S.Y. 2025-2026 ]]*8</f>
        <v>16200</v>
      </c>
      <c r="W107" s="12">
        <v>308</v>
      </c>
      <c r="X107" s="10">
        <v>2025</v>
      </c>
      <c r="Y107" s="12" t="s">
        <v>20</v>
      </c>
      <c r="Z107" s="12">
        <f t="shared" si="18"/>
        <v>15892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2025</v>
      </c>
      <c r="D108" s="12">
        <f>Table14[[#This Row],[Enrolment S.Y. 2025-2026 ]]*8</f>
        <v>16200</v>
      </c>
      <c r="E108" s="12"/>
      <c r="F108" s="10"/>
      <c r="G108" s="12"/>
      <c r="H108" s="12">
        <f t="shared" si="22"/>
        <v>16200</v>
      </c>
      <c r="I108" s="12">
        <f t="shared" si="23"/>
        <v>0</v>
      </c>
      <c r="J108" s="12">
        <f>Table14[[#This Row],[Enrolment S.Y. 2025-2026 ]]*8</f>
        <v>16200</v>
      </c>
      <c r="K108" s="12"/>
      <c r="L108" s="10"/>
      <c r="M108" s="12"/>
      <c r="N108" s="12">
        <f t="shared" si="20"/>
        <v>16200</v>
      </c>
      <c r="O108" s="12">
        <f t="shared" si="21"/>
        <v>0</v>
      </c>
      <c r="P108" s="12">
        <f>Table14[[#This Row],[Enrolment S.Y. 2025-2026 ]]*8</f>
        <v>16200</v>
      </c>
      <c r="Q108" s="12">
        <v>539</v>
      </c>
      <c r="R108" s="10">
        <v>2025</v>
      </c>
      <c r="S108" s="12" t="s">
        <v>20</v>
      </c>
      <c r="T108" s="12">
        <f t="shared" si="16"/>
        <v>15661</v>
      </c>
      <c r="U108" s="12">
        <f t="shared" si="17"/>
        <v>0</v>
      </c>
      <c r="V108" s="12">
        <f>Table14[[#This Row],[Enrolment S.Y. 2025-2026 ]]*8</f>
        <v>16200</v>
      </c>
      <c r="W108" s="12">
        <v>462</v>
      </c>
      <c r="X108" s="10">
        <v>2025</v>
      </c>
      <c r="Y108" s="12" t="s">
        <v>20</v>
      </c>
      <c r="Z108" s="12">
        <f t="shared" si="18"/>
        <v>15738</v>
      </c>
      <c r="AA108" s="12">
        <f t="shared" si="19"/>
        <v>0</v>
      </c>
    </row>
    <row r="109" spans="1:27" ht="19.5">
      <c r="A109" s="38">
        <v>7</v>
      </c>
      <c r="B109" s="11" t="s">
        <v>89</v>
      </c>
      <c r="C109" s="10">
        <v>2025</v>
      </c>
      <c r="D109" s="12">
        <f>Table14[[#This Row],[Enrolment S.Y. 2025-2026 ]]*8</f>
        <v>16200</v>
      </c>
      <c r="E109" s="12"/>
      <c r="F109" s="10"/>
      <c r="G109" s="12"/>
      <c r="H109" s="12">
        <f>IF((D109-E109)&lt;0,0,(D109-E109))</f>
        <v>16200</v>
      </c>
      <c r="I109" s="12">
        <f>IF((E109-D109)&lt;0,0,(E109-D109))</f>
        <v>0</v>
      </c>
      <c r="J109" s="12">
        <f>Table14[[#This Row],[Enrolment S.Y. 2025-2026 ]]*8</f>
        <v>16200</v>
      </c>
      <c r="K109" s="12"/>
      <c r="L109" s="10"/>
      <c r="M109" s="12"/>
      <c r="N109" s="12">
        <f t="shared" ref="N109:N113" si="28">IF((J109-K109)&lt;0,0,(J109-K109))</f>
        <v>16200</v>
      </c>
      <c r="O109" s="12">
        <f t="shared" ref="O109:O113" si="29">IF((K109-J109)&lt;0,0,(K109-J109))</f>
        <v>0</v>
      </c>
      <c r="P109" s="12">
        <f>Table14[[#This Row],[Enrolment S.Y. 2025-2026 ]]*8</f>
        <v>16200</v>
      </c>
      <c r="Q109" s="12">
        <v>154</v>
      </c>
      <c r="R109" s="10">
        <v>2025</v>
      </c>
      <c r="S109" s="12" t="s">
        <v>20</v>
      </c>
      <c r="T109" s="12">
        <f>IF((P109-Q109)&lt;0,0,(P109-Q109))</f>
        <v>16046</v>
      </c>
      <c r="U109" s="12">
        <f>IF((Q109-P109)&lt;0,0,(Q109-P109))</f>
        <v>0</v>
      </c>
      <c r="V109" s="12">
        <f>Table14[[#This Row],[Enrolment S.Y. 2025-2026 ]]*8</f>
        <v>16200</v>
      </c>
      <c r="W109" s="12">
        <v>154</v>
      </c>
      <c r="X109" s="10">
        <v>2025</v>
      </c>
      <c r="Y109" s="12" t="s">
        <v>20</v>
      </c>
      <c r="Z109" s="12">
        <f>IF((V109-W109)&lt;0,0,(V109-W109))</f>
        <v>16046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>
        <v>2025</v>
      </c>
      <c r="D110" s="12">
        <f>Table14[[#This Row],[Enrolment S.Y. 2025-2026 ]]*8</f>
        <v>16200</v>
      </c>
      <c r="E110" s="12"/>
      <c r="F110" s="10"/>
      <c r="G110" s="12"/>
      <c r="H110" s="12">
        <f t="shared" si="22"/>
        <v>16200</v>
      </c>
      <c r="I110" s="12">
        <f t="shared" si="23"/>
        <v>0</v>
      </c>
      <c r="J110" s="12">
        <f>Table14[[#This Row],[Enrolment S.Y. 2025-2026 ]]*8</f>
        <v>16200</v>
      </c>
      <c r="K110" s="12"/>
      <c r="L110" s="10"/>
      <c r="M110" s="12"/>
      <c r="N110" s="12">
        <f t="shared" si="28"/>
        <v>16200</v>
      </c>
      <c r="O110" s="12">
        <f t="shared" si="29"/>
        <v>0</v>
      </c>
      <c r="P110" s="12">
        <f>Table14[[#This Row],[Enrolment S.Y. 2025-2026 ]]*8</f>
        <v>16200</v>
      </c>
      <c r="Q110" s="12">
        <v>231</v>
      </c>
      <c r="R110" s="10">
        <v>2025</v>
      </c>
      <c r="S110" s="12" t="s">
        <v>20</v>
      </c>
      <c r="T110" s="12">
        <f t="shared" si="16"/>
        <v>15969</v>
      </c>
      <c r="U110" s="12">
        <f t="shared" si="17"/>
        <v>0</v>
      </c>
      <c r="V110" s="12">
        <f>Table14[[#This Row],[Enrolment S.Y. 2025-2026 ]]*8</f>
        <v>16200</v>
      </c>
      <c r="W110" s="12">
        <v>308</v>
      </c>
      <c r="X110" s="10">
        <v>2025</v>
      </c>
      <c r="Y110" s="12" t="s">
        <v>20</v>
      </c>
      <c r="Z110" s="12">
        <f t="shared" si="18"/>
        <v>15892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>
        <v>2025</v>
      </c>
      <c r="D112" s="12">
        <f>Table14[[#This Row],[Enrolment S.Y. 2025-2026 ]]*8</f>
        <v>16200</v>
      </c>
      <c r="E112" s="12"/>
      <c r="F112" s="10"/>
      <c r="G112" s="12"/>
      <c r="H112" s="12">
        <f>IF((D112-E112)&lt;0,0,(D112-E112))</f>
        <v>16200</v>
      </c>
      <c r="I112" s="12">
        <f>IF((E112-D112)&lt;0,0,(E112-D112))</f>
        <v>0</v>
      </c>
      <c r="J112" s="12">
        <f>Table14[[#This Row],[Enrolment S.Y. 2025-2026 ]]*8</f>
        <v>16200</v>
      </c>
      <c r="K112" s="12"/>
      <c r="L112" s="10"/>
      <c r="M112" s="12"/>
      <c r="N112" s="12">
        <f t="shared" si="28"/>
        <v>16200</v>
      </c>
      <c r="O112" s="12">
        <f t="shared" si="29"/>
        <v>0</v>
      </c>
      <c r="P112" s="12">
        <f>Table14[[#This Row],[Enrolment S.Y. 2025-2026 ]]*8</f>
        <v>16200</v>
      </c>
      <c r="Q112" s="12">
        <v>154</v>
      </c>
      <c r="R112" s="10">
        <v>2025</v>
      </c>
      <c r="S112" s="12" t="s">
        <v>20</v>
      </c>
      <c r="T112" s="12">
        <f>IF((P112-Q112)&lt;0,0,(P112-Q112))</f>
        <v>16046</v>
      </c>
      <c r="U112" s="12">
        <f>IF((Q112-P112)&lt;0,0,(Q112-P112))</f>
        <v>0</v>
      </c>
      <c r="V112" s="12">
        <f>Table14[[#This Row],[Enrolment S.Y. 2025-2026 ]]*8</f>
        <v>16200</v>
      </c>
      <c r="W112" s="12">
        <v>77</v>
      </c>
      <c r="X112" s="10">
        <v>2025</v>
      </c>
      <c r="Y112" s="12" t="s">
        <v>20</v>
      </c>
      <c r="Z112" s="12">
        <f>IF((V112-W112)&lt;0,0,(V112-W112))</f>
        <v>16123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>
        <v>2025</v>
      </c>
      <c r="D113" s="12">
        <f>Table14[[#This Row],[Enrolment S.Y. 2025-2026 ]]*8</f>
        <v>16200</v>
      </c>
      <c r="E113" s="12"/>
      <c r="F113" s="10"/>
      <c r="G113" s="12"/>
      <c r="H113" s="12">
        <f t="shared" si="22"/>
        <v>16200</v>
      </c>
      <c r="I113" s="12">
        <f t="shared" si="23"/>
        <v>0</v>
      </c>
      <c r="J113" s="12">
        <f>Table14[[#This Row],[Enrolment S.Y. 2025-2026 ]]*8</f>
        <v>16200</v>
      </c>
      <c r="K113" s="12"/>
      <c r="L113" s="10"/>
      <c r="M113" s="12"/>
      <c r="N113" s="12">
        <f t="shared" si="28"/>
        <v>16200</v>
      </c>
      <c r="O113" s="12">
        <f t="shared" si="29"/>
        <v>0</v>
      </c>
      <c r="P113" s="12">
        <f>Table14[[#This Row],[Enrolment S.Y. 2025-2026 ]]*8</f>
        <v>16200</v>
      </c>
      <c r="Q113" s="12"/>
      <c r="R113" s="10"/>
      <c r="S113" s="12"/>
      <c r="T113" s="12">
        <f t="shared" si="16"/>
        <v>16200</v>
      </c>
      <c r="U113" s="12">
        <f t="shared" si="17"/>
        <v>0</v>
      </c>
      <c r="V113" s="12">
        <f>Table14[[#This Row],[Enrolment S.Y. 2025-2026 ]]*8</f>
        <v>16200</v>
      </c>
      <c r="W113" s="12">
        <v>231</v>
      </c>
      <c r="X113" s="10">
        <v>2025</v>
      </c>
      <c r="Y113" s="12" t="s">
        <v>20</v>
      </c>
      <c r="Z113" s="12">
        <f t="shared" si="18"/>
        <v>15969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T103:X113 Z103:AA113 H103:L113 N115:R122 T115:X122 Z115:AA122 H115:L122 N31:R41 N43:R53 N55:R65 N67:R77 N79:R89 N103:R113 H91:L101 D103:F113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2026-01-18T05:28:34Z</dcterms:modified>
  <cp:category/>
  <cp:contentStatus/>
</cp:coreProperties>
</file>