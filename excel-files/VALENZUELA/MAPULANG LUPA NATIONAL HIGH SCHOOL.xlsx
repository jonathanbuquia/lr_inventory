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62" documentId="13_ncr:1_{BFB59F67-F0DC-4675-A682-EB0734A8026A}" xr6:coauthVersionLast="47" xr6:coauthVersionMax="47" xr10:uidLastSave="{47DE5574-A065-48C1-A203-C629612C875B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<sst xmlns="http://schemas.openxmlformats.org/spreadsheetml/2006/main" count="246" uniqueCount="84">
  <si>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</si>
  <si>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</si>
  <si>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</si>
  <si>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</si>
  <si>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</si>
  <si>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</si>
  <si>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</si>
  <si>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</si>
  <si>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</si>
  <si>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</si>
  <si>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</si>
  <si>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CO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</si>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</sst>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6" totalsRowShown="0" headerRowDxfId="62" headerRowBorderDxfId="60" tableBorderDxfId="61">
  <autoFilter ref="A1:H96" xr:uid="{DC451CB5-2E69-4EAA-94B0-458F89F93F29}">
    <filterColumn colId="0">
      <filters>
        <filter val="10"/>
        <filter val="7"/>
        <filter val="8"/>
        <filter val="9"/>
        <filter val="SHS"/>
      </filters>
    </filterColumn>
  </autoFilter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>
    <filterColumn colId="0">
      <filters>
        <filter val="10"/>
        <filter val="7"/>
        <filter val="8"/>
        <filter val="9"/>
        <filter val="SHS"/>
      </filters>
    </filterColumn>
  </autoFilter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6" totalsRowShown="0" dataDxfId="29" headerRowBorderDxfId="27" tableBorderDxfId="28">
  <autoFilter ref="A2:AA76" xr:uid="{D7C37D80-F2E1-4395-8B6C-0FD477B4D8F8}">
    <filterColumn colId="0">
      <filters>
        <filter val="10"/>
        <filter val="7"/>
        <filter val="8"/>
        <filter val="9"/>
        <filter val="SHS"/>
      </filters>
    </filterColumn>
  </autoFilter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1" topLeftCell="B1" activePane="topRight" state="frozen"/>
      <selection pane="topRight" activeCell="L44" sqref="L44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27.75" customHeight="1">
      <c r="A2" s="8">
        <v>7</v>
      </c>
      <c r="B2" s="9" t="s">
        <v>8</v>
      </c>
      <c r="C2" s="8"/>
      <c r="D2" s="8"/>
      <c r="E2" s="8"/>
      <c r="F2" s="10"/>
      <c r="G2" s="2">
        <f t="shared" ref="G2:G10" si="0">IF((C2-D2)&lt;0,0,C2-D2)</f>
        <v>0</v>
      </c>
      <c r="H2" s="3">
        <f t="shared" ref="H2:H10" si="1">IF((D2-C2)&lt;0,0,D2-C2)</f>
        <v>0</v>
      </c>
    </row>
    <row r="3" spans="1:8" ht="27.75" customHeight="1">
      <c r="A3" s="8">
        <v>7</v>
      </c>
      <c r="B3" s="9" t="s">
        <v>9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7.75" customHeight="1">
      <c r="A4" s="8">
        <v>7</v>
      </c>
      <c r="B4" s="9" t="s">
        <v>10</v>
      </c>
      <c r="C4" s="8"/>
      <c r="D4" s="8">
        <v>319</v>
      </c>
      <c r="E4" s="8">
        <v>2024</v>
      </c>
      <c r="F4" s="10" t="s">
        <v>11</v>
      </c>
      <c r="G4" s="2">
        <f t="shared" si="0"/>
        <v>0</v>
      </c>
      <c r="H4" s="3">
        <f t="shared" si="1"/>
        <v>319</v>
      </c>
    </row>
    <row r="5" spans="1:8" ht="27.75" customHeight="1">
      <c r="A5" s="8">
        <v>7</v>
      </c>
      <c r="B5" s="9" t="s">
        <v>12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9" customHeight="1">
      <c r="A6" s="8">
        <v>7</v>
      </c>
      <c r="B6" s="9" t="s">
        <v>13</v>
      </c>
      <c r="C6" s="8"/>
      <c r="D6" s="8">
        <v>319</v>
      </c>
      <c r="E6" s="8">
        <v>2024</v>
      </c>
      <c r="F6" s="10" t="s">
        <v>11</v>
      </c>
      <c r="G6" s="2">
        <f t="shared" si="0"/>
        <v>0</v>
      </c>
      <c r="H6" s="3">
        <f t="shared" si="1"/>
        <v>319</v>
      </c>
    </row>
    <row r="7" spans="1:8" ht="27.75" customHeight="1">
      <c r="A7" s="8">
        <v>7</v>
      </c>
      <c r="B7" s="9" t="s">
        <v>14</v>
      </c>
      <c r="C7" s="8"/>
      <c r="D7" s="8">
        <v>319</v>
      </c>
      <c r="E7" s="8">
        <v>2024</v>
      </c>
      <c r="F7" s="10" t="s">
        <v>11</v>
      </c>
      <c r="G7" s="2">
        <f t="shared" si="0"/>
        <v>0</v>
      </c>
      <c r="H7" s="3">
        <f t="shared" si="1"/>
        <v>319</v>
      </c>
    </row>
    <row r="8" spans="1:8" ht="27.75" customHeight="1">
      <c r="A8" s="8">
        <v>7</v>
      </c>
      <c r="B8" s="9" t="s">
        <v>15</v>
      </c>
      <c r="C8" s="8"/>
      <c r="D8" s="8">
        <v>319</v>
      </c>
      <c r="E8" s="8">
        <v>2024</v>
      </c>
      <c r="F8" s="10" t="s">
        <v>11</v>
      </c>
      <c r="G8" s="2">
        <f t="shared" si="0"/>
        <v>0</v>
      </c>
      <c r="H8" s="3">
        <f t="shared" si="1"/>
        <v>319</v>
      </c>
    </row>
    <row r="9" spans="1:8" ht="27.75" customHeight="1">
      <c r="A9" s="8">
        <v>7</v>
      </c>
      <c r="B9" s="9" t="s">
        <v>16</v>
      </c>
      <c r="C9" s="8"/>
      <c r="D9" s="8">
        <v>319</v>
      </c>
      <c r="E9" s="8">
        <v>2024</v>
      </c>
      <c r="F9" s="10" t="s">
        <v>11</v>
      </c>
      <c r="G9" s="2">
        <f t="shared" si="0"/>
        <v>0</v>
      </c>
      <c r="H9" s="3">
        <f t="shared" si="1"/>
        <v>319</v>
      </c>
    </row>
    <row r="10" spans="1:8" ht="27.75" customHeight="1">
      <c r="A10" s="8">
        <v>7</v>
      </c>
      <c r="B10" s="9" t="s">
        <v>17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7.75" customHeight="1">
      <c r="A11" s="5"/>
      <c r="B11" s="5"/>
      <c r="C11" s="6"/>
      <c r="D11" s="6"/>
      <c r="E11" s="6"/>
      <c r="F11" s="5"/>
      <c r="G11" s="5"/>
      <c r="H11" s="5"/>
    </row>
    <row r="12" spans="1:8" ht="27.75" customHeight="1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27.75" customHeight="1">
      <c r="A13" s="8">
        <v>8</v>
      </c>
      <c r="B13" s="9" t="s">
        <v>9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27.75" customHeight="1">
      <c r="A14" s="8">
        <v>8</v>
      </c>
      <c r="B14" s="9" t="s">
        <v>10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7.75" customHeight="1">
      <c r="A15" s="8">
        <v>8</v>
      </c>
      <c r="B15" s="9" t="s">
        <v>12</v>
      </c>
      <c r="C15" s="8"/>
      <c r="D15" s="8">
        <v>270</v>
      </c>
      <c r="E15" s="8">
        <v>2025</v>
      </c>
      <c r="F15" s="10" t="s">
        <v>11</v>
      </c>
      <c r="G15" s="2">
        <f t="shared" si="2"/>
        <v>0</v>
      </c>
      <c r="H15" s="3">
        <f t="shared" si="3"/>
        <v>270</v>
      </c>
    </row>
    <row r="16" spans="1:8" ht="27.75" customHeight="1">
      <c r="A16" s="8">
        <v>8</v>
      </c>
      <c r="B16" s="9" t="s">
        <v>18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7.75" customHeight="1">
      <c r="A17" s="8">
        <v>8</v>
      </c>
      <c r="B17" s="9" t="s">
        <v>14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7.75" customHeight="1">
      <c r="A18" s="8">
        <v>8</v>
      </c>
      <c r="B18" s="9" t="s">
        <v>15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27.75" customHeight="1">
      <c r="A19" s="8">
        <v>8</v>
      </c>
      <c r="B19" s="9" t="s">
        <v>16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27.75" customHeight="1">
      <c r="A20" s="8">
        <v>8</v>
      </c>
      <c r="B20" s="9" t="s">
        <v>17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7.75" customHeight="1">
      <c r="A21" s="5"/>
      <c r="B21" s="5"/>
      <c r="C21" s="6"/>
      <c r="D21" s="6"/>
      <c r="E21" s="6"/>
      <c r="F21" s="5"/>
      <c r="G21" s="5"/>
      <c r="H21" s="5"/>
    </row>
    <row r="22" spans="1:8" ht="27.75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27.75" customHeight="1">
      <c r="A23" s="8">
        <v>9</v>
      </c>
      <c r="B23" s="9" t="s">
        <v>9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.75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27.75" customHeight="1">
      <c r="A25" s="8">
        <v>9</v>
      </c>
      <c r="B25" s="9" t="s">
        <v>12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27.75" customHeight="1">
      <c r="A26" s="8">
        <v>9</v>
      </c>
      <c r="B26" s="9" t="s">
        <v>18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27.75" customHeight="1">
      <c r="A27" s="8">
        <v>9</v>
      </c>
      <c r="B27" s="9" t="s">
        <v>14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15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16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17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27.75" customHeight="1">
      <c r="A35" s="8">
        <v>10</v>
      </c>
      <c r="B35" s="9" t="s">
        <v>12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18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14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15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16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17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39.75" customHeight="1">
      <c r="A42" s="1" t="s">
        <v>19</v>
      </c>
      <c r="B42" s="7" t="s">
        <v>20</v>
      </c>
      <c r="C42" s="1"/>
      <c r="D42" s="1">
        <v>97</v>
      </c>
      <c r="E42" s="1">
        <v>2024</v>
      </c>
      <c r="F42" s="4" t="s">
        <v>11</v>
      </c>
      <c r="G42" s="2">
        <f t="shared" ref="G42:G49" si="8">IF((C42-D42)&lt;0,0,C42-D42)</f>
        <v>0</v>
      </c>
      <c r="H42" s="3">
        <f t="shared" ref="H42:H49" si="9">IF((D42-C42)&lt;0,0,D42-C42)</f>
        <v>97</v>
      </c>
    </row>
    <row r="43" spans="1:8" ht="27.75" customHeight="1">
      <c r="A43" s="1" t="s">
        <v>19</v>
      </c>
      <c r="B43" s="7" t="s">
        <v>21</v>
      </c>
      <c r="C43" s="1"/>
      <c r="D43" s="1">
        <v>97</v>
      </c>
      <c r="E43" s="1">
        <v>2024</v>
      </c>
      <c r="F43" s="4" t="s">
        <v>11</v>
      </c>
      <c r="G43" s="2">
        <f t="shared" si="8"/>
        <v>0</v>
      </c>
      <c r="H43" s="3">
        <f t="shared" si="9"/>
        <v>97</v>
      </c>
    </row>
    <row r="44" spans="1:8" ht="27.75" customHeight="1">
      <c r="A44" s="1" t="s">
        <v>19</v>
      </c>
      <c r="B44" s="7" t="s">
        <v>22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27.75" customHeight="1">
      <c r="A45" s="1" t="s">
        <v>19</v>
      </c>
      <c r="B45" s="7" t="s">
        <v>23</v>
      </c>
      <c r="C45" s="1"/>
      <c r="D45" s="1">
        <v>97</v>
      </c>
      <c r="E45" s="1">
        <v>2024</v>
      </c>
      <c r="F45" s="4" t="s">
        <v>11</v>
      </c>
      <c r="G45" s="2">
        <f t="shared" si="8"/>
        <v>0</v>
      </c>
      <c r="H45" s="3">
        <f t="shared" si="9"/>
        <v>97</v>
      </c>
    </row>
    <row r="46" spans="1:8" ht="40.5" customHeight="1">
      <c r="A46" s="1" t="s">
        <v>19</v>
      </c>
      <c r="B46" s="7" t="s">
        <v>24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38.25" customHeight="1">
      <c r="A47" s="1" t="s">
        <v>19</v>
      </c>
      <c r="B47" s="7" t="s">
        <v>25</v>
      </c>
      <c r="C47" s="1"/>
      <c r="D47" s="1">
        <v>97</v>
      </c>
      <c r="E47" s="1">
        <v>2025</v>
      </c>
      <c r="F47" s="4" t="s">
        <v>11</v>
      </c>
      <c r="G47" s="2">
        <f t="shared" si="8"/>
        <v>0</v>
      </c>
      <c r="H47" s="3">
        <f t="shared" si="9"/>
        <v>97</v>
      </c>
    </row>
    <row r="48" spans="1:8" ht="27.75" customHeight="1">
      <c r="A48" s="1" t="s">
        <v>19</v>
      </c>
      <c r="B48" s="7" t="s">
        <v>26</v>
      </c>
      <c r="C48" s="1"/>
      <c r="D48" s="1">
        <v>97</v>
      </c>
      <c r="E48" s="1">
        <v>2024</v>
      </c>
      <c r="F48" s="4" t="s">
        <v>11</v>
      </c>
      <c r="G48" s="2">
        <f t="shared" si="8"/>
        <v>0</v>
      </c>
      <c r="H48" s="3">
        <f t="shared" si="9"/>
        <v>97</v>
      </c>
    </row>
    <row r="49" spans="1:8" ht="47.25" customHeight="1">
      <c r="A49" s="1" t="s">
        <v>19</v>
      </c>
      <c r="B49" s="7" t="s">
        <v>27</v>
      </c>
      <c r="C49" s="1"/>
      <c r="D49" s="1">
        <v>97</v>
      </c>
      <c r="E49" s="1">
        <v>2024</v>
      </c>
      <c r="F49" s="4" t="s">
        <v>11</v>
      </c>
      <c r="G49" s="2">
        <f t="shared" si="8"/>
        <v>0</v>
      </c>
      <c r="H49" s="3">
        <f t="shared" si="9"/>
        <v>97</v>
      </c>
    </row>
    <row r="50" spans="1:8" ht="15"/>
    <row r="51" spans="1:8" ht="15"/>
    <row r="52" spans="1:8" ht="15"/>
    <row r="53" spans="1:8" ht="15"/>
    <row r="54" spans="1:8" ht="15"/>
    <row r="55" spans="1:8" ht="15"/>
    <row r="56" spans="1:8" ht="15"/>
    <row r="57" spans="1:8" ht="15"/>
    <row r="58" spans="1:8" ht="15"/>
    <row r="59" spans="1:8" ht="15"/>
    <row r="60" spans="1:8" ht="15"/>
    <row r="61" spans="1:8" ht="15"/>
    <row r="62" spans="1:8" ht="15"/>
    <row r="63" spans="1:8" ht="15"/>
    <row r="64" spans="1:8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2:E10 E12:E20 E22:E30 E32:E40" xr:uid="{B46E7B13-721E-4D49-837E-C02BF9777D48}">
      <formula1>"2024,2025 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C66" sqref="AC6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3" t="s">
        <v>41</v>
      </c>
      <c r="N2" s="33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4" t="s">
        <v>53</v>
      </c>
      <c r="Z2" s="34" t="s">
        <v>54</v>
      </c>
      <c r="AA2" s="24" t="s">
        <v>55</v>
      </c>
    </row>
    <row r="3" spans="1:27" ht="19.149999999999999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ht="19.149999999999999">
      <c r="A4" s="8">
        <v>7</v>
      </c>
      <c r="B4" s="9" t="s">
        <v>9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149999999999999">
      <c r="A5" s="8">
        <v>7</v>
      </c>
      <c r="B5" s="9" t="s">
        <v>10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149999999999999">
      <c r="A6" s="8">
        <v>7</v>
      </c>
      <c r="B6" s="9" t="s">
        <v>12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19.149999999999999">
      <c r="A7" s="8">
        <v>7</v>
      </c>
      <c r="B7" s="9" t="s">
        <v>13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149999999999999">
      <c r="A8" s="8">
        <v>7</v>
      </c>
      <c r="B8" s="9" t="s">
        <v>14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149999999999999">
      <c r="A9" s="8">
        <v>7</v>
      </c>
      <c r="B9" s="9" t="s">
        <v>15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149999999999999">
      <c r="A10" s="8">
        <v>7</v>
      </c>
      <c r="B10" s="9" t="s">
        <v>16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66" si="8">IF((J10-K10)&lt;0,0,(J10-K10))</f>
        <v>0</v>
      </c>
      <c r="O10" s="10">
        <f t="shared" ref="O10:O66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67" si="10">IF((P10-Q10)&lt;0,0,(P10-Q10))</f>
        <v>0</v>
      </c>
      <c r="U10" s="10">
        <f t="shared" ref="U10:U67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67" si="12">IF((V10-W10)&lt;0,0,(V10-W10))</f>
        <v>0</v>
      </c>
      <c r="AA10" s="10">
        <f t="shared" ref="AA10:AA67" si="13">IF((W10-V10)&lt;0,0,(W10-V10))</f>
        <v>0</v>
      </c>
    </row>
    <row r="11" spans="1:27" ht="19.149999999999999">
      <c r="A11" s="8">
        <v>7</v>
      </c>
      <c r="B11" s="9" t="s">
        <v>17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s="5" customFormat="1" ht="19.149999999999999">
      <c r="J12" s="11"/>
      <c r="M12" s="4"/>
      <c r="N12" s="11"/>
      <c r="O12" s="11"/>
      <c r="P12" s="11"/>
      <c r="S12" s="4"/>
      <c r="T12" s="11"/>
      <c r="U12" s="11"/>
      <c r="V12" s="11"/>
      <c r="Y12" s="4"/>
      <c r="Z12" s="11"/>
      <c r="AA12" s="11"/>
    </row>
    <row r="13" spans="1:27" ht="19.149999999999999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149999999999999">
      <c r="A14" s="8">
        <v>8</v>
      </c>
      <c r="B14" s="9" t="s">
        <v>9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149999999999999">
      <c r="A15" s="8">
        <v>8</v>
      </c>
      <c r="B15" s="9" t="s">
        <v>10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149999999999999">
      <c r="A16" s="8">
        <v>8</v>
      </c>
      <c r="B16" s="9" t="s">
        <v>12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149999999999999">
      <c r="A17" s="8">
        <v>8</v>
      </c>
      <c r="B17" s="9" t="s">
        <v>18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149999999999999">
      <c r="A18" s="8">
        <v>8</v>
      </c>
      <c r="B18" s="9" t="s">
        <v>14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67" si="14">IF((D18-E18)&lt;0,0,(D18-E18))</f>
        <v>0</v>
      </c>
      <c r="I18" s="10">
        <f t="shared" ref="I18:I67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149999999999999">
      <c r="A19" s="8">
        <v>8</v>
      </c>
      <c r="B19" s="9" t="s">
        <v>15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149999999999999">
      <c r="A20" s="8">
        <v>8</v>
      </c>
      <c r="B20" s="9" t="s">
        <v>16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149999999999999">
      <c r="A21" s="8">
        <v>8</v>
      </c>
      <c r="B21" s="9" t="s">
        <v>17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149999999999999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149999999999999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149999999999999">
      <c r="A24" s="8">
        <v>9</v>
      </c>
      <c r="B24" s="9" t="s">
        <v>9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149999999999999">
      <c r="A25" s="8">
        <v>9</v>
      </c>
      <c r="B25" s="9" t="s">
        <v>10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149999999999999">
      <c r="A26" s="8">
        <v>9</v>
      </c>
      <c r="B26" s="9" t="s">
        <v>12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149999999999999">
      <c r="A27" s="8">
        <v>9</v>
      </c>
      <c r="B27" s="9" t="s">
        <v>18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149999999999999">
      <c r="A28" s="8">
        <v>9</v>
      </c>
      <c r="B28" s="9" t="s">
        <v>14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149999999999999">
      <c r="A29" s="8">
        <v>9</v>
      </c>
      <c r="B29" s="9" t="s">
        <v>15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149999999999999">
      <c r="A30" s="8">
        <v>9</v>
      </c>
      <c r="B30" s="9" t="s">
        <v>16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149999999999999">
      <c r="A31" s="8">
        <v>9</v>
      </c>
      <c r="B31" s="9" t="s">
        <v>17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149999999999999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149999999999999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149999999999999">
      <c r="A34" s="8">
        <v>10</v>
      </c>
      <c r="B34" s="9" t="s">
        <v>9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149999999999999">
      <c r="A35" s="8">
        <v>10</v>
      </c>
      <c r="B35" s="9" t="s">
        <v>10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149999999999999">
      <c r="A36" s="8">
        <v>10</v>
      </c>
      <c r="B36" s="9" t="s">
        <v>12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149999999999999">
      <c r="A37" s="8">
        <v>10</v>
      </c>
      <c r="B37" s="9" t="s">
        <v>18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149999999999999">
      <c r="A38" s="8">
        <v>10</v>
      </c>
      <c r="B38" s="9" t="s">
        <v>14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149999999999999">
      <c r="A39" s="8">
        <v>10</v>
      </c>
      <c r="B39" s="9" t="s">
        <v>15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149999999999999">
      <c r="A40" s="8">
        <v>10</v>
      </c>
      <c r="B40" s="9" t="s">
        <v>16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149999999999999">
      <c r="A41" s="8">
        <v>10</v>
      </c>
      <c r="B41" s="9" t="s">
        <v>17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149999999999999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450000000000003">
      <c r="A43" s="1" t="s">
        <v>19</v>
      </c>
      <c r="B43" s="7" t="s">
        <v>20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149999999999999">
      <c r="A44" s="1" t="s">
        <v>19</v>
      </c>
      <c r="B44" s="7" t="s">
        <v>21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149999999999999">
      <c r="A45" s="1" t="s">
        <v>19</v>
      </c>
      <c r="B45" s="7" t="s">
        <v>22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149999999999999">
      <c r="A46" s="1" t="s">
        <v>19</v>
      </c>
      <c r="B46" s="7" t="s">
        <v>23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450000000000003">
      <c r="A47" s="1" t="s">
        <v>19</v>
      </c>
      <c r="B47" s="7" t="s">
        <v>24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19.149999999999999">
      <c r="A48" s="1" t="s">
        <v>19</v>
      </c>
      <c r="B48" s="7" t="s">
        <v>25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38.450000000000003">
      <c r="A49" s="1" t="s">
        <v>19</v>
      </c>
      <c r="B49" s="7" t="s">
        <v>26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450000000000003">
      <c r="A50" s="1" t="s">
        <v>19</v>
      </c>
      <c r="B50" s="7" t="s">
        <v>27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s="5" customFormat="1" ht="19.149999999999999">
      <c r="J51" s="11"/>
      <c r="N51" s="11"/>
      <c r="O51" s="11"/>
      <c r="P51" s="11"/>
      <c r="T51" s="11"/>
      <c r="U51" s="11"/>
      <c r="V51" s="11"/>
      <c r="Z51" s="11"/>
      <c r="AA51" s="11"/>
    </row>
    <row r="52" spans="1:27" ht="19.149999999999999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149999999999999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149999999999999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149999999999999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149999999999999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149999999999999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149999999999999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149999999999999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149999999999999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149999999999999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ht="19.149999999999999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149999999999999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149999999999999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149999999999999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149999999999999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149999999999999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27"/>
      <c r="Y67" s="29"/>
      <c r="Z67" s="4">
        <f t="shared" si="12"/>
        <v>0</v>
      </c>
      <c r="AA67" s="4">
        <f t="shared" si="13"/>
        <v>0</v>
      </c>
    </row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52:C67 C2:C11" name="Textbooks"/>
    <protectedRange sqref="H43:I50 Q43:R50 W43:X50 D52:F67 H52:I67 N67:R67 W52:X67 J3:J67 V2:X2 Q52:R66 P2:R2 Z3:AA67 N3:P66 T3:V67 K3:L11 K13:L21 K23:L31 K33:L41 K43:L50 K52:L67 D2:F11 H3:I11 Q3:R11 W3:X11 D13:F21 H13:I21 Q13:R21 W13:X21 D23:F31 H23:I31 Q23:R31 W23:X31 D33:F41 H33:I41 Q33:R41 W33:X41 D43:F50 J2:L2" name="LAS"/>
    <protectedRange sqref="S2:U2 M2:O2 Y2:AA2 Y3:Y50 G52:G67 M52:M67 S52:S67 Y52:Y67 G13:G21 G23:G31 S3:S50 G33:G41 G43:G50 M3:M50 G3:G11 G2:I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X52:X67 F3:F11 F13:F21 F23:F31 F33:F41 F43:F50 F52:F67 L3:L11 L13:L21 L23:L31 L33:L41 L43:L50 L52:L67 R52:R67 R43:R50 R33:R41 R23:R31 R13:R21 R3:R11 X3:X11 X13:X21 X23:X31 X33:X41 X43:X50" xr:uid="{4ECCD083-8EC4-42EE-B46C-B614411F330D}">
      <formula1>"2024,2025 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22"/>
  <sheetViews>
    <sheetView topLeftCell="Q1" zoomScale="55" zoomScaleNormal="55" workbookViewId="0">
      <selection activeCell="AB48" sqref="AB48:AB4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56</v>
      </c>
      <c r="E2" s="18" t="s">
        <v>57</v>
      </c>
      <c r="F2" s="19" t="s">
        <v>58</v>
      </c>
      <c r="G2" s="22" t="s">
        <v>59</v>
      </c>
      <c r="H2" s="15" t="s">
        <v>60</v>
      </c>
      <c r="I2" s="22" t="s">
        <v>61</v>
      </c>
      <c r="J2" s="20" t="s">
        <v>62</v>
      </c>
      <c r="K2" s="20" t="s">
        <v>63</v>
      </c>
      <c r="L2" s="21" t="s">
        <v>64</v>
      </c>
      <c r="M2" s="33" t="s">
        <v>65</v>
      </c>
      <c r="N2" s="33" t="s">
        <v>66</v>
      </c>
      <c r="O2" s="20" t="s">
        <v>67</v>
      </c>
      <c r="P2" s="22" t="s">
        <v>68</v>
      </c>
      <c r="Q2" s="22" t="s">
        <v>69</v>
      </c>
      <c r="R2" s="23" t="s">
        <v>70</v>
      </c>
      <c r="S2" s="15" t="s">
        <v>71</v>
      </c>
      <c r="T2" s="15" t="s">
        <v>72</v>
      </c>
      <c r="U2" s="22" t="s">
        <v>73</v>
      </c>
      <c r="V2" s="24" t="s">
        <v>74</v>
      </c>
      <c r="W2" s="24" t="s">
        <v>75</v>
      </c>
      <c r="X2" s="25" t="s">
        <v>76</v>
      </c>
      <c r="Y2" s="34" t="s">
        <v>77</v>
      </c>
      <c r="Z2" s="34" t="s">
        <v>78</v>
      </c>
      <c r="AA2" s="24" t="s">
        <v>79</v>
      </c>
    </row>
    <row r="3" spans="1:27" ht="19.149999999999999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149999999999999">
      <c r="A4" s="8">
        <v>7</v>
      </c>
      <c r="B4" s="9" t="s">
        <v>9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149999999999999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149999999999999">
      <c r="A6" s="8">
        <v>7</v>
      </c>
      <c r="B6" s="9" t="s">
        <v>12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19.149999999999999">
      <c r="A7" s="8">
        <v>7</v>
      </c>
      <c r="B7" s="9" t="s">
        <v>13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149999999999999">
      <c r="A8" s="8">
        <v>7</v>
      </c>
      <c r="B8" s="9" t="s">
        <v>14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149999999999999">
      <c r="A9" s="32">
        <v>7</v>
      </c>
      <c r="B9" s="9" t="s">
        <v>80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149999999999999">
      <c r="A10" s="8">
        <v>7</v>
      </c>
      <c r="B10" s="9" t="s">
        <v>81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ht="19.149999999999999">
      <c r="A11" s="8">
        <v>7</v>
      </c>
      <c r="B11" s="9" t="s">
        <v>16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149999999999999">
      <c r="A12" s="32">
        <v>7</v>
      </c>
      <c r="B12" s="9" t="s">
        <v>82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149999999999999">
      <c r="A13" s="8">
        <v>7</v>
      </c>
      <c r="B13" s="9" t="s">
        <v>83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s="5" customFormat="1"/>
    <row r="15" spans="1:27" ht="19.149999999999999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149999999999999">
      <c r="A16" s="8">
        <v>8</v>
      </c>
      <c r="B16" s="9" t="s">
        <v>9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149999999999999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149999999999999">
      <c r="A18" s="8">
        <v>8</v>
      </c>
      <c r="B18" s="9" t="s">
        <v>12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149999999999999">
      <c r="A19" s="8">
        <v>8</v>
      </c>
      <c r="B19" s="9" t="s">
        <v>18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149999999999999">
      <c r="A20" s="8">
        <v>8</v>
      </c>
      <c r="B20" s="9" t="s">
        <v>14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149999999999999">
      <c r="A21" s="32">
        <v>8</v>
      </c>
      <c r="B21" s="9" t="s">
        <v>80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149999999999999">
      <c r="A22" s="8">
        <v>8</v>
      </c>
      <c r="B22" s="9" t="s">
        <v>81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149999999999999">
      <c r="A23" s="8">
        <v>8</v>
      </c>
      <c r="B23" s="9" t="s">
        <v>16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149999999999999">
      <c r="A24" s="32">
        <v>8</v>
      </c>
      <c r="B24" s="9" t="s">
        <v>82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149999999999999">
      <c r="A25" s="8">
        <v>8</v>
      </c>
      <c r="B25" s="9" t="s">
        <v>83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s="5" customFormat="1"/>
    <row r="27" spans="1:27" ht="19.149999999999999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149999999999999">
      <c r="A28" s="8">
        <v>9</v>
      </c>
      <c r="B28" s="9" t="s">
        <v>9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149999999999999">
      <c r="A29" s="8">
        <v>9</v>
      </c>
      <c r="B29" s="9" t="s">
        <v>10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149999999999999">
      <c r="A30" s="8">
        <v>9</v>
      </c>
      <c r="B30" s="9" t="s">
        <v>12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149999999999999">
      <c r="A31" s="8">
        <v>9</v>
      </c>
      <c r="B31" s="9" t="s">
        <v>18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149999999999999">
      <c r="A32" s="8">
        <v>9</v>
      </c>
      <c r="B32" s="9" t="s">
        <v>14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149999999999999">
      <c r="A33" s="32">
        <v>9</v>
      </c>
      <c r="B33" s="9" t="s">
        <v>80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149999999999999">
      <c r="A34" s="8">
        <v>9</v>
      </c>
      <c r="B34" s="9" t="s">
        <v>81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149999999999999">
      <c r="A35" s="8">
        <v>9</v>
      </c>
      <c r="B35" s="9" t="s">
        <v>16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149999999999999">
      <c r="A36" s="32">
        <v>9</v>
      </c>
      <c r="B36" s="9" t="s">
        <v>82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149999999999999">
      <c r="A37" s="8">
        <v>9</v>
      </c>
      <c r="B37" s="9" t="s">
        <v>83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s="5" customFormat="1"/>
    <row r="39" spans="1:27" ht="19.149999999999999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149999999999999">
      <c r="A40" s="8">
        <v>10</v>
      </c>
      <c r="B40" s="9" t="s">
        <v>9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149999999999999">
      <c r="A41" s="8">
        <v>10</v>
      </c>
      <c r="B41" s="9" t="s">
        <v>10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ht="19.149999999999999">
      <c r="A42" s="8">
        <v>10</v>
      </c>
      <c r="B42" s="9" t="s">
        <v>12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149999999999999">
      <c r="A43" s="8">
        <v>10</v>
      </c>
      <c r="B43" s="9" t="s">
        <v>18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149999999999999">
      <c r="A44" s="8">
        <v>10</v>
      </c>
      <c r="B44" s="9" t="s">
        <v>14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149999999999999">
      <c r="A45" s="32">
        <v>10</v>
      </c>
      <c r="B45" s="9" t="s">
        <v>80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149999999999999">
      <c r="A46" s="8">
        <v>10</v>
      </c>
      <c r="B46" s="9" t="s">
        <v>81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149999999999999">
      <c r="A47" s="8">
        <v>10</v>
      </c>
      <c r="B47" s="9" t="s">
        <v>16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149999999999999">
      <c r="A48" s="32">
        <v>10</v>
      </c>
      <c r="B48" s="9" t="s">
        <v>82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8" ht="19.149999999999999">
      <c r="A49" s="8">
        <v>10</v>
      </c>
      <c r="B49" s="9" t="s">
        <v>83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8" s="5" customFormat="1"/>
    <row r="51" spans="1:28" ht="38.450000000000003">
      <c r="A51" s="1" t="s">
        <v>19</v>
      </c>
      <c r="B51" s="7" t="s">
        <v>20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8" ht="19.149999999999999">
      <c r="A52" s="1" t="s">
        <v>19</v>
      </c>
      <c r="B52" s="7" t="s">
        <v>21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8" ht="19.149999999999999">
      <c r="A53" s="1" t="s">
        <v>19</v>
      </c>
      <c r="B53" s="7" t="s">
        <v>22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8" ht="19.149999999999999">
      <c r="A54" s="1" t="s">
        <v>19</v>
      </c>
      <c r="B54" s="7" t="s">
        <v>23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8" ht="38.450000000000003">
      <c r="A55" s="1" t="s">
        <v>19</v>
      </c>
      <c r="B55" s="7" t="s">
        <v>24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8" ht="19.149999999999999">
      <c r="A56" s="1" t="s">
        <v>19</v>
      </c>
      <c r="B56" s="7" t="s">
        <v>25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8" ht="38.450000000000003">
      <c r="A57" s="1" t="s">
        <v>19</v>
      </c>
      <c r="B57" s="7" t="s">
        <v>26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8" ht="38.450000000000003">
      <c r="A58" s="1" t="s">
        <v>19</v>
      </c>
      <c r="B58" s="7" t="s">
        <v>27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8" s="5" customFormat="1"/>
    <row r="60" spans="1:28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5"/>
    <row r="79" spans="1:28" ht="15"/>
    <row r="80" spans="1:28" ht="15"/>
    <row r="81" ht="15"/>
    <row r="82" ht="15"/>
    <row r="83" ht="15"/>
    <row r="84" ht="15"/>
    <row r="85" ht="15"/>
    <row r="86" ht="15"/>
    <row r="87" ht="15"/>
    <row r="88" ht="15"/>
    <row r="89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5" ht="15"/>
    <row r="116" ht="15"/>
    <row r="117" ht="15"/>
    <row r="118" ht="15"/>
    <row r="119" ht="15"/>
    <row r="120" ht="15"/>
    <row r="121" ht="15"/>
    <row r="122" ht="15"/>
  </sheetData>
  <protectedRanges>
    <protectedRange sqref="C27:C37 C15:C25 C51:C58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L51:L58 R51:R58 X51:X58 R39:R49 L39:L49 F39:F49 F51:F58 L27:L37 R27:R37 X27:X37 X39:X49 R15:R25 L15:L25 F15:F25 F27:F37 L3:L13 R3:R13 X3:X13 X15:X25 F3:F13" xr:uid="{3066A81C-85FD-4202-AA61-253D56783E75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2026-04-14T06:21:25Z</dcterms:modified>
  <cp:category/>
  <cp:contentStatus/>
</cp:coreProperties>
</file>