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0" documentId="13_ncr:1_{BFB59F67-F0DC-4675-A682-EB0734A8026A}" xr6:coauthVersionLast="47" xr6:coauthVersionMax="47" xr10:uidLastSave="{EFC2D198-3A01-46A6-A8F1-BD403759468F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H73" i="4"/>
  <c r="D75" i="4"/>
  <c r="D76" i="4"/>
  <c r="I76" i="4" s="1"/>
  <c r="I77" i="4"/>
  <c r="I78" i="4"/>
  <c r="I79" i="4"/>
  <c r="H80" i="4"/>
  <c r="H81" i="4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<sst xmlns="http://schemas.openxmlformats.org/spreadsheetml/2006/main" count="413" uniqueCount="92">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</sst>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60" activePane="topRight" state="frozen"/>
      <selection pane="topRight" activeCell="A63" sqref="A6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333</v>
      </c>
      <c r="D51" s="10">
        <v>500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167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333</v>
      </c>
      <c r="D53" s="10">
        <v>500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167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333</v>
      </c>
      <c r="D55" s="10">
        <v>500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167</v>
      </c>
    </row>
    <row r="56" spans="1:8" ht="27.75" customHeight="1">
      <c r="A56" s="10">
        <v>7</v>
      </c>
      <c r="B56" s="11" t="s">
        <v>13</v>
      </c>
      <c r="C56" s="10">
        <v>333</v>
      </c>
      <c r="D56" s="10">
        <v>500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167</v>
      </c>
    </row>
    <row r="57" spans="1:8" ht="27.75" customHeight="1">
      <c r="A57" s="10">
        <v>7</v>
      </c>
      <c r="B57" s="11" t="s">
        <v>17</v>
      </c>
      <c r="C57" s="10">
        <v>333</v>
      </c>
      <c r="D57" s="10">
        <v>500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167</v>
      </c>
    </row>
    <row r="58" spans="1:8" ht="27.75" customHeight="1">
      <c r="A58" s="10">
        <v>7</v>
      </c>
      <c r="B58" s="11" t="s">
        <v>22</v>
      </c>
      <c r="C58" s="10">
        <v>333</v>
      </c>
      <c r="D58" s="10">
        <v>500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167</v>
      </c>
    </row>
    <row r="59" spans="1:8" ht="27.75" customHeight="1">
      <c r="A59" s="10">
        <v>7</v>
      </c>
      <c r="B59" s="11" t="s">
        <v>19</v>
      </c>
      <c r="C59" s="10">
        <v>333</v>
      </c>
      <c r="D59" s="10">
        <v>500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167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309</v>
      </c>
      <c r="D63" s="10">
        <v>401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92</v>
      </c>
    </row>
    <row r="64" spans="1:8" ht="27.75" customHeight="1">
      <c r="A64" s="10">
        <v>8</v>
      </c>
      <c r="B64" s="11" t="s">
        <v>21</v>
      </c>
      <c r="C64" s="10">
        <v>309</v>
      </c>
      <c r="D64" s="10">
        <v>401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92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>
        <v>439</v>
      </c>
      <c r="E72" s="10">
        <v>2024</v>
      </c>
      <c r="F72" s="12" t="s">
        <v>20</v>
      </c>
      <c r="G72" s="3">
        <f t="shared" si="14"/>
        <v>0</v>
      </c>
      <c r="H72" s="4">
        <f t="shared" si="15"/>
        <v>439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>
        <v>390</v>
      </c>
      <c r="E82" s="10">
        <v>2024</v>
      </c>
      <c r="F82" s="12" t="s">
        <v>20</v>
      </c>
      <c r="G82" s="3">
        <f t="shared" si="16"/>
        <v>0</v>
      </c>
      <c r="H82" s="4">
        <f t="shared" si="17"/>
        <v>390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17" zoomScale="70" zoomScaleNormal="70" workbookViewId="0">
      <selection activeCell="D82" sqref="D8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309</v>
      </c>
      <c r="D73" s="12">
        <v>0</v>
      </c>
      <c r="E73" s="12">
        <v>49</v>
      </c>
      <c r="F73" s="10">
        <v>2025</v>
      </c>
      <c r="G73" s="12" t="s">
        <v>63</v>
      </c>
      <c r="H73" s="12">
        <f t="shared" si="2"/>
        <v>0</v>
      </c>
      <c r="I73" s="12">
        <f t="shared" si="3"/>
        <v>49</v>
      </c>
      <c r="J73" s="12">
        <f>Table1[[#This Row],[Enrolment S.Y. 2025-2026 ]]*8</f>
        <v>2472</v>
      </c>
      <c r="K73" s="12"/>
      <c r="L73" s="10"/>
      <c r="M73" s="12"/>
      <c r="N73" s="12">
        <f t="shared" si="16"/>
        <v>2472</v>
      </c>
      <c r="O73" s="12">
        <f t="shared" si="17"/>
        <v>0</v>
      </c>
      <c r="P73" s="12">
        <f>Table1[[#This Row],[Enrolment S.Y. 2025-2026 ]]*8</f>
        <v>2472</v>
      </c>
      <c r="Q73" s="12"/>
      <c r="R73" s="10"/>
      <c r="S73" s="12"/>
      <c r="T73" s="12">
        <f t="shared" si="18"/>
        <v>2472</v>
      </c>
      <c r="U73" s="12">
        <f t="shared" si="19"/>
        <v>0</v>
      </c>
      <c r="V73" s="12">
        <f>Table1[[#This Row],[Enrolment S.Y. 2025-2026 ]]*8</f>
        <v>2472</v>
      </c>
      <c r="W73" s="12"/>
      <c r="X73" s="10"/>
      <c r="Y73" s="12"/>
      <c r="Z73" s="12">
        <f t="shared" si="20"/>
        <v>2472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309</v>
      </c>
      <c r="D74" s="12">
        <v>0</v>
      </c>
      <c r="E74" s="12">
        <v>49</v>
      </c>
      <c r="F74" s="10">
        <v>2025</v>
      </c>
      <c r="G74" s="12" t="s">
        <v>63</v>
      </c>
      <c r="H74" s="12">
        <f t="shared" si="2"/>
        <v>0</v>
      </c>
      <c r="I74" s="12">
        <f t="shared" si="3"/>
        <v>49</v>
      </c>
      <c r="J74" s="12">
        <f>Table1[[#This Row],[Enrolment S.Y. 2025-2026 ]]*8</f>
        <v>2472</v>
      </c>
      <c r="K74" s="12"/>
      <c r="L74" s="10"/>
      <c r="M74" s="12"/>
      <c r="N74" s="12">
        <f t="shared" si="16"/>
        <v>2472</v>
      </c>
      <c r="O74" s="12">
        <f t="shared" si="17"/>
        <v>0</v>
      </c>
      <c r="P74" s="12">
        <f>Table1[[#This Row],[Enrolment S.Y. 2025-2026 ]]*8</f>
        <v>2472</v>
      </c>
      <c r="Q74" s="12"/>
      <c r="R74" s="10"/>
      <c r="S74" s="12"/>
      <c r="T74" s="12">
        <f t="shared" si="18"/>
        <v>2472</v>
      </c>
      <c r="U74" s="12">
        <f t="shared" si="19"/>
        <v>0</v>
      </c>
      <c r="V74" s="12">
        <f>Table1[[#This Row],[Enrolment S.Y. 2025-2026 ]]*8</f>
        <v>2472</v>
      </c>
      <c r="W74" s="12"/>
      <c r="X74" s="10"/>
      <c r="Y74" s="12"/>
      <c r="Z74" s="12">
        <f t="shared" si="20"/>
        <v>2472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309</v>
      </c>
      <c r="D77" s="12">
        <v>0</v>
      </c>
      <c r="E77" s="12">
        <v>49</v>
      </c>
      <c r="F77" s="10">
        <v>2025</v>
      </c>
      <c r="G77" s="12" t="s">
        <v>63</v>
      </c>
      <c r="H77" s="12">
        <f t="shared" si="2"/>
        <v>0</v>
      </c>
      <c r="I77" s="12">
        <f t="shared" si="3"/>
        <v>49</v>
      </c>
      <c r="J77" s="12">
        <f>Table1[[#This Row],[Enrolment S.Y. 2025-2026 ]]*8</f>
        <v>2472</v>
      </c>
      <c r="K77" s="12"/>
      <c r="L77" s="10"/>
      <c r="M77" s="12"/>
      <c r="N77" s="12">
        <f t="shared" si="16"/>
        <v>2472</v>
      </c>
      <c r="O77" s="12">
        <f t="shared" si="17"/>
        <v>0</v>
      </c>
      <c r="P77" s="12">
        <f>Table1[[#This Row],[Enrolment S.Y. 2025-2026 ]]*8</f>
        <v>2472</v>
      </c>
      <c r="Q77" s="12"/>
      <c r="R77" s="10"/>
      <c r="S77" s="12"/>
      <c r="T77" s="12">
        <f t="shared" si="18"/>
        <v>2472</v>
      </c>
      <c r="U77" s="12">
        <f t="shared" si="19"/>
        <v>0</v>
      </c>
      <c r="V77" s="12">
        <f>Table1[[#This Row],[Enrolment S.Y. 2025-2026 ]]*8</f>
        <v>2472</v>
      </c>
      <c r="W77" s="12"/>
      <c r="X77" s="10"/>
      <c r="Y77" s="12"/>
      <c r="Z77" s="12">
        <f t="shared" si="20"/>
        <v>2472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309</v>
      </c>
      <c r="D78" s="12">
        <v>0</v>
      </c>
      <c r="E78" s="12">
        <v>49</v>
      </c>
      <c r="F78" s="10">
        <v>2025</v>
      </c>
      <c r="G78" s="12" t="s">
        <v>63</v>
      </c>
      <c r="H78" s="12">
        <f t="shared" ref="H78:H127" si="22">IF((D78-E78)&lt;0,0,(D78-E78))</f>
        <v>0</v>
      </c>
      <c r="I78" s="12">
        <f t="shared" ref="I78:I127" si="23">IF((E78-D78)&lt;0,0,(E78-D78))</f>
        <v>49</v>
      </c>
      <c r="J78" s="12">
        <f>Table1[[#This Row],[Enrolment S.Y. 2025-2026 ]]*8</f>
        <v>2472</v>
      </c>
      <c r="K78" s="12"/>
      <c r="L78" s="10"/>
      <c r="M78" s="12"/>
      <c r="N78" s="12">
        <f t="shared" si="16"/>
        <v>2472</v>
      </c>
      <c r="O78" s="12">
        <f t="shared" si="17"/>
        <v>0</v>
      </c>
      <c r="P78" s="12">
        <f>Table1[[#This Row],[Enrolment S.Y. 2025-2026 ]]*8</f>
        <v>2472</v>
      </c>
      <c r="Q78" s="12"/>
      <c r="R78" s="10"/>
      <c r="S78" s="12"/>
      <c r="T78" s="12">
        <f t="shared" si="18"/>
        <v>2472</v>
      </c>
      <c r="U78" s="12">
        <f t="shared" si="19"/>
        <v>0</v>
      </c>
      <c r="V78" s="12">
        <f>Table1[[#This Row],[Enrolment S.Y. 2025-2026 ]]*8</f>
        <v>2472</v>
      </c>
      <c r="W78" s="12"/>
      <c r="X78" s="10"/>
      <c r="Y78" s="12"/>
      <c r="Z78" s="12">
        <f t="shared" si="20"/>
        <v>2472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309</v>
      </c>
      <c r="D79" s="12">
        <v>0</v>
      </c>
      <c r="E79" s="12">
        <v>49</v>
      </c>
      <c r="F79" s="10">
        <v>2025</v>
      </c>
      <c r="G79" s="12" t="s">
        <v>63</v>
      </c>
      <c r="H79" s="12">
        <f t="shared" si="22"/>
        <v>0</v>
      </c>
      <c r="I79" s="12">
        <f t="shared" si="23"/>
        <v>49</v>
      </c>
      <c r="J79" s="12">
        <f>Table1[[#This Row],[Enrolment S.Y. 2025-2026 ]]*8</f>
        <v>2472</v>
      </c>
      <c r="K79" s="12"/>
      <c r="L79" s="10"/>
      <c r="M79" s="12"/>
      <c r="N79" s="12">
        <f t="shared" si="16"/>
        <v>2472</v>
      </c>
      <c r="O79" s="12">
        <f t="shared" si="17"/>
        <v>0</v>
      </c>
      <c r="P79" s="12">
        <f>Table1[[#This Row],[Enrolment S.Y. 2025-2026 ]]*8</f>
        <v>2472</v>
      </c>
      <c r="Q79" s="12"/>
      <c r="R79" s="10"/>
      <c r="S79" s="12"/>
      <c r="T79" s="12">
        <f t="shared" si="18"/>
        <v>2472</v>
      </c>
      <c r="U79" s="12">
        <f t="shared" si="19"/>
        <v>0</v>
      </c>
      <c r="V79" s="12">
        <f>Table1[[#This Row],[Enrolment S.Y. 2025-2026 ]]*8</f>
        <v>2472</v>
      </c>
      <c r="W79" s="12"/>
      <c r="X79" s="10"/>
      <c r="Y79" s="12"/>
      <c r="Z79" s="12">
        <f t="shared" si="20"/>
        <v>2472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309</v>
      </c>
      <c r="D80" s="12">
        <v>0</v>
      </c>
      <c r="E80" s="12">
        <v>49</v>
      </c>
      <c r="F80" s="10">
        <v>2025</v>
      </c>
      <c r="G80" s="12" t="s">
        <v>63</v>
      </c>
      <c r="H80" s="12">
        <f t="shared" si="22"/>
        <v>0</v>
      </c>
      <c r="I80" s="12">
        <f t="shared" si="23"/>
        <v>49</v>
      </c>
      <c r="J80" s="12">
        <f>Table1[[#This Row],[Enrolment S.Y. 2025-2026 ]]*8</f>
        <v>2472</v>
      </c>
      <c r="K80" s="12"/>
      <c r="L80" s="10"/>
      <c r="M80" s="12"/>
      <c r="N80" s="12">
        <f t="shared" si="16"/>
        <v>2472</v>
      </c>
      <c r="O80" s="12">
        <f t="shared" si="17"/>
        <v>0</v>
      </c>
      <c r="P80" s="12">
        <f>Table1[[#This Row],[Enrolment S.Y. 2025-2026 ]]*8</f>
        <v>2472</v>
      </c>
      <c r="Q80" s="12"/>
      <c r="R80" s="10"/>
      <c r="S80" s="12"/>
      <c r="T80" s="12">
        <f t="shared" si="18"/>
        <v>2472</v>
      </c>
      <c r="U80" s="12">
        <f t="shared" si="19"/>
        <v>0</v>
      </c>
      <c r="V80" s="12">
        <f>Table1[[#This Row],[Enrolment S.Y. 2025-2026 ]]*8</f>
        <v>2472</v>
      </c>
      <c r="W80" s="12"/>
      <c r="X80" s="10"/>
      <c r="Y80" s="12"/>
      <c r="Z80" s="12">
        <f t="shared" si="20"/>
        <v>2472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309</v>
      </c>
      <c r="D81" s="12">
        <v>0</v>
      </c>
      <c r="E81" s="12">
        <v>49</v>
      </c>
      <c r="F81" s="10">
        <v>2025</v>
      </c>
      <c r="G81" s="12" t="s">
        <v>63</v>
      </c>
      <c r="H81" s="12">
        <f t="shared" si="22"/>
        <v>0</v>
      </c>
      <c r="I81" s="12">
        <f t="shared" si="23"/>
        <v>49</v>
      </c>
      <c r="J81" s="12">
        <f>Table1[[#This Row],[Enrolment S.Y. 2025-2026 ]]*8</f>
        <v>2472</v>
      </c>
      <c r="K81" s="12"/>
      <c r="L81" s="10"/>
      <c r="M81" s="12"/>
      <c r="N81" s="12">
        <f t="shared" si="16"/>
        <v>2472</v>
      </c>
      <c r="O81" s="12">
        <f t="shared" si="17"/>
        <v>0</v>
      </c>
      <c r="P81" s="12">
        <f>Table1[[#This Row],[Enrolment S.Y. 2025-2026 ]]*8</f>
        <v>2472</v>
      </c>
      <c r="Q81" s="12"/>
      <c r="R81" s="10"/>
      <c r="S81" s="12"/>
      <c r="T81" s="12">
        <f t="shared" si="18"/>
        <v>2472</v>
      </c>
      <c r="U81" s="12">
        <f t="shared" si="19"/>
        <v>0</v>
      </c>
      <c r="V81" s="12">
        <f>Table1[[#This Row],[Enrolment S.Y. 2025-2026 ]]*8</f>
        <v>2472</v>
      </c>
      <c r="W81" s="12"/>
      <c r="X81" s="10"/>
      <c r="Y81" s="12"/>
      <c r="Z81" s="12">
        <f t="shared" si="20"/>
        <v>2472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E85" zoomScale="55" zoomScaleNormal="55" workbookViewId="0">
      <selection activeCell="M92" sqref="M9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>
        <v>102</v>
      </c>
      <c r="F92" s="10">
        <v>2025</v>
      </c>
      <c r="G92" s="12" t="s">
        <v>63</v>
      </c>
      <c r="H92" s="12">
        <f t="shared" si="22"/>
        <v>0</v>
      </c>
      <c r="I92" s="12">
        <f t="shared" si="23"/>
        <v>102</v>
      </c>
      <c r="J92" s="12">
        <f>Table14[[#This Row],[Enrolment S.Y. 2025-2026 ]]*8</f>
        <v>0</v>
      </c>
      <c r="K92" s="12">
        <v>560</v>
      </c>
      <c r="L92" s="10">
        <v>2025</v>
      </c>
      <c r="M92" s="12" t="s">
        <v>63</v>
      </c>
      <c r="N92" s="12">
        <f t="shared" si="20"/>
        <v>0</v>
      </c>
      <c r="O92" s="12">
        <f t="shared" si="21"/>
        <v>560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>
        <v>391</v>
      </c>
      <c r="F93" s="10">
        <v>2025</v>
      </c>
      <c r="G93" s="12" t="s">
        <v>63</v>
      </c>
      <c r="H93" s="12">
        <f t="shared" si="22"/>
        <v>0</v>
      </c>
      <c r="I93" s="12">
        <f t="shared" si="23"/>
        <v>391</v>
      </c>
      <c r="J93" s="12">
        <f>Table14[[#This Row],[Enrolment S.Y. 2025-2026 ]]*8</f>
        <v>0</v>
      </c>
      <c r="K93" s="12">
        <v>800</v>
      </c>
      <c r="L93" s="10">
        <v>2025</v>
      </c>
      <c r="M93" s="12" t="s">
        <v>63</v>
      </c>
      <c r="N93" s="12">
        <f t="shared" si="20"/>
        <v>0</v>
      </c>
      <c r="O93" s="12">
        <f t="shared" si="21"/>
        <v>800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>
        <v>112</v>
      </c>
      <c r="F103" s="10">
        <v>2025</v>
      </c>
      <c r="G103" s="12" t="s">
        <v>63</v>
      </c>
      <c r="H103" s="12">
        <f t="shared" si="22"/>
        <v>0</v>
      </c>
      <c r="I103" s="12">
        <f t="shared" si="23"/>
        <v>112</v>
      </c>
      <c r="J103" s="12">
        <f>Table14[[#This Row],[Enrolment S.Y. 2025-2026 ]]*8</f>
        <v>0</v>
      </c>
      <c r="K103" s="12">
        <v>616</v>
      </c>
      <c r="L103" s="10">
        <v>2025</v>
      </c>
      <c r="M103" s="12" t="s">
        <v>63</v>
      </c>
      <c r="N103" s="12">
        <f t="shared" si="20"/>
        <v>0</v>
      </c>
      <c r="O103" s="12">
        <f t="shared" si="21"/>
        <v>616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>
        <v>98</v>
      </c>
      <c r="F104" s="10">
        <v>2025</v>
      </c>
      <c r="G104" s="12" t="s">
        <v>63</v>
      </c>
      <c r="H104" s="12">
        <f t="shared" si="22"/>
        <v>0</v>
      </c>
      <c r="I104" s="12">
        <f t="shared" si="23"/>
        <v>98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>
        <v>693</v>
      </c>
      <c r="L105" s="10">
        <v>2025</v>
      </c>
      <c r="M105" s="12"/>
      <c r="N105" s="12">
        <f t="shared" si="20"/>
        <v>0</v>
      </c>
      <c r="O105" s="12">
        <f t="shared" si="21"/>
        <v>693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2026-01-13T00:32:18Z</dcterms:modified>
  <cp:category/>
  <cp:contentStatus/>
</cp:coreProperties>
</file>