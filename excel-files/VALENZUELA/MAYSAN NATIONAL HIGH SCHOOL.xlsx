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8" documentId="13_ncr:1_{BFB59F67-F0DC-4675-A682-EB0734A8026A}" xr6:coauthVersionLast="47" xr6:coauthVersionMax="47" xr10:uidLastSave="{2CE2BD23-04C7-4759-B092-F23F8653AFA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H13" i="4"/>
  <c r="D15" i="4"/>
  <c r="D16" i="4"/>
  <c r="I16" i="4" s="1"/>
  <c r="I17" i="4"/>
  <c r="I18" i="4"/>
  <c r="I19" i="4"/>
  <c r="H20" i="4"/>
  <c r="H21" i="4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<sst xmlns="http://schemas.openxmlformats.org/spreadsheetml/2006/main" count="259" uniqueCount="85">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</sst>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J53" sqref="J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333</v>
      </c>
      <c r="D2" s="8">
        <v>500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167</v>
      </c>
    </row>
    <row r="3" spans="1:8" ht="29.25" customHeight="1">
      <c r="A3" s="8">
        <v>7</v>
      </c>
      <c r="B3" s="9" t="s">
        <v>10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333</v>
      </c>
      <c r="D4" s="8">
        <v>500</v>
      </c>
      <c r="E4" s="8">
        <v>2024</v>
      </c>
      <c r="F4" s="10" t="s">
        <v>9</v>
      </c>
      <c r="G4" s="2">
        <f t="shared" si="0"/>
        <v>0</v>
      </c>
      <c r="H4" s="3">
        <f t="shared" si="1"/>
        <v>167</v>
      </c>
    </row>
    <row r="5" spans="1:8" ht="25.5" customHeight="1">
      <c r="A5" s="8">
        <v>7</v>
      </c>
      <c r="B5" s="9" t="s">
        <v>12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333</v>
      </c>
      <c r="D6" s="8">
        <v>500</v>
      </c>
      <c r="E6" s="8">
        <v>2025</v>
      </c>
      <c r="F6" s="10" t="s">
        <v>9</v>
      </c>
      <c r="G6" s="2">
        <f t="shared" si="0"/>
        <v>0</v>
      </c>
      <c r="H6" s="3">
        <f t="shared" si="1"/>
        <v>167</v>
      </c>
    </row>
    <row r="7" spans="1:8" ht="19.5">
      <c r="A7" s="8">
        <v>7</v>
      </c>
      <c r="B7" s="9" t="s">
        <v>14</v>
      </c>
      <c r="C7" s="8">
        <v>333</v>
      </c>
      <c r="D7" s="8">
        <v>500</v>
      </c>
      <c r="E7" s="8">
        <v>2024</v>
      </c>
      <c r="F7" s="10" t="s">
        <v>9</v>
      </c>
      <c r="G7" s="2">
        <f t="shared" si="0"/>
        <v>0</v>
      </c>
      <c r="H7" s="3">
        <f t="shared" si="1"/>
        <v>167</v>
      </c>
    </row>
    <row r="8" spans="1:8" ht="39.75" customHeight="1">
      <c r="A8" s="8">
        <v>7</v>
      </c>
      <c r="B8" s="9" t="s">
        <v>15</v>
      </c>
      <c r="C8" s="8">
        <v>333</v>
      </c>
      <c r="D8" s="8">
        <v>500</v>
      </c>
      <c r="E8" s="8">
        <v>2025</v>
      </c>
      <c r="F8" s="10" t="s">
        <v>9</v>
      </c>
      <c r="G8" s="2">
        <f t="shared" si="0"/>
        <v>0</v>
      </c>
      <c r="H8" s="3">
        <f t="shared" si="1"/>
        <v>167</v>
      </c>
    </row>
    <row r="9" spans="1:8" ht="29.25" customHeight="1">
      <c r="A9" s="8">
        <v>7</v>
      </c>
      <c r="B9" s="9" t="s">
        <v>16</v>
      </c>
      <c r="C9" s="8">
        <v>333</v>
      </c>
      <c r="D9" s="8">
        <v>500</v>
      </c>
      <c r="E9" s="8">
        <v>2025</v>
      </c>
      <c r="F9" s="10" t="s">
        <v>9</v>
      </c>
      <c r="G9" s="2">
        <f t="shared" si="0"/>
        <v>0</v>
      </c>
      <c r="H9" s="3">
        <f t="shared" si="1"/>
        <v>167</v>
      </c>
    </row>
    <row r="10" spans="1:8" ht="28.5" customHeight="1">
      <c r="A10" s="8">
        <v>7</v>
      </c>
      <c r="B10" s="9" t="s">
        <v>17</v>
      </c>
      <c r="C10" s="8">
        <v>333</v>
      </c>
      <c r="D10" s="8">
        <v>500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167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309</v>
      </c>
      <c r="D14" s="8">
        <v>401</v>
      </c>
      <c r="E14" s="8">
        <v>2025</v>
      </c>
      <c r="F14" s="10" t="s">
        <v>9</v>
      </c>
      <c r="G14" s="2">
        <f t="shared" si="2"/>
        <v>0</v>
      </c>
      <c r="H14" s="3">
        <f t="shared" si="3"/>
        <v>92</v>
      </c>
    </row>
    <row r="15" spans="1:8" ht="29.25" customHeight="1">
      <c r="A15" s="8">
        <v>8</v>
      </c>
      <c r="B15" s="9" t="s">
        <v>12</v>
      </c>
      <c r="C15" s="8">
        <v>309</v>
      </c>
      <c r="D15" s="8">
        <v>401</v>
      </c>
      <c r="E15" s="8">
        <v>2025</v>
      </c>
      <c r="F15" s="10" t="s">
        <v>9</v>
      </c>
      <c r="G15" s="2">
        <f t="shared" si="2"/>
        <v>0</v>
      </c>
      <c r="H15" s="3">
        <f t="shared" si="3"/>
        <v>92</v>
      </c>
    </row>
    <row r="16" spans="1:8" ht="27" customHeight="1">
      <c r="A16" s="8">
        <v>8</v>
      </c>
      <c r="B16" s="9" t="s">
        <v>18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>
        <v>439</v>
      </c>
      <c r="E23" s="8">
        <v>2024</v>
      </c>
      <c r="F23" s="10" t="s">
        <v>9</v>
      </c>
      <c r="G23" s="2">
        <f t="shared" si="4"/>
        <v>0</v>
      </c>
      <c r="H23" s="3">
        <f t="shared" si="5"/>
        <v>439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/>
      <c r="D33" s="8">
        <v>390</v>
      </c>
      <c r="E33" s="8">
        <v>2024</v>
      </c>
      <c r="F33" s="10" t="s">
        <v>9</v>
      </c>
      <c r="G33" s="2">
        <f t="shared" si="6"/>
        <v>0</v>
      </c>
      <c r="H33" s="3">
        <f t="shared" si="7"/>
        <v>390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AC47" sqref="AC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309</v>
      </c>
      <c r="D13" s="10">
        <v>0</v>
      </c>
      <c r="E13" s="10">
        <v>49</v>
      </c>
      <c r="F13" s="8">
        <v>2025</v>
      </c>
      <c r="G13" s="10" t="s">
        <v>56</v>
      </c>
      <c r="H13" s="10">
        <f t="shared" si="0"/>
        <v>0</v>
      </c>
      <c r="I13" s="10">
        <f t="shared" si="1"/>
        <v>49</v>
      </c>
      <c r="J13" s="10">
        <f>Table1[[#This Row],[Enrolment S.Y. 2025-2026 ]]*8</f>
        <v>2472</v>
      </c>
      <c r="K13" s="10"/>
      <c r="L13" s="8"/>
      <c r="M13" s="10"/>
      <c r="N13" s="10">
        <f t="shared" si="8"/>
        <v>2472</v>
      </c>
      <c r="O13" s="10">
        <f t="shared" si="9"/>
        <v>0</v>
      </c>
      <c r="P13" s="10">
        <f>Table1[[#This Row],[Enrolment S.Y. 2025-2026 ]]*8</f>
        <v>2472</v>
      </c>
      <c r="Q13" s="10"/>
      <c r="R13" s="8"/>
      <c r="S13" s="10"/>
      <c r="T13" s="10">
        <f t="shared" si="10"/>
        <v>2472</v>
      </c>
      <c r="U13" s="10">
        <f t="shared" si="11"/>
        <v>0</v>
      </c>
      <c r="V13" s="10">
        <f>Table1[[#This Row],[Enrolment S.Y. 2025-2026 ]]*8</f>
        <v>2472</v>
      </c>
      <c r="W13" s="10"/>
      <c r="X13" s="8"/>
      <c r="Y13" s="10"/>
      <c r="Z13" s="10">
        <f t="shared" si="12"/>
        <v>2472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309</v>
      </c>
      <c r="D14" s="10">
        <v>0</v>
      </c>
      <c r="E14" s="10">
        <v>49</v>
      </c>
      <c r="F14" s="8">
        <v>2025</v>
      </c>
      <c r="G14" s="10" t="s">
        <v>56</v>
      </c>
      <c r="H14" s="10">
        <f t="shared" si="0"/>
        <v>0</v>
      </c>
      <c r="I14" s="10">
        <f t="shared" si="1"/>
        <v>49</v>
      </c>
      <c r="J14" s="10">
        <f>Table1[[#This Row],[Enrolment S.Y. 2025-2026 ]]*8</f>
        <v>2472</v>
      </c>
      <c r="K14" s="10"/>
      <c r="L14" s="8"/>
      <c r="M14" s="10"/>
      <c r="N14" s="10">
        <f t="shared" si="8"/>
        <v>2472</v>
      </c>
      <c r="O14" s="10">
        <f t="shared" si="9"/>
        <v>0</v>
      </c>
      <c r="P14" s="10">
        <f>Table1[[#This Row],[Enrolment S.Y. 2025-2026 ]]*8</f>
        <v>2472</v>
      </c>
      <c r="Q14" s="10"/>
      <c r="R14" s="8"/>
      <c r="S14" s="10"/>
      <c r="T14" s="10">
        <f t="shared" si="10"/>
        <v>2472</v>
      </c>
      <c r="U14" s="10">
        <f t="shared" si="11"/>
        <v>0</v>
      </c>
      <c r="V14" s="10">
        <f>Table1[[#This Row],[Enrolment S.Y. 2025-2026 ]]*8</f>
        <v>2472</v>
      </c>
      <c r="W14" s="10"/>
      <c r="X14" s="8"/>
      <c r="Y14" s="10"/>
      <c r="Z14" s="10">
        <f t="shared" si="12"/>
        <v>2472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309</v>
      </c>
      <c r="D17" s="10">
        <v>0</v>
      </c>
      <c r="E17" s="10">
        <v>49</v>
      </c>
      <c r="F17" s="8">
        <v>2025</v>
      </c>
      <c r="G17" s="10" t="s">
        <v>56</v>
      </c>
      <c r="H17" s="10">
        <f t="shared" si="0"/>
        <v>0</v>
      </c>
      <c r="I17" s="10">
        <f t="shared" si="1"/>
        <v>49</v>
      </c>
      <c r="J17" s="10">
        <f>Table1[[#This Row],[Enrolment S.Y. 2025-2026 ]]*8</f>
        <v>2472</v>
      </c>
      <c r="K17" s="10"/>
      <c r="L17" s="8"/>
      <c r="M17" s="10"/>
      <c r="N17" s="10">
        <f t="shared" si="8"/>
        <v>2472</v>
      </c>
      <c r="O17" s="10">
        <f t="shared" si="9"/>
        <v>0</v>
      </c>
      <c r="P17" s="10">
        <f>Table1[[#This Row],[Enrolment S.Y. 2025-2026 ]]*8</f>
        <v>2472</v>
      </c>
      <c r="Q17" s="10"/>
      <c r="R17" s="8"/>
      <c r="S17" s="10"/>
      <c r="T17" s="10">
        <f t="shared" si="10"/>
        <v>2472</v>
      </c>
      <c r="U17" s="10">
        <f t="shared" si="11"/>
        <v>0</v>
      </c>
      <c r="V17" s="10">
        <f>Table1[[#This Row],[Enrolment S.Y. 2025-2026 ]]*8</f>
        <v>2472</v>
      </c>
      <c r="W17" s="10"/>
      <c r="X17" s="8"/>
      <c r="Y17" s="10"/>
      <c r="Z17" s="10">
        <f t="shared" si="12"/>
        <v>2472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309</v>
      </c>
      <c r="D18" s="10">
        <v>0</v>
      </c>
      <c r="E18" s="10">
        <v>49</v>
      </c>
      <c r="F18" s="8">
        <v>2025</v>
      </c>
      <c r="G18" s="10" t="s">
        <v>56</v>
      </c>
      <c r="H18" s="10">
        <f t="shared" ref="H18:H67" si="14">IF((D18-E18)&lt;0,0,(D18-E18))</f>
        <v>0</v>
      </c>
      <c r="I18" s="10">
        <f t="shared" ref="I18:I67" si="15">IF((E18-D18)&lt;0,0,(E18-D18))</f>
        <v>49</v>
      </c>
      <c r="J18" s="10">
        <f>Table1[[#This Row],[Enrolment S.Y. 2025-2026 ]]*8</f>
        <v>2472</v>
      </c>
      <c r="K18" s="10"/>
      <c r="L18" s="8"/>
      <c r="M18" s="10"/>
      <c r="N18" s="10">
        <f t="shared" si="8"/>
        <v>2472</v>
      </c>
      <c r="O18" s="10">
        <f t="shared" si="9"/>
        <v>0</v>
      </c>
      <c r="P18" s="10">
        <f>Table1[[#This Row],[Enrolment S.Y. 2025-2026 ]]*8</f>
        <v>2472</v>
      </c>
      <c r="Q18" s="10"/>
      <c r="R18" s="8"/>
      <c r="S18" s="10"/>
      <c r="T18" s="10">
        <f t="shared" si="10"/>
        <v>2472</v>
      </c>
      <c r="U18" s="10">
        <f t="shared" si="11"/>
        <v>0</v>
      </c>
      <c r="V18" s="10">
        <f>Table1[[#This Row],[Enrolment S.Y. 2025-2026 ]]*8</f>
        <v>2472</v>
      </c>
      <c r="W18" s="10"/>
      <c r="X18" s="8"/>
      <c r="Y18" s="10"/>
      <c r="Z18" s="10">
        <f t="shared" si="12"/>
        <v>2472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309</v>
      </c>
      <c r="D19" s="10">
        <v>0</v>
      </c>
      <c r="E19" s="10">
        <v>49</v>
      </c>
      <c r="F19" s="8">
        <v>2025</v>
      </c>
      <c r="G19" s="10" t="s">
        <v>56</v>
      </c>
      <c r="H19" s="10">
        <f t="shared" si="14"/>
        <v>0</v>
      </c>
      <c r="I19" s="10">
        <f t="shared" si="15"/>
        <v>49</v>
      </c>
      <c r="J19" s="10">
        <f>Table1[[#This Row],[Enrolment S.Y. 2025-2026 ]]*8</f>
        <v>2472</v>
      </c>
      <c r="K19" s="10"/>
      <c r="L19" s="8"/>
      <c r="M19" s="10"/>
      <c r="N19" s="10">
        <f t="shared" si="8"/>
        <v>2472</v>
      </c>
      <c r="O19" s="10">
        <f t="shared" si="9"/>
        <v>0</v>
      </c>
      <c r="P19" s="10">
        <f>Table1[[#This Row],[Enrolment S.Y. 2025-2026 ]]*8</f>
        <v>2472</v>
      </c>
      <c r="Q19" s="10"/>
      <c r="R19" s="8"/>
      <c r="S19" s="10"/>
      <c r="T19" s="10">
        <f t="shared" si="10"/>
        <v>2472</v>
      </c>
      <c r="U19" s="10">
        <f t="shared" si="11"/>
        <v>0</v>
      </c>
      <c r="V19" s="10">
        <f>Table1[[#This Row],[Enrolment S.Y. 2025-2026 ]]*8</f>
        <v>2472</v>
      </c>
      <c r="W19" s="10"/>
      <c r="X19" s="8"/>
      <c r="Y19" s="10"/>
      <c r="Z19" s="10">
        <f t="shared" si="12"/>
        <v>2472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309</v>
      </c>
      <c r="D20" s="10">
        <v>0</v>
      </c>
      <c r="E20" s="10">
        <v>49</v>
      </c>
      <c r="F20" s="8">
        <v>2025</v>
      </c>
      <c r="G20" s="10" t="s">
        <v>56</v>
      </c>
      <c r="H20" s="10">
        <f t="shared" si="14"/>
        <v>0</v>
      </c>
      <c r="I20" s="10">
        <f t="shared" si="15"/>
        <v>49</v>
      </c>
      <c r="J20" s="10">
        <f>Table1[[#This Row],[Enrolment S.Y. 2025-2026 ]]*8</f>
        <v>2472</v>
      </c>
      <c r="K20" s="10"/>
      <c r="L20" s="8"/>
      <c r="M20" s="10"/>
      <c r="N20" s="10">
        <f t="shared" si="8"/>
        <v>2472</v>
      </c>
      <c r="O20" s="10">
        <f t="shared" si="9"/>
        <v>0</v>
      </c>
      <c r="P20" s="10">
        <f>Table1[[#This Row],[Enrolment S.Y. 2025-2026 ]]*8</f>
        <v>2472</v>
      </c>
      <c r="Q20" s="10"/>
      <c r="R20" s="8"/>
      <c r="S20" s="10"/>
      <c r="T20" s="10">
        <f t="shared" si="10"/>
        <v>2472</v>
      </c>
      <c r="U20" s="10">
        <f t="shared" si="11"/>
        <v>0</v>
      </c>
      <c r="V20" s="10">
        <f>Table1[[#This Row],[Enrolment S.Y. 2025-2026 ]]*8</f>
        <v>2472</v>
      </c>
      <c r="W20" s="10"/>
      <c r="X20" s="8"/>
      <c r="Y20" s="10"/>
      <c r="Z20" s="10">
        <f t="shared" si="12"/>
        <v>2472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309</v>
      </c>
      <c r="D21" s="10">
        <v>0</v>
      </c>
      <c r="E21" s="10">
        <v>49</v>
      </c>
      <c r="F21" s="8">
        <v>2025</v>
      </c>
      <c r="G21" s="10" t="s">
        <v>56</v>
      </c>
      <c r="H21" s="10">
        <f t="shared" si="14"/>
        <v>0</v>
      </c>
      <c r="I21" s="10">
        <f t="shared" si="15"/>
        <v>49</v>
      </c>
      <c r="J21" s="10">
        <f>Table1[[#This Row],[Enrolment S.Y. 2025-2026 ]]*8</f>
        <v>2472</v>
      </c>
      <c r="K21" s="10"/>
      <c r="L21" s="8"/>
      <c r="M21" s="10"/>
      <c r="N21" s="10">
        <f t="shared" si="8"/>
        <v>2472</v>
      </c>
      <c r="O21" s="10">
        <f t="shared" si="9"/>
        <v>0</v>
      </c>
      <c r="P21" s="10">
        <f>Table1[[#This Row],[Enrolment S.Y. 2025-2026 ]]*8</f>
        <v>2472</v>
      </c>
      <c r="Q21" s="10"/>
      <c r="R21" s="8"/>
      <c r="S21" s="10"/>
      <c r="T21" s="10">
        <f t="shared" si="10"/>
        <v>2472</v>
      </c>
      <c r="U21" s="10">
        <f t="shared" si="11"/>
        <v>0</v>
      </c>
      <c r="V21" s="10">
        <f>Table1[[#This Row],[Enrolment S.Y. 2025-2026 ]]*8</f>
        <v>2472</v>
      </c>
      <c r="W21" s="10"/>
      <c r="X21" s="8"/>
      <c r="Y21" s="10"/>
      <c r="Z21" s="10">
        <f t="shared" si="12"/>
        <v>2472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52:R67 R43:R50 R33:R41 R23:R31 R13:R21 R3:R11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C61" sqref="AC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>
        <v>102</v>
      </c>
      <c r="F28" s="8">
        <v>2025</v>
      </c>
      <c r="G28" s="10" t="s">
        <v>56</v>
      </c>
      <c r="H28" s="10">
        <f t="shared" si="16"/>
        <v>0</v>
      </c>
      <c r="I28" s="10">
        <f t="shared" si="17"/>
        <v>102</v>
      </c>
      <c r="J28" s="10">
        <f>Table14[[#This Row],[Enrolment S.Y. 2025-2026 ]]*8</f>
        <v>0</v>
      </c>
      <c r="K28" s="10">
        <v>560</v>
      </c>
      <c r="L28" s="8">
        <v>2025</v>
      </c>
      <c r="M28" s="10" t="s">
        <v>56</v>
      </c>
      <c r="N28" s="10">
        <f t="shared" si="14"/>
        <v>0</v>
      </c>
      <c r="O28" s="10">
        <f t="shared" si="15"/>
        <v>560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>
        <v>391</v>
      </c>
      <c r="F29" s="8">
        <v>2025</v>
      </c>
      <c r="G29" s="10" t="s">
        <v>56</v>
      </c>
      <c r="H29" s="10">
        <f t="shared" si="16"/>
        <v>0</v>
      </c>
      <c r="I29" s="10">
        <f t="shared" si="17"/>
        <v>391</v>
      </c>
      <c r="J29" s="10">
        <f>Table14[[#This Row],[Enrolment S.Y. 2025-2026 ]]*8</f>
        <v>0</v>
      </c>
      <c r="K29" s="10">
        <v>800</v>
      </c>
      <c r="L29" s="8">
        <v>2025</v>
      </c>
      <c r="M29" s="10" t="s">
        <v>56</v>
      </c>
      <c r="N29" s="10">
        <f t="shared" si="14"/>
        <v>0</v>
      </c>
      <c r="O29" s="10">
        <f t="shared" si="15"/>
        <v>800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>
        <v>112</v>
      </c>
      <c r="F39" s="8">
        <v>2025</v>
      </c>
      <c r="G39" s="10" t="s">
        <v>56</v>
      </c>
      <c r="H39" s="10">
        <f t="shared" si="16"/>
        <v>0</v>
      </c>
      <c r="I39" s="10">
        <f t="shared" si="17"/>
        <v>112</v>
      </c>
      <c r="J39" s="10">
        <f>Table14[[#This Row],[Enrolment S.Y. 2025-2026 ]]*8</f>
        <v>0</v>
      </c>
      <c r="K39" s="10">
        <v>616</v>
      </c>
      <c r="L39" s="8">
        <v>2025</v>
      </c>
      <c r="M39" s="10" t="s">
        <v>56</v>
      </c>
      <c r="N39" s="10">
        <f t="shared" si="14"/>
        <v>0</v>
      </c>
      <c r="O39" s="10">
        <f t="shared" si="15"/>
        <v>616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>
        <v>98</v>
      </c>
      <c r="F40" s="8">
        <v>2025</v>
      </c>
      <c r="G40" s="10" t="s">
        <v>56</v>
      </c>
      <c r="H40" s="10">
        <f t="shared" si="16"/>
        <v>0</v>
      </c>
      <c r="I40" s="10">
        <f t="shared" si="17"/>
        <v>98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>
        <v>693</v>
      </c>
      <c r="L41" s="8">
        <v>2025</v>
      </c>
      <c r="M41" s="10"/>
      <c r="N41" s="10">
        <f t="shared" si="14"/>
        <v>0</v>
      </c>
      <c r="O41" s="10">
        <f t="shared" si="15"/>
        <v>693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L51:L58 R51:R58 X51:X58 R39:R49 L39:L49 F39:F49 F51:F58 L27:L37 R27:R37 X27:X37 X39:X49 R15:R25 L15:L25 F15:F25 F27:F37 L3:L13 R3:R13 X3:X13 X15:X25 F3:F13" xr:uid="{AFCE3F85-B9E0-4E05-9F5D-3B83A1AF4F54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2026-04-14T06:16:35Z</dcterms:modified>
  <cp:category/>
  <cp:contentStatus/>
</cp:coreProperties>
</file>