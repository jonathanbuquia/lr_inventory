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61458C90-9A4B-4A00-BA72-92B0DAB7F3C8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<sst xmlns="http://schemas.openxmlformats.org/spreadsheetml/2006/main" count="403" uniqueCount="91">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</sst>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W4" sqref="W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273</v>
      </c>
      <c r="D51" s="10">
        <v>389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116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273</v>
      </c>
      <c r="D53" s="10">
        <v>389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116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273</v>
      </c>
      <c r="D55" s="10">
        <v>389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116</v>
      </c>
    </row>
    <row r="56" spans="1:8" ht="27.75" customHeight="1">
      <c r="A56" s="10">
        <v>7</v>
      </c>
      <c r="B56" s="11" t="s">
        <v>13</v>
      </c>
      <c r="C56" s="10">
        <v>273</v>
      </c>
      <c r="D56" s="10">
        <v>389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116</v>
      </c>
    </row>
    <row r="57" spans="1:8" ht="27.75" customHeight="1">
      <c r="A57" s="10">
        <v>7</v>
      </c>
      <c r="B57" s="11" t="s">
        <v>17</v>
      </c>
      <c r="C57" s="10">
        <v>273</v>
      </c>
      <c r="D57" s="10">
        <v>389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116</v>
      </c>
    </row>
    <row r="58" spans="1:8" ht="27.75" customHeight="1">
      <c r="A58" s="10">
        <v>7</v>
      </c>
      <c r="B58" s="11" t="s">
        <v>22</v>
      </c>
      <c r="C58" s="10">
        <v>273</v>
      </c>
      <c r="D58" s="10">
        <v>389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116</v>
      </c>
    </row>
    <row r="59" spans="1:8" ht="27.75" customHeight="1">
      <c r="A59" s="10">
        <v>7</v>
      </c>
      <c r="B59" s="11" t="s">
        <v>19</v>
      </c>
      <c r="C59" s="10">
        <v>273</v>
      </c>
      <c r="D59" s="10">
        <v>389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116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274</v>
      </c>
      <c r="D63" s="10">
        <v>314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40</v>
      </c>
    </row>
    <row r="64" spans="1:8" ht="27.75" customHeight="1">
      <c r="A64" s="10">
        <v>8</v>
      </c>
      <c r="B64" s="11" t="s">
        <v>21</v>
      </c>
      <c r="C64" s="10">
        <v>274</v>
      </c>
      <c r="D64" s="10">
        <v>314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40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53</v>
      </c>
      <c r="D93" s="1">
        <v>100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47</v>
      </c>
    </row>
    <row r="94" spans="1:8" ht="27.75" customHeight="1">
      <c r="A94" s="1" t="s">
        <v>24</v>
      </c>
      <c r="B94" s="9" t="s">
        <v>28</v>
      </c>
      <c r="C94" s="1">
        <v>53</v>
      </c>
      <c r="D94" s="1">
        <v>100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47</v>
      </c>
    </row>
    <row r="95" spans="1:8" ht="40.5" customHeight="1">
      <c r="A95" s="1" t="s">
        <v>24</v>
      </c>
      <c r="B95" s="9" t="s">
        <v>29</v>
      </c>
      <c r="C95" s="1">
        <v>53</v>
      </c>
      <c r="D95" s="1">
        <v>100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47</v>
      </c>
    </row>
    <row r="96" spans="1:8" ht="38.25" customHeight="1">
      <c r="A96" s="1" t="s">
        <v>24</v>
      </c>
      <c r="B96" s="9" t="s">
        <v>30</v>
      </c>
      <c r="C96" s="1">
        <v>52</v>
      </c>
      <c r="D96" s="1">
        <v>100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48</v>
      </c>
    </row>
    <row r="97" spans="1:8" ht="27.75" customHeight="1">
      <c r="A97" s="1" t="s">
        <v>24</v>
      </c>
      <c r="B97" s="9" t="s">
        <v>31</v>
      </c>
      <c r="C97" s="1">
        <v>53</v>
      </c>
      <c r="D97" s="1">
        <v>100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47</v>
      </c>
    </row>
    <row r="98" spans="1:8" ht="47.25" customHeight="1">
      <c r="A98" s="1" t="s">
        <v>24</v>
      </c>
      <c r="B98" s="9" t="s">
        <v>32</v>
      </c>
      <c r="C98" s="1">
        <v>52</v>
      </c>
      <c r="D98" s="1">
        <v>100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48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71" zoomScale="70" zoomScaleNormal="70" workbookViewId="0">
      <selection activeCell="C95" sqref="C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274</v>
      </c>
      <c r="D78" s="12">
        <f>Table1[[#This Row],[Enrolment S.Y. 2025-2026 ]]*8</f>
        <v>2192</v>
      </c>
      <c r="E78" s="12">
        <v>352</v>
      </c>
      <c r="F78" s="10">
        <v>2025</v>
      </c>
      <c r="G78" s="12"/>
      <c r="H78" s="12">
        <f t="shared" ref="H78:H127" si="22">IF((D78-E78)&lt;0,0,(D78-E78))</f>
        <v>1840</v>
      </c>
      <c r="I78" s="12">
        <f t="shared" ref="I78:I127" si="23">IF((E78-D78)&lt;0,0,(E78-D78))</f>
        <v>0</v>
      </c>
      <c r="J78" s="12">
        <f>Table1[[#This Row],[Enrolment S.Y. 2025-2026 ]]*8</f>
        <v>2192</v>
      </c>
      <c r="K78" s="12"/>
      <c r="L78" s="10"/>
      <c r="M78" s="12"/>
      <c r="N78" s="12">
        <f t="shared" si="16"/>
        <v>2192</v>
      </c>
      <c r="O78" s="12">
        <f t="shared" si="17"/>
        <v>0</v>
      </c>
      <c r="P78" s="12">
        <f>Table1[[#This Row],[Enrolment S.Y. 2025-2026 ]]*8</f>
        <v>2192</v>
      </c>
      <c r="Q78" s="12"/>
      <c r="R78" s="10"/>
      <c r="S78" s="12"/>
      <c r="T78" s="12">
        <f t="shared" si="18"/>
        <v>2192</v>
      </c>
      <c r="U78" s="12">
        <f t="shared" si="19"/>
        <v>0</v>
      </c>
      <c r="V78" s="12">
        <f>Table1[[#This Row],[Enrolment S.Y. 2025-2026 ]]*8</f>
        <v>2192</v>
      </c>
      <c r="W78" s="12"/>
      <c r="X78" s="10"/>
      <c r="Y78" s="12"/>
      <c r="Z78" s="12">
        <f t="shared" si="20"/>
        <v>2192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273</v>
      </c>
      <c r="D84" s="12">
        <f>Table1[[#This Row],[Enrolment S.Y. 2025-2026 ]]*8</f>
        <v>2184</v>
      </c>
      <c r="E84" s="12">
        <v>102</v>
      </c>
      <c r="F84" s="10">
        <v>2025</v>
      </c>
      <c r="G84" s="12"/>
      <c r="H84" s="12">
        <f t="shared" si="22"/>
        <v>2082</v>
      </c>
      <c r="I84" s="12">
        <f t="shared" si="23"/>
        <v>0</v>
      </c>
      <c r="J84" s="12">
        <f>Table1[[#This Row],[Enrolment S.Y. 2025-2026 ]]*8</f>
        <v>2184</v>
      </c>
      <c r="K84" s="12">
        <v>640</v>
      </c>
      <c r="L84" s="10">
        <v>2025</v>
      </c>
      <c r="M84" s="12"/>
      <c r="N84" s="12">
        <f t="shared" si="16"/>
        <v>1544</v>
      </c>
      <c r="O84" s="12">
        <f t="shared" si="17"/>
        <v>0</v>
      </c>
      <c r="P84" s="12">
        <f>Table1[[#This Row],[Enrolment S.Y. 2025-2026 ]]*8</f>
        <v>2184</v>
      </c>
      <c r="Q84" s="12"/>
      <c r="R84" s="10"/>
      <c r="S84" s="12"/>
      <c r="T84" s="12">
        <f t="shared" si="18"/>
        <v>2184</v>
      </c>
      <c r="U84" s="12">
        <f t="shared" si="19"/>
        <v>0</v>
      </c>
      <c r="V84" s="12">
        <f>Table1[[#This Row],[Enrolment S.Y. 2025-2026 ]]*8</f>
        <v>2184</v>
      </c>
      <c r="W84" s="12"/>
      <c r="X84" s="10"/>
      <c r="Y84" s="12"/>
      <c r="Z84" s="12">
        <f t="shared" si="20"/>
        <v>2184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273</v>
      </c>
      <c r="D85" s="12">
        <f>Table1[[#This Row],[Enrolment S.Y. 2025-2026 ]]*8</f>
        <v>2184</v>
      </c>
      <c r="E85" s="12">
        <v>136</v>
      </c>
      <c r="F85" s="10">
        <v>2025</v>
      </c>
      <c r="G85" s="12"/>
      <c r="H85" s="12">
        <f t="shared" si="22"/>
        <v>2048</v>
      </c>
      <c r="I85" s="12">
        <f t="shared" si="23"/>
        <v>0</v>
      </c>
      <c r="J85" s="12">
        <f>Table1[[#This Row],[Enrolment S.Y. 2025-2026 ]]*8</f>
        <v>2184</v>
      </c>
      <c r="K85" s="12">
        <v>640</v>
      </c>
      <c r="L85" s="10">
        <v>2025</v>
      </c>
      <c r="M85" s="12"/>
      <c r="N85" s="12">
        <f t="shared" si="16"/>
        <v>1544</v>
      </c>
      <c r="O85" s="12">
        <f t="shared" si="17"/>
        <v>0</v>
      </c>
      <c r="P85" s="12">
        <f>Table1[[#This Row],[Enrolment S.Y. 2025-2026 ]]*8</f>
        <v>2184</v>
      </c>
      <c r="Q85" s="12"/>
      <c r="R85" s="10"/>
      <c r="S85" s="12"/>
      <c r="T85" s="12">
        <f t="shared" si="18"/>
        <v>2184</v>
      </c>
      <c r="U85" s="12">
        <f t="shared" si="19"/>
        <v>0</v>
      </c>
      <c r="V85" s="12">
        <f>Table1[[#This Row],[Enrolment S.Y. 2025-2026 ]]*8</f>
        <v>2184</v>
      </c>
      <c r="W85" s="12"/>
      <c r="X85" s="10"/>
      <c r="Y85" s="12"/>
      <c r="Z85" s="12">
        <f t="shared" si="20"/>
        <v>2184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270</v>
      </c>
      <c r="D93" s="12">
        <f>Table1[[#This Row],[Enrolment S.Y. 2025-2026 ]]*8</f>
        <v>2160</v>
      </c>
      <c r="E93" s="12">
        <v>84</v>
      </c>
      <c r="F93" s="10">
        <v>2025</v>
      </c>
      <c r="G93" s="12"/>
      <c r="H93" s="12">
        <f>IF((D93-E93)&lt;0,0,(D93-E93))</f>
        <v>2076</v>
      </c>
      <c r="I93" s="12">
        <f>IF((E93-D93)&lt;0,0,(E93-D93))</f>
        <v>0</v>
      </c>
      <c r="J93" s="12">
        <f>Table1[[#This Row],[Enrolment S.Y. 2025-2026 ]]*8</f>
        <v>2160</v>
      </c>
      <c r="K93" s="12">
        <v>616</v>
      </c>
      <c r="L93" s="10">
        <v>2025</v>
      </c>
      <c r="M93" s="12"/>
      <c r="N93" s="12">
        <f>IF((J93-K93)&lt;0,0,(J93-K93))</f>
        <v>1544</v>
      </c>
      <c r="O93" s="12">
        <f>IF((K93-J93)&lt;0,0,(K93-J93))</f>
        <v>0</v>
      </c>
      <c r="P93" s="12">
        <f>Table1[[#This Row],[Enrolment S.Y. 2025-2026 ]]*8</f>
        <v>2160</v>
      </c>
      <c r="Q93" s="12"/>
      <c r="R93" s="10"/>
      <c r="S93" s="12"/>
      <c r="T93" s="12">
        <f>IF((P93-Q93)&lt;0,0,(P93-Q93))</f>
        <v>2160</v>
      </c>
      <c r="U93" s="12">
        <f>IF((Q93-P93)&lt;0,0,(Q93-P93))</f>
        <v>0</v>
      </c>
      <c r="V93" s="12">
        <f>Table1[[#This Row],[Enrolment S.Y. 2025-2026 ]]*8</f>
        <v>2160</v>
      </c>
      <c r="W93" s="12"/>
      <c r="X93" s="10"/>
      <c r="Y93" s="12"/>
      <c r="Z93" s="12">
        <f>IF((V93-W93)&lt;0,0,(V93-W93))</f>
        <v>2160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270</v>
      </c>
      <c r="D94" s="12">
        <f>Table1[[#This Row],[Enrolment S.Y. 2025-2026 ]]*8</f>
        <v>2160</v>
      </c>
      <c r="E94" s="12">
        <v>98</v>
      </c>
      <c r="F94" s="10">
        <v>2025</v>
      </c>
      <c r="G94" s="12"/>
      <c r="H94" s="12">
        <f>IF((D94-E94)&lt;0,0,(D94-E94))</f>
        <v>2062</v>
      </c>
      <c r="I94" s="12">
        <f>IF((E94-D94)&lt;0,0,(E94-D94))</f>
        <v>0</v>
      </c>
      <c r="J94" s="12">
        <f>Table1[[#This Row],[Enrolment S.Y. 2025-2026 ]]*8</f>
        <v>2160</v>
      </c>
      <c r="K94" s="12"/>
      <c r="L94" s="10"/>
      <c r="M94" s="12"/>
      <c r="N94" s="12">
        <f>IF((J94-K94)&lt;0,0,(J94-K94))</f>
        <v>2160</v>
      </c>
      <c r="O94" s="12">
        <f>IF((K94-J94)&lt;0,0,(K94-J94))</f>
        <v>0</v>
      </c>
      <c r="P94" s="12">
        <f>Table1[[#This Row],[Enrolment S.Y. 2025-2026 ]]*8</f>
        <v>2160</v>
      </c>
      <c r="Q94" s="12"/>
      <c r="R94" s="10"/>
      <c r="S94" s="12"/>
      <c r="T94" s="12">
        <f>IF((P94-Q94)&lt;0,0,(P94-Q94))</f>
        <v>2160</v>
      </c>
      <c r="U94" s="12">
        <f>IF((Q94-P94)&lt;0,0,(Q94-P94))</f>
        <v>0</v>
      </c>
      <c r="V94" s="12">
        <f>Table1[[#This Row],[Enrolment S.Y. 2025-2026 ]]*8</f>
        <v>2160</v>
      </c>
      <c r="W94" s="12"/>
      <c r="X94" s="10"/>
      <c r="Y94" s="12"/>
      <c r="Z94" s="12">
        <f>IF((V94-W94)&lt;0,0,(V94-W94))</f>
        <v>2160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>
        <v>112</v>
      </c>
      <c r="F95" s="10">
        <v>2025</v>
      </c>
      <c r="G95" s="12"/>
      <c r="H95" s="12">
        <f>IF((D95-E95)&lt;0,0,(D95-E95))</f>
        <v>0</v>
      </c>
      <c r="I95" s="12">
        <f>IF((E95-D95)&lt;0,0,(E95-D95))</f>
        <v>112</v>
      </c>
      <c r="J95" s="12">
        <f>Table1[[#This Row],[Enrolment S.Y. 2025-2026 ]]*8</f>
        <v>0</v>
      </c>
      <c r="K95" s="12">
        <v>616</v>
      </c>
      <c r="L95" s="10">
        <v>2025</v>
      </c>
      <c r="M95" s="12"/>
      <c r="N95" s="12">
        <f>IF((J95-K95)&lt;0,0,(J95-K95))</f>
        <v>0</v>
      </c>
      <c r="O95" s="12">
        <f>IF((K95-J95)&lt;0,0,(K95-J95))</f>
        <v>616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DEPEDVAL LRMDS</cp:lastModifiedBy>
  <cp:revision/>
  <dcterms:created xsi:type="dcterms:W3CDTF">2025-11-19T20:48:15Z</dcterms:created>
  <dcterms:modified xsi:type="dcterms:W3CDTF">2026-01-14T00:44:05Z</dcterms:modified>
  <cp:category/>
  <cp:contentStatus/>
</cp:coreProperties>
</file>