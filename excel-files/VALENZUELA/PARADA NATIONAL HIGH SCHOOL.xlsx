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9" documentId="13_ncr:1_{BFB59F67-F0DC-4675-A682-EB0734A8026A}" xr6:coauthVersionLast="47" xr6:coauthVersionMax="47" xr10:uidLastSave="{6083C47A-E148-4890-9788-7EC1BB23209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P46" i="5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<sst xmlns="http://schemas.openxmlformats.org/spreadsheetml/2006/main" count="250" uniqueCount="85">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</sst>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1" totalsRowShown="0" headerRowDxfId="62" headerRowBorderDxfId="60" tableBorderDxfId="61">
  <autoFilter ref="A1:H51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S89" sqref="S8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273</v>
      </c>
      <c r="D3" s="8">
        <v>389</v>
      </c>
      <c r="E3" s="8">
        <v>2025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116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273</v>
      </c>
      <c r="D5" s="8">
        <v>389</v>
      </c>
      <c r="E5" s="8">
        <v>2024</v>
      </c>
      <c r="F5" s="10" t="s">
        <v>9</v>
      </c>
      <c r="G5" s="2">
        <f t="shared" si="0"/>
        <v>0</v>
      </c>
      <c r="H5" s="3">
        <f t="shared" si="1"/>
        <v>116</v>
      </c>
    </row>
    <row r="6" spans="1:8" ht="19.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273</v>
      </c>
      <c r="D7" s="8">
        <v>389</v>
      </c>
      <c r="E7" s="8">
        <v>2025</v>
      </c>
      <c r="F7" s="10" t="s">
        <v>9</v>
      </c>
      <c r="G7" s="2">
        <f t="shared" si="0"/>
        <v>0</v>
      </c>
      <c r="H7" s="3">
        <f t="shared" si="1"/>
        <v>116</v>
      </c>
    </row>
    <row r="8" spans="1:8" ht="39.75" customHeight="1">
      <c r="A8" s="8">
        <v>7</v>
      </c>
      <c r="B8" s="9" t="s">
        <v>14</v>
      </c>
      <c r="C8" s="8">
        <v>273</v>
      </c>
      <c r="D8" s="8">
        <v>389</v>
      </c>
      <c r="E8" s="8">
        <v>2024</v>
      </c>
      <c r="F8" s="10" t="s">
        <v>9</v>
      </c>
      <c r="G8" s="2">
        <f t="shared" si="0"/>
        <v>0</v>
      </c>
      <c r="H8" s="3">
        <f t="shared" si="1"/>
        <v>116</v>
      </c>
    </row>
    <row r="9" spans="1:8" ht="29.25" customHeight="1">
      <c r="A9" s="8">
        <v>7</v>
      </c>
      <c r="B9" s="9" t="s">
        <v>15</v>
      </c>
      <c r="C9" s="8">
        <v>273</v>
      </c>
      <c r="D9" s="8">
        <v>389</v>
      </c>
      <c r="E9" s="8">
        <v>2025</v>
      </c>
      <c r="F9" s="10" t="s">
        <v>9</v>
      </c>
      <c r="G9" s="2">
        <f t="shared" si="0"/>
        <v>0</v>
      </c>
      <c r="H9" s="3">
        <f t="shared" si="1"/>
        <v>116</v>
      </c>
    </row>
    <row r="10" spans="1:8" ht="28.5" customHeight="1">
      <c r="A10" s="8">
        <v>7</v>
      </c>
      <c r="B10" s="9" t="s">
        <v>16</v>
      </c>
      <c r="C10" s="8">
        <v>273</v>
      </c>
      <c r="D10" s="8">
        <v>389</v>
      </c>
      <c r="E10" s="8">
        <v>2025</v>
      </c>
      <c r="F10" s="10" t="s">
        <v>9</v>
      </c>
      <c r="G10" s="2">
        <f t="shared" si="0"/>
        <v>0</v>
      </c>
      <c r="H10" s="3">
        <f t="shared" si="1"/>
        <v>116</v>
      </c>
    </row>
    <row r="11" spans="1:8" ht="24" customHeight="1">
      <c r="A11" s="8">
        <v>7</v>
      </c>
      <c r="B11" s="9" t="s">
        <v>17</v>
      </c>
      <c r="C11" s="8">
        <v>273</v>
      </c>
      <c r="D11" s="8">
        <v>389</v>
      </c>
      <c r="E11" s="8">
        <v>2025</v>
      </c>
      <c r="F11" s="10" t="s">
        <v>9</v>
      </c>
      <c r="G11" s="2">
        <f t="shared" si="0"/>
        <v>0</v>
      </c>
      <c r="H11" s="3">
        <f t="shared" si="1"/>
        <v>116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/>
      <c r="D13" s="8"/>
      <c r="E13" s="8"/>
      <c r="F13" s="10"/>
      <c r="G13" s="2">
        <f t="shared" ref="G13:G21" si="2">IF((C13-D13)&lt;0,0,C13-D13)</f>
        <v>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274</v>
      </c>
      <c r="D15" s="8">
        <v>314</v>
      </c>
      <c r="E15" s="8">
        <v>2025</v>
      </c>
      <c r="F15" s="10" t="s">
        <v>9</v>
      </c>
      <c r="G15" s="2">
        <f t="shared" si="2"/>
        <v>0</v>
      </c>
      <c r="H15" s="3">
        <f t="shared" si="3"/>
        <v>40</v>
      </c>
    </row>
    <row r="16" spans="1:8" ht="27" customHeight="1">
      <c r="A16" s="8">
        <v>8</v>
      </c>
      <c r="B16" s="9" t="s">
        <v>12</v>
      </c>
      <c r="C16" s="8">
        <v>274</v>
      </c>
      <c r="D16" s="8">
        <v>314</v>
      </c>
      <c r="E16" s="8">
        <v>2025</v>
      </c>
      <c r="F16" s="10" t="s">
        <v>9</v>
      </c>
      <c r="G16" s="2">
        <f t="shared" si="2"/>
        <v>0</v>
      </c>
      <c r="H16" s="3">
        <f t="shared" si="3"/>
        <v>40</v>
      </c>
    </row>
    <row r="17" spans="1:8" ht="23.25" customHeight="1">
      <c r="A17" s="8">
        <v>8</v>
      </c>
      <c r="B17" s="9" t="s">
        <v>18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/>
      <c r="D21" s="8"/>
      <c r="E21" s="8"/>
      <c r="F21" s="10"/>
      <c r="G21" s="2">
        <f t="shared" si="2"/>
        <v>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>
        <v>53</v>
      </c>
      <c r="D45" s="1">
        <v>100</v>
      </c>
      <c r="E45" s="1">
        <v>2024</v>
      </c>
      <c r="F45" s="4" t="s">
        <v>9</v>
      </c>
      <c r="G45" s="2">
        <f t="shared" si="8"/>
        <v>0</v>
      </c>
      <c r="H45" s="3">
        <f t="shared" si="9"/>
        <v>47</v>
      </c>
    </row>
    <row r="46" spans="1:8" ht="27.75" customHeight="1">
      <c r="A46" s="1" t="s">
        <v>19</v>
      </c>
      <c r="B46" s="7" t="s">
        <v>23</v>
      </c>
      <c r="C46" s="1">
        <v>53</v>
      </c>
      <c r="D46" s="1">
        <v>100</v>
      </c>
      <c r="E46" s="1">
        <v>2025</v>
      </c>
      <c r="F46" s="4" t="s">
        <v>9</v>
      </c>
      <c r="G46" s="2">
        <f t="shared" si="8"/>
        <v>0</v>
      </c>
      <c r="H46" s="3">
        <f t="shared" si="9"/>
        <v>47</v>
      </c>
    </row>
    <row r="47" spans="1:8" ht="27.75" customHeight="1">
      <c r="A47" s="1" t="s">
        <v>19</v>
      </c>
      <c r="B47" s="7" t="s">
        <v>24</v>
      </c>
      <c r="C47" s="1">
        <v>53</v>
      </c>
      <c r="D47" s="1">
        <v>100</v>
      </c>
      <c r="E47" s="1">
        <v>2025</v>
      </c>
      <c r="F47" s="4" t="s">
        <v>9</v>
      </c>
      <c r="G47" s="2">
        <f t="shared" si="8"/>
        <v>0</v>
      </c>
      <c r="H47" s="3">
        <f t="shared" si="9"/>
        <v>47</v>
      </c>
    </row>
    <row r="48" spans="1:8" ht="27.75" customHeight="1">
      <c r="A48" s="1" t="s">
        <v>19</v>
      </c>
      <c r="B48" s="7" t="s">
        <v>25</v>
      </c>
      <c r="C48" s="1">
        <v>52</v>
      </c>
      <c r="D48" s="1">
        <v>100</v>
      </c>
      <c r="E48" s="1">
        <v>2025</v>
      </c>
      <c r="F48" s="4" t="s">
        <v>9</v>
      </c>
      <c r="G48" s="2">
        <f t="shared" si="8"/>
        <v>0</v>
      </c>
      <c r="H48" s="3">
        <f t="shared" si="9"/>
        <v>48</v>
      </c>
    </row>
    <row r="49" spans="1:8" ht="27.75" customHeight="1">
      <c r="A49" s="1" t="s">
        <v>19</v>
      </c>
      <c r="B49" s="7" t="s">
        <v>26</v>
      </c>
      <c r="C49" s="1">
        <v>53</v>
      </c>
      <c r="D49" s="1">
        <v>100</v>
      </c>
      <c r="E49" s="1">
        <v>2025</v>
      </c>
      <c r="F49" s="4" t="s">
        <v>9</v>
      </c>
      <c r="G49" s="2">
        <f t="shared" si="8"/>
        <v>0</v>
      </c>
      <c r="H49" s="3">
        <f t="shared" si="9"/>
        <v>47</v>
      </c>
    </row>
    <row r="50" spans="1:8" ht="27.75" customHeight="1">
      <c r="A50" s="1" t="s">
        <v>19</v>
      </c>
      <c r="B50" s="7" t="s">
        <v>27</v>
      </c>
      <c r="C50" s="1">
        <v>52</v>
      </c>
      <c r="D50" s="1">
        <v>100</v>
      </c>
      <c r="E50" s="1">
        <v>2025</v>
      </c>
      <c r="F50" s="4" t="s">
        <v>9</v>
      </c>
      <c r="G50" s="2">
        <f t="shared" si="8"/>
        <v>0</v>
      </c>
      <c r="H50" s="3">
        <f t="shared" si="9"/>
        <v>48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 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28</v>
      </c>
      <c r="E1" s="39"/>
      <c r="F1" s="39"/>
      <c r="G1" s="39"/>
      <c r="H1" s="39"/>
      <c r="I1" s="39"/>
      <c r="J1" s="40" t="s">
        <v>29</v>
      </c>
      <c r="K1" s="40"/>
      <c r="L1" s="40"/>
      <c r="M1" s="40"/>
      <c r="N1" s="40"/>
      <c r="O1" s="40"/>
      <c r="P1" s="41" t="s">
        <v>30</v>
      </c>
      <c r="Q1" s="41"/>
      <c r="R1" s="41"/>
      <c r="S1" s="41"/>
      <c r="T1" s="41"/>
      <c r="U1" s="41"/>
      <c r="V1" s="42" t="s">
        <v>31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7" t="s">
        <v>41</v>
      </c>
      <c r="N2" s="37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8" t="s">
        <v>53</v>
      </c>
      <c r="Z2" s="38" t="s">
        <v>54</v>
      </c>
      <c r="AA2" s="24" t="s">
        <v>55</v>
      </c>
    </row>
    <row r="3" spans="1:27" ht="30.6" customHeight="1">
      <c r="A3" s="36" t="s">
        <v>56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/>
      <c r="D6" s="10">
        <f>Table1[[#This Row],[Enrolment S.Y. 2025-2026 ]]*8</f>
        <v>0</v>
      </c>
      <c r="E6" s="10"/>
      <c r="F6" s="8"/>
      <c r="G6" s="10"/>
      <c r="H6" s="10">
        <f t="shared" ref="H6:H20" si="2">IF((D6-E6)&lt;0,0,(D6-E6))</f>
        <v>0</v>
      </c>
      <c r="I6" s="10">
        <f t="shared" ref="I6:I20" si="3">IF((E6-D6)&lt;0,0,(E6-D6))</f>
        <v>0</v>
      </c>
      <c r="J6" s="10">
        <f>Table1[[#This Row],[Enrolment S.Y. 2025-2026 ]]*8</f>
        <v>0</v>
      </c>
      <c r="K6" s="10"/>
      <c r="L6" s="8"/>
      <c r="M6" s="10"/>
      <c r="N6" s="10">
        <f t="shared" ref="N6:N12" si="4">IF((J6-K6)&lt;0,0,(J6-K6))</f>
        <v>0</v>
      </c>
      <c r="O6" s="10">
        <f t="shared" ref="O6:O12" si="5">IF((K6-J6)&lt;0,0,(K6-J6))</f>
        <v>0</v>
      </c>
      <c r="P6" s="10">
        <f>Table1[[#This Row],[Enrolment S.Y. 2025-2026 ]]*8</f>
        <v>0</v>
      </c>
      <c r="Q6" s="10"/>
      <c r="R6" s="8"/>
      <c r="S6" s="10"/>
      <c r="T6" s="10">
        <f t="shared" ref="T6:T12" si="6">IF((P6-Q6)&lt;0,0,(P6-Q6))</f>
        <v>0</v>
      </c>
      <c r="U6" s="10">
        <f t="shared" ref="U6:U12" si="7">IF((Q6-P6)&lt;0,0,(Q6-P6))</f>
        <v>0</v>
      </c>
      <c r="V6" s="10">
        <f>Table1[[#This Row],[Enrolment S.Y. 2025-2026 ]]*8</f>
        <v>0</v>
      </c>
      <c r="W6" s="10"/>
      <c r="X6" s="8"/>
      <c r="Y6" s="10"/>
      <c r="Z6" s="10">
        <f t="shared" ref="Z6:Z12" si="8">IF((V6-W6)&lt;0,0,(V6-W6))</f>
        <v>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10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2"/>
        <v>0</v>
      </c>
      <c r="I7" s="10">
        <f t="shared" si="3"/>
        <v>0</v>
      </c>
      <c r="J7" s="10">
        <f>Table1[[#This Row],[Enrolment S.Y. 2025-2026 ]]*8</f>
        <v>0</v>
      </c>
      <c r="K7" s="10"/>
      <c r="L7" s="8"/>
      <c r="M7" s="10"/>
      <c r="N7" s="10">
        <f t="shared" si="4"/>
        <v>0</v>
      </c>
      <c r="O7" s="10">
        <f t="shared" si="5"/>
        <v>0</v>
      </c>
      <c r="P7" s="10">
        <f>Table1[[#This Row],[Enrolment S.Y. 2025-2026 ]]*8</f>
        <v>0</v>
      </c>
      <c r="Q7" s="10"/>
      <c r="R7" s="8"/>
      <c r="S7" s="10"/>
      <c r="T7" s="10">
        <f t="shared" si="6"/>
        <v>0</v>
      </c>
      <c r="U7" s="10">
        <f t="shared" si="7"/>
        <v>0</v>
      </c>
      <c r="V7" s="10">
        <f>Table1[[#This Row],[Enrolment S.Y. 2025-2026 ]]*8</f>
        <v>0</v>
      </c>
      <c r="W7" s="10"/>
      <c r="X7" s="8"/>
      <c r="Y7" s="10"/>
      <c r="Z7" s="10">
        <f t="shared" si="8"/>
        <v>0</v>
      </c>
      <c r="AA7" s="10">
        <f t="shared" si="9"/>
        <v>0</v>
      </c>
    </row>
    <row r="8" spans="1:27" ht="19.5">
      <c r="A8" s="8">
        <v>7</v>
      </c>
      <c r="B8" s="9" t="s">
        <v>11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2"/>
        <v>0</v>
      </c>
      <c r="I8" s="10">
        <f t="shared" si="3"/>
        <v>0</v>
      </c>
      <c r="J8" s="10">
        <f>Table1[[#This Row],[Enrolment S.Y. 2025-2026 ]]*8</f>
        <v>0</v>
      </c>
      <c r="K8" s="10"/>
      <c r="L8" s="8"/>
      <c r="M8" s="10"/>
      <c r="N8" s="10">
        <f t="shared" si="4"/>
        <v>0</v>
      </c>
      <c r="O8" s="10">
        <f t="shared" si="5"/>
        <v>0</v>
      </c>
      <c r="P8" s="10">
        <f>Table1[[#This Row],[Enrolment S.Y. 2025-2026 ]]*8</f>
        <v>0</v>
      </c>
      <c r="Q8" s="10"/>
      <c r="R8" s="8"/>
      <c r="S8" s="10"/>
      <c r="T8" s="10">
        <f t="shared" si="6"/>
        <v>0</v>
      </c>
      <c r="U8" s="10">
        <f t="shared" si="7"/>
        <v>0</v>
      </c>
      <c r="V8" s="10">
        <f>Table1[[#This Row],[Enrolment S.Y. 2025-2026 ]]*8</f>
        <v>0</v>
      </c>
      <c r="W8" s="10"/>
      <c r="X8" s="8"/>
      <c r="Y8" s="10"/>
      <c r="Z8" s="10">
        <f t="shared" si="8"/>
        <v>0</v>
      </c>
      <c r="AA8" s="10">
        <f t="shared" si="9"/>
        <v>0</v>
      </c>
    </row>
    <row r="9" spans="1:27" ht="19.5">
      <c r="A9" s="8">
        <v>7</v>
      </c>
      <c r="B9" s="9" t="s">
        <v>12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2"/>
        <v>0</v>
      </c>
      <c r="I9" s="10">
        <f t="shared" si="3"/>
        <v>0</v>
      </c>
      <c r="J9" s="10">
        <f>Table1[[#This Row],[Enrolment S.Y. 2025-2026 ]]*8</f>
        <v>0</v>
      </c>
      <c r="K9" s="10"/>
      <c r="L9" s="8"/>
      <c r="M9" s="10"/>
      <c r="N9" s="10">
        <f t="shared" si="4"/>
        <v>0</v>
      </c>
      <c r="O9" s="10">
        <f t="shared" si="5"/>
        <v>0</v>
      </c>
      <c r="P9" s="10">
        <f>Table1[[#This Row],[Enrolment S.Y. 2025-2026 ]]*8</f>
        <v>0</v>
      </c>
      <c r="Q9" s="10"/>
      <c r="R9" s="8"/>
      <c r="S9" s="10"/>
      <c r="T9" s="10">
        <f t="shared" si="6"/>
        <v>0</v>
      </c>
      <c r="U9" s="10">
        <f t="shared" si="7"/>
        <v>0</v>
      </c>
      <c r="V9" s="10">
        <f>Table1[[#This Row],[Enrolment S.Y. 2025-2026 ]]*8</f>
        <v>0</v>
      </c>
      <c r="W9" s="10"/>
      <c r="X9" s="8"/>
      <c r="Y9" s="10"/>
      <c r="Z9" s="10">
        <f t="shared" si="8"/>
        <v>0</v>
      </c>
      <c r="AA9" s="10">
        <f t="shared" si="9"/>
        <v>0</v>
      </c>
    </row>
    <row r="10" spans="1:27" ht="38.25">
      <c r="A10" s="8">
        <v>7</v>
      </c>
      <c r="B10" s="9" t="s">
        <v>13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2"/>
        <v>0</v>
      </c>
      <c r="I10" s="10">
        <f t="shared" si="3"/>
        <v>0</v>
      </c>
      <c r="J10" s="10">
        <f>Table1[[#This Row],[Enrolment S.Y. 2025-2026 ]]*8</f>
        <v>0</v>
      </c>
      <c r="K10" s="10"/>
      <c r="L10" s="8"/>
      <c r="M10" s="10"/>
      <c r="N10" s="10">
        <f t="shared" si="4"/>
        <v>0</v>
      </c>
      <c r="O10" s="10">
        <f t="shared" si="5"/>
        <v>0</v>
      </c>
      <c r="P10" s="10">
        <f>Table1[[#This Row],[Enrolment S.Y. 2025-2026 ]]*8</f>
        <v>0</v>
      </c>
      <c r="Q10" s="10"/>
      <c r="R10" s="8"/>
      <c r="S10" s="10"/>
      <c r="T10" s="10">
        <f t="shared" si="6"/>
        <v>0</v>
      </c>
      <c r="U10" s="10">
        <f t="shared" si="7"/>
        <v>0</v>
      </c>
      <c r="V10" s="10">
        <f>Table1[[#This Row],[Enrolment S.Y. 2025-2026 ]]*8</f>
        <v>0</v>
      </c>
      <c r="W10" s="10"/>
      <c r="X10" s="8"/>
      <c r="Y10" s="10"/>
      <c r="Z10" s="10">
        <f t="shared" si="8"/>
        <v>0</v>
      </c>
      <c r="AA10" s="10">
        <f t="shared" si="9"/>
        <v>0</v>
      </c>
    </row>
    <row r="11" spans="1:27" ht="19.5">
      <c r="A11" s="8">
        <v>7</v>
      </c>
      <c r="B11" s="9" t="s">
        <v>14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2"/>
        <v>0</v>
      </c>
      <c r="I11" s="10">
        <f t="shared" si="3"/>
        <v>0</v>
      </c>
      <c r="J11" s="10">
        <f>Table1[[#This Row],[Enrolment S.Y. 2025-2026 ]]*8</f>
        <v>0</v>
      </c>
      <c r="K11" s="10"/>
      <c r="L11" s="8"/>
      <c r="M11" s="10"/>
      <c r="N11" s="10">
        <f t="shared" si="4"/>
        <v>0</v>
      </c>
      <c r="O11" s="10">
        <f t="shared" si="5"/>
        <v>0</v>
      </c>
      <c r="P11" s="10">
        <f>Table1[[#This Row],[Enrolment S.Y. 2025-2026 ]]*8</f>
        <v>0</v>
      </c>
      <c r="Q11" s="10"/>
      <c r="R11" s="8"/>
      <c r="S11" s="10"/>
      <c r="T11" s="10">
        <f t="shared" si="6"/>
        <v>0</v>
      </c>
      <c r="U11" s="10">
        <f t="shared" si="7"/>
        <v>0</v>
      </c>
      <c r="V11" s="10">
        <f>Table1[[#This Row],[Enrolment S.Y. 2025-2026 ]]*8</f>
        <v>0</v>
      </c>
      <c r="W11" s="10"/>
      <c r="X11" s="8"/>
      <c r="Y11" s="10"/>
      <c r="Z11" s="10">
        <f t="shared" si="8"/>
        <v>0</v>
      </c>
      <c r="AA11" s="10">
        <f t="shared" si="9"/>
        <v>0</v>
      </c>
    </row>
    <row r="12" spans="1:27" ht="19.5">
      <c r="A12" s="8">
        <v>7</v>
      </c>
      <c r="B12" s="9" t="s">
        <v>15</v>
      </c>
      <c r="C12" s="8"/>
      <c r="D12" s="10">
        <f>Table1[[#This Row],[Enrolment S.Y. 2025-2026 ]]*8</f>
        <v>0</v>
      </c>
      <c r="E12" s="10"/>
      <c r="F12" s="8"/>
      <c r="G12" s="10"/>
      <c r="H12" s="10">
        <f t="shared" si="2"/>
        <v>0</v>
      </c>
      <c r="I12" s="10">
        <f t="shared" si="3"/>
        <v>0</v>
      </c>
      <c r="J12" s="10">
        <f>Table1[[#This Row],[Enrolment S.Y. 2025-2026 ]]*8</f>
        <v>0</v>
      </c>
      <c r="K12" s="10"/>
      <c r="L12" s="8"/>
      <c r="M12" s="10"/>
      <c r="N12" s="10">
        <f t="shared" si="4"/>
        <v>0</v>
      </c>
      <c r="O12" s="10">
        <f t="shared" si="5"/>
        <v>0</v>
      </c>
      <c r="P12" s="10">
        <f>Table1[[#This Row],[Enrolment S.Y. 2025-2026 ]]*8</f>
        <v>0</v>
      </c>
      <c r="Q12" s="10"/>
      <c r="R12" s="8"/>
      <c r="S12" s="10"/>
      <c r="T12" s="10">
        <f t="shared" si="6"/>
        <v>0</v>
      </c>
      <c r="U12" s="10">
        <f t="shared" si="7"/>
        <v>0</v>
      </c>
      <c r="V12" s="10">
        <f>Table1[[#This Row],[Enrolment S.Y. 2025-2026 ]]*8</f>
        <v>0</v>
      </c>
      <c r="W12" s="10"/>
      <c r="X12" s="8"/>
      <c r="Y12" s="10"/>
      <c r="Z12" s="10">
        <f t="shared" si="8"/>
        <v>0</v>
      </c>
      <c r="AA12" s="10">
        <f t="shared" si="9"/>
        <v>0</v>
      </c>
    </row>
    <row r="13" spans="1:27" s="5" customFormat="1" ht="19.5">
      <c r="A13" s="8">
        <v>7</v>
      </c>
      <c r="B13" s="9" t="s">
        <v>16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2"/>
        <v>0</v>
      </c>
      <c r="I13" s="10">
        <f t="shared" si="3"/>
        <v>0</v>
      </c>
      <c r="J13" s="10">
        <f>Table1[[#This Row],[Enrolment S.Y. 2025-2026 ]]*8</f>
        <v>0</v>
      </c>
      <c r="K13" s="10"/>
      <c r="L13" s="8"/>
      <c r="M13" s="10"/>
      <c r="N13" s="10">
        <f t="shared" ref="N13:N69" si="10">IF((J13-K13)&lt;0,0,(J13-K13))</f>
        <v>0</v>
      </c>
      <c r="O13" s="10">
        <f t="shared" ref="O13:O69" si="11">IF((K13-J13)&lt;0,0,(K13-J13))</f>
        <v>0</v>
      </c>
      <c r="P13" s="10">
        <f>Table1[[#This Row],[Enrolment S.Y. 2025-2026 ]]*8</f>
        <v>0</v>
      </c>
      <c r="Q13" s="10"/>
      <c r="R13" s="8"/>
      <c r="S13" s="10"/>
      <c r="T13" s="10">
        <f t="shared" ref="T13:T70" si="12">IF((P13-Q13)&lt;0,0,(P13-Q13))</f>
        <v>0</v>
      </c>
      <c r="U13" s="10">
        <f t="shared" ref="U13:U70" si="13">IF((Q13-P13)&lt;0,0,(Q13-P13))</f>
        <v>0</v>
      </c>
      <c r="V13" s="10">
        <f>Table1[[#This Row],[Enrolment S.Y. 2025-2026 ]]*8</f>
        <v>0</v>
      </c>
      <c r="W13" s="10"/>
      <c r="X13" s="8"/>
      <c r="Y13" s="10"/>
      <c r="Z13" s="10">
        <f t="shared" ref="Z13:Z70" si="14">IF((V13-W13)&lt;0,0,(V13-W13))</f>
        <v>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17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2"/>
        <v>0</v>
      </c>
      <c r="I14" s="10">
        <f t="shared" si="3"/>
        <v>0</v>
      </c>
      <c r="J14" s="10">
        <f>Table1[[#This Row],[Enrolment S.Y. 2025-2026 ]]*8</f>
        <v>0</v>
      </c>
      <c r="K14" s="10"/>
      <c r="L14" s="8"/>
      <c r="M14" s="10"/>
      <c r="N14" s="10">
        <f t="shared" si="10"/>
        <v>0</v>
      </c>
      <c r="O14" s="10">
        <f t="shared" si="11"/>
        <v>0</v>
      </c>
      <c r="P14" s="10">
        <f>Table1[[#This Row],[Enrolment S.Y. 2025-2026 ]]*8</f>
        <v>0</v>
      </c>
      <c r="Q14" s="10"/>
      <c r="R14" s="8"/>
      <c r="S14" s="10"/>
      <c r="T14" s="10">
        <f t="shared" si="12"/>
        <v>0</v>
      </c>
      <c r="U14" s="10">
        <f t="shared" si="13"/>
        <v>0</v>
      </c>
      <c r="V14" s="10">
        <f>Table1[[#This Row],[Enrolment S.Y. 2025-2026 ]]*8</f>
        <v>0</v>
      </c>
      <c r="W14" s="10"/>
      <c r="X14" s="8"/>
      <c r="Y14" s="10"/>
      <c r="Z14" s="10">
        <f t="shared" si="14"/>
        <v>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2"/>
        <v>0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10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2"/>
        <v>0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11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si="2"/>
        <v>0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12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2"/>
        <v>0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18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2"/>
        <v>0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14</v>
      </c>
      <c r="C21" s="8">
        <v>274</v>
      </c>
      <c r="D21" s="10">
        <f>Table1[[#This Row],[Enrolment S.Y. 2025-2026 ]]*8</f>
        <v>2192</v>
      </c>
      <c r="E21" s="10">
        <v>352</v>
      </c>
      <c r="F21" s="8">
        <v>2025</v>
      </c>
      <c r="G21" s="10"/>
      <c r="H21" s="10">
        <f t="shared" ref="H21:H70" si="16">IF((D21-E21)&lt;0,0,(D21-E21))</f>
        <v>1840</v>
      </c>
      <c r="I21" s="10">
        <f t="shared" ref="I21:I70" si="17">IF((E21-D21)&lt;0,0,(E21-D21))</f>
        <v>0</v>
      </c>
      <c r="J21" s="10">
        <f>Table1[[#This Row],[Enrolment S.Y. 2025-2026 ]]*8</f>
        <v>2192</v>
      </c>
      <c r="K21" s="10"/>
      <c r="L21" s="8"/>
      <c r="M21" s="10"/>
      <c r="N21" s="10">
        <f t="shared" si="10"/>
        <v>2192</v>
      </c>
      <c r="O21" s="10">
        <f t="shared" si="11"/>
        <v>0</v>
      </c>
      <c r="P21" s="10">
        <f>Table1[[#This Row],[Enrolment S.Y. 2025-2026 ]]*8</f>
        <v>2192</v>
      </c>
      <c r="Q21" s="10"/>
      <c r="R21" s="8"/>
      <c r="S21" s="10"/>
      <c r="T21" s="10">
        <f t="shared" si="12"/>
        <v>2192</v>
      </c>
      <c r="U21" s="10">
        <f t="shared" si="13"/>
        <v>0</v>
      </c>
      <c r="V21" s="10">
        <f>Table1[[#This Row],[Enrolment S.Y. 2025-2026 ]]*8</f>
        <v>2192</v>
      </c>
      <c r="W21" s="10"/>
      <c r="X21" s="8"/>
      <c r="Y21" s="10"/>
      <c r="Z21" s="10">
        <f t="shared" si="14"/>
        <v>2192</v>
      </c>
      <c r="AA21" s="10">
        <f t="shared" si="15"/>
        <v>0</v>
      </c>
    </row>
    <row r="22" spans="1:27" s="5" customFormat="1" ht="19.5">
      <c r="A22" s="8">
        <v>8</v>
      </c>
      <c r="B22" s="9" t="s">
        <v>15</v>
      </c>
      <c r="C22" s="8"/>
      <c r="D22" s="10">
        <f>Table1[[#This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16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17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10</v>
      </c>
      <c r="C27" s="8">
        <v>273</v>
      </c>
      <c r="D27" s="10">
        <f>Table1[[#This Row],[Enrolment S.Y. 2025-2026 ]]*8</f>
        <v>2184</v>
      </c>
      <c r="E27" s="10">
        <v>102</v>
      </c>
      <c r="F27" s="8">
        <v>2025</v>
      </c>
      <c r="G27" s="10"/>
      <c r="H27" s="10">
        <f t="shared" si="16"/>
        <v>2082</v>
      </c>
      <c r="I27" s="10">
        <f t="shared" si="17"/>
        <v>0</v>
      </c>
      <c r="J27" s="10">
        <f>Table1[[#This Row],[Enrolment S.Y. 2025-2026 ]]*8</f>
        <v>2184</v>
      </c>
      <c r="K27" s="10">
        <v>640</v>
      </c>
      <c r="L27" s="8">
        <v>2025</v>
      </c>
      <c r="M27" s="10"/>
      <c r="N27" s="10">
        <f t="shared" si="10"/>
        <v>1544</v>
      </c>
      <c r="O27" s="10">
        <f t="shared" si="11"/>
        <v>0</v>
      </c>
      <c r="P27" s="10">
        <f>Table1[[#This Row],[Enrolment S.Y. 2025-2026 ]]*8</f>
        <v>2184</v>
      </c>
      <c r="Q27" s="10"/>
      <c r="R27" s="8"/>
      <c r="S27" s="10"/>
      <c r="T27" s="10">
        <f t="shared" si="12"/>
        <v>2184</v>
      </c>
      <c r="U27" s="10">
        <f t="shared" si="13"/>
        <v>0</v>
      </c>
      <c r="V27" s="10">
        <f>Table1[[#This Row],[Enrolment S.Y. 2025-2026 ]]*8</f>
        <v>2184</v>
      </c>
      <c r="W27" s="10"/>
      <c r="X27" s="8"/>
      <c r="Y27" s="10"/>
      <c r="Z27" s="10">
        <f t="shared" si="14"/>
        <v>2184</v>
      </c>
      <c r="AA27" s="10">
        <f t="shared" si="15"/>
        <v>0</v>
      </c>
    </row>
    <row r="28" spans="1:27" ht="19.5">
      <c r="A28" s="8">
        <v>9</v>
      </c>
      <c r="B28" s="9" t="s">
        <v>11</v>
      </c>
      <c r="C28" s="8">
        <v>273</v>
      </c>
      <c r="D28" s="10">
        <f>Table1[[#This Row],[Enrolment S.Y. 2025-2026 ]]*8</f>
        <v>2184</v>
      </c>
      <c r="E28" s="10">
        <v>136</v>
      </c>
      <c r="F28" s="8">
        <v>2025</v>
      </c>
      <c r="G28" s="10"/>
      <c r="H28" s="10">
        <f t="shared" si="16"/>
        <v>2048</v>
      </c>
      <c r="I28" s="10">
        <f t="shared" si="17"/>
        <v>0</v>
      </c>
      <c r="J28" s="10">
        <f>Table1[[#This Row],[Enrolment S.Y. 2025-2026 ]]*8</f>
        <v>2184</v>
      </c>
      <c r="K28" s="10">
        <v>640</v>
      </c>
      <c r="L28" s="8">
        <v>2025</v>
      </c>
      <c r="M28" s="10"/>
      <c r="N28" s="10">
        <f t="shared" si="10"/>
        <v>1544</v>
      </c>
      <c r="O28" s="10">
        <f t="shared" si="11"/>
        <v>0</v>
      </c>
      <c r="P28" s="10">
        <f>Table1[[#This Row],[Enrolment S.Y. 2025-2026 ]]*8</f>
        <v>2184</v>
      </c>
      <c r="Q28" s="10"/>
      <c r="R28" s="8"/>
      <c r="S28" s="10"/>
      <c r="T28" s="10">
        <f t="shared" si="12"/>
        <v>2184</v>
      </c>
      <c r="U28" s="10">
        <f t="shared" si="13"/>
        <v>0</v>
      </c>
      <c r="V28" s="10">
        <f>Table1[[#This Row],[Enrolment S.Y. 2025-2026 ]]*8</f>
        <v>2184</v>
      </c>
      <c r="W28" s="10"/>
      <c r="X28" s="8"/>
      <c r="Y28" s="10"/>
      <c r="Z28" s="10">
        <f t="shared" si="14"/>
        <v>2184</v>
      </c>
      <c r="AA28" s="10">
        <f t="shared" si="15"/>
        <v>0</v>
      </c>
    </row>
    <row r="29" spans="1:27" ht="19.5">
      <c r="A29" s="8">
        <v>9</v>
      </c>
      <c r="B29" s="9" t="s">
        <v>12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18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14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15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16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17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>
        <v>270</v>
      </c>
      <c r="D36" s="10">
        <f>Table1[[#This Row],[Enrolment S.Y. 2025-2026 ]]*8</f>
        <v>2160</v>
      </c>
      <c r="E36" s="10">
        <v>84</v>
      </c>
      <c r="F36" s="8">
        <v>2025</v>
      </c>
      <c r="G36" s="10"/>
      <c r="H36" s="10">
        <f>IF((D36-E36)&lt;0,0,(D36-E36))</f>
        <v>2076</v>
      </c>
      <c r="I36" s="10">
        <f>IF((E36-D36)&lt;0,0,(E36-D36))</f>
        <v>0</v>
      </c>
      <c r="J36" s="10">
        <f>Table1[[#This Row],[Enrolment S.Y. 2025-2026 ]]*8</f>
        <v>2160</v>
      </c>
      <c r="K36" s="10">
        <v>616</v>
      </c>
      <c r="L36" s="8">
        <v>2025</v>
      </c>
      <c r="M36" s="10"/>
      <c r="N36" s="10">
        <f>IF((J36-K36)&lt;0,0,(J36-K36))</f>
        <v>1544</v>
      </c>
      <c r="O36" s="10">
        <f>IF((K36-J36)&lt;0,0,(K36-J36))</f>
        <v>0</v>
      </c>
      <c r="P36" s="10">
        <f>Table1[[#This Row],[Enrolment S.Y. 2025-2026 ]]*8</f>
        <v>2160</v>
      </c>
      <c r="Q36" s="10"/>
      <c r="R36" s="8"/>
      <c r="S36" s="10"/>
      <c r="T36" s="10">
        <f>IF((P36-Q36)&lt;0,0,(P36-Q36))</f>
        <v>2160</v>
      </c>
      <c r="U36" s="10">
        <f>IF((Q36-P36)&lt;0,0,(Q36-P36))</f>
        <v>0</v>
      </c>
      <c r="V36" s="10">
        <f>Table1[[#This Row],[Enrolment S.Y. 2025-2026 ]]*8</f>
        <v>2160</v>
      </c>
      <c r="W36" s="10"/>
      <c r="X36" s="8"/>
      <c r="Y36" s="10"/>
      <c r="Z36" s="10">
        <f>IF((V36-W36)&lt;0,0,(V36-W36))</f>
        <v>2160</v>
      </c>
      <c r="AA36" s="10">
        <f>IF((W36-V36)&lt;0,0,(W36-V36))</f>
        <v>0</v>
      </c>
    </row>
    <row r="37" spans="1:27" ht="19.5">
      <c r="A37" s="8">
        <v>10</v>
      </c>
      <c r="B37" s="9" t="s">
        <v>10</v>
      </c>
      <c r="C37" s="8">
        <v>270</v>
      </c>
      <c r="D37" s="10">
        <f>Table1[[#This Row],[Enrolment S.Y. 2025-2026 ]]*8</f>
        <v>2160</v>
      </c>
      <c r="E37" s="10">
        <v>98</v>
      </c>
      <c r="F37" s="8">
        <v>2025</v>
      </c>
      <c r="G37" s="10"/>
      <c r="H37" s="10">
        <f>IF((D37-E37)&lt;0,0,(D37-E37))</f>
        <v>2062</v>
      </c>
      <c r="I37" s="10">
        <f>IF((E37-D37)&lt;0,0,(E37-D37))</f>
        <v>0</v>
      </c>
      <c r="J37" s="10">
        <f>Table1[[#This Row],[Enrolment S.Y. 2025-2026 ]]*8</f>
        <v>2160</v>
      </c>
      <c r="K37" s="10"/>
      <c r="L37" s="8"/>
      <c r="M37" s="10"/>
      <c r="N37" s="10">
        <f>IF((J37-K37)&lt;0,0,(J37-K37))</f>
        <v>2160</v>
      </c>
      <c r="O37" s="10">
        <f>IF((K37-J37)&lt;0,0,(K37-J37))</f>
        <v>0</v>
      </c>
      <c r="P37" s="10">
        <f>Table1[[#This Row],[Enrolment S.Y. 2025-2026 ]]*8</f>
        <v>2160</v>
      </c>
      <c r="Q37" s="10"/>
      <c r="R37" s="8"/>
      <c r="S37" s="10"/>
      <c r="T37" s="10">
        <f>IF((P37-Q37)&lt;0,0,(P37-Q37))</f>
        <v>2160</v>
      </c>
      <c r="U37" s="10">
        <f>IF((Q37-P37)&lt;0,0,(Q37-P37))</f>
        <v>0</v>
      </c>
      <c r="V37" s="10">
        <f>Table1[[#This Row],[Enrolment S.Y. 2025-2026 ]]*8</f>
        <v>2160</v>
      </c>
      <c r="W37" s="10"/>
      <c r="X37" s="8"/>
      <c r="Y37" s="10"/>
      <c r="Z37" s="10">
        <f>IF((V37-W37)&lt;0,0,(V37-W37))</f>
        <v>2160</v>
      </c>
      <c r="AA37" s="10">
        <f>IF((W37-V37)&lt;0,0,(W37-V37))</f>
        <v>0</v>
      </c>
    </row>
    <row r="38" spans="1:27" ht="19.5">
      <c r="A38" s="8">
        <v>10</v>
      </c>
      <c r="B38" s="9" t="s">
        <v>11</v>
      </c>
      <c r="C38" s="8"/>
      <c r="D38" s="10">
        <f>Table1[[#This Row],[Enrolment S.Y. 2025-2026 ]]*8</f>
        <v>0</v>
      </c>
      <c r="E38" s="10">
        <v>112</v>
      </c>
      <c r="F38" s="8">
        <v>2025</v>
      </c>
      <c r="G38" s="10"/>
      <c r="H38" s="10">
        <f>IF((D38-E38)&lt;0,0,(D38-E38))</f>
        <v>0</v>
      </c>
      <c r="I38" s="10">
        <f>IF((E38-D38)&lt;0,0,(E38-D38))</f>
        <v>112</v>
      </c>
      <c r="J38" s="10">
        <f>Table1[[#This Row],[Enrolment S.Y. 2025-2026 ]]*8</f>
        <v>0</v>
      </c>
      <c r="K38" s="10">
        <v>616</v>
      </c>
      <c r="L38" s="8">
        <v>2025</v>
      </c>
      <c r="M38" s="10"/>
      <c r="N38" s="10">
        <f>IF((J38-K38)&lt;0,0,(J38-K38))</f>
        <v>0</v>
      </c>
      <c r="O38" s="10">
        <f>IF((K38-J38)&lt;0,0,(K38-J38))</f>
        <v>616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12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18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14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15</v>
      </c>
      <c r="C42" s="8"/>
      <c r="D42" s="10">
        <f>Table1[[#This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16</v>
      </c>
      <c r="C43" s="8"/>
      <c r="D43" s="10">
        <f>Table1[[#This Row],[Enrolment S.Y. 2025-2026 ]]*8</f>
        <v>0</v>
      </c>
      <c r="E43" s="10"/>
      <c r="F43" s="8"/>
      <c r="G43" s="10"/>
      <c r="H43" s="10">
        <f>IF((D43-E43)&lt;0,0,(D43-E43))</f>
        <v>0</v>
      </c>
      <c r="I43" s="10">
        <f>IF((E43-D43)&lt;0,0,(E43-D43))</f>
        <v>0</v>
      </c>
      <c r="J43" s="10">
        <f>Table1[[#This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17</v>
      </c>
      <c r="C44" s="8"/>
      <c r="D44" s="10">
        <f>Table1[[#This Row],[Enrolment S.Y. 2025-2026 ]]*8</f>
        <v>0</v>
      </c>
      <c r="E44" s="10"/>
      <c r="F44" s="8"/>
      <c r="G44" s="10"/>
      <c r="H44" s="10">
        <f>IF((D44-E44)&lt;0,0,(D44-E44))</f>
        <v>0</v>
      </c>
      <c r="I44" s="10">
        <f>IF((E44-D44)&lt;0,0,(E44-D44))</f>
        <v>0</v>
      </c>
      <c r="J44" s="10">
        <f>Table1[[#This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19</v>
      </c>
      <c r="B46" s="7" t="s">
        <v>20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19</v>
      </c>
      <c r="B47" s="7" t="s">
        <v>21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19</v>
      </c>
      <c r="B48" s="7" t="s">
        <v>22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19</v>
      </c>
      <c r="B49" s="7" t="s">
        <v>23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19</v>
      </c>
      <c r="B50" s="7" t="s">
        <v>24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19</v>
      </c>
      <c r="B51" s="7" t="s">
        <v>25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19</v>
      </c>
      <c r="B52" s="7" t="s">
        <v>26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19</v>
      </c>
      <c r="B53" s="7" t="s">
        <v>27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6:C24 C26:C34 C36:C44 C46:C53 C55:C70 C6:C14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X55:X70 F6:F14 F16:F24 F26:F34 F36:F44 F46:F53 F55:F70 L6:L14 L16:L24 L26:L34 L36:L44 L46:L53 L55:L70 R55:R70 R46:R53 R36:R44 R26:R34 R16:R24 R6:R14 X6:X14 X16:X24 X26:X34 X36:X44 X46:X53" xr:uid="{4ECCD083-8EC4-42EE-B46C-B614411F330D}">
      <formula1>"2024,2025 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P46"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28</v>
      </c>
      <c r="E1" s="39"/>
      <c r="F1" s="39"/>
      <c r="G1" s="39"/>
      <c r="H1" s="39"/>
      <c r="I1" s="39"/>
      <c r="J1" s="40" t="s">
        <v>29</v>
      </c>
      <c r="K1" s="40"/>
      <c r="L1" s="40"/>
      <c r="M1" s="40"/>
      <c r="N1" s="40"/>
      <c r="O1" s="40"/>
      <c r="P1" s="41" t="s">
        <v>30</v>
      </c>
      <c r="Q1" s="41"/>
      <c r="R1" s="41"/>
      <c r="S1" s="41"/>
      <c r="T1" s="41"/>
      <c r="U1" s="41"/>
      <c r="V1" s="42" t="s">
        <v>31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7" t="s">
        <v>66</v>
      </c>
      <c r="N2" s="37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8" t="s">
        <v>78</v>
      </c>
      <c r="Z2" s="38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5">
        <v>7</v>
      </c>
      <c r="B10" s="9" t="s">
        <v>81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83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si="0"/>
        <v>0</v>
      </c>
      <c r="I20" s="10">
        <f t="shared" si="1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/>
      <c r="D21" s="10">
        <f>Table14[[#This Row],[Enrolment S.Y. 2025-2026 ]]*8</f>
        <v>0</v>
      </c>
      <c r="E21" s="10"/>
      <c r="F21" s="8"/>
      <c r="G21" s="10"/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81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/>
      <c r="D24" s="10">
        <f>Table14[[#This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83</v>
      </c>
      <c r="C25" s="10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/>
      <c r="D33" s="10">
        <f>Table14[[#This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/>
      <c r="D36" s="10">
        <f>Table14[[#This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/>
      <c r="D38" s="10">
        <f>Table14[[#This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/>
      <c r="D45" s="10">
        <f>Table14[[#This Row],[Enrolment S.Y. 2025-2026 ]]*8</f>
        <v>0</v>
      </c>
      <c r="E45" s="10"/>
      <c r="F45" s="8"/>
      <c r="G45" s="10"/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/>
      <c r="D48" s="10">
        <f>Table14[[#This Row],[Enrolment S.Y. 2025-2026 ]]*8</f>
        <v>0</v>
      </c>
      <c r="E48" s="10"/>
      <c r="F48" s="8"/>
      <c r="G48" s="10"/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/>
      <c r="D50" s="10">
        <f>Table14[[#This Row],[Enrolment S.Y. 2025-2026 ]]*8</f>
        <v>0</v>
      </c>
      <c r="E50" s="10"/>
      <c r="F50" s="8"/>
      <c r="G50" s="10"/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L52:L59 R52:R59 X52:X59 R40:R50 L40:L50 F40:F50 F52:F59 L28:L38 R28:R38 X28:X38 X40:X50 R16:R26 L16:L26 F16:F26 F28:F38 L4:L14 R4:R14 X4:X14 X16:X26 F4:F14" xr:uid="{6FADC21F-E1A5-43CD-8726-E43B03166AD8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2026-04-14T06:05:42Z</dcterms:modified>
  <cp:category/>
  <cp:contentStatus/>
</cp:coreProperties>
</file>