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2" documentId="13_ncr:1_{BFB59F67-F0DC-4675-A682-EB0734A8026A}" xr6:coauthVersionLast="47" xr6:coauthVersionMax="47" xr10:uidLastSave="{76A781DC-1D81-4F8C-9585-A5893BFA45B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I41" i="5"/>
  <c r="V40" i="5"/>
  <c r="AA40" i="5" s="1"/>
  <c r="P40" i="5"/>
  <c r="J40" i="5"/>
  <c r="N40" i="5" s="1"/>
  <c r="I40" i="5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I29" i="5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I17" i="5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I5" i="5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O13" i="4"/>
  <c r="O14" i="4"/>
  <c r="N15" i="4"/>
  <c r="N16" i="4"/>
  <c r="N17" i="4"/>
  <c r="O18" i="4"/>
  <c r="N19" i="4"/>
  <c r="N20" i="4"/>
  <c r="O21" i="4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G49" i="1"/>
  <c r="G48" i="1"/>
  <c r="G47" i="1"/>
  <c r="G46" i="1"/>
  <c r="G45" i="1"/>
  <c r="G44" i="1"/>
  <c r="G43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H19" i="1"/>
  <c r="H18" i="1"/>
  <c r="H17" i="1"/>
  <c r="H16" i="1"/>
  <c r="H13" i="1"/>
  <c r="H12" i="1"/>
  <c r="G10" i="1"/>
  <c r="G9" i="1"/>
  <c r="G8" i="1"/>
  <c r="G7" i="1"/>
  <c r="G6" i="1"/>
  <c r="G5" i="1"/>
  <c r="G4" i="1"/>
  <c r="H3" i="1"/>
  <c r="G3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<sst xmlns="http://schemas.openxmlformats.org/spreadsheetml/2006/main" count="259" uniqueCount="85">
  <si>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</si>
  <si>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</si>
  <si>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</si>
  <si>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</si>
  <si>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</si>
  <si>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</si>
  <si>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</si>
  <si>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</si>
  <si>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</si>
  <si>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</si>
  <si>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</si>
  <si>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</si>
  <si>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</si>
  <si>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</si>
  <si>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</si>
  <si>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</si>
  <si>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</si>
  <si>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</si>
  <si>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SDO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</si>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</sst>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9">
        <v>7</v>
      </c>
      <c r="B2" s="10" t="s">
        <v>8</v>
      </c>
      <c r="C2" s="9"/>
      <c r="D2" s="9">
        <v>1035</v>
      </c>
      <c r="E2" s="9">
        <v>2025</v>
      </c>
      <c r="F2" s="11" t="s">
        <v>9</v>
      </c>
      <c r="G2" s="3">
        <v>2313</v>
      </c>
      <c r="H2" s="4">
        <v>0</v>
      </c>
    </row>
    <row r="3" spans="1:8" ht="29.25" customHeight="1">
      <c r="A3" s="9">
        <v>7</v>
      </c>
      <c r="B3" s="10" t="s">
        <v>10</v>
      </c>
      <c r="C3" s="9"/>
      <c r="D3" s="9"/>
      <c r="E3" s="9"/>
      <c r="F3" s="11"/>
      <c r="G3" s="3">
        <f t="shared" ref="G2:G10" si="0">IF((C3-D3)&lt;0,0,C3-D3)</f>
        <v>0</v>
      </c>
      <c r="H3" s="4">
        <f t="shared" ref="H2:H10" si="1">IF((D3-C3)&lt;0,0,D3-C3)</f>
        <v>0</v>
      </c>
    </row>
    <row r="4" spans="1:8" ht="21" customHeight="1">
      <c r="A4" s="9">
        <v>7</v>
      </c>
      <c r="B4" s="10" t="s">
        <v>11</v>
      </c>
      <c r="C4" s="9"/>
      <c r="D4" s="9">
        <v>883</v>
      </c>
      <c r="E4" s="9">
        <v>2024</v>
      </c>
      <c r="F4" s="11"/>
      <c r="G4" s="3">
        <f t="shared" si="0"/>
        <v>0</v>
      </c>
      <c r="H4" s="4">
        <v>0</v>
      </c>
    </row>
    <row r="5" spans="1:8" ht="25.5" customHeight="1">
      <c r="A5" s="9">
        <v>7</v>
      </c>
      <c r="B5" s="10" t="s">
        <v>12</v>
      </c>
      <c r="C5" s="9"/>
      <c r="D5" s="9"/>
      <c r="E5" s="9"/>
      <c r="F5" s="11"/>
      <c r="G5" s="3">
        <f t="shared" si="0"/>
        <v>0</v>
      </c>
      <c r="H5" s="4">
        <v>0</v>
      </c>
    </row>
    <row r="6" spans="1:8" ht="38.25">
      <c r="A6" s="9">
        <v>7</v>
      </c>
      <c r="B6" s="10" t="s">
        <v>13</v>
      </c>
      <c r="C6" s="9"/>
      <c r="D6" s="9">
        <v>1014</v>
      </c>
      <c r="E6" s="9">
        <v>2025</v>
      </c>
      <c r="F6" s="11"/>
      <c r="G6" s="3">
        <f t="shared" si="0"/>
        <v>0</v>
      </c>
      <c r="H6" s="4">
        <v>0</v>
      </c>
    </row>
    <row r="7" spans="1:8" ht="19.5">
      <c r="A7" s="9">
        <v>7</v>
      </c>
      <c r="B7" s="10" t="s">
        <v>14</v>
      </c>
      <c r="C7" s="9"/>
      <c r="D7" s="9">
        <v>1035</v>
      </c>
      <c r="E7" s="9">
        <v>2024</v>
      </c>
      <c r="F7" s="11"/>
      <c r="G7" s="3">
        <f t="shared" si="0"/>
        <v>0</v>
      </c>
      <c r="H7" s="4">
        <v>0</v>
      </c>
    </row>
    <row r="8" spans="1:8" ht="39.75" customHeight="1">
      <c r="A8" s="9">
        <v>7</v>
      </c>
      <c r="B8" s="10" t="s">
        <v>15</v>
      </c>
      <c r="C8" s="9"/>
      <c r="D8" s="9">
        <v>1035</v>
      </c>
      <c r="E8" s="9">
        <v>2025</v>
      </c>
      <c r="F8" s="11"/>
      <c r="G8" s="3">
        <f t="shared" si="0"/>
        <v>0</v>
      </c>
      <c r="H8" s="4">
        <v>0</v>
      </c>
    </row>
    <row r="9" spans="1:8" ht="29.25" customHeight="1">
      <c r="A9" s="9">
        <v>7</v>
      </c>
      <c r="B9" s="10" t="s">
        <v>16</v>
      </c>
      <c r="C9" s="9"/>
      <c r="D9" s="9">
        <v>1035</v>
      </c>
      <c r="E9" s="9">
        <v>2025</v>
      </c>
      <c r="F9" s="11"/>
      <c r="G9" s="3">
        <f t="shared" si="0"/>
        <v>0</v>
      </c>
      <c r="H9" s="4">
        <v>0</v>
      </c>
    </row>
    <row r="10" spans="1:8" ht="28.5" customHeight="1">
      <c r="A10" s="9">
        <v>7</v>
      </c>
      <c r="B10" s="10" t="s">
        <v>17</v>
      </c>
      <c r="C10" s="9"/>
      <c r="D10" s="9">
        <v>1035</v>
      </c>
      <c r="E10" s="9">
        <v>2025</v>
      </c>
      <c r="F10" s="11"/>
      <c r="G10" s="3">
        <f t="shared" si="0"/>
        <v>0</v>
      </c>
      <c r="H10" s="4">
        <v>0</v>
      </c>
    </row>
    <row r="11" spans="1:8" ht="24" customHeight="1">
      <c r="A11" s="6"/>
      <c r="B11" s="6"/>
      <c r="C11" s="7"/>
      <c r="D11" s="7"/>
      <c r="E11" s="7"/>
      <c r="F11" s="6"/>
      <c r="G11" s="6"/>
      <c r="H11" s="6"/>
    </row>
    <row r="12" spans="1:8" ht="19.5">
      <c r="A12" s="9">
        <v>8</v>
      </c>
      <c r="B12" s="10" t="s">
        <v>8</v>
      </c>
      <c r="C12" s="9"/>
      <c r="D12" s="9"/>
      <c r="E12" s="9"/>
      <c r="F12" s="11" t="s">
        <v>18</v>
      </c>
      <c r="G12" s="3">
        <v>712</v>
      </c>
      <c r="H12" s="4">
        <f t="shared" ref="H12:H20" si="2">IF((D12-C12)&lt;0,0,D12-C12)</f>
        <v>0</v>
      </c>
    </row>
    <row r="13" spans="1:8" ht="19.5">
      <c r="A13" s="9">
        <v>8</v>
      </c>
      <c r="B13" s="10" t="s">
        <v>10</v>
      </c>
      <c r="C13" s="9"/>
      <c r="D13" s="9"/>
      <c r="E13" s="9"/>
      <c r="F13" s="11" t="s">
        <v>18</v>
      </c>
      <c r="G13" s="3">
        <v>712</v>
      </c>
      <c r="H13" s="4">
        <f t="shared" si="2"/>
        <v>0</v>
      </c>
    </row>
    <row r="14" spans="1:8" ht="49.5" customHeight="1">
      <c r="A14" s="9">
        <v>8</v>
      </c>
      <c r="B14" s="10" t="s">
        <v>11</v>
      </c>
      <c r="C14" s="9"/>
      <c r="D14" s="9">
        <v>725</v>
      </c>
      <c r="E14" s="9">
        <v>2025</v>
      </c>
      <c r="F14" s="11" t="s">
        <v>18</v>
      </c>
      <c r="G14" s="3">
        <v>712</v>
      </c>
      <c r="H14" s="4">
        <v>0</v>
      </c>
    </row>
    <row r="15" spans="1:8" ht="29.25" customHeight="1">
      <c r="A15" s="9">
        <v>8</v>
      </c>
      <c r="B15" s="10" t="s">
        <v>12</v>
      </c>
      <c r="C15" s="9"/>
      <c r="D15" s="9">
        <v>725</v>
      </c>
      <c r="E15" s="9">
        <v>2025</v>
      </c>
      <c r="F15" s="11" t="s">
        <v>18</v>
      </c>
      <c r="G15" s="3">
        <v>712</v>
      </c>
      <c r="H15" s="4">
        <v>0</v>
      </c>
    </row>
    <row r="16" spans="1:8" ht="27" customHeight="1">
      <c r="A16" s="9">
        <v>8</v>
      </c>
      <c r="B16" s="10" t="s">
        <v>19</v>
      </c>
      <c r="C16" s="9"/>
      <c r="D16" s="9"/>
      <c r="E16" s="9"/>
      <c r="F16" s="11" t="s">
        <v>18</v>
      </c>
      <c r="G16" s="3">
        <v>712</v>
      </c>
      <c r="H16" s="4">
        <f t="shared" si="2"/>
        <v>0</v>
      </c>
    </row>
    <row r="17" spans="1:8" ht="23.25" customHeight="1">
      <c r="A17" s="9">
        <v>8</v>
      </c>
      <c r="B17" s="10" t="s">
        <v>14</v>
      </c>
      <c r="C17" s="9"/>
      <c r="D17" s="9"/>
      <c r="E17" s="9"/>
      <c r="F17" s="11" t="s">
        <v>18</v>
      </c>
      <c r="G17" s="3">
        <v>712</v>
      </c>
      <c r="H17" s="4">
        <f t="shared" si="2"/>
        <v>0</v>
      </c>
    </row>
    <row r="18" spans="1:8" ht="21" customHeight="1">
      <c r="A18" s="9">
        <v>8</v>
      </c>
      <c r="B18" s="10" t="s">
        <v>15</v>
      </c>
      <c r="C18" s="9"/>
      <c r="D18" s="9"/>
      <c r="E18" s="9"/>
      <c r="F18" s="11" t="s">
        <v>18</v>
      </c>
      <c r="G18" s="3">
        <v>712</v>
      </c>
      <c r="H18" s="4">
        <f t="shared" si="2"/>
        <v>0</v>
      </c>
    </row>
    <row r="19" spans="1:8" ht="19.5">
      <c r="A19" s="9">
        <v>8</v>
      </c>
      <c r="B19" s="10" t="s">
        <v>16</v>
      </c>
      <c r="C19" s="9"/>
      <c r="D19" s="9"/>
      <c r="E19" s="9"/>
      <c r="F19" s="11" t="s">
        <v>18</v>
      </c>
      <c r="G19" s="3">
        <v>712</v>
      </c>
      <c r="H19" s="4">
        <f t="shared" si="2"/>
        <v>0</v>
      </c>
    </row>
    <row r="20" spans="1:8" ht="19.5">
      <c r="A20" s="9">
        <v>8</v>
      </c>
      <c r="B20" s="10" t="s">
        <v>17</v>
      </c>
      <c r="C20" s="9"/>
      <c r="D20" s="9"/>
      <c r="E20" s="9"/>
      <c r="F20" s="11" t="s">
        <v>18</v>
      </c>
      <c r="G20" s="3">
        <v>712</v>
      </c>
      <c r="H20" s="4">
        <f t="shared" si="2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/>
      <c r="D22" s="9"/>
      <c r="E22" s="9"/>
      <c r="F22" s="11"/>
      <c r="G22" s="3">
        <f t="shared" ref="G22:G30" si="3">IF((C22-D22)&lt;0,0,C22-D22)</f>
        <v>0</v>
      </c>
      <c r="H22" s="4">
        <f t="shared" ref="H22:H30" si="4">IF((D22-C22)&lt;0,0,D22-C22)</f>
        <v>0</v>
      </c>
    </row>
    <row r="23" spans="1:8" ht="19.5">
      <c r="A23" s="9">
        <v>9</v>
      </c>
      <c r="B23" s="10" t="s">
        <v>10</v>
      </c>
      <c r="C23" s="9"/>
      <c r="D23" s="9"/>
      <c r="E23" s="9"/>
      <c r="F23" s="11"/>
      <c r="G23" s="3">
        <f t="shared" si="3"/>
        <v>0</v>
      </c>
      <c r="H23" s="4">
        <f t="shared" si="4"/>
        <v>0</v>
      </c>
    </row>
    <row r="24" spans="1:8" ht="27" customHeight="1">
      <c r="A24" s="9">
        <v>9</v>
      </c>
      <c r="B24" s="10" t="s">
        <v>11</v>
      </c>
      <c r="C24" s="9"/>
      <c r="D24" s="9"/>
      <c r="E24" s="9"/>
      <c r="F24" s="11"/>
      <c r="G24" s="3">
        <f t="shared" si="3"/>
        <v>0</v>
      </c>
      <c r="H24" s="4">
        <f t="shared" si="4"/>
        <v>0</v>
      </c>
    </row>
    <row r="25" spans="1:8" ht="33.75" customHeight="1">
      <c r="A25" s="9">
        <v>9</v>
      </c>
      <c r="B25" s="10" t="s">
        <v>12</v>
      </c>
      <c r="C25" s="9"/>
      <c r="D25" s="9"/>
      <c r="E25" s="9"/>
      <c r="F25" s="11"/>
      <c r="G25" s="3">
        <f t="shared" si="3"/>
        <v>0</v>
      </c>
      <c r="H25" s="4">
        <f t="shared" si="4"/>
        <v>0</v>
      </c>
    </row>
    <row r="26" spans="1:8" ht="33.75" customHeight="1">
      <c r="A26" s="9">
        <v>9</v>
      </c>
      <c r="B26" s="10" t="s">
        <v>19</v>
      </c>
      <c r="C26" s="9"/>
      <c r="D26" s="9"/>
      <c r="E26" s="9"/>
      <c r="F26" s="11"/>
      <c r="G26" s="3">
        <f t="shared" si="3"/>
        <v>0</v>
      </c>
      <c r="H26" s="4">
        <f t="shared" si="4"/>
        <v>0</v>
      </c>
    </row>
    <row r="27" spans="1:8" ht="33.75" customHeight="1">
      <c r="A27" s="9">
        <v>9</v>
      </c>
      <c r="B27" s="10" t="s">
        <v>14</v>
      </c>
      <c r="C27" s="9"/>
      <c r="D27" s="9"/>
      <c r="E27" s="9"/>
      <c r="F27" s="11"/>
      <c r="G27" s="3">
        <f t="shared" si="3"/>
        <v>0</v>
      </c>
      <c r="H27" s="4">
        <f t="shared" si="4"/>
        <v>0</v>
      </c>
    </row>
    <row r="28" spans="1:8" ht="27.75" customHeight="1">
      <c r="A28" s="9">
        <v>9</v>
      </c>
      <c r="B28" s="10" t="s">
        <v>15</v>
      </c>
      <c r="C28" s="9"/>
      <c r="D28" s="9"/>
      <c r="E28" s="9"/>
      <c r="F28" s="11"/>
      <c r="G28" s="3">
        <f t="shared" si="3"/>
        <v>0</v>
      </c>
      <c r="H28" s="4">
        <f t="shared" si="4"/>
        <v>0</v>
      </c>
    </row>
    <row r="29" spans="1:8" ht="27.75" customHeight="1">
      <c r="A29" s="9">
        <v>9</v>
      </c>
      <c r="B29" s="10" t="s">
        <v>16</v>
      </c>
      <c r="C29" s="9"/>
      <c r="D29" s="9"/>
      <c r="E29" s="9"/>
      <c r="F29" s="11"/>
      <c r="G29" s="3">
        <f t="shared" si="3"/>
        <v>0</v>
      </c>
      <c r="H29" s="4">
        <f t="shared" si="4"/>
        <v>0</v>
      </c>
    </row>
    <row r="30" spans="1:8" ht="27.75" customHeight="1">
      <c r="A30" s="9">
        <v>9</v>
      </c>
      <c r="B30" s="10" t="s">
        <v>17</v>
      </c>
      <c r="C30" s="9"/>
      <c r="D30" s="9"/>
      <c r="E30" s="9"/>
      <c r="F30" s="11"/>
      <c r="G30" s="3">
        <f t="shared" si="3"/>
        <v>0</v>
      </c>
      <c r="H30" s="4">
        <f t="shared" si="4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/>
      <c r="D32" s="9"/>
      <c r="E32" s="9"/>
      <c r="F32" s="11"/>
      <c r="G32" s="3">
        <f t="shared" ref="G32:G40" si="5">IF((C32-D32)&lt;0,0,C32-D32)</f>
        <v>0</v>
      </c>
      <c r="H32" s="4">
        <f t="shared" ref="H32:H40" si="6">IF((D32-C32)&lt;0,0,D32-C32)</f>
        <v>0</v>
      </c>
    </row>
    <row r="33" spans="1:8" ht="27.75" customHeight="1">
      <c r="A33" s="9">
        <v>10</v>
      </c>
      <c r="B33" s="10" t="s">
        <v>10</v>
      </c>
      <c r="C33" s="9"/>
      <c r="D33" s="9"/>
      <c r="E33" s="9"/>
      <c r="F33" s="11"/>
      <c r="G33" s="3">
        <f t="shared" si="5"/>
        <v>0</v>
      </c>
      <c r="H33" s="4">
        <f t="shared" si="6"/>
        <v>0</v>
      </c>
    </row>
    <row r="34" spans="1:8" ht="27.75" customHeight="1">
      <c r="A34" s="9">
        <v>10</v>
      </c>
      <c r="B34" s="10" t="s">
        <v>11</v>
      </c>
      <c r="C34" s="9"/>
      <c r="D34" s="9"/>
      <c r="E34" s="9"/>
      <c r="F34" s="11"/>
      <c r="G34" s="3">
        <f t="shared" si="5"/>
        <v>0</v>
      </c>
      <c r="H34" s="4">
        <f t="shared" si="6"/>
        <v>0</v>
      </c>
    </row>
    <row r="35" spans="1:8" ht="39" customHeight="1">
      <c r="A35" s="9">
        <v>10</v>
      </c>
      <c r="B35" s="10" t="s">
        <v>12</v>
      </c>
      <c r="C35" s="9"/>
      <c r="D35" s="9"/>
      <c r="E35" s="9"/>
      <c r="F35" s="11"/>
      <c r="G35" s="3">
        <f t="shared" si="5"/>
        <v>0</v>
      </c>
      <c r="H35" s="4">
        <f t="shared" si="6"/>
        <v>0</v>
      </c>
    </row>
    <row r="36" spans="1:8" ht="27.75" customHeight="1">
      <c r="A36" s="9">
        <v>10</v>
      </c>
      <c r="B36" s="10" t="s">
        <v>19</v>
      </c>
      <c r="C36" s="9"/>
      <c r="D36" s="9"/>
      <c r="E36" s="9"/>
      <c r="F36" s="11"/>
      <c r="G36" s="3">
        <f t="shared" si="5"/>
        <v>0</v>
      </c>
      <c r="H36" s="4">
        <f t="shared" si="6"/>
        <v>0</v>
      </c>
    </row>
    <row r="37" spans="1:8" ht="27.75" customHeight="1">
      <c r="A37" s="9">
        <v>10</v>
      </c>
      <c r="B37" s="10" t="s">
        <v>14</v>
      </c>
      <c r="C37" s="9"/>
      <c r="D37" s="9"/>
      <c r="E37" s="9"/>
      <c r="F37" s="11"/>
      <c r="G37" s="3">
        <f t="shared" si="5"/>
        <v>0</v>
      </c>
      <c r="H37" s="4">
        <f t="shared" si="6"/>
        <v>0</v>
      </c>
    </row>
    <row r="38" spans="1:8" ht="27.75" customHeight="1">
      <c r="A38" s="9">
        <v>10</v>
      </c>
      <c r="B38" s="10" t="s">
        <v>15</v>
      </c>
      <c r="C38" s="9"/>
      <c r="D38" s="9"/>
      <c r="E38" s="9"/>
      <c r="F38" s="11"/>
      <c r="G38" s="3">
        <f t="shared" si="5"/>
        <v>0</v>
      </c>
      <c r="H38" s="4">
        <f t="shared" si="6"/>
        <v>0</v>
      </c>
    </row>
    <row r="39" spans="1:8" ht="27.75" customHeight="1">
      <c r="A39" s="9">
        <v>10</v>
      </c>
      <c r="B39" s="10" t="s">
        <v>16</v>
      </c>
      <c r="C39" s="9"/>
      <c r="D39" s="9"/>
      <c r="E39" s="9"/>
      <c r="F39" s="11"/>
      <c r="G39" s="3">
        <f t="shared" si="5"/>
        <v>0</v>
      </c>
      <c r="H39" s="4">
        <f t="shared" si="6"/>
        <v>0</v>
      </c>
    </row>
    <row r="40" spans="1:8" ht="27.75" customHeight="1">
      <c r="A40" s="9">
        <v>10</v>
      </c>
      <c r="B40" s="10" t="s">
        <v>17</v>
      </c>
      <c r="C40" s="9"/>
      <c r="D40" s="9"/>
      <c r="E40" s="9"/>
      <c r="F40" s="11"/>
      <c r="G40" s="3">
        <f t="shared" si="5"/>
        <v>0</v>
      </c>
      <c r="H40" s="4">
        <f t="shared" si="6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20</v>
      </c>
      <c r="B42" s="8" t="s">
        <v>21</v>
      </c>
      <c r="C42" s="1"/>
      <c r="D42" s="1">
        <v>1003</v>
      </c>
      <c r="E42" s="1">
        <v>2024</v>
      </c>
      <c r="F42" s="5"/>
      <c r="G42" s="3">
        <f t="shared" ref="G42:G49" si="7">IF((C42-D42)&lt;0,0,C42-D42)</f>
        <v>0</v>
      </c>
      <c r="H42" s="4">
        <v>0</v>
      </c>
    </row>
    <row r="43" spans="1:8" ht="27.75" customHeight="1">
      <c r="A43" s="1" t="s">
        <v>20</v>
      </c>
      <c r="B43" s="8" t="s">
        <v>22</v>
      </c>
      <c r="C43" s="1"/>
      <c r="D43" s="1">
        <v>0</v>
      </c>
      <c r="E43" s="1"/>
      <c r="F43" s="5"/>
      <c r="G43" s="3">
        <f t="shared" si="7"/>
        <v>0</v>
      </c>
      <c r="H43" s="4">
        <v>0</v>
      </c>
    </row>
    <row r="44" spans="1:8" ht="27.75" customHeight="1">
      <c r="A44" s="1" t="s">
        <v>20</v>
      </c>
      <c r="B44" s="8" t="s">
        <v>23</v>
      </c>
      <c r="C44" s="1"/>
      <c r="D44" s="1">
        <v>1003</v>
      </c>
      <c r="E44" s="1">
        <v>2024</v>
      </c>
      <c r="F44" s="5"/>
      <c r="G44" s="3">
        <f t="shared" si="7"/>
        <v>0</v>
      </c>
      <c r="H44" s="4">
        <v>0</v>
      </c>
    </row>
    <row r="45" spans="1:8" ht="36.75" customHeight="1">
      <c r="A45" s="1" t="s">
        <v>20</v>
      </c>
      <c r="B45" s="8" t="s">
        <v>24</v>
      </c>
      <c r="C45" s="1"/>
      <c r="D45" s="1">
        <v>1003</v>
      </c>
      <c r="E45" s="1">
        <v>2025</v>
      </c>
      <c r="F45" s="5"/>
      <c r="G45" s="3">
        <f t="shared" si="7"/>
        <v>0</v>
      </c>
      <c r="H45" s="4">
        <v>0</v>
      </c>
    </row>
    <row r="46" spans="1:8" ht="27.75" customHeight="1">
      <c r="A46" s="1" t="s">
        <v>20</v>
      </c>
      <c r="B46" s="8" t="s">
        <v>25</v>
      </c>
      <c r="C46" s="1"/>
      <c r="D46" s="1">
        <v>1003</v>
      </c>
      <c r="E46" s="1">
        <v>2025</v>
      </c>
      <c r="F46" s="5"/>
      <c r="G46" s="3">
        <f t="shared" si="7"/>
        <v>0</v>
      </c>
      <c r="H46" s="4">
        <v>0</v>
      </c>
    </row>
    <row r="47" spans="1:8" ht="27.75" customHeight="1">
      <c r="A47" s="1" t="s">
        <v>20</v>
      </c>
      <c r="B47" s="8" t="s">
        <v>26</v>
      </c>
      <c r="C47" s="1"/>
      <c r="D47" s="1">
        <v>1003</v>
      </c>
      <c r="E47" s="1">
        <v>2025</v>
      </c>
      <c r="F47" s="5"/>
      <c r="G47" s="3">
        <f t="shared" si="7"/>
        <v>0</v>
      </c>
      <c r="H47" s="4">
        <v>0</v>
      </c>
    </row>
    <row r="48" spans="1:8" ht="27.75" customHeight="1">
      <c r="A48" s="1" t="s">
        <v>20</v>
      </c>
      <c r="B48" s="2" t="s">
        <v>27</v>
      </c>
      <c r="C48" s="1"/>
      <c r="D48" s="1">
        <v>1003</v>
      </c>
      <c r="E48" s="1">
        <v>2025</v>
      </c>
      <c r="F48" s="5"/>
      <c r="G48" s="3">
        <f t="shared" si="7"/>
        <v>0</v>
      </c>
      <c r="H48" s="4">
        <v>0</v>
      </c>
    </row>
    <row r="49" spans="1:8" ht="27.75" customHeight="1">
      <c r="A49" s="1" t="s">
        <v>20</v>
      </c>
      <c r="B49" s="8" t="s">
        <v>28</v>
      </c>
      <c r="C49" s="1"/>
      <c r="D49" s="1">
        <v>1003</v>
      </c>
      <c r="E49" s="1">
        <v>2025</v>
      </c>
      <c r="F49" s="5"/>
      <c r="G49" s="3">
        <f t="shared" si="7"/>
        <v>0</v>
      </c>
      <c r="H49" s="4"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46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6" t="s">
        <v>29</v>
      </c>
      <c r="E1" s="36"/>
      <c r="F1" s="36"/>
      <c r="G1" s="36"/>
      <c r="H1" s="36"/>
      <c r="I1" s="36"/>
      <c r="J1" s="37" t="s">
        <v>30</v>
      </c>
      <c r="K1" s="37"/>
      <c r="L1" s="37"/>
      <c r="M1" s="37"/>
      <c r="N1" s="37"/>
      <c r="O1" s="37"/>
      <c r="P1" s="38" t="s">
        <v>31</v>
      </c>
      <c r="Q1" s="38"/>
      <c r="R1" s="38"/>
      <c r="S1" s="38"/>
      <c r="T1" s="38"/>
      <c r="U1" s="38"/>
      <c r="V1" s="39" t="s">
        <v>32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33</v>
      </c>
      <c r="E2" s="19" t="s">
        <v>34</v>
      </c>
      <c r="F2" s="20" t="s">
        <v>35</v>
      </c>
      <c r="G2" s="23" t="s">
        <v>36</v>
      </c>
      <c r="H2" s="16" t="s">
        <v>37</v>
      </c>
      <c r="I2" s="23" t="s">
        <v>38</v>
      </c>
      <c r="J2" s="21" t="s">
        <v>39</v>
      </c>
      <c r="K2" s="21" t="s">
        <v>40</v>
      </c>
      <c r="L2" s="22" t="s">
        <v>41</v>
      </c>
      <c r="M2" s="34" t="s">
        <v>42</v>
      </c>
      <c r="N2" s="34" t="s">
        <v>43</v>
      </c>
      <c r="O2" s="21" t="s">
        <v>44</v>
      </c>
      <c r="P2" s="23" t="s">
        <v>45</v>
      </c>
      <c r="Q2" s="23" t="s">
        <v>46</v>
      </c>
      <c r="R2" s="24" t="s">
        <v>47</v>
      </c>
      <c r="S2" s="16" t="s">
        <v>48</v>
      </c>
      <c r="T2" s="16" t="s">
        <v>49</v>
      </c>
      <c r="U2" s="23" t="s">
        <v>50</v>
      </c>
      <c r="V2" s="25" t="s">
        <v>51</v>
      </c>
      <c r="W2" s="25" t="s">
        <v>52</v>
      </c>
      <c r="X2" s="26" t="s">
        <v>53</v>
      </c>
      <c r="Y2" s="35" t="s">
        <v>54</v>
      </c>
      <c r="Z2" s="35" t="s">
        <v>55</v>
      </c>
      <c r="AA2" s="25" t="s">
        <v>56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>
        <v>1035</v>
      </c>
      <c r="L3" s="9">
        <v>2025</v>
      </c>
      <c r="M3" s="11" t="s">
        <v>18</v>
      </c>
      <c r="N3" s="11">
        <f t="shared" ref="N3:N9" si="2">IF((J3-K3)&lt;0,0,(J3-K3))</f>
        <v>0</v>
      </c>
      <c r="O3" s="11">
        <f t="shared" ref="O3:O9" si="3">IF((K3-J3)&lt;0,0,(K3-J3))</f>
        <v>1035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10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66" si="8">IF((J10-K10)&lt;0,0,(J10-K10))</f>
        <v>0</v>
      </c>
      <c r="O10" s="11">
        <f t="shared" ref="O10:O66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67" si="10">IF((P10-Q10)&lt;0,0,(P10-Q10))</f>
        <v>0</v>
      </c>
      <c r="U10" s="11">
        <f t="shared" ref="U10:U67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67" si="12">IF((V10-W10)&lt;0,0,(V10-W10))</f>
        <v>0</v>
      </c>
      <c r="AA10" s="11">
        <f t="shared" ref="AA10:AA67" si="13">IF((W10-V10)&lt;0,0,(W10-V10))</f>
        <v>0</v>
      </c>
    </row>
    <row r="11" spans="1:27" ht="19.5">
      <c r="A11" s="9">
        <v>7</v>
      </c>
      <c r="B11" s="10" t="s">
        <v>17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5"/>
      <c r="N12" s="12"/>
      <c r="O12" s="12"/>
      <c r="P12" s="12"/>
      <c r="Q12" s="6"/>
      <c r="R12" s="6"/>
      <c r="S12" s="5"/>
      <c r="T12" s="12"/>
      <c r="U12" s="12"/>
      <c r="V12" s="12"/>
      <c r="W12" s="6"/>
      <c r="X12" s="6"/>
      <c r="Y12" s="5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v>309</v>
      </c>
      <c r="K13" s="11">
        <v>98</v>
      </c>
      <c r="L13" s="9">
        <v>2025</v>
      </c>
      <c r="M13" s="11" t="s">
        <v>18</v>
      </c>
      <c r="N13" s="11">
        <f t="shared" si="8"/>
        <v>211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10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v>309</v>
      </c>
      <c r="K14" s="11">
        <v>98</v>
      </c>
      <c r="L14" s="9">
        <v>2025</v>
      </c>
      <c r="M14" s="11" t="s">
        <v>18</v>
      </c>
      <c r="N14" s="11">
        <f t="shared" si="8"/>
        <v>211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11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v>309</v>
      </c>
      <c r="K15" s="11">
        <v>98</v>
      </c>
      <c r="L15" s="9">
        <v>2025</v>
      </c>
      <c r="M15" s="11" t="s">
        <v>18</v>
      </c>
      <c r="N15" s="11">
        <f t="shared" si="8"/>
        <v>211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v>309</v>
      </c>
      <c r="K16" s="11">
        <v>98</v>
      </c>
      <c r="L16" s="9">
        <v>2025</v>
      </c>
      <c r="M16" s="11" t="s">
        <v>18</v>
      </c>
      <c r="N16" s="11">
        <f t="shared" si="8"/>
        <v>211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19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v>309</v>
      </c>
      <c r="K17" s="11">
        <v>98</v>
      </c>
      <c r="L17" s="9">
        <v>2025</v>
      </c>
      <c r="M17" s="11" t="s">
        <v>18</v>
      </c>
      <c r="N17" s="11">
        <f t="shared" si="8"/>
        <v>211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67" si="14">IF((D18-E18)&lt;0,0,(D18-E18))</f>
        <v>0</v>
      </c>
      <c r="I18" s="11">
        <f t="shared" ref="I18:I67" si="15">IF((E18-D18)&lt;0,0,(E18-D18))</f>
        <v>0</v>
      </c>
      <c r="J18" s="11">
        <v>309</v>
      </c>
      <c r="K18" s="11">
        <v>98</v>
      </c>
      <c r="L18" s="9">
        <v>2025</v>
      </c>
      <c r="M18" s="11" t="s">
        <v>18</v>
      </c>
      <c r="N18" s="11">
        <f t="shared" si="8"/>
        <v>211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v>309</v>
      </c>
      <c r="K19" s="11">
        <v>98</v>
      </c>
      <c r="L19" s="9">
        <v>2025</v>
      </c>
      <c r="M19" s="11" t="s">
        <v>18</v>
      </c>
      <c r="N19" s="11">
        <f t="shared" si="8"/>
        <v>211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v>309</v>
      </c>
      <c r="K20" s="11">
        <v>98</v>
      </c>
      <c r="L20" s="9">
        <v>2025</v>
      </c>
      <c r="M20" s="11" t="s">
        <v>18</v>
      </c>
      <c r="N20" s="11">
        <f t="shared" si="8"/>
        <v>211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v>309</v>
      </c>
      <c r="K21" s="11">
        <v>98</v>
      </c>
      <c r="L21" s="9">
        <v>2025</v>
      </c>
      <c r="M21" s="11" t="s">
        <v>18</v>
      </c>
      <c r="N21" s="11">
        <f t="shared" si="8"/>
        <v>211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10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11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19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10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11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19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38.25">
      <c r="A43" s="1" t="s">
        <v>20</v>
      </c>
      <c r="B43" s="8" t="s">
        <v>21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14"/>
        <v>0</v>
      </c>
      <c r="I43" s="5">
        <f t="shared" si="15"/>
        <v>0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 t="s">
        <v>20</v>
      </c>
      <c r="B44" s="8" t="s">
        <v>22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14"/>
        <v>0</v>
      </c>
      <c r="I44" s="5">
        <f t="shared" si="15"/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 t="s">
        <v>20</v>
      </c>
      <c r="B45" s="8" t="s">
        <v>23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14"/>
        <v>0</v>
      </c>
      <c r="I45" s="5">
        <f t="shared" si="15"/>
        <v>0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 t="s">
        <v>20</v>
      </c>
      <c r="B46" s="8" t="s">
        <v>24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14"/>
        <v>0</v>
      </c>
      <c r="I46" s="5">
        <f t="shared" si="15"/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 t="s">
        <v>20</v>
      </c>
      <c r="B47" s="8" t="s">
        <v>25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14"/>
        <v>0</v>
      </c>
      <c r="I47" s="5">
        <f t="shared" si="15"/>
        <v>0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38.25">
      <c r="A48" s="1" t="s">
        <v>20</v>
      </c>
      <c r="B48" s="8" t="s">
        <v>26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14"/>
        <v>0</v>
      </c>
      <c r="I48" s="5">
        <f t="shared" si="15"/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57.75">
      <c r="A49" s="1" t="s">
        <v>20</v>
      </c>
      <c r="B49" s="8" t="s">
        <v>27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14"/>
        <v>0</v>
      </c>
      <c r="I49" s="5">
        <f t="shared" si="15"/>
        <v>0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38.25">
      <c r="A50" s="1" t="s">
        <v>20</v>
      </c>
      <c r="B50" s="8" t="s">
        <v>28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14"/>
        <v>0</v>
      </c>
      <c r="I50" s="5">
        <f t="shared" si="15"/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2"/>
      <c r="K51" s="6"/>
      <c r="L51" s="6"/>
      <c r="M51" s="6"/>
      <c r="N51" s="12"/>
      <c r="O51" s="12"/>
      <c r="P51" s="12"/>
      <c r="Q51" s="6"/>
      <c r="R51" s="6"/>
      <c r="S51" s="6"/>
      <c r="T51" s="12"/>
      <c r="U51" s="12"/>
      <c r="V51" s="12"/>
      <c r="W51" s="6"/>
      <c r="X51" s="6"/>
      <c r="Y51" s="6"/>
      <c r="Z51" s="12"/>
      <c r="AA51" s="12"/>
    </row>
    <row r="52" spans="1:27" s="6" customFormat="1" ht="19.5">
      <c r="A52" s="1"/>
      <c r="B52" s="8"/>
      <c r="C52" s="1"/>
      <c r="D52" s="5"/>
      <c r="E52" s="5"/>
      <c r="F52" s="1"/>
      <c r="G52" s="5"/>
      <c r="H52" s="5">
        <f t="shared" si="14"/>
        <v>0</v>
      </c>
      <c r="I52" s="5">
        <f t="shared" si="15"/>
        <v>0</v>
      </c>
      <c r="J52" s="5">
        <f>Table1[[#This Row],[Enrolment S.Y. 2025-2026 ]]*8</f>
        <v>0</v>
      </c>
      <c r="K52" s="5"/>
      <c r="L52" s="1"/>
      <c r="M52" s="5"/>
      <c r="N52" s="5">
        <f t="shared" si="8"/>
        <v>0</v>
      </c>
      <c r="O52" s="5">
        <f t="shared" si="9"/>
        <v>0</v>
      </c>
      <c r="P52" s="5">
        <f>Table1[[#This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/>
      <c r="B53" s="8"/>
      <c r="C53" s="1"/>
      <c r="D53" s="5"/>
      <c r="E53" s="5"/>
      <c r="F53" s="1"/>
      <c r="G53" s="5"/>
      <c r="H53" s="5">
        <f t="shared" si="14"/>
        <v>0</v>
      </c>
      <c r="I53" s="5">
        <f t="shared" si="15"/>
        <v>0</v>
      </c>
      <c r="J53" s="5">
        <f>Table1[[#This Row],[Enrolment S.Y. 2025-2026 ]]*8</f>
        <v>0</v>
      </c>
      <c r="K53" s="5"/>
      <c r="L53" s="1"/>
      <c r="M53" s="5"/>
      <c r="N53" s="5">
        <f t="shared" si="8"/>
        <v>0</v>
      </c>
      <c r="O53" s="5">
        <f t="shared" si="9"/>
        <v>0</v>
      </c>
      <c r="P53" s="5">
        <f>Table1[[#This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/>
      <c r="B54" s="8"/>
      <c r="C54" s="1"/>
      <c r="D54" s="5"/>
      <c r="E54" s="5"/>
      <c r="F54" s="1"/>
      <c r="G54" s="5"/>
      <c r="H54" s="5">
        <f t="shared" si="14"/>
        <v>0</v>
      </c>
      <c r="I54" s="5">
        <f t="shared" si="15"/>
        <v>0</v>
      </c>
      <c r="J54" s="5">
        <f>Table1[[#This Row],[Enrolment S.Y. 2025-2026 ]]*8</f>
        <v>0</v>
      </c>
      <c r="K54" s="5"/>
      <c r="L54" s="1"/>
      <c r="M54" s="5"/>
      <c r="N54" s="5">
        <f t="shared" si="8"/>
        <v>0</v>
      </c>
      <c r="O54" s="5">
        <f t="shared" si="9"/>
        <v>0</v>
      </c>
      <c r="P54" s="5">
        <f>Table1[[#This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/>
      <c r="B55" s="8"/>
      <c r="C55" s="1"/>
      <c r="D55" s="5"/>
      <c r="E55" s="5"/>
      <c r="F55" s="1"/>
      <c r="G55" s="5"/>
      <c r="H55" s="5">
        <f t="shared" si="14"/>
        <v>0</v>
      </c>
      <c r="I55" s="5">
        <f t="shared" si="15"/>
        <v>0</v>
      </c>
      <c r="J55" s="5">
        <f>Table1[[#This Row],[Enrolment S.Y. 2025-2026 ]]*8</f>
        <v>0</v>
      </c>
      <c r="K55" s="5"/>
      <c r="L55" s="1"/>
      <c r="M55" s="5"/>
      <c r="N55" s="5">
        <f t="shared" si="8"/>
        <v>0</v>
      </c>
      <c r="O55" s="5">
        <f t="shared" si="9"/>
        <v>0</v>
      </c>
      <c r="P55" s="5">
        <f>Table1[[#This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/>
      <c r="B56" s="8"/>
      <c r="C56" s="1"/>
      <c r="D56" s="5"/>
      <c r="E56" s="5"/>
      <c r="F56" s="1"/>
      <c r="G56" s="5"/>
      <c r="H56" s="5">
        <f t="shared" si="14"/>
        <v>0</v>
      </c>
      <c r="I56" s="5">
        <f t="shared" si="15"/>
        <v>0</v>
      </c>
      <c r="J56" s="5">
        <f>Table1[[#This Row],[Enrolment S.Y. 2025-2026 ]]*8</f>
        <v>0</v>
      </c>
      <c r="K56" s="5"/>
      <c r="L56" s="1"/>
      <c r="M56" s="5"/>
      <c r="N56" s="5">
        <f t="shared" si="8"/>
        <v>0</v>
      </c>
      <c r="O56" s="5">
        <f t="shared" si="9"/>
        <v>0</v>
      </c>
      <c r="P56" s="5">
        <f>Table1[[#This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19.5">
      <c r="A57" s="1"/>
      <c r="B57" s="8"/>
      <c r="C57" s="1"/>
      <c r="D57" s="5"/>
      <c r="E57" s="5"/>
      <c r="F57" s="1"/>
      <c r="G57" s="5"/>
      <c r="H57" s="5">
        <f t="shared" si="14"/>
        <v>0</v>
      </c>
      <c r="I57" s="5">
        <f t="shared" si="15"/>
        <v>0</v>
      </c>
      <c r="J57" s="5">
        <f>Table1[[#This Row],[Enrolment S.Y. 2025-2026 ]]*8</f>
        <v>0</v>
      </c>
      <c r="K57" s="5"/>
      <c r="L57" s="1"/>
      <c r="M57" s="5"/>
      <c r="N57" s="5">
        <f t="shared" si="8"/>
        <v>0</v>
      </c>
      <c r="O57" s="5">
        <f t="shared" si="9"/>
        <v>0</v>
      </c>
      <c r="P57" s="5">
        <f>Table1[[#This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/>
      <c r="B58" s="8"/>
      <c r="C58" s="1"/>
      <c r="D58" s="5"/>
      <c r="E58" s="5"/>
      <c r="F58" s="1"/>
      <c r="G58" s="5"/>
      <c r="H58" s="5">
        <f t="shared" si="14"/>
        <v>0</v>
      </c>
      <c r="I58" s="5">
        <f t="shared" si="15"/>
        <v>0</v>
      </c>
      <c r="J58" s="5">
        <f>Table1[[#This Row],[Enrolment S.Y. 2025-2026 ]]*8</f>
        <v>0</v>
      </c>
      <c r="K58" s="5"/>
      <c r="L58" s="1"/>
      <c r="M58" s="5"/>
      <c r="N58" s="5">
        <f t="shared" si="8"/>
        <v>0</v>
      </c>
      <c r="O58" s="5">
        <f t="shared" si="9"/>
        <v>0</v>
      </c>
      <c r="P58" s="5">
        <f>Table1[[#This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/>
      <c r="B59" s="8"/>
      <c r="C59" s="1"/>
      <c r="D59" s="5"/>
      <c r="E59" s="5"/>
      <c r="F59" s="1"/>
      <c r="G59" s="5"/>
      <c r="H59" s="5">
        <f t="shared" si="14"/>
        <v>0</v>
      </c>
      <c r="I59" s="5">
        <f t="shared" si="15"/>
        <v>0</v>
      </c>
      <c r="J59" s="5">
        <f>Table1[[#This Row],[Enrolment S.Y. 2025-2026 ]]*8</f>
        <v>0</v>
      </c>
      <c r="K59" s="5"/>
      <c r="L59" s="1"/>
      <c r="M59" s="5"/>
      <c r="N59" s="5">
        <f t="shared" si="8"/>
        <v>0</v>
      </c>
      <c r="O59" s="5">
        <f t="shared" si="9"/>
        <v>0</v>
      </c>
      <c r="P59" s="5">
        <f>Table1[[#This Row],[Enrolment S.Y. 2025-2026 ]]*8</f>
        <v>0</v>
      </c>
      <c r="Q59" s="5"/>
      <c r="R59" s="1"/>
      <c r="S59" s="5"/>
      <c r="T59" s="5">
        <f t="shared" si="10"/>
        <v>0</v>
      </c>
      <c r="U59" s="5">
        <f t="shared" si="11"/>
        <v>0</v>
      </c>
      <c r="V59" s="5">
        <f>Table1[[#This Row],[Enrolment S.Y. 2025-2026 ]]*8</f>
        <v>0</v>
      </c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ht="19.5">
      <c r="A60" s="1"/>
      <c r="B60" s="8"/>
      <c r="C60" s="1"/>
      <c r="D60" s="5"/>
      <c r="E60" s="5"/>
      <c r="F60" s="1"/>
      <c r="G60" s="5"/>
      <c r="H60" s="5">
        <f t="shared" si="14"/>
        <v>0</v>
      </c>
      <c r="I60" s="5">
        <f t="shared" si="15"/>
        <v>0</v>
      </c>
      <c r="J60" s="5">
        <f>Table1[[#This Row],[Enrolment S.Y. 2025-2026 ]]*8</f>
        <v>0</v>
      </c>
      <c r="K60" s="5"/>
      <c r="L60" s="1"/>
      <c r="M60" s="5"/>
      <c r="N60" s="5">
        <f t="shared" si="8"/>
        <v>0</v>
      </c>
      <c r="O60" s="5">
        <f t="shared" si="9"/>
        <v>0</v>
      </c>
      <c r="P60" s="5">
        <f>Table1[[#This Row],[Enrolment S.Y. 2025-2026 ]]*8</f>
        <v>0</v>
      </c>
      <c r="Q60" s="5"/>
      <c r="R60" s="1"/>
      <c r="S60" s="5"/>
      <c r="T60" s="5">
        <f t="shared" si="10"/>
        <v>0</v>
      </c>
      <c r="U60" s="5">
        <f t="shared" si="11"/>
        <v>0</v>
      </c>
      <c r="V60" s="5">
        <f>Table1[[#This Row],[Enrolment S.Y. 2025-2026 ]]*8</f>
        <v>0</v>
      </c>
      <c r="W60" s="5"/>
      <c r="X60" s="1"/>
      <c r="Y60" s="5"/>
      <c r="Z60" s="5">
        <f t="shared" si="12"/>
        <v>0</v>
      </c>
      <c r="AA60" s="5">
        <f t="shared" si="13"/>
        <v>0</v>
      </c>
    </row>
    <row r="61" spans="1:27" ht="19.5">
      <c r="A61" s="1"/>
      <c r="B61" s="8"/>
      <c r="C61" s="1"/>
      <c r="D61" s="5"/>
      <c r="E61" s="5"/>
      <c r="F61" s="1"/>
      <c r="G61" s="5"/>
      <c r="H61" s="5">
        <f t="shared" si="14"/>
        <v>0</v>
      </c>
      <c r="I61" s="5">
        <f t="shared" si="15"/>
        <v>0</v>
      </c>
      <c r="J61" s="5">
        <f>Table1[[#This Row],[Enrolment S.Y. 2025-2026 ]]*8</f>
        <v>0</v>
      </c>
      <c r="K61" s="5"/>
      <c r="L61" s="1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5"/>
      <c r="R61" s="1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5"/>
      <c r="X61" s="1"/>
      <c r="Y61" s="5"/>
      <c r="Z61" s="5">
        <f t="shared" si="12"/>
        <v>0</v>
      </c>
      <c r="AA61" s="5">
        <f t="shared" si="13"/>
        <v>0</v>
      </c>
    </row>
    <row r="62" spans="1:27" s="6" customFormat="1" ht="19.5">
      <c r="A62" s="1"/>
      <c r="B62" s="8"/>
      <c r="C62" s="1"/>
      <c r="D62" s="5"/>
      <c r="E62" s="5"/>
      <c r="F62" s="1"/>
      <c r="G62" s="5"/>
      <c r="H62" s="5">
        <f t="shared" si="14"/>
        <v>0</v>
      </c>
      <c r="I62" s="5">
        <f t="shared" si="15"/>
        <v>0</v>
      </c>
      <c r="J62" s="5">
        <f>Table1[[#This Row],[Enrolment S.Y. 2025-2026 ]]*8</f>
        <v>0</v>
      </c>
      <c r="K62" s="5"/>
      <c r="L62" s="1"/>
      <c r="M62" s="5"/>
      <c r="N62" s="5">
        <f t="shared" si="8"/>
        <v>0</v>
      </c>
      <c r="O62" s="5">
        <f t="shared" si="9"/>
        <v>0</v>
      </c>
      <c r="P62" s="5">
        <f>Table1[[#This Row],[Enrolment S.Y. 2025-2026 ]]*8</f>
        <v>0</v>
      </c>
      <c r="Q62" s="5"/>
      <c r="R62" s="1"/>
      <c r="S62" s="5"/>
      <c r="T62" s="5">
        <f t="shared" si="10"/>
        <v>0</v>
      </c>
      <c r="U62" s="5">
        <f t="shared" si="11"/>
        <v>0</v>
      </c>
      <c r="V62" s="5">
        <f>Table1[[#This Row],[Enrolment S.Y. 2025-2026 ]]*8</f>
        <v>0</v>
      </c>
      <c r="W62" s="5"/>
      <c r="X62" s="1"/>
      <c r="Y62" s="5"/>
      <c r="Z62" s="5">
        <f t="shared" si="12"/>
        <v>0</v>
      </c>
      <c r="AA62" s="5">
        <f t="shared" si="13"/>
        <v>0</v>
      </c>
    </row>
    <row r="63" spans="1:27" ht="19.5">
      <c r="A63" s="1"/>
      <c r="B63" s="8"/>
      <c r="C63" s="1"/>
      <c r="D63" s="5"/>
      <c r="E63" s="5"/>
      <c r="F63" s="1"/>
      <c r="G63" s="5"/>
      <c r="H63" s="5">
        <f t="shared" si="14"/>
        <v>0</v>
      </c>
      <c r="I63" s="5">
        <f t="shared" si="15"/>
        <v>0</v>
      </c>
      <c r="J63" s="5">
        <f>Table1[[#This Row],[Enrolment S.Y. 2025-2026 ]]*8</f>
        <v>0</v>
      </c>
      <c r="K63" s="5"/>
      <c r="L63" s="1"/>
      <c r="M63" s="5"/>
      <c r="N63" s="5">
        <f t="shared" si="8"/>
        <v>0</v>
      </c>
      <c r="O63" s="5">
        <f t="shared" si="9"/>
        <v>0</v>
      </c>
      <c r="P63" s="5">
        <f>Table1[[#This Row],[Enrolment S.Y. 2025-2026 ]]*8</f>
        <v>0</v>
      </c>
      <c r="Q63" s="5"/>
      <c r="R63" s="1"/>
      <c r="S63" s="5"/>
      <c r="T63" s="5">
        <f t="shared" si="10"/>
        <v>0</v>
      </c>
      <c r="U63" s="5">
        <f t="shared" si="11"/>
        <v>0</v>
      </c>
      <c r="V63" s="5">
        <f>Table1[[#This Row],[Enrolment S.Y. 2025-2026 ]]*8</f>
        <v>0</v>
      </c>
      <c r="W63" s="5"/>
      <c r="X63" s="1"/>
      <c r="Y63" s="5"/>
      <c r="Z63" s="5">
        <f t="shared" si="12"/>
        <v>0</v>
      </c>
      <c r="AA63" s="5">
        <f t="shared" si="13"/>
        <v>0</v>
      </c>
    </row>
    <row r="64" spans="1:27" ht="19.5">
      <c r="A64" s="1"/>
      <c r="B64" s="8"/>
      <c r="C64" s="1"/>
      <c r="D64" s="5"/>
      <c r="E64" s="5"/>
      <c r="F64" s="1"/>
      <c r="G64" s="5"/>
      <c r="H64" s="5">
        <f t="shared" si="14"/>
        <v>0</v>
      </c>
      <c r="I64" s="5">
        <f t="shared" si="15"/>
        <v>0</v>
      </c>
      <c r="J64" s="5">
        <f>Table1[[#This Row],[Enrolment S.Y. 2025-2026 ]]*8</f>
        <v>0</v>
      </c>
      <c r="K64" s="5"/>
      <c r="L64" s="1"/>
      <c r="M64" s="5"/>
      <c r="N64" s="5">
        <f t="shared" si="8"/>
        <v>0</v>
      </c>
      <c r="O64" s="5">
        <f t="shared" si="9"/>
        <v>0</v>
      </c>
      <c r="P64" s="5">
        <f>Table1[[#This Row],[Enrolment S.Y. 2025-2026 ]]*8</f>
        <v>0</v>
      </c>
      <c r="Q64" s="5"/>
      <c r="R64" s="1"/>
      <c r="S64" s="5"/>
      <c r="T64" s="5">
        <f t="shared" si="10"/>
        <v>0</v>
      </c>
      <c r="U64" s="5">
        <f t="shared" si="11"/>
        <v>0</v>
      </c>
      <c r="V64" s="5">
        <f>Table1[[#This Row],[Enrolment S.Y. 2025-2026 ]]*8</f>
        <v>0</v>
      </c>
      <c r="W64" s="5"/>
      <c r="X64" s="1"/>
      <c r="Y64" s="5"/>
      <c r="Z64" s="5">
        <f t="shared" si="12"/>
        <v>0</v>
      </c>
      <c r="AA64" s="5">
        <f t="shared" si="13"/>
        <v>0</v>
      </c>
    </row>
    <row r="65" spans="1:27" ht="19.5">
      <c r="A65" s="1"/>
      <c r="B65" s="8"/>
      <c r="C65" s="1"/>
      <c r="D65" s="5"/>
      <c r="E65" s="5"/>
      <c r="F65" s="1"/>
      <c r="G65" s="5"/>
      <c r="H65" s="5">
        <f t="shared" si="14"/>
        <v>0</v>
      </c>
      <c r="I65" s="5">
        <f t="shared" si="15"/>
        <v>0</v>
      </c>
      <c r="J65" s="5">
        <f>Table1[[#This Row],[Enrolment S.Y. 2025-2026 ]]*8</f>
        <v>0</v>
      </c>
      <c r="K65" s="5"/>
      <c r="L65" s="1"/>
      <c r="M65" s="5"/>
      <c r="N65" s="5">
        <f t="shared" si="8"/>
        <v>0</v>
      </c>
      <c r="O65" s="5">
        <f t="shared" si="9"/>
        <v>0</v>
      </c>
      <c r="P65" s="5">
        <f>Table1[[#This Row],[Enrolment S.Y. 2025-2026 ]]*8</f>
        <v>0</v>
      </c>
      <c r="Q65" s="5"/>
      <c r="R65" s="1"/>
      <c r="S65" s="5"/>
      <c r="T65" s="5">
        <f t="shared" si="10"/>
        <v>0</v>
      </c>
      <c r="U65" s="5">
        <f t="shared" si="11"/>
        <v>0</v>
      </c>
      <c r="V65" s="5">
        <f>Table1[[#This Row],[Enrolment S.Y. 2025-2026 ]]*8</f>
        <v>0</v>
      </c>
      <c r="W65" s="5"/>
      <c r="X65" s="1"/>
      <c r="Y65" s="5"/>
      <c r="Z65" s="5">
        <f t="shared" si="12"/>
        <v>0</v>
      </c>
      <c r="AA65" s="5">
        <f t="shared" si="13"/>
        <v>0</v>
      </c>
    </row>
    <row r="66" spans="1:27" ht="19.5">
      <c r="A66" s="1"/>
      <c r="B66" s="8"/>
      <c r="C66" s="1"/>
      <c r="D66" s="5"/>
      <c r="E66" s="5"/>
      <c r="F66" s="1"/>
      <c r="G66" s="5"/>
      <c r="H66" s="5">
        <f t="shared" si="14"/>
        <v>0</v>
      </c>
      <c r="I66" s="5">
        <f t="shared" si="15"/>
        <v>0</v>
      </c>
      <c r="J66" s="5">
        <f>Table1[[#This Row],[Enrolment S.Y. 2025-2026 ]]*8</f>
        <v>0</v>
      </c>
      <c r="K66" s="5"/>
      <c r="L66" s="1"/>
      <c r="M66" s="5"/>
      <c r="N66" s="5">
        <f t="shared" si="8"/>
        <v>0</v>
      </c>
      <c r="O66" s="5">
        <f t="shared" si="9"/>
        <v>0</v>
      </c>
      <c r="P66" s="5">
        <f>Table1[[#This Row],[Enrolment S.Y. 2025-2026 ]]*8</f>
        <v>0</v>
      </c>
      <c r="Q66" s="5"/>
      <c r="R66" s="1"/>
      <c r="S66" s="5"/>
      <c r="T66" s="5">
        <f t="shared" si="10"/>
        <v>0</v>
      </c>
      <c r="U66" s="5">
        <f t="shared" si="11"/>
        <v>0</v>
      </c>
      <c r="V66" s="5">
        <f>Table1[[#This Row],[Enrolment S.Y. 2025-2026 ]]*8</f>
        <v>0</v>
      </c>
      <c r="W66" s="5"/>
      <c r="X66" s="1"/>
      <c r="Y66" s="5"/>
      <c r="Z66" s="5">
        <f t="shared" si="12"/>
        <v>0</v>
      </c>
      <c r="AA66" s="5">
        <f t="shared" si="13"/>
        <v>0</v>
      </c>
    </row>
    <row r="67" spans="1:27" ht="19.5">
      <c r="A67" s="28"/>
      <c r="B67" s="29"/>
      <c r="C67" s="28"/>
      <c r="D67" s="5"/>
      <c r="E67" s="30"/>
      <c r="F67" s="28"/>
      <c r="G67" s="30"/>
      <c r="H67" s="5">
        <f t="shared" si="14"/>
        <v>0</v>
      </c>
      <c r="I67" s="5">
        <f t="shared" si="15"/>
        <v>0</v>
      </c>
      <c r="J67" s="5">
        <f>Table1[[#This Row],[Enrolment S.Y. 2025-2026 ]]*8</f>
        <v>0</v>
      </c>
      <c r="K67" s="30"/>
      <c r="L67" s="28"/>
      <c r="M67" s="30"/>
      <c r="N67" s="5">
        <f t="shared" ref="N67" si="16">IF((J67-K67)&lt;0,0,(J67-K67))</f>
        <v>0</v>
      </c>
      <c r="O67" s="5">
        <f t="shared" ref="O67" si="17">IF((K67-J67)&lt;0,0,(K67-J67))</f>
        <v>0</v>
      </c>
      <c r="P67" s="5"/>
      <c r="Q67" s="30"/>
      <c r="R67" s="28"/>
      <c r="S67" s="30"/>
      <c r="T67" s="5">
        <f t="shared" si="10"/>
        <v>0</v>
      </c>
      <c r="U67" s="5">
        <f t="shared" si="11"/>
        <v>0</v>
      </c>
      <c r="V67" s="5">
        <f>Table1[[#This Row],[Enrolment S.Y. 2025-2026 ]]*8</f>
        <v>0</v>
      </c>
      <c r="W67" s="30"/>
      <c r="X67" s="28"/>
      <c r="Y67" s="30"/>
      <c r="Z67" s="5">
        <f t="shared" si="12"/>
        <v>0</v>
      </c>
      <c r="AA67" s="5">
        <f t="shared" si="13"/>
        <v>0</v>
      </c>
    </row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V2:X2 Q52:R66 P2:R2 K13:L21 N3:P66 T3:V67 Z3:AA67 K3:L11 K23:L31 K33:L41 K43:L50 K52:L67 J3:J67 D2:F11 H3:I11 Q3:R11 W3:X11 D13:F21 H13:I21 Q13:R21 W13:X21 D23:F31 H23:I31 Q23:R31 W23:X31 D33:F41 H33:I41 Q33:R41 W33:X41 D43:F50 J2:L2" name="LAS"/>
    <protectedRange sqref="S2:U2 M2:O2 Y2:AA2 G23:G31 G52:G67 M52:M67 S52:S67 Y52:Y67 G33:G41 G43:G50 S3:S50 M3:M50 G3:G11 G13:G21 Y3:Y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43:G50 G3:G11 G13:G21 G23:G31 G33:G41 M3:M50 S3:S50 Y3:Y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P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1"/>
      <c r="D1" s="36" t="s">
        <v>29</v>
      </c>
      <c r="E1" s="36"/>
      <c r="F1" s="36"/>
      <c r="G1" s="36"/>
      <c r="H1" s="36"/>
      <c r="I1" s="36"/>
      <c r="J1" s="37" t="s">
        <v>30</v>
      </c>
      <c r="K1" s="37"/>
      <c r="L1" s="37"/>
      <c r="M1" s="37"/>
      <c r="N1" s="37"/>
      <c r="O1" s="37"/>
      <c r="P1" s="38" t="s">
        <v>31</v>
      </c>
      <c r="Q1" s="38"/>
      <c r="R1" s="38"/>
      <c r="S1" s="38"/>
      <c r="T1" s="38"/>
      <c r="U1" s="38"/>
      <c r="V1" s="39" t="s">
        <v>32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32" t="s">
        <v>1</v>
      </c>
      <c r="C2" s="15" t="s">
        <v>2</v>
      </c>
      <c r="D2" s="19" t="s">
        <v>57</v>
      </c>
      <c r="E2" s="19" t="s">
        <v>58</v>
      </c>
      <c r="F2" s="20" t="s">
        <v>59</v>
      </c>
      <c r="G2" s="23" t="s">
        <v>60</v>
      </c>
      <c r="H2" s="16" t="s">
        <v>61</v>
      </c>
      <c r="I2" s="23" t="s">
        <v>62</v>
      </c>
      <c r="J2" s="21" t="s">
        <v>63</v>
      </c>
      <c r="K2" s="21" t="s">
        <v>64</v>
      </c>
      <c r="L2" s="22" t="s">
        <v>65</v>
      </c>
      <c r="M2" s="34" t="s">
        <v>66</v>
      </c>
      <c r="N2" s="34" t="s">
        <v>67</v>
      </c>
      <c r="O2" s="21" t="s">
        <v>68</v>
      </c>
      <c r="P2" s="23" t="s">
        <v>69</v>
      </c>
      <c r="Q2" s="23" t="s">
        <v>70</v>
      </c>
      <c r="R2" s="24" t="s">
        <v>71</v>
      </c>
      <c r="S2" s="16" t="s">
        <v>72</v>
      </c>
      <c r="T2" s="16" t="s">
        <v>73</v>
      </c>
      <c r="U2" s="23" t="s">
        <v>74</v>
      </c>
      <c r="V2" s="25" t="s">
        <v>75</v>
      </c>
      <c r="W2" s="25" t="s">
        <v>76</v>
      </c>
      <c r="X2" s="26" t="s">
        <v>77</v>
      </c>
      <c r="Y2" s="35" t="s">
        <v>78</v>
      </c>
      <c r="Z2" s="35" t="s">
        <v>79</v>
      </c>
      <c r="AA2" s="25" t="s">
        <v>80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v>925</v>
      </c>
      <c r="E5" s="11">
        <v>888</v>
      </c>
      <c r="F5" s="9">
        <v>2025</v>
      </c>
      <c r="G5" s="11" t="s">
        <v>18</v>
      </c>
      <c r="H5" s="11">
        <f t="shared" si="0"/>
        <v>37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3">
        <v>7</v>
      </c>
      <c r="B9" s="10" t="s">
        <v>81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82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3">
        <v>7</v>
      </c>
      <c r="B12" s="10" t="s">
        <v>83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84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/>
      <c r="D17" s="11">
        <v>810</v>
      </c>
      <c r="E17" s="11">
        <v>884</v>
      </c>
      <c r="F17" s="9">
        <v>2025</v>
      </c>
      <c r="G17" s="11" t="s">
        <v>18</v>
      </c>
      <c r="H17" s="11">
        <f t="shared" si="0"/>
        <v>0</v>
      </c>
      <c r="I17" s="11">
        <f t="shared" si="1"/>
        <v>74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19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3">
        <v>8</v>
      </c>
      <c r="B21" s="10" t="s">
        <v>81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82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3">
        <v>8</v>
      </c>
      <c r="B24" s="10" t="s">
        <v>83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84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/>
      <c r="D29" s="11">
        <v>844</v>
      </c>
      <c r="E29" s="11">
        <v>811</v>
      </c>
      <c r="F29" s="9">
        <v>2025</v>
      </c>
      <c r="G29" s="11" t="s">
        <v>18</v>
      </c>
      <c r="H29" s="11">
        <f t="shared" si="16"/>
        <v>33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19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3">
        <v>9</v>
      </c>
      <c r="B33" s="10" t="s">
        <v>81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82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3">
        <v>9</v>
      </c>
      <c r="B36" s="10" t="s">
        <v>83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84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/>
      <c r="D40" s="11">
        <v>769</v>
      </c>
      <c r="E40" s="11">
        <v>209</v>
      </c>
      <c r="F40" s="9">
        <v>2025</v>
      </c>
      <c r="G40" s="11" t="s">
        <v>18</v>
      </c>
      <c r="H40" s="11">
        <f t="shared" si="16"/>
        <v>560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/>
      <c r="D41" s="11">
        <v>769</v>
      </c>
      <c r="E41" s="11">
        <v>887</v>
      </c>
      <c r="F41" s="9">
        <v>2025</v>
      </c>
      <c r="G41" s="11" t="s">
        <v>18</v>
      </c>
      <c r="H41" s="11">
        <f t="shared" si="16"/>
        <v>0</v>
      </c>
      <c r="I41" s="11">
        <f t="shared" si="17"/>
        <v>118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19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3">
        <v>10</v>
      </c>
      <c r="B45" s="10" t="s">
        <v>81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82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3">
        <v>10</v>
      </c>
      <c r="B48" s="10" t="s">
        <v>83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84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20</v>
      </c>
      <c r="B51" s="8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 t="s">
        <v>20</v>
      </c>
      <c r="B52" s="8" t="s">
        <v>22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16"/>
        <v>0</v>
      </c>
      <c r="I52" s="5">
        <f t="shared" si="17"/>
        <v>0</v>
      </c>
      <c r="J52" s="5">
        <f>Table14[[#This Row],[Enrolment S.Y. 2025-2026 ]]*8</f>
        <v>0</v>
      </c>
      <c r="K52" s="5"/>
      <c r="L52" s="1"/>
      <c r="M52" s="5"/>
      <c r="N52" s="5">
        <f t="shared" si="14"/>
        <v>0</v>
      </c>
      <c r="O52" s="5">
        <f t="shared" si="15"/>
        <v>0</v>
      </c>
      <c r="P52" s="5">
        <f>Table14[[#This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Table14[[#This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 t="s">
        <v>20</v>
      </c>
      <c r="B53" s="8" t="s">
        <v>23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16"/>
        <v>0</v>
      </c>
      <c r="I53" s="5">
        <f t="shared" si="17"/>
        <v>0</v>
      </c>
      <c r="J53" s="5">
        <f>Table14[[#This Row],[Enrolment S.Y. 2025-2026 ]]*8</f>
        <v>0</v>
      </c>
      <c r="K53" s="5"/>
      <c r="L53" s="1"/>
      <c r="M53" s="5"/>
      <c r="N53" s="5">
        <f t="shared" si="14"/>
        <v>0</v>
      </c>
      <c r="O53" s="5">
        <f t="shared" si="15"/>
        <v>0</v>
      </c>
      <c r="P53" s="5">
        <f>Table14[[#This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Table14[[#This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s="6" customFormat="1" ht="19.5">
      <c r="A54" s="1" t="s">
        <v>20</v>
      </c>
      <c r="B54" s="8" t="s">
        <v>24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16"/>
        <v>0</v>
      </c>
      <c r="I54" s="5">
        <f t="shared" si="17"/>
        <v>0</v>
      </c>
      <c r="J54" s="5">
        <f>Table14[[#This Row],[Enrolment S.Y. 2025-2026 ]]*8</f>
        <v>0</v>
      </c>
      <c r="K54" s="5"/>
      <c r="L54" s="1"/>
      <c r="M54" s="5"/>
      <c r="N54" s="5">
        <f t="shared" si="14"/>
        <v>0</v>
      </c>
      <c r="O54" s="5">
        <f t="shared" si="15"/>
        <v>0</v>
      </c>
      <c r="P54" s="5">
        <f>Table14[[#This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Table14[[#This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38.25">
      <c r="A55" s="1" t="s">
        <v>20</v>
      </c>
      <c r="B55" s="8" t="s">
        <v>25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16"/>
        <v>0</v>
      </c>
      <c r="I55" s="5">
        <f t="shared" si="17"/>
        <v>0</v>
      </c>
      <c r="J55" s="5">
        <f>Table14[[#This Row],[Enrolment S.Y. 2025-2026 ]]*8</f>
        <v>0</v>
      </c>
      <c r="K55" s="5"/>
      <c r="L55" s="1"/>
      <c r="M55" s="5"/>
      <c r="N55" s="5">
        <f t="shared" si="14"/>
        <v>0</v>
      </c>
      <c r="O55" s="5">
        <f t="shared" si="15"/>
        <v>0</v>
      </c>
      <c r="P55" s="5">
        <f>Table14[[#This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Table14[[#This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38.25">
      <c r="A56" s="1" t="s">
        <v>20</v>
      </c>
      <c r="B56" s="8" t="s">
        <v>26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16"/>
        <v>0</v>
      </c>
      <c r="I56" s="5">
        <f t="shared" si="17"/>
        <v>0</v>
      </c>
      <c r="J56" s="5">
        <f>Table14[[#This Row],[Enrolment S.Y. 2025-2026 ]]*8</f>
        <v>0</v>
      </c>
      <c r="K56" s="5"/>
      <c r="L56" s="1"/>
      <c r="M56" s="5"/>
      <c r="N56" s="5">
        <f t="shared" si="14"/>
        <v>0</v>
      </c>
      <c r="O56" s="5">
        <f t="shared" si="15"/>
        <v>0</v>
      </c>
      <c r="P56" s="5">
        <f>Table14[[#This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Table14[[#This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57.75">
      <c r="A57" s="1" t="s">
        <v>20</v>
      </c>
      <c r="B57" s="8" t="s">
        <v>27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16"/>
        <v>0</v>
      </c>
      <c r="I57" s="5">
        <f t="shared" si="17"/>
        <v>0</v>
      </c>
      <c r="J57" s="5">
        <f>Table14[[#This Row],[Enrolment S.Y. 2025-2026 ]]*8</f>
        <v>0</v>
      </c>
      <c r="K57" s="5"/>
      <c r="L57" s="1"/>
      <c r="M57" s="5"/>
      <c r="N57" s="5">
        <f t="shared" si="14"/>
        <v>0</v>
      </c>
      <c r="O57" s="5">
        <f t="shared" si="15"/>
        <v>0</v>
      </c>
      <c r="P57" s="5">
        <f>Table14[[#This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Table14[[#This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38.25">
      <c r="A58" s="1" t="s">
        <v>20</v>
      </c>
      <c r="B58" s="8" t="s">
        <v>28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16"/>
        <v>0</v>
      </c>
      <c r="I58" s="5">
        <f t="shared" si="17"/>
        <v>0</v>
      </c>
      <c r="J58" s="5">
        <f>Table14[[#This Row],[Enrolment S.Y. 2025-2026 ]]*8</f>
        <v>0</v>
      </c>
      <c r="K58" s="5"/>
      <c r="L58" s="1"/>
      <c r="M58" s="5"/>
      <c r="N58" s="5">
        <f t="shared" si="14"/>
        <v>0</v>
      </c>
      <c r="O58" s="5">
        <f t="shared" si="15"/>
        <v>0</v>
      </c>
      <c r="P58" s="5">
        <f>Table14[[#This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Table14[[#This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2026-04-14T03:37:41Z</dcterms:modified>
  <cp:category/>
  <cp:contentStatus/>
</cp:coreProperties>
</file>