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44" documentId="13_ncr:1_{BFB59F67-F0DC-4675-A682-EB0734A8026A}" xr6:coauthVersionLast="47" xr6:coauthVersionMax="47" xr10:uidLastSave="{F1318F0B-60EA-455F-8BB0-CA48DEB0BE3E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I105" i="5"/>
  <c r="V104" i="5"/>
  <c r="AA104" i="5" s="1"/>
  <c r="P104" i="5"/>
  <c r="J104" i="5"/>
  <c r="N104" i="5" s="1"/>
  <c r="I104" i="5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I93" i="5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I81" i="5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I69" i="5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O73" i="4"/>
  <c r="O74" i="4"/>
  <c r="N75" i="4"/>
  <c r="N76" i="4"/>
  <c r="N77" i="4"/>
  <c r="O78" i="4"/>
  <c r="N79" i="4"/>
  <c r="N80" i="4"/>
  <c r="O81" i="4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G98" i="1"/>
  <c r="G97" i="1"/>
  <c r="G96" i="1"/>
  <c r="G95" i="1"/>
  <c r="G94" i="1"/>
  <c r="G93" i="1"/>
  <c r="G92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H68" i="1"/>
  <c r="H67" i="1"/>
  <c r="H66" i="1"/>
  <c r="H65" i="1"/>
  <c r="H62" i="1"/>
  <c r="H61" i="1"/>
  <c r="G59" i="1"/>
  <c r="G58" i="1"/>
  <c r="G57" i="1"/>
  <c r="G56" i="1"/>
  <c r="G55" i="1"/>
  <c r="G54" i="1"/>
  <c r="G53" i="1"/>
  <c r="H52" i="1"/>
  <c r="G5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U3" i="5"/>
  <c r="T3" i="5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<sst xmlns="http://schemas.openxmlformats.org/spreadsheetml/2006/main" count="413" uniqueCount="92">
  <si>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</si>
  <si>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</si>
  <si>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</si>
  <si>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</si>
  <si>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</si>
  <si>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</si>
  <si>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</si>
  <si>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</si>
  <si>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</si>
  <si>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</si>
  <si>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</si>
  <si>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</si>
  <si>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</si>
  <si>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</si>
  <si>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</si>
  <si>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</si>
  <si>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</si>
  <si>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</si>
  <si>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</si>
  <si>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</si>
  <si>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</si>
  <si>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</si>
  <si>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</si>
  <si>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SDO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</si>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</sst>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F1" activePane="topRight" state="frozen"/>
      <selection pane="topRight" activeCell="L106" sqref="L10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>
        <v>1035</v>
      </c>
      <c r="E51" s="10">
        <v>2025</v>
      </c>
      <c r="F51" s="12" t="s">
        <v>20</v>
      </c>
      <c r="G51" s="3">
        <v>2313</v>
      </c>
      <c r="H51" s="4"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ref="G51:G59" si="10">IF((C52-D52)&lt;0,0,C52-D52)</f>
        <v>0</v>
      </c>
      <c r="H52" s="4">
        <f t="shared" ref="H51:H59" si="11">IF((D52-C52)&lt;0,0,D52-C52)</f>
        <v>0</v>
      </c>
    </row>
    <row r="53" spans="1:8" ht="27.75" customHeight="1">
      <c r="A53" s="10">
        <v>7</v>
      </c>
      <c r="B53" s="11" t="s">
        <v>12</v>
      </c>
      <c r="C53" s="10"/>
      <c r="D53" s="10">
        <v>883</v>
      </c>
      <c r="E53" s="10">
        <v>2024</v>
      </c>
      <c r="F53" s="12"/>
      <c r="G53" s="3">
        <f t="shared" si="10"/>
        <v>0</v>
      </c>
      <c r="H53" s="4"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v>0</v>
      </c>
    </row>
    <row r="55" spans="1:8" ht="39" customHeight="1">
      <c r="A55" s="10">
        <v>7</v>
      </c>
      <c r="B55" s="11" t="s">
        <v>16</v>
      </c>
      <c r="C55" s="10"/>
      <c r="D55" s="10">
        <v>1014</v>
      </c>
      <c r="E55" s="10">
        <v>2025</v>
      </c>
      <c r="F55" s="12"/>
      <c r="G55" s="3">
        <f t="shared" si="10"/>
        <v>0</v>
      </c>
      <c r="H55" s="4">
        <v>0</v>
      </c>
    </row>
    <row r="56" spans="1:8" ht="27.75" customHeight="1">
      <c r="A56" s="10">
        <v>7</v>
      </c>
      <c r="B56" s="11" t="s">
        <v>13</v>
      </c>
      <c r="C56" s="10"/>
      <c r="D56" s="10">
        <v>1035</v>
      </c>
      <c r="E56" s="10">
        <v>2024</v>
      </c>
      <c r="F56" s="12"/>
      <c r="G56" s="3">
        <f t="shared" si="10"/>
        <v>0</v>
      </c>
      <c r="H56" s="4">
        <v>0</v>
      </c>
    </row>
    <row r="57" spans="1:8" ht="27.75" customHeight="1">
      <c r="A57" s="10">
        <v>7</v>
      </c>
      <c r="B57" s="11" t="s">
        <v>17</v>
      </c>
      <c r="C57" s="10"/>
      <c r="D57" s="10">
        <v>1035</v>
      </c>
      <c r="E57" s="10">
        <v>2025</v>
      </c>
      <c r="F57" s="12"/>
      <c r="G57" s="3">
        <f t="shared" si="10"/>
        <v>0</v>
      </c>
      <c r="H57" s="4">
        <v>0</v>
      </c>
    </row>
    <row r="58" spans="1:8" ht="27.75" customHeight="1">
      <c r="A58" s="10">
        <v>7</v>
      </c>
      <c r="B58" s="11" t="s">
        <v>22</v>
      </c>
      <c r="C58" s="10"/>
      <c r="D58" s="10">
        <v>1035</v>
      </c>
      <c r="E58" s="10">
        <v>2025</v>
      </c>
      <c r="F58" s="12"/>
      <c r="G58" s="3">
        <f t="shared" si="10"/>
        <v>0</v>
      </c>
      <c r="H58" s="4">
        <v>0</v>
      </c>
    </row>
    <row r="59" spans="1:8" ht="27.75" customHeight="1">
      <c r="A59" s="10">
        <v>7</v>
      </c>
      <c r="B59" s="11" t="s">
        <v>19</v>
      </c>
      <c r="C59" s="10"/>
      <c r="D59" s="10">
        <v>1035</v>
      </c>
      <c r="E59" s="10">
        <v>2025</v>
      </c>
      <c r="F59" s="12"/>
      <c r="G59" s="3">
        <f t="shared" si="10"/>
        <v>0</v>
      </c>
      <c r="H59" s="4"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 t="s">
        <v>23</v>
      </c>
      <c r="G61" s="3">
        <v>712</v>
      </c>
      <c r="H61" s="4">
        <f t="shared" ref="H61:H69" si="12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 t="s">
        <v>23</v>
      </c>
      <c r="G62" s="3">
        <v>712</v>
      </c>
      <c r="H62" s="4">
        <f t="shared" si="12"/>
        <v>0</v>
      </c>
    </row>
    <row r="63" spans="1:8" ht="27.75" customHeight="1">
      <c r="A63" s="10">
        <v>8</v>
      </c>
      <c r="B63" s="11" t="s">
        <v>12</v>
      </c>
      <c r="C63" s="10"/>
      <c r="D63" s="10">
        <v>725</v>
      </c>
      <c r="E63" s="10">
        <v>2025</v>
      </c>
      <c r="F63" s="12" t="s">
        <v>23</v>
      </c>
      <c r="G63" s="3">
        <v>712</v>
      </c>
      <c r="H63" s="4">
        <v>0</v>
      </c>
    </row>
    <row r="64" spans="1:8" ht="27.75" customHeight="1">
      <c r="A64" s="10">
        <v>8</v>
      </c>
      <c r="B64" s="11" t="s">
        <v>21</v>
      </c>
      <c r="C64" s="10"/>
      <c r="D64" s="10">
        <v>725</v>
      </c>
      <c r="E64" s="10">
        <v>2025</v>
      </c>
      <c r="F64" s="12" t="s">
        <v>23</v>
      </c>
      <c r="G64" s="3">
        <v>712</v>
      </c>
      <c r="H64" s="4"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 t="s">
        <v>23</v>
      </c>
      <c r="G65" s="3">
        <v>712</v>
      </c>
      <c r="H65" s="4">
        <f t="shared" si="12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 t="s">
        <v>23</v>
      </c>
      <c r="G66" s="3">
        <v>712</v>
      </c>
      <c r="H66" s="4">
        <f t="shared" si="12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 t="s">
        <v>23</v>
      </c>
      <c r="G67" s="3">
        <v>712</v>
      </c>
      <c r="H67" s="4">
        <f t="shared" si="12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 t="s">
        <v>23</v>
      </c>
      <c r="G68" s="3">
        <v>712</v>
      </c>
      <c r="H68" s="4">
        <f t="shared" si="12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 t="s">
        <v>23</v>
      </c>
      <c r="G69" s="3">
        <v>712</v>
      </c>
      <c r="H69" s="4">
        <f t="shared" si="12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3">IF((C71-D71)&lt;0,0,C71-D71)</f>
        <v>0</v>
      </c>
      <c r="H71" s="4">
        <f t="shared" ref="H71:H79" si="14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3"/>
        <v>0</v>
      </c>
      <c r="H72" s="4">
        <f t="shared" si="14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3"/>
        <v>0</v>
      </c>
      <c r="H73" s="4">
        <f t="shared" si="14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3"/>
        <v>0</v>
      </c>
      <c r="H74" s="4">
        <f t="shared" si="14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3"/>
        <v>0</v>
      </c>
      <c r="H75" s="4">
        <f t="shared" si="14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3"/>
        <v>0</v>
      </c>
      <c r="H76" s="4">
        <f t="shared" si="14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3"/>
        <v>0</v>
      </c>
      <c r="H77" s="4">
        <f t="shared" si="14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3"/>
        <v>0</v>
      </c>
      <c r="H78" s="4">
        <f t="shared" si="14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3"/>
        <v>0</v>
      </c>
      <c r="H79" s="4">
        <f t="shared" si="14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5">IF((C81-D81)&lt;0,0,C81-D81)</f>
        <v>0</v>
      </c>
      <c r="H81" s="4">
        <f t="shared" ref="H81:H89" si="16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5"/>
        <v>0</v>
      </c>
      <c r="H82" s="4">
        <f t="shared" si="16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5"/>
        <v>0</v>
      </c>
      <c r="H83" s="4">
        <f t="shared" si="16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5"/>
        <v>0</v>
      </c>
      <c r="H84" s="4">
        <f t="shared" si="16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5"/>
        <v>0</v>
      </c>
      <c r="H85" s="4">
        <f t="shared" si="16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5"/>
        <v>0</v>
      </c>
      <c r="H86" s="4">
        <f t="shared" si="16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5"/>
        <v>0</v>
      </c>
      <c r="H87" s="4">
        <f t="shared" si="16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5"/>
        <v>0</v>
      </c>
      <c r="H88" s="4">
        <f t="shared" si="16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5"/>
        <v>0</v>
      </c>
      <c r="H89" s="4">
        <f t="shared" si="16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>
        <v>1003</v>
      </c>
      <c r="E91" s="1">
        <v>2024</v>
      </c>
      <c r="F91" s="5"/>
      <c r="G91" s="3">
        <f t="shared" ref="G91:G98" si="17">IF((C91-D91)&lt;0,0,C91-D91)</f>
        <v>0</v>
      </c>
      <c r="H91" s="4">
        <v>0</v>
      </c>
    </row>
    <row r="92" spans="1:8" ht="27.75" customHeight="1">
      <c r="A92" s="1" t="s">
        <v>25</v>
      </c>
      <c r="B92" s="9" t="s">
        <v>27</v>
      </c>
      <c r="C92" s="1"/>
      <c r="D92" s="1">
        <v>0</v>
      </c>
      <c r="E92" s="1"/>
      <c r="F92" s="5"/>
      <c r="G92" s="3">
        <f t="shared" si="17"/>
        <v>0</v>
      </c>
      <c r="H92" s="4">
        <v>0</v>
      </c>
    </row>
    <row r="93" spans="1:8" ht="27.75" customHeight="1">
      <c r="A93" s="1" t="s">
        <v>25</v>
      </c>
      <c r="B93" s="9" t="s">
        <v>28</v>
      </c>
      <c r="C93" s="1"/>
      <c r="D93" s="1">
        <v>1003</v>
      </c>
      <c r="E93" s="1">
        <v>2024</v>
      </c>
      <c r="F93" s="5"/>
      <c r="G93" s="3">
        <f t="shared" si="17"/>
        <v>0</v>
      </c>
      <c r="H93" s="4">
        <v>0</v>
      </c>
    </row>
    <row r="94" spans="1:8" ht="27.75" customHeight="1">
      <c r="A94" s="1" t="s">
        <v>25</v>
      </c>
      <c r="B94" s="9" t="s">
        <v>29</v>
      </c>
      <c r="C94" s="1"/>
      <c r="D94" s="1">
        <v>1003</v>
      </c>
      <c r="E94" s="1">
        <v>2025</v>
      </c>
      <c r="F94" s="5"/>
      <c r="G94" s="3">
        <f t="shared" si="17"/>
        <v>0</v>
      </c>
      <c r="H94" s="4">
        <v>0</v>
      </c>
    </row>
    <row r="95" spans="1:8" ht="40.5" customHeight="1">
      <c r="A95" s="1" t="s">
        <v>25</v>
      </c>
      <c r="B95" s="9" t="s">
        <v>30</v>
      </c>
      <c r="C95" s="1"/>
      <c r="D95" s="1">
        <v>1003</v>
      </c>
      <c r="E95" s="1">
        <v>2025</v>
      </c>
      <c r="F95" s="5"/>
      <c r="G95" s="3">
        <f t="shared" si="17"/>
        <v>0</v>
      </c>
      <c r="H95" s="4">
        <v>0</v>
      </c>
    </row>
    <row r="96" spans="1:8" ht="38.25" customHeight="1">
      <c r="A96" s="1" t="s">
        <v>25</v>
      </c>
      <c r="B96" s="9" t="s">
        <v>31</v>
      </c>
      <c r="C96" s="1"/>
      <c r="D96" s="1">
        <v>1003</v>
      </c>
      <c r="E96" s="1">
        <v>2025</v>
      </c>
      <c r="F96" s="5"/>
      <c r="G96" s="3">
        <f t="shared" si="17"/>
        <v>0</v>
      </c>
      <c r="H96" s="4">
        <v>0</v>
      </c>
    </row>
    <row r="97" spans="1:8" ht="27.75" customHeight="1">
      <c r="A97" s="1" t="s">
        <v>25</v>
      </c>
      <c r="B97" s="2" t="s">
        <v>32</v>
      </c>
      <c r="C97" s="1"/>
      <c r="D97" s="1">
        <v>1003</v>
      </c>
      <c r="E97" s="1">
        <v>2025</v>
      </c>
      <c r="F97" s="5"/>
      <c r="G97" s="3">
        <f t="shared" si="17"/>
        <v>0</v>
      </c>
      <c r="H97" s="4">
        <v>0</v>
      </c>
    </row>
    <row r="98" spans="1:8" ht="47.25" customHeight="1">
      <c r="A98" s="1" t="s">
        <v>25</v>
      </c>
      <c r="B98" s="9" t="s">
        <v>33</v>
      </c>
      <c r="C98" s="1"/>
      <c r="D98" s="1">
        <v>1003</v>
      </c>
      <c r="E98" s="1">
        <v>2025</v>
      </c>
      <c r="F98" s="5"/>
      <c r="G98" s="3">
        <f t="shared" si="17"/>
        <v>0</v>
      </c>
      <c r="H98" s="4"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B75" zoomScale="70" zoomScaleNormal="70" workbookViewId="0">
      <selection activeCell="M79" sqref="M79:M8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>
        <v>1035</v>
      </c>
      <c r="L63" s="10">
        <v>2025</v>
      </c>
      <c r="M63" s="12" t="s">
        <v>23</v>
      </c>
      <c r="N63" s="12">
        <f t="shared" si="10"/>
        <v>0</v>
      </c>
      <c r="O63" s="12">
        <f t="shared" si="11"/>
        <v>1035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v>309</v>
      </c>
      <c r="K73" s="12">
        <v>98</v>
      </c>
      <c r="L73" s="10">
        <v>2025</v>
      </c>
      <c r="M73" s="12" t="s">
        <v>23</v>
      </c>
      <c r="N73" s="12">
        <f t="shared" si="16"/>
        <v>211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v>309</v>
      </c>
      <c r="K74" s="12">
        <v>98</v>
      </c>
      <c r="L74" s="10">
        <v>2025</v>
      </c>
      <c r="M74" s="12" t="s">
        <v>23</v>
      </c>
      <c r="N74" s="12">
        <f t="shared" si="16"/>
        <v>211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v>309</v>
      </c>
      <c r="K75" s="12">
        <v>98</v>
      </c>
      <c r="L75" s="10">
        <v>2025</v>
      </c>
      <c r="M75" s="12" t="s">
        <v>23</v>
      </c>
      <c r="N75" s="12">
        <f t="shared" si="16"/>
        <v>211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v>309</v>
      </c>
      <c r="K76" s="12">
        <v>98</v>
      </c>
      <c r="L76" s="10">
        <v>2025</v>
      </c>
      <c r="M76" s="12" t="s">
        <v>23</v>
      </c>
      <c r="N76" s="12">
        <f t="shared" si="16"/>
        <v>211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v>309</v>
      </c>
      <c r="K77" s="12">
        <v>98</v>
      </c>
      <c r="L77" s="10">
        <v>2025</v>
      </c>
      <c r="M77" s="12" t="s">
        <v>23</v>
      </c>
      <c r="N77" s="12">
        <f t="shared" si="16"/>
        <v>211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v>309</v>
      </c>
      <c r="K78" s="12">
        <v>98</v>
      </c>
      <c r="L78" s="10">
        <v>2025</v>
      </c>
      <c r="M78" s="12" t="s">
        <v>23</v>
      </c>
      <c r="N78" s="12">
        <f t="shared" si="16"/>
        <v>211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v>309</v>
      </c>
      <c r="K79" s="12">
        <v>98</v>
      </c>
      <c r="L79" s="10">
        <v>2025</v>
      </c>
      <c r="M79" s="12" t="s">
        <v>23</v>
      </c>
      <c r="N79" s="12">
        <f t="shared" si="16"/>
        <v>211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v>309</v>
      </c>
      <c r="K80" s="12">
        <v>98</v>
      </c>
      <c r="L80" s="10">
        <v>2025</v>
      </c>
      <c r="M80" s="12" t="s">
        <v>23</v>
      </c>
      <c r="N80" s="12">
        <f t="shared" si="16"/>
        <v>211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v>309</v>
      </c>
      <c r="K81" s="12">
        <v>98</v>
      </c>
      <c r="L81" s="10">
        <v>2025</v>
      </c>
      <c r="M81" s="12" t="s">
        <v>23</v>
      </c>
      <c r="N81" s="12">
        <f t="shared" si="16"/>
        <v>211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83:L91 K93:L101 K103:L110 K112:L127 K14:L21 K23:L31 Q112:R126 P2:R2 V2:X3 N13:P126 T13:V127 D5:F12 N5:R12 T5:X12 N4:P4 T4:V4 J4 Z4:AA127 N3:R3 Y13 J6:J127 K73:L81" name="LAS"/>
    <protectedRange sqref="G2:I3 M2:O2 S2:U3 Y2:AA3 G112:G127 M112:M127 S112:S127 Y112:Y127 G5:G12 M5:M12 S4:S110 Y5:Y12 G14:G21 M3 Y14:Y110 G23:G31 G33:G41 G43:G51 G53:G61 G63:G71 G73:G81 G83:G91 G93:G101 G103:G110 M14:M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X112:X127 L53:L61 R112:R127 L83:L91 L93:L101 L14:L21 L5:L12 R23:R31 R33:R41 R43:R51 R63:R71 R73:R81 R53:R61 F112:F127 R83:R91 R93:R101 R14:R21 R5:R12 F23:F31 F33:F41 F43:F51 F63:F71 F73:F81 F53:F61 F5:F12 F83:F91 F93:F101 F14:F21 F103:F110 R103:R110 L103:L110 X103:X110 L73:L81" xr:uid="{4ECCD083-8EC4-42EE-B46C-B614411F330D}">
      <formula1>"2024,2025"</formula1>
    </dataValidation>
    <dataValidation type="list" allowBlank="1" showInputMessage="1" showErrorMessage="1" sqref="G103:G110 Y14:Y110 S4:S110 G5:G12 M5:M12 Y5:Y12 G14:G21 G23:G31 G33:G41 G43:G51 G53:G61 G63:G71 G73:G81 G83:G91 G93:G101 M14:M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E7" sqref="E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>IF((P3-Q3)&lt;0,0,(P3-Q3))</f>
        <v>0</v>
      </c>
      <c r="U3" s="5">
        <f t="shared" ref="U3:U72" si="4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5">IF((V3-W3)&lt;0,0,(V3-W3))</f>
        <v>0</v>
      </c>
      <c r="AA3" s="5">
        <f t="shared" ref="AA3:AA72" si="6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ref="T3:T72" si="7">IF((P4-Q4)&lt;0,0,(P4-Q4))</f>
        <v>0</v>
      </c>
      <c r="U4" s="5">
        <f t="shared" si="4"/>
        <v>0</v>
      </c>
      <c r="V4" s="5">
        <f>Table14[[#This Row],[Enrolment S.Y. 2025-2026 ]]*8</f>
        <v>0</v>
      </c>
      <c r="W4" s="5"/>
      <c r="X4" s="1"/>
      <c r="Y4" s="5"/>
      <c r="Z4" s="5">
        <f t="shared" si="5"/>
        <v>0</v>
      </c>
      <c r="AA4" s="5">
        <f t="shared" si="6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7"/>
        <v>0</v>
      </c>
      <c r="U5" s="5">
        <f t="shared" si="4"/>
        <v>0</v>
      </c>
      <c r="V5" s="5">
        <f>Table14[[#This Row],[Enrolment S.Y. 2025-2026 ]]*8</f>
        <v>0</v>
      </c>
      <c r="W5" s="5"/>
      <c r="X5" s="1"/>
      <c r="Y5" s="5"/>
      <c r="Z5" s="5">
        <f t="shared" si="5"/>
        <v>0</v>
      </c>
      <c r="AA5" s="5">
        <f t="shared" si="6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7"/>
        <v>0</v>
      </c>
      <c r="U6" s="5">
        <f t="shared" si="4"/>
        <v>0</v>
      </c>
      <c r="V6" s="5">
        <f>Table14[[#This Row],[Enrolment S.Y. 2025-2026 ]]*8</f>
        <v>0</v>
      </c>
      <c r="W6" s="5"/>
      <c r="X6" s="1"/>
      <c r="Y6" s="5"/>
      <c r="Z6" s="5">
        <f t="shared" si="5"/>
        <v>0</v>
      </c>
      <c r="AA6" s="5">
        <f t="shared" si="6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7"/>
        <v>0</v>
      </c>
      <c r="U7" s="5">
        <f t="shared" si="4"/>
        <v>0</v>
      </c>
      <c r="V7" s="5">
        <f>Table14[[#This Row],[Enrolment S.Y. 2025-2026 ]]*8</f>
        <v>0</v>
      </c>
      <c r="W7" s="5"/>
      <c r="X7" s="1"/>
      <c r="Y7" s="5"/>
      <c r="Z7" s="5">
        <f t="shared" si="5"/>
        <v>0</v>
      </c>
      <c r="AA7" s="5">
        <f t="shared" si="6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7"/>
        <v>0</v>
      </c>
      <c r="U8" s="5">
        <f t="shared" si="4"/>
        <v>0</v>
      </c>
      <c r="V8" s="5">
        <f>Table14[[#This Row],[Enrolment S.Y. 2025-2026 ]]*8</f>
        <v>0</v>
      </c>
      <c r="W8" s="5"/>
      <c r="X8" s="1"/>
      <c r="Y8" s="5"/>
      <c r="Z8" s="5">
        <f t="shared" si="5"/>
        <v>0</v>
      </c>
      <c r="AA8" s="5">
        <f t="shared" si="6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7"/>
        <v>0</v>
      </c>
      <c r="U9" s="5">
        <f t="shared" si="4"/>
        <v>0</v>
      </c>
      <c r="V9" s="5">
        <f>Table14[[#This Row],[Enrolment S.Y. 2025-2026 ]]*8</f>
        <v>0</v>
      </c>
      <c r="W9" s="5"/>
      <c r="X9" s="1"/>
      <c r="Y9" s="5"/>
      <c r="Z9" s="5">
        <f t="shared" si="5"/>
        <v>0</v>
      </c>
      <c r="AA9" s="5">
        <f t="shared" si="6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7"/>
        <v>0</v>
      </c>
      <c r="U10" s="5">
        <f t="shared" si="4"/>
        <v>0</v>
      </c>
      <c r="V10" s="5">
        <f>Table14[[#This Row],[Enrolment S.Y. 2025-2026 ]]*8</f>
        <v>0</v>
      </c>
      <c r="W10" s="5"/>
      <c r="X10" s="1"/>
      <c r="Y10" s="5"/>
      <c r="Z10" s="5">
        <f t="shared" si="5"/>
        <v>0</v>
      </c>
      <c r="AA10" s="5">
        <f t="shared" si="6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7"/>
        <v>0</v>
      </c>
      <c r="U12" s="5">
        <f t="shared" si="4"/>
        <v>0</v>
      </c>
      <c r="V12" s="5">
        <f>Table14[[#This Row],[Enrolment S.Y. 2025-2026 ]]*8</f>
        <v>0</v>
      </c>
      <c r="W12" s="5"/>
      <c r="X12" s="1"/>
      <c r="Y12" s="5"/>
      <c r="Z12" s="5">
        <f t="shared" si="5"/>
        <v>0</v>
      </c>
      <c r="AA12" s="5">
        <f t="shared" si="6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7"/>
        <v>0</v>
      </c>
      <c r="U13" s="5">
        <f t="shared" si="4"/>
        <v>0</v>
      </c>
      <c r="V13" s="5">
        <f>Table14[[#This Row],[Enrolment S.Y. 2025-2026 ]]*8</f>
        <v>0</v>
      </c>
      <c r="W13" s="5"/>
      <c r="X13" s="1"/>
      <c r="Y13" s="5"/>
      <c r="Z13" s="5">
        <f t="shared" si="5"/>
        <v>0</v>
      </c>
      <c r="AA13" s="5">
        <f t="shared" si="6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7"/>
        <v>0</v>
      </c>
      <c r="U14" s="5">
        <f t="shared" si="4"/>
        <v>0</v>
      </c>
      <c r="V14" s="5">
        <f>Table14[[#This Row],[Enrolment S.Y. 2025-2026 ]]*8</f>
        <v>0</v>
      </c>
      <c r="W14" s="5"/>
      <c r="X14" s="1"/>
      <c r="Y14" s="5"/>
      <c r="Z14" s="5">
        <f t="shared" si="5"/>
        <v>0</v>
      </c>
      <c r="AA14" s="5">
        <f t="shared" si="6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7"/>
        <v>0</v>
      </c>
      <c r="U15" s="5">
        <f t="shared" si="4"/>
        <v>0</v>
      </c>
      <c r="V15" s="5">
        <f>Table14[[#This Row],[Enrolment S.Y. 2025-2026 ]]*8</f>
        <v>0</v>
      </c>
      <c r="W15" s="5"/>
      <c r="X15" s="1"/>
      <c r="Y15" s="5"/>
      <c r="Z15" s="5">
        <f t="shared" si="5"/>
        <v>0</v>
      </c>
      <c r="AA15" s="5">
        <f t="shared" si="6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7"/>
        <v>0</v>
      </c>
      <c r="U16" s="5">
        <f t="shared" si="4"/>
        <v>0</v>
      </c>
      <c r="V16" s="5">
        <f>Table14[[#This Row],[Enrolment S.Y. 2025-2026 ]]*8</f>
        <v>0</v>
      </c>
      <c r="W16" s="5"/>
      <c r="X16" s="1"/>
      <c r="Y16" s="5"/>
      <c r="Z16" s="5">
        <f t="shared" si="5"/>
        <v>0</v>
      </c>
      <c r="AA16" s="5">
        <f t="shared" si="6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7"/>
        <v>0</v>
      </c>
      <c r="U17" s="5">
        <f t="shared" si="4"/>
        <v>0</v>
      </c>
      <c r="V17" s="5">
        <f>Table14[[#This Row],[Enrolment S.Y. 2025-2026 ]]*8</f>
        <v>0</v>
      </c>
      <c r="W17" s="5"/>
      <c r="X17" s="1"/>
      <c r="Y17" s="5"/>
      <c r="Z17" s="5">
        <f t="shared" si="5"/>
        <v>0</v>
      </c>
      <c r="AA17" s="5">
        <f t="shared" si="6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7"/>
        <v>0</v>
      </c>
      <c r="U18" s="5">
        <f t="shared" si="4"/>
        <v>0</v>
      </c>
      <c r="V18" s="5">
        <f>Table14[[#This Row],[Enrolment S.Y. 2025-2026 ]]*8</f>
        <v>0</v>
      </c>
      <c r="W18" s="5"/>
      <c r="X18" s="1"/>
      <c r="Y18" s="5"/>
      <c r="Z18" s="5">
        <f t="shared" si="5"/>
        <v>0</v>
      </c>
      <c r="AA18" s="5">
        <f t="shared" si="6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7"/>
        <v>0</v>
      </c>
      <c r="U19" s="5">
        <f t="shared" si="4"/>
        <v>0</v>
      </c>
      <c r="V19" s="5">
        <f>Table14[[#This Row],[Enrolment S.Y. 2025-2026 ]]*8</f>
        <v>0</v>
      </c>
      <c r="W19" s="5"/>
      <c r="X19" s="1"/>
      <c r="Y19" s="5"/>
      <c r="Z19" s="5">
        <f t="shared" si="5"/>
        <v>0</v>
      </c>
      <c r="AA19" s="5">
        <f t="shared" si="6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7"/>
        <v>0</v>
      </c>
      <c r="U21" s="5">
        <f t="shared" si="4"/>
        <v>0</v>
      </c>
      <c r="V21" s="5">
        <f>Table14[[#This Row],[Enrolment S.Y. 2025-2026 ]]*8</f>
        <v>0</v>
      </c>
      <c r="W21" s="5"/>
      <c r="X21" s="1"/>
      <c r="Y21" s="5"/>
      <c r="Z21" s="5">
        <f t="shared" si="5"/>
        <v>0</v>
      </c>
      <c r="AA21" s="5">
        <f t="shared" si="6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7"/>
        <v>0</v>
      </c>
      <c r="U22" s="5">
        <f t="shared" si="4"/>
        <v>0</v>
      </c>
      <c r="V22" s="5">
        <f>Table14[[#This Row],[Enrolment S.Y. 2025-2026 ]]*8</f>
        <v>0</v>
      </c>
      <c r="W22" s="5"/>
      <c r="X22" s="1"/>
      <c r="Y22" s="5"/>
      <c r="Z22" s="5">
        <f t="shared" si="5"/>
        <v>0</v>
      </c>
      <c r="AA22" s="5">
        <f t="shared" si="6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7"/>
        <v>0</v>
      </c>
      <c r="U23" s="5">
        <f t="shared" si="4"/>
        <v>0</v>
      </c>
      <c r="V23" s="5">
        <f>Table14[[#This Row],[Enrolment S.Y. 2025-2026 ]]*8</f>
        <v>0</v>
      </c>
      <c r="W23" s="5"/>
      <c r="X23" s="1"/>
      <c r="Y23" s="5"/>
      <c r="Z23" s="5">
        <f t="shared" si="5"/>
        <v>0</v>
      </c>
      <c r="AA23" s="5">
        <f t="shared" si="6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7"/>
        <v>0</v>
      </c>
      <c r="U24" s="5">
        <f t="shared" si="4"/>
        <v>0</v>
      </c>
      <c r="V24" s="5">
        <f>Table14[[#This Row],[Enrolment S.Y. 2025-2026 ]]*8</f>
        <v>0</v>
      </c>
      <c r="W24" s="5"/>
      <c r="X24" s="1"/>
      <c r="Y24" s="5"/>
      <c r="Z24" s="5">
        <f t="shared" si="5"/>
        <v>0</v>
      </c>
      <c r="AA24" s="5">
        <f t="shared" si="6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7"/>
        <v>0</v>
      </c>
      <c r="U25" s="5">
        <f t="shared" si="4"/>
        <v>0</v>
      </c>
      <c r="V25" s="5">
        <f>Table14[[#This Row],[Enrolment S.Y. 2025-2026 ]]*8</f>
        <v>0</v>
      </c>
      <c r="W25" s="5"/>
      <c r="X25" s="1"/>
      <c r="Y25" s="5"/>
      <c r="Z25" s="5">
        <f t="shared" si="5"/>
        <v>0</v>
      </c>
      <c r="AA25" s="5">
        <f t="shared" si="6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7"/>
        <v>0</v>
      </c>
      <c r="U26" s="5">
        <f t="shared" si="4"/>
        <v>0</v>
      </c>
      <c r="V26" s="5">
        <f>Table14[[#This Row],[Enrolment S.Y. 2025-2026 ]]*8</f>
        <v>0</v>
      </c>
      <c r="W26" s="5"/>
      <c r="X26" s="1"/>
      <c r="Y26" s="5"/>
      <c r="Z26" s="5">
        <f t="shared" si="5"/>
        <v>0</v>
      </c>
      <c r="AA26" s="5">
        <f t="shared" si="6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7"/>
        <v>0</v>
      </c>
      <c r="U27" s="5">
        <f t="shared" si="4"/>
        <v>0</v>
      </c>
      <c r="V27" s="5">
        <f>Table14[[#This Row],[Enrolment S.Y. 2025-2026 ]]*8</f>
        <v>0</v>
      </c>
      <c r="W27" s="5"/>
      <c r="X27" s="1"/>
      <c r="Y27" s="5"/>
      <c r="Z27" s="5">
        <f t="shared" si="5"/>
        <v>0</v>
      </c>
      <c r="AA27" s="5">
        <f t="shared" si="6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7"/>
        <v>0</v>
      </c>
      <c r="U28" s="5">
        <f t="shared" si="4"/>
        <v>0</v>
      </c>
      <c r="V28" s="5">
        <f>Table14[[#This Row],[Enrolment S.Y. 2025-2026 ]]*8</f>
        <v>0</v>
      </c>
      <c r="W28" s="5"/>
      <c r="X28" s="1"/>
      <c r="Y28" s="5"/>
      <c r="Z28" s="5">
        <f t="shared" si="5"/>
        <v>0</v>
      </c>
      <c r="AA28" s="5">
        <f t="shared" si="6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7"/>
        <v>0</v>
      </c>
      <c r="U29" s="5">
        <f t="shared" si="4"/>
        <v>0</v>
      </c>
      <c r="V29" s="5">
        <f>Table14[[#This Row],[Enrolment S.Y. 2025-2026 ]]*8</f>
        <v>0</v>
      </c>
      <c r="W29" s="5"/>
      <c r="X29" s="1"/>
      <c r="Y29" s="5"/>
      <c r="Z29" s="5">
        <f t="shared" si="5"/>
        <v>0</v>
      </c>
      <c r="AA29" s="5">
        <f t="shared" si="6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7"/>
        <v>0</v>
      </c>
      <c r="U31" s="5">
        <f t="shared" si="4"/>
        <v>0</v>
      </c>
      <c r="V31" s="5">
        <f>Table14[[#This Row],[Enrolment S.Y. 2025-2026 ]]*8</f>
        <v>0</v>
      </c>
      <c r="W31" s="5"/>
      <c r="X31" s="1"/>
      <c r="Y31" s="5"/>
      <c r="Z31" s="5">
        <f t="shared" si="5"/>
        <v>0</v>
      </c>
      <c r="AA31" s="5">
        <f t="shared" si="6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7"/>
        <v>0</v>
      </c>
      <c r="U32" s="5">
        <f t="shared" si="4"/>
        <v>0</v>
      </c>
      <c r="V32" s="5">
        <f>Table14[[#This Row],[Enrolment S.Y. 2025-2026 ]]*8</f>
        <v>0</v>
      </c>
      <c r="W32" s="5"/>
      <c r="X32" s="1"/>
      <c r="Y32" s="5"/>
      <c r="Z32" s="5">
        <f t="shared" si="5"/>
        <v>0</v>
      </c>
      <c r="AA32" s="5">
        <f t="shared" si="6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7"/>
        <v>0</v>
      </c>
      <c r="U33" s="5">
        <f t="shared" si="4"/>
        <v>0</v>
      </c>
      <c r="V33" s="5">
        <f>Table14[[#This Row],[Enrolment S.Y. 2025-2026 ]]*8</f>
        <v>0</v>
      </c>
      <c r="W33" s="5"/>
      <c r="X33" s="1"/>
      <c r="Y33" s="5"/>
      <c r="Z33" s="5">
        <f t="shared" si="5"/>
        <v>0</v>
      </c>
      <c r="AA33" s="5">
        <f t="shared" si="6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7"/>
        <v>0</v>
      </c>
      <c r="U34" s="5">
        <f t="shared" si="4"/>
        <v>0</v>
      </c>
      <c r="V34" s="5">
        <f>Table14[[#This Row],[Enrolment S.Y. 2025-2026 ]]*8</f>
        <v>0</v>
      </c>
      <c r="W34" s="5"/>
      <c r="X34" s="1"/>
      <c r="Y34" s="5"/>
      <c r="Z34" s="5">
        <f t="shared" si="5"/>
        <v>0</v>
      </c>
      <c r="AA34" s="5">
        <f t="shared" si="6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7"/>
        <v>0</v>
      </c>
      <c r="U35" s="5">
        <f t="shared" si="4"/>
        <v>0</v>
      </c>
      <c r="V35" s="5">
        <f>Table14[[#This Row],[Enrolment S.Y. 2025-2026 ]]*8</f>
        <v>0</v>
      </c>
      <c r="W35" s="5"/>
      <c r="X35" s="1"/>
      <c r="Y35" s="5"/>
      <c r="Z35" s="5">
        <f t="shared" si="5"/>
        <v>0</v>
      </c>
      <c r="AA35" s="5">
        <f t="shared" si="6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7"/>
        <v>0</v>
      </c>
      <c r="U36" s="5">
        <f t="shared" si="4"/>
        <v>0</v>
      </c>
      <c r="V36" s="5">
        <f>Table14[[#This Row],[Enrolment S.Y. 2025-2026 ]]*8</f>
        <v>0</v>
      </c>
      <c r="W36" s="5"/>
      <c r="X36" s="1"/>
      <c r="Y36" s="5"/>
      <c r="Z36" s="5">
        <f t="shared" si="5"/>
        <v>0</v>
      </c>
      <c r="AA36" s="5">
        <f t="shared" si="6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7"/>
        <v>0</v>
      </c>
      <c r="U38" s="5">
        <f t="shared" si="4"/>
        <v>0</v>
      </c>
      <c r="V38" s="5">
        <f>Table14[[#This Row],[Enrolment S.Y. 2025-2026 ]]*8</f>
        <v>0</v>
      </c>
      <c r="W38" s="5"/>
      <c r="X38" s="1"/>
      <c r="Y38" s="5"/>
      <c r="Z38" s="5">
        <f t="shared" si="5"/>
        <v>0</v>
      </c>
      <c r="AA38" s="5">
        <f t="shared" si="6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7"/>
        <v>0</v>
      </c>
      <c r="U39" s="5">
        <f t="shared" si="4"/>
        <v>0</v>
      </c>
      <c r="V39" s="5">
        <f>Table14[[#This Row],[Enrolment S.Y. 2025-2026 ]]*8</f>
        <v>0</v>
      </c>
      <c r="W39" s="5"/>
      <c r="X39" s="1"/>
      <c r="Y39" s="5"/>
      <c r="Z39" s="5">
        <f t="shared" si="5"/>
        <v>0</v>
      </c>
      <c r="AA39" s="5">
        <f t="shared" si="6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7"/>
        <v>0</v>
      </c>
      <c r="U41" s="5">
        <f t="shared" si="4"/>
        <v>0</v>
      </c>
      <c r="V41" s="5">
        <f>Table14[[#This Row],[Enrolment S.Y. 2025-2026 ]]*8</f>
        <v>0</v>
      </c>
      <c r="W41" s="5"/>
      <c r="X41" s="1"/>
      <c r="Y41" s="5"/>
      <c r="Z41" s="5">
        <f t="shared" si="5"/>
        <v>0</v>
      </c>
      <c r="AA41" s="5">
        <f t="shared" si="6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7"/>
        <v>0</v>
      </c>
      <c r="U43" s="5">
        <f t="shared" si="4"/>
        <v>0</v>
      </c>
      <c r="V43" s="5">
        <f>Table14[[#This Row],[Enrolment S.Y. 2025-2026 ]]*8</f>
        <v>0</v>
      </c>
      <c r="W43" s="5"/>
      <c r="X43" s="1"/>
      <c r="Y43" s="5"/>
      <c r="Z43" s="5">
        <f t="shared" si="5"/>
        <v>0</v>
      </c>
      <c r="AA43" s="5">
        <f t="shared" si="6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7"/>
        <v>0</v>
      </c>
      <c r="U44" s="5">
        <f t="shared" si="4"/>
        <v>0</v>
      </c>
      <c r="V44" s="5">
        <f>Table14[[#This Row],[Enrolment S.Y. 2025-2026 ]]*8</f>
        <v>0</v>
      </c>
      <c r="W44" s="5"/>
      <c r="X44" s="1"/>
      <c r="Y44" s="5"/>
      <c r="Z44" s="5">
        <f t="shared" si="5"/>
        <v>0</v>
      </c>
      <c r="AA44" s="5">
        <f t="shared" si="6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7"/>
        <v>0</v>
      </c>
      <c r="U45" s="5">
        <f t="shared" si="4"/>
        <v>0</v>
      </c>
      <c r="V45" s="5">
        <f>Table14[[#This Row],[Enrolment S.Y. 2025-2026 ]]*8</f>
        <v>0</v>
      </c>
      <c r="W45" s="5"/>
      <c r="X45" s="1"/>
      <c r="Y45" s="5"/>
      <c r="Z45" s="5">
        <f t="shared" si="5"/>
        <v>0</v>
      </c>
      <c r="AA45" s="5">
        <f t="shared" si="6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7"/>
        <v>0</v>
      </c>
      <c r="U46" s="5">
        <f t="shared" si="4"/>
        <v>0</v>
      </c>
      <c r="V46" s="5">
        <f>Table14[[#This Row],[Enrolment S.Y. 2025-2026 ]]*8</f>
        <v>0</v>
      </c>
      <c r="W46" s="5"/>
      <c r="X46" s="1"/>
      <c r="Y46" s="5"/>
      <c r="Z46" s="5">
        <f t="shared" si="5"/>
        <v>0</v>
      </c>
      <c r="AA46" s="5">
        <f t="shared" si="6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7"/>
        <v>0</v>
      </c>
      <c r="U47" s="5">
        <f t="shared" si="4"/>
        <v>0</v>
      </c>
      <c r="V47" s="5">
        <f>Table14[[#This Row],[Enrolment S.Y. 2025-2026 ]]*8</f>
        <v>0</v>
      </c>
      <c r="W47" s="5"/>
      <c r="X47" s="1"/>
      <c r="Y47" s="5"/>
      <c r="Z47" s="5">
        <f t="shared" si="5"/>
        <v>0</v>
      </c>
      <c r="AA47" s="5">
        <f t="shared" si="6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7"/>
        <v>0</v>
      </c>
      <c r="U48" s="5">
        <f t="shared" si="4"/>
        <v>0</v>
      </c>
      <c r="V48" s="5">
        <f>Table14[[#This Row],[Enrolment S.Y. 2025-2026 ]]*8</f>
        <v>0</v>
      </c>
      <c r="W48" s="5"/>
      <c r="X48" s="1"/>
      <c r="Y48" s="5"/>
      <c r="Z48" s="5">
        <f t="shared" si="5"/>
        <v>0</v>
      </c>
      <c r="AA48" s="5">
        <f t="shared" si="6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7"/>
        <v>0</v>
      </c>
      <c r="U50" s="5">
        <f t="shared" si="4"/>
        <v>0</v>
      </c>
      <c r="V50" s="5">
        <f>Table14[[#This Row],[Enrolment S.Y. 2025-2026 ]]*8</f>
        <v>0</v>
      </c>
      <c r="W50" s="5"/>
      <c r="X50" s="1"/>
      <c r="Y50" s="5"/>
      <c r="Z50" s="5">
        <f t="shared" si="5"/>
        <v>0</v>
      </c>
      <c r="AA50" s="5">
        <f t="shared" si="6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7"/>
        <v>0</v>
      </c>
      <c r="U51" s="5">
        <f t="shared" si="4"/>
        <v>0</v>
      </c>
      <c r="V51" s="5">
        <f>Table14[[#This Row],[Enrolment S.Y. 2025-2026 ]]*8</f>
        <v>0</v>
      </c>
      <c r="W51" s="5"/>
      <c r="X51" s="1"/>
      <c r="Y51" s="5"/>
      <c r="Z51" s="5">
        <f t="shared" si="5"/>
        <v>0</v>
      </c>
      <c r="AA51" s="5">
        <f t="shared" si="6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7"/>
        <v>0</v>
      </c>
      <c r="U53" s="5">
        <f t="shared" si="4"/>
        <v>0</v>
      </c>
      <c r="V53" s="5">
        <f>Table14[[#This Row],[Enrolment S.Y. 2025-2026 ]]*8</f>
        <v>0</v>
      </c>
      <c r="W53" s="5"/>
      <c r="X53" s="1"/>
      <c r="Y53" s="5"/>
      <c r="Z53" s="5">
        <f t="shared" si="5"/>
        <v>0</v>
      </c>
      <c r="AA53" s="5">
        <f t="shared" si="6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7"/>
        <v>0</v>
      </c>
      <c r="U55" s="5">
        <f t="shared" si="4"/>
        <v>0</v>
      </c>
      <c r="V55" s="5">
        <f>Table14[[#This Row],[Enrolment S.Y. 2025-2026 ]]*8</f>
        <v>0</v>
      </c>
      <c r="W55" s="5"/>
      <c r="X55" s="1"/>
      <c r="Y55" s="5"/>
      <c r="Z55" s="5">
        <f t="shared" si="5"/>
        <v>0</v>
      </c>
      <c r="AA55" s="5">
        <f t="shared" si="6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7"/>
        <v>0</v>
      </c>
      <c r="U56" s="5">
        <f t="shared" si="4"/>
        <v>0</v>
      </c>
      <c r="V56" s="5">
        <f>Table14[[#This Row],[Enrolment S.Y. 2025-2026 ]]*8</f>
        <v>0</v>
      </c>
      <c r="W56" s="5"/>
      <c r="X56" s="1"/>
      <c r="Y56" s="5"/>
      <c r="Z56" s="5">
        <f t="shared" si="5"/>
        <v>0</v>
      </c>
      <c r="AA56" s="5">
        <f t="shared" si="6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7"/>
        <v>0</v>
      </c>
      <c r="U57" s="5">
        <f t="shared" si="4"/>
        <v>0</v>
      </c>
      <c r="V57" s="5">
        <f>Table14[[#This Row],[Enrolment S.Y. 2025-2026 ]]*8</f>
        <v>0</v>
      </c>
      <c r="W57" s="5"/>
      <c r="X57" s="1"/>
      <c r="Y57" s="5"/>
      <c r="Z57" s="5">
        <f t="shared" si="5"/>
        <v>0</v>
      </c>
      <c r="AA57" s="5">
        <f t="shared" si="6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7"/>
        <v>0</v>
      </c>
      <c r="U58" s="5">
        <f t="shared" si="4"/>
        <v>0</v>
      </c>
      <c r="V58" s="5">
        <f>Table14[[#This Row],[Enrolment S.Y. 2025-2026 ]]*8</f>
        <v>0</v>
      </c>
      <c r="W58" s="5"/>
      <c r="X58" s="1"/>
      <c r="Y58" s="5"/>
      <c r="Z58" s="5">
        <f t="shared" si="5"/>
        <v>0</v>
      </c>
      <c r="AA58" s="5">
        <f t="shared" si="6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7"/>
        <v>0</v>
      </c>
      <c r="U59" s="5">
        <f t="shared" si="4"/>
        <v>0</v>
      </c>
      <c r="V59" s="5">
        <f>Table14[[#This Row],[Enrolment S.Y. 2025-2026 ]]*8</f>
        <v>0</v>
      </c>
      <c r="W59" s="5"/>
      <c r="X59" s="1"/>
      <c r="Y59" s="5"/>
      <c r="Z59" s="5">
        <f t="shared" si="5"/>
        <v>0</v>
      </c>
      <c r="AA59" s="5">
        <f t="shared" si="6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7"/>
        <v>0</v>
      </c>
      <c r="U60" s="5">
        <f t="shared" si="4"/>
        <v>0</v>
      </c>
      <c r="V60" s="5">
        <f>Table14[[#This Row],[Enrolment S.Y. 2025-2026 ]]*8</f>
        <v>0</v>
      </c>
      <c r="W60" s="5"/>
      <c r="X60" s="1"/>
      <c r="Y60" s="5"/>
      <c r="Z60" s="5">
        <f t="shared" si="5"/>
        <v>0</v>
      </c>
      <c r="AA60" s="5">
        <f t="shared" si="6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7"/>
        <v>0</v>
      </c>
      <c r="U62" s="5">
        <f t="shared" si="4"/>
        <v>0</v>
      </c>
      <c r="V62" s="5">
        <f>Table14[[#This Row],[Enrolment S.Y. 2025-2026 ]]*8</f>
        <v>0</v>
      </c>
      <c r="W62" s="5"/>
      <c r="X62" s="1"/>
      <c r="Y62" s="5"/>
      <c r="Z62" s="5">
        <f t="shared" si="5"/>
        <v>0</v>
      </c>
      <c r="AA62" s="5">
        <f t="shared" si="6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7"/>
        <v>0</v>
      </c>
      <c r="U63" s="5">
        <f t="shared" si="4"/>
        <v>0</v>
      </c>
      <c r="V63" s="5">
        <f>Table14[[#This Row],[Enrolment S.Y. 2025-2026 ]]*8</f>
        <v>0</v>
      </c>
      <c r="W63" s="5"/>
      <c r="X63" s="1"/>
      <c r="Y63" s="5"/>
      <c r="Z63" s="5">
        <f t="shared" si="5"/>
        <v>0</v>
      </c>
      <c r="AA63" s="5">
        <f t="shared" si="6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7"/>
        <v>0</v>
      </c>
      <c r="U65" s="5">
        <f t="shared" si="4"/>
        <v>0</v>
      </c>
      <c r="V65" s="5">
        <f>Table14[[#This Row],[Enrolment S.Y. 2025-2026 ]]*8</f>
        <v>0</v>
      </c>
      <c r="W65" s="5"/>
      <c r="X65" s="1"/>
      <c r="Y65" s="5"/>
      <c r="Z65" s="5">
        <f t="shared" si="5"/>
        <v>0</v>
      </c>
      <c r="AA65" s="5">
        <f t="shared" si="6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7"/>
        <v>0</v>
      </c>
      <c r="U67" s="12">
        <f t="shared" si="4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5"/>
        <v>0</v>
      </c>
      <c r="AA67" s="12">
        <f t="shared" si="6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7"/>
        <v>0</v>
      </c>
      <c r="U68" s="12">
        <f t="shared" si="4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5"/>
        <v>0</v>
      </c>
      <c r="AA68" s="12">
        <f t="shared" si="6"/>
        <v>0</v>
      </c>
    </row>
    <row r="69" spans="1:27" ht="19.5">
      <c r="A69" s="10">
        <v>7</v>
      </c>
      <c r="B69" s="11" t="s">
        <v>12</v>
      </c>
      <c r="C69" s="10"/>
      <c r="D69" s="12">
        <v>925</v>
      </c>
      <c r="E69" s="12">
        <v>888</v>
      </c>
      <c r="F69" s="10">
        <v>2025</v>
      </c>
      <c r="G69" s="12" t="s">
        <v>23</v>
      </c>
      <c r="H69" s="12">
        <f t="shared" si="0"/>
        <v>37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7"/>
        <v>0</v>
      </c>
      <c r="U69" s="12">
        <f t="shared" si="4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5"/>
        <v>0</v>
      </c>
      <c r="AA69" s="12">
        <f t="shared" si="6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7"/>
        <v>0</v>
      </c>
      <c r="U70" s="12">
        <f t="shared" si="4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5"/>
        <v>0</v>
      </c>
      <c r="AA70" s="12">
        <f t="shared" si="6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7"/>
        <v>0</v>
      </c>
      <c r="U71" s="12">
        <f t="shared" si="4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5"/>
        <v>0</v>
      </c>
      <c r="AA71" s="12">
        <f t="shared" si="6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7"/>
        <v>0</v>
      </c>
      <c r="U72" s="12">
        <f t="shared" si="4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5"/>
        <v>0</v>
      </c>
      <c r="AA72" s="12">
        <f t="shared" si="6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v>810</v>
      </c>
      <c r="E81" s="12">
        <v>884</v>
      </c>
      <c r="F81" s="10">
        <v>2025</v>
      </c>
      <c r="G81" s="12" t="s">
        <v>23</v>
      </c>
      <c r="H81" s="12">
        <f t="shared" si="0"/>
        <v>0</v>
      </c>
      <c r="I81" s="12">
        <f t="shared" si="1"/>
        <v>74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v>844</v>
      </c>
      <c r="E93" s="12">
        <v>811</v>
      </c>
      <c r="F93" s="10">
        <v>2025</v>
      </c>
      <c r="G93" s="12" t="s">
        <v>23</v>
      </c>
      <c r="H93" s="12">
        <f t="shared" si="22"/>
        <v>33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v>769</v>
      </c>
      <c r="E104" s="12">
        <v>209</v>
      </c>
      <c r="F104" s="10">
        <v>2025</v>
      </c>
      <c r="G104" s="12" t="s">
        <v>23</v>
      </c>
      <c r="H104" s="12">
        <f t="shared" si="22"/>
        <v>560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v>769</v>
      </c>
      <c r="E105" s="12">
        <v>887</v>
      </c>
      <c r="F105" s="10">
        <v>2025</v>
      </c>
      <c r="G105" s="12" t="s">
        <v>23</v>
      </c>
      <c r="H105" s="12">
        <f t="shared" si="22"/>
        <v>0</v>
      </c>
      <c r="I105" s="12">
        <f t="shared" si="23"/>
        <v>118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2026-01-12T05:03:51Z</dcterms:modified>
  <cp:category/>
  <cp:contentStatus/>
</cp:coreProperties>
</file>