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9" documentId="13_ncr:1_{BFB59F67-F0DC-4675-A682-EB0734A8026A}" xr6:coauthVersionLast="47" xr6:coauthVersionMax="47" xr10:uidLastSave="{B2130275-79F5-4C07-8CF0-CB5B6E325433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<sst xmlns="http://schemas.openxmlformats.org/spreadsheetml/2006/main" count="293" uniqueCount="84">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</sst>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K49" sqref="K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922</v>
      </c>
      <c r="D2" s="8">
        <v>1183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261</v>
      </c>
    </row>
    <row r="3" spans="1:8" ht="29.25" customHeight="1">
      <c r="A3" s="8">
        <v>7</v>
      </c>
      <c r="B3" s="9" t="s">
        <v>10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922</v>
      </c>
      <c r="D4" s="8">
        <v>1183</v>
      </c>
      <c r="E4" s="8">
        <v>2024</v>
      </c>
      <c r="F4" s="10" t="s">
        <v>9</v>
      </c>
      <c r="G4" s="2">
        <f t="shared" si="0"/>
        <v>0</v>
      </c>
      <c r="H4" s="3">
        <f t="shared" si="1"/>
        <v>261</v>
      </c>
    </row>
    <row r="5" spans="1:8" ht="25.5" customHeight="1">
      <c r="A5" s="8">
        <v>7</v>
      </c>
      <c r="B5" s="9" t="s">
        <v>12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13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14</v>
      </c>
      <c r="C7" s="8">
        <v>922</v>
      </c>
      <c r="D7" s="8">
        <v>1183</v>
      </c>
      <c r="E7" s="8">
        <v>2024</v>
      </c>
      <c r="F7" s="10" t="s">
        <v>9</v>
      </c>
      <c r="G7" s="2">
        <f t="shared" si="0"/>
        <v>0</v>
      </c>
      <c r="H7" s="3">
        <f t="shared" si="1"/>
        <v>261</v>
      </c>
    </row>
    <row r="8" spans="1:8" ht="39.75" customHeight="1">
      <c r="A8" s="8">
        <v>7</v>
      </c>
      <c r="B8" s="9" t="s">
        <v>15</v>
      </c>
      <c r="C8" s="8">
        <v>922</v>
      </c>
      <c r="D8" s="8">
        <v>1183</v>
      </c>
      <c r="E8" s="8">
        <v>2025</v>
      </c>
      <c r="F8" s="10" t="s">
        <v>9</v>
      </c>
      <c r="G8" s="2">
        <f t="shared" si="0"/>
        <v>0</v>
      </c>
      <c r="H8" s="3">
        <f t="shared" si="1"/>
        <v>261</v>
      </c>
    </row>
    <row r="9" spans="1:8" ht="29.25" customHeight="1">
      <c r="A9" s="8">
        <v>7</v>
      </c>
      <c r="B9" s="9" t="s">
        <v>16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>
        <v>922</v>
      </c>
      <c r="D10" s="8">
        <v>1183</v>
      </c>
      <c r="E10" s="8">
        <v>2025</v>
      </c>
      <c r="F10" s="10" t="s">
        <v>9</v>
      </c>
      <c r="G10" s="2">
        <f t="shared" si="0"/>
        <v>0</v>
      </c>
      <c r="H10" s="3">
        <f t="shared" si="1"/>
        <v>261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839</v>
      </c>
      <c r="D14" s="8">
        <v>1054</v>
      </c>
      <c r="E14" s="8">
        <v>2025</v>
      </c>
      <c r="F14" s="10" t="s">
        <v>9</v>
      </c>
      <c r="G14" s="2">
        <f t="shared" si="2"/>
        <v>0</v>
      </c>
      <c r="H14" s="3">
        <f t="shared" si="3"/>
        <v>215</v>
      </c>
    </row>
    <row r="15" spans="1:8" ht="29.25" customHeight="1">
      <c r="A15" s="8">
        <v>8</v>
      </c>
      <c r="B15" s="9" t="s">
        <v>12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326</v>
      </c>
      <c r="D42" s="1">
        <v>1436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1110</v>
      </c>
    </row>
    <row r="43" spans="1:8" ht="27.75" customHeight="1">
      <c r="A43" s="1" t="s">
        <v>19</v>
      </c>
      <c r="B43" s="7" t="s">
        <v>21</v>
      </c>
      <c r="C43" s="1">
        <v>326</v>
      </c>
      <c r="D43" s="1">
        <v>0</v>
      </c>
      <c r="E43" s="1"/>
      <c r="F43" s="4"/>
      <c r="G43" s="2">
        <f t="shared" si="8"/>
        <v>326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464</v>
      </c>
      <c r="D44" s="1">
        <v>1436</v>
      </c>
      <c r="E44" s="1">
        <v>2024</v>
      </c>
      <c r="F44" s="4" t="s">
        <v>9</v>
      </c>
      <c r="G44" s="2">
        <f t="shared" si="8"/>
        <v>0</v>
      </c>
      <c r="H44" s="3">
        <f t="shared" si="9"/>
        <v>972</v>
      </c>
    </row>
    <row r="45" spans="1:8" ht="36.75" customHeight="1">
      <c r="A45" s="1" t="s">
        <v>19</v>
      </c>
      <c r="B45" s="7" t="s">
        <v>23</v>
      </c>
      <c r="C45" s="1">
        <v>464</v>
      </c>
      <c r="D45" s="1">
        <v>1436</v>
      </c>
      <c r="E45" s="1">
        <v>2025</v>
      </c>
      <c r="F45" s="4" t="s">
        <v>9</v>
      </c>
      <c r="G45" s="2">
        <f t="shared" si="8"/>
        <v>0</v>
      </c>
      <c r="H45" s="3">
        <f t="shared" si="9"/>
        <v>972</v>
      </c>
    </row>
    <row r="46" spans="1:8" ht="27.75" customHeight="1">
      <c r="A46" s="1" t="s">
        <v>19</v>
      </c>
      <c r="B46" s="7" t="s">
        <v>24</v>
      </c>
      <c r="C46" s="1">
        <v>464</v>
      </c>
      <c r="D46" s="1">
        <v>1436</v>
      </c>
      <c r="E46" s="1">
        <v>2025</v>
      </c>
      <c r="F46" s="4" t="s">
        <v>9</v>
      </c>
      <c r="G46" s="2">
        <f t="shared" si="8"/>
        <v>0</v>
      </c>
      <c r="H46" s="3">
        <f t="shared" si="9"/>
        <v>972</v>
      </c>
    </row>
    <row r="47" spans="1:8" ht="27.75" customHeight="1">
      <c r="A47" s="1" t="s">
        <v>19</v>
      </c>
      <c r="B47" s="7" t="s">
        <v>25</v>
      </c>
      <c r="C47" s="1">
        <v>326</v>
      </c>
      <c r="D47" s="1">
        <v>1436</v>
      </c>
      <c r="E47" s="1">
        <v>2025</v>
      </c>
      <c r="F47" s="4" t="s">
        <v>9</v>
      </c>
      <c r="G47" s="2">
        <f t="shared" si="8"/>
        <v>0</v>
      </c>
      <c r="H47" s="3">
        <f t="shared" si="9"/>
        <v>1110</v>
      </c>
    </row>
    <row r="48" spans="1:8" ht="27.75" customHeight="1">
      <c r="A48" s="1" t="s">
        <v>19</v>
      </c>
      <c r="B48" s="7" t="s">
        <v>26</v>
      </c>
      <c r="C48" s="1">
        <v>464</v>
      </c>
      <c r="D48" s="1">
        <v>1436</v>
      </c>
      <c r="E48" s="1">
        <v>2025</v>
      </c>
      <c r="F48" s="4" t="s">
        <v>9</v>
      </c>
      <c r="G48" s="2">
        <f t="shared" si="8"/>
        <v>0</v>
      </c>
      <c r="H48" s="3">
        <f t="shared" si="9"/>
        <v>972</v>
      </c>
    </row>
    <row r="49" spans="1:8" ht="27.75" customHeight="1">
      <c r="A49" s="1" t="s">
        <v>19</v>
      </c>
      <c r="B49" s="7" t="s">
        <v>27</v>
      </c>
      <c r="C49" s="1">
        <v>326</v>
      </c>
      <c r="D49" s="1">
        <v>1436</v>
      </c>
      <c r="E49" s="1">
        <v>2025</v>
      </c>
      <c r="F49" s="4" t="s">
        <v>9</v>
      </c>
      <c r="G49" s="2">
        <f t="shared" si="8"/>
        <v>0</v>
      </c>
      <c r="H49" s="3">
        <f t="shared" si="9"/>
        <v>1110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P42" zoomScale="70" zoomScaleNormal="70" workbookViewId="0">
      <selection activeCell="AC49" sqref="AC4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839</v>
      </c>
      <c r="D13" s="10">
        <f>Table1[[#This Row],[Enrolment S.Y. 2025-2026 ]]*8</f>
        <v>6712</v>
      </c>
      <c r="E13" s="10">
        <v>115</v>
      </c>
      <c r="F13" s="8">
        <v>2025</v>
      </c>
      <c r="G13" s="10" t="s">
        <v>9</v>
      </c>
      <c r="H13" s="10">
        <f t="shared" si="0"/>
        <v>6597</v>
      </c>
      <c r="I13" s="10">
        <f t="shared" si="1"/>
        <v>0</v>
      </c>
      <c r="J13" s="10">
        <f>Table1[[#This Row],[Enrolment S.Y. 2025-2026 ]]*8</f>
        <v>6712</v>
      </c>
      <c r="K13" s="10"/>
      <c r="L13" s="8"/>
      <c r="M13" s="10"/>
      <c r="N13" s="10">
        <f t="shared" si="8"/>
        <v>6712</v>
      </c>
      <c r="O13" s="10">
        <f t="shared" si="9"/>
        <v>0</v>
      </c>
      <c r="P13" s="10">
        <f>Table1[[#This Row],[Enrolment S.Y. 2025-2026 ]]*8</f>
        <v>6712</v>
      </c>
      <c r="Q13" s="10"/>
      <c r="R13" s="8"/>
      <c r="S13" s="10"/>
      <c r="T13" s="10">
        <f t="shared" si="10"/>
        <v>6712</v>
      </c>
      <c r="U13" s="10">
        <f t="shared" si="11"/>
        <v>0</v>
      </c>
      <c r="V13" s="10">
        <f>Table1[[#This Row],[Enrolment S.Y. 2025-2026 ]]*8</f>
        <v>6712</v>
      </c>
      <c r="W13" s="10"/>
      <c r="X13" s="8"/>
      <c r="Y13" s="10"/>
      <c r="Z13" s="10">
        <f t="shared" si="12"/>
        <v>6712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839</v>
      </c>
      <c r="D14" s="10">
        <f>Table1[[#This Row],[Enrolment S.Y. 2025-2026 ]]*8</f>
        <v>6712</v>
      </c>
      <c r="E14" s="10">
        <v>115</v>
      </c>
      <c r="F14" s="8">
        <v>2025</v>
      </c>
      <c r="G14" s="10" t="s">
        <v>9</v>
      </c>
      <c r="H14" s="10">
        <f t="shared" si="0"/>
        <v>6597</v>
      </c>
      <c r="I14" s="10">
        <f t="shared" si="1"/>
        <v>0</v>
      </c>
      <c r="J14" s="10">
        <f>Table1[[#This Row],[Enrolment S.Y. 2025-2026 ]]*8</f>
        <v>6712</v>
      </c>
      <c r="K14" s="10"/>
      <c r="L14" s="8"/>
      <c r="M14" s="10"/>
      <c r="N14" s="10">
        <f t="shared" si="8"/>
        <v>6712</v>
      </c>
      <c r="O14" s="10">
        <f t="shared" si="9"/>
        <v>0</v>
      </c>
      <c r="P14" s="10">
        <f>Table1[[#This Row],[Enrolment S.Y. 2025-2026 ]]*8</f>
        <v>6712</v>
      </c>
      <c r="Q14" s="10"/>
      <c r="R14" s="8"/>
      <c r="S14" s="10"/>
      <c r="T14" s="10">
        <f t="shared" si="10"/>
        <v>6712</v>
      </c>
      <c r="U14" s="10">
        <f t="shared" si="11"/>
        <v>0</v>
      </c>
      <c r="V14" s="10">
        <f>Table1[[#This Row],[Enrolment S.Y. 2025-2026 ]]*8</f>
        <v>6712</v>
      </c>
      <c r="W14" s="10"/>
      <c r="X14" s="8"/>
      <c r="Y14" s="10"/>
      <c r="Z14" s="10">
        <f t="shared" si="12"/>
        <v>6712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839</v>
      </c>
      <c r="D15" s="10">
        <f>Table1[[#This Row],[Enrolment S.Y. 2025-2026 ]]*8</f>
        <v>6712</v>
      </c>
      <c r="E15" s="10">
        <v>115</v>
      </c>
      <c r="F15" s="8">
        <v>2025</v>
      </c>
      <c r="G15" s="10" t="s">
        <v>9</v>
      </c>
      <c r="H15" s="10">
        <f t="shared" si="0"/>
        <v>6597</v>
      </c>
      <c r="I15" s="10">
        <f t="shared" si="1"/>
        <v>0</v>
      </c>
      <c r="J15" s="10">
        <f>Table1[[#This Row],[Enrolment S.Y. 2025-2026 ]]*8</f>
        <v>6712</v>
      </c>
      <c r="K15" s="10"/>
      <c r="L15" s="8"/>
      <c r="M15" s="10"/>
      <c r="N15" s="10">
        <f t="shared" si="8"/>
        <v>6712</v>
      </c>
      <c r="O15" s="10">
        <f t="shared" si="9"/>
        <v>0</v>
      </c>
      <c r="P15" s="10">
        <f>Table1[[#This Row],[Enrolment S.Y. 2025-2026 ]]*8</f>
        <v>6712</v>
      </c>
      <c r="Q15" s="10"/>
      <c r="R15" s="8"/>
      <c r="S15" s="10"/>
      <c r="T15" s="10">
        <f t="shared" si="10"/>
        <v>6712</v>
      </c>
      <c r="U15" s="10">
        <f t="shared" si="11"/>
        <v>0</v>
      </c>
      <c r="V15" s="10">
        <f>Table1[[#This Row],[Enrolment S.Y. 2025-2026 ]]*8</f>
        <v>6712</v>
      </c>
      <c r="W15" s="10"/>
      <c r="X15" s="8"/>
      <c r="Y15" s="10"/>
      <c r="Z15" s="10">
        <f t="shared" si="12"/>
        <v>6712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839</v>
      </c>
      <c r="D16" s="10">
        <f>Table1[[#This Row],[Enrolment S.Y. 2025-2026 ]]*8</f>
        <v>6712</v>
      </c>
      <c r="E16" s="10">
        <v>115</v>
      </c>
      <c r="F16" s="8">
        <v>2025</v>
      </c>
      <c r="G16" s="10" t="s">
        <v>9</v>
      </c>
      <c r="H16" s="10">
        <f t="shared" si="0"/>
        <v>6597</v>
      </c>
      <c r="I16" s="10">
        <f t="shared" si="1"/>
        <v>0</v>
      </c>
      <c r="J16" s="10">
        <f>Table1[[#This Row],[Enrolment S.Y. 2025-2026 ]]*8</f>
        <v>6712</v>
      </c>
      <c r="K16" s="10"/>
      <c r="L16" s="8"/>
      <c r="M16" s="10"/>
      <c r="N16" s="10">
        <f t="shared" si="8"/>
        <v>6712</v>
      </c>
      <c r="O16" s="10">
        <f t="shared" si="9"/>
        <v>0</v>
      </c>
      <c r="P16" s="10">
        <f>Table1[[#This Row],[Enrolment S.Y. 2025-2026 ]]*8</f>
        <v>6712</v>
      </c>
      <c r="Q16" s="10"/>
      <c r="R16" s="8"/>
      <c r="S16" s="10"/>
      <c r="T16" s="10">
        <f t="shared" si="10"/>
        <v>6712</v>
      </c>
      <c r="U16" s="10">
        <f t="shared" si="11"/>
        <v>0</v>
      </c>
      <c r="V16" s="10">
        <f>Table1[[#This Row],[Enrolment S.Y. 2025-2026 ]]*8</f>
        <v>6712</v>
      </c>
      <c r="W16" s="10"/>
      <c r="X16" s="8"/>
      <c r="Y16" s="10"/>
      <c r="Z16" s="10">
        <f t="shared" si="12"/>
        <v>6712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839</v>
      </c>
      <c r="D17" s="10">
        <f>Table1[[#This Row],[Enrolment S.Y. 2025-2026 ]]*8</f>
        <v>6712</v>
      </c>
      <c r="E17" s="10">
        <v>115</v>
      </c>
      <c r="F17" s="8">
        <v>2025</v>
      </c>
      <c r="G17" s="10" t="s">
        <v>9</v>
      </c>
      <c r="H17" s="10">
        <f t="shared" si="0"/>
        <v>6597</v>
      </c>
      <c r="I17" s="10">
        <f t="shared" si="1"/>
        <v>0</v>
      </c>
      <c r="J17" s="10">
        <f>Table1[[#This Row],[Enrolment S.Y. 2025-2026 ]]*8</f>
        <v>6712</v>
      </c>
      <c r="K17" s="10"/>
      <c r="L17" s="8"/>
      <c r="M17" s="10"/>
      <c r="N17" s="10">
        <f t="shared" si="8"/>
        <v>6712</v>
      </c>
      <c r="O17" s="10">
        <f t="shared" si="9"/>
        <v>0</v>
      </c>
      <c r="P17" s="10">
        <f>Table1[[#This Row],[Enrolment S.Y. 2025-2026 ]]*8</f>
        <v>6712</v>
      </c>
      <c r="Q17" s="10"/>
      <c r="R17" s="8"/>
      <c r="S17" s="10"/>
      <c r="T17" s="10">
        <f t="shared" si="10"/>
        <v>6712</v>
      </c>
      <c r="U17" s="10">
        <f t="shared" si="11"/>
        <v>0</v>
      </c>
      <c r="V17" s="10">
        <f>Table1[[#This Row],[Enrolment S.Y. 2025-2026 ]]*8</f>
        <v>6712</v>
      </c>
      <c r="W17" s="10"/>
      <c r="X17" s="8"/>
      <c r="Y17" s="10"/>
      <c r="Z17" s="10">
        <f t="shared" si="12"/>
        <v>6712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839</v>
      </c>
      <c r="D18" s="10">
        <f>Table1[[#This Row],[Enrolment S.Y. 2025-2026 ]]*8</f>
        <v>6712</v>
      </c>
      <c r="E18" s="10">
        <v>115</v>
      </c>
      <c r="F18" s="8">
        <v>2025</v>
      </c>
      <c r="G18" s="10" t="s">
        <v>9</v>
      </c>
      <c r="H18" s="10">
        <f t="shared" ref="H18:H67" si="14">IF((D18-E18)&lt;0,0,(D18-E18))</f>
        <v>6597</v>
      </c>
      <c r="I18" s="10">
        <f t="shared" ref="I18:I67" si="15">IF((E18-D18)&lt;0,0,(E18-D18))</f>
        <v>0</v>
      </c>
      <c r="J18" s="10">
        <f>Table1[[#This Row],[Enrolment S.Y. 2025-2026 ]]*8</f>
        <v>6712</v>
      </c>
      <c r="K18" s="10"/>
      <c r="L18" s="8"/>
      <c r="M18" s="10"/>
      <c r="N18" s="10">
        <f t="shared" si="8"/>
        <v>6712</v>
      </c>
      <c r="O18" s="10">
        <f t="shared" si="9"/>
        <v>0</v>
      </c>
      <c r="P18" s="10">
        <f>Table1[[#This Row],[Enrolment S.Y. 2025-2026 ]]*8</f>
        <v>6712</v>
      </c>
      <c r="Q18" s="10"/>
      <c r="R18" s="8"/>
      <c r="S18" s="10"/>
      <c r="T18" s="10">
        <f t="shared" si="10"/>
        <v>6712</v>
      </c>
      <c r="U18" s="10">
        <f t="shared" si="11"/>
        <v>0</v>
      </c>
      <c r="V18" s="10">
        <f>Table1[[#This Row],[Enrolment S.Y. 2025-2026 ]]*8</f>
        <v>6712</v>
      </c>
      <c r="W18" s="10"/>
      <c r="X18" s="8"/>
      <c r="Y18" s="10"/>
      <c r="Z18" s="10">
        <f t="shared" si="12"/>
        <v>6712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839</v>
      </c>
      <c r="D19" s="10">
        <f>Table1[[#This Row],[Enrolment S.Y. 2025-2026 ]]*8</f>
        <v>6712</v>
      </c>
      <c r="E19" s="10">
        <v>115</v>
      </c>
      <c r="F19" s="8">
        <v>2025</v>
      </c>
      <c r="G19" s="10" t="s">
        <v>9</v>
      </c>
      <c r="H19" s="10">
        <f t="shared" si="14"/>
        <v>6597</v>
      </c>
      <c r="I19" s="10">
        <f t="shared" si="15"/>
        <v>0</v>
      </c>
      <c r="J19" s="10">
        <f>Table1[[#This Row],[Enrolment S.Y. 2025-2026 ]]*8</f>
        <v>6712</v>
      </c>
      <c r="K19" s="10"/>
      <c r="L19" s="8"/>
      <c r="M19" s="10"/>
      <c r="N19" s="10">
        <f t="shared" si="8"/>
        <v>6712</v>
      </c>
      <c r="O19" s="10">
        <f t="shared" si="9"/>
        <v>0</v>
      </c>
      <c r="P19" s="10">
        <f>Table1[[#This Row],[Enrolment S.Y. 2025-2026 ]]*8</f>
        <v>6712</v>
      </c>
      <c r="Q19" s="10"/>
      <c r="R19" s="8"/>
      <c r="S19" s="10"/>
      <c r="T19" s="10">
        <f t="shared" si="10"/>
        <v>6712</v>
      </c>
      <c r="U19" s="10">
        <f t="shared" si="11"/>
        <v>0</v>
      </c>
      <c r="V19" s="10">
        <f>Table1[[#This Row],[Enrolment S.Y. 2025-2026 ]]*8</f>
        <v>6712</v>
      </c>
      <c r="W19" s="10"/>
      <c r="X19" s="8"/>
      <c r="Y19" s="10"/>
      <c r="Z19" s="10">
        <f t="shared" si="12"/>
        <v>6712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839</v>
      </c>
      <c r="D20" s="10">
        <f>Table1[[#This Row],[Enrolment S.Y. 2025-2026 ]]*8</f>
        <v>6712</v>
      </c>
      <c r="E20" s="10">
        <v>115</v>
      </c>
      <c r="F20" s="8">
        <v>2025</v>
      </c>
      <c r="G20" s="10" t="s">
        <v>9</v>
      </c>
      <c r="H20" s="10">
        <f t="shared" si="14"/>
        <v>6597</v>
      </c>
      <c r="I20" s="10">
        <f t="shared" si="15"/>
        <v>0</v>
      </c>
      <c r="J20" s="10">
        <f>Table1[[#This Row],[Enrolment S.Y. 2025-2026 ]]*8</f>
        <v>6712</v>
      </c>
      <c r="K20" s="10"/>
      <c r="L20" s="8"/>
      <c r="M20" s="10"/>
      <c r="N20" s="10">
        <f t="shared" si="8"/>
        <v>6712</v>
      </c>
      <c r="O20" s="10">
        <f t="shared" si="9"/>
        <v>0</v>
      </c>
      <c r="P20" s="10">
        <f>Table1[[#This Row],[Enrolment S.Y. 2025-2026 ]]*8</f>
        <v>6712</v>
      </c>
      <c r="Q20" s="10"/>
      <c r="R20" s="8"/>
      <c r="S20" s="10"/>
      <c r="T20" s="10">
        <f t="shared" si="10"/>
        <v>6712</v>
      </c>
      <c r="U20" s="10">
        <f t="shared" si="11"/>
        <v>0</v>
      </c>
      <c r="V20" s="10">
        <f>Table1[[#This Row],[Enrolment S.Y. 2025-2026 ]]*8</f>
        <v>6712</v>
      </c>
      <c r="W20" s="10"/>
      <c r="X20" s="8"/>
      <c r="Y20" s="10"/>
      <c r="Z20" s="10">
        <f t="shared" si="12"/>
        <v>6712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839</v>
      </c>
      <c r="D21" s="10">
        <f>Table1[[#This Row],[Enrolment S.Y. 2025-2026 ]]*8</f>
        <v>6712</v>
      </c>
      <c r="E21" s="10">
        <v>115</v>
      </c>
      <c r="F21" s="8">
        <v>2025</v>
      </c>
      <c r="G21" s="10" t="s">
        <v>9</v>
      </c>
      <c r="H21" s="10">
        <f t="shared" si="14"/>
        <v>6597</v>
      </c>
      <c r="I21" s="10">
        <f t="shared" si="15"/>
        <v>0</v>
      </c>
      <c r="J21" s="10">
        <f>Table1[[#This Row],[Enrolment S.Y. 2025-2026 ]]*8</f>
        <v>6712</v>
      </c>
      <c r="K21" s="10"/>
      <c r="L21" s="8"/>
      <c r="M21" s="10"/>
      <c r="N21" s="10">
        <f t="shared" si="8"/>
        <v>6712</v>
      </c>
      <c r="O21" s="10">
        <f t="shared" si="9"/>
        <v>0</v>
      </c>
      <c r="P21" s="10">
        <f>Table1[[#This Row],[Enrolment S.Y. 2025-2026 ]]*8</f>
        <v>6712</v>
      </c>
      <c r="Q21" s="10"/>
      <c r="R21" s="8"/>
      <c r="S21" s="10"/>
      <c r="T21" s="10">
        <f t="shared" si="10"/>
        <v>6712</v>
      </c>
      <c r="U21" s="10">
        <f t="shared" si="11"/>
        <v>0</v>
      </c>
      <c r="V21" s="10">
        <f>Table1[[#This Row],[Enrolment S.Y. 2025-2026 ]]*8</f>
        <v>6712</v>
      </c>
      <c r="W21" s="10"/>
      <c r="X21" s="8"/>
      <c r="Y21" s="10"/>
      <c r="Z21" s="10">
        <f t="shared" si="12"/>
        <v>6712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R52:R67 R43:R50 R33:R41 R23:R31 R13:R21 R3:R11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Q25" zoomScale="55" zoomScaleNormal="55" workbookViewId="0">
      <selection activeCell="AB52" sqref="AB5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>
        <v>1120</v>
      </c>
      <c r="X27" s="8"/>
      <c r="Y27" s="10"/>
      <c r="Z27" s="10">
        <f t="shared" si="12"/>
        <v>0</v>
      </c>
      <c r="AA27" s="10">
        <f t="shared" si="13"/>
        <v>1120</v>
      </c>
    </row>
    <row r="28" spans="1:27" ht="19.5">
      <c r="A28" s="8">
        <v>9</v>
      </c>
      <c r="B28" s="9" t="s">
        <v>10</v>
      </c>
      <c r="C28" s="8">
        <v>875</v>
      </c>
      <c r="D28" s="10">
        <f>Table14[[#This Row],[Enrolment S.Y. 2025-2026 ]]*8</f>
        <v>7000</v>
      </c>
      <c r="E28" s="10">
        <v>102</v>
      </c>
      <c r="F28" s="8">
        <v>2025</v>
      </c>
      <c r="G28" s="10" t="s">
        <v>9</v>
      </c>
      <c r="H28" s="10">
        <f t="shared" si="16"/>
        <v>6898</v>
      </c>
      <c r="I28" s="10">
        <f t="shared" si="17"/>
        <v>0</v>
      </c>
      <c r="J28" s="10">
        <f>Table14[[#This Row],[Enrolment S.Y. 2025-2026 ]]*8</f>
        <v>7000</v>
      </c>
      <c r="K28" s="10">
        <v>560</v>
      </c>
      <c r="L28" s="8">
        <v>2025</v>
      </c>
      <c r="M28" s="10" t="s">
        <v>9</v>
      </c>
      <c r="N28" s="10">
        <f t="shared" si="14"/>
        <v>6440</v>
      </c>
      <c r="O28" s="10">
        <f t="shared" si="15"/>
        <v>0</v>
      </c>
      <c r="P28" s="10">
        <f>Table14[[#This Row],[Enrolment S.Y. 2025-2026 ]]*8</f>
        <v>7000</v>
      </c>
      <c r="Q28" s="10">
        <v>400</v>
      </c>
      <c r="R28" s="8">
        <v>2025</v>
      </c>
      <c r="S28" s="10" t="s">
        <v>9</v>
      </c>
      <c r="T28" s="10">
        <f t="shared" si="10"/>
        <v>6600</v>
      </c>
      <c r="U28" s="10">
        <f t="shared" si="11"/>
        <v>0</v>
      </c>
      <c r="V28" s="10">
        <f>Table14[[#This Row],[Enrolment S.Y. 2025-2026 ]]*8</f>
        <v>7000</v>
      </c>
      <c r="W28" s="10">
        <v>560</v>
      </c>
      <c r="X28" s="8">
        <v>2025</v>
      </c>
      <c r="Y28" s="10" t="s">
        <v>9</v>
      </c>
      <c r="Z28" s="10">
        <f t="shared" si="12"/>
        <v>6440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875</v>
      </c>
      <c r="D29" s="10">
        <f>Table14[[#This Row],[Enrolment S.Y. 2025-2026 ]]*8</f>
        <v>7000</v>
      </c>
      <c r="E29" s="10">
        <v>391</v>
      </c>
      <c r="F29" s="8">
        <v>2025</v>
      </c>
      <c r="G29" s="10" t="s">
        <v>9</v>
      </c>
      <c r="H29" s="10">
        <f t="shared" si="16"/>
        <v>6609</v>
      </c>
      <c r="I29" s="10">
        <f t="shared" si="17"/>
        <v>0</v>
      </c>
      <c r="J29" s="10">
        <f>Table14[[#This Row],[Enrolment S.Y. 2025-2026 ]]*8</f>
        <v>7000</v>
      </c>
      <c r="K29" s="10">
        <v>800</v>
      </c>
      <c r="L29" s="8">
        <v>2025</v>
      </c>
      <c r="M29" s="10" t="s">
        <v>9</v>
      </c>
      <c r="N29" s="10">
        <f t="shared" si="14"/>
        <v>6200</v>
      </c>
      <c r="O29" s="10">
        <f t="shared" si="15"/>
        <v>0</v>
      </c>
      <c r="P29" s="10">
        <f>Table14[[#This Row],[Enrolment S.Y. 2025-2026 ]]*8</f>
        <v>7000</v>
      </c>
      <c r="Q29" s="10">
        <v>1280</v>
      </c>
      <c r="R29" s="8">
        <v>2025</v>
      </c>
      <c r="S29" s="10" t="s">
        <v>9</v>
      </c>
      <c r="T29" s="10">
        <f t="shared" si="10"/>
        <v>5720</v>
      </c>
      <c r="U29" s="10">
        <f t="shared" si="11"/>
        <v>0</v>
      </c>
      <c r="V29" s="10">
        <f>Table14[[#This Row],[Enrolment S.Y. 2025-2026 ]]*8</f>
        <v>7000</v>
      </c>
      <c r="W29" s="10">
        <v>720</v>
      </c>
      <c r="X29" s="8">
        <v>2025</v>
      </c>
      <c r="Y29" s="10" t="s">
        <v>9</v>
      </c>
      <c r="Z29" s="10">
        <f t="shared" si="12"/>
        <v>6280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875</v>
      </c>
      <c r="D30" s="10">
        <f>Table14[[#This Row],[Enrolment S.Y. 2025-2026 ]]*8</f>
        <v>7000</v>
      </c>
      <c r="E30" s="10"/>
      <c r="F30" s="8"/>
      <c r="G30" s="10"/>
      <c r="H30" s="10">
        <f t="shared" si="16"/>
        <v>7000</v>
      </c>
      <c r="I30" s="10">
        <f t="shared" si="17"/>
        <v>0</v>
      </c>
      <c r="J30" s="10">
        <f>Table14[[#This Row],[Enrolment S.Y. 2025-2026 ]]*8</f>
        <v>7000</v>
      </c>
      <c r="K30" s="10"/>
      <c r="L30" s="8"/>
      <c r="M30" s="10"/>
      <c r="N30" s="10">
        <f t="shared" si="14"/>
        <v>7000</v>
      </c>
      <c r="O30" s="10">
        <f t="shared" si="15"/>
        <v>0</v>
      </c>
      <c r="P30" s="10">
        <f>Table14[[#This Row],[Enrolment S.Y. 2025-2026 ]]*8</f>
        <v>7000</v>
      </c>
      <c r="Q30" s="10">
        <v>400</v>
      </c>
      <c r="R30" s="8"/>
      <c r="S30" s="10"/>
      <c r="T30" s="10">
        <f t="shared" si="10"/>
        <v>6600</v>
      </c>
      <c r="U30" s="10">
        <f t="shared" si="11"/>
        <v>0</v>
      </c>
      <c r="V30" s="10">
        <f>Table14[[#This Row],[Enrolment S.Y. 2025-2026 ]]*8</f>
        <v>7000</v>
      </c>
      <c r="W30" s="10">
        <v>640</v>
      </c>
      <c r="X30" s="8">
        <v>2025</v>
      </c>
      <c r="Y30" s="10" t="s">
        <v>9</v>
      </c>
      <c r="Z30" s="10">
        <f t="shared" si="12"/>
        <v>6360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875</v>
      </c>
      <c r="D31" s="10">
        <f>Table14[[#This Row],[Enrolment S.Y. 2025-2026 ]]*8</f>
        <v>7000</v>
      </c>
      <c r="E31" s="10"/>
      <c r="F31" s="8"/>
      <c r="G31" s="10"/>
      <c r="H31" s="10">
        <f t="shared" si="16"/>
        <v>7000</v>
      </c>
      <c r="I31" s="10">
        <f t="shared" si="17"/>
        <v>0</v>
      </c>
      <c r="J31" s="10">
        <f>Table14[[#This Row],[Enrolment S.Y. 2025-2026 ]]*8</f>
        <v>7000</v>
      </c>
      <c r="K31" s="10"/>
      <c r="L31" s="8"/>
      <c r="M31" s="10"/>
      <c r="N31" s="10">
        <f t="shared" si="14"/>
        <v>7000</v>
      </c>
      <c r="O31" s="10">
        <f t="shared" si="15"/>
        <v>0</v>
      </c>
      <c r="P31" s="10">
        <f>Table14[[#This Row],[Enrolment S.Y. 2025-2026 ]]*8</f>
        <v>7000</v>
      </c>
      <c r="Q31" s="10">
        <v>480</v>
      </c>
      <c r="R31" s="8"/>
      <c r="S31" s="10"/>
      <c r="T31" s="10">
        <f t="shared" si="10"/>
        <v>6520</v>
      </c>
      <c r="U31" s="10">
        <f t="shared" si="11"/>
        <v>0</v>
      </c>
      <c r="V31" s="10">
        <f>Table14[[#This Row],[Enrolment S.Y. 2025-2026 ]]*8</f>
        <v>7000</v>
      </c>
      <c r="W31" s="10">
        <v>320</v>
      </c>
      <c r="X31" s="8">
        <v>2025</v>
      </c>
      <c r="Y31" s="10" t="s">
        <v>9</v>
      </c>
      <c r="Z31" s="10">
        <f t="shared" si="12"/>
        <v>6680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875</v>
      </c>
      <c r="D32" s="10">
        <f>Table14[[#This Row],[Enrolment S.Y. 2025-2026 ]]*8</f>
        <v>7000</v>
      </c>
      <c r="E32" s="10"/>
      <c r="F32" s="8"/>
      <c r="G32" s="10"/>
      <c r="H32" s="10">
        <f t="shared" si="16"/>
        <v>7000</v>
      </c>
      <c r="I32" s="10">
        <f t="shared" si="17"/>
        <v>0</v>
      </c>
      <c r="J32" s="10">
        <f>Table14[[#This Row],[Enrolment S.Y. 2025-2026 ]]*8</f>
        <v>7000</v>
      </c>
      <c r="K32" s="10"/>
      <c r="L32" s="8"/>
      <c r="M32" s="10"/>
      <c r="N32" s="10">
        <f t="shared" si="14"/>
        <v>7000</v>
      </c>
      <c r="O32" s="10">
        <f t="shared" si="15"/>
        <v>0</v>
      </c>
      <c r="P32" s="10">
        <f>Table14[[#This Row],[Enrolment S.Y. 2025-2026 ]]*8</f>
        <v>7000</v>
      </c>
      <c r="Q32" s="10">
        <v>480</v>
      </c>
      <c r="R32" s="8"/>
      <c r="S32" s="10"/>
      <c r="T32" s="10">
        <f t="shared" si="10"/>
        <v>6520</v>
      </c>
      <c r="U32" s="10">
        <f t="shared" si="11"/>
        <v>0</v>
      </c>
      <c r="V32" s="10">
        <f>Table14[[#This Row],[Enrolment S.Y. 2025-2026 ]]*8</f>
        <v>7000</v>
      </c>
      <c r="W32" s="10">
        <v>800</v>
      </c>
      <c r="X32" s="8">
        <v>2025</v>
      </c>
      <c r="Y32" s="10" t="s">
        <v>9</v>
      </c>
      <c r="Z32" s="10">
        <f t="shared" si="12"/>
        <v>6200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>
        <v>640</v>
      </c>
      <c r="X33" s="8"/>
      <c r="Y33" s="10"/>
      <c r="Z33" s="10">
        <f>IF((V33-W33)&lt;0,0,(V33-W33))</f>
        <v>0</v>
      </c>
      <c r="AA33" s="10">
        <f>IF((W33-V33)&lt;0,0,(W33-V33))</f>
        <v>640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>
        <v>640</v>
      </c>
      <c r="X34" s="8"/>
      <c r="Y34" s="10"/>
      <c r="Z34" s="10">
        <f t="shared" si="12"/>
        <v>0</v>
      </c>
      <c r="AA34" s="10">
        <f t="shared" si="13"/>
        <v>640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>
        <v>875</v>
      </c>
      <c r="D36" s="10">
        <f>Table14[[#This Row],[Enrolment S.Y. 2025-2026 ]]*8</f>
        <v>7000</v>
      </c>
      <c r="E36" s="10"/>
      <c r="F36" s="8"/>
      <c r="G36" s="10"/>
      <c r="H36" s="10">
        <f>IF((D36-E36)&lt;0,0,(D36-E36))</f>
        <v>7000</v>
      </c>
      <c r="I36" s="10">
        <f>IF((E36-D36)&lt;0,0,(E36-D36))</f>
        <v>0</v>
      </c>
      <c r="J36" s="10">
        <f>Table14[[#This Row],[Enrolment S.Y. 2025-2026 ]]*8</f>
        <v>7000</v>
      </c>
      <c r="K36" s="10"/>
      <c r="L36" s="8"/>
      <c r="M36" s="10"/>
      <c r="N36" s="10">
        <f t="shared" si="20"/>
        <v>7000</v>
      </c>
      <c r="O36" s="10">
        <f t="shared" si="21"/>
        <v>0</v>
      </c>
      <c r="P36" s="10">
        <f>Table14[[#This Row],[Enrolment S.Y. 2025-2026 ]]*8</f>
        <v>7000</v>
      </c>
      <c r="Q36" s="10">
        <v>560</v>
      </c>
      <c r="R36" s="8"/>
      <c r="S36" s="10"/>
      <c r="T36" s="10">
        <f>IF((P36-Q36)&lt;0,0,(P36-Q36))</f>
        <v>6440</v>
      </c>
      <c r="U36" s="10">
        <f>IF((Q36-P36)&lt;0,0,(Q36-P36))</f>
        <v>0</v>
      </c>
      <c r="V36" s="10">
        <f>Table14[[#This Row],[Enrolment S.Y. 2025-2026 ]]*8</f>
        <v>7000</v>
      </c>
      <c r="W36" s="10">
        <v>400</v>
      </c>
      <c r="X36" s="8">
        <v>2025</v>
      </c>
      <c r="Y36" s="10" t="s">
        <v>9</v>
      </c>
      <c r="Z36" s="10">
        <f>IF((V36-W36)&lt;0,0,(V36-W36))</f>
        <v>6600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875</v>
      </c>
      <c r="D37" s="10">
        <f>Table14[[#This Row],[Enrolment S.Y. 2025-2026 ]]*8</f>
        <v>7000</v>
      </c>
      <c r="E37" s="10"/>
      <c r="F37" s="8"/>
      <c r="G37" s="10"/>
      <c r="H37" s="10">
        <f t="shared" si="16"/>
        <v>7000</v>
      </c>
      <c r="I37" s="10">
        <f t="shared" si="17"/>
        <v>0</v>
      </c>
      <c r="J37" s="10">
        <f>Table14[[#This Row],[Enrolment S.Y. 2025-2026 ]]*8</f>
        <v>7000</v>
      </c>
      <c r="K37" s="10"/>
      <c r="L37" s="8"/>
      <c r="M37" s="10"/>
      <c r="N37" s="10">
        <f t="shared" si="20"/>
        <v>7000</v>
      </c>
      <c r="O37" s="10">
        <f t="shared" si="21"/>
        <v>0</v>
      </c>
      <c r="P37" s="10">
        <f>Table14[[#This Row],[Enrolment S.Y. 2025-2026 ]]*8</f>
        <v>7000</v>
      </c>
      <c r="Q37" s="10">
        <v>240</v>
      </c>
      <c r="R37" s="8"/>
      <c r="S37" s="10"/>
      <c r="T37" s="10">
        <f t="shared" si="10"/>
        <v>6760</v>
      </c>
      <c r="U37" s="10">
        <f t="shared" si="11"/>
        <v>0</v>
      </c>
      <c r="V37" s="10">
        <f>Table14[[#This Row],[Enrolment S.Y. 2025-2026 ]]*8</f>
        <v>7000</v>
      </c>
      <c r="W37" s="10">
        <v>400</v>
      </c>
      <c r="X37" s="8">
        <v>2025</v>
      </c>
      <c r="Y37" s="10" t="s">
        <v>9</v>
      </c>
      <c r="Z37" s="10">
        <f t="shared" si="12"/>
        <v>6600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916</v>
      </c>
      <c r="D39" s="10">
        <f>Table14[[#This Row],[Enrolment S.Y. 2025-2026 ]]*8</f>
        <v>7328</v>
      </c>
      <c r="E39" s="10">
        <v>112</v>
      </c>
      <c r="F39" s="8">
        <v>2025</v>
      </c>
      <c r="G39" s="10" t="s">
        <v>9</v>
      </c>
      <c r="H39" s="10">
        <f t="shared" si="16"/>
        <v>7216</v>
      </c>
      <c r="I39" s="10">
        <f t="shared" si="17"/>
        <v>0</v>
      </c>
      <c r="J39" s="10">
        <f>Table14[[#This Row],[Enrolment S.Y. 2025-2026 ]]*8</f>
        <v>7328</v>
      </c>
      <c r="K39" s="10">
        <v>616</v>
      </c>
      <c r="L39" s="8">
        <v>2025</v>
      </c>
      <c r="M39" s="10" t="s">
        <v>9</v>
      </c>
      <c r="N39" s="10">
        <f t="shared" si="14"/>
        <v>6712</v>
      </c>
      <c r="O39" s="10">
        <f t="shared" si="15"/>
        <v>0</v>
      </c>
      <c r="P39" s="10">
        <f>Table14[[#This Row],[Enrolment S.Y. 2025-2026 ]]*8</f>
        <v>7328</v>
      </c>
      <c r="Q39" s="10">
        <v>385</v>
      </c>
      <c r="R39" s="8">
        <v>2025</v>
      </c>
      <c r="S39" s="10" t="s">
        <v>9</v>
      </c>
      <c r="T39" s="10">
        <f t="shared" si="10"/>
        <v>6943</v>
      </c>
      <c r="U39" s="10">
        <f t="shared" si="11"/>
        <v>0</v>
      </c>
      <c r="V39" s="10">
        <f>Table14[[#This Row],[Enrolment S.Y. 2025-2026 ]]*8</f>
        <v>7328</v>
      </c>
      <c r="W39" s="10">
        <v>231</v>
      </c>
      <c r="X39" s="8">
        <v>2025</v>
      </c>
      <c r="Y39" s="10" t="s">
        <v>9</v>
      </c>
      <c r="Z39" s="10">
        <f t="shared" si="12"/>
        <v>7097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916</v>
      </c>
      <c r="D40" s="10">
        <f>Table14[[#This Row],[Enrolment S.Y. 2025-2026 ]]*8</f>
        <v>7328</v>
      </c>
      <c r="E40" s="10">
        <v>98</v>
      </c>
      <c r="F40" s="8">
        <v>2025</v>
      </c>
      <c r="G40" s="10" t="s">
        <v>9</v>
      </c>
      <c r="H40" s="10">
        <f t="shared" si="16"/>
        <v>7230</v>
      </c>
      <c r="I40" s="10">
        <f t="shared" si="17"/>
        <v>0</v>
      </c>
      <c r="J40" s="10">
        <f>Table14[[#This Row],[Enrolment S.Y. 2025-2026 ]]*8</f>
        <v>7328</v>
      </c>
      <c r="K40" s="10"/>
      <c r="L40" s="8"/>
      <c r="M40" s="10"/>
      <c r="N40" s="10">
        <f t="shared" si="14"/>
        <v>7328</v>
      </c>
      <c r="O40" s="10">
        <f t="shared" si="15"/>
        <v>0</v>
      </c>
      <c r="P40" s="10">
        <f>Table14[[#This Row],[Enrolment S.Y. 2025-2026 ]]*8</f>
        <v>7328</v>
      </c>
      <c r="Q40" s="10">
        <v>539</v>
      </c>
      <c r="R40" s="8">
        <v>2025</v>
      </c>
      <c r="S40" s="10" t="s">
        <v>9</v>
      </c>
      <c r="T40" s="10">
        <f t="shared" si="10"/>
        <v>6789</v>
      </c>
      <c r="U40" s="10">
        <f t="shared" si="11"/>
        <v>0</v>
      </c>
      <c r="V40" s="10">
        <f>Table14[[#This Row],[Enrolment S.Y. 2025-2026 ]]*8</f>
        <v>7328</v>
      </c>
      <c r="W40" s="10">
        <v>539</v>
      </c>
      <c r="X40" s="8">
        <v>2025</v>
      </c>
      <c r="Y40" s="10" t="s">
        <v>9</v>
      </c>
      <c r="Z40" s="10">
        <f t="shared" si="12"/>
        <v>6789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916</v>
      </c>
      <c r="D41" s="10">
        <f>Table14[[#This Row],[Enrolment S.Y. 2025-2026 ]]*8</f>
        <v>7328</v>
      </c>
      <c r="E41" s="10">
        <v>140</v>
      </c>
      <c r="F41" s="8">
        <v>2025</v>
      </c>
      <c r="G41" s="10" t="s">
        <v>9</v>
      </c>
      <c r="H41" s="10">
        <f t="shared" si="16"/>
        <v>7188</v>
      </c>
      <c r="I41" s="10">
        <f t="shared" si="17"/>
        <v>0</v>
      </c>
      <c r="J41" s="10">
        <f>Table14[[#This Row],[Enrolment S.Y. 2025-2026 ]]*8</f>
        <v>7328</v>
      </c>
      <c r="K41" s="10">
        <v>693</v>
      </c>
      <c r="L41" s="8">
        <v>2025</v>
      </c>
      <c r="M41" s="10" t="s">
        <v>9</v>
      </c>
      <c r="N41" s="10">
        <f t="shared" si="14"/>
        <v>6635</v>
      </c>
      <c r="O41" s="10">
        <f t="shared" si="15"/>
        <v>0</v>
      </c>
      <c r="P41" s="10">
        <f>Table14[[#This Row],[Enrolment S.Y. 2025-2026 ]]*8</f>
        <v>7328</v>
      </c>
      <c r="Q41" s="10">
        <v>539</v>
      </c>
      <c r="R41" s="8">
        <v>2025</v>
      </c>
      <c r="S41" s="10" t="s">
        <v>9</v>
      </c>
      <c r="T41" s="10">
        <f t="shared" si="10"/>
        <v>6789</v>
      </c>
      <c r="U41" s="10">
        <f t="shared" si="11"/>
        <v>0</v>
      </c>
      <c r="V41" s="10">
        <f>Table14[[#This Row],[Enrolment S.Y. 2025-2026 ]]*8</f>
        <v>7328</v>
      </c>
      <c r="W41" s="10">
        <v>308</v>
      </c>
      <c r="X41" s="8">
        <v>2025</v>
      </c>
      <c r="Y41" s="10" t="s">
        <v>9</v>
      </c>
      <c r="Z41" s="10">
        <f t="shared" si="12"/>
        <v>7020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916</v>
      </c>
      <c r="D42" s="10">
        <f>Table14[[#This Row],[Enrolment S.Y. 2025-2026 ]]*8</f>
        <v>7328</v>
      </c>
      <c r="E42" s="10"/>
      <c r="F42" s="8"/>
      <c r="G42" s="10"/>
      <c r="H42" s="10">
        <f t="shared" si="16"/>
        <v>7328</v>
      </c>
      <c r="I42" s="10">
        <f t="shared" si="17"/>
        <v>0</v>
      </c>
      <c r="J42" s="10">
        <f>Table14[[#This Row],[Enrolment S.Y. 2025-2026 ]]*8</f>
        <v>7328</v>
      </c>
      <c r="K42" s="10"/>
      <c r="L42" s="8"/>
      <c r="M42" s="10"/>
      <c r="N42" s="10">
        <f t="shared" si="14"/>
        <v>7328</v>
      </c>
      <c r="O42" s="10">
        <f t="shared" si="15"/>
        <v>0</v>
      </c>
      <c r="P42" s="10">
        <f>Table14[[#This Row],[Enrolment S.Y. 2025-2026 ]]*8</f>
        <v>7328</v>
      </c>
      <c r="Q42" s="10">
        <v>539</v>
      </c>
      <c r="R42" s="8">
        <v>2025</v>
      </c>
      <c r="S42" s="10" t="s">
        <v>9</v>
      </c>
      <c r="T42" s="10">
        <f t="shared" si="10"/>
        <v>6789</v>
      </c>
      <c r="U42" s="10">
        <f t="shared" si="11"/>
        <v>0</v>
      </c>
      <c r="V42" s="10">
        <f>Table14[[#This Row],[Enrolment S.Y. 2025-2026 ]]*8</f>
        <v>7328</v>
      </c>
      <c r="W42" s="10">
        <v>308</v>
      </c>
      <c r="X42" s="8">
        <v>2025</v>
      </c>
      <c r="Y42" s="10" t="s">
        <v>9</v>
      </c>
      <c r="Z42" s="10">
        <f t="shared" si="12"/>
        <v>7020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916</v>
      </c>
      <c r="D43" s="10">
        <f>Table14[[#This Row],[Enrolment S.Y. 2025-2026 ]]*8</f>
        <v>7328</v>
      </c>
      <c r="E43" s="10"/>
      <c r="F43" s="8"/>
      <c r="G43" s="10"/>
      <c r="H43" s="10">
        <f t="shared" si="16"/>
        <v>7328</v>
      </c>
      <c r="I43" s="10">
        <f t="shared" si="17"/>
        <v>0</v>
      </c>
      <c r="J43" s="10">
        <f>Table14[[#This Row],[Enrolment S.Y. 2025-2026 ]]*8</f>
        <v>7328</v>
      </c>
      <c r="K43" s="10"/>
      <c r="L43" s="8"/>
      <c r="M43" s="10"/>
      <c r="N43" s="10">
        <f t="shared" si="14"/>
        <v>7328</v>
      </c>
      <c r="O43" s="10">
        <f t="shared" si="15"/>
        <v>0</v>
      </c>
      <c r="P43" s="10">
        <f>Table14[[#This Row],[Enrolment S.Y. 2025-2026 ]]*8</f>
        <v>7328</v>
      </c>
      <c r="Q43" s="10">
        <v>308</v>
      </c>
      <c r="R43" s="8">
        <v>2025</v>
      </c>
      <c r="S43" s="10" t="s">
        <v>9</v>
      </c>
      <c r="T43" s="10">
        <f t="shared" si="10"/>
        <v>7020</v>
      </c>
      <c r="U43" s="10">
        <f t="shared" si="11"/>
        <v>0</v>
      </c>
      <c r="V43" s="10">
        <f>Table14[[#This Row],[Enrolment S.Y. 2025-2026 ]]*8</f>
        <v>7328</v>
      </c>
      <c r="W43" s="10">
        <v>308</v>
      </c>
      <c r="X43" s="8">
        <v>2025</v>
      </c>
      <c r="Y43" s="10" t="s">
        <v>9</v>
      </c>
      <c r="Z43" s="10">
        <f t="shared" si="12"/>
        <v>7020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916</v>
      </c>
      <c r="D44" s="10">
        <f>Table14[[#This Row],[Enrolment S.Y. 2025-2026 ]]*8</f>
        <v>7328</v>
      </c>
      <c r="E44" s="10"/>
      <c r="F44" s="8"/>
      <c r="G44" s="10"/>
      <c r="H44" s="10">
        <f t="shared" si="16"/>
        <v>7328</v>
      </c>
      <c r="I44" s="10">
        <f t="shared" si="17"/>
        <v>0</v>
      </c>
      <c r="J44" s="10">
        <f>Table14[[#This Row],[Enrolment S.Y. 2025-2026 ]]*8</f>
        <v>7328</v>
      </c>
      <c r="K44" s="10"/>
      <c r="L44" s="8"/>
      <c r="M44" s="10"/>
      <c r="N44" s="10">
        <f t="shared" si="14"/>
        <v>7328</v>
      </c>
      <c r="O44" s="10">
        <f t="shared" si="15"/>
        <v>0</v>
      </c>
      <c r="P44" s="10">
        <f>Table14[[#This Row],[Enrolment S.Y. 2025-2026 ]]*8</f>
        <v>7328</v>
      </c>
      <c r="Q44" s="10">
        <v>539</v>
      </c>
      <c r="R44" s="8">
        <v>2025</v>
      </c>
      <c r="S44" s="10" t="s">
        <v>9</v>
      </c>
      <c r="T44" s="10">
        <f t="shared" si="10"/>
        <v>6789</v>
      </c>
      <c r="U44" s="10">
        <f t="shared" si="11"/>
        <v>0</v>
      </c>
      <c r="V44" s="10">
        <f>Table14[[#This Row],[Enrolment S.Y. 2025-2026 ]]*8</f>
        <v>7328</v>
      </c>
      <c r="W44" s="10">
        <v>462</v>
      </c>
      <c r="X44" s="8">
        <v>2025</v>
      </c>
      <c r="Y44" s="10" t="s">
        <v>9</v>
      </c>
      <c r="Z44" s="10">
        <f t="shared" si="12"/>
        <v>6866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>
        <v>916</v>
      </c>
      <c r="D45" s="10">
        <f>Table14[[#This Row],[Enrolment S.Y. 2025-2026 ]]*8</f>
        <v>7328</v>
      </c>
      <c r="E45" s="10"/>
      <c r="F45" s="8"/>
      <c r="G45" s="10"/>
      <c r="H45" s="10">
        <f>IF((D45-E45)&lt;0,0,(D45-E45))</f>
        <v>7328</v>
      </c>
      <c r="I45" s="10">
        <f>IF((E45-D45)&lt;0,0,(E45-D45))</f>
        <v>0</v>
      </c>
      <c r="J45" s="10">
        <f>Table14[[#This Row],[Enrolment S.Y. 2025-2026 ]]*8</f>
        <v>7328</v>
      </c>
      <c r="K45" s="10"/>
      <c r="L45" s="8"/>
      <c r="M45" s="10"/>
      <c r="N45" s="10">
        <f t="shared" ref="N45:N49" si="22">IF((J45-K45)&lt;0,0,(J45-K45))</f>
        <v>7328</v>
      </c>
      <c r="O45" s="10">
        <f t="shared" ref="O45:O49" si="23">IF((K45-J45)&lt;0,0,(K45-J45))</f>
        <v>0</v>
      </c>
      <c r="P45" s="10">
        <f>Table14[[#This Row],[Enrolment S.Y. 2025-2026 ]]*8</f>
        <v>7328</v>
      </c>
      <c r="Q45" s="10">
        <v>154</v>
      </c>
      <c r="R45" s="8">
        <v>2025</v>
      </c>
      <c r="S45" s="10" t="s">
        <v>9</v>
      </c>
      <c r="T45" s="10">
        <f>IF((P45-Q45)&lt;0,0,(P45-Q45))</f>
        <v>7174</v>
      </c>
      <c r="U45" s="10">
        <f>IF((Q45-P45)&lt;0,0,(Q45-P45))</f>
        <v>0</v>
      </c>
      <c r="V45" s="10">
        <f>Table14[[#This Row],[Enrolment S.Y. 2025-2026 ]]*8</f>
        <v>7328</v>
      </c>
      <c r="W45" s="10">
        <v>154</v>
      </c>
      <c r="X45" s="8">
        <v>2025</v>
      </c>
      <c r="Y45" s="10" t="s">
        <v>9</v>
      </c>
      <c r="Z45" s="10">
        <f>IF((V45-W45)&lt;0,0,(V45-W45))</f>
        <v>7174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916</v>
      </c>
      <c r="D46" s="10">
        <f>Table14[[#This Row],[Enrolment S.Y. 2025-2026 ]]*8</f>
        <v>7328</v>
      </c>
      <c r="E46" s="10"/>
      <c r="F46" s="8"/>
      <c r="G46" s="10"/>
      <c r="H46" s="10">
        <f t="shared" si="16"/>
        <v>7328</v>
      </c>
      <c r="I46" s="10">
        <f t="shared" si="17"/>
        <v>0</v>
      </c>
      <c r="J46" s="10">
        <f>Table14[[#This Row],[Enrolment S.Y. 2025-2026 ]]*8</f>
        <v>7328</v>
      </c>
      <c r="K46" s="10"/>
      <c r="L46" s="8"/>
      <c r="M46" s="10"/>
      <c r="N46" s="10">
        <f t="shared" si="22"/>
        <v>7328</v>
      </c>
      <c r="O46" s="10">
        <f t="shared" si="23"/>
        <v>0</v>
      </c>
      <c r="P46" s="10">
        <f>Table14[[#This Row],[Enrolment S.Y. 2025-2026 ]]*8</f>
        <v>7328</v>
      </c>
      <c r="Q46" s="10">
        <v>231</v>
      </c>
      <c r="R46" s="8">
        <v>2025</v>
      </c>
      <c r="S46" s="10" t="s">
        <v>9</v>
      </c>
      <c r="T46" s="10">
        <f t="shared" si="10"/>
        <v>7097</v>
      </c>
      <c r="U46" s="10">
        <f t="shared" si="11"/>
        <v>0</v>
      </c>
      <c r="V46" s="10">
        <f>Table14[[#This Row],[Enrolment S.Y. 2025-2026 ]]*8</f>
        <v>7328</v>
      </c>
      <c r="W46" s="10">
        <v>308</v>
      </c>
      <c r="X46" s="8">
        <v>2025</v>
      </c>
      <c r="Y46" s="10" t="s">
        <v>9</v>
      </c>
      <c r="Z46" s="10">
        <f t="shared" si="12"/>
        <v>7020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>
        <v>916</v>
      </c>
      <c r="D48" s="10">
        <f>Table14[[#This Row],[Enrolment S.Y. 2025-2026 ]]*8</f>
        <v>7328</v>
      </c>
      <c r="E48" s="10"/>
      <c r="F48" s="8"/>
      <c r="G48" s="10"/>
      <c r="H48" s="10">
        <f>IF((D48-E48)&lt;0,0,(D48-E48))</f>
        <v>7328</v>
      </c>
      <c r="I48" s="10">
        <f>IF((E48-D48)&lt;0,0,(E48-D48))</f>
        <v>0</v>
      </c>
      <c r="J48" s="10">
        <f>Table14[[#This Row],[Enrolment S.Y. 2025-2026 ]]*8</f>
        <v>7328</v>
      </c>
      <c r="K48" s="10"/>
      <c r="L48" s="8"/>
      <c r="M48" s="10"/>
      <c r="N48" s="10">
        <f t="shared" si="22"/>
        <v>7328</v>
      </c>
      <c r="O48" s="10">
        <f t="shared" si="23"/>
        <v>0</v>
      </c>
      <c r="P48" s="10">
        <f>Table14[[#This Row],[Enrolment S.Y. 2025-2026 ]]*8</f>
        <v>7328</v>
      </c>
      <c r="Q48" s="10">
        <v>154</v>
      </c>
      <c r="R48" s="8">
        <v>2025</v>
      </c>
      <c r="S48" s="10" t="s">
        <v>9</v>
      </c>
      <c r="T48" s="10">
        <f>IF((P48-Q48)&lt;0,0,(P48-Q48))</f>
        <v>7174</v>
      </c>
      <c r="U48" s="10">
        <f>IF((Q48-P48)&lt;0,0,(Q48-P48))</f>
        <v>0</v>
      </c>
      <c r="V48" s="10">
        <f>Table14[[#This Row],[Enrolment S.Y. 2025-2026 ]]*8</f>
        <v>7328</v>
      </c>
      <c r="W48" s="10"/>
      <c r="X48" s="8"/>
      <c r="Y48" s="10"/>
      <c r="Z48" s="10">
        <f>IF((V48-W48)&lt;0,0,(V48-W48))</f>
        <v>7328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916</v>
      </c>
      <c r="D49" s="10">
        <f>Table14[[#This Row],[Enrolment S.Y. 2025-2026 ]]*8</f>
        <v>7328</v>
      </c>
      <c r="E49" s="10"/>
      <c r="F49" s="8"/>
      <c r="G49" s="10"/>
      <c r="H49" s="10">
        <f t="shared" si="16"/>
        <v>7328</v>
      </c>
      <c r="I49" s="10">
        <f t="shared" si="17"/>
        <v>0</v>
      </c>
      <c r="J49" s="10">
        <f>Table14[[#This Row],[Enrolment S.Y. 2025-2026 ]]*8</f>
        <v>7328</v>
      </c>
      <c r="K49" s="10"/>
      <c r="L49" s="8"/>
      <c r="M49" s="10"/>
      <c r="N49" s="10">
        <f t="shared" si="22"/>
        <v>7328</v>
      </c>
      <c r="O49" s="10">
        <f t="shared" si="23"/>
        <v>0</v>
      </c>
      <c r="P49" s="10">
        <f>Table14[[#This Row],[Enrolment S.Y. 2025-2026 ]]*8</f>
        <v>7328</v>
      </c>
      <c r="Q49" s="10">
        <v>154</v>
      </c>
      <c r="R49" s="8">
        <v>2025</v>
      </c>
      <c r="S49" s="10" t="s">
        <v>9</v>
      </c>
      <c r="T49" s="10">
        <f t="shared" si="10"/>
        <v>7174</v>
      </c>
      <c r="U49" s="10">
        <f t="shared" si="11"/>
        <v>0</v>
      </c>
      <c r="V49" s="10">
        <f>Table14[[#This Row],[Enrolment S.Y. 2025-2026 ]]*8</f>
        <v>7328</v>
      </c>
      <c r="W49" s="10">
        <v>231</v>
      </c>
      <c r="X49" s="8">
        <v>2025</v>
      </c>
      <c r="Y49" s="10" t="s">
        <v>9</v>
      </c>
      <c r="Z49" s="10">
        <f t="shared" si="12"/>
        <v>7097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R51:R58 X51:X58 F51:F58 L3:L13 F3:F13 X3:X13 R3:R13 R15:R25 L15:L25 F15:F25 X15:X25 X27:X37 R27:R37 L27:L37 F27:F37 F39:F49 X39:X49 R39:R49 L39:L49 L51:L58" xr:uid="{7A98330B-723C-4E2F-ABCA-6D35EF5B06FF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2026-04-14T06:23:45Z</dcterms:modified>
  <cp:category/>
  <cp:contentStatus/>
</cp:coreProperties>
</file>