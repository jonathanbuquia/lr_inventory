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4" documentId="13_ncr:1_{BFB59F67-F0DC-4675-A682-EB0734A8026A}" xr6:coauthVersionLast="47" xr6:coauthVersionMax="47" xr10:uidLastSave="{BB41AC22-0AEB-4925-8469-525B25670D3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6" i="4"/>
  <c r="D7" i="4"/>
  <c r="H7" i="4" s="1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O3" i="4"/>
  <c r="N3" i="4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<sst xmlns="http://schemas.openxmlformats.org/spreadsheetml/2006/main" count="235" uniqueCount="84">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</sst>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2" headerRowBorderDxfId="60" tableBorderDxfId="61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U87" sqref="U8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451</v>
      </c>
      <c r="D3" s="8">
        <v>700</v>
      </c>
      <c r="E3" s="8">
        <v>2024</v>
      </c>
      <c r="F3" s="10"/>
      <c r="G3" s="2">
        <f t="shared" ref="G3:G11" si="0">IF((C3-D3)&lt;0,0,C3-D3)</f>
        <v>0</v>
      </c>
      <c r="H3" s="3">
        <f t="shared" ref="H3:H11" si="1">IF((D3-C3)&lt;0,0,D3-C3)</f>
        <v>249</v>
      </c>
    </row>
    <row r="4" spans="1:8" ht="21" customHeight="1">
      <c r="A4" s="8">
        <v>7</v>
      </c>
      <c r="B4" s="9" t="s">
        <v>9</v>
      </c>
      <c r="C4" s="8">
        <v>451</v>
      </c>
      <c r="D4" s="8">
        <v>0</v>
      </c>
      <c r="E4" s="8"/>
      <c r="F4" s="10"/>
      <c r="G4" s="2">
        <f t="shared" si="0"/>
        <v>451</v>
      </c>
      <c r="H4" s="3">
        <f t="shared" si="1"/>
        <v>0</v>
      </c>
    </row>
    <row r="5" spans="1:8" ht="25.5" customHeight="1">
      <c r="A5" s="8">
        <v>7</v>
      </c>
      <c r="B5" s="9" t="s">
        <v>10</v>
      </c>
      <c r="C5" s="8">
        <v>451</v>
      </c>
      <c r="D5" s="8">
        <v>700</v>
      </c>
      <c r="E5" s="8">
        <v>2024</v>
      </c>
      <c r="F5" s="10"/>
      <c r="G5" s="2">
        <f t="shared" si="0"/>
        <v>0</v>
      </c>
      <c r="H5" s="3">
        <f t="shared" si="1"/>
        <v>249</v>
      </c>
    </row>
    <row r="6" spans="1:8" ht="19.5">
      <c r="A6" s="8">
        <v>7</v>
      </c>
      <c r="B6" s="9" t="s">
        <v>11</v>
      </c>
      <c r="C6" s="8">
        <v>451</v>
      </c>
      <c r="D6" s="8">
        <v>0</v>
      </c>
      <c r="E6" s="8"/>
      <c r="F6" s="10"/>
      <c r="G6" s="2">
        <f t="shared" si="0"/>
        <v>451</v>
      </c>
      <c r="H6" s="3">
        <f t="shared" si="1"/>
        <v>0</v>
      </c>
    </row>
    <row r="7" spans="1:8" ht="38.25">
      <c r="A7" s="8">
        <v>7</v>
      </c>
      <c r="B7" s="9" t="s">
        <v>12</v>
      </c>
      <c r="C7" s="8">
        <v>451</v>
      </c>
      <c r="D7" s="8">
        <v>700</v>
      </c>
      <c r="E7" s="8">
        <v>2025</v>
      </c>
      <c r="F7" s="10"/>
      <c r="G7" s="2">
        <f t="shared" si="0"/>
        <v>0</v>
      </c>
      <c r="H7" s="3">
        <f t="shared" si="1"/>
        <v>249</v>
      </c>
    </row>
    <row r="8" spans="1:8" ht="39.75" customHeight="1">
      <c r="A8" s="8">
        <v>7</v>
      </c>
      <c r="B8" s="9" t="s">
        <v>13</v>
      </c>
      <c r="C8" s="8">
        <v>451</v>
      </c>
      <c r="D8" s="8">
        <v>700</v>
      </c>
      <c r="E8" s="8">
        <v>2024</v>
      </c>
      <c r="F8" s="10"/>
      <c r="G8" s="2">
        <f t="shared" si="0"/>
        <v>0</v>
      </c>
      <c r="H8" s="3">
        <f t="shared" si="1"/>
        <v>249</v>
      </c>
    </row>
    <row r="9" spans="1:8" ht="29.25" customHeight="1">
      <c r="A9" s="8">
        <v>7</v>
      </c>
      <c r="B9" s="9" t="s">
        <v>14</v>
      </c>
      <c r="C9" s="8">
        <v>451</v>
      </c>
      <c r="D9" s="8">
        <v>700</v>
      </c>
      <c r="E9" s="8">
        <v>2025</v>
      </c>
      <c r="F9" s="10"/>
      <c r="G9" s="2">
        <f t="shared" si="0"/>
        <v>0</v>
      </c>
      <c r="H9" s="3">
        <f t="shared" si="1"/>
        <v>249</v>
      </c>
    </row>
    <row r="10" spans="1:8" ht="28.5" customHeight="1">
      <c r="A10" s="8">
        <v>7</v>
      </c>
      <c r="B10" s="9" t="s">
        <v>15</v>
      </c>
      <c r="C10" s="8">
        <v>451</v>
      </c>
      <c r="D10" s="8">
        <v>700</v>
      </c>
      <c r="E10" s="8">
        <v>2025</v>
      </c>
      <c r="F10" s="10"/>
      <c r="G10" s="2">
        <f t="shared" si="0"/>
        <v>0</v>
      </c>
      <c r="H10" s="3">
        <f t="shared" si="1"/>
        <v>249</v>
      </c>
    </row>
    <row r="11" spans="1:8" ht="24" customHeight="1">
      <c r="A11" s="8">
        <v>7</v>
      </c>
      <c r="B11" s="9" t="s">
        <v>16</v>
      </c>
      <c r="C11" s="8">
        <v>451</v>
      </c>
      <c r="D11" s="8">
        <v>700</v>
      </c>
      <c r="E11" s="8">
        <v>2025</v>
      </c>
      <c r="F11" s="10"/>
      <c r="G11" s="2">
        <f t="shared" si="0"/>
        <v>0</v>
      </c>
      <c r="H11" s="3">
        <f t="shared" si="1"/>
        <v>249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375</v>
      </c>
      <c r="D13" s="8">
        <v>0</v>
      </c>
      <c r="E13" s="8"/>
      <c r="F13" s="10"/>
      <c r="G13" s="2">
        <f t="shared" ref="G13:G21" si="2">IF((C13-D13)&lt;0,0,C13-D13)</f>
        <v>375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9</v>
      </c>
      <c r="C14" s="8">
        <v>375</v>
      </c>
      <c r="D14" s="8">
        <v>0</v>
      </c>
      <c r="E14" s="8"/>
      <c r="F14" s="10"/>
      <c r="G14" s="2">
        <f t="shared" si="2"/>
        <v>375</v>
      </c>
      <c r="H14" s="3">
        <f t="shared" si="3"/>
        <v>0</v>
      </c>
    </row>
    <row r="15" spans="1:8" ht="29.25" customHeight="1">
      <c r="A15" s="8">
        <v>8</v>
      </c>
      <c r="B15" s="9" t="s">
        <v>10</v>
      </c>
      <c r="C15" s="8">
        <v>375</v>
      </c>
      <c r="D15" s="8">
        <v>467</v>
      </c>
      <c r="E15" s="8">
        <v>2025</v>
      </c>
      <c r="F15" s="10"/>
      <c r="G15" s="2">
        <f t="shared" si="2"/>
        <v>0</v>
      </c>
      <c r="H15" s="3">
        <f t="shared" si="3"/>
        <v>92</v>
      </c>
    </row>
    <row r="16" spans="1:8" ht="27" customHeight="1">
      <c r="A16" s="8">
        <v>8</v>
      </c>
      <c r="B16" s="9" t="s">
        <v>11</v>
      </c>
      <c r="C16" s="8">
        <v>375</v>
      </c>
      <c r="D16" s="8">
        <v>467</v>
      </c>
      <c r="E16" s="8">
        <v>2025</v>
      </c>
      <c r="F16" s="10"/>
      <c r="G16" s="2">
        <f t="shared" si="2"/>
        <v>0</v>
      </c>
      <c r="H16" s="3">
        <f t="shared" si="3"/>
        <v>92</v>
      </c>
    </row>
    <row r="17" spans="1:8" ht="23.25" customHeight="1">
      <c r="A17" s="8">
        <v>8</v>
      </c>
      <c r="B17" s="9" t="s">
        <v>17</v>
      </c>
      <c r="C17" s="8">
        <v>375</v>
      </c>
      <c r="D17" s="8">
        <v>0</v>
      </c>
      <c r="E17" s="8"/>
      <c r="F17" s="10"/>
      <c r="G17" s="2">
        <f t="shared" si="2"/>
        <v>375</v>
      </c>
      <c r="H17" s="3">
        <f t="shared" si="3"/>
        <v>0</v>
      </c>
    </row>
    <row r="18" spans="1:8" ht="21" customHeight="1">
      <c r="A18" s="8">
        <v>8</v>
      </c>
      <c r="B18" s="9" t="s">
        <v>13</v>
      </c>
      <c r="C18" s="8">
        <v>375</v>
      </c>
      <c r="D18" s="8">
        <v>0</v>
      </c>
      <c r="E18" s="8"/>
      <c r="F18" s="10"/>
      <c r="G18" s="2">
        <f t="shared" si="2"/>
        <v>375</v>
      </c>
      <c r="H18" s="3">
        <f t="shared" si="3"/>
        <v>0</v>
      </c>
    </row>
    <row r="19" spans="1:8" ht="19.5">
      <c r="A19" s="8">
        <v>8</v>
      </c>
      <c r="B19" s="9" t="s">
        <v>14</v>
      </c>
      <c r="C19" s="8">
        <v>375</v>
      </c>
      <c r="D19" s="8">
        <v>0</v>
      </c>
      <c r="E19" s="8"/>
      <c r="F19" s="10"/>
      <c r="G19" s="2">
        <f t="shared" si="2"/>
        <v>375</v>
      </c>
      <c r="H19" s="3">
        <f t="shared" si="3"/>
        <v>0</v>
      </c>
    </row>
    <row r="20" spans="1:8" ht="19.5">
      <c r="A20" s="8">
        <v>8</v>
      </c>
      <c r="B20" s="9" t="s">
        <v>15</v>
      </c>
      <c r="C20" s="8">
        <v>375</v>
      </c>
      <c r="D20" s="8">
        <v>0</v>
      </c>
      <c r="E20" s="8"/>
      <c r="F20" s="10"/>
      <c r="G20" s="2">
        <f t="shared" si="2"/>
        <v>375</v>
      </c>
      <c r="H20" s="3">
        <f t="shared" si="3"/>
        <v>0</v>
      </c>
    </row>
    <row r="21" spans="1:8" ht="28.5" customHeight="1">
      <c r="A21" s="8">
        <v>8</v>
      </c>
      <c r="B21" s="9" t="s">
        <v>16</v>
      </c>
      <c r="C21" s="8">
        <v>375</v>
      </c>
      <c r="D21" s="8">
        <v>0</v>
      </c>
      <c r="E21" s="8"/>
      <c r="F21" s="10"/>
      <c r="G21" s="2">
        <f t="shared" si="2"/>
        <v>375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356</v>
      </c>
      <c r="D23" s="8">
        <v>0</v>
      </c>
      <c r="E23" s="8"/>
      <c r="F23" s="10"/>
      <c r="G23" s="2">
        <f t="shared" ref="G23:G31" si="4">IF((C23-D23)&lt;0,0,C23-D23)</f>
        <v>356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9</v>
      </c>
      <c r="C24" s="8">
        <v>356</v>
      </c>
      <c r="D24" s="8">
        <v>0</v>
      </c>
      <c r="E24" s="8"/>
      <c r="F24" s="10"/>
      <c r="G24" s="2">
        <f t="shared" si="4"/>
        <v>356</v>
      </c>
      <c r="H24" s="3">
        <f t="shared" si="5"/>
        <v>0</v>
      </c>
    </row>
    <row r="25" spans="1:8" ht="33.75" customHeight="1">
      <c r="A25" s="8">
        <v>9</v>
      </c>
      <c r="B25" s="9" t="s">
        <v>10</v>
      </c>
      <c r="C25" s="8">
        <v>356</v>
      </c>
      <c r="D25" s="8">
        <v>0</v>
      </c>
      <c r="E25" s="8"/>
      <c r="F25" s="10"/>
      <c r="G25" s="2">
        <f t="shared" si="4"/>
        <v>356</v>
      </c>
      <c r="H25" s="3">
        <f t="shared" si="5"/>
        <v>0</v>
      </c>
    </row>
    <row r="26" spans="1:8" ht="33.75" customHeight="1">
      <c r="A26" s="8">
        <v>9</v>
      </c>
      <c r="B26" s="9" t="s">
        <v>11</v>
      </c>
      <c r="C26" s="8">
        <v>356</v>
      </c>
      <c r="D26" s="8">
        <v>0</v>
      </c>
      <c r="E26" s="8"/>
      <c r="F26" s="10"/>
      <c r="G26" s="2">
        <f t="shared" si="4"/>
        <v>356</v>
      </c>
      <c r="H26" s="3">
        <f t="shared" si="5"/>
        <v>0</v>
      </c>
    </row>
    <row r="27" spans="1:8" ht="33.75" customHeight="1">
      <c r="A27" s="8">
        <v>9</v>
      </c>
      <c r="B27" s="9" t="s">
        <v>17</v>
      </c>
      <c r="C27" s="8">
        <v>356</v>
      </c>
      <c r="D27" s="8">
        <v>0</v>
      </c>
      <c r="E27" s="8"/>
      <c r="F27" s="10"/>
      <c r="G27" s="2">
        <f t="shared" si="4"/>
        <v>356</v>
      </c>
      <c r="H27" s="3">
        <f t="shared" si="5"/>
        <v>0</v>
      </c>
    </row>
    <row r="28" spans="1:8" ht="27.75" customHeight="1">
      <c r="A28" s="8">
        <v>9</v>
      </c>
      <c r="B28" s="9" t="s">
        <v>13</v>
      </c>
      <c r="C28" s="8">
        <v>356</v>
      </c>
      <c r="D28" s="8">
        <v>0</v>
      </c>
      <c r="E28" s="8"/>
      <c r="F28" s="10"/>
      <c r="G28" s="2">
        <f t="shared" si="4"/>
        <v>356</v>
      </c>
      <c r="H28" s="3">
        <f t="shared" si="5"/>
        <v>0</v>
      </c>
    </row>
    <row r="29" spans="1:8" ht="27.75" customHeight="1">
      <c r="A29" s="8">
        <v>9</v>
      </c>
      <c r="B29" s="9" t="s">
        <v>14</v>
      </c>
      <c r="C29" s="8">
        <v>356</v>
      </c>
      <c r="D29" s="8">
        <v>0</v>
      </c>
      <c r="E29" s="8"/>
      <c r="F29" s="10"/>
      <c r="G29" s="2">
        <f t="shared" si="4"/>
        <v>356</v>
      </c>
      <c r="H29" s="3">
        <f t="shared" si="5"/>
        <v>0</v>
      </c>
    </row>
    <row r="30" spans="1:8" ht="27.75" customHeight="1">
      <c r="A30" s="8">
        <v>9</v>
      </c>
      <c r="B30" s="9" t="s">
        <v>15</v>
      </c>
      <c r="C30" s="8">
        <v>356</v>
      </c>
      <c r="D30" s="8">
        <v>0</v>
      </c>
      <c r="E30" s="8"/>
      <c r="F30" s="10"/>
      <c r="G30" s="2">
        <f t="shared" si="4"/>
        <v>356</v>
      </c>
      <c r="H30" s="3">
        <f t="shared" si="5"/>
        <v>0</v>
      </c>
    </row>
    <row r="31" spans="1:8" ht="27.75" customHeight="1">
      <c r="A31" s="8">
        <v>9</v>
      </c>
      <c r="B31" s="9" t="s">
        <v>16</v>
      </c>
      <c r="C31" s="8">
        <v>356</v>
      </c>
      <c r="D31" s="8">
        <v>0</v>
      </c>
      <c r="E31" s="8"/>
      <c r="F31" s="10"/>
      <c r="G31" s="2">
        <f t="shared" si="4"/>
        <v>356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435</v>
      </c>
      <c r="D33" s="8">
        <v>0</v>
      </c>
      <c r="E33" s="8"/>
      <c r="F33" s="10"/>
      <c r="G33" s="2">
        <f t="shared" ref="G33:G41" si="6">IF((C33-D33)&lt;0,0,C33-D33)</f>
        <v>435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9</v>
      </c>
      <c r="C34" s="8">
        <v>435</v>
      </c>
      <c r="D34" s="8">
        <v>0</v>
      </c>
      <c r="E34" s="8"/>
      <c r="F34" s="10"/>
      <c r="G34" s="2">
        <f t="shared" si="6"/>
        <v>435</v>
      </c>
      <c r="H34" s="3">
        <f t="shared" si="7"/>
        <v>0</v>
      </c>
    </row>
    <row r="35" spans="1:8" ht="39" customHeight="1">
      <c r="A35" s="8">
        <v>10</v>
      </c>
      <c r="B35" s="9" t="s">
        <v>10</v>
      </c>
      <c r="C35" s="8">
        <v>435</v>
      </c>
      <c r="D35" s="8">
        <v>0</v>
      </c>
      <c r="E35" s="8"/>
      <c r="F35" s="10"/>
      <c r="G35" s="2">
        <f t="shared" si="6"/>
        <v>435</v>
      </c>
      <c r="H35" s="3">
        <f t="shared" si="7"/>
        <v>0</v>
      </c>
    </row>
    <row r="36" spans="1:8" ht="27.75" customHeight="1">
      <c r="A36" s="8">
        <v>10</v>
      </c>
      <c r="B36" s="9" t="s">
        <v>11</v>
      </c>
      <c r="C36" s="8">
        <v>435</v>
      </c>
      <c r="D36" s="8">
        <v>0</v>
      </c>
      <c r="E36" s="8"/>
      <c r="F36" s="10"/>
      <c r="G36" s="2">
        <f t="shared" si="6"/>
        <v>435</v>
      </c>
      <c r="H36" s="3">
        <f t="shared" si="7"/>
        <v>0</v>
      </c>
    </row>
    <row r="37" spans="1:8" ht="27.75" customHeight="1">
      <c r="A37" s="8">
        <v>10</v>
      </c>
      <c r="B37" s="9" t="s">
        <v>17</v>
      </c>
      <c r="C37" s="8">
        <v>435</v>
      </c>
      <c r="D37" s="8">
        <v>0</v>
      </c>
      <c r="E37" s="8"/>
      <c r="F37" s="10"/>
      <c r="G37" s="2">
        <f t="shared" si="6"/>
        <v>435</v>
      </c>
      <c r="H37" s="3">
        <f t="shared" si="7"/>
        <v>0</v>
      </c>
    </row>
    <row r="38" spans="1:8" ht="27.75" customHeight="1">
      <c r="A38" s="8">
        <v>10</v>
      </c>
      <c r="B38" s="9" t="s">
        <v>13</v>
      </c>
      <c r="C38" s="8">
        <v>435</v>
      </c>
      <c r="D38" s="8">
        <v>0</v>
      </c>
      <c r="E38" s="8"/>
      <c r="F38" s="10"/>
      <c r="G38" s="2">
        <f t="shared" si="6"/>
        <v>435</v>
      </c>
      <c r="H38" s="3">
        <f t="shared" si="7"/>
        <v>0</v>
      </c>
    </row>
    <row r="39" spans="1:8" ht="27.75" customHeight="1">
      <c r="A39" s="8">
        <v>10</v>
      </c>
      <c r="B39" s="9" t="s">
        <v>14</v>
      </c>
      <c r="C39" s="8">
        <v>435</v>
      </c>
      <c r="D39" s="8">
        <v>0</v>
      </c>
      <c r="E39" s="8"/>
      <c r="F39" s="10"/>
      <c r="G39" s="2">
        <f t="shared" si="6"/>
        <v>435</v>
      </c>
      <c r="H39" s="3">
        <f t="shared" si="7"/>
        <v>0</v>
      </c>
    </row>
    <row r="40" spans="1:8" ht="27.75" customHeight="1">
      <c r="A40" s="8">
        <v>10</v>
      </c>
      <c r="B40" s="9" t="s">
        <v>15</v>
      </c>
      <c r="C40" s="8">
        <v>435</v>
      </c>
      <c r="D40" s="8">
        <v>0</v>
      </c>
      <c r="E40" s="8"/>
      <c r="F40" s="10"/>
      <c r="G40" s="2">
        <f t="shared" si="6"/>
        <v>435</v>
      </c>
      <c r="H40" s="3">
        <f t="shared" si="7"/>
        <v>0</v>
      </c>
    </row>
    <row r="41" spans="1:8" ht="27.75" customHeight="1">
      <c r="A41" s="8">
        <v>10</v>
      </c>
      <c r="B41" s="9" t="s">
        <v>16</v>
      </c>
      <c r="C41" s="8">
        <v>435</v>
      </c>
      <c r="D41" s="8">
        <v>0</v>
      </c>
      <c r="E41" s="8"/>
      <c r="F41" s="10"/>
      <c r="G41" s="2">
        <f t="shared" si="6"/>
        <v>435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18</v>
      </c>
      <c r="B43" s="7" t="s">
        <v>19</v>
      </c>
      <c r="C43" s="1"/>
      <c r="D43" s="1">
        <v>180</v>
      </c>
      <c r="E43" s="1">
        <v>2024</v>
      </c>
      <c r="F43" s="4"/>
      <c r="G43" s="2">
        <f t="shared" ref="G43:G50" si="8">IF((C43-D43)&lt;0,0,C43-D43)</f>
        <v>0</v>
      </c>
      <c r="H43" s="3">
        <f t="shared" ref="H43:H50" si="9">IF((D43-C43)&lt;0,0,D43-C43)</f>
        <v>180</v>
      </c>
    </row>
    <row r="44" spans="1:8" ht="27.75" customHeight="1">
      <c r="A44" s="1" t="s">
        <v>18</v>
      </c>
      <c r="B44" s="7" t="s">
        <v>20</v>
      </c>
      <c r="C44" s="1">
        <v>0</v>
      </c>
      <c r="D44" s="1">
        <v>0</v>
      </c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21</v>
      </c>
      <c r="C45" s="1"/>
      <c r="D45" s="1">
        <v>461</v>
      </c>
      <c r="E45" s="1">
        <v>2024</v>
      </c>
      <c r="F45" s="4"/>
      <c r="G45" s="2">
        <f t="shared" si="8"/>
        <v>0</v>
      </c>
      <c r="H45" s="3">
        <f t="shared" si="9"/>
        <v>461</v>
      </c>
    </row>
    <row r="46" spans="1:8" ht="27.75" customHeight="1">
      <c r="A46" s="1" t="s">
        <v>18</v>
      </c>
      <c r="B46" s="7" t="s">
        <v>22</v>
      </c>
      <c r="C46" s="1"/>
      <c r="D46" s="1">
        <v>461</v>
      </c>
      <c r="E46" s="1">
        <v>2025</v>
      </c>
      <c r="F46" s="4"/>
      <c r="G46" s="2">
        <f t="shared" si="8"/>
        <v>0</v>
      </c>
      <c r="H46" s="3">
        <f t="shared" si="9"/>
        <v>461</v>
      </c>
    </row>
    <row r="47" spans="1:8" ht="27.75" customHeight="1">
      <c r="A47" s="1" t="s">
        <v>18</v>
      </c>
      <c r="B47" s="7" t="s">
        <v>23</v>
      </c>
      <c r="C47" s="1"/>
      <c r="D47" s="1">
        <v>461</v>
      </c>
      <c r="E47" s="1">
        <v>2025</v>
      </c>
      <c r="F47" s="4"/>
      <c r="G47" s="2">
        <f t="shared" si="8"/>
        <v>0</v>
      </c>
      <c r="H47" s="3">
        <f t="shared" si="9"/>
        <v>461</v>
      </c>
    </row>
    <row r="48" spans="1:8" ht="27.75" customHeight="1">
      <c r="A48" s="1" t="s">
        <v>18</v>
      </c>
      <c r="B48" s="7" t="s">
        <v>24</v>
      </c>
      <c r="C48" s="1"/>
      <c r="D48" s="1">
        <v>461</v>
      </c>
      <c r="E48" s="1">
        <v>2025</v>
      </c>
      <c r="F48" s="4"/>
      <c r="G48" s="2">
        <f t="shared" si="8"/>
        <v>0</v>
      </c>
      <c r="H48" s="3">
        <f t="shared" si="9"/>
        <v>461</v>
      </c>
    </row>
    <row r="49" spans="1:8" ht="27.75" customHeight="1">
      <c r="A49" s="1" t="s">
        <v>18</v>
      </c>
      <c r="B49" s="7" t="s">
        <v>25</v>
      </c>
      <c r="C49" s="1"/>
      <c r="D49" s="1">
        <v>0</v>
      </c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18</v>
      </c>
      <c r="B50" s="7" t="s">
        <v>26</v>
      </c>
      <c r="C50" s="1"/>
      <c r="D50" s="1">
        <v>461</v>
      </c>
      <c r="E50" s="1">
        <v>2025</v>
      </c>
      <c r="F50" s="4"/>
      <c r="G50" s="2">
        <f t="shared" si="8"/>
        <v>0</v>
      </c>
      <c r="H50" s="3">
        <f t="shared" si="9"/>
        <v>461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:E11 E13:E21 E23:E31 E33:E41" xr:uid="{B46E7B13-721E-4D49-837E-C02BF9777D48}">
      <formula1>"2024,2025 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27</v>
      </c>
      <c r="E1" s="39"/>
      <c r="F1" s="39"/>
      <c r="G1" s="39"/>
      <c r="H1" s="39"/>
      <c r="I1" s="39"/>
      <c r="J1" s="40" t="s">
        <v>28</v>
      </c>
      <c r="K1" s="40"/>
      <c r="L1" s="40"/>
      <c r="M1" s="40"/>
      <c r="N1" s="40"/>
      <c r="O1" s="40"/>
      <c r="P1" s="41" t="s">
        <v>29</v>
      </c>
      <c r="Q1" s="41"/>
      <c r="R1" s="41"/>
      <c r="S1" s="41"/>
      <c r="T1" s="41"/>
      <c r="U1" s="41"/>
      <c r="V1" s="42" t="s">
        <v>30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7" t="s">
        <v>40</v>
      </c>
      <c r="N2" s="37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8" t="s">
        <v>52</v>
      </c>
      <c r="Z2" s="38" t="s">
        <v>53</v>
      </c>
      <c r="AA2" s="24" t="s">
        <v>54</v>
      </c>
    </row>
    <row r="3" spans="1:27" ht="30.6" customHeight="1">
      <c r="A3" s="36" t="s">
        <v>55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/>
      <c r="E6" s="10"/>
      <c r="F6" s="8">
        <v>2025</v>
      </c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9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10</v>
      </c>
      <c r="C8" s="8"/>
      <c r="D8" s="10"/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11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12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13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14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15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16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10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11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2"/>
        <v>0</v>
      </c>
      <c r="I19" s="10">
        <f t="shared" si="3"/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17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2"/>
        <v>0</v>
      </c>
      <c r="I20" s="10">
        <f t="shared" si="3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13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ref="H21:H70" si="16">IF((D21-E21)&lt;0,0,(D21-E21))</f>
        <v>0</v>
      </c>
      <c r="I21" s="10">
        <f t="shared" ref="I21:I70" si="17">IF((E21-D21)&lt;0,0,(E21-D21))</f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14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8">
        <v>8</v>
      </c>
      <c r="B23" s="9" t="s">
        <v>15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Table1[[#This Row],[Enrolment S.Y. 2025-2026 ]]*8</f>
        <v>0</v>
      </c>
      <c r="K23" s="10"/>
      <c r="L23" s="8"/>
      <c r="M23" s="10"/>
      <c r="N23" s="10">
        <f t="shared" si="10"/>
        <v>0</v>
      </c>
      <c r="O23" s="10">
        <f t="shared" si="11"/>
        <v>0</v>
      </c>
      <c r="P23" s="10">
        <f>Table1[[#This Row],[Enrolment S.Y. 2025-2026 ]]*8</f>
        <v>0</v>
      </c>
      <c r="Q23" s="10"/>
      <c r="R23" s="8"/>
      <c r="S23" s="10"/>
      <c r="T23" s="10">
        <f t="shared" si="12"/>
        <v>0</v>
      </c>
      <c r="U23" s="10">
        <f t="shared" si="13"/>
        <v>0</v>
      </c>
      <c r="V23" s="10">
        <f>Table1[[#This Row],[Enrolment S.Y. 2025-2026 ]]*8</f>
        <v>0</v>
      </c>
      <c r="W23" s="10"/>
      <c r="X23" s="8"/>
      <c r="Y23" s="10"/>
      <c r="Z23" s="10">
        <f t="shared" si="14"/>
        <v>0</v>
      </c>
      <c r="AA23" s="10">
        <f t="shared" si="15"/>
        <v>0</v>
      </c>
    </row>
    <row r="24" spans="1:27" ht="19.5">
      <c r="A24" s="8">
        <v>8</v>
      </c>
      <c r="B24" s="9" t="s">
        <v>16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9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10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11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17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13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14</v>
      </c>
      <c r="C32" s="8"/>
      <c r="D32" s="10">
        <f>Table1[[#This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15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16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9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10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11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17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13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14</v>
      </c>
      <c r="C42" s="8"/>
      <c r="D42" s="10">
        <f>Table1[[#This Row],[Enrolment S.Y. 2025-2026 ]]*8</f>
        <v>0</v>
      </c>
      <c r="E42" s="10"/>
      <c r="F42" s="8"/>
      <c r="G42" s="10"/>
      <c r="H42" s="10">
        <f>IF((D42-E42)&lt;0,0,(D42-E42))</f>
        <v>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15</v>
      </c>
      <c r="C43" s="8"/>
      <c r="D43" s="10">
        <f>Table1[[#This Row],[Enrolment S.Y. 2025-2026 ]]*8</f>
        <v>0</v>
      </c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16</v>
      </c>
      <c r="C44" s="8"/>
      <c r="D44" s="10">
        <f>Table1[[#This Row],[Enrolment S.Y. 2025-2026 ]]*8</f>
        <v>0</v>
      </c>
      <c r="E44" s="10"/>
      <c r="F44" s="8"/>
      <c r="G44" s="10"/>
      <c r="H44" s="10">
        <f>IF((D44-E44)&lt;0,0,(D44-E44))</f>
        <v>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18</v>
      </c>
      <c r="B46" s="7" t="s">
        <v>19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18</v>
      </c>
      <c r="B47" s="7" t="s">
        <v>20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18</v>
      </c>
      <c r="B48" s="7" t="s">
        <v>21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18</v>
      </c>
      <c r="B49" s="7" t="s">
        <v>22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18</v>
      </c>
      <c r="B50" s="7" t="s">
        <v>23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18</v>
      </c>
      <c r="B51" s="7" t="s">
        <v>24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18</v>
      </c>
      <c r="B52" s="7" t="s">
        <v>25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18</v>
      </c>
      <c r="B53" s="7" t="s">
        <v>26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D26:F34 H26:I34 Q26:R34 W26:X34 D36:F44 H36:I44 Q36:R44 W36:X44 D46:F53 H46:I53 Q46:R53 W46:X53 D55:F70 H55:I70 N70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F6:F14 F16:F24 F26:F34 F36:F44 F46:F53 F55:F70 L6:L14 L16:L24 L26:L34 L36:L44 L46:L53 L55:L70 R55:R70 R46:R53 R36:R44 R26:R34 R16:R24 R6:R14 X6:X14 X16:X24 X26:X34 X36:X44 X46:X53" xr:uid="{4ECCD083-8EC4-42EE-B46C-B614411F330D}">
      <formula1>"2024,2025 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4"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27</v>
      </c>
      <c r="E1" s="39"/>
      <c r="F1" s="39"/>
      <c r="G1" s="39"/>
      <c r="H1" s="39"/>
      <c r="I1" s="39"/>
      <c r="J1" s="40" t="s">
        <v>28</v>
      </c>
      <c r="K1" s="40"/>
      <c r="L1" s="40"/>
      <c r="M1" s="40"/>
      <c r="N1" s="40"/>
      <c r="O1" s="40"/>
      <c r="P1" s="41" t="s">
        <v>29</v>
      </c>
      <c r="Q1" s="41"/>
      <c r="R1" s="41"/>
      <c r="S1" s="41"/>
      <c r="T1" s="41"/>
      <c r="U1" s="41"/>
      <c r="V1" s="42" t="s">
        <v>30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7" t="s">
        <v>65</v>
      </c>
      <c r="N2" s="37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8" t="s">
        <v>77</v>
      </c>
      <c r="Z2" s="38" t="s">
        <v>78</v>
      </c>
      <c r="AA2" s="24" t="s">
        <v>79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9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10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11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12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13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5">
        <v>7</v>
      </c>
      <c r="B10" s="9" t="s">
        <v>80</v>
      </c>
      <c r="C10" s="10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81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15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5">
        <v>7</v>
      </c>
      <c r="B13" s="9" t="s">
        <v>82</v>
      </c>
      <c r="C13" s="10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83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1:N59" si="14">IF((J16-K16)&lt;0,0,(J16-K16))</f>
        <v>0</v>
      </c>
      <c r="O16" s="10">
        <f t="shared" ref="O11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9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10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11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17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13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5">
        <v>8</v>
      </c>
      <c r="B22" s="9" t="s">
        <v>80</v>
      </c>
      <c r="C22" s="10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81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15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5">
        <v>8</v>
      </c>
      <c r="B25" s="9" t="s">
        <v>82</v>
      </c>
      <c r="C25" s="10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83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9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10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11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17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8">
        <v>9</v>
      </c>
      <c r="B33" s="9" t="s">
        <v>13</v>
      </c>
      <c r="C33" s="8"/>
      <c r="D33" s="10">
        <f>Table14[[#This Row],[Enrolment S.Y. 2025-2026 ]]*8</f>
        <v>0</v>
      </c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Table14[[#This Row],[Enrolment S.Y. 2025-2026 ]]*8</f>
        <v>0</v>
      </c>
      <c r="K33" s="10"/>
      <c r="L33" s="8"/>
      <c r="M33" s="10"/>
      <c r="N33" s="10">
        <f t="shared" si="14"/>
        <v>0</v>
      </c>
      <c r="O33" s="10">
        <f t="shared" si="15"/>
        <v>0</v>
      </c>
      <c r="P33" s="10">
        <f>Table14[[#This Row],[Enrolment S.Y. 2025-2026 ]]*8</f>
        <v>0</v>
      </c>
      <c r="Q33" s="10"/>
      <c r="R33" s="8"/>
      <c r="S33" s="10"/>
      <c r="T33" s="10">
        <f t="shared" si="10"/>
        <v>0</v>
      </c>
      <c r="U33" s="10">
        <f t="shared" si="11"/>
        <v>0</v>
      </c>
      <c r="V33" s="10">
        <f>Table14[[#This Row],[Enrolment S.Y. 2025-2026 ]]*8</f>
        <v>0</v>
      </c>
      <c r="W33" s="10"/>
      <c r="X33" s="8"/>
      <c r="Y33" s="10"/>
      <c r="Z33" s="10">
        <f t="shared" si="12"/>
        <v>0</v>
      </c>
      <c r="AA33" s="10">
        <f t="shared" si="13"/>
        <v>0</v>
      </c>
    </row>
    <row r="34" spans="1:27" ht="19.5">
      <c r="A34" s="35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Table14[[#This Row],[Enrolment S.Y. 2025-2026 ]]*8</f>
        <v>0</v>
      </c>
      <c r="K34" s="10"/>
      <c r="L34" s="8"/>
      <c r="M34" s="10"/>
      <c r="N34" s="10">
        <f t="shared" ref="N34:N38" si="20">IF((J34-K34)&lt;0,0,(J34-K34))</f>
        <v>0</v>
      </c>
      <c r="O34" s="10">
        <f t="shared" ref="O34:O38" si="21">IF((K34-J34)&lt;0,0,(K34-J34))</f>
        <v>0</v>
      </c>
      <c r="P34" s="10">
        <f>Table14[[#This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Table14[[#This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9</v>
      </c>
      <c r="B35" s="9" t="s">
        <v>81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8">
        <v>9</v>
      </c>
      <c r="B36" s="9" t="s">
        <v>15</v>
      </c>
      <c r="C36" s="8"/>
      <c r="D36" s="10">
        <f>Table14[[#This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 t="shared" si="10"/>
        <v>0</v>
      </c>
      <c r="U36" s="10">
        <f t="shared" si="11"/>
        <v>0</v>
      </c>
      <c r="V36" s="10">
        <f>Table14[[#This Row],[Enrolment S.Y. 2025-2026 ]]*8</f>
        <v>0</v>
      </c>
      <c r="W36" s="10"/>
      <c r="X36" s="8"/>
      <c r="Y36" s="10"/>
      <c r="Z36" s="10">
        <f t="shared" si="12"/>
        <v>0</v>
      </c>
      <c r="AA36" s="10">
        <f t="shared" si="13"/>
        <v>0</v>
      </c>
    </row>
    <row r="37" spans="1:27" ht="19.5">
      <c r="A37" s="35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Table14[[#This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9</v>
      </c>
      <c r="B38" s="9" t="s">
        <v>83</v>
      </c>
      <c r="C38" s="8"/>
      <c r="D38" s="10">
        <f>Table14[[#This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Table14[[#This Row],[Enrolment S.Y. 2025-2026 ]]*8</f>
        <v>0</v>
      </c>
      <c r="K38" s="10"/>
      <c r="L38" s="8"/>
      <c r="M38" s="10"/>
      <c r="N38" s="10">
        <f t="shared" si="20"/>
        <v>0</v>
      </c>
      <c r="O38" s="10">
        <f t="shared" si="21"/>
        <v>0</v>
      </c>
      <c r="P38" s="10">
        <f>Table14[[#This Row],[Enrolment S.Y. 2025-2026 ]]*8</f>
        <v>0</v>
      </c>
      <c r="Q38" s="10"/>
      <c r="R38" s="8"/>
      <c r="S38" s="10"/>
      <c r="T38" s="10">
        <f t="shared" si="10"/>
        <v>0</v>
      </c>
      <c r="U38" s="10">
        <f t="shared" si="11"/>
        <v>0</v>
      </c>
      <c r="V38" s="10">
        <f>Table14[[#This Row],[Enrolment S.Y. 2025-2026 ]]*8</f>
        <v>0</v>
      </c>
      <c r="W38" s="10"/>
      <c r="X38" s="8"/>
      <c r="Y38" s="10"/>
      <c r="Z38" s="10">
        <f t="shared" si="12"/>
        <v>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9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10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11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17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8">
        <v>10</v>
      </c>
      <c r="B45" s="9" t="s">
        <v>13</v>
      </c>
      <c r="C45" s="8"/>
      <c r="D45" s="10">
        <f>Table14[[#This Row],[Enrolment S.Y. 2025-2026 ]]*8</f>
        <v>0</v>
      </c>
      <c r="E45" s="10"/>
      <c r="F45" s="8"/>
      <c r="G45" s="10"/>
      <c r="H45" s="10">
        <f t="shared" si="16"/>
        <v>0</v>
      </c>
      <c r="I45" s="10">
        <f t="shared" si="17"/>
        <v>0</v>
      </c>
      <c r="J45" s="10">
        <f>Table14[[#This Row],[Enrolment S.Y. 2025-2026 ]]*8</f>
        <v>0</v>
      </c>
      <c r="K45" s="10"/>
      <c r="L45" s="8"/>
      <c r="M45" s="10"/>
      <c r="N45" s="10">
        <f t="shared" si="14"/>
        <v>0</v>
      </c>
      <c r="O45" s="10">
        <f t="shared" si="15"/>
        <v>0</v>
      </c>
      <c r="P45" s="10">
        <f>Table14[[#This Row],[Enrolment S.Y. 2025-2026 ]]*8</f>
        <v>0</v>
      </c>
      <c r="Q45" s="10"/>
      <c r="R45" s="8"/>
      <c r="S45" s="10"/>
      <c r="T45" s="10">
        <f t="shared" si="10"/>
        <v>0</v>
      </c>
      <c r="U45" s="10">
        <f t="shared" si="11"/>
        <v>0</v>
      </c>
      <c r="V45" s="10">
        <f>Table14[[#This Row],[Enrolment S.Y. 2025-2026 ]]*8</f>
        <v>0</v>
      </c>
      <c r="W45" s="10"/>
      <c r="X45" s="8"/>
      <c r="Y45" s="10"/>
      <c r="Z45" s="10">
        <f t="shared" si="12"/>
        <v>0</v>
      </c>
      <c r="AA45" s="10">
        <f t="shared" si="13"/>
        <v>0</v>
      </c>
    </row>
    <row r="46" spans="1:27" ht="19.5">
      <c r="A46" s="35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>IF((D46-E46)&lt;0,0,(D46-E46))</f>
        <v>0</v>
      </c>
      <c r="I46" s="10">
        <f>IF((E46-D46)&lt;0,0,(E46-D46))</f>
        <v>0</v>
      </c>
      <c r="J46" s="10">
        <f>Table14[[#This Row],[Enrolment S.Y. 2025-2026 ]]*8</f>
        <v>0</v>
      </c>
      <c r="K46" s="10"/>
      <c r="L46" s="8"/>
      <c r="M46" s="10"/>
      <c r="N46" s="10">
        <f t="shared" ref="N46:N50" si="22">IF((J46-K46)&lt;0,0,(J46-K46))</f>
        <v>0</v>
      </c>
      <c r="O46" s="10">
        <f t="shared" ref="O46:O50" si="23">IF((K46-J46)&lt;0,0,(K46-J46))</f>
        <v>0</v>
      </c>
      <c r="P46" s="10">
        <f>Table14[[#This Row],[Enrolment S.Y. 2025-2026 ]]*8</f>
        <v>0</v>
      </c>
      <c r="Q46" s="10"/>
      <c r="R46" s="8"/>
      <c r="S46" s="10"/>
      <c r="T46" s="10">
        <f>IF((P46-Q46)&lt;0,0,(P46-Q46))</f>
        <v>0</v>
      </c>
      <c r="U46" s="10">
        <f>IF((Q46-P46)&lt;0,0,(Q46-P46))</f>
        <v>0</v>
      </c>
      <c r="V46" s="10">
        <f>Table14[[#This Row],[Enrolment S.Y. 2025-2026 ]]*8</f>
        <v>0</v>
      </c>
      <c r="W46" s="10"/>
      <c r="X46" s="8"/>
      <c r="Y46" s="10"/>
      <c r="Z46" s="10">
        <f>IF((V46-W46)&lt;0,0,(V46-W46))</f>
        <v>0</v>
      </c>
      <c r="AA46" s="10">
        <f>IF((W46-V46)&lt;0,0,(W46-V46))</f>
        <v>0</v>
      </c>
    </row>
    <row r="47" spans="1:27" ht="19.5">
      <c r="A47" s="8">
        <v>10</v>
      </c>
      <c r="B47" s="9" t="s">
        <v>81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8">
        <v>10</v>
      </c>
      <c r="B48" s="9" t="s">
        <v>15</v>
      </c>
      <c r="C48" s="8"/>
      <c r="D48" s="10">
        <f>Table14[[#This Row],[Enrolment S.Y. 2025-2026 ]]*8</f>
        <v>0</v>
      </c>
      <c r="E48" s="10"/>
      <c r="F48" s="8"/>
      <c r="G48" s="10"/>
      <c r="H48" s="10">
        <f t="shared" si="16"/>
        <v>0</v>
      </c>
      <c r="I48" s="10">
        <f t="shared" si="17"/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 t="shared" si="10"/>
        <v>0</v>
      </c>
      <c r="U48" s="10">
        <f t="shared" si="11"/>
        <v>0</v>
      </c>
      <c r="V48" s="10">
        <f>Table14[[#This Row],[Enrolment S.Y. 2025-2026 ]]*8</f>
        <v>0</v>
      </c>
      <c r="W48" s="10"/>
      <c r="X48" s="8"/>
      <c r="Y48" s="10"/>
      <c r="Z48" s="10">
        <f t="shared" si="12"/>
        <v>0</v>
      </c>
      <c r="AA48" s="10">
        <f t="shared" si="13"/>
        <v>0</v>
      </c>
    </row>
    <row r="49" spans="1:27" ht="19.5">
      <c r="A49" s="35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>IF((D49-E49)&lt;0,0,(D49-E49))</f>
        <v>0</v>
      </c>
      <c r="I49" s="10">
        <f>IF((E49-D49)&lt;0,0,(E49-D49))</f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>IF((P49-Q49)&lt;0,0,(P49-Q49))</f>
        <v>0</v>
      </c>
      <c r="U49" s="10">
        <f>IF((Q49-P49)&lt;0,0,(Q49-P49))</f>
        <v>0</v>
      </c>
      <c r="V49" s="10">
        <f>Table14[[#This Row],[Enrolment S.Y. 2025-2026 ]]*8</f>
        <v>0</v>
      </c>
      <c r="W49" s="10"/>
      <c r="X49" s="8"/>
      <c r="Y49" s="10"/>
      <c r="Z49" s="10">
        <f>IF((V49-W49)&lt;0,0,(V49-W49))</f>
        <v>0</v>
      </c>
      <c r="AA49" s="10">
        <f>IF((W49-V49)&lt;0,0,(W49-V49))</f>
        <v>0</v>
      </c>
    </row>
    <row r="50" spans="1:27" ht="19.5">
      <c r="A50" s="8">
        <v>10</v>
      </c>
      <c r="B50" s="9" t="s">
        <v>83</v>
      </c>
      <c r="C50" s="8"/>
      <c r="D50" s="10">
        <f>Table14[[#This Row],[Enrolment S.Y. 2025-2026 ]]*8</f>
        <v>0</v>
      </c>
      <c r="E50" s="10"/>
      <c r="F50" s="8"/>
      <c r="G50" s="10"/>
      <c r="H50" s="10">
        <f t="shared" si="16"/>
        <v>0</v>
      </c>
      <c r="I50" s="10">
        <f t="shared" si="17"/>
        <v>0</v>
      </c>
      <c r="J50" s="10">
        <f>Table14[[#This Row],[Enrolment S.Y. 2025-2026 ]]*8</f>
        <v>0</v>
      </c>
      <c r="K50" s="10"/>
      <c r="L50" s="8"/>
      <c r="M50" s="10"/>
      <c r="N50" s="10">
        <f t="shared" si="22"/>
        <v>0</v>
      </c>
      <c r="O50" s="10">
        <f t="shared" si="23"/>
        <v>0</v>
      </c>
      <c r="P50" s="10">
        <f>Table14[[#This Row],[Enrolment S.Y. 2025-2026 ]]*8</f>
        <v>0</v>
      </c>
      <c r="Q50" s="10"/>
      <c r="R50" s="8"/>
      <c r="S50" s="10"/>
      <c r="T50" s="10">
        <f t="shared" si="10"/>
        <v>0</v>
      </c>
      <c r="U50" s="10">
        <f t="shared" si="11"/>
        <v>0</v>
      </c>
      <c r="V50" s="10">
        <f>Table14[[#This Row],[Enrolment S.Y. 2025-2026 ]]*8</f>
        <v>0</v>
      </c>
      <c r="W50" s="10"/>
      <c r="X50" s="8"/>
      <c r="Y50" s="10"/>
      <c r="Z50" s="10">
        <f t="shared" si="12"/>
        <v>0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18</v>
      </c>
      <c r="B52" s="7" t="s">
        <v>19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20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21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18</v>
      </c>
      <c r="B55" s="7" t="s">
        <v>22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23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18</v>
      </c>
      <c r="B57" s="7" t="s">
        <v>24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18</v>
      </c>
      <c r="B58" s="7" t="s">
        <v>25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18</v>
      </c>
      <c r="B59" s="7" t="s">
        <v>26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H52:L59 D40:F50 N16:R26 N28:R38 N40:R50 P2:R2 D4:F14 D16:F26 D28:F38 D52:F59 N4:R14 V2:X2 T4:X14 Z4:AA14 H4:L14 T16:X26 Z16:AA26 H16:L26 T28:X38 Z28:AA38 H28:L38 T40:X50 Z40:AA50 H40:L50 N52:R59 T52:X59 Z52:AA59 D2:F2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L52:L59 R52:R59 X52:X59 R40:R50 L40:L50 F40:F50 F52:F59 L28:L38 R28:R38 X28:X38 X40:X50 R16:R26 L16:L26 F16:F26 F28:F38 L4:L14 R4:R14 X4:X14 X16:X26 F4:F14" xr:uid="{252EE8A2-F53B-4732-AECD-087AE028D109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2026-04-15T01:38:41Z</dcterms:modified>
  <cp:category/>
  <cp:contentStatus/>
</cp:coreProperties>
</file>