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7" documentId="13_ncr:1_{BFB59F67-F0DC-4675-A682-EB0734A8026A}" xr6:coauthVersionLast="47" xr6:coauthVersionMax="47" xr10:uidLastSave="{13E0F185-8EFC-4D4E-A3B4-688CA233505E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O3" i="4" l="1"/>
  <c r="N3" i="4"/>
  <c r="N8" i="5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<sst xmlns="http://schemas.openxmlformats.org/spreadsheetml/2006/main" count="253" uniqueCount="86">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</sst>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331</v>
      </c>
      <c r="D3" s="8">
        <v>384</v>
      </c>
      <c r="E3" s="8">
        <v>2025</v>
      </c>
      <c r="F3" s="10" t="s">
        <v>9</v>
      </c>
      <c r="G3" s="2">
        <f t="shared" ref="G3:G11" si="0">IF((C3-D3)&lt;0,0,C3-D3)</f>
        <v>0</v>
      </c>
      <c r="H3" s="3">
        <f t="shared" ref="H3:H11" si="1">IF((D3-C3)&lt;0,0,D3-C3)</f>
        <v>53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331</v>
      </c>
      <c r="D5" s="8">
        <v>384</v>
      </c>
      <c r="E5" s="8">
        <v>2025</v>
      </c>
      <c r="F5" s="10" t="s">
        <v>9</v>
      </c>
      <c r="G5" s="2">
        <f t="shared" si="0"/>
        <v>0</v>
      </c>
      <c r="H5" s="3">
        <f t="shared" si="1"/>
        <v>53</v>
      </c>
    </row>
    <row r="6" spans="1:8" ht="19.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38.2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>
        <v>331</v>
      </c>
      <c r="D8" s="8">
        <v>384</v>
      </c>
      <c r="E8" s="8">
        <v>2025</v>
      </c>
      <c r="F8" s="10" t="s">
        <v>9</v>
      </c>
      <c r="G8" s="2">
        <f t="shared" si="0"/>
        <v>0</v>
      </c>
      <c r="H8" s="3">
        <f t="shared" si="1"/>
        <v>53</v>
      </c>
    </row>
    <row r="9" spans="1:8" ht="29.25" customHeight="1">
      <c r="A9" s="8">
        <v>7</v>
      </c>
      <c r="B9" s="9" t="s">
        <v>15</v>
      </c>
      <c r="C9" s="8">
        <v>331</v>
      </c>
      <c r="D9" s="8">
        <v>193</v>
      </c>
      <c r="E9" s="8">
        <v>2025</v>
      </c>
      <c r="F9" s="10" t="s">
        <v>9</v>
      </c>
      <c r="G9" s="2">
        <f t="shared" si="0"/>
        <v>138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>
        <v>331</v>
      </c>
      <c r="D10" s="8">
        <v>261</v>
      </c>
      <c r="E10" s="8">
        <v>2025</v>
      </c>
      <c r="F10" s="10" t="s">
        <v>9</v>
      </c>
      <c r="G10" s="2">
        <f t="shared" si="0"/>
        <v>70</v>
      </c>
      <c r="H10" s="3">
        <f t="shared" si="1"/>
        <v>0</v>
      </c>
    </row>
    <row r="11" spans="1:8" ht="24" customHeight="1">
      <c r="A11" s="8">
        <v>7</v>
      </c>
      <c r="B11" s="9" t="s">
        <v>17</v>
      </c>
      <c r="C11" s="8">
        <v>331</v>
      </c>
      <c r="D11" s="8">
        <v>384</v>
      </c>
      <c r="E11" s="8">
        <v>2025</v>
      </c>
      <c r="F11" s="10" t="s">
        <v>9</v>
      </c>
      <c r="G11" s="2">
        <f t="shared" si="0"/>
        <v>0</v>
      </c>
      <c r="H11" s="3">
        <f t="shared" si="1"/>
        <v>53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/>
      <c r="D13" s="8"/>
      <c r="E13" s="8"/>
      <c r="F13" s="10"/>
      <c r="G13" s="2">
        <f t="shared" ref="G13:G21" si="2">IF((C13-D13)&lt;0,0,C13-D13)</f>
        <v>0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12</v>
      </c>
      <c r="C16" s="8">
        <v>313</v>
      </c>
      <c r="D16" s="8">
        <v>340</v>
      </c>
      <c r="E16" s="8">
        <v>2025</v>
      </c>
      <c r="F16" s="10" t="s">
        <v>9</v>
      </c>
      <c r="G16" s="2">
        <f t="shared" si="2"/>
        <v>0</v>
      </c>
      <c r="H16" s="3">
        <f t="shared" si="3"/>
        <v>27</v>
      </c>
    </row>
    <row r="17" spans="1:8" ht="23.25" customHeight="1">
      <c r="A17" s="8">
        <v>8</v>
      </c>
      <c r="B17" s="9" t="s">
        <v>18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/>
      <c r="D21" s="8"/>
      <c r="E21" s="8"/>
      <c r="F21" s="10"/>
      <c r="G21" s="2">
        <f t="shared" si="2"/>
        <v>0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/>
      <c r="D23" s="8"/>
      <c r="E23" s="8"/>
      <c r="F23" s="10"/>
      <c r="G23" s="2">
        <f t="shared" ref="G23:G31" si="4">IF((C23-D23)&lt;0,0,C23-D23)</f>
        <v>0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/>
      <c r="D31" s="8"/>
      <c r="E31" s="8"/>
      <c r="F31" s="10"/>
      <c r="G31" s="2">
        <f t="shared" si="4"/>
        <v>0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/>
      <c r="D33" s="8"/>
      <c r="E33" s="8"/>
      <c r="F33" s="10"/>
      <c r="G33" s="2">
        <f t="shared" ref="G33:G41" si="6">IF((C33-D33)&lt;0,0,C33-D33)</f>
        <v>0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/>
      <c r="D41" s="8"/>
      <c r="E41" s="8"/>
      <c r="F41" s="10"/>
      <c r="G41" s="2">
        <f t="shared" si="6"/>
        <v>0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19</v>
      </c>
      <c r="B43" s="7" t="s">
        <v>20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19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24</v>
      </c>
      <c r="C47" s="1">
        <v>167</v>
      </c>
      <c r="D47" s="1">
        <v>225</v>
      </c>
      <c r="E47" s="1">
        <v>2025</v>
      </c>
      <c r="F47" s="4" t="s">
        <v>9</v>
      </c>
      <c r="G47" s="2">
        <f t="shared" si="8"/>
        <v>0</v>
      </c>
      <c r="H47" s="3">
        <f t="shared" si="9"/>
        <v>58</v>
      </c>
    </row>
    <row r="48" spans="1:8" ht="27.75" customHeight="1">
      <c r="A48" s="1" t="s">
        <v>19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19</v>
      </c>
      <c r="B50" s="7" t="s">
        <v>27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:E11 E13:E21 E23:E31 E33:E41" xr:uid="{B46E7B13-721E-4D49-837E-C02BF9777D48}">
      <formula1>"2024,2025 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7" t="s">
        <v>41</v>
      </c>
      <c r="N2" s="37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8" t="s">
        <v>53</v>
      </c>
      <c r="Z2" s="38" t="s">
        <v>54</v>
      </c>
      <c r="AA2" s="24" t="s">
        <v>55</v>
      </c>
    </row>
    <row r="3" spans="1:27" ht="30.6" customHeight="1">
      <c r="A3" s="36" t="s">
        <v>56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/>
      <c r="D6" s="10">
        <f>Table1[[#This Row],[Enrolment S.Y. 2025-2026 ]]*8</f>
        <v>0</v>
      </c>
      <c r="E6" s="10"/>
      <c r="F6" s="8"/>
      <c r="G6" s="10"/>
      <c r="H6" s="10">
        <f t="shared" ref="H6:H20" si="2">IF((D6-E6)&lt;0,0,(D6-E6))</f>
        <v>0</v>
      </c>
      <c r="I6" s="10">
        <f t="shared" ref="I6:I20" si="3">IF((E6-D6)&lt;0,0,(E6-D6))</f>
        <v>0</v>
      </c>
      <c r="J6" s="10">
        <f>Table1[[#This Row],[Enrolment S.Y. 2025-2026 ]]*8</f>
        <v>0</v>
      </c>
      <c r="K6" s="10"/>
      <c r="L6" s="8"/>
      <c r="M6" s="10"/>
      <c r="N6" s="10">
        <f t="shared" ref="N6:N12" si="4">IF((J6-K6)&lt;0,0,(J6-K6))</f>
        <v>0</v>
      </c>
      <c r="O6" s="10">
        <f t="shared" ref="O6:O12" si="5">IF((K6-J6)&lt;0,0,(K6-J6))</f>
        <v>0</v>
      </c>
      <c r="P6" s="10">
        <f>Table1[[#This Row],[Enrolment S.Y. 2025-2026 ]]*8</f>
        <v>0</v>
      </c>
      <c r="Q6" s="10"/>
      <c r="R6" s="8"/>
      <c r="S6" s="10"/>
      <c r="T6" s="10">
        <f t="shared" ref="T6:T12" si="6">IF((P6-Q6)&lt;0,0,(P6-Q6))</f>
        <v>0</v>
      </c>
      <c r="U6" s="10">
        <f t="shared" ref="U6:U12" si="7">IF((Q6-P6)&lt;0,0,(Q6-P6))</f>
        <v>0</v>
      </c>
      <c r="V6" s="10">
        <f>Table1[[#This Row],[Enrolment S.Y. 2025-2026 ]]*8</f>
        <v>0</v>
      </c>
      <c r="W6" s="10"/>
      <c r="X6" s="8"/>
      <c r="Y6" s="10"/>
      <c r="Z6" s="10">
        <f t="shared" ref="Z6:Z12" si="8">IF((V6-W6)&lt;0,0,(V6-W6))</f>
        <v>0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10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2"/>
        <v>0</v>
      </c>
      <c r="I7" s="10">
        <f t="shared" si="3"/>
        <v>0</v>
      </c>
      <c r="J7" s="10">
        <f>Table1[[#This Row],[Enrolment S.Y. 2025-2026 ]]*8</f>
        <v>0</v>
      </c>
      <c r="K7" s="10"/>
      <c r="L7" s="8"/>
      <c r="M7" s="10"/>
      <c r="N7" s="10">
        <f t="shared" si="4"/>
        <v>0</v>
      </c>
      <c r="O7" s="10">
        <f t="shared" si="5"/>
        <v>0</v>
      </c>
      <c r="P7" s="10">
        <f>Table1[[#This Row],[Enrolment S.Y. 2025-2026 ]]*8</f>
        <v>0</v>
      </c>
      <c r="Q7" s="10"/>
      <c r="R7" s="8"/>
      <c r="S7" s="10"/>
      <c r="T7" s="10">
        <f t="shared" si="6"/>
        <v>0</v>
      </c>
      <c r="U7" s="10">
        <f t="shared" si="7"/>
        <v>0</v>
      </c>
      <c r="V7" s="10">
        <f>Table1[[#This Row],[Enrolment S.Y. 2025-2026 ]]*8</f>
        <v>0</v>
      </c>
      <c r="W7" s="10"/>
      <c r="X7" s="8"/>
      <c r="Y7" s="10"/>
      <c r="Z7" s="10">
        <f t="shared" si="8"/>
        <v>0</v>
      </c>
      <c r="AA7" s="10">
        <f t="shared" si="9"/>
        <v>0</v>
      </c>
    </row>
    <row r="8" spans="1:27" ht="19.5">
      <c r="A8" s="8">
        <v>7</v>
      </c>
      <c r="B8" s="9" t="s">
        <v>11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2"/>
        <v>0</v>
      </c>
      <c r="I8" s="10">
        <f t="shared" si="3"/>
        <v>0</v>
      </c>
      <c r="J8" s="10">
        <f>Table1[[#This Row],[Enrolment S.Y. 2025-2026 ]]*8</f>
        <v>0</v>
      </c>
      <c r="K8" s="10"/>
      <c r="L8" s="8"/>
      <c r="M8" s="10"/>
      <c r="N8" s="10">
        <f t="shared" si="4"/>
        <v>0</v>
      </c>
      <c r="O8" s="10">
        <f t="shared" si="5"/>
        <v>0</v>
      </c>
      <c r="P8" s="10">
        <f>Table1[[#This Row],[Enrolment S.Y. 2025-2026 ]]*8</f>
        <v>0</v>
      </c>
      <c r="Q8" s="10"/>
      <c r="R8" s="8"/>
      <c r="S8" s="10"/>
      <c r="T8" s="10">
        <f t="shared" si="6"/>
        <v>0</v>
      </c>
      <c r="U8" s="10">
        <f t="shared" si="7"/>
        <v>0</v>
      </c>
      <c r="V8" s="10">
        <f>Table1[[#This Row],[Enrolment S.Y. 2025-2026 ]]*8</f>
        <v>0</v>
      </c>
      <c r="W8" s="10"/>
      <c r="X8" s="8"/>
      <c r="Y8" s="10"/>
      <c r="Z8" s="10">
        <f t="shared" si="8"/>
        <v>0</v>
      </c>
      <c r="AA8" s="10">
        <f t="shared" si="9"/>
        <v>0</v>
      </c>
    </row>
    <row r="9" spans="1:27" ht="19.5">
      <c r="A9" s="8">
        <v>7</v>
      </c>
      <c r="B9" s="9" t="s">
        <v>12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2"/>
        <v>0</v>
      </c>
      <c r="I9" s="10">
        <f t="shared" si="3"/>
        <v>0</v>
      </c>
      <c r="J9" s="10">
        <f>Table1[[#This Row],[Enrolment S.Y. 2025-2026 ]]*8</f>
        <v>0</v>
      </c>
      <c r="K9" s="10"/>
      <c r="L9" s="8"/>
      <c r="M9" s="10"/>
      <c r="N9" s="10">
        <f t="shared" si="4"/>
        <v>0</v>
      </c>
      <c r="O9" s="10">
        <f t="shared" si="5"/>
        <v>0</v>
      </c>
      <c r="P9" s="10">
        <f>Table1[[#This Row],[Enrolment S.Y. 2025-2026 ]]*8</f>
        <v>0</v>
      </c>
      <c r="Q9" s="10"/>
      <c r="R9" s="8"/>
      <c r="S9" s="10"/>
      <c r="T9" s="10">
        <f t="shared" si="6"/>
        <v>0</v>
      </c>
      <c r="U9" s="10">
        <f t="shared" si="7"/>
        <v>0</v>
      </c>
      <c r="V9" s="10">
        <f>Table1[[#This Row],[Enrolment S.Y. 2025-2026 ]]*8</f>
        <v>0</v>
      </c>
      <c r="W9" s="10"/>
      <c r="X9" s="8"/>
      <c r="Y9" s="10"/>
      <c r="Z9" s="10">
        <f t="shared" si="8"/>
        <v>0</v>
      </c>
      <c r="AA9" s="10">
        <f t="shared" si="9"/>
        <v>0</v>
      </c>
    </row>
    <row r="10" spans="1:27" ht="38.25">
      <c r="A10" s="8">
        <v>7</v>
      </c>
      <c r="B10" s="9" t="s">
        <v>13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2"/>
        <v>0</v>
      </c>
      <c r="I10" s="10">
        <f t="shared" si="3"/>
        <v>0</v>
      </c>
      <c r="J10" s="10">
        <f>Table1[[#This Row],[Enrolment S.Y. 2025-2026 ]]*8</f>
        <v>0</v>
      </c>
      <c r="K10" s="10"/>
      <c r="L10" s="8"/>
      <c r="M10" s="10"/>
      <c r="N10" s="10">
        <f t="shared" si="4"/>
        <v>0</v>
      </c>
      <c r="O10" s="10">
        <f t="shared" si="5"/>
        <v>0</v>
      </c>
      <c r="P10" s="10">
        <f>Table1[[#This Row],[Enrolment S.Y. 2025-2026 ]]*8</f>
        <v>0</v>
      </c>
      <c r="Q10" s="10"/>
      <c r="R10" s="8"/>
      <c r="S10" s="10"/>
      <c r="T10" s="10">
        <f t="shared" si="6"/>
        <v>0</v>
      </c>
      <c r="U10" s="10">
        <f t="shared" si="7"/>
        <v>0</v>
      </c>
      <c r="V10" s="10">
        <f>Table1[[#This Row],[Enrolment S.Y. 2025-2026 ]]*8</f>
        <v>0</v>
      </c>
      <c r="W10" s="10"/>
      <c r="X10" s="8"/>
      <c r="Y10" s="10"/>
      <c r="Z10" s="10">
        <f t="shared" si="8"/>
        <v>0</v>
      </c>
      <c r="AA10" s="10">
        <f t="shared" si="9"/>
        <v>0</v>
      </c>
    </row>
    <row r="11" spans="1:27" ht="19.5">
      <c r="A11" s="8">
        <v>7</v>
      </c>
      <c r="B11" s="9" t="s">
        <v>14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2"/>
        <v>0</v>
      </c>
      <c r="I11" s="10">
        <f t="shared" si="3"/>
        <v>0</v>
      </c>
      <c r="J11" s="10">
        <f>Table1[[#This Row],[Enrolment S.Y. 2025-2026 ]]*8</f>
        <v>0</v>
      </c>
      <c r="K11" s="10"/>
      <c r="L11" s="8"/>
      <c r="M11" s="10"/>
      <c r="N11" s="10">
        <f t="shared" si="4"/>
        <v>0</v>
      </c>
      <c r="O11" s="10">
        <f t="shared" si="5"/>
        <v>0</v>
      </c>
      <c r="P11" s="10">
        <f>Table1[[#This Row],[Enrolment S.Y. 2025-2026 ]]*8</f>
        <v>0</v>
      </c>
      <c r="Q11" s="10"/>
      <c r="R11" s="8"/>
      <c r="S11" s="10"/>
      <c r="T11" s="10">
        <f t="shared" si="6"/>
        <v>0</v>
      </c>
      <c r="U11" s="10">
        <f t="shared" si="7"/>
        <v>0</v>
      </c>
      <c r="V11" s="10">
        <f>Table1[[#This Row],[Enrolment S.Y. 2025-2026 ]]*8</f>
        <v>0</v>
      </c>
      <c r="W11" s="10"/>
      <c r="X11" s="8"/>
      <c r="Y11" s="10"/>
      <c r="Z11" s="10">
        <f t="shared" si="8"/>
        <v>0</v>
      </c>
      <c r="AA11" s="10">
        <f t="shared" si="9"/>
        <v>0</v>
      </c>
    </row>
    <row r="12" spans="1:27" ht="19.5">
      <c r="A12" s="8">
        <v>7</v>
      </c>
      <c r="B12" s="9" t="s">
        <v>15</v>
      </c>
      <c r="C12" s="8"/>
      <c r="D12" s="10">
        <f>Table1[[#This Row],[Enrolment S.Y. 2025-2026 ]]*8</f>
        <v>0</v>
      </c>
      <c r="E12" s="10"/>
      <c r="F12" s="8"/>
      <c r="G12" s="10"/>
      <c r="H12" s="10">
        <f t="shared" si="2"/>
        <v>0</v>
      </c>
      <c r="I12" s="10">
        <f t="shared" si="3"/>
        <v>0</v>
      </c>
      <c r="J12" s="10">
        <f>Table1[[#This Row],[Enrolment S.Y. 2025-2026 ]]*8</f>
        <v>0</v>
      </c>
      <c r="K12" s="10"/>
      <c r="L12" s="8"/>
      <c r="M12" s="10"/>
      <c r="N12" s="10">
        <f t="shared" si="4"/>
        <v>0</v>
      </c>
      <c r="O12" s="10">
        <f t="shared" si="5"/>
        <v>0</v>
      </c>
      <c r="P12" s="10">
        <f>Table1[[#This Row],[Enrolment S.Y. 2025-2026 ]]*8</f>
        <v>0</v>
      </c>
      <c r="Q12" s="10"/>
      <c r="R12" s="8"/>
      <c r="S12" s="10"/>
      <c r="T12" s="10">
        <f t="shared" si="6"/>
        <v>0</v>
      </c>
      <c r="U12" s="10">
        <f t="shared" si="7"/>
        <v>0</v>
      </c>
      <c r="V12" s="10">
        <f>Table1[[#This Row],[Enrolment S.Y. 2025-2026 ]]*8</f>
        <v>0</v>
      </c>
      <c r="W12" s="10"/>
      <c r="X12" s="8"/>
      <c r="Y12" s="10"/>
      <c r="Z12" s="10">
        <f t="shared" si="8"/>
        <v>0</v>
      </c>
      <c r="AA12" s="10">
        <f t="shared" si="9"/>
        <v>0</v>
      </c>
    </row>
    <row r="13" spans="1:27" s="5" customFormat="1" ht="19.5">
      <c r="A13" s="8">
        <v>7</v>
      </c>
      <c r="B13" s="9" t="s">
        <v>16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2"/>
        <v>0</v>
      </c>
      <c r="I13" s="10">
        <f t="shared" si="3"/>
        <v>0</v>
      </c>
      <c r="J13" s="10">
        <f>Table1[[#This Row],[Enrolment S.Y. 2025-2026 ]]*8</f>
        <v>0</v>
      </c>
      <c r="K13" s="10"/>
      <c r="L13" s="8"/>
      <c r="M13" s="10"/>
      <c r="N13" s="10">
        <f t="shared" ref="N13:N69" si="10">IF((J13-K13)&lt;0,0,(J13-K13))</f>
        <v>0</v>
      </c>
      <c r="O13" s="10">
        <f t="shared" ref="O13:O69" si="11">IF((K13-J13)&lt;0,0,(K13-J13))</f>
        <v>0</v>
      </c>
      <c r="P13" s="10">
        <f>Table1[[#This Row],[Enrolment S.Y. 2025-2026 ]]*8</f>
        <v>0</v>
      </c>
      <c r="Q13" s="10"/>
      <c r="R13" s="8"/>
      <c r="S13" s="10"/>
      <c r="T13" s="10">
        <f t="shared" ref="T13:T70" si="12">IF((P13-Q13)&lt;0,0,(P13-Q13))</f>
        <v>0</v>
      </c>
      <c r="U13" s="10">
        <f t="shared" ref="U13:U70" si="13">IF((Q13-P13)&lt;0,0,(Q13-P13))</f>
        <v>0</v>
      </c>
      <c r="V13" s="10">
        <f>Table1[[#This Row],[Enrolment S.Y. 2025-2026 ]]*8</f>
        <v>0</v>
      </c>
      <c r="W13" s="10"/>
      <c r="X13" s="8"/>
      <c r="Y13" s="10"/>
      <c r="Z13" s="10">
        <f t="shared" ref="Z13:Z70" si="14">IF((V13-W13)&lt;0,0,(V13-W13))</f>
        <v>0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17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2"/>
        <v>0</v>
      </c>
      <c r="I14" s="10">
        <f t="shared" si="3"/>
        <v>0</v>
      </c>
      <c r="J14" s="10">
        <f>Table1[[#This Row],[Enrolment S.Y. 2025-2026 ]]*8</f>
        <v>0</v>
      </c>
      <c r="K14" s="10"/>
      <c r="L14" s="8"/>
      <c r="M14" s="10"/>
      <c r="N14" s="10">
        <f t="shared" si="10"/>
        <v>0</v>
      </c>
      <c r="O14" s="10">
        <f t="shared" si="11"/>
        <v>0</v>
      </c>
      <c r="P14" s="10">
        <f>Table1[[#This Row],[Enrolment S.Y. 2025-2026 ]]*8</f>
        <v>0</v>
      </c>
      <c r="Q14" s="10"/>
      <c r="R14" s="8"/>
      <c r="S14" s="10"/>
      <c r="T14" s="10">
        <f t="shared" si="12"/>
        <v>0</v>
      </c>
      <c r="U14" s="10">
        <f t="shared" si="13"/>
        <v>0</v>
      </c>
      <c r="V14" s="10">
        <f>Table1[[#This Row],[Enrolment S.Y. 2025-2026 ]]*8</f>
        <v>0</v>
      </c>
      <c r="W14" s="10"/>
      <c r="X14" s="8"/>
      <c r="Y14" s="10"/>
      <c r="Z14" s="10">
        <f t="shared" si="14"/>
        <v>0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>
        <v>313</v>
      </c>
      <c r="D16" s="10">
        <f>Table1[[#This Row],[Enrolment S.Y. 2025-2026 ]]*8</f>
        <v>2504</v>
      </c>
      <c r="E16" s="10">
        <v>48</v>
      </c>
      <c r="F16" s="8">
        <v>2025</v>
      </c>
      <c r="G16" s="10" t="s">
        <v>57</v>
      </c>
      <c r="H16" s="10">
        <f t="shared" si="2"/>
        <v>2456</v>
      </c>
      <c r="I16" s="10">
        <f t="shared" si="3"/>
        <v>0</v>
      </c>
      <c r="J16" s="10">
        <f>Table1[[#This Row],[Enrolment S.Y. 2025-2026 ]]*8</f>
        <v>2504</v>
      </c>
      <c r="K16" s="10"/>
      <c r="L16" s="8"/>
      <c r="M16" s="10"/>
      <c r="N16" s="10">
        <f t="shared" si="10"/>
        <v>2504</v>
      </c>
      <c r="O16" s="10">
        <f t="shared" si="11"/>
        <v>0</v>
      </c>
      <c r="P16" s="10">
        <f>Table1[[#This Row],[Enrolment S.Y. 2025-2026 ]]*8</f>
        <v>2504</v>
      </c>
      <c r="Q16" s="10"/>
      <c r="R16" s="8"/>
      <c r="S16" s="10"/>
      <c r="T16" s="10">
        <f t="shared" si="12"/>
        <v>2504</v>
      </c>
      <c r="U16" s="10">
        <f t="shared" si="13"/>
        <v>0</v>
      </c>
      <c r="V16" s="10">
        <f>Table1[[#This Row],[Enrolment S.Y. 2025-2026 ]]*8</f>
        <v>2504</v>
      </c>
      <c r="W16" s="10"/>
      <c r="X16" s="8"/>
      <c r="Y16" s="10"/>
      <c r="Z16" s="10">
        <f t="shared" si="14"/>
        <v>2504</v>
      </c>
      <c r="AA16" s="10">
        <f t="shared" si="15"/>
        <v>0</v>
      </c>
    </row>
    <row r="17" spans="1:27" ht="19.5">
      <c r="A17" s="8">
        <v>8</v>
      </c>
      <c r="B17" s="9" t="s">
        <v>10</v>
      </c>
      <c r="C17" s="8">
        <v>313</v>
      </c>
      <c r="D17" s="10">
        <f>Table1[[#This Row],[Enrolment S.Y. 2025-2026 ]]*8</f>
        <v>2504</v>
      </c>
      <c r="E17" s="10">
        <v>48</v>
      </c>
      <c r="F17" s="8">
        <v>2025</v>
      </c>
      <c r="G17" s="10" t="s">
        <v>57</v>
      </c>
      <c r="H17" s="10">
        <f t="shared" si="2"/>
        <v>2456</v>
      </c>
      <c r="I17" s="10">
        <f t="shared" si="3"/>
        <v>0</v>
      </c>
      <c r="J17" s="10">
        <f>Table1[[#This Row],[Enrolment S.Y. 2025-2026 ]]*8</f>
        <v>2504</v>
      </c>
      <c r="K17" s="10"/>
      <c r="L17" s="8"/>
      <c r="M17" s="10"/>
      <c r="N17" s="10">
        <f t="shared" si="10"/>
        <v>2504</v>
      </c>
      <c r="O17" s="10">
        <f t="shared" si="11"/>
        <v>0</v>
      </c>
      <c r="P17" s="10">
        <f>Table1[[#This Row],[Enrolment S.Y. 2025-2026 ]]*8</f>
        <v>2504</v>
      </c>
      <c r="Q17" s="10"/>
      <c r="R17" s="8"/>
      <c r="S17" s="10"/>
      <c r="T17" s="10">
        <f t="shared" si="12"/>
        <v>2504</v>
      </c>
      <c r="U17" s="10">
        <f t="shared" si="13"/>
        <v>0</v>
      </c>
      <c r="V17" s="10">
        <f>Table1[[#This Row],[Enrolment S.Y. 2025-2026 ]]*8</f>
        <v>2504</v>
      </c>
      <c r="W17" s="10"/>
      <c r="X17" s="8"/>
      <c r="Y17" s="10"/>
      <c r="Z17" s="10">
        <f t="shared" si="14"/>
        <v>2504</v>
      </c>
      <c r="AA17" s="10">
        <f t="shared" si="15"/>
        <v>0</v>
      </c>
    </row>
    <row r="18" spans="1:27" ht="19.5">
      <c r="A18" s="8">
        <v>8</v>
      </c>
      <c r="B18" s="9" t="s">
        <v>11</v>
      </c>
      <c r="C18" s="8">
        <v>313</v>
      </c>
      <c r="D18" s="10">
        <f>Table1[[#This Row],[Enrolment S.Y. 2025-2026 ]]*8</f>
        <v>2504</v>
      </c>
      <c r="E18" s="10">
        <v>48</v>
      </c>
      <c r="F18" s="8">
        <v>2025</v>
      </c>
      <c r="G18" s="10" t="s">
        <v>57</v>
      </c>
      <c r="H18" s="10">
        <f t="shared" si="2"/>
        <v>2456</v>
      </c>
      <c r="I18" s="10">
        <f t="shared" si="3"/>
        <v>0</v>
      </c>
      <c r="J18" s="10">
        <f>Table1[[#This Row],[Enrolment S.Y. 2025-2026 ]]*8</f>
        <v>2504</v>
      </c>
      <c r="K18" s="10"/>
      <c r="L18" s="8"/>
      <c r="M18" s="10"/>
      <c r="N18" s="10">
        <f t="shared" si="10"/>
        <v>2504</v>
      </c>
      <c r="O18" s="10">
        <f t="shared" si="11"/>
        <v>0</v>
      </c>
      <c r="P18" s="10">
        <f>Table1[[#This Row],[Enrolment S.Y. 2025-2026 ]]*8</f>
        <v>2504</v>
      </c>
      <c r="Q18" s="10"/>
      <c r="R18" s="8"/>
      <c r="S18" s="10"/>
      <c r="T18" s="10">
        <f t="shared" si="12"/>
        <v>2504</v>
      </c>
      <c r="U18" s="10">
        <f t="shared" si="13"/>
        <v>0</v>
      </c>
      <c r="V18" s="10">
        <f>Table1[[#This Row],[Enrolment S.Y. 2025-2026 ]]*8</f>
        <v>2504</v>
      </c>
      <c r="W18" s="10"/>
      <c r="X18" s="8"/>
      <c r="Y18" s="10"/>
      <c r="Z18" s="10">
        <f t="shared" si="14"/>
        <v>2504</v>
      </c>
      <c r="AA18" s="10">
        <f t="shared" si="15"/>
        <v>0</v>
      </c>
    </row>
    <row r="19" spans="1:27" ht="19.5">
      <c r="A19" s="8">
        <v>8</v>
      </c>
      <c r="B19" s="9" t="s">
        <v>12</v>
      </c>
      <c r="C19" s="8">
        <v>313</v>
      </c>
      <c r="D19" s="10">
        <f>Table1[[#This Row],[Enrolment S.Y. 2025-2026 ]]*8</f>
        <v>2504</v>
      </c>
      <c r="E19" s="10">
        <v>48</v>
      </c>
      <c r="F19" s="8">
        <v>2025</v>
      </c>
      <c r="G19" s="10" t="s">
        <v>57</v>
      </c>
      <c r="H19" s="10">
        <f t="shared" si="2"/>
        <v>2456</v>
      </c>
      <c r="I19" s="10">
        <f t="shared" si="3"/>
        <v>0</v>
      </c>
      <c r="J19" s="10">
        <f>Table1[[#This Row],[Enrolment S.Y. 2025-2026 ]]*8</f>
        <v>2504</v>
      </c>
      <c r="K19" s="10"/>
      <c r="L19" s="8"/>
      <c r="M19" s="10"/>
      <c r="N19" s="10">
        <f t="shared" si="10"/>
        <v>2504</v>
      </c>
      <c r="O19" s="10">
        <f t="shared" si="11"/>
        <v>0</v>
      </c>
      <c r="P19" s="10">
        <f>Table1[[#This Row],[Enrolment S.Y. 2025-2026 ]]*8</f>
        <v>2504</v>
      </c>
      <c r="Q19" s="10"/>
      <c r="R19" s="8"/>
      <c r="S19" s="10"/>
      <c r="T19" s="10">
        <f t="shared" si="12"/>
        <v>2504</v>
      </c>
      <c r="U19" s="10">
        <f t="shared" si="13"/>
        <v>0</v>
      </c>
      <c r="V19" s="10">
        <f>Table1[[#This Row],[Enrolment S.Y. 2025-2026 ]]*8</f>
        <v>2504</v>
      </c>
      <c r="W19" s="10"/>
      <c r="X19" s="8"/>
      <c r="Y19" s="10"/>
      <c r="Z19" s="10">
        <f t="shared" si="14"/>
        <v>2504</v>
      </c>
      <c r="AA19" s="10">
        <f t="shared" si="15"/>
        <v>0</v>
      </c>
    </row>
    <row r="20" spans="1:27" ht="19.5">
      <c r="A20" s="8">
        <v>8</v>
      </c>
      <c r="B20" s="9" t="s">
        <v>18</v>
      </c>
      <c r="C20" s="8">
        <v>313</v>
      </c>
      <c r="D20" s="10">
        <f>Table1[[#This Row],[Enrolment S.Y. 2025-2026 ]]*8</f>
        <v>2504</v>
      </c>
      <c r="E20" s="10">
        <v>48</v>
      </c>
      <c r="F20" s="8">
        <v>2025</v>
      </c>
      <c r="G20" s="10" t="s">
        <v>57</v>
      </c>
      <c r="H20" s="10">
        <f t="shared" si="2"/>
        <v>2456</v>
      </c>
      <c r="I20" s="10">
        <f t="shared" si="3"/>
        <v>0</v>
      </c>
      <c r="J20" s="10">
        <f>Table1[[#This Row],[Enrolment S.Y. 2025-2026 ]]*8</f>
        <v>2504</v>
      </c>
      <c r="K20" s="10"/>
      <c r="L20" s="8"/>
      <c r="M20" s="10"/>
      <c r="N20" s="10">
        <f t="shared" si="10"/>
        <v>2504</v>
      </c>
      <c r="O20" s="10">
        <f t="shared" si="11"/>
        <v>0</v>
      </c>
      <c r="P20" s="10">
        <f>Table1[[#This Row],[Enrolment S.Y. 2025-2026 ]]*8</f>
        <v>2504</v>
      </c>
      <c r="Q20" s="10"/>
      <c r="R20" s="8"/>
      <c r="S20" s="10"/>
      <c r="T20" s="10">
        <f t="shared" si="12"/>
        <v>2504</v>
      </c>
      <c r="U20" s="10">
        <f t="shared" si="13"/>
        <v>0</v>
      </c>
      <c r="V20" s="10">
        <f>Table1[[#This Row],[Enrolment S.Y. 2025-2026 ]]*8</f>
        <v>2504</v>
      </c>
      <c r="W20" s="10"/>
      <c r="X20" s="8"/>
      <c r="Y20" s="10"/>
      <c r="Z20" s="10">
        <f t="shared" si="14"/>
        <v>2504</v>
      </c>
      <c r="AA20" s="10">
        <f t="shared" si="15"/>
        <v>0</v>
      </c>
    </row>
    <row r="21" spans="1:27" ht="19.5">
      <c r="A21" s="8">
        <v>8</v>
      </c>
      <c r="B21" s="9" t="s">
        <v>14</v>
      </c>
      <c r="C21" s="8">
        <v>313</v>
      </c>
      <c r="D21" s="10">
        <f>Table1[[#This Row],[Enrolment S.Y. 2025-2026 ]]*8</f>
        <v>2504</v>
      </c>
      <c r="E21" s="10">
        <v>48</v>
      </c>
      <c r="F21" s="8">
        <v>2025</v>
      </c>
      <c r="G21" s="10" t="s">
        <v>57</v>
      </c>
      <c r="H21" s="10">
        <f t="shared" ref="H21:H70" si="16">IF((D21-E21)&lt;0,0,(D21-E21))</f>
        <v>2456</v>
      </c>
      <c r="I21" s="10">
        <f t="shared" ref="I21:I70" si="17">IF((E21-D21)&lt;0,0,(E21-D21))</f>
        <v>0</v>
      </c>
      <c r="J21" s="10">
        <f>Table1[[#This Row],[Enrolment S.Y. 2025-2026 ]]*8</f>
        <v>2504</v>
      </c>
      <c r="K21" s="10"/>
      <c r="L21" s="8"/>
      <c r="M21" s="10"/>
      <c r="N21" s="10">
        <f t="shared" si="10"/>
        <v>2504</v>
      </c>
      <c r="O21" s="10">
        <f t="shared" si="11"/>
        <v>0</v>
      </c>
      <c r="P21" s="10">
        <f>Table1[[#This Row],[Enrolment S.Y. 2025-2026 ]]*8</f>
        <v>2504</v>
      </c>
      <c r="Q21" s="10"/>
      <c r="R21" s="8"/>
      <c r="S21" s="10"/>
      <c r="T21" s="10">
        <f t="shared" si="12"/>
        <v>2504</v>
      </c>
      <c r="U21" s="10">
        <f t="shared" si="13"/>
        <v>0</v>
      </c>
      <c r="V21" s="10">
        <f>Table1[[#This Row],[Enrolment S.Y. 2025-2026 ]]*8</f>
        <v>2504</v>
      </c>
      <c r="W21" s="10"/>
      <c r="X21" s="8"/>
      <c r="Y21" s="10"/>
      <c r="Z21" s="10">
        <f t="shared" si="14"/>
        <v>2504</v>
      </c>
      <c r="AA21" s="10">
        <f t="shared" si="15"/>
        <v>0</v>
      </c>
    </row>
    <row r="22" spans="1:27" s="5" customFormat="1" ht="19.5">
      <c r="A22" s="8">
        <v>8</v>
      </c>
      <c r="B22" s="9" t="s">
        <v>15</v>
      </c>
      <c r="C22" s="8">
        <v>313</v>
      </c>
      <c r="D22" s="10">
        <f>Table1[[#This Row],[Enrolment S.Y. 2025-2026 ]]*8</f>
        <v>2504</v>
      </c>
      <c r="E22" s="10">
        <v>48</v>
      </c>
      <c r="F22" s="8">
        <v>2025</v>
      </c>
      <c r="G22" s="10" t="s">
        <v>57</v>
      </c>
      <c r="H22" s="10">
        <f t="shared" si="16"/>
        <v>2456</v>
      </c>
      <c r="I22" s="10">
        <f t="shared" si="17"/>
        <v>0</v>
      </c>
      <c r="J22" s="10">
        <f>Table1[[#This Row],[Enrolment S.Y. 2025-2026 ]]*8</f>
        <v>2504</v>
      </c>
      <c r="K22" s="10"/>
      <c r="L22" s="8"/>
      <c r="M22" s="10"/>
      <c r="N22" s="10">
        <f t="shared" si="10"/>
        <v>2504</v>
      </c>
      <c r="O22" s="10">
        <f t="shared" si="11"/>
        <v>0</v>
      </c>
      <c r="P22" s="10">
        <f>Table1[[#This Row],[Enrolment S.Y. 2025-2026 ]]*8</f>
        <v>2504</v>
      </c>
      <c r="Q22" s="10"/>
      <c r="R22" s="8"/>
      <c r="S22" s="10"/>
      <c r="T22" s="10">
        <f t="shared" si="12"/>
        <v>2504</v>
      </c>
      <c r="U22" s="10">
        <f t="shared" si="13"/>
        <v>0</v>
      </c>
      <c r="V22" s="10">
        <f>Table1[[#This Row],[Enrolment S.Y. 2025-2026 ]]*8</f>
        <v>2504</v>
      </c>
      <c r="W22" s="10"/>
      <c r="X22" s="8"/>
      <c r="Y22" s="10"/>
      <c r="Z22" s="10">
        <f t="shared" si="14"/>
        <v>2504</v>
      </c>
      <c r="AA22" s="10">
        <f t="shared" si="15"/>
        <v>0</v>
      </c>
    </row>
    <row r="23" spans="1:27" ht="19.5">
      <c r="A23" s="8">
        <v>8</v>
      </c>
      <c r="B23" s="9" t="s">
        <v>16</v>
      </c>
      <c r="C23" s="8">
        <v>313</v>
      </c>
      <c r="D23" s="10">
        <f>Table1[[#This Row],[Enrolment S.Y. 2025-2026 ]]*8</f>
        <v>2504</v>
      </c>
      <c r="E23" s="10">
        <v>48</v>
      </c>
      <c r="F23" s="8">
        <v>2025</v>
      </c>
      <c r="G23" s="10" t="s">
        <v>57</v>
      </c>
      <c r="H23" s="10">
        <f t="shared" si="16"/>
        <v>2456</v>
      </c>
      <c r="I23" s="10">
        <f t="shared" si="17"/>
        <v>0</v>
      </c>
      <c r="J23" s="10">
        <f>Table1[[#This Row],[Enrolment S.Y. 2025-2026 ]]*8</f>
        <v>2504</v>
      </c>
      <c r="K23" s="10"/>
      <c r="L23" s="8"/>
      <c r="M23" s="10"/>
      <c r="N23" s="10">
        <f t="shared" si="10"/>
        <v>2504</v>
      </c>
      <c r="O23" s="10">
        <f t="shared" si="11"/>
        <v>0</v>
      </c>
      <c r="P23" s="10">
        <f>Table1[[#This Row],[Enrolment S.Y. 2025-2026 ]]*8</f>
        <v>2504</v>
      </c>
      <c r="Q23" s="10"/>
      <c r="R23" s="8"/>
      <c r="S23" s="10"/>
      <c r="T23" s="10">
        <f t="shared" si="12"/>
        <v>2504</v>
      </c>
      <c r="U23" s="10">
        <f t="shared" si="13"/>
        <v>0</v>
      </c>
      <c r="V23" s="10">
        <f>Table1[[#This Row],[Enrolment S.Y. 2025-2026 ]]*8</f>
        <v>2504</v>
      </c>
      <c r="W23" s="10"/>
      <c r="X23" s="8"/>
      <c r="Y23" s="10"/>
      <c r="Z23" s="10">
        <f t="shared" si="14"/>
        <v>2504</v>
      </c>
      <c r="AA23" s="10">
        <f t="shared" si="15"/>
        <v>0</v>
      </c>
    </row>
    <row r="24" spans="1:27" ht="19.5">
      <c r="A24" s="8">
        <v>8</v>
      </c>
      <c r="B24" s="9" t="s">
        <v>17</v>
      </c>
      <c r="C24" s="8">
        <v>313</v>
      </c>
      <c r="D24" s="10">
        <f>Table1[[#This Row],[Enrolment S.Y. 2025-2026 ]]*8</f>
        <v>2504</v>
      </c>
      <c r="E24" s="10">
        <v>48</v>
      </c>
      <c r="F24" s="8">
        <v>2025</v>
      </c>
      <c r="G24" s="10" t="s">
        <v>57</v>
      </c>
      <c r="H24" s="10">
        <f t="shared" si="16"/>
        <v>2456</v>
      </c>
      <c r="I24" s="10">
        <f t="shared" si="17"/>
        <v>0</v>
      </c>
      <c r="J24" s="10">
        <f>Table1[[#This Row],[Enrolment S.Y. 2025-2026 ]]*8</f>
        <v>2504</v>
      </c>
      <c r="K24" s="10"/>
      <c r="L24" s="8"/>
      <c r="M24" s="10"/>
      <c r="N24" s="10">
        <f t="shared" si="10"/>
        <v>2504</v>
      </c>
      <c r="O24" s="10">
        <f t="shared" si="11"/>
        <v>0</v>
      </c>
      <c r="P24" s="10">
        <f>Table1[[#This Row],[Enrolment S.Y. 2025-2026 ]]*8</f>
        <v>2504</v>
      </c>
      <c r="Q24" s="10"/>
      <c r="R24" s="8"/>
      <c r="S24" s="10"/>
      <c r="T24" s="10">
        <f t="shared" si="12"/>
        <v>2504</v>
      </c>
      <c r="U24" s="10">
        <f t="shared" si="13"/>
        <v>0</v>
      </c>
      <c r="V24" s="10">
        <f>Table1[[#This Row],[Enrolment S.Y. 2025-2026 ]]*8</f>
        <v>2504</v>
      </c>
      <c r="W24" s="10"/>
      <c r="X24" s="8"/>
      <c r="Y24" s="10"/>
      <c r="Z24" s="10">
        <f t="shared" si="14"/>
        <v>2504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10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11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12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18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14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15</v>
      </c>
      <c r="C32" s="8"/>
      <c r="D32" s="10">
        <f>Table1[[#This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8">
        <v>9</v>
      </c>
      <c r="B33" s="9" t="s">
        <v>16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Table1[[#This Row],[Enrolment S.Y. 2025-2026 ]]*8</f>
        <v>0</v>
      </c>
      <c r="K33" s="10"/>
      <c r="L33" s="8"/>
      <c r="M33" s="10"/>
      <c r="N33" s="10">
        <f t="shared" si="10"/>
        <v>0</v>
      </c>
      <c r="O33" s="10">
        <f t="shared" si="11"/>
        <v>0</v>
      </c>
      <c r="P33" s="10">
        <f>Table1[[#This Row],[Enrolment S.Y. 2025-2026 ]]*8</f>
        <v>0</v>
      </c>
      <c r="Q33" s="10"/>
      <c r="R33" s="8"/>
      <c r="S33" s="10"/>
      <c r="T33" s="10">
        <f t="shared" si="12"/>
        <v>0</v>
      </c>
      <c r="U33" s="10">
        <f t="shared" si="13"/>
        <v>0</v>
      </c>
      <c r="V33" s="10">
        <f>Table1[[#This Row],[Enrolment S.Y. 2025-2026 ]]*8</f>
        <v>0</v>
      </c>
      <c r="W33" s="10"/>
      <c r="X33" s="8"/>
      <c r="Y33" s="10"/>
      <c r="Z33" s="10">
        <f t="shared" si="14"/>
        <v>0</v>
      </c>
      <c r="AA33" s="10">
        <f t="shared" si="15"/>
        <v>0</v>
      </c>
    </row>
    <row r="34" spans="1:27" ht="19.5">
      <c r="A34" s="8">
        <v>9</v>
      </c>
      <c r="B34" s="9" t="s">
        <v>17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0"/>
        <v>0</v>
      </c>
      <c r="O34" s="10">
        <f t="shared" si="11"/>
        <v>0</v>
      </c>
      <c r="P34" s="10">
        <f>Table1[[#This Row],[Enrolment S.Y. 2025-2026 ]]*8</f>
        <v>0</v>
      </c>
      <c r="Q34" s="10"/>
      <c r="R34" s="8"/>
      <c r="S34" s="10"/>
      <c r="T34" s="10">
        <f t="shared" si="12"/>
        <v>0</v>
      </c>
      <c r="U34" s="10">
        <f t="shared" si="13"/>
        <v>0</v>
      </c>
      <c r="V34" s="10">
        <f>Table1[[#This Row],[Enrolment S.Y. 2025-2026 ]]*8</f>
        <v>0</v>
      </c>
      <c r="W34" s="10"/>
      <c r="X34" s="8"/>
      <c r="Y34" s="10"/>
      <c r="Z34" s="10">
        <f t="shared" si="14"/>
        <v>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10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11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12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18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14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15</v>
      </c>
      <c r="C42" s="8"/>
      <c r="D42" s="10">
        <f>Table1[[#This Row],[Enrolment S.Y. 2025-2026 ]]*8</f>
        <v>0</v>
      </c>
      <c r="E42" s="10"/>
      <c r="F42" s="8"/>
      <c r="G42" s="10"/>
      <c r="H42" s="10">
        <f>IF((D42-E42)&lt;0,0,(D42-E42))</f>
        <v>0</v>
      </c>
      <c r="I42" s="10">
        <f>IF((E42-D42)&lt;0,0,(E42-D42))</f>
        <v>0</v>
      </c>
      <c r="J42" s="10">
        <f>Table1[[#This Row],[Enrolment S.Y. 2025-2026 ]]*8</f>
        <v>0</v>
      </c>
      <c r="K42" s="10"/>
      <c r="L42" s="8"/>
      <c r="M42" s="10"/>
      <c r="N42" s="10">
        <f>IF((J42-K42)&lt;0,0,(J42-K42))</f>
        <v>0</v>
      </c>
      <c r="O42" s="10">
        <f>IF((K42-J42)&lt;0,0,(K42-J42))</f>
        <v>0</v>
      </c>
      <c r="P42" s="10">
        <f>Table1[[#This Row],[Enrolment S.Y. 2025-2026 ]]*8</f>
        <v>0</v>
      </c>
      <c r="Q42" s="10"/>
      <c r="R42" s="8"/>
      <c r="S42" s="10"/>
      <c r="T42" s="10">
        <f>IF((P42-Q42)&lt;0,0,(P42-Q42))</f>
        <v>0</v>
      </c>
      <c r="U42" s="10">
        <f>IF((Q42-P42)&lt;0,0,(Q42-P42))</f>
        <v>0</v>
      </c>
      <c r="V42" s="10">
        <f>Table1[[#This Row],[Enrolment S.Y. 2025-2026 ]]*8</f>
        <v>0</v>
      </c>
      <c r="W42" s="10"/>
      <c r="X42" s="8"/>
      <c r="Y42" s="10"/>
      <c r="Z42" s="10">
        <f>IF((V42-W42)&lt;0,0,(V42-W42))</f>
        <v>0</v>
      </c>
      <c r="AA42" s="10">
        <f>IF((W42-V42)&lt;0,0,(W42-V42))</f>
        <v>0</v>
      </c>
    </row>
    <row r="43" spans="1:27" ht="19.5">
      <c r="A43" s="8">
        <v>10</v>
      </c>
      <c r="B43" s="9" t="s">
        <v>16</v>
      </c>
      <c r="C43" s="8"/>
      <c r="D43" s="10">
        <f>Table1[[#This Row],[Enrolment S.Y. 2025-2026 ]]*8</f>
        <v>0</v>
      </c>
      <c r="E43" s="10"/>
      <c r="F43" s="8"/>
      <c r="G43" s="10"/>
      <c r="H43" s="10">
        <f>IF((D43-E43)&lt;0,0,(D43-E43))</f>
        <v>0</v>
      </c>
      <c r="I43" s="10">
        <f>IF((E43-D43)&lt;0,0,(E43-D43))</f>
        <v>0</v>
      </c>
      <c r="J43" s="10">
        <f>Table1[[#This Row],[Enrolment S.Y. 2025-2026 ]]*8</f>
        <v>0</v>
      </c>
      <c r="K43" s="10"/>
      <c r="L43" s="8"/>
      <c r="M43" s="10"/>
      <c r="N43" s="10">
        <f>IF((J43-K43)&lt;0,0,(J43-K43))</f>
        <v>0</v>
      </c>
      <c r="O43" s="10">
        <f>IF((K43-J43)&lt;0,0,(K43-J43))</f>
        <v>0</v>
      </c>
      <c r="P43" s="10">
        <f>Table1[[#This Row],[Enrolment S.Y. 2025-2026 ]]*8</f>
        <v>0</v>
      </c>
      <c r="Q43" s="10"/>
      <c r="R43" s="8"/>
      <c r="S43" s="10"/>
      <c r="T43" s="10">
        <f>IF((P43-Q43)&lt;0,0,(P43-Q43))</f>
        <v>0</v>
      </c>
      <c r="U43" s="10">
        <f>IF((Q43-P43)&lt;0,0,(Q43-P43))</f>
        <v>0</v>
      </c>
      <c r="V43" s="10">
        <f>Table1[[#This Row],[Enrolment S.Y. 2025-2026 ]]*8</f>
        <v>0</v>
      </c>
      <c r="W43" s="10"/>
      <c r="X43" s="8"/>
      <c r="Y43" s="10"/>
      <c r="Z43" s="10">
        <f>IF((V43-W43)&lt;0,0,(V43-W43))</f>
        <v>0</v>
      </c>
      <c r="AA43" s="10">
        <f>IF((W43-V43)&lt;0,0,(W43-V43))</f>
        <v>0</v>
      </c>
    </row>
    <row r="44" spans="1:27" ht="19.5">
      <c r="A44" s="8">
        <v>10</v>
      </c>
      <c r="B44" s="9" t="s">
        <v>17</v>
      </c>
      <c r="C44" s="8"/>
      <c r="D44" s="10">
        <f>Table1[[#This Row],[Enrolment S.Y. 2025-2026 ]]*8</f>
        <v>0</v>
      </c>
      <c r="E44" s="10"/>
      <c r="F44" s="8"/>
      <c r="G44" s="10"/>
      <c r="H44" s="10">
        <f>IF((D44-E44)&lt;0,0,(D44-E44))</f>
        <v>0</v>
      </c>
      <c r="I44" s="10">
        <f>IF((E44-D44)&lt;0,0,(E44-D44))</f>
        <v>0</v>
      </c>
      <c r="J44" s="10">
        <f>Table1[[#This Row],[Enrolment S.Y. 2025-2026 ]]*8</f>
        <v>0</v>
      </c>
      <c r="K44" s="10"/>
      <c r="L44" s="8"/>
      <c r="M44" s="10"/>
      <c r="N44" s="10">
        <f>IF((J44-K44)&lt;0,0,(J44-K44))</f>
        <v>0</v>
      </c>
      <c r="O44" s="10">
        <f>IF((K44-J44)&lt;0,0,(K44-J44))</f>
        <v>0</v>
      </c>
      <c r="P44" s="10">
        <f>Table1[[#This Row],[Enrolment S.Y. 2025-2026 ]]*8</f>
        <v>0</v>
      </c>
      <c r="Q44" s="10"/>
      <c r="R44" s="8"/>
      <c r="S44" s="10"/>
      <c r="T44" s="10">
        <f>IF((P44-Q44)&lt;0,0,(P44-Q44))</f>
        <v>0</v>
      </c>
      <c r="U44" s="10">
        <f>IF((Q44-P44)&lt;0,0,(Q44-P44))</f>
        <v>0</v>
      </c>
      <c r="V44" s="10">
        <f>Table1[[#This Row],[Enrolment S.Y. 2025-2026 ]]*8</f>
        <v>0</v>
      </c>
      <c r="W44" s="10"/>
      <c r="X44" s="8"/>
      <c r="Y44" s="10"/>
      <c r="Z44" s="10">
        <f>IF((V44-W44)&lt;0,0,(V44-W44))</f>
        <v>0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19</v>
      </c>
      <c r="B46" s="7" t="s">
        <v>20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19</v>
      </c>
      <c r="B47" s="7" t="s">
        <v>21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19</v>
      </c>
      <c r="B48" s="7" t="s">
        <v>22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19</v>
      </c>
      <c r="B49" s="7" t="s">
        <v>23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19</v>
      </c>
      <c r="B50" s="7" t="s">
        <v>24</v>
      </c>
      <c r="C50" s="1">
        <v>167</v>
      </c>
      <c r="D50" s="4">
        <f>Table1[[#This Row],[Enrolment S.Y. 2025-2026 ]]*8</f>
        <v>1336</v>
      </c>
      <c r="E50" s="4"/>
      <c r="F50" s="1"/>
      <c r="G50" s="4"/>
      <c r="H50" s="4">
        <f t="shared" si="16"/>
        <v>1336</v>
      </c>
      <c r="I50" s="4">
        <f t="shared" si="17"/>
        <v>0</v>
      </c>
      <c r="J50" s="4">
        <f>Table1[[#This Row],[Enrolment S.Y. 2025-2026 ]]*8</f>
        <v>1336</v>
      </c>
      <c r="K50" s="4"/>
      <c r="L50" s="1"/>
      <c r="M50" s="4"/>
      <c r="N50" s="4">
        <f t="shared" si="10"/>
        <v>1336</v>
      </c>
      <c r="O50" s="4">
        <f t="shared" si="11"/>
        <v>0</v>
      </c>
      <c r="P50" s="4">
        <f>Table1[[#This Row],[Enrolment S.Y. 2025-2026 ]]*8</f>
        <v>1336</v>
      </c>
      <c r="Q50" s="4"/>
      <c r="R50" s="1"/>
      <c r="S50" s="4"/>
      <c r="T50" s="4">
        <f t="shared" si="12"/>
        <v>1336</v>
      </c>
      <c r="U50" s="4">
        <f t="shared" si="13"/>
        <v>0</v>
      </c>
      <c r="V50" s="4">
        <f>Table1[[#This Row],[Enrolment S.Y. 2025-2026 ]]*8</f>
        <v>1336</v>
      </c>
      <c r="W50" s="4"/>
      <c r="X50" s="1"/>
      <c r="Y50" s="4"/>
      <c r="Z50" s="4">
        <f t="shared" si="14"/>
        <v>1336</v>
      </c>
      <c r="AA50" s="4">
        <f t="shared" si="15"/>
        <v>0</v>
      </c>
    </row>
    <row r="51" spans="1:27" ht="38.25">
      <c r="A51" s="1" t="s">
        <v>19</v>
      </c>
      <c r="B51" s="7" t="s">
        <v>25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19</v>
      </c>
      <c r="B52" s="7" t="s">
        <v>26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19</v>
      </c>
      <c r="B53" s="7" t="s">
        <v>27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N3:R3 D16:F24 T4:V70 K6:L14 K16:L24 K26:L34 K36:L44 K46:L53 K55:L70 J4:J70 Z4:AA70 Q55:R69 P2:R2 V2:X3 N4:P69 D6:F14 H6:I14 Q6:R14 W6:X14 H16:I24 Q16:R24 W16:X24 D26:F34 H26:I34 Q26:R34 W26:X34 D36:F44 H36:I44 Q36:R44 W36:X44 D46:F53 H46:I53 Q46:R53 W46:X53 D55:F70 H55:I70 N70:R70 W55:X70" name="LAS"/>
    <protectedRange sqref="G2:I3 M2:O2 S2:U3 Y2:AA3 G55:G70 M55:M70 S55:S70 Y55:Y70 G46:G53 S4:S53 G16:G24 G6:G14 M5:M53 M3 Y5:Y53 G26:G34 G36:G4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X55:X70 F6:F14 F16:F24 F26:F34 F36:F44 F46:F53 F55:F70 L6:L14 L16:L24 L26:L34 L36:L44 L46:L53 L55:L70 R55:R70 R46:R53 R36:R44 R26:R34 R16:R24 R6:R14 X6:X14 X16:X24 X26:X34 X36:X44 X46:X53" xr:uid="{4ECCD083-8EC4-42EE-B46C-B614411F330D}">
      <formula1>"2024,2025 ,2026"</formula1>
    </dataValidation>
    <dataValidation type="list" allowBlank="1" showInputMessage="1" showErrorMessage="1" sqref="G6:G14 G46:G53 G26:G34 G36:G44 G16:G24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7" t="s">
        <v>67</v>
      </c>
      <c r="N2" s="37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8" t="s">
        <v>79</v>
      </c>
      <c r="Z2" s="38" t="s">
        <v>80</v>
      </c>
      <c r="AA2" s="24" t="s">
        <v>81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/>
      <c r="D4" s="10">
        <f>Table14[[#This Row],[Enrolment S.Y. 2025-2026 ]]*8</f>
        <v>0</v>
      </c>
      <c r="E4" s="10"/>
      <c r="F4" s="8"/>
      <c r="G4" s="10"/>
      <c r="H4" s="10">
        <f t="shared" ref="H4:H20" si="0">IF((D4-E4)&lt;0,0,(D4-E4))</f>
        <v>0</v>
      </c>
      <c r="I4" s="10">
        <f t="shared" ref="I4:I20" si="1">IF((E4-D4)&lt;0,0,(E4-D4))</f>
        <v>0</v>
      </c>
      <c r="J4" s="10">
        <f>Table14[[#This Row],[Enrolment S.Y. 2025-2026 ]]*8</f>
        <v>0</v>
      </c>
      <c r="K4" s="10"/>
      <c r="L4" s="8"/>
      <c r="M4" s="10"/>
      <c r="N4" s="10">
        <f t="shared" ref="N4:N7" si="2">IF((J4-K4)&lt;0,0,(J4-K4))</f>
        <v>0</v>
      </c>
      <c r="O4" s="10">
        <f t="shared" ref="O4:O7" si="3">IF((K4-J4)&lt;0,0,(K4-J4))</f>
        <v>0</v>
      </c>
      <c r="P4" s="10">
        <f>Table14[[#This Row],[Enrolment S.Y. 2025-2026 ]]*8</f>
        <v>0</v>
      </c>
      <c r="Q4" s="10"/>
      <c r="R4" s="8"/>
      <c r="S4" s="10"/>
      <c r="T4" s="10">
        <f t="shared" ref="T4:T9" si="4">IF((P4-Q4)&lt;0,0,(P4-Q4))</f>
        <v>0</v>
      </c>
      <c r="U4" s="10">
        <f t="shared" ref="U4:U9" si="5">IF((Q4-P4)&lt;0,0,(Q4-P4))</f>
        <v>0</v>
      </c>
      <c r="V4" s="10">
        <f>Table14[[#This Row],[Enrolment S.Y. 2025-2026 ]]*8</f>
        <v>0</v>
      </c>
      <c r="W4" s="10"/>
      <c r="X4" s="8"/>
      <c r="Y4" s="10"/>
      <c r="Z4" s="10">
        <f t="shared" ref="Z4:Z9" si="6">IF((V4-W4)&lt;0,0,(V4-W4))</f>
        <v>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ref="N8:N14" si="8">IF((J8-K8)&lt;0,0,(J8-K8))</f>
        <v>0</v>
      </c>
      <c r="O8" s="10">
        <f t="shared" ref="O8:O14" si="9">IF((K8-J8)&lt;0,0,(K8-J8))</f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Table14[[#This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Table14[[#This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35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>IF((D10-E10)&lt;0,0,(D10-E10))</f>
        <v>0</v>
      </c>
      <c r="I10" s="10">
        <f>IF((E10-D10)&lt;0,0,(E10-D10))</f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>IF((P10-Q10)&lt;0,0,(P10-Q10))</f>
        <v>0</v>
      </c>
      <c r="U10" s="10">
        <f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>IF((V10-W10)&lt;0,0,(V10-W10))</f>
        <v>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83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ref="T11:T59" si="10">IF((P11-Q11)&lt;0,0,(P11-Q11))</f>
        <v>0</v>
      </c>
      <c r="U11" s="10">
        <f t="shared" ref="U11:U59" si="11">IF((Q11-P11)&lt;0,0,(Q11-P11))</f>
        <v>0</v>
      </c>
      <c r="V11" s="10">
        <f>Table14[[#This Row],[Enrolment S.Y. 2025-2026 ]]*8</f>
        <v>0</v>
      </c>
      <c r="W11" s="10"/>
      <c r="X11" s="8"/>
      <c r="Y11" s="10"/>
      <c r="Z11" s="10">
        <f t="shared" ref="Z11:Z59" si="12">IF((V11-W11)&lt;0,0,(V11-W11))</f>
        <v>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/>
      <c r="D12" s="10">
        <f>Table14[[#This Row],[Enrolment S.Y. 2025-2026 ]]*8</f>
        <v>0</v>
      </c>
      <c r="E12" s="10"/>
      <c r="F12" s="8"/>
      <c r="G12" s="10"/>
      <c r="H12" s="10">
        <f t="shared" si="0"/>
        <v>0</v>
      </c>
      <c r="I12" s="10">
        <f t="shared" si="1"/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 t="shared" si="10"/>
        <v>0</v>
      </c>
      <c r="U12" s="10">
        <f t="shared" si="11"/>
        <v>0</v>
      </c>
      <c r="V12" s="10">
        <f>Table14[[#This Row],[Enrolment S.Y. 2025-2026 ]]*8</f>
        <v>0</v>
      </c>
      <c r="W12" s="10"/>
      <c r="X12" s="8"/>
      <c r="Y12" s="10"/>
      <c r="Z12" s="10">
        <f t="shared" si="12"/>
        <v>0</v>
      </c>
      <c r="AA12" s="10">
        <f t="shared" si="13"/>
        <v>0</v>
      </c>
    </row>
    <row r="13" spans="1:27" ht="19.5">
      <c r="A13" s="35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>IF((D13-E13)&lt;0,0,(D13-E13))</f>
        <v>0</v>
      </c>
      <c r="I13" s="10">
        <f>IF((E13-D13)&lt;0,0,(E13-D13))</f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>IF((P13-Q13)&lt;0,0,(P13-Q13))</f>
        <v>0</v>
      </c>
      <c r="U13" s="10">
        <f>IF((Q13-P13)&lt;0,0,(Q13-P13))</f>
        <v>0</v>
      </c>
      <c r="V13" s="10">
        <f>Table14[[#This Row],[Enrolment S.Y. 2025-2026 ]]*8</f>
        <v>0</v>
      </c>
      <c r="W13" s="10"/>
      <c r="X13" s="8"/>
      <c r="Y13" s="10"/>
      <c r="Z13" s="10">
        <f>IF((V13-W13)&lt;0,0,(V13-W13))</f>
        <v>0</v>
      </c>
      <c r="AA13" s="10">
        <f>IF((W13-V13)&lt;0,0,(W13-V13))</f>
        <v>0</v>
      </c>
    </row>
    <row r="14" spans="1:27" ht="19.5">
      <c r="A14" s="8">
        <v>7</v>
      </c>
      <c r="B14" s="9" t="s">
        <v>85</v>
      </c>
      <c r="C14" s="8"/>
      <c r="D14" s="10">
        <f>Table14[[#This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Table14[[#This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Table14[[#This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Table14[[#This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ref="N11:N59" si="14">IF((J16-K16)&lt;0,0,(J16-K16))</f>
        <v>0</v>
      </c>
      <c r="O16" s="10">
        <f t="shared" ref="O11:O59" si="15">IF((K16-J16)&lt;0,0,(K16-J16))</f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si="0"/>
        <v>0</v>
      </c>
      <c r="I20" s="10">
        <f t="shared" si="1"/>
        <v>0</v>
      </c>
      <c r="J20" s="10">
        <f>Table14[[#This Row],[Enrolment S.Y. 2025-2026 ]]*8</f>
        <v>0</v>
      </c>
      <c r="K20" s="10"/>
      <c r="L20" s="8"/>
      <c r="M20" s="10"/>
      <c r="N20" s="10">
        <f t="shared" si="14"/>
        <v>0</v>
      </c>
      <c r="O20" s="10">
        <f t="shared" si="15"/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/>
      <c r="D21" s="10">
        <f>Table14[[#This Row],[Enrolment S.Y. 2025-2026 ]]*8</f>
        <v>0</v>
      </c>
      <c r="E21" s="10"/>
      <c r="F21" s="8"/>
      <c r="G21" s="10"/>
      <c r="H21" s="10">
        <f t="shared" ref="H21:H59" si="16">IF((D21-E21)&lt;0,0,(D21-E21))</f>
        <v>0</v>
      </c>
      <c r="I21" s="10">
        <f t="shared" ref="I21:I59" si="17"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ref="N21:N26" si="18">IF((J21-K21)&lt;0,0,(J21-K21))</f>
        <v>0</v>
      </c>
      <c r="O21" s="10">
        <f t="shared" ref="O21:O26" si="19">IF((K21-J21)&lt;0,0,(K21-J21))</f>
        <v>0</v>
      </c>
      <c r="P21" s="10">
        <f>Table14[[#This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Table14[[#This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ht="19.5">
      <c r="A22" s="35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>IF((D22-E22)&lt;0,0,(D22-E22))</f>
        <v>0</v>
      </c>
      <c r="I22" s="10">
        <f>IF((E22-D22)&lt;0,0,(E22-D22))</f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>IF((P22-Q22)&lt;0,0,(P22-Q22))</f>
        <v>0</v>
      </c>
      <c r="U22" s="10">
        <f>IF((Q22-P22)&lt;0,0,(Q22-P22))</f>
        <v>0</v>
      </c>
      <c r="V22" s="10">
        <f>Table14[[#This Row],[Enrolment S.Y. 2025-2026 ]]*8</f>
        <v>0</v>
      </c>
      <c r="W22" s="10"/>
      <c r="X22" s="8"/>
      <c r="Y22" s="10"/>
      <c r="Z22" s="10">
        <f>IF((V22-W22)&lt;0,0,(V22-W22))</f>
        <v>0</v>
      </c>
      <c r="AA22" s="10">
        <f>IF((W22-V22)&lt;0,0,(W22-V22))</f>
        <v>0</v>
      </c>
    </row>
    <row r="23" spans="1:27" ht="19.5">
      <c r="A23" s="8">
        <v>8</v>
      </c>
      <c r="B23" s="9" t="s">
        <v>83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/>
      <c r="D24" s="10">
        <f>Table14[[#This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Table14[[#This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35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>IF((D25-E25)&lt;0,0,(D25-E25))</f>
        <v>0</v>
      </c>
      <c r="I25" s="10">
        <f>IF((E25-D25)&lt;0,0,(E25-D25))</f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>IF((P25-Q25)&lt;0,0,(P25-Q25))</f>
        <v>0</v>
      </c>
      <c r="U25" s="10">
        <f>IF((Q25-P25)&lt;0,0,(Q25-P25))</f>
        <v>0</v>
      </c>
      <c r="V25" s="10">
        <f>Table14[[#This Row],[Enrolment S.Y. 2025-2026 ]]*8</f>
        <v>0</v>
      </c>
      <c r="W25" s="10"/>
      <c r="X25" s="8"/>
      <c r="Y25" s="10"/>
      <c r="Z25" s="10">
        <f>IF((V25-W25)&lt;0,0,(V25-W25))</f>
        <v>0</v>
      </c>
      <c r="AA25" s="10">
        <f>IF((W25-V25)&lt;0,0,(W25-V25))</f>
        <v>0</v>
      </c>
    </row>
    <row r="26" spans="1:27" ht="19.5">
      <c r="A26" s="8">
        <v>8</v>
      </c>
      <c r="B26" s="9" t="s">
        <v>85</v>
      </c>
      <c r="C26" s="8"/>
      <c r="D26" s="10">
        <f>Table14[[#This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Table14[[#This Row],[Enrolment S.Y. 2025-2026 ]]*8</f>
        <v>0</v>
      </c>
      <c r="K26" s="10"/>
      <c r="L26" s="8"/>
      <c r="M26" s="10"/>
      <c r="N26" s="10">
        <f t="shared" si="18"/>
        <v>0</v>
      </c>
      <c r="O26" s="10">
        <f t="shared" si="19"/>
        <v>0</v>
      </c>
      <c r="P26" s="10">
        <f>Table14[[#This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Table14[[#This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/>
      <c r="D33" s="10">
        <f>Table14[[#This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Table14[[#This Row],[Enrolment S.Y. 2025-2026 ]]*8</f>
        <v>0</v>
      </c>
      <c r="K33" s="10"/>
      <c r="L33" s="8"/>
      <c r="M33" s="10"/>
      <c r="N33" s="10">
        <f t="shared" si="14"/>
        <v>0</v>
      </c>
      <c r="O33" s="10">
        <f t="shared" si="15"/>
        <v>0</v>
      </c>
      <c r="P33" s="10">
        <f>Table14[[#This Row],[Enrolment S.Y. 2025-2026 ]]*8</f>
        <v>0</v>
      </c>
      <c r="Q33" s="10"/>
      <c r="R33" s="8"/>
      <c r="S33" s="10"/>
      <c r="T33" s="10">
        <f t="shared" si="10"/>
        <v>0</v>
      </c>
      <c r="U33" s="10">
        <f t="shared" si="11"/>
        <v>0</v>
      </c>
      <c r="V33" s="10">
        <f>Table14[[#This Row],[Enrolment S.Y. 2025-2026 ]]*8</f>
        <v>0</v>
      </c>
      <c r="W33" s="10"/>
      <c r="X33" s="8"/>
      <c r="Y33" s="10"/>
      <c r="Z33" s="10">
        <f t="shared" si="12"/>
        <v>0</v>
      </c>
      <c r="AA33" s="10">
        <f t="shared" si="13"/>
        <v>0</v>
      </c>
    </row>
    <row r="34" spans="1:27" ht="19.5">
      <c r="A34" s="35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Table14[[#This Row],[Enrolment S.Y. 2025-2026 ]]*8</f>
        <v>0</v>
      </c>
      <c r="K34" s="10"/>
      <c r="L34" s="8"/>
      <c r="M34" s="10"/>
      <c r="N34" s="10">
        <f t="shared" ref="N34:N38" si="20">IF((J34-K34)&lt;0,0,(J34-K34))</f>
        <v>0</v>
      </c>
      <c r="O34" s="10">
        <f t="shared" ref="O34:O38" si="21">IF((K34-J34)&lt;0,0,(K34-J34))</f>
        <v>0</v>
      </c>
      <c r="P34" s="10">
        <f>Table14[[#This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Table14[[#This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9</v>
      </c>
      <c r="B35" s="9" t="s">
        <v>83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/>
      <c r="D36" s="10">
        <f>Table14[[#This Row],[Enrolment S.Y. 2025-2026 ]]*8</f>
        <v>0</v>
      </c>
      <c r="E36" s="10"/>
      <c r="F36" s="8"/>
      <c r="G36" s="10"/>
      <c r="H36" s="10">
        <f t="shared" si="16"/>
        <v>0</v>
      </c>
      <c r="I36" s="10">
        <f t="shared" si="17"/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 t="shared" si="10"/>
        <v>0</v>
      </c>
      <c r="U36" s="10">
        <f t="shared" si="11"/>
        <v>0</v>
      </c>
      <c r="V36" s="10">
        <f>Table14[[#This Row],[Enrolment S.Y. 2025-2026 ]]*8</f>
        <v>0</v>
      </c>
      <c r="W36" s="10"/>
      <c r="X36" s="8"/>
      <c r="Y36" s="10"/>
      <c r="Z36" s="10">
        <f t="shared" si="12"/>
        <v>0</v>
      </c>
      <c r="AA36" s="10">
        <f t="shared" si="13"/>
        <v>0</v>
      </c>
    </row>
    <row r="37" spans="1:27" ht="19.5">
      <c r="A37" s="35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Table14[[#This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9</v>
      </c>
      <c r="B38" s="9" t="s">
        <v>85</v>
      </c>
      <c r="C38" s="8"/>
      <c r="D38" s="10">
        <f>Table14[[#This Row],[Enrolment S.Y. 2025-2026 ]]*8</f>
        <v>0</v>
      </c>
      <c r="E38" s="10"/>
      <c r="F38" s="8"/>
      <c r="G38" s="10"/>
      <c r="H38" s="10">
        <f t="shared" si="16"/>
        <v>0</v>
      </c>
      <c r="I38" s="10">
        <f t="shared" si="17"/>
        <v>0</v>
      </c>
      <c r="J38" s="10">
        <f>Table14[[#This Row],[Enrolment S.Y. 2025-2026 ]]*8</f>
        <v>0</v>
      </c>
      <c r="K38" s="10"/>
      <c r="L38" s="8"/>
      <c r="M38" s="10"/>
      <c r="N38" s="10">
        <f t="shared" si="20"/>
        <v>0</v>
      </c>
      <c r="O38" s="10">
        <f t="shared" si="21"/>
        <v>0</v>
      </c>
      <c r="P38" s="10">
        <f>Table14[[#This Row],[Enrolment S.Y. 2025-2026 ]]*8</f>
        <v>0</v>
      </c>
      <c r="Q38" s="10"/>
      <c r="R38" s="8"/>
      <c r="S38" s="10"/>
      <c r="T38" s="10">
        <f t="shared" si="10"/>
        <v>0</v>
      </c>
      <c r="U38" s="10">
        <f t="shared" si="11"/>
        <v>0</v>
      </c>
      <c r="V38" s="10">
        <f>Table14[[#This Row],[Enrolment S.Y. 2025-2026 ]]*8</f>
        <v>0</v>
      </c>
      <c r="W38" s="10"/>
      <c r="X38" s="8"/>
      <c r="Y38" s="10"/>
      <c r="Z38" s="10">
        <f t="shared" si="12"/>
        <v>0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299</v>
      </c>
      <c r="D42" s="10">
        <f>Table14[[#This Row],[Enrolment S.Y. 2025-2026 ]]*8</f>
        <v>2392</v>
      </c>
      <c r="E42" s="10">
        <v>140</v>
      </c>
      <c r="F42" s="8">
        <v>2025</v>
      </c>
      <c r="G42" s="10" t="s">
        <v>57</v>
      </c>
      <c r="H42" s="10">
        <f t="shared" si="16"/>
        <v>2252</v>
      </c>
      <c r="I42" s="10">
        <f t="shared" si="17"/>
        <v>0</v>
      </c>
      <c r="J42" s="10">
        <f>Table14[[#This Row],[Enrolment S.Y. 2025-2026 ]]*8</f>
        <v>2392</v>
      </c>
      <c r="K42" s="10"/>
      <c r="L42" s="8"/>
      <c r="M42" s="10"/>
      <c r="N42" s="10">
        <f t="shared" si="14"/>
        <v>2392</v>
      </c>
      <c r="O42" s="10">
        <f t="shared" si="15"/>
        <v>0</v>
      </c>
      <c r="P42" s="10">
        <f>Table14[[#This Row],[Enrolment S.Y. 2025-2026 ]]*8</f>
        <v>2392</v>
      </c>
      <c r="Q42" s="10"/>
      <c r="R42" s="8"/>
      <c r="S42" s="10"/>
      <c r="T42" s="10">
        <f t="shared" si="10"/>
        <v>2392</v>
      </c>
      <c r="U42" s="10">
        <f t="shared" si="11"/>
        <v>0</v>
      </c>
      <c r="V42" s="10">
        <f>Table14[[#This Row],[Enrolment S.Y. 2025-2026 ]]*8</f>
        <v>2392</v>
      </c>
      <c r="W42" s="10"/>
      <c r="X42" s="8"/>
      <c r="Y42" s="10"/>
      <c r="Z42" s="10">
        <f t="shared" si="12"/>
        <v>2392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/>
      <c r="D45" s="10">
        <f>Table14[[#This Row],[Enrolment S.Y. 2025-2026 ]]*8</f>
        <v>0</v>
      </c>
      <c r="E45" s="10"/>
      <c r="F45" s="8"/>
      <c r="G45" s="10"/>
      <c r="H45" s="10">
        <f t="shared" si="16"/>
        <v>0</v>
      </c>
      <c r="I45" s="10">
        <f t="shared" si="17"/>
        <v>0</v>
      </c>
      <c r="J45" s="10">
        <f>Table14[[#This Row],[Enrolment S.Y. 2025-2026 ]]*8</f>
        <v>0</v>
      </c>
      <c r="K45" s="10"/>
      <c r="L45" s="8"/>
      <c r="M45" s="10"/>
      <c r="N45" s="10">
        <f t="shared" si="14"/>
        <v>0</v>
      </c>
      <c r="O45" s="10">
        <f t="shared" si="15"/>
        <v>0</v>
      </c>
      <c r="P45" s="10">
        <f>Table14[[#This Row],[Enrolment S.Y. 2025-2026 ]]*8</f>
        <v>0</v>
      </c>
      <c r="Q45" s="10"/>
      <c r="R45" s="8"/>
      <c r="S45" s="10"/>
      <c r="T45" s="10">
        <f t="shared" si="10"/>
        <v>0</v>
      </c>
      <c r="U45" s="10">
        <f t="shared" si="11"/>
        <v>0</v>
      </c>
      <c r="V45" s="10">
        <f>Table14[[#This Row],[Enrolment S.Y. 2025-2026 ]]*8</f>
        <v>0</v>
      </c>
      <c r="W45" s="10"/>
      <c r="X45" s="8"/>
      <c r="Y45" s="10"/>
      <c r="Z45" s="10">
        <f t="shared" si="12"/>
        <v>0</v>
      </c>
      <c r="AA45" s="10">
        <f t="shared" si="13"/>
        <v>0</v>
      </c>
    </row>
    <row r="46" spans="1:27" ht="19.5">
      <c r="A46" s="35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>IF((D46-E46)&lt;0,0,(D46-E46))</f>
        <v>0</v>
      </c>
      <c r="I46" s="10">
        <f>IF((E46-D46)&lt;0,0,(E46-D46))</f>
        <v>0</v>
      </c>
      <c r="J46" s="10">
        <f>Table14[[#This Row],[Enrolment S.Y. 2025-2026 ]]*8</f>
        <v>0</v>
      </c>
      <c r="K46" s="10"/>
      <c r="L46" s="8"/>
      <c r="M46" s="10"/>
      <c r="N46" s="10">
        <f t="shared" ref="N46:N50" si="22">IF((J46-K46)&lt;0,0,(J46-K46))</f>
        <v>0</v>
      </c>
      <c r="O46" s="10">
        <f t="shared" ref="O46:O50" si="23">IF((K46-J46)&lt;0,0,(K46-J46))</f>
        <v>0</v>
      </c>
      <c r="P46" s="10">
        <f>Table14[[#This Row],[Enrolment S.Y. 2025-2026 ]]*8</f>
        <v>0</v>
      </c>
      <c r="Q46" s="10"/>
      <c r="R46" s="8"/>
      <c r="S46" s="10"/>
      <c r="T46" s="10">
        <f>IF((P46-Q46)&lt;0,0,(P46-Q46))</f>
        <v>0</v>
      </c>
      <c r="U46" s="10">
        <f>IF((Q46-P46)&lt;0,0,(Q46-P46))</f>
        <v>0</v>
      </c>
      <c r="V46" s="10">
        <f>Table14[[#This Row],[Enrolment S.Y. 2025-2026 ]]*8</f>
        <v>0</v>
      </c>
      <c r="W46" s="10"/>
      <c r="X46" s="8"/>
      <c r="Y46" s="10"/>
      <c r="Z46" s="10">
        <f>IF((V46-W46)&lt;0,0,(V46-W46))</f>
        <v>0</v>
      </c>
      <c r="AA46" s="10">
        <f>IF((W46-V46)&lt;0,0,(W46-V46))</f>
        <v>0</v>
      </c>
    </row>
    <row r="47" spans="1:27" ht="19.5">
      <c r="A47" s="8">
        <v>10</v>
      </c>
      <c r="B47" s="9" t="s">
        <v>83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/>
      <c r="D48" s="10">
        <f>Table14[[#This Row],[Enrolment S.Y. 2025-2026 ]]*8</f>
        <v>0</v>
      </c>
      <c r="E48" s="10"/>
      <c r="F48" s="8"/>
      <c r="G48" s="10"/>
      <c r="H48" s="10">
        <f t="shared" si="16"/>
        <v>0</v>
      </c>
      <c r="I48" s="10">
        <f t="shared" si="17"/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 t="shared" si="10"/>
        <v>0</v>
      </c>
      <c r="U48" s="10">
        <f t="shared" si="11"/>
        <v>0</v>
      </c>
      <c r="V48" s="10">
        <f>Table14[[#This Row],[Enrolment S.Y. 2025-2026 ]]*8</f>
        <v>0</v>
      </c>
      <c r="W48" s="10"/>
      <c r="X48" s="8"/>
      <c r="Y48" s="10"/>
      <c r="Z48" s="10">
        <f t="shared" si="12"/>
        <v>0</v>
      </c>
      <c r="AA48" s="10">
        <f t="shared" si="13"/>
        <v>0</v>
      </c>
    </row>
    <row r="49" spans="1:27" ht="19.5">
      <c r="A49" s="35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>IF((D49-E49)&lt;0,0,(D49-E49))</f>
        <v>0</v>
      </c>
      <c r="I49" s="10">
        <f>IF((E49-D49)&lt;0,0,(E49-D49))</f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>IF((P49-Q49)&lt;0,0,(P49-Q49))</f>
        <v>0</v>
      </c>
      <c r="U49" s="10">
        <f>IF((Q49-P49)&lt;0,0,(Q49-P49))</f>
        <v>0</v>
      </c>
      <c r="V49" s="10">
        <f>Table14[[#This Row],[Enrolment S.Y. 2025-2026 ]]*8</f>
        <v>0</v>
      </c>
      <c r="W49" s="10"/>
      <c r="X49" s="8"/>
      <c r="Y49" s="10"/>
      <c r="Z49" s="10">
        <f>IF((V49-W49)&lt;0,0,(V49-W49))</f>
        <v>0</v>
      </c>
      <c r="AA49" s="10">
        <f>IF((W49-V49)&lt;0,0,(W49-V49))</f>
        <v>0</v>
      </c>
    </row>
    <row r="50" spans="1:27" ht="19.5">
      <c r="A50" s="8">
        <v>10</v>
      </c>
      <c r="B50" s="9" t="s">
        <v>85</v>
      </c>
      <c r="C50" s="8"/>
      <c r="D50" s="10">
        <f>Table14[[#This Row],[Enrolment S.Y. 2025-2026 ]]*8</f>
        <v>0</v>
      </c>
      <c r="E50" s="10"/>
      <c r="F50" s="8"/>
      <c r="G50" s="10"/>
      <c r="H50" s="10">
        <f t="shared" si="16"/>
        <v>0</v>
      </c>
      <c r="I50" s="10">
        <f t="shared" si="17"/>
        <v>0</v>
      </c>
      <c r="J50" s="10">
        <f>Table14[[#This Row],[Enrolment S.Y. 2025-2026 ]]*8</f>
        <v>0</v>
      </c>
      <c r="K50" s="10"/>
      <c r="L50" s="8"/>
      <c r="M50" s="10"/>
      <c r="N50" s="10">
        <f t="shared" si="22"/>
        <v>0</v>
      </c>
      <c r="O50" s="10">
        <f t="shared" si="23"/>
        <v>0</v>
      </c>
      <c r="P50" s="10">
        <f>Table14[[#This Row],[Enrolment S.Y. 2025-2026 ]]*8</f>
        <v>0</v>
      </c>
      <c r="Q50" s="10"/>
      <c r="R50" s="8"/>
      <c r="S50" s="10"/>
      <c r="T50" s="10">
        <f t="shared" si="10"/>
        <v>0</v>
      </c>
      <c r="U50" s="10">
        <f t="shared" si="11"/>
        <v>0</v>
      </c>
      <c r="V50" s="10">
        <f>Table14[[#This Row],[Enrolment S.Y. 2025-2026 ]]*8</f>
        <v>0</v>
      </c>
      <c r="W50" s="10"/>
      <c r="X50" s="8"/>
      <c r="Y50" s="10"/>
      <c r="Z50" s="10">
        <f t="shared" si="12"/>
        <v>0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19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19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19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19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19</v>
      </c>
      <c r="B59" s="7" t="s">
        <v>27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40:C50 C52:C59 C4:C14 C16:C26 C28:C38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L52:L59 R52:R59 X52:X59 R40:R50 L40:L50 F40:F50 F52:F59 L28:L38 R28:R38 X28:X38 X40:X50 R16:R26 L16:L26 F16:F26 F28:F38 L4:L14 R4:R14 X4:X14 X16:X26 F4:F14" xr:uid="{E36AC9E3-2B7F-4E83-8AFB-F55DF07CDEF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2026-04-15T01:47:34Z</dcterms:modified>
  <cp:category/>
  <cp:contentStatus/>
</cp:coreProperties>
</file>