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11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39" documentId="13_ncr:1_{BFB59F67-F0DC-4675-A682-EB0734A8026A}" xr6:coauthVersionLast="47" xr6:coauthVersionMax="47" xr10:uidLastSave="{8CD19BCF-B924-429B-8DAB-66A1167C7385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I122" i="5"/>
  <c r="V121" i="5"/>
  <c r="Z121" i="5" s="1"/>
  <c r="P121" i="5"/>
  <c r="J121" i="5"/>
  <c r="N121" i="5" s="1"/>
  <c r="I121" i="5"/>
  <c r="V120" i="5"/>
  <c r="AA120" i="5" s="1"/>
  <c r="P120" i="5"/>
  <c r="U120" i="5" s="1"/>
  <c r="J120" i="5"/>
  <c r="O120" i="5" s="1"/>
  <c r="I120" i="5"/>
  <c r="V119" i="5"/>
  <c r="Z119" i="5" s="1"/>
  <c r="P119" i="5"/>
  <c r="J119" i="5"/>
  <c r="N119" i="5" s="1"/>
  <c r="I119" i="5"/>
  <c r="V118" i="5"/>
  <c r="AA118" i="5" s="1"/>
  <c r="P118" i="5"/>
  <c r="U118" i="5" s="1"/>
  <c r="J118" i="5"/>
  <c r="O118" i="5" s="1"/>
  <c r="I118" i="5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I116" i="5"/>
  <c r="V115" i="5"/>
  <c r="Z115" i="5" s="1"/>
  <c r="P115" i="5"/>
  <c r="J115" i="5"/>
  <c r="N115" i="5" s="1"/>
  <c r="I115" i="5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<sst xmlns="http://schemas.openxmlformats.org/spreadsheetml/2006/main" count="388" uniqueCount="90">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</sst>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J111" activePane="topRight" state="frozen"/>
      <selection pane="topRight" activeCell="J111" sqref="J111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20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21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20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22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21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20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22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21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20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22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21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23</v>
      </c>
      <c r="B91" s="9" t="s">
        <v>24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23</v>
      </c>
      <c r="B92" s="9" t="s">
        <v>25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23</v>
      </c>
      <c r="B93" s="9" t="s">
        <v>26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23</v>
      </c>
      <c r="B94" s="9" t="s">
        <v>27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23</v>
      </c>
      <c r="B95" s="9" t="s">
        <v>28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23</v>
      </c>
      <c r="B96" s="9" t="s">
        <v>29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23</v>
      </c>
      <c r="B97" s="9" t="s">
        <v>30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23</v>
      </c>
      <c r="B98" s="9" t="s">
        <v>31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98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topLeftCell="A100" zoomScale="70" zoomScaleNormal="70" workbookViewId="0">
      <selection activeCell="D107" sqref="D10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36</v>
      </c>
      <c r="E2" s="20" t="s">
        <v>37</v>
      </c>
      <c r="F2" s="21" t="s">
        <v>38</v>
      </c>
      <c r="G2" s="24" t="s">
        <v>39</v>
      </c>
      <c r="H2" s="17" t="s">
        <v>40</v>
      </c>
      <c r="I2" s="24" t="s">
        <v>41</v>
      </c>
      <c r="J2" s="22" t="s">
        <v>42</v>
      </c>
      <c r="K2" s="22" t="s">
        <v>43</v>
      </c>
      <c r="L2" s="23" t="s">
        <v>44</v>
      </c>
      <c r="M2" s="40" t="s">
        <v>45</v>
      </c>
      <c r="N2" s="40" t="s">
        <v>46</v>
      </c>
      <c r="O2" s="22" t="s">
        <v>47</v>
      </c>
      <c r="P2" s="24" t="s">
        <v>48</v>
      </c>
      <c r="Q2" s="24" t="s">
        <v>49</v>
      </c>
      <c r="R2" s="25" t="s">
        <v>50</v>
      </c>
      <c r="S2" s="17" t="s">
        <v>51</v>
      </c>
      <c r="T2" s="17" t="s">
        <v>52</v>
      </c>
      <c r="U2" s="24" t="s">
        <v>53</v>
      </c>
      <c r="V2" s="26" t="s">
        <v>54</v>
      </c>
      <c r="W2" s="26" t="s">
        <v>55</v>
      </c>
      <c r="X2" s="27" t="s">
        <v>56</v>
      </c>
      <c r="Y2" s="41" t="s">
        <v>57</v>
      </c>
      <c r="Z2" s="41" t="s">
        <v>58</v>
      </c>
      <c r="AA2" s="26" t="s">
        <v>59</v>
      </c>
    </row>
    <row r="3" spans="1:27" ht="30.6" customHeight="1">
      <c r="A3" s="39" t="s">
        <v>60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61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61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61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20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21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20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22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21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20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22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21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20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22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21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25">
      <c r="A103" s="1" t="s">
        <v>23</v>
      </c>
      <c r="B103" s="9" t="s">
        <v>24</v>
      </c>
      <c r="C103" s="1"/>
      <c r="D103" s="5">
        <f>Table1[[#This Row],[Enrolment S.Y. 2025-2026 ]]*8</f>
        <v>0</v>
      </c>
      <c r="E103" s="5">
        <v>0</v>
      </c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5">
      <c r="A104" s="1" t="s">
        <v>23</v>
      </c>
      <c r="B104" s="9" t="s">
        <v>25</v>
      </c>
      <c r="C104" s="1">
        <v>630</v>
      </c>
      <c r="D104" s="5">
        <f>Table1[[#This Row],[Enrolment S.Y. 2025-2026 ]]*8</f>
        <v>5040</v>
      </c>
      <c r="E104" s="5">
        <v>0</v>
      </c>
      <c r="F104" s="1"/>
      <c r="G104" s="5"/>
      <c r="H104" s="5">
        <f t="shared" si="22"/>
        <v>5040</v>
      </c>
      <c r="I104" s="5">
        <f t="shared" si="23"/>
        <v>0</v>
      </c>
      <c r="J104" s="5">
        <f>Table1[[#This Row],[Enrolment S.Y. 2025-2026 ]]*8</f>
        <v>5040</v>
      </c>
      <c r="K104" s="5"/>
      <c r="L104" s="1"/>
      <c r="M104" s="5"/>
      <c r="N104" s="5">
        <f t="shared" si="16"/>
        <v>5040</v>
      </c>
      <c r="O104" s="5">
        <f t="shared" si="17"/>
        <v>0</v>
      </c>
      <c r="P104" s="5">
        <f>Table1[[#This Row],[Enrolment S.Y. 2025-2026 ]]*8</f>
        <v>5040</v>
      </c>
      <c r="Q104" s="5"/>
      <c r="R104" s="1"/>
      <c r="S104" s="5"/>
      <c r="T104" s="5">
        <f t="shared" si="18"/>
        <v>5040</v>
      </c>
      <c r="U104" s="5">
        <f t="shared" si="19"/>
        <v>0</v>
      </c>
      <c r="V104" s="5">
        <f>Table1[[#This Row],[Enrolment S.Y. 2025-2026 ]]*8</f>
        <v>5040</v>
      </c>
      <c r="W104" s="5"/>
      <c r="X104" s="1"/>
      <c r="Y104" s="5"/>
      <c r="Z104" s="5">
        <f t="shared" si="20"/>
        <v>5040</v>
      </c>
      <c r="AA104" s="5">
        <f t="shared" si="21"/>
        <v>0</v>
      </c>
    </row>
    <row r="105" spans="1:27" ht="19.5">
      <c r="A105" s="1" t="s">
        <v>23</v>
      </c>
      <c r="B105" s="9" t="s">
        <v>26</v>
      </c>
      <c r="C105" s="1">
        <v>630</v>
      </c>
      <c r="D105" s="5">
        <f>Table1[[#This Row],[Enrolment S.Y. 2025-2026 ]]*8</f>
        <v>5040</v>
      </c>
      <c r="E105" s="5">
        <v>0</v>
      </c>
      <c r="F105" s="1"/>
      <c r="G105" s="5"/>
      <c r="H105" s="5">
        <f t="shared" si="22"/>
        <v>5040</v>
      </c>
      <c r="I105" s="5">
        <f t="shared" si="23"/>
        <v>0</v>
      </c>
      <c r="J105" s="5">
        <f>Table1[[#This Row],[Enrolment S.Y. 2025-2026 ]]*8</f>
        <v>5040</v>
      </c>
      <c r="K105" s="5"/>
      <c r="L105" s="1"/>
      <c r="M105" s="5"/>
      <c r="N105" s="5">
        <f t="shared" si="16"/>
        <v>5040</v>
      </c>
      <c r="O105" s="5">
        <f t="shared" si="17"/>
        <v>0</v>
      </c>
      <c r="P105" s="5">
        <f>Table1[[#This Row],[Enrolment S.Y. 2025-2026 ]]*8</f>
        <v>5040</v>
      </c>
      <c r="Q105" s="5"/>
      <c r="R105" s="1"/>
      <c r="S105" s="5"/>
      <c r="T105" s="5">
        <f t="shared" si="18"/>
        <v>5040</v>
      </c>
      <c r="U105" s="5">
        <f t="shared" si="19"/>
        <v>0</v>
      </c>
      <c r="V105" s="5">
        <f>Table1[[#This Row],[Enrolment S.Y. 2025-2026 ]]*8</f>
        <v>5040</v>
      </c>
      <c r="W105" s="5"/>
      <c r="X105" s="1"/>
      <c r="Y105" s="5"/>
      <c r="Z105" s="5">
        <f t="shared" si="20"/>
        <v>5040</v>
      </c>
      <c r="AA105" s="5">
        <f t="shared" si="21"/>
        <v>0</v>
      </c>
    </row>
    <row r="106" spans="1:27" ht="19.5">
      <c r="A106" s="1" t="s">
        <v>23</v>
      </c>
      <c r="B106" s="9" t="s">
        <v>27</v>
      </c>
      <c r="C106" s="1">
        <v>630</v>
      </c>
      <c r="D106" s="5">
        <f>Table1[[#This Row],[Enrolment S.Y. 2025-2026 ]]*8</f>
        <v>5040</v>
      </c>
      <c r="E106" s="5">
        <v>0</v>
      </c>
      <c r="F106" s="1"/>
      <c r="G106" s="5"/>
      <c r="H106" s="5">
        <f t="shared" si="22"/>
        <v>5040</v>
      </c>
      <c r="I106" s="5">
        <f t="shared" si="23"/>
        <v>0</v>
      </c>
      <c r="J106" s="5">
        <f>Table1[[#This Row],[Enrolment S.Y. 2025-2026 ]]*8</f>
        <v>5040</v>
      </c>
      <c r="K106" s="5"/>
      <c r="L106" s="1"/>
      <c r="M106" s="5"/>
      <c r="N106" s="5">
        <f t="shared" si="16"/>
        <v>5040</v>
      </c>
      <c r="O106" s="5">
        <f t="shared" si="17"/>
        <v>0</v>
      </c>
      <c r="P106" s="5">
        <f>Table1[[#This Row],[Enrolment S.Y. 2025-2026 ]]*8</f>
        <v>5040</v>
      </c>
      <c r="Q106" s="5"/>
      <c r="R106" s="1"/>
      <c r="S106" s="5"/>
      <c r="T106" s="5">
        <f t="shared" si="18"/>
        <v>5040</v>
      </c>
      <c r="U106" s="5">
        <f t="shared" si="19"/>
        <v>0</v>
      </c>
      <c r="V106" s="5">
        <f>Table1[[#This Row],[Enrolment S.Y. 2025-2026 ]]*8</f>
        <v>5040</v>
      </c>
      <c r="W106" s="5"/>
      <c r="X106" s="1"/>
      <c r="Y106" s="5"/>
      <c r="Z106" s="5">
        <f t="shared" si="20"/>
        <v>5040</v>
      </c>
      <c r="AA106" s="5">
        <f t="shared" si="21"/>
        <v>0</v>
      </c>
    </row>
    <row r="107" spans="1:27" ht="38.25">
      <c r="A107" s="1" t="s">
        <v>23</v>
      </c>
      <c r="B107" s="9" t="s">
        <v>28</v>
      </c>
      <c r="C107" s="1"/>
      <c r="D107" s="5">
        <f>Table1[[#This Row],[Enrolment S.Y. 2025-2026 ]]*8</f>
        <v>0</v>
      </c>
      <c r="E107" s="5">
        <v>0</v>
      </c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38.25">
      <c r="A108" s="1" t="s">
        <v>23</v>
      </c>
      <c r="B108" s="9" t="s">
        <v>29</v>
      </c>
      <c r="C108" s="1"/>
      <c r="D108" s="5">
        <f>Table1[[#This Row],[Enrolment S.Y. 2025-2026 ]]*8</f>
        <v>0</v>
      </c>
      <c r="E108" s="5">
        <v>0</v>
      </c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57.75">
      <c r="A109" s="1" t="s">
        <v>23</v>
      </c>
      <c r="B109" s="9" t="s">
        <v>30</v>
      </c>
      <c r="C109" s="1"/>
      <c r="D109" s="5">
        <f>Table1[[#This Row],[Enrolment S.Y. 2025-2026 ]]*8</f>
        <v>0</v>
      </c>
      <c r="E109" s="5">
        <v>0</v>
      </c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25">
      <c r="A110" s="1" t="s">
        <v>23</v>
      </c>
      <c r="B110" s="9" t="s">
        <v>31</v>
      </c>
      <c r="C110" s="1"/>
      <c r="D110" s="5">
        <f>Table1[[#This Row],[Enrolment S.Y. 2025-2026 ]]*8</f>
        <v>0</v>
      </c>
      <c r="E110" s="5">
        <v>0</v>
      </c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63:C71 C73:C81 C83:C91 C93:C101 C103 C112:C127 C5:C12 C107:C110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  <protectedRange sqref="C104:C106" name="Textbooks_1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abSelected="1" topLeftCell="A111" zoomScale="55" zoomScaleNormal="55" workbookViewId="0">
      <selection activeCell="C115" sqref="C115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62</v>
      </c>
      <c r="E2" s="20" t="s">
        <v>63</v>
      </c>
      <c r="F2" s="21" t="s">
        <v>64</v>
      </c>
      <c r="G2" s="24" t="s">
        <v>65</v>
      </c>
      <c r="H2" s="17" t="s">
        <v>66</v>
      </c>
      <c r="I2" s="24" t="s">
        <v>67</v>
      </c>
      <c r="J2" s="22" t="s">
        <v>68</v>
      </c>
      <c r="K2" s="22" t="s">
        <v>69</v>
      </c>
      <c r="L2" s="23" t="s">
        <v>70</v>
      </c>
      <c r="M2" s="40" t="s">
        <v>71</v>
      </c>
      <c r="N2" s="40" t="s">
        <v>72</v>
      </c>
      <c r="O2" s="22" t="s">
        <v>73</v>
      </c>
      <c r="P2" s="24" t="s">
        <v>74</v>
      </c>
      <c r="Q2" s="24" t="s">
        <v>75</v>
      </c>
      <c r="R2" s="25" t="s">
        <v>76</v>
      </c>
      <c r="S2" s="17" t="s">
        <v>77</v>
      </c>
      <c r="T2" s="17" t="s">
        <v>78</v>
      </c>
      <c r="U2" s="24" t="s">
        <v>79</v>
      </c>
      <c r="V2" s="26" t="s">
        <v>80</v>
      </c>
      <c r="W2" s="26" t="s">
        <v>81</v>
      </c>
      <c r="X2" s="27" t="s">
        <v>82</v>
      </c>
      <c r="Y2" s="41" t="s">
        <v>83</v>
      </c>
      <c r="Z2" s="41" t="s">
        <v>84</v>
      </c>
      <c r="AA2" s="26" t="s">
        <v>85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61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61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61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86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87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88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89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86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87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88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89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86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87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88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89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20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86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87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21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88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89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20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22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86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87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21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88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89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20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22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86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87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21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88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89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20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22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86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87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21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88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89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25">
      <c r="A115" s="1" t="s">
        <v>23</v>
      </c>
      <c r="B115" s="9" t="s">
        <v>24</v>
      </c>
      <c r="C115" s="1"/>
      <c r="D115" s="5">
        <v>626</v>
      </c>
      <c r="E115" s="5">
        <v>0</v>
      </c>
      <c r="F115" s="1"/>
      <c r="G115" s="5"/>
      <c r="H115" s="5">
        <f t="shared" si="22"/>
        <v>626</v>
      </c>
      <c r="I115" s="5">
        <f t="shared" si="23"/>
        <v>0</v>
      </c>
      <c r="J115" s="5">
        <f>Table14[[#This Row],[Enrolment S.Y. 2025-2026 ]]*8</f>
        <v>0</v>
      </c>
      <c r="K115" s="5"/>
      <c r="L115" s="1">
        <v>2024</v>
      </c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5">
      <c r="A116" s="1" t="s">
        <v>23</v>
      </c>
      <c r="B116" s="9" t="s">
        <v>25</v>
      </c>
      <c r="C116" s="1"/>
      <c r="D116" s="5">
        <v>420</v>
      </c>
      <c r="E116" s="5">
        <v>0</v>
      </c>
      <c r="F116" s="1"/>
      <c r="G116" s="5"/>
      <c r="H116" s="5">
        <f t="shared" si="22"/>
        <v>420</v>
      </c>
      <c r="I116" s="5">
        <f t="shared" si="23"/>
        <v>0</v>
      </c>
      <c r="J116" s="5">
        <f>Table14[[#This Row],[Enrolment S.Y. 2025-2026 ]]*8</f>
        <v>0</v>
      </c>
      <c r="K116" s="5"/>
      <c r="L116" s="1">
        <v>2024</v>
      </c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5">
      <c r="A117" s="1" t="s">
        <v>23</v>
      </c>
      <c r="B117" s="9" t="s">
        <v>26</v>
      </c>
      <c r="C117" s="1">
        <v>630</v>
      </c>
      <c r="D117" s="5">
        <f>Table14[[#This Row],[Enrolment S.Y. 2025-2026 ]]*8</f>
        <v>5040</v>
      </c>
      <c r="E117" s="5">
        <v>0</v>
      </c>
      <c r="F117" s="1"/>
      <c r="G117" s="5"/>
      <c r="H117" s="5">
        <f t="shared" si="22"/>
        <v>5040</v>
      </c>
      <c r="I117" s="5">
        <f t="shared" si="23"/>
        <v>0</v>
      </c>
      <c r="J117" s="5">
        <f>Table14[[#This Row],[Enrolment S.Y. 2025-2026 ]]*8</f>
        <v>5040</v>
      </c>
      <c r="K117" s="5"/>
      <c r="L117" s="1"/>
      <c r="M117" s="5"/>
      <c r="N117" s="5">
        <f t="shared" si="20"/>
        <v>5040</v>
      </c>
      <c r="O117" s="5">
        <f t="shared" si="21"/>
        <v>0</v>
      </c>
      <c r="P117" s="5">
        <f>Table14[[#This Row],[Enrolment S.Y. 2025-2026 ]]*8</f>
        <v>5040</v>
      </c>
      <c r="Q117" s="5"/>
      <c r="R117" s="1"/>
      <c r="S117" s="5"/>
      <c r="T117" s="5">
        <f t="shared" si="16"/>
        <v>5040</v>
      </c>
      <c r="U117" s="5">
        <f t="shared" si="17"/>
        <v>0</v>
      </c>
      <c r="V117" s="5">
        <f>Table14[[#This Row],[Enrolment S.Y. 2025-2026 ]]*8</f>
        <v>5040</v>
      </c>
      <c r="W117" s="5"/>
      <c r="X117" s="1"/>
      <c r="Y117" s="5"/>
      <c r="Z117" s="5">
        <f t="shared" si="18"/>
        <v>5040</v>
      </c>
      <c r="AA117" s="5">
        <f t="shared" si="19"/>
        <v>0</v>
      </c>
    </row>
    <row r="118" spans="1:28" ht="19.5">
      <c r="A118" s="1" t="s">
        <v>23</v>
      </c>
      <c r="B118" s="9" t="s">
        <v>27</v>
      </c>
      <c r="C118" s="1">
        <v>630</v>
      </c>
      <c r="D118" s="5">
        <v>420</v>
      </c>
      <c r="E118" s="5">
        <v>0</v>
      </c>
      <c r="F118" s="1"/>
      <c r="G118" s="5"/>
      <c r="H118" s="5">
        <f t="shared" si="22"/>
        <v>420</v>
      </c>
      <c r="I118" s="5">
        <f t="shared" si="23"/>
        <v>0</v>
      </c>
      <c r="J118" s="5">
        <f>Table14[[#This Row],[Enrolment S.Y. 2025-2026 ]]*8</f>
        <v>5040</v>
      </c>
      <c r="K118" s="5"/>
      <c r="L118" s="1">
        <v>2025</v>
      </c>
      <c r="M118" s="5"/>
      <c r="N118" s="5">
        <f t="shared" si="20"/>
        <v>5040</v>
      </c>
      <c r="O118" s="5">
        <f t="shared" si="21"/>
        <v>0</v>
      </c>
      <c r="P118" s="5">
        <f>Table14[[#This Row],[Enrolment S.Y. 2025-2026 ]]*8</f>
        <v>5040</v>
      </c>
      <c r="Q118" s="5"/>
      <c r="R118" s="1"/>
      <c r="S118" s="5"/>
      <c r="T118" s="5">
        <f t="shared" si="16"/>
        <v>5040</v>
      </c>
      <c r="U118" s="5">
        <f t="shared" si="17"/>
        <v>0</v>
      </c>
      <c r="V118" s="5">
        <f>Table14[[#This Row],[Enrolment S.Y. 2025-2026 ]]*8</f>
        <v>5040</v>
      </c>
      <c r="W118" s="5"/>
      <c r="X118" s="1"/>
      <c r="Y118" s="5"/>
      <c r="Z118" s="5">
        <f t="shared" si="18"/>
        <v>5040</v>
      </c>
      <c r="AA118" s="5">
        <f t="shared" si="19"/>
        <v>0</v>
      </c>
    </row>
    <row r="119" spans="1:28" ht="38.25">
      <c r="A119" s="1" t="s">
        <v>23</v>
      </c>
      <c r="B119" s="9" t="s">
        <v>28</v>
      </c>
      <c r="C119" s="1">
        <v>630</v>
      </c>
      <c r="D119" s="5">
        <v>39</v>
      </c>
      <c r="E119" s="5">
        <v>0</v>
      </c>
      <c r="F119" s="1"/>
      <c r="G119" s="5"/>
      <c r="H119" s="5">
        <f t="shared" si="22"/>
        <v>39</v>
      </c>
      <c r="I119" s="5">
        <f t="shared" si="23"/>
        <v>0</v>
      </c>
      <c r="J119" s="5">
        <f>Table14[[#This Row],[Enrolment S.Y. 2025-2026 ]]*8</f>
        <v>5040</v>
      </c>
      <c r="K119" s="5"/>
      <c r="L119" s="1">
        <v>2025</v>
      </c>
      <c r="M119" s="5"/>
      <c r="N119" s="5">
        <f t="shared" si="20"/>
        <v>5040</v>
      </c>
      <c r="O119" s="5">
        <f t="shared" si="21"/>
        <v>0</v>
      </c>
      <c r="P119" s="5">
        <f>Table14[[#This Row],[Enrolment S.Y. 2025-2026 ]]*8</f>
        <v>5040</v>
      </c>
      <c r="Q119" s="5"/>
      <c r="R119" s="1"/>
      <c r="S119" s="5"/>
      <c r="T119" s="5">
        <f t="shared" si="16"/>
        <v>5040</v>
      </c>
      <c r="U119" s="5">
        <f t="shared" si="17"/>
        <v>0</v>
      </c>
      <c r="V119" s="5">
        <f>Table14[[#This Row],[Enrolment S.Y. 2025-2026 ]]*8</f>
        <v>5040</v>
      </c>
      <c r="W119" s="5"/>
      <c r="X119" s="1"/>
      <c r="Y119" s="5"/>
      <c r="Z119" s="5">
        <f t="shared" si="18"/>
        <v>5040</v>
      </c>
      <c r="AA119" s="5">
        <f t="shared" si="19"/>
        <v>0</v>
      </c>
    </row>
    <row r="120" spans="1:28" ht="38.25">
      <c r="A120" s="1" t="s">
        <v>23</v>
      </c>
      <c r="B120" s="9" t="s">
        <v>29</v>
      </c>
      <c r="C120" s="1"/>
      <c r="D120" s="5">
        <v>624</v>
      </c>
      <c r="E120" s="5">
        <v>0</v>
      </c>
      <c r="F120" s="1"/>
      <c r="G120" s="5"/>
      <c r="H120" s="5">
        <f t="shared" si="22"/>
        <v>624</v>
      </c>
      <c r="I120" s="5">
        <f t="shared" si="23"/>
        <v>0</v>
      </c>
      <c r="J120" s="5">
        <f>Table14[[#This Row],[Enrolment S.Y. 2025-2026 ]]*8</f>
        <v>0</v>
      </c>
      <c r="K120" s="5"/>
      <c r="L120" s="1">
        <v>2025</v>
      </c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57.75">
      <c r="A121" s="1" t="s">
        <v>23</v>
      </c>
      <c r="B121" s="9" t="s">
        <v>30</v>
      </c>
      <c r="C121" s="1">
        <v>630</v>
      </c>
      <c r="D121" s="5">
        <v>420</v>
      </c>
      <c r="E121" s="5">
        <v>0</v>
      </c>
      <c r="F121" s="1"/>
      <c r="G121" s="5"/>
      <c r="H121" s="5">
        <f t="shared" si="22"/>
        <v>420</v>
      </c>
      <c r="I121" s="5">
        <f t="shared" si="23"/>
        <v>0</v>
      </c>
      <c r="J121" s="5">
        <f>Table14[[#This Row],[Enrolment S.Y. 2025-2026 ]]*8</f>
        <v>5040</v>
      </c>
      <c r="K121" s="5"/>
      <c r="L121" s="1">
        <v>2025</v>
      </c>
      <c r="M121" s="5"/>
      <c r="N121" s="5">
        <f t="shared" si="20"/>
        <v>5040</v>
      </c>
      <c r="O121" s="5">
        <f t="shared" si="21"/>
        <v>0</v>
      </c>
      <c r="P121" s="5">
        <f>Table14[[#This Row],[Enrolment S.Y. 2025-2026 ]]*8</f>
        <v>5040</v>
      </c>
      <c r="Q121" s="5"/>
      <c r="R121" s="1"/>
      <c r="S121" s="5"/>
      <c r="T121" s="5">
        <f t="shared" si="16"/>
        <v>5040</v>
      </c>
      <c r="U121" s="5">
        <f t="shared" si="17"/>
        <v>0</v>
      </c>
      <c r="V121" s="5">
        <f>Table14[[#This Row],[Enrolment S.Y. 2025-2026 ]]*8</f>
        <v>5040</v>
      </c>
      <c r="W121" s="5"/>
      <c r="X121" s="1"/>
      <c r="Y121" s="5"/>
      <c r="Z121" s="5">
        <f t="shared" si="18"/>
        <v>5040</v>
      </c>
      <c r="AA121" s="5">
        <f t="shared" si="19"/>
        <v>0</v>
      </c>
    </row>
    <row r="122" spans="1:28" ht="38.25">
      <c r="A122" s="1" t="s">
        <v>23</v>
      </c>
      <c r="B122" s="9" t="s">
        <v>31</v>
      </c>
      <c r="C122" s="1"/>
      <c r="D122" s="5">
        <v>420</v>
      </c>
      <c r="E122" s="5">
        <v>0</v>
      </c>
      <c r="F122" s="1"/>
      <c r="G122" s="5"/>
      <c r="H122" s="5">
        <f t="shared" si="22"/>
        <v>420</v>
      </c>
      <c r="I122" s="5">
        <f t="shared" si="23"/>
        <v>0</v>
      </c>
      <c r="J122" s="5">
        <f>Table14[[#This Row],[Enrolment S.Y. 2025-2026 ]]*8</f>
        <v>0</v>
      </c>
      <c r="K122" s="5"/>
      <c r="L122" s="1">
        <v>2025</v>
      </c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55:F65 F3:F10 F91:F101 X115:X122 F12:F19 F115:F122 R115:R122 L115:L122 F103:F113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2025-11-19T20:48:15Z</dcterms:created>
  <dcterms:modified xsi:type="dcterms:W3CDTF">2026-01-14T11:09:42Z</dcterms:modified>
  <cp:category/>
  <cp:contentStatus/>
</cp:coreProperties>
</file>