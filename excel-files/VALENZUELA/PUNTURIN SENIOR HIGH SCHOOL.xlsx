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2" documentId="13_ncr:1_{BFB59F67-F0DC-4675-A682-EB0734A8026A}" xr6:coauthVersionLast="47" xr6:coauthVersionMax="47" xr10:uidLastSave="{D4093D0E-FC09-49F1-B411-D006D416CF0F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P45" i="5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I58" i="5"/>
  <c r="V57" i="5"/>
  <c r="Z57" i="5" s="1"/>
  <c r="P57" i="5"/>
  <c r="J57" i="5"/>
  <c r="N57" i="5" s="1"/>
  <c r="I57" i="5"/>
  <c r="V56" i="5"/>
  <c r="AA56" i="5" s="1"/>
  <c r="P56" i="5"/>
  <c r="U56" i="5" s="1"/>
  <c r="J56" i="5"/>
  <c r="O56" i="5" s="1"/>
  <c r="I56" i="5"/>
  <c r="V55" i="5"/>
  <c r="Z55" i="5" s="1"/>
  <c r="P55" i="5"/>
  <c r="J55" i="5"/>
  <c r="N55" i="5" s="1"/>
  <c r="I55" i="5"/>
  <c r="V54" i="5"/>
  <c r="AA54" i="5" s="1"/>
  <c r="P54" i="5"/>
  <c r="U54" i="5" s="1"/>
  <c r="J54" i="5"/>
  <c r="O54" i="5" s="1"/>
  <c r="I54" i="5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I52" i="5"/>
  <c r="V51" i="5"/>
  <c r="Z51" i="5" s="1"/>
  <c r="P51" i="5"/>
  <c r="J51" i="5"/>
  <c r="N51" i="5" s="1"/>
  <c r="I51" i="5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<sst xmlns="http://schemas.openxmlformats.org/spreadsheetml/2006/main" count="234" uniqueCount="83">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</sst>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K53" sqref="K5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18</v>
      </c>
      <c r="B43" s="7" t="s">
        <v>20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18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2:E10 E12:E20 E22:E30 E32:E40" xr:uid="{B46E7B13-721E-4D49-837E-C02BF9777D48}">
      <formula1>"2024,2025 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Q1" zoomScale="70" zoomScaleNormal="70" workbookViewId="0">
      <selection activeCell="AB63" sqref="AB6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3" t="s">
        <v>40</v>
      </c>
      <c r="N2" s="33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4" t="s">
        <v>52</v>
      </c>
      <c r="Z2" s="34" t="s">
        <v>53</v>
      </c>
      <c r="AA2" s="24" t="s">
        <v>54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f>Table1[[#This Row],[Enrolment S.Y. 2025-2026 ]]*8</f>
        <v>0</v>
      </c>
      <c r="E43" s="4">
        <v>0</v>
      </c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20</v>
      </c>
      <c r="C44" s="1">
        <v>630</v>
      </c>
      <c r="D44" s="4">
        <f>Table1[[#This Row],[Enrolment S.Y. 2025-2026 ]]*8</f>
        <v>5040</v>
      </c>
      <c r="E44" s="4">
        <v>0</v>
      </c>
      <c r="F44" s="1"/>
      <c r="G44" s="4"/>
      <c r="H44" s="4">
        <f t="shared" si="14"/>
        <v>5040</v>
      </c>
      <c r="I44" s="4">
        <f t="shared" si="15"/>
        <v>0</v>
      </c>
      <c r="J44" s="4">
        <f>Table1[[#This Row],[Enrolment S.Y. 2025-2026 ]]*8</f>
        <v>5040</v>
      </c>
      <c r="K44" s="4"/>
      <c r="L44" s="1"/>
      <c r="M44" s="4"/>
      <c r="N44" s="4">
        <f t="shared" si="8"/>
        <v>5040</v>
      </c>
      <c r="O44" s="4">
        <f t="shared" si="9"/>
        <v>0</v>
      </c>
      <c r="P44" s="4">
        <f>Table1[[#This Row],[Enrolment S.Y. 2025-2026 ]]*8</f>
        <v>5040</v>
      </c>
      <c r="Q44" s="4"/>
      <c r="R44" s="1"/>
      <c r="S44" s="4"/>
      <c r="T44" s="4">
        <f t="shared" si="10"/>
        <v>5040</v>
      </c>
      <c r="U44" s="4">
        <f t="shared" si="11"/>
        <v>0</v>
      </c>
      <c r="V44" s="4">
        <f>Table1[[#This Row],[Enrolment S.Y. 2025-2026 ]]*8</f>
        <v>5040</v>
      </c>
      <c r="W44" s="4"/>
      <c r="X44" s="1"/>
      <c r="Y44" s="4"/>
      <c r="Z44" s="4">
        <f t="shared" si="12"/>
        <v>5040</v>
      </c>
      <c r="AA44" s="4">
        <f t="shared" si="13"/>
        <v>0</v>
      </c>
    </row>
    <row r="45" spans="1:27" ht="19.5">
      <c r="A45" s="1" t="s">
        <v>18</v>
      </c>
      <c r="B45" s="7" t="s">
        <v>21</v>
      </c>
      <c r="C45" s="1">
        <v>630</v>
      </c>
      <c r="D45" s="4">
        <f>Table1[[#This Row],[Enrolment S.Y. 2025-2026 ]]*8</f>
        <v>5040</v>
      </c>
      <c r="E45" s="4">
        <v>0</v>
      </c>
      <c r="F45" s="1"/>
      <c r="G45" s="4"/>
      <c r="H45" s="4">
        <f t="shared" si="14"/>
        <v>5040</v>
      </c>
      <c r="I45" s="4">
        <f t="shared" si="15"/>
        <v>0</v>
      </c>
      <c r="J45" s="4">
        <f>Table1[[#This Row],[Enrolment S.Y. 2025-2026 ]]*8</f>
        <v>5040</v>
      </c>
      <c r="K45" s="4"/>
      <c r="L45" s="1"/>
      <c r="M45" s="4"/>
      <c r="N45" s="4">
        <f t="shared" si="8"/>
        <v>5040</v>
      </c>
      <c r="O45" s="4">
        <f t="shared" si="9"/>
        <v>0</v>
      </c>
      <c r="P45" s="4">
        <f>Table1[[#This Row],[Enrolment S.Y. 2025-2026 ]]*8</f>
        <v>5040</v>
      </c>
      <c r="Q45" s="4"/>
      <c r="R45" s="1"/>
      <c r="S45" s="4"/>
      <c r="T45" s="4">
        <f t="shared" si="10"/>
        <v>5040</v>
      </c>
      <c r="U45" s="4">
        <f t="shared" si="11"/>
        <v>0</v>
      </c>
      <c r="V45" s="4">
        <f>Table1[[#This Row],[Enrolment S.Y. 2025-2026 ]]*8</f>
        <v>5040</v>
      </c>
      <c r="W45" s="4"/>
      <c r="X45" s="1"/>
      <c r="Y45" s="4"/>
      <c r="Z45" s="4">
        <f t="shared" si="12"/>
        <v>5040</v>
      </c>
      <c r="AA45" s="4">
        <f t="shared" si="13"/>
        <v>0</v>
      </c>
    </row>
    <row r="46" spans="1:27" ht="19.5">
      <c r="A46" s="1" t="s">
        <v>18</v>
      </c>
      <c r="B46" s="7" t="s">
        <v>22</v>
      </c>
      <c r="C46" s="1">
        <v>630</v>
      </c>
      <c r="D46" s="4">
        <f>Table1[[#This Row],[Enrolment S.Y. 2025-2026 ]]*8</f>
        <v>5040</v>
      </c>
      <c r="E46" s="4">
        <v>0</v>
      </c>
      <c r="F46" s="1"/>
      <c r="G46" s="4"/>
      <c r="H46" s="4">
        <f t="shared" si="14"/>
        <v>5040</v>
      </c>
      <c r="I46" s="4">
        <f t="shared" si="15"/>
        <v>0</v>
      </c>
      <c r="J46" s="4">
        <f>Table1[[#This Row],[Enrolment S.Y. 2025-2026 ]]*8</f>
        <v>5040</v>
      </c>
      <c r="K46" s="4"/>
      <c r="L46" s="1"/>
      <c r="M46" s="4"/>
      <c r="N46" s="4">
        <f t="shared" si="8"/>
        <v>5040</v>
      </c>
      <c r="O46" s="4">
        <f t="shared" si="9"/>
        <v>0</v>
      </c>
      <c r="P46" s="4">
        <f>Table1[[#This Row],[Enrolment S.Y. 2025-2026 ]]*8</f>
        <v>5040</v>
      </c>
      <c r="Q46" s="4"/>
      <c r="R46" s="1"/>
      <c r="S46" s="4"/>
      <c r="T46" s="4">
        <f t="shared" si="10"/>
        <v>5040</v>
      </c>
      <c r="U46" s="4">
        <f t="shared" si="11"/>
        <v>0</v>
      </c>
      <c r="V46" s="4">
        <f>Table1[[#This Row],[Enrolment S.Y. 2025-2026 ]]*8</f>
        <v>5040</v>
      </c>
      <c r="W46" s="4"/>
      <c r="X46" s="1"/>
      <c r="Y46" s="4"/>
      <c r="Z46" s="4">
        <f t="shared" si="12"/>
        <v>5040</v>
      </c>
      <c r="AA46" s="4">
        <f t="shared" si="13"/>
        <v>0</v>
      </c>
    </row>
    <row r="47" spans="1:27" ht="38.25">
      <c r="A47" s="1" t="s">
        <v>18</v>
      </c>
      <c r="B47" s="7" t="s">
        <v>23</v>
      </c>
      <c r="C47" s="1"/>
      <c r="D47" s="4">
        <f>Table1[[#This Row],[Enrolment S.Y. 2025-2026 ]]*8</f>
        <v>0</v>
      </c>
      <c r="E47" s="4">
        <v>0</v>
      </c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24</v>
      </c>
      <c r="C48" s="1"/>
      <c r="D48" s="4">
        <f>Table1[[#This Row],[Enrolment S.Y. 2025-2026 ]]*8</f>
        <v>0</v>
      </c>
      <c r="E48" s="4">
        <v>0</v>
      </c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25</v>
      </c>
      <c r="C49" s="1"/>
      <c r="D49" s="4">
        <f>Table1[[#This Row],[Enrolment S.Y. 2025-2026 ]]*8</f>
        <v>0</v>
      </c>
      <c r="E49" s="4">
        <v>0</v>
      </c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26</v>
      </c>
      <c r="C50" s="1"/>
      <c r="D50" s="4">
        <f>Table1[[#This Row],[Enrolment S.Y. 2025-2026 ]]*8</f>
        <v>0</v>
      </c>
      <c r="E50" s="4">
        <v>0</v>
      </c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 C52:C67 C47:C50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  <protectedRange sqref="C44:C46" name="Textbooks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F52:F67 F43:F50 F33:F41 F23:F31 F13:F21 F3:F11 L52:L67 L43:L50 L33:L41 L23:L31 L13:L21 L3:L11 R52:R67 R43:R50 R33:R41 R23:R31 R13:R21 R3:R11 X52:X67 X43:X50 X33:X41 X23:X31 X13:X21 X3:X11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P1" zoomScale="55" zoomScaleNormal="55" workbookViewId="0">
      <selection activeCell="R73" sqref="R7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55</v>
      </c>
      <c r="E2" s="18" t="s">
        <v>56</v>
      </c>
      <c r="F2" s="19" t="s">
        <v>57</v>
      </c>
      <c r="G2" s="22" t="s">
        <v>58</v>
      </c>
      <c r="H2" s="15" t="s">
        <v>59</v>
      </c>
      <c r="I2" s="22" t="s">
        <v>60</v>
      </c>
      <c r="J2" s="20" t="s">
        <v>61</v>
      </c>
      <c r="K2" s="20" t="s">
        <v>62</v>
      </c>
      <c r="L2" s="21" t="s">
        <v>63</v>
      </c>
      <c r="M2" s="33" t="s">
        <v>64</v>
      </c>
      <c r="N2" s="33" t="s">
        <v>65</v>
      </c>
      <c r="O2" s="20" t="s">
        <v>66</v>
      </c>
      <c r="P2" s="22" t="s">
        <v>67</v>
      </c>
      <c r="Q2" s="22" t="s">
        <v>68</v>
      </c>
      <c r="R2" s="23" t="s">
        <v>69</v>
      </c>
      <c r="S2" s="15" t="s">
        <v>70</v>
      </c>
      <c r="T2" s="15" t="s">
        <v>71</v>
      </c>
      <c r="U2" s="22" t="s">
        <v>72</v>
      </c>
      <c r="V2" s="24" t="s">
        <v>73</v>
      </c>
      <c r="W2" s="24" t="s">
        <v>74</v>
      </c>
      <c r="X2" s="25" t="s">
        <v>75</v>
      </c>
      <c r="Y2" s="34" t="s">
        <v>76</v>
      </c>
      <c r="Z2" s="34" t="s">
        <v>77</v>
      </c>
      <c r="AA2" s="24" t="s">
        <v>78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79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80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81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82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79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80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81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82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79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81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79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81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/>
      <c r="D51" s="4">
        <v>626</v>
      </c>
      <c r="E51" s="4">
        <v>0</v>
      </c>
      <c r="F51" s="1"/>
      <c r="G51" s="4"/>
      <c r="H51" s="4">
        <f t="shared" si="16"/>
        <v>626</v>
      </c>
      <c r="I51" s="4">
        <f t="shared" si="17"/>
        <v>0</v>
      </c>
      <c r="J51" s="4">
        <f>Table14[[#This Row],[Enrolment S.Y. 2025-2026 ]]*8</f>
        <v>0</v>
      </c>
      <c r="K51" s="4"/>
      <c r="L51" s="1">
        <v>2024</v>
      </c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18</v>
      </c>
      <c r="B52" s="7" t="s">
        <v>20</v>
      </c>
      <c r="C52" s="1"/>
      <c r="D52" s="4">
        <v>420</v>
      </c>
      <c r="E52" s="4">
        <v>0</v>
      </c>
      <c r="F52" s="1"/>
      <c r="G52" s="4"/>
      <c r="H52" s="4">
        <f t="shared" si="16"/>
        <v>420</v>
      </c>
      <c r="I52" s="4">
        <f t="shared" si="17"/>
        <v>0</v>
      </c>
      <c r="J52" s="4">
        <f>Table14[[#This Row],[Enrolment S.Y. 2025-2026 ]]*8</f>
        <v>0</v>
      </c>
      <c r="K52" s="4"/>
      <c r="L52" s="1">
        <v>2024</v>
      </c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21</v>
      </c>
      <c r="C53" s="1">
        <v>630</v>
      </c>
      <c r="D53" s="4">
        <f>Table14[[#This Row],[Enrolment S.Y. 2025-2026 ]]*8</f>
        <v>5040</v>
      </c>
      <c r="E53" s="4">
        <v>0</v>
      </c>
      <c r="F53" s="1"/>
      <c r="G53" s="4"/>
      <c r="H53" s="4">
        <f t="shared" si="16"/>
        <v>5040</v>
      </c>
      <c r="I53" s="4">
        <f t="shared" si="17"/>
        <v>0</v>
      </c>
      <c r="J53" s="4">
        <f>Table14[[#This Row],[Enrolment S.Y. 2025-2026 ]]*8</f>
        <v>5040</v>
      </c>
      <c r="K53" s="4"/>
      <c r="L53" s="1"/>
      <c r="M53" s="4"/>
      <c r="N53" s="4">
        <f t="shared" si="14"/>
        <v>5040</v>
      </c>
      <c r="O53" s="4">
        <f t="shared" si="15"/>
        <v>0</v>
      </c>
      <c r="P53" s="4">
        <f>Table14[[#This Row],[Enrolment S.Y. 2025-2026 ]]*8</f>
        <v>5040</v>
      </c>
      <c r="Q53" s="4"/>
      <c r="R53" s="1"/>
      <c r="S53" s="4"/>
      <c r="T53" s="4">
        <f t="shared" si="10"/>
        <v>5040</v>
      </c>
      <c r="U53" s="4">
        <f t="shared" si="11"/>
        <v>0</v>
      </c>
      <c r="V53" s="4">
        <f>Table14[[#This Row],[Enrolment S.Y. 2025-2026 ]]*8</f>
        <v>5040</v>
      </c>
      <c r="W53" s="4"/>
      <c r="X53" s="1"/>
      <c r="Y53" s="4"/>
      <c r="Z53" s="4">
        <f t="shared" si="12"/>
        <v>5040</v>
      </c>
      <c r="AA53" s="4">
        <f t="shared" si="13"/>
        <v>0</v>
      </c>
    </row>
    <row r="54" spans="1:27" s="5" customFormat="1" ht="19.5">
      <c r="A54" s="1" t="s">
        <v>18</v>
      </c>
      <c r="B54" s="7" t="s">
        <v>22</v>
      </c>
      <c r="C54" s="1">
        <v>630</v>
      </c>
      <c r="D54" s="4">
        <v>420</v>
      </c>
      <c r="E54" s="4">
        <v>0</v>
      </c>
      <c r="F54" s="1"/>
      <c r="G54" s="4"/>
      <c r="H54" s="4">
        <f t="shared" si="16"/>
        <v>420</v>
      </c>
      <c r="I54" s="4">
        <f t="shared" si="17"/>
        <v>0</v>
      </c>
      <c r="J54" s="4">
        <f>Table14[[#This Row],[Enrolment S.Y. 2025-2026 ]]*8</f>
        <v>5040</v>
      </c>
      <c r="K54" s="4"/>
      <c r="L54" s="1">
        <v>2025</v>
      </c>
      <c r="M54" s="4"/>
      <c r="N54" s="4">
        <f t="shared" si="14"/>
        <v>5040</v>
      </c>
      <c r="O54" s="4">
        <f t="shared" si="15"/>
        <v>0</v>
      </c>
      <c r="P54" s="4">
        <f>Table14[[#This Row],[Enrolment S.Y. 2025-2026 ]]*8</f>
        <v>5040</v>
      </c>
      <c r="Q54" s="4"/>
      <c r="R54" s="1"/>
      <c r="S54" s="4"/>
      <c r="T54" s="4">
        <f t="shared" si="10"/>
        <v>5040</v>
      </c>
      <c r="U54" s="4">
        <f t="shared" si="11"/>
        <v>0</v>
      </c>
      <c r="V54" s="4">
        <f>Table14[[#This Row],[Enrolment S.Y. 2025-2026 ]]*8</f>
        <v>5040</v>
      </c>
      <c r="W54" s="4"/>
      <c r="X54" s="1"/>
      <c r="Y54" s="4"/>
      <c r="Z54" s="4">
        <f t="shared" si="12"/>
        <v>5040</v>
      </c>
      <c r="AA54" s="4">
        <f t="shared" si="13"/>
        <v>0</v>
      </c>
    </row>
    <row r="55" spans="1:27" ht="38.25">
      <c r="A55" s="1" t="s">
        <v>18</v>
      </c>
      <c r="B55" s="7" t="s">
        <v>23</v>
      </c>
      <c r="C55" s="1">
        <v>630</v>
      </c>
      <c r="D55" s="4">
        <v>39</v>
      </c>
      <c r="E55" s="4">
        <v>0</v>
      </c>
      <c r="F55" s="1"/>
      <c r="G55" s="4"/>
      <c r="H55" s="4">
        <f t="shared" si="16"/>
        <v>39</v>
      </c>
      <c r="I55" s="4">
        <f t="shared" si="17"/>
        <v>0</v>
      </c>
      <c r="J55" s="4">
        <f>Table14[[#This Row],[Enrolment S.Y. 2025-2026 ]]*8</f>
        <v>5040</v>
      </c>
      <c r="K55" s="4"/>
      <c r="L55" s="1">
        <v>2025</v>
      </c>
      <c r="M55" s="4"/>
      <c r="N55" s="4">
        <f t="shared" si="14"/>
        <v>5040</v>
      </c>
      <c r="O55" s="4">
        <f t="shared" si="15"/>
        <v>0</v>
      </c>
      <c r="P55" s="4">
        <f>Table14[[#This Row],[Enrolment S.Y. 2025-2026 ]]*8</f>
        <v>5040</v>
      </c>
      <c r="Q55" s="4"/>
      <c r="R55" s="1"/>
      <c r="S55" s="4"/>
      <c r="T55" s="4">
        <f t="shared" si="10"/>
        <v>5040</v>
      </c>
      <c r="U55" s="4">
        <f t="shared" si="11"/>
        <v>0</v>
      </c>
      <c r="V55" s="4">
        <f>Table14[[#This Row],[Enrolment S.Y. 2025-2026 ]]*8</f>
        <v>5040</v>
      </c>
      <c r="W55" s="4"/>
      <c r="X55" s="1"/>
      <c r="Y55" s="4"/>
      <c r="Z55" s="4">
        <f t="shared" si="12"/>
        <v>5040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/>
      <c r="D56" s="4">
        <v>624</v>
      </c>
      <c r="E56" s="4">
        <v>0</v>
      </c>
      <c r="F56" s="1"/>
      <c r="G56" s="4"/>
      <c r="H56" s="4">
        <f t="shared" si="16"/>
        <v>624</v>
      </c>
      <c r="I56" s="4">
        <f t="shared" si="17"/>
        <v>0</v>
      </c>
      <c r="J56" s="4">
        <f>Table14[[#This Row],[Enrolment S.Y. 2025-2026 ]]*8</f>
        <v>0</v>
      </c>
      <c r="K56" s="4"/>
      <c r="L56" s="1">
        <v>2025</v>
      </c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25</v>
      </c>
      <c r="C57" s="1">
        <v>630</v>
      </c>
      <c r="D57" s="4">
        <v>420</v>
      </c>
      <c r="E57" s="4">
        <v>0</v>
      </c>
      <c r="F57" s="1"/>
      <c r="G57" s="4"/>
      <c r="H57" s="4">
        <f t="shared" si="16"/>
        <v>420</v>
      </c>
      <c r="I57" s="4">
        <f t="shared" si="17"/>
        <v>0</v>
      </c>
      <c r="J57" s="4">
        <f>Table14[[#This Row],[Enrolment S.Y. 2025-2026 ]]*8</f>
        <v>5040</v>
      </c>
      <c r="K57" s="4"/>
      <c r="L57" s="1">
        <v>2025</v>
      </c>
      <c r="M57" s="4"/>
      <c r="N57" s="4">
        <f t="shared" si="14"/>
        <v>5040</v>
      </c>
      <c r="O57" s="4">
        <f t="shared" si="15"/>
        <v>0</v>
      </c>
      <c r="P57" s="4">
        <f>Table14[[#This Row],[Enrolment S.Y. 2025-2026 ]]*8</f>
        <v>5040</v>
      </c>
      <c r="Q57" s="4"/>
      <c r="R57" s="1"/>
      <c r="S57" s="4"/>
      <c r="T57" s="4">
        <f t="shared" si="10"/>
        <v>5040</v>
      </c>
      <c r="U57" s="4">
        <f t="shared" si="11"/>
        <v>0</v>
      </c>
      <c r="V57" s="4">
        <f>Table14[[#This Row],[Enrolment S.Y. 2025-2026 ]]*8</f>
        <v>5040</v>
      </c>
      <c r="W57" s="4"/>
      <c r="X57" s="1"/>
      <c r="Y57" s="4"/>
      <c r="Z57" s="4">
        <f t="shared" si="12"/>
        <v>5040</v>
      </c>
      <c r="AA57" s="4">
        <f t="shared" si="13"/>
        <v>0</v>
      </c>
    </row>
    <row r="58" spans="1:27" ht="38.25">
      <c r="A58" s="1" t="s">
        <v>18</v>
      </c>
      <c r="B58" s="7" t="s">
        <v>26</v>
      </c>
      <c r="C58" s="1"/>
      <c r="D58" s="4">
        <v>420</v>
      </c>
      <c r="E58" s="4">
        <v>0</v>
      </c>
      <c r="F58" s="1"/>
      <c r="G58" s="4"/>
      <c r="H58" s="4">
        <f t="shared" si="16"/>
        <v>420</v>
      </c>
      <c r="I58" s="4">
        <f t="shared" si="17"/>
        <v>0</v>
      </c>
      <c r="J58" s="4">
        <f>Table14[[#This Row],[Enrolment S.Y. 2025-2026 ]]*8</f>
        <v>0</v>
      </c>
      <c r="K58" s="4"/>
      <c r="L58" s="1">
        <v>2025</v>
      </c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F51:F58 F39:F49 F27:F37 F15:F25 F3:F13 L51:L58 L39:L49 L27:L37 L15:L25 L3:L13 R51:R58 R39:R49 R27:R37 R15:R25 R3:R13 X51:X58 X39:X49 X27:X37 X15:X25 X3:X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2026-04-14T05:33:02Z</dcterms:modified>
  <cp:category/>
  <cp:contentStatus/>
</cp:coreProperties>
</file>