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6" documentId="13_ncr:1_{BFB59F67-F0DC-4675-A682-EB0734A8026A}" xr6:coauthVersionLast="47" xr6:coauthVersionMax="47" xr10:uidLastSave="{379647F5-2FC9-4B0E-852E-0587B98D457A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<sst xmlns="http://schemas.openxmlformats.org/spreadsheetml/2006/main" count="412" uniqueCount="92">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</sst>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K36" sqref="K3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148</v>
      </c>
      <c r="D2" s="1">
        <v>162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14</v>
      </c>
    </row>
    <row r="3" spans="1:8" ht="29.25" customHeight="1">
      <c r="A3" s="1">
        <v>1</v>
      </c>
      <c r="B3" s="2" t="s">
        <v>10</v>
      </c>
      <c r="C3" s="1">
        <v>148</v>
      </c>
      <c r="D3" s="1">
        <v>162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14</v>
      </c>
    </row>
    <row r="4" spans="1:8" ht="21" customHeight="1">
      <c r="A4" s="1">
        <v>1</v>
      </c>
      <c r="B4" s="2" t="s">
        <v>11</v>
      </c>
      <c r="C4" s="1">
        <v>148</v>
      </c>
      <c r="D4" s="1">
        <v>162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14</v>
      </c>
    </row>
    <row r="5" spans="1:8" ht="25.5" customHeight="1">
      <c r="A5" s="1">
        <v>1</v>
      </c>
      <c r="B5" s="2" t="s">
        <v>12</v>
      </c>
      <c r="C5" s="1">
        <v>148</v>
      </c>
      <c r="D5" s="1">
        <v>162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14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13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178</v>
      </c>
      <c r="D31" s="1">
        <v>210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32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178</v>
      </c>
      <c r="D36" s="1">
        <v>210</v>
      </c>
      <c r="E36" s="1">
        <v>2025</v>
      </c>
      <c r="F36" s="5" t="s">
        <v>9</v>
      </c>
      <c r="G36" s="3">
        <f t="shared" si="6"/>
        <v>0</v>
      </c>
      <c r="H36" s="4">
        <f t="shared" si="7"/>
        <v>32</v>
      </c>
    </row>
    <row r="37" spans="1:8" ht="27.75" customHeight="1">
      <c r="A37" s="1">
        <v>5</v>
      </c>
      <c r="B37" s="9" t="s">
        <v>18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M22" sqref="M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171</v>
      </c>
      <c r="D16" s="5">
        <f>Table1[[#This Row],[Enrolment S.Y. 2025-2026 ]]*8</f>
        <v>1368</v>
      </c>
      <c r="E16" s="5">
        <v>149</v>
      </c>
      <c r="F16" s="1">
        <v>2025</v>
      </c>
      <c r="G16" s="5" t="s">
        <v>63</v>
      </c>
      <c r="H16" s="5">
        <f t="shared" si="2"/>
        <v>1219</v>
      </c>
      <c r="I16" s="5">
        <f t="shared" si="3"/>
        <v>0</v>
      </c>
      <c r="J16" s="5">
        <f>Table1[[#This Row],[Enrolment S.Y. 2025-2026 ]]*8</f>
        <v>1368</v>
      </c>
      <c r="K16" s="5"/>
      <c r="L16" s="1"/>
      <c r="M16" s="5"/>
      <c r="N16" s="5">
        <f t="shared" si="10"/>
        <v>1368</v>
      </c>
      <c r="O16" s="5">
        <f t="shared" si="11"/>
        <v>0</v>
      </c>
      <c r="P16" s="5">
        <f>Table1[[#This Row],[Enrolment S.Y. 2025-2026 ]]*8</f>
        <v>1368</v>
      </c>
      <c r="Q16" s="5"/>
      <c r="R16" s="1"/>
      <c r="S16" s="5"/>
      <c r="T16" s="5">
        <f t="shared" si="12"/>
        <v>1368</v>
      </c>
      <c r="U16" s="5">
        <f t="shared" si="13"/>
        <v>0</v>
      </c>
      <c r="V16" s="5">
        <f>Table1[[#This Row],[Enrolment S.Y. 2025-2026 ]]*8</f>
        <v>1368</v>
      </c>
      <c r="W16" s="5"/>
      <c r="X16" s="1"/>
      <c r="Y16" s="5"/>
      <c r="Z16" s="5">
        <f t="shared" si="14"/>
        <v>1368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171</v>
      </c>
      <c r="D17" s="5">
        <f>Table1[[#This Row],[Enrolment S.Y. 2025-2026 ]]*8</f>
        <v>1368</v>
      </c>
      <c r="E17" s="5">
        <v>149</v>
      </c>
      <c r="F17" s="1">
        <v>2025</v>
      </c>
      <c r="G17" s="5" t="s">
        <v>63</v>
      </c>
      <c r="H17" s="5">
        <f t="shared" si="2"/>
        <v>1219</v>
      </c>
      <c r="I17" s="5">
        <f t="shared" si="3"/>
        <v>0</v>
      </c>
      <c r="J17" s="5">
        <f>Table1[[#This Row],[Enrolment S.Y. 2025-2026 ]]*8</f>
        <v>1368</v>
      </c>
      <c r="K17" s="5"/>
      <c r="L17" s="1"/>
      <c r="M17" s="5"/>
      <c r="N17" s="5">
        <f t="shared" si="10"/>
        <v>1368</v>
      </c>
      <c r="O17" s="5">
        <f t="shared" si="11"/>
        <v>0</v>
      </c>
      <c r="P17" s="5">
        <f>Table1[[#This Row],[Enrolment S.Y. 2025-2026 ]]*8</f>
        <v>1368</v>
      </c>
      <c r="Q17" s="5"/>
      <c r="R17" s="1"/>
      <c r="S17" s="5"/>
      <c r="T17" s="5">
        <f t="shared" si="12"/>
        <v>1368</v>
      </c>
      <c r="U17" s="5">
        <f t="shared" si="13"/>
        <v>0</v>
      </c>
      <c r="V17" s="5">
        <f>Table1[[#This Row],[Enrolment S.Y. 2025-2026 ]]*8</f>
        <v>1368</v>
      </c>
      <c r="W17" s="5"/>
      <c r="X17" s="1"/>
      <c r="Y17" s="5"/>
      <c r="Z17" s="5">
        <f t="shared" si="14"/>
        <v>1368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171</v>
      </c>
      <c r="D20" s="5">
        <f>Table1[[#This Row],[Enrolment S.Y. 2025-2026 ]]*8</f>
        <v>1368</v>
      </c>
      <c r="E20" s="5">
        <v>149</v>
      </c>
      <c r="F20" s="1">
        <v>2025</v>
      </c>
      <c r="G20" s="5" t="s">
        <v>63</v>
      </c>
      <c r="H20" s="5">
        <f>IF((D20-E20)&lt;0,0,(D20-E20))</f>
        <v>1219</v>
      </c>
      <c r="I20" s="5">
        <f>IF((E20-D20)&lt;0,0,(E20-D20))</f>
        <v>0</v>
      </c>
      <c r="J20" s="5">
        <f>Table1[[#This Row],[Enrolment S.Y. 2025-2026 ]]*8</f>
        <v>1368</v>
      </c>
      <c r="K20" s="5"/>
      <c r="L20" s="1"/>
      <c r="M20" s="5"/>
      <c r="N20" s="5">
        <f t="shared" si="10"/>
        <v>1368</v>
      </c>
      <c r="O20" s="5">
        <f t="shared" si="11"/>
        <v>0</v>
      </c>
      <c r="P20" s="5">
        <f>Table1[[#This Row],[Enrolment S.Y. 2025-2026 ]]*8</f>
        <v>1368</v>
      </c>
      <c r="Q20" s="5"/>
      <c r="R20" s="1"/>
      <c r="S20" s="5"/>
      <c r="T20" s="5">
        <f t="shared" si="12"/>
        <v>1368</v>
      </c>
      <c r="U20" s="5">
        <f t="shared" si="13"/>
        <v>0</v>
      </c>
      <c r="V20" s="5">
        <f>Table1[[#This Row],[Enrolment S.Y. 2025-2026 ]]*8</f>
        <v>1368</v>
      </c>
      <c r="W20" s="5"/>
      <c r="X20" s="1"/>
      <c r="Y20" s="5"/>
      <c r="Z20" s="5">
        <f t="shared" si="14"/>
        <v>1368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150</v>
      </c>
      <c r="D25" s="5">
        <f>Table1[[#This Row],[Enrolment S.Y. 2025-2026 ]]*8</f>
        <v>1200</v>
      </c>
      <c r="E25" s="5">
        <v>190</v>
      </c>
      <c r="F25" s="1">
        <v>2025</v>
      </c>
      <c r="G25" s="5" t="s">
        <v>63</v>
      </c>
      <c r="H25" s="5">
        <f t="shared" si="2"/>
        <v>1010</v>
      </c>
      <c r="I25" s="5">
        <f t="shared" si="3"/>
        <v>0</v>
      </c>
      <c r="J25" s="5">
        <f>Table1[[#This Row],[Enrolment S.Y. 2025-2026 ]]*8</f>
        <v>1200</v>
      </c>
      <c r="K25" s="5"/>
      <c r="L25" s="1"/>
      <c r="M25" s="5"/>
      <c r="N25" s="5">
        <f t="shared" si="10"/>
        <v>1200</v>
      </c>
      <c r="O25" s="5">
        <f t="shared" si="11"/>
        <v>0</v>
      </c>
      <c r="P25" s="5">
        <f>Table1[[#This Row],[Enrolment S.Y. 2025-2026 ]]*8</f>
        <v>1200</v>
      </c>
      <c r="Q25" s="5"/>
      <c r="R25" s="1"/>
      <c r="S25" s="5"/>
      <c r="T25" s="5">
        <f t="shared" si="12"/>
        <v>1200</v>
      </c>
      <c r="U25" s="5">
        <f t="shared" si="13"/>
        <v>0</v>
      </c>
      <c r="V25" s="5">
        <f>Table1[[#This Row],[Enrolment S.Y. 2025-2026 ]]*8</f>
        <v>1200</v>
      </c>
      <c r="W25" s="5"/>
      <c r="X25" s="1"/>
      <c r="Y25" s="5"/>
      <c r="Z25" s="5">
        <f t="shared" si="14"/>
        <v>1200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150</v>
      </c>
      <c r="D26" s="5">
        <f>Table1[[#This Row],[Enrolment S.Y. 2025-2026 ]]*8</f>
        <v>1200</v>
      </c>
      <c r="E26" s="5">
        <v>190</v>
      </c>
      <c r="F26" s="1">
        <v>2025</v>
      </c>
      <c r="G26" s="5" t="s">
        <v>63</v>
      </c>
      <c r="H26" s="5">
        <f t="shared" si="2"/>
        <v>1010</v>
      </c>
      <c r="I26" s="5">
        <f t="shared" si="3"/>
        <v>0</v>
      </c>
      <c r="J26" s="5">
        <f>Table1[[#This Row],[Enrolment S.Y. 2025-2026 ]]*8</f>
        <v>1200</v>
      </c>
      <c r="K26" s="5"/>
      <c r="L26" s="1"/>
      <c r="M26" s="5"/>
      <c r="N26" s="5">
        <f t="shared" si="10"/>
        <v>1200</v>
      </c>
      <c r="O26" s="5">
        <f t="shared" si="11"/>
        <v>0</v>
      </c>
      <c r="P26" s="5">
        <f>Table1[[#This Row],[Enrolment S.Y. 2025-2026 ]]*8</f>
        <v>1200</v>
      </c>
      <c r="Q26" s="5"/>
      <c r="R26" s="1"/>
      <c r="S26" s="5"/>
      <c r="T26" s="5">
        <f t="shared" si="12"/>
        <v>1200</v>
      </c>
      <c r="U26" s="5">
        <f t="shared" si="13"/>
        <v>0</v>
      </c>
      <c r="V26" s="5">
        <f>Table1[[#This Row],[Enrolment S.Y. 2025-2026 ]]*8</f>
        <v>1200</v>
      </c>
      <c r="W26" s="5"/>
      <c r="X26" s="1"/>
      <c r="Y26" s="5"/>
      <c r="Z26" s="5">
        <f t="shared" si="14"/>
        <v>1200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150</v>
      </c>
      <c r="D27" s="5">
        <f>Table1[[#This Row],[Enrolment S.Y. 2025-2026 ]]*8</f>
        <v>1200</v>
      </c>
      <c r="E27" s="5">
        <v>190</v>
      </c>
      <c r="F27" s="1">
        <v>2025</v>
      </c>
      <c r="G27" s="5" t="s">
        <v>63</v>
      </c>
      <c r="H27" s="5">
        <f t="shared" si="2"/>
        <v>1010</v>
      </c>
      <c r="I27" s="5">
        <f t="shared" si="3"/>
        <v>0</v>
      </c>
      <c r="J27" s="5">
        <f>Table1[[#This Row],[Enrolment S.Y. 2025-2026 ]]*8</f>
        <v>1200</v>
      </c>
      <c r="K27" s="5"/>
      <c r="L27" s="1"/>
      <c r="M27" s="5"/>
      <c r="N27" s="5">
        <f t="shared" si="10"/>
        <v>1200</v>
      </c>
      <c r="O27" s="5">
        <f t="shared" si="11"/>
        <v>0</v>
      </c>
      <c r="P27" s="5">
        <f>Table1[[#This Row],[Enrolment S.Y. 2025-2026 ]]*8</f>
        <v>1200</v>
      </c>
      <c r="Q27" s="5"/>
      <c r="R27" s="1"/>
      <c r="S27" s="5"/>
      <c r="T27" s="5">
        <f t="shared" si="12"/>
        <v>1200</v>
      </c>
      <c r="U27" s="5">
        <f t="shared" si="13"/>
        <v>0</v>
      </c>
      <c r="V27" s="5">
        <f>Table1[[#This Row],[Enrolment S.Y. 2025-2026 ]]*8</f>
        <v>1200</v>
      </c>
      <c r="W27" s="5"/>
      <c r="X27" s="1"/>
      <c r="Y27" s="5"/>
      <c r="Z27" s="5">
        <f t="shared" si="14"/>
        <v>1200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150</v>
      </c>
      <c r="D28" s="5">
        <f>Table1[[#This Row],[Enrolment S.Y. 2025-2026 ]]*8</f>
        <v>1200</v>
      </c>
      <c r="E28" s="5">
        <v>190</v>
      </c>
      <c r="F28" s="1">
        <v>2025</v>
      </c>
      <c r="G28" s="5" t="s">
        <v>63</v>
      </c>
      <c r="H28" s="5">
        <f t="shared" si="2"/>
        <v>1010</v>
      </c>
      <c r="I28" s="5">
        <f t="shared" si="3"/>
        <v>0</v>
      </c>
      <c r="J28" s="5">
        <f>Table1[[#This Row],[Enrolment S.Y. 2025-2026 ]]*8</f>
        <v>1200</v>
      </c>
      <c r="K28" s="5"/>
      <c r="L28" s="1"/>
      <c r="M28" s="5"/>
      <c r="N28" s="5">
        <f t="shared" si="10"/>
        <v>1200</v>
      </c>
      <c r="O28" s="5">
        <f t="shared" si="11"/>
        <v>0</v>
      </c>
      <c r="P28" s="5">
        <f>Table1[[#This Row],[Enrolment S.Y. 2025-2026 ]]*8</f>
        <v>1200</v>
      </c>
      <c r="Q28" s="5"/>
      <c r="R28" s="1"/>
      <c r="S28" s="5"/>
      <c r="T28" s="5">
        <f t="shared" si="12"/>
        <v>1200</v>
      </c>
      <c r="U28" s="5">
        <f t="shared" si="13"/>
        <v>0</v>
      </c>
      <c r="V28" s="5">
        <f>Table1[[#This Row],[Enrolment S.Y. 2025-2026 ]]*8</f>
        <v>1200</v>
      </c>
      <c r="W28" s="5"/>
      <c r="X28" s="1"/>
      <c r="Y28" s="5"/>
      <c r="Z28" s="5">
        <f t="shared" si="14"/>
        <v>1200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150</v>
      </c>
      <c r="D29" s="5">
        <f>Table1[[#This Row],[Enrolment S.Y. 2025-2026 ]]*8</f>
        <v>1200</v>
      </c>
      <c r="E29" s="5">
        <v>190</v>
      </c>
      <c r="F29" s="1">
        <v>2025</v>
      </c>
      <c r="G29" s="5" t="s">
        <v>63</v>
      </c>
      <c r="H29" s="5">
        <f>IF((D29-E29)&lt;0,0,(D29-E29))</f>
        <v>1010</v>
      </c>
      <c r="I29" s="5">
        <f>IF((E29-D29)&lt;0,0,(E29-D29))</f>
        <v>0</v>
      </c>
      <c r="J29" s="5">
        <f>Table1[[#This Row],[Enrolment S.Y. 2025-2026 ]]*8</f>
        <v>1200</v>
      </c>
      <c r="K29" s="5"/>
      <c r="L29" s="1"/>
      <c r="M29" s="5"/>
      <c r="N29" s="5">
        <f t="shared" si="10"/>
        <v>1200</v>
      </c>
      <c r="O29" s="5">
        <f t="shared" si="11"/>
        <v>0</v>
      </c>
      <c r="P29" s="5">
        <f>Table1[[#This Row],[Enrolment S.Y. 2025-2026 ]]*8</f>
        <v>1200</v>
      </c>
      <c r="Q29" s="5"/>
      <c r="R29" s="1"/>
      <c r="S29" s="5"/>
      <c r="T29" s="5">
        <f t="shared" si="12"/>
        <v>1200</v>
      </c>
      <c r="U29" s="5">
        <f t="shared" si="13"/>
        <v>0</v>
      </c>
      <c r="V29" s="5">
        <f>Table1[[#This Row],[Enrolment S.Y. 2025-2026 ]]*8</f>
        <v>1200</v>
      </c>
      <c r="W29" s="5"/>
      <c r="X29" s="1"/>
      <c r="Y29" s="5"/>
      <c r="Z29" s="5">
        <f t="shared" si="14"/>
        <v>1200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150</v>
      </c>
      <c r="D30" s="5">
        <f>Table1[[#This Row],[Enrolment S.Y. 2025-2026 ]]*8</f>
        <v>1200</v>
      </c>
      <c r="E30" s="5">
        <v>190</v>
      </c>
      <c r="F30" s="1">
        <v>2025</v>
      </c>
      <c r="G30" s="5" t="s">
        <v>63</v>
      </c>
      <c r="H30" s="5">
        <f>IF((D30-E30)&lt;0,0,(D30-E30))</f>
        <v>1010</v>
      </c>
      <c r="I30" s="5">
        <f>IF((E30-D30)&lt;0,0,(E30-D30))</f>
        <v>0</v>
      </c>
      <c r="J30" s="5">
        <f>Table1[[#This Row],[Enrolment S.Y. 2025-2026 ]]*8</f>
        <v>1200</v>
      </c>
      <c r="K30" s="5"/>
      <c r="L30" s="1"/>
      <c r="M30" s="5"/>
      <c r="N30" s="5">
        <f t="shared" si="10"/>
        <v>1200</v>
      </c>
      <c r="O30" s="5">
        <f t="shared" si="11"/>
        <v>0</v>
      </c>
      <c r="P30" s="5">
        <f>Table1[[#This Row],[Enrolment S.Y. 2025-2026 ]]*8</f>
        <v>1200</v>
      </c>
      <c r="Q30" s="5"/>
      <c r="R30" s="1"/>
      <c r="S30" s="5"/>
      <c r="T30" s="5">
        <f t="shared" si="12"/>
        <v>1200</v>
      </c>
      <c r="U30" s="5">
        <f t="shared" si="13"/>
        <v>0</v>
      </c>
      <c r="V30" s="5">
        <f>Table1[[#This Row],[Enrolment S.Y. 2025-2026 ]]*8</f>
        <v>1200</v>
      </c>
      <c r="W30" s="5"/>
      <c r="X30" s="1"/>
      <c r="Y30" s="5"/>
      <c r="Z30" s="5">
        <f t="shared" si="14"/>
        <v>1200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178</v>
      </c>
      <c r="D43" s="5">
        <f>Table1[[#This Row],[Enrolment S.Y. 2025-2026 ]]*8</f>
        <v>1424</v>
      </c>
      <c r="E43" s="5">
        <v>89</v>
      </c>
      <c r="F43" s="1">
        <v>2025</v>
      </c>
      <c r="G43" s="5" t="s">
        <v>63</v>
      </c>
      <c r="H43" s="5">
        <f t="shared" si="2"/>
        <v>1335</v>
      </c>
      <c r="I43" s="5">
        <f t="shared" si="3"/>
        <v>0</v>
      </c>
      <c r="J43" s="5">
        <f>Table1[[#This Row],[Enrolment S.Y. 2025-2026 ]]*8</f>
        <v>1424</v>
      </c>
      <c r="K43" s="5"/>
      <c r="L43" s="1"/>
      <c r="M43" s="5"/>
      <c r="N43" s="5">
        <f t="shared" si="10"/>
        <v>1424</v>
      </c>
      <c r="O43" s="5">
        <f t="shared" si="11"/>
        <v>0</v>
      </c>
      <c r="P43" s="5">
        <f>Table1[[#This Row],[Enrolment S.Y. 2025-2026 ]]*8</f>
        <v>1424</v>
      </c>
      <c r="Q43" s="5"/>
      <c r="R43" s="1"/>
      <c r="S43" s="5"/>
      <c r="T43" s="5">
        <f t="shared" si="12"/>
        <v>1424</v>
      </c>
      <c r="U43" s="5">
        <f t="shared" si="13"/>
        <v>0</v>
      </c>
      <c r="V43" s="5">
        <f>Table1[[#This Row],[Enrolment S.Y. 2025-2026 ]]*8</f>
        <v>1424</v>
      </c>
      <c r="W43" s="5"/>
      <c r="X43" s="1"/>
      <c r="Y43" s="5"/>
      <c r="Z43" s="5">
        <f t="shared" si="14"/>
        <v>1424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178</v>
      </c>
      <c r="D44" s="5">
        <f>Table1[[#This Row],[Enrolment S.Y. 2025-2026 ]]*8</f>
        <v>1424</v>
      </c>
      <c r="E44" s="5">
        <v>89</v>
      </c>
      <c r="F44" s="1">
        <v>2025</v>
      </c>
      <c r="G44" s="5"/>
      <c r="H44" s="5">
        <f t="shared" si="2"/>
        <v>1335</v>
      </c>
      <c r="I44" s="5">
        <f t="shared" si="3"/>
        <v>0</v>
      </c>
      <c r="J44" s="5">
        <f>Table1[[#This Row],[Enrolment S.Y. 2025-2026 ]]*8</f>
        <v>1424</v>
      </c>
      <c r="K44" s="5"/>
      <c r="L44" s="1"/>
      <c r="M44" s="5"/>
      <c r="N44" s="5">
        <f t="shared" si="10"/>
        <v>1424</v>
      </c>
      <c r="O44" s="5">
        <f t="shared" si="11"/>
        <v>0</v>
      </c>
      <c r="P44" s="5">
        <f>Table1[[#This Row],[Enrolment S.Y. 2025-2026 ]]*8</f>
        <v>1424</v>
      </c>
      <c r="Q44" s="5"/>
      <c r="R44" s="1"/>
      <c r="S44" s="5"/>
      <c r="T44" s="5">
        <f t="shared" si="12"/>
        <v>1424</v>
      </c>
      <c r="U44" s="5">
        <f t="shared" si="13"/>
        <v>0</v>
      </c>
      <c r="V44" s="5">
        <f>Table1[[#This Row],[Enrolment S.Y. 2025-2026 ]]*8</f>
        <v>1424</v>
      </c>
      <c r="W44" s="5"/>
      <c r="X44" s="1"/>
      <c r="Y44" s="5"/>
      <c r="Z44" s="5">
        <f t="shared" si="14"/>
        <v>1424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178</v>
      </c>
      <c r="D46" s="5">
        <f>Table1[[#This Row],[Enrolment S.Y. 2025-2026 ]]*8</f>
        <v>1424</v>
      </c>
      <c r="E46" s="5">
        <v>89</v>
      </c>
      <c r="F46" s="1">
        <v>2025</v>
      </c>
      <c r="G46" s="5" t="s">
        <v>63</v>
      </c>
      <c r="H46" s="5">
        <f t="shared" si="2"/>
        <v>1335</v>
      </c>
      <c r="I46" s="5">
        <f t="shared" si="3"/>
        <v>0</v>
      </c>
      <c r="J46" s="5">
        <f>Table1[[#This Row],[Enrolment S.Y. 2025-2026 ]]*8</f>
        <v>1424</v>
      </c>
      <c r="K46" s="5"/>
      <c r="L46" s="1"/>
      <c r="M46" s="5"/>
      <c r="N46" s="5">
        <f t="shared" si="10"/>
        <v>1424</v>
      </c>
      <c r="O46" s="5">
        <f t="shared" si="11"/>
        <v>0</v>
      </c>
      <c r="P46" s="5">
        <f>Table1[[#This Row],[Enrolment S.Y. 2025-2026 ]]*8</f>
        <v>1424</v>
      </c>
      <c r="Q46" s="5"/>
      <c r="R46" s="1"/>
      <c r="S46" s="5"/>
      <c r="T46" s="5">
        <f t="shared" si="12"/>
        <v>1424</v>
      </c>
      <c r="U46" s="5">
        <f t="shared" si="13"/>
        <v>0</v>
      </c>
      <c r="V46" s="5">
        <f>Table1[[#This Row],[Enrolment S.Y. 2025-2026 ]]*8</f>
        <v>1424</v>
      </c>
      <c r="W46" s="5"/>
      <c r="X46" s="1"/>
      <c r="Y46" s="5"/>
      <c r="Z46" s="5">
        <f t="shared" si="14"/>
        <v>1424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178</v>
      </c>
      <c r="D50" s="5">
        <f>Table1[[#This Row],[Enrolment S.Y. 2025-2026 ]]*8</f>
        <v>1424</v>
      </c>
      <c r="E50" s="5">
        <v>89</v>
      </c>
      <c r="F50" s="1">
        <v>2025</v>
      </c>
      <c r="G50" s="5" t="s">
        <v>63</v>
      </c>
      <c r="H50" s="5">
        <f t="shared" si="2"/>
        <v>1335</v>
      </c>
      <c r="I50" s="5">
        <f t="shared" si="3"/>
        <v>0</v>
      </c>
      <c r="J50" s="5">
        <f>Table1[[#This Row],[Enrolment S.Y. 2025-2026 ]]*8</f>
        <v>1424</v>
      </c>
      <c r="K50" s="5"/>
      <c r="L50" s="1"/>
      <c r="M50" s="5"/>
      <c r="N50" s="5">
        <f t="shared" si="10"/>
        <v>1424</v>
      </c>
      <c r="O50" s="5">
        <f t="shared" si="11"/>
        <v>0</v>
      </c>
      <c r="P50" s="5">
        <f>Table1[[#This Row],[Enrolment S.Y. 2025-2026 ]]*8</f>
        <v>1424</v>
      </c>
      <c r="Q50" s="5"/>
      <c r="R50" s="1"/>
      <c r="S50" s="5"/>
      <c r="T50" s="5">
        <f t="shared" si="12"/>
        <v>1424</v>
      </c>
      <c r="U50" s="5">
        <f t="shared" si="13"/>
        <v>0</v>
      </c>
      <c r="V50" s="5">
        <f>Table1[[#This Row],[Enrolment S.Y. 2025-2026 ]]*8</f>
        <v>1424</v>
      </c>
      <c r="W50" s="5"/>
      <c r="X50" s="1"/>
      <c r="Y50" s="5"/>
      <c r="Z50" s="5">
        <f t="shared" si="14"/>
        <v>1424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49" zoomScale="55" zoomScaleNormal="55" workbookViewId="0">
      <selection activeCell="M55" sqref="M5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188</v>
      </c>
      <c r="D55" s="5">
        <f>Table14[[#This Row],[Enrolment S.Y. 2025-2026 ]]*8</f>
        <v>1504</v>
      </c>
      <c r="E55" s="5">
        <v>58</v>
      </c>
      <c r="F55" s="1">
        <v>2025</v>
      </c>
      <c r="G55" s="5" t="s">
        <v>63</v>
      </c>
      <c r="H55" s="5">
        <f t="shared" si="0"/>
        <v>1446</v>
      </c>
      <c r="I55" s="5">
        <f t="shared" si="1"/>
        <v>0</v>
      </c>
      <c r="J55" s="5">
        <f>Table14[[#This Row],[Enrolment S.Y. 2025-2026 ]]*8</f>
        <v>1504</v>
      </c>
      <c r="K55" s="5">
        <v>45</v>
      </c>
      <c r="L55" s="1">
        <v>2025</v>
      </c>
      <c r="M55" s="5" t="s">
        <v>63</v>
      </c>
      <c r="N55" s="5">
        <f t="shared" si="2"/>
        <v>1459</v>
      </c>
      <c r="O55" s="5">
        <f t="shared" si="3"/>
        <v>0</v>
      </c>
      <c r="P55" s="5">
        <f>Table14[[#This Row],[Enrolment S.Y. 2025-2026 ]]*8</f>
        <v>1504</v>
      </c>
      <c r="Q55" s="5"/>
      <c r="R55" s="1"/>
      <c r="S55" s="5"/>
      <c r="T55" s="5">
        <f t="shared" si="4"/>
        <v>1504</v>
      </c>
      <c r="U55" s="5">
        <f t="shared" si="5"/>
        <v>0</v>
      </c>
      <c r="V55" s="5">
        <f>Table14[[#This Row],[Enrolment S.Y. 2025-2026 ]]*8</f>
        <v>1504</v>
      </c>
      <c r="W55" s="5"/>
      <c r="X55" s="1"/>
      <c r="Y55" s="5"/>
      <c r="Z55" s="5">
        <f t="shared" si="6"/>
        <v>1504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188</v>
      </c>
      <c r="D56" s="5">
        <f>Table14[[#This Row],[Enrolment S.Y. 2025-2026 ]]*8</f>
        <v>1504</v>
      </c>
      <c r="E56" s="5">
        <v>58</v>
      </c>
      <c r="F56" s="1">
        <v>2025</v>
      </c>
      <c r="G56" s="5" t="s">
        <v>63</v>
      </c>
      <c r="H56" s="5">
        <f t="shared" si="0"/>
        <v>1446</v>
      </c>
      <c r="I56" s="5">
        <f t="shared" si="1"/>
        <v>0</v>
      </c>
      <c r="J56" s="5">
        <f>Table14[[#This Row],[Enrolment S.Y. 2025-2026 ]]*8</f>
        <v>1504</v>
      </c>
      <c r="K56" s="5">
        <v>45</v>
      </c>
      <c r="L56" s="1">
        <v>2025</v>
      </c>
      <c r="M56" s="5" t="s">
        <v>63</v>
      </c>
      <c r="N56" s="5">
        <f t="shared" si="2"/>
        <v>1459</v>
      </c>
      <c r="O56" s="5">
        <f t="shared" si="3"/>
        <v>0</v>
      </c>
      <c r="P56" s="5">
        <f>Table14[[#This Row],[Enrolment S.Y. 2025-2026 ]]*8</f>
        <v>1504</v>
      </c>
      <c r="Q56" s="5"/>
      <c r="R56" s="1"/>
      <c r="S56" s="5"/>
      <c r="T56" s="5">
        <f t="shared" si="4"/>
        <v>1504</v>
      </c>
      <c r="U56" s="5">
        <f t="shared" si="5"/>
        <v>0</v>
      </c>
      <c r="V56" s="5">
        <f>Table14[[#This Row],[Enrolment S.Y. 2025-2026 ]]*8</f>
        <v>1504</v>
      </c>
      <c r="W56" s="5"/>
      <c r="X56" s="1"/>
      <c r="Y56" s="5"/>
      <c r="Z56" s="5">
        <f t="shared" si="6"/>
        <v>1504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188</v>
      </c>
      <c r="D57" s="5">
        <f>Table14[[#This Row],[Enrolment S.Y. 2025-2026 ]]*8</f>
        <v>1504</v>
      </c>
      <c r="E57" s="5">
        <v>58</v>
      </c>
      <c r="F57" s="1">
        <v>2025</v>
      </c>
      <c r="G57" s="5" t="s">
        <v>63</v>
      </c>
      <c r="H57" s="5">
        <f t="shared" si="0"/>
        <v>1446</v>
      </c>
      <c r="I57" s="5">
        <f t="shared" si="1"/>
        <v>0</v>
      </c>
      <c r="J57" s="5">
        <f>Table14[[#This Row],[Enrolment S.Y. 2025-2026 ]]*8</f>
        <v>1504</v>
      </c>
      <c r="K57" s="5">
        <v>45</v>
      </c>
      <c r="L57" s="1">
        <v>2025</v>
      </c>
      <c r="M57" s="5" t="s">
        <v>63</v>
      </c>
      <c r="N57" s="5">
        <f t="shared" si="2"/>
        <v>1459</v>
      </c>
      <c r="O57" s="5">
        <f t="shared" si="3"/>
        <v>0</v>
      </c>
      <c r="P57" s="5">
        <f>Table14[[#This Row],[Enrolment S.Y. 2025-2026 ]]*8</f>
        <v>1504</v>
      </c>
      <c r="Q57" s="5"/>
      <c r="R57" s="1"/>
      <c r="S57" s="5"/>
      <c r="T57" s="5">
        <f t="shared" si="4"/>
        <v>1504</v>
      </c>
      <c r="U57" s="5">
        <f t="shared" si="5"/>
        <v>0</v>
      </c>
      <c r="V57" s="5">
        <f>Table14[[#This Row],[Enrolment S.Y. 2025-2026 ]]*8</f>
        <v>1504</v>
      </c>
      <c r="W57" s="5"/>
      <c r="X57" s="1"/>
      <c r="Y57" s="5"/>
      <c r="Z57" s="5">
        <f t="shared" si="6"/>
        <v>1504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ANITA DEATO</cp:lastModifiedBy>
  <cp:revision/>
  <dcterms:created xsi:type="dcterms:W3CDTF">2025-11-19T20:48:15Z</dcterms:created>
  <dcterms:modified xsi:type="dcterms:W3CDTF">2026-01-09T08:14:20Z</dcterms:modified>
  <cp:category/>
  <cp:contentStatus/>
</cp:coreProperties>
</file>