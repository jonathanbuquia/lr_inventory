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04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9" documentId="13_ncr:1_{BFB59F67-F0DC-4675-A682-EB0734A8026A}" xr6:coauthVersionLast="47" xr6:coauthVersionMax="47" xr10:uidLastSave="{698C5A8E-15E2-46C9-B5D7-EF33879F8B79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4" i="5" l="1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D109" i="5"/>
  <c r="D88" i="5"/>
  <c r="H88" i="5" s="1"/>
  <c r="J88" i="5"/>
  <c r="T88" i="5"/>
  <c r="V88" i="5"/>
  <c r="Z88" i="5" s="1"/>
  <c r="D100" i="5"/>
  <c r="D97" i="5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D122" i="5"/>
  <c r="D121" i="5"/>
  <c r="D120" i="5"/>
  <c r="D119" i="5"/>
  <c r="D118" i="5"/>
  <c r="D117" i="5"/>
  <c r="D116" i="5"/>
  <c r="D115" i="5"/>
  <c r="D113" i="5"/>
  <c r="D111" i="5"/>
  <c r="D110" i="5"/>
  <c r="D108" i="5"/>
  <c r="D107" i="5"/>
  <c r="D106" i="5"/>
  <c r="D105" i="5"/>
  <c r="D104" i="5"/>
  <c r="D103" i="5"/>
  <c r="D101" i="5"/>
  <c r="D99" i="5"/>
  <c r="D98" i="5"/>
  <c r="D96" i="5"/>
  <c r="D95" i="5"/>
  <c r="D94" i="5"/>
  <c r="D93" i="5"/>
  <c r="D92" i="5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88" i="5"/>
  <c r="O88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U85" i="5"/>
  <c r="I88" i="5"/>
  <c r="AA88" i="5"/>
  <c r="U76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I37" i="5"/>
  <c r="AA37" i="5"/>
  <c r="I75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T22" i="5"/>
  <c r="O32" i="5"/>
  <c r="AA33" i="5"/>
  <c r="Z47" i="5"/>
  <c r="T53" i="5"/>
  <c r="I70" i="5"/>
  <c r="H21" i="5"/>
  <c r="Z29" i="5"/>
  <c r="I45" i="5"/>
  <c r="T71" i="5"/>
  <c r="H81" i="5"/>
  <c r="AA82" i="5"/>
  <c r="H87" i="5"/>
  <c r="T28" i="5"/>
  <c r="AA32" i="5"/>
  <c r="O34" i="5"/>
  <c r="Z46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O80" i="5"/>
  <c r="H86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N3" i="5"/>
  <c r="Z8" i="5"/>
  <c r="O15" i="5"/>
  <c r="N21" i="5"/>
  <c r="Z26" i="5"/>
  <c r="Z28" i="5"/>
  <c r="I43" i="5"/>
  <c r="T48" i="5"/>
  <c r="T62" i="5"/>
  <c r="T65" i="5"/>
  <c r="T75" i="5"/>
  <c r="H89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O59" i="5"/>
  <c r="N59" i="5"/>
  <c r="T34" i="5"/>
  <c r="T45" i="5"/>
  <c r="O55" i="5"/>
  <c r="N55" i="5"/>
  <c r="T59" i="5"/>
  <c r="O60" i="5"/>
  <c r="T67" i="5"/>
  <c r="U82" i="5"/>
  <c r="T82" i="5"/>
  <c r="U84" i="5"/>
  <c r="T84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O31" i="5"/>
  <c r="N31" i="5"/>
  <c r="O57" i="5"/>
  <c r="N57" i="5"/>
  <c r="O79" i="5"/>
  <c r="N79" i="5"/>
  <c r="Z83" i="5"/>
  <c r="U91" i="5"/>
  <c r="T91" i="5"/>
  <c r="N81" i="5"/>
  <c r="N83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<sst xmlns="http://schemas.openxmlformats.org/spreadsheetml/2006/main" count="433" uniqueCount="92">
  <si>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</si>
  <si>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</si>
  <si>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</si>
  <si>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</si>
  <si>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</si>
  <si>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</si>
  <si>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</si>
  <si>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</si>
  <si>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</si>
  <si>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</si>
  <si>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</si>
  <si>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</si>
  <si>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</si>
  <si>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</si>
  <si>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</si>
  <si>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</si>
  <si>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</si>
  <si>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</si>
  <si>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</si>
  <si>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</si>
  <si>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RO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</si>
  <si>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</si>
  <si>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</si>
  <si>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</si>
  <si>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</si>
  <si>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</si>
  <si>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</si>
  <si>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</si>
  <si>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</si>
  <si>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</si>
  <si>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</si>
  <si>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</si>
  <si>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</si>
  <si>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</si>
  <si>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</si>
  <si>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</si>
  <si>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</si>
  <si>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</si>
  <si>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</si>
  <si>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</si>
  <si>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</si>
  <si>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</si>
  <si>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</si>
  <si>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</si>
  <si>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</si>
  <si>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</si>
  <si>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</si>
  <si>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</si>
  <si>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</si>
  <si>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</si>
  <si>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</si>
  <si>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</si>
  <si>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</si>
  <si>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</si>
  <si>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</si>
  <si>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</si>
  <si>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</si>
  <si>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</si>
  <si>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</si>
  <si>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</si>
  <si>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</si>
  <si>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</si>
  <si>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</si>
  <si>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>SDO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</si>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</sst>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85" activePane="topRight" state="frozen"/>
      <selection pane="topRight" activeCell="D89" sqref="D8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452</v>
      </c>
      <c r="D51" s="10">
        <v>517</v>
      </c>
      <c r="E51" s="10">
        <v>2025</v>
      </c>
      <c r="F51" s="12" t="s">
        <v>20</v>
      </c>
      <c r="G51" s="3">
        <f t="shared" ref="G51:G59" si="10">IF((C51-D51)&lt;0,0,C51-D51)</f>
        <v>0</v>
      </c>
      <c r="H51" s="4">
        <f t="shared" ref="H51:H59" si="11">IF((D51-C51)&lt;0,0,D51-C51)</f>
        <v>65</v>
      </c>
    </row>
    <row r="52" spans="1:8" ht="27.75" customHeight="1">
      <c r="A52" s="10">
        <v>7</v>
      </c>
      <c r="B52" s="11" t="s">
        <v>15</v>
      </c>
      <c r="C52" s="10">
        <v>0</v>
      </c>
      <c r="D52" s="10">
        <v>0</v>
      </c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452</v>
      </c>
      <c r="D53" s="10">
        <v>517</v>
      </c>
      <c r="E53" s="10">
        <v>2024</v>
      </c>
      <c r="F53" s="12" t="s">
        <v>20</v>
      </c>
      <c r="G53" s="3">
        <f t="shared" si="10"/>
        <v>0</v>
      </c>
      <c r="H53" s="4">
        <f t="shared" si="11"/>
        <v>65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452</v>
      </c>
      <c r="D55" s="10">
        <v>517</v>
      </c>
      <c r="E55" s="10">
        <v>2025</v>
      </c>
      <c r="F55" s="12" t="s">
        <v>20</v>
      </c>
      <c r="G55" s="3">
        <f t="shared" si="10"/>
        <v>0</v>
      </c>
      <c r="H55" s="4">
        <f t="shared" si="11"/>
        <v>65</v>
      </c>
    </row>
    <row r="56" spans="1:8" ht="27.75" customHeight="1">
      <c r="A56" s="10">
        <v>7</v>
      </c>
      <c r="B56" s="11" t="s">
        <v>13</v>
      </c>
      <c r="C56" s="10">
        <v>452</v>
      </c>
      <c r="D56" s="10">
        <v>517</v>
      </c>
      <c r="E56" s="10">
        <v>2024</v>
      </c>
      <c r="F56" s="12" t="s">
        <v>20</v>
      </c>
      <c r="G56" s="3">
        <f t="shared" si="10"/>
        <v>0</v>
      </c>
      <c r="H56" s="4">
        <f t="shared" si="11"/>
        <v>65</v>
      </c>
    </row>
    <row r="57" spans="1:8" ht="27.75" customHeight="1">
      <c r="A57" s="10">
        <v>7</v>
      </c>
      <c r="B57" s="11" t="s">
        <v>17</v>
      </c>
      <c r="C57" s="10">
        <v>452</v>
      </c>
      <c r="D57" s="10">
        <v>517</v>
      </c>
      <c r="E57" s="10">
        <v>2025</v>
      </c>
      <c r="F57" s="12" t="s">
        <v>20</v>
      </c>
      <c r="G57" s="3">
        <f t="shared" si="10"/>
        <v>0</v>
      </c>
      <c r="H57" s="4">
        <f t="shared" si="11"/>
        <v>65</v>
      </c>
    </row>
    <row r="58" spans="1:8" ht="27.75" customHeight="1">
      <c r="A58" s="10">
        <v>7</v>
      </c>
      <c r="B58" s="11" t="s">
        <v>22</v>
      </c>
      <c r="C58" s="10">
        <v>452</v>
      </c>
      <c r="D58" s="10">
        <v>517</v>
      </c>
      <c r="E58" s="10">
        <v>2025</v>
      </c>
      <c r="F58" s="12" t="s">
        <v>20</v>
      </c>
      <c r="G58" s="3">
        <f t="shared" si="10"/>
        <v>0</v>
      </c>
      <c r="H58" s="4">
        <f t="shared" si="11"/>
        <v>65</v>
      </c>
    </row>
    <row r="59" spans="1:8" ht="27.75" customHeight="1">
      <c r="A59" s="10">
        <v>7</v>
      </c>
      <c r="B59" s="11" t="s">
        <v>19</v>
      </c>
      <c r="C59" s="10">
        <v>452</v>
      </c>
      <c r="D59" s="10">
        <v>517</v>
      </c>
      <c r="E59" s="10">
        <v>2025</v>
      </c>
      <c r="F59" s="12"/>
      <c r="G59" s="3">
        <f t="shared" si="10"/>
        <v>0</v>
      </c>
      <c r="H59" s="4">
        <f t="shared" si="11"/>
        <v>65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452</v>
      </c>
      <c r="D63" s="10">
        <v>454</v>
      </c>
      <c r="E63" s="10">
        <v>2025</v>
      </c>
      <c r="F63" s="12" t="s">
        <v>20</v>
      </c>
      <c r="G63" s="3">
        <f t="shared" si="12"/>
        <v>0</v>
      </c>
      <c r="H63" s="4">
        <f t="shared" si="13"/>
        <v>2</v>
      </c>
    </row>
    <row r="64" spans="1:8" ht="27.75" customHeight="1">
      <c r="A64" s="10">
        <v>8</v>
      </c>
      <c r="B64" s="11" t="s">
        <v>21</v>
      </c>
      <c r="C64" s="10">
        <v>452</v>
      </c>
      <c r="D64" s="10">
        <v>454</v>
      </c>
      <c r="E64" s="10">
        <v>2025</v>
      </c>
      <c r="F64" s="12" t="s">
        <v>20</v>
      </c>
      <c r="G64" s="3">
        <f t="shared" si="12"/>
        <v>0</v>
      </c>
      <c r="H64" s="4">
        <f t="shared" si="13"/>
        <v>2</v>
      </c>
    </row>
    <row r="65" spans="1:8" ht="27.75" customHeight="1">
      <c r="A65" s="10">
        <v>8</v>
      </c>
      <c r="B65" s="11" t="s">
        <v>23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22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23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22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23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22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24</v>
      </c>
      <c r="B91" s="9" t="s">
        <v>25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24</v>
      </c>
      <c r="B92" s="9" t="s">
        <v>26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24</v>
      </c>
      <c r="B93" s="9" t="s">
        <v>27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24</v>
      </c>
      <c r="B94" s="9" t="s">
        <v>28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24</v>
      </c>
      <c r="B95" s="9" t="s">
        <v>29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24</v>
      </c>
      <c r="B96" s="9" t="s">
        <v>30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24</v>
      </c>
      <c r="B97" s="9" t="s">
        <v>31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24</v>
      </c>
      <c r="B98" s="9" t="s">
        <v>32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69" zoomScale="70" zoomScaleNormal="70" workbookViewId="0">
      <selection activeCell="G80" sqref="G80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37</v>
      </c>
      <c r="E2" s="20" t="s">
        <v>38</v>
      </c>
      <c r="F2" s="21" t="s">
        <v>39</v>
      </c>
      <c r="G2" s="24" t="s">
        <v>40</v>
      </c>
      <c r="H2" s="17" t="s">
        <v>41</v>
      </c>
      <c r="I2" s="24" t="s">
        <v>42</v>
      </c>
      <c r="J2" s="22" t="s">
        <v>43</v>
      </c>
      <c r="K2" s="22" t="s">
        <v>44</v>
      </c>
      <c r="L2" s="23" t="s">
        <v>45</v>
      </c>
      <c r="M2" s="40" t="s">
        <v>46</v>
      </c>
      <c r="N2" s="40" t="s">
        <v>47</v>
      </c>
      <c r="O2" s="22" t="s">
        <v>48</v>
      </c>
      <c r="P2" s="24" t="s">
        <v>49</v>
      </c>
      <c r="Q2" s="24" t="s">
        <v>50</v>
      </c>
      <c r="R2" s="25" t="s">
        <v>51</v>
      </c>
      <c r="S2" s="17" t="s">
        <v>52</v>
      </c>
      <c r="T2" s="17" t="s">
        <v>53</v>
      </c>
      <c r="U2" s="24" t="s">
        <v>54</v>
      </c>
      <c r="V2" s="26" t="s">
        <v>55</v>
      </c>
      <c r="W2" s="26" t="s">
        <v>56</v>
      </c>
      <c r="X2" s="27" t="s">
        <v>57</v>
      </c>
      <c r="Y2" s="41" t="s">
        <v>58</v>
      </c>
      <c r="Z2" s="41" t="s">
        <v>59</v>
      </c>
      <c r="AA2" s="26" t="s">
        <v>60</v>
      </c>
    </row>
    <row r="3" spans="1:27" ht="30.6" customHeight="1">
      <c r="A3" s="39" t="s">
        <v>61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62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62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62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22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5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>
        <v>53</v>
      </c>
      <c r="F73" s="10">
        <v>2025</v>
      </c>
      <c r="G73" s="12" t="s">
        <v>63</v>
      </c>
      <c r="H73" s="12">
        <f t="shared" si="2"/>
        <v>0</v>
      </c>
      <c r="I73" s="12">
        <f t="shared" si="3"/>
        <v>53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5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>
        <v>53</v>
      </c>
      <c r="F74" s="10">
        <v>2025</v>
      </c>
      <c r="G74" s="12" t="s">
        <v>63</v>
      </c>
      <c r="H74" s="12">
        <f t="shared" si="2"/>
        <v>0</v>
      </c>
      <c r="I74" s="12">
        <f t="shared" si="3"/>
        <v>53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5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>
        <v>53</v>
      </c>
      <c r="F75" s="10">
        <v>2025</v>
      </c>
      <c r="G75" s="12" t="s">
        <v>63</v>
      </c>
      <c r="H75" s="12">
        <f t="shared" si="2"/>
        <v>0</v>
      </c>
      <c r="I75" s="12">
        <f t="shared" si="3"/>
        <v>53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5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>
        <v>53</v>
      </c>
      <c r="F76" s="10">
        <v>2025</v>
      </c>
      <c r="G76" s="12" t="s">
        <v>63</v>
      </c>
      <c r="H76" s="12">
        <f t="shared" si="2"/>
        <v>0</v>
      </c>
      <c r="I76" s="12">
        <f t="shared" si="3"/>
        <v>53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5">
      <c r="A77" s="10">
        <v>8</v>
      </c>
      <c r="B77" s="11" t="s">
        <v>23</v>
      </c>
      <c r="C77" s="10"/>
      <c r="D77" s="12">
        <f>Table1[[#This Row],[Enrolment S.Y. 2025-2026 ]]*8</f>
        <v>0</v>
      </c>
      <c r="E77" s="12">
        <v>53</v>
      </c>
      <c r="F77" s="10">
        <v>2025</v>
      </c>
      <c r="G77" s="12" t="s">
        <v>63</v>
      </c>
      <c r="H77" s="12">
        <f t="shared" si="2"/>
        <v>0</v>
      </c>
      <c r="I77" s="12">
        <f t="shared" si="3"/>
        <v>53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5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>
        <v>53</v>
      </c>
      <c r="F78" s="10">
        <v>2025</v>
      </c>
      <c r="G78" s="12" t="s">
        <v>63</v>
      </c>
      <c r="H78" s="12">
        <f t="shared" ref="H78:H127" si="22">IF((D78-E78)&lt;0,0,(D78-E78))</f>
        <v>0</v>
      </c>
      <c r="I78" s="12">
        <f t="shared" ref="I78:I127" si="23">IF((E78-D78)&lt;0,0,(E78-D78))</f>
        <v>53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5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>
        <v>53</v>
      </c>
      <c r="F79" s="10">
        <v>2025</v>
      </c>
      <c r="G79" s="12" t="s">
        <v>63</v>
      </c>
      <c r="H79" s="12">
        <f t="shared" si="22"/>
        <v>0</v>
      </c>
      <c r="I79" s="12">
        <f t="shared" si="23"/>
        <v>53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5">
      <c r="A80" s="10">
        <v>8</v>
      </c>
      <c r="B80" s="11" t="s">
        <v>22</v>
      </c>
      <c r="C80" s="10"/>
      <c r="D80" s="12">
        <f>Table1[[#This Row],[Enrolment S.Y. 2025-2026 ]]*8</f>
        <v>0</v>
      </c>
      <c r="E80" s="12">
        <v>53</v>
      </c>
      <c r="F80" s="10">
        <v>2025</v>
      </c>
      <c r="G80" s="12" t="s">
        <v>63</v>
      </c>
      <c r="H80" s="12">
        <f t="shared" si="22"/>
        <v>0</v>
      </c>
      <c r="I80" s="12">
        <f t="shared" si="23"/>
        <v>53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5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>
        <v>53</v>
      </c>
      <c r="F81" s="10">
        <v>2025</v>
      </c>
      <c r="G81" s="12" t="s">
        <v>63</v>
      </c>
      <c r="H81" s="12">
        <f t="shared" si="22"/>
        <v>0</v>
      </c>
      <c r="I81" s="12">
        <f t="shared" si="23"/>
        <v>53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23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22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23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22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24</v>
      </c>
      <c r="B103" s="9" t="s">
        <v>25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24</v>
      </c>
      <c r="B104" s="9" t="s">
        <v>26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24</v>
      </c>
      <c r="B105" s="9" t="s">
        <v>27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24</v>
      </c>
      <c r="B106" s="9" t="s">
        <v>28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24</v>
      </c>
      <c r="B107" s="9" t="s">
        <v>29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24</v>
      </c>
      <c r="B108" s="9" t="s">
        <v>30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24</v>
      </c>
      <c r="B109" s="9" t="s">
        <v>31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24</v>
      </c>
      <c r="B110" s="9" t="s">
        <v>32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 D73:F81" name="LAS"/>
    <protectedRange sqref="G2:I3 M2:O2 S2:U3 Y2:AA3 G112:G127 M112:M127 S112:S127 Y112:Y127 G5:G12 M5:M12 S4:S110 Y5:Y12 G14:G21 M14:M110 M3 Y14:Y110 G23:G31 G33:G41 G43:G51 G53:G61 G63:G71 G83:G91 G93:G101 G103:G110 G73:G81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X112:X127 F53:F61 F5:F12 F83:F91 F93:F101 F14:F21 F103:F110 R103:R110 L103:L110 X103:X110 F73:F81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103:G110 G83:G91 G93:G101 G73:G8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abSelected="1" topLeftCell="P133" zoomScale="55" zoomScaleNormal="55" workbookViewId="0">
      <selection activeCell="Y112" sqref="Y112:Y11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33</v>
      </c>
      <c r="E1" s="42"/>
      <c r="F1" s="42"/>
      <c r="G1" s="42"/>
      <c r="H1" s="42"/>
      <c r="I1" s="42"/>
      <c r="J1" s="43" t="s">
        <v>34</v>
      </c>
      <c r="K1" s="43"/>
      <c r="L1" s="43"/>
      <c r="M1" s="43"/>
      <c r="N1" s="43"/>
      <c r="O1" s="43"/>
      <c r="P1" s="44" t="s">
        <v>35</v>
      </c>
      <c r="Q1" s="44"/>
      <c r="R1" s="44"/>
      <c r="S1" s="44"/>
      <c r="T1" s="44"/>
      <c r="U1" s="44"/>
      <c r="V1" s="45" t="s">
        <v>36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62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62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62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22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23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22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5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>
        <v>102</v>
      </c>
      <c r="F92" s="10">
        <v>2025</v>
      </c>
      <c r="G92" s="12" t="s">
        <v>63</v>
      </c>
      <c r="H92" s="12">
        <v>0</v>
      </c>
      <c r="I92" s="12">
        <v>102</v>
      </c>
      <c r="J92" s="12">
        <v>0</v>
      </c>
      <c r="K92" s="12">
        <v>560</v>
      </c>
      <c r="L92" s="10">
        <v>2025</v>
      </c>
      <c r="M92" s="12" t="s">
        <v>63</v>
      </c>
      <c r="N92" s="12">
        <v>0</v>
      </c>
      <c r="O92" s="12">
        <v>560</v>
      </c>
      <c r="P92" s="12">
        <v>0</v>
      </c>
      <c r="Q92" s="12"/>
      <c r="R92" s="10"/>
      <c r="S92" s="12"/>
      <c r="T92" s="12">
        <v>0</v>
      </c>
      <c r="U92" s="12">
        <v>0</v>
      </c>
      <c r="V92" s="12">
        <v>0</v>
      </c>
      <c r="W92" s="12">
        <v>560</v>
      </c>
      <c r="X92" s="10">
        <v>2025</v>
      </c>
      <c r="Y92" s="12" t="s">
        <v>63</v>
      </c>
      <c r="Z92" s="12">
        <v>0</v>
      </c>
      <c r="AA92" s="12">
        <v>560</v>
      </c>
    </row>
    <row r="93" spans="1:27" ht="19.5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>
        <v>391</v>
      </c>
      <c r="F93" s="10">
        <v>2025</v>
      </c>
      <c r="G93" s="12" t="s">
        <v>63</v>
      </c>
      <c r="H93" s="12">
        <v>0</v>
      </c>
      <c r="I93" s="12">
        <v>391</v>
      </c>
      <c r="J93" s="12">
        <v>0</v>
      </c>
      <c r="K93" s="12">
        <v>800</v>
      </c>
      <c r="L93" s="10">
        <v>2025</v>
      </c>
      <c r="M93" s="12" t="s">
        <v>63</v>
      </c>
      <c r="N93" s="12">
        <v>0</v>
      </c>
      <c r="O93" s="12">
        <v>800</v>
      </c>
      <c r="P93" s="12">
        <v>0</v>
      </c>
      <c r="Q93" s="12">
        <v>1280</v>
      </c>
      <c r="R93" s="10">
        <v>2025</v>
      </c>
      <c r="S93" s="12" t="s">
        <v>63</v>
      </c>
      <c r="T93" s="12">
        <v>0</v>
      </c>
      <c r="U93" s="12">
        <v>1280</v>
      </c>
      <c r="V93" s="12">
        <v>0</v>
      </c>
      <c r="W93" s="12">
        <v>720</v>
      </c>
      <c r="X93" s="10">
        <v>2025</v>
      </c>
      <c r="Y93" s="12" t="s">
        <v>63</v>
      </c>
      <c r="Z93" s="12">
        <v>0</v>
      </c>
      <c r="AA93" s="12">
        <v>720</v>
      </c>
    </row>
    <row r="94" spans="1:27" ht="19.5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v>0</v>
      </c>
      <c r="I94" s="12">
        <v>0</v>
      </c>
      <c r="J94" s="12">
        <v>0</v>
      </c>
      <c r="K94" s="12"/>
      <c r="L94" s="10"/>
      <c r="M94" s="12"/>
      <c r="N94" s="12">
        <v>0</v>
      </c>
      <c r="O94" s="12">
        <v>0</v>
      </c>
      <c r="P94" s="12">
        <v>0</v>
      </c>
      <c r="Q94" s="12">
        <v>400</v>
      </c>
      <c r="R94" s="10">
        <v>2025</v>
      </c>
      <c r="S94" s="12" t="s">
        <v>63</v>
      </c>
      <c r="T94" s="12">
        <v>0</v>
      </c>
      <c r="U94" s="12">
        <v>400</v>
      </c>
      <c r="V94" s="12">
        <v>0</v>
      </c>
      <c r="W94" s="12">
        <v>640</v>
      </c>
      <c r="X94" s="10">
        <v>2025</v>
      </c>
      <c r="Y94" s="12" t="s">
        <v>63</v>
      </c>
      <c r="Z94" s="12">
        <v>0</v>
      </c>
      <c r="AA94" s="12">
        <v>640</v>
      </c>
    </row>
    <row r="95" spans="1:27" ht="19.5">
      <c r="A95" s="10">
        <v>9</v>
      </c>
      <c r="B95" s="11" t="s">
        <v>23</v>
      </c>
      <c r="C95" s="10"/>
      <c r="D95" s="12">
        <f>Table14[[#This Row],[Enrolment S.Y. 2025-2026 ]]*8</f>
        <v>0</v>
      </c>
      <c r="E95" s="12"/>
      <c r="F95" s="10"/>
      <c r="G95" s="12"/>
      <c r="H95" s="12">
        <v>0</v>
      </c>
      <c r="I95" s="12">
        <v>0</v>
      </c>
      <c r="J95" s="12">
        <v>0</v>
      </c>
      <c r="K95" s="12"/>
      <c r="L95" s="10"/>
      <c r="M95" s="12"/>
      <c r="N95" s="12">
        <v>0</v>
      </c>
      <c r="O95" s="12">
        <v>0</v>
      </c>
      <c r="P95" s="12">
        <v>0</v>
      </c>
      <c r="Q95" s="12">
        <v>480</v>
      </c>
      <c r="R95" s="10">
        <v>2025</v>
      </c>
      <c r="S95" s="12" t="s">
        <v>63</v>
      </c>
      <c r="T95" s="12">
        <v>0</v>
      </c>
      <c r="U95" s="12">
        <v>480</v>
      </c>
      <c r="V95" s="12">
        <v>0</v>
      </c>
      <c r="W95" s="12">
        <v>320</v>
      </c>
      <c r="X95" s="10">
        <v>2025</v>
      </c>
      <c r="Y95" s="12" t="s">
        <v>63</v>
      </c>
      <c r="Z95" s="12">
        <v>0</v>
      </c>
      <c r="AA95" s="12">
        <v>320</v>
      </c>
    </row>
    <row r="96" spans="1:27" ht="19.5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v>0</v>
      </c>
      <c r="I96" s="12">
        <v>0</v>
      </c>
      <c r="J96" s="12">
        <v>0</v>
      </c>
      <c r="K96" s="12"/>
      <c r="L96" s="10"/>
      <c r="M96" s="12"/>
      <c r="N96" s="12">
        <v>0</v>
      </c>
      <c r="O96" s="12">
        <v>0</v>
      </c>
      <c r="P96" s="12">
        <v>0</v>
      </c>
      <c r="Q96" s="12"/>
      <c r="R96" s="10"/>
      <c r="S96" s="12"/>
      <c r="T96" s="12">
        <v>0</v>
      </c>
      <c r="U96" s="12">
        <v>0</v>
      </c>
      <c r="V96" s="12">
        <v>0</v>
      </c>
      <c r="W96" s="12"/>
      <c r="X96" s="10"/>
      <c r="Y96" s="12"/>
      <c r="Z96" s="12">
        <v>0</v>
      </c>
      <c r="AA96" s="12">
        <v>0</v>
      </c>
    </row>
    <row r="97" spans="1:27" ht="19.5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v>0</v>
      </c>
      <c r="I97" s="12">
        <v>0</v>
      </c>
      <c r="J97" s="12">
        <v>0</v>
      </c>
      <c r="K97" s="12"/>
      <c r="L97" s="10"/>
      <c r="M97" s="12"/>
      <c r="N97" s="12">
        <v>0</v>
      </c>
      <c r="O97" s="12">
        <v>0</v>
      </c>
      <c r="P97" s="12">
        <v>0</v>
      </c>
      <c r="Q97" s="12"/>
      <c r="R97" s="10"/>
      <c r="S97" s="12"/>
      <c r="T97" s="12">
        <v>0</v>
      </c>
      <c r="U97" s="12">
        <v>0</v>
      </c>
      <c r="V97" s="12">
        <v>0</v>
      </c>
      <c r="W97" s="12"/>
      <c r="X97" s="10"/>
      <c r="Y97" s="12"/>
      <c r="Z97" s="12">
        <v>0</v>
      </c>
      <c r="AA97" s="12">
        <v>0</v>
      </c>
    </row>
    <row r="98" spans="1:27" ht="19.5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v>0</v>
      </c>
      <c r="I98" s="12">
        <v>0</v>
      </c>
      <c r="J98" s="12">
        <v>0</v>
      </c>
      <c r="K98" s="12"/>
      <c r="L98" s="10"/>
      <c r="M98" s="12"/>
      <c r="N98" s="12">
        <v>0</v>
      </c>
      <c r="O98" s="12">
        <v>0</v>
      </c>
      <c r="P98" s="12">
        <v>0</v>
      </c>
      <c r="Q98" s="12"/>
      <c r="R98" s="10"/>
      <c r="S98" s="12"/>
      <c r="T98" s="12">
        <v>0</v>
      </c>
      <c r="U98" s="12">
        <v>0</v>
      </c>
      <c r="V98" s="12">
        <v>0</v>
      </c>
      <c r="W98" s="12">
        <v>640</v>
      </c>
      <c r="X98" s="10">
        <v>2025</v>
      </c>
      <c r="Y98" s="12" t="s">
        <v>63</v>
      </c>
      <c r="Z98" s="12">
        <v>0</v>
      </c>
      <c r="AA98" s="12">
        <v>640</v>
      </c>
    </row>
    <row r="99" spans="1:27" ht="19.5">
      <c r="A99" s="10">
        <v>9</v>
      </c>
      <c r="B99" s="11" t="s">
        <v>22</v>
      </c>
      <c r="C99" s="10"/>
      <c r="D99" s="12">
        <f>Table14[[#This Row],[Enrolment S.Y. 2025-2026 ]]*8</f>
        <v>0</v>
      </c>
      <c r="E99" s="12"/>
      <c r="F99" s="10"/>
      <c r="G99" s="12"/>
      <c r="H99" s="12">
        <v>0</v>
      </c>
      <c r="I99" s="12">
        <v>0</v>
      </c>
      <c r="J99" s="12">
        <v>0</v>
      </c>
      <c r="K99" s="12"/>
      <c r="L99" s="10"/>
      <c r="M99" s="12"/>
      <c r="N99" s="12">
        <v>0</v>
      </c>
      <c r="O99" s="12">
        <v>0</v>
      </c>
      <c r="P99" s="12">
        <v>0</v>
      </c>
      <c r="Q99" s="12"/>
      <c r="R99" s="10"/>
      <c r="S99" s="12"/>
      <c r="T99" s="12">
        <v>0</v>
      </c>
      <c r="U99" s="12">
        <v>0</v>
      </c>
      <c r="V99" s="12">
        <v>0</v>
      </c>
      <c r="W99" s="12"/>
      <c r="X99" s="10"/>
      <c r="Y99" s="12"/>
      <c r="Z99" s="12">
        <v>0</v>
      </c>
      <c r="AA99" s="12">
        <v>0</v>
      </c>
    </row>
    <row r="100" spans="1:27" ht="19.5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v>0</v>
      </c>
      <c r="I100" s="12">
        <v>0</v>
      </c>
      <c r="J100" s="12">
        <v>0</v>
      </c>
      <c r="K100" s="12"/>
      <c r="L100" s="10"/>
      <c r="M100" s="12"/>
      <c r="N100" s="12">
        <v>0</v>
      </c>
      <c r="O100" s="12">
        <v>0</v>
      </c>
      <c r="P100" s="12">
        <v>0</v>
      </c>
      <c r="Q100" s="12"/>
      <c r="R100" s="10"/>
      <c r="S100" s="12"/>
      <c r="T100" s="12">
        <v>0</v>
      </c>
      <c r="U100" s="12">
        <v>0</v>
      </c>
      <c r="V100" s="12">
        <v>0</v>
      </c>
      <c r="W100" s="12"/>
      <c r="X100" s="10"/>
      <c r="Y100" s="12"/>
      <c r="Z100" s="12">
        <v>0</v>
      </c>
      <c r="AA100" s="12">
        <v>0</v>
      </c>
    </row>
    <row r="101" spans="1:27" ht="19.5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v>0</v>
      </c>
      <c r="I101" s="12">
        <v>0</v>
      </c>
      <c r="J101" s="12">
        <v>0</v>
      </c>
      <c r="K101" s="12"/>
      <c r="L101" s="10"/>
      <c r="M101" s="12"/>
      <c r="N101" s="12">
        <v>0</v>
      </c>
      <c r="O101" s="12">
        <v>0</v>
      </c>
      <c r="P101" s="12">
        <v>0</v>
      </c>
      <c r="Q101" s="12">
        <v>240</v>
      </c>
      <c r="R101" s="10">
        <v>2025</v>
      </c>
      <c r="S101" s="12" t="s">
        <v>63</v>
      </c>
      <c r="T101" s="12">
        <v>0</v>
      </c>
      <c r="U101" s="12">
        <v>240</v>
      </c>
      <c r="V101" s="12">
        <v>0</v>
      </c>
      <c r="W101" s="12">
        <v>400</v>
      </c>
      <c r="X101" s="10">
        <v>2025</v>
      </c>
      <c r="Y101" s="12" t="s">
        <v>63</v>
      </c>
      <c r="Z101" s="12">
        <v>0</v>
      </c>
      <c r="AA101" s="12">
        <v>400</v>
      </c>
    </row>
    <row r="102" spans="1:27" s="7" customFormat="1"/>
    <row r="103" spans="1:27" ht="19.5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>
        <v>112</v>
      </c>
      <c r="F103" s="10">
        <v>2025</v>
      </c>
      <c r="G103" s="12" t="s">
        <v>63</v>
      </c>
      <c r="H103" s="12">
        <v>0</v>
      </c>
      <c r="I103" s="12">
        <v>112</v>
      </c>
      <c r="J103" s="12">
        <v>0</v>
      </c>
      <c r="K103" s="12">
        <v>616</v>
      </c>
      <c r="L103" s="10">
        <v>2025</v>
      </c>
      <c r="M103" s="12" t="s">
        <v>63</v>
      </c>
      <c r="N103" s="12">
        <v>0</v>
      </c>
      <c r="O103" s="12">
        <v>616</v>
      </c>
      <c r="P103" s="12">
        <v>0</v>
      </c>
      <c r="Q103" s="12"/>
      <c r="R103" s="10"/>
      <c r="S103" s="12"/>
      <c r="T103" s="12">
        <v>0</v>
      </c>
      <c r="U103" s="12">
        <v>0</v>
      </c>
      <c r="V103" s="12">
        <v>0</v>
      </c>
      <c r="W103" s="12">
        <v>231</v>
      </c>
      <c r="X103" s="10">
        <v>2025</v>
      </c>
      <c r="Y103" s="12" t="s">
        <v>63</v>
      </c>
      <c r="Z103" s="12">
        <v>0</v>
      </c>
      <c r="AA103" s="12">
        <v>231</v>
      </c>
    </row>
    <row r="104" spans="1:27" ht="19.5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>
        <v>98</v>
      </c>
      <c r="F104" s="10">
        <v>2025</v>
      </c>
      <c r="G104" s="12" t="s">
        <v>63</v>
      </c>
      <c r="H104" s="12">
        <v>0</v>
      </c>
      <c r="I104" s="12">
        <v>98</v>
      </c>
      <c r="J104" s="12">
        <v>0</v>
      </c>
      <c r="K104" s="12"/>
      <c r="L104" s="10"/>
      <c r="M104" s="12"/>
      <c r="N104" s="12">
        <v>0</v>
      </c>
      <c r="O104" s="12">
        <v>0</v>
      </c>
      <c r="P104" s="12">
        <v>0</v>
      </c>
      <c r="Q104" s="12"/>
      <c r="R104" s="10"/>
      <c r="S104" s="12"/>
      <c r="T104" s="12">
        <v>0</v>
      </c>
      <c r="U104" s="12">
        <v>0</v>
      </c>
      <c r="V104" s="12">
        <v>0</v>
      </c>
      <c r="W104" s="12">
        <v>539</v>
      </c>
      <c r="X104" s="10">
        <v>2025</v>
      </c>
      <c r="Y104" s="12" t="s">
        <v>63</v>
      </c>
      <c r="Z104" s="12">
        <v>0</v>
      </c>
      <c r="AA104" s="12">
        <v>539</v>
      </c>
    </row>
    <row r="105" spans="1:27" ht="19.5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v>0</v>
      </c>
      <c r="I105" s="12">
        <v>0</v>
      </c>
      <c r="J105" s="12">
        <v>0</v>
      </c>
      <c r="K105" s="12">
        <v>693</v>
      </c>
      <c r="L105" s="10">
        <v>2025</v>
      </c>
      <c r="M105" s="12" t="s">
        <v>63</v>
      </c>
      <c r="N105" s="12">
        <v>0</v>
      </c>
      <c r="O105" s="12">
        <v>693</v>
      </c>
      <c r="P105" s="12">
        <v>0</v>
      </c>
      <c r="Q105" s="12"/>
      <c r="R105" s="10"/>
      <c r="S105" s="12"/>
      <c r="T105" s="12">
        <v>0</v>
      </c>
      <c r="U105" s="12">
        <v>0</v>
      </c>
      <c r="V105" s="12">
        <v>0</v>
      </c>
      <c r="W105" s="12">
        <v>308</v>
      </c>
      <c r="X105" s="10">
        <v>2025</v>
      </c>
      <c r="Y105" s="12" t="s">
        <v>63</v>
      </c>
      <c r="Z105" s="12">
        <v>0</v>
      </c>
      <c r="AA105" s="12">
        <v>308</v>
      </c>
    </row>
    <row r="106" spans="1:27" ht="19.5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v>0</v>
      </c>
      <c r="I106" s="12">
        <v>0</v>
      </c>
      <c r="J106" s="12">
        <v>0</v>
      </c>
      <c r="K106" s="12"/>
      <c r="L106" s="10"/>
      <c r="M106" s="12"/>
      <c r="N106" s="12">
        <v>0</v>
      </c>
      <c r="O106" s="12">
        <v>0</v>
      </c>
      <c r="P106" s="12">
        <v>0</v>
      </c>
      <c r="Q106" s="12"/>
      <c r="R106" s="10"/>
      <c r="S106" s="12"/>
      <c r="T106" s="12">
        <v>0</v>
      </c>
      <c r="U106" s="12">
        <v>0</v>
      </c>
      <c r="V106" s="12">
        <v>0</v>
      </c>
      <c r="W106" s="12">
        <v>308</v>
      </c>
      <c r="X106" s="10">
        <v>2025</v>
      </c>
      <c r="Y106" s="12" t="s">
        <v>63</v>
      </c>
      <c r="Z106" s="12">
        <v>0</v>
      </c>
      <c r="AA106" s="12">
        <v>308</v>
      </c>
    </row>
    <row r="107" spans="1:27" ht="19.5">
      <c r="A107" s="10">
        <v>10</v>
      </c>
      <c r="B107" s="11" t="s">
        <v>23</v>
      </c>
      <c r="C107" s="10"/>
      <c r="D107" s="12">
        <f>Table14[[#This Row],[Enrolment S.Y. 2025-2026 ]]*8</f>
        <v>0</v>
      </c>
      <c r="E107" s="12"/>
      <c r="F107" s="10"/>
      <c r="G107" s="12"/>
      <c r="H107" s="12">
        <v>0</v>
      </c>
      <c r="I107" s="12">
        <v>0</v>
      </c>
      <c r="J107" s="12">
        <v>0</v>
      </c>
      <c r="K107" s="12"/>
      <c r="L107" s="10"/>
      <c r="M107" s="12"/>
      <c r="N107" s="12">
        <v>0</v>
      </c>
      <c r="O107" s="12">
        <v>0</v>
      </c>
      <c r="P107" s="12">
        <v>0</v>
      </c>
      <c r="Q107" s="12"/>
      <c r="R107" s="10"/>
      <c r="S107" s="12"/>
      <c r="T107" s="12">
        <v>0</v>
      </c>
      <c r="U107" s="12">
        <v>0</v>
      </c>
      <c r="V107" s="12">
        <v>0</v>
      </c>
      <c r="W107" s="12">
        <v>308</v>
      </c>
      <c r="X107" s="10">
        <v>2025</v>
      </c>
      <c r="Y107" s="12" t="s">
        <v>63</v>
      </c>
      <c r="Z107" s="12">
        <v>0</v>
      </c>
      <c r="AA107" s="12">
        <v>308</v>
      </c>
    </row>
    <row r="108" spans="1:27" ht="19.5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v>0</v>
      </c>
      <c r="I108" s="12">
        <v>0</v>
      </c>
      <c r="J108" s="12">
        <v>0</v>
      </c>
      <c r="K108" s="12"/>
      <c r="L108" s="10"/>
      <c r="M108" s="12"/>
      <c r="N108" s="12">
        <v>0</v>
      </c>
      <c r="O108" s="12">
        <v>0</v>
      </c>
      <c r="P108" s="12">
        <v>0</v>
      </c>
      <c r="Q108" s="12"/>
      <c r="R108" s="10"/>
      <c r="S108" s="12"/>
      <c r="T108" s="12">
        <v>0</v>
      </c>
      <c r="U108" s="12">
        <v>0</v>
      </c>
      <c r="V108" s="12">
        <v>0</v>
      </c>
      <c r="W108" s="12">
        <v>462</v>
      </c>
      <c r="X108" s="10">
        <v>2025</v>
      </c>
      <c r="Y108" s="12" t="s">
        <v>63</v>
      </c>
      <c r="Z108" s="12">
        <v>0</v>
      </c>
      <c r="AA108" s="12">
        <v>462</v>
      </c>
    </row>
    <row r="109" spans="1:27" ht="19.5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v>0</v>
      </c>
      <c r="I109" s="12">
        <v>0</v>
      </c>
      <c r="J109" s="12">
        <v>0</v>
      </c>
      <c r="K109" s="12"/>
      <c r="L109" s="10"/>
      <c r="M109" s="12"/>
      <c r="N109" s="12">
        <v>0</v>
      </c>
      <c r="O109" s="12">
        <v>0</v>
      </c>
      <c r="P109" s="12">
        <v>0</v>
      </c>
      <c r="Q109" s="12"/>
      <c r="R109" s="10"/>
      <c r="S109" s="12"/>
      <c r="T109" s="12">
        <v>0</v>
      </c>
      <c r="U109" s="12">
        <v>0</v>
      </c>
      <c r="V109" s="12">
        <v>0</v>
      </c>
      <c r="W109" s="12">
        <v>154</v>
      </c>
      <c r="X109" s="10">
        <v>2025</v>
      </c>
      <c r="Y109" s="12" t="s">
        <v>63</v>
      </c>
      <c r="Z109" s="12">
        <v>0</v>
      </c>
      <c r="AA109" s="12">
        <v>154</v>
      </c>
    </row>
    <row r="110" spans="1:27" ht="19.5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v>0</v>
      </c>
      <c r="I110" s="12">
        <v>0</v>
      </c>
      <c r="J110" s="12">
        <v>0</v>
      </c>
      <c r="K110" s="12"/>
      <c r="L110" s="10"/>
      <c r="M110" s="12"/>
      <c r="N110" s="12">
        <v>0</v>
      </c>
      <c r="O110" s="12">
        <v>0</v>
      </c>
      <c r="P110" s="12">
        <v>0</v>
      </c>
      <c r="Q110" s="12"/>
      <c r="R110" s="10"/>
      <c r="S110" s="12"/>
      <c r="T110" s="12">
        <v>0</v>
      </c>
      <c r="U110" s="12">
        <v>0</v>
      </c>
      <c r="V110" s="12">
        <v>0</v>
      </c>
      <c r="W110" s="12">
        <v>308</v>
      </c>
      <c r="X110" s="10">
        <v>2025</v>
      </c>
      <c r="Y110" s="12" t="s">
        <v>63</v>
      </c>
      <c r="Z110" s="12">
        <v>0</v>
      </c>
      <c r="AA110" s="12">
        <v>308</v>
      </c>
    </row>
    <row r="111" spans="1:27" ht="19.5">
      <c r="A111" s="10">
        <v>10</v>
      </c>
      <c r="B111" s="11" t="s">
        <v>22</v>
      </c>
      <c r="C111" s="10"/>
      <c r="D111" s="12">
        <f>Table14[[#This Row],[Enrolment S.Y. 2025-2026 ]]*8</f>
        <v>0</v>
      </c>
      <c r="E111" s="12"/>
      <c r="F111" s="10"/>
      <c r="G111" s="12"/>
      <c r="H111" s="12">
        <v>0</v>
      </c>
      <c r="I111" s="12">
        <v>0</v>
      </c>
      <c r="J111" s="12">
        <v>0</v>
      </c>
      <c r="K111" s="12"/>
      <c r="L111" s="10"/>
      <c r="M111" s="12"/>
      <c r="N111" s="12">
        <v>0</v>
      </c>
      <c r="O111" s="12">
        <v>0</v>
      </c>
      <c r="P111" s="12">
        <v>0</v>
      </c>
      <c r="Q111" s="12"/>
      <c r="R111" s="10"/>
      <c r="S111" s="12"/>
      <c r="T111" s="12">
        <v>0</v>
      </c>
      <c r="U111" s="12">
        <v>0</v>
      </c>
      <c r="V111" s="12">
        <v>0</v>
      </c>
      <c r="W111" s="12"/>
      <c r="X111" s="10"/>
      <c r="Y111" s="12"/>
      <c r="Z111" s="12">
        <v>0</v>
      </c>
      <c r="AA111" s="12">
        <v>0</v>
      </c>
    </row>
    <row r="112" spans="1:27" ht="19.5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v>0</v>
      </c>
      <c r="I112" s="12">
        <v>0</v>
      </c>
      <c r="J112" s="12">
        <v>0</v>
      </c>
      <c r="K112" s="12"/>
      <c r="L112" s="10"/>
      <c r="M112" s="12"/>
      <c r="N112" s="12">
        <v>0</v>
      </c>
      <c r="O112" s="12">
        <v>0</v>
      </c>
      <c r="P112" s="12">
        <v>0</v>
      </c>
      <c r="Q112" s="12"/>
      <c r="R112" s="10"/>
      <c r="S112" s="12"/>
      <c r="T112" s="12">
        <v>0</v>
      </c>
      <c r="U112" s="12">
        <v>0</v>
      </c>
      <c r="V112" s="12">
        <v>0</v>
      </c>
      <c r="W112" s="12">
        <v>77</v>
      </c>
      <c r="X112" s="10">
        <v>2025</v>
      </c>
      <c r="Y112" s="12" t="s">
        <v>63</v>
      </c>
      <c r="Z112" s="12">
        <v>0</v>
      </c>
      <c r="AA112" s="12">
        <v>77</v>
      </c>
    </row>
    <row r="113" spans="1:28" ht="19.5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v>0</v>
      </c>
      <c r="I113" s="12">
        <v>0</v>
      </c>
      <c r="J113" s="12">
        <v>0</v>
      </c>
      <c r="K113" s="12"/>
      <c r="L113" s="10"/>
      <c r="M113" s="12"/>
      <c r="N113" s="12">
        <v>0</v>
      </c>
      <c r="O113" s="12">
        <v>0</v>
      </c>
      <c r="P113" s="12">
        <v>0</v>
      </c>
      <c r="Q113" s="12"/>
      <c r="R113" s="10"/>
      <c r="S113" s="12"/>
      <c r="T113" s="12">
        <v>0</v>
      </c>
      <c r="U113" s="12">
        <v>0</v>
      </c>
      <c r="V113" s="12">
        <v>0</v>
      </c>
      <c r="W113" s="12">
        <v>231</v>
      </c>
      <c r="X113" s="10">
        <v>2025</v>
      </c>
      <c r="Y113" s="12" t="s">
        <v>63</v>
      </c>
      <c r="Z113" s="12">
        <v>0</v>
      </c>
      <c r="AA113" s="12">
        <v>231</v>
      </c>
    </row>
    <row r="114" spans="1:28" s="7" customFormat="1"/>
    <row r="115" spans="1:28" ht="38.25">
      <c r="A115" s="1" t="s">
        <v>24</v>
      </c>
      <c r="B115" s="9" t="s">
        <v>25</v>
      </c>
      <c r="C115" s="1"/>
      <c r="D115" s="5">
        <f>Table14[[#This Row],[Enrolment S.Y. 2025-2026 ]]*8</f>
        <v>0</v>
      </c>
      <c r="E115" s="5"/>
      <c r="F115" s="1"/>
      <c r="G115" s="5"/>
      <c r="H115" s="5">
        <v>0</v>
      </c>
      <c r="I115" s="5">
        <v>0</v>
      </c>
      <c r="J115" s="5">
        <v>0</v>
      </c>
      <c r="K115" s="5"/>
      <c r="L115" s="1"/>
      <c r="M115" s="5"/>
      <c r="N115" s="5">
        <v>0</v>
      </c>
      <c r="O115" s="5">
        <v>0</v>
      </c>
      <c r="P115" s="5">
        <v>0</v>
      </c>
      <c r="Q115" s="5"/>
      <c r="R115" s="1"/>
      <c r="S115" s="5"/>
      <c r="T115" s="5">
        <v>0</v>
      </c>
      <c r="U115" s="5">
        <v>0</v>
      </c>
      <c r="V115" s="5">
        <v>0</v>
      </c>
      <c r="W115" s="5"/>
      <c r="X115" s="1"/>
      <c r="Y115" s="5"/>
      <c r="Z115" s="5">
        <v>0</v>
      </c>
      <c r="AA115" s="5">
        <v>0</v>
      </c>
    </row>
    <row r="116" spans="1:28" ht="19.5">
      <c r="A116" s="1" t="s">
        <v>24</v>
      </c>
      <c r="B116" s="9" t="s">
        <v>26</v>
      </c>
      <c r="C116" s="1"/>
      <c r="D116" s="5">
        <f>Table14[[#This Row],[Enrolment S.Y. 2025-2026 ]]*8</f>
        <v>0</v>
      </c>
      <c r="E116" s="5"/>
      <c r="F116" s="1"/>
      <c r="G116" s="5"/>
      <c r="H116" s="5">
        <v>0</v>
      </c>
      <c r="I116" s="5">
        <v>0</v>
      </c>
      <c r="J116" s="5">
        <v>0</v>
      </c>
      <c r="K116" s="5"/>
      <c r="L116" s="1"/>
      <c r="M116" s="5"/>
      <c r="N116" s="5">
        <v>0</v>
      </c>
      <c r="O116" s="5">
        <v>0</v>
      </c>
      <c r="P116" s="5">
        <v>0</v>
      </c>
      <c r="Q116" s="5"/>
      <c r="R116" s="1"/>
      <c r="S116" s="5"/>
      <c r="T116" s="5">
        <v>0</v>
      </c>
      <c r="U116" s="5">
        <v>0</v>
      </c>
      <c r="V116" s="5">
        <v>0</v>
      </c>
      <c r="W116" s="5"/>
      <c r="X116" s="1"/>
      <c r="Y116" s="5"/>
      <c r="Z116" s="5">
        <v>0</v>
      </c>
      <c r="AA116" s="5">
        <v>0</v>
      </c>
    </row>
    <row r="117" spans="1:28" ht="19.5">
      <c r="A117" s="1" t="s">
        <v>24</v>
      </c>
      <c r="B117" s="9" t="s">
        <v>27</v>
      </c>
      <c r="C117" s="1"/>
      <c r="D117" s="5">
        <f>Table14[[#This Row],[Enrolment S.Y. 2025-2026 ]]*8</f>
        <v>0</v>
      </c>
      <c r="E117" s="5"/>
      <c r="F117" s="1"/>
      <c r="G117" s="5"/>
      <c r="H117" s="5">
        <v>0</v>
      </c>
      <c r="I117" s="5">
        <v>0</v>
      </c>
      <c r="J117" s="5">
        <v>0</v>
      </c>
      <c r="K117" s="5"/>
      <c r="L117" s="1"/>
      <c r="M117" s="5"/>
      <c r="N117" s="5">
        <v>0</v>
      </c>
      <c r="O117" s="5">
        <v>0</v>
      </c>
      <c r="P117" s="5">
        <v>0</v>
      </c>
      <c r="Q117" s="5"/>
      <c r="R117" s="1"/>
      <c r="S117" s="5"/>
      <c r="T117" s="5">
        <v>0</v>
      </c>
      <c r="U117" s="5">
        <v>0</v>
      </c>
      <c r="V117" s="5">
        <v>0</v>
      </c>
      <c r="W117" s="5"/>
      <c r="X117" s="1"/>
      <c r="Y117" s="5"/>
      <c r="Z117" s="5">
        <v>0</v>
      </c>
      <c r="AA117" s="5">
        <v>0</v>
      </c>
    </row>
    <row r="118" spans="1:28" ht="19.5">
      <c r="A118" s="1" t="s">
        <v>24</v>
      </c>
      <c r="B118" s="9" t="s">
        <v>28</v>
      </c>
      <c r="C118" s="1"/>
      <c r="D118" s="5">
        <f>Table14[[#This Row],[Enrolment S.Y. 2025-2026 ]]*8</f>
        <v>0</v>
      </c>
      <c r="E118" s="5"/>
      <c r="F118" s="1"/>
      <c r="G118" s="5"/>
      <c r="H118" s="5">
        <v>0</v>
      </c>
      <c r="I118" s="5">
        <v>0</v>
      </c>
      <c r="J118" s="5">
        <v>0</v>
      </c>
      <c r="K118" s="5"/>
      <c r="L118" s="1"/>
      <c r="M118" s="5"/>
      <c r="N118" s="5">
        <v>0</v>
      </c>
      <c r="O118" s="5">
        <v>0</v>
      </c>
      <c r="P118" s="5">
        <v>0</v>
      </c>
      <c r="Q118" s="5"/>
      <c r="R118" s="1"/>
      <c r="S118" s="5"/>
      <c r="T118" s="5">
        <v>0</v>
      </c>
      <c r="U118" s="5">
        <v>0</v>
      </c>
      <c r="V118" s="5">
        <v>0</v>
      </c>
      <c r="W118" s="5"/>
      <c r="X118" s="1"/>
      <c r="Y118" s="5"/>
      <c r="Z118" s="5">
        <v>0</v>
      </c>
      <c r="AA118" s="5">
        <v>0</v>
      </c>
    </row>
    <row r="119" spans="1:28" ht="38.25">
      <c r="A119" s="1" t="s">
        <v>24</v>
      </c>
      <c r="B119" s="9" t="s">
        <v>29</v>
      </c>
      <c r="C119" s="1"/>
      <c r="D119" s="5">
        <f>Table14[[#This Row],[Enrolment S.Y. 2025-2026 ]]*8</f>
        <v>0</v>
      </c>
      <c r="E119" s="5"/>
      <c r="F119" s="1"/>
      <c r="G119" s="5"/>
      <c r="H119" s="5">
        <v>0</v>
      </c>
      <c r="I119" s="5">
        <v>0</v>
      </c>
      <c r="J119" s="5">
        <v>0</v>
      </c>
      <c r="K119" s="5"/>
      <c r="L119" s="1"/>
      <c r="M119" s="5"/>
      <c r="N119" s="5">
        <v>0</v>
      </c>
      <c r="O119" s="5">
        <v>0</v>
      </c>
      <c r="P119" s="5">
        <v>0</v>
      </c>
      <c r="Q119" s="5"/>
      <c r="R119" s="1"/>
      <c r="S119" s="5"/>
      <c r="T119" s="5">
        <v>0</v>
      </c>
      <c r="U119" s="5">
        <v>0</v>
      </c>
      <c r="V119" s="5">
        <v>0</v>
      </c>
      <c r="W119" s="5"/>
      <c r="X119" s="1"/>
      <c r="Y119" s="5"/>
      <c r="Z119" s="5">
        <v>0</v>
      </c>
      <c r="AA119" s="5">
        <v>0</v>
      </c>
    </row>
    <row r="120" spans="1:28" ht="38.25">
      <c r="A120" s="1" t="s">
        <v>24</v>
      </c>
      <c r="B120" s="9" t="s">
        <v>30</v>
      </c>
      <c r="C120" s="1"/>
      <c r="D120" s="5">
        <f>Table14[[#This Row],[Enrolment S.Y. 2025-2026 ]]*8</f>
        <v>0</v>
      </c>
      <c r="E120" s="5"/>
      <c r="F120" s="1"/>
      <c r="G120" s="5"/>
      <c r="H120" s="5">
        <v>0</v>
      </c>
      <c r="I120" s="5">
        <v>0</v>
      </c>
      <c r="J120" s="5">
        <v>0</v>
      </c>
      <c r="K120" s="5"/>
      <c r="L120" s="1"/>
      <c r="M120" s="5"/>
      <c r="N120" s="5">
        <v>0</v>
      </c>
      <c r="O120" s="5">
        <v>0</v>
      </c>
      <c r="P120" s="5">
        <v>0</v>
      </c>
      <c r="Q120" s="5"/>
      <c r="R120" s="1"/>
      <c r="S120" s="5"/>
      <c r="T120" s="5">
        <v>0</v>
      </c>
      <c r="U120" s="5">
        <v>0</v>
      </c>
      <c r="V120" s="5">
        <v>0</v>
      </c>
      <c r="W120" s="5"/>
      <c r="X120" s="1"/>
      <c r="Y120" s="5"/>
      <c r="Z120" s="5">
        <v>0</v>
      </c>
      <c r="AA120" s="5">
        <v>0</v>
      </c>
    </row>
    <row r="121" spans="1:28" ht="57.75">
      <c r="A121" s="1" t="s">
        <v>24</v>
      </c>
      <c r="B121" s="9" t="s">
        <v>31</v>
      </c>
      <c r="C121" s="1"/>
      <c r="D121" s="5">
        <f>Table14[[#This Row],[Enrolment S.Y. 2025-2026 ]]*8</f>
        <v>0</v>
      </c>
      <c r="E121" s="5"/>
      <c r="F121" s="1"/>
      <c r="G121" s="5"/>
      <c r="H121" s="5">
        <v>0</v>
      </c>
      <c r="I121" s="5">
        <v>0</v>
      </c>
      <c r="J121" s="5">
        <v>0</v>
      </c>
      <c r="K121" s="5"/>
      <c r="L121" s="1"/>
      <c r="M121" s="5"/>
      <c r="N121" s="5">
        <v>0</v>
      </c>
      <c r="O121" s="5">
        <v>0</v>
      </c>
      <c r="P121" s="5">
        <v>0</v>
      </c>
      <c r="Q121" s="5"/>
      <c r="R121" s="1"/>
      <c r="S121" s="5"/>
      <c r="T121" s="5">
        <v>0</v>
      </c>
      <c r="U121" s="5">
        <v>0</v>
      </c>
      <c r="V121" s="5">
        <v>0</v>
      </c>
      <c r="W121" s="5"/>
      <c r="X121" s="1"/>
      <c r="Y121" s="5"/>
      <c r="Z121" s="5">
        <v>0</v>
      </c>
      <c r="AA121" s="5">
        <v>0</v>
      </c>
    </row>
    <row r="122" spans="1:28" ht="38.25">
      <c r="A122" s="1" t="s">
        <v>24</v>
      </c>
      <c r="B122" s="9" t="s">
        <v>32</v>
      </c>
      <c r="C122" s="1"/>
      <c r="D122" s="5">
        <f>Table14[[#This Row],[Enrolment S.Y. 2025-2026 ]]*8</f>
        <v>0</v>
      </c>
      <c r="E122" s="5"/>
      <c r="F122" s="1"/>
      <c r="G122" s="5"/>
      <c r="H122" s="5">
        <v>0</v>
      </c>
      <c r="I122" s="5">
        <v>0</v>
      </c>
      <c r="J122" s="5">
        <v>0</v>
      </c>
      <c r="K122" s="5"/>
      <c r="L122" s="1"/>
      <c r="M122" s="5"/>
      <c r="N122" s="5">
        <v>0</v>
      </c>
      <c r="O122" s="5">
        <v>0</v>
      </c>
      <c r="P122" s="5">
        <v>0</v>
      </c>
      <c r="Q122" s="5"/>
      <c r="R122" s="1"/>
      <c r="S122" s="5"/>
      <c r="T122" s="5">
        <v>0</v>
      </c>
      <c r="U122" s="5">
        <v>0</v>
      </c>
      <c r="V122" s="5">
        <v>0</v>
      </c>
      <c r="W122" s="5"/>
      <c r="X122" s="1"/>
      <c r="Y122" s="5"/>
      <c r="Z122" s="5">
        <v>0</v>
      </c>
      <c r="AA122" s="5"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 G91 M91 S91:S92 Y111 G105:G113 M104 S103:S113 Y115:Y122 G115:G122 M115:M122 S115:S122 G94:G101 M94:M101 M106:M113 S96:S100 Y96:Y97 Y99:Y100" name="SOURCE"/>
    <protectedRange sqref="G92" name="SOURCE_1"/>
    <protectedRange sqref="G93" name="SOURCE_2"/>
    <protectedRange sqref="G103" name="SOURCE_3"/>
    <protectedRange sqref="G104" name="SOURCE_4"/>
    <protectedRange sqref="M92:M93" name="SOURCE_5"/>
    <protectedRange sqref="M103" name="SOURCE_6"/>
    <protectedRange sqref="M105" name="SOURCE_7"/>
    <protectedRange sqref="S93:S95" name="SOURCE_8"/>
    <protectedRange sqref="S101" name="SOURCE_9"/>
    <protectedRange sqref="Y92:Y95" name="SOURCE_10"/>
    <protectedRange sqref="Y98" name="SOURCE_11"/>
    <protectedRange sqref="Y101" name="SOURCE_12"/>
    <protectedRange sqref="Y103:Y110" name="SOURCE_13"/>
    <protectedRange sqref="Y112:Y113" name="SOURCE_1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S91:S101 M103:M113 G103:G113 M115:M122 G91:G101 Y91:Y101 S103:S113 M91:M101 Y103:Y113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2026-01-12T08:30:16Z</dcterms:modified>
  <cp:category/>
  <cp:contentStatus/>
</cp:coreProperties>
</file>