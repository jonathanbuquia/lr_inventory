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3" documentId="13_ncr:1_{BFB59F67-F0DC-4675-A682-EB0734A8026A}" xr6:coauthVersionLast="47" xr6:coauthVersionMax="47" xr10:uidLastSave="{1F914837-444D-465E-9805-4B564789B1B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V92" i="5"/>
  <c r="AA92" i="5" s="1"/>
  <c r="P92" i="5"/>
  <c r="U92" i="5" s="1"/>
  <c r="J92" i="5"/>
  <c r="O92" i="5" s="1"/>
  <c r="D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<sst xmlns="http://schemas.openxmlformats.org/spreadsheetml/2006/main" count="450" uniqueCount="92">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</sst>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496</v>
      </c>
      <c r="D53" s="10">
        <v>676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180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496</v>
      </c>
      <c r="D55" s="10">
        <v>676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180</v>
      </c>
    </row>
    <row r="56" spans="1:8" ht="27.75" customHeight="1">
      <c r="A56" s="10">
        <v>7</v>
      </c>
      <c r="B56" s="11" t="s">
        <v>13</v>
      </c>
      <c r="C56" s="10">
        <v>496</v>
      </c>
      <c r="D56" s="10">
        <v>676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180</v>
      </c>
    </row>
    <row r="57" spans="1:8" ht="27.75" customHeight="1">
      <c r="A57" s="10">
        <v>7</v>
      </c>
      <c r="B57" s="11" t="s">
        <v>17</v>
      </c>
      <c r="C57" s="10">
        <v>496</v>
      </c>
      <c r="D57" s="10">
        <v>676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180</v>
      </c>
    </row>
    <row r="58" spans="1:8" ht="27.75" customHeight="1">
      <c r="A58" s="10">
        <v>7</v>
      </c>
      <c r="B58" s="11" t="s">
        <v>22</v>
      </c>
      <c r="C58" s="10">
        <v>496</v>
      </c>
      <c r="D58" s="10">
        <v>676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180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430</v>
      </c>
      <c r="D61" s="10">
        <v>796</v>
      </c>
      <c r="E61" s="10">
        <v>2025</v>
      </c>
      <c r="F61" s="12" t="s">
        <v>20</v>
      </c>
      <c r="G61" s="3">
        <f t="shared" ref="G61:G69" si="12">IF((C61-D61)&lt;0,0,C61-D61)</f>
        <v>0</v>
      </c>
      <c r="H61" s="4">
        <f t="shared" ref="H61:H69" si="13">IF((D61-C61)&lt;0,0,D61-C61)</f>
        <v>366</v>
      </c>
    </row>
    <row r="62" spans="1:8" ht="27.75" customHeight="1">
      <c r="A62" s="10">
        <v>8</v>
      </c>
      <c r="B62" s="11" t="s">
        <v>15</v>
      </c>
      <c r="C62" s="10">
        <v>430</v>
      </c>
      <c r="D62" s="10">
        <v>798</v>
      </c>
      <c r="E62" s="10">
        <v>2025</v>
      </c>
      <c r="F62" s="12" t="s">
        <v>20</v>
      </c>
      <c r="G62" s="3">
        <f t="shared" si="12"/>
        <v>0</v>
      </c>
      <c r="H62" s="4">
        <f t="shared" si="13"/>
        <v>368</v>
      </c>
    </row>
    <row r="63" spans="1:8" ht="27.75" customHeight="1">
      <c r="A63" s="10">
        <v>8</v>
      </c>
      <c r="B63" s="11" t="s">
        <v>12</v>
      </c>
      <c r="C63" s="10">
        <v>430</v>
      </c>
      <c r="D63" s="10">
        <v>135</v>
      </c>
      <c r="E63" s="10">
        <v>2025</v>
      </c>
      <c r="F63" s="12" t="s">
        <v>20</v>
      </c>
      <c r="G63" s="3">
        <f t="shared" si="12"/>
        <v>295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430</v>
      </c>
      <c r="D66" s="10">
        <v>747</v>
      </c>
      <c r="E66" s="10"/>
      <c r="F66" s="12" t="s">
        <v>20</v>
      </c>
      <c r="G66" s="3">
        <f t="shared" si="12"/>
        <v>0</v>
      </c>
      <c r="H66" s="4">
        <f t="shared" si="13"/>
        <v>317</v>
      </c>
    </row>
    <row r="67" spans="1:8" ht="27.75" customHeight="1">
      <c r="A67" s="10">
        <v>8</v>
      </c>
      <c r="B67" s="11" t="s">
        <v>17</v>
      </c>
      <c r="C67" s="10">
        <v>430</v>
      </c>
      <c r="D67" s="10">
        <v>796</v>
      </c>
      <c r="E67" s="10">
        <v>2025</v>
      </c>
      <c r="F67" s="12" t="s">
        <v>20</v>
      </c>
      <c r="G67" s="3">
        <f t="shared" si="12"/>
        <v>0</v>
      </c>
      <c r="H67" s="4">
        <f t="shared" si="13"/>
        <v>366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430</v>
      </c>
      <c r="D69" s="10">
        <v>393</v>
      </c>
      <c r="E69" s="10">
        <v>2025</v>
      </c>
      <c r="F69" s="12" t="s">
        <v>20</v>
      </c>
      <c r="G69" s="3">
        <f t="shared" si="12"/>
        <v>37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425</v>
      </c>
      <c r="D71" s="10">
        <v>1131</v>
      </c>
      <c r="E71" s="10">
        <v>2025</v>
      </c>
      <c r="F71" s="12" t="s">
        <v>20</v>
      </c>
      <c r="G71" s="3">
        <f t="shared" ref="G71:G79" si="14">IF((C71-D71)&lt;0,0,C71-D71)</f>
        <v>0</v>
      </c>
      <c r="H71" s="4">
        <f t="shared" ref="H71:H79" si="15">IF((D71-C71)&lt;0,0,D71-C71)</f>
        <v>706</v>
      </c>
    </row>
    <row r="72" spans="1:8" ht="27.75" customHeight="1">
      <c r="A72" s="10">
        <v>9</v>
      </c>
      <c r="B72" s="11" t="s">
        <v>15</v>
      </c>
      <c r="C72" s="10">
        <v>425</v>
      </c>
      <c r="D72" s="10">
        <v>480</v>
      </c>
      <c r="E72" s="10">
        <v>2025</v>
      </c>
      <c r="F72" s="12" t="s">
        <v>20</v>
      </c>
      <c r="G72" s="3">
        <f t="shared" si="14"/>
        <v>0</v>
      </c>
      <c r="H72" s="4">
        <f t="shared" si="15"/>
        <v>55</v>
      </c>
    </row>
    <row r="73" spans="1:8" ht="27.75" customHeight="1">
      <c r="A73" s="10">
        <v>9</v>
      </c>
      <c r="B73" s="11" t="s">
        <v>12</v>
      </c>
      <c r="C73" s="10">
        <v>425</v>
      </c>
      <c r="D73" s="10">
        <v>976</v>
      </c>
      <c r="E73" s="10">
        <v>2025</v>
      </c>
      <c r="F73" s="12" t="s">
        <v>20</v>
      </c>
      <c r="G73" s="3">
        <f t="shared" si="14"/>
        <v>0</v>
      </c>
      <c r="H73" s="4">
        <f t="shared" si="15"/>
        <v>551</v>
      </c>
    </row>
    <row r="74" spans="1:8" ht="27.75" customHeight="1">
      <c r="A74" s="10">
        <v>9</v>
      </c>
      <c r="B74" s="11" t="s">
        <v>21</v>
      </c>
      <c r="C74" s="10">
        <v>425</v>
      </c>
      <c r="D74" s="10">
        <v>908</v>
      </c>
      <c r="E74" s="10">
        <v>2025</v>
      </c>
      <c r="F74" s="12" t="s">
        <v>20</v>
      </c>
      <c r="G74" s="3">
        <f t="shared" si="14"/>
        <v>0</v>
      </c>
      <c r="H74" s="4">
        <f t="shared" si="15"/>
        <v>483</v>
      </c>
    </row>
    <row r="75" spans="1:8" ht="27.75" customHeight="1">
      <c r="A75" s="10">
        <v>9</v>
      </c>
      <c r="B75" s="11" t="s">
        <v>23</v>
      </c>
      <c r="C75" s="10">
        <v>425</v>
      </c>
      <c r="D75" s="10">
        <v>740</v>
      </c>
      <c r="E75" s="10">
        <v>2025</v>
      </c>
      <c r="F75" s="12" t="s">
        <v>20</v>
      </c>
      <c r="G75" s="3">
        <f t="shared" si="14"/>
        <v>0</v>
      </c>
      <c r="H75" s="4">
        <f t="shared" si="15"/>
        <v>315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425</v>
      </c>
      <c r="D77" s="10">
        <v>766</v>
      </c>
      <c r="E77" s="10">
        <v>2025</v>
      </c>
      <c r="F77" s="12" t="s">
        <v>20</v>
      </c>
      <c r="G77" s="3">
        <f t="shared" si="14"/>
        <v>0</v>
      </c>
      <c r="H77" s="4">
        <f t="shared" si="15"/>
        <v>341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425</v>
      </c>
      <c r="D79" s="10">
        <v>1113</v>
      </c>
      <c r="E79" s="10">
        <v>2025</v>
      </c>
      <c r="F79" s="12" t="s">
        <v>20</v>
      </c>
      <c r="G79" s="3">
        <f t="shared" si="14"/>
        <v>0</v>
      </c>
      <c r="H79" s="4">
        <f t="shared" si="15"/>
        <v>688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506</v>
      </c>
      <c r="D81" s="10">
        <v>75</v>
      </c>
      <c r="E81" s="10">
        <v>2025</v>
      </c>
      <c r="F81" s="12" t="s">
        <v>20</v>
      </c>
      <c r="G81" s="3">
        <f t="shared" ref="G81:G89" si="16">IF((C81-D81)&lt;0,0,C81-D81)</f>
        <v>431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506</v>
      </c>
      <c r="D82" s="10">
        <v>372</v>
      </c>
      <c r="E82" s="10">
        <v>2025</v>
      </c>
      <c r="F82" s="12" t="s">
        <v>20</v>
      </c>
      <c r="G82" s="3">
        <f t="shared" si="16"/>
        <v>134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506</v>
      </c>
      <c r="D83" s="10">
        <v>116</v>
      </c>
      <c r="E83" s="10">
        <v>2025</v>
      </c>
      <c r="F83" s="12" t="s">
        <v>20</v>
      </c>
      <c r="G83" s="3">
        <f t="shared" si="16"/>
        <v>390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506</v>
      </c>
      <c r="D84" s="10">
        <v>389</v>
      </c>
      <c r="E84" s="10">
        <v>2025</v>
      </c>
      <c r="F84" s="12" t="s">
        <v>20</v>
      </c>
      <c r="G84" s="3">
        <f t="shared" si="16"/>
        <v>117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506</v>
      </c>
      <c r="D86" s="10">
        <v>385</v>
      </c>
      <c r="E86" s="10">
        <v>2025</v>
      </c>
      <c r="F86" s="12" t="s">
        <v>20</v>
      </c>
      <c r="G86" s="3">
        <f t="shared" si="16"/>
        <v>121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506</v>
      </c>
      <c r="D87" s="10">
        <v>769</v>
      </c>
      <c r="E87" s="10">
        <v>2025</v>
      </c>
      <c r="F87" s="12" t="s">
        <v>20</v>
      </c>
      <c r="G87" s="3">
        <f t="shared" si="16"/>
        <v>0</v>
      </c>
      <c r="H87" s="4">
        <f t="shared" si="17"/>
        <v>263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506</v>
      </c>
      <c r="D89" s="10">
        <v>492</v>
      </c>
      <c r="E89" s="10">
        <v>2025</v>
      </c>
      <c r="F89" s="12" t="s">
        <v>20</v>
      </c>
      <c r="G89" s="3">
        <f t="shared" si="16"/>
        <v>14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842</v>
      </c>
      <c r="D91" s="1">
        <v>591</v>
      </c>
      <c r="E91" s="1">
        <v>2025</v>
      </c>
      <c r="F91" s="5"/>
      <c r="G91" s="3">
        <f t="shared" ref="G91:G98" si="18">IF((C91-D91)&lt;0,0,C91-D91)</f>
        <v>251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842</v>
      </c>
      <c r="D94" s="1">
        <v>591</v>
      </c>
      <c r="E94" s="1">
        <v>2025</v>
      </c>
      <c r="F94" s="5"/>
      <c r="G94" s="3">
        <f t="shared" si="18"/>
        <v>251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842</v>
      </c>
      <c r="D96" s="1">
        <v>178</v>
      </c>
      <c r="E96" s="1">
        <v>2025</v>
      </c>
      <c r="F96" s="5"/>
      <c r="G96" s="3">
        <f t="shared" si="18"/>
        <v>664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842</v>
      </c>
      <c r="D97" s="1">
        <v>591</v>
      </c>
      <c r="E97" s="1">
        <v>2025</v>
      </c>
      <c r="F97" s="5"/>
      <c r="G97" s="3">
        <f t="shared" si="18"/>
        <v>251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842</v>
      </c>
      <c r="D98" s="1">
        <v>591</v>
      </c>
      <c r="E98" s="1">
        <v>2025</v>
      </c>
      <c r="F98" s="5"/>
      <c r="G98" s="3">
        <f t="shared" si="18"/>
        <v>251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91:F98 F71:F79 F2:F6 F8:F12 F81:F89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79" zoomScale="70" zoomScaleNormal="70" workbookViewId="0">
      <selection activeCell="K137" sqref="K137"/>
    </sheetView>
  </sheetViews>
  <sheetFormatPr defaultRowHeight="13.9"/>
  <cols>
    <col min="1" max="1" width="9.42578125" customWidth="1"/>
    <col min="2" max="2" width="23.5703125" customWidth="1"/>
    <col min="3" max="4" width="11.42578125" customWidth="1"/>
    <col min="5" max="5" width="21" customWidth="1"/>
    <col min="6" max="10" width="10.5703125" customWidth="1"/>
    <col min="11" max="11" width="21" customWidth="1"/>
    <col min="12" max="16" width="10.28515625" customWidth="1"/>
    <col min="17" max="17" width="22" customWidth="1"/>
    <col min="18" max="22" width="11" customWidth="1"/>
    <col min="23" max="23" width="21.7109375" customWidth="1"/>
    <col min="24" max="27" width="9.5703125" customWidth="1"/>
  </cols>
  <sheetData>
    <row r="1" spans="1:27" s="28" customFormat="1" ht="34.15" customHeight="1">
      <c r="D1" s="45" t="s">
        <v>33</v>
      </c>
      <c r="E1" s="45"/>
      <c r="F1" s="45"/>
      <c r="G1" s="45"/>
      <c r="H1" s="45"/>
      <c r="I1" s="45"/>
      <c r="J1" s="46" t="s">
        <v>34</v>
      </c>
      <c r="K1" s="46"/>
      <c r="L1" s="46"/>
      <c r="M1" s="46"/>
      <c r="N1" s="46"/>
      <c r="O1" s="46"/>
      <c r="P1" s="47" t="s">
        <v>35</v>
      </c>
      <c r="Q1" s="47"/>
      <c r="R1" s="47"/>
      <c r="S1" s="47"/>
      <c r="T1" s="47"/>
      <c r="U1" s="47"/>
      <c r="V1" s="48" t="s">
        <v>36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>
      <c r="A14" s="1">
        <v>2</v>
      </c>
      <c r="B14" s="4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.75">
      <c r="A23" s="1">
        <v>3</v>
      </c>
      <c r="B23" s="4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3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3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3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4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43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24</v>
      </c>
      <c r="B108" s="43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24</v>
      </c>
      <c r="B109" s="43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B100" zoomScale="55" zoomScaleNormal="55" workbookViewId="0">
      <selection activeCell="X122" sqref="X122"/>
    </sheetView>
  </sheetViews>
  <sheetFormatPr defaultRowHeight="13.9"/>
  <cols>
    <col min="1" max="1" width="7.85546875" customWidth="1"/>
    <col min="2" max="2" width="23.28515625" customWidth="1"/>
    <col min="3" max="4" width="10.85546875" customWidth="1"/>
    <col min="5" max="5" width="22.85546875" customWidth="1"/>
    <col min="6" max="10" width="12" customWidth="1"/>
    <col min="11" max="11" width="22" customWidth="1"/>
    <col min="12" max="12" width="18.140625" customWidth="1"/>
    <col min="13" max="16" width="11.42578125" customWidth="1"/>
    <col min="17" max="17" width="22" customWidth="1"/>
    <col min="18" max="22" width="11.28515625" customWidth="1"/>
    <col min="23" max="23" width="22.28515625" customWidth="1"/>
    <col min="24" max="27" width="11.5703125" customWidth="1"/>
  </cols>
  <sheetData>
    <row r="1" spans="1:27" s="28" customFormat="1" ht="34.15" customHeight="1">
      <c r="B1" s="35"/>
      <c r="D1" s="45" t="s">
        <v>33</v>
      </c>
      <c r="E1" s="45"/>
      <c r="F1" s="45"/>
      <c r="G1" s="45"/>
      <c r="H1" s="45"/>
      <c r="I1" s="45"/>
      <c r="J1" s="46" t="s">
        <v>34</v>
      </c>
      <c r="K1" s="46"/>
      <c r="L1" s="46"/>
      <c r="M1" s="46"/>
      <c r="N1" s="46"/>
      <c r="O1" s="46"/>
      <c r="P1" s="47" t="s">
        <v>35</v>
      </c>
      <c r="Q1" s="47"/>
      <c r="R1" s="47"/>
      <c r="S1" s="47"/>
      <c r="T1" s="47"/>
      <c r="U1" s="47"/>
      <c r="V1" s="48" t="s">
        <v>36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6.75">
      <c r="A3" s="1">
        <v>1</v>
      </c>
      <c r="B3" s="4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4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4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3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3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43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4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1857</v>
      </c>
      <c r="D91" s="12">
        <f>Table14[[#This Row],[Enrolment S.Y. 2025-2026 ]]*8</f>
        <v>14856</v>
      </c>
      <c r="E91" s="12"/>
      <c r="F91" s="10"/>
      <c r="G91" s="12"/>
      <c r="H91" s="12">
        <f t="shared" si="22"/>
        <v>14856</v>
      </c>
      <c r="I91" s="12">
        <f t="shared" si="23"/>
        <v>0</v>
      </c>
      <c r="J91" s="12">
        <f>Table14[[#This Row],[Enrolment S.Y. 2025-2026 ]]*8</f>
        <v>14856</v>
      </c>
      <c r="K91" s="12"/>
      <c r="L91" s="10"/>
      <c r="M91" s="12"/>
      <c r="N91" s="12">
        <f t="shared" si="20"/>
        <v>14856</v>
      </c>
      <c r="O91" s="12">
        <f t="shared" si="21"/>
        <v>0</v>
      </c>
      <c r="P91" s="12">
        <f>Table14[[#This Row],[Enrolment S.Y. 2025-2026 ]]*8</f>
        <v>14856</v>
      </c>
      <c r="Q91" s="12"/>
      <c r="R91" s="10"/>
      <c r="S91" s="12"/>
      <c r="T91" s="12">
        <f t="shared" si="16"/>
        <v>14856</v>
      </c>
      <c r="U91" s="12">
        <f t="shared" si="17"/>
        <v>0</v>
      </c>
      <c r="V91" s="12">
        <f>Table14[[#This Row],[Enrolment S.Y. 2025-2026 ]]*8</f>
        <v>14856</v>
      </c>
      <c r="W91" s="12">
        <v>1400</v>
      </c>
      <c r="X91" s="10">
        <v>2025</v>
      </c>
      <c r="Y91" s="12" t="s">
        <v>91</v>
      </c>
      <c r="Z91" s="12">
        <f t="shared" si="18"/>
        <v>13456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1857</v>
      </c>
      <c r="D92" s="12">
        <f>Table14[[#This Row],[Enrolment S.Y. 2025-2026 ]]*8</f>
        <v>14856</v>
      </c>
      <c r="E92" s="12">
        <v>636</v>
      </c>
      <c r="F92" s="10">
        <v>2025</v>
      </c>
      <c r="G92" s="12" t="s">
        <v>91</v>
      </c>
      <c r="H92" s="12">
        <f t="shared" si="22"/>
        <v>14220</v>
      </c>
      <c r="I92" s="12">
        <v>636</v>
      </c>
      <c r="J92" s="12">
        <f>Table14[[#This Row],[Enrolment S.Y. 2025-2026 ]]*8</f>
        <v>14856</v>
      </c>
      <c r="K92" s="12">
        <v>800</v>
      </c>
      <c r="L92" s="10">
        <v>2025</v>
      </c>
      <c r="M92" s="12" t="s">
        <v>91</v>
      </c>
      <c r="N92" s="12">
        <f t="shared" si="20"/>
        <v>14056</v>
      </c>
      <c r="O92" s="12">
        <f t="shared" si="21"/>
        <v>0</v>
      </c>
      <c r="P92" s="12">
        <f>Table14[[#This Row],[Enrolment S.Y. 2025-2026 ]]*8</f>
        <v>14856</v>
      </c>
      <c r="Q92" s="12">
        <v>500</v>
      </c>
      <c r="R92" s="10">
        <v>2025</v>
      </c>
      <c r="S92" s="12" t="s">
        <v>91</v>
      </c>
      <c r="T92" s="12">
        <f t="shared" si="16"/>
        <v>14356</v>
      </c>
      <c r="U92" s="12">
        <f t="shared" si="17"/>
        <v>0</v>
      </c>
      <c r="V92" s="12">
        <f>Table14[[#This Row],[Enrolment S.Y. 2025-2026 ]]*8</f>
        <v>14856</v>
      </c>
      <c r="W92" s="12">
        <v>700</v>
      </c>
      <c r="X92" s="10">
        <v>2025</v>
      </c>
      <c r="Y92" s="12" t="s">
        <v>91</v>
      </c>
      <c r="Z92" s="12">
        <f t="shared" si="18"/>
        <v>14156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1857</v>
      </c>
      <c r="D93" s="12">
        <f>Table14[[#This Row],[Enrolment S.Y. 2025-2026 ]]*8</f>
        <v>14856</v>
      </c>
      <c r="E93" s="12">
        <v>2438</v>
      </c>
      <c r="F93" s="10">
        <v>2025</v>
      </c>
      <c r="G93" s="12" t="s">
        <v>91</v>
      </c>
      <c r="H93" s="12">
        <f t="shared" si="22"/>
        <v>12418</v>
      </c>
      <c r="I93" s="12">
        <v>2438</v>
      </c>
      <c r="J93" s="12">
        <f>Table14[[#This Row],[Enrolment S.Y. 2025-2026 ]]*8</f>
        <v>14856</v>
      </c>
      <c r="K93" s="12">
        <v>1000</v>
      </c>
      <c r="L93" s="10">
        <v>2025</v>
      </c>
      <c r="M93" s="12" t="s">
        <v>91</v>
      </c>
      <c r="N93" s="12">
        <f t="shared" si="20"/>
        <v>13856</v>
      </c>
      <c r="O93" s="12">
        <f t="shared" si="21"/>
        <v>0</v>
      </c>
      <c r="P93" s="12">
        <f>Table14[[#This Row],[Enrolment S.Y. 2025-2026 ]]*8</f>
        <v>14856</v>
      </c>
      <c r="Q93" s="12">
        <v>1600</v>
      </c>
      <c r="R93" s="10">
        <v>2025</v>
      </c>
      <c r="S93" s="12" t="s">
        <v>91</v>
      </c>
      <c r="T93" s="12">
        <f t="shared" si="16"/>
        <v>13256</v>
      </c>
      <c r="U93" s="12">
        <f t="shared" si="17"/>
        <v>0</v>
      </c>
      <c r="V93" s="12">
        <f>Table14[[#This Row],[Enrolment S.Y. 2025-2026 ]]*8</f>
        <v>14856</v>
      </c>
      <c r="W93" s="12">
        <v>900</v>
      </c>
      <c r="X93" s="10">
        <v>2025</v>
      </c>
      <c r="Y93" s="12" t="s">
        <v>91</v>
      </c>
      <c r="Z93" s="12">
        <f t="shared" si="18"/>
        <v>13956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1857</v>
      </c>
      <c r="D94" s="12">
        <f>Table14[[#This Row],[Enrolment S.Y. 2025-2026 ]]*8</f>
        <v>14856</v>
      </c>
      <c r="E94" s="12"/>
      <c r="F94" s="10"/>
      <c r="G94" s="12"/>
      <c r="H94" s="12">
        <f t="shared" si="22"/>
        <v>14856</v>
      </c>
      <c r="I94" s="12">
        <f t="shared" si="23"/>
        <v>0</v>
      </c>
      <c r="J94" s="12">
        <f>Table14[[#This Row],[Enrolment S.Y. 2025-2026 ]]*8</f>
        <v>14856</v>
      </c>
      <c r="K94" s="12"/>
      <c r="L94" s="10"/>
      <c r="M94" s="12"/>
      <c r="N94" s="12">
        <f t="shared" si="20"/>
        <v>14856</v>
      </c>
      <c r="O94" s="12">
        <f t="shared" si="21"/>
        <v>0</v>
      </c>
      <c r="P94" s="12">
        <f>Table14[[#This Row],[Enrolment S.Y. 2025-2026 ]]*8</f>
        <v>14856</v>
      </c>
      <c r="Q94" s="12"/>
      <c r="R94" s="10"/>
      <c r="S94" s="12"/>
      <c r="T94" s="12">
        <f t="shared" si="16"/>
        <v>14856</v>
      </c>
      <c r="U94" s="12">
        <f t="shared" si="17"/>
        <v>0</v>
      </c>
      <c r="V94" s="12">
        <f>Table14[[#This Row],[Enrolment S.Y. 2025-2026 ]]*8</f>
        <v>14856</v>
      </c>
      <c r="W94" s="12"/>
      <c r="X94" s="10"/>
      <c r="Y94" s="12"/>
      <c r="Z94" s="12">
        <f t="shared" si="18"/>
        <v>14856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1857</v>
      </c>
      <c r="D95" s="12">
        <f>Table14[[#This Row],[Enrolment S.Y. 2025-2026 ]]*8</f>
        <v>14856</v>
      </c>
      <c r="E95" s="12"/>
      <c r="F95" s="10"/>
      <c r="G95" s="12"/>
      <c r="H95" s="12">
        <f t="shared" si="22"/>
        <v>14856</v>
      </c>
      <c r="I95" s="12">
        <f t="shared" si="23"/>
        <v>0</v>
      </c>
      <c r="J95" s="12">
        <f>Table14[[#This Row],[Enrolment S.Y. 2025-2026 ]]*8</f>
        <v>14856</v>
      </c>
      <c r="K95" s="12"/>
      <c r="L95" s="10"/>
      <c r="M95" s="12"/>
      <c r="N95" s="12">
        <f t="shared" si="20"/>
        <v>14856</v>
      </c>
      <c r="O95" s="12">
        <f t="shared" si="21"/>
        <v>0</v>
      </c>
      <c r="P95" s="12">
        <f>Table14[[#This Row],[Enrolment S.Y. 2025-2026 ]]*8</f>
        <v>14856</v>
      </c>
      <c r="Q95" s="12">
        <v>600</v>
      </c>
      <c r="R95" s="10">
        <v>2025</v>
      </c>
      <c r="S95" s="12" t="s">
        <v>91</v>
      </c>
      <c r="T95" s="12">
        <f t="shared" si="16"/>
        <v>14256</v>
      </c>
      <c r="U95" s="12">
        <f t="shared" si="17"/>
        <v>0</v>
      </c>
      <c r="V95" s="12">
        <f>Table14[[#This Row],[Enrolment S.Y. 2025-2026 ]]*8</f>
        <v>14856</v>
      </c>
      <c r="W95" s="12">
        <v>400</v>
      </c>
      <c r="X95" s="10">
        <v>2025</v>
      </c>
      <c r="Y95" s="12" t="s">
        <v>91</v>
      </c>
      <c r="Z95" s="12">
        <f t="shared" si="18"/>
        <v>14456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1857</v>
      </c>
      <c r="D96" s="12">
        <f>Table14[[#This Row],[Enrolment S.Y. 2025-2026 ]]*8</f>
        <v>14856</v>
      </c>
      <c r="E96" s="12"/>
      <c r="F96" s="10"/>
      <c r="G96" s="12"/>
      <c r="H96" s="12">
        <f t="shared" si="22"/>
        <v>14856</v>
      </c>
      <c r="I96" s="12">
        <f t="shared" si="23"/>
        <v>0</v>
      </c>
      <c r="J96" s="12">
        <f>Table14[[#This Row],[Enrolment S.Y. 2025-2026 ]]*8</f>
        <v>14856</v>
      </c>
      <c r="K96" s="12"/>
      <c r="L96" s="10"/>
      <c r="M96" s="12"/>
      <c r="N96" s="12">
        <f t="shared" si="20"/>
        <v>14856</v>
      </c>
      <c r="O96" s="12">
        <f t="shared" si="21"/>
        <v>0</v>
      </c>
      <c r="P96" s="12">
        <f>Table14[[#This Row],[Enrolment S.Y. 2025-2026 ]]*8</f>
        <v>14856</v>
      </c>
      <c r="Q96" s="12">
        <v>600</v>
      </c>
      <c r="R96" s="10">
        <v>2025</v>
      </c>
      <c r="S96" s="12" t="s">
        <v>91</v>
      </c>
      <c r="T96" s="12">
        <f t="shared" si="16"/>
        <v>14256</v>
      </c>
      <c r="U96" s="12">
        <f t="shared" si="17"/>
        <v>0</v>
      </c>
      <c r="V96" s="12">
        <f>Table14[[#This Row],[Enrolment S.Y. 2025-2026 ]]*8</f>
        <v>14856</v>
      </c>
      <c r="W96" s="12">
        <v>1000</v>
      </c>
      <c r="X96" s="10">
        <v>2025</v>
      </c>
      <c r="Y96" s="12" t="s">
        <v>91</v>
      </c>
      <c r="Z96" s="12">
        <f t="shared" si="18"/>
        <v>13856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1857</v>
      </c>
      <c r="D97" s="12">
        <f>Table14[[#This Row],[Enrolment S.Y. 2025-2026 ]]*8</f>
        <v>14856</v>
      </c>
      <c r="E97" s="12"/>
      <c r="F97" s="10"/>
      <c r="G97" s="12"/>
      <c r="H97" s="12">
        <f>IF((D97-E97)&lt;0,0,(D97-E97))</f>
        <v>14856</v>
      </c>
      <c r="I97" s="12">
        <f>IF((E97-D97)&lt;0,0,(E97-D97))</f>
        <v>0</v>
      </c>
      <c r="J97" s="12">
        <f>Table14[[#This Row],[Enrolment S.Y. 2025-2026 ]]*8</f>
        <v>14856</v>
      </c>
      <c r="K97" s="12"/>
      <c r="L97" s="10"/>
      <c r="M97" s="12"/>
      <c r="N97" s="12">
        <f t="shared" ref="N97:N101" si="26">IF((J97-K97)&lt;0,0,(J97-K97))</f>
        <v>14856</v>
      </c>
      <c r="O97" s="12">
        <f t="shared" ref="O97:O101" si="27">IF((K97-J97)&lt;0,0,(K97-J97))</f>
        <v>0</v>
      </c>
      <c r="P97" s="12">
        <f>Table14[[#This Row],[Enrolment S.Y. 2025-2026 ]]*8</f>
        <v>14856</v>
      </c>
      <c r="Q97" s="12"/>
      <c r="R97" s="10"/>
      <c r="S97" s="12"/>
      <c r="T97" s="12">
        <f>IF((P97-Q97)&lt;0,0,(P97-Q97))</f>
        <v>14856</v>
      </c>
      <c r="U97" s="12">
        <f>IF((Q97-P97)&lt;0,0,(Q97-P97))</f>
        <v>0</v>
      </c>
      <c r="V97" s="12">
        <f>Table14[[#This Row],[Enrolment S.Y. 2025-2026 ]]*8</f>
        <v>14856</v>
      </c>
      <c r="W97" s="12">
        <v>800</v>
      </c>
      <c r="X97" s="10">
        <v>2025</v>
      </c>
      <c r="Y97" s="12" t="s">
        <v>91</v>
      </c>
      <c r="Z97" s="12">
        <f>IF((V97-W97)&lt;0,0,(V97-W97))</f>
        <v>14056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1857</v>
      </c>
      <c r="D98" s="12">
        <f>Table14[[#This Row],[Enrolment S.Y. 2025-2026 ]]*8</f>
        <v>14856</v>
      </c>
      <c r="E98" s="12"/>
      <c r="F98" s="10"/>
      <c r="G98" s="12"/>
      <c r="H98" s="12">
        <f t="shared" si="22"/>
        <v>14856</v>
      </c>
      <c r="I98" s="12">
        <f t="shared" si="23"/>
        <v>0</v>
      </c>
      <c r="J98" s="12">
        <f>Table14[[#This Row],[Enrolment S.Y. 2025-2026 ]]*8</f>
        <v>14856</v>
      </c>
      <c r="K98" s="12"/>
      <c r="L98" s="10"/>
      <c r="M98" s="12"/>
      <c r="N98" s="12">
        <f t="shared" si="26"/>
        <v>14856</v>
      </c>
      <c r="O98" s="12">
        <f t="shared" si="27"/>
        <v>0</v>
      </c>
      <c r="P98" s="12">
        <f>Table14[[#This Row],[Enrolment S.Y. 2025-2026 ]]*8</f>
        <v>14856</v>
      </c>
      <c r="Q98" s="12"/>
      <c r="R98" s="10"/>
      <c r="S98" s="12"/>
      <c r="T98" s="12">
        <f t="shared" si="16"/>
        <v>14856</v>
      </c>
      <c r="U98" s="12">
        <f t="shared" si="17"/>
        <v>0</v>
      </c>
      <c r="V98" s="12">
        <f>Table14[[#This Row],[Enrolment S.Y. 2025-2026 ]]*8</f>
        <v>14856</v>
      </c>
      <c r="W98" s="12"/>
      <c r="X98" s="10"/>
      <c r="Y98" s="12"/>
      <c r="Z98" s="12">
        <f t="shared" si="18"/>
        <v>14856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1857</v>
      </c>
      <c r="D99" s="12">
        <f>Table14[[#This Row],[Enrolment S.Y. 2025-2026 ]]*8</f>
        <v>14856</v>
      </c>
      <c r="E99" s="12"/>
      <c r="F99" s="10"/>
      <c r="G99" s="12"/>
      <c r="H99" s="12">
        <f t="shared" si="22"/>
        <v>14856</v>
      </c>
      <c r="I99" s="12">
        <f t="shared" si="23"/>
        <v>0</v>
      </c>
      <c r="J99" s="12">
        <f>Table14[[#This Row],[Enrolment S.Y. 2025-2026 ]]*8</f>
        <v>14856</v>
      </c>
      <c r="K99" s="12"/>
      <c r="L99" s="10"/>
      <c r="M99" s="12"/>
      <c r="N99" s="12">
        <f t="shared" si="26"/>
        <v>14856</v>
      </c>
      <c r="O99" s="12">
        <f t="shared" si="27"/>
        <v>0</v>
      </c>
      <c r="P99" s="12">
        <f>Table14[[#This Row],[Enrolment S.Y. 2025-2026 ]]*8</f>
        <v>14856</v>
      </c>
      <c r="Q99" s="12"/>
      <c r="R99" s="10"/>
      <c r="S99" s="12"/>
      <c r="T99" s="12">
        <f t="shared" si="16"/>
        <v>14856</v>
      </c>
      <c r="U99" s="12">
        <f t="shared" si="17"/>
        <v>0</v>
      </c>
      <c r="V99" s="12">
        <f>Table14[[#This Row],[Enrolment S.Y. 2025-2026 ]]*8</f>
        <v>14856</v>
      </c>
      <c r="W99" s="12"/>
      <c r="X99" s="10"/>
      <c r="Y99" s="12"/>
      <c r="Z99" s="12">
        <f t="shared" si="18"/>
        <v>14856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1857</v>
      </c>
      <c r="D100" s="12">
        <f>Table14[[#This Row],[Enrolment S.Y. 2025-2026 ]]*8</f>
        <v>14856</v>
      </c>
      <c r="E100" s="12"/>
      <c r="F100" s="10"/>
      <c r="G100" s="12"/>
      <c r="H100" s="12">
        <f>IF((D100-E100)&lt;0,0,(D100-E100))</f>
        <v>14856</v>
      </c>
      <c r="I100" s="12">
        <f>IF((E100-D100)&lt;0,0,(E100-D100))</f>
        <v>0</v>
      </c>
      <c r="J100" s="12">
        <f>Table14[[#This Row],[Enrolment S.Y. 2025-2026 ]]*8</f>
        <v>14856</v>
      </c>
      <c r="K100" s="12"/>
      <c r="L100" s="10"/>
      <c r="M100" s="12"/>
      <c r="N100" s="12">
        <f t="shared" si="26"/>
        <v>14856</v>
      </c>
      <c r="O100" s="12">
        <f t="shared" si="27"/>
        <v>0</v>
      </c>
      <c r="P100" s="12">
        <f>Table14[[#This Row],[Enrolment S.Y. 2025-2026 ]]*8</f>
        <v>14856</v>
      </c>
      <c r="Q100" s="12">
        <v>800</v>
      </c>
      <c r="R100" s="10">
        <v>2025</v>
      </c>
      <c r="S100" s="12" t="s">
        <v>91</v>
      </c>
      <c r="T100" s="12">
        <f>IF((P100-Q100)&lt;0,0,(P100-Q100))</f>
        <v>14056</v>
      </c>
      <c r="U100" s="12">
        <f>IF((Q100-P100)&lt;0,0,(Q100-P100))</f>
        <v>0</v>
      </c>
      <c r="V100" s="12">
        <f>Table14[[#This Row],[Enrolment S.Y. 2025-2026 ]]*8</f>
        <v>14856</v>
      </c>
      <c r="W100" s="12">
        <v>500</v>
      </c>
      <c r="X100" s="10">
        <v>2025</v>
      </c>
      <c r="Y100" s="12" t="s">
        <v>91</v>
      </c>
      <c r="Z100" s="12">
        <f>IF((V100-W100)&lt;0,0,(V100-W100))</f>
        <v>14356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1857</v>
      </c>
      <c r="D101" s="12">
        <f>Table14[[#This Row],[Enrolment S.Y. 2025-2026 ]]*8</f>
        <v>14856</v>
      </c>
      <c r="E101" s="12"/>
      <c r="F101" s="10"/>
      <c r="G101" s="12"/>
      <c r="H101" s="12">
        <f t="shared" si="22"/>
        <v>14856</v>
      </c>
      <c r="I101" s="12">
        <f t="shared" si="23"/>
        <v>0</v>
      </c>
      <c r="J101" s="12">
        <f>Table14[[#This Row],[Enrolment S.Y. 2025-2026 ]]*8</f>
        <v>14856</v>
      </c>
      <c r="K101" s="12"/>
      <c r="L101" s="10"/>
      <c r="M101" s="12"/>
      <c r="N101" s="12">
        <f t="shared" si="26"/>
        <v>14856</v>
      </c>
      <c r="O101" s="12">
        <f t="shared" si="27"/>
        <v>0</v>
      </c>
      <c r="P101" s="12">
        <f>Table14[[#This Row],[Enrolment S.Y. 2025-2026 ]]*8</f>
        <v>14856</v>
      </c>
      <c r="Q101" s="12">
        <v>300</v>
      </c>
      <c r="R101" s="10">
        <v>2025</v>
      </c>
      <c r="S101" s="12" t="s">
        <v>91</v>
      </c>
      <c r="T101" s="12">
        <f t="shared" si="16"/>
        <v>14556</v>
      </c>
      <c r="U101" s="12">
        <f t="shared" si="17"/>
        <v>0</v>
      </c>
      <c r="V101" s="12">
        <f>Table14[[#This Row],[Enrolment S.Y. 2025-2026 ]]*8</f>
        <v>14856</v>
      </c>
      <c r="W101" s="12">
        <v>500</v>
      </c>
      <c r="X101" s="10">
        <v>2025</v>
      </c>
      <c r="Y101" s="12" t="s">
        <v>91</v>
      </c>
      <c r="Z101" s="12">
        <f t="shared" si="18"/>
        <v>14356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842</v>
      </c>
      <c r="D103" s="12">
        <f>Table14[[#This Row],[Enrolment S.Y. 2025-2026 ]]*8</f>
        <v>6736</v>
      </c>
      <c r="E103" s="12"/>
      <c r="F103" s="10"/>
      <c r="G103" s="12"/>
      <c r="H103" s="12">
        <f t="shared" si="22"/>
        <v>6736</v>
      </c>
      <c r="I103" s="12">
        <f t="shared" si="23"/>
        <v>0</v>
      </c>
      <c r="J103" s="12">
        <f>Table14[[#This Row],[Enrolment S.Y. 2025-2026 ]]*8</f>
        <v>6736</v>
      </c>
      <c r="K103" s="12">
        <v>779</v>
      </c>
      <c r="L103" s="10">
        <v>2025</v>
      </c>
      <c r="M103" s="12" t="s">
        <v>91</v>
      </c>
      <c r="N103" s="12">
        <f t="shared" si="20"/>
        <v>5957</v>
      </c>
      <c r="O103" s="12">
        <f t="shared" si="21"/>
        <v>0</v>
      </c>
      <c r="P103" s="12">
        <f>Table14[[#This Row],[Enrolment S.Y. 2025-2026 ]]*8</f>
        <v>6736</v>
      </c>
      <c r="Q103" s="12"/>
      <c r="R103" s="10"/>
      <c r="S103" s="12"/>
      <c r="T103" s="12">
        <f t="shared" si="16"/>
        <v>6736</v>
      </c>
      <c r="U103" s="12">
        <f t="shared" si="17"/>
        <v>0</v>
      </c>
      <c r="V103" s="12">
        <f>Table14[[#This Row],[Enrolment S.Y. 2025-2026 ]]*8</f>
        <v>6736</v>
      </c>
      <c r="W103" s="12">
        <v>270</v>
      </c>
      <c r="X103" s="10">
        <v>2025</v>
      </c>
      <c r="Y103" s="12" t="s">
        <v>91</v>
      </c>
      <c r="Z103" s="12">
        <f t="shared" si="18"/>
        <v>6466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842</v>
      </c>
      <c r="D104" s="12">
        <f>Table14[[#This Row],[Enrolment S.Y. 2025-2026 ]]*8</f>
        <v>6736</v>
      </c>
      <c r="E104" s="12">
        <v>848</v>
      </c>
      <c r="F104" s="10">
        <v>2025</v>
      </c>
      <c r="G104" s="12" t="s">
        <v>91</v>
      </c>
      <c r="H104" s="12">
        <f t="shared" si="22"/>
        <v>5888</v>
      </c>
      <c r="I104" s="12">
        <f t="shared" si="23"/>
        <v>0</v>
      </c>
      <c r="J104" s="12">
        <f>Table14[[#This Row],[Enrolment S.Y. 2025-2026 ]]*8</f>
        <v>6736</v>
      </c>
      <c r="K104" s="12"/>
      <c r="L104" s="10"/>
      <c r="M104" s="12"/>
      <c r="N104" s="12">
        <f t="shared" si="20"/>
        <v>6736</v>
      </c>
      <c r="O104" s="12">
        <f t="shared" si="21"/>
        <v>0</v>
      </c>
      <c r="P104" s="12">
        <f>Table14[[#This Row],[Enrolment S.Y. 2025-2026 ]]*8</f>
        <v>6736</v>
      </c>
      <c r="Q104" s="12">
        <v>630</v>
      </c>
      <c r="R104" s="10">
        <v>2025</v>
      </c>
      <c r="S104" s="12" t="s">
        <v>91</v>
      </c>
      <c r="T104" s="12">
        <f t="shared" si="16"/>
        <v>6106</v>
      </c>
      <c r="U104" s="12">
        <f t="shared" si="17"/>
        <v>0</v>
      </c>
      <c r="V104" s="12">
        <f>Table14[[#This Row],[Enrolment S.Y. 2025-2026 ]]*8</f>
        <v>6736</v>
      </c>
      <c r="W104" s="12">
        <v>630</v>
      </c>
      <c r="X104" s="10">
        <v>2025</v>
      </c>
      <c r="Y104" s="12" t="s">
        <v>91</v>
      </c>
      <c r="Z104" s="12">
        <f t="shared" si="18"/>
        <v>6106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842</v>
      </c>
      <c r="D105" s="12">
        <f>Table14[[#This Row],[Enrolment S.Y. 2025-2026 ]]*8</f>
        <v>6736</v>
      </c>
      <c r="E105" s="12">
        <v>1060</v>
      </c>
      <c r="F105" s="10">
        <v>2025</v>
      </c>
      <c r="G105" s="12" t="s">
        <v>91</v>
      </c>
      <c r="H105" s="12">
        <f t="shared" si="22"/>
        <v>5676</v>
      </c>
      <c r="I105" s="12">
        <f t="shared" si="23"/>
        <v>0</v>
      </c>
      <c r="J105" s="12">
        <f>Table14[[#This Row],[Enrolment S.Y. 2025-2026 ]]*8</f>
        <v>6736</v>
      </c>
      <c r="K105" s="12">
        <v>810</v>
      </c>
      <c r="L105" s="10">
        <v>2025</v>
      </c>
      <c r="M105" s="12" t="s">
        <v>91</v>
      </c>
      <c r="N105" s="12">
        <f t="shared" si="20"/>
        <v>5926</v>
      </c>
      <c r="O105" s="12">
        <f t="shared" si="21"/>
        <v>0</v>
      </c>
      <c r="P105" s="12">
        <f>Table14[[#This Row],[Enrolment S.Y. 2025-2026 ]]*8</f>
        <v>6736</v>
      </c>
      <c r="Q105" s="12">
        <v>180</v>
      </c>
      <c r="R105" s="10">
        <v>2025</v>
      </c>
      <c r="S105" s="12" t="s">
        <v>91</v>
      </c>
      <c r="T105" s="12">
        <f t="shared" si="16"/>
        <v>6556</v>
      </c>
      <c r="U105" s="12">
        <f t="shared" si="17"/>
        <v>0</v>
      </c>
      <c r="V105" s="12">
        <f>Table14[[#This Row],[Enrolment S.Y. 2025-2026 ]]*8</f>
        <v>6736</v>
      </c>
      <c r="W105" s="12">
        <v>360</v>
      </c>
      <c r="X105" s="10">
        <v>2025</v>
      </c>
      <c r="Y105" s="12" t="s">
        <v>91</v>
      </c>
      <c r="Z105" s="12">
        <f t="shared" si="18"/>
        <v>6376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842</v>
      </c>
      <c r="D106" s="12">
        <f>Table14[[#This Row],[Enrolment S.Y. 2025-2026 ]]*8</f>
        <v>6736</v>
      </c>
      <c r="E106" s="12"/>
      <c r="F106" s="10"/>
      <c r="G106" s="12"/>
      <c r="H106" s="12">
        <f t="shared" si="22"/>
        <v>6736</v>
      </c>
      <c r="I106" s="12">
        <f t="shared" si="23"/>
        <v>0</v>
      </c>
      <c r="J106" s="12">
        <f>Table14[[#This Row],[Enrolment S.Y. 2025-2026 ]]*8</f>
        <v>6736</v>
      </c>
      <c r="K106" s="12"/>
      <c r="L106" s="10"/>
      <c r="M106" s="12"/>
      <c r="N106" s="12">
        <f t="shared" si="20"/>
        <v>6736</v>
      </c>
      <c r="O106" s="12">
        <f t="shared" si="21"/>
        <v>0</v>
      </c>
      <c r="P106" s="12">
        <f>Table14[[#This Row],[Enrolment S.Y. 2025-2026 ]]*8</f>
        <v>6736</v>
      </c>
      <c r="Q106" s="12"/>
      <c r="R106" s="10"/>
      <c r="S106" s="12"/>
      <c r="T106" s="12">
        <f t="shared" si="16"/>
        <v>6736</v>
      </c>
      <c r="U106" s="12">
        <f t="shared" si="17"/>
        <v>0</v>
      </c>
      <c r="V106" s="12">
        <f>Table14[[#This Row],[Enrolment S.Y. 2025-2026 ]]*8</f>
        <v>6736</v>
      </c>
      <c r="W106" s="12">
        <v>360</v>
      </c>
      <c r="X106" s="10">
        <v>2025</v>
      </c>
      <c r="Y106" s="12" t="s">
        <v>91</v>
      </c>
      <c r="Z106" s="12">
        <f t="shared" si="18"/>
        <v>6376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842</v>
      </c>
      <c r="D107" s="12">
        <f>Table14[[#This Row],[Enrolment S.Y. 2025-2026 ]]*8</f>
        <v>6736</v>
      </c>
      <c r="E107" s="12"/>
      <c r="F107" s="10"/>
      <c r="G107" s="12"/>
      <c r="H107" s="12">
        <f t="shared" si="22"/>
        <v>6736</v>
      </c>
      <c r="I107" s="12">
        <f t="shared" si="23"/>
        <v>0</v>
      </c>
      <c r="J107" s="12">
        <f>Table14[[#This Row],[Enrolment S.Y. 2025-2026 ]]*8</f>
        <v>6736</v>
      </c>
      <c r="K107" s="12"/>
      <c r="L107" s="10"/>
      <c r="M107" s="12"/>
      <c r="N107" s="12">
        <f t="shared" si="20"/>
        <v>6736</v>
      </c>
      <c r="O107" s="12">
        <f t="shared" si="21"/>
        <v>0</v>
      </c>
      <c r="P107" s="12">
        <f>Table14[[#This Row],[Enrolment S.Y. 2025-2026 ]]*8</f>
        <v>6736</v>
      </c>
      <c r="Q107" s="12"/>
      <c r="R107" s="10"/>
      <c r="S107" s="12"/>
      <c r="T107" s="12">
        <f t="shared" si="16"/>
        <v>6736</v>
      </c>
      <c r="U107" s="12">
        <f t="shared" si="17"/>
        <v>0</v>
      </c>
      <c r="V107" s="12">
        <f>Table14[[#This Row],[Enrolment S.Y. 2025-2026 ]]*8</f>
        <v>6736</v>
      </c>
      <c r="W107" s="12">
        <v>360</v>
      </c>
      <c r="X107" s="10">
        <v>2025</v>
      </c>
      <c r="Y107" s="12" t="s">
        <v>91</v>
      </c>
      <c r="Z107" s="12">
        <f t="shared" si="18"/>
        <v>6376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842</v>
      </c>
      <c r="D108" s="12">
        <f>Table14[[#This Row],[Enrolment S.Y. 2025-2026 ]]*8</f>
        <v>6736</v>
      </c>
      <c r="E108" s="12"/>
      <c r="F108" s="10"/>
      <c r="G108" s="12"/>
      <c r="H108" s="12">
        <f t="shared" si="22"/>
        <v>6736</v>
      </c>
      <c r="I108" s="12">
        <f t="shared" si="23"/>
        <v>0</v>
      </c>
      <c r="J108" s="12">
        <f>Table14[[#This Row],[Enrolment S.Y. 2025-2026 ]]*8</f>
        <v>6736</v>
      </c>
      <c r="K108" s="12"/>
      <c r="L108" s="10"/>
      <c r="M108" s="12"/>
      <c r="N108" s="12">
        <f t="shared" si="20"/>
        <v>6736</v>
      </c>
      <c r="O108" s="12">
        <f t="shared" si="21"/>
        <v>0</v>
      </c>
      <c r="P108" s="12">
        <f>Table14[[#This Row],[Enrolment S.Y. 2025-2026 ]]*8</f>
        <v>6736</v>
      </c>
      <c r="Q108" s="12">
        <v>630</v>
      </c>
      <c r="R108" s="10">
        <v>2025</v>
      </c>
      <c r="S108" s="12" t="s">
        <v>91</v>
      </c>
      <c r="T108" s="12">
        <f t="shared" si="16"/>
        <v>6106</v>
      </c>
      <c r="U108" s="12">
        <f t="shared" si="17"/>
        <v>0</v>
      </c>
      <c r="V108" s="12">
        <f>Table14[[#This Row],[Enrolment S.Y. 2025-2026 ]]*8</f>
        <v>6736</v>
      </c>
      <c r="W108" s="12">
        <v>540</v>
      </c>
      <c r="X108" s="10">
        <v>2025</v>
      </c>
      <c r="Y108" s="12" t="s">
        <v>91</v>
      </c>
      <c r="Z108" s="12">
        <f t="shared" si="18"/>
        <v>6196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842</v>
      </c>
      <c r="D109" s="12">
        <f>Table14[[#This Row],[Enrolment S.Y. 2025-2026 ]]*8</f>
        <v>6736</v>
      </c>
      <c r="E109" s="12"/>
      <c r="F109" s="10"/>
      <c r="G109" s="12"/>
      <c r="H109" s="12">
        <f>IF((D109-E109)&lt;0,0,(D109-E109))</f>
        <v>6736</v>
      </c>
      <c r="I109" s="12">
        <f>IF((E109-D109)&lt;0,0,(E109-D109))</f>
        <v>0</v>
      </c>
      <c r="J109" s="12">
        <f>Table14[[#This Row],[Enrolment S.Y. 2025-2026 ]]*8</f>
        <v>6736</v>
      </c>
      <c r="K109" s="12"/>
      <c r="L109" s="10"/>
      <c r="M109" s="12"/>
      <c r="N109" s="12">
        <f t="shared" ref="N109:N113" si="28">IF((J109-K109)&lt;0,0,(J109-K109))</f>
        <v>6736</v>
      </c>
      <c r="O109" s="12">
        <f t="shared" ref="O109:O113" si="29">IF((K109-J109)&lt;0,0,(K109-J109))</f>
        <v>0</v>
      </c>
      <c r="P109" s="12">
        <f>Table14[[#This Row],[Enrolment S.Y. 2025-2026 ]]*8</f>
        <v>6736</v>
      </c>
      <c r="Q109" s="12"/>
      <c r="R109" s="10"/>
      <c r="S109" s="12"/>
      <c r="T109" s="12">
        <f>IF((P109-Q109)&lt;0,0,(P109-Q109))</f>
        <v>6736</v>
      </c>
      <c r="U109" s="12">
        <f>IF((Q109-P109)&lt;0,0,(Q109-P109))</f>
        <v>0</v>
      </c>
      <c r="V109" s="12">
        <f>Table14[[#This Row],[Enrolment S.Y. 2025-2026 ]]*8</f>
        <v>6736</v>
      </c>
      <c r="W109" s="12">
        <v>180</v>
      </c>
      <c r="X109" s="10">
        <v>2025</v>
      </c>
      <c r="Y109" s="12" t="s">
        <v>91</v>
      </c>
      <c r="Z109" s="12">
        <f>IF((V109-W109)&lt;0,0,(V109-W109))</f>
        <v>6556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842</v>
      </c>
      <c r="D110" s="12">
        <f>Table14[[#This Row],[Enrolment S.Y. 2025-2026 ]]*8</f>
        <v>6736</v>
      </c>
      <c r="E110" s="12"/>
      <c r="F110" s="10"/>
      <c r="G110" s="12"/>
      <c r="H110" s="12">
        <f t="shared" si="22"/>
        <v>6736</v>
      </c>
      <c r="I110" s="12">
        <f t="shared" si="23"/>
        <v>0</v>
      </c>
      <c r="J110" s="12">
        <f>Table14[[#This Row],[Enrolment S.Y. 2025-2026 ]]*8</f>
        <v>6736</v>
      </c>
      <c r="K110" s="12"/>
      <c r="L110" s="10"/>
      <c r="M110" s="12"/>
      <c r="N110" s="12">
        <f t="shared" si="28"/>
        <v>6736</v>
      </c>
      <c r="O110" s="12">
        <f t="shared" si="29"/>
        <v>0</v>
      </c>
      <c r="P110" s="12">
        <f>Table14[[#This Row],[Enrolment S.Y. 2025-2026 ]]*8</f>
        <v>6736</v>
      </c>
      <c r="Q110" s="12">
        <v>270</v>
      </c>
      <c r="R110" s="10">
        <v>2025</v>
      </c>
      <c r="S110" s="12" t="s">
        <v>91</v>
      </c>
      <c r="T110" s="12">
        <f t="shared" si="16"/>
        <v>6466</v>
      </c>
      <c r="U110" s="12">
        <f t="shared" si="17"/>
        <v>0</v>
      </c>
      <c r="V110" s="12">
        <f>Table14[[#This Row],[Enrolment S.Y. 2025-2026 ]]*8</f>
        <v>6736</v>
      </c>
      <c r="W110" s="12">
        <v>360</v>
      </c>
      <c r="X110" s="10">
        <v>2025</v>
      </c>
      <c r="Y110" s="12" t="s">
        <v>91</v>
      </c>
      <c r="Z110" s="12">
        <f t="shared" si="18"/>
        <v>6376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842</v>
      </c>
      <c r="D111" s="12">
        <f>Table14[[#This Row],[Enrolment S.Y. 2025-2026 ]]*8</f>
        <v>6736</v>
      </c>
      <c r="E111" s="12"/>
      <c r="F111" s="10"/>
      <c r="G111" s="12"/>
      <c r="H111" s="12">
        <f t="shared" si="22"/>
        <v>6736</v>
      </c>
      <c r="I111" s="12">
        <f t="shared" si="23"/>
        <v>0</v>
      </c>
      <c r="J111" s="12">
        <f>Table14[[#This Row],[Enrolment S.Y. 2025-2026 ]]*8</f>
        <v>6736</v>
      </c>
      <c r="K111" s="12"/>
      <c r="L111" s="10"/>
      <c r="M111" s="12"/>
      <c r="N111" s="12">
        <f t="shared" si="28"/>
        <v>6736</v>
      </c>
      <c r="O111" s="12">
        <f t="shared" si="29"/>
        <v>0</v>
      </c>
      <c r="P111" s="12">
        <f>Table14[[#This Row],[Enrolment S.Y. 2025-2026 ]]*8</f>
        <v>6736</v>
      </c>
      <c r="Q111" s="12"/>
      <c r="R111" s="10"/>
      <c r="S111" s="12"/>
      <c r="T111" s="12">
        <f t="shared" si="16"/>
        <v>6736</v>
      </c>
      <c r="U111" s="12">
        <f t="shared" si="17"/>
        <v>0</v>
      </c>
      <c r="V111" s="12">
        <f>Table14[[#This Row],[Enrolment S.Y. 2025-2026 ]]*8</f>
        <v>6736</v>
      </c>
      <c r="W111" s="12"/>
      <c r="X111" s="10"/>
      <c r="Y111" s="12"/>
      <c r="Z111" s="12">
        <f t="shared" si="18"/>
        <v>6736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842</v>
      </c>
      <c r="D112" s="12">
        <f>Table14[[#This Row],[Enrolment S.Y. 2025-2026 ]]*8</f>
        <v>6736</v>
      </c>
      <c r="E112" s="12"/>
      <c r="F112" s="10"/>
      <c r="G112" s="12"/>
      <c r="H112" s="12">
        <f>IF((D112-E112)&lt;0,0,(D112-E112))</f>
        <v>6736</v>
      </c>
      <c r="I112" s="12">
        <f>IF((E112-D112)&lt;0,0,(E112-D112))</f>
        <v>0</v>
      </c>
      <c r="J112" s="12">
        <f>Table14[[#This Row],[Enrolment S.Y. 2025-2026 ]]*8</f>
        <v>6736</v>
      </c>
      <c r="K112" s="12"/>
      <c r="L112" s="10"/>
      <c r="M112" s="12"/>
      <c r="N112" s="12">
        <f t="shared" si="28"/>
        <v>6736</v>
      </c>
      <c r="O112" s="12">
        <f t="shared" si="29"/>
        <v>0</v>
      </c>
      <c r="P112" s="12">
        <f>Table14[[#This Row],[Enrolment S.Y. 2025-2026 ]]*8</f>
        <v>6736</v>
      </c>
      <c r="Q112" s="12">
        <v>180</v>
      </c>
      <c r="R112" s="10">
        <v>2025</v>
      </c>
      <c r="S112" s="12" t="s">
        <v>91</v>
      </c>
      <c r="T112" s="12">
        <f>IF((P112-Q112)&lt;0,0,(P112-Q112))</f>
        <v>6556</v>
      </c>
      <c r="U112" s="12">
        <f>IF((Q112-P112)&lt;0,0,(Q112-P112))</f>
        <v>0</v>
      </c>
      <c r="V112" s="12">
        <f>Table14[[#This Row],[Enrolment S.Y. 2025-2026 ]]*8</f>
        <v>6736</v>
      </c>
      <c r="W112" s="12">
        <v>90</v>
      </c>
      <c r="X112" s="10">
        <v>2025</v>
      </c>
      <c r="Y112" s="12" t="s">
        <v>91</v>
      </c>
      <c r="Z112" s="12">
        <f>IF((V112-W112)&lt;0,0,(V112-W112))</f>
        <v>6646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842</v>
      </c>
      <c r="D113" s="12">
        <f>Table14[[#This Row],[Enrolment S.Y. 2025-2026 ]]*8</f>
        <v>6736</v>
      </c>
      <c r="E113" s="12"/>
      <c r="F113" s="10"/>
      <c r="G113" s="12"/>
      <c r="H113" s="12">
        <f t="shared" si="22"/>
        <v>6736</v>
      </c>
      <c r="I113" s="12">
        <f t="shared" si="23"/>
        <v>0</v>
      </c>
      <c r="J113" s="12">
        <f>Table14[[#This Row],[Enrolment S.Y. 2025-2026 ]]*8</f>
        <v>6736</v>
      </c>
      <c r="K113" s="12"/>
      <c r="L113" s="10"/>
      <c r="M113" s="12"/>
      <c r="N113" s="12">
        <f t="shared" si="28"/>
        <v>6736</v>
      </c>
      <c r="O113" s="12">
        <f t="shared" si="29"/>
        <v>0</v>
      </c>
      <c r="P113" s="12">
        <f>Table14[[#This Row],[Enrolment S.Y. 2025-2026 ]]*8</f>
        <v>6736</v>
      </c>
      <c r="Q113" s="12"/>
      <c r="R113" s="10"/>
      <c r="S113" s="12"/>
      <c r="T113" s="12">
        <f t="shared" si="16"/>
        <v>6736</v>
      </c>
      <c r="U113" s="12">
        <f t="shared" si="17"/>
        <v>0</v>
      </c>
      <c r="V113" s="12">
        <f>Table14[[#This Row],[Enrolment S.Y. 2025-2026 ]]*8</f>
        <v>6736</v>
      </c>
      <c r="W113" s="12">
        <v>270</v>
      </c>
      <c r="X113" s="10">
        <v>2025</v>
      </c>
      <c r="Y113" s="12" t="s">
        <v>91</v>
      </c>
      <c r="Z113" s="12">
        <f t="shared" si="18"/>
        <v>6466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38.25">
      <c r="A116" s="1" t="s">
        <v>24</v>
      </c>
      <c r="B116" s="43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38.25">
      <c r="A118" s="1" t="s">
        <v>24</v>
      </c>
      <c r="B118" s="43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43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>
      <c r="A121" s="1" t="s">
        <v>24</v>
      </c>
      <c r="B121" s="43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Z103:AA113 H103:L113 N115:R122 T115:X122 Z115:AA122 H115:L122 D103:F113 N31:R41 N43:R53 N55:R65 N67:R77 N79:R89 N91:R101 N103:R113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G103:G113 M103:M113 S103:S113 Y115:Y122 G115:G122 M115:M122 S115:S122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M115:M122 S103:S113 M103:M113 Y103:Y113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2026-02-26T08:00:17Z</dcterms:modified>
  <cp:category/>
  <cp:contentStatus/>
</cp:coreProperties>
</file>