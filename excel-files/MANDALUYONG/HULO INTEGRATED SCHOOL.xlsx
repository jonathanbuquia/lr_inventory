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57" documentId="13_ncr:1_{BFB59F67-F0DC-4675-A682-EB0734A8026A}" xr6:coauthVersionLast="47" xr6:coauthVersionMax="47" xr10:uidLastSave="{8E94A0B7-BF8A-4206-99D2-612672B59442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<sst xmlns="http://schemas.openxmlformats.org/spreadsheetml/2006/main" count="448" uniqueCount="93">
  <si>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</si>
  <si>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</si>
  <si>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</si>
  <si>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</si>
  <si>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</si>
  <si>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</si>
  <si>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</si>
  <si>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</si>
  <si>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</si>
  <si>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SDO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</si>
  <si>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</si>
  <si>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</si>
  <si>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</si>
  <si>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</si>
  <si>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</si>
  <si>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</si>
  <si>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</si>
  <si>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</si>
  <si>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</si>
  <si>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</si>
  <si>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</si>
  <si>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</si>
  <si>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</si>
  <si>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CO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</si>
  <si>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</si>
  <si>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</si>
  <si>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</si>
  <si>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</si>
  <si>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</si>
  <si>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</si>
  <si>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</si>
  <si>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</si>
  <si>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</si>
  <si>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</si>
  <si>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</si>
  <si>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</si>
  <si>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</si>
  <si>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</si>
  <si>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</si>
  <si>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</si>
  <si>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</si>
  <si>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</si>
  <si>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</si>
  <si>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</si>
  <si>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</si>
  <si>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</si>
  <si>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</si>
  <si>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</si>
  <si>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</si>
  <si>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</si>
  <si>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</si>
  <si>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</si>
  <si>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</si>
  <si>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</si>
  <si>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</si>
  <si>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</si>
  <si>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</si>
  <si>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</si>
  <si>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</si>
  <si>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</si>
  <si>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</si>
  <si>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</si>
  <si>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</si>
  <si>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Gawaing Pampagkatuto sa Kindergarten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</si>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</sst>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4"/>
      <color theme="1"/>
      <name val="Bookman Old Style"/>
      <charset val="134"/>
    </font>
    <font>
      <sz val="14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4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vertical="center" wrapText="1"/>
    </xf>
    <xf numFmtId="0" fontId="15" fillId="9" borderId="1" xfId="0" applyFont="1" applyFill="1" applyBorder="1" applyAlignment="1">
      <alignment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C1" activePane="topRight" state="frozen"/>
      <selection pane="topRight" activeCell="C1" sqref="C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>
        <v>310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310</v>
      </c>
    </row>
    <row r="3" spans="1:8" ht="29.25" customHeight="1">
      <c r="A3" s="1">
        <v>1</v>
      </c>
      <c r="B3" s="2" t="s">
        <v>10</v>
      </c>
      <c r="C3" s="1"/>
      <c r="D3" s="1">
        <v>310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310</v>
      </c>
    </row>
    <row r="4" spans="1:8" ht="21" customHeight="1">
      <c r="A4" s="1">
        <v>1</v>
      </c>
      <c r="B4" s="2" t="s">
        <v>11</v>
      </c>
      <c r="C4" s="1"/>
      <c r="D4" s="1">
        <v>310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310</v>
      </c>
    </row>
    <row r="5" spans="1:8" ht="25.5" customHeight="1">
      <c r="A5" s="1">
        <v>1</v>
      </c>
      <c r="B5" s="2" t="s">
        <v>12</v>
      </c>
      <c r="C5" s="1"/>
      <c r="D5" s="1">
        <v>310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310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/>
      <c r="D21" s="1">
        <v>254</v>
      </c>
      <c r="E21" s="1">
        <v>2025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254</v>
      </c>
    </row>
    <row r="22" spans="1:8" ht="24" customHeight="1">
      <c r="A22" s="1">
        <v>4</v>
      </c>
      <c r="B22" s="9" t="s">
        <v>16</v>
      </c>
      <c r="C22" s="1"/>
      <c r="D22" s="1">
        <v>254</v>
      </c>
      <c r="E22" s="1">
        <v>2025</v>
      </c>
      <c r="F22" s="5" t="s">
        <v>9</v>
      </c>
      <c r="G22" s="3">
        <f t="shared" si="4"/>
        <v>0</v>
      </c>
      <c r="H22" s="4">
        <f t="shared" si="5"/>
        <v>254</v>
      </c>
    </row>
    <row r="23" spans="1:8" ht="19.5">
      <c r="A23" s="1">
        <v>4</v>
      </c>
      <c r="B23" s="9" t="s">
        <v>13</v>
      </c>
      <c r="C23" s="1"/>
      <c r="D23" s="1">
        <v>254</v>
      </c>
      <c r="E23" s="1">
        <v>2025</v>
      </c>
      <c r="F23" s="5" t="s">
        <v>9</v>
      </c>
      <c r="G23" s="3">
        <f t="shared" si="4"/>
        <v>0</v>
      </c>
      <c r="H23" s="4">
        <f t="shared" si="5"/>
        <v>254</v>
      </c>
    </row>
    <row r="24" spans="1:8" ht="27" customHeight="1">
      <c r="A24" s="1">
        <v>4</v>
      </c>
      <c r="B24" s="9" t="s">
        <v>11</v>
      </c>
      <c r="C24" s="1"/>
      <c r="D24" s="1">
        <v>254</v>
      </c>
      <c r="E24" s="1">
        <v>2025</v>
      </c>
      <c r="F24" s="5" t="s">
        <v>9</v>
      </c>
      <c r="G24" s="3">
        <f t="shared" si="4"/>
        <v>0</v>
      </c>
      <c r="H24" s="4">
        <f t="shared" si="5"/>
        <v>254</v>
      </c>
    </row>
    <row r="25" spans="1:8" ht="33.75" customHeight="1">
      <c r="A25" s="1">
        <v>4</v>
      </c>
      <c r="B25" s="9" t="s">
        <v>17</v>
      </c>
      <c r="C25" s="1"/>
      <c r="D25" s="1">
        <v>254</v>
      </c>
      <c r="E25" s="1">
        <v>2025</v>
      </c>
      <c r="F25" s="5" t="s">
        <v>9</v>
      </c>
      <c r="G25" s="3">
        <f t="shared" si="4"/>
        <v>0</v>
      </c>
      <c r="H25" s="4">
        <f t="shared" si="5"/>
        <v>254</v>
      </c>
    </row>
    <row r="26" spans="1:8" ht="33.75" customHeight="1">
      <c r="A26" s="1">
        <v>4</v>
      </c>
      <c r="B26" s="9" t="s">
        <v>14</v>
      </c>
      <c r="C26" s="1"/>
      <c r="D26" s="1">
        <v>254</v>
      </c>
      <c r="E26" s="1">
        <v>2025</v>
      </c>
      <c r="F26" s="5" t="s">
        <v>9</v>
      </c>
      <c r="G26" s="3">
        <f t="shared" si="4"/>
        <v>0</v>
      </c>
      <c r="H26" s="4">
        <f t="shared" si="5"/>
        <v>254</v>
      </c>
    </row>
    <row r="27" spans="1:8" ht="33.75" customHeight="1">
      <c r="A27" s="1">
        <v>4</v>
      </c>
      <c r="B27" s="9" t="s">
        <v>18</v>
      </c>
      <c r="C27" s="1"/>
      <c r="D27" s="1">
        <v>254</v>
      </c>
      <c r="E27" s="1">
        <v>2025</v>
      </c>
      <c r="F27" s="5" t="s">
        <v>9</v>
      </c>
      <c r="G27" s="3">
        <f t="shared" si="4"/>
        <v>0</v>
      </c>
      <c r="H27" s="4">
        <f t="shared" si="5"/>
        <v>254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>
        <v>280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280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/>
      <c r="D35" s="1">
        <v>253</v>
      </c>
      <c r="E35" s="1">
        <v>2025</v>
      </c>
      <c r="F35" s="5" t="s">
        <v>9</v>
      </c>
      <c r="G35" s="3">
        <f t="shared" si="6"/>
        <v>0</v>
      </c>
      <c r="H35" s="4">
        <f t="shared" si="7"/>
        <v>253</v>
      </c>
    </row>
    <row r="36" spans="1:8" ht="27.75" customHeight="1">
      <c r="A36" s="1">
        <v>5</v>
      </c>
      <c r="B36" s="9" t="s">
        <v>14</v>
      </c>
      <c r="C36" s="1"/>
      <c r="D36" s="1">
        <v>280</v>
      </c>
      <c r="E36" s="1">
        <v>2025</v>
      </c>
      <c r="F36" s="5" t="s">
        <v>9</v>
      </c>
      <c r="G36" s="3">
        <f t="shared" si="6"/>
        <v>0</v>
      </c>
      <c r="H36" s="4">
        <f t="shared" si="7"/>
        <v>280</v>
      </c>
    </row>
    <row r="37" spans="1:8" ht="27.75" customHeight="1">
      <c r="A37" s="1">
        <v>5</v>
      </c>
      <c r="B37" s="9" t="s">
        <v>18</v>
      </c>
      <c r="C37" s="1"/>
      <c r="D37" s="1">
        <v>280</v>
      </c>
      <c r="E37" s="1">
        <v>2025</v>
      </c>
      <c r="F37" s="5" t="s">
        <v>9</v>
      </c>
      <c r="G37" s="3">
        <f t="shared" si="6"/>
        <v>0</v>
      </c>
      <c r="H37" s="4">
        <f t="shared" si="7"/>
        <v>280</v>
      </c>
    </row>
    <row r="38" spans="1:8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>
        <v>360</v>
      </c>
      <c r="E59" s="10">
        <v>2025</v>
      </c>
      <c r="F59" s="12" t="s">
        <v>23</v>
      </c>
      <c r="G59" s="3">
        <f t="shared" si="10"/>
        <v>0</v>
      </c>
      <c r="H59" s="4">
        <f t="shared" si="11"/>
        <v>360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>
        <v>320</v>
      </c>
      <c r="E64" s="10">
        <v>2025</v>
      </c>
      <c r="F64" s="12" t="s">
        <v>23</v>
      </c>
      <c r="G64" s="3">
        <f t="shared" si="12"/>
        <v>0</v>
      </c>
      <c r="H64" s="4">
        <f t="shared" si="13"/>
        <v>320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57"/>
  <sheetViews>
    <sheetView topLeftCell="T1" zoomScale="70" zoomScaleNormal="70" workbookViewId="0">
      <selection activeCell="AA3" sqref="AA3"/>
    </sheetView>
  </sheetViews>
  <sheetFormatPr defaultRowHeight="13.9"/>
  <cols>
    <col min="1" max="1" width="9.42578125" customWidth="1"/>
    <col min="2" max="2" width="24.5703125" customWidth="1"/>
    <col min="3" max="4" width="11.28515625" customWidth="1"/>
    <col min="5" max="5" width="19.7109375" customWidth="1"/>
    <col min="6" max="10" width="10.5703125" customWidth="1"/>
    <col min="11" max="11" width="20.42578125" customWidth="1"/>
    <col min="12" max="16" width="10.140625" customWidth="1"/>
    <col min="17" max="17" width="20.140625" customWidth="1"/>
    <col min="18" max="22" width="10.5703125" customWidth="1"/>
    <col min="23" max="23" width="19.7109375" customWidth="1"/>
    <col min="24" max="27" width="10" customWidth="1"/>
  </cols>
  <sheetData>
    <row r="1" spans="1:27" s="28" customFormat="1" ht="34.15" customHeight="1">
      <c r="D1" s="41" t="s">
        <v>34</v>
      </c>
      <c r="E1" s="41"/>
      <c r="F1" s="41"/>
      <c r="G1" s="41"/>
      <c r="H1" s="41"/>
      <c r="I1" s="41"/>
      <c r="J1" s="42" t="s">
        <v>35</v>
      </c>
      <c r="K1" s="42"/>
      <c r="L1" s="42"/>
      <c r="M1" s="42"/>
      <c r="N1" s="42"/>
      <c r="O1" s="42"/>
      <c r="P1" s="43" t="s">
        <v>36</v>
      </c>
      <c r="Q1" s="43"/>
      <c r="R1" s="43"/>
      <c r="S1" s="43"/>
      <c r="T1" s="43"/>
      <c r="U1" s="43"/>
      <c r="V1" s="44" t="s">
        <v>37</v>
      </c>
      <c r="W1" s="44"/>
      <c r="X1" s="44"/>
      <c r="Y1" s="44"/>
      <c r="Z1" s="44"/>
      <c r="AA1" s="44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39" t="s">
        <v>47</v>
      </c>
      <c r="N2" s="39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0" t="s">
        <v>59</v>
      </c>
      <c r="Z2" s="40" t="s">
        <v>60</v>
      </c>
      <c r="AA2" s="26" t="s">
        <v>61</v>
      </c>
    </row>
    <row r="3" spans="1:27" ht="48" customHeight="1">
      <c r="A3" s="38" t="s">
        <v>62</v>
      </c>
      <c r="B3" s="45" t="s">
        <v>63</v>
      </c>
      <c r="C3" s="32"/>
      <c r="D3" s="33">
        <f>Table1[[#This Row],[Enrolment S.Y. 2025-2026 ]]*8</f>
        <v>0</v>
      </c>
      <c r="E3" s="33">
        <v>200</v>
      </c>
      <c r="F3" s="32">
        <v>2025</v>
      </c>
      <c r="G3" s="33"/>
      <c r="H3" s="33">
        <f>IF((D3-E3)&lt;0,0,(D3-E3))</f>
        <v>0</v>
      </c>
      <c r="I3" s="33">
        <f>IF((E3-D3)&lt;0,0,(E3-D3))</f>
        <v>200</v>
      </c>
      <c r="J3" s="33">
        <f>Table1[[#This Row],[Enrolment S.Y. 2025-2026 ]]*8</f>
        <v>0</v>
      </c>
      <c r="K3" s="33"/>
      <c r="L3" s="32"/>
      <c r="M3" s="33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3"/>
      <c r="R3" s="32"/>
      <c r="S3" s="33"/>
      <c r="T3" s="33">
        <f>IF((P3-Q3)&lt;0,0,(P3-Q3))</f>
        <v>0</v>
      </c>
      <c r="U3" s="33">
        <f>IF((Q3-P3)&lt;0,0,(Q3-P3))</f>
        <v>0</v>
      </c>
      <c r="V3" s="33">
        <f>Table1[[#This Row],[Enrolment S.Y. 2025-2026 ]]*8</f>
        <v>0</v>
      </c>
      <c r="W3" s="33"/>
      <c r="X3" s="32"/>
      <c r="Y3" s="33"/>
      <c r="Z3" s="33">
        <f>IF((V3-W3)&lt;0,0,(V3-W3))</f>
        <v>0</v>
      </c>
      <c r="AA3" s="33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6.75">
      <c r="A5" s="1">
        <v>1</v>
      </c>
      <c r="B5" s="46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64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6.75">
      <c r="A14" s="1">
        <v>2</v>
      </c>
      <c r="B14" s="46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64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6.75">
      <c r="A23" s="1">
        <v>3</v>
      </c>
      <c r="B23" s="46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64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6.75">
      <c r="A37" s="1">
        <v>4</v>
      </c>
      <c r="B37" s="47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6.75">
      <c r="A47" s="1">
        <v>5</v>
      </c>
      <c r="B47" s="47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6.75">
      <c r="A57" s="1">
        <v>6</v>
      </c>
      <c r="B57" s="47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6.75">
      <c r="A67" s="10">
        <v>7</v>
      </c>
      <c r="B67" s="48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6.75">
      <c r="A108" s="1" t="s">
        <v>25</v>
      </c>
      <c r="B108" s="47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4.75">
      <c r="A109" s="1" t="s">
        <v>25</v>
      </c>
      <c r="B109" s="47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25" right="0.25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70"/>
  <sheetViews>
    <sheetView tabSelected="1" topLeftCell="T106" zoomScale="55" zoomScaleNormal="55" workbookViewId="0">
      <selection activeCell="W7" sqref="W7"/>
    </sheetView>
  </sheetViews>
  <sheetFormatPr defaultRowHeight="13.9"/>
  <cols>
    <col min="1" max="1" width="7.140625" customWidth="1"/>
    <col min="2" max="2" width="23" customWidth="1"/>
    <col min="3" max="4" width="11.28515625" customWidth="1"/>
    <col min="5" max="5" width="20.5703125" customWidth="1"/>
    <col min="6" max="6" width="11.140625" customWidth="1"/>
    <col min="7" max="7" width="12.28515625" customWidth="1"/>
    <col min="8" max="10" width="11.140625" customWidth="1"/>
    <col min="11" max="11" width="20" customWidth="1"/>
    <col min="12" max="12" width="10.85546875" customWidth="1"/>
    <col min="13" max="13" width="12" customWidth="1"/>
    <col min="14" max="16" width="10.85546875" customWidth="1"/>
    <col min="17" max="17" width="20.7109375" customWidth="1"/>
    <col min="18" max="22" width="11.5703125" customWidth="1"/>
    <col min="23" max="23" width="20" customWidth="1"/>
    <col min="24" max="27" width="12.28515625" customWidth="1"/>
  </cols>
  <sheetData>
    <row r="1" spans="1:27" s="28" customFormat="1" ht="34.15" customHeight="1">
      <c r="B1" s="34"/>
      <c r="D1" s="41" t="s">
        <v>34</v>
      </c>
      <c r="E1" s="41"/>
      <c r="F1" s="41"/>
      <c r="G1" s="41"/>
      <c r="H1" s="41"/>
      <c r="I1" s="41"/>
      <c r="J1" s="42" t="s">
        <v>35</v>
      </c>
      <c r="K1" s="42"/>
      <c r="L1" s="42"/>
      <c r="M1" s="42"/>
      <c r="N1" s="42"/>
      <c r="O1" s="42"/>
      <c r="P1" s="43" t="s">
        <v>36</v>
      </c>
      <c r="Q1" s="43"/>
      <c r="R1" s="43"/>
      <c r="S1" s="43"/>
      <c r="T1" s="43"/>
      <c r="U1" s="43"/>
      <c r="V1" s="44" t="s">
        <v>37</v>
      </c>
      <c r="W1" s="44"/>
      <c r="X1" s="44"/>
      <c r="Y1" s="44"/>
      <c r="Z1" s="44"/>
      <c r="AA1" s="44"/>
    </row>
    <row r="2" spans="1:27" ht="69.599999999999994" customHeight="1">
      <c r="A2" s="15" t="s">
        <v>0</v>
      </c>
      <c r="B2" s="35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39" t="s">
        <v>74</v>
      </c>
      <c r="N2" s="39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0" t="s">
        <v>86</v>
      </c>
      <c r="Z2" s="40" t="s">
        <v>87</v>
      </c>
      <c r="AA2" s="26" t="s">
        <v>88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64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64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64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6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6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6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6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>
        <v>80</v>
      </c>
      <c r="F55" s="1">
        <v>2025</v>
      </c>
      <c r="G55" s="5" t="s">
        <v>9</v>
      </c>
      <c r="H55" s="5">
        <f t="shared" si="0"/>
        <v>0</v>
      </c>
      <c r="I55" s="5">
        <f t="shared" si="1"/>
        <v>80</v>
      </c>
      <c r="J55" s="5">
        <f>Table14[[#This Row],[Enrolment S.Y. 2025-2026 ]]*8</f>
        <v>0</v>
      </c>
      <c r="K55" s="5">
        <v>52</v>
      </c>
      <c r="L55" s="1">
        <v>2025</v>
      </c>
      <c r="M55" s="5" t="s">
        <v>9</v>
      </c>
      <c r="N55" s="5">
        <f t="shared" si="2"/>
        <v>0</v>
      </c>
      <c r="O55" s="5">
        <f t="shared" si="3"/>
        <v>52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/>
      <c r="D56" s="5">
        <f>Table14[[#This Row],[Enrolment S.Y. 2025-2026 ]]*8</f>
        <v>0</v>
      </c>
      <c r="E56" s="5">
        <v>80</v>
      </c>
      <c r="F56" s="1">
        <v>2025</v>
      </c>
      <c r="G56" s="5" t="s">
        <v>9</v>
      </c>
      <c r="H56" s="5">
        <f t="shared" si="0"/>
        <v>0</v>
      </c>
      <c r="I56" s="5">
        <f t="shared" si="1"/>
        <v>80</v>
      </c>
      <c r="J56" s="5">
        <f>Table14[[#This Row],[Enrolment S.Y. 2025-2026 ]]*8</f>
        <v>0</v>
      </c>
      <c r="K56" s="5">
        <v>52</v>
      </c>
      <c r="L56" s="1">
        <v>2025</v>
      </c>
      <c r="M56" s="5" t="s">
        <v>9</v>
      </c>
      <c r="N56" s="5">
        <f t="shared" si="2"/>
        <v>0</v>
      </c>
      <c r="O56" s="5">
        <f t="shared" si="3"/>
        <v>52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>
        <v>80</v>
      </c>
      <c r="F57" s="1">
        <v>2025</v>
      </c>
      <c r="G57" s="5" t="s">
        <v>9</v>
      </c>
      <c r="H57" s="5">
        <f t="shared" si="0"/>
        <v>0</v>
      </c>
      <c r="I57" s="5">
        <f t="shared" si="1"/>
        <v>80</v>
      </c>
      <c r="J57" s="5">
        <f>Table14[[#This Row],[Enrolment S.Y. 2025-2026 ]]*8</f>
        <v>0</v>
      </c>
      <c r="K57" s="5">
        <v>52</v>
      </c>
      <c r="L57" s="1">
        <v>2025</v>
      </c>
      <c r="M57" s="5" t="s">
        <v>9</v>
      </c>
      <c r="N57" s="5">
        <f t="shared" si="2"/>
        <v>0</v>
      </c>
      <c r="O57" s="5">
        <f t="shared" si="3"/>
        <v>52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>
        <v>52</v>
      </c>
      <c r="X57" s="1">
        <v>2025</v>
      </c>
      <c r="Y57" s="5" t="s">
        <v>9</v>
      </c>
      <c r="Z57" s="5">
        <f t="shared" si="6"/>
        <v>0</v>
      </c>
      <c r="AA57" s="5">
        <f t="shared" si="7"/>
        <v>52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>
        <v>52</v>
      </c>
      <c r="X58" s="1">
        <v>2025</v>
      </c>
      <c r="Y58" s="5" t="s">
        <v>9</v>
      </c>
      <c r="Z58" s="5">
        <f t="shared" si="6"/>
        <v>0</v>
      </c>
      <c r="AA58" s="5">
        <f t="shared" si="7"/>
        <v>52</v>
      </c>
    </row>
    <row r="59" spans="1:27" ht="38.25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>
        <v>52</v>
      </c>
      <c r="R59" s="1">
        <v>2025</v>
      </c>
      <c r="S59" s="5" t="s">
        <v>9</v>
      </c>
      <c r="T59" s="5">
        <f t="shared" si="4"/>
        <v>0</v>
      </c>
      <c r="U59" s="5">
        <f t="shared" si="5"/>
        <v>52</v>
      </c>
      <c r="V59" s="5">
        <f>Table14[[#This Row],[Enrolment S.Y. 2025-2026 ]]*8</f>
        <v>0</v>
      </c>
      <c r="W59" s="5">
        <v>52</v>
      </c>
      <c r="X59" s="1">
        <v>2025</v>
      </c>
      <c r="Y59" s="5" t="s">
        <v>9</v>
      </c>
      <c r="Z59" s="5">
        <f t="shared" si="6"/>
        <v>0</v>
      </c>
      <c r="AA59" s="5">
        <f t="shared" si="7"/>
        <v>52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>
        <v>52</v>
      </c>
      <c r="X60" s="1">
        <v>2025</v>
      </c>
      <c r="Y60" s="5" t="s">
        <v>9</v>
      </c>
      <c r="Z60" s="5">
        <f t="shared" si="6"/>
        <v>0</v>
      </c>
      <c r="AA60" s="5">
        <f t="shared" si="7"/>
        <v>52</v>
      </c>
    </row>
    <row r="61" spans="1:27" ht="19.5">
      <c r="A61" s="36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>
        <v>52</v>
      </c>
      <c r="X61" s="1">
        <v>2025</v>
      </c>
      <c r="Y61" s="5" t="s">
        <v>9</v>
      </c>
      <c r="Z61" s="5">
        <f>IF((V61-W61)&lt;0,0,(V61-W61))</f>
        <v>0</v>
      </c>
      <c r="AA61" s="5">
        <f>IF((W61-V61)&lt;0,0,(W61-V61))</f>
        <v>52</v>
      </c>
    </row>
    <row r="62" spans="1:27" ht="19.5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>
        <v>52</v>
      </c>
      <c r="R62" s="1">
        <v>2025</v>
      </c>
      <c r="S62" s="5" t="s">
        <v>9</v>
      </c>
      <c r="T62" s="5">
        <f t="shared" si="4"/>
        <v>0</v>
      </c>
      <c r="U62" s="5">
        <f t="shared" si="5"/>
        <v>52</v>
      </c>
      <c r="V62" s="5">
        <f>Table14[[#This Row],[Enrolment S.Y. 2025-2026 ]]*8</f>
        <v>0</v>
      </c>
      <c r="W62" s="5">
        <v>52</v>
      </c>
      <c r="X62" s="1">
        <v>2025</v>
      </c>
      <c r="Y62" s="5" t="s">
        <v>9</v>
      </c>
      <c r="Z62" s="5">
        <f t="shared" si="6"/>
        <v>0</v>
      </c>
      <c r="AA62" s="5">
        <f t="shared" si="7"/>
        <v>52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6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>
        <v>52</v>
      </c>
      <c r="X64" s="1">
        <v>2025</v>
      </c>
      <c r="Y64" s="5" t="s">
        <v>9</v>
      </c>
      <c r="Z64" s="5">
        <f>IF((V64-W64)&lt;0,0,(V64-W64))</f>
        <v>0</v>
      </c>
      <c r="AA64" s="5">
        <f>IF((W64-V64)&lt;0,0,(W64-V64))</f>
        <v>52</v>
      </c>
    </row>
    <row r="65" spans="1:27" ht="19.149999999999999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7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7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7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7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>
        <v>59</v>
      </c>
      <c r="X91" s="10">
        <v>2025</v>
      </c>
      <c r="Y91" s="12" t="s">
        <v>9</v>
      </c>
      <c r="Z91" s="12">
        <f t="shared" si="18"/>
        <v>0</v>
      </c>
      <c r="AA91" s="12">
        <f t="shared" si="19"/>
        <v>59</v>
      </c>
    </row>
    <row r="92" spans="1:27" ht="19.5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>
        <v>62</v>
      </c>
      <c r="F92" s="10">
        <v>2025</v>
      </c>
      <c r="G92" s="12" t="s">
        <v>9</v>
      </c>
      <c r="H92" s="12">
        <f t="shared" si="22"/>
        <v>0</v>
      </c>
      <c r="I92" s="12">
        <f t="shared" si="23"/>
        <v>62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>
        <v>59</v>
      </c>
      <c r="X92" s="10">
        <v>2025</v>
      </c>
      <c r="Y92" s="12" t="s">
        <v>9</v>
      </c>
      <c r="Z92" s="12">
        <f t="shared" si="18"/>
        <v>0</v>
      </c>
      <c r="AA92" s="12">
        <f t="shared" si="19"/>
        <v>59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>
        <v>62</v>
      </c>
      <c r="F93" s="10">
        <v>2025</v>
      </c>
      <c r="G93" s="12" t="s">
        <v>9</v>
      </c>
      <c r="H93" s="12">
        <f t="shared" si="22"/>
        <v>0</v>
      </c>
      <c r="I93" s="12">
        <f t="shared" si="23"/>
        <v>62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>
        <v>59</v>
      </c>
      <c r="R93" s="10">
        <v>2025</v>
      </c>
      <c r="S93" s="12" t="s">
        <v>9</v>
      </c>
      <c r="T93" s="12">
        <f t="shared" si="16"/>
        <v>0</v>
      </c>
      <c r="U93" s="12">
        <f t="shared" si="17"/>
        <v>59</v>
      </c>
      <c r="V93" s="12">
        <f>Table14[[#This Row],[Enrolment S.Y. 2025-2026 ]]*8</f>
        <v>0</v>
      </c>
      <c r="W93" s="12">
        <v>59</v>
      </c>
      <c r="X93" s="10">
        <v>2025</v>
      </c>
      <c r="Y93" s="12" t="s">
        <v>9</v>
      </c>
      <c r="Z93" s="12">
        <f t="shared" si="18"/>
        <v>0</v>
      </c>
      <c r="AA93" s="12">
        <f t="shared" si="19"/>
        <v>59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>
        <v>59</v>
      </c>
      <c r="X94" s="10">
        <v>2025</v>
      </c>
      <c r="Y94" s="12" t="s">
        <v>9</v>
      </c>
      <c r="Z94" s="12">
        <f t="shared" si="18"/>
        <v>0</v>
      </c>
      <c r="AA94" s="12">
        <f t="shared" si="19"/>
        <v>59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>
        <v>59</v>
      </c>
      <c r="R95" s="10">
        <v>2025</v>
      </c>
      <c r="S95" s="12" t="s">
        <v>9</v>
      </c>
      <c r="T95" s="12">
        <f t="shared" si="16"/>
        <v>0</v>
      </c>
      <c r="U95" s="12">
        <f t="shared" si="17"/>
        <v>59</v>
      </c>
      <c r="V95" s="12">
        <f>Table14[[#This Row],[Enrolment S.Y. 2025-2026 ]]*8</f>
        <v>0</v>
      </c>
      <c r="W95" s="12">
        <v>59</v>
      </c>
      <c r="X95" s="10">
        <v>2025</v>
      </c>
      <c r="Y95" s="12" t="s">
        <v>9</v>
      </c>
      <c r="Z95" s="12">
        <f t="shared" si="18"/>
        <v>0</v>
      </c>
      <c r="AA95" s="12">
        <f t="shared" si="19"/>
        <v>59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7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>
        <v>59</v>
      </c>
      <c r="X98" s="10">
        <v>2025</v>
      </c>
      <c r="Y98" s="12" t="s">
        <v>9</v>
      </c>
      <c r="Z98" s="12">
        <f t="shared" si="18"/>
        <v>0</v>
      </c>
      <c r="AA98" s="12">
        <f t="shared" si="19"/>
        <v>59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7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>
        <v>59</v>
      </c>
      <c r="X101" s="10">
        <v>2025</v>
      </c>
      <c r="Y101" s="12" t="s">
        <v>9</v>
      </c>
      <c r="Z101" s="12">
        <f t="shared" si="18"/>
        <v>0</v>
      </c>
      <c r="AA101" s="12">
        <f t="shared" si="19"/>
        <v>59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>
        <v>42</v>
      </c>
      <c r="F103" s="10">
        <v>2025</v>
      </c>
      <c r="G103" s="12" t="s">
        <v>9</v>
      </c>
      <c r="H103" s="12">
        <f t="shared" si="22"/>
        <v>0</v>
      </c>
      <c r="I103" s="12">
        <f t="shared" si="23"/>
        <v>42</v>
      </c>
      <c r="J103" s="12">
        <f>Table14[[#This Row],[Enrolment S.Y. 2025-2026 ]]*8</f>
        <v>0</v>
      </c>
      <c r="K103" s="12">
        <v>48</v>
      </c>
      <c r="L103" s="10">
        <v>2025</v>
      </c>
      <c r="M103" s="12" t="s">
        <v>9</v>
      </c>
      <c r="N103" s="12">
        <f t="shared" si="20"/>
        <v>0</v>
      </c>
      <c r="O103" s="12">
        <f t="shared" si="21"/>
        <v>48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>
        <v>48</v>
      </c>
      <c r="X103" s="10">
        <v>2025</v>
      </c>
      <c r="Y103" s="12" t="s">
        <v>9</v>
      </c>
      <c r="Z103" s="12">
        <f t="shared" si="18"/>
        <v>0</v>
      </c>
      <c r="AA103" s="12">
        <f t="shared" si="19"/>
        <v>48</v>
      </c>
    </row>
    <row r="104" spans="1:27" ht="19.5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>
        <v>42</v>
      </c>
      <c r="F104" s="10">
        <v>2025</v>
      </c>
      <c r="G104" s="12" t="s">
        <v>9</v>
      </c>
      <c r="H104" s="12">
        <f t="shared" si="22"/>
        <v>0</v>
      </c>
      <c r="I104" s="12">
        <f t="shared" si="23"/>
        <v>42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>
        <v>48</v>
      </c>
      <c r="X104" s="10">
        <v>2025</v>
      </c>
      <c r="Y104" s="12" t="s">
        <v>9</v>
      </c>
      <c r="Z104" s="12">
        <f t="shared" si="18"/>
        <v>0</v>
      </c>
      <c r="AA104" s="12">
        <f t="shared" si="19"/>
        <v>48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>
        <v>42</v>
      </c>
      <c r="F105" s="10">
        <v>2025</v>
      </c>
      <c r="G105" s="12" t="s">
        <v>9</v>
      </c>
      <c r="H105" s="12">
        <f t="shared" si="22"/>
        <v>0</v>
      </c>
      <c r="I105" s="12">
        <f t="shared" si="23"/>
        <v>42</v>
      </c>
      <c r="J105" s="12">
        <f>Table14[[#This Row],[Enrolment S.Y. 2025-2026 ]]*8</f>
        <v>0</v>
      </c>
      <c r="K105" s="12">
        <v>48</v>
      </c>
      <c r="L105" s="10">
        <v>2025</v>
      </c>
      <c r="M105" s="12" t="s">
        <v>9</v>
      </c>
      <c r="N105" s="12">
        <f t="shared" si="20"/>
        <v>0</v>
      </c>
      <c r="O105" s="12">
        <f t="shared" si="21"/>
        <v>48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>
        <v>48</v>
      </c>
      <c r="X105" s="10">
        <v>2025</v>
      </c>
      <c r="Y105" s="12" t="s">
        <v>9</v>
      </c>
      <c r="Z105" s="12">
        <f t="shared" si="18"/>
        <v>0</v>
      </c>
      <c r="AA105" s="12">
        <f t="shared" si="19"/>
        <v>48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>
        <v>48</v>
      </c>
      <c r="X106" s="10">
        <v>2025</v>
      </c>
      <c r="Y106" s="12" t="s">
        <v>9</v>
      </c>
      <c r="Z106" s="12">
        <f t="shared" si="18"/>
        <v>0</v>
      </c>
      <c r="AA106" s="12">
        <f t="shared" si="19"/>
        <v>48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>
        <v>48</v>
      </c>
      <c r="X107" s="10">
        <v>2025</v>
      </c>
      <c r="Y107" s="12" t="s">
        <v>9</v>
      </c>
      <c r="Z107" s="12">
        <f t="shared" si="18"/>
        <v>0</v>
      </c>
      <c r="AA107" s="12">
        <f t="shared" si="19"/>
        <v>48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>
        <v>48</v>
      </c>
      <c r="X108" s="10">
        <v>2025</v>
      </c>
      <c r="Y108" s="12" t="s">
        <v>9</v>
      </c>
      <c r="Z108" s="12">
        <f t="shared" si="18"/>
        <v>0</v>
      </c>
      <c r="AA108" s="12">
        <f t="shared" si="19"/>
        <v>48</v>
      </c>
    </row>
    <row r="109" spans="1:27" ht="19.5">
      <c r="A109" s="37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>
        <v>48</v>
      </c>
      <c r="X109" s="10">
        <v>2025</v>
      </c>
      <c r="Y109" s="12" t="s">
        <v>9</v>
      </c>
      <c r="Z109" s="12">
        <f>IF((V109-W109)&lt;0,0,(V109-W109))</f>
        <v>0</v>
      </c>
      <c r="AA109" s="12">
        <f>IF((W109-V109)&lt;0,0,(W109-V109))</f>
        <v>48</v>
      </c>
    </row>
    <row r="110" spans="1:27" ht="19.5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>
        <v>48</v>
      </c>
      <c r="X110" s="10">
        <v>2025</v>
      </c>
      <c r="Y110" s="12" t="s">
        <v>9</v>
      </c>
      <c r="Z110" s="12">
        <f t="shared" si="18"/>
        <v>0</v>
      </c>
      <c r="AA110" s="12">
        <f t="shared" si="19"/>
        <v>48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>
        <v>48</v>
      </c>
      <c r="X111" s="10">
        <v>2025</v>
      </c>
      <c r="Y111" s="12" t="s">
        <v>9</v>
      </c>
      <c r="Z111" s="12">
        <f t="shared" si="18"/>
        <v>0</v>
      </c>
      <c r="AA111" s="12">
        <f t="shared" si="19"/>
        <v>48</v>
      </c>
    </row>
    <row r="112" spans="1:27" ht="19.5">
      <c r="A112" s="37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>
        <v>48</v>
      </c>
      <c r="X112" s="10">
        <v>2025</v>
      </c>
      <c r="Y112" s="12" t="s">
        <v>9</v>
      </c>
      <c r="Z112" s="12">
        <f>IF((V112-W112)&lt;0,0,(V112-W112))</f>
        <v>0</v>
      </c>
      <c r="AA112" s="12">
        <f>IF((W112-V112)&lt;0,0,(W112-V112))</f>
        <v>48</v>
      </c>
    </row>
    <row r="113" spans="1:28" ht="19.5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>
        <v>48</v>
      </c>
      <c r="X113" s="10">
        <v>2025</v>
      </c>
      <c r="Y113" s="12" t="s">
        <v>9</v>
      </c>
      <c r="Z113" s="12">
        <f t="shared" si="18"/>
        <v>0</v>
      </c>
      <c r="AA113" s="12">
        <f t="shared" si="19"/>
        <v>48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25" right="0.25" top="0.75" bottom="0.75" header="0.3" footer="0.3"/>
  <pageSetup paperSize="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Ruby Baniqued</cp:lastModifiedBy>
  <cp:revision/>
  <dcterms:created xsi:type="dcterms:W3CDTF">2025-11-19T20:48:15Z</dcterms:created>
  <dcterms:modified xsi:type="dcterms:W3CDTF">2026-02-09T07:21:18Z</dcterms:modified>
  <cp:category/>
  <cp:contentStatus/>
</cp:coreProperties>
</file>