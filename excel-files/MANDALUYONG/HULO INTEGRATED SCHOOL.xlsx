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17" documentId="13_ncr:1_{BFB59F67-F0DC-4675-A682-EB0734A8026A}" xr6:coauthVersionLast="47" xr6:coauthVersionMax="47" xr10:uidLastSave="{9804DCB5-4E7B-4647-99C9-B5394E4BE007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7" i="5" l="1"/>
  <c r="D97" i="5"/>
  <c r="H97" i="5"/>
  <c r="I97" i="5"/>
  <c r="J97" i="5"/>
  <c r="T97" i="5"/>
  <c r="U97" i="5"/>
  <c r="V97" i="5"/>
  <c r="Z97" i="5"/>
  <c r="AA97" i="5"/>
  <c r="P110" i="5"/>
  <c r="D110" i="5"/>
  <c r="H110" i="5"/>
  <c r="I110" i="5"/>
  <c r="J110" i="5"/>
  <c r="T110" i="5"/>
  <c r="U110" i="5"/>
  <c r="V110" i="5"/>
  <c r="Z110" i="5"/>
  <c r="AA110" i="5"/>
  <c r="P9" i="5"/>
  <c r="T111" i="5"/>
  <c r="P112" i="5"/>
  <c r="U112" i="5" s="1"/>
  <c r="P113" i="5"/>
  <c r="P114" i="5"/>
  <c r="P115" i="5"/>
  <c r="P98" i="5"/>
  <c r="T98" i="5" s="1"/>
  <c r="P99" i="5"/>
  <c r="P100" i="5"/>
  <c r="P101" i="5"/>
  <c r="P102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4" i="5"/>
  <c r="H114" i="5" s="1"/>
  <c r="J114" i="5"/>
  <c r="U114" i="5"/>
  <c r="T114" i="5"/>
  <c r="V114" i="5"/>
  <c r="Z114" i="5" s="1"/>
  <c r="D111" i="5"/>
  <c r="H111" i="5" s="1"/>
  <c r="J111" i="5"/>
  <c r="U111" i="5"/>
  <c r="V111" i="5"/>
  <c r="Z111" i="5" s="1"/>
  <c r="D88" i="5"/>
  <c r="H88" i="5" s="1"/>
  <c r="J88" i="5"/>
  <c r="T88" i="5"/>
  <c r="V88" i="5"/>
  <c r="Z88" i="5" s="1"/>
  <c r="D101" i="5"/>
  <c r="H101" i="5" s="1"/>
  <c r="J101" i="5"/>
  <c r="T101" i="5"/>
  <c r="V101" i="5"/>
  <c r="Z101" i="5" s="1"/>
  <c r="D98" i="5"/>
  <c r="H98" i="5" s="1"/>
  <c r="J98" i="5"/>
  <c r="V98" i="5"/>
  <c r="Z98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4" i="5"/>
  <c r="AA124" i="5" s="1"/>
  <c r="P124" i="5"/>
  <c r="T124" i="5" s="1"/>
  <c r="J124" i="5"/>
  <c r="O124" i="5" s="1"/>
  <c r="D124" i="5"/>
  <c r="I124" i="5" s="1"/>
  <c r="V123" i="5"/>
  <c r="Z123" i="5" s="1"/>
  <c r="P123" i="5"/>
  <c r="J123" i="5"/>
  <c r="N123" i="5" s="1"/>
  <c r="D123" i="5"/>
  <c r="I123" i="5" s="1"/>
  <c r="V122" i="5"/>
  <c r="AA122" i="5" s="1"/>
  <c r="P122" i="5"/>
  <c r="U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5" i="5"/>
  <c r="AA115" i="5" s="1"/>
  <c r="U115" i="5"/>
  <c r="J115" i="5"/>
  <c r="D115" i="5"/>
  <c r="I115" i="5" s="1"/>
  <c r="V113" i="5"/>
  <c r="Z113" i="5" s="1"/>
  <c r="J113" i="5"/>
  <c r="D113" i="5"/>
  <c r="I113" i="5" s="1"/>
  <c r="V112" i="5"/>
  <c r="AA112" i="5" s="1"/>
  <c r="J112" i="5"/>
  <c r="D112" i="5"/>
  <c r="I112" i="5" s="1"/>
  <c r="V109" i="5"/>
  <c r="Z109" i="5" s="1"/>
  <c r="P109" i="5"/>
  <c r="J109" i="5"/>
  <c r="N109" i="5" s="1"/>
  <c r="D109" i="5"/>
  <c r="I109" i="5" s="1"/>
  <c r="V108" i="5"/>
  <c r="AA108" i="5" s="1"/>
  <c r="P108" i="5"/>
  <c r="U108" i="5" s="1"/>
  <c r="J108" i="5"/>
  <c r="O108" i="5" s="1"/>
  <c r="D108" i="5"/>
  <c r="I108" i="5" s="1"/>
  <c r="V107" i="5"/>
  <c r="Z107" i="5" s="1"/>
  <c r="P107" i="5"/>
  <c r="J107" i="5"/>
  <c r="N107" i="5" s="1"/>
  <c r="D107" i="5"/>
  <c r="I107" i="5" s="1"/>
  <c r="V106" i="5"/>
  <c r="AA106" i="5" s="1"/>
  <c r="P106" i="5"/>
  <c r="U106" i="5" s="1"/>
  <c r="J106" i="5"/>
  <c r="O106" i="5" s="1"/>
  <c r="D106" i="5"/>
  <c r="I106" i="5" s="1"/>
  <c r="V105" i="5"/>
  <c r="AA105" i="5" s="1"/>
  <c r="P105" i="5"/>
  <c r="J105" i="5"/>
  <c r="N105" i="5" s="1"/>
  <c r="D105" i="5"/>
  <c r="I105" i="5" s="1"/>
  <c r="V104" i="5"/>
  <c r="AA104" i="5" s="1"/>
  <c r="P104" i="5"/>
  <c r="U104" i="5" s="1"/>
  <c r="J104" i="5"/>
  <c r="O104" i="5" s="1"/>
  <c r="D104" i="5"/>
  <c r="I104" i="5" s="1"/>
  <c r="V102" i="5"/>
  <c r="AA102" i="5" s="1"/>
  <c r="J102" i="5"/>
  <c r="D102" i="5"/>
  <c r="I102" i="5" s="1"/>
  <c r="V100" i="5"/>
  <c r="AA100" i="5" s="1"/>
  <c r="U100" i="5"/>
  <c r="J100" i="5"/>
  <c r="D100" i="5"/>
  <c r="I100" i="5" s="1"/>
  <c r="V99" i="5"/>
  <c r="AA99" i="5" s="1"/>
  <c r="J99" i="5"/>
  <c r="D99" i="5"/>
  <c r="I99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T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U9" i="5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T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AA59" i="5" l="1"/>
  <c r="Z59" i="5"/>
  <c r="U3" i="5"/>
  <c r="U56" i="5"/>
  <c r="O3" i="4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9" i="5"/>
  <c r="O99" i="5"/>
  <c r="N100" i="5"/>
  <c r="O100" i="5"/>
  <c r="N102" i="5"/>
  <c r="O102" i="5"/>
  <c r="N112" i="5"/>
  <c r="O112" i="5"/>
  <c r="N113" i="5"/>
  <c r="O113" i="5"/>
  <c r="N115" i="5"/>
  <c r="O115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8" i="5"/>
  <c r="O98" i="5"/>
  <c r="N101" i="5"/>
  <c r="O101" i="5"/>
  <c r="N88" i="5"/>
  <c r="O88" i="5"/>
  <c r="N111" i="5"/>
  <c r="O111" i="5"/>
  <c r="N114" i="5"/>
  <c r="O114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4" i="5"/>
  <c r="AA114" i="5"/>
  <c r="U98" i="5"/>
  <c r="U85" i="5"/>
  <c r="I111" i="5"/>
  <c r="AA111" i="5"/>
  <c r="U101" i="5"/>
  <c r="I88" i="5"/>
  <c r="AA88" i="5"/>
  <c r="I101" i="5"/>
  <c r="AA101" i="5"/>
  <c r="U76" i="5"/>
  <c r="I98" i="5"/>
  <c r="AA98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9" i="5"/>
  <c r="I37" i="5"/>
  <c r="AA37" i="5"/>
  <c r="H104" i="5"/>
  <c r="AA113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2" i="5"/>
  <c r="AA121" i="5"/>
  <c r="T22" i="5"/>
  <c r="O32" i="5"/>
  <c r="AA33" i="5"/>
  <c r="Z47" i="5"/>
  <c r="T53" i="5"/>
  <c r="I70" i="5"/>
  <c r="H122" i="5"/>
  <c r="H21" i="5"/>
  <c r="Z29" i="5"/>
  <c r="I45" i="5"/>
  <c r="T71" i="5"/>
  <c r="H81" i="5"/>
  <c r="AA82" i="5"/>
  <c r="H87" i="5"/>
  <c r="H96" i="5"/>
  <c r="T28" i="5"/>
  <c r="AA32" i="5"/>
  <c r="O34" i="5"/>
  <c r="Z46" i="5"/>
  <c r="U124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5" i="5"/>
  <c r="T108" i="5"/>
  <c r="AA109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4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9" i="5"/>
  <c r="T100" i="5"/>
  <c r="Z105" i="5"/>
  <c r="AA117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100" i="5"/>
  <c r="Z102" i="5"/>
  <c r="Z104" i="5"/>
  <c r="O109" i="5"/>
  <c r="T115" i="5"/>
  <c r="H118" i="5"/>
  <c r="T122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5" i="5"/>
  <c r="Z106" i="5"/>
  <c r="AA107" i="5"/>
  <c r="Z112" i="5"/>
  <c r="H115" i="5"/>
  <c r="O119" i="5"/>
  <c r="AA123" i="5"/>
  <c r="H106" i="5"/>
  <c r="Z108" i="5"/>
  <c r="H112" i="5"/>
  <c r="O117" i="5"/>
  <c r="T120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9" i="5"/>
  <c r="H107" i="5"/>
  <c r="H108" i="5"/>
  <c r="T118" i="5"/>
  <c r="Z122" i="5"/>
  <c r="H124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Z58" i="5"/>
  <c r="H63" i="5"/>
  <c r="Z68" i="5"/>
  <c r="T69" i="5"/>
  <c r="H74" i="5"/>
  <c r="T79" i="5"/>
  <c r="T81" i="5"/>
  <c r="T83" i="5"/>
  <c r="T86" i="5"/>
  <c r="O93" i="5"/>
  <c r="H100" i="5"/>
  <c r="T106" i="5"/>
  <c r="O107" i="5"/>
  <c r="T112" i="5"/>
  <c r="Z118" i="5"/>
  <c r="H120" i="5"/>
  <c r="O123" i="5"/>
  <c r="O121" i="5"/>
  <c r="U93" i="5"/>
  <c r="T93" i="5"/>
  <c r="U105" i="5"/>
  <c r="T105" i="5"/>
  <c r="U113" i="5"/>
  <c r="T11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9" i="5"/>
  <c r="T109" i="5"/>
  <c r="Z120" i="5"/>
  <c r="U107" i="5"/>
  <c r="T107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5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9" i="5"/>
  <c r="T99" i="5"/>
  <c r="U123" i="5"/>
  <c r="T123" i="5"/>
  <c r="U84" i="5"/>
  <c r="T84" i="5"/>
  <c r="U121" i="5"/>
  <c r="T121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T60" i="5"/>
  <c r="O70" i="5"/>
  <c r="N70" i="5"/>
  <c r="Z81" i="5"/>
  <c r="U87" i="5"/>
  <c r="T87" i="5"/>
  <c r="Z96" i="5"/>
  <c r="U102" i="5"/>
  <c r="T102" i="5"/>
  <c r="U119" i="5"/>
  <c r="T119" i="5"/>
  <c r="O31" i="5"/>
  <c r="N31" i="5"/>
  <c r="O57" i="5"/>
  <c r="N57" i="5"/>
  <c r="O79" i="5"/>
  <c r="N79" i="5"/>
  <c r="Z83" i="5"/>
  <c r="U91" i="5"/>
  <c r="T91" i="5"/>
  <c r="U117" i="5"/>
  <c r="T117" i="5"/>
  <c r="Z124" i="5"/>
  <c r="N81" i="5"/>
  <c r="N83" i="5"/>
  <c r="N92" i="5"/>
  <c r="N94" i="5"/>
  <c r="N96" i="5"/>
  <c r="N104" i="5"/>
  <c r="N106" i="5"/>
  <c r="N108" i="5"/>
  <c r="N118" i="5"/>
  <c r="N120" i="5"/>
  <c r="N122" i="5"/>
  <c r="N124" i="5"/>
  <c r="H109" i="5"/>
  <c r="H113" i="5"/>
  <c r="H117" i="5"/>
  <c r="H119" i="5"/>
  <c r="H121" i="5"/>
  <c r="H123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<sst xmlns="http://schemas.openxmlformats.org/spreadsheetml/2006/main" count="480" uniqueCount="94">
  <si>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</si>
  <si>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</si>
  <si>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</si>
  <si>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</si>
  <si>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</si>
  <si>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</si>
  <si>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</si>
  <si>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</si>
  <si>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</si>
  <si>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SDO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</si>
  <si>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</si>
  <si>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</si>
  <si>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</si>
  <si>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</si>
  <si>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</si>
  <si>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</si>
  <si>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</si>
  <si>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</si>
  <si>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</si>
  <si>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</si>
  <si>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</si>
  <si>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</si>
  <si>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</si>
  <si>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CO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</si>
  <si>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</si>
  <si>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</si>
  <si>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</si>
  <si>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</si>
  <si>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</si>
  <si>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</si>
  <si>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</si>
  <si>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</si>
  <si>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</si>
  <si>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</si>
  <si>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</si>
  <si>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</si>
  <si>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</si>
  <si>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</si>
  <si>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</si>
  <si>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</si>
  <si>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</si>
  <si>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</si>
  <si>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</si>
  <si>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</si>
  <si>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</si>
  <si>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</si>
  <si>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</si>
  <si>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</si>
  <si>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</si>
  <si>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</si>
  <si>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</si>
  <si>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</si>
  <si>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</si>
  <si>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</si>
  <si>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</si>
  <si>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</si>
  <si>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</si>
  <si>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</si>
  <si>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</si>
  <si>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</si>
  <si>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</si>
  <si>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</si>
  <si>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</si>
  <si>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Gawaing Pampagkatuto sa Kindergarten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</si>
  <si>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</si>
  <si>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</si>
  <si>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</si>
  <si>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</si>
  <si>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</si>
  <si>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</si>
  <si>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</si>
  <si>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</si>
  <si>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</si>
  <si>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</si>
  <si>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</si>
  <si>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</si>
  <si>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</si>
  <si>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</si>
  <si>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</si>
  <si>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</si>
  <si>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</si>
  <si>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</si>
  <si>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</si>
  <si>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</si>
  <si>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</si>
  <si>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</si>
  <si>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</si>
  <si>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</si>
  <si>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</si>
  <si>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</si>
  <si>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</si>
  <si>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</si>
  <si>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</si>
  <si>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ESP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</si>
</sst>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sz val="14"/>
      <color theme="1"/>
      <name val="Bookman Old Style"/>
      <charset val="134"/>
    </font>
    <font>
      <sz val="14"/>
      <color theme="1"/>
      <name val="Bookman Old Style"/>
      <family val="1"/>
    </font>
    <font>
      <sz val="15"/>
      <color theme="1"/>
      <name val="Bookman Old Style"/>
      <charset val="134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2" fillId="0" borderId="0" xfId="0" applyFont="1" applyAlignment="1">
      <alignment vertical="center"/>
    </xf>
    <xf numFmtId="0" fontId="13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0" fontId="15" fillId="7" borderId="1" xfId="0" applyFont="1" applyFill="1" applyBorder="1" applyAlignment="1">
      <alignment horizontal="left" vertical="center" wrapText="1"/>
    </xf>
    <xf numFmtId="0" fontId="15" fillId="7" borderId="1" xfId="0" applyFont="1" applyFill="1" applyBorder="1" applyAlignment="1">
      <alignment vertical="center" wrapText="1"/>
    </xf>
    <xf numFmtId="0" fontId="15" fillId="9" borderId="1" xfId="0" applyFont="1" applyFill="1" applyBorder="1" applyAlignment="1">
      <alignment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11" fillId="9" borderId="9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0" fontId="11" fillId="9" borderId="3" xfId="0" applyFont="1" applyFill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center" vertical="center" wrapText="1"/>
    </xf>
    <xf numFmtId="0" fontId="11" fillId="9" borderId="3" xfId="0" applyNumberFormat="1" applyFont="1" applyFill="1" applyBorder="1" applyAlignment="1">
      <alignment horizontal="center" vertical="center" wrapText="1"/>
    </xf>
    <xf numFmtId="0" fontId="0" fillId="0" borderId="0" xfId="0" applyFill="1"/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2" totalsRowShown="0" dataDxfId="29" headerRowBorderDxfId="27" tableBorderDxfId="28">
  <autoFilter ref="A2:AA142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98"/>
  <sheetViews>
    <sheetView zoomScale="85" zoomScaleNormal="85" workbookViewId="0">
      <pane xSplit="2" topLeftCell="C27" activePane="topRight" state="frozen"/>
      <selection pane="topRight" activeCell="E36" sqref="E3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41.25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>
        <v>310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310</v>
      </c>
    </row>
    <row r="3" spans="1:8" ht="29.25" customHeight="1">
      <c r="A3" s="1">
        <v>1</v>
      </c>
      <c r="B3" s="2" t="s">
        <v>10</v>
      </c>
      <c r="C3" s="1"/>
      <c r="D3" s="1">
        <v>310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310</v>
      </c>
    </row>
    <row r="4" spans="1:8" ht="21" customHeight="1">
      <c r="A4" s="1">
        <v>1</v>
      </c>
      <c r="B4" s="2" t="s">
        <v>11</v>
      </c>
      <c r="C4" s="1"/>
      <c r="D4" s="1">
        <v>310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310</v>
      </c>
    </row>
    <row r="5" spans="1:8" ht="25.5" customHeight="1">
      <c r="A5" s="1">
        <v>1</v>
      </c>
      <c r="B5" s="2" t="s">
        <v>12</v>
      </c>
      <c r="C5" s="1"/>
      <c r="D5" s="1">
        <v>310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310</v>
      </c>
    </row>
    <row r="6" spans="1:8" ht="19.149999999999999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/>
      <c r="D21" s="1">
        <v>254</v>
      </c>
      <c r="E21" s="1">
        <v>2025</v>
      </c>
      <c r="F21" s="5" t="s">
        <v>9</v>
      </c>
      <c r="G21" s="3">
        <f t="shared" ref="G21:G29" si="4">IF((C21-D21)&lt;0,0,C21-D21)</f>
        <v>0</v>
      </c>
      <c r="H21" s="4">
        <f t="shared" ref="H21:H29" si="5">IF((D21-C21)&lt;0,0,D21-C21)</f>
        <v>254</v>
      </c>
    </row>
    <row r="22" spans="1:8" ht="24" customHeight="1">
      <c r="A22" s="1">
        <v>4</v>
      </c>
      <c r="B22" s="9" t="s">
        <v>16</v>
      </c>
      <c r="C22" s="1"/>
      <c r="D22" s="1">
        <v>254</v>
      </c>
      <c r="E22" s="1">
        <v>2025</v>
      </c>
      <c r="F22" s="5" t="s">
        <v>9</v>
      </c>
      <c r="G22" s="3">
        <f t="shared" si="4"/>
        <v>0</v>
      </c>
      <c r="H22" s="4">
        <f t="shared" si="5"/>
        <v>254</v>
      </c>
    </row>
    <row r="23" spans="1:8" ht="19.5">
      <c r="A23" s="1">
        <v>4</v>
      </c>
      <c r="B23" s="9" t="s">
        <v>13</v>
      </c>
      <c r="C23" s="1"/>
      <c r="D23" s="1">
        <v>254</v>
      </c>
      <c r="E23" s="1">
        <v>2025</v>
      </c>
      <c r="F23" s="5" t="s">
        <v>9</v>
      </c>
      <c r="G23" s="3">
        <f t="shared" si="4"/>
        <v>0</v>
      </c>
      <c r="H23" s="4">
        <f t="shared" si="5"/>
        <v>254</v>
      </c>
    </row>
    <row r="24" spans="1:8" ht="27" customHeight="1">
      <c r="A24" s="1">
        <v>4</v>
      </c>
      <c r="B24" s="9" t="s">
        <v>11</v>
      </c>
      <c r="C24" s="1"/>
      <c r="D24" s="1">
        <v>254</v>
      </c>
      <c r="E24" s="1">
        <v>2025</v>
      </c>
      <c r="F24" s="5" t="s">
        <v>9</v>
      </c>
      <c r="G24" s="3">
        <f t="shared" si="4"/>
        <v>0</v>
      </c>
      <c r="H24" s="4">
        <f t="shared" si="5"/>
        <v>254</v>
      </c>
    </row>
    <row r="25" spans="1:8" ht="33.75" customHeight="1">
      <c r="A25" s="1">
        <v>4</v>
      </c>
      <c r="B25" s="9" t="s">
        <v>17</v>
      </c>
      <c r="C25" s="1"/>
      <c r="D25" s="1">
        <v>254</v>
      </c>
      <c r="E25" s="1">
        <v>2025</v>
      </c>
      <c r="F25" s="5" t="s">
        <v>9</v>
      </c>
      <c r="G25" s="3">
        <f t="shared" si="4"/>
        <v>0</v>
      </c>
      <c r="H25" s="4">
        <f t="shared" si="5"/>
        <v>254</v>
      </c>
    </row>
    <row r="26" spans="1:8" ht="33.75" customHeight="1">
      <c r="A26" s="1">
        <v>4</v>
      </c>
      <c r="B26" s="9" t="s">
        <v>14</v>
      </c>
      <c r="C26" s="1"/>
      <c r="D26" s="1">
        <v>254</v>
      </c>
      <c r="E26" s="1">
        <v>2025</v>
      </c>
      <c r="F26" s="5" t="s">
        <v>9</v>
      </c>
      <c r="G26" s="3">
        <f t="shared" si="4"/>
        <v>0</v>
      </c>
      <c r="H26" s="4">
        <f t="shared" si="5"/>
        <v>254</v>
      </c>
    </row>
    <row r="27" spans="1:8" ht="33.75" customHeight="1">
      <c r="A27" s="1">
        <v>4</v>
      </c>
      <c r="B27" s="9" t="s">
        <v>18</v>
      </c>
      <c r="C27" s="1"/>
      <c r="D27" s="1">
        <v>254</v>
      </c>
      <c r="E27" s="1">
        <v>2025</v>
      </c>
      <c r="F27" s="5" t="s">
        <v>9</v>
      </c>
      <c r="G27" s="3">
        <f t="shared" si="4"/>
        <v>0</v>
      </c>
      <c r="H27" s="4">
        <f t="shared" si="5"/>
        <v>254</v>
      </c>
    </row>
    <row r="28" spans="1:8" ht="27.75" customHeight="1">
      <c r="A28" s="1">
        <v>4</v>
      </c>
      <c r="B28" s="9" t="s">
        <v>19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/>
      <c r="D29" s="1">
        <v>440</v>
      </c>
      <c r="E29" s="1">
        <v>2026</v>
      </c>
      <c r="F29" s="5" t="s">
        <v>9</v>
      </c>
      <c r="G29" s="3">
        <f t="shared" si="4"/>
        <v>0</v>
      </c>
      <c r="H29" s="4">
        <f t="shared" si="5"/>
        <v>440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/>
      <c r="D31" s="1">
        <v>562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562</v>
      </c>
    </row>
    <row r="32" spans="1:8" ht="27.75" customHeight="1">
      <c r="A32" s="1">
        <v>5</v>
      </c>
      <c r="B32" s="9" t="s">
        <v>16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/>
      <c r="D35" s="1">
        <v>253</v>
      </c>
      <c r="E35" s="1">
        <v>2025</v>
      </c>
      <c r="F35" s="5" t="s">
        <v>9</v>
      </c>
      <c r="G35" s="3">
        <f t="shared" si="6"/>
        <v>0</v>
      </c>
      <c r="H35" s="4">
        <f t="shared" si="7"/>
        <v>253</v>
      </c>
    </row>
    <row r="36" spans="1:8" ht="27.75" customHeight="1">
      <c r="A36" s="1">
        <v>5</v>
      </c>
      <c r="B36" s="9" t="s">
        <v>14</v>
      </c>
      <c r="C36" s="1"/>
      <c r="D36" s="1">
        <v>562</v>
      </c>
      <c r="E36" s="1">
        <v>2025</v>
      </c>
      <c r="F36" s="5" t="s">
        <v>9</v>
      </c>
      <c r="G36" s="3">
        <f t="shared" si="6"/>
        <v>0</v>
      </c>
      <c r="H36" s="4">
        <f t="shared" si="7"/>
        <v>562</v>
      </c>
    </row>
    <row r="37" spans="1:8" ht="27.75" customHeight="1">
      <c r="A37" s="1">
        <v>5</v>
      </c>
      <c r="B37" s="9" t="s">
        <v>18</v>
      </c>
      <c r="C37" s="1"/>
      <c r="D37" s="1">
        <v>561</v>
      </c>
      <c r="E37" s="1">
        <v>2025</v>
      </c>
      <c r="F37" s="5" t="s">
        <v>9</v>
      </c>
      <c r="G37" s="3">
        <f t="shared" si="6"/>
        <v>0</v>
      </c>
      <c r="H37" s="4">
        <f t="shared" si="7"/>
        <v>561</v>
      </c>
    </row>
    <row r="38" spans="1:8" ht="27.75" customHeight="1">
      <c r="A38" s="1">
        <v>5</v>
      </c>
      <c r="B38" s="9" t="s">
        <v>19</v>
      </c>
      <c r="C38" s="1"/>
      <c r="D38" s="1">
        <v>282</v>
      </c>
      <c r="E38" s="1">
        <v>2026</v>
      </c>
      <c r="F38" s="5" t="s">
        <v>9</v>
      </c>
      <c r="G38" s="3">
        <f t="shared" si="6"/>
        <v>0</v>
      </c>
      <c r="H38" s="4">
        <f t="shared" si="7"/>
        <v>282</v>
      </c>
    </row>
    <row r="39" spans="1:8" ht="27.75" customHeight="1">
      <c r="A39" s="1">
        <v>5</v>
      </c>
      <c r="B39" s="9" t="s">
        <v>20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>
        <v>360</v>
      </c>
      <c r="E59" s="10">
        <v>2025</v>
      </c>
      <c r="F59" s="12" t="s">
        <v>23</v>
      </c>
      <c r="G59" s="3">
        <f t="shared" si="10"/>
        <v>0</v>
      </c>
      <c r="H59" s="4">
        <f t="shared" si="11"/>
        <v>360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>
        <v>320</v>
      </c>
      <c r="E64" s="10">
        <v>2025</v>
      </c>
      <c r="F64" s="12" t="s">
        <v>23</v>
      </c>
      <c r="G64" s="3">
        <f t="shared" si="12"/>
        <v>0</v>
      </c>
      <c r="H64" s="4">
        <f t="shared" si="13"/>
        <v>320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pageSetup paperSize="6" fitToHeight="0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sheetPr>
    <pageSetUpPr fitToPage="1"/>
  </sheetPr>
  <dimension ref="A1:AA127"/>
  <sheetViews>
    <sheetView topLeftCell="K61" zoomScale="70" zoomScaleNormal="70" workbookViewId="0">
      <selection activeCell="Y63" sqref="Y63"/>
    </sheetView>
  </sheetViews>
  <sheetFormatPr defaultRowHeight="13.9"/>
  <cols>
    <col min="1" max="1" width="9.42578125" customWidth="1"/>
    <col min="2" max="2" width="24.5703125" customWidth="1"/>
    <col min="3" max="4" width="11.28515625" customWidth="1"/>
    <col min="5" max="5" width="19.7109375" customWidth="1"/>
    <col min="6" max="10" width="10.5703125" customWidth="1"/>
    <col min="11" max="11" width="20.42578125" customWidth="1"/>
    <col min="12" max="16" width="10.140625" customWidth="1"/>
    <col min="17" max="17" width="20.140625" customWidth="1"/>
    <col min="18" max="22" width="10.5703125" customWidth="1"/>
    <col min="23" max="23" width="19.7109375" customWidth="1"/>
    <col min="24" max="27" width="10" customWidth="1"/>
  </cols>
  <sheetData>
    <row r="1" spans="1:27" s="28" customFormat="1" ht="34.15" customHeight="1">
      <c r="D1" s="45" t="s">
        <v>34</v>
      </c>
      <c r="E1" s="45"/>
      <c r="F1" s="45"/>
      <c r="G1" s="45"/>
      <c r="H1" s="45"/>
      <c r="I1" s="45"/>
      <c r="J1" s="46" t="s">
        <v>35</v>
      </c>
      <c r="K1" s="46"/>
      <c r="L1" s="46"/>
      <c r="M1" s="46"/>
      <c r="N1" s="46"/>
      <c r="O1" s="46"/>
      <c r="P1" s="47" t="s">
        <v>36</v>
      </c>
      <c r="Q1" s="47"/>
      <c r="R1" s="47"/>
      <c r="S1" s="47"/>
      <c r="T1" s="47"/>
      <c r="U1" s="47"/>
      <c r="V1" s="48" t="s">
        <v>37</v>
      </c>
      <c r="W1" s="48"/>
      <c r="X1" s="48"/>
      <c r="Y1" s="48"/>
      <c r="Z1" s="48"/>
      <c r="AA1" s="48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39" t="s">
        <v>47</v>
      </c>
      <c r="N2" s="39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0" t="s">
        <v>59</v>
      </c>
      <c r="Z2" s="40" t="s">
        <v>60</v>
      </c>
      <c r="AA2" s="26" t="s">
        <v>61</v>
      </c>
    </row>
    <row r="3" spans="1:27" ht="48" customHeight="1">
      <c r="A3" s="38" t="s">
        <v>62</v>
      </c>
      <c r="B3" s="41" t="s">
        <v>63</v>
      </c>
      <c r="C3" s="32"/>
      <c r="D3" s="33">
        <f>Table1[[#This Row],[Enrolment S.Y. 2025-2026 ]]*8</f>
        <v>0</v>
      </c>
      <c r="E3" s="33">
        <v>200</v>
      </c>
      <c r="F3" s="32">
        <v>2025</v>
      </c>
      <c r="G3" s="33"/>
      <c r="H3" s="33">
        <f>IF((D3-E3)&lt;0,0,(D3-E3))</f>
        <v>0</v>
      </c>
      <c r="I3" s="33">
        <f>IF((E3-D3)&lt;0,0,(E3-D3))</f>
        <v>200</v>
      </c>
      <c r="J3" s="33">
        <f>Table1[[#This Row],[Enrolment S.Y. 2025-2026 ]]*8</f>
        <v>0</v>
      </c>
      <c r="K3" s="33"/>
      <c r="L3" s="32"/>
      <c r="M3" s="33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3"/>
      <c r="R3" s="32"/>
      <c r="S3" s="33"/>
      <c r="T3" s="33">
        <f>IF((P3-Q3)&lt;0,0,(P3-Q3))</f>
        <v>0</v>
      </c>
      <c r="U3" s="33">
        <f>IF((Q3-P3)&lt;0,0,(Q3-P3))</f>
        <v>0</v>
      </c>
      <c r="V3" s="33">
        <f>Table1[[#This Row],[Enrolment S.Y. 2025-2026 ]]*8</f>
        <v>0</v>
      </c>
      <c r="W3" s="33"/>
      <c r="X3" s="32"/>
      <c r="Y3" s="33"/>
      <c r="Z3" s="33">
        <f>IF((V3-W3)&lt;0,0,(V3-W3))</f>
        <v>0</v>
      </c>
      <c r="AA3" s="33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6.75">
      <c r="A5" s="1">
        <v>1</v>
      </c>
      <c r="B5" s="4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16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64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6.75">
      <c r="A14" s="1">
        <v>2</v>
      </c>
      <c r="B14" s="4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16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64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6.75">
      <c r="A23" s="1">
        <v>3</v>
      </c>
      <c r="B23" s="4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16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64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16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6.75">
      <c r="A37" s="1">
        <v>4</v>
      </c>
      <c r="B37" s="43" t="s">
        <v>17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18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19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20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16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6.75">
      <c r="A47" s="1">
        <v>5</v>
      </c>
      <c r="B47" s="43" t="s">
        <v>17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18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19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20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6.75">
      <c r="A57" s="1">
        <v>6</v>
      </c>
      <c r="B57" s="43" t="s">
        <v>17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18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19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20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>
        <v>138</v>
      </c>
      <c r="X63" s="10">
        <v>2026</v>
      </c>
      <c r="Y63" s="12" t="s">
        <v>9</v>
      </c>
      <c r="Z63" s="12">
        <f t="shared" si="14"/>
        <v>0</v>
      </c>
      <c r="AA63" s="12">
        <f t="shared" si="15"/>
        <v>138</v>
      </c>
    </row>
    <row r="64" spans="1:27" ht="19.5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>
        <v>138</v>
      </c>
      <c r="X64" s="10">
        <v>2026</v>
      </c>
      <c r="Y64" s="12" t="s">
        <v>9</v>
      </c>
      <c r="Z64" s="12">
        <f t="shared" si="14"/>
        <v>0</v>
      </c>
      <c r="AA64" s="12">
        <f t="shared" si="15"/>
        <v>138</v>
      </c>
    </row>
    <row r="65" spans="1:27" ht="19.5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>
        <v>138</v>
      </c>
      <c r="X65" s="10">
        <v>2026</v>
      </c>
      <c r="Y65" s="12" t="s">
        <v>9</v>
      </c>
      <c r="Z65" s="12">
        <f t="shared" si="14"/>
        <v>0</v>
      </c>
      <c r="AA65" s="12">
        <f t="shared" si="15"/>
        <v>138</v>
      </c>
    </row>
    <row r="66" spans="1:27" ht="19.5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>
        <v>138</v>
      </c>
      <c r="X66" s="10">
        <v>2026</v>
      </c>
      <c r="Y66" s="12" t="s">
        <v>9</v>
      </c>
      <c r="Z66" s="12">
        <f t="shared" si="14"/>
        <v>0</v>
      </c>
      <c r="AA66" s="12">
        <f t="shared" si="15"/>
        <v>138</v>
      </c>
    </row>
    <row r="67" spans="1:27" ht="36.75">
      <c r="A67" s="10">
        <v>7</v>
      </c>
      <c r="B67" s="44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>
        <v>138</v>
      </c>
      <c r="X67" s="10">
        <v>2026</v>
      </c>
      <c r="Y67" s="12" t="s">
        <v>9</v>
      </c>
      <c r="Z67" s="12">
        <f t="shared" si="14"/>
        <v>0</v>
      </c>
      <c r="AA67" s="12">
        <f t="shared" si="15"/>
        <v>138</v>
      </c>
    </row>
    <row r="68" spans="1:27" ht="19.5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>
        <v>138</v>
      </c>
      <c r="X68" s="10">
        <v>2026</v>
      </c>
      <c r="Y68" s="12" t="s">
        <v>9</v>
      </c>
      <c r="Z68" s="12">
        <f t="shared" si="14"/>
        <v>0</v>
      </c>
      <c r="AA68" s="12">
        <f t="shared" si="15"/>
        <v>138</v>
      </c>
    </row>
    <row r="69" spans="1:27" ht="19.5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>
        <v>138</v>
      </c>
      <c r="X69" s="10">
        <v>2026</v>
      </c>
      <c r="Y69" s="12" t="s">
        <v>9</v>
      </c>
      <c r="Z69" s="12">
        <f t="shared" si="14"/>
        <v>0</v>
      </c>
      <c r="AA69" s="12">
        <f t="shared" si="15"/>
        <v>138</v>
      </c>
    </row>
    <row r="70" spans="1:27" ht="19.5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>
        <v>138</v>
      </c>
      <c r="X70" s="10">
        <v>2026</v>
      </c>
      <c r="Y70" s="12" t="s">
        <v>9</v>
      </c>
      <c r="Z70" s="12">
        <f t="shared" ref="Z70:Z127" si="20">IF((V70-W70)&lt;0,0,(V70-W70))</f>
        <v>0</v>
      </c>
      <c r="AA70" s="12">
        <f t="shared" ref="AA70:AA127" si="21">IF((W70-V70)&lt;0,0,(W70-V70))</f>
        <v>138</v>
      </c>
    </row>
    <row r="71" spans="1:27" ht="19.5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>
        <v>138</v>
      </c>
      <c r="X71" s="10">
        <v>2026</v>
      </c>
      <c r="Y71" s="12" t="s">
        <v>9</v>
      </c>
      <c r="Z71" s="12">
        <f t="shared" si="20"/>
        <v>0</v>
      </c>
      <c r="AA71" s="12">
        <f t="shared" si="21"/>
        <v>138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6.75">
      <c r="A108" s="1" t="s">
        <v>25</v>
      </c>
      <c r="B108" s="43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4.75">
      <c r="A109" s="1" t="s">
        <v>25</v>
      </c>
      <c r="B109" s="43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W63:X71" name="LAS"/>
    <protectedRange sqref="G2:I3 M2:O2 S2:U3 Y2:AA3 G112:G127 M112:M127 S112:S127 Y112:Y127 G5:G12 M5:M12 S4:S110 Y5:Y12 G14:G21 M14:M110 M3 G23:G31 G33:G41 G43:G51 G53:G61 G63:G71 G73:G81 G83:G91 G93:G101 G103:G110 Y14:Y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5:X12 X53:X61 X43:X51 X33:X41 X23:X31 X14:X21 X63:X71" xr:uid="{4ECCD083-8EC4-42EE-B46C-B614411F330D}">
      <formula1>"2024,2025,2026"</formula1>
    </dataValidation>
    <dataValidation type="list" allowBlank="1" showInputMessage="1" showErrorMessage="1" sqref="M14:M110 G103:G110 S4:S110 G5:G12 M5:M12 Y5:Y12 G14:G21 G23:G31 G33:G41 G43:G51 G53:G61 G63:G71 G73:G81 G83:G91 G93:G101 Y14:Y110" xr:uid="{5129D80C-83DF-45BE-B6AD-F21CA596CBA5}">
      <formula1>"CO,RO,SDO,LGU,SCHOOL"</formula1>
    </dataValidation>
  </dataValidations>
  <pageMargins left="0.25" right="0.25" top="0.75" bottom="0.75" header="0.3" footer="0.3"/>
  <pageSetup paperSize="6" fitToHeight="0" orientation="landscape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sheetPr>
    <pageSetUpPr fitToPage="1"/>
  </sheetPr>
  <dimension ref="A1:AB142"/>
  <sheetViews>
    <sheetView tabSelected="1" zoomScale="55" zoomScaleNormal="55" workbookViewId="0">
      <pane xSplit="2" topLeftCell="P89" activePane="topRight" state="frozen"/>
      <selection pane="topRight" activeCell="Y96" sqref="Y96"/>
    </sheetView>
  </sheetViews>
  <sheetFormatPr defaultRowHeight="13.9"/>
  <cols>
    <col min="1" max="1" width="7.140625" customWidth="1"/>
    <col min="2" max="2" width="23" customWidth="1"/>
    <col min="3" max="4" width="11.28515625" customWidth="1"/>
    <col min="5" max="5" width="20.5703125" customWidth="1"/>
    <col min="6" max="6" width="11.140625" customWidth="1"/>
    <col min="7" max="7" width="12.28515625" customWidth="1"/>
    <col min="8" max="10" width="11.140625" customWidth="1"/>
    <col min="11" max="11" width="20" customWidth="1"/>
    <col min="12" max="12" width="10.85546875" customWidth="1"/>
    <col min="13" max="13" width="12" customWidth="1"/>
    <col min="14" max="16" width="10.85546875" customWidth="1"/>
    <col min="17" max="17" width="20.7109375" customWidth="1"/>
    <col min="18" max="22" width="11.5703125" customWidth="1"/>
    <col min="23" max="23" width="20" customWidth="1"/>
    <col min="24" max="27" width="12.28515625" customWidth="1"/>
  </cols>
  <sheetData>
    <row r="1" spans="1:27" s="28" customFormat="1" ht="25.5" customHeight="1">
      <c r="B1" s="34"/>
      <c r="D1" s="45" t="s">
        <v>34</v>
      </c>
      <c r="E1" s="45"/>
      <c r="F1" s="45"/>
      <c r="G1" s="45"/>
      <c r="H1" s="45"/>
      <c r="I1" s="45"/>
      <c r="J1" s="46" t="s">
        <v>35</v>
      </c>
      <c r="K1" s="46"/>
      <c r="L1" s="46"/>
      <c r="M1" s="46"/>
      <c r="N1" s="46"/>
      <c r="O1" s="46"/>
      <c r="P1" s="47" t="s">
        <v>36</v>
      </c>
      <c r="Q1" s="47"/>
      <c r="R1" s="47"/>
      <c r="S1" s="47"/>
      <c r="T1" s="47"/>
      <c r="U1" s="47"/>
      <c r="V1" s="48" t="s">
        <v>37</v>
      </c>
      <c r="W1" s="48"/>
      <c r="X1" s="48"/>
      <c r="Y1" s="48"/>
      <c r="Z1" s="48"/>
      <c r="AA1" s="48"/>
    </row>
    <row r="2" spans="1:27" ht="69.599999999999994" customHeight="1">
      <c r="A2" s="15" t="s">
        <v>0</v>
      </c>
      <c r="B2" s="35" t="s">
        <v>1</v>
      </c>
      <c r="C2" s="16" t="s">
        <v>2</v>
      </c>
      <c r="D2" s="20" t="s">
        <v>65</v>
      </c>
      <c r="E2" s="20" t="s">
        <v>66</v>
      </c>
      <c r="F2" s="21" t="s">
        <v>67</v>
      </c>
      <c r="G2" s="24" t="s">
        <v>68</v>
      </c>
      <c r="H2" s="17" t="s">
        <v>69</v>
      </c>
      <c r="I2" s="24" t="s">
        <v>70</v>
      </c>
      <c r="J2" s="22" t="s">
        <v>71</v>
      </c>
      <c r="K2" s="22" t="s">
        <v>72</v>
      </c>
      <c r="L2" s="23" t="s">
        <v>73</v>
      </c>
      <c r="M2" s="39" t="s">
        <v>74</v>
      </c>
      <c r="N2" s="39" t="s">
        <v>75</v>
      </c>
      <c r="O2" s="22" t="s">
        <v>76</v>
      </c>
      <c r="P2" s="24" t="s">
        <v>77</v>
      </c>
      <c r="Q2" s="24" t="s">
        <v>78</v>
      </c>
      <c r="R2" s="25" t="s">
        <v>79</v>
      </c>
      <c r="S2" s="17" t="s">
        <v>80</v>
      </c>
      <c r="T2" s="17" t="s">
        <v>81</v>
      </c>
      <c r="U2" s="24" t="s">
        <v>82</v>
      </c>
      <c r="V2" s="26" t="s">
        <v>83</v>
      </c>
      <c r="W2" s="26" t="s">
        <v>84</v>
      </c>
      <c r="X2" s="27" t="s">
        <v>85</v>
      </c>
      <c r="Y2" s="40" t="s">
        <v>86</v>
      </c>
      <c r="Z2" s="40" t="s">
        <v>87</v>
      </c>
      <c r="AA2" s="26" t="s">
        <v>88</v>
      </c>
    </row>
    <row r="3" spans="1:27" ht="36" customHeight="1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64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>
        <v>245</v>
      </c>
      <c r="L15" s="1">
        <v>2025</v>
      </c>
      <c r="M15" s="5" t="s">
        <v>9</v>
      </c>
      <c r="N15" s="5">
        <f t="shared" si="2"/>
        <v>0</v>
      </c>
      <c r="O15" s="5">
        <f t="shared" si="3"/>
        <v>245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>
        <v>245</v>
      </c>
      <c r="L17" s="1">
        <v>2025</v>
      </c>
      <c r="M17" s="5" t="s">
        <v>9</v>
      </c>
      <c r="N17" s="5">
        <f t="shared" si="2"/>
        <v>0</v>
      </c>
      <c r="O17" s="5">
        <f t="shared" si="3"/>
        <v>245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64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64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6">
        <v>4</v>
      </c>
      <c r="B37" s="9" t="s">
        <v>89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90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6">
        <v>4</v>
      </c>
      <c r="B40" s="9" t="s">
        <v>91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92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>
        <v>257</v>
      </c>
      <c r="L43" s="1">
        <v>2025</v>
      </c>
      <c r="M43" s="5" t="s">
        <v>9</v>
      </c>
      <c r="N43" s="5">
        <f t="shared" si="2"/>
        <v>0</v>
      </c>
      <c r="O43" s="5">
        <f t="shared" si="3"/>
        <v>257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>
        <v>257</v>
      </c>
      <c r="L45" s="1">
        <v>2025</v>
      </c>
      <c r="M45" s="5" t="s">
        <v>9</v>
      </c>
      <c r="N45" s="5">
        <f t="shared" si="2"/>
        <v>0</v>
      </c>
      <c r="O45" s="5">
        <f t="shared" si="3"/>
        <v>257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6">
        <v>5</v>
      </c>
      <c r="B49" s="9" t="s">
        <v>89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90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6">
        <v>5</v>
      </c>
      <c r="B52" s="9" t="s">
        <v>91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92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/>
      <c r="D55" s="5">
        <f>Table14[[#This Row],[Enrolment S.Y. 2025-2026 ]]*8</f>
        <v>0</v>
      </c>
      <c r="E55" s="5">
        <v>80</v>
      </c>
      <c r="F55" s="1">
        <v>2025</v>
      </c>
      <c r="G55" s="5" t="s">
        <v>9</v>
      </c>
      <c r="H55" s="5">
        <f t="shared" si="0"/>
        <v>0</v>
      </c>
      <c r="I55" s="5">
        <f t="shared" si="1"/>
        <v>80</v>
      </c>
      <c r="J55" s="5">
        <f>Table14[[#This Row],[Enrolment S.Y. 2025-2026 ]]*8</f>
        <v>0</v>
      </c>
      <c r="K55" s="5">
        <v>52</v>
      </c>
      <c r="L55" s="1">
        <v>2025</v>
      </c>
      <c r="M55" s="5" t="s">
        <v>9</v>
      </c>
      <c r="N55" s="5">
        <f t="shared" si="2"/>
        <v>0</v>
      </c>
      <c r="O55" s="5">
        <f t="shared" si="3"/>
        <v>52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/>
      <c r="D56" s="5">
        <f>Table14[[#This Row],[Enrolment S.Y. 2025-2026 ]]*8</f>
        <v>0</v>
      </c>
      <c r="E56" s="5">
        <v>80</v>
      </c>
      <c r="F56" s="1">
        <v>2025</v>
      </c>
      <c r="G56" s="5" t="s">
        <v>9</v>
      </c>
      <c r="H56" s="5">
        <f t="shared" si="0"/>
        <v>0</v>
      </c>
      <c r="I56" s="5">
        <f t="shared" si="1"/>
        <v>80</v>
      </c>
      <c r="J56" s="5">
        <f>Table14[[#This Row],[Enrolment S.Y. 2025-2026 ]]*8</f>
        <v>0</v>
      </c>
      <c r="K56" s="5">
        <v>52</v>
      </c>
      <c r="L56" s="1">
        <v>2025</v>
      </c>
      <c r="M56" s="5" t="s">
        <v>9</v>
      </c>
      <c r="N56" s="5">
        <f t="shared" si="2"/>
        <v>0</v>
      </c>
      <c r="O56" s="5">
        <f t="shared" si="3"/>
        <v>52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/>
      <c r="D57" s="5">
        <f>Table14[[#This Row],[Enrolment S.Y. 2025-2026 ]]*8</f>
        <v>0</v>
      </c>
      <c r="E57" s="5">
        <v>80</v>
      </c>
      <c r="F57" s="1">
        <v>2025</v>
      </c>
      <c r="G57" s="5" t="s">
        <v>9</v>
      </c>
      <c r="H57" s="5">
        <f t="shared" si="0"/>
        <v>0</v>
      </c>
      <c r="I57" s="5">
        <f t="shared" si="1"/>
        <v>80</v>
      </c>
      <c r="J57" s="5">
        <f>Table14[[#This Row],[Enrolment S.Y. 2025-2026 ]]*8</f>
        <v>0</v>
      </c>
      <c r="K57" s="5">
        <v>52</v>
      </c>
      <c r="L57" s="1">
        <v>2025</v>
      </c>
      <c r="M57" s="5" t="s">
        <v>9</v>
      </c>
      <c r="N57" s="5">
        <f t="shared" si="2"/>
        <v>0</v>
      </c>
      <c r="O57" s="5">
        <f t="shared" si="3"/>
        <v>52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>
        <v>52</v>
      </c>
      <c r="X57" s="1">
        <v>2025</v>
      </c>
      <c r="Y57" s="5" t="s">
        <v>9</v>
      </c>
      <c r="Z57" s="5">
        <f t="shared" si="6"/>
        <v>0</v>
      </c>
      <c r="AA57" s="5">
        <f t="shared" si="7"/>
        <v>52</v>
      </c>
    </row>
    <row r="58" spans="1:27" ht="19.5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>
        <v>52</v>
      </c>
      <c r="X58" s="1">
        <v>2025</v>
      </c>
      <c r="Y58" s="5" t="s">
        <v>9</v>
      </c>
      <c r="Z58" s="5">
        <f t="shared" si="6"/>
        <v>0</v>
      </c>
      <c r="AA58" s="5">
        <f t="shared" si="7"/>
        <v>52</v>
      </c>
    </row>
    <row r="59" spans="1:27" ht="38.25">
      <c r="A59" s="1">
        <v>6</v>
      </c>
      <c r="B59" s="9" t="s">
        <v>17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>
        <v>52</v>
      </c>
      <c r="R59" s="1">
        <v>2025</v>
      </c>
      <c r="S59" s="5" t="s">
        <v>9</v>
      </c>
      <c r="T59" s="5">
        <f t="shared" si="4"/>
        <v>0</v>
      </c>
      <c r="U59" s="5">
        <f t="shared" si="5"/>
        <v>52</v>
      </c>
      <c r="V59" s="5">
        <v>0</v>
      </c>
      <c r="W59" s="5">
        <v>52</v>
      </c>
      <c r="X59" s="1">
        <v>2025</v>
      </c>
      <c r="Y59" s="5" t="s">
        <v>9</v>
      </c>
      <c r="Z59" s="5">
        <f>IF((V59-W59)&lt;0,0,(V59-W59))</f>
        <v>0</v>
      </c>
      <c r="AA59" s="5">
        <f t="shared" si="7"/>
        <v>52</v>
      </c>
    </row>
    <row r="60" spans="1:27" ht="19.5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>
        <v>52</v>
      </c>
      <c r="X60" s="1">
        <v>2025</v>
      </c>
      <c r="Y60" s="5" t="s">
        <v>9</v>
      </c>
      <c r="Z60" s="5">
        <f t="shared" si="6"/>
        <v>0</v>
      </c>
      <c r="AA60" s="5">
        <f t="shared" si="7"/>
        <v>52</v>
      </c>
    </row>
    <row r="61" spans="1:27" ht="19.5">
      <c r="A61" s="36">
        <v>6</v>
      </c>
      <c r="B61" s="9" t="s">
        <v>89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>
        <v>52</v>
      </c>
      <c r="X61" s="1">
        <v>2025</v>
      </c>
      <c r="Y61" s="5" t="s">
        <v>9</v>
      </c>
      <c r="Z61" s="5">
        <f>IF((V61-W61)&lt;0,0,(V61-W61))</f>
        <v>0</v>
      </c>
      <c r="AA61" s="5">
        <f>IF((W61-V61)&lt;0,0,(W61-V61))</f>
        <v>52</v>
      </c>
    </row>
    <row r="62" spans="1:27" ht="19.5">
      <c r="A62" s="1">
        <v>6</v>
      </c>
      <c r="B62" s="9" t="s">
        <v>90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>
        <v>52</v>
      </c>
      <c r="R62" s="1">
        <v>2025</v>
      </c>
      <c r="S62" s="5" t="s">
        <v>9</v>
      </c>
      <c r="T62" s="5">
        <f t="shared" si="4"/>
        <v>0</v>
      </c>
      <c r="U62" s="5">
        <f t="shared" si="5"/>
        <v>52</v>
      </c>
      <c r="V62" s="5">
        <f>Table14[[#This Row],[Enrolment S.Y. 2025-2026 ]]*8</f>
        <v>0</v>
      </c>
      <c r="W62" s="5">
        <v>52</v>
      </c>
      <c r="X62" s="1">
        <v>2025</v>
      </c>
      <c r="Y62" s="5" t="s">
        <v>9</v>
      </c>
      <c r="Z62" s="5">
        <f t="shared" si="6"/>
        <v>0</v>
      </c>
      <c r="AA62" s="5">
        <f t="shared" si="7"/>
        <v>52</v>
      </c>
    </row>
    <row r="63" spans="1:27" ht="19.149999999999999">
      <c r="A63" s="1">
        <v>6</v>
      </c>
      <c r="B63" s="9" t="s">
        <v>19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6">
        <v>6</v>
      </c>
      <c r="B64" s="9" t="s">
        <v>91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>
        <v>52</v>
      </c>
      <c r="X64" s="1">
        <v>2025</v>
      </c>
      <c r="Y64" s="5" t="s">
        <v>9</v>
      </c>
      <c r="Z64" s="5">
        <f>IF((V64-W64)&lt;0,0,(V64-W64))</f>
        <v>0</v>
      </c>
      <c r="AA64" s="5">
        <f>IF((W64-V64)&lt;0,0,(W64-V64))</f>
        <v>52</v>
      </c>
    </row>
    <row r="65" spans="1:27" ht="19.149999999999999">
      <c r="A65" s="1">
        <v>6</v>
      </c>
      <c r="B65" s="9" t="s">
        <v>92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7">
        <v>7</v>
      </c>
      <c r="B73" s="11" t="s">
        <v>89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90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4" si="16">IF((P74-Q74)&lt;0,0,(P74-Q74))</f>
        <v>0</v>
      </c>
      <c r="U74" s="12">
        <f t="shared" ref="U74:U124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4" si="18">IF((V74-W74)&lt;0,0,(V74-W74))</f>
        <v>0</v>
      </c>
      <c r="AA74" s="12">
        <f t="shared" ref="AA74:AA124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7">
        <v>7</v>
      </c>
      <c r="B76" s="11" t="s">
        <v>91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92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9:N124" si="20">IF((J79-K79)&lt;0,0,(J79-K79))</f>
        <v>0</v>
      </c>
      <c r="O79" s="12">
        <f t="shared" ref="O79:O124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4" si="22">IF((D84-E84)&lt;0,0,(D84-E84))</f>
        <v>0</v>
      </c>
      <c r="I84" s="12">
        <f t="shared" ref="I84:I124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7">
        <v>8</v>
      </c>
      <c r="B85" s="11" t="s">
        <v>89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90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7">
        <v>8</v>
      </c>
      <c r="B88" s="11" t="s">
        <v>91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92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>
        <v>59</v>
      </c>
      <c r="X91" s="10">
        <v>2025</v>
      </c>
      <c r="Y91" s="12" t="s">
        <v>9</v>
      </c>
      <c r="Z91" s="12">
        <f t="shared" si="18"/>
        <v>0</v>
      </c>
      <c r="AA91" s="12">
        <f t="shared" si="19"/>
        <v>59</v>
      </c>
    </row>
    <row r="92" spans="1:27" ht="19.5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>
        <v>62</v>
      </c>
      <c r="F92" s="10">
        <v>2025</v>
      </c>
      <c r="G92" s="12" t="s">
        <v>9</v>
      </c>
      <c r="H92" s="12">
        <f t="shared" si="22"/>
        <v>0</v>
      </c>
      <c r="I92" s="12">
        <f t="shared" si="23"/>
        <v>62</v>
      </c>
      <c r="J92" s="12">
        <f>Table14[[#This Row],[Enrolment S.Y. 2025-2026 ]]*8</f>
        <v>0</v>
      </c>
      <c r="K92" s="12">
        <v>472</v>
      </c>
      <c r="L92" s="10">
        <v>2025</v>
      </c>
      <c r="M92" s="12" t="s">
        <v>9</v>
      </c>
      <c r="N92" s="12">
        <f t="shared" si="20"/>
        <v>0</v>
      </c>
      <c r="O92" s="12">
        <f t="shared" si="21"/>
        <v>472</v>
      </c>
      <c r="P92" s="12">
        <f>Table14[[#This Row],[Enrolment S.Y. 2025-2026 ]]*8</f>
        <v>0</v>
      </c>
      <c r="Q92" s="12">
        <v>59</v>
      </c>
      <c r="R92" s="10">
        <v>2025</v>
      </c>
      <c r="S92" s="12" t="s">
        <v>9</v>
      </c>
      <c r="T92" s="12">
        <f t="shared" si="16"/>
        <v>0</v>
      </c>
      <c r="U92" s="12">
        <f t="shared" si="17"/>
        <v>59</v>
      </c>
      <c r="V92" s="12">
        <f>Table14[[#This Row],[Enrolment S.Y. 2025-2026 ]]*8</f>
        <v>0</v>
      </c>
      <c r="W92" s="12">
        <v>59</v>
      </c>
      <c r="X92" s="10">
        <v>2025</v>
      </c>
      <c r="Y92" s="12" t="s">
        <v>9</v>
      </c>
      <c r="Z92" s="12">
        <f t="shared" si="18"/>
        <v>0</v>
      </c>
      <c r="AA92" s="12">
        <f t="shared" si="19"/>
        <v>59</v>
      </c>
    </row>
    <row r="93" spans="1:27" ht="19.5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>
        <v>62</v>
      </c>
      <c r="F93" s="10">
        <v>2025</v>
      </c>
      <c r="G93" s="12" t="s">
        <v>9</v>
      </c>
      <c r="H93" s="12">
        <f t="shared" si="22"/>
        <v>0</v>
      </c>
      <c r="I93" s="12">
        <f t="shared" si="23"/>
        <v>62</v>
      </c>
      <c r="J93" s="12">
        <f>Table14[[#This Row],[Enrolment S.Y. 2025-2026 ]]*8</f>
        <v>0</v>
      </c>
      <c r="K93" s="12">
        <v>590</v>
      </c>
      <c r="L93" s="10">
        <v>2025</v>
      </c>
      <c r="M93" s="12" t="s">
        <v>9</v>
      </c>
      <c r="N93" s="12">
        <f t="shared" si="20"/>
        <v>0</v>
      </c>
      <c r="O93" s="12">
        <f t="shared" si="21"/>
        <v>590</v>
      </c>
      <c r="P93" s="12">
        <f>Table14[[#This Row],[Enrolment S.Y. 2025-2026 ]]*8</f>
        <v>0</v>
      </c>
      <c r="Q93" s="12">
        <v>59</v>
      </c>
      <c r="R93" s="10">
        <v>2025</v>
      </c>
      <c r="S93" s="12" t="s">
        <v>9</v>
      </c>
      <c r="T93" s="12">
        <f t="shared" si="16"/>
        <v>0</v>
      </c>
      <c r="U93" s="12">
        <f t="shared" si="17"/>
        <v>59</v>
      </c>
      <c r="V93" s="12">
        <f>Table14[[#This Row],[Enrolment S.Y. 2025-2026 ]]*8</f>
        <v>0</v>
      </c>
      <c r="W93" s="12">
        <v>59</v>
      </c>
      <c r="X93" s="10">
        <v>2025</v>
      </c>
      <c r="Y93" s="12" t="s">
        <v>9</v>
      </c>
      <c r="Z93" s="12">
        <f t="shared" si="18"/>
        <v>0</v>
      </c>
      <c r="AA93" s="12">
        <f t="shared" si="19"/>
        <v>59</v>
      </c>
    </row>
    <row r="94" spans="1:27" ht="19.5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>
        <v>59</v>
      </c>
      <c r="X94" s="10">
        <v>2025</v>
      </c>
      <c r="Y94" s="12" t="s">
        <v>9</v>
      </c>
      <c r="Z94" s="12">
        <f t="shared" si="18"/>
        <v>0</v>
      </c>
      <c r="AA94" s="12">
        <f t="shared" si="19"/>
        <v>59</v>
      </c>
    </row>
    <row r="95" spans="1:27" ht="19.5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>
        <v>59</v>
      </c>
      <c r="R95" s="10">
        <v>2025</v>
      </c>
      <c r="S95" s="12" t="s">
        <v>9</v>
      </c>
      <c r="T95" s="12">
        <f t="shared" si="16"/>
        <v>0</v>
      </c>
      <c r="U95" s="12">
        <f t="shared" si="17"/>
        <v>59</v>
      </c>
      <c r="V95" s="12">
        <f>Table14[[#This Row],[Enrolment S.Y. 2025-2026 ]]*8</f>
        <v>0</v>
      </c>
      <c r="W95" s="12">
        <v>59</v>
      </c>
      <c r="X95" s="10">
        <v>2025</v>
      </c>
      <c r="Y95" s="12" t="s">
        <v>9</v>
      </c>
      <c r="Z95" s="12">
        <f t="shared" si="18"/>
        <v>0</v>
      </c>
      <c r="AA95" s="12">
        <f t="shared" si="19"/>
        <v>59</v>
      </c>
    </row>
    <row r="96" spans="1:27" ht="19.5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>
        <v>59</v>
      </c>
      <c r="R96" s="10">
        <v>2026</v>
      </c>
      <c r="S96" s="12" t="s">
        <v>9</v>
      </c>
      <c r="T96" s="12">
        <f t="shared" si="16"/>
        <v>0</v>
      </c>
      <c r="U96" s="12">
        <f t="shared" si="17"/>
        <v>59</v>
      </c>
      <c r="V96" s="12">
        <f>Table14[[#This Row],[Enrolment S.Y. 2025-2026 ]]*8</f>
        <v>0</v>
      </c>
      <c r="W96" s="12">
        <v>354</v>
      </c>
      <c r="X96" s="10">
        <v>2026</v>
      </c>
      <c r="Y96" s="12" t="s">
        <v>9</v>
      </c>
      <c r="Z96" s="12">
        <f t="shared" si="18"/>
        <v>0</v>
      </c>
      <c r="AA96" s="12">
        <f t="shared" si="19"/>
        <v>354</v>
      </c>
    </row>
    <row r="97" spans="1:27" ht="21">
      <c r="A97" s="49">
        <v>9</v>
      </c>
      <c r="B97" s="50" t="s">
        <v>93</v>
      </c>
      <c r="C97" s="51"/>
      <c r="D97" s="51">
        <f>Table14[[#This Row],[Enrolment S.Y. 2025-2026 ]]*8</f>
        <v>0</v>
      </c>
      <c r="E97" s="51"/>
      <c r="F97" s="52"/>
      <c r="G97" s="51"/>
      <c r="H97" s="53">
        <f>IF((D97-E97)&lt;0,0,(D97-E97))</f>
        <v>0</v>
      </c>
      <c r="I97" s="53">
        <f>IF((E97-D97)&lt;0,0,(E97-D97))</f>
        <v>0</v>
      </c>
      <c r="J97" s="51">
        <f>Table14[[#This Row],[Enrolment S.Y. 2025-2026 ]]*8</f>
        <v>0</v>
      </c>
      <c r="K97" s="51"/>
      <c r="L97" s="52"/>
      <c r="M97" s="51"/>
      <c r="N97" s="51"/>
      <c r="O97" s="51"/>
      <c r="P97" s="12">
        <f>Table14[[#This Row],[Enrolment S.Y. 2025-2026 ]]*8</f>
        <v>0</v>
      </c>
      <c r="Q97" s="51">
        <v>59</v>
      </c>
      <c r="R97" s="52">
        <v>2026</v>
      </c>
      <c r="S97" s="51" t="s">
        <v>9</v>
      </c>
      <c r="T97" s="51">
        <f>IF((P97-Q97)&lt;0,0,(P97-Q97))</f>
        <v>0</v>
      </c>
      <c r="U97" s="51">
        <f>IF((Q97-P97)&lt;0,0,(Q97-P97))</f>
        <v>59</v>
      </c>
      <c r="V97" s="51">
        <f>Table14[[#This Row],[Enrolment S.Y. 2025-2026 ]]*8</f>
        <v>0</v>
      </c>
      <c r="W97" s="51">
        <v>295</v>
      </c>
      <c r="X97" s="52">
        <v>2026</v>
      </c>
      <c r="Y97" s="51" t="s">
        <v>9</v>
      </c>
      <c r="Z97" s="51">
        <f>IF((V97-W97)&lt;0,0,(V97-W97))</f>
        <v>0</v>
      </c>
      <c r="AA97" s="51">
        <f>IF((W97-V97)&lt;0,0,(W97-V97))</f>
        <v>295</v>
      </c>
    </row>
    <row r="98" spans="1:27" ht="19.149999999999999">
      <c r="A98" s="37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Table14[[#This Row],[Enrolment S.Y. 2025-2026 ]]*8</f>
        <v>0</v>
      </c>
      <c r="K98" s="12"/>
      <c r="L98" s="10"/>
      <c r="M98" s="12"/>
      <c r="N98" s="12">
        <f t="shared" ref="N98:N102" si="26">IF((J98-K98)&lt;0,0,(J98-K98))</f>
        <v>0</v>
      </c>
      <c r="O98" s="12">
        <f t="shared" ref="O98:O102" si="27">IF((K98-J98)&lt;0,0,(K98-J98))</f>
        <v>0</v>
      </c>
      <c r="P98" s="12">
        <f>Table14[[#This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Table14[[#This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5">
      <c r="A99" s="10">
        <v>9</v>
      </c>
      <c r="B99" s="11" t="s">
        <v>90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>
        <v>59</v>
      </c>
      <c r="X99" s="10">
        <v>2025</v>
      </c>
      <c r="Y99" s="12" t="s">
        <v>9</v>
      </c>
      <c r="Z99" s="12">
        <f t="shared" si="18"/>
        <v>0</v>
      </c>
      <c r="AA99" s="12">
        <f t="shared" si="19"/>
        <v>59</v>
      </c>
    </row>
    <row r="100" spans="1:27" ht="19.149999999999999">
      <c r="A100" s="10">
        <v>9</v>
      </c>
      <c r="B100" s="11" t="s">
        <v>22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 t="shared" si="22"/>
        <v>0</v>
      </c>
      <c r="I100" s="12">
        <f t="shared" si="23"/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 t="shared" si="16"/>
        <v>0</v>
      </c>
      <c r="U100" s="12">
        <f t="shared" si="17"/>
        <v>0</v>
      </c>
      <c r="V100" s="12">
        <f>Table14[[#This Row],[Enrolment S.Y. 2025-2026 ]]*8</f>
        <v>0</v>
      </c>
      <c r="W100" s="12"/>
      <c r="X100" s="10"/>
      <c r="Y100" s="12"/>
      <c r="Z100" s="12">
        <f t="shared" si="18"/>
        <v>0</v>
      </c>
      <c r="AA100" s="12">
        <f t="shared" si="19"/>
        <v>0</v>
      </c>
    </row>
    <row r="101" spans="1:27" ht="19.5">
      <c r="A101" s="37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>
        <v>59</v>
      </c>
      <c r="R101" s="10">
        <v>2025</v>
      </c>
      <c r="S101" s="12" t="s">
        <v>9</v>
      </c>
      <c r="T101" s="12">
        <f>IF((P101-Q101)&lt;0,0,(P101-Q101))</f>
        <v>0</v>
      </c>
      <c r="U101" s="12">
        <f>IF((Q101-P101)&lt;0,0,(Q101-P101))</f>
        <v>59</v>
      </c>
      <c r="V101" s="12">
        <f>Table14[[#This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ht="19.5">
      <c r="A102" s="10">
        <v>9</v>
      </c>
      <c r="B102" s="11" t="s">
        <v>92</v>
      </c>
      <c r="C102" s="10"/>
      <c r="D102" s="12">
        <f>Table14[[#This Row],[Enrolment S.Y. 2025-2026 ]]*8</f>
        <v>0</v>
      </c>
      <c r="E102" s="12"/>
      <c r="F102" s="10"/>
      <c r="G102" s="12"/>
      <c r="H102" s="12">
        <f t="shared" si="22"/>
        <v>0</v>
      </c>
      <c r="I102" s="12">
        <f t="shared" si="23"/>
        <v>0</v>
      </c>
      <c r="J102" s="12">
        <f>Table14[[#This Row],[Enrolment S.Y. 2025-2026 ]]*8</f>
        <v>0</v>
      </c>
      <c r="K102" s="12"/>
      <c r="L102" s="10"/>
      <c r="M102" s="12"/>
      <c r="N102" s="12">
        <f t="shared" si="26"/>
        <v>0</v>
      </c>
      <c r="O102" s="12">
        <f t="shared" si="27"/>
        <v>0</v>
      </c>
      <c r="P102" s="12">
        <f>Table14[[#This Row],[Enrolment S.Y. 2025-2026 ]]*8</f>
        <v>0</v>
      </c>
      <c r="Q102" s="12">
        <v>59</v>
      </c>
      <c r="R102" s="10">
        <v>2025</v>
      </c>
      <c r="S102" s="12" t="s">
        <v>9</v>
      </c>
      <c r="T102" s="12">
        <f t="shared" si="16"/>
        <v>0</v>
      </c>
      <c r="U102" s="12">
        <f t="shared" si="17"/>
        <v>59</v>
      </c>
      <c r="V102" s="12">
        <f>Table14[[#This Row],[Enrolment S.Y. 2025-2026 ]]*8</f>
        <v>0</v>
      </c>
      <c r="W102" s="12">
        <v>59</v>
      </c>
      <c r="X102" s="10">
        <v>2025</v>
      </c>
      <c r="Y102" s="12" t="s">
        <v>9</v>
      </c>
      <c r="Z102" s="12">
        <f t="shared" si="18"/>
        <v>0</v>
      </c>
      <c r="AA102" s="12">
        <f t="shared" si="19"/>
        <v>59</v>
      </c>
    </row>
    <row r="103" spans="1:27" s="7" customFormat="1"/>
    <row r="104" spans="1:27" ht="19.5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>
        <v>42</v>
      </c>
      <c r="F104" s="10">
        <v>2025</v>
      </c>
      <c r="G104" s="12" t="s">
        <v>9</v>
      </c>
      <c r="H104" s="12">
        <f t="shared" si="22"/>
        <v>0</v>
      </c>
      <c r="I104" s="12">
        <f t="shared" si="23"/>
        <v>42</v>
      </c>
      <c r="J104" s="12">
        <f>Table14[[#This Row],[Enrolment S.Y. 2025-2026 ]]*8</f>
        <v>0</v>
      </c>
      <c r="K104" s="12">
        <v>48</v>
      </c>
      <c r="L104" s="10">
        <v>2025</v>
      </c>
      <c r="M104" s="12" t="s">
        <v>9</v>
      </c>
      <c r="N104" s="12">
        <f t="shared" si="20"/>
        <v>0</v>
      </c>
      <c r="O104" s="12">
        <f t="shared" si="21"/>
        <v>48</v>
      </c>
      <c r="P104" s="12">
        <f>Table14[[#This Row],[Enrolment S.Y. 2025-2026 ]]*8</f>
        <v>0</v>
      </c>
      <c r="Q104" s="12">
        <v>48</v>
      </c>
      <c r="R104" s="10">
        <v>2026</v>
      </c>
      <c r="S104" s="12" t="s">
        <v>9</v>
      </c>
      <c r="T104" s="12">
        <f t="shared" si="16"/>
        <v>0</v>
      </c>
      <c r="U104" s="12">
        <f t="shared" si="17"/>
        <v>48</v>
      </c>
      <c r="V104" s="12">
        <f>Table14[[#This Row],[Enrolment S.Y. 2025-2026 ]]*8</f>
        <v>0</v>
      </c>
      <c r="W104" s="12">
        <v>48</v>
      </c>
      <c r="X104" s="10">
        <v>2025</v>
      </c>
      <c r="Y104" s="12" t="s">
        <v>9</v>
      </c>
      <c r="Z104" s="12">
        <f t="shared" si="18"/>
        <v>0</v>
      </c>
      <c r="AA104" s="12">
        <f t="shared" si="19"/>
        <v>48</v>
      </c>
    </row>
    <row r="105" spans="1:27" ht="19.5">
      <c r="A105" s="10">
        <v>10</v>
      </c>
      <c r="B105" s="11" t="s">
        <v>16</v>
      </c>
      <c r="C105" s="10"/>
      <c r="D105" s="12">
        <f>Table14[[#This Row],[Enrolment S.Y. 2025-2026 ]]*8</f>
        <v>0</v>
      </c>
      <c r="E105" s="12">
        <v>42</v>
      </c>
      <c r="F105" s="10">
        <v>2025</v>
      </c>
      <c r="G105" s="12" t="s">
        <v>9</v>
      </c>
      <c r="H105" s="12">
        <f t="shared" si="22"/>
        <v>0</v>
      </c>
      <c r="I105" s="12">
        <f t="shared" si="23"/>
        <v>42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>
        <v>48</v>
      </c>
      <c r="X105" s="10">
        <v>2025</v>
      </c>
      <c r="Y105" s="12" t="s">
        <v>9</v>
      </c>
      <c r="Z105" s="12">
        <f t="shared" si="18"/>
        <v>0</v>
      </c>
      <c r="AA105" s="12">
        <f t="shared" si="19"/>
        <v>48</v>
      </c>
    </row>
    <row r="106" spans="1:27" ht="19.5">
      <c r="A106" s="10">
        <v>10</v>
      </c>
      <c r="B106" s="11" t="s">
        <v>13</v>
      </c>
      <c r="C106" s="10"/>
      <c r="D106" s="12">
        <f>Table14[[#This Row],[Enrolment S.Y. 2025-2026 ]]*8</f>
        <v>0</v>
      </c>
      <c r="E106" s="12">
        <v>42</v>
      </c>
      <c r="F106" s="10">
        <v>2025</v>
      </c>
      <c r="G106" s="12" t="s">
        <v>9</v>
      </c>
      <c r="H106" s="12">
        <f t="shared" si="22"/>
        <v>0</v>
      </c>
      <c r="I106" s="12">
        <f t="shared" si="23"/>
        <v>42</v>
      </c>
      <c r="J106" s="12">
        <f>Table14[[#This Row],[Enrolment S.Y. 2025-2026 ]]*8</f>
        <v>0</v>
      </c>
      <c r="K106" s="12">
        <v>48</v>
      </c>
      <c r="L106" s="10">
        <v>2025</v>
      </c>
      <c r="M106" s="12" t="s">
        <v>9</v>
      </c>
      <c r="N106" s="12">
        <f t="shared" si="20"/>
        <v>0</v>
      </c>
      <c r="O106" s="12">
        <f t="shared" si="21"/>
        <v>48</v>
      </c>
      <c r="P106" s="12">
        <f>Table14[[#This Row],[Enrolment S.Y. 2025-2026 ]]*8</f>
        <v>0</v>
      </c>
      <c r="Q106" s="12">
        <v>124</v>
      </c>
      <c r="R106" s="10">
        <v>2026</v>
      </c>
      <c r="S106" s="12" t="s">
        <v>9</v>
      </c>
      <c r="T106" s="12">
        <f t="shared" si="16"/>
        <v>0</v>
      </c>
      <c r="U106" s="12">
        <f t="shared" si="17"/>
        <v>124</v>
      </c>
      <c r="V106" s="12">
        <f>Table14[[#This Row],[Enrolment S.Y. 2025-2026 ]]*8</f>
        <v>0</v>
      </c>
      <c r="W106" s="12">
        <v>48</v>
      </c>
      <c r="X106" s="10">
        <v>2025</v>
      </c>
      <c r="Y106" s="12" t="s">
        <v>9</v>
      </c>
      <c r="Z106" s="12">
        <f t="shared" si="18"/>
        <v>0</v>
      </c>
      <c r="AA106" s="12">
        <f t="shared" si="19"/>
        <v>48</v>
      </c>
    </row>
    <row r="107" spans="1:27" ht="19.5">
      <c r="A107" s="10">
        <v>10</v>
      </c>
      <c r="B107" s="11" t="s">
        <v>21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>
        <v>48</v>
      </c>
      <c r="X107" s="10">
        <v>2025</v>
      </c>
      <c r="Y107" s="12" t="s">
        <v>9</v>
      </c>
      <c r="Z107" s="12">
        <f t="shared" si="18"/>
        <v>0</v>
      </c>
      <c r="AA107" s="12">
        <f t="shared" si="19"/>
        <v>48</v>
      </c>
    </row>
    <row r="108" spans="1:27" ht="19.5">
      <c r="A108" s="10">
        <v>10</v>
      </c>
      <c r="B108" s="11" t="s">
        <v>24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>
        <v>48</v>
      </c>
      <c r="R108" s="10">
        <v>2026</v>
      </c>
      <c r="S108" s="12" t="s">
        <v>9</v>
      </c>
      <c r="T108" s="12">
        <f t="shared" si="16"/>
        <v>0</v>
      </c>
      <c r="U108" s="12">
        <f t="shared" si="17"/>
        <v>48</v>
      </c>
      <c r="V108" s="12">
        <f>Table14[[#This Row],[Enrolment S.Y. 2025-2026 ]]*8</f>
        <v>0</v>
      </c>
      <c r="W108" s="12">
        <v>48</v>
      </c>
      <c r="X108" s="10">
        <v>2025</v>
      </c>
      <c r="Y108" s="12" t="s">
        <v>9</v>
      </c>
      <c r="Z108" s="12">
        <f t="shared" si="18"/>
        <v>0</v>
      </c>
      <c r="AA108" s="12">
        <f t="shared" si="19"/>
        <v>48</v>
      </c>
    </row>
    <row r="109" spans="1:27" ht="19.5">
      <c r="A109" s="10">
        <v>10</v>
      </c>
      <c r="B109" s="11" t="s">
        <v>14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 t="shared" si="22"/>
        <v>0</v>
      </c>
      <c r="I109" s="12">
        <f t="shared" si="23"/>
        <v>0</v>
      </c>
      <c r="J109" s="12">
        <f>Table14[[#This Row],[Enrolment S.Y. 2025-2026 ]]*8</f>
        <v>0</v>
      </c>
      <c r="K109" s="12"/>
      <c r="L109" s="10"/>
      <c r="M109" s="12"/>
      <c r="N109" s="12">
        <f t="shared" si="20"/>
        <v>0</v>
      </c>
      <c r="O109" s="12">
        <f t="shared" si="21"/>
        <v>0</v>
      </c>
      <c r="P109" s="12">
        <f>Table14[[#This Row],[Enrolment S.Y. 2025-2026 ]]*8</f>
        <v>0</v>
      </c>
      <c r="Q109" s="12"/>
      <c r="R109" s="10"/>
      <c r="S109" s="12"/>
      <c r="T109" s="12">
        <f t="shared" si="16"/>
        <v>0</v>
      </c>
      <c r="U109" s="12">
        <f t="shared" si="17"/>
        <v>0</v>
      </c>
      <c r="V109" s="12">
        <f>Table14[[#This Row],[Enrolment S.Y. 2025-2026 ]]*8</f>
        <v>0</v>
      </c>
      <c r="W109" s="12">
        <v>48</v>
      </c>
      <c r="X109" s="10">
        <v>2025</v>
      </c>
      <c r="Y109" s="12" t="s">
        <v>9</v>
      </c>
      <c r="Z109" s="12">
        <f t="shared" si="18"/>
        <v>0</v>
      </c>
      <c r="AA109" s="12">
        <f t="shared" si="19"/>
        <v>48</v>
      </c>
    </row>
    <row r="110" spans="1:27" s="54" customFormat="1" ht="21">
      <c r="A110" s="49">
        <v>10</v>
      </c>
      <c r="B110" s="50" t="s">
        <v>93</v>
      </c>
      <c r="C110" s="51"/>
      <c r="D110" s="51">
        <f>Table14[[#This Row],[Enrolment S.Y. 2025-2026 ]]*8</f>
        <v>0</v>
      </c>
      <c r="E110" s="51"/>
      <c r="F110" s="52"/>
      <c r="G110" s="51"/>
      <c r="H110" s="53">
        <f>IF((D110-E110)&lt;0,0,(D110-E110))</f>
        <v>0</v>
      </c>
      <c r="I110" s="53">
        <f>IF((E110-D110)&lt;0,0,(E110-D110))</f>
        <v>0</v>
      </c>
      <c r="J110" s="51">
        <f>Table14[[#This Row],[Enrolment S.Y. 2025-2026 ]]*8</f>
        <v>0</v>
      </c>
      <c r="K110" s="51"/>
      <c r="L110" s="52"/>
      <c r="M110" s="51"/>
      <c r="N110" s="51"/>
      <c r="O110" s="51"/>
      <c r="P110" s="12">
        <f>Table14[[#This Row],[Enrolment S.Y. 2025-2026 ]]*8</f>
        <v>0</v>
      </c>
      <c r="Q110" s="51">
        <v>48</v>
      </c>
      <c r="R110" s="52">
        <v>2026</v>
      </c>
      <c r="S110" s="51" t="s">
        <v>9</v>
      </c>
      <c r="T110" s="51">
        <f>IF((P110-Q110)&lt;0,0,(P110-Q110))</f>
        <v>0</v>
      </c>
      <c r="U110" s="51">
        <f>IF((Q110-P110)&lt;0,0,(Q110-P110))</f>
        <v>48</v>
      </c>
      <c r="V110" s="51">
        <f>Table14[[#This Row],[Enrolment S.Y. 2025-2026 ]]*8</f>
        <v>0</v>
      </c>
      <c r="W110" s="51"/>
      <c r="X110" s="52"/>
      <c r="Y110" s="51"/>
      <c r="Z110" s="51">
        <f>IF((V110-W110)&lt;0,0,(V110-W110))</f>
        <v>0</v>
      </c>
      <c r="AA110" s="51">
        <f>IF((W110-V110)&lt;0,0,(W110-V110))</f>
        <v>0</v>
      </c>
    </row>
    <row r="111" spans="1:27" ht="19.5">
      <c r="A111" s="37">
        <v>10</v>
      </c>
      <c r="B111" s="11" t="s">
        <v>89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>IF((D111-E111)&lt;0,0,(D111-E111))</f>
        <v>0</v>
      </c>
      <c r="I111" s="12">
        <f>IF((E111-D111)&lt;0,0,(E111-D111))</f>
        <v>0</v>
      </c>
      <c r="J111" s="12">
        <f>Table14[[#This Row],[Enrolment S.Y. 2025-2026 ]]*8</f>
        <v>0</v>
      </c>
      <c r="K111" s="12"/>
      <c r="L111" s="10"/>
      <c r="M111" s="12"/>
      <c r="N111" s="12">
        <f t="shared" ref="N111:N115" si="28">IF((J111-K111)&lt;0,0,(J111-K111))</f>
        <v>0</v>
      </c>
      <c r="O111" s="12">
        <f t="shared" ref="O111:O115" si="29">IF((K111-J111)&lt;0,0,(K111-J111))</f>
        <v>0</v>
      </c>
      <c r="P111" s="12">
        <v>0</v>
      </c>
      <c r="Q111" s="12">
        <v>124</v>
      </c>
      <c r="R111" s="10">
        <v>2026</v>
      </c>
      <c r="S111" s="12" t="s">
        <v>9</v>
      </c>
      <c r="T111" s="12">
        <f>IF((P111-Q111)&lt;0,0,(P111-Q111))</f>
        <v>0</v>
      </c>
      <c r="U111" s="12">
        <f>IF((Q111-P111)&lt;0,0,(Q111-P111))</f>
        <v>124</v>
      </c>
      <c r="V111" s="12">
        <f>Table14[[#This Row],[Enrolment S.Y. 2025-2026 ]]*8</f>
        <v>0</v>
      </c>
      <c r="W111" s="12">
        <v>48</v>
      </c>
      <c r="X111" s="10">
        <v>2025</v>
      </c>
      <c r="Y111" s="12" t="s">
        <v>9</v>
      </c>
      <c r="Z111" s="12">
        <f>IF((V111-W111)&lt;0,0,(V111-W111))</f>
        <v>0</v>
      </c>
      <c r="AA111" s="12">
        <f>IF((W111-V111)&lt;0,0,(W111-V111))</f>
        <v>48</v>
      </c>
    </row>
    <row r="112" spans="1:27" ht="19.5">
      <c r="A112" s="10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 t="shared" si="22"/>
        <v>0</v>
      </c>
      <c r="I112" s="12">
        <f t="shared" si="23"/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 t="shared" si="16"/>
        <v>0</v>
      </c>
      <c r="U112" s="12">
        <f t="shared" si="17"/>
        <v>0</v>
      </c>
      <c r="V112" s="12">
        <f>Table14[[#This Row],[Enrolment S.Y. 2025-2026 ]]*8</f>
        <v>0</v>
      </c>
      <c r="W112" s="12">
        <v>48</v>
      </c>
      <c r="X112" s="10">
        <v>2025</v>
      </c>
      <c r="Y112" s="12" t="s">
        <v>9</v>
      </c>
      <c r="Z112" s="12">
        <f t="shared" si="18"/>
        <v>0</v>
      </c>
      <c r="AA112" s="12">
        <f t="shared" si="19"/>
        <v>48</v>
      </c>
    </row>
    <row r="113" spans="1:28" ht="19.5">
      <c r="A113" s="10">
        <v>10</v>
      </c>
      <c r="B113" s="11" t="s">
        <v>22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>
        <v>48</v>
      </c>
      <c r="X113" s="10">
        <v>2025</v>
      </c>
      <c r="Y113" s="12" t="s">
        <v>9</v>
      </c>
      <c r="Z113" s="12">
        <f t="shared" si="18"/>
        <v>0</v>
      </c>
      <c r="AA113" s="12">
        <f t="shared" si="19"/>
        <v>48</v>
      </c>
    </row>
    <row r="114" spans="1:28" ht="19.5">
      <c r="A114" s="37">
        <v>10</v>
      </c>
      <c r="B114" s="11" t="s">
        <v>91</v>
      </c>
      <c r="C114" s="10"/>
      <c r="D114" s="12">
        <f>Table14[[#This Row],[Enrolment S.Y. 2025-2026 ]]*8</f>
        <v>0</v>
      </c>
      <c r="E114" s="12"/>
      <c r="F114" s="10"/>
      <c r="G114" s="12"/>
      <c r="H114" s="12">
        <f>IF((D114-E114)&lt;0,0,(D114-E114))</f>
        <v>0</v>
      </c>
      <c r="I114" s="12">
        <f>IF((E114-D114)&lt;0,0,(E114-D114))</f>
        <v>0</v>
      </c>
      <c r="J114" s="12">
        <f>Table14[[#This Row],[Enrolment S.Y. 2025-2026 ]]*8</f>
        <v>0</v>
      </c>
      <c r="K114" s="12"/>
      <c r="L114" s="10"/>
      <c r="M114" s="12"/>
      <c r="N114" s="12">
        <f t="shared" si="28"/>
        <v>0</v>
      </c>
      <c r="O114" s="12">
        <f t="shared" si="29"/>
        <v>0</v>
      </c>
      <c r="P114" s="12">
        <f>Table14[[#This Row],[Enrolment S.Y. 2025-2026 ]]*8</f>
        <v>0</v>
      </c>
      <c r="Q114" s="12"/>
      <c r="R114" s="10"/>
      <c r="S114" s="12"/>
      <c r="T114" s="12">
        <f>IF((P114-Q114)&lt;0,0,(P114-Q114))</f>
        <v>0</v>
      </c>
      <c r="U114" s="12">
        <f>IF((Q114-P114)&lt;0,0,(Q114-P114))</f>
        <v>0</v>
      </c>
      <c r="V114" s="12">
        <f>Table14[[#This Row],[Enrolment S.Y. 2025-2026 ]]*8</f>
        <v>0</v>
      </c>
      <c r="W114" s="12">
        <v>48</v>
      </c>
      <c r="X114" s="10">
        <v>2025</v>
      </c>
      <c r="Y114" s="12" t="s">
        <v>9</v>
      </c>
      <c r="Z114" s="12">
        <f>IF((V114-W114)&lt;0,0,(V114-W114))</f>
        <v>0</v>
      </c>
      <c r="AA114" s="12">
        <f>IF((W114-V114)&lt;0,0,(W114-V114))</f>
        <v>48</v>
      </c>
    </row>
    <row r="115" spans="1:28" ht="19.5">
      <c r="A115" s="10">
        <v>10</v>
      </c>
      <c r="B115" s="11" t="s">
        <v>92</v>
      </c>
      <c r="C115" s="10"/>
      <c r="D115" s="12">
        <f>Table14[[#This Row],[Enrolment S.Y. 2025-2026 ]]*8</f>
        <v>0</v>
      </c>
      <c r="E115" s="12"/>
      <c r="F115" s="10"/>
      <c r="G115" s="12"/>
      <c r="H115" s="12">
        <f t="shared" si="22"/>
        <v>0</v>
      </c>
      <c r="I115" s="12">
        <f t="shared" si="23"/>
        <v>0</v>
      </c>
      <c r="J115" s="12">
        <f>Table14[[#This Row],[Enrolment S.Y. 2025-2026 ]]*8</f>
        <v>0</v>
      </c>
      <c r="K115" s="12"/>
      <c r="L115" s="10"/>
      <c r="M115" s="12"/>
      <c r="N115" s="12">
        <f t="shared" si="28"/>
        <v>0</v>
      </c>
      <c r="O115" s="12">
        <f t="shared" si="29"/>
        <v>0</v>
      </c>
      <c r="P115" s="12">
        <f>Table14[[#This Row],[Enrolment S.Y. 2025-2026 ]]*8</f>
        <v>0</v>
      </c>
      <c r="Q115" s="12">
        <v>48</v>
      </c>
      <c r="R115" s="10">
        <v>2026</v>
      </c>
      <c r="S115" s="12" t="s">
        <v>9</v>
      </c>
      <c r="T115" s="12">
        <f t="shared" si="16"/>
        <v>0</v>
      </c>
      <c r="U115" s="12">
        <f t="shared" si="17"/>
        <v>48</v>
      </c>
      <c r="V115" s="12">
        <f>Table14[[#This Row],[Enrolment S.Y. 2025-2026 ]]*8</f>
        <v>0</v>
      </c>
      <c r="W115" s="12">
        <v>48</v>
      </c>
      <c r="X115" s="10">
        <v>2025</v>
      </c>
      <c r="Y115" s="12" t="s">
        <v>9</v>
      </c>
      <c r="Z115" s="12">
        <f t="shared" si="18"/>
        <v>0</v>
      </c>
      <c r="AA115" s="12">
        <f t="shared" si="19"/>
        <v>48</v>
      </c>
    </row>
    <row r="116" spans="1:28" s="7" customFormat="1"/>
    <row r="117" spans="1:28" ht="38.450000000000003">
      <c r="A117" s="1" t="s">
        <v>25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19.149999999999999">
      <c r="A119" s="1" t="s">
        <v>25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19.149999999999999">
      <c r="A122" s="1" t="s">
        <v>25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ht="38.450000000000003">
      <c r="A123" s="1" t="s">
        <v>25</v>
      </c>
      <c r="B123" s="9" t="s">
        <v>32</v>
      </c>
      <c r="C123" s="1"/>
      <c r="D123" s="5">
        <f>Table14[[#This Row],[Enrolment S.Y. 2025-2026 ]]*8</f>
        <v>0</v>
      </c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Table14[[#This Row],[Enrolment S.Y. 2025-2026 ]]*8</f>
        <v>0</v>
      </c>
      <c r="K123" s="5"/>
      <c r="L123" s="1"/>
      <c r="M123" s="5"/>
      <c r="N123" s="5">
        <f t="shared" si="20"/>
        <v>0</v>
      </c>
      <c r="O123" s="5">
        <f t="shared" si="21"/>
        <v>0</v>
      </c>
      <c r="P123" s="5">
        <f>Table14[[#This Row],[Enrolment S.Y. 2025-2026 ]]*8</f>
        <v>0</v>
      </c>
      <c r="Q123" s="5"/>
      <c r="R123" s="1"/>
      <c r="S123" s="5"/>
      <c r="T123" s="5">
        <f t="shared" si="16"/>
        <v>0</v>
      </c>
      <c r="U123" s="5">
        <f t="shared" si="17"/>
        <v>0</v>
      </c>
      <c r="V123" s="5">
        <f>Table14[[#This Row],[Enrolment S.Y. 2025-2026 ]]*8</f>
        <v>0</v>
      </c>
      <c r="W123" s="5"/>
      <c r="X123" s="1"/>
      <c r="Y123" s="5"/>
      <c r="Z123" s="5">
        <f t="shared" si="18"/>
        <v>0</v>
      </c>
      <c r="AA123" s="5">
        <f t="shared" si="19"/>
        <v>0</v>
      </c>
    </row>
    <row r="124" spans="1:28" ht="38.450000000000003">
      <c r="A124" s="1" t="s">
        <v>25</v>
      </c>
      <c r="B124" s="9" t="s">
        <v>33</v>
      </c>
      <c r="C124" s="1"/>
      <c r="D124" s="5">
        <f>Table14[[#This Row],[Enrolment S.Y. 2025-2026 ]]*8</f>
        <v>0</v>
      </c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Table14[[#This Row],[Enrolment S.Y. 2025-2026 ]]*8</f>
        <v>0</v>
      </c>
      <c r="K124" s="5"/>
      <c r="L124" s="1"/>
      <c r="M124" s="5"/>
      <c r="N124" s="5">
        <f t="shared" si="20"/>
        <v>0</v>
      </c>
      <c r="O124" s="5">
        <f t="shared" si="21"/>
        <v>0</v>
      </c>
      <c r="P124" s="5">
        <f>Table14[[#This Row],[Enrolment S.Y. 2025-2026 ]]*8</f>
        <v>0</v>
      </c>
      <c r="Q124" s="5"/>
      <c r="R124" s="1"/>
      <c r="S124" s="5"/>
      <c r="T124" s="5">
        <f t="shared" si="16"/>
        <v>0</v>
      </c>
      <c r="U124" s="5">
        <f t="shared" si="17"/>
        <v>0</v>
      </c>
      <c r="V124" s="5">
        <f>Table14[[#This Row],[Enrolment S.Y. 2025-2026 ]]*8</f>
        <v>0</v>
      </c>
      <c r="W124" s="5"/>
      <c r="X124" s="1"/>
      <c r="Y124" s="5"/>
      <c r="Z124" s="5">
        <f t="shared" si="18"/>
        <v>0</v>
      </c>
      <c r="AA124" s="5">
        <f t="shared" si="19"/>
        <v>0</v>
      </c>
    </row>
    <row r="125" spans="1:28" s="7" customFormat="1"/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</row>
    <row r="142" spans="1:28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</row>
  </sheetData>
  <protectedRanges>
    <protectedRange sqref="C2:C10 C12:C19 C21:C29 C31:C41 C43:C53 C55:C65 C67:C77 C79:C89 C117:C124 C104:C115 C91:C102" name="Textbooks"/>
    <protectedRange sqref="J2:L2 D2:F10 D12:F19 D21:F29 D31:F41 D43:F53 D55:F65 D67:F77 D79:F89 D91:F102 D117:F124 P2:R10 N3:O10 V2:X10 T3:U10 N12:R19 T12:X19 H3:L10 Z3:AA10 Z12:AA19 H12:L19 N21:R29 T21:X29 Z21:AA29 H21:L29 T31:X41 Z31:AA41 H31:L41 T43:X53 Z43:AA53 H43:L53 T55:X65 Z55:AA65 H55:L65 T67:X77 Z67:AA77 H67:L77 T79:X89 Z79:AA89 H79:L89 T91:X102 Z91:AA102 H91:L102 T104:X115 Z104:AA115 H104:L115 N117:R124 T117:X124 Z117:AA124 H117:L124 D104:F115 N31:R41 N43:R53 N55:R65 N67:R77 N79:R89 N104:R115 N91:R102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2 G91:G102 M91:M102 S91:S102 Y104:Y115 G104:G115 M104:M115 S104:S115 Y117:Y124 G117:G124 M117:M124 S117:S124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7:S124 Y117:Y124 G117:G124 Y3:Y10 S3:S10 M3:M10 G3:G10 G12:G19 Y12:Y19 S12:S19 M12:M19 M21:M29 G21:G29 Y21:Y29 S21:S29 S31:S41 M31:M41 G31:G41 Y31:Y41 Y43:Y53 S43:S53 M43:M53 G43:G53 G55:G65 Y55:Y65 S55:S65 M55:M65 M67:M77 G67:G77 Y67:Y77 S67:S77 S79:S89 M79:M89 G79:G89 Y79:Y89 Y91:Y102 S91:S102 M91:M102 G91:G102 G104:G115 Y104:Y115 S104:S115 M104:M115 M117:M124" xr:uid="{CBD486C7-A5DB-48F1-B496-5027CC51E830}">
      <formula1>"CO,RO,SDO,LGU,SCHOOL"</formula1>
    </dataValidation>
    <dataValidation type="list" allowBlank="1" showInputMessage="1" showErrorMessage="1" sqref="F117:F124 F104:F115 F91:F102 F79:F89 F67:F77 F55:F65 F43:F53 F31:F41 F21:F29 F12:F19 F3:F10 L117:L124 L104:L115 L91:L102 L79:L89 L67:L77 L55:L65 L43:L53 L31:L41 L21:L29 L12:L19 L3:L10 R117:R124 R104:R115 R91:R102 R79:R89 R67:R77 R55:R65 R43:R53 R31:R41 R21:R29 R12:R19 R3:R10 X117:X124 X104:X115 X91:X102 X79:X89 X67:X77 X55:X65 X43:X53 X31:X41 X21:X29 X12:X19 X3:X10" xr:uid="{77F72D89-8371-4D0C-A323-BD25723C617C}">
      <formula1>"2024,2025,2026"</formula1>
    </dataValidation>
  </dataValidations>
  <pageMargins left="0.25" right="0.25" top="0.75" bottom="0.75" header="0.3" footer="0.3"/>
  <pageSetup paperSize="6" fitToHeight="0" orientation="landscape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Evelyn Caddarao</cp:lastModifiedBy>
  <cp:revision/>
  <dcterms:created xsi:type="dcterms:W3CDTF">2025-11-19T20:48:15Z</dcterms:created>
  <dcterms:modified xsi:type="dcterms:W3CDTF">2026-04-13T03:54:45Z</dcterms:modified>
  <cp:category/>
  <cp:contentStatus/>
</cp:coreProperties>
</file>