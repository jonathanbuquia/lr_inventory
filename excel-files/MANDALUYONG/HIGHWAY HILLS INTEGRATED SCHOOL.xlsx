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2" documentId="13_ncr:1_{BFB59F67-F0DC-4675-A682-EB0734A8026A}" xr6:coauthVersionLast="47" xr6:coauthVersionMax="47" xr10:uidLastSave="{3FD1C7EE-DE54-47E7-B7A2-25065A8AD94B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  <c r="H100" i="1"/>
  <c r="H99" i="1"/>
  <c r="H101" i="1"/>
  <c r="G99" i="1"/>
  <c r="G10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<sst xmlns="http://schemas.openxmlformats.org/spreadsheetml/2006/main" count="474" uniqueCount="95">
  <si>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</si>
  <si>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</si>
  <si>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</si>
  <si>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</si>
  <si>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</si>
  <si>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</si>
  <si>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</si>
  <si>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</si>
  <si>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</si>
  <si>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</si>
  <si>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</si>
  <si>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</si>
  <si>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</si>
  <si>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</si>
  <si>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</si>
  <si>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</si>
  <si>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</si>
  <si>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</si>
  <si>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</si>
  <si>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</si>
  <si>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</si>
  <si>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</si>
  <si>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</si>
  <si>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</si>
  <si>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</si>
  <si>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</si>
  <si>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</si>
  <si>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</si>
  <si>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</si>
  <si>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</si>
  <si>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</si>
  <si>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</si>
  <si>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</si>
  <si>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</si>
  <si>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Heritage (Understanding Culture, Society &amp; Politics)</t>
  </si>
  <si>
    <t>Busines Finance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</si>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</sst>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8" totalsRowShown="0" headerRowDxfId="62" headerRowBorderDxfId="60" tableBorderDxfId="61">
  <autoFilter ref="A1:H148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1"/>
  <sheetViews>
    <sheetView tabSelected="1" zoomScale="85" zoomScaleNormal="85" workbookViewId="0">
      <pane xSplit="2" topLeftCell="C27" activePane="topRight" state="frozen"/>
      <selection pane="topRight" activeCell="F38" sqref="F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415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415</v>
      </c>
    </row>
    <row r="3" spans="1:8" ht="29.25" customHeight="1">
      <c r="A3" s="1">
        <v>1</v>
      </c>
      <c r="B3" s="2" t="s">
        <v>10</v>
      </c>
      <c r="C3" s="1"/>
      <c r="D3" s="1">
        <v>415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415</v>
      </c>
    </row>
    <row r="4" spans="1:8" ht="21" customHeight="1">
      <c r="A4" s="1">
        <v>1</v>
      </c>
      <c r="B4" s="2" t="s">
        <v>11</v>
      </c>
      <c r="C4" s="1"/>
      <c r="D4" s="1">
        <v>415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415</v>
      </c>
    </row>
    <row r="5" spans="1:8" ht="25.5" customHeight="1">
      <c r="A5" s="1">
        <v>1</v>
      </c>
      <c r="B5" s="2" t="s">
        <v>12</v>
      </c>
      <c r="C5" s="1"/>
      <c r="D5" s="1">
        <v>415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415</v>
      </c>
    </row>
    <row r="6" spans="1:8" ht="46.5" customHeight="1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>
        <v>458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458</v>
      </c>
    </row>
    <row r="22" spans="1:8" ht="24" customHeight="1">
      <c r="A22" s="1">
        <v>4</v>
      </c>
      <c r="B22" s="9" t="s">
        <v>16</v>
      </c>
      <c r="C22" s="1"/>
      <c r="D22" s="1">
        <v>458</v>
      </c>
      <c r="E22" s="1">
        <v>2025</v>
      </c>
      <c r="F22" s="5" t="s">
        <v>9</v>
      </c>
      <c r="G22" s="3">
        <f t="shared" si="4"/>
        <v>0</v>
      </c>
      <c r="H22" s="4">
        <f t="shared" si="5"/>
        <v>458</v>
      </c>
    </row>
    <row r="23" spans="1:8" ht="19.5">
      <c r="A23" s="1">
        <v>4</v>
      </c>
      <c r="B23" s="9" t="s">
        <v>13</v>
      </c>
      <c r="C23" s="1"/>
      <c r="D23" s="1">
        <v>458</v>
      </c>
      <c r="E23" s="1">
        <v>2025</v>
      </c>
      <c r="F23" s="5" t="s">
        <v>9</v>
      </c>
      <c r="G23" s="3">
        <f t="shared" si="4"/>
        <v>0</v>
      </c>
      <c r="H23" s="4">
        <f t="shared" si="5"/>
        <v>458</v>
      </c>
    </row>
    <row r="24" spans="1:8" ht="27" customHeight="1">
      <c r="A24" s="1">
        <v>4</v>
      </c>
      <c r="B24" s="9" t="s">
        <v>11</v>
      </c>
      <c r="C24" s="1"/>
      <c r="D24" s="1">
        <v>458</v>
      </c>
      <c r="E24" s="1">
        <v>2025</v>
      </c>
      <c r="F24" s="5" t="s">
        <v>9</v>
      </c>
      <c r="G24" s="3">
        <f t="shared" si="4"/>
        <v>0</v>
      </c>
      <c r="H24" s="4">
        <f t="shared" si="5"/>
        <v>458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>
        <v>440</v>
      </c>
      <c r="E29" s="1">
        <v>2026</v>
      </c>
      <c r="F29" s="5" t="s">
        <v>9</v>
      </c>
      <c r="G29" s="3">
        <f t="shared" si="4"/>
        <v>0</v>
      </c>
      <c r="H29" s="4">
        <f t="shared" si="5"/>
        <v>440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402</v>
      </c>
      <c r="E31" s="1">
        <v>2026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402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>
        <v>362</v>
      </c>
      <c r="E35" s="1">
        <v>2025</v>
      </c>
      <c r="F35" s="5" t="s">
        <v>9</v>
      </c>
      <c r="G35" s="3">
        <f t="shared" si="6"/>
        <v>0</v>
      </c>
      <c r="H35" s="4">
        <f t="shared" si="7"/>
        <v>362</v>
      </c>
    </row>
    <row r="36" spans="1:8" ht="27.75" customHeight="1">
      <c r="A36" s="1">
        <v>5</v>
      </c>
      <c r="B36" s="9" t="s">
        <v>14</v>
      </c>
      <c r="C36" s="1"/>
      <c r="D36" s="1">
        <v>402</v>
      </c>
      <c r="E36" s="1">
        <v>2026</v>
      </c>
      <c r="F36" s="5" t="s">
        <v>9</v>
      </c>
      <c r="G36" s="3">
        <f t="shared" si="6"/>
        <v>0</v>
      </c>
      <c r="H36" s="4">
        <f t="shared" si="7"/>
        <v>402</v>
      </c>
    </row>
    <row r="37" spans="1:8" ht="27.75" customHeight="1">
      <c r="A37" s="1">
        <v>5</v>
      </c>
      <c r="B37" s="9" t="s">
        <v>18</v>
      </c>
      <c r="C37" s="1"/>
      <c r="D37" s="1">
        <v>406</v>
      </c>
      <c r="E37" s="1">
        <v>2025</v>
      </c>
      <c r="F37" s="5" t="s">
        <v>9</v>
      </c>
      <c r="G37" s="3">
        <f t="shared" si="6"/>
        <v>0</v>
      </c>
      <c r="H37" s="4">
        <f t="shared" si="7"/>
        <v>406</v>
      </c>
    </row>
    <row r="38" spans="1:8" ht="27.75" customHeight="1">
      <c r="A38" s="1">
        <v>5</v>
      </c>
      <c r="B38" s="9" t="s">
        <v>19</v>
      </c>
      <c r="C38" s="1"/>
      <c r="D38" s="1">
        <v>402</v>
      </c>
      <c r="E38" s="1">
        <v>2026</v>
      </c>
      <c r="F38" s="5" t="s">
        <v>9</v>
      </c>
      <c r="G38" s="3">
        <f t="shared" si="6"/>
        <v>0</v>
      </c>
      <c r="H38" s="4">
        <f t="shared" si="7"/>
        <v>402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314</v>
      </c>
      <c r="D51" s="10">
        <v>617</v>
      </c>
      <c r="E51" s="10">
        <v>2025</v>
      </c>
      <c r="F51" s="12" t="s">
        <v>9</v>
      </c>
      <c r="G51" s="3">
        <f t="shared" ref="G51:G59" si="10">IF((C51-D51)&lt;0,0,C51-D51)</f>
        <v>0</v>
      </c>
      <c r="H51" s="4">
        <f t="shared" ref="H51:H59" si="11">IF((D51-C51)&lt;0,0,D51-C51)</f>
        <v>303</v>
      </c>
    </row>
    <row r="52" spans="1:8" ht="27.75" customHeight="1">
      <c r="A52" s="10">
        <v>7</v>
      </c>
      <c r="B52" s="11" t="s">
        <v>16</v>
      </c>
      <c r="C52" s="10">
        <v>314</v>
      </c>
      <c r="D52" s="10">
        <v>617</v>
      </c>
      <c r="E52" s="10">
        <v>2026</v>
      </c>
      <c r="F52" s="12" t="s">
        <v>9</v>
      </c>
      <c r="G52" s="3">
        <f t="shared" si="10"/>
        <v>0</v>
      </c>
      <c r="H52" s="4">
        <f t="shared" si="11"/>
        <v>303</v>
      </c>
    </row>
    <row r="53" spans="1:8" ht="27.75" customHeight="1">
      <c r="A53" s="10">
        <v>7</v>
      </c>
      <c r="B53" s="11" t="s">
        <v>13</v>
      </c>
      <c r="C53" s="10">
        <v>314</v>
      </c>
      <c r="D53" s="10">
        <v>617</v>
      </c>
      <c r="E53" s="10">
        <v>2024</v>
      </c>
      <c r="F53" s="12" t="s">
        <v>9</v>
      </c>
      <c r="G53" s="3">
        <f t="shared" si="10"/>
        <v>0</v>
      </c>
      <c r="H53" s="4">
        <f t="shared" si="11"/>
        <v>303</v>
      </c>
    </row>
    <row r="54" spans="1:8" ht="27.75" customHeight="1">
      <c r="A54" s="10">
        <v>7</v>
      </c>
      <c r="B54" s="11" t="s">
        <v>21</v>
      </c>
      <c r="C54" s="10">
        <v>314</v>
      </c>
      <c r="D54" s="10">
        <v>617</v>
      </c>
      <c r="E54" s="10">
        <v>2026</v>
      </c>
      <c r="F54" s="12" t="s">
        <v>9</v>
      </c>
      <c r="G54" s="3">
        <f t="shared" si="10"/>
        <v>0</v>
      </c>
      <c r="H54" s="4">
        <f t="shared" si="11"/>
        <v>303</v>
      </c>
    </row>
    <row r="55" spans="1:8" ht="39" customHeight="1">
      <c r="A55" s="10">
        <v>7</v>
      </c>
      <c r="B55" s="11" t="s">
        <v>17</v>
      </c>
      <c r="C55" s="10">
        <v>314</v>
      </c>
      <c r="D55" s="10">
        <v>617</v>
      </c>
      <c r="E55" s="10">
        <v>2025</v>
      </c>
      <c r="F55" s="12" t="s">
        <v>9</v>
      </c>
      <c r="G55" s="3">
        <f t="shared" si="10"/>
        <v>0</v>
      </c>
      <c r="H55" s="4">
        <f t="shared" si="11"/>
        <v>303</v>
      </c>
    </row>
    <row r="56" spans="1:8" ht="27.75" customHeight="1">
      <c r="A56" s="10">
        <v>7</v>
      </c>
      <c r="B56" s="11" t="s">
        <v>14</v>
      </c>
      <c r="C56" s="10">
        <v>314</v>
      </c>
      <c r="D56" s="10">
        <v>617</v>
      </c>
      <c r="E56" s="10">
        <v>2024</v>
      </c>
      <c r="F56" s="12" t="s">
        <v>9</v>
      </c>
      <c r="G56" s="3">
        <f t="shared" si="10"/>
        <v>0</v>
      </c>
      <c r="H56" s="4">
        <f t="shared" si="11"/>
        <v>303</v>
      </c>
    </row>
    <row r="57" spans="1:8" ht="27.75" customHeight="1">
      <c r="A57" s="10">
        <v>7</v>
      </c>
      <c r="B57" s="11" t="s">
        <v>18</v>
      </c>
      <c r="C57" s="10">
        <v>314</v>
      </c>
      <c r="D57" s="10">
        <v>617</v>
      </c>
      <c r="E57" s="10">
        <v>2025</v>
      </c>
      <c r="F57" s="12" t="s">
        <v>9</v>
      </c>
      <c r="G57" s="3">
        <f t="shared" si="10"/>
        <v>0</v>
      </c>
      <c r="H57" s="4">
        <f t="shared" si="11"/>
        <v>303</v>
      </c>
    </row>
    <row r="58" spans="1:8" ht="27.75" customHeight="1">
      <c r="A58" s="10">
        <v>7</v>
      </c>
      <c r="B58" s="11" t="s">
        <v>22</v>
      </c>
      <c r="C58" s="10">
        <v>314</v>
      </c>
      <c r="D58" s="10">
        <v>617</v>
      </c>
      <c r="E58" s="10">
        <v>2025</v>
      </c>
      <c r="F58" s="12" t="s">
        <v>9</v>
      </c>
      <c r="G58" s="3">
        <f t="shared" si="10"/>
        <v>0</v>
      </c>
      <c r="H58" s="4">
        <f t="shared" si="11"/>
        <v>303</v>
      </c>
    </row>
    <row r="59" spans="1:8" ht="27.75" customHeight="1">
      <c r="A59" s="10">
        <v>7</v>
      </c>
      <c r="B59" s="11" t="s">
        <v>20</v>
      </c>
      <c r="C59" s="10">
        <v>314</v>
      </c>
      <c r="D59" s="10">
        <v>617</v>
      </c>
      <c r="E59" s="10">
        <v>2025</v>
      </c>
      <c r="F59" s="12" t="s">
        <v>9</v>
      </c>
      <c r="G59" s="3">
        <f t="shared" si="10"/>
        <v>0</v>
      </c>
      <c r="H59" s="4">
        <f t="shared" si="11"/>
        <v>303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335</v>
      </c>
      <c r="D61" s="10">
        <v>0</v>
      </c>
      <c r="E61" s="10"/>
      <c r="F61" s="12"/>
      <c r="G61" s="3">
        <f t="shared" ref="G61:G69" si="12">IF((C61-D61)&lt;0,0,C61-D61)</f>
        <v>335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335</v>
      </c>
      <c r="D62" s="10">
        <v>0</v>
      </c>
      <c r="E62" s="10"/>
      <c r="F62" s="12"/>
      <c r="G62" s="3">
        <f t="shared" si="12"/>
        <v>335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335</v>
      </c>
      <c r="D63" s="10">
        <v>488</v>
      </c>
      <c r="E63" s="10">
        <v>2025</v>
      </c>
      <c r="F63" s="12" t="s">
        <v>9</v>
      </c>
      <c r="G63" s="3">
        <f t="shared" si="12"/>
        <v>0</v>
      </c>
      <c r="H63" s="4">
        <f t="shared" si="13"/>
        <v>153</v>
      </c>
    </row>
    <row r="64" spans="1:8" ht="27.75" customHeight="1">
      <c r="A64" s="10">
        <v>8</v>
      </c>
      <c r="B64" s="11" t="s">
        <v>21</v>
      </c>
      <c r="C64" s="10">
        <v>335</v>
      </c>
      <c r="D64" s="10">
        <v>488</v>
      </c>
      <c r="E64" s="10">
        <v>2025</v>
      </c>
      <c r="F64" s="12" t="s">
        <v>9</v>
      </c>
      <c r="G64" s="3">
        <f t="shared" si="12"/>
        <v>0</v>
      </c>
      <c r="H64" s="4">
        <f t="shared" si="13"/>
        <v>153</v>
      </c>
    </row>
    <row r="65" spans="1:8" ht="27.75" customHeight="1">
      <c r="A65" s="10">
        <v>8</v>
      </c>
      <c r="B65" s="11" t="s">
        <v>23</v>
      </c>
      <c r="C65" s="10">
        <v>335</v>
      </c>
      <c r="D65" s="10">
        <v>0</v>
      </c>
      <c r="E65" s="10"/>
      <c r="F65" s="12"/>
      <c r="G65" s="3">
        <f t="shared" si="12"/>
        <v>335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335</v>
      </c>
      <c r="D66" s="10">
        <v>488</v>
      </c>
      <c r="E66" s="10">
        <v>2026</v>
      </c>
      <c r="F66" s="12" t="s">
        <v>9</v>
      </c>
      <c r="G66" s="3">
        <f t="shared" si="12"/>
        <v>0</v>
      </c>
      <c r="H66" s="4">
        <f t="shared" si="13"/>
        <v>153</v>
      </c>
    </row>
    <row r="67" spans="1:8" ht="27.75" customHeight="1">
      <c r="A67" s="10">
        <v>8</v>
      </c>
      <c r="B67" s="11" t="s">
        <v>18</v>
      </c>
      <c r="C67" s="10">
        <v>335</v>
      </c>
      <c r="D67" s="10">
        <v>0</v>
      </c>
      <c r="E67" s="10"/>
      <c r="F67" s="12"/>
      <c r="G67" s="3">
        <f t="shared" si="12"/>
        <v>335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335</v>
      </c>
      <c r="D68" s="10">
        <v>0</v>
      </c>
      <c r="E68" s="10"/>
      <c r="F68" s="12"/>
      <c r="G68" s="3">
        <f t="shared" si="12"/>
        <v>335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335</v>
      </c>
      <c r="D69" s="10">
        <v>0</v>
      </c>
      <c r="E69" s="10"/>
      <c r="F69" s="12"/>
      <c r="G69" s="3">
        <f t="shared" si="12"/>
        <v>335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339</v>
      </c>
      <c r="D71" s="10">
        <v>0</v>
      </c>
      <c r="E71" s="10"/>
      <c r="F71" s="12"/>
      <c r="G71" s="3">
        <f t="shared" ref="G71:G79" si="14">IF((C71-D71)&lt;0,0,C71-D71)</f>
        <v>339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339</v>
      </c>
      <c r="D72" s="10">
        <v>545</v>
      </c>
      <c r="E72" s="10">
        <v>2024</v>
      </c>
      <c r="F72" s="12" t="s">
        <v>9</v>
      </c>
      <c r="G72" s="3">
        <f t="shared" si="14"/>
        <v>0</v>
      </c>
      <c r="H72" s="4">
        <f t="shared" si="15"/>
        <v>206</v>
      </c>
    </row>
    <row r="73" spans="1:8" ht="27.75" customHeight="1">
      <c r="A73" s="10">
        <v>9</v>
      </c>
      <c r="B73" s="11" t="s">
        <v>13</v>
      </c>
      <c r="C73" s="10">
        <v>339</v>
      </c>
      <c r="D73" s="10">
        <v>0</v>
      </c>
      <c r="E73" s="10"/>
      <c r="F73" s="12"/>
      <c r="G73" s="3">
        <f t="shared" si="14"/>
        <v>339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339</v>
      </c>
      <c r="D74" s="10">
        <v>0</v>
      </c>
      <c r="E74" s="10"/>
      <c r="F74" s="12"/>
      <c r="G74" s="3">
        <f t="shared" si="14"/>
        <v>339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339</v>
      </c>
      <c r="D75" s="10">
        <v>0</v>
      </c>
      <c r="E75" s="10"/>
      <c r="F75" s="12"/>
      <c r="G75" s="3">
        <f t="shared" si="14"/>
        <v>339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339</v>
      </c>
      <c r="D76" s="10">
        <v>0</v>
      </c>
      <c r="E76" s="10"/>
      <c r="F76" s="12"/>
      <c r="G76" s="3">
        <f t="shared" si="14"/>
        <v>339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339</v>
      </c>
      <c r="D77" s="10">
        <v>0</v>
      </c>
      <c r="E77" s="10"/>
      <c r="F77" s="12"/>
      <c r="G77" s="3">
        <f t="shared" si="14"/>
        <v>339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339</v>
      </c>
      <c r="D78" s="10">
        <v>0</v>
      </c>
      <c r="E78" s="10"/>
      <c r="F78" s="12"/>
      <c r="G78" s="3">
        <f t="shared" si="14"/>
        <v>339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339</v>
      </c>
      <c r="D79" s="10">
        <v>0</v>
      </c>
      <c r="E79" s="10"/>
      <c r="F79" s="12"/>
      <c r="G79" s="3">
        <f t="shared" si="14"/>
        <v>339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426</v>
      </c>
      <c r="D81" s="10">
        <v>0</v>
      </c>
      <c r="E81" s="10"/>
      <c r="F81" s="12"/>
      <c r="G81" s="3">
        <f t="shared" ref="G81:G89" si="16">IF((C81-D81)&lt;0,0,C81-D81)</f>
        <v>426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426</v>
      </c>
      <c r="D82" s="10">
        <v>633</v>
      </c>
      <c r="E82" s="10">
        <v>2024</v>
      </c>
      <c r="F82" s="12" t="s">
        <v>9</v>
      </c>
      <c r="G82" s="3">
        <f t="shared" si="16"/>
        <v>0</v>
      </c>
      <c r="H82" s="4">
        <f t="shared" si="17"/>
        <v>207</v>
      </c>
    </row>
    <row r="83" spans="1:8" ht="27.75" customHeight="1">
      <c r="A83" s="10">
        <v>10</v>
      </c>
      <c r="B83" s="11" t="s">
        <v>13</v>
      </c>
      <c r="C83" s="10">
        <v>426</v>
      </c>
      <c r="D83" s="10">
        <v>0</v>
      </c>
      <c r="E83" s="10"/>
      <c r="F83" s="12"/>
      <c r="G83" s="3">
        <f t="shared" si="16"/>
        <v>426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426</v>
      </c>
      <c r="D84" s="10">
        <v>0</v>
      </c>
      <c r="E84" s="10"/>
      <c r="F84" s="12"/>
      <c r="G84" s="3">
        <f t="shared" si="16"/>
        <v>426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426</v>
      </c>
      <c r="D85" s="10">
        <v>0</v>
      </c>
      <c r="E85" s="10"/>
      <c r="F85" s="12"/>
      <c r="G85" s="3">
        <f t="shared" si="16"/>
        <v>426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426</v>
      </c>
      <c r="D86" s="10">
        <v>0</v>
      </c>
      <c r="E86" s="10"/>
      <c r="F86" s="12"/>
      <c r="G86" s="3">
        <f t="shared" si="16"/>
        <v>426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426</v>
      </c>
      <c r="D87" s="10">
        <v>0</v>
      </c>
      <c r="E87" s="10"/>
      <c r="F87" s="12"/>
      <c r="G87" s="3">
        <f t="shared" si="16"/>
        <v>426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426</v>
      </c>
      <c r="D88" s="10">
        <v>0</v>
      </c>
      <c r="E88" s="10"/>
      <c r="F88" s="12"/>
      <c r="G88" s="3">
        <f t="shared" si="16"/>
        <v>426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426</v>
      </c>
      <c r="D89" s="10">
        <v>0</v>
      </c>
      <c r="E89" s="10"/>
      <c r="F89" s="12"/>
      <c r="G89" s="3">
        <f t="shared" si="16"/>
        <v>426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686</v>
      </c>
      <c r="D91" s="1">
        <v>581</v>
      </c>
      <c r="E91" s="1">
        <v>2024</v>
      </c>
      <c r="F91" s="5" t="s">
        <v>9</v>
      </c>
      <c r="G91" s="3">
        <f t="shared" ref="G91:G101" si="18">IF((C91-D91)&lt;0,0,C91-D91)</f>
        <v>105</v>
      </c>
      <c r="H91" s="4">
        <f t="shared" ref="H91:H101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686</v>
      </c>
      <c r="D92" s="1">
        <v>0</v>
      </c>
      <c r="E92" s="1"/>
      <c r="F92" s="5"/>
      <c r="G92" s="3">
        <f t="shared" si="18"/>
        <v>686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686</v>
      </c>
      <c r="D93" s="1">
        <v>581</v>
      </c>
      <c r="E93" s="1">
        <v>2024</v>
      </c>
      <c r="F93" s="5" t="s">
        <v>9</v>
      </c>
      <c r="G93" s="3">
        <f t="shared" si="18"/>
        <v>105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686</v>
      </c>
      <c r="D94" s="1">
        <v>581</v>
      </c>
      <c r="E94" s="1">
        <v>2025</v>
      </c>
      <c r="F94" s="5" t="s">
        <v>9</v>
      </c>
      <c r="G94" s="3">
        <f t="shared" si="18"/>
        <v>105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686</v>
      </c>
      <c r="D95" s="1">
        <v>581</v>
      </c>
      <c r="E95" s="1">
        <v>2025</v>
      </c>
      <c r="F95" s="5" t="s">
        <v>9</v>
      </c>
      <c r="G95" s="3">
        <f t="shared" si="18"/>
        <v>105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686</v>
      </c>
      <c r="D96" s="1">
        <v>581</v>
      </c>
      <c r="E96" s="1">
        <v>2025</v>
      </c>
      <c r="F96" s="5" t="s">
        <v>9</v>
      </c>
      <c r="G96" s="3">
        <f t="shared" si="18"/>
        <v>105</v>
      </c>
      <c r="H96" s="4">
        <f t="shared" si="19"/>
        <v>0</v>
      </c>
    </row>
    <row r="97" spans="1:8" ht="57" customHeight="1">
      <c r="A97" s="1" t="s">
        <v>24</v>
      </c>
      <c r="B97" s="9" t="s">
        <v>31</v>
      </c>
      <c r="C97" s="1">
        <v>686</v>
      </c>
      <c r="D97" s="1">
        <v>581</v>
      </c>
      <c r="E97" s="1">
        <v>2025</v>
      </c>
      <c r="F97" s="5" t="s">
        <v>9</v>
      </c>
      <c r="G97" s="3">
        <f t="shared" si="18"/>
        <v>105</v>
      </c>
      <c r="H97" s="4">
        <f t="shared" si="19"/>
        <v>0</v>
      </c>
    </row>
    <row r="98" spans="1:8" ht="47.25" customHeight="1">
      <c r="A98" s="29" t="s">
        <v>24</v>
      </c>
      <c r="B98" s="30" t="s">
        <v>32</v>
      </c>
      <c r="C98" s="29">
        <v>686</v>
      </c>
      <c r="D98" s="29">
        <v>581</v>
      </c>
      <c r="E98" s="29">
        <v>2025</v>
      </c>
      <c r="F98" s="31" t="s">
        <v>9</v>
      </c>
      <c r="G98" s="42">
        <f t="shared" si="18"/>
        <v>105</v>
      </c>
      <c r="H98" s="43">
        <f t="shared" si="19"/>
        <v>0</v>
      </c>
    </row>
    <row r="99" spans="1:8" ht="47.25" customHeight="1">
      <c r="A99" s="29" t="s">
        <v>24</v>
      </c>
      <c r="B99" s="30" t="s">
        <v>33</v>
      </c>
      <c r="C99" s="29">
        <v>686</v>
      </c>
      <c r="D99" s="29">
        <v>581</v>
      </c>
      <c r="E99" s="29">
        <v>2025</v>
      </c>
      <c r="F99" s="31" t="s">
        <v>9</v>
      </c>
      <c r="G99" s="42">
        <f t="shared" si="18"/>
        <v>105</v>
      </c>
      <c r="H99" s="43">
        <f t="shared" si="19"/>
        <v>0</v>
      </c>
    </row>
    <row r="100" spans="1:8" ht="75" customHeight="1">
      <c r="A100" s="29" t="s">
        <v>24</v>
      </c>
      <c r="B100" s="30" t="s">
        <v>34</v>
      </c>
      <c r="C100" s="29">
        <v>686</v>
      </c>
      <c r="D100" s="29">
        <v>581</v>
      </c>
      <c r="E100" s="29">
        <v>2025</v>
      </c>
      <c r="F100" s="31" t="s">
        <v>9</v>
      </c>
      <c r="G100" s="42">
        <f t="shared" ref="G100" si="20">IF((C100-D100)&lt;0,0,C100-D100)</f>
        <v>105</v>
      </c>
      <c r="H100" s="43">
        <f t="shared" ref="H100" si="21">IF((D100-C100)&lt;0,0,D100-C100)</f>
        <v>0</v>
      </c>
    </row>
    <row r="101" spans="1:8" ht="47.25" customHeight="1">
      <c r="A101" s="1" t="s">
        <v>24</v>
      </c>
      <c r="B101" s="9" t="s">
        <v>35</v>
      </c>
      <c r="C101" s="29">
        <v>686</v>
      </c>
      <c r="D101" s="1">
        <v>60</v>
      </c>
      <c r="E101" s="1">
        <v>2024</v>
      </c>
      <c r="F101" s="1" t="s">
        <v>9</v>
      </c>
      <c r="G101" s="42">
        <f t="shared" si="18"/>
        <v>626</v>
      </c>
      <c r="H101" s="43">
        <f t="shared" si="19"/>
        <v>0</v>
      </c>
    </row>
  </sheetData>
  <protectedRanges>
    <protectedRange sqref="C1:E101" name="Textbooks"/>
    <protectedRange sqref="F1:F101" name="SOURCE"/>
  </protectedRanges>
  <phoneticPr fontId="8" type="noConversion"/>
  <dataValidations count="2">
    <dataValidation type="list" allowBlank="1" showInputMessage="1" showErrorMessage="1" sqref="E91:E101 E81:E89 E71:E79 E61:E69 E51:E59 E41:E49 E31:E39 E2:E6 E14:E19 E8:E12 E21:E29" xr:uid="{B46E7B13-721E-4D49-837E-C02BF9777D48}">
      <formula1>"2024,2025,2026"</formula1>
    </dataValidation>
    <dataValidation type="list" allowBlank="1" showInputMessage="1" showErrorMessage="1" sqref="F14:F19 F2:F6 F31:F39 F41:F49 F51:F59 F61:F69 F71:F79 F81:F89 F91:F101 F8:F12 F21:F29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10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3.28515625" customWidth="1"/>
    <col min="3" max="4" width="11" customWidth="1"/>
    <col min="5" max="5" width="19.85546875" customWidth="1"/>
    <col min="6" max="10" width="11" customWidth="1"/>
    <col min="11" max="11" width="20.7109375" customWidth="1"/>
    <col min="12" max="16" width="10.28515625" customWidth="1"/>
    <col min="17" max="17" width="21.140625" customWidth="1"/>
    <col min="18" max="22" width="11.140625" customWidth="1"/>
    <col min="23" max="23" width="19.7109375" customWidth="1"/>
    <col min="24" max="27" width="10" customWidth="1"/>
  </cols>
  <sheetData>
    <row r="1" spans="1:27" s="28" customFormat="1" ht="34.15" customHeight="1">
      <c r="D1" s="45" t="s">
        <v>36</v>
      </c>
      <c r="E1" s="45"/>
      <c r="F1" s="45"/>
      <c r="G1" s="45"/>
      <c r="H1" s="45"/>
      <c r="I1" s="45"/>
      <c r="J1" s="46" t="s">
        <v>37</v>
      </c>
      <c r="K1" s="46"/>
      <c r="L1" s="46"/>
      <c r="M1" s="46"/>
      <c r="N1" s="46"/>
      <c r="O1" s="46"/>
      <c r="P1" s="47" t="s">
        <v>38</v>
      </c>
      <c r="Q1" s="47"/>
      <c r="R1" s="47"/>
      <c r="S1" s="47"/>
      <c r="T1" s="47"/>
      <c r="U1" s="47"/>
      <c r="V1" s="48" t="s">
        <v>39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4.75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5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2.2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5.25" customHeight="1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opLeftCell="A29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2.28515625" customWidth="1"/>
    <col min="3" max="4" width="10.5703125" customWidth="1"/>
    <col min="5" max="5" width="20.7109375" customWidth="1"/>
    <col min="6" max="10" width="11.7109375" customWidth="1"/>
    <col min="11" max="11" width="20" customWidth="1"/>
    <col min="12" max="16" width="11.85546875" customWidth="1"/>
    <col min="17" max="17" width="20.7109375" customWidth="1"/>
    <col min="18" max="22" width="11.28515625" customWidth="1"/>
    <col min="23" max="23" width="21.140625" customWidth="1"/>
    <col min="24" max="27" width="12" customWidth="1"/>
  </cols>
  <sheetData>
    <row r="1" spans="1:27" s="28" customFormat="1" ht="34.15" customHeight="1">
      <c r="B1" s="35"/>
      <c r="D1" s="45" t="s">
        <v>36</v>
      </c>
      <c r="E1" s="45"/>
      <c r="F1" s="45"/>
      <c r="G1" s="45"/>
      <c r="H1" s="45"/>
      <c r="I1" s="45"/>
      <c r="J1" s="46" t="s">
        <v>37</v>
      </c>
      <c r="K1" s="46"/>
      <c r="L1" s="46"/>
      <c r="M1" s="46"/>
      <c r="N1" s="46"/>
      <c r="O1" s="46"/>
      <c r="P1" s="47" t="s">
        <v>38</v>
      </c>
      <c r="Q1" s="47"/>
      <c r="R1" s="47"/>
      <c r="S1" s="47"/>
      <c r="T1" s="47"/>
      <c r="U1" s="47"/>
      <c r="V1" s="48" t="s">
        <v>39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1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7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>
        <v>301</v>
      </c>
      <c r="F14" s="1">
        <v>2025</v>
      </c>
      <c r="G14" s="5"/>
      <c r="H14" s="5">
        <f t="shared" si="0"/>
        <v>0</v>
      </c>
      <c r="I14" s="5">
        <f t="shared" si="1"/>
        <v>301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>
        <v>301</v>
      </c>
      <c r="F15" s="1">
        <v>2025</v>
      </c>
      <c r="G15" s="5"/>
      <c r="H15" s="5">
        <f t="shared" si="0"/>
        <v>0</v>
      </c>
      <c r="I15" s="5">
        <f t="shared" si="1"/>
        <v>301</v>
      </c>
      <c r="J15" s="5">
        <f>Table14[[#This Row],[Enrolment S.Y. 2025-2026 ]]*8</f>
        <v>0</v>
      </c>
      <c r="K15" s="5">
        <v>320</v>
      </c>
      <c r="L15" s="1">
        <v>2025</v>
      </c>
      <c r="M15" s="5"/>
      <c r="N15" s="5">
        <f t="shared" si="2"/>
        <v>0</v>
      </c>
      <c r="O15" s="5">
        <f t="shared" si="3"/>
        <v>320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>
        <v>301</v>
      </c>
      <c r="F16" s="1">
        <v>2025</v>
      </c>
      <c r="G16" s="5"/>
      <c r="H16" s="5">
        <f t="shared" si="0"/>
        <v>0</v>
      </c>
      <c r="I16" s="5">
        <f t="shared" si="1"/>
        <v>301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>
        <v>301</v>
      </c>
      <c r="F17" s="1">
        <v>2025</v>
      </c>
      <c r="G17" s="5"/>
      <c r="H17" s="5">
        <f>IF((D17-E17)&lt;0,0,(D17-E17))</f>
        <v>0</v>
      </c>
      <c r="I17" s="5">
        <f>IF((E17-D17)&lt;0,0,(E17-D17))</f>
        <v>301</v>
      </c>
      <c r="J17" s="5">
        <f>Table14[[#This Row],[Enrolment S.Y. 2025-2026 ]]*8</f>
        <v>0</v>
      </c>
      <c r="K17" s="5">
        <v>320</v>
      </c>
      <c r="L17" s="1">
        <v>2025</v>
      </c>
      <c r="M17" s="5"/>
      <c r="N17" s="5">
        <f t="shared" si="2"/>
        <v>0</v>
      </c>
      <c r="O17" s="5">
        <f t="shared" si="3"/>
        <v>320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>
        <v>301</v>
      </c>
      <c r="F18" s="1">
        <v>2025</v>
      </c>
      <c r="G18" s="5"/>
      <c r="H18" s="5">
        <f>IF((D18-E18)&lt;0,0,(D18-E18))</f>
        <v>0</v>
      </c>
      <c r="I18" s="5">
        <f>IF((E18-D18)&lt;0,0,(E18-D18))</f>
        <v>301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>
        <v>330</v>
      </c>
      <c r="F23" s="1">
        <v>2025</v>
      </c>
      <c r="G23" s="5"/>
      <c r="H23" s="5">
        <f t="shared" si="0"/>
        <v>0</v>
      </c>
      <c r="I23" s="5">
        <f t="shared" si="1"/>
        <v>330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>
        <v>330</v>
      </c>
      <c r="F24" s="1">
        <v>2025</v>
      </c>
      <c r="G24" s="5"/>
      <c r="H24" s="5">
        <f t="shared" si="0"/>
        <v>0</v>
      </c>
      <c r="I24" s="5">
        <f t="shared" si="1"/>
        <v>330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>
        <v>330</v>
      </c>
      <c r="F25" s="1">
        <v>2025</v>
      </c>
      <c r="G25" s="5"/>
      <c r="H25" s="5">
        <f t="shared" si="0"/>
        <v>0</v>
      </c>
      <c r="I25" s="5">
        <f t="shared" si="1"/>
        <v>330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>
        <v>330</v>
      </c>
      <c r="F26" s="1">
        <v>2025</v>
      </c>
      <c r="G26" s="5"/>
      <c r="H26" s="5">
        <f t="shared" si="0"/>
        <v>0</v>
      </c>
      <c r="I26" s="5">
        <f t="shared" si="1"/>
        <v>330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>
        <v>330</v>
      </c>
      <c r="F27" s="1">
        <v>2025</v>
      </c>
      <c r="G27" s="5"/>
      <c r="H27" s="5">
        <f>IF((D27-E27)&lt;0,0,(D27-E27))</f>
        <v>0</v>
      </c>
      <c r="I27" s="5">
        <f>IF((E27-D27)&lt;0,0,(E27-D27))</f>
        <v>330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>
        <v>330</v>
      </c>
      <c r="F28" s="1">
        <v>2025</v>
      </c>
      <c r="G28" s="5"/>
      <c r="H28" s="5">
        <f>IF((D28-E28)&lt;0,0,(D28-E28))</f>
        <v>0</v>
      </c>
      <c r="I28" s="5">
        <f>IF((E28-D28)&lt;0,0,(E28-D28))</f>
        <v>330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>
        <v>138</v>
      </c>
      <c r="F43" s="1">
        <v>2025</v>
      </c>
      <c r="G43" s="5"/>
      <c r="H43" s="5">
        <f t="shared" si="0"/>
        <v>0</v>
      </c>
      <c r="I43" s="5">
        <f t="shared" si="1"/>
        <v>138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>
        <v>138</v>
      </c>
      <c r="F44" s="1">
        <v>2025</v>
      </c>
      <c r="G44" s="5"/>
      <c r="H44" s="5">
        <f t="shared" si="0"/>
        <v>0</v>
      </c>
      <c r="I44" s="5">
        <f t="shared" si="1"/>
        <v>138</v>
      </c>
      <c r="J44" s="5">
        <f>Table14[[#This Row],[Enrolment S.Y. 2025-2026 ]]*8</f>
        <v>0</v>
      </c>
      <c r="K44" s="5">
        <v>354</v>
      </c>
      <c r="L44" s="1"/>
      <c r="M44" s="5"/>
      <c r="N44" s="5">
        <f t="shared" si="2"/>
        <v>0</v>
      </c>
      <c r="O44" s="5">
        <f t="shared" si="3"/>
        <v>354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>
        <v>138</v>
      </c>
      <c r="F45" s="1">
        <v>2025</v>
      </c>
      <c r="G45" s="5"/>
      <c r="H45" s="5">
        <f t="shared" si="0"/>
        <v>0</v>
      </c>
      <c r="I45" s="5">
        <f t="shared" si="1"/>
        <v>138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>
        <v>138</v>
      </c>
      <c r="F46" s="1">
        <v>2025</v>
      </c>
      <c r="G46" s="5"/>
      <c r="H46" s="5">
        <f t="shared" si="0"/>
        <v>0</v>
      </c>
      <c r="I46" s="5">
        <f t="shared" si="1"/>
        <v>138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>
        <v>138</v>
      </c>
      <c r="F47" s="1">
        <v>2025</v>
      </c>
      <c r="G47" s="5"/>
      <c r="H47" s="5">
        <f t="shared" si="0"/>
        <v>0</v>
      </c>
      <c r="I47" s="5">
        <f t="shared" si="1"/>
        <v>138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>
        <v>138</v>
      </c>
      <c r="F48" s="1">
        <v>2025</v>
      </c>
      <c r="G48" s="5"/>
      <c r="H48" s="5">
        <f t="shared" si="0"/>
        <v>0</v>
      </c>
      <c r="I48" s="5">
        <f t="shared" si="1"/>
        <v>138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>
        <v>138</v>
      </c>
      <c r="F49" s="1">
        <v>2025</v>
      </c>
      <c r="G49" s="5"/>
      <c r="H49" s="5">
        <f>IF((D49-E49)&lt;0,0,(D49-E49))</f>
        <v>0</v>
      </c>
      <c r="I49" s="5">
        <f>IF((E49-D49)&lt;0,0,(E49-D49))</f>
        <v>138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>
        <v>138</v>
      </c>
      <c r="F51" s="1">
        <v>2025</v>
      </c>
      <c r="G51" s="5"/>
      <c r="H51" s="5">
        <f t="shared" si="0"/>
        <v>0</v>
      </c>
      <c r="I51" s="5">
        <f t="shared" si="1"/>
        <v>138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>
        <v>138</v>
      </c>
      <c r="F52" s="1">
        <v>2025</v>
      </c>
      <c r="G52" s="5"/>
      <c r="H52" s="5">
        <f>IF((D52-E52)&lt;0,0,(D52-E52))</f>
        <v>0</v>
      </c>
      <c r="I52" s="5">
        <f>IF((E52-D52)&lt;0,0,(E52-D52))</f>
        <v>138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309</v>
      </c>
      <c r="F55" s="1"/>
      <c r="G55" s="5"/>
      <c r="H55" s="5">
        <f t="shared" si="0"/>
        <v>0</v>
      </c>
      <c r="I55" s="5">
        <f t="shared" si="1"/>
        <v>309</v>
      </c>
      <c r="J55" s="5">
        <f>Table14[[#This Row],[Enrolment S.Y. 2025-2026 ]]*8</f>
        <v>0</v>
      </c>
      <c r="K55" s="5">
        <v>198</v>
      </c>
      <c r="L55" s="1">
        <v>2025</v>
      </c>
      <c r="M55" s="5"/>
      <c r="N55" s="5">
        <f t="shared" si="2"/>
        <v>0</v>
      </c>
      <c r="O55" s="5">
        <f t="shared" si="3"/>
        <v>198</v>
      </c>
      <c r="P55" s="5">
        <f>Table14[[#This Row],[Enrolment S.Y. 2025-2026 ]]*8</f>
        <v>0</v>
      </c>
      <c r="Q55" s="5">
        <v>132</v>
      </c>
      <c r="R55" s="1">
        <v>2025</v>
      </c>
      <c r="S55" s="5"/>
      <c r="T55" s="5">
        <f t="shared" si="4"/>
        <v>0</v>
      </c>
      <c r="U55" s="5">
        <f t="shared" si="5"/>
        <v>132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>
        <v>103</v>
      </c>
      <c r="F56" s="1"/>
      <c r="G56" s="5"/>
      <c r="H56" s="5">
        <f t="shared" si="0"/>
        <v>0</v>
      </c>
      <c r="I56" s="5">
        <f t="shared" si="1"/>
        <v>103</v>
      </c>
      <c r="J56" s="5">
        <f>Table14[[#This Row],[Enrolment S.Y. 2025-2026 ]]*8</f>
        <v>0</v>
      </c>
      <c r="K56" s="5">
        <v>726</v>
      </c>
      <c r="L56" s="1">
        <v>2025</v>
      </c>
      <c r="M56" s="5"/>
      <c r="N56" s="5">
        <f t="shared" si="2"/>
        <v>0</v>
      </c>
      <c r="O56" s="5">
        <f t="shared" si="3"/>
        <v>726</v>
      </c>
      <c r="P56" s="5">
        <f>Table14[[#This Row],[Enrolment S.Y. 2025-2026 ]]*8</f>
        <v>0</v>
      </c>
      <c r="Q56" s="5">
        <v>396</v>
      </c>
      <c r="R56" s="1">
        <v>2025</v>
      </c>
      <c r="S56" s="5"/>
      <c r="T56" s="5">
        <f t="shared" si="4"/>
        <v>0</v>
      </c>
      <c r="U56" s="5">
        <f t="shared" si="5"/>
        <v>396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103</v>
      </c>
      <c r="F57" s="1"/>
      <c r="G57" s="5"/>
      <c r="H57" s="5">
        <f t="shared" si="0"/>
        <v>0</v>
      </c>
      <c r="I57" s="5">
        <f t="shared" si="1"/>
        <v>103</v>
      </c>
      <c r="J57" s="5">
        <f>Table14[[#This Row],[Enrolment S.Y. 2025-2026 ]]*8</f>
        <v>0</v>
      </c>
      <c r="K57" s="5">
        <v>726</v>
      </c>
      <c r="L57" s="1">
        <v>2025</v>
      </c>
      <c r="M57" s="5"/>
      <c r="N57" s="5">
        <f t="shared" si="2"/>
        <v>0</v>
      </c>
      <c r="O57" s="5">
        <f t="shared" si="3"/>
        <v>726</v>
      </c>
      <c r="P57" s="5">
        <f>Table14[[#This Row],[Enrolment S.Y. 2025-2026 ]]*8</f>
        <v>0</v>
      </c>
      <c r="Q57" s="5">
        <v>594</v>
      </c>
      <c r="R57" s="1">
        <v>2025</v>
      </c>
      <c r="S57" s="5"/>
      <c r="T57" s="5">
        <f t="shared" si="4"/>
        <v>0</v>
      </c>
      <c r="U57" s="5">
        <f t="shared" si="5"/>
        <v>594</v>
      </c>
      <c r="V57" s="5">
        <f>Table14[[#This Row],[Enrolment S.Y. 2025-2026 ]]*8</f>
        <v>0</v>
      </c>
      <c r="W57" s="5">
        <v>330</v>
      </c>
      <c r="X57" s="1">
        <v>2025</v>
      </c>
      <c r="Y57" s="5"/>
      <c r="Z57" s="5">
        <f t="shared" si="6"/>
        <v>0</v>
      </c>
      <c r="AA57" s="5">
        <f t="shared" si="7"/>
        <v>330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396</v>
      </c>
      <c r="R59" s="1">
        <v>2025</v>
      </c>
      <c r="S59" s="5"/>
      <c r="T59" s="5">
        <f t="shared" si="4"/>
        <v>0</v>
      </c>
      <c r="U59" s="5">
        <f t="shared" si="5"/>
        <v>396</v>
      </c>
      <c r="V59" s="5">
        <f>Table14[[#This Row],[Enrolment S.Y. 2025-2026 ]]*8</f>
        <v>0</v>
      </c>
      <c r="W59" s="5">
        <v>462</v>
      </c>
      <c r="X59" s="1">
        <v>2025</v>
      </c>
      <c r="Y59" s="5"/>
      <c r="Z59" s="5">
        <f t="shared" si="6"/>
        <v>0</v>
      </c>
      <c r="AA59" s="5">
        <f t="shared" si="7"/>
        <v>462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198</v>
      </c>
      <c r="R60" s="1">
        <v>2025</v>
      </c>
      <c r="S60" s="5"/>
      <c r="T60" s="5">
        <f t="shared" si="4"/>
        <v>0</v>
      </c>
      <c r="U60" s="5">
        <f t="shared" si="5"/>
        <v>198</v>
      </c>
      <c r="V60" s="5">
        <f>Table14[[#This Row],[Enrolment S.Y. 2025-2026 ]]*8</f>
        <v>0</v>
      </c>
      <c r="W60" s="5">
        <v>462</v>
      </c>
      <c r="X60" s="1">
        <v>2025</v>
      </c>
      <c r="Y60" s="5"/>
      <c r="Z60" s="5">
        <f t="shared" si="6"/>
        <v>0</v>
      </c>
      <c r="AA60" s="5">
        <f t="shared" si="7"/>
        <v>462</v>
      </c>
    </row>
    <row r="61" spans="1:27" ht="19.5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198</v>
      </c>
      <c r="R61" s="1">
        <v>2025</v>
      </c>
      <c r="S61" s="5"/>
      <c r="T61" s="5">
        <f>IF((P61-Q61)&lt;0,0,(P61-Q61))</f>
        <v>0</v>
      </c>
      <c r="U61" s="5">
        <f>IF((Q61-P61)&lt;0,0,(Q61-P61))</f>
        <v>198</v>
      </c>
      <c r="V61" s="5">
        <f>Table14[[#This Row],[Enrolment S.Y. 2025-2026 ]]*8</f>
        <v>0</v>
      </c>
      <c r="W61" s="5">
        <v>198</v>
      </c>
      <c r="X61" s="1">
        <v>2025</v>
      </c>
      <c r="Y61" s="5"/>
      <c r="Z61" s="5">
        <f>IF((V61-W61)&lt;0,0,(V61-W61))</f>
        <v>0</v>
      </c>
      <c r="AA61" s="5">
        <f>IF((W61-V61)&lt;0,0,(W61-V61))</f>
        <v>198</v>
      </c>
    </row>
    <row r="62" spans="1:27" ht="19.5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462</v>
      </c>
      <c r="R62" s="1">
        <v>2025</v>
      </c>
      <c r="S62" s="5"/>
      <c r="T62" s="5">
        <f t="shared" si="4"/>
        <v>0</v>
      </c>
      <c r="U62" s="5">
        <f t="shared" si="5"/>
        <v>462</v>
      </c>
      <c r="V62" s="5">
        <f>Table14[[#This Row],[Enrolment S.Y. 2025-2026 ]]*8</f>
        <v>0</v>
      </c>
      <c r="W62" s="5">
        <v>594</v>
      </c>
      <c r="X62" s="1">
        <v>2025</v>
      </c>
      <c r="Y62" s="5"/>
      <c r="Z62" s="5">
        <f t="shared" si="6"/>
        <v>0</v>
      </c>
      <c r="AA62" s="5">
        <f t="shared" si="7"/>
        <v>594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>
        <v>2025</v>
      </c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198</v>
      </c>
      <c r="R64" s="1">
        <v>2025</v>
      </c>
      <c r="S64" s="5"/>
      <c r="T64" s="5">
        <f>IF((P64-Q64)&lt;0,0,(P64-Q64))</f>
        <v>0</v>
      </c>
      <c r="U64" s="5">
        <f>IF((Q64-P64)&lt;0,0,(Q64-P64))</f>
        <v>198</v>
      </c>
      <c r="V64" s="5">
        <f>Table14[[#This Row],[Enrolment S.Y. 2025-2026 ]]*8</f>
        <v>0</v>
      </c>
      <c r="W64" s="5">
        <v>198</v>
      </c>
      <c r="X64" s="1">
        <v>2025</v>
      </c>
      <c r="Y64" s="5"/>
      <c r="Z64" s="5">
        <f>IF((V64-W64)&lt;0,0,(V64-W64))</f>
        <v>0</v>
      </c>
      <c r="AA64" s="5">
        <f>IF((W64-V64)&lt;0,0,(W64-V64))</f>
        <v>198</v>
      </c>
    </row>
    <row r="65" spans="1:27" ht="19.5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198</v>
      </c>
      <c r="R65" s="1">
        <v>2025</v>
      </c>
      <c r="S65" s="5"/>
      <c r="T65" s="5">
        <f t="shared" si="4"/>
        <v>0</v>
      </c>
      <c r="U65" s="5">
        <f t="shared" si="5"/>
        <v>198</v>
      </c>
      <c r="V65" s="5">
        <f>Table14[[#This Row],[Enrolment S.Y. 2025-2026 ]]*8</f>
        <v>0</v>
      </c>
      <c r="W65" s="5">
        <v>198</v>
      </c>
      <c r="X65" s="1">
        <v>2025</v>
      </c>
      <c r="Y65" s="5"/>
      <c r="Z65" s="5">
        <f t="shared" si="6"/>
        <v>0</v>
      </c>
      <c r="AA65" s="5">
        <f t="shared" si="7"/>
        <v>198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 customHeight="1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339</v>
      </c>
      <c r="D91" s="12">
        <f>Table14[[#This Row],[Enrolment S.Y. 2025-2026 ]]*8</f>
        <v>2712</v>
      </c>
      <c r="E91" s="12"/>
      <c r="F91" s="10"/>
      <c r="G91" s="12"/>
      <c r="H91" s="12">
        <f t="shared" si="22"/>
        <v>2712</v>
      </c>
      <c r="I91" s="12">
        <f t="shared" si="23"/>
        <v>0</v>
      </c>
      <c r="J91" s="12">
        <f>Table14[[#This Row],[Enrolment S.Y. 2025-2026 ]]*8</f>
        <v>2712</v>
      </c>
      <c r="K91" s="12"/>
      <c r="L91" s="10"/>
      <c r="M91" s="12"/>
      <c r="N91" s="12">
        <f t="shared" si="20"/>
        <v>2712</v>
      </c>
      <c r="O91" s="12">
        <f t="shared" si="21"/>
        <v>0</v>
      </c>
      <c r="P91" s="12">
        <f>Table14[[#This Row],[Enrolment S.Y. 2025-2026 ]]*8</f>
        <v>2712</v>
      </c>
      <c r="Q91" s="12"/>
      <c r="R91" s="10"/>
      <c r="S91" s="12"/>
      <c r="T91" s="12">
        <f t="shared" si="16"/>
        <v>2712</v>
      </c>
      <c r="U91" s="12">
        <f t="shared" si="17"/>
        <v>0</v>
      </c>
      <c r="V91" s="12">
        <f>Table14[[#This Row],[Enrolment S.Y. 2025-2026 ]]*8</f>
        <v>2712</v>
      </c>
      <c r="W91" s="44">
        <v>1092</v>
      </c>
      <c r="X91" s="10">
        <v>2025</v>
      </c>
      <c r="Y91" s="12" t="s">
        <v>94</v>
      </c>
      <c r="Z91" s="12">
        <f t="shared" si="18"/>
        <v>1620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339</v>
      </c>
      <c r="D92" s="12">
        <f>Table14[[#This Row],[Enrolment S.Y. 2025-2026 ]]*8</f>
        <v>2712</v>
      </c>
      <c r="E92" s="12">
        <v>492</v>
      </c>
      <c r="F92" s="10">
        <v>2025</v>
      </c>
      <c r="G92" s="12" t="s">
        <v>94</v>
      </c>
      <c r="H92" s="12">
        <f t="shared" si="22"/>
        <v>2220</v>
      </c>
      <c r="I92" s="12">
        <f t="shared" si="23"/>
        <v>0</v>
      </c>
      <c r="J92" s="12">
        <f>Table14[[#This Row],[Enrolment S.Y. 2025-2026 ]]*8</f>
        <v>2712</v>
      </c>
      <c r="K92" s="12">
        <v>468</v>
      </c>
      <c r="L92" s="10">
        <v>2025</v>
      </c>
      <c r="M92" s="12" t="s">
        <v>94</v>
      </c>
      <c r="N92" s="12">
        <f t="shared" si="20"/>
        <v>2244</v>
      </c>
      <c r="O92" s="12">
        <f t="shared" si="21"/>
        <v>0</v>
      </c>
      <c r="P92" s="12">
        <f>Table14[[#This Row],[Enrolment S.Y. 2025-2026 ]]*8</f>
        <v>2712</v>
      </c>
      <c r="Q92" s="12">
        <v>390</v>
      </c>
      <c r="R92" s="10">
        <v>2025</v>
      </c>
      <c r="S92" s="12" t="s">
        <v>94</v>
      </c>
      <c r="T92" s="12">
        <f t="shared" si="16"/>
        <v>2322</v>
      </c>
      <c r="U92" s="12">
        <f t="shared" si="17"/>
        <v>0</v>
      </c>
      <c r="V92" s="12">
        <f>Table14[[#This Row],[Enrolment S.Y. 2025-2026 ]]*8</f>
        <v>2712</v>
      </c>
      <c r="W92" s="12"/>
      <c r="X92" s="10"/>
      <c r="Y92" s="12"/>
      <c r="Z92" s="12">
        <f t="shared" si="18"/>
        <v>2712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339</v>
      </c>
      <c r="D93" s="12">
        <f>Table14[[#This Row],[Enrolment S.Y. 2025-2026 ]]*8</f>
        <v>2712</v>
      </c>
      <c r="E93" s="12">
        <v>1886</v>
      </c>
      <c r="F93" s="10">
        <v>2025</v>
      </c>
      <c r="G93" s="12" t="s">
        <v>94</v>
      </c>
      <c r="H93" s="12">
        <f t="shared" si="22"/>
        <v>826</v>
      </c>
      <c r="I93" s="12">
        <f t="shared" si="23"/>
        <v>0</v>
      </c>
      <c r="J93" s="12">
        <f>Table14[[#This Row],[Enrolment S.Y. 2025-2026 ]]*8</f>
        <v>2712</v>
      </c>
      <c r="K93" s="12">
        <v>780</v>
      </c>
      <c r="L93" s="10">
        <v>2025</v>
      </c>
      <c r="M93" s="12" t="s">
        <v>94</v>
      </c>
      <c r="N93" s="12">
        <f t="shared" si="20"/>
        <v>1932</v>
      </c>
      <c r="O93" s="12">
        <f t="shared" si="21"/>
        <v>0</v>
      </c>
      <c r="P93" s="12">
        <f>Table14[[#This Row],[Enrolment S.Y. 2025-2026 ]]*8</f>
        <v>2712</v>
      </c>
      <c r="Q93" s="44">
        <v>1248</v>
      </c>
      <c r="R93" s="10">
        <v>2025</v>
      </c>
      <c r="S93" s="12" t="s">
        <v>94</v>
      </c>
      <c r="T93" s="12">
        <f t="shared" si="16"/>
        <v>1464</v>
      </c>
      <c r="U93" s="12">
        <f t="shared" si="17"/>
        <v>0</v>
      </c>
      <c r="V93" s="12">
        <f>Table14[[#This Row],[Enrolment S.Y. 2025-2026 ]]*8</f>
        <v>2712</v>
      </c>
      <c r="W93" s="12">
        <v>702</v>
      </c>
      <c r="X93" s="10">
        <v>2025</v>
      </c>
      <c r="Y93" s="12" t="s">
        <v>94</v>
      </c>
      <c r="Z93" s="12">
        <f t="shared" si="18"/>
        <v>2010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339</v>
      </c>
      <c r="D94" s="12">
        <f>Table14[[#This Row],[Enrolment S.Y. 2025-2026 ]]*8</f>
        <v>2712</v>
      </c>
      <c r="E94" s="12"/>
      <c r="F94" s="10"/>
      <c r="G94" s="12"/>
      <c r="H94" s="12">
        <f t="shared" si="22"/>
        <v>2712</v>
      </c>
      <c r="I94" s="12">
        <f t="shared" si="23"/>
        <v>0</v>
      </c>
      <c r="J94" s="12">
        <f>Table14[[#This Row],[Enrolment S.Y. 2025-2026 ]]*8</f>
        <v>2712</v>
      </c>
      <c r="K94" s="12"/>
      <c r="L94" s="10"/>
      <c r="M94" s="12"/>
      <c r="N94" s="12">
        <f t="shared" si="20"/>
        <v>2712</v>
      </c>
      <c r="O94" s="12">
        <f t="shared" si="21"/>
        <v>0</v>
      </c>
      <c r="P94" s="12">
        <f>Table14[[#This Row],[Enrolment S.Y. 2025-2026 ]]*8</f>
        <v>2712</v>
      </c>
      <c r="Q94" s="12">
        <v>858</v>
      </c>
      <c r="R94" s="10">
        <v>2025</v>
      </c>
      <c r="S94" s="12" t="s">
        <v>94</v>
      </c>
      <c r="T94" s="12">
        <f t="shared" si="16"/>
        <v>1854</v>
      </c>
      <c r="U94" s="12">
        <f t="shared" si="17"/>
        <v>0</v>
      </c>
      <c r="V94" s="12">
        <f>Table14[[#This Row],[Enrolment S.Y. 2025-2026 ]]*8</f>
        <v>2712</v>
      </c>
      <c r="W94" s="12"/>
      <c r="X94" s="10"/>
      <c r="Y94" s="12"/>
      <c r="Z94" s="12">
        <f t="shared" si="18"/>
        <v>2712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339</v>
      </c>
      <c r="D95" s="12">
        <f>Table14[[#This Row],[Enrolment S.Y. 2025-2026 ]]*8</f>
        <v>2712</v>
      </c>
      <c r="E95" s="12"/>
      <c r="F95" s="10"/>
      <c r="G95" s="12"/>
      <c r="H95" s="12">
        <f t="shared" si="22"/>
        <v>2712</v>
      </c>
      <c r="I95" s="12">
        <f t="shared" si="23"/>
        <v>0</v>
      </c>
      <c r="J95" s="12">
        <f>Table14[[#This Row],[Enrolment S.Y. 2025-2026 ]]*8</f>
        <v>2712</v>
      </c>
      <c r="K95" s="12"/>
      <c r="L95" s="10"/>
      <c r="M95" s="12"/>
      <c r="N95" s="12">
        <f t="shared" si="20"/>
        <v>2712</v>
      </c>
      <c r="O95" s="12">
        <f t="shared" si="21"/>
        <v>0</v>
      </c>
      <c r="P95" s="12">
        <f>Table14[[#This Row],[Enrolment S.Y. 2025-2026 ]]*8</f>
        <v>2712</v>
      </c>
      <c r="Q95" s="12"/>
      <c r="R95" s="10"/>
      <c r="S95" s="12"/>
      <c r="T95" s="12">
        <f t="shared" si="16"/>
        <v>2712</v>
      </c>
      <c r="U95" s="12">
        <f t="shared" si="17"/>
        <v>0</v>
      </c>
      <c r="V95" s="12">
        <f>Table14[[#This Row],[Enrolment S.Y. 2025-2026 ]]*8</f>
        <v>2712</v>
      </c>
      <c r="W95" s="12">
        <v>390</v>
      </c>
      <c r="X95" s="10">
        <v>2025</v>
      </c>
      <c r="Y95" s="12" t="s">
        <v>94</v>
      </c>
      <c r="Z95" s="12">
        <f t="shared" si="18"/>
        <v>2322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339</v>
      </c>
      <c r="D96" s="12">
        <f>Table14[[#This Row],[Enrolment S.Y. 2025-2026 ]]*8</f>
        <v>2712</v>
      </c>
      <c r="E96" s="12"/>
      <c r="F96" s="10"/>
      <c r="G96" s="12"/>
      <c r="H96" s="12">
        <f t="shared" si="22"/>
        <v>2712</v>
      </c>
      <c r="I96" s="12">
        <f t="shared" si="23"/>
        <v>0</v>
      </c>
      <c r="J96" s="12">
        <f>Table14[[#This Row],[Enrolment S.Y. 2025-2026 ]]*8</f>
        <v>2712</v>
      </c>
      <c r="K96" s="12"/>
      <c r="L96" s="10"/>
      <c r="M96" s="12"/>
      <c r="N96" s="12">
        <f t="shared" si="20"/>
        <v>2712</v>
      </c>
      <c r="O96" s="12">
        <f t="shared" si="21"/>
        <v>0</v>
      </c>
      <c r="P96" s="12">
        <f>Table14[[#This Row],[Enrolment S.Y. 2025-2026 ]]*8</f>
        <v>2712</v>
      </c>
      <c r="Q96" s="12">
        <v>468</v>
      </c>
      <c r="R96" s="10">
        <v>2025</v>
      </c>
      <c r="S96" s="12" t="s">
        <v>94</v>
      </c>
      <c r="T96" s="12">
        <f t="shared" si="16"/>
        <v>2244</v>
      </c>
      <c r="U96" s="12">
        <f t="shared" si="17"/>
        <v>0</v>
      </c>
      <c r="V96" s="12">
        <f>Table14[[#This Row],[Enrolment S.Y. 2025-2026 ]]*8</f>
        <v>2712</v>
      </c>
      <c r="W96" s="12">
        <v>858</v>
      </c>
      <c r="X96" s="10">
        <v>2025</v>
      </c>
      <c r="Y96" s="12" t="s">
        <v>94</v>
      </c>
      <c r="Z96" s="12">
        <f t="shared" si="18"/>
        <v>1854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>
        <v>339</v>
      </c>
      <c r="D97" s="12">
        <f>Table14[[#This Row],[Enrolment S.Y. 2025-2026 ]]*8</f>
        <v>2712</v>
      </c>
      <c r="E97" s="12"/>
      <c r="F97" s="10"/>
      <c r="G97" s="12"/>
      <c r="H97" s="12">
        <f>IF((D97-E97)&lt;0,0,(D97-E97))</f>
        <v>2712</v>
      </c>
      <c r="I97" s="12">
        <f>IF((E97-D97)&lt;0,0,(E97-D97))</f>
        <v>0</v>
      </c>
      <c r="J97" s="12">
        <f>Table14[[#This Row],[Enrolment S.Y. 2025-2026 ]]*8</f>
        <v>2712</v>
      </c>
      <c r="K97" s="12"/>
      <c r="L97" s="10"/>
      <c r="M97" s="12"/>
      <c r="N97" s="12">
        <f t="shared" ref="N97:N101" si="26">IF((J97-K97)&lt;0,0,(J97-K97))</f>
        <v>2712</v>
      </c>
      <c r="O97" s="12">
        <f t="shared" ref="O97:O101" si="27">IF((K97-J97)&lt;0,0,(K97-J97))</f>
        <v>0</v>
      </c>
      <c r="P97" s="12">
        <f>Table14[[#This Row],[Enrolment S.Y. 2025-2026 ]]*8</f>
        <v>2712</v>
      </c>
      <c r="Q97" s="12"/>
      <c r="R97" s="10"/>
      <c r="S97" s="12"/>
      <c r="T97" s="12">
        <f>IF((P97-Q97)&lt;0,0,(P97-Q97))</f>
        <v>2712</v>
      </c>
      <c r="U97" s="12">
        <f>IF((Q97-P97)&lt;0,0,(Q97-P97))</f>
        <v>0</v>
      </c>
      <c r="V97" s="12">
        <f>Table14[[#This Row],[Enrolment S.Y. 2025-2026 ]]*8</f>
        <v>2712</v>
      </c>
      <c r="W97" s="12">
        <v>624</v>
      </c>
      <c r="X97" s="10">
        <v>2025</v>
      </c>
      <c r="Y97" s="12" t="s">
        <v>94</v>
      </c>
      <c r="Z97" s="12">
        <f>IF((V97-W97)&lt;0,0,(V97-W97))</f>
        <v>2088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>
        <v>339</v>
      </c>
      <c r="D98" s="12">
        <f>Table14[[#This Row],[Enrolment S.Y. 2025-2026 ]]*8</f>
        <v>2712</v>
      </c>
      <c r="E98" s="12"/>
      <c r="F98" s="10"/>
      <c r="G98" s="12"/>
      <c r="H98" s="12">
        <f t="shared" si="22"/>
        <v>2712</v>
      </c>
      <c r="I98" s="12">
        <f t="shared" si="23"/>
        <v>0</v>
      </c>
      <c r="J98" s="12">
        <f>Table14[[#This Row],[Enrolment S.Y. 2025-2026 ]]*8</f>
        <v>2712</v>
      </c>
      <c r="K98" s="12"/>
      <c r="L98" s="10"/>
      <c r="M98" s="12"/>
      <c r="N98" s="12">
        <f t="shared" si="26"/>
        <v>2712</v>
      </c>
      <c r="O98" s="12">
        <f t="shared" si="27"/>
        <v>0</v>
      </c>
      <c r="P98" s="12">
        <f>Table14[[#This Row],[Enrolment S.Y. 2025-2026 ]]*8</f>
        <v>2712</v>
      </c>
      <c r="Q98" s="12"/>
      <c r="R98" s="10"/>
      <c r="S98" s="12"/>
      <c r="T98" s="12">
        <f t="shared" si="16"/>
        <v>2712</v>
      </c>
      <c r="U98" s="12">
        <f t="shared" si="17"/>
        <v>0</v>
      </c>
      <c r="V98" s="12">
        <f>Table14[[#This Row],[Enrolment S.Y. 2025-2026 ]]*8</f>
        <v>2712</v>
      </c>
      <c r="W98" s="12"/>
      <c r="X98" s="10"/>
      <c r="Y98" s="12"/>
      <c r="Z98" s="12">
        <f t="shared" si="18"/>
        <v>2712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339</v>
      </c>
      <c r="D99" s="12">
        <f>Table14[[#This Row],[Enrolment S.Y. 2025-2026 ]]*8</f>
        <v>2712</v>
      </c>
      <c r="E99" s="12"/>
      <c r="F99" s="10"/>
      <c r="G99" s="12"/>
      <c r="H99" s="12">
        <f t="shared" si="22"/>
        <v>2712</v>
      </c>
      <c r="I99" s="12">
        <f t="shared" si="23"/>
        <v>0</v>
      </c>
      <c r="J99" s="12">
        <f>Table14[[#This Row],[Enrolment S.Y. 2025-2026 ]]*8</f>
        <v>2712</v>
      </c>
      <c r="K99" s="12"/>
      <c r="L99" s="10"/>
      <c r="M99" s="12"/>
      <c r="N99" s="12">
        <f t="shared" si="26"/>
        <v>2712</v>
      </c>
      <c r="O99" s="12">
        <f t="shared" si="27"/>
        <v>0</v>
      </c>
      <c r="P99" s="12">
        <f>Table14[[#This Row],[Enrolment S.Y. 2025-2026 ]]*8</f>
        <v>2712</v>
      </c>
      <c r="Q99" s="12"/>
      <c r="R99" s="10"/>
      <c r="S99" s="12"/>
      <c r="T99" s="12">
        <f t="shared" si="16"/>
        <v>2712</v>
      </c>
      <c r="U99" s="12">
        <f t="shared" si="17"/>
        <v>0</v>
      </c>
      <c r="V99" s="12">
        <f>Table14[[#This Row],[Enrolment S.Y. 2025-2026 ]]*8</f>
        <v>2712</v>
      </c>
      <c r="W99" s="12"/>
      <c r="X99" s="10"/>
      <c r="Y99" s="12"/>
      <c r="Z99" s="12">
        <f t="shared" si="18"/>
        <v>2712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>
        <v>339</v>
      </c>
      <c r="D100" s="12">
        <f>Table14[[#This Row],[Enrolment S.Y. 2025-2026 ]]*8</f>
        <v>2712</v>
      </c>
      <c r="E100" s="12"/>
      <c r="F100" s="10"/>
      <c r="G100" s="12"/>
      <c r="H100" s="12">
        <f>IF((D100-E100)&lt;0,0,(D100-E100))</f>
        <v>2712</v>
      </c>
      <c r="I100" s="12">
        <f>IF((E100-D100)&lt;0,0,(E100-D100))</f>
        <v>0</v>
      </c>
      <c r="J100" s="12">
        <f>Table14[[#This Row],[Enrolment S.Y. 2025-2026 ]]*8</f>
        <v>2712</v>
      </c>
      <c r="K100" s="12"/>
      <c r="L100" s="10"/>
      <c r="M100" s="12"/>
      <c r="N100" s="12">
        <f t="shared" si="26"/>
        <v>2712</v>
      </c>
      <c r="O100" s="12">
        <f t="shared" si="27"/>
        <v>0</v>
      </c>
      <c r="P100" s="12">
        <f>Table14[[#This Row],[Enrolment S.Y. 2025-2026 ]]*8</f>
        <v>2712</v>
      </c>
      <c r="Q100" s="12">
        <v>624</v>
      </c>
      <c r="R100" s="10">
        <v>2025</v>
      </c>
      <c r="S100" s="12" t="s">
        <v>94</v>
      </c>
      <c r="T100" s="12">
        <f>IF((P100-Q100)&lt;0,0,(P100-Q100))</f>
        <v>2088</v>
      </c>
      <c r="U100" s="12">
        <f>IF((Q100-P100)&lt;0,0,(Q100-P100))</f>
        <v>0</v>
      </c>
      <c r="V100" s="12">
        <f>Table14[[#This Row],[Enrolment S.Y. 2025-2026 ]]*8</f>
        <v>2712</v>
      </c>
      <c r="W100" s="12">
        <v>390</v>
      </c>
      <c r="X100" s="10">
        <v>2025</v>
      </c>
      <c r="Y100" s="12" t="s">
        <v>94</v>
      </c>
      <c r="Z100" s="12">
        <f>IF((V100-W100)&lt;0,0,(V100-W100))</f>
        <v>2322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>
        <v>339</v>
      </c>
      <c r="D101" s="12">
        <f>Table14[[#This Row],[Enrolment S.Y. 2025-2026 ]]*8</f>
        <v>2712</v>
      </c>
      <c r="E101" s="12"/>
      <c r="F101" s="10"/>
      <c r="G101" s="12"/>
      <c r="H101" s="12">
        <f t="shared" si="22"/>
        <v>2712</v>
      </c>
      <c r="I101" s="12">
        <f t="shared" si="23"/>
        <v>0</v>
      </c>
      <c r="J101" s="12">
        <f>Table14[[#This Row],[Enrolment S.Y. 2025-2026 ]]*8</f>
        <v>2712</v>
      </c>
      <c r="K101" s="12"/>
      <c r="L101" s="10"/>
      <c r="M101" s="12"/>
      <c r="N101" s="12">
        <f t="shared" si="26"/>
        <v>2712</v>
      </c>
      <c r="O101" s="12">
        <f t="shared" si="27"/>
        <v>0</v>
      </c>
      <c r="P101" s="12">
        <f>Table14[[#This Row],[Enrolment S.Y. 2025-2026 ]]*8</f>
        <v>2712</v>
      </c>
      <c r="Q101" s="12">
        <v>234</v>
      </c>
      <c r="R101" s="10">
        <v>2025</v>
      </c>
      <c r="S101" s="12" t="s">
        <v>94</v>
      </c>
      <c r="T101" s="12">
        <f t="shared" si="16"/>
        <v>2478</v>
      </c>
      <c r="U101" s="12">
        <f t="shared" si="17"/>
        <v>0</v>
      </c>
      <c r="V101" s="12">
        <f>Table14[[#This Row],[Enrolment S.Y. 2025-2026 ]]*8</f>
        <v>2712</v>
      </c>
      <c r="W101" s="12">
        <v>390</v>
      </c>
      <c r="X101" s="10">
        <v>2025</v>
      </c>
      <c r="Y101" s="12" t="s">
        <v>94</v>
      </c>
      <c r="Z101" s="12">
        <f t="shared" si="18"/>
        <v>2322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426</v>
      </c>
      <c r="D103" s="12">
        <f>Table14[[#This Row],[Enrolment S.Y. 2025-2026 ]]*8</f>
        <v>3408</v>
      </c>
      <c r="E103" s="12">
        <v>696</v>
      </c>
      <c r="F103" s="10">
        <v>2025</v>
      </c>
      <c r="G103" s="12" t="s">
        <v>94</v>
      </c>
      <c r="H103" s="12">
        <f t="shared" si="22"/>
        <v>2712</v>
      </c>
      <c r="I103" s="12">
        <f t="shared" si="23"/>
        <v>0</v>
      </c>
      <c r="J103" s="12">
        <f>Table14[[#This Row],[Enrolment S.Y. 2025-2026 ]]*8</f>
        <v>3408</v>
      </c>
      <c r="K103" s="12">
        <v>592</v>
      </c>
      <c r="L103" s="10">
        <v>2025</v>
      </c>
      <c r="M103" s="12" t="s">
        <v>94</v>
      </c>
      <c r="N103" s="12">
        <f t="shared" si="20"/>
        <v>2816</v>
      </c>
      <c r="O103" s="12">
        <f t="shared" si="21"/>
        <v>0</v>
      </c>
      <c r="P103" s="12">
        <f>Table14[[#This Row],[Enrolment S.Y. 2025-2026 ]]*8</f>
        <v>3408</v>
      </c>
      <c r="Q103" s="12">
        <v>370</v>
      </c>
      <c r="R103" s="10">
        <v>2025</v>
      </c>
      <c r="S103" s="12" t="s">
        <v>94</v>
      </c>
      <c r="T103" s="12">
        <f t="shared" si="16"/>
        <v>3038</v>
      </c>
      <c r="U103" s="12">
        <f t="shared" si="17"/>
        <v>0</v>
      </c>
      <c r="V103" s="12">
        <f>Table14[[#This Row],[Enrolment S.Y. 2025-2026 ]]*8</f>
        <v>3408</v>
      </c>
      <c r="W103" s="12">
        <v>222</v>
      </c>
      <c r="X103" s="10">
        <v>2025</v>
      </c>
      <c r="Y103" s="12" t="s">
        <v>94</v>
      </c>
      <c r="Z103" s="12">
        <f t="shared" si="18"/>
        <v>3186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426</v>
      </c>
      <c r="D104" s="12">
        <f>Table14[[#This Row],[Enrolment S.Y. 2025-2026 ]]*8</f>
        <v>3408</v>
      </c>
      <c r="E104" s="12">
        <v>609</v>
      </c>
      <c r="F104" s="10">
        <v>2025</v>
      </c>
      <c r="G104" s="12" t="s">
        <v>94</v>
      </c>
      <c r="H104" s="12">
        <f t="shared" si="22"/>
        <v>2799</v>
      </c>
      <c r="I104" s="12">
        <f t="shared" si="23"/>
        <v>0</v>
      </c>
      <c r="J104" s="12">
        <f>Table14[[#This Row],[Enrolment S.Y. 2025-2026 ]]*8</f>
        <v>3408</v>
      </c>
      <c r="K104" s="12"/>
      <c r="L104" s="10"/>
      <c r="M104" s="12"/>
      <c r="N104" s="12">
        <f t="shared" si="20"/>
        <v>3408</v>
      </c>
      <c r="O104" s="12">
        <f t="shared" si="21"/>
        <v>0</v>
      </c>
      <c r="P104" s="12">
        <f>Table14[[#This Row],[Enrolment S.Y. 2025-2026 ]]*8</f>
        <v>3408</v>
      </c>
      <c r="Q104" s="12">
        <v>518</v>
      </c>
      <c r="R104" s="10">
        <v>2025</v>
      </c>
      <c r="S104" s="12" t="s">
        <v>94</v>
      </c>
      <c r="T104" s="12">
        <f t="shared" si="16"/>
        <v>2890</v>
      </c>
      <c r="U104" s="12">
        <f t="shared" si="17"/>
        <v>0</v>
      </c>
      <c r="V104" s="12">
        <f>Table14[[#This Row],[Enrolment S.Y. 2025-2026 ]]*8</f>
        <v>3408</v>
      </c>
      <c r="W104" s="12">
        <v>518</v>
      </c>
      <c r="X104" s="10">
        <v>2025</v>
      </c>
      <c r="Y104" s="12" t="s">
        <v>94</v>
      </c>
      <c r="Z104" s="12">
        <f t="shared" si="18"/>
        <v>2890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426</v>
      </c>
      <c r="D105" s="12">
        <f>Table14[[#This Row],[Enrolment S.Y. 2025-2026 ]]*8</f>
        <v>3408</v>
      </c>
      <c r="E105" s="12">
        <v>870</v>
      </c>
      <c r="F105" s="10">
        <v>2025</v>
      </c>
      <c r="G105" s="12" t="s">
        <v>94</v>
      </c>
      <c r="H105" s="12">
        <f t="shared" si="22"/>
        <v>2538</v>
      </c>
      <c r="I105" s="12">
        <f t="shared" si="23"/>
        <v>0</v>
      </c>
      <c r="J105" s="12">
        <f>Table14[[#This Row],[Enrolment S.Y. 2025-2026 ]]*8</f>
        <v>3408</v>
      </c>
      <c r="K105" s="12">
        <v>666</v>
      </c>
      <c r="L105" s="10">
        <v>2025</v>
      </c>
      <c r="M105" s="12" t="s">
        <v>94</v>
      </c>
      <c r="N105" s="12">
        <f t="shared" si="20"/>
        <v>2742</v>
      </c>
      <c r="O105" s="12">
        <f t="shared" si="21"/>
        <v>0</v>
      </c>
      <c r="P105" s="12">
        <f>Table14[[#This Row],[Enrolment S.Y. 2025-2026 ]]*8</f>
        <v>3408</v>
      </c>
      <c r="Q105" s="12">
        <v>148</v>
      </c>
      <c r="R105" s="10">
        <v>2025</v>
      </c>
      <c r="S105" s="12" t="s">
        <v>94</v>
      </c>
      <c r="T105" s="12">
        <f t="shared" si="16"/>
        <v>3260</v>
      </c>
      <c r="U105" s="12">
        <f t="shared" si="17"/>
        <v>0</v>
      </c>
      <c r="V105" s="12">
        <f>Table14[[#This Row],[Enrolment S.Y. 2025-2026 ]]*8</f>
        <v>3408</v>
      </c>
      <c r="W105" s="12">
        <v>296</v>
      </c>
      <c r="X105" s="10">
        <v>2025</v>
      </c>
      <c r="Y105" s="12" t="s">
        <v>94</v>
      </c>
      <c r="Z105" s="12">
        <f t="shared" si="18"/>
        <v>3112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426</v>
      </c>
      <c r="D106" s="12">
        <f>Table14[[#This Row],[Enrolment S.Y. 2025-2026 ]]*8</f>
        <v>3408</v>
      </c>
      <c r="E106" s="12"/>
      <c r="F106" s="10"/>
      <c r="G106" s="12"/>
      <c r="H106" s="12">
        <f t="shared" si="22"/>
        <v>3408</v>
      </c>
      <c r="I106" s="12">
        <f t="shared" si="23"/>
        <v>0</v>
      </c>
      <c r="J106" s="12">
        <f>Table14[[#This Row],[Enrolment S.Y. 2025-2026 ]]*8</f>
        <v>3408</v>
      </c>
      <c r="K106" s="12"/>
      <c r="L106" s="10"/>
      <c r="M106" s="12"/>
      <c r="N106" s="12">
        <f t="shared" si="20"/>
        <v>3408</v>
      </c>
      <c r="O106" s="12">
        <f t="shared" si="21"/>
        <v>0</v>
      </c>
      <c r="P106" s="12">
        <f>Table14[[#This Row],[Enrolment S.Y. 2025-2026 ]]*8</f>
        <v>3408</v>
      </c>
      <c r="Q106" s="12">
        <v>592</v>
      </c>
      <c r="R106" s="10">
        <v>2025</v>
      </c>
      <c r="S106" s="12" t="s">
        <v>94</v>
      </c>
      <c r="T106" s="12">
        <f t="shared" si="16"/>
        <v>2816</v>
      </c>
      <c r="U106" s="12">
        <f t="shared" si="17"/>
        <v>0</v>
      </c>
      <c r="V106" s="12">
        <f>Table14[[#This Row],[Enrolment S.Y. 2025-2026 ]]*8</f>
        <v>3408</v>
      </c>
      <c r="W106" s="12">
        <v>624</v>
      </c>
      <c r="X106" s="10">
        <v>2025</v>
      </c>
      <c r="Y106" s="12" t="s">
        <v>94</v>
      </c>
      <c r="Z106" s="12">
        <f t="shared" si="18"/>
        <v>2784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426</v>
      </c>
      <c r="D107" s="12">
        <f>Table14[[#This Row],[Enrolment S.Y. 2025-2026 ]]*8</f>
        <v>3408</v>
      </c>
      <c r="E107" s="12"/>
      <c r="F107" s="10"/>
      <c r="G107" s="12"/>
      <c r="H107" s="12">
        <f t="shared" si="22"/>
        <v>3408</v>
      </c>
      <c r="I107" s="12">
        <f t="shared" si="23"/>
        <v>0</v>
      </c>
      <c r="J107" s="12">
        <f>Table14[[#This Row],[Enrolment S.Y. 2025-2026 ]]*8</f>
        <v>3408</v>
      </c>
      <c r="K107" s="12"/>
      <c r="L107" s="10"/>
      <c r="M107" s="12"/>
      <c r="N107" s="12">
        <f t="shared" si="20"/>
        <v>3408</v>
      </c>
      <c r="O107" s="12">
        <f t="shared" si="21"/>
        <v>0</v>
      </c>
      <c r="P107" s="12">
        <f>Table14[[#This Row],[Enrolment S.Y. 2025-2026 ]]*8</f>
        <v>3408</v>
      </c>
      <c r="Q107" s="12">
        <v>296</v>
      </c>
      <c r="R107" s="10">
        <v>2025</v>
      </c>
      <c r="S107" s="12" t="s">
        <v>94</v>
      </c>
      <c r="T107" s="12">
        <f t="shared" si="16"/>
        <v>3112</v>
      </c>
      <c r="U107" s="12">
        <f t="shared" si="17"/>
        <v>0</v>
      </c>
      <c r="V107" s="12">
        <f>Table14[[#This Row],[Enrolment S.Y. 2025-2026 ]]*8</f>
        <v>3408</v>
      </c>
      <c r="W107" s="12">
        <v>296</v>
      </c>
      <c r="X107" s="10">
        <v>2025</v>
      </c>
      <c r="Y107" s="12" t="s">
        <v>94</v>
      </c>
      <c r="Z107" s="12">
        <f t="shared" si="18"/>
        <v>3112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426</v>
      </c>
      <c r="D108" s="12">
        <f>Table14[[#This Row],[Enrolment S.Y. 2025-2026 ]]*8</f>
        <v>3408</v>
      </c>
      <c r="E108" s="12"/>
      <c r="F108" s="10"/>
      <c r="G108" s="12"/>
      <c r="H108" s="12">
        <f t="shared" si="22"/>
        <v>3408</v>
      </c>
      <c r="I108" s="12">
        <f t="shared" si="23"/>
        <v>0</v>
      </c>
      <c r="J108" s="12">
        <f>Table14[[#This Row],[Enrolment S.Y. 2025-2026 ]]*8</f>
        <v>3408</v>
      </c>
      <c r="K108" s="12"/>
      <c r="L108" s="10"/>
      <c r="M108" s="12"/>
      <c r="N108" s="12">
        <f t="shared" si="20"/>
        <v>3408</v>
      </c>
      <c r="O108" s="12">
        <f t="shared" si="21"/>
        <v>0</v>
      </c>
      <c r="P108" s="12">
        <f>Table14[[#This Row],[Enrolment S.Y. 2025-2026 ]]*8</f>
        <v>3408</v>
      </c>
      <c r="Q108" s="12">
        <v>518</v>
      </c>
      <c r="R108" s="10">
        <v>2025</v>
      </c>
      <c r="S108" s="12" t="s">
        <v>94</v>
      </c>
      <c r="T108" s="12">
        <f t="shared" si="16"/>
        <v>2890</v>
      </c>
      <c r="U108" s="12">
        <f t="shared" si="17"/>
        <v>0</v>
      </c>
      <c r="V108" s="12">
        <f>Table14[[#This Row],[Enrolment S.Y. 2025-2026 ]]*8</f>
        <v>3408</v>
      </c>
      <c r="W108" s="12">
        <v>444</v>
      </c>
      <c r="X108" s="10">
        <v>2025</v>
      </c>
      <c r="Y108" s="12" t="s">
        <v>94</v>
      </c>
      <c r="Z108" s="12">
        <f t="shared" si="18"/>
        <v>2964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>
        <v>426</v>
      </c>
      <c r="D109" s="12">
        <f>Table14[[#This Row],[Enrolment S.Y. 2025-2026 ]]*8</f>
        <v>3408</v>
      </c>
      <c r="E109" s="12"/>
      <c r="F109" s="10"/>
      <c r="G109" s="12"/>
      <c r="H109" s="12">
        <f>IF((D109-E109)&lt;0,0,(D109-E109))</f>
        <v>3408</v>
      </c>
      <c r="I109" s="12">
        <f>IF((E109-D109)&lt;0,0,(E109-D109))</f>
        <v>0</v>
      </c>
      <c r="J109" s="12">
        <f>Table14[[#This Row],[Enrolment S.Y. 2025-2026 ]]*8</f>
        <v>3408</v>
      </c>
      <c r="K109" s="12"/>
      <c r="L109" s="10"/>
      <c r="M109" s="12"/>
      <c r="N109" s="12">
        <f t="shared" ref="N109:N113" si="28">IF((J109-K109)&lt;0,0,(J109-K109))</f>
        <v>3408</v>
      </c>
      <c r="O109" s="12">
        <f t="shared" ref="O109:O113" si="29">IF((K109-J109)&lt;0,0,(K109-J109))</f>
        <v>0</v>
      </c>
      <c r="P109" s="12">
        <f>Table14[[#This Row],[Enrolment S.Y. 2025-2026 ]]*8</f>
        <v>3408</v>
      </c>
      <c r="Q109" s="12"/>
      <c r="R109" s="10"/>
      <c r="S109" s="12"/>
      <c r="T109" s="12">
        <f>IF((P109-Q109)&lt;0,0,(P109-Q109))</f>
        <v>3408</v>
      </c>
      <c r="U109" s="12">
        <f>IF((Q109-P109)&lt;0,0,(Q109-P109))</f>
        <v>0</v>
      </c>
      <c r="V109" s="12">
        <f>Table14[[#This Row],[Enrolment S.Y. 2025-2026 ]]*8</f>
        <v>3408</v>
      </c>
      <c r="W109" s="12">
        <v>148</v>
      </c>
      <c r="X109" s="10">
        <v>2025</v>
      </c>
      <c r="Y109" s="12" t="s">
        <v>94</v>
      </c>
      <c r="Z109" s="12">
        <f>IF((V109-W109)&lt;0,0,(V109-W109))</f>
        <v>3260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>
        <v>426</v>
      </c>
      <c r="D110" s="12">
        <f>Table14[[#This Row],[Enrolment S.Y. 2025-2026 ]]*8</f>
        <v>3408</v>
      </c>
      <c r="E110" s="12"/>
      <c r="F110" s="10"/>
      <c r="G110" s="12"/>
      <c r="H110" s="12">
        <f t="shared" si="22"/>
        <v>3408</v>
      </c>
      <c r="I110" s="12">
        <f t="shared" si="23"/>
        <v>0</v>
      </c>
      <c r="J110" s="12">
        <f>Table14[[#This Row],[Enrolment S.Y. 2025-2026 ]]*8</f>
        <v>3408</v>
      </c>
      <c r="K110" s="12"/>
      <c r="L110" s="10"/>
      <c r="M110" s="12"/>
      <c r="N110" s="12">
        <f t="shared" si="28"/>
        <v>3408</v>
      </c>
      <c r="O110" s="12">
        <f t="shared" si="29"/>
        <v>0</v>
      </c>
      <c r="P110" s="12">
        <f>Table14[[#This Row],[Enrolment S.Y. 2025-2026 ]]*8</f>
        <v>3408</v>
      </c>
      <c r="Q110" s="12">
        <v>222</v>
      </c>
      <c r="R110" s="10">
        <v>2025</v>
      </c>
      <c r="S110" s="12" t="s">
        <v>94</v>
      </c>
      <c r="T110" s="12">
        <f t="shared" si="16"/>
        <v>3186</v>
      </c>
      <c r="U110" s="12">
        <f t="shared" si="17"/>
        <v>0</v>
      </c>
      <c r="V110" s="12">
        <f>Table14[[#This Row],[Enrolment S.Y. 2025-2026 ]]*8</f>
        <v>3408</v>
      </c>
      <c r="W110" s="12">
        <v>296</v>
      </c>
      <c r="X110" s="10">
        <v>2025</v>
      </c>
      <c r="Y110" s="12" t="s">
        <v>94</v>
      </c>
      <c r="Z110" s="12">
        <f t="shared" si="18"/>
        <v>3112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426</v>
      </c>
      <c r="D111" s="12">
        <f>Table14[[#This Row],[Enrolment S.Y. 2025-2026 ]]*8</f>
        <v>3408</v>
      </c>
      <c r="E111" s="12"/>
      <c r="F111" s="10"/>
      <c r="G111" s="12"/>
      <c r="H111" s="12">
        <f t="shared" si="22"/>
        <v>3408</v>
      </c>
      <c r="I111" s="12">
        <f t="shared" si="23"/>
        <v>0</v>
      </c>
      <c r="J111" s="12">
        <f>Table14[[#This Row],[Enrolment S.Y. 2025-2026 ]]*8</f>
        <v>3408</v>
      </c>
      <c r="K111" s="12"/>
      <c r="L111" s="10"/>
      <c r="M111" s="12"/>
      <c r="N111" s="12">
        <f t="shared" si="28"/>
        <v>3408</v>
      </c>
      <c r="O111" s="12">
        <f t="shared" si="29"/>
        <v>0</v>
      </c>
      <c r="P111" s="12">
        <f>Table14[[#This Row],[Enrolment S.Y. 2025-2026 ]]*8</f>
        <v>3408</v>
      </c>
      <c r="Q111" s="12"/>
      <c r="R111" s="10"/>
      <c r="S111" s="12"/>
      <c r="T111" s="12">
        <f t="shared" si="16"/>
        <v>3408</v>
      </c>
      <c r="U111" s="12">
        <f t="shared" si="17"/>
        <v>0</v>
      </c>
      <c r="V111" s="12">
        <f>Table14[[#This Row],[Enrolment S.Y. 2025-2026 ]]*8</f>
        <v>3408</v>
      </c>
      <c r="W111" s="12">
        <v>296</v>
      </c>
      <c r="X111" s="10">
        <v>2025</v>
      </c>
      <c r="Y111" s="12" t="s">
        <v>94</v>
      </c>
      <c r="Z111" s="12">
        <f t="shared" si="18"/>
        <v>3112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>
        <v>426</v>
      </c>
      <c r="D112" s="12">
        <f>Table14[[#This Row],[Enrolment S.Y. 2025-2026 ]]*8</f>
        <v>3408</v>
      </c>
      <c r="E112" s="12"/>
      <c r="F112" s="10"/>
      <c r="G112" s="12"/>
      <c r="H112" s="12">
        <f>IF((D112-E112)&lt;0,0,(D112-E112))</f>
        <v>3408</v>
      </c>
      <c r="I112" s="12">
        <f>IF((E112-D112)&lt;0,0,(E112-D112))</f>
        <v>0</v>
      </c>
      <c r="J112" s="12">
        <f>Table14[[#This Row],[Enrolment S.Y. 2025-2026 ]]*8</f>
        <v>3408</v>
      </c>
      <c r="K112" s="12"/>
      <c r="L112" s="10"/>
      <c r="M112" s="12"/>
      <c r="N112" s="12">
        <f t="shared" si="28"/>
        <v>3408</v>
      </c>
      <c r="O112" s="12">
        <f t="shared" si="29"/>
        <v>0</v>
      </c>
      <c r="P112" s="12">
        <f>Table14[[#This Row],[Enrolment S.Y. 2025-2026 ]]*8</f>
        <v>3408</v>
      </c>
      <c r="Q112" s="12">
        <v>148</v>
      </c>
      <c r="R112" s="10">
        <v>2025</v>
      </c>
      <c r="S112" s="12" t="s">
        <v>94</v>
      </c>
      <c r="T112" s="12">
        <f>IF((P112-Q112)&lt;0,0,(P112-Q112))</f>
        <v>3260</v>
      </c>
      <c r="U112" s="12">
        <f>IF((Q112-P112)&lt;0,0,(Q112-P112))</f>
        <v>0</v>
      </c>
      <c r="V112" s="12">
        <f>Table14[[#This Row],[Enrolment S.Y. 2025-2026 ]]*8</f>
        <v>3408</v>
      </c>
      <c r="W112" s="12">
        <v>74</v>
      </c>
      <c r="X112" s="10">
        <v>2025</v>
      </c>
      <c r="Y112" s="12" t="s">
        <v>94</v>
      </c>
      <c r="Z112" s="12">
        <f>IF((V112-W112)&lt;0,0,(V112-W112))</f>
        <v>3334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>
        <v>426</v>
      </c>
      <c r="D113" s="12">
        <f>Table14[[#This Row],[Enrolment S.Y. 2025-2026 ]]*8</f>
        <v>3408</v>
      </c>
      <c r="E113" s="12"/>
      <c r="F113" s="10"/>
      <c r="G113" s="12"/>
      <c r="H113" s="12">
        <f t="shared" si="22"/>
        <v>3408</v>
      </c>
      <c r="I113" s="12">
        <f t="shared" si="23"/>
        <v>0</v>
      </c>
      <c r="J113" s="12">
        <f>Table14[[#This Row],[Enrolment S.Y. 2025-2026 ]]*8</f>
        <v>3408</v>
      </c>
      <c r="K113" s="12"/>
      <c r="L113" s="10"/>
      <c r="M113" s="12"/>
      <c r="N113" s="12">
        <f t="shared" si="28"/>
        <v>3408</v>
      </c>
      <c r="O113" s="12">
        <f t="shared" si="29"/>
        <v>0</v>
      </c>
      <c r="P113" s="12">
        <f>Table14[[#This Row],[Enrolment S.Y. 2025-2026 ]]*8</f>
        <v>3408</v>
      </c>
      <c r="Q113" s="12">
        <v>148</v>
      </c>
      <c r="R113" s="10">
        <v>2025</v>
      </c>
      <c r="S113" s="12" t="s">
        <v>94</v>
      </c>
      <c r="T113" s="12">
        <f t="shared" si="16"/>
        <v>3260</v>
      </c>
      <c r="U113" s="12">
        <f t="shared" si="17"/>
        <v>0</v>
      </c>
      <c r="V113" s="12">
        <f>Table14[[#This Row],[Enrolment S.Y. 2025-2026 ]]*8</f>
        <v>3408</v>
      </c>
      <c r="W113" s="12">
        <v>222</v>
      </c>
      <c r="X113" s="10">
        <v>2025</v>
      </c>
      <c r="Y113" s="12" t="s">
        <v>94</v>
      </c>
      <c r="Z113" s="12">
        <f t="shared" si="18"/>
        <v>3186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 customHeight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60.75" customHeight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N115:R122 T115:X122 Z115:AA122 H115:L122 D103:F113 N31:R41 N43:R53 N55:R65 N67:R77 N79:R89 H103:L113 T103:X113 T91:X101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115:Y122 G115:G122 M115:M122 S115:S122 G91:G101 M91:M101 S91:S101 Y91:Y101 Y103:Y113 S103:S113 M103:M113 G103:G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G91:G101 S91:S101 Y103:Y113 M103:M113 M115:M122 S103:S113 M91:M101 Y91:Y101 G103:G113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Jerwin Cinco</cp:lastModifiedBy>
  <cp:revision/>
  <dcterms:created xsi:type="dcterms:W3CDTF">2025-11-19T20:48:15Z</dcterms:created>
  <dcterms:modified xsi:type="dcterms:W3CDTF">2026-03-27T02:12:43Z</dcterms:modified>
  <cp:category/>
  <cp:contentStatus/>
</cp:coreProperties>
</file>