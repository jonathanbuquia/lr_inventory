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8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93" documentId="13_ncr:1_{BFB59F67-F0DC-4675-A682-EB0734A8026A}" xr6:coauthVersionLast="47" xr6:coauthVersionMax="47" xr10:uidLastSave="{572D96CE-E04D-4131-BDE8-D7A6BB474219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56" i="5" l="1"/>
  <c r="W55" i="5"/>
  <c r="W65" i="5"/>
  <c r="W60" i="5"/>
  <c r="W57" i="5"/>
  <c r="W61" i="5"/>
  <c r="W59" i="5"/>
  <c r="W62" i="5"/>
  <c r="W64" i="5"/>
  <c r="Q62" i="5"/>
  <c r="Q59" i="5"/>
  <c r="Q58" i="5"/>
  <c r="Q55" i="5"/>
  <c r="Q57" i="5"/>
  <c r="Q60" i="5"/>
  <c r="Q61" i="5"/>
  <c r="Q64" i="5"/>
  <c r="Q56" i="5"/>
  <c r="Q65" i="5"/>
  <c r="K55" i="5"/>
  <c r="K57" i="5"/>
  <c r="K56" i="5"/>
  <c r="E57" i="5"/>
  <c r="E56" i="5"/>
  <c r="E55" i="5"/>
  <c r="P109" i="5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<sst xmlns="http://schemas.openxmlformats.org/spreadsheetml/2006/main" count="423" uniqueCount="92">
  <si>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</si>
  <si>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</si>
  <si>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</si>
  <si>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</si>
  <si>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</si>
  <si>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</si>
  <si>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</si>
  <si>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</si>
  <si>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</si>
  <si>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</si>
  <si>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</si>
  <si>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</si>
  <si>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</si>
  <si>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</si>
  <si>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</si>
  <si>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</si>
  <si>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</si>
  <si>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</si>
  <si>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</si>
  <si>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</si>
  <si>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CO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</si>
  <si>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</si>
  <si>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</si>
  <si>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</si>
  <si>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</si>
  <si>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</si>
  <si>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</si>
  <si>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</si>
  <si>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</si>
  <si>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</si>
  <si>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</si>
  <si>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</si>
  <si>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</si>
  <si>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</si>
  <si>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</si>
  <si>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</si>
  <si>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</si>
  <si>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</si>
  <si>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</si>
  <si>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</si>
  <si>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</si>
  <si>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</si>
  <si>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</si>
  <si>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</si>
  <si>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</si>
  <si>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</si>
  <si>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</si>
  <si>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</si>
  <si>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</si>
  <si>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</si>
  <si>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</si>
  <si>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</si>
  <si>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</si>
  <si>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</si>
  <si>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</si>
  <si>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</si>
  <si>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</si>
  <si>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</si>
  <si>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</si>
  <si>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</si>
  <si>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</si>
  <si>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</si>
  <si>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</si>
  <si>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>RO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</si>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</sst>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  <font>
      <sz val="12"/>
      <color theme="1"/>
      <name val="Bookman Old Style"/>
      <family val="1"/>
    </font>
    <font>
      <sz val="14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15" fillId="7" borderId="1" xfId="0" applyFont="1" applyFill="1" applyBorder="1" applyAlignment="1">
      <alignment horizontal="left" vertical="center"/>
    </xf>
    <xf numFmtId="0" fontId="16" fillId="7" borderId="1" xfId="0" applyFont="1" applyFill="1" applyBorder="1" applyAlignment="1">
      <alignment vertical="center" wrapText="1"/>
    </xf>
    <xf numFmtId="0" fontId="16" fillId="9" borderId="1" xfId="0" applyFont="1" applyFill="1" applyBorder="1" applyAlignment="1">
      <alignment vertical="center" wrapText="1"/>
    </xf>
    <xf numFmtId="0" fontId="16" fillId="7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98"/>
  <sheetViews>
    <sheetView zoomScale="85" zoomScaleNormal="85" workbookViewId="0">
      <pane xSplit="2" topLeftCell="C22" activePane="topRight" state="frozen"/>
      <selection pane="topRight" activeCell="F35" sqref="F35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>
        <v>248</v>
      </c>
      <c r="D31" s="1">
        <v>276</v>
      </c>
      <c r="E31" s="1"/>
      <c r="F31" s="5" t="s">
        <v>20</v>
      </c>
      <c r="G31" s="3">
        <f t="shared" ref="G31:G39" si="6">IF((C31-D31)&lt;0,0,C31-D31)</f>
        <v>0</v>
      </c>
      <c r="H31" s="4">
        <f t="shared" ref="H31:H39" si="7">IF((D31-C31)&lt;0,0,D31-C31)</f>
        <v>28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>
        <v>248</v>
      </c>
      <c r="D35" s="1">
        <v>248</v>
      </c>
      <c r="E35" s="1">
        <v>2025</v>
      </c>
      <c r="F35" s="5" t="s">
        <v>20</v>
      </c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>
        <v>248</v>
      </c>
      <c r="D36" s="1">
        <v>276</v>
      </c>
      <c r="E36" s="1"/>
      <c r="F36" s="5" t="s">
        <v>20</v>
      </c>
      <c r="G36" s="3">
        <f t="shared" si="6"/>
        <v>0</v>
      </c>
      <c r="H36" s="4">
        <f t="shared" si="7"/>
        <v>28</v>
      </c>
    </row>
    <row r="37" spans="1:8" ht="27.75" customHeight="1">
      <c r="A37" s="1">
        <v>5</v>
      </c>
      <c r="B37" s="9" t="s">
        <v>17</v>
      </c>
      <c r="C37" s="1">
        <v>248</v>
      </c>
      <c r="D37" s="1">
        <v>276</v>
      </c>
      <c r="E37" s="1"/>
      <c r="F37" s="5" t="s">
        <v>20</v>
      </c>
      <c r="G37" s="3">
        <f t="shared" si="6"/>
        <v>0</v>
      </c>
      <c r="H37" s="4">
        <f t="shared" si="7"/>
        <v>28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pageSetup paperSize="6" fitToHeight="0"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sheetPr>
    <pageSetUpPr fitToPage="1"/>
  </sheetPr>
  <dimension ref="A1:AA157"/>
  <sheetViews>
    <sheetView zoomScale="70" zoomScaleNormal="70" workbookViewId="0">
      <pane xSplit="2" ySplit="2" topLeftCell="T3" activePane="bottomRight" state="frozen"/>
      <selection pane="bottomRight" activeCell="W6" sqref="W6"/>
      <selection pane="bottomLeft"/>
      <selection pane="topRight"/>
    </sheetView>
  </sheetViews>
  <sheetFormatPr defaultRowHeight="13.9"/>
  <cols>
    <col min="1" max="1" width="9.42578125" customWidth="1"/>
    <col min="2" max="2" width="24.140625" customWidth="1"/>
    <col min="3" max="4" width="11.140625" customWidth="1"/>
    <col min="5" max="5" width="19.85546875" customWidth="1"/>
    <col min="6" max="10" width="11.140625" customWidth="1"/>
    <col min="11" max="11" width="19.42578125" customWidth="1"/>
    <col min="12" max="16" width="10.42578125" customWidth="1"/>
    <col min="17" max="17" width="21" customWidth="1"/>
    <col min="18" max="22" width="10.140625" customWidth="1"/>
    <col min="23" max="23" width="19.7109375" customWidth="1"/>
    <col min="24" max="27" width="9.710937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6.75">
      <c r="A5" s="1">
        <v>1</v>
      </c>
      <c r="B5" s="49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62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6.75">
      <c r="A14" s="1">
        <v>2</v>
      </c>
      <c r="B14" s="49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5">
      <c r="A17" s="1">
        <v>2</v>
      </c>
      <c r="B17" s="2" t="s">
        <v>11</v>
      </c>
      <c r="C17" s="1">
        <v>265</v>
      </c>
      <c r="D17" s="5">
        <f>Table1[[#This Row],[Enrolment S.Y. 2025-2026 ]]*8</f>
        <v>2120</v>
      </c>
      <c r="E17" s="5"/>
      <c r="F17" s="1"/>
      <c r="G17" s="5"/>
      <c r="H17" s="5">
        <f t="shared" si="2"/>
        <v>2120</v>
      </c>
      <c r="I17" s="5">
        <f t="shared" si="3"/>
        <v>0</v>
      </c>
      <c r="J17" s="5">
        <f>Table1[[#This Row],[Enrolment S.Y. 2025-2026 ]]*8</f>
        <v>2120</v>
      </c>
      <c r="K17" s="5">
        <v>261</v>
      </c>
      <c r="L17" s="1">
        <v>2025</v>
      </c>
      <c r="M17" s="5" t="s">
        <v>63</v>
      </c>
      <c r="N17" s="5">
        <f t="shared" si="10"/>
        <v>1859</v>
      </c>
      <c r="O17" s="5">
        <f t="shared" si="11"/>
        <v>0</v>
      </c>
      <c r="P17" s="5">
        <f>Table1[[#This Row],[Enrolment S.Y. 2025-2026 ]]*8</f>
        <v>2120</v>
      </c>
      <c r="Q17" s="5"/>
      <c r="R17" s="1"/>
      <c r="S17" s="5"/>
      <c r="T17" s="5">
        <f t="shared" si="12"/>
        <v>2120</v>
      </c>
      <c r="U17" s="5">
        <f t="shared" si="13"/>
        <v>0</v>
      </c>
      <c r="V17" s="5">
        <f>Table1[[#This Row],[Enrolment S.Y. 2025-2026 ]]*8</f>
        <v>2120</v>
      </c>
      <c r="W17" s="5"/>
      <c r="X17" s="1"/>
      <c r="Y17" s="5"/>
      <c r="Z17" s="5">
        <f t="shared" si="14"/>
        <v>2120</v>
      </c>
      <c r="AA17" s="5">
        <f t="shared" si="15"/>
        <v>0</v>
      </c>
    </row>
    <row r="18" spans="1:27" ht="19.5">
      <c r="A18" s="1">
        <v>2</v>
      </c>
      <c r="B18" s="2" t="s">
        <v>12</v>
      </c>
      <c r="C18" s="1">
        <v>265</v>
      </c>
      <c r="D18" s="5">
        <f>Table1[[#This Row],[Enrolment S.Y. 2025-2026 ]]*8</f>
        <v>2120</v>
      </c>
      <c r="E18" s="5"/>
      <c r="F18" s="1"/>
      <c r="G18" s="5"/>
      <c r="H18" s="5">
        <f t="shared" si="2"/>
        <v>2120</v>
      </c>
      <c r="I18" s="5">
        <f t="shared" si="3"/>
        <v>0</v>
      </c>
      <c r="J18" s="5">
        <f>Table1[[#This Row],[Enrolment S.Y. 2025-2026 ]]*8</f>
        <v>2120</v>
      </c>
      <c r="K18" s="5">
        <v>249</v>
      </c>
      <c r="L18" s="1">
        <v>2025</v>
      </c>
      <c r="M18" s="5" t="s">
        <v>63</v>
      </c>
      <c r="N18" s="5">
        <f t="shared" si="10"/>
        <v>1871</v>
      </c>
      <c r="O18" s="5">
        <f t="shared" si="11"/>
        <v>0</v>
      </c>
      <c r="P18" s="5">
        <f>Table1[[#This Row],[Enrolment S.Y. 2025-2026 ]]*8</f>
        <v>2120</v>
      </c>
      <c r="Q18" s="5"/>
      <c r="R18" s="1"/>
      <c r="S18" s="5"/>
      <c r="T18" s="5">
        <f t="shared" si="12"/>
        <v>2120</v>
      </c>
      <c r="U18" s="5">
        <f t="shared" si="13"/>
        <v>0</v>
      </c>
      <c r="V18" s="5">
        <f>Table1[[#This Row],[Enrolment S.Y. 2025-2026 ]]*8</f>
        <v>2120</v>
      </c>
      <c r="W18" s="5"/>
      <c r="X18" s="1"/>
      <c r="Y18" s="5"/>
      <c r="Z18" s="5">
        <f t="shared" si="14"/>
        <v>2120</v>
      </c>
      <c r="AA18" s="5">
        <f t="shared" si="15"/>
        <v>0</v>
      </c>
    </row>
    <row r="19" spans="1:27" ht="19.5">
      <c r="A19" s="1">
        <v>2</v>
      </c>
      <c r="B19" s="9" t="s">
        <v>15</v>
      </c>
      <c r="C19" s="1">
        <v>265</v>
      </c>
      <c r="D19" s="5">
        <f>Table1[[#This Row],[Enrolment S.Y. 2025-2026 ]]*8</f>
        <v>2120</v>
      </c>
      <c r="E19" s="5"/>
      <c r="F19" s="1"/>
      <c r="G19" s="5"/>
      <c r="H19" s="5">
        <f>IF((D19-E19)&lt;0,0,(D19-E19))</f>
        <v>2120</v>
      </c>
      <c r="I19" s="5">
        <f>IF((E19-D19)&lt;0,0,(E19-D19))</f>
        <v>0</v>
      </c>
      <c r="J19" s="5">
        <f>Table1[[#This Row],[Enrolment S.Y. 2025-2026 ]]*8</f>
        <v>2120</v>
      </c>
      <c r="K19" s="5">
        <v>261</v>
      </c>
      <c r="L19" s="1">
        <v>2025</v>
      </c>
      <c r="M19" s="5" t="s">
        <v>63</v>
      </c>
      <c r="N19" s="5">
        <f t="shared" si="10"/>
        <v>1859</v>
      </c>
      <c r="O19" s="5">
        <f t="shared" si="11"/>
        <v>0</v>
      </c>
      <c r="P19" s="5">
        <f>Table1[[#This Row],[Enrolment S.Y. 2025-2026 ]]*8</f>
        <v>2120</v>
      </c>
      <c r="Q19" s="5"/>
      <c r="R19" s="1"/>
      <c r="S19" s="5"/>
      <c r="T19" s="5">
        <f t="shared" si="12"/>
        <v>2120</v>
      </c>
      <c r="U19" s="5">
        <f t="shared" si="13"/>
        <v>0</v>
      </c>
      <c r="V19" s="5">
        <f>Table1[[#This Row],[Enrolment S.Y. 2025-2026 ]]*8</f>
        <v>2120</v>
      </c>
      <c r="W19" s="5"/>
      <c r="X19" s="1"/>
      <c r="Y19" s="5"/>
      <c r="Z19" s="5">
        <f t="shared" si="14"/>
        <v>2120</v>
      </c>
      <c r="AA19" s="5">
        <f t="shared" si="15"/>
        <v>0</v>
      </c>
    </row>
    <row r="20" spans="1:27" ht="19.5">
      <c r="A20" s="1">
        <v>2</v>
      </c>
      <c r="B20" s="9" t="s">
        <v>14</v>
      </c>
      <c r="C20" s="1">
        <v>265</v>
      </c>
      <c r="D20" s="5">
        <f>Table1[[#This Row],[Enrolment S.Y. 2025-2026 ]]*8</f>
        <v>2120</v>
      </c>
      <c r="E20" s="5"/>
      <c r="F20" s="1"/>
      <c r="G20" s="5"/>
      <c r="H20" s="5">
        <f>IF((D20-E20)&lt;0,0,(D20-E20))</f>
        <v>2120</v>
      </c>
      <c r="I20" s="5">
        <f>IF((E20-D20)&lt;0,0,(E20-D20))</f>
        <v>0</v>
      </c>
      <c r="J20" s="5">
        <f>Table1[[#This Row],[Enrolment S.Y. 2025-2026 ]]*8</f>
        <v>2120</v>
      </c>
      <c r="K20" s="5">
        <v>249</v>
      </c>
      <c r="L20" s="1">
        <v>2025</v>
      </c>
      <c r="M20" s="5" t="s">
        <v>63</v>
      </c>
      <c r="N20" s="5">
        <f t="shared" si="10"/>
        <v>1871</v>
      </c>
      <c r="O20" s="5">
        <f t="shared" si="11"/>
        <v>0</v>
      </c>
      <c r="P20" s="5">
        <f>Table1[[#This Row],[Enrolment S.Y. 2025-2026 ]]*8</f>
        <v>2120</v>
      </c>
      <c r="Q20" s="5"/>
      <c r="R20" s="1"/>
      <c r="S20" s="5"/>
      <c r="T20" s="5">
        <f t="shared" si="12"/>
        <v>2120</v>
      </c>
      <c r="U20" s="5">
        <f t="shared" si="13"/>
        <v>0</v>
      </c>
      <c r="V20" s="5">
        <f>Table1[[#This Row],[Enrolment S.Y. 2025-2026 ]]*8</f>
        <v>2120</v>
      </c>
      <c r="W20" s="5"/>
      <c r="X20" s="1"/>
      <c r="Y20" s="5"/>
      <c r="Z20" s="5">
        <f t="shared" si="14"/>
        <v>2120</v>
      </c>
      <c r="AA20" s="5">
        <f t="shared" si="15"/>
        <v>0</v>
      </c>
    </row>
    <row r="21" spans="1:27" ht="19.149999999999999">
      <c r="A21" s="1">
        <v>2</v>
      </c>
      <c r="B21" s="9" t="s">
        <v>62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5">
      <c r="A23" s="1">
        <v>3</v>
      </c>
      <c r="B23" s="46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62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36.75">
      <c r="A37" s="1">
        <v>4</v>
      </c>
      <c r="B37" s="47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36.75">
      <c r="A47" s="1">
        <v>5</v>
      </c>
      <c r="B47" s="47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36.75">
      <c r="A57" s="1">
        <v>6</v>
      </c>
      <c r="B57" s="47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36.75">
      <c r="A67" s="10">
        <v>7</v>
      </c>
      <c r="B67" s="48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36.75">
      <c r="A108" s="1" t="s">
        <v>24</v>
      </c>
      <c r="B108" s="47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54.75">
      <c r="A109" s="1" t="s">
        <v>24</v>
      </c>
      <c r="B109" s="47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23:C31 C33:C41 C43:C51 C53:C61 C63:C71 C73:C81 C83:C91 C93:C101 C103:C110 C112:C127 C5:C12 C14:C21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23:L31 Q112:R126 P2:R2 V2:X3 N13:P126 T13:V127 J6:J127 D5:F12 N5:R12 T5:X12 N4:P4 T4:V4 J4 Z4:AA127 N3:R3 Y13 K14:L21" name="LAS"/>
    <protectedRange sqref="G2:I3 M2:O2 S2:U3 Y2:AA3 G112:G127 M112:M127 S112:S127 Y112:Y127 G5:G12 M5:M12 S4:S110 Y5:Y12 G14:G21 M3 Y14:Y110 G23:G31 G33:G41 G43:G51 G53:G61 G63:G71 G73:G81 G83:G91 G93:G101 G103:G110 M14:M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X112:X127 L5:L12 R23:R31 R33:R41 R43:R51 R63:R71 R73:R81 R53:R61 F112:F127 R83:R91 R93:R101 R14:R21 R5:R12 F23:F31 F33:F41 F43:F51 F63:F71 F73:F81 F53:F61 F5:F12 F83:F91 F93:F101 F14:F21 F103:F110 R103:R110 L103:L110 X103:X110 L14:L21" xr:uid="{4ECCD083-8EC4-42EE-B46C-B614411F330D}">
      <formula1>"2024,2025"</formula1>
    </dataValidation>
    <dataValidation type="list" allowBlank="1" showInputMessage="1" showErrorMessage="1" sqref="G103:G110 Y14:Y110 S4:S110 G5:G12 M5:M12 Y5:Y12 G14:G21 G23:G31 G33:G41 G43:G51 G53:G61 G63:G71 G73:G81 G83:G91 G93:G101 M14:M110" xr:uid="{5129D80C-83DF-45BE-B6AD-F21CA596CBA5}">
      <formula1>"CO,RO,SDO,LGU,SCHOOL"</formula1>
    </dataValidation>
  </dataValidations>
  <pageMargins left="0.25" right="0.25" top="0.75" bottom="0.75" header="0.3" footer="0.3"/>
  <pageSetup paperSize="6" fitToHeight="0" orientation="landscape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sheetPr>
    <pageSetUpPr fitToPage="1"/>
  </sheetPr>
  <dimension ref="A1:AB170"/>
  <sheetViews>
    <sheetView tabSelected="1" zoomScale="55" zoomScaleNormal="55" workbookViewId="0">
      <pane xSplit="2" ySplit="2" topLeftCell="C3" activePane="bottomRight" state="frozen"/>
      <selection pane="bottomRight" activeCell="Z4" sqref="Z4"/>
      <selection pane="bottomLeft"/>
      <selection pane="topRight"/>
    </sheetView>
  </sheetViews>
  <sheetFormatPr defaultRowHeight="13.9"/>
  <cols>
    <col min="1" max="1" width="9.42578125" customWidth="1"/>
    <col min="2" max="2" width="23.7109375" customWidth="1"/>
    <col min="3" max="4" width="10.42578125" customWidth="1"/>
    <col min="5" max="5" width="21.28515625" customWidth="1"/>
    <col min="6" max="10" width="12" customWidth="1"/>
    <col min="11" max="11" width="22.140625" customWidth="1"/>
    <col min="12" max="16" width="11.28515625" customWidth="1"/>
    <col min="17" max="17" width="21.28515625" customWidth="1"/>
    <col min="18" max="22" width="11.85546875" customWidth="1"/>
    <col min="23" max="23" width="21.5703125" customWidth="1"/>
    <col min="24" max="24" width="10" customWidth="1"/>
    <col min="25" max="25" width="11.7109375" customWidth="1"/>
    <col min="26" max="27" width="10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0" t="s">
        <v>73</v>
      </c>
      <c r="N2" s="40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1" t="s">
        <v>85</v>
      </c>
      <c r="Z2" s="41" t="s">
        <v>86</v>
      </c>
      <c r="AA2" s="26" t="s">
        <v>87</v>
      </c>
    </row>
    <row r="3" spans="1:27" ht="27" customHeight="1">
      <c r="A3" s="1">
        <v>1</v>
      </c>
      <c r="B3" s="49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62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28.5" customHeight="1">
      <c r="A12" s="1">
        <v>2</v>
      </c>
      <c r="B12" s="49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5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>
        <v>261</v>
      </c>
      <c r="L15" s="1">
        <v>2025</v>
      </c>
      <c r="M15" s="5" t="s">
        <v>63</v>
      </c>
      <c r="N15" s="5">
        <f t="shared" si="2"/>
        <v>0</v>
      </c>
      <c r="O15" s="5">
        <f t="shared" si="3"/>
        <v>261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5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>
        <v>261</v>
      </c>
      <c r="L17" s="1">
        <v>2025</v>
      </c>
      <c r="M17" s="5" t="s">
        <v>63</v>
      </c>
      <c r="N17" s="5">
        <f t="shared" si="2"/>
        <v>0</v>
      </c>
      <c r="O17" s="5">
        <f t="shared" si="3"/>
        <v>261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62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24.75" customHeight="1">
      <c r="A21" s="1">
        <v>3</v>
      </c>
      <c r="B21" s="49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62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36.75">
      <c r="A35" s="1">
        <v>4</v>
      </c>
      <c r="B35" s="47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88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89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90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91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36.75">
      <c r="A47" s="1">
        <v>5</v>
      </c>
      <c r="B47" s="47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88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89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90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91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14</v>
      </c>
      <c r="C55" s="1">
        <v>218</v>
      </c>
      <c r="D55" s="5">
        <f>Table14[[#This Row],[Enrolment S.Y. 2025-2026 ]]*8</f>
        <v>1744</v>
      </c>
      <c r="E55" s="5">
        <f>65*3</f>
        <v>195</v>
      </c>
      <c r="F55" s="1">
        <v>2025</v>
      </c>
      <c r="G55" s="5" t="s">
        <v>63</v>
      </c>
      <c r="H55" s="5">
        <f t="shared" si="0"/>
        <v>1549</v>
      </c>
      <c r="I55" s="5">
        <f t="shared" si="1"/>
        <v>0</v>
      </c>
      <c r="J55" s="5">
        <f>Table14[[#This Row],[Enrolment S.Y. 2025-2026 ]]*8</f>
        <v>1744</v>
      </c>
      <c r="K55" s="5">
        <f>41*3</f>
        <v>123</v>
      </c>
      <c r="L55" s="1">
        <v>2025</v>
      </c>
      <c r="M55" s="5" t="s">
        <v>63</v>
      </c>
      <c r="N55" s="5">
        <f t="shared" si="2"/>
        <v>1621</v>
      </c>
      <c r="O55" s="5">
        <f t="shared" si="3"/>
        <v>0</v>
      </c>
      <c r="P55" s="5">
        <f>Table14[[#This Row],[Enrolment S.Y. 2025-2026 ]]*8</f>
        <v>1744</v>
      </c>
      <c r="Q55" s="5">
        <f>41*2</f>
        <v>82</v>
      </c>
      <c r="R55" s="1">
        <v>2025</v>
      </c>
      <c r="S55" s="5" t="s">
        <v>63</v>
      </c>
      <c r="T55" s="5">
        <f t="shared" si="4"/>
        <v>1662</v>
      </c>
      <c r="U55" s="5">
        <f t="shared" si="5"/>
        <v>0</v>
      </c>
      <c r="V55" s="5">
        <f>Table14[[#This Row],[Enrolment S.Y. 2025-2026 ]]*8</f>
        <v>1744</v>
      </c>
      <c r="W55" s="5">
        <f>41*7</f>
        <v>287</v>
      </c>
      <c r="X55" s="1">
        <v>2025</v>
      </c>
      <c r="Y55" s="5" t="s">
        <v>63</v>
      </c>
      <c r="Z55" s="5">
        <f t="shared" si="6"/>
        <v>1457</v>
      </c>
      <c r="AA55" s="5">
        <f t="shared" si="7"/>
        <v>0</v>
      </c>
    </row>
    <row r="56" spans="1:27" ht="19.5">
      <c r="A56" s="1">
        <v>6</v>
      </c>
      <c r="B56" s="9" t="s">
        <v>15</v>
      </c>
      <c r="C56" s="1">
        <v>218</v>
      </c>
      <c r="D56" s="5">
        <f>Table14[[#This Row],[Enrolment S.Y. 2025-2026 ]]*8</f>
        <v>1744</v>
      </c>
      <c r="E56" s="5">
        <f>65*15</f>
        <v>975</v>
      </c>
      <c r="F56" s="1">
        <v>2025</v>
      </c>
      <c r="G56" s="5" t="s">
        <v>63</v>
      </c>
      <c r="H56" s="5">
        <f t="shared" si="0"/>
        <v>769</v>
      </c>
      <c r="I56" s="5">
        <f t="shared" si="1"/>
        <v>0</v>
      </c>
      <c r="J56" s="5">
        <f>Table14[[#This Row],[Enrolment S.Y. 2025-2026 ]]*8</f>
        <v>1744</v>
      </c>
      <c r="K56" s="5">
        <f>41*14</f>
        <v>574</v>
      </c>
      <c r="L56" s="1">
        <v>2025</v>
      </c>
      <c r="M56" s="5" t="s">
        <v>63</v>
      </c>
      <c r="N56" s="5">
        <f t="shared" si="2"/>
        <v>1170</v>
      </c>
      <c r="O56" s="5">
        <f t="shared" si="3"/>
        <v>0</v>
      </c>
      <c r="P56" s="5">
        <f>Table14[[#This Row],[Enrolment S.Y. 2025-2026 ]]*8</f>
        <v>1744</v>
      </c>
      <c r="Q56" s="5">
        <f>41*6</f>
        <v>246</v>
      </c>
      <c r="R56" s="1">
        <v>2025</v>
      </c>
      <c r="S56" s="5" t="s">
        <v>63</v>
      </c>
      <c r="T56" s="5">
        <f t="shared" si="4"/>
        <v>1498</v>
      </c>
      <c r="U56" s="5">
        <f t="shared" si="5"/>
        <v>0</v>
      </c>
      <c r="V56" s="5">
        <f>Table14[[#This Row],[Enrolment S.Y. 2025-2026 ]]*8</f>
        <v>1744</v>
      </c>
      <c r="W56" s="5">
        <f>41*5</f>
        <v>205</v>
      </c>
      <c r="X56" s="1">
        <v>2025</v>
      </c>
      <c r="Y56" s="5" t="s">
        <v>63</v>
      </c>
      <c r="Z56" s="5">
        <f t="shared" si="6"/>
        <v>1539</v>
      </c>
      <c r="AA56" s="5">
        <f t="shared" si="7"/>
        <v>0</v>
      </c>
    </row>
    <row r="57" spans="1:27" ht="19.5">
      <c r="A57" s="1">
        <v>6</v>
      </c>
      <c r="B57" s="9" t="s">
        <v>12</v>
      </c>
      <c r="C57" s="1">
        <v>218</v>
      </c>
      <c r="D57" s="5">
        <f>Table14[[#This Row],[Enrolment S.Y. 2025-2026 ]]*8</f>
        <v>1744</v>
      </c>
      <c r="E57" s="5">
        <f>65*11</f>
        <v>715</v>
      </c>
      <c r="F57" s="1">
        <v>2025</v>
      </c>
      <c r="G57" s="5" t="s">
        <v>63</v>
      </c>
      <c r="H57" s="5">
        <f t="shared" si="0"/>
        <v>1029</v>
      </c>
      <c r="I57" s="5">
        <f t="shared" si="1"/>
        <v>0</v>
      </c>
      <c r="J57" s="5">
        <f>Table14[[#This Row],[Enrolment S.Y. 2025-2026 ]]*8</f>
        <v>1744</v>
      </c>
      <c r="K57" s="5">
        <f>41*14</f>
        <v>574</v>
      </c>
      <c r="L57" s="1">
        <v>2025</v>
      </c>
      <c r="M57" s="5" t="s">
        <v>63</v>
      </c>
      <c r="N57" s="5">
        <f t="shared" si="2"/>
        <v>1170</v>
      </c>
      <c r="O57" s="5">
        <f t="shared" si="3"/>
        <v>0</v>
      </c>
      <c r="P57" s="5">
        <f>Table14[[#This Row],[Enrolment S.Y. 2025-2026 ]]*8</f>
        <v>1744</v>
      </c>
      <c r="Q57" s="5">
        <f>41*9</f>
        <v>369</v>
      </c>
      <c r="R57" s="1">
        <v>2025</v>
      </c>
      <c r="S57" s="5" t="s">
        <v>63</v>
      </c>
      <c r="T57" s="5">
        <f t="shared" si="4"/>
        <v>1375</v>
      </c>
      <c r="U57" s="5">
        <f t="shared" si="5"/>
        <v>0</v>
      </c>
      <c r="V57" s="5">
        <f>Table14[[#This Row],[Enrolment S.Y. 2025-2026 ]]*8</f>
        <v>1744</v>
      </c>
      <c r="W57" s="5">
        <f>41*9</f>
        <v>369</v>
      </c>
      <c r="X57" s="1">
        <v>2025</v>
      </c>
      <c r="Y57" s="5" t="s">
        <v>63</v>
      </c>
      <c r="Z57" s="5">
        <f t="shared" si="6"/>
        <v>1375</v>
      </c>
      <c r="AA57" s="5">
        <f t="shared" si="7"/>
        <v>0</v>
      </c>
    </row>
    <row r="58" spans="1:27" ht="19.5">
      <c r="A58" s="1">
        <v>6</v>
      </c>
      <c r="B58" s="9" t="s">
        <v>10</v>
      </c>
      <c r="C58" s="1">
        <v>218</v>
      </c>
      <c r="D58" s="5">
        <f>Table14[[#This Row],[Enrolment S.Y. 2025-2026 ]]*8</f>
        <v>1744</v>
      </c>
      <c r="E58" s="5"/>
      <c r="F58" s="1"/>
      <c r="G58" s="5"/>
      <c r="H58" s="5">
        <f t="shared" si="0"/>
        <v>1744</v>
      </c>
      <c r="I58" s="5">
        <f t="shared" si="1"/>
        <v>0</v>
      </c>
      <c r="J58" s="5">
        <f>Table14[[#This Row],[Enrolment S.Y. 2025-2026 ]]*8</f>
        <v>1744</v>
      </c>
      <c r="K58" s="5"/>
      <c r="L58" s="1"/>
      <c r="M58" s="5"/>
      <c r="N58" s="5">
        <f t="shared" si="2"/>
        <v>1744</v>
      </c>
      <c r="O58" s="5">
        <f t="shared" si="3"/>
        <v>0</v>
      </c>
      <c r="P58" s="5">
        <f>Table14[[#This Row],[Enrolment S.Y. 2025-2026 ]]*8</f>
        <v>1744</v>
      </c>
      <c r="Q58" s="5">
        <f>41*4</f>
        <v>164</v>
      </c>
      <c r="R58" s="1">
        <v>2025</v>
      </c>
      <c r="S58" s="5" t="s">
        <v>63</v>
      </c>
      <c r="T58" s="5">
        <f t="shared" si="4"/>
        <v>1580</v>
      </c>
      <c r="U58" s="5">
        <f t="shared" si="5"/>
        <v>0</v>
      </c>
      <c r="V58" s="5">
        <f>Table14[[#This Row],[Enrolment S.Y. 2025-2026 ]]*8</f>
        <v>1744</v>
      </c>
      <c r="W58" s="5"/>
      <c r="X58" s="1"/>
      <c r="Y58" s="5"/>
      <c r="Z58" s="5">
        <f t="shared" si="6"/>
        <v>1744</v>
      </c>
      <c r="AA58" s="5">
        <f t="shared" si="7"/>
        <v>0</v>
      </c>
    </row>
    <row r="59" spans="1:27" ht="38.25">
      <c r="A59" s="1">
        <v>6</v>
      </c>
      <c r="B59" s="9" t="s">
        <v>16</v>
      </c>
      <c r="C59" s="1">
        <v>218</v>
      </c>
      <c r="D59" s="5">
        <f>Table14[[#This Row],[Enrolment S.Y. 2025-2026 ]]*8</f>
        <v>1744</v>
      </c>
      <c r="E59" s="5"/>
      <c r="F59" s="1"/>
      <c r="G59" s="5"/>
      <c r="H59" s="5">
        <f t="shared" si="0"/>
        <v>1744</v>
      </c>
      <c r="I59" s="5">
        <f t="shared" si="1"/>
        <v>0</v>
      </c>
      <c r="J59" s="5">
        <f>Table14[[#This Row],[Enrolment S.Y. 2025-2026 ]]*8</f>
        <v>1744</v>
      </c>
      <c r="K59" s="5"/>
      <c r="L59" s="1"/>
      <c r="M59" s="5"/>
      <c r="N59" s="5">
        <f t="shared" si="2"/>
        <v>1744</v>
      </c>
      <c r="O59" s="5">
        <f t="shared" si="3"/>
        <v>0</v>
      </c>
      <c r="P59" s="5">
        <f>Table14[[#This Row],[Enrolment S.Y. 2025-2026 ]]*8</f>
        <v>1744</v>
      </c>
      <c r="Q59" s="5">
        <f>41*6</f>
        <v>246</v>
      </c>
      <c r="R59" s="1">
        <v>2025</v>
      </c>
      <c r="S59" s="5" t="s">
        <v>63</v>
      </c>
      <c r="T59" s="5">
        <f t="shared" si="4"/>
        <v>1498</v>
      </c>
      <c r="U59" s="5">
        <f t="shared" si="5"/>
        <v>0</v>
      </c>
      <c r="V59" s="5">
        <f>Table14[[#This Row],[Enrolment S.Y. 2025-2026 ]]*8</f>
        <v>1744</v>
      </c>
      <c r="W59" s="5">
        <f>41*7</f>
        <v>287</v>
      </c>
      <c r="X59" s="1">
        <v>2025</v>
      </c>
      <c r="Y59" s="5" t="s">
        <v>63</v>
      </c>
      <c r="Z59" s="5">
        <f t="shared" si="6"/>
        <v>1457</v>
      </c>
      <c r="AA59" s="5">
        <f t="shared" si="7"/>
        <v>0</v>
      </c>
    </row>
    <row r="60" spans="1:27" ht="19.5">
      <c r="A60" s="1">
        <v>6</v>
      </c>
      <c r="B60" s="9" t="s">
        <v>13</v>
      </c>
      <c r="C60" s="1">
        <v>218</v>
      </c>
      <c r="D60" s="5">
        <f>Table14[[#This Row],[Enrolment S.Y. 2025-2026 ]]*8</f>
        <v>1744</v>
      </c>
      <c r="E60" s="5"/>
      <c r="F60" s="1"/>
      <c r="G60" s="5"/>
      <c r="H60" s="5">
        <f t="shared" si="0"/>
        <v>1744</v>
      </c>
      <c r="I60" s="5">
        <f t="shared" si="1"/>
        <v>0</v>
      </c>
      <c r="J60" s="5">
        <f>Table14[[#This Row],[Enrolment S.Y. 2025-2026 ]]*8</f>
        <v>1744</v>
      </c>
      <c r="K60" s="5"/>
      <c r="L60" s="1"/>
      <c r="M60" s="5"/>
      <c r="N60" s="5">
        <f t="shared" si="2"/>
        <v>1744</v>
      </c>
      <c r="O60" s="5">
        <f t="shared" si="3"/>
        <v>0</v>
      </c>
      <c r="P60" s="5">
        <f>Table14[[#This Row],[Enrolment S.Y. 2025-2026 ]]*8</f>
        <v>1744</v>
      </c>
      <c r="Q60" s="5">
        <f>41*4</f>
        <v>164</v>
      </c>
      <c r="R60" s="1">
        <v>2025</v>
      </c>
      <c r="S60" s="5" t="s">
        <v>63</v>
      </c>
      <c r="T60" s="5">
        <f t="shared" si="4"/>
        <v>1580</v>
      </c>
      <c r="U60" s="5">
        <f t="shared" si="5"/>
        <v>0</v>
      </c>
      <c r="V60" s="5">
        <f>Table14[[#This Row],[Enrolment S.Y. 2025-2026 ]]*8</f>
        <v>1744</v>
      </c>
      <c r="W60" s="5">
        <f>41*6</f>
        <v>246</v>
      </c>
      <c r="X60" s="1">
        <v>2025</v>
      </c>
      <c r="Y60" s="5" t="s">
        <v>63</v>
      </c>
      <c r="Z60" s="5">
        <f t="shared" si="6"/>
        <v>1498</v>
      </c>
      <c r="AA60" s="5">
        <f t="shared" si="7"/>
        <v>0</v>
      </c>
    </row>
    <row r="61" spans="1:27" ht="19.5">
      <c r="A61" s="37">
        <v>6</v>
      </c>
      <c r="B61" s="9" t="s">
        <v>88</v>
      </c>
      <c r="C61" s="5">
        <v>218</v>
      </c>
      <c r="D61" s="5">
        <f>Table14[[#This Row],[Enrolment S.Y. 2025-2026 ]]*8</f>
        <v>1744</v>
      </c>
      <c r="E61" s="5"/>
      <c r="F61" s="1"/>
      <c r="G61" s="5"/>
      <c r="H61" s="5">
        <f>IF((D61-E61)&lt;0,0,(D61-E61))</f>
        <v>1744</v>
      </c>
      <c r="I61" s="5">
        <f>IF((E61-D61)&lt;0,0,(E61-D61))</f>
        <v>0</v>
      </c>
      <c r="J61" s="5">
        <f>Table14[[#This Row],[Enrolment S.Y. 2025-2026 ]]*8</f>
        <v>1744</v>
      </c>
      <c r="K61" s="5"/>
      <c r="L61" s="1"/>
      <c r="M61" s="5"/>
      <c r="N61" s="5">
        <f t="shared" ref="N61:N65" si="12">IF((J61-K61)&lt;0,0,(J61-K61))</f>
        <v>1744</v>
      </c>
      <c r="O61" s="5">
        <f t="shared" ref="O61:O65" si="13">IF((K61-J61)&lt;0,0,(K61-J61))</f>
        <v>0</v>
      </c>
      <c r="P61" s="5">
        <f>Table14[[#This Row],[Enrolment S.Y. 2025-2026 ]]*8</f>
        <v>1744</v>
      </c>
      <c r="Q61" s="5">
        <f>41*4</f>
        <v>164</v>
      </c>
      <c r="R61" s="1">
        <v>2025</v>
      </c>
      <c r="S61" s="5" t="s">
        <v>63</v>
      </c>
      <c r="T61" s="5">
        <f>IF((P61-Q61)&lt;0,0,(P61-Q61))</f>
        <v>1580</v>
      </c>
      <c r="U61" s="5">
        <f>IF((Q61-P61)&lt;0,0,(Q61-P61))</f>
        <v>0</v>
      </c>
      <c r="V61" s="5">
        <f>Table14[[#This Row],[Enrolment S.Y. 2025-2026 ]]*8</f>
        <v>1744</v>
      </c>
      <c r="W61" s="5">
        <f>41*3</f>
        <v>123</v>
      </c>
      <c r="X61" s="1">
        <v>2025</v>
      </c>
      <c r="Y61" s="5" t="s">
        <v>63</v>
      </c>
      <c r="Z61" s="5">
        <f>IF((V61-W61)&lt;0,0,(V61-W61))</f>
        <v>1621</v>
      </c>
      <c r="AA61" s="5">
        <f>IF((W61-V61)&lt;0,0,(W61-V61))</f>
        <v>0</v>
      </c>
    </row>
    <row r="62" spans="1:27" ht="19.5">
      <c r="A62" s="1">
        <v>6</v>
      </c>
      <c r="B62" s="9" t="s">
        <v>89</v>
      </c>
      <c r="C62" s="1">
        <v>218</v>
      </c>
      <c r="D62" s="5">
        <f>Table14[[#This Row],[Enrolment S.Y. 2025-2026 ]]*8</f>
        <v>1744</v>
      </c>
      <c r="E62" s="5"/>
      <c r="F62" s="1"/>
      <c r="G62" s="5"/>
      <c r="H62" s="5">
        <f t="shared" si="0"/>
        <v>1744</v>
      </c>
      <c r="I62" s="5">
        <f t="shared" si="1"/>
        <v>0</v>
      </c>
      <c r="J62" s="5">
        <f>Table14[[#This Row],[Enrolment S.Y. 2025-2026 ]]*8</f>
        <v>1744</v>
      </c>
      <c r="K62" s="5"/>
      <c r="L62" s="1"/>
      <c r="M62" s="5"/>
      <c r="N62" s="5">
        <f t="shared" si="12"/>
        <v>1744</v>
      </c>
      <c r="O62" s="5">
        <f t="shared" si="13"/>
        <v>0</v>
      </c>
      <c r="P62" s="5">
        <f>Table14[[#This Row],[Enrolment S.Y. 2025-2026 ]]*8</f>
        <v>1744</v>
      </c>
      <c r="Q62" s="5">
        <f>41*7</f>
        <v>287</v>
      </c>
      <c r="R62" s="1">
        <v>2025</v>
      </c>
      <c r="S62" s="5" t="s">
        <v>63</v>
      </c>
      <c r="T62" s="5">
        <f t="shared" si="4"/>
        <v>1457</v>
      </c>
      <c r="U62" s="5">
        <f t="shared" si="5"/>
        <v>0</v>
      </c>
      <c r="V62" s="5">
        <f>Table14[[#This Row],[Enrolment S.Y. 2025-2026 ]]*8</f>
        <v>1744</v>
      </c>
      <c r="W62" s="5">
        <f>41*9</f>
        <v>369</v>
      </c>
      <c r="X62" s="1">
        <v>2025</v>
      </c>
      <c r="Y62" s="5" t="s">
        <v>63</v>
      </c>
      <c r="Z62" s="5">
        <f t="shared" si="6"/>
        <v>1375</v>
      </c>
      <c r="AA62" s="5">
        <f t="shared" si="7"/>
        <v>0</v>
      </c>
    </row>
    <row r="63" spans="1:27" ht="19.5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5">
      <c r="A64" s="37">
        <v>6</v>
      </c>
      <c r="B64" s="9" t="s">
        <v>90</v>
      </c>
      <c r="C64" s="5">
        <v>218</v>
      </c>
      <c r="D64" s="5">
        <f>Table14[[#This Row],[Enrolment S.Y. 2025-2026 ]]*8</f>
        <v>1744</v>
      </c>
      <c r="E64" s="5"/>
      <c r="F64" s="1"/>
      <c r="G64" s="5"/>
      <c r="H64" s="5">
        <f>IF((D64-E64)&lt;0,0,(D64-E64))</f>
        <v>1744</v>
      </c>
      <c r="I64" s="5">
        <f>IF((E64-D64)&lt;0,0,(E64-D64))</f>
        <v>0</v>
      </c>
      <c r="J64" s="5">
        <f>Table14[[#This Row],[Enrolment S.Y. 2025-2026 ]]*8</f>
        <v>1744</v>
      </c>
      <c r="K64" s="5"/>
      <c r="L64" s="1"/>
      <c r="M64" s="5"/>
      <c r="N64" s="5">
        <f t="shared" si="12"/>
        <v>1744</v>
      </c>
      <c r="O64" s="5">
        <f t="shared" si="13"/>
        <v>0</v>
      </c>
      <c r="P64" s="5">
        <f>Table14[[#This Row],[Enrolment S.Y. 2025-2026 ]]*8</f>
        <v>1744</v>
      </c>
      <c r="Q64" s="5">
        <f>41*3</f>
        <v>123</v>
      </c>
      <c r="R64" s="1">
        <v>2025</v>
      </c>
      <c r="S64" s="5" t="s">
        <v>63</v>
      </c>
      <c r="T64" s="5">
        <f>IF((P64-Q64)&lt;0,0,(P64-Q64))</f>
        <v>1621</v>
      </c>
      <c r="U64" s="5">
        <f>IF((Q64-P64)&lt;0,0,(Q64-P64))</f>
        <v>0</v>
      </c>
      <c r="V64" s="5">
        <f>Table14[[#This Row],[Enrolment S.Y. 2025-2026 ]]*8</f>
        <v>1744</v>
      </c>
      <c r="W64" s="5">
        <f>41*3</f>
        <v>123</v>
      </c>
      <c r="X64" s="1">
        <v>2025</v>
      </c>
      <c r="Y64" s="5" t="s">
        <v>63</v>
      </c>
      <c r="Z64" s="5">
        <f>IF((V64-W64)&lt;0,0,(V64-W64))</f>
        <v>1621</v>
      </c>
      <c r="AA64" s="5">
        <f>IF((W64-V64)&lt;0,0,(W64-V64))</f>
        <v>0</v>
      </c>
    </row>
    <row r="65" spans="1:27" ht="19.5">
      <c r="A65" s="1">
        <v>6</v>
      </c>
      <c r="B65" s="9" t="s">
        <v>91</v>
      </c>
      <c r="C65" s="1">
        <v>218</v>
      </c>
      <c r="D65" s="5">
        <f>Table14[[#This Row],[Enrolment S.Y. 2025-2026 ]]*8</f>
        <v>1744</v>
      </c>
      <c r="E65" s="5"/>
      <c r="F65" s="1"/>
      <c r="G65" s="5"/>
      <c r="H65" s="5">
        <f t="shared" si="0"/>
        <v>1744</v>
      </c>
      <c r="I65" s="5">
        <f t="shared" si="1"/>
        <v>0</v>
      </c>
      <c r="J65" s="5">
        <f>Table14[[#This Row],[Enrolment S.Y. 2025-2026 ]]*8</f>
        <v>1744</v>
      </c>
      <c r="K65" s="5"/>
      <c r="L65" s="1"/>
      <c r="M65" s="5"/>
      <c r="N65" s="5">
        <f t="shared" si="12"/>
        <v>1744</v>
      </c>
      <c r="O65" s="5">
        <f t="shared" si="13"/>
        <v>0</v>
      </c>
      <c r="P65" s="5">
        <f>Table14[[#This Row],[Enrolment S.Y. 2025-2026 ]]*8</f>
        <v>1744</v>
      </c>
      <c r="Q65" s="5">
        <f>41*3</f>
        <v>123</v>
      </c>
      <c r="R65" s="1">
        <v>2025</v>
      </c>
      <c r="S65" s="5" t="s">
        <v>63</v>
      </c>
      <c r="T65" s="5">
        <f t="shared" si="4"/>
        <v>1621</v>
      </c>
      <c r="U65" s="5">
        <f t="shared" si="5"/>
        <v>0</v>
      </c>
      <c r="V65" s="5">
        <f>Table14[[#This Row],[Enrolment S.Y. 2025-2026 ]]*8</f>
        <v>1744</v>
      </c>
      <c r="W65" s="5">
        <f>41*8</f>
        <v>328</v>
      </c>
      <c r="X65" s="1">
        <v>2025</v>
      </c>
      <c r="Y65" s="5" t="s">
        <v>63</v>
      </c>
      <c r="Z65" s="5">
        <f t="shared" si="6"/>
        <v>1416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36.75">
      <c r="A71" s="10">
        <v>7</v>
      </c>
      <c r="B71" s="48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5">
      <c r="A118" s="1" t="s">
        <v>24</v>
      </c>
      <c r="B118" s="47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35.25" customHeight="1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54.75">
      <c r="A121" s="1" t="s">
        <v>24</v>
      </c>
      <c r="B121" s="47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N21:R29 T21:X29 Z21:AA29 H21:L29 T31:X41 Z31:AA41 H31:L41 T43:X53 Z43:AA53 H43:L53 Z55:AA65 H55:L65 T67:X77 Z67:AA77 H67:L77 T79:X89 Z79:AA89 H79:L89 T91:X101 Z91:AA101 H91:L101 T103:X113 Z103:AA113 H103:L113 N115:R122 T115:X122 Z115:AA122 H115:L122 D103:F113 N31:R41 N43:R53 N67:R77 N79:R89 N91:R101 N103:R113 N55:R65 T55:X65 H12:L19" name="LAS"/>
    <protectedRange sqref="G2:I2 M2:O2 S2:U2 Y2:AA2 G3:G10 M3:M10 S3:S10 Y3:Y10 Y12:Y19 G12:G19 S12:S19 Y21:Y29 G21:G29 M21:M29 S21:S29 Y31:Y41 G31:G41 M31:M41 S31:S41 Y43:Y53 G43:G53 M43:M53 S43:S53 G55:G65 M55:M65 Y67:Y77 G67:G77 M67:M77 S67:S77 Y79:Y89 G79:G89 M79:M89 S79:S89 Y91:Y101 G91:G101 M91:M101 S91:S101 Y103:Y113 G103:G113 M103:M113 S103:S113 Y115:Y122 G115:G122 M115:M122 S115:S122 S55:S65 Y55:Y65 M12:M19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Y55:Y65 M21:M29 G21:G29 Y21:Y29 S21:S29 S31:S41 M31:M41 G31:G41 Y31:Y41 Y43:Y53 S43:S53 M43:M53 G43:G53 G55:G65 S55:S65 M115:M122 M55:M65 M67:M77 G67:G77 Y67:Y77 S67:S77 S79:S89 M79:M89 G79:G89 Y79:Y89 Y91:Y101 S91:S101 M91:M101 G91:G101 G103:G113 Y103:Y113 S103:S113 M103:M113 M12:M19" xr:uid="{CBD486C7-A5DB-48F1-B496-5027CC51E830}">
      <formula1>"CO,RO,SDO,LGU,SCHOOL"</formula1>
    </dataValidation>
    <dataValidation type="list" allowBlank="1" showInputMessage="1" showErrorMessage="1" sqref="X21:X29 X31:X41 X43:X53 X67:X77 X79:X89 R55:R65 X91:X101 X103:X113 X12:X19 X3:X10 L21:L29 L31:L41 L43:L53 L67:L77 L79:L89 L55:L65 L91:L101 L103:L113 X55:X65 L3:L10 R21:R29 R31:R41 R43:R53 R67:R77 R79:R89 F103:F113 R91:R101 R103:R113 R12:R19 R3:R10 F21:F29 F31:F41 F43:F53 F67:F77 F79:F89 F55:F65 F3:F10 F91:F101 X115:X122 F12:F19 F115:F122 R115:R122 L115:L122 L12:L19" xr:uid="{77F72D89-8371-4D0C-A323-BD25723C617C}">
      <formula1>"2024,2025"</formula1>
    </dataValidation>
  </dataValidations>
  <pageMargins left="0.25" right="0.25" top="0.75" bottom="0.75" header="0.3" footer="0.3"/>
  <pageSetup paperSize="6" fitToHeight="0" orientation="landscape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Ruby Baniqued</cp:lastModifiedBy>
  <cp:revision/>
  <dcterms:created xsi:type="dcterms:W3CDTF">2025-11-19T20:48:15Z</dcterms:created>
  <dcterms:modified xsi:type="dcterms:W3CDTF">2026-02-09T04:27:27Z</dcterms:modified>
  <cp:category/>
  <cp:contentStatus/>
</cp:coreProperties>
</file>