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2" documentId="13_ncr:1_{BFB59F67-F0DC-4675-A682-EB0734A8026A}" xr6:coauthVersionLast="47" xr6:coauthVersionMax="47" xr10:uidLastSave="{0055F028-F699-4C06-A090-C39F84E5D6A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<sst xmlns="http://schemas.openxmlformats.org/spreadsheetml/2006/main" count="394" uniqueCount="92">
  <si>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</si>
  <si>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</si>
  <si>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</si>
  <si>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</si>
  <si>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</si>
  <si>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</si>
  <si>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</si>
  <si>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</si>
  <si>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</si>
  <si>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</si>
  <si>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</si>
  <si>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</si>
  <si>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</si>
  <si>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</si>
  <si>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</si>
  <si>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</si>
  <si>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</si>
  <si>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</si>
  <si>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</si>
  <si>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</si>
  <si>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</si>
  <si>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</si>
  <si>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</si>
  <si>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</si>
  <si>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</si>
  <si>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</si>
  <si>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</si>
  <si>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</si>
  <si>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</si>
  <si>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</si>
  <si>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</si>
  <si>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</si>
  <si>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</si>
  <si>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</si>
  <si>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</si>
  <si>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</si>
  <si>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</si>
  <si>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</si>
  <si>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</si>
  <si>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</si>
  <si>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</si>
  <si>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</si>
  <si>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</si>
  <si>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</si>
  <si>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</si>
  <si>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</si>
  <si>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</si>
  <si>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</si>
  <si>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</si>
  <si>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</si>
  <si>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</si>
  <si>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</si>
  <si>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</si>
  <si>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</si>
  <si>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</si>
  <si>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</si>
  <si>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</si>
  <si>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</si>
  <si>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</si>
  <si>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</si>
  <si>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</si>
  <si>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 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</si>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</sst>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zoomScale="85" zoomScaleNormal="85" workbookViewId="0">
      <pane xSplit="2" topLeftCell="C38" activePane="topRight" state="frozen"/>
      <selection pane="topRight" activeCell="A13" sqref="A1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410</v>
      </c>
      <c r="E2" s="1">
        <v>2024</v>
      </c>
      <c r="F2" s="5"/>
      <c r="G2" s="3">
        <f>IF((C2-D2)&lt;0,0,C2-D2)</f>
        <v>0</v>
      </c>
      <c r="H2" s="4">
        <f>IF((D2-C2)&lt;0,0,D2-C2)</f>
        <v>410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>
        <v>410</v>
      </c>
      <c r="E4" s="1">
        <v>2024</v>
      </c>
      <c r="F4" s="5"/>
      <c r="G4" s="3">
        <f>IF((C4-D4)&lt;0,0,C4-D4)</f>
        <v>0</v>
      </c>
      <c r="H4" s="4">
        <f>IF((D4-C4)&lt;0,0,D4-C4)</f>
        <v>410</v>
      </c>
    </row>
    <row r="5" spans="1:8" ht="25.5" customHeight="1">
      <c r="A5" s="1">
        <v>1</v>
      </c>
      <c r="B5" s="2" t="s">
        <v>11</v>
      </c>
      <c r="C5" s="1"/>
      <c r="D5" s="1">
        <v>410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410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>
        <v>454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454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>
        <v>322</v>
      </c>
      <c r="E23" s="1">
        <v>2024</v>
      </c>
      <c r="F23" s="5"/>
      <c r="G23" s="3">
        <f t="shared" si="4"/>
        <v>0</v>
      </c>
      <c r="H23" s="4">
        <f t="shared" si="5"/>
        <v>322</v>
      </c>
    </row>
    <row r="24" spans="1:8" ht="27" customHeight="1">
      <c r="A24" s="1">
        <v>4</v>
      </c>
      <c r="B24" s="9" t="s">
        <v>10</v>
      </c>
      <c r="C24" s="1"/>
      <c r="D24" s="1">
        <v>454</v>
      </c>
      <c r="E24" s="1">
        <v>2025</v>
      </c>
      <c r="F24" s="5"/>
      <c r="G24" s="3">
        <f t="shared" si="4"/>
        <v>0</v>
      </c>
      <c r="H24" s="4">
        <f t="shared" si="5"/>
        <v>454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>
        <v>384</v>
      </c>
      <c r="E26" s="1">
        <v>2025</v>
      </c>
      <c r="F26" s="5"/>
      <c r="G26" s="3">
        <f t="shared" si="4"/>
        <v>0</v>
      </c>
      <c r="H26" s="4">
        <f t="shared" si="5"/>
        <v>384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zoomScale="70" zoomScaleNormal="70" workbookViewId="0">
      <pane xSplit="3" topLeftCell="D1" activePane="topRight" state="frozen"/>
      <selection pane="topRight" activeCell="A4" sqref="A4"/>
    </sheetView>
  </sheetViews>
  <sheetFormatPr defaultRowHeight="13.9"/>
  <cols>
    <col min="1" max="1" width="9.42578125" customWidth="1"/>
    <col min="2" max="2" width="23.42578125" customWidth="1"/>
    <col min="3" max="4" width="10.85546875" customWidth="1"/>
    <col min="5" max="5" width="19.7109375" customWidth="1"/>
    <col min="6" max="7" width="12.7109375" customWidth="1"/>
    <col min="8" max="8" width="15" customWidth="1"/>
    <col min="9" max="9" width="17" customWidth="1"/>
    <col min="10" max="10" width="12.7109375" customWidth="1"/>
    <col min="11" max="11" width="20.28515625" customWidth="1"/>
    <col min="12" max="16" width="10.140625" customWidth="1"/>
    <col min="17" max="17" width="20.42578125" customWidth="1"/>
    <col min="18" max="22" width="10.42578125" customWidth="1"/>
    <col min="23" max="23" width="19.42578125" customWidth="1"/>
    <col min="24" max="24" width="13.42578125" customWidth="1"/>
    <col min="25" max="25" width="14.42578125" customWidth="1"/>
    <col min="26" max="26" width="12" customWidth="1"/>
    <col min="27" max="27" width="13.28515625" customWidth="1"/>
  </cols>
  <sheetData>
    <row r="1" spans="1:27" s="28" customFormat="1" ht="34.15" customHeight="1">
      <c r="D1" s="45" t="s">
        <v>32</v>
      </c>
      <c r="E1" s="45"/>
      <c r="F1" s="45"/>
      <c r="G1" s="45"/>
      <c r="H1" s="45"/>
      <c r="I1" s="45"/>
      <c r="J1" s="46" t="s">
        <v>33</v>
      </c>
      <c r="K1" s="46"/>
      <c r="L1" s="46"/>
      <c r="M1" s="46"/>
      <c r="N1" s="46"/>
      <c r="O1" s="46"/>
      <c r="P1" s="47" t="s">
        <v>34</v>
      </c>
      <c r="Q1" s="47"/>
      <c r="R1" s="47"/>
      <c r="S1" s="47"/>
      <c r="T1" s="47"/>
      <c r="U1" s="47"/>
      <c r="V1" s="48" t="s">
        <v>35</v>
      </c>
      <c r="W1" s="48"/>
      <c r="X1" s="48"/>
      <c r="Y1" s="48"/>
      <c r="Z1" s="48"/>
      <c r="AA1" s="48"/>
    </row>
    <row r="2" spans="1:27" ht="102.75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5.25" customHeight="1">
      <c r="A5" s="1">
        <v>1</v>
      </c>
      <c r="B5" s="2" t="s">
        <v>8</v>
      </c>
      <c r="C5" s="1"/>
      <c r="D5" s="5" t="s">
        <v>61</v>
      </c>
      <c r="E5" s="5"/>
      <c r="F5" s="1"/>
      <c r="G5" s="5"/>
      <c r="H5" s="5" t="e">
        <f t="shared" ref="H5:H77" si="2">IF((D5-E5)&lt;0,0,(D5-E5))</f>
        <v>#VALUE!</v>
      </c>
      <c r="I5" s="5" t="e">
        <f t="shared" ref="I5:I77" si="3">IF((E5-D5)&lt;0,0,(E5-D5))</f>
        <v>#VALUE!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0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>
        <v>297</v>
      </c>
      <c r="F16" s="1"/>
      <c r="G16" s="5"/>
      <c r="H16" s="5">
        <f t="shared" si="2"/>
        <v>0</v>
      </c>
      <c r="I16" s="5">
        <f t="shared" si="3"/>
        <v>297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>
        <v>297</v>
      </c>
      <c r="F17" s="1"/>
      <c r="G17" s="5"/>
      <c r="H17" s="5">
        <f t="shared" si="2"/>
        <v>0</v>
      </c>
      <c r="I17" s="5">
        <f t="shared" si="3"/>
        <v>297</v>
      </c>
      <c r="J17" s="5">
        <f>Table1[[#This Row],[Enrolment S.Y. 2025-2026 ]]*8</f>
        <v>0</v>
      </c>
      <c r="K17" s="5">
        <v>349</v>
      </c>
      <c r="L17" s="1"/>
      <c r="M17" s="5"/>
      <c r="N17" s="5">
        <f t="shared" si="10"/>
        <v>0</v>
      </c>
      <c r="O17" s="5">
        <f t="shared" si="11"/>
        <v>349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297</v>
      </c>
      <c r="F18" s="1"/>
      <c r="G18" s="5"/>
      <c r="H18" s="5">
        <f t="shared" si="2"/>
        <v>0</v>
      </c>
      <c r="I18" s="5">
        <f t="shared" si="3"/>
        <v>297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>
        <v>297</v>
      </c>
      <c r="F19" s="1"/>
      <c r="G19" s="5"/>
      <c r="H19" s="5">
        <f>IF((D19-E19)&lt;0,0,(D19-E19))</f>
        <v>0</v>
      </c>
      <c r="I19" s="5">
        <f>IF((E19-D19)&lt;0,0,(E19-D19))</f>
        <v>297</v>
      </c>
      <c r="J19" s="5">
        <f>Table1[[#This Row],[Enrolment S.Y. 2025-2026 ]]*8</f>
        <v>0</v>
      </c>
      <c r="K19" s="5">
        <v>349</v>
      </c>
      <c r="L19" s="1"/>
      <c r="M19" s="5"/>
      <c r="N19" s="5">
        <f t="shared" si="10"/>
        <v>0</v>
      </c>
      <c r="O19" s="5">
        <f t="shared" si="11"/>
        <v>349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>
        <v>297</v>
      </c>
      <c r="F20" s="1"/>
      <c r="G20" s="5"/>
      <c r="H20" s="5">
        <f>IF((D20-E20)&lt;0,0,(D20-E20))</f>
        <v>0</v>
      </c>
      <c r="I20" s="5">
        <f>IF((E20-D20)&lt;0,0,(E20-D20))</f>
        <v>297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>
        <v>330</v>
      </c>
      <c r="F25" s="1"/>
      <c r="G25" s="5"/>
      <c r="H25" s="5">
        <f t="shared" si="2"/>
        <v>0</v>
      </c>
      <c r="I25" s="5">
        <f t="shared" si="3"/>
        <v>330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330</v>
      </c>
      <c r="F26" s="1"/>
      <c r="G26" s="5"/>
      <c r="H26" s="5">
        <f t="shared" si="2"/>
        <v>0</v>
      </c>
      <c r="I26" s="5">
        <f t="shared" si="3"/>
        <v>330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330</v>
      </c>
      <c r="F27" s="1"/>
      <c r="G27" s="5"/>
      <c r="H27" s="5">
        <f t="shared" si="2"/>
        <v>0</v>
      </c>
      <c r="I27" s="5">
        <f t="shared" si="3"/>
        <v>330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330</v>
      </c>
      <c r="F28" s="1"/>
      <c r="G28" s="5"/>
      <c r="H28" s="5">
        <f t="shared" si="2"/>
        <v>0</v>
      </c>
      <c r="I28" s="5">
        <f t="shared" si="3"/>
        <v>330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330</v>
      </c>
      <c r="F29" s="1"/>
      <c r="G29" s="5"/>
      <c r="H29" s="5">
        <f>IF((D29-E29)&lt;0,0,(D29-E29))</f>
        <v>0</v>
      </c>
      <c r="I29" s="5">
        <f>IF((E29-D29)&lt;0,0,(E29-D29))</f>
        <v>330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>
        <v>330</v>
      </c>
      <c r="F30" s="1"/>
      <c r="G30" s="5"/>
      <c r="H30" s="5">
        <f>IF((D30-E30)&lt;0,0,(D30-E30))</f>
        <v>0</v>
      </c>
      <c r="I30" s="5">
        <f>IF((E30-D30)&lt;0,0,(E30-D30))</f>
        <v>330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5.25" customHeight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131</v>
      </c>
      <c r="F43" s="1"/>
      <c r="G43" s="5"/>
      <c r="H43" s="5">
        <f t="shared" si="2"/>
        <v>0</v>
      </c>
      <c r="I43" s="5">
        <f t="shared" si="3"/>
        <v>131</v>
      </c>
      <c r="J43" s="5">
        <f>Table1[[#This Row],[Enrolment S.Y. 2025-2026 ]]*8</f>
        <v>0</v>
      </c>
      <c r="K43" s="5">
        <v>318</v>
      </c>
      <c r="L43" s="1"/>
      <c r="M43" s="5"/>
      <c r="N43" s="5">
        <f t="shared" si="10"/>
        <v>0</v>
      </c>
      <c r="O43" s="5">
        <f t="shared" si="11"/>
        <v>318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131</v>
      </c>
      <c r="F44" s="1"/>
      <c r="G44" s="5"/>
      <c r="H44" s="5">
        <f t="shared" si="2"/>
        <v>0</v>
      </c>
      <c r="I44" s="5">
        <f t="shared" si="3"/>
        <v>131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131</v>
      </c>
      <c r="F45" s="1"/>
      <c r="G45" s="5"/>
      <c r="H45" s="5">
        <f t="shared" si="2"/>
        <v>0</v>
      </c>
      <c r="I45" s="5">
        <f t="shared" si="3"/>
        <v>131</v>
      </c>
      <c r="J45" s="5">
        <f>Table1[[#This Row],[Enrolment S.Y. 2025-2026 ]]*8</f>
        <v>0</v>
      </c>
      <c r="K45" s="5">
        <v>318</v>
      </c>
      <c r="L45" s="1"/>
      <c r="M45" s="5"/>
      <c r="N45" s="5">
        <f t="shared" si="10"/>
        <v>0</v>
      </c>
      <c r="O45" s="5">
        <f t="shared" si="11"/>
        <v>318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131</v>
      </c>
      <c r="F46" s="1"/>
      <c r="G46" s="5"/>
      <c r="H46" s="5">
        <f t="shared" si="2"/>
        <v>0</v>
      </c>
      <c r="I46" s="5">
        <f t="shared" si="3"/>
        <v>131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>
        <v>131</v>
      </c>
      <c r="F47" s="1"/>
      <c r="G47" s="5"/>
      <c r="H47" s="5">
        <f t="shared" si="2"/>
        <v>0</v>
      </c>
      <c r="I47" s="5">
        <f t="shared" si="3"/>
        <v>131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131</v>
      </c>
      <c r="F48" s="1"/>
      <c r="G48" s="5"/>
      <c r="H48" s="5">
        <f t="shared" si="2"/>
        <v>0</v>
      </c>
      <c r="I48" s="5">
        <f t="shared" si="3"/>
        <v>131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131</v>
      </c>
      <c r="F49" s="1"/>
      <c r="G49" s="5"/>
      <c r="H49" s="5">
        <f t="shared" si="2"/>
        <v>0</v>
      </c>
      <c r="I49" s="5">
        <f t="shared" si="3"/>
        <v>131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>
        <v>131</v>
      </c>
      <c r="F50" s="1"/>
      <c r="G50" s="5"/>
      <c r="H50" s="5">
        <f t="shared" si="2"/>
        <v>0</v>
      </c>
      <c r="I50" s="5">
        <f t="shared" si="3"/>
        <v>131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>
        <v>131</v>
      </c>
      <c r="F51" s="1"/>
      <c r="G51" s="5"/>
      <c r="H51" s="5">
        <f t="shared" si="2"/>
        <v>0</v>
      </c>
      <c r="I51" s="5">
        <f t="shared" si="3"/>
        <v>131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zoomScale="55" zoomScaleNormal="55" workbookViewId="0">
      <pane ySplit="3" topLeftCell="A21" activePane="bottomLeft" state="frozen"/>
      <selection pane="bottomLeft" activeCell="X122" sqref="X122"/>
    </sheetView>
  </sheetViews>
  <sheetFormatPr defaultRowHeight="13.9"/>
  <cols>
    <col min="1" max="1" width="8.42578125" customWidth="1"/>
    <col min="2" max="2" width="23.42578125" customWidth="1"/>
    <col min="3" max="4" width="11.42578125" customWidth="1"/>
    <col min="5" max="5" width="21.140625" customWidth="1"/>
    <col min="6" max="10" width="12.28515625" customWidth="1"/>
    <col min="11" max="11" width="21.7109375" customWidth="1"/>
    <col min="12" max="16" width="12.140625" customWidth="1"/>
    <col min="17" max="17" width="22.140625" customWidth="1"/>
    <col min="18" max="22" width="12.85546875" customWidth="1"/>
    <col min="23" max="23" width="21.28515625" customWidth="1"/>
    <col min="24" max="27" width="12.140625" customWidth="1"/>
  </cols>
  <sheetData>
    <row r="1" spans="1:27" s="28" customFormat="1" ht="34.15" customHeight="1">
      <c r="C1" s="35"/>
      <c r="D1" s="45" t="s">
        <v>32</v>
      </c>
      <c r="E1" s="45"/>
      <c r="F1" s="45"/>
      <c r="G1" s="45"/>
      <c r="H1" s="45"/>
      <c r="I1" s="45"/>
      <c r="J1" s="46" t="s">
        <v>33</v>
      </c>
      <c r="K1" s="46"/>
      <c r="L1" s="46"/>
      <c r="M1" s="46"/>
      <c r="N1" s="46"/>
      <c r="O1" s="46"/>
      <c r="P1" s="47" t="s">
        <v>34</v>
      </c>
      <c r="Q1" s="47"/>
      <c r="R1" s="47"/>
      <c r="S1" s="47"/>
      <c r="T1" s="47"/>
      <c r="U1" s="47"/>
      <c r="V1" s="48" t="s">
        <v>35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6.75">
      <c r="A3" s="1">
        <v>1</v>
      </c>
      <c r="B3" s="4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4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4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3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0" customHeight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>
        <v>102</v>
      </c>
      <c r="F55" s="1"/>
      <c r="G55" s="5"/>
      <c r="H55" s="5">
        <f t="shared" si="0"/>
        <v>0</v>
      </c>
      <c r="I55" s="5">
        <f t="shared" si="1"/>
        <v>102</v>
      </c>
      <c r="J55" s="5">
        <f>Table14[[#This Row],[Enrolment S.Y. 2025-2026 ]]*8</f>
        <v>0</v>
      </c>
      <c r="K55" s="5">
        <v>66</v>
      </c>
      <c r="L55" s="1"/>
      <c r="M55" s="5"/>
      <c r="N55" s="5">
        <f t="shared" si="2"/>
        <v>0</v>
      </c>
      <c r="O55" s="5">
        <f t="shared" si="3"/>
        <v>66</v>
      </c>
      <c r="P55" s="5">
        <f>Table14[[#This Row],[Enrolment S.Y. 2025-2026 ]]*8</f>
        <v>0</v>
      </c>
      <c r="Q55" s="5">
        <v>66</v>
      </c>
      <c r="R55" s="1"/>
      <c r="S55" s="5"/>
      <c r="T55" s="5">
        <f t="shared" si="4"/>
        <v>0</v>
      </c>
      <c r="U55" s="5">
        <f t="shared" si="5"/>
        <v>66</v>
      </c>
      <c r="V55" s="5">
        <f>Table14[[#This Row],[Enrolment S.Y. 2025-2026 ]]*8</f>
        <v>0</v>
      </c>
      <c r="W55" s="5">
        <v>66</v>
      </c>
      <c r="X55" s="1"/>
      <c r="Y55" s="5" t="s">
        <v>91</v>
      </c>
      <c r="Z55" s="5">
        <f t="shared" si="6"/>
        <v>0</v>
      </c>
      <c r="AA55" s="5">
        <f t="shared" si="7"/>
        <v>66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>
        <v>102</v>
      </c>
      <c r="F56" s="1"/>
      <c r="G56" s="5"/>
      <c r="H56" s="5">
        <f t="shared" si="0"/>
        <v>0</v>
      </c>
      <c r="I56" s="5">
        <f t="shared" si="1"/>
        <v>102</v>
      </c>
      <c r="J56" s="5">
        <f>Table14[[#This Row],[Enrolment S.Y. 2025-2026 ]]*8</f>
        <v>0</v>
      </c>
      <c r="K56" s="5">
        <v>66</v>
      </c>
      <c r="L56" s="1"/>
      <c r="M56" s="5"/>
      <c r="N56" s="5">
        <f t="shared" si="2"/>
        <v>0</v>
      </c>
      <c r="O56" s="5">
        <f t="shared" si="3"/>
        <v>66</v>
      </c>
      <c r="P56" s="5">
        <f>Table14[[#This Row],[Enrolment S.Y. 2025-2026 ]]*8</f>
        <v>0</v>
      </c>
      <c r="Q56" s="5">
        <v>66</v>
      </c>
      <c r="R56" s="1"/>
      <c r="S56" s="5"/>
      <c r="T56" s="5">
        <f t="shared" si="4"/>
        <v>0</v>
      </c>
      <c r="U56" s="5">
        <f t="shared" si="5"/>
        <v>66</v>
      </c>
      <c r="V56" s="5">
        <f>Table14[[#This Row],[Enrolment S.Y. 2025-2026 ]]*8</f>
        <v>0</v>
      </c>
      <c r="W56" s="5">
        <v>66</v>
      </c>
      <c r="X56" s="1"/>
      <c r="Y56" s="5" t="s">
        <v>91</v>
      </c>
      <c r="Z56" s="5">
        <f t="shared" si="6"/>
        <v>0</v>
      </c>
      <c r="AA56" s="5">
        <f t="shared" si="7"/>
        <v>66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102</v>
      </c>
      <c r="F57" s="1"/>
      <c r="G57" s="5"/>
      <c r="H57" s="5">
        <f t="shared" si="0"/>
        <v>0</v>
      </c>
      <c r="I57" s="5">
        <f t="shared" si="1"/>
        <v>102</v>
      </c>
      <c r="J57" s="5">
        <f>Table14[[#This Row],[Enrolment S.Y. 2025-2026 ]]*8</f>
        <v>0</v>
      </c>
      <c r="K57" s="5">
        <v>66</v>
      </c>
      <c r="L57" s="1"/>
      <c r="M57" s="5"/>
      <c r="N57" s="5">
        <f t="shared" si="2"/>
        <v>0</v>
      </c>
      <c r="O57" s="5">
        <f t="shared" si="3"/>
        <v>66</v>
      </c>
      <c r="P57" s="5">
        <f>Table14[[#This Row],[Enrolment S.Y. 2025-2026 ]]*8</f>
        <v>0</v>
      </c>
      <c r="Q57" s="5">
        <v>66</v>
      </c>
      <c r="R57" s="1"/>
      <c r="S57" s="5"/>
      <c r="T57" s="5">
        <f t="shared" si="4"/>
        <v>0</v>
      </c>
      <c r="U57" s="5">
        <f t="shared" si="5"/>
        <v>66</v>
      </c>
      <c r="V57" s="5">
        <f>Table14[[#This Row],[Enrolment S.Y. 2025-2026 ]]*8</f>
        <v>0</v>
      </c>
      <c r="W57" s="5">
        <v>66</v>
      </c>
      <c r="X57" s="1"/>
      <c r="Y57" s="5" t="s">
        <v>91</v>
      </c>
      <c r="Z57" s="5">
        <f t="shared" si="6"/>
        <v>0</v>
      </c>
      <c r="AA57" s="5">
        <f t="shared" si="7"/>
        <v>66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4.5" customHeight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>
        <v>66</v>
      </c>
      <c r="X59" s="1"/>
      <c r="Y59" s="5"/>
      <c r="Z59" s="5">
        <f t="shared" si="6"/>
        <v>0</v>
      </c>
      <c r="AA59" s="5">
        <f t="shared" si="7"/>
        <v>66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66</v>
      </c>
      <c r="R60" s="1"/>
      <c r="S60" s="5"/>
      <c r="T60" s="5">
        <f t="shared" si="4"/>
        <v>0</v>
      </c>
      <c r="U60" s="5">
        <f t="shared" si="5"/>
        <v>66</v>
      </c>
      <c r="V60" s="5">
        <f>Table14[[#This Row],[Enrolment S.Y. 2025-2026 ]]*8</f>
        <v>0</v>
      </c>
      <c r="W60" s="5">
        <v>66</v>
      </c>
      <c r="X60" s="1"/>
      <c r="Y60" s="5" t="s">
        <v>91</v>
      </c>
      <c r="Z60" s="5">
        <f t="shared" si="6"/>
        <v>0</v>
      </c>
      <c r="AA60" s="5">
        <f t="shared" si="7"/>
        <v>66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66</v>
      </c>
      <c r="R61" s="1"/>
      <c r="S61" s="5"/>
      <c r="T61" s="5">
        <f>IF((P61-Q61)&lt;0,0,(P61-Q61))</f>
        <v>0</v>
      </c>
      <c r="U61" s="5">
        <f>IF((Q61-P61)&lt;0,0,(Q61-P61))</f>
        <v>66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>
        <v>66</v>
      </c>
      <c r="X62" s="1"/>
      <c r="Y62" s="5"/>
      <c r="Z62" s="5">
        <f t="shared" si="6"/>
        <v>0</v>
      </c>
      <c r="AA62" s="5">
        <f t="shared" si="7"/>
        <v>66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66</v>
      </c>
      <c r="R64" s="1"/>
      <c r="S64" s="5"/>
      <c r="T64" s="5">
        <f>IF((P64-Q64)&lt;0,0,(P64-Q64))</f>
        <v>0</v>
      </c>
      <c r="U64" s="5">
        <f>IF((Q64-P64)&lt;0,0,(Q64-P64))</f>
        <v>66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66</v>
      </c>
      <c r="R65" s="1"/>
      <c r="S65" s="5"/>
      <c r="T65" s="5">
        <f t="shared" si="4"/>
        <v>0</v>
      </c>
      <c r="U65" s="5">
        <f t="shared" si="5"/>
        <v>66</v>
      </c>
      <c r="V65" s="5">
        <f>Table14[[#This Row],[Enrolment S.Y. 2025-2026 ]]*8</f>
        <v>0</v>
      </c>
      <c r="W65" s="5">
        <v>66</v>
      </c>
      <c r="X65" s="1"/>
      <c r="Y65" s="5" t="s">
        <v>91</v>
      </c>
      <c r="Z65" s="5">
        <f t="shared" si="6"/>
        <v>0</v>
      </c>
      <c r="AA65" s="5">
        <f t="shared" si="7"/>
        <v>66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4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43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>
      <c r="A120" s="1" t="s">
        <v>23</v>
      </c>
      <c r="B120" s="43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47.25" customHeight="1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6.75">
      <c r="A122" s="1" t="s">
        <v>23</v>
      </c>
      <c r="B122" s="43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G55:G65 M55:M65 S55:S65 Y67:Y77 G67:G77 M67:M77 S67:S77 Y79:Y89 G79:G89 M79:M89 S79:S89 Y91:Y101 G91:G101 M91:M101 S91:S101 Y103:Y113 G103:G113 M103:M113 S103:S113 Y115:Y122 G115:G122 M115:M122 S115:S122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M115:M122 S55:S65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ARMIDA MANSAN</cp:lastModifiedBy>
  <cp:revision/>
  <dcterms:created xsi:type="dcterms:W3CDTF">2025-11-19T20:48:15Z</dcterms:created>
  <dcterms:modified xsi:type="dcterms:W3CDTF">2026-03-25T09:59:16Z</dcterms:modified>
  <cp:category/>
  <cp:contentStatus/>
</cp:coreProperties>
</file>