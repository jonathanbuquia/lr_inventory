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48" documentId="13_ncr:1_{BFB59F67-F0DC-4675-A682-EB0734A8026A}" xr6:coauthVersionLast="47" xr6:coauthVersionMax="47" xr10:uidLastSave="{A8A2E6AF-D392-4825-8958-B82153BC82B5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<sst xmlns="http://schemas.openxmlformats.org/spreadsheetml/2006/main" count="388" uniqueCount="90">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</sst>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4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5" fillId="7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vertical="center" wrapText="1"/>
    </xf>
    <xf numFmtId="0" fontId="15" fillId="9" borderId="1" xfId="0" applyFont="1" applyFill="1" applyBorder="1" applyAlignment="1">
      <alignment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8"/>
  <sheetViews>
    <sheetView zoomScale="85" zoomScaleNormal="85" workbookViewId="0">
      <pane xSplit="2" topLeftCell="F35" activePane="topRight" state="frozen"/>
      <selection pane="topRight" activeCell="F35" sqref="F3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38</v>
      </c>
      <c r="D4" s="1">
        <v>47</v>
      </c>
      <c r="E4" s="1"/>
      <c r="F4" s="5"/>
      <c r="G4" s="3">
        <f>IF((C4-D4)&lt;0,0,C4-D4)</f>
        <v>0</v>
      </c>
      <c r="H4" s="4">
        <f>IF((D4-C4)&lt;0,0,D4-C4)</f>
        <v>9</v>
      </c>
    </row>
    <row r="5" spans="1:8" ht="25.5" customHeight="1">
      <c r="A5" s="1">
        <v>1</v>
      </c>
      <c r="B5" s="2" t="s">
        <v>11</v>
      </c>
      <c r="C5" s="1">
        <v>38</v>
      </c>
      <c r="D5" s="1">
        <v>83</v>
      </c>
      <c r="E5" s="1"/>
      <c r="F5" s="5"/>
      <c r="G5" s="3">
        <f t="shared" ref="G5:G6" si="0">IF((C5-D5)&lt;0,0,C5-D5)</f>
        <v>0</v>
      </c>
      <c r="H5" s="4">
        <f t="shared" ref="H5:H6" si="1">IF((D5-C5)&lt;0,0,D5-C5)</f>
        <v>45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59</v>
      </c>
      <c r="D21" s="1">
        <v>42</v>
      </c>
      <c r="E21" s="1"/>
      <c r="F21" s="5"/>
      <c r="G21" s="3">
        <f t="shared" ref="G21:G29" si="4">IF((C21-D21)&lt;0,0,C21-D21)</f>
        <v>17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59</v>
      </c>
      <c r="D22" s="1">
        <v>43</v>
      </c>
      <c r="E22" s="1"/>
      <c r="F22" s="5"/>
      <c r="G22" s="3">
        <f t="shared" si="4"/>
        <v>16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59</v>
      </c>
      <c r="D23" s="1">
        <v>43</v>
      </c>
      <c r="E23" s="1"/>
      <c r="F23" s="5"/>
      <c r="G23" s="3">
        <f t="shared" si="4"/>
        <v>16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59</v>
      </c>
      <c r="D24" s="1">
        <v>43</v>
      </c>
      <c r="E24" s="1"/>
      <c r="F24" s="5"/>
      <c r="G24" s="3">
        <f t="shared" si="4"/>
        <v>16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59</v>
      </c>
      <c r="D25" s="1">
        <v>43</v>
      </c>
      <c r="E25" s="1"/>
      <c r="F25" s="5"/>
      <c r="G25" s="3">
        <f t="shared" si="4"/>
        <v>16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59</v>
      </c>
      <c r="D26" s="1">
        <v>42</v>
      </c>
      <c r="E26" s="1"/>
      <c r="F26" s="5"/>
      <c r="G26" s="3">
        <f t="shared" si="4"/>
        <v>17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59</v>
      </c>
      <c r="D27" s="1">
        <v>38</v>
      </c>
      <c r="E27" s="1"/>
      <c r="F27" s="5"/>
      <c r="G27" s="3">
        <f t="shared" si="4"/>
        <v>21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50</v>
      </c>
      <c r="D35" s="1">
        <v>47</v>
      </c>
      <c r="E35" s="1">
        <v>2025</v>
      </c>
      <c r="F35" s="5"/>
      <c r="G35" s="3">
        <f t="shared" si="6"/>
        <v>3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pageSetup paperSize="6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sheetPr>
    <pageSetUpPr fitToPage="1"/>
  </sheetPr>
  <dimension ref="A1:AA157"/>
  <sheetViews>
    <sheetView topLeftCell="F1" zoomScale="70" zoomScaleNormal="70" workbookViewId="0">
      <selection activeCell="X8" sqref="X8"/>
    </sheetView>
  </sheetViews>
  <sheetFormatPr defaultRowHeight="13.9"/>
  <cols>
    <col min="1" max="1" width="9.42578125" customWidth="1"/>
    <col min="2" max="2" width="25.28515625" customWidth="1"/>
    <col min="3" max="4" width="11.140625" customWidth="1"/>
    <col min="5" max="5" width="21.7109375" customWidth="1"/>
    <col min="6" max="10" width="11.7109375" customWidth="1"/>
    <col min="11" max="11" width="21.28515625" customWidth="1"/>
    <col min="12" max="16" width="10.85546875" customWidth="1"/>
    <col min="17" max="17" width="22" customWidth="1"/>
    <col min="18" max="22" width="10.140625" customWidth="1"/>
    <col min="23" max="23" width="21.5703125" customWidth="1"/>
    <col min="24" max="27" width="9.425781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6.75">
      <c r="A5" s="1">
        <v>1</v>
      </c>
      <c r="B5" s="46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0.75" customHeight="1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55</v>
      </c>
      <c r="D16" s="5">
        <f>Table1[[#This Row],[Enrolment S.Y. 2025-2026 ]]*8</f>
        <v>440</v>
      </c>
      <c r="E16" s="5">
        <v>100</v>
      </c>
      <c r="F16" s="1"/>
      <c r="G16" s="5"/>
      <c r="H16" s="5">
        <f t="shared" si="2"/>
        <v>340</v>
      </c>
      <c r="I16" s="5">
        <f t="shared" si="3"/>
        <v>0</v>
      </c>
      <c r="J16" s="5">
        <f>Table1[[#This Row],[Enrolment S.Y. 2025-2026 ]]*8</f>
        <v>440</v>
      </c>
      <c r="K16" s="5"/>
      <c r="L16" s="1"/>
      <c r="M16" s="5"/>
      <c r="N16" s="5">
        <f t="shared" si="10"/>
        <v>440</v>
      </c>
      <c r="O16" s="5">
        <f t="shared" si="11"/>
        <v>0</v>
      </c>
      <c r="P16" s="5">
        <f>Table1[[#This Row],[Enrolment S.Y. 2025-2026 ]]*8</f>
        <v>440</v>
      </c>
      <c r="Q16" s="5"/>
      <c r="R16" s="1"/>
      <c r="S16" s="5"/>
      <c r="T16" s="5">
        <f t="shared" si="12"/>
        <v>440</v>
      </c>
      <c r="U16" s="5">
        <f t="shared" si="13"/>
        <v>0</v>
      </c>
      <c r="V16" s="5">
        <f>Table1[[#This Row],[Enrolment S.Y. 2025-2026 ]]*8</f>
        <v>440</v>
      </c>
      <c r="W16" s="5"/>
      <c r="X16" s="1"/>
      <c r="Y16" s="5"/>
      <c r="Z16" s="5">
        <f t="shared" si="14"/>
        <v>440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55</v>
      </c>
      <c r="D17" s="5">
        <f>Table1[[#This Row],[Enrolment S.Y. 2025-2026 ]]*8</f>
        <v>440</v>
      </c>
      <c r="E17" s="5">
        <v>62</v>
      </c>
      <c r="F17" s="1"/>
      <c r="G17" s="5"/>
      <c r="H17" s="5">
        <f t="shared" si="2"/>
        <v>378</v>
      </c>
      <c r="I17" s="5">
        <f t="shared" si="3"/>
        <v>0</v>
      </c>
      <c r="J17" s="5">
        <f>Table1[[#This Row],[Enrolment S.Y. 2025-2026 ]]*8</f>
        <v>440</v>
      </c>
      <c r="K17" s="5">
        <v>61</v>
      </c>
      <c r="L17" s="1"/>
      <c r="M17" s="5"/>
      <c r="N17" s="5">
        <f t="shared" si="10"/>
        <v>379</v>
      </c>
      <c r="O17" s="5">
        <f t="shared" si="11"/>
        <v>0</v>
      </c>
      <c r="P17" s="5">
        <f>Table1[[#This Row],[Enrolment S.Y. 2025-2026 ]]*8</f>
        <v>440</v>
      </c>
      <c r="Q17" s="5"/>
      <c r="R17" s="1"/>
      <c r="S17" s="5"/>
      <c r="T17" s="5">
        <f t="shared" si="12"/>
        <v>440</v>
      </c>
      <c r="U17" s="5">
        <f t="shared" si="13"/>
        <v>0</v>
      </c>
      <c r="V17" s="5">
        <f>Table1[[#This Row],[Enrolment S.Y. 2025-2026 ]]*8</f>
        <v>440</v>
      </c>
      <c r="W17" s="5"/>
      <c r="X17" s="1"/>
      <c r="Y17" s="5"/>
      <c r="Z17" s="5">
        <f t="shared" si="14"/>
        <v>440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55</v>
      </c>
      <c r="D18" s="5">
        <f>Table1[[#This Row],[Enrolment S.Y. 2025-2026 ]]*8</f>
        <v>440</v>
      </c>
      <c r="E18" s="5">
        <v>62</v>
      </c>
      <c r="F18" s="1"/>
      <c r="G18" s="5"/>
      <c r="H18" s="5">
        <f t="shared" si="2"/>
        <v>378</v>
      </c>
      <c r="I18" s="5">
        <f t="shared" si="3"/>
        <v>0</v>
      </c>
      <c r="J18" s="5">
        <f>Table1[[#This Row],[Enrolment S.Y. 2025-2026 ]]*8</f>
        <v>440</v>
      </c>
      <c r="K18" s="5"/>
      <c r="L18" s="1"/>
      <c r="M18" s="5"/>
      <c r="N18" s="5">
        <f t="shared" si="10"/>
        <v>440</v>
      </c>
      <c r="O18" s="5">
        <f t="shared" si="11"/>
        <v>0</v>
      </c>
      <c r="P18" s="5">
        <f>Table1[[#This Row],[Enrolment S.Y. 2025-2026 ]]*8</f>
        <v>440</v>
      </c>
      <c r="Q18" s="5"/>
      <c r="R18" s="1"/>
      <c r="S18" s="5"/>
      <c r="T18" s="5">
        <f t="shared" si="12"/>
        <v>440</v>
      </c>
      <c r="U18" s="5">
        <f t="shared" si="13"/>
        <v>0</v>
      </c>
      <c r="V18" s="5">
        <f>Table1[[#This Row],[Enrolment S.Y. 2025-2026 ]]*8</f>
        <v>440</v>
      </c>
      <c r="W18" s="5"/>
      <c r="X18" s="1"/>
      <c r="Y18" s="5"/>
      <c r="Z18" s="5">
        <f t="shared" si="14"/>
        <v>440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>
        <v>61</v>
      </c>
      <c r="L19" s="1"/>
      <c r="M19" s="5"/>
      <c r="N19" s="5">
        <f t="shared" si="10"/>
        <v>0</v>
      </c>
      <c r="O19" s="5">
        <f t="shared" si="11"/>
        <v>61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55</v>
      </c>
      <c r="D20" s="5">
        <f>Table1[[#This Row],[Enrolment S.Y. 2025-2026 ]]*8</f>
        <v>440</v>
      </c>
      <c r="E20" s="5">
        <v>58</v>
      </c>
      <c r="F20" s="1"/>
      <c r="G20" s="5"/>
      <c r="H20" s="5">
        <f>IF((D20-E20)&lt;0,0,(D20-E20))</f>
        <v>382</v>
      </c>
      <c r="I20" s="5">
        <f>IF((E20-D20)&lt;0,0,(E20-D20))</f>
        <v>0</v>
      </c>
      <c r="J20" s="5">
        <f>Table1[[#This Row],[Enrolment S.Y. 2025-2026 ]]*8</f>
        <v>440</v>
      </c>
      <c r="K20" s="5"/>
      <c r="L20" s="1"/>
      <c r="M20" s="5"/>
      <c r="N20" s="5">
        <f t="shared" si="10"/>
        <v>440</v>
      </c>
      <c r="O20" s="5">
        <f t="shared" si="11"/>
        <v>0</v>
      </c>
      <c r="P20" s="5">
        <f>Table1[[#This Row],[Enrolment S.Y. 2025-2026 ]]*8</f>
        <v>440</v>
      </c>
      <c r="Q20" s="5"/>
      <c r="R20" s="1"/>
      <c r="S20" s="5"/>
      <c r="T20" s="5">
        <f t="shared" si="12"/>
        <v>440</v>
      </c>
      <c r="U20" s="5">
        <f t="shared" si="13"/>
        <v>0</v>
      </c>
      <c r="V20" s="5">
        <f>Table1[[#This Row],[Enrolment S.Y. 2025-2026 ]]*8</f>
        <v>440</v>
      </c>
      <c r="W20" s="5"/>
      <c r="X20" s="1"/>
      <c r="Y20" s="5"/>
      <c r="Z20" s="5">
        <f t="shared" si="14"/>
        <v>440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41.25" customHeight="1">
      <c r="A23" s="1">
        <v>3</v>
      </c>
      <c r="B23" s="46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63</v>
      </c>
      <c r="D25" s="5">
        <f>Table1[[#This Row],[Enrolment S.Y. 2025-2026 ]]*8</f>
        <v>504</v>
      </c>
      <c r="E25" s="5">
        <v>62</v>
      </c>
      <c r="F25" s="1"/>
      <c r="G25" s="5"/>
      <c r="H25" s="5">
        <f t="shared" si="2"/>
        <v>442</v>
      </c>
      <c r="I25" s="5">
        <f t="shared" si="3"/>
        <v>0</v>
      </c>
      <c r="J25" s="5">
        <f>Table1[[#This Row],[Enrolment S.Y. 2025-2026 ]]*8</f>
        <v>504</v>
      </c>
      <c r="K25" s="5"/>
      <c r="L25" s="1"/>
      <c r="M25" s="5"/>
      <c r="N25" s="5">
        <f t="shared" si="10"/>
        <v>504</v>
      </c>
      <c r="O25" s="5">
        <f t="shared" si="11"/>
        <v>0</v>
      </c>
      <c r="P25" s="5">
        <f>Table1[[#This Row],[Enrolment S.Y. 2025-2026 ]]*8</f>
        <v>504</v>
      </c>
      <c r="Q25" s="5"/>
      <c r="R25" s="1"/>
      <c r="S25" s="5"/>
      <c r="T25" s="5">
        <f t="shared" si="12"/>
        <v>504</v>
      </c>
      <c r="U25" s="5">
        <f t="shared" si="13"/>
        <v>0</v>
      </c>
      <c r="V25" s="5">
        <f>Table1[[#This Row],[Enrolment S.Y. 2025-2026 ]]*8</f>
        <v>504</v>
      </c>
      <c r="W25" s="5"/>
      <c r="X25" s="1"/>
      <c r="Y25" s="5"/>
      <c r="Z25" s="5">
        <f t="shared" si="14"/>
        <v>504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63</v>
      </c>
      <c r="D26" s="5">
        <f>Table1[[#This Row],[Enrolment S.Y. 2025-2026 ]]*8</f>
        <v>504</v>
      </c>
      <c r="E26" s="5">
        <v>62</v>
      </c>
      <c r="F26" s="1"/>
      <c r="G26" s="5"/>
      <c r="H26" s="5">
        <f t="shared" si="2"/>
        <v>442</v>
      </c>
      <c r="I26" s="5">
        <f t="shared" si="3"/>
        <v>0</v>
      </c>
      <c r="J26" s="5">
        <f>Table1[[#This Row],[Enrolment S.Y. 2025-2026 ]]*8</f>
        <v>504</v>
      </c>
      <c r="K26" s="5"/>
      <c r="L26" s="1"/>
      <c r="M26" s="5"/>
      <c r="N26" s="5">
        <f t="shared" si="10"/>
        <v>504</v>
      </c>
      <c r="O26" s="5">
        <f t="shared" si="11"/>
        <v>0</v>
      </c>
      <c r="P26" s="5">
        <f>Table1[[#This Row],[Enrolment S.Y. 2025-2026 ]]*8</f>
        <v>504</v>
      </c>
      <c r="Q26" s="5"/>
      <c r="R26" s="1"/>
      <c r="S26" s="5"/>
      <c r="T26" s="5">
        <f t="shared" si="12"/>
        <v>504</v>
      </c>
      <c r="U26" s="5">
        <f t="shared" si="13"/>
        <v>0</v>
      </c>
      <c r="V26" s="5">
        <f>Table1[[#This Row],[Enrolment S.Y. 2025-2026 ]]*8</f>
        <v>504</v>
      </c>
      <c r="W26" s="5"/>
      <c r="X26" s="1"/>
      <c r="Y26" s="5"/>
      <c r="Z26" s="5">
        <f t="shared" si="14"/>
        <v>504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63</v>
      </c>
      <c r="D27" s="5">
        <f>Table1[[#This Row],[Enrolment S.Y. 2025-2026 ]]*8</f>
        <v>504</v>
      </c>
      <c r="E27" s="5">
        <v>62</v>
      </c>
      <c r="F27" s="1"/>
      <c r="G27" s="5"/>
      <c r="H27" s="5">
        <f t="shared" si="2"/>
        <v>442</v>
      </c>
      <c r="I27" s="5">
        <f t="shared" si="3"/>
        <v>0</v>
      </c>
      <c r="J27" s="5">
        <f>Table1[[#This Row],[Enrolment S.Y. 2025-2026 ]]*8</f>
        <v>504</v>
      </c>
      <c r="K27" s="5"/>
      <c r="L27" s="1"/>
      <c r="M27" s="5"/>
      <c r="N27" s="5">
        <f t="shared" si="10"/>
        <v>504</v>
      </c>
      <c r="O27" s="5">
        <f t="shared" si="11"/>
        <v>0</v>
      </c>
      <c r="P27" s="5">
        <f>Table1[[#This Row],[Enrolment S.Y. 2025-2026 ]]*8</f>
        <v>504</v>
      </c>
      <c r="Q27" s="5"/>
      <c r="R27" s="1"/>
      <c r="S27" s="5"/>
      <c r="T27" s="5">
        <f t="shared" si="12"/>
        <v>504</v>
      </c>
      <c r="U27" s="5">
        <f t="shared" si="13"/>
        <v>0</v>
      </c>
      <c r="V27" s="5">
        <f>Table1[[#This Row],[Enrolment S.Y. 2025-2026 ]]*8</f>
        <v>504</v>
      </c>
      <c r="W27" s="5"/>
      <c r="X27" s="1"/>
      <c r="Y27" s="5"/>
      <c r="Z27" s="5">
        <f t="shared" si="14"/>
        <v>504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63</v>
      </c>
      <c r="D28" s="5">
        <f>Table1[[#This Row],[Enrolment S.Y. 2025-2026 ]]*8</f>
        <v>504</v>
      </c>
      <c r="E28" s="5">
        <v>62</v>
      </c>
      <c r="F28" s="1"/>
      <c r="G28" s="5"/>
      <c r="H28" s="5">
        <f t="shared" si="2"/>
        <v>442</v>
      </c>
      <c r="I28" s="5">
        <f t="shared" si="3"/>
        <v>0</v>
      </c>
      <c r="J28" s="5">
        <f>Table1[[#This Row],[Enrolment S.Y. 2025-2026 ]]*8</f>
        <v>504</v>
      </c>
      <c r="K28" s="5"/>
      <c r="L28" s="1"/>
      <c r="M28" s="5"/>
      <c r="N28" s="5">
        <f t="shared" si="10"/>
        <v>504</v>
      </c>
      <c r="O28" s="5">
        <f t="shared" si="11"/>
        <v>0</v>
      </c>
      <c r="P28" s="5">
        <f>Table1[[#This Row],[Enrolment S.Y. 2025-2026 ]]*8</f>
        <v>504</v>
      </c>
      <c r="Q28" s="5"/>
      <c r="R28" s="1"/>
      <c r="S28" s="5"/>
      <c r="T28" s="5">
        <f t="shared" si="12"/>
        <v>504</v>
      </c>
      <c r="U28" s="5">
        <f t="shared" si="13"/>
        <v>0</v>
      </c>
      <c r="V28" s="5">
        <f>Table1[[#This Row],[Enrolment S.Y. 2025-2026 ]]*8</f>
        <v>504</v>
      </c>
      <c r="W28" s="5"/>
      <c r="X28" s="1"/>
      <c r="Y28" s="5"/>
      <c r="Z28" s="5">
        <f t="shared" si="14"/>
        <v>504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63</v>
      </c>
      <c r="D29" s="5">
        <f>Table1[[#This Row],[Enrolment S.Y. 2025-2026 ]]*8</f>
        <v>504</v>
      </c>
      <c r="E29" s="5">
        <v>62</v>
      </c>
      <c r="F29" s="1"/>
      <c r="G29" s="5"/>
      <c r="H29" s="5">
        <f>IF((D29-E29)&lt;0,0,(D29-E29))</f>
        <v>442</v>
      </c>
      <c r="I29" s="5">
        <f>IF((E29-D29)&lt;0,0,(E29-D29))</f>
        <v>0</v>
      </c>
      <c r="J29" s="5">
        <f>Table1[[#This Row],[Enrolment S.Y. 2025-2026 ]]*8</f>
        <v>504</v>
      </c>
      <c r="K29" s="5"/>
      <c r="L29" s="1"/>
      <c r="M29" s="5"/>
      <c r="N29" s="5">
        <f t="shared" si="10"/>
        <v>504</v>
      </c>
      <c r="O29" s="5">
        <f t="shared" si="11"/>
        <v>0</v>
      </c>
      <c r="P29" s="5">
        <f>Table1[[#This Row],[Enrolment S.Y. 2025-2026 ]]*8</f>
        <v>504</v>
      </c>
      <c r="Q29" s="5"/>
      <c r="R29" s="1"/>
      <c r="S29" s="5"/>
      <c r="T29" s="5">
        <f t="shared" si="12"/>
        <v>504</v>
      </c>
      <c r="U29" s="5">
        <f t="shared" si="13"/>
        <v>0</v>
      </c>
      <c r="V29" s="5">
        <f>Table1[[#This Row],[Enrolment S.Y. 2025-2026 ]]*8</f>
        <v>504</v>
      </c>
      <c r="W29" s="5"/>
      <c r="X29" s="1"/>
      <c r="Y29" s="5"/>
      <c r="Z29" s="5">
        <f t="shared" si="14"/>
        <v>504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63</v>
      </c>
      <c r="D30" s="5">
        <f>Table1[[#This Row],[Enrolment S.Y. 2025-2026 ]]*8</f>
        <v>504</v>
      </c>
      <c r="E30" s="5">
        <v>62</v>
      </c>
      <c r="F30" s="1"/>
      <c r="G30" s="5"/>
      <c r="H30" s="5">
        <f>IF((D30-E30)&lt;0,0,(D30-E30))</f>
        <v>442</v>
      </c>
      <c r="I30" s="5">
        <f>IF((E30-D30)&lt;0,0,(E30-D30))</f>
        <v>0</v>
      </c>
      <c r="J30" s="5">
        <f>Table1[[#This Row],[Enrolment S.Y. 2025-2026 ]]*8</f>
        <v>504</v>
      </c>
      <c r="K30" s="5"/>
      <c r="L30" s="1"/>
      <c r="M30" s="5"/>
      <c r="N30" s="5">
        <f t="shared" si="10"/>
        <v>504</v>
      </c>
      <c r="O30" s="5">
        <f t="shared" si="11"/>
        <v>0</v>
      </c>
      <c r="P30" s="5">
        <f>Table1[[#This Row],[Enrolment S.Y. 2025-2026 ]]*8</f>
        <v>504</v>
      </c>
      <c r="Q30" s="5"/>
      <c r="R30" s="1"/>
      <c r="S30" s="5"/>
      <c r="T30" s="5">
        <f t="shared" si="12"/>
        <v>504</v>
      </c>
      <c r="U30" s="5">
        <f t="shared" si="13"/>
        <v>0</v>
      </c>
      <c r="V30" s="5">
        <f>Table1[[#This Row],[Enrolment S.Y. 2025-2026 ]]*8</f>
        <v>504</v>
      </c>
      <c r="W30" s="5"/>
      <c r="X30" s="1"/>
      <c r="Y30" s="5"/>
      <c r="Z30" s="5">
        <f t="shared" si="14"/>
        <v>504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6.75">
      <c r="A37" s="1">
        <v>4</v>
      </c>
      <c r="B37" s="47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50</v>
      </c>
      <c r="D43" s="5">
        <f>Table1[[#This Row],[Enrolment S.Y. 2025-2026 ]]*8</f>
        <v>400</v>
      </c>
      <c r="E43" s="5">
        <v>35</v>
      </c>
      <c r="F43" s="1">
        <v>2025</v>
      </c>
      <c r="G43" s="5"/>
      <c r="H43" s="5">
        <f t="shared" si="2"/>
        <v>365</v>
      </c>
      <c r="I43" s="5">
        <f t="shared" si="3"/>
        <v>0</v>
      </c>
      <c r="J43" s="5">
        <f>Table1[[#This Row],[Enrolment S.Y. 2025-2026 ]]*8</f>
        <v>400</v>
      </c>
      <c r="K43" s="5"/>
      <c r="L43" s="1"/>
      <c r="M43" s="5"/>
      <c r="N43" s="5">
        <f t="shared" si="10"/>
        <v>400</v>
      </c>
      <c r="O43" s="5">
        <f t="shared" si="11"/>
        <v>0</v>
      </c>
      <c r="P43" s="5">
        <f>Table1[[#This Row],[Enrolment S.Y. 2025-2026 ]]*8</f>
        <v>400</v>
      </c>
      <c r="Q43" s="5"/>
      <c r="R43" s="1"/>
      <c r="S43" s="5"/>
      <c r="T43" s="5">
        <f t="shared" si="12"/>
        <v>400</v>
      </c>
      <c r="U43" s="5">
        <f t="shared" si="13"/>
        <v>0</v>
      </c>
      <c r="V43" s="5">
        <f>Table1[[#This Row],[Enrolment S.Y. 2025-2026 ]]*8</f>
        <v>400</v>
      </c>
      <c r="W43" s="5"/>
      <c r="X43" s="1"/>
      <c r="Y43" s="5"/>
      <c r="Z43" s="5">
        <f t="shared" si="14"/>
        <v>400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50</v>
      </c>
      <c r="D44" s="5">
        <f>Table1[[#This Row],[Enrolment S.Y. 2025-2026 ]]*8</f>
        <v>400</v>
      </c>
      <c r="E44" s="5">
        <v>35</v>
      </c>
      <c r="F44" s="1">
        <v>2025</v>
      </c>
      <c r="G44" s="5"/>
      <c r="H44" s="5">
        <f t="shared" si="2"/>
        <v>365</v>
      </c>
      <c r="I44" s="5">
        <f t="shared" si="3"/>
        <v>0</v>
      </c>
      <c r="J44" s="5">
        <f>Table1[[#This Row],[Enrolment S.Y. 2025-2026 ]]*8</f>
        <v>400</v>
      </c>
      <c r="K44" s="5"/>
      <c r="L44" s="1"/>
      <c r="M44" s="5"/>
      <c r="N44" s="5">
        <f t="shared" si="10"/>
        <v>400</v>
      </c>
      <c r="O44" s="5">
        <f t="shared" si="11"/>
        <v>0</v>
      </c>
      <c r="P44" s="5">
        <f>Table1[[#This Row],[Enrolment S.Y. 2025-2026 ]]*8</f>
        <v>400</v>
      </c>
      <c r="Q44" s="5"/>
      <c r="R44" s="1"/>
      <c r="S44" s="5"/>
      <c r="T44" s="5">
        <f t="shared" si="12"/>
        <v>400</v>
      </c>
      <c r="U44" s="5">
        <f t="shared" si="13"/>
        <v>0</v>
      </c>
      <c r="V44" s="5">
        <f>Table1[[#This Row],[Enrolment S.Y. 2025-2026 ]]*8</f>
        <v>400</v>
      </c>
      <c r="W44" s="5"/>
      <c r="X44" s="1"/>
      <c r="Y44" s="5"/>
      <c r="Z44" s="5">
        <f t="shared" si="14"/>
        <v>400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50</v>
      </c>
      <c r="D45" s="5">
        <f>Table1[[#This Row],[Enrolment S.Y. 2025-2026 ]]*8</f>
        <v>400</v>
      </c>
      <c r="E45" s="5">
        <v>35</v>
      </c>
      <c r="F45" s="1">
        <v>2025</v>
      </c>
      <c r="G45" s="5"/>
      <c r="H45" s="5">
        <f t="shared" si="2"/>
        <v>365</v>
      </c>
      <c r="I45" s="5">
        <f t="shared" si="3"/>
        <v>0</v>
      </c>
      <c r="J45" s="5">
        <f>Table1[[#This Row],[Enrolment S.Y. 2025-2026 ]]*8</f>
        <v>400</v>
      </c>
      <c r="K45" s="5"/>
      <c r="L45" s="1"/>
      <c r="M45" s="5"/>
      <c r="N45" s="5">
        <f t="shared" si="10"/>
        <v>400</v>
      </c>
      <c r="O45" s="5">
        <f t="shared" si="11"/>
        <v>0</v>
      </c>
      <c r="P45" s="5">
        <f>Table1[[#This Row],[Enrolment S.Y. 2025-2026 ]]*8</f>
        <v>400</v>
      </c>
      <c r="Q45" s="5"/>
      <c r="R45" s="1"/>
      <c r="S45" s="5"/>
      <c r="T45" s="5">
        <f t="shared" si="12"/>
        <v>400</v>
      </c>
      <c r="U45" s="5">
        <f t="shared" si="13"/>
        <v>0</v>
      </c>
      <c r="V45" s="5">
        <f>Table1[[#This Row],[Enrolment S.Y. 2025-2026 ]]*8</f>
        <v>400</v>
      </c>
      <c r="W45" s="5"/>
      <c r="X45" s="1"/>
      <c r="Y45" s="5"/>
      <c r="Z45" s="5">
        <f t="shared" si="14"/>
        <v>400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50</v>
      </c>
      <c r="D46" s="5">
        <f>Table1[[#This Row],[Enrolment S.Y. 2025-2026 ]]*8</f>
        <v>400</v>
      </c>
      <c r="E46" s="5">
        <v>35</v>
      </c>
      <c r="F46" s="1">
        <v>2025</v>
      </c>
      <c r="G46" s="5"/>
      <c r="H46" s="5">
        <f t="shared" si="2"/>
        <v>365</v>
      </c>
      <c r="I46" s="5">
        <f t="shared" si="3"/>
        <v>0</v>
      </c>
      <c r="J46" s="5">
        <f>Table1[[#This Row],[Enrolment S.Y. 2025-2026 ]]*8</f>
        <v>400</v>
      </c>
      <c r="K46" s="5"/>
      <c r="L46" s="1"/>
      <c r="M46" s="5"/>
      <c r="N46" s="5">
        <f t="shared" si="10"/>
        <v>400</v>
      </c>
      <c r="O46" s="5">
        <f t="shared" si="11"/>
        <v>0</v>
      </c>
      <c r="P46" s="5">
        <f>Table1[[#This Row],[Enrolment S.Y. 2025-2026 ]]*8</f>
        <v>400</v>
      </c>
      <c r="Q46" s="5"/>
      <c r="R46" s="1"/>
      <c r="S46" s="5"/>
      <c r="T46" s="5">
        <f t="shared" si="12"/>
        <v>400</v>
      </c>
      <c r="U46" s="5">
        <f t="shared" si="13"/>
        <v>0</v>
      </c>
      <c r="V46" s="5">
        <f>Table1[[#This Row],[Enrolment S.Y. 2025-2026 ]]*8</f>
        <v>400</v>
      </c>
      <c r="W46" s="5"/>
      <c r="X46" s="1"/>
      <c r="Y46" s="5"/>
      <c r="Z46" s="5">
        <f t="shared" si="14"/>
        <v>400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50</v>
      </c>
      <c r="D47" s="5">
        <f>Table1[[#This Row],[Enrolment S.Y. 2025-2026 ]]*8</f>
        <v>400</v>
      </c>
      <c r="E47" s="5">
        <v>35</v>
      </c>
      <c r="F47" s="1">
        <v>2025</v>
      </c>
      <c r="G47" s="5"/>
      <c r="H47" s="5">
        <f t="shared" si="2"/>
        <v>365</v>
      </c>
      <c r="I47" s="5">
        <f t="shared" si="3"/>
        <v>0</v>
      </c>
      <c r="J47" s="5">
        <f>Table1[[#This Row],[Enrolment S.Y. 2025-2026 ]]*8</f>
        <v>400</v>
      </c>
      <c r="K47" s="5"/>
      <c r="L47" s="1"/>
      <c r="M47" s="5"/>
      <c r="N47" s="5">
        <f t="shared" si="10"/>
        <v>400</v>
      </c>
      <c r="O47" s="5">
        <f t="shared" si="11"/>
        <v>0</v>
      </c>
      <c r="P47" s="5">
        <f>Table1[[#This Row],[Enrolment S.Y. 2025-2026 ]]*8</f>
        <v>400</v>
      </c>
      <c r="Q47" s="5"/>
      <c r="R47" s="1"/>
      <c r="S47" s="5"/>
      <c r="T47" s="5">
        <f t="shared" si="12"/>
        <v>400</v>
      </c>
      <c r="U47" s="5">
        <f t="shared" si="13"/>
        <v>0</v>
      </c>
      <c r="V47" s="5">
        <f>Table1[[#This Row],[Enrolment S.Y. 2025-2026 ]]*8</f>
        <v>400</v>
      </c>
      <c r="W47" s="5"/>
      <c r="X47" s="1"/>
      <c r="Y47" s="5"/>
      <c r="Z47" s="5">
        <f t="shared" si="14"/>
        <v>400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50</v>
      </c>
      <c r="D48" s="5">
        <f>Table1[[#This Row],[Enrolment S.Y. 2025-2026 ]]*8</f>
        <v>400</v>
      </c>
      <c r="E48" s="5">
        <v>35</v>
      </c>
      <c r="F48" s="1">
        <v>2025</v>
      </c>
      <c r="G48" s="5"/>
      <c r="H48" s="5">
        <f t="shared" si="2"/>
        <v>365</v>
      </c>
      <c r="I48" s="5">
        <f t="shared" si="3"/>
        <v>0</v>
      </c>
      <c r="J48" s="5">
        <f>Table1[[#This Row],[Enrolment S.Y. 2025-2026 ]]*8</f>
        <v>400</v>
      </c>
      <c r="K48" s="5"/>
      <c r="L48" s="1"/>
      <c r="M48" s="5"/>
      <c r="N48" s="5">
        <f t="shared" si="10"/>
        <v>400</v>
      </c>
      <c r="O48" s="5">
        <f t="shared" si="11"/>
        <v>0</v>
      </c>
      <c r="P48" s="5">
        <f>Table1[[#This Row],[Enrolment S.Y. 2025-2026 ]]*8</f>
        <v>400</v>
      </c>
      <c r="Q48" s="5"/>
      <c r="R48" s="1"/>
      <c r="S48" s="5"/>
      <c r="T48" s="5">
        <f t="shared" si="12"/>
        <v>400</v>
      </c>
      <c r="U48" s="5">
        <f t="shared" si="13"/>
        <v>0</v>
      </c>
      <c r="V48" s="5">
        <f>Table1[[#This Row],[Enrolment S.Y. 2025-2026 ]]*8</f>
        <v>400</v>
      </c>
      <c r="W48" s="5"/>
      <c r="X48" s="1"/>
      <c r="Y48" s="5"/>
      <c r="Z48" s="5">
        <f t="shared" si="14"/>
        <v>400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50</v>
      </c>
      <c r="D49" s="5">
        <f>Table1[[#This Row],[Enrolment S.Y. 2025-2026 ]]*8</f>
        <v>400</v>
      </c>
      <c r="E49" s="5">
        <v>35</v>
      </c>
      <c r="F49" s="1">
        <v>2025</v>
      </c>
      <c r="G49" s="5"/>
      <c r="H49" s="5">
        <f t="shared" si="2"/>
        <v>365</v>
      </c>
      <c r="I49" s="5">
        <f t="shared" si="3"/>
        <v>0</v>
      </c>
      <c r="J49" s="5">
        <f>Table1[[#This Row],[Enrolment S.Y. 2025-2026 ]]*8</f>
        <v>400</v>
      </c>
      <c r="K49" s="5"/>
      <c r="L49" s="1"/>
      <c r="M49" s="5"/>
      <c r="N49" s="5">
        <f t="shared" si="10"/>
        <v>400</v>
      </c>
      <c r="O49" s="5">
        <f t="shared" si="11"/>
        <v>0</v>
      </c>
      <c r="P49" s="5">
        <f>Table1[[#This Row],[Enrolment S.Y. 2025-2026 ]]*8</f>
        <v>400</v>
      </c>
      <c r="Q49" s="5"/>
      <c r="R49" s="1"/>
      <c r="S49" s="5"/>
      <c r="T49" s="5">
        <f t="shared" si="12"/>
        <v>400</v>
      </c>
      <c r="U49" s="5">
        <f t="shared" si="13"/>
        <v>0</v>
      </c>
      <c r="V49" s="5">
        <f>Table1[[#This Row],[Enrolment S.Y. 2025-2026 ]]*8</f>
        <v>400</v>
      </c>
      <c r="W49" s="5"/>
      <c r="X49" s="1"/>
      <c r="Y49" s="5"/>
      <c r="Z49" s="5">
        <f t="shared" si="14"/>
        <v>400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50</v>
      </c>
      <c r="D50" s="5">
        <f>Table1[[#This Row],[Enrolment S.Y. 2025-2026 ]]*8</f>
        <v>400</v>
      </c>
      <c r="E50" s="5">
        <v>35</v>
      </c>
      <c r="F50" s="1">
        <v>2025</v>
      </c>
      <c r="G50" s="5"/>
      <c r="H50" s="5">
        <f t="shared" si="2"/>
        <v>365</v>
      </c>
      <c r="I50" s="5">
        <f t="shared" si="3"/>
        <v>0</v>
      </c>
      <c r="J50" s="5">
        <f>Table1[[#This Row],[Enrolment S.Y. 2025-2026 ]]*8</f>
        <v>400</v>
      </c>
      <c r="K50" s="5"/>
      <c r="L50" s="1"/>
      <c r="M50" s="5"/>
      <c r="N50" s="5">
        <f t="shared" si="10"/>
        <v>400</v>
      </c>
      <c r="O50" s="5">
        <f t="shared" si="11"/>
        <v>0</v>
      </c>
      <c r="P50" s="5">
        <f>Table1[[#This Row],[Enrolment S.Y. 2025-2026 ]]*8</f>
        <v>400</v>
      </c>
      <c r="Q50" s="5"/>
      <c r="R50" s="1"/>
      <c r="S50" s="5"/>
      <c r="T50" s="5">
        <f t="shared" si="12"/>
        <v>400</v>
      </c>
      <c r="U50" s="5">
        <f t="shared" si="13"/>
        <v>0</v>
      </c>
      <c r="V50" s="5">
        <f>Table1[[#This Row],[Enrolment S.Y. 2025-2026 ]]*8</f>
        <v>400</v>
      </c>
      <c r="W50" s="5"/>
      <c r="X50" s="1"/>
      <c r="Y50" s="5"/>
      <c r="Z50" s="5">
        <f t="shared" si="14"/>
        <v>400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50</v>
      </c>
      <c r="D51" s="5">
        <f>Table1[[#This Row],[Enrolment S.Y. 2025-2026 ]]*8</f>
        <v>400</v>
      </c>
      <c r="E51" s="5">
        <v>35</v>
      </c>
      <c r="F51" s="1">
        <v>2025</v>
      </c>
      <c r="G51" s="5"/>
      <c r="H51" s="5">
        <f t="shared" si="2"/>
        <v>365</v>
      </c>
      <c r="I51" s="5">
        <f t="shared" si="3"/>
        <v>0</v>
      </c>
      <c r="J51" s="5">
        <f>Table1[[#This Row],[Enrolment S.Y. 2025-2026 ]]*8</f>
        <v>400</v>
      </c>
      <c r="K51" s="5"/>
      <c r="L51" s="1"/>
      <c r="M51" s="5"/>
      <c r="N51" s="5">
        <f t="shared" si="10"/>
        <v>400</v>
      </c>
      <c r="O51" s="5">
        <f t="shared" si="11"/>
        <v>0</v>
      </c>
      <c r="P51" s="5">
        <f>Table1[[#This Row],[Enrolment S.Y. 2025-2026 ]]*8</f>
        <v>400</v>
      </c>
      <c r="Q51" s="5"/>
      <c r="R51" s="1"/>
      <c r="S51" s="5"/>
      <c r="T51" s="5">
        <f t="shared" si="12"/>
        <v>400</v>
      </c>
      <c r="U51" s="5">
        <f t="shared" si="13"/>
        <v>0</v>
      </c>
      <c r="V51" s="5">
        <f>Table1[[#This Row],[Enrolment S.Y. 2025-2026 ]]*8</f>
        <v>400</v>
      </c>
      <c r="W51" s="5"/>
      <c r="X51" s="1"/>
      <c r="Y51" s="5"/>
      <c r="Z51" s="5">
        <f t="shared" si="14"/>
        <v>400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6.75">
      <c r="A57" s="1">
        <v>6</v>
      </c>
      <c r="B57" s="47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6.75">
      <c r="A67" s="10">
        <v>7</v>
      </c>
      <c r="B67" s="48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6.75">
      <c r="A108" s="1" t="s">
        <v>23</v>
      </c>
      <c r="B108" s="47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4.75">
      <c r="A109" s="1" t="s">
        <v>23</v>
      </c>
      <c r="B109" s="47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43:F51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X112:X127 F63:F71 F73:F81 F53:F61 F5:F12 F83:F91 F93:F101 F14:F21 F103:F110 R103:R110 L103:L110 X103:X110 F43:F51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25" right="0.25" top="0.75" bottom="0.75" header="0.3" footer="0.3"/>
  <pageSetup paperSize="6" fitToHeight="0" orientation="landscape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sheetPr>
    <pageSetUpPr fitToPage="1"/>
  </sheetPr>
  <dimension ref="A1:AB170"/>
  <sheetViews>
    <sheetView tabSelected="1" zoomScale="55" zoomScaleNormal="55" workbookViewId="0">
      <selection activeCell="X1" sqref="X1:AA1048576"/>
    </sheetView>
  </sheetViews>
  <sheetFormatPr defaultRowHeight="13.9"/>
  <cols>
    <col min="1" max="1" width="9.42578125" customWidth="1"/>
    <col min="2" max="2" width="23.140625" customWidth="1"/>
    <col min="3" max="4" width="11.7109375" customWidth="1"/>
    <col min="5" max="5" width="22.5703125" customWidth="1"/>
    <col min="6" max="10" width="10.85546875" customWidth="1"/>
    <col min="11" max="11" width="22.140625" customWidth="1"/>
    <col min="12" max="16" width="11.42578125" customWidth="1"/>
    <col min="17" max="17" width="22.28515625" customWidth="1"/>
    <col min="18" max="22" width="11.42578125" customWidth="1"/>
    <col min="23" max="23" width="21.85546875" customWidth="1"/>
    <col min="24" max="27" width="11.425781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6.75">
      <c r="A3" s="1">
        <v>1</v>
      </c>
      <c r="B3" s="46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6.75">
      <c r="A12" s="1">
        <v>2</v>
      </c>
      <c r="B12" s="46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6.75">
      <c r="A21" s="1">
        <v>3</v>
      </c>
      <c r="B21" s="46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6.75">
      <c r="A35" s="1">
        <v>4</v>
      </c>
      <c r="B35" s="47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6.75">
      <c r="A47" s="1">
        <v>5</v>
      </c>
      <c r="B47" s="47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6.75">
      <c r="A59" s="1">
        <v>6</v>
      </c>
      <c r="B59" s="47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6.75">
      <c r="A71" s="10">
        <v>7</v>
      </c>
      <c r="B71" s="48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23</v>
      </c>
      <c r="B118" s="47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6.75">
      <c r="A120" s="1" t="s">
        <v>23</v>
      </c>
      <c r="B120" s="47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4.75">
      <c r="A121" s="1" t="s">
        <v>23</v>
      </c>
      <c r="B121" s="47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25" right="0.25" top="0.75" bottom="0.75" header="0.3" footer="0.3"/>
  <pageSetup paperSize="6" fitToHeight="0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Ruby Baniqued</cp:lastModifiedBy>
  <cp:revision/>
  <dcterms:created xsi:type="dcterms:W3CDTF">2025-11-19T20:48:15Z</dcterms:created>
  <dcterms:modified xsi:type="dcterms:W3CDTF">2026-02-09T06:59:22Z</dcterms:modified>
  <cp:category/>
  <cp:contentStatus/>
</cp:coreProperties>
</file>