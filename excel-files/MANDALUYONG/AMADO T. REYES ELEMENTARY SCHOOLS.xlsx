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1" documentId="13_ncr:1_{BFB59F67-F0DC-4675-A682-EB0734A8026A}" xr6:coauthVersionLast="47" xr6:coauthVersionMax="47" xr10:uidLastSave="{C4E613A0-DC07-412D-90CB-9C98AADB1C8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<sst xmlns="http://schemas.openxmlformats.org/spreadsheetml/2006/main" count="388" uniqueCount="90">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</sst>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25" zoomScale="55" zoomScaleNormal="55" workbookViewId="0">
      <selection activeCell="R74" sqref="R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17</v>
      </c>
      <c r="D55" s="5">
        <f>Table14[[#This Row],[Enrolment S.Y. 2025-2026 ]]*8</f>
        <v>136</v>
      </c>
      <c r="E55" s="5">
        <v>15</v>
      </c>
      <c r="F55" s="1"/>
      <c r="G55" s="5"/>
      <c r="H55" s="5">
        <f t="shared" si="0"/>
        <v>121</v>
      </c>
      <c r="I55" s="5">
        <f t="shared" si="1"/>
        <v>0</v>
      </c>
      <c r="J55" s="5">
        <f>Table14[[#This Row],[Enrolment S.Y. 2025-2026 ]]*8</f>
        <v>136</v>
      </c>
      <c r="K55" s="5">
        <v>9</v>
      </c>
      <c r="L55" s="1"/>
      <c r="M55" s="5"/>
      <c r="N55" s="5">
        <f t="shared" si="2"/>
        <v>127</v>
      </c>
      <c r="O55" s="5">
        <f t="shared" si="3"/>
        <v>0</v>
      </c>
      <c r="P55" s="5">
        <f>Table14[[#This Row],[Enrolment S.Y. 2025-2026 ]]*8</f>
        <v>136</v>
      </c>
      <c r="Q55" s="5">
        <v>6</v>
      </c>
      <c r="R55" s="1"/>
      <c r="S55" s="5"/>
      <c r="T55" s="5">
        <f t="shared" si="4"/>
        <v>130</v>
      </c>
      <c r="U55" s="5">
        <f t="shared" si="5"/>
        <v>0</v>
      </c>
      <c r="V55" s="5">
        <f>Table14[[#This Row],[Enrolment S.Y. 2025-2026 ]]*8</f>
        <v>136</v>
      </c>
      <c r="W55" s="5">
        <v>21</v>
      </c>
      <c r="X55" s="1"/>
      <c r="Y55" s="5"/>
      <c r="Z55" s="5">
        <f t="shared" si="6"/>
        <v>115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17</v>
      </c>
      <c r="D56" s="5">
        <f>Table14[[#This Row],[Enrolment S.Y. 2025-2026 ]]*8</f>
        <v>136</v>
      </c>
      <c r="E56" s="5">
        <v>75</v>
      </c>
      <c r="F56" s="1"/>
      <c r="G56" s="5"/>
      <c r="H56" s="5">
        <f t="shared" si="0"/>
        <v>61</v>
      </c>
      <c r="I56" s="5">
        <f t="shared" si="1"/>
        <v>0</v>
      </c>
      <c r="J56" s="5">
        <f>Table14[[#This Row],[Enrolment S.Y. 2025-2026 ]]*8</f>
        <v>136</v>
      </c>
      <c r="K56" s="5">
        <v>42</v>
      </c>
      <c r="L56" s="1"/>
      <c r="M56" s="5"/>
      <c r="N56" s="5">
        <f t="shared" si="2"/>
        <v>94</v>
      </c>
      <c r="O56" s="5">
        <f t="shared" si="3"/>
        <v>0</v>
      </c>
      <c r="P56" s="5">
        <f>Table14[[#This Row],[Enrolment S.Y. 2025-2026 ]]*8</f>
        <v>136</v>
      </c>
      <c r="Q56" s="5">
        <v>18</v>
      </c>
      <c r="R56" s="1"/>
      <c r="S56" s="5"/>
      <c r="T56" s="5">
        <f t="shared" si="4"/>
        <v>118</v>
      </c>
      <c r="U56" s="5">
        <f t="shared" si="5"/>
        <v>0</v>
      </c>
      <c r="V56" s="5">
        <f>Table14[[#This Row],[Enrolment S.Y. 2025-2026 ]]*8</f>
        <v>136</v>
      </c>
      <c r="W56" s="5">
        <v>15</v>
      </c>
      <c r="X56" s="1"/>
      <c r="Y56" s="5"/>
      <c r="Z56" s="5">
        <f t="shared" si="6"/>
        <v>121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17</v>
      </c>
      <c r="D57" s="5">
        <f>Table14[[#This Row],[Enrolment S.Y. 2025-2026 ]]*8</f>
        <v>136</v>
      </c>
      <c r="E57" s="5">
        <v>55</v>
      </c>
      <c r="F57" s="1"/>
      <c r="G57" s="5"/>
      <c r="H57" s="5">
        <f t="shared" si="0"/>
        <v>81</v>
      </c>
      <c r="I57" s="5">
        <f t="shared" si="1"/>
        <v>0</v>
      </c>
      <c r="J57" s="5">
        <f>Table14[[#This Row],[Enrolment S.Y. 2025-2026 ]]*8</f>
        <v>136</v>
      </c>
      <c r="K57" s="5">
        <v>42</v>
      </c>
      <c r="L57" s="1"/>
      <c r="M57" s="5"/>
      <c r="N57" s="5">
        <f t="shared" si="2"/>
        <v>94</v>
      </c>
      <c r="O57" s="5">
        <f t="shared" si="3"/>
        <v>0</v>
      </c>
      <c r="P57" s="5">
        <f>Table14[[#This Row],[Enrolment S.Y. 2025-2026 ]]*8</f>
        <v>136</v>
      </c>
      <c r="Q57" s="5">
        <v>27</v>
      </c>
      <c r="R57" s="1"/>
      <c r="S57" s="5"/>
      <c r="T57" s="5">
        <f t="shared" si="4"/>
        <v>109</v>
      </c>
      <c r="U57" s="5">
        <f t="shared" si="5"/>
        <v>0</v>
      </c>
      <c r="V57" s="5">
        <f>Table14[[#This Row],[Enrolment S.Y. 2025-2026 ]]*8</f>
        <v>136</v>
      </c>
      <c r="W57" s="5">
        <v>27</v>
      </c>
      <c r="X57" s="1"/>
      <c r="Y57" s="5"/>
      <c r="Z57" s="5">
        <f t="shared" si="6"/>
        <v>109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17</v>
      </c>
      <c r="D58" s="5">
        <f>Table14[[#This Row],[Enrolment S.Y. 2025-2026 ]]*8</f>
        <v>136</v>
      </c>
      <c r="E58" s="5"/>
      <c r="F58" s="1"/>
      <c r="G58" s="5"/>
      <c r="H58" s="5">
        <f t="shared" si="0"/>
        <v>136</v>
      </c>
      <c r="I58" s="5">
        <f t="shared" si="1"/>
        <v>0</v>
      </c>
      <c r="J58" s="5">
        <f>Table14[[#This Row],[Enrolment S.Y. 2025-2026 ]]*8</f>
        <v>136</v>
      </c>
      <c r="K58" s="5"/>
      <c r="L58" s="1"/>
      <c r="M58" s="5"/>
      <c r="N58" s="5">
        <f t="shared" si="2"/>
        <v>136</v>
      </c>
      <c r="O58" s="5">
        <f t="shared" si="3"/>
        <v>0</v>
      </c>
      <c r="P58" s="5">
        <f>Table14[[#This Row],[Enrolment S.Y. 2025-2026 ]]*8</f>
        <v>136</v>
      </c>
      <c r="Q58" s="5">
        <v>12</v>
      </c>
      <c r="R58" s="1"/>
      <c r="S58" s="5"/>
      <c r="T58" s="5">
        <f t="shared" si="4"/>
        <v>124</v>
      </c>
      <c r="U58" s="5">
        <f t="shared" si="5"/>
        <v>0</v>
      </c>
      <c r="V58" s="5">
        <f>Table14[[#This Row],[Enrolment S.Y. 2025-2026 ]]*8</f>
        <v>136</v>
      </c>
      <c r="W58" s="5"/>
      <c r="X58" s="1"/>
      <c r="Y58" s="5"/>
      <c r="Z58" s="5">
        <f t="shared" si="6"/>
        <v>136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17</v>
      </c>
      <c r="D59" s="5">
        <f>Table14[[#This Row],[Enrolment S.Y. 2025-2026 ]]*8</f>
        <v>136</v>
      </c>
      <c r="E59" s="5"/>
      <c r="F59" s="1"/>
      <c r="G59" s="5"/>
      <c r="H59" s="5">
        <f t="shared" si="0"/>
        <v>136</v>
      </c>
      <c r="I59" s="5">
        <f t="shared" si="1"/>
        <v>0</v>
      </c>
      <c r="J59" s="5">
        <f>Table14[[#This Row],[Enrolment S.Y. 2025-2026 ]]*8</f>
        <v>136</v>
      </c>
      <c r="K59" s="5"/>
      <c r="L59" s="1"/>
      <c r="M59" s="5"/>
      <c r="N59" s="5">
        <f t="shared" si="2"/>
        <v>136</v>
      </c>
      <c r="O59" s="5">
        <f t="shared" si="3"/>
        <v>0</v>
      </c>
      <c r="P59" s="5">
        <f>Table14[[#This Row],[Enrolment S.Y. 2025-2026 ]]*8</f>
        <v>136</v>
      </c>
      <c r="Q59" s="5">
        <v>18</v>
      </c>
      <c r="R59" s="1"/>
      <c r="S59" s="5"/>
      <c r="T59" s="5">
        <f t="shared" si="4"/>
        <v>118</v>
      </c>
      <c r="U59" s="5">
        <f t="shared" si="5"/>
        <v>0</v>
      </c>
      <c r="V59" s="5">
        <f>Table14[[#This Row],[Enrolment S.Y. 2025-2026 ]]*8</f>
        <v>136</v>
      </c>
      <c r="W59" s="5">
        <v>21</v>
      </c>
      <c r="X59" s="1"/>
      <c r="Y59" s="5"/>
      <c r="Z59" s="5">
        <f t="shared" si="6"/>
        <v>115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17</v>
      </c>
      <c r="D60" s="5">
        <f>Table14[[#This Row],[Enrolment S.Y. 2025-2026 ]]*8</f>
        <v>136</v>
      </c>
      <c r="E60" s="5"/>
      <c r="F60" s="1"/>
      <c r="G60" s="5"/>
      <c r="H60" s="5">
        <f t="shared" si="0"/>
        <v>136</v>
      </c>
      <c r="I60" s="5">
        <f t="shared" si="1"/>
        <v>0</v>
      </c>
      <c r="J60" s="5">
        <f>Table14[[#This Row],[Enrolment S.Y. 2025-2026 ]]*8</f>
        <v>136</v>
      </c>
      <c r="K60" s="5"/>
      <c r="L60" s="1"/>
      <c r="M60" s="5"/>
      <c r="N60" s="5">
        <f t="shared" si="2"/>
        <v>136</v>
      </c>
      <c r="O60" s="5">
        <f t="shared" si="3"/>
        <v>0</v>
      </c>
      <c r="P60" s="5">
        <f>Table14[[#This Row],[Enrolment S.Y. 2025-2026 ]]*8</f>
        <v>136</v>
      </c>
      <c r="Q60" s="5">
        <v>12</v>
      </c>
      <c r="R60" s="1"/>
      <c r="S60" s="5"/>
      <c r="T60" s="5">
        <f t="shared" si="4"/>
        <v>124</v>
      </c>
      <c r="U60" s="5">
        <f t="shared" si="5"/>
        <v>0</v>
      </c>
      <c r="V60" s="5">
        <f>Table14[[#This Row],[Enrolment S.Y. 2025-2026 ]]*8</f>
        <v>136</v>
      </c>
      <c r="W60" s="5">
        <v>18</v>
      </c>
      <c r="X60" s="1"/>
      <c r="Y60" s="5"/>
      <c r="Z60" s="5">
        <f t="shared" si="6"/>
        <v>118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>
        <v>17</v>
      </c>
      <c r="D61" s="5">
        <f>Table14[[#This Row],[Enrolment S.Y. 2025-2026 ]]*8</f>
        <v>136</v>
      </c>
      <c r="E61" s="5"/>
      <c r="F61" s="1"/>
      <c r="G61" s="5"/>
      <c r="H61" s="5">
        <f>IF((D61-E61)&lt;0,0,(D61-E61))</f>
        <v>136</v>
      </c>
      <c r="I61" s="5">
        <f>IF((E61-D61)&lt;0,0,(E61-D61))</f>
        <v>0</v>
      </c>
      <c r="J61" s="5">
        <f>Table14[[#This Row],[Enrolment S.Y. 2025-2026 ]]*8</f>
        <v>136</v>
      </c>
      <c r="K61" s="5"/>
      <c r="L61" s="1"/>
      <c r="M61" s="5"/>
      <c r="N61" s="5">
        <f t="shared" ref="N61:N65" si="12">IF((J61-K61)&lt;0,0,(J61-K61))</f>
        <v>136</v>
      </c>
      <c r="O61" s="5">
        <f t="shared" ref="O61:O65" si="13">IF((K61-J61)&lt;0,0,(K61-J61))</f>
        <v>0</v>
      </c>
      <c r="P61" s="5">
        <f>Table14[[#This Row],[Enrolment S.Y. 2025-2026 ]]*8</f>
        <v>136</v>
      </c>
      <c r="Q61" s="5">
        <v>12</v>
      </c>
      <c r="R61" s="1"/>
      <c r="S61" s="5"/>
      <c r="T61" s="5">
        <f>IF((P61-Q61)&lt;0,0,(P61-Q61))</f>
        <v>124</v>
      </c>
      <c r="U61" s="5">
        <f>IF((Q61-P61)&lt;0,0,(Q61-P61))</f>
        <v>0</v>
      </c>
      <c r="V61" s="5">
        <f>Table14[[#This Row],[Enrolment S.Y. 2025-2026 ]]*8</f>
        <v>136</v>
      </c>
      <c r="W61" s="5">
        <v>9</v>
      </c>
      <c r="X61" s="1"/>
      <c r="Y61" s="5"/>
      <c r="Z61" s="5">
        <f>IF((V61-W61)&lt;0,0,(V61-W61))</f>
        <v>127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17</v>
      </c>
      <c r="D62" s="5">
        <f>Table14[[#This Row],[Enrolment S.Y. 2025-2026 ]]*8</f>
        <v>136</v>
      </c>
      <c r="E62" s="5"/>
      <c r="F62" s="1"/>
      <c r="G62" s="5"/>
      <c r="H62" s="5">
        <f t="shared" si="0"/>
        <v>136</v>
      </c>
      <c r="I62" s="5">
        <f t="shared" si="1"/>
        <v>0</v>
      </c>
      <c r="J62" s="5">
        <f>Table14[[#This Row],[Enrolment S.Y. 2025-2026 ]]*8</f>
        <v>136</v>
      </c>
      <c r="K62" s="5"/>
      <c r="L62" s="1"/>
      <c r="M62" s="5"/>
      <c r="N62" s="5">
        <f t="shared" si="12"/>
        <v>136</v>
      </c>
      <c r="O62" s="5">
        <f t="shared" si="13"/>
        <v>0</v>
      </c>
      <c r="P62" s="5">
        <f>Table14[[#This Row],[Enrolment S.Y. 2025-2026 ]]*8</f>
        <v>136</v>
      </c>
      <c r="Q62" s="5">
        <v>21</v>
      </c>
      <c r="R62" s="1"/>
      <c r="S62" s="5"/>
      <c r="T62" s="5">
        <f t="shared" si="4"/>
        <v>115</v>
      </c>
      <c r="U62" s="5">
        <f t="shared" si="5"/>
        <v>0</v>
      </c>
      <c r="V62" s="5">
        <f>Table14[[#This Row],[Enrolment S.Y. 2025-2026 ]]*8</f>
        <v>136</v>
      </c>
      <c r="W62" s="5">
        <v>27</v>
      </c>
      <c r="X62" s="1"/>
      <c r="Y62" s="5"/>
      <c r="Z62" s="5">
        <f t="shared" si="6"/>
        <v>109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17</v>
      </c>
      <c r="D63" s="5">
        <f>Table14[[#This Row],[Enrolment S.Y. 2025-2026 ]]*8</f>
        <v>136</v>
      </c>
      <c r="E63" s="5"/>
      <c r="F63" s="1"/>
      <c r="G63" s="5"/>
      <c r="H63" s="5">
        <f t="shared" si="0"/>
        <v>136</v>
      </c>
      <c r="I63" s="5">
        <f t="shared" si="1"/>
        <v>0</v>
      </c>
      <c r="J63" s="5">
        <f>Table14[[#This Row],[Enrolment S.Y. 2025-2026 ]]*8</f>
        <v>136</v>
      </c>
      <c r="K63" s="5"/>
      <c r="L63" s="1"/>
      <c r="M63" s="5"/>
      <c r="N63" s="5">
        <f t="shared" si="12"/>
        <v>136</v>
      </c>
      <c r="O63" s="5">
        <f t="shared" si="13"/>
        <v>0</v>
      </c>
      <c r="P63" s="5">
        <f>Table14[[#This Row],[Enrolment S.Y. 2025-2026 ]]*8</f>
        <v>136</v>
      </c>
      <c r="Q63" s="5"/>
      <c r="R63" s="1"/>
      <c r="S63" s="5"/>
      <c r="T63" s="5">
        <f t="shared" si="4"/>
        <v>136</v>
      </c>
      <c r="U63" s="5">
        <f t="shared" si="5"/>
        <v>0</v>
      </c>
      <c r="V63" s="5">
        <f>Table14[[#This Row],[Enrolment S.Y. 2025-2026 ]]*8</f>
        <v>136</v>
      </c>
      <c r="W63" s="5"/>
      <c r="X63" s="1"/>
      <c r="Y63" s="5"/>
      <c r="Z63" s="5">
        <f t="shared" si="6"/>
        <v>136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>
        <v>17</v>
      </c>
      <c r="D64" s="5">
        <f>Table14[[#This Row],[Enrolment S.Y. 2025-2026 ]]*8</f>
        <v>136</v>
      </c>
      <c r="E64" s="5"/>
      <c r="F64" s="1"/>
      <c r="G64" s="5"/>
      <c r="H64" s="5">
        <f>IF((D64-E64)&lt;0,0,(D64-E64))</f>
        <v>136</v>
      </c>
      <c r="I64" s="5">
        <f>IF((E64-D64)&lt;0,0,(E64-D64))</f>
        <v>0</v>
      </c>
      <c r="J64" s="5">
        <f>Table14[[#This Row],[Enrolment S.Y. 2025-2026 ]]*8</f>
        <v>136</v>
      </c>
      <c r="K64" s="5"/>
      <c r="L64" s="1"/>
      <c r="M64" s="5"/>
      <c r="N64" s="5">
        <f t="shared" si="12"/>
        <v>136</v>
      </c>
      <c r="O64" s="5">
        <f t="shared" si="13"/>
        <v>0</v>
      </c>
      <c r="P64" s="5">
        <f>Table14[[#This Row],[Enrolment S.Y. 2025-2026 ]]*8</f>
        <v>136</v>
      </c>
      <c r="Q64" s="5">
        <v>9</v>
      </c>
      <c r="R64" s="1"/>
      <c r="S64" s="5"/>
      <c r="T64" s="5">
        <f>IF((P64-Q64)&lt;0,0,(P64-Q64))</f>
        <v>127</v>
      </c>
      <c r="U64" s="5">
        <f>IF((Q64-P64)&lt;0,0,(Q64-P64))</f>
        <v>0</v>
      </c>
      <c r="V64" s="5">
        <f>Table14[[#This Row],[Enrolment S.Y. 2025-2026 ]]*8</f>
        <v>136</v>
      </c>
      <c r="W64" s="5">
        <v>9</v>
      </c>
      <c r="X64" s="1"/>
      <c r="Y64" s="5"/>
      <c r="Z64" s="5">
        <f>IF((V64-W64)&lt;0,0,(V64-W64))</f>
        <v>127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17</v>
      </c>
      <c r="D65" s="5">
        <f>Table14[[#This Row],[Enrolment S.Y. 2025-2026 ]]*8</f>
        <v>136</v>
      </c>
      <c r="E65" s="5"/>
      <c r="F65" s="1"/>
      <c r="G65" s="5"/>
      <c r="H65" s="5">
        <f t="shared" si="0"/>
        <v>136</v>
      </c>
      <c r="I65" s="5">
        <f t="shared" si="1"/>
        <v>0</v>
      </c>
      <c r="J65" s="5">
        <f>Table14[[#This Row],[Enrolment S.Y. 2025-2026 ]]*8</f>
        <v>136</v>
      </c>
      <c r="K65" s="5"/>
      <c r="L65" s="1"/>
      <c r="M65" s="5"/>
      <c r="N65" s="5">
        <f t="shared" si="12"/>
        <v>136</v>
      </c>
      <c r="O65" s="5">
        <f t="shared" si="13"/>
        <v>0</v>
      </c>
      <c r="P65" s="5">
        <f>Table14[[#This Row],[Enrolment S.Y. 2025-2026 ]]*8</f>
        <v>136</v>
      </c>
      <c r="Q65" s="5">
        <v>9</v>
      </c>
      <c r="R65" s="1"/>
      <c r="S65" s="5"/>
      <c r="T65" s="5">
        <f t="shared" si="4"/>
        <v>127</v>
      </c>
      <c r="U65" s="5">
        <f t="shared" si="5"/>
        <v>0</v>
      </c>
      <c r="V65" s="5">
        <f>Table14[[#This Row],[Enrolment S.Y. 2025-2026 ]]*8</f>
        <v>136</v>
      </c>
      <c r="W65" s="5">
        <v>24</v>
      </c>
      <c r="X65" s="1"/>
      <c r="Y65" s="5"/>
      <c r="Z65" s="5">
        <f t="shared" si="6"/>
        <v>112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2026-02-09T03:18:55Z</dcterms:modified>
  <cp:category/>
  <cp:contentStatus/>
</cp:coreProperties>
</file>