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1" documentId="13_ncr:1_{BFB59F67-F0DC-4675-A682-EB0734A8026A}" xr6:coauthVersionLast="47" xr6:coauthVersionMax="47" xr10:uidLastSave="{C20CE82A-9230-405E-A9C4-51FE34BDDAB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6" i="5" l="1"/>
  <c r="W55" i="5"/>
  <c r="W65" i="5"/>
  <c r="W60" i="5"/>
  <c r="W57" i="5"/>
  <c r="W61" i="5"/>
  <c r="W59" i="5"/>
  <c r="W62" i="5"/>
  <c r="W64" i="5"/>
  <c r="Q62" i="5"/>
  <c r="Q59" i="5"/>
  <c r="Q58" i="5"/>
  <c r="Q55" i="5"/>
  <c r="Q57" i="5"/>
  <c r="Q60" i="5"/>
  <c r="Q61" i="5"/>
  <c r="Q64" i="5"/>
  <c r="Q56" i="5"/>
  <c r="Q65" i="5"/>
  <c r="K55" i="5"/>
  <c r="K57" i="5"/>
  <c r="K56" i="5"/>
  <c r="E57" i="5"/>
  <c r="E56" i="5"/>
  <c r="E55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<sst xmlns="http://schemas.openxmlformats.org/spreadsheetml/2006/main" count="259" uniqueCount="80">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</sst>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E2" activeCellId="5" sqref="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248</v>
      </c>
      <c r="D31" s="1">
        <v>276</v>
      </c>
      <c r="E31" s="1"/>
      <c r="F31" s="5" t="s">
        <v>20</v>
      </c>
      <c r="G31" s="3">
        <f t="shared" ref="G31:G39" si="6">IF((C31-D31)&lt;0,0,C31-D31)</f>
        <v>0</v>
      </c>
      <c r="H31" s="4">
        <f t="shared" ref="H31:H39" si="7">IF((D31-C31)&lt;0,0,D31-C31)</f>
        <v>28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248</v>
      </c>
      <c r="D35" s="1">
        <v>248</v>
      </c>
      <c r="E35" s="1">
        <v>2025</v>
      </c>
      <c r="F35" s="5" t="s">
        <v>20</v>
      </c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248</v>
      </c>
      <c r="D36" s="1">
        <v>276</v>
      </c>
      <c r="E36" s="1"/>
      <c r="F36" s="5" t="s">
        <v>20</v>
      </c>
      <c r="G36" s="3">
        <f t="shared" si="6"/>
        <v>0</v>
      </c>
      <c r="H36" s="4">
        <f t="shared" si="7"/>
        <v>28</v>
      </c>
    </row>
    <row r="37" spans="1:8" ht="27.75" customHeight="1">
      <c r="A37" s="1">
        <v>5</v>
      </c>
      <c r="B37" s="9" t="s">
        <v>17</v>
      </c>
      <c r="C37" s="1">
        <v>248</v>
      </c>
      <c r="D37" s="1">
        <v>276</v>
      </c>
      <c r="E37" s="1"/>
      <c r="F37" s="5" t="s">
        <v>20</v>
      </c>
      <c r="G37" s="3">
        <f t="shared" si="6"/>
        <v>0</v>
      </c>
      <c r="H37" s="4">
        <f t="shared" si="7"/>
        <v>28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zoomScale="70" zoomScaleNormal="70" workbookViewId="0">
      <pane xSplit="2" ySplit="2" topLeftCell="C57" activePane="bottomRight" state="frozen"/>
      <selection pane="bottomRight" activeCell="AC133" sqref="AC133"/>
      <selection pane="bottomLeft"/>
      <selection pane="topRight"/>
    </sheetView>
  </sheetViews>
  <sheetFormatPr defaultRowHeight="13.9"/>
  <cols>
    <col min="1" max="1" width="9.42578125" customWidth="1"/>
    <col min="2" max="2" width="24.140625" customWidth="1"/>
    <col min="3" max="4" width="11.140625" customWidth="1"/>
    <col min="5" max="5" width="19.85546875" customWidth="1"/>
    <col min="6" max="10" width="11.140625" customWidth="1"/>
    <col min="11" max="11" width="19.42578125" customWidth="1"/>
    <col min="12" max="16" width="10.42578125" customWidth="1"/>
    <col min="17" max="17" width="21" customWidth="1"/>
    <col min="18" max="22" width="10.140625" customWidth="1"/>
    <col min="23" max="23" width="19.7109375" customWidth="1"/>
    <col min="24" max="27" width="9.7109375" customWidth="1"/>
  </cols>
  <sheetData>
    <row r="1" spans="1:27" s="25" customFormat="1" ht="34.15" customHeight="1">
      <c r="D1" s="38" t="s">
        <v>21</v>
      </c>
      <c r="E1" s="38"/>
      <c r="F1" s="38"/>
      <c r="G1" s="38"/>
      <c r="H1" s="38"/>
      <c r="I1" s="38"/>
      <c r="J1" s="39" t="s">
        <v>22</v>
      </c>
      <c r="K1" s="39"/>
      <c r="L1" s="39"/>
      <c r="M1" s="39"/>
      <c r="N1" s="39"/>
      <c r="O1" s="39"/>
      <c r="P1" s="40" t="s">
        <v>23</v>
      </c>
      <c r="Q1" s="40"/>
      <c r="R1" s="40"/>
      <c r="S1" s="40"/>
      <c r="T1" s="40"/>
      <c r="U1" s="40"/>
      <c r="V1" s="41" t="s">
        <v>24</v>
      </c>
      <c r="W1" s="41"/>
      <c r="X1" s="41"/>
      <c r="Y1" s="41"/>
      <c r="Z1" s="41"/>
      <c r="AA1" s="41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6.75">
      <c r="A5" s="1">
        <v>1</v>
      </c>
      <c r="B5" s="37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6.75">
      <c r="A14" s="1">
        <v>2</v>
      </c>
      <c r="B14" s="37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265</v>
      </c>
      <c r="D17" s="5">
        <f>Table1[[#This Row],[Enrolment S.Y. 2025-2026 ]]*8</f>
        <v>2120</v>
      </c>
      <c r="E17" s="5"/>
      <c r="F17" s="1"/>
      <c r="G17" s="5"/>
      <c r="H17" s="5">
        <f t="shared" si="2"/>
        <v>2120</v>
      </c>
      <c r="I17" s="5">
        <f t="shared" si="3"/>
        <v>0</v>
      </c>
      <c r="J17" s="5">
        <f>Table1[[#This Row],[Enrolment S.Y. 2025-2026 ]]*8</f>
        <v>2120</v>
      </c>
      <c r="K17" s="5">
        <v>261</v>
      </c>
      <c r="L17" s="1">
        <v>2025</v>
      </c>
      <c r="M17" s="5" t="s">
        <v>51</v>
      </c>
      <c r="N17" s="5">
        <f t="shared" si="10"/>
        <v>1859</v>
      </c>
      <c r="O17" s="5">
        <f t="shared" si="11"/>
        <v>0</v>
      </c>
      <c r="P17" s="5">
        <f>Table1[[#This Row],[Enrolment S.Y. 2025-2026 ]]*8</f>
        <v>2120</v>
      </c>
      <c r="Q17" s="5"/>
      <c r="R17" s="1"/>
      <c r="S17" s="5"/>
      <c r="T17" s="5">
        <f t="shared" si="12"/>
        <v>2120</v>
      </c>
      <c r="U17" s="5">
        <f t="shared" si="13"/>
        <v>0</v>
      </c>
      <c r="V17" s="5">
        <f>Table1[[#This Row],[Enrolment S.Y. 2025-2026 ]]*8</f>
        <v>2120</v>
      </c>
      <c r="W17" s="5"/>
      <c r="X17" s="1"/>
      <c r="Y17" s="5"/>
      <c r="Z17" s="5">
        <f t="shared" si="14"/>
        <v>2120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265</v>
      </c>
      <c r="D18" s="5">
        <f>Table1[[#This Row],[Enrolment S.Y. 2025-2026 ]]*8</f>
        <v>2120</v>
      </c>
      <c r="E18" s="5"/>
      <c r="F18" s="1"/>
      <c r="G18" s="5"/>
      <c r="H18" s="5">
        <f t="shared" si="2"/>
        <v>2120</v>
      </c>
      <c r="I18" s="5">
        <f t="shared" si="3"/>
        <v>0</v>
      </c>
      <c r="J18" s="5">
        <f>Table1[[#This Row],[Enrolment S.Y. 2025-2026 ]]*8</f>
        <v>2120</v>
      </c>
      <c r="K18" s="5">
        <v>249</v>
      </c>
      <c r="L18" s="1">
        <v>2025</v>
      </c>
      <c r="M18" s="5" t="s">
        <v>51</v>
      </c>
      <c r="N18" s="5">
        <f t="shared" si="10"/>
        <v>1871</v>
      </c>
      <c r="O18" s="5">
        <f t="shared" si="11"/>
        <v>0</v>
      </c>
      <c r="P18" s="5">
        <f>Table1[[#This Row],[Enrolment S.Y. 2025-2026 ]]*8</f>
        <v>2120</v>
      </c>
      <c r="Q18" s="5"/>
      <c r="R18" s="1"/>
      <c r="S18" s="5"/>
      <c r="T18" s="5">
        <f t="shared" si="12"/>
        <v>2120</v>
      </c>
      <c r="U18" s="5">
        <f t="shared" si="13"/>
        <v>0</v>
      </c>
      <c r="V18" s="5">
        <f>Table1[[#This Row],[Enrolment S.Y. 2025-2026 ]]*8</f>
        <v>2120</v>
      </c>
      <c r="W18" s="5"/>
      <c r="X18" s="1"/>
      <c r="Y18" s="5"/>
      <c r="Z18" s="5">
        <f t="shared" si="14"/>
        <v>2120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265</v>
      </c>
      <c r="D19" s="5">
        <f>Table1[[#This Row],[Enrolment S.Y. 2025-2026 ]]*8</f>
        <v>2120</v>
      </c>
      <c r="E19" s="5"/>
      <c r="F19" s="1"/>
      <c r="G19" s="5"/>
      <c r="H19" s="5">
        <f>IF((D19-E19)&lt;0,0,(D19-E19))</f>
        <v>2120</v>
      </c>
      <c r="I19" s="5">
        <f>IF((E19-D19)&lt;0,0,(E19-D19))</f>
        <v>0</v>
      </c>
      <c r="J19" s="5">
        <f>Table1[[#This Row],[Enrolment S.Y. 2025-2026 ]]*8</f>
        <v>2120</v>
      </c>
      <c r="K19" s="5">
        <v>261</v>
      </c>
      <c r="L19" s="1">
        <v>2025</v>
      </c>
      <c r="M19" s="5" t="s">
        <v>51</v>
      </c>
      <c r="N19" s="5">
        <f t="shared" si="10"/>
        <v>1859</v>
      </c>
      <c r="O19" s="5">
        <f t="shared" si="11"/>
        <v>0</v>
      </c>
      <c r="P19" s="5">
        <f>Table1[[#This Row],[Enrolment S.Y. 2025-2026 ]]*8</f>
        <v>2120</v>
      </c>
      <c r="Q19" s="5"/>
      <c r="R19" s="1"/>
      <c r="S19" s="5"/>
      <c r="T19" s="5">
        <f t="shared" si="12"/>
        <v>2120</v>
      </c>
      <c r="U19" s="5">
        <f t="shared" si="13"/>
        <v>0</v>
      </c>
      <c r="V19" s="5">
        <f>Table1[[#This Row],[Enrolment S.Y. 2025-2026 ]]*8</f>
        <v>2120</v>
      </c>
      <c r="W19" s="5"/>
      <c r="X19" s="1"/>
      <c r="Y19" s="5"/>
      <c r="Z19" s="5">
        <f t="shared" si="14"/>
        <v>2120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265</v>
      </c>
      <c r="D20" s="5">
        <f>Table1[[#This Row],[Enrolment S.Y. 2025-2026 ]]*8</f>
        <v>2120</v>
      </c>
      <c r="E20" s="5"/>
      <c r="F20" s="1"/>
      <c r="G20" s="5"/>
      <c r="H20" s="5">
        <f>IF((D20-E20)&lt;0,0,(D20-E20))</f>
        <v>2120</v>
      </c>
      <c r="I20" s="5">
        <f>IF((E20-D20)&lt;0,0,(E20-D20))</f>
        <v>0</v>
      </c>
      <c r="J20" s="5">
        <f>Table1[[#This Row],[Enrolment S.Y. 2025-2026 ]]*8</f>
        <v>2120</v>
      </c>
      <c r="K20" s="5">
        <v>249</v>
      </c>
      <c r="L20" s="1">
        <v>2025</v>
      </c>
      <c r="M20" s="5" t="s">
        <v>51</v>
      </c>
      <c r="N20" s="5">
        <f t="shared" si="10"/>
        <v>1871</v>
      </c>
      <c r="O20" s="5">
        <f t="shared" si="11"/>
        <v>0</v>
      </c>
      <c r="P20" s="5">
        <f>Table1[[#This Row],[Enrolment S.Y. 2025-2026 ]]*8</f>
        <v>2120</v>
      </c>
      <c r="Q20" s="5"/>
      <c r="R20" s="1"/>
      <c r="S20" s="5"/>
      <c r="T20" s="5">
        <f t="shared" si="12"/>
        <v>2120</v>
      </c>
      <c r="U20" s="5">
        <f t="shared" si="13"/>
        <v>0</v>
      </c>
      <c r="V20" s="5">
        <f>Table1[[#This Row],[Enrolment S.Y. 2025-2026 ]]*8</f>
        <v>2120</v>
      </c>
      <c r="W20" s="5"/>
      <c r="X20" s="1"/>
      <c r="Y20" s="5"/>
      <c r="Z20" s="5">
        <f t="shared" si="14"/>
        <v>2120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5">
      <c r="A23" s="1">
        <v>3</v>
      </c>
      <c r="B23" s="35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36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.75">
      <c r="A47" s="1">
        <v>5</v>
      </c>
      <c r="B47" s="36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36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23:C31 C33:C41 C43:C51 C53:C61 C5:C12 C14:C21" name="Textbooks"/>
    <protectedRange sqref="J2:L3 D2:F3 H5:L5 D14:F21 Q14:R21 W14:X21 D23:F31 Q23:R31 W23:X31 D33:F41 H33:I41 Q33:R41 W33:X41 D43:F51 H43:I51 Q43:R51 W43:X51 D53:F61 H53:I61 Q53:R61 W53:X61 T5:X12 H14:I21 H23:I31 H6:I12 K6:L12 K33:L41 K43:L51 K53:L61 N4:P4 T4:V4 J4 K14:L21 N3:R3 Y13 K23:L31 N13:P61 P2:R2 V2:X3 T13:V61 J6:J61 Z4:AA61 D5:F12 N5:R12" name="LAS"/>
    <protectedRange sqref="G2:I3 M2:O2 S2:U3 Y2:AA3 G33:G41 G43:G51 G53:G61 S4:S61 G5:G12 M5:M12 Y14:Y61 Y5:Y12 G14:G21 M3 M14:M61 G23:G3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Y14:Y61 S4:S61 G5:G12 M5:M12 Y5:Y12 G14:G21 G23:G31 G33:G41 G43:G51 G53:G61 M14:M61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abSelected="1" zoomScale="55" zoomScaleNormal="55" workbookViewId="0">
      <pane xSplit="2" ySplit="2" topLeftCell="V133" activePane="bottomRight" state="frozen"/>
      <selection pane="bottomRight" activeCell="A66" sqref="A66:AA140"/>
      <selection pane="bottomLeft"/>
      <selection pane="topRight"/>
    </sheetView>
  </sheetViews>
  <sheetFormatPr defaultRowHeight="13.9"/>
  <cols>
    <col min="1" max="1" width="9.42578125" customWidth="1"/>
    <col min="2" max="2" width="23.7109375" customWidth="1"/>
    <col min="3" max="4" width="10.42578125" customWidth="1"/>
    <col min="5" max="5" width="21.28515625" customWidth="1"/>
    <col min="6" max="10" width="12" customWidth="1"/>
    <col min="11" max="11" width="22.140625" customWidth="1"/>
    <col min="12" max="16" width="11.28515625" customWidth="1"/>
    <col min="17" max="17" width="21.28515625" customWidth="1"/>
    <col min="18" max="22" width="11.85546875" customWidth="1"/>
    <col min="23" max="23" width="21.5703125" customWidth="1"/>
    <col min="24" max="24" width="10" customWidth="1"/>
    <col min="25" max="25" width="11.7109375" customWidth="1"/>
    <col min="26" max="27" width="10" customWidth="1"/>
  </cols>
  <sheetData>
    <row r="1" spans="1:27" s="25" customFormat="1" ht="34.15" customHeight="1">
      <c r="B1" s="29"/>
      <c r="D1" s="38" t="s">
        <v>21</v>
      </c>
      <c r="E1" s="38"/>
      <c r="F1" s="38"/>
      <c r="G1" s="38"/>
      <c r="H1" s="38"/>
      <c r="I1" s="38"/>
      <c r="J1" s="39" t="s">
        <v>22</v>
      </c>
      <c r="K1" s="39"/>
      <c r="L1" s="39"/>
      <c r="M1" s="39"/>
      <c r="N1" s="39"/>
      <c r="O1" s="39"/>
      <c r="P1" s="40" t="s">
        <v>23</v>
      </c>
      <c r="Q1" s="40"/>
      <c r="R1" s="40"/>
      <c r="S1" s="40"/>
      <c r="T1" s="40"/>
      <c r="U1" s="40"/>
      <c r="V1" s="41" t="s">
        <v>24</v>
      </c>
      <c r="W1" s="41"/>
      <c r="X1" s="41"/>
      <c r="Y1" s="41"/>
      <c r="Z1" s="41"/>
      <c r="AA1" s="41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27" customHeight="1">
      <c r="A3" s="1">
        <v>1</v>
      </c>
      <c r="B3" s="37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28.5" customHeight="1">
      <c r="A12" s="1">
        <v>2</v>
      </c>
      <c r="B12" s="37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>
        <v>261</v>
      </c>
      <c r="L15" s="1">
        <v>2025</v>
      </c>
      <c r="M15" s="5" t="s">
        <v>51</v>
      </c>
      <c r="N15" s="5">
        <f t="shared" si="2"/>
        <v>0</v>
      </c>
      <c r="O15" s="5">
        <f t="shared" si="3"/>
        <v>261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>
        <v>261</v>
      </c>
      <c r="L17" s="1">
        <v>2025</v>
      </c>
      <c r="M17" s="5" t="s">
        <v>51</v>
      </c>
      <c r="N17" s="5">
        <f t="shared" si="2"/>
        <v>0</v>
      </c>
      <c r="O17" s="5">
        <f t="shared" si="3"/>
        <v>261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24.75" customHeight="1">
      <c r="A21" s="1">
        <v>3</v>
      </c>
      <c r="B21" s="37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36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6.75">
      <c r="A47" s="1">
        <v>5</v>
      </c>
      <c r="B47" s="36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218</v>
      </c>
      <c r="D55" s="5">
        <f>Table14[[#This Row],[Enrolment S.Y. 2025-2026 ]]*8</f>
        <v>1744</v>
      </c>
      <c r="E55" s="5">
        <f>65*3</f>
        <v>195</v>
      </c>
      <c r="F55" s="1">
        <v>2025</v>
      </c>
      <c r="G55" s="5" t="s">
        <v>51</v>
      </c>
      <c r="H55" s="5">
        <f t="shared" si="0"/>
        <v>1549</v>
      </c>
      <c r="I55" s="5">
        <f t="shared" si="1"/>
        <v>0</v>
      </c>
      <c r="J55" s="5">
        <f>Table14[[#This Row],[Enrolment S.Y. 2025-2026 ]]*8</f>
        <v>1744</v>
      </c>
      <c r="K55" s="5">
        <f>41*3</f>
        <v>123</v>
      </c>
      <c r="L55" s="1">
        <v>2025</v>
      </c>
      <c r="M55" s="5" t="s">
        <v>51</v>
      </c>
      <c r="N55" s="5">
        <f t="shared" si="2"/>
        <v>1621</v>
      </c>
      <c r="O55" s="5">
        <f t="shared" si="3"/>
        <v>0</v>
      </c>
      <c r="P55" s="5">
        <f>Table14[[#This Row],[Enrolment S.Y. 2025-2026 ]]*8</f>
        <v>1744</v>
      </c>
      <c r="Q55" s="5">
        <f>41*2</f>
        <v>82</v>
      </c>
      <c r="R55" s="1">
        <v>2025</v>
      </c>
      <c r="S55" s="5" t="s">
        <v>51</v>
      </c>
      <c r="T55" s="5">
        <f t="shared" si="4"/>
        <v>1662</v>
      </c>
      <c r="U55" s="5">
        <f t="shared" si="5"/>
        <v>0</v>
      </c>
      <c r="V55" s="5">
        <f>Table14[[#This Row],[Enrolment S.Y. 2025-2026 ]]*8</f>
        <v>1744</v>
      </c>
      <c r="W55" s="5">
        <f>41*7</f>
        <v>287</v>
      </c>
      <c r="X55" s="1">
        <v>2025</v>
      </c>
      <c r="Y55" s="5" t="s">
        <v>51</v>
      </c>
      <c r="Z55" s="5">
        <f t="shared" si="6"/>
        <v>1457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218</v>
      </c>
      <c r="D56" s="5">
        <f>Table14[[#This Row],[Enrolment S.Y. 2025-2026 ]]*8</f>
        <v>1744</v>
      </c>
      <c r="E56" s="5">
        <f>65*15</f>
        <v>975</v>
      </c>
      <c r="F56" s="1">
        <v>2025</v>
      </c>
      <c r="G56" s="5" t="s">
        <v>51</v>
      </c>
      <c r="H56" s="5">
        <f t="shared" si="0"/>
        <v>769</v>
      </c>
      <c r="I56" s="5">
        <f t="shared" si="1"/>
        <v>0</v>
      </c>
      <c r="J56" s="5">
        <f>Table14[[#This Row],[Enrolment S.Y. 2025-2026 ]]*8</f>
        <v>1744</v>
      </c>
      <c r="K56" s="5">
        <f>41*14</f>
        <v>574</v>
      </c>
      <c r="L56" s="1">
        <v>2025</v>
      </c>
      <c r="M56" s="5" t="s">
        <v>51</v>
      </c>
      <c r="N56" s="5">
        <f t="shared" si="2"/>
        <v>1170</v>
      </c>
      <c r="O56" s="5">
        <f t="shared" si="3"/>
        <v>0</v>
      </c>
      <c r="P56" s="5">
        <f>Table14[[#This Row],[Enrolment S.Y. 2025-2026 ]]*8</f>
        <v>1744</v>
      </c>
      <c r="Q56" s="5">
        <f>41*6</f>
        <v>246</v>
      </c>
      <c r="R56" s="1">
        <v>2025</v>
      </c>
      <c r="S56" s="5" t="s">
        <v>51</v>
      </c>
      <c r="T56" s="5">
        <f t="shared" si="4"/>
        <v>1498</v>
      </c>
      <c r="U56" s="5">
        <f t="shared" si="5"/>
        <v>0</v>
      </c>
      <c r="V56" s="5">
        <f>Table14[[#This Row],[Enrolment S.Y. 2025-2026 ]]*8</f>
        <v>1744</v>
      </c>
      <c r="W56" s="5">
        <f>41*5</f>
        <v>205</v>
      </c>
      <c r="X56" s="1">
        <v>2025</v>
      </c>
      <c r="Y56" s="5" t="s">
        <v>51</v>
      </c>
      <c r="Z56" s="5">
        <f t="shared" si="6"/>
        <v>1539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218</v>
      </c>
      <c r="D57" s="5">
        <f>Table14[[#This Row],[Enrolment S.Y. 2025-2026 ]]*8</f>
        <v>1744</v>
      </c>
      <c r="E57" s="5">
        <f>65*11</f>
        <v>715</v>
      </c>
      <c r="F57" s="1">
        <v>2025</v>
      </c>
      <c r="G57" s="5" t="s">
        <v>51</v>
      </c>
      <c r="H57" s="5">
        <f t="shared" si="0"/>
        <v>1029</v>
      </c>
      <c r="I57" s="5">
        <f t="shared" si="1"/>
        <v>0</v>
      </c>
      <c r="J57" s="5">
        <f>Table14[[#This Row],[Enrolment S.Y. 2025-2026 ]]*8</f>
        <v>1744</v>
      </c>
      <c r="K57" s="5">
        <f>41*14</f>
        <v>574</v>
      </c>
      <c r="L57" s="1">
        <v>2025</v>
      </c>
      <c r="M57" s="5" t="s">
        <v>51</v>
      </c>
      <c r="N57" s="5">
        <f t="shared" si="2"/>
        <v>1170</v>
      </c>
      <c r="O57" s="5">
        <f t="shared" si="3"/>
        <v>0</v>
      </c>
      <c r="P57" s="5">
        <f>Table14[[#This Row],[Enrolment S.Y. 2025-2026 ]]*8</f>
        <v>1744</v>
      </c>
      <c r="Q57" s="5">
        <f>41*9</f>
        <v>369</v>
      </c>
      <c r="R57" s="1">
        <v>2025</v>
      </c>
      <c r="S57" s="5" t="s">
        <v>51</v>
      </c>
      <c r="T57" s="5">
        <f t="shared" si="4"/>
        <v>1375</v>
      </c>
      <c r="U57" s="5">
        <f t="shared" si="5"/>
        <v>0</v>
      </c>
      <c r="V57" s="5">
        <f>Table14[[#This Row],[Enrolment S.Y. 2025-2026 ]]*8</f>
        <v>1744</v>
      </c>
      <c r="W57" s="5">
        <f>41*9</f>
        <v>369</v>
      </c>
      <c r="X57" s="1">
        <v>2025</v>
      </c>
      <c r="Y57" s="5" t="s">
        <v>51</v>
      </c>
      <c r="Z57" s="5">
        <f t="shared" si="6"/>
        <v>1375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218</v>
      </c>
      <c r="D58" s="5">
        <f>Table14[[#This Row],[Enrolment S.Y. 2025-2026 ]]*8</f>
        <v>1744</v>
      </c>
      <c r="E58" s="5"/>
      <c r="F58" s="1"/>
      <c r="G58" s="5"/>
      <c r="H58" s="5">
        <f t="shared" si="0"/>
        <v>1744</v>
      </c>
      <c r="I58" s="5">
        <f t="shared" si="1"/>
        <v>0</v>
      </c>
      <c r="J58" s="5">
        <f>Table14[[#This Row],[Enrolment S.Y. 2025-2026 ]]*8</f>
        <v>1744</v>
      </c>
      <c r="K58" s="5"/>
      <c r="L58" s="1"/>
      <c r="M58" s="5"/>
      <c r="N58" s="5">
        <f t="shared" si="2"/>
        <v>1744</v>
      </c>
      <c r="O58" s="5">
        <f t="shared" si="3"/>
        <v>0</v>
      </c>
      <c r="P58" s="5">
        <f>Table14[[#This Row],[Enrolment S.Y. 2025-2026 ]]*8</f>
        <v>1744</v>
      </c>
      <c r="Q58" s="5">
        <f>41*4</f>
        <v>164</v>
      </c>
      <c r="R58" s="1">
        <v>2025</v>
      </c>
      <c r="S58" s="5" t="s">
        <v>51</v>
      </c>
      <c r="T58" s="5">
        <f t="shared" si="4"/>
        <v>1580</v>
      </c>
      <c r="U58" s="5">
        <f t="shared" si="5"/>
        <v>0</v>
      </c>
      <c r="V58" s="5">
        <f>Table14[[#This Row],[Enrolment S.Y. 2025-2026 ]]*8</f>
        <v>1744</v>
      </c>
      <c r="W58" s="5"/>
      <c r="X58" s="1"/>
      <c r="Y58" s="5"/>
      <c r="Z58" s="5">
        <f t="shared" si="6"/>
        <v>1744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218</v>
      </c>
      <c r="D59" s="5">
        <f>Table14[[#This Row],[Enrolment S.Y. 2025-2026 ]]*8</f>
        <v>1744</v>
      </c>
      <c r="E59" s="5"/>
      <c r="F59" s="1"/>
      <c r="G59" s="5"/>
      <c r="H59" s="5">
        <f t="shared" si="0"/>
        <v>1744</v>
      </c>
      <c r="I59" s="5">
        <f t="shared" si="1"/>
        <v>0</v>
      </c>
      <c r="J59" s="5">
        <f>Table14[[#This Row],[Enrolment S.Y. 2025-2026 ]]*8</f>
        <v>1744</v>
      </c>
      <c r="K59" s="5"/>
      <c r="L59" s="1"/>
      <c r="M59" s="5"/>
      <c r="N59" s="5">
        <f t="shared" si="2"/>
        <v>1744</v>
      </c>
      <c r="O59" s="5">
        <f t="shared" si="3"/>
        <v>0</v>
      </c>
      <c r="P59" s="5">
        <f>Table14[[#This Row],[Enrolment S.Y. 2025-2026 ]]*8</f>
        <v>1744</v>
      </c>
      <c r="Q59" s="5">
        <f>41*6</f>
        <v>246</v>
      </c>
      <c r="R59" s="1">
        <v>2025</v>
      </c>
      <c r="S59" s="5" t="s">
        <v>51</v>
      </c>
      <c r="T59" s="5">
        <f t="shared" si="4"/>
        <v>1498</v>
      </c>
      <c r="U59" s="5">
        <f t="shared" si="5"/>
        <v>0</v>
      </c>
      <c r="V59" s="5">
        <f>Table14[[#This Row],[Enrolment S.Y. 2025-2026 ]]*8</f>
        <v>1744</v>
      </c>
      <c r="W59" s="5">
        <f>41*7</f>
        <v>287</v>
      </c>
      <c r="X59" s="1">
        <v>2025</v>
      </c>
      <c r="Y59" s="5" t="s">
        <v>51</v>
      </c>
      <c r="Z59" s="5">
        <f t="shared" si="6"/>
        <v>1457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218</v>
      </c>
      <c r="D60" s="5">
        <f>Table14[[#This Row],[Enrolment S.Y. 2025-2026 ]]*8</f>
        <v>1744</v>
      </c>
      <c r="E60" s="5"/>
      <c r="F60" s="1"/>
      <c r="G60" s="5"/>
      <c r="H60" s="5">
        <f t="shared" si="0"/>
        <v>1744</v>
      </c>
      <c r="I60" s="5">
        <f t="shared" si="1"/>
        <v>0</v>
      </c>
      <c r="J60" s="5">
        <f>Table14[[#This Row],[Enrolment S.Y. 2025-2026 ]]*8</f>
        <v>1744</v>
      </c>
      <c r="K60" s="5"/>
      <c r="L60" s="1"/>
      <c r="M60" s="5"/>
      <c r="N60" s="5">
        <f t="shared" si="2"/>
        <v>1744</v>
      </c>
      <c r="O60" s="5">
        <f t="shared" si="3"/>
        <v>0</v>
      </c>
      <c r="P60" s="5">
        <f>Table14[[#This Row],[Enrolment S.Y. 2025-2026 ]]*8</f>
        <v>1744</v>
      </c>
      <c r="Q60" s="5">
        <f>41*4</f>
        <v>164</v>
      </c>
      <c r="R60" s="1">
        <v>2025</v>
      </c>
      <c r="S60" s="5" t="s">
        <v>51</v>
      </c>
      <c r="T60" s="5">
        <f t="shared" si="4"/>
        <v>1580</v>
      </c>
      <c r="U60" s="5">
        <f t="shared" si="5"/>
        <v>0</v>
      </c>
      <c r="V60" s="5">
        <f>Table14[[#This Row],[Enrolment S.Y. 2025-2026 ]]*8</f>
        <v>1744</v>
      </c>
      <c r="W60" s="5">
        <f>41*6</f>
        <v>246</v>
      </c>
      <c r="X60" s="1">
        <v>2025</v>
      </c>
      <c r="Y60" s="5" t="s">
        <v>51</v>
      </c>
      <c r="Z60" s="5">
        <f t="shared" si="6"/>
        <v>1498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>
        <v>218</v>
      </c>
      <c r="D61" s="5">
        <f>Table14[[#This Row],[Enrolment S.Y. 2025-2026 ]]*8</f>
        <v>1744</v>
      </c>
      <c r="E61" s="5"/>
      <c r="F61" s="1"/>
      <c r="G61" s="5"/>
      <c r="H61" s="5">
        <f>IF((D61-E61)&lt;0,0,(D61-E61))</f>
        <v>1744</v>
      </c>
      <c r="I61" s="5">
        <f>IF((E61-D61)&lt;0,0,(E61-D61))</f>
        <v>0</v>
      </c>
      <c r="J61" s="5">
        <f>Table14[[#This Row],[Enrolment S.Y. 2025-2026 ]]*8</f>
        <v>1744</v>
      </c>
      <c r="K61" s="5"/>
      <c r="L61" s="1"/>
      <c r="M61" s="5"/>
      <c r="N61" s="5">
        <f t="shared" ref="N61:N65" si="12">IF((J61-K61)&lt;0,0,(J61-K61))</f>
        <v>1744</v>
      </c>
      <c r="O61" s="5">
        <f t="shared" ref="O61:O65" si="13">IF((K61-J61)&lt;0,0,(K61-J61))</f>
        <v>0</v>
      </c>
      <c r="P61" s="5">
        <f>Table14[[#This Row],[Enrolment S.Y. 2025-2026 ]]*8</f>
        <v>1744</v>
      </c>
      <c r="Q61" s="5">
        <f>41*4</f>
        <v>164</v>
      </c>
      <c r="R61" s="1">
        <v>2025</v>
      </c>
      <c r="S61" s="5" t="s">
        <v>51</v>
      </c>
      <c r="T61" s="5">
        <f>IF((P61-Q61)&lt;0,0,(P61-Q61))</f>
        <v>1580</v>
      </c>
      <c r="U61" s="5">
        <f>IF((Q61-P61)&lt;0,0,(Q61-P61))</f>
        <v>0</v>
      </c>
      <c r="V61" s="5">
        <f>Table14[[#This Row],[Enrolment S.Y. 2025-2026 ]]*8</f>
        <v>1744</v>
      </c>
      <c r="W61" s="5">
        <f>41*3</f>
        <v>123</v>
      </c>
      <c r="X61" s="1">
        <v>2025</v>
      </c>
      <c r="Y61" s="5" t="s">
        <v>51</v>
      </c>
      <c r="Z61" s="5">
        <f>IF((V61-W61)&lt;0,0,(V61-W61))</f>
        <v>1621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218</v>
      </c>
      <c r="D62" s="5">
        <f>Table14[[#This Row],[Enrolment S.Y. 2025-2026 ]]*8</f>
        <v>1744</v>
      </c>
      <c r="E62" s="5"/>
      <c r="F62" s="1"/>
      <c r="G62" s="5"/>
      <c r="H62" s="5">
        <f t="shared" si="0"/>
        <v>1744</v>
      </c>
      <c r="I62" s="5">
        <f t="shared" si="1"/>
        <v>0</v>
      </c>
      <c r="J62" s="5">
        <f>Table14[[#This Row],[Enrolment S.Y. 2025-2026 ]]*8</f>
        <v>1744</v>
      </c>
      <c r="K62" s="5"/>
      <c r="L62" s="1"/>
      <c r="M62" s="5"/>
      <c r="N62" s="5">
        <f t="shared" si="12"/>
        <v>1744</v>
      </c>
      <c r="O62" s="5">
        <f t="shared" si="13"/>
        <v>0</v>
      </c>
      <c r="P62" s="5">
        <f>Table14[[#This Row],[Enrolment S.Y. 2025-2026 ]]*8</f>
        <v>1744</v>
      </c>
      <c r="Q62" s="5">
        <f>41*7</f>
        <v>287</v>
      </c>
      <c r="R62" s="1">
        <v>2025</v>
      </c>
      <c r="S62" s="5" t="s">
        <v>51</v>
      </c>
      <c r="T62" s="5">
        <f t="shared" si="4"/>
        <v>1457</v>
      </c>
      <c r="U62" s="5">
        <f t="shared" si="5"/>
        <v>0</v>
      </c>
      <c r="V62" s="5">
        <f>Table14[[#This Row],[Enrolment S.Y. 2025-2026 ]]*8</f>
        <v>1744</v>
      </c>
      <c r="W62" s="5">
        <f>41*9</f>
        <v>369</v>
      </c>
      <c r="X62" s="1">
        <v>2025</v>
      </c>
      <c r="Y62" s="5" t="s">
        <v>51</v>
      </c>
      <c r="Z62" s="5">
        <f t="shared" si="6"/>
        <v>1375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>
        <v>218</v>
      </c>
      <c r="D64" s="5">
        <f>Table14[[#This Row],[Enrolment S.Y. 2025-2026 ]]*8</f>
        <v>1744</v>
      </c>
      <c r="E64" s="5"/>
      <c r="F64" s="1"/>
      <c r="G64" s="5"/>
      <c r="H64" s="5">
        <f>IF((D64-E64)&lt;0,0,(D64-E64))</f>
        <v>1744</v>
      </c>
      <c r="I64" s="5">
        <f>IF((E64-D64)&lt;0,0,(E64-D64))</f>
        <v>0</v>
      </c>
      <c r="J64" s="5">
        <f>Table14[[#This Row],[Enrolment S.Y. 2025-2026 ]]*8</f>
        <v>1744</v>
      </c>
      <c r="K64" s="5"/>
      <c r="L64" s="1"/>
      <c r="M64" s="5"/>
      <c r="N64" s="5">
        <f t="shared" si="12"/>
        <v>1744</v>
      </c>
      <c r="O64" s="5">
        <f t="shared" si="13"/>
        <v>0</v>
      </c>
      <c r="P64" s="5">
        <f>Table14[[#This Row],[Enrolment S.Y. 2025-2026 ]]*8</f>
        <v>1744</v>
      </c>
      <c r="Q64" s="5">
        <f>41*3</f>
        <v>123</v>
      </c>
      <c r="R64" s="1">
        <v>2025</v>
      </c>
      <c r="S64" s="5" t="s">
        <v>51</v>
      </c>
      <c r="T64" s="5">
        <f>IF((P64-Q64)&lt;0,0,(P64-Q64))</f>
        <v>1621</v>
      </c>
      <c r="U64" s="5">
        <f>IF((Q64-P64)&lt;0,0,(Q64-P64))</f>
        <v>0</v>
      </c>
      <c r="V64" s="5">
        <f>Table14[[#This Row],[Enrolment S.Y. 2025-2026 ]]*8</f>
        <v>1744</v>
      </c>
      <c r="W64" s="5">
        <f>41*3</f>
        <v>123</v>
      </c>
      <c r="X64" s="1">
        <v>2025</v>
      </c>
      <c r="Y64" s="5" t="s">
        <v>51</v>
      </c>
      <c r="Z64" s="5">
        <f>IF((V64-W64)&lt;0,0,(V64-W64))</f>
        <v>1621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218</v>
      </c>
      <c r="D65" s="5">
        <f>Table14[[#This Row],[Enrolment S.Y. 2025-2026 ]]*8</f>
        <v>1744</v>
      </c>
      <c r="E65" s="5"/>
      <c r="F65" s="1"/>
      <c r="G65" s="5"/>
      <c r="H65" s="5">
        <f t="shared" si="0"/>
        <v>1744</v>
      </c>
      <c r="I65" s="5">
        <f t="shared" si="1"/>
        <v>0</v>
      </c>
      <c r="J65" s="5">
        <f>Table14[[#This Row],[Enrolment S.Y. 2025-2026 ]]*8</f>
        <v>1744</v>
      </c>
      <c r="K65" s="5"/>
      <c r="L65" s="1"/>
      <c r="M65" s="5"/>
      <c r="N65" s="5">
        <f t="shared" si="12"/>
        <v>1744</v>
      </c>
      <c r="O65" s="5">
        <f t="shared" si="13"/>
        <v>0</v>
      </c>
      <c r="P65" s="5">
        <f>Table14[[#This Row],[Enrolment S.Y. 2025-2026 ]]*8</f>
        <v>1744</v>
      </c>
      <c r="Q65" s="5">
        <f>41*3</f>
        <v>123</v>
      </c>
      <c r="R65" s="1">
        <v>2025</v>
      </c>
      <c r="S65" s="5" t="s">
        <v>51</v>
      </c>
      <c r="T65" s="5">
        <f t="shared" si="4"/>
        <v>1621</v>
      </c>
      <c r="U65" s="5">
        <f t="shared" si="5"/>
        <v>0</v>
      </c>
      <c r="V65" s="5">
        <f>Table14[[#This Row],[Enrolment S.Y. 2025-2026 ]]*8</f>
        <v>1744</v>
      </c>
      <c r="W65" s="5">
        <f>41*8</f>
        <v>328</v>
      </c>
      <c r="X65" s="1">
        <v>2025</v>
      </c>
      <c r="Y65" s="5" t="s">
        <v>51</v>
      </c>
      <c r="Z65" s="5">
        <f t="shared" si="6"/>
        <v>1416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35.25" customHeight="1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T55:X65 N31:R41 N43:R53 H12:L19 P2:R10 N3:O10 V2:X10 T3:U10 N12:R19 T12:X19 H3:L10 Z3:AA10 Z12:AA19 N21:R29 T21:X29 Z21:AA29 H21:L29 T31:X41 Z31:AA41 H31:L41 T43:X53 Z43:AA53 H43:L53 Z55:AA65 H55:L65 N55:R65" name="LAS"/>
    <protectedRange sqref="G2:I2 M2:O2 S2:U2 Y2:AA2 G3:G10 M3:M10 S3:S10 Y3:Y10 Y12:Y19 G12:G19 S12:S19 Y21:Y29 G21:G29 M21:M29 S21:S29 Y31:Y41 G31:G41 M31:M41 S31:S41 Y43:Y53 G43:G53 M43:M53 S43:S53 G55:G65 M55:M65 Y55:Y65 M12:M19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Y55:Y65 M21:M29 G21:G29 Y21:Y29 S21:S29 S31:S41 M31:M41 G31:G41 Y31:Y41 Y43:Y53 S43:S53 M43:M53 G43:G53 G55:G65 S55:S65 M55:M65 M12:M19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2026-04-07T07:53:10Z</dcterms:modified>
  <cp:category/>
  <cp:contentStatus/>
</cp:coreProperties>
</file>