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51" documentId="13_ncr:1_{BFB59F67-F0DC-4675-A682-EB0734A8026A}" xr6:coauthVersionLast="47" xr6:coauthVersionMax="47" xr10:uidLastSave="{03CF42C2-DFF7-4A96-A6E6-E26C10DFF165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0" i="5" l="1"/>
  <c r="T100" i="5" s="1"/>
  <c r="P101" i="5"/>
  <c r="P102" i="5"/>
  <c r="P103" i="5"/>
  <c r="P104" i="5"/>
  <c r="P89" i="5"/>
  <c r="T89" i="5" s="1"/>
  <c r="P90" i="5"/>
  <c r="P91" i="5"/>
  <c r="P92" i="5"/>
  <c r="P93" i="5"/>
  <c r="P77" i="5"/>
  <c r="P78" i="5"/>
  <c r="P79" i="5"/>
  <c r="P80" i="5"/>
  <c r="P81" i="5"/>
  <c r="P82" i="5"/>
  <c r="P65" i="5"/>
  <c r="P66" i="5"/>
  <c r="P67" i="5"/>
  <c r="P68" i="5"/>
  <c r="P69" i="5"/>
  <c r="P70" i="5"/>
  <c r="P71" i="5"/>
  <c r="P56" i="5"/>
  <c r="T56" i="5" s="1"/>
  <c r="P57" i="5"/>
  <c r="P58" i="5"/>
  <c r="P59" i="5"/>
  <c r="P60" i="5"/>
  <c r="P44" i="5"/>
  <c r="P45" i="5"/>
  <c r="U45" i="5" s="1"/>
  <c r="P46" i="5"/>
  <c r="P47" i="5"/>
  <c r="P48" i="5"/>
  <c r="U48" i="5" s="1"/>
  <c r="P49" i="5"/>
  <c r="P33" i="5"/>
  <c r="P34" i="5"/>
  <c r="P35" i="5"/>
  <c r="P36" i="5"/>
  <c r="P37" i="5"/>
  <c r="P38" i="5"/>
  <c r="D103" i="5"/>
  <c r="H103" i="5" s="1"/>
  <c r="J103" i="5"/>
  <c r="V103" i="5"/>
  <c r="D100" i="5"/>
  <c r="H100" i="5" s="1"/>
  <c r="J100" i="5"/>
  <c r="U100" i="5"/>
  <c r="V100" i="5"/>
  <c r="D81" i="5"/>
  <c r="H81" i="5" s="1"/>
  <c r="J81" i="5"/>
  <c r="T81" i="5"/>
  <c r="V81" i="5"/>
  <c r="Z81" i="5" s="1"/>
  <c r="D92" i="5"/>
  <c r="H92" i="5" s="1"/>
  <c r="J92" i="5"/>
  <c r="V92" i="5"/>
  <c r="Z92" i="5" s="1"/>
  <c r="D89" i="5"/>
  <c r="H89" i="5" s="1"/>
  <c r="J89" i="5"/>
  <c r="V89" i="5"/>
  <c r="Z89" i="5" s="1"/>
  <c r="D78" i="5"/>
  <c r="H78" i="5" s="1"/>
  <c r="J78" i="5"/>
  <c r="T78" i="5"/>
  <c r="V78" i="5"/>
  <c r="Z78" i="5" s="1"/>
  <c r="D70" i="5"/>
  <c r="H70" i="5" s="1"/>
  <c r="J70" i="5"/>
  <c r="T70" i="5"/>
  <c r="V70" i="5"/>
  <c r="Z70" i="5" s="1"/>
  <c r="D67" i="5"/>
  <c r="H67" i="5" s="1"/>
  <c r="J67" i="5"/>
  <c r="T67" i="5"/>
  <c r="V67" i="5"/>
  <c r="Z67" i="5" s="1"/>
  <c r="H59" i="5"/>
  <c r="J59" i="5"/>
  <c r="T59" i="5"/>
  <c r="V59" i="5"/>
  <c r="Z59" i="5" s="1"/>
  <c r="H56" i="5"/>
  <c r="J56" i="5"/>
  <c r="V56" i="5"/>
  <c r="Z56" i="5" s="1"/>
  <c r="D48" i="5"/>
  <c r="H48" i="5" s="1"/>
  <c r="J48" i="5"/>
  <c r="V48" i="5"/>
  <c r="Z48" i="5" s="1"/>
  <c r="D45" i="5"/>
  <c r="H45" i="5" s="1"/>
  <c r="J45" i="5"/>
  <c r="V45" i="5"/>
  <c r="Z45" i="5" s="1"/>
  <c r="D37" i="5"/>
  <c r="H37" i="5" s="1"/>
  <c r="J37" i="5"/>
  <c r="U37" i="5"/>
  <c r="V37" i="5"/>
  <c r="Z37" i="5" s="1"/>
  <c r="D34" i="5"/>
  <c r="H34" i="5" s="1"/>
  <c r="J34" i="5"/>
  <c r="U34" i="5"/>
  <c r="V34" i="5"/>
  <c r="Z34" i="5" s="1"/>
  <c r="P3" i="4"/>
  <c r="T3" i="4" s="1"/>
  <c r="H3" i="4"/>
  <c r="J3" i="4"/>
  <c r="V3" i="4"/>
  <c r="Z3" i="4" s="1"/>
  <c r="V112" i="5"/>
  <c r="AA112" i="5" s="1"/>
  <c r="P112" i="5"/>
  <c r="T112" i="5" s="1"/>
  <c r="J112" i="5"/>
  <c r="O112" i="5" s="1"/>
  <c r="D112" i="5"/>
  <c r="I112" i="5" s="1"/>
  <c r="V111" i="5"/>
  <c r="Z111" i="5" s="1"/>
  <c r="P111" i="5"/>
  <c r="J111" i="5"/>
  <c r="N111" i="5" s="1"/>
  <c r="D111" i="5"/>
  <c r="I111" i="5" s="1"/>
  <c r="V110" i="5"/>
  <c r="AA110" i="5" s="1"/>
  <c r="P110" i="5"/>
  <c r="U110" i="5" s="1"/>
  <c r="J110" i="5"/>
  <c r="O110" i="5" s="1"/>
  <c r="D110" i="5"/>
  <c r="I110" i="5" s="1"/>
  <c r="V109" i="5"/>
  <c r="Z109" i="5" s="1"/>
  <c r="P109" i="5"/>
  <c r="J109" i="5"/>
  <c r="N109" i="5" s="1"/>
  <c r="D109" i="5"/>
  <c r="I109" i="5" s="1"/>
  <c r="V108" i="5"/>
  <c r="AA108" i="5" s="1"/>
  <c r="P108" i="5"/>
  <c r="U108" i="5" s="1"/>
  <c r="J108" i="5"/>
  <c r="O108" i="5" s="1"/>
  <c r="D108" i="5"/>
  <c r="I108" i="5" s="1"/>
  <c r="V107" i="5"/>
  <c r="Z107" i="5" s="1"/>
  <c r="P107" i="5"/>
  <c r="J107" i="5"/>
  <c r="N107" i="5" s="1"/>
  <c r="D107" i="5"/>
  <c r="I107" i="5" s="1"/>
  <c r="V106" i="5"/>
  <c r="AA106" i="5" s="1"/>
  <c r="P106" i="5"/>
  <c r="U106" i="5" s="1"/>
  <c r="J106" i="5"/>
  <c r="O106" i="5" s="1"/>
  <c r="D106" i="5"/>
  <c r="I106" i="5" s="1"/>
  <c r="V105" i="5"/>
  <c r="Z105" i="5" s="1"/>
  <c r="P105" i="5"/>
  <c r="J105" i="5"/>
  <c r="N105" i="5" s="1"/>
  <c r="D105" i="5"/>
  <c r="I105" i="5" s="1"/>
  <c r="V104" i="5"/>
  <c r="AA104" i="5" s="1"/>
  <c r="U104" i="5"/>
  <c r="J104" i="5"/>
  <c r="D104" i="5"/>
  <c r="I104" i="5" s="1"/>
  <c r="V102" i="5"/>
  <c r="Z102" i="5" s="1"/>
  <c r="J102" i="5"/>
  <c r="D102" i="5"/>
  <c r="I102" i="5" s="1"/>
  <c r="V101" i="5"/>
  <c r="AA101" i="5" s="1"/>
  <c r="J101" i="5"/>
  <c r="D101" i="5"/>
  <c r="I101" i="5" s="1"/>
  <c r="V99" i="5"/>
  <c r="P99" i="5"/>
  <c r="J99" i="5"/>
  <c r="N99" i="5" s="1"/>
  <c r="D99" i="5"/>
  <c r="I99" i="5" s="1"/>
  <c r="V98" i="5"/>
  <c r="AA98" i="5" s="1"/>
  <c r="P98" i="5"/>
  <c r="U98" i="5" s="1"/>
  <c r="J98" i="5"/>
  <c r="O98" i="5" s="1"/>
  <c r="D98" i="5"/>
  <c r="I98" i="5" s="1"/>
  <c r="V97" i="5"/>
  <c r="P97" i="5"/>
  <c r="J97" i="5"/>
  <c r="N97" i="5" s="1"/>
  <c r="D97" i="5"/>
  <c r="I97" i="5" s="1"/>
  <c r="V96" i="5"/>
  <c r="AA96" i="5" s="1"/>
  <c r="P96" i="5"/>
  <c r="J96" i="5"/>
  <c r="O96" i="5" s="1"/>
  <c r="I96" i="5"/>
  <c r="V95" i="5"/>
  <c r="AA95" i="5" s="1"/>
  <c r="P95" i="5"/>
  <c r="J95" i="5"/>
  <c r="N95" i="5" s="1"/>
  <c r="D95" i="5"/>
  <c r="I95" i="5" s="1"/>
  <c r="V94" i="5"/>
  <c r="AA94" i="5" s="1"/>
  <c r="P94" i="5"/>
  <c r="U94" i="5" s="1"/>
  <c r="J94" i="5"/>
  <c r="O94" i="5" s="1"/>
  <c r="I94" i="5"/>
  <c r="V93" i="5"/>
  <c r="AA93" i="5" s="1"/>
  <c r="J93" i="5"/>
  <c r="D93" i="5"/>
  <c r="I93" i="5" s="1"/>
  <c r="V91" i="5"/>
  <c r="AA91" i="5" s="1"/>
  <c r="U91" i="5"/>
  <c r="J91" i="5"/>
  <c r="D91" i="5"/>
  <c r="I91" i="5" s="1"/>
  <c r="V90" i="5"/>
  <c r="AA90" i="5" s="1"/>
  <c r="J90" i="5"/>
  <c r="D90" i="5"/>
  <c r="I90" i="5" s="1"/>
  <c r="V88" i="5"/>
  <c r="AA88" i="5" s="1"/>
  <c r="P88" i="5"/>
  <c r="U88" i="5" s="1"/>
  <c r="J88" i="5"/>
  <c r="O88" i="5" s="1"/>
  <c r="D88" i="5"/>
  <c r="I88" i="5" s="1"/>
  <c r="V87" i="5"/>
  <c r="AA87" i="5" s="1"/>
  <c r="P87" i="5"/>
  <c r="J87" i="5"/>
  <c r="N87" i="5" s="1"/>
  <c r="D87" i="5"/>
  <c r="H87" i="5" s="1"/>
  <c r="V86" i="5"/>
  <c r="AA86" i="5" s="1"/>
  <c r="P86" i="5"/>
  <c r="U86" i="5" s="1"/>
  <c r="J86" i="5"/>
  <c r="O86" i="5" s="1"/>
  <c r="D86" i="5"/>
  <c r="H86" i="5" s="1"/>
  <c r="V85" i="5"/>
  <c r="AA85" i="5" s="1"/>
  <c r="P85" i="5"/>
  <c r="J85" i="5"/>
  <c r="D85" i="5"/>
  <c r="I85" i="5" s="1"/>
  <c r="V84" i="5"/>
  <c r="AA84" i="5" s="1"/>
  <c r="P84" i="5"/>
  <c r="U84" i="5" s="1"/>
  <c r="J84" i="5"/>
  <c r="O84" i="5" s="1"/>
  <c r="D84" i="5"/>
  <c r="I84" i="5" s="1"/>
  <c r="V83" i="5"/>
  <c r="AA83" i="5" s="1"/>
  <c r="P83" i="5"/>
  <c r="J83" i="5"/>
  <c r="N83" i="5" s="1"/>
  <c r="D83" i="5"/>
  <c r="I83" i="5" s="1"/>
  <c r="V82" i="5"/>
  <c r="AA82" i="5" s="1"/>
  <c r="U82" i="5"/>
  <c r="J82" i="5"/>
  <c r="D82" i="5"/>
  <c r="I82" i="5" s="1"/>
  <c r="V80" i="5"/>
  <c r="AA80" i="5" s="1"/>
  <c r="J80" i="5"/>
  <c r="D80" i="5"/>
  <c r="I80" i="5" s="1"/>
  <c r="V79" i="5"/>
  <c r="AA79" i="5" s="1"/>
  <c r="U79" i="5"/>
  <c r="J79" i="5"/>
  <c r="D79" i="5"/>
  <c r="I79" i="5" s="1"/>
  <c r="V77" i="5"/>
  <c r="AA77" i="5" s="1"/>
  <c r="J77" i="5"/>
  <c r="D77" i="5"/>
  <c r="I77" i="5" s="1"/>
  <c r="V76" i="5"/>
  <c r="AA76" i="5" s="1"/>
  <c r="P76" i="5"/>
  <c r="U76" i="5" s="1"/>
  <c r="J76" i="5"/>
  <c r="O76" i="5" s="1"/>
  <c r="D76" i="5"/>
  <c r="I76" i="5" s="1"/>
  <c r="V75" i="5"/>
  <c r="Z75" i="5" s="1"/>
  <c r="P75" i="5"/>
  <c r="J75" i="5"/>
  <c r="N75" i="5" s="1"/>
  <c r="D75" i="5"/>
  <c r="I75" i="5" s="1"/>
  <c r="V74" i="5"/>
  <c r="AA74" i="5" s="1"/>
  <c r="P74" i="5"/>
  <c r="U74" i="5" s="1"/>
  <c r="J74" i="5"/>
  <c r="O74" i="5" s="1"/>
  <c r="D74" i="5"/>
  <c r="I74" i="5" s="1"/>
  <c r="V73" i="5"/>
  <c r="AA73" i="5" s="1"/>
  <c r="P73" i="5"/>
  <c r="U73" i="5" s="1"/>
  <c r="J73" i="5"/>
  <c r="N73" i="5" s="1"/>
  <c r="D73" i="5"/>
  <c r="I73" i="5" s="1"/>
  <c r="V72" i="5"/>
  <c r="AA72" i="5" s="1"/>
  <c r="P72" i="5"/>
  <c r="U72" i="5" s="1"/>
  <c r="J72" i="5"/>
  <c r="D72" i="5"/>
  <c r="I72" i="5" s="1"/>
  <c r="V71" i="5"/>
  <c r="AA71" i="5" s="1"/>
  <c r="U71" i="5"/>
  <c r="J71" i="5"/>
  <c r="D71" i="5"/>
  <c r="I71" i="5" s="1"/>
  <c r="V69" i="5"/>
  <c r="AA69" i="5" s="1"/>
  <c r="U69" i="5"/>
  <c r="J69" i="5"/>
  <c r="D69" i="5"/>
  <c r="H69" i="5" s="1"/>
  <c r="V68" i="5"/>
  <c r="Z68" i="5" s="1"/>
  <c r="U68" i="5"/>
  <c r="J68" i="5"/>
  <c r="D68" i="5"/>
  <c r="I68" i="5" s="1"/>
  <c r="V66" i="5"/>
  <c r="Z66" i="5" s="1"/>
  <c r="U66" i="5"/>
  <c r="J66" i="5"/>
  <c r="D66" i="5"/>
  <c r="I66" i="5" s="1"/>
  <c r="V65" i="5"/>
  <c r="AA65" i="5" s="1"/>
  <c r="U65" i="5"/>
  <c r="J65" i="5"/>
  <c r="D65" i="5"/>
  <c r="H65" i="5" s="1"/>
  <c r="V64" i="5"/>
  <c r="AA64" i="5" s="1"/>
  <c r="P64" i="5"/>
  <c r="U64" i="5" s="1"/>
  <c r="J64" i="5"/>
  <c r="D64" i="5"/>
  <c r="H64" i="5" s="1"/>
  <c r="V63" i="5"/>
  <c r="AA63" i="5" s="1"/>
  <c r="P63" i="5"/>
  <c r="U63" i="5" s="1"/>
  <c r="J63" i="5"/>
  <c r="N63" i="5" s="1"/>
  <c r="D63" i="5"/>
  <c r="I63" i="5" s="1"/>
  <c r="V62" i="5"/>
  <c r="AA62" i="5" s="1"/>
  <c r="P62" i="5"/>
  <c r="U62" i="5" s="1"/>
  <c r="J62" i="5"/>
  <c r="D62" i="5"/>
  <c r="I62" i="5" s="1"/>
  <c r="V61" i="5"/>
  <c r="AA61" i="5" s="1"/>
  <c r="P61" i="5"/>
  <c r="U61" i="5" s="1"/>
  <c r="J61" i="5"/>
  <c r="N61" i="5" s="1"/>
  <c r="D61" i="5"/>
  <c r="I61" i="5" s="1"/>
  <c r="V60" i="5"/>
  <c r="Z60" i="5" s="1"/>
  <c r="U60" i="5"/>
  <c r="J60" i="5"/>
  <c r="I60" i="5"/>
  <c r="V58" i="5"/>
  <c r="AA58" i="5" s="1"/>
  <c r="U58" i="5"/>
  <c r="J58" i="5"/>
  <c r="I58" i="5"/>
  <c r="V57" i="5"/>
  <c r="AA57" i="5" s="1"/>
  <c r="U57" i="5"/>
  <c r="J57" i="5"/>
  <c r="I57" i="5"/>
  <c r="V55" i="5"/>
  <c r="AA55" i="5" s="1"/>
  <c r="P55" i="5"/>
  <c r="U55" i="5" s="1"/>
  <c r="J55" i="5"/>
  <c r="N55" i="5" s="1"/>
  <c r="I55" i="5"/>
  <c r="V54" i="5"/>
  <c r="AA54" i="5" s="1"/>
  <c r="P54" i="5"/>
  <c r="U54" i="5" s="1"/>
  <c r="J54" i="5"/>
  <c r="I54" i="5"/>
  <c r="V53" i="5"/>
  <c r="AA53" i="5" s="1"/>
  <c r="P53" i="5"/>
  <c r="U53" i="5" s="1"/>
  <c r="J53" i="5"/>
  <c r="N53" i="5" s="1"/>
  <c r="I53" i="5"/>
  <c r="V52" i="5"/>
  <c r="AA52" i="5" s="1"/>
  <c r="P52" i="5"/>
  <c r="U52" i="5" s="1"/>
  <c r="J52" i="5"/>
  <c r="H52" i="5"/>
  <c r="V51" i="5"/>
  <c r="AA51" i="5" s="1"/>
  <c r="P51" i="5"/>
  <c r="U51" i="5" s="1"/>
  <c r="J51" i="5"/>
  <c r="N51" i="5" s="1"/>
  <c r="I51" i="5"/>
  <c r="V50" i="5"/>
  <c r="AA50" i="5" s="1"/>
  <c r="P50" i="5"/>
  <c r="U50" i="5" s="1"/>
  <c r="J50" i="5"/>
  <c r="I50" i="5"/>
  <c r="V49" i="5"/>
  <c r="AA49" i="5" s="1"/>
  <c r="U49" i="5"/>
  <c r="J49" i="5"/>
  <c r="D49" i="5"/>
  <c r="I49" i="5" s="1"/>
  <c r="V47" i="5"/>
  <c r="AA47" i="5" s="1"/>
  <c r="U47" i="5"/>
  <c r="J47" i="5"/>
  <c r="D47" i="5"/>
  <c r="I47" i="5" s="1"/>
  <c r="V46" i="5"/>
  <c r="AA46" i="5" s="1"/>
  <c r="U46" i="5"/>
  <c r="J46" i="5"/>
  <c r="D46" i="5"/>
  <c r="I46" i="5" s="1"/>
  <c r="V44" i="5"/>
  <c r="AA44" i="5" s="1"/>
  <c r="U44" i="5"/>
  <c r="J44" i="5"/>
  <c r="D44" i="5"/>
  <c r="I44" i="5" s="1"/>
  <c r="V43" i="5"/>
  <c r="AA43" i="5" s="1"/>
  <c r="P43" i="5"/>
  <c r="U43" i="5" s="1"/>
  <c r="J43" i="5"/>
  <c r="N43" i="5" s="1"/>
  <c r="D43" i="5"/>
  <c r="I43" i="5" s="1"/>
  <c r="V42" i="5"/>
  <c r="AA42" i="5" s="1"/>
  <c r="P42" i="5"/>
  <c r="U42" i="5" s="1"/>
  <c r="J42" i="5"/>
  <c r="D42" i="5"/>
  <c r="I42" i="5" s="1"/>
  <c r="V41" i="5"/>
  <c r="AA41" i="5" s="1"/>
  <c r="P41" i="5"/>
  <c r="U41" i="5" s="1"/>
  <c r="J41" i="5"/>
  <c r="N41" i="5" s="1"/>
  <c r="D41" i="5"/>
  <c r="H41" i="5" s="1"/>
  <c r="V40" i="5"/>
  <c r="AA40" i="5" s="1"/>
  <c r="P40" i="5"/>
  <c r="U40" i="5" s="1"/>
  <c r="J40" i="5"/>
  <c r="D40" i="5"/>
  <c r="H40" i="5" s="1"/>
  <c r="V39" i="5"/>
  <c r="AA39" i="5" s="1"/>
  <c r="P39" i="5"/>
  <c r="U39" i="5" s="1"/>
  <c r="J39" i="5"/>
  <c r="N39" i="5" s="1"/>
  <c r="D39" i="5"/>
  <c r="H39" i="5" s="1"/>
  <c r="V38" i="5"/>
  <c r="AA38" i="5" s="1"/>
  <c r="U38" i="5"/>
  <c r="J38" i="5"/>
  <c r="D38" i="5"/>
  <c r="I38" i="5" s="1"/>
  <c r="V36" i="5"/>
  <c r="AA36" i="5" s="1"/>
  <c r="U36" i="5"/>
  <c r="J36" i="5"/>
  <c r="D36" i="5"/>
  <c r="H36" i="5" s="1"/>
  <c r="V35" i="5"/>
  <c r="AA35" i="5" s="1"/>
  <c r="U35" i="5"/>
  <c r="J35" i="5"/>
  <c r="D35" i="5"/>
  <c r="I35" i="5" s="1"/>
  <c r="V33" i="5"/>
  <c r="Z33" i="5" s="1"/>
  <c r="U33" i="5"/>
  <c r="J33" i="5"/>
  <c r="D33" i="5"/>
  <c r="H33" i="5" s="1"/>
  <c r="V32" i="5"/>
  <c r="AA32" i="5" s="1"/>
  <c r="P32" i="5"/>
  <c r="U32" i="5" s="1"/>
  <c r="J32" i="5"/>
  <c r="D32" i="5"/>
  <c r="I32" i="5" s="1"/>
  <c r="V31" i="5"/>
  <c r="Z31" i="5" s="1"/>
  <c r="P31" i="5"/>
  <c r="U31" i="5" s="1"/>
  <c r="J31" i="5"/>
  <c r="N31" i="5" s="1"/>
  <c r="D31" i="5"/>
  <c r="H31" i="5" s="1"/>
  <c r="V30" i="5"/>
  <c r="Z30" i="5" s="1"/>
  <c r="P30" i="5"/>
  <c r="U30" i="5" s="1"/>
  <c r="J30" i="5"/>
  <c r="D30" i="5"/>
  <c r="I30" i="5" s="1"/>
  <c r="V29" i="5"/>
  <c r="Z29" i="5" s="1"/>
  <c r="P29" i="5"/>
  <c r="U29" i="5" s="1"/>
  <c r="J29" i="5"/>
  <c r="N29" i="5" s="1"/>
  <c r="D29" i="5"/>
  <c r="H29" i="5" s="1"/>
  <c r="V28" i="5"/>
  <c r="AA28" i="5" s="1"/>
  <c r="P28" i="5"/>
  <c r="U28" i="5" s="1"/>
  <c r="J28" i="5"/>
  <c r="D28" i="5"/>
  <c r="I28" i="5" s="1"/>
  <c r="V27" i="5"/>
  <c r="AA27" i="5" s="1"/>
  <c r="P27" i="5"/>
  <c r="U27" i="5" s="1"/>
  <c r="J27" i="5"/>
  <c r="O27" i="5" s="1"/>
  <c r="D27" i="5"/>
  <c r="H27" i="5" s="1"/>
  <c r="V26" i="5"/>
  <c r="AA26" i="5" s="1"/>
  <c r="P26" i="5"/>
  <c r="U26" i="5" s="1"/>
  <c r="J26" i="5"/>
  <c r="D26" i="5"/>
  <c r="I26" i="5" s="1"/>
  <c r="V25" i="5"/>
  <c r="Z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20" i="5"/>
  <c r="AA20" i="5" s="1"/>
  <c r="P20" i="5"/>
  <c r="U20" i="5" s="1"/>
  <c r="J20" i="5"/>
  <c r="N20" i="5" s="1"/>
  <c r="D20" i="5"/>
  <c r="I20" i="5" s="1"/>
  <c r="V19" i="5"/>
  <c r="AA19" i="5" s="1"/>
  <c r="P19" i="5"/>
  <c r="U19" i="5" s="1"/>
  <c r="J19" i="5"/>
  <c r="O19" i="5" s="1"/>
  <c r="D19" i="5"/>
  <c r="I19" i="5" s="1"/>
  <c r="V18" i="5"/>
  <c r="AA18" i="5" s="1"/>
  <c r="P18" i="5"/>
  <c r="T18" i="5" s="1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O15" i="5" s="1"/>
  <c r="D15" i="5"/>
  <c r="I15" i="5" s="1"/>
  <c r="V14" i="5"/>
  <c r="AA14" i="5" s="1"/>
  <c r="P14" i="5"/>
  <c r="U14" i="5" s="1"/>
  <c r="J14" i="5"/>
  <c r="N14" i="5" s="1"/>
  <c r="D14" i="5"/>
  <c r="I14" i="5" s="1"/>
  <c r="V13" i="5"/>
  <c r="AA13" i="5" s="1"/>
  <c r="P13" i="5"/>
  <c r="U13" i="5" s="1"/>
  <c r="J13" i="5"/>
  <c r="O13" i="5" s="1"/>
  <c r="D13" i="5"/>
  <c r="H13" i="5" s="1"/>
  <c r="V12" i="5"/>
  <c r="AA12" i="5" s="1"/>
  <c r="P12" i="5"/>
  <c r="U12" i="5" s="1"/>
  <c r="J12" i="5"/>
  <c r="N12" i="5" s="1"/>
  <c r="D12" i="5"/>
  <c r="I12" i="5" s="1"/>
  <c r="V11" i="5"/>
  <c r="AA11" i="5" s="1"/>
  <c r="P11" i="5"/>
  <c r="U11" i="5" s="1"/>
  <c r="J11" i="5"/>
  <c r="O11" i="5" s="1"/>
  <c r="D11" i="5"/>
  <c r="I11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H29" i="4"/>
  <c r="H30" i="4"/>
  <c r="D19" i="4"/>
  <c r="H19" i="4" s="1"/>
  <c r="H10" i="4"/>
  <c r="H11" i="4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I7" i="4"/>
  <c r="I8" i="4"/>
  <c r="I9" i="4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I27" i="4"/>
  <c r="I28" i="4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I41" i="4"/>
  <c r="I43" i="4"/>
  <c r="H44" i="4"/>
  <c r="H45" i="4"/>
  <c r="I48" i="4"/>
  <c r="I49" i="4"/>
  <c r="H50" i="4"/>
  <c r="H51" i="4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3" i="5" l="1"/>
  <c r="O33" i="5"/>
  <c r="N35" i="5"/>
  <c r="O35" i="5"/>
  <c r="N36" i="5"/>
  <c r="O36" i="5"/>
  <c r="N38" i="5"/>
  <c r="O38" i="5"/>
  <c r="N44" i="5"/>
  <c r="O44" i="5"/>
  <c r="N46" i="5"/>
  <c r="O46" i="5"/>
  <c r="N47" i="5"/>
  <c r="O47" i="5"/>
  <c r="N49" i="5"/>
  <c r="O49" i="5"/>
  <c r="N57" i="5"/>
  <c r="O57" i="5"/>
  <c r="N58" i="5"/>
  <c r="O58" i="5"/>
  <c r="N60" i="5"/>
  <c r="O60" i="5"/>
  <c r="N65" i="5"/>
  <c r="O65" i="5"/>
  <c r="N66" i="5"/>
  <c r="O66" i="5"/>
  <c r="N68" i="5"/>
  <c r="O68" i="5"/>
  <c r="N69" i="5"/>
  <c r="O69" i="5"/>
  <c r="N71" i="5"/>
  <c r="O71" i="5"/>
  <c r="N77" i="5"/>
  <c r="O77" i="5"/>
  <c r="N79" i="5"/>
  <c r="O79" i="5"/>
  <c r="N80" i="5"/>
  <c r="O80" i="5"/>
  <c r="N82" i="5"/>
  <c r="O82" i="5"/>
  <c r="N90" i="5"/>
  <c r="O90" i="5"/>
  <c r="N91" i="5"/>
  <c r="O91" i="5"/>
  <c r="N93" i="5"/>
  <c r="O93" i="5"/>
  <c r="N101" i="5"/>
  <c r="O101" i="5"/>
  <c r="N102" i="5"/>
  <c r="O102" i="5"/>
  <c r="N104" i="5"/>
  <c r="O104" i="5"/>
  <c r="N34" i="5"/>
  <c r="O34" i="5"/>
  <c r="N37" i="5"/>
  <c r="O37" i="5"/>
  <c r="N45" i="5"/>
  <c r="O45" i="5"/>
  <c r="N48" i="5"/>
  <c r="O48" i="5"/>
  <c r="N56" i="5"/>
  <c r="O56" i="5"/>
  <c r="N59" i="5"/>
  <c r="O59" i="5"/>
  <c r="N67" i="5"/>
  <c r="O67" i="5"/>
  <c r="N70" i="5"/>
  <c r="O70" i="5"/>
  <c r="N78" i="5"/>
  <c r="O78" i="5"/>
  <c r="N89" i="5"/>
  <c r="O89" i="5"/>
  <c r="N92" i="5"/>
  <c r="O92" i="5"/>
  <c r="N81" i="5"/>
  <c r="O81" i="5"/>
  <c r="N100" i="5"/>
  <c r="O100" i="5"/>
  <c r="N103" i="5"/>
  <c r="O103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1" i="5"/>
  <c r="I103" i="5"/>
  <c r="AA103" i="5"/>
  <c r="U89" i="5"/>
  <c r="U78" i="5"/>
  <c r="I100" i="5"/>
  <c r="AA100" i="5"/>
  <c r="U92" i="5"/>
  <c r="I81" i="5"/>
  <c r="AA81" i="5"/>
  <c r="I92" i="5"/>
  <c r="AA92" i="5"/>
  <c r="U70" i="5"/>
  <c r="I89" i="5"/>
  <c r="AA89" i="5"/>
  <c r="U56" i="5"/>
  <c r="I78" i="5"/>
  <c r="AA78" i="5"/>
  <c r="U67" i="5"/>
  <c r="I70" i="5"/>
  <c r="AA70" i="5"/>
  <c r="U59" i="5"/>
  <c r="I67" i="5"/>
  <c r="T48" i="5"/>
  <c r="AA67" i="5"/>
  <c r="I56" i="5"/>
  <c r="I59" i="5"/>
  <c r="AA59" i="5"/>
  <c r="T45" i="5"/>
  <c r="AA56" i="5"/>
  <c r="T37" i="5"/>
  <c r="I48" i="5"/>
  <c r="AA48" i="5"/>
  <c r="T34" i="5"/>
  <c r="I45" i="5"/>
  <c r="AA45" i="5"/>
  <c r="I37" i="5"/>
  <c r="AA37" i="5"/>
  <c r="AA107" i="5"/>
  <c r="I34" i="5"/>
  <c r="AA34" i="5"/>
  <c r="H94" i="5"/>
  <c r="AA102" i="5"/>
  <c r="I69" i="5"/>
  <c r="Z65" i="5"/>
  <c r="AA68" i="5"/>
  <c r="H55" i="5"/>
  <c r="H72" i="5"/>
  <c r="T68" i="5"/>
  <c r="H76" i="5"/>
  <c r="T64" i="5"/>
  <c r="H71" i="5"/>
  <c r="I40" i="5"/>
  <c r="N25" i="5"/>
  <c r="Z55" i="5"/>
  <c r="O63" i="5"/>
  <c r="H57" i="5"/>
  <c r="Z71" i="5"/>
  <c r="O12" i="5"/>
  <c r="AA33" i="5"/>
  <c r="T36" i="5"/>
  <c r="O39" i="5"/>
  <c r="N9" i="5"/>
  <c r="H11" i="5"/>
  <c r="U18" i="5"/>
  <c r="AA31" i="5"/>
  <c r="H42" i="5"/>
  <c r="Z63" i="5"/>
  <c r="I65" i="5"/>
  <c r="H66" i="5"/>
  <c r="Z73" i="5"/>
  <c r="Z80" i="5"/>
  <c r="H93" i="5"/>
  <c r="AA109" i="5"/>
  <c r="T20" i="5"/>
  <c r="O29" i="5"/>
  <c r="AA30" i="5"/>
  <c r="Z43" i="5"/>
  <c r="T49" i="5"/>
  <c r="I64" i="5"/>
  <c r="H110" i="5"/>
  <c r="H19" i="5"/>
  <c r="Z27" i="5"/>
  <c r="I41" i="5"/>
  <c r="T65" i="5"/>
  <c r="H74" i="5"/>
  <c r="AA75" i="5"/>
  <c r="H80" i="5"/>
  <c r="H88" i="5"/>
  <c r="T26" i="5"/>
  <c r="AA29" i="5"/>
  <c r="O31" i="5"/>
  <c r="Z42" i="5"/>
  <c r="U11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6" i="5"/>
  <c r="H21" i="5"/>
  <c r="O22" i="5"/>
  <c r="I33" i="5"/>
  <c r="T35" i="5"/>
  <c r="Z36" i="5"/>
  <c r="H46" i="5"/>
  <c r="Z49" i="5"/>
  <c r="Z50" i="5"/>
  <c r="Z51" i="5"/>
  <c r="Z58" i="5"/>
  <c r="AA60" i="5"/>
  <c r="Z61" i="5"/>
  <c r="AA66" i="5"/>
  <c r="H83" i="5"/>
  <c r="I86" i="5"/>
  <c r="O87" i="5"/>
  <c r="O95" i="5"/>
  <c r="T98" i="5"/>
  <c r="AA99" i="5"/>
  <c r="H3" i="5"/>
  <c r="T4" i="5"/>
  <c r="T10" i="5"/>
  <c r="N11" i="5"/>
  <c r="O20" i="5"/>
  <c r="AA25" i="5"/>
  <c r="N27" i="5"/>
  <c r="H28" i="5"/>
  <c r="H44" i="5"/>
  <c r="I52" i="5"/>
  <c r="H61" i="5"/>
  <c r="H62" i="5"/>
  <c r="T71" i="5"/>
  <c r="Z79" i="5"/>
  <c r="O83" i="5"/>
  <c r="T94" i="5"/>
  <c r="I13" i="5"/>
  <c r="Z14" i="5"/>
  <c r="O16" i="5"/>
  <c r="N17" i="5"/>
  <c r="N21" i="5"/>
  <c r="Z22" i="5"/>
  <c r="T24" i="5"/>
  <c r="T32" i="5"/>
  <c r="I36" i="5"/>
  <c r="H38" i="5"/>
  <c r="T39" i="5"/>
  <c r="O43" i="5"/>
  <c r="H50" i="5"/>
  <c r="H51" i="5"/>
  <c r="H60" i="5"/>
  <c r="O75" i="5"/>
  <c r="Z77" i="5"/>
  <c r="Z87" i="5"/>
  <c r="H90" i="5"/>
  <c r="T91" i="5"/>
  <c r="AA105" i="5"/>
  <c r="H5" i="5"/>
  <c r="O6" i="5"/>
  <c r="Z10" i="5"/>
  <c r="H15" i="5"/>
  <c r="T16" i="5"/>
  <c r="T27" i="5"/>
  <c r="Z32" i="5"/>
  <c r="T42" i="5"/>
  <c r="T43" i="5"/>
  <c r="T46" i="5"/>
  <c r="O61" i="5"/>
  <c r="T62" i="5"/>
  <c r="T82" i="5"/>
  <c r="Z83" i="5"/>
  <c r="Z91" i="5"/>
  <c r="O99" i="5"/>
  <c r="T104" i="5"/>
  <c r="H106" i="5"/>
  <c r="T110" i="5"/>
  <c r="O73" i="5"/>
  <c r="H79" i="5"/>
  <c r="I87" i="5"/>
  <c r="T6" i="5"/>
  <c r="N7" i="5"/>
  <c r="Z12" i="5"/>
  <c r="H17" i="5"/>
  <c r="O18" i="5"/>
  <c r="T22" i="5"/>
  <c r="N23" i="5"/>
  <c r="T29" i="5"/>
  <c r="Z39" i="5"/>
  <c r="Z40" i="5"/>
  <c r="Z41" i="5"/>
  <c r="H47" i="5"/>
  <c r="H49" i="5"/>
  <c r="H53" i="5"/>
  <c r="H54" i="5"/>
  <c r="H63" i="5"/>
  <c r="Z64" i="5"/>
  <c r="T66" i="5"/>
  <c r="H73" i="5"/>
  <c r="H75" i="5"/>
  <c r="H77" i="5"/>
  <c r="Z84" i="5"/>
  <c r="Z85" i="5"/>
  <c r="H95" i="5"/>
  <c r="AA97" i="5"/>
  <c r="H104" i="5"/>
  <c r="O107" i="5"/>
  <c r="AA111" i="5"/>
  <c r="H96" i="5"/>
  <c r="H101" i="5"/>
  <c r="O105" i="5"/>
  <c r="T108" i="5"/>
  <c r="N3" i="5"/>
  <c r="Z8" i="5"/>
  <c r="O14" i="5"/>
  <c r="N19" i="5"/>
  <c r="Z24" i="5"/>
  <c r="Z26" i="5"/>
  <c r="I39" i="5"/>
  <c r="T44" i="5"/>
  <c r="T57" i="5"/>
  <c r="T60" i="5"/>
  <c r="T69" i="5"/>
  <c r="H82" i="5"/>
  <c r="H84" i="5"/>
  <c r="H85" i="5"/>
  <c r="Z90" i="5"/>
  <c r="H97" i="5"/>
  <c r="H98" i="5"/>
  <c r="T106" i="5"/>
  <c r="Z110" i="5"/>
  <c r="H112" i="5"/>
  <c r="Z4" i="5"/>
  <c r="H9" i="5"/>
  <c r="O10" i="5"/>
  <c r="T14" i="5"/>
  <c r="N15" i="5"/>
  <c r="Z20" i="5"/>
  <c r="H25" i="5"/>
  <c r="I27" i="5"/>
  <c r="I29" i="5"/>
  <c r="H43" i="5"/>
  <c r="Z44" i="5"/>
  <c r="Z69" i="5"/>
  <c r="H7" i="5"/>
  <c r="O8" i="5"/>
  <c r="T12" i="5"/>
  <c r="N13" i="5"/>
  <c r="Z18" i="5"/>
  <c r="H23" i="5"/>
  <c r="O24" i="5"/>
  <c r="H30" i="5"/>
  <c r="I31" i="5"/>
  <c r="H32" i="5"/>
  <c r="H35" i="5"/>
  <c r="O41" i="5"/>
  <c r="Z46" i="5"/>
  <c r="Z47" i="5"/>
  <c r="T51" i="5"/>
  <c r="Z53" i="5"/>
  <c r="H58" i="5"/>
  <c r="Z62" i="5"/>
  <c r="T63" i="5"/>
  <c r="H68" i="5"/>
  <c r="T72" i="5"/>
  <c r="T74" i="5"/>
  <c r="T76" i="5"/>
  <c r="T79" i="5"/>
  <c r="O85" i="5"/>
  <c r="H91" i="5"/>
  <c r="O97" i="5"/>
  <c r="Z106" i="5"/>
  <c r="H108" i="5"/>
  <c r="O111" i="5"/>
  <c r="O109" i="5"/>
  <c r="U85" i="5"/>
  <c r="T85" i="5"/>
  <c r="U102" i="5"/>
  <c r="T102" i="5"/>
  <c r="H4" i="5"/>
  <c r="H6" i="5"/>
  <c r="H8" i="5"/>
  <c r="H10" i="5"/>
  <c r="H12" i="5"/>
  <c r="H14" i="5"/>
  <c r="H16" i="5"/>
  <c r="H18" i="5"/>
  <c r="H20" i="5"/>
  <c r="H22" i="5"/>
  <c r="H24" i="5"/>
  <c r="H26" i="5"/>
  <c r="T28" i="5"/>
  <c r="O30" i="5"/>
  <c r="N30" i="5"/>
  <c r="Z35" i="5"/>
  <c r="T38" i="5"/>
  <c r="O40" i="5"/>
  <c r="N40" i="5"/>
  <c r="O53" i="5"/>
  <c r="Z57" i="5"/>
  <c r="T58" i="5"/>
  <c r="Z82" i="5"/>
  <c r="Z108" i="5"/>
  <c r="T97" i="5"/>
  <c r="T3" i="5"/>
  <c r="T5" i="5"/>
  <c r="T7" i="5"/>
  <c r="T9" i="5"/>
  <c r="T11" i="5"/>
  <c r="T13" i="5"/>
  <c r="T15" i="5"/>
  <c r="T17" i="5"/>
  <c r="T19" i="5"/>
  <c r="T21" i="5"/>
  <c r="T23" i="5"/>
  <c r="T25" i="5"/>
  <c r="O26" i="5"/>
  <c r="N26" i="5"/>
  <c r="Z28" i="5"/>
  <c r="T30" i="5"/>
  <c r="O32" i="5"/>
  <c r="N32" i="5"/>
  <c r="Z38" i="5"/>
  <c r="T40" i="5"/>
  <c r="O42" i="5"/>
  <c r="N42" i="5"/>
  <c r="T47" i="5"/>
  <c r="Z52" i="5"/>
  <c r="T53" i="5"/>
  <c r="O62" i="5"/>
  <c r="N62" i="5"/>
  <c r="Z72" i="5"/>
  <c r="T73" i="5"/>
  <c r="O54" i="5"/>
  <c r="N54" i="5"/>
  <c r="U87" i="5"/>
  <c r="T31" i="5"/>
  <c r="T41" i="5"/>
  <c r="O50" i="5"/>
  <c r="N50" i="5"/>
  <c r="T54" i="5"/>
  <c r="O55" i="5"/>
  <c r="T61" i="5"/>
  <c r="U75" i="5"/>
  <c r="T75" i="5"/>
  <c r="Z86" i="5"/>
  <c r="U90" i="5"/>
  <c r="T90" i="5"/>
  <c r="U111" i="5"/>
  <c r="T111" i="5"/>
  <c r="U77" i="5"/>
  <c r="T77" i="5"/>
  <c r="U109" i="5"/>
  <c r="T109" i="5"/>
  <c r="Z3" i="5"/>
  <c r="Z5" i="5"/>
  <c r="Z7" i="5"/>
  <c r="Z9" i="5"/>
  <c r="Z11" i="5"/>
  <c r="Z13" i="5"/>
  <c r="Z15" i="5"/>
  <c r="Z17" i="5"/>
  <c r="Z19" i="5"/>
  <c r="Z21" i="5"/>
  <c r="Z23" i="5"/>
  <c r="T33" i="5"/>
  <c r="T50" i="5"/>
  <c r="O51" i="5"/>
  <c r="Z54" i="5"/>
  <c r="T55" i="5"/>
  <c r="O64" i="5"/>
  <c r="N64" i="5"/>
  <c r="Z74" i="5"/>
  <c r="U80" i="5"/>
  <c r="T80" i="5"/>
  <c r="Z88" i="5"/>
  <c r="U93" i="5"/>
  <c r="U107" i="5"/>
  <c r="T107" i="5"/>
  <c r="O28" i="5"/>
  <c r="N28" i="5"/>
  <c r="O52" i="5"/>
  <c r="N52" i="5"/>
  <c r="O72" i="5"/>
  <c r="N72" i="5"/>
  <c r="Z76" i="5"/>
  <c r="U83" i="5"/>
  <c r="T83" i="5"/>
  <c r="U105" i="5"/>
  <c r="T105" i="5"/>
  <c r="Z112" i="5"/>
  <c r="N74" i="5"/>
  <c r="N76" i="5"/>
  <c r="N84" i="5"/>
  <c r="N86" i="5"/>
  <c r="N88" i="5"/>
  <c r="N98" i="5"/>
  <c r="N106" i="5"/>
  <c r="N108" i="5"/>
  <c r="N110" i="5"/>
  <c r="N112" i="5"/>
  <c r="H99" i="5"/>
  <c r="H102" i="5"/>
  <c r="H105" i="5"/>
  <c r="H107" i="5"/>
  <c r="H109" i="5"/>
  <c r="H11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<sst xmlns="http://schemas.openxmlformats.org/spreadsheetml/2006/main" count="467" uniqueCount="92">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</sst>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4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left" vertical="center" wrapText="1"/>
    </xf>
    <xf numFmtId="0" fontId="15" fillId="7" borderId="1" xfId="0" applyFont="1" applyFill="1" applyBorder="1" applyAlignment="1">
      <alignment vertical="center" wrapText="1"/>
    </xf>
    <xf numFmtId="0" fontId="15" fillId="9" borderId="1" xfId="0" applyFont="1" applyFill="1" applyBorder="1" applyAlignment="1">
      <alignment vertical="center" wrapText="1"/>
    </xf>
    <xf numFmtId="0" fontId="1" fillId="7" borderId="0" xfId="0" applyFont="1" applyFill="1" applyAlignment="1">
      <alignment horizontal="center" vertical="center" wrapText="1"/>
    </xf>
    <xf numFmtId="0" fontId="0" fillId="8" borderId="1" xfId="0" applyFill="1" applyBorder="1"/>
    <xf numFmtId="0" fontId="1" fillId="9" borderId="0" xfId="0" applyFont="1" applyFill="1" applyAlignment="1">
      <alignment horizontal="center" vertical="center" wrapText="1"/>
    </xf>
    <xf numFmtId="0" fontId="15" fillId="7" borderId="0" xfId="0" applyFont="1" applyFill="1" applyAlignment="1">
      <alignment horizontal="left" vertical="center" wrapText="1"/>
    </xf>
    <xf numFmtId="0" fontId="2" fillId="7" borderId="0" xfId="0" applyFont="1" applyFill="1" applyAlignment="1">
      <alignment vertical="center" wrapText="1"/>
    </xf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horizontal="left" vertical="center" wrapText="1"/>
    </xf>
    <xf numFmtId="0" fontId="0" fillId="8" borderId="3" xfId="0" applyFill="1" applyBorder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sortState xmlns:xlrd2="http://schemas.microsoft.com/office/spreadsheetml/2017/richdata2" ref="A3:AA140">
    <sortCondition descending="1" ref="V2:V140"/>
  </sortState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>
        <v>304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304</v>
      </c>
    </row>
    <row r="3" spans="1:8" ht="29.25" customHeight="1">
      <c r="A3" s="1">
        <v>1</v>
      </c>
      <c r="B3" s="2" t="s">
        <v>10</v>
      </c>
      <c r="C3" s="1"/>
      <c r="D3" s="1">
        <v>304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304</v>
      </c>
    </row>
    <row r="4" spans="1:8" ht="21" customHeight="1">
      <c r="A4" s="1">
        <v>1</v>
      </c>
      <c r="B4" s="2" t="s">
        <v>11</v>
      </c>
      <c r="C4" s="1"/>
      <c r="D4" s="1">
        <v>304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304</v>
      </c>
    </row>
    <row r="5" spans="1:8" ht="25.5" customHeight="1">
      <c r="A5" s="1">
        <v>1</v>
      </c>
      <c r="B5" s="2" t="s">
        <v>12</v>
      </c>
      <c r="C5" s="1"/>
      <c r="D5" s="1">
        <v>304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304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/>
      <c r="D23" s="1">
        <v>339</v>
      </c>
      <c r="E23" s="1">
        <v>2025</v>
      </c>
      <c r="F23" s="5" t="s">
        <v>17</v>
      </c>
      <c r="G23" s="3">
        <f t="shared" si="4"/>
        <v>0</v>
      </c>
      <c r="H23" s="4">
        <f t="shared" si="5"/>
        <v>339</v>
      </c>
    </row>
    <row r="24" spans="1:8" ht="27" customHeight="1">
      <c r="A24" s="1">
        <v>4</v>
      </c>
      <c r="B24" s="9" t="s">
        <v>11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/>
      <c r="D31" s="1">
        <v>314</v>
      </c>
      <c r="E31" s="1">
        <v>2025</v>
      </c>
      <c r="F31" s="5" t="s">
        <v>17</v>
      </c>
      <c r="G31" s="3">
        <f t="shared" ref="G31:G39" si="6">IF((C31-D31)&lt;0,0,C31-D31)</f>
        <v>0</v>
      </c>
      <c r="H31" s="4">
        <f t="shared" ref="H31:H39" si="7">IF((D31-C31)&lt;0,0,D31-C31)</f>
        <v>314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/>
      <c r="D35" s="1">
        <v>402</v>
      </c>
      <c r="E35" s="1">
        <v>2025</v>
      </c>
      <c r="F35" s="5" t="s">
        <v>17</v>
      </c>
      <c r="G35" s="3">
        <f t="shared" si="6"/>
        <v>0</v>
      </c>
      <c r="H35" s="4">
        <f t="shared" si="7"/>
        <v>402</v>
      </c>
    </row>
    <row r="36" spans="1:8" ht="27.75" customHeight="1">
      <c r="A36" s="1">
        <v>5</v>
      </c>
      <c r="B36" s="9" t="s">
        <v>14</v>
      </c>
      <c r="C36" s="1"/>
      <c r="D36" s="1">
        <v>314</v>
      </c>
      <c r="E36" s="1">
        <v>2025</v>
      </c>
      <c r="F36" s="5" t="s">
        <v>17</v>
      </c>
      <c r="G36" s="3">
        <f t="shared" si="6"/>
        <v>0</v>
      </c>
      <c r="H36" s="4">
        <f t="shared" si="7"/>
        <v>314</v>
      </c>
    </row>
    <row r="37" spans="1:8" ht="27.75" customHeight="1">
      <c r="A37" s="1">
        <v>5</v>
      </c>
      <c r="B37" s="9" t="s">
        <v>19</v>
      </c>
      <c r="C37" s="1"/>
      <c r="D37" s="1">
        <v>315</v>
      </c>
      <c r="E37" s="1">
        <v>2025</v>
      </c>
      <c r="F37" s="5" t="s">
        <v>17</v>
      </c>
      <c r="G37" s="3">
        <f t="shared" si="6"/>
        <v>0</v>
      </c>
      <c r="H37" s="4">
        <f t="shared" si="7"/>
        <v>315</v>
      </c>
    </row>
    <row r="38" spans="1:8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pageSetup paperSize="6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27"/>
  <sheetViews>
    <sheetView topLeftCell="E89" zoomScale="70" zoomScaleNormal="70" workbookViewId="0">
      <selection activeCell="U95" sqref="U95"/>
    </sheetView>
  </sheetViews>
  <sheetFormatPr defaultRowHeight="13.9"/>
  <cols>
    <col min="1" max="1" width="9.42578125" customWidth="1"/>
    <col min="2" max="2" width="24" customWidth="1"/>
    <col min="3" max="4" width="13" customWidth="1"/>
    <col min="5" max="5" width="20" customWidth="1"/>
    <col min="6" max="10" width="12.85546875" customWidth="1"/>
    <col min="11" max="11" width="20.140625" customWidth="1"/>
    <col min="12" max="16" width="13.7109375" customWidth="1"/>
    <col min="17" max="17" width="21.140625" customWidth="1"/>
    <col min="18" max="22" width="12.28515625" customWidth="1"/>
    <col min="23" max="23" width="20.42578125" customWidth="1"/>
    <col min="24" max="27" width="10" customWidth="1"/>
  </cols>
  <sheetData>
    <row r="1" spans="1:27" s="28" customFormat="1" ht="34.15" customHeight="1">
      <c r="D1" s="53" t="s">
        <v>34</v>
      </c>
      <c r="E1" s="53"/>
      <c r="F1" s="53"/>
      <c r="G1" s="53"/>
      <c r="H1" s="53"/>
      <c r="I1" s="53"/>
      <c r="J1" s="54" t="s">
        <v>35</v>
      </c>
      <c r="K1" s="54"/>
      <c r="L1" s="54"/>
      <c r="M1" s="54"/>
      <c r="N1" s="54"/>
      <c r="O1" s="54"/>
      <c r="P1" s="55" t="s">
        <v>36</v>
      </c>
      <c r="Q1" s="55"/>
      <c r="R1" s="55"/>
      <c r="S1" s="55"/>
      <c r="T1" s="55"/>
      <c r="U1" s="55"/>
      <c r="V1" s="56" t="s">
        <v>37</v>
      </c>
      <c r="W1" s="56"/>
      <c r="X1" s="56"/>
      <c r="Y1" s="56"/>
      <c r="Z1" s="56"/>
      <c r="AA1" s="5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/>
      <c r="E3" s="34">
        <v>72</v>
      </c>
      <c r="F3" s="32">
        <v>2025</v>
      </c>
      <c r="G3" s="34" t="s">
        <v>9</v>
      </c>
      <c r="H3" s="34">
        <f>IF((D3-E3)&lt;0,0,(D3-E3))</f>
        <v>0</v>
      </c>
      <c r="I3" s="34">
        <f>IF((E3-D3)&lt;0,0,(E3-D3))</f>
        <v>72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/>
      <c r="D7" s="5">
        <v>0</v>
      </c>
      <c r="E7" s="5">
        <v>205</v>
      </c>
      <c r="F7" s="1">
        <v>2025</v>
      </c>
      <c r="G7" s="5" t="s">
        <v>9</v>
      </c>
      <c r="H7" s="5">
        <f>IF((D7-E7)&lt;0,0,(D7-E7))</f>
        <v>0</v>
      </c>
      <c r="I7" s="5">
        <f>IF((E7-D7)&lt;0,0,(E7-D7))</f>
        <v>205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/>
      <c r="D8" s="5">
        <v>0</v>
      </c>
      <c r="E8" s="5">
        <v>205</v>
      </c>
      <c r="F8" s="1">
        <v>2025</v>
      </c>
      <c r="G8" s="5" t="s">
        <v>9</v>
      </c>
      <c r="H8" s="5">
        <f>IF((D8-E8)&lt;0,0,(D8-E8))</f>
        <v>0</v>
      </c>
      <c r="I8" s="5">
        <f>IF((E8-D8)&lt;0,0,(E8-D8))</f>
        <v>205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/>
      <c r="D9" s="5">
        <v>0</v>
      </c>
      <c r="E9" s="5">
        <v>205</v>
      </c>
      <c r="F9" s="1">
        <v>2025</v>
      </c>
      <c r="G9" s="5" t="s">
        <v>9</v>
      </c>
      <c r="H9" s="5">
        <f>IF((D9-E9)&lt;0,0,(D9-E9))</f>
        <v>0</v>
      </c>
      <c r="I9" s="5">
        <f>IF((E9-D9)&lt;0,0,(E9-D9))</f>
        <v>205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/>
      <c r="D10" s="5">
        <v>0</v>
      </c>
      <c r="E10" s="5">
        <v>205</v>
      </c>
      <c r="F10" s="1">
        <v>2025</v>
      </c>
      <c r="G10" s="5" t="s">
        <v>9</v>
      </c>
      <c r="H10" s="5">
        <f>IF((D10-E10)&lt;0,0,(D10-E10))</f>
        <v>0</v>
      </c>
      <c r="I10" s="5">
        <f>IF((E10-D10)&lt;0,0,(E10-D10))</f>
        <v>205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/>
      <c r="D11" s="5">
        <v>0</v>
      </c>
      <c r="E11" s="5">
        <v>205</v>
      </c>
      <c r="F11" s="1">
        <v>2025</v>
      </c>
      <c r="G11" s="5" t="s">
        <v>9</v>
      </c>
      <c r="H11" s="5">
        <f>IF((D11-E11)&lt;0,0,(D11-E11))</f>
        <v>0</v>
      </c>
      <c r="I11" s="5">
        <f>IF((E11-D11)&lt;0,0,(E11-D11))</f>
        <v>205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6.75">
      <c r="A14" s="1">
        <v>2</v>
      </c>
      <c r="B14" s="4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6.75">
      <c r="A23" s="1">
        <v>3</v>
      </c>
      <c r="B23" s="4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/>
      <c r="D25" s="5">
        <v>0</v>
      </c>
      <c r="E25" s="5">
        <v>232</v>
      </c>
      <c r="F25" s="1">
        <v>2025</v>
      </c>
      <c r="G25" s="5" t="s">
        <v>9</v>
      </c>
      <c r="H25" s="5">
        <f t="shared" si="2"/>
        <v>0</v>
      </c>
      <c r="I25" s="5">
        <f t="shared" si="3"/>
        <v>232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/>
      <c r="D26" s="5">
        <v>0</v>
      </c>
      <c r="E26" s="5">
        <v>232</v>
      </c>
      <c r="F26" s="1">
        <v>2025</v>
      </c>
      <c r="G26" s="5" t="s">
        <v>9</v>
      </c>
      <c r="H26" s="5">
        <f t="shared" si="2"/>
        <v>0</v>
      </c>
      <c r="I26" s="5">
        <f t="shared" si="3"/>
        <v>232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/>
      <c r="D27" s="5">
        <v>0</v>
      </c>
      <c r="E27" s="5">
        <v>232</v>
      </c>
      <c r="F27" s="1">
        <v>2025</v>
      </c>
      <c r="G27" s="5" t="s">
        <v>9</v>
      </c>
      <c r="H27" s="5">
        <f t="shared" si="2"/>
        <v>0</v>
      </c>
      <c r="I27" s="5">
        <f t="shared" si="3"/>
        <v>232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/>
      <c r="D28" s="5">
        <v>0</v>
      </c>
      <c r="E28" s="5">
        <v>232</v>
      </c>
      <c r="F28" s="1">
        <v>2025</v>
      </c>
      <c r="G28" s="5" t="s">
        <v>9</v>
      </c>
      <c r="H28" s="5">
        <f t="shared" si="2"/>
        <v>0</v>
      </c>
      <c r="I28" s="5">
        <f t="shared" si="3"/>
        <v>232</v>
      </c>
      <c r="J28" s="5">
        <f>Table1[[#This Row],[Enrolment S.Y. 2025-2026 ]]*8</f>
        <v>0</v>
      </c>
      <c r="K28" s="5">
        <v>274</v>
      </c>
      <c r="L28" s="1">
        <v>2025</v>
      </c>
      <c r="M28" s="5" t="s">
        <v>9</v>
      </c>
      <c r="N28" s="5">
        <f t="shared" si="10"/>
        <v>0</v>
      </c>
      <c r="O28" s="5">
        <f t="shared" si="11"/>
        <v>274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/>
      <c r="D29" s="5">
        <v>0</v>
      </c>
      <c r="E29" s="5">
        <v>232</v>
      </c>
      <c r="F29" s="1">
        <v>2025</v>
      </c>
      <c r="G29" s="5" t="s">
        <v>9</v>
      </c>
      <c r="H29" s="5">
        <f>IF((D29-E29)&lt;0,0,(D29-E29))</f>
        <v>0</v>
      </c>
      <c r="I29" s="5">
        <f>IF((E29-D29)&lt;0,0,(E29-D29))</f>
        <v>232</v>
      </c>
      <c r="J29" s="5">
        <f>Table1[[#This Row],[Enrolment S.Y. 2025-2026 ]]*8</f>
        <v>0</v>
      </c>
      <c r="K29" s="5">
        <v>274</v>
      </c>
      <c r="L29" s="1">
        <v>2025</v>
      </c>
      <c r="M29" s="5" t="s">
        <v>9</v>
      </c>
      <c r="N29" s="5">
        <f t="shared" si="10"/>
        <v>0</v>
      </c>
      <c r="O29" s="5">
        <f t="shared" si="11"/>
        <v>274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/>
      <c r="D30" s="5">
        <v>0</v>
      </c>
      <c r="E30" s="5">
        <v>232</v>
      </c>
      <c r="F30" s="1">
        <v>2025</v>
      </c>
      <c r="G30" s="5" t="s">
        <v>9</v>
      </c>
      <c r="H30" s="5">
        <f>IF((D30-E30)&lt;0,0,(D30-E30))</f>
        <v>0</v>
      </c>
      <c r="I30" s="5">
        <f>IF((E30-D30)&lt;0,0,(E30-D30))</f>
        <v>232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6.75">
      <c r="A37" s="1">
        <v>4</v>
      </c>
      <c r="B37" s="43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/>
      <c r="D41" s="5">
        <v>0</v>
      </c>
      <c r="E41" s="5">
        <v>328</v>
      </c>
      <c r="F41" s="1">
        <v>2025</v>
      </c>
      <c r="G41" s="5" t="s">
        <v>9</v>
      </c>
      <c r="H41" s="5">
        <f t="shared" si="2"/>
        <v>0</v>
      </c>
      <c r="I41" s="5">
        <f t="shared" si="3"/>
        <v>328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/>
      <c r="D43" s="5">
        <v>0</v>
      </c>
      <c r="E43" s="5">
        <v>105</v>
      </c>
      <c r="F43" s="1">
        <v>2025</v>
      </c>
      <c r="G43" s="5" t="s">
        <v>9</v>
      </c>
      <c r="H43" s="5">
        <f t="shared" si="2"/>
        <v>0</v>
      </c>
      <c r="I43" s="5">
        <f t="shared" si="3"/>
        <v>105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/>
      <c r="D44" s="5">
        <v>0</v>
      </c>
      <c r="E44" s="5">
        <v>105</v>
      </c>
      <c r="F44" s="1">
        <v>2025</v>
      </c>
      <c r="G44" s="5" t="s">
        <v>9</v>
      </c>
      <c r="H44" s="5">
        <f t="shared" si="2"/>
        <v>0</v>
      </c>
      <c r="I44" s="5">
        <f t="shared" si="3"/>
        <v>105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/>
      <c r="D45" s="5">
        <v>0</v>
      </c>
      <c r="E45" s="5">
        <v>105</v>
      </c>
      <c r="F45" s="1">
        <v>2025</v>
      </c>
      <c r="G45" s="5" t="s">
        <v>9</v>
      </c>
      <c r="H45" s="5">
        <f t="shared" si="2"/>
        <v>0</v>
      </c>
      <c r="I45" s="5">
        <f t="shared" si="3"/>
        <v>105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/>
      <c r="D46" s="5">
        <v>0</v>
      </c>
      <c r="E46" s="5">
        <v>105</v>
      </c>
      <c r="F46" s="1">
        <v>2025</v>
      </c>
      <c r="G46" s="5" t="s">
        <v>9</v>
      </c>
      <c r="H46" s="5">
        <f t="shared" si="2"/>
        <v>0</v>
      </c>
      <c r="I46" s="5">
        <f t="shared" si="3"/>
        <v>105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/>
      <c r="D47" s="5">
        <v>0</v>
      </c>
      <c r="E47" s="5">
        <v>105</v>
      </c>
      <c r="F47" s="1">
        <v>2025</v>
      </c>
      <c r="G47" s="5" t="s">
        <v>9</v>
      </c>
      <c r="H47" s="5">
        <f t="shared" si="2"/>
        <v>0</v>
      </c>
      <c r="I47" s="5">
        <f t="shared" si="3"/>
        <v>105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/>
      <c r="D48" s="5">
        <v>0</v>
      </c>
      <c r="E48" s="5">
        <v>105</v>
      </c>
      <c r="F48" s="1">
        <v>2025</v>
      </c>
      <c r="G48" s="5" t="s">
        <v>9</v>
      </c>
      <c r="H48" s="5">
        <f t="shared" si="2"/>
        <v>0</v>
      </c>
      <c r="I48" s="5">
        <f t="shared" si="3"/>
        <v>105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/>
      <c r="D49" s="5">
        <v>0</v>
      </c>
      <c r="E49" s="5">
        <v>105</v>
      </c>
      <c r="F49" s="1">
        <v>2025</v>
      </c>
      <c r="G49" s="5" t="s">
        <v>9</v>
      </c>
      <c r="H49" s="5">
        <f t="shared" si="2"/>
        <v>0</v>
      </c>
      <c r="I49" s="5">
        <f t="shared" si="3"/>
        <v>105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/>
      <c r="D50" s="5">
        <v>0</v>
      </c>
      <c r="E50" s="5">
        <v>105</v>
      </c>
      <c r="F50" s="1">
        <v>2025</v>
      </c>
      <c r="G50" s="5" t="s">
        <v>9</v>
      </c>
      <c r="H50" s="5">
        <f t="shared" si="2"/>
        <v>0</v>
      </c>
      <c r="I50" s="5">
        <f t="shared" si="3"/>
        <v>105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/>
      <c r="D51" s="5">
        <v>0</v>
      </c>
      <c r="E51" s="5">
        <v>105</v>
      </c>
      <c r="F51" s="1">
        <v>2025</v>
      </c>
      <c r="G51" s="5" t="s">
        <v>9</v>
      </c>
      <c r="H51" s="5">
        <f t="shared" si="2"/>
        <v>0</v>
      </c>
      <c r="I51" s="5">
        <f t="shared" si="3"/>
        <v>105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6.75">
      <c r="A57" s="1">
        <v>6</v>
      </c>
      <c r="B57" s="43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6.75">
      <c r="A67" s="10">
        <v>7</v>
      </c>
      <c r="B67" s="44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v>0</v>
      </c>
      <c r="U95" s="12"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25</v>
      </c>
      <c r="B106" s="43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6.75">
      <c r="A108" s="1" t="s">
        <v>25</v>
      </c>
      <c r="B108" s="43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4.75">
      <c r="A109" s="1" t="s">
        <v>25</v>
      </c>
      <c r="B109" s="43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H5:L5 D14:F21 Q14:R21 W14:X21 Q23:R31 W23:X3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N5:R12 T5:X12 N4:P4 T4:V4 J4 Z4:AA127 N3:R3 Y13 D2:F3 D5:F12 D23:F31 D33:F41 D43:F5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25" right="0.25" top="0.75" bottom="0.75" header="0.3" footer="0.3"/>
  <pageSetup paperSize="6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40"/>
  <sheetViews>
    <sheetView tabSelected="1" topLeftCell="A91" zoomScale="55" zoomScaleNormal="55" workbookViewId="0">
      <selection activeCell="G96" sqref="G96"/>
    </sheetView>
  </sheetViews>
  <sheetFormatPr defaultRowHeight="13.9"/>
  <cols>
    <col min="1" max="1" width="9.42578125" customWidth="1"/>
    <col min="2" max="2" width="23.28515625" customWidth="1"/>
    <col min="3" max="4" width="12.42578125" customWidth="1"/>
    <col min="5" max="5" width="21.7109375" customWidth="1"/>
    <col min="6" max="10" width="13.42578125" customWidth="1"/>
    <col min="11" max="11" width="21.85546875" customWidth="1"/>
    <col min="12" max="16" width="12.85546875" customWidth="1"/>
    <col min="17" max="17" width="21.42578125" customWidth="1"/>
    <col min="18" max="22" width="12.5703125" customWidth="1"/>
    <col min="23" max="23" width="21.28515625" customWidth="1"/>
    <col min="24" max="28" width="12" customWidth="1"/>
  </cols>
  <sheetData>
    <row r="1" spans="1:27" s="28" customFormat="1" ht="34.15" customHeight="1">
      <c r="B1" s="35"/>
      <c r="D1" s="53" t="s">
        <v>34</v>
      </c>
      <c r="E1" s="53"/>
      <c r="F1" s="53"/>
      <c r="G1" s="53"/>
      <c r="H1" s="53"/>
      <c r="I1" s="53"/>
      <c r="J1" s="54" t="s">
        <v>35</v>
      </c>
      <c r="K1" s="54"/>
      <c r="L1" s="54"/>
      <c r="M1" s="54"/>
      <c r="N1" s="54"/>
      <c r="O1" s="54"/>
      <c r="P1" s="55" t="s">
        <v>36</v>
      </c>
      <c r="Q1" s="55"/>
      <c r="R1" s="55"/>
      <c r="S1" s="55"/>
      <c r="T1" s="55"/>
      <c r="U1" s="55"/>
      <c r="V1" s="56" t="s">
        <v>37</v>
      </c>
      <c r="W1" s="56"/>
      <c r="X1" s="56"/>
      <c r="Y1" s="56"/>
      <c r="Z1" s="56"/>
      <c r="AA1" s="5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6.75">
      <c r="A3" s="1">
        <v>1</v>
      </c>
      <c r="B3" s="4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>IF((D3-E3)&lt;0,0,(D3-E3))</f>
        <v>0</v>
      </c>
      <c r="I3" s="5">
        <f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>IF((J3-K3)&lt;0,0,(J3-K3))</f>
        <v>0</v>
      </c>
      <c r="O3" s="5">
        <f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>IF((P3-Q3)&lt;0,0,(P3-Q3))</f>
        <v>0</v>
      </c>
      <c r="U3" s="5">
        <f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>IF((V3-W3)&lt;0,0,(V3-W3))</f>
        <v>0</v>
      </c>
      <c r="AA3" s="5">
        <f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>IF((D4-E4)&lt;0,0,(D4-E4))</f>
        <v>0</v>
      </c>
      <c r="I4" s="5">
        <f>IF((E4-D4)&lt;0,0,(E4-D4))</f>
        <v>0</v>
      </c>
      <c r="J4" s="5">
        <f>Table14[[#This Row],[Enrolment S.Y. 2025-2026 ]]*8</f>
        <v>0</v>
      </c>
      <c r="K4" s="5"/>
      <c r="L4" s="1"/>
      <c r="M4" s="5"/>
      <c r="N4" s="5">
        <f>IF((J4-K4)&lt;0,0,(J4-K4))</f>
        <v>0</v>
      </c>
      <c r="O4" s="5">
        <f>IF((K4-J4)&lt;0,0,(K4-J4))</f>
        <v>0</v>
      </c>
      <c r="P4" s="5">
        <f>Table14[[#This Row],[Enrolment S.Y. 2025-2026 ]]*8</f>
        <v>0</v>
      </c>
      <c r="Q4" s="5"/>
      <c r="R4" s="1"/>
      <c r="S4" s="5"/>
      <c r="T4" s="5">
        <f>IF((P4-Q4)&lt;0,0,(P4-Q4))</f>
        <v>0</v>
      </c>
      <c r="U4" s="5">
        <f>IF((Q4-P4)&lt;0,0,(Q4-P4))</f>
        <v>0</v>
      </c>
      <c r="V4" s="5">
        <f>Table14[[#This Row],[Enrolment S.Y. 2025-2026 ]]*8</f>
        <v>0</v>
      </c>
      <c r="W4" s="5"/>
      <c r="X4" s="1"/>
      <c r="Y4" s="5"/>
      <c r="Z4" s="5">
        <f>IF((V4-W4)&lt;0,0,(V4-W4))</f>
        <v>0</v>
      </c>
      <c r="AA4" s="5">
        <f>IF((W4-V4)&lt;0,0,(W4-V4))</f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>IF((D5-E5)&lt;0,0,(D5-E5))</f>
        <v>0</v>
      </c>
      <c r="I5" s="5">
        <f>IF((E5-D5)&lt;0,0,(E5-D5))</f>
        <v>0</v>
      </c>
      <c r="J5" s="5">
        <f>Table14[[#This Row],[Enrolment S.Y. 2025-2026 ]]*8</f>
        <v>0</v>
      </c>
      <c r="K5" s="5"/>
      <c r="L5" s="1"/>
      <c r="M5" s="5"/>
      <c r="N5" s="5">
        <f>IF((J5-K5)&lt;0,0,(J5-K5))</f>
        <v>0</v>
      </c>
      <c r="O5" s="5">
        <f>IF((K5-J5)&lt;0,0,(K5-J5))</f>
        <v>0</v>
      </c>
      <c r="P5" s="5">
        <f>Table14[[#This Row],[Enrolment S.Y. 2025-2026 ]]*8</f>
        <v>0</v>
      </c>
      <c r="Q5" s="5"/>
      <c r="R5" s="1"/>
      <c r="S5" s="5"/>
      <c r="T5" s="5">
        <f>IF((P5-Q5)&lt;0,0,(P5-Q5))</f>
        <v>0</v>
      </c>
      <c r="U5" s="5">
        <f>IF((Q5-P5)&lt;0,0,(Q5-P5))</f>
        <v>0</v>
      </c>
      <c r="V5" s="5">
        <f>Table14[[#This Row],[Enrolment S.Y. 2025-2026 ]]*8</f>
        <v>0</v>
      </c>
      <c r="W5" s="5"/>
      <c r="X5" s="1"/>
      <c r="Y5" s="5"/>
      <c r="Z5" s="5">
        <f>IF((V5-W5)&lt;0,0,(V5-W5))</f>
        <v>0</v>
      </c>
      <c r="AA5" s="5">
        <f>IF((W5-V5)&lt;0,0,(W5-V5))</f>
        <v>0</v>
      </c>
    </row>
    <row r="6" spans="1:27" ht="19.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>IF((D6-E6)&lt;0,0,(D6-E6))</f>
        <v>0</v>
      </c>
      <c r="I6" s="5">
        <f>IF((E6-D6)&lt;0,0,(E6-D6))</f>
        <v>0</v>
      </c>
      <c r="J6" s="5">
        <f>Table14[[#This Row],[Enrolment S.Y. 2025-2026 ]]*8</f>
        <v>0</v>
      </c>
      <c r="K6" s="5"/>
      <c r="L6" s="1"/>
      <c r="M6" s="5"/>
      <c r="N6" s="5">
        <f>IF((J6-K6)&lt;0,0,(J6-K6))</f>
        <v>0</v>
      </c>
      <c r="O6" s="5">
        <f>IF((K6-J6)&lt;0,0,(K6-J6))</f>
        <v>0</v>
      </c>
      <c r="P6" s="5">
        <f>Table14[[#This Row],[Enrolment S.Y. 2025-2026 ]]*8</f>
        <v>0</v>
      </c>
      <c r="Q6" s="5"/>
      <c r="R6" s="1"/>
      <c r="S6" s="5"/>
      <c r="T6" s="5">
        <f>IF((P6-Q6)&lt;0,0,(P6-Q6))</f>
        <v>0</v>
      </c>
      <c r="U6" s="5">
        <f>IF((Q6-P6)&lt;0,0,(Q6-P6))</f>
        <v>0</v>
      </c>
      <c r="V6" s="5">
        <f>Table14[[#This Row],[Enrolment S.Y. 2025-2026 ]]*8</f>
        <v>0</v>
      </c>
      <c r="W6" s="5"/>
      <c r="X6" s="1"/>
      <c r="Y6" s="5"/>
      <c r="Z6" s="5">
        <f>IF((V6-W6)&lt;0,0,(V6-W6))</f>
        <v>0</v>
      </c>
      <c r="AA6" s="5">
        <f>IF((W6-V6)&lt;0,0,(W6-V6))</f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>IF((D7-E7)&lt;0,0,(D7-E7))</f>
        <v>0</v>
      </c>
      <c r="I7" s="5">
        <f>IF((E7-D7)&lt;0,0,(E7-D7))</f>
        <v>0</v>
      </c>
      <c r="J7" s="5">
        <f>Table14[[#This Row],[Enrolment S.Y. 2025-2026 ]]*8</f>
        <v>0</v>
      </c>
      <c r="K7" s="5"/>
      <c r="L7" s="1"/>
      <c r="M7" s="5"/>
      <c r="N7" s="5">
        <f>IF((J7-K7)&lt;0,0,(J7-K7))</f>
        <v>0</v>
      </c>
      <c r="O7" s="5">
        <f>IF((K7-J7)&lt;0,0,(K7-J7))</f>
        <v>0</v>
      </c>
      <c r="P7" s="5">
        <f>Table14[[#This Row],[Enrolment S.Y. 2025-2026 ]]*8</f>
        <v>0</v>
      </c>
      <c r="Q7" s="5"/>
      <c r="R7" s="1"/>
      <c r="S7" s="5"/>
      <c r="T7" s="5">
        <f>IF((P7-Q7)&lt;0,0,(P7-Q7))</f>
        <v>0</v>
      </c>
      <c r="U7" s="5">
        <f>IF((Q7-P7)&lt;0,0,(Q7-P7))</f>
        <v>0</v>
      </c>
      <c r="V7" s="5">
        <f>Table14[[#This Row],[Enrolment S.Y. 2025-2026 ]]*8</f>
        <v>0</v>
      </c>
      <c r="W7" s="5"/>
      <c r="X7" s="1"/>
      <c r="Y7" s="5"/>
      <c r="Z7" s="5">
        <f>IF((V7-W7)&lt;0,0,(V7-W7))</f>
        <v>0</v>
      </c>
      <c r="AA7" s="5">
        <f>IF((W7-V7)&lt;0,0,(W7-V7))</f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>IF((J8-K8)&lt;0,0,(J8-K8))</f>
        <v>0</v>
      </c>
      <c r="O8" s="5">
        <f>IF((K8-J8)&lt;0,0,(K8-J8))</f>
        <v>0</v>
      </c>
      <c r="P8" s="5">
        <f>Table14[[#This Row],[Enrolment S.Y. 2025-2026 ]]*8</f>
        <v>0</v>
      </c>
      <c r="Q8" s="5"/>
      <c r="R8" s="1"/>
      <c r="S8" s="5"/>
      <c r="T8" s="5">
        <f>IF((P8-Q8)&lt;0,0,(P8-Q8))</f>
        <v>0</v>
      </c>
      <c r="U8" s="5">
        <f>IF((Q8-P8)&lt;0,0,(Q8-P8))</f>
        <v>0</v>
      </c>
      <c r="V8" s="5">
        <f>Table14[[#This Row],[Enrolment S.Y. 2025-2026 ]]*8</f>
        <v>0</v>
      </c>
      <c r="W8" s="5"/>
      <c r="X8" s="1"/>
      <c r="Y8" s="5"/>
      <c r="Z8" s="5">
        <f>IF((V8-W8)&lt;0,0,(V8-W8))</f>
        <v>0</v>
      </c>
      <c r="AA8" s="5">
        <f>IF((W8-V8)&lt;0,0,(W8-V8))</f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>IF((J9-K9)&lt;0,0,(J9-K9))</f>
        <v>0</v>
      </c>
      <c r="O9" s="5">
        <f>IF((K9-J9)&lt;0,0,(K9-J9))</f>
        <v>0</v>
      </c>
      <c r="P9" s="5">
        <f>Table14[[#This Row],[Enrolment S.Y. 2025-2026 ]]*8</f>
        <v>0</v>
      </c>
      <c r="Q9" s="5"/>
      <c r="R9" s="1"/>
      <c r="S9" s="5"/>
      <c r="T9" s="5">
        <f>IF((P9-Q9)&lt;0,0,(P9-Q9))</f>
        <v>0</v>
      </c>
      <c r="U9" s="5">
        <f>IF((Q9-P9)&lt;0,0,(Q9-P9))</f>
        <v>0</v>
      </c>
      <c r="V9" s="5">
        <f>Table14[[#This Row],[Enrolment S.Y. 2025-2026 ]]*8</f>
        <v>0</v>
      </c>
      <c r="W9" s="5"/>
      <c r="X9" s="1"/>
      <c r="Y9" s="5"/>
      <c r="Z9" s="5">
        <f>IF((V9-W9)&lt;0,0,(V9-W9))</f>
        <v>0</v>
      </c>
      <c r="AA9" s="5">
        <f>IF((W9-V9)&lt;0,0,(W9-V9))</f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>IF((J10-K10)&lt;0,0,(J10-K10))</f>
        <v>0</v>
      </c>
      <c r="O10" s="5">
        <f>IF((K10-J10)&lt;0,0,(K10-J10))</f>
        <v>0</v>
      </c>
      <c r="P10" s="5">
        <f>Table14[[#This Row],[Enrolment S.Y. 2025-2026 ]]*8</f>
        <v>0</v>
      </c>
      <c r="Q10" s="5"/>
      <c r="R10" s="1"/>
      <c r="S10" s="5"/>
      <c r="T10" s="5">
        <f>IF((P10-Q10)&lt;0,0,(P10-Q10))</f>
        <v>0</v>
      </c>
      <c r="U10" s="5">
        <f>IF((Q10-P10)&lt;0,0,(Q10-P10))</f>
        <v>0</v>
      </c>
      <c r="V10" s="5">
        <f>Table14[[#This Row],[Enrolment S.Y. 2025-2026 ]]*8</f>
        <v>0</v>
      </c>
      <c r="W10" s="5"/>
      <c r="X10" s="1"/>
      <c r="Y10" s="5"/>
      <c r="Z10" s="5">
        <f>IF((V10-W10)&lt;0,0,(V10-W10))</f>
        <v>0</v>
      </c>
      <c r="AA10" s="5">
        <f>IF((W10-V10)&lt;0,0,(W10-V10))</f>
        <v>0</v>
      </c>
    </row>
    <row r="11" spans="1:27" s="7" customFormat="1" ht="36.75">
      <c r="A11" s="45">
        <v>2</v>
      </c>
      <c r="B11" s="48" t="s">
        <v>8</v>
      </c>
      <c r="C11" s="45"/>
      <c r="D11" s="45">
        <f>Table14[[#This Row],[Enrolment S.Y. 2025-2026 ]]*8</f>
        <v>0</v>
      </c>
      <c r="E11" s="45"/>
      <c r="F11" s="45"/>
      <c r="G11" s="45"/>
      <c r="H11" s="45">
        <f>IF((D11-E11)&lt;0,0,(D11-E11))</f>
        <v>0</v>
      </c>
      <c r="I11" s="45">
        <f>IF((E11-D11)&lt;0,0,(E11-D11))</f>
        <v>0</v>
      </c>
      <c r="J11" s="45">
        <f>Table14[[#This Row],[Enrolment S.Y. 2025-2026 ]]*8</f>
        <v>0</v>
      </c>
      <c r="K11" s="45"/>
      <c r="L11" s="45"/>
      <c r="M11" s="45"/>
      <c r="N11" s="45">
        <f>IF((J11-K11)&lt;0,0,(J11-K11))</f>
        <v>0</v>
      </c>
      <c r="O11" s="45">
        <f>IF((K11-J11)&lt;0,0,(K11-J11))</f>
        <v>0</v>
      </c>
      <c r="P11" s="45">
        <f>Table14[[#This Row],[Enrolment S.Y. 2025-2026 ]]*8</f>
        <v>0</v>
      </c>
      <c r="Q11" s="45"/>
      <c r="R11" s="45"/>
      <c r="S11" s="45"/>
      <c r="T11" s="45">
        <f>IF((P11-Q11)&lt;0,0,(P11-Q11))</f>
        <v>0</v>
      </c>
      <c r="U11" s="45">
        <f>IF((Q11-P11)&lt;0,0,(Q11-P11))</f>
        <v>0</v>
      </c>
      <c r="V11" s="45">
        <f>Table14[[#This Row],[Enrolment S.Y. 2025-2026 ]]*8</f>
        <v>0</v>
      </c>
      <c r="W11" s="45"/>
      <c r="X11" s="45"/>
      <c r="Y11" s="45"/>
      <c r="Z11" s="45">
        <f>IF((V11-W11)&lt;0,0,(V11-W11))</f>
        <v>0</v>
      </c>
      <c r="AA11" s="45">
        <f>IF((W11-V11)&lt;0,0,(W11-V11))</f>
        <v>0</v>
      </c>
    </row>
    <row r="12" spans="1:27" ht="19.5">
      <c r="A12" s="1">
        <v>2</v>
      </c>
      <c r="B12" s="2" t="s">
        <v>10</v>
      </c>
      <c r="C12" s="1"/>
      <c r="D12" s="5">
        <f>Table14[[#This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Table14[[#This Row],[Enrolment S.Y. 2025-2026 ]]*8</f>
        <v>0</v>
      </c>
      <c r="K12" s="5"/>
      <c r="L12" s="1"/>
      <c r="M12" s="5"/>
      <c r="N12" s="5">
        <f>IF((J12-K12)&lt;0,0,(J12-K12))</f>
        <v>0</v>
      </c>
      <c r="O12" s="5">
        <f>IF((K12-J12)&lt;0,0,(K12-J12))</f>
        <v>0</v>
      </c>
      <c r="P12" s="5">
        <f>Table14[[#This Row],[Enrolment S.Y. 2025-2026 ]]*8</f>
        <v>0</v>
      </c>
      <c r="Q12" s="5"/>
      <c r="R12" s="1"/>
      <c r="S12" s="5"/>
      <c r="T12" s="5">
        <f>IF((P12-Q12)&lt;0,0,(P12-Q12))</f>
        <v>0</v>
      </c>
      <c r="U12" s="5">
        <f>IF((Q12-P12)&lt;0,0,(Q12-P12))</f>
        <v>0</v>
      </c>
      <c r="V12" s="5">
        <f>Table14[[#This Row],[Enrolment S.Y. 2025-2026 ]]*8</f>
        <v>0</v>
      </c>
      <c r="W12" s="5"/>
      <c r="X12" s="1"/>
      <c r="Y12" s="5"/>
      <c r="Z12" s="5">
        <f>IF((V12-W12)&lt;0,0,(V12-W12))</f>
        <v>0</v>
      </c>
      <c r="AA12" s="5">
        <f>IF((W12-V12)&lt;0,0,(W12-V12))</f>
        <v>0</v>
      </c>
    </row>
    <row r="13" spans="1:27" ht="19.5">
      <c r="A13" s="1">
        <v>2</v>
      </c>
      <c r="B13" s="2" t="s">
        <v>11</v>
      </c>
      <c r="C13" s="1"/>
      <c r="D13" s="5">
        <f>Table14[[#This Row],[Enrolment S.Y. 2025-2026 ]]*8</f>
        <v>0</v>
      </c>
      <c r="E13" s="5"/>
      <c r="F13" s="1"/>
      <c r="G13" s="5"/>
      <c r="H13" s="5">
        <f>IF((D13-E13)&lt;0,0,(D13-E13))</f>
        <v>0</v>
      </c>
      <c r="I13" s="5">
        <f>IF((E13-D13)&lt;0,0,(E13-D13))</f>
        <v>0</v>
      </c>
      <c r="J13" s="5">
        <f>Table14[[#This Row],[Enrolment S.Y. 2025-2026 ]]*8</f>
        <v>0</v>
      </c>
      <c r="K13" s="5"/>
      <c r="L13" s="1"/>
      <c r="M13" s="5"/>
      <c r="N13" s="5">
        <f>IF((J13-K13)&lt;0,0,(J13-K13))</f>
        <v>0</v>
      </c>
      <c r="O13" s="5">
        <f>IF((K13-J13)&lt;0,0,(K13-J13))</f>
        <v>0</v>
      </c>
      <c r="P13" s="5">
        <f>Table14[[#This Row],[Enrolment S.Y. 2025-2026 ]]*8</f>
        <v>0</v>
      </c>
      <c r="Q13" s="5"/>
      <c r="R13" s="1"/>
      <c r="S13" s="5"/>
      <c r="T13" s="5">
        <f>IF((P13-Q13)&lt;0,0,(P13-Q13))</f>
        <v>0</v>
      </c>
      <c r="U13" s="5">
        <f>IF((Q13-P13)&lt;0,0,(Q13-P13))</f>
        <v>0</v>
      </c>
      <c r="V13" s="5">
        <f>Table14[[#This Row],[Enrolment S.Y. 2025-2026 ]]*8</f>
        <v>0</v>
      </c>
      <c r="W13" s="5"/>
      <c r="X13" s="1"/>
      <c r="Y13" s="5"/>
      <c r="Z13" s="5">
        <f>IF((V13-W13)&lt;0,0,(V13-W13))</f>
        <v>0</v>
      </c>
      <c r="AA13" s="5">
        <f>IF((W13-V13)&lt;0,0,(W13-V13))</f>
        <v>0</v>
      </c>
    </row>
    <row r="14" spans="1:27" ht="19.5">
      <c r="A14" s="1">
        <v>2</v>
      </c>
      <c r="B14" s="2" t="s">
        <v>12</v>
      </c>
      <c r="C14" s="1"/>
      <c r="D14" s="5">
        <f>Table14[[#This Row],[Enrolment S.Y. 2025-2026 ]]*8</f>
        <v>0</v>
      </c>
      <c r="E14" s="5"/>
      <c r="F14" s="1"/>
      <c r="G14" s="5"/>
      <c r="H14" s="5">
        <f>IF((D14-E14)&lt;0,0,(D14-E14))</f>
        <v>0</v>
      </c>
      <c r="I14" s="5">
        <f>IF((E14-D14)&lt;0,0,(E14-D14))</f>
        <v>0</v>
      </c>
      <c r="J14" s="5">
        <f>Table14[[#This Row],[Enrolment S.Y. 2025-2026 ]]*8</f>
        <v>0</v>
      </c>
      <c r="K14" s="5">
        <v>255</v>
      </c>
      <c r="L14" s="1">
        <v>2025</v>
      </c>
      <c r="M14" s="5" t="s">
        <v>9</v>
      </c>
      <c r="N14" s="5">
        <f>IF((J14-K14)&lt;0,0,(J14-K14))</f>
        <v>0</v>
      </c>
      <c r="O14" s="5">
        <f>IF((K14-J14)&lt;0,0,(K14-J14))</f>
        <v>255</v>
      </c>
      <c r="P14" s="5">
        <f>Table14[[#This Row],[Enrolment S.Y. 2025-2026 ]]*8</f>
        <v>0</v>
      </c>
      <c r="Q14" s="5"/>
      <c r="R14" s="1"/>
      <c r="S14" s="5"/>
      <c r="T14" s="5">
        <f>IF((P14-Q14)&lt;0,0,(P14-Q14))</f>
        <v>0</v>
      </c>
      <c r="U14" s="5">
        <f>IF((Q14-P14)&lt;0,0,(Q14-P14))</f>
        <v>0</v>
      </c>
      <c r="V14" s="5">
        <f>Table14[[#This Row],[Enrolment S.Y. 2025-2026 ]]*8</f>
        <v>0</v>
      </c>
      <c r="W14" s="5"/>
      <c r="X14" s="1"/>
      <c r="Y14" s="5"/>
      <c r="Z14" s="5">
        <f>IF((V14-W14)&lt;0,0,(V14-W14))</f>
        <v>0</v>
      </c>
      <c r="AA14" s="5">
        <f>IF((W14-V14)&lt;0,0,(W14-V14))</f>
        <v>0</v>
      </c>
    </row>
    <row r="15" spans="1:27" ht="19.5">
      <c r="A15" s="1">
        <v>2</v>
      </c>
      <c r="B15" s="2" t="s">
        <v>13</v>
      </c>
      <c r="C15" s="1"/>
      <c r="D15" s="5">
        <f>Table14[[#This Row],[Enrolment S.Y. 2025-2026 ]]*8</f>
        <v>0</v>
      </c>
      <c r="E15" s="5"/>
      <c r="F15" s="1"/>
      <c r="G15" s="5"/>
      <c r="H15" s="5">
        <f>IF((D15-E15)&lt;0,0,(D15-E15))</f>
        <v>0</v>
      </c>
      <c r="I15" s="5">
        <f>IF((E15-D15)&lt;0,0,(E15-D15))</f>
        <v>0</v>
      </c>
      <c r="J15" s="5">
        <f>Table14[[#This Row],[Enrolment S.Y. 2025-2026 ]]*8</f>
        <v>0</v>
      </c>
      <c r="K15" s="5"/>
      <c r="L15" s="1"/>
      <c r="M15" s="5"/>
      <c r="N15" s="5">
        <f>IF((J15-K15)&lt;0,0,(J15-K15))</f>
        <v>0</v>
      </c>
      <c r="O15" s="5">
        <f>IF((K15-J15)&lt;0,0,(K15-J15))</f>
        <v>0</v>
      </c>
      <c r="P15" s="5">
        <f>Table14[[#This Row],[Enrolment S.Y. 2025-2026 ]]*8</f>
        <v>0</v>
      </c>
      <c r="Q15" s="5"/>
      <c r="R15" s="1"/>
      <c r="S15" s="5"/>
      <c r="T15" s="5">
        <f>IF((P15-Q15)&lt;0,0,(P15-Q15))</f>
        <v>0</v>
      </c>
      <c r="U15" s="5">
        <f>IF((Q15-P15)&lt;0,0,(Q15-P15))</f>
        <v>0</v>
      </c>
      <c r="V15" s="5">
        <f>Table14[[#This Row],[Enrolment S.Y. 2025-2026 ]]*8</f>
        <v>0</v>
      </c>
      <c r="W15" s="5"/>
      <c r="X15" s="1"/>
      <c r="Y15" s="5"/>
      <c r="Z15" s="5">
        <f>IF((V15-W15)&lt;0,0,(V15-W15))</f>
        <v>0</v>
      </c>
      <c r="AA15" s="5">
        <f>IF((W15-V15)&lt;0,0,(W15-V15))</f>
        <v>0</v>
      </c>
    </row>
    <row r="16" spans="1:27" ht="19.5">
      <c r="A16" s="1">
        <v>2</v>
      </c>
      <c r="B16" s="9" t="s">
        <v>16</v>
      </c>
      <c r="C16" s="1"/>
      <c r="D16" s="5">
        <f>Table14[[#This Row],[Enrolment S.Y. 2025-2026 ]]*8</f>
        <v>0</v>
      </c>
      <c r="E16" s="5"/>
      <c r="F16" s="1"/>
      <c r="G16" s="5"/>
      <c r="H16" s="5">
        <f>IF((D16-E16)&lt;0,0,(D16-E16))</f>
        <v>0</v>
      </c>
      <c r="I16" s="5">
        <f>IF((E16-D16)&lt;0,0,(E16-D16))</f>
        <v>0</v>
      </c>
      <c r="J16" s="5">
        <f>Table14[[#This Row],[Enrolment S.Y. 2025-2026 ]]*8</f>
        <v>0</v>
      </c>
      <c r="K16" s="5"/>
      <c r="L16" s="1"/>
      <c r="M16" s="5"/>
      <c r="N16" s="5">
        <f>IF((J16-K16)&lt;0,0,(J16-K16))</f>
        <v>0</v>
      </c>
      <c r="O16" s="5">
        <f>IF((K16-J16)&lt;0,0,(K16-J16))</f>
        <v>0</v>
      </c>
      <c r="P16" s="5">
        <f>Table14[[#This Row],[Enrolment S.Y. 2025-2026 ]]*8</f>
        <v>0</v>
      </c>
      <c r="Q16" s="5"/>
      <c r="R16" s="1"/>
      <c r="S16" s="5"/>
      <c r="T16" s="5">
        <f>IF((P16-Q16)&lt;0,0,(P16-Q16))</f>
        <v>0</v>
      </c>
      <c r="U16" s="5">
        <f>IF((Q16-P16)&lt;0,0,(Q16-P16))</f>
        <v>0</v>
      </c>
      <c r="V16" s="5">
        <f>Table14[[#This Row],[Enrolment S.Y. 2025-2026 ]]*8</f>
        <v>0</v>
      </c>
      <c r="W16" s="5"/>
      <c r="X16" s="1"/>
      <c r="Y16" s="5"/>
      <c r="Z16" s="5">
        <f>IF((V16-W16)&lt;0,0,(V16-W16))</f>
        <v>0</v>
      </c>
      <c r="AA16" s="5">
        <f>IF((W16-V16)&lt;0,0,(W16-V16))</f>
        <v>0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>IF((J17-K17)&lt;0,0,(J17-K17))</f>
        <v>0</v>
      </c>
      <c r="O17" s="5">
        <f>IF((K17-J17)&lt;0,0,(K17-J17))</f>
        <v>0</v>
      </c>
      <c r="P17" s="5">
        <f>Table14[[#This Row],[Enrolment S.Y. 2025-2026 ]]*8</f>
        <v>0</v>
      </c>
      <c r="Q17" s="5"/>
      <c r="R17" s="1"/>
      <c r="S17" s="5"/>
      <c r="T17" s="5">
        <f>IF((P17-Q17)&lt;0,0,(P17-Q17))</f>
        <v>0</v>
      </c>
      <c r="U17" s="5">
        <f>IF((Q17-P17)&lt;0,0,(Q17-P17))</f>
        <v>0</v>
      </c>
      <c r="V17" s="5">
        <f>Table14[[#This Row],[Enrolment S.Y. 2025-2026 ]]*8</f>
        <v>0</v>
      </c>
      <c r="W17" s="5"/>
      <c r="X17" s="1"/>
      <c r="Y17" s="5"/>
      <c r="Z17" s="5">
        <f>IF((V17-W17)&lt;0,0,(V17-W17))</f>
        <v>0</v>
      </c>
      <c r="AA17" s="5">
        <f>IF((W17-V17)&lt;0,0,(W17-V17))</f>
        <v>0</v>
      </c>
    </row>
    <row r="18" spans="1:27" ht="19.5">
      <c r="A18" s="1">
        <v>2</v>
      </c>
      <c r="B18" s="9" t="s">
        <v>63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>IF((J18-K18)&lt;0,0,(J18-K18))</f>
        <v>0</v>
      </c>
      <c r="O18" s="5">
        <f>IF((K18-J18)&lt;0,0,(K18-J18))</f>
        <v>0</v>
      </c>
      <c r="P18" s="5">
        <f>Table14[[#This Row],[Enrolment S.Y. 2025-2026 ]]*8</f>
        <v>0</v>
      </c>
      <c r="Q18" s="5"/>
      <c r="R18" s="1"/>
      <c r="S18" s="5"/>
      <c r="T18" s="5">
        <f>IF((P18-Q18)&lt;0,0,(P18-Q18))</f>
        <v>0</v>
      </c>
      <c r="U18" s="5">
        <f>IF((Q18-P18)&lt;0,0,(Q18-P18))</f>
        <v>0</v>
      </c>
      <c r="V18" s="5">
        <f>Table14[[#This Row],[Enrolment S.Y. 2025-2026 ]]*8</f>
        <v>0</v>
      </c>
      <c r="W18" s="5"/>
      <c r="X18" s="1"/>
      <c r="Y18" s="5"/>
      <c r="Z18" s="5">
        <f>IF((V18-W18)&lt;0,0,(V18-W18))</f>
        <v>0</v>
      </c>
      <c r="AA18" s="5">
        <f>IF((W18-V18)&lt;0,0,(W18-V18))</f>
        <v>0</v>
      </c>
    </row>
    <row r="19" spans="1:27" ht="36.75">
      <c r="A19" s="1">
        <v>3</v>
      </c>
      <c r="B19" s="42" t="s">
        <v>8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>IF((J19-K19)&lt;0,0,(J19-K19))</f>
        <v>0</v>
      </c>
      <c r="O19" s="5">
        <f>IF((K19-J19)&lt;0,0,(K19-J19))</f>
        <v>0</v>
      </c>
      <c r="P19" s="5">
        <f>Table14[[#This Row],[Enrolment S.Y. 2025-2026 ]]*8</f>
        <v>0</v>
      </c>
      <c r="Q19" s="5"/>
      <c r="R19" s="1"/>
      <c r="S19" s="5"/>
      <c r="T19" s="5">
        <f>IF((P19-Q19)&lt;0,0,(P19-Q19))</f>
        <v>0</v>
      </c>
      <c r="U19" s="5">
        <f>IF((Q19-P19)&lt;0,0,(Q19-P19))</f>
        <v>0</v>
      </c>
      <c r="V19" s="5">
        <f>Table14[[#This Row],[Enrolment S.Y. 2025-2026 ]]*8</f>
        <v>0</v>
      </c>
      <c r="W19" s="5"/>
      <c r="X19" s="1"/>
      <c r="Y19" s="5"/>
      <c r="Z19" s="5">
        <f>IF((V19-W19)&lt;0,0,(V19-W19))</f>
        <v>0</v>
      </c>
      <c r="AA19" s="5">
        <f>IF((W19-V19)&lt;0,0,(W19-V19))</f>
        <v>0</v>
      </c>
    </row>
    <row r="20" spans="1:27" s="7" customFormat="1" ht="19.5">
      <c r="A20" s="45">
        <v>3</v>
      </c>
      <c r="B20" s="51" t="s">
        <v>10</v>
      </c>
      <c r="C20" s="45"/>
      <c r="D20" s="45">
        <f>Table14[[#This Row],[Enrolment S.Y. 2025-2026 ]]*8</f>
        <v>0</v>
      </c>
      <c r="E20" s="45"/>
      <c r="F20" s="45"/>
      <c r="G20" s="45"/>
      <c r="H20" s="45">
        <f>IF((D20-E20)&lt;0,0,(D20-E20))</f>
        <v>0</v>
      </c>
      <c r="I20" s="45">
        <f>IF((E20-D20)&lt;0,0,(E20-D20))</f>
        <v>0</v>
      </c>
      <c r="J20" s="45">
        <f>Table14[[#This Row],[Enrolment S.Y. 2025-2026 ]]*8</f>
        <v>0</v>
      </c>
      <c r="K20" s="45"/>
      <c r="L20" s="45"/>
      <c r="M20" s="45"/>
      <c r="N20" s="45">
        <f>IF((J20-K20)&lt;0,0,(J20-K20))</f>
        <v>0</v>
      </c>
      <c r="O20" s="45">
        <f>IF((K20-J20)&lt;0,0,(K20-J20))</f>
        <v>0</v>
      </c>
      <c r="P20" s="45">
        <f>Table14[[#This Row],[Enrolment S.Y. 2025-2026 ]]*8</f>
        <v>0</v>
      </c>
      <c r="Q20" s="45"/>
      <c r="R20" s="45"/>
      <c r="S20" s="45"/>
      <c r="T20" s="45">
        <f>IF((P20-Q20)&lt;0,0,(P20-Q20))</f>
        <v>0</v>
      </c>
      <c r="U20" s="45">
        <f>IF((Q20-P20)&lt;0,0,(Q20-P20))</f>
        <v>0</v>
      </c>
      <c r="V20" s="45">
        <f>Table14[[#This Row],[Enrolment S.Y. 2025-2026 ]]*8</f>
        <v>0</v>
      </c>
      <c r="W20" s="45"/>
      <c r="X20" s="45"/>
      <c r="Y20" s="45"/>
      <c r="Z20" s="45">
        <f>IF((V20-W20)&lt;0,0,(V20-W20))</f>
        <v>0</v>
      </c>
      <c r="AA20" s="45">
        <f>IF((W20-V20)&lt;0,0,(W20-V20))</f>
        <v>0</v>
      </c>
    </row>
    <row r="21" spans="1:27" ht="19.5">
      <c r="A21" s="1">
        <v>3</v>
      </c>
      <c r="B21" s="2" t="s">
        <v>11</v>
      </c>
      <c r="C21" s="1"/>
      <c r="D21" s="5">
        <f>Table14[[#This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Table14[[#This Row],[Enrolment S.Y. 2025-2026 ]]*8</f>
        <v>0</v>
      </c>
      <c r="K21" s="5"/>
      <c r="L21" s="1"/>
      <c r="M21" s="5"/>
      <c r="N21" s="5">
        <f>IF((J21-K21)&lt;0,0,(J21-K21))</f>
        <v>0</v>
      </c>
      <c r="O21" s="5">
        <f>IF((K21-J21)&lt;0,0,(K21-J21))</f>
        <v>0</v>
      </c>
      <c r="P21" s="5">
        <f>Table14[[#This Row],[Enrolment S.Y. 2025-2026 ]]*8</f>
        <v>0</v>
      </c>
      <c r="Q21" s="5"/>
      <c r="R21" s="1"/>
      <c r="S21" s="5"/>
      <c r="T21" s="5">
        <f>IF((P21-Q21)&lt;0,0,(P21-Q21))</f>
        <v>0</v>
      </c>
      <c r="U21" s="5">
        <f>IF((Q21-P21)&lt;0,0,(Q21-P21))</f>
        <v>0</v>
      </c>
      <c r="V21" s="5">
        <f>Table14[[#This Row],[Enrolment S.Y. 2025-2026 ]]*8</f>
        <v>0</v>
      </c>
      <c r="W21" s="5"/>
      <c r="X21" s="1"/>
      <c r="Y21" s="5"/>
      <c r="Z21" s="5">
        <f>IF((V21-W21)&lt;0,0,(V21-W21))</f>
        <v>0</v>
      </c>
      <c r="AA21" s="5">
        <f>IF((W21-V21)&lt;0,0,(W21-V21))</f>
        <v>0</v>
      </c>
    </row>
    <row r="22" spans="1:27" ht="19.5">
      <c r="A22" s="1">
        <v>3</v>
      </c>
      <c r="B22" s="2" t="s">
        <v>14</v>
      </c>
      <c r="C22" s="1"/>
      <c r="D22" s="5">
        <f>Table14[[#This Row],[Enrolment S.Y. 2025-2026 ]]*8</f>
        <v>0</v>
      </c>
      <c r="E22" s="5"/>
      <c r="F22" s="1"/>
      <c r="G22" s="5"/>
      <c r="H22" s="5">
        <f>IF((D22-E22)&lt;0,0,(D22-E22))</f>
        <v>0</v>
      </c>
      <c r="I22" s="5">
        <f>IF((E22-D22)&lt;0,0,(E22-D22))</f>
        <v>0</v>
      </c>
      <c r="J22" s="5">
        <f>Table14[[#This Row],[Enrolment S.Y. 2025-2026 ]]*8</f>
        <v>0</v>
      </c>
      <c r="K22" s="5"/>
      <c r="L22" s="1"/>
      <c r="M22" s="5"/>
      <c r="N22" s="5">
        <f>IF((J22-K22)&lt;0,0,(J22-K22))</f>
        <v>0</v>
      </c>
      <c r="O22" s="5">
        <f>IF((K22-J22)&lt;0,0,(K22-J22))</f>
        <v>0</v>
      </c>
      <c r="P22" s="5">
        <f>Table14[[#This Row],[Enrolment S.Y. 2025-2026 ]]*8</f>
        <v>0</v>
      </c>
      <c r="Q22" s="5"/>
      <c r="R22" s="1"/>
      <c r="S22" s="5"/>
      <c r="T22" s="5">
        <f>IF((P22-Q22)&lt;0,0,(P22-Q22))</f>
        <v>0</v>
      </c>
      <c r="U22" s="5">
        <f>IF((Q22-P22)&lt;0,0,(Q22-P22))</f>
        <v>0</v>
      </c>
      <c r="V22" s="5">
        <f>Table14[[#This Row],[Enrolment S.Y. 2025-2026 ]]*8</f>
        <v>0</v>
      </c>
      <c r="W22" s="5"/>
      <c r="X22" s="1"/>
      <c r="Y22" s="5"/>
      <c r="Z22" s="5">
        <f>IF((V22-W22)&lt;0,0,(V22-W22))</f>
        <v>0</v>
      </c>
      <c r="AA22" s="5">
        <f>IF((W22-V22)&lt;0,0,(W22-V22))</f>
        <v>0</v>
      </c>
    </row>
    <row r="23" spans="1:27" ht="19.5">
      <c r="A23" s="1">
        <v>3</v>
      </c>
      <c r="B23" s="2" t="s">
        <v>12</v>
      </c>
      <c r="C23" s="1"/>
      <c r="D23" s="5">
        <f>Table14[[#This Row],[Enrolment S.Y. 2025-2026 ]]*8</f>
        <v>0</v>
      </c>
      <c r="E23" s="5"/>
      <c r="F23" s="1"/>
      <c r="G23" s="5"/>
      <c r="H23" s="5">
        <f>IF((D23-E23)&lt;0,0,(D23-E23))</f>
        <v>0</v>
      </c>
      <c r="I23" s="5">
        <f>IF((E23-D23)&lt;0,0,(E23-D23))</f>
        <v>0</v>
      </c>
      <c r="J23" s="5">
        <f>Table14[[#This Row],[Enrolment S.Y. 2025-2026 ]]*8</f>
        <v>0</v>
      </c>
      <c r="K23" s="5"/>
      <c r="L23" s="1"/>
      <c r="M23" s="5"/>
      <c r="N23" s="5">
        <f>IF((J23-K23)&lt;0,0,(J23-K23))</f>
        <v>0</v>
      </c>
      <c r="O23" s="5">
        <f>IF((K23-J23)&lt;0,0,(K23-J23))</f>
        <v>0</v>
      </c>
      <c r="P23" s="5">
        <f>Table14[[#This Row],[Enrolment S.Y. 2025-2026 ]]*8</f>
        <v>0</v>
      </c>
      <c r="Q23" s="5"/>
      <c r="R23" s="1"/>
      <c r="S23" s="5"/>
      <c r="T23" s="5">
        <f>IF((P23-Q23)&lt;0,0,(P23-Q23))</f>
        <v>0</v>
      </c>
      <c r="U23" s="5">
        <f>IF((Q23-P23)&lt;0,0,(Q23-P23))</f>
        <v>0</v>
      </c>
      <c r="V23" s="5">
        <f>Table14[[#This Row],[Enrolment S.Y. 2025-2026 ]]*8</f>
        <v>0</v>
      </c>
      <c r="W23" s="5"/>
      <c r="X23" s="1"/>
      <c r="Y23" s="5"/>
      <c r="Z23" s="5">
        <f>IF((V23-W23)&lt;0,0,(V23-W23))</f>
        <v>0</v>
      </c>
      <c r="AA23" s="5">
        <f>IF((W23-V23)&lt;0,0,(W23-V23))</f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>IF((D24-E24)&lt;0,0,(D24-E24))</f>
        <v>0</v>
      </c>
      <c r="I24" s="5">
        <f>IF((E24-D24)&lt;0,0,(E24-D24))</f>
        <v>0</v>
      </c>
      <c r="J24" s="5">
        <f>Table14[[#This Row],[Enrolment S.Y. 2025-2026 ]]*8</f>
        <v>0</v>
      </c>
      <c r="K24" s="5"/>
      <c r="L24" s="1"/>
      <c r="M24" s="5"/>
      <c r="N24" s="5">
        <f>IF((J24-K24)&lt;0,0,(J24-K24))</f>
        <v>0</v>
      </c>
      <c r="O24" s="5">
        <f>IF((K24-J24)&lt;0,0,(K24-J24))</f>
        <v>0</v>
      </c>
      <c r="P24" s="5">
        <f>Table14[[#This Row],[Enrolment S.Y. 2025-2026 ]]*8</f>
        <v>0</v>
      </c>
      <c r="Q24" s="5"/>
      <c r="R24" s="1"/>
      <c r="S24" s="5"/>
      <c r="T24" s="5">
        <f>IF((P24-Q24)&lt;0,0,(P24-Q24))</f>
        <v>0</v>
      </c>
      <c r="U24" s="5">
        <f>IF((Q24-P24)&lt;0,0,(Q24-P24))</f>
        <v>0</v>
      </c>
      <c r="V24" s="5">
        <f>Table14[[#This Row],[Enrolment S.Y. 2025-2026 ]]*8</f>
        <v>0</v>
      </c>
      <c r="W24" s="5"/>
      <c r="X24" s="1"/>
      <c r="Y24" s="5"/>
      <c r="Z24" s="5">
        <f>IF((V24-W24)&lt;0,0,(V24-W24))</f>
        <v>0</v>
      </c>
      <c r="AA24" s="5">
        <f>IF((W24-V24)&lt;0,0,(W24-V24))</f>
        <v>0</v>
      </c>
    </row>
    <row r="25" spans="1:27" ht="19.5">
      <c r="A25" s="1">
        <v>3</v>
      </c>
      <c r="B25" s="9" t="s">
        <v>15</v>
      </c>
      <c r="C25" s="1"/>
      <c r="D25" s="5">
        <f>Table14[[#This Row],[Enrolment S.Y. 2025-2026 ]]*8</f>
        <v>0</v>
      </c>
      <c r="E25" s="5"/>
      <c r="F25" s="1"/>
      <c r="G25" s="5"/>
      <c r="H25" s="5">
        <f>IF((D25-E25)&lt;0,0,(D25-E25))</f>
        <v>0</v>
      </c>
      <c r="I25" s="5">
        <f>IF((E25-D25)&lt;0,0,(E25-D25))</f>
        <v>0</v>
      </c>
      <c r="J25" s="5">
        <f>Table14[[#This Row],[Enrolment S.Y. 2025-2026 ]]*8</f>
        <v>0</v>
      </c>
      <c r="K25" s="5"/>
      <c r="L25" s="1"/>
      <c r="M25" s="5"/>
      <c r="N25" s="5">
        <f>IF((J25-K25)&lt;0,0,(J25-K25))</f>
        <v>0</v>
      </c>
      <c r="O25" s="5">
        <f>IF((K25-J25)&lt;0,0,(K25-J25))</f>
        <v>0</v>
      </c>
      <c r="P25" s="5">
        <f>Table14[[#This Row],[Enrolment S.Y. 2025-2026 ]]*8</f>
        <v>0</v>
      </c>
      <c r="Q25" s="5"/>
      <c r="R25" s="1"/>
      <c r="S25" s="5"/>
      <c r="T25" s="5">
        <f>IF((P25-Q25)&lt;0,0,(P25-Q25))</f>
        <v>0</v>
      </c>
      <c r="U25" s="5">
        <f>IF((Q25-P25)&lt;0,0,(Q25-P25))</f>
        <v>0</v>
      </c>
      <c r="V25" s="5">
        <f>Table14[[#This Row],[Enrolment S.Y. 2025-2026 ]]*8</f>
        <v>0</v>
      </c>
      <c r="W25" s="5"/>
      <c r="X25" s="1"/>
      <c r="Y25" s="5"/>
      <c r="Z25" s="5">
        <f>IF((V25-W25)&lt;0,0,(V25-W25))</f>
        <v>0</v>
      </c>
      <c r="AA25" s="5">
        <f>IF((W25-V25)&lt;0,0,(W25-V25))</f>
        <v>0</v>
      </c>
    </row>
    <row r="26" spans="1:27" ht="19.5">
      <c r="A26" s="1">
        <v>3</v>
      </c>
      <c r="B26" s="9" t="s">
        <v>16</v>
      </c>
      <c r="C26" s="1"/>
      <c r="D26" s="5">
        <f>Table14[[#This Row],[Enrolment S.Y. 2025-2026 ]]*8</f>
        <v>0</v>
      </c>
      <c r="E26" s="5"/>
      <c r="F26" s="1"/>
      <c r="G26" s="5"/>
      <c r="H26" s="5">
        <f>IF((D26-E26)&lt;0,0,(D26-E26))</f>
        <v>0</v>
      </c>
      <c r="I26" s="5">
        <f>IF((E26-D26)&lt;0,0,(E26-D26))</f>
        <v>0</v>
      </c>
      <c r="J26" s="5">
        <f>Table14[[#This Row],[Enrolment S.Y. 2025-2026 ]]*8</f>
        <v>0</v>
      </c>
      <c r="K26" s="5"/>
      <c r="L26" s="1"/>
      <c r="M26" s="5"/>
      <c r="N26" s="5">
        <f>IF((J26-K26)&lt;0,0,(J26-K26))</f>
        <v>0</v>
      </c>
      <c r="O26" s="5">
        <f>IF((K26-J26)&lt;0,0,(K26-J26))</f>
        <v>0</v>
      </c>
      <c r="P26" s="5">
        <f>Table14[[#This Row],[Enrolment S.Y. 2025-2026 ]]*8</f>
        <v>0</v>
      </c>
      <c r="Q26" s="5"/>
      <c r="R26" s="1"/>
      <c r="S26" s="5"/>
      <c r="T26" s="5">
        <f>IF((P26-Q26)&lt;0,0,(P26-Q26))</f>
        <v>0</v>
      </c>
      <c r="U26" s="5">
        <f>IF((Q26-P26)&lt;0,0,(Q26-P26))</f>
        <v>0</v>
      </c>
      <c r="V26" s="5">
        <f>Table14[[#This Row],[Enrolment S.Y. 2025-2026 ]]*8</f>
        <v>0</v>
      </c>
      <c r="W26" s="5"/>
      <c r="X26" s="1"/>
      <c r="Y26" s="5"/>
      <c r="Z26" s="5">
        <f>IF((V26-W26)&lt;0,0,(V26-W26))</f>
        <v>0</v>
      </c>
      <c r="AA26" s="5">
        <f>IF((W26-V26)&lt;0,0,(W26-V26))</f>
        <v>0</v>
      </c>
    </row>
    <row r="27" spans="1:27" ht="19.5">
      <c r="A27" s="1">
        <v>3</v>
      </c>
      <c r="B27" s="9" t="s">
        <v>63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>IF((J27-K27)&lt;0,0,(J27-K27))</f>
        <v>0</v>
      </c>
      <c r="O27" s="5">
        <f>IF((K27-J27)&lt;0,0,(K27-J27))</f>
        <v>0</v>
      </c>
      <c r="P27" s="5">
        <f>Table14[[#This Row],[Enrolment S.Y. 2025-2026 ]]*8</f>
        <v>0</v>
      </c>
      <c r="Q27" s="5"/>
      <c r="R27" s="1"/>
      <c r="S27" s="5"/>
      <c r="T27" s="5">
        <f>IF((P27-Q27)&lt;0,0,(P27-Q27))</f>
        <v>0</v>
      </c>
      <c r="U27" s="5">
        <f>IF((Q27-P27)&lt;0,0,(Q27-P27))</f>
        <v>0</v>
      </c>
      <c r="V27" s="5">
        <f>Table14[[#This Row],[Enrolment S.Y. 2025-2026 ]]*8</f>
        <v>0</v>
      </c>
      <c r="W27" s="5"/>
      <c r="X27" s="1"/>
      <c r="Y27" s="5"/>
      <c r="Z27" s="5">
        <f>IF((V27-W27)&lt;0,0,(V27-W27))</f>
        <v>0</v>
      </c>
      <c r="AA27" s="5">
        <f>IF((W27-V27)&lt;0,0,(W27-V27))</f>
        <v>0</v>
      </c>
    </row>
    <row r="28" spans="1:27" ht="19.5">
      <c r="A28" s="1">
        <v>4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>IF((J28-K28)&lt;0,0,(J28-K28))</f>
        <v>0</v>
      </c>
      <c r="O28" s="5">
        <f>IF((K28-J28)&lt;0,0,(K28-J28))</f>
        <v>0</v>
      </c>
      <c r="P28" s="5">
        <f>Table14[[#This Row],[Enrolment S.Y. 2025-2026 ]]*8</f>
        <v>0</v>
      </c>
      <c r="Q28" s="5"/>
      <c r="R28" s="1"/>
      <c r="S28" s="5"/>
      <c r="T28" s="5">
        <f>IF((P28-Q28)&lt;0,0,(P28-Q28))</f>
        <v>0</v>
      </c>
      <c r="U28" s="5">
        <f>IF((Q28-P28)&lt;0,0,(Q28-P28))</f>
        <v>0</v>
      </c>
      <c r="V28" s="5">
        <f>Table14[[#This Row],[Enrolment S.Y. 2025-2026 ]]*8</f>
        <v>0</v>
      </c>
      <c r="W28" s="5"/>
      <c r="X28" s="1"/>
      <c r="Y28" s="5"/>
      <c r="Z28" s="5">
        <f>IF((V28-W28)&lt;0,0,(V28-W28))</f>
        <v>0</v>
      </c>
      <c r="AA28" s="5">
        <f>IF((W28-V28)&lt;0,0,(W28-V28))</f>
        <v>0</v>
      </c>
    </row>
    <row r="29" spans="1:27" ht="19.5">
      <c r="A29" s="1">
        <v>4</v>
      </c>
      <c r="B29" s="9" t="s">
        <v>16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>IF((J29-K29)&lt;0,0,(J29-K29))</f>
        <v>0</v>
      </c>
      <c r="O29" s="5">
        <f>IF((K29-J29)&lt;0,0,(K29-J29))</f>
        <v>0</v>
      </c>
      <c r="P29" s="5">
        <f>Table14[[#This Row],[Enrolment S.Y. 2025-2026 ]]*8</f>
        <v>0</v>
      </c>
      <c r="Q29" s="5"/>
      <c r="R29" s="1"/>
      <c r="S29" s="5"/>
      <c r="T29" s="5">
        <f>IF((P29-Q29)&lt;0,0,(P29-Q29))</f>
        <v>0</v>
      </c>
      <c r="U29" s="5">
        <f>IF((Q29-P29)&lt;0,0,(Q29-P29))</f>
        <v>0</v>
      </c>
      <c r="V29" s="5">
        <f>Table14[[#This Row],[Enrolment S.Y. 2025-2026 ]]*8</f>
        <v>0</v>
      </c>
      <c r="W29" s="5"/>
      <c r="X29" s="1"/>
      <c r="Y29" s="5"/>
      <c r="Z29" s="5">
        <f>IF((V29-W29)&lt;0,0,(V29-W29))</f>
        <v>0</v>
      </c>
      <c r="AA29" s="5">
        <f>IF((W29-V29)&lt;0,0,(W29-V29))</f>
        <v>0</v>
      </c>
    </row>
    <row r="30" spans="1:27" s="7" customFormat="1" ht="19.5">
      <c r="A30" s="45">
        <v>4</v>
      </c>
      <c r="B30" s="49" t="s">
        <v>13</v>
      </c>
      <c r="C30" s="45"/>
      <c r="D30" s="45">
        <f>Table14[[#This Row],[Enrolment S.Y. 2025-2026 ]]*8</f>
        <v>0</v>
      </c>
      <c r="E30" s="45"/>
      <c r="F30" s="45"/>
      <c r="G30" s="45"/>
      <c r="H30" s="45">
        <f>IF((D30-E30)&lt;0,0,(D30-E30))</f>
        <v>0</v>
      </c>
      <c r="I30" s="45">
        <f>IF((E30-D30)&lt;0,0,(E30-D30))</f>
        <v>0</v>
      </c>
      <c r="J30" s="45">
        <f>Table14[[#This Row],[Enrolment S.Y. 2025-2026 ]]*8</f>
        <v>0</v>
      </c>
      <c r="K30" s="45"/>
      <c r="L30" s="45"/>
      <c r="M30" s="45"/>
      <c r="N30" s="45">
        <f>IF((J30-K30)&lt;0,0,(J30-K30))</f>
        <v>0</v>
      </c>
      <c r="O30" s="45">
        <f>IF((K30-J30)&lt;0,0,(K30-J30))</f>
        <v>0</v>
      </c>
      <c r="P30" s="45">
        <f>Table14[[#This Row],[Enrolment S.Y. 2025-2026 ]]*8</f>
        <v>0</v>
      </c>
      <c r="Q30" s="45"/>
      <c r="R30" s="45"/>
      <c r="S30" s="45"/>
      <c r="T30" s="45">
        <f>IF((P30-Q30)&lt;0,0,(P30-Q30))</f>
        <v>0</v>
      </c>
      <c r="U30" s="45">
        <f>IF((Q30-P30)&lt;0,0,(Q30-P30))</f>
        <v>0</v>
      </c>
      <c r="V30" s="45">
        <f>Table14[[#This Row],[Enrolment S.Y. 2025-2026 ]]*8</f>
        <v>0</v>
      </c>
      <c r="W30" s="45">
        <v>76</v>
      </c>
      <c r="X30" s="45">
        <v>2025</v>
      </c>
      <c r="Y30" s="45" t="s">
        <v>9</v>
      </c>
      <c r="Z30" s="45">
        <f>IF((V30-W30)&lt;0,0,(V30-W30))</f>
        <v>0</v>
      </c>
      <c r="AA30" s="45">
        <f>IF((W30-V30)&lt;0,0,(W30-V30))</f>
        <v>76</v>
      </c>
    </row>
    <row r="31" spans="1:27" ht="19.5">
      <c r="A31" s="1">
        <v>4</v>
      </c>
      <c r="B31" s="9" t="s">
        <v>11</v>
      </c>
      <c r="C31" s="1"/>
      <c r="D31" s="5">
        <f>Table14[[#This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Table14[[#This Row],[Enrolment S.Y. 2025-2026 ]]*8</f>
        <v>0</v>
      </c>
      <c r="K31" s="5"/>
      <c r="L31" s="1"/>
      <c r="M31" s="5"/>
      <c r="N31" s="5">
        <f>IF((J31-K31)&lt;0,0,(J31-K31))</f>
        <v>0</v>
      </c>
      <c r="O31" s="5">
        <f>IF((K31-J31)&lt;0,0,(K31-J31))</f>
        <v>0</v>
      </c>
      <c r="P31" s="5">
        <f>Table14[[#This Row],[Enrolment S.Y. 2025-2026 ]]*8</f>
        <v>0</v>
      </c>
      <c r="Q31" s="5"/>
      <c r="R31" s="1"/>
      <c r="S31" s="5"/>
      <c r="T31" s="5">
        <f>IF((P31-Q31)&lt;0,0,(P31-Q31))</f>
        <v>0</v>
      </c>
      <c r="U31" s="5">
        <f>IF((Q31-P31)&lt;0,0,(Q31-P31))</f>
        <v>0</v>
      </c>
      <c r="V31" s="5">
        <f>Table14[[#This Row],[Enrolment S.Y. 2025-2026 ]]*8</f>
        <v>0</v>
      </c>
      <c r="W31" s="5"/>
      <c r="X31" s="1"/>
      <c r="Y31" s="5"/>
      <c r="Z31" s="5">
        <f>IF((V31-W31)&lt;0,0,(V31-W31))</f>
        <v>0</v>
      </c>
      <c r="AA31" s="5">
        <f>IF((W31-V31)&lt;0,0,(W31-V31))</f>
        <v>0</v>
      </c>
    </row>
    <row r="32" spans="1:27" ht="36.75">
      <c r="A32" s="1">
        <v>4</v>
      </c>
      <c r="B32" s="43" t="s">
        <v>18</v>
      </c>
      <c r="C32" s="1"/>
      <c r="D32" s="5">
        <f>Table14[[#This Row],[Enrolment S.Y. 2025-2026 ]]*8</f>
        <v>0</v>
      </c>
      <c r="E32" s="5"/>
      <c r="F32" s="1"/>
      <c r="G32" s="5"/>
      <c r="H32" s="5">
        <f>IF((D32-E32)&lt;0,0,(D32-E32))</f>
        <v>0</v>
      </c>
      <c r="I32" s="5">
        <f>IF((E32-D32)&lt;0,0,(E32-D32))</f>
        <v>0</v>
      </c>
      <c r="J32" s="5">
        <f>Table14[[#This Row],[Enrolment S.Y. 2025-2026 ]]*8</f>
        <v>0</v>
      </c>
      <c r="K32" s="5"/>
      <c r="L32" s="1"/>
      <c r="M32" s="5"/>
      <c r="N32" s="5">
        <f>IF((J32-K32)&lt;0,0,(J32-K32))</f>
        <v>0</v>
      </c>
      <c r="O32" s="5">
        <f>IF((K32-J32)&lt;0,0,(K32-J32))</f>
        <v>0</v>
      </c>
      <c r="P32" s="5">
        <f>Table14[[#This Row],[Enrolment S.Y. 2025-2026 ]]*8</f>
        <v>0</v>
      </c>
      <c r="Q32" s="5"/>
      <c r="R32" s="1"/>
      <c r="S32" s="5"/>
      <c r="T32" s="5">
        <f>IF((P32-Q32)&lt;0,0,(P32-Q32))</f>
        <v>0</v>
      </c>
      <c r="U32" s="5">
        <f>IF((Q32-P32)&lt;0,0,(Q32-P32))</f>
        <v>0</v>
      </c>
      <c r="V32" s="5">
        <f>Table14[[#This Row],[Enrolment S.Y. 2025-2026 ]]*8</f>
        <v>0</v>
      </c>
      <c r="W32" s="5"/>
      <c r="X32" s="1"/>
      <c r="Y32" s="5"/>
      <c r="Z32" s="5">
        <f>IF((V32-W32)&lt;0,0,(V32-W32))</f>
        <v>0</v>
      </c>
      <c r="AA32" s="5">
        <f>IF((W32-V32)&lt;0,0,(W32-V32))</f>
        <v>0</v>
      </c>
    </row>
    <row r="33" spans="1:27" ht="19.5">
      <c r="A33" s="1">
        <v>4</v>
      </c>
      <c r="B33" s="9" t="s">
        <v>14</v>
      </c>
      <c r="C33" s="1"/>
      <c r="D33" s="5">
        <f>Table14[[#This Row],[Enrolment S.Y. 2025-2026 ]]*8</f>
        <v>0</v>
      </c>
      <c r="E33" s="5"/>
      <c r="F33" s="1"/>
      <c r="G33" s="5"/>
      <c r="H33" s="5">
        <f>IF((D33-E33)&lt;0,0,(D33-E33))</f>
        <v>0</v>
      </c>
      <c r="I33" s="5">
        <f>IF((E33-D33)&lt;0,0,(E33-D33))</f>
        <v>0</v>
      </c>
      <c r="J33" s="5">
        <f>Table14[[#This Row],[Enrolment S.Y. 2025-2026 ]]*8</f>
        <v>0</v>
      </c>
      <c r="K33" s="5"/>
      <c r="L33" s="1"/>
      <c r="M33" s="5"/>
      <c r="N33" s="5">
        <f>IF((J33-K33)&lt;0,0,(J33-K33))</f>
        <v>0</v>
      </c>
      <c r="O33" s="5">
        <f>IF((K33-J33)&lt;0,0,(K33-J33))</f>
        <v>0</v>
      </c>
      <c r="P33" s="5">
        <f>Table14[[#This Row],[Enrolment S.Y. 2025-2026 ]]*8</f>
        <v>0</v>
      </c>
      <c r="Q33" s="5"/>
      <c r="R33" s="1"/>
      <c r="S33" s="5"/>
      <c r="T33" s="5">
        <f>IF((P33-Q33)&lt;0,0,(P33-Q33))</f>
        <v>0</v>
      </c>
      <c r="U33" s="5">
        <f>IF((Q33-P33)&lt;0,0,(Q33-P33))</f>
        <v>0</v>
      </c>
      <c r="V33" s="5">
        <f>Table14[[#This Row],[Enrolment S.Y. 2025-2026 ]]*8</f>
        <v>0</v>
      </c>
      <c r="W33" s="5"/>
      <c r="X33" s="1"/>
      <c r="Y33" s="5"/>
      <c r="Z33" s="5">
        <f>IF((V33-W33)&lt;0,0,(V33-W33))</f>
        <v>0</v>
      </c>
      <c r="AA33" s="5">
        <f>IF((W33-V33)&lt;0,0,(W33-V33))</f>
        <v>0</v>
      </c>
    </row>
    <row r="34" spans="1:27" ht="19.5">
      <c r="A34" s="1">
        <v>4</v>
      </c>
      <c r="B34" s="9" t="s">
        <v>88</v>
      </c>
      <c r="C34" s="1"/>
      <c r="D34" s="5">
        <f>Table14[[#This Row],[Enrolment S.Y. 2025-2026 ]]*8</f>
        <v>0</v>
      </c>
      <c r="E34" s="5"/>
      <c r="F34" s="1"/>
      <c r="G34" s="5"/>
      <c r="H34" s="5">
        <f>IF((D34-E34)&lt;0,0,(D34-E34))</f>
        <v>0</v>
      </c>
      <c r="I34" s="5">
        <f>IF((E34-D34)&lt;0,0,(E34-D34))</f>
        <v>0</v>
      </c>
      <c r="J34" s="5">
        <f>Table14[[#This Row],[Enrolment S.Y. 2025-2026 ]]*8</f>
        <v>0</v>
      </c>
      <c r="K34" s="5"/>
      <c r="L34" s="1"/>
      <c r="M34" s="5"/>
      <c r="N34" s="5">
        <f>IF((J34-K34)&lt;0,0,(J34-K34))</f>
        <v>0</v>
      </c>
      <c r="O34" s="5">
        <f>IF((K34-J34)&lt;0,0,(K34-J34))</f>
        <v>0</v>
      </c>
      <c r="P34" s="5">
        <f>Table14[[#This Row],[Enrolment S.Y. 2025-2026 ]]*8</f>
        <v>0</v>
      </c>
      <c r="Q34" s="5"/>
      <c r="R34" s="1"/>
      <c r="S34" s="5"/>
      <c r="T34" s="5">
        <f>IF((P34-Q34)&lt;0,0,(P34-Q34))</f>
        <v>0</v>
      </c>
      <c r="U34" s="5">
        <f>IF((Q34-P34)&lt;0,0,(Q34-P34))</f>
        <v>0</v>
      </c>
      <c r="V34" s="5">
        <f>Table14[[#This Row],[Enrolment S.Y. 2025-2026 ]]*8</f>
        <v>0</v>
      </c>
      <c r="W34" s="5"/>
      <c r="X34" s="1"/>
      <c r="Y34" s="5"/>
      <c r="Z34" s="5">
        <f>IF((V34-W34)&lt;0,0,(V34-W34))</f>
        <v>0</v>
      </c>
      <c r="AA34" s="5">
        <f>IF((W34-V34)&lt;0,0,(W34-V34))</f>
        <v>0</v>
      </c>
    </row>
    <row r="35" spans="1:27" ht="19.5">
      <c r="A35" s="1">
        <v>4</v>
      </c>
      <c r="B35" s="9" t="s">
        <v>89</v>
      </c>
      <c r="C35" s="1"/>
      <c r="D35" s="5">
        <f>Table14[[#This Row],[Enrolment S.Y. 2025-2026 ]]*8</f>
        <v>0</v>
      </c>
      <c r="E35" s="5"/>
      <c r="F35" s="1"/>
      <c r="G35" s="5"/>
      <c r="H35" s="5">
        <f>IF((D35-E35)&lt;0,0,(D35-E35))</f>
        <v>0</v>
      </c>
      <c r="I35" s="5">
        <f>IF((E35-D35)&lt;0,0,(E35-D35))</f>
        <v>0</v>
      </c>
      <c r="J35" s="5">
        <f>Table14[[#This Row],[Enrolment S.Y. 2025-2026 ]]*8</f>
        <v>0</v>
      </c>
      <c r="K35" s="5"/>
      <c r="L35" s="1"/>
      <c r="M35" s="5"/>
      <c r="N35" s="5">
        <f>IF((J35-K35)&lt;0,0,(J35-K35))</f>
        <v>0</v>
      </c>
      <c r="O35" s="5">
        <f>IF((K35-J35)&lt;0,0,(K35-J35))</f>
        <v>0</v>
      </c>
      <c r="P35" s="5">
        <f>Table14[[#This Row],[Enrolment S.Y. 2025-2026 ]]*8</f>
        <v>0</v>
      </c>
      <c r="Q35" s="5"/>
      <c r="R35" s="1"/>
      <c r="S35" s="5"/>
      <c r="T35" s="5">
        <f>IF((P35-Q35)&lt;0,0,(P35-Q35))</f>
        <v>0</v>
      </c>
      <c r="U35" s="5">
        <f>IF((Q35-P35)&lt;0,0,(Q35-P35))</f>
        <v>0</v>
      </c>
      <c r="V35" s="5">
        <f>Table14[[#This Row],[Enrolment S.Y. 2025-2026 ]]*8</f>
        <v>0</v>
      </c>
      <c r="W35" s="5"/>
      <c r="X35" s="1"/>
      <c r="Y35" s="5"/>
      <c r="Z35" s="5">
        <f>IF((V35-W35)&lt;0,0,(V35-W35))</f>
        <v>0</v>
      </c>
      <c r="AA35" s="5">
        <f>IF((W35-V35)&lt;0,0,(W35-V35))</f>
        <v>0</v>
      </c>
    </row>
    <row r="36" spans="1:27" ht="19.5">
      <c r="A36" s="1">
        <v>4</v>
      </c>
      <c r="B36" s="9" t="s">
        <v>20</v>
      </c>
      <c r="C36" s="1"/>
      <c r="D36" s="5">
        <f>Table14[[#This Row],[Enrolment S.Y. 2025-2026 ]]*8</f>
        <v>0</v>
      </c>
      <c r="E36" s="5"/>
      <c r="F36" s="1"/>
      <c r="G36" s="5"/>
      <c r="H36" s="5">
        <f>IF((D36-E36)&lt;0,0,(D36-E36))</f>
        <v>0</v>
      </c>
      <c r="I36" s="5">
        <f>IF((E36-D36)&lt;0,0,(E36-D36))</f>
        <v>0</v>
      </c>
      <c r="J36" s="5">
        <f>Table14[[#This Row],[Enrolment S.Y. 2025-2026 ]]*8</f>
        <v>0</v>
      </c>
      <c r="K36" s="5"/>
      <c r="L36" s="1"/>
      <c r="M36" s="5"/>
      <c r="N36" s="5">
        <f>IF((J36-K36)&lt;0,0,(J36-K36))</f>
        <v>0</v>
      </c>
      <c r="O36" s="5">
        <f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>IF((P36-Q36)&lt;0,0,(P36-Q36))</f>
        <v>0</v>
      </c>
      <c r="U36" s="5">
        <f>IF((Q36-P36)&lt;0,0,(Q36-P36))</f>
        <v>0</v>
      </c>
      <c r="V36" s="5">
        <f>Table14[[#This Row],[Enrolment S.Y. 2025-2026 ]]*8</f>
        <v>0</v>
      </c>
      <c r="W36" s="5"/>
      <c r="X36" s="1"/>
      <c r="Y36" s="5"/>
      <c r="Z36" s="5">
        <f>IF((V36-W36)&lt;0,0,(V36-W36))</f>
        <v>0</v>
      </c>
      <c r="AA36" s="5">
        <f>IF((W36-V36)&lt;0,0,(W36-V36))</f>
        <v>0</v>
      </c>
    </row>
    <row r="37" spans="1:27" ht="19.5">
      <c r="A37" s="37">
        <v>4</v>
      </c>
      <c r="B37" s="9" t="s">
        <v>90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>IF((J37-K37)&lt;0,0,(J37-K37))</f>
        <v>0</v>
      </c>
      <c r="O37" s="5">
        <f>IF((K37-J37)&lt;0,0,(K37-J37))</f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91</v>
      </c>
      <c r="C38" s="1"/>
      <c r="D38" s="5">
        <f>Table14[[#This Row],[Enrolment S.Y. 2025-2026 ]]*8</f>
        <v>0</v>
      </c>
      <c r="E38" s="5"/>
      <c r="F38" s="1"/>
      <c r="G38" s="5"/>
      <c r="H38" s="5">
        <f>IF((D38-E38)&lt;0,0,(D38-E38))</f>
        <v>0</v>
      </c>
      <c r="I38" s="5">
        <f>IF((E38-D38)&lt;0,0,(E38-D38))</f>
        <v>0</v>
      </c>
      <c r="J38" s="5">
        <f>Table14[[#This Row],[Enrolment S.Y. 2025-2026 ]]*8</f>
        <v>0</v>
      </c>
      <c r="K38" s="5"/>
      <c r="L38" s="1"/>
      <c r="M38" s="5"/>
      <c r="N38" s="5">
        <f>IF((J38-K38)&lt;0,0,(J38-K38))</f>
        <v>0</v>
      </c>
      <c r="O38" s="5">
        <f>IF((K38-J38)&lt;0,0,(K38-J38))</f>
        <v>0</v>
      </c>
      <c r="P38" s="5">
        <f>Table14[[#This Row],[Enrolment S.Y. 2025-2026 ]]*8</f>
        <v>0</v>
      </c>
      <c r="Q38" s="5"/>
      <c r="R38" s="1"/>
      <c r="S38" s="5"/>
      <c r="T38" s="5">
        <f>IF((P38-Q38)&lt;0,0,(P38-Q38))</f>
        <v>0</v>
      </c>
      <c r="U38" s="5">
        <f>IF((Q38-P38)&lt;0,0,(Q38-P38))</f>
        <v>0</v>
      </c>
      <c r="V38" s="5">
        <f>Table14[[#This Row],[Enrolment S.Y. 2025-2026 ]]*8</f>
        <v>0</v>
      </c>
      <c r="W38" s="5"/>
      <c r="X38" s="1"/>
      <c r="Y38" s="5"/>
      <c r="Z38" s="5">
        <f>IF((V38-W38)&lt;0,0,(V38-W38))</f>
        <v>0</v>
      </c>
      <c r="AA38" s="5">
        <f>IF((W38-V38)&lt;0,0,(W38-V38))</f>
        <v>0</v>
      </c>
    </row>
    <row r="39" spans="1:27" ht="19.5">
      <c r="A39" s="1">
        <v>5</v>
      </c>
      <c r="B39" s="9" t="s">
        <v>15</v>
      </c>
      <c r="C39" s="1"/>
      <c r="D39" s="5">
        <f>Table14[[#This Row],[Enrolment S.Y. 2025-2026 ]]*8</f>
        <v>0</v>
      </c>
      <c r="E39" s="5"/>
      <c r="F39" s="1"/>
      <c r="G39" s="5"/>
      <c r="H39" s="5">
        <f>IF((D39-E39)&lt;0,0,(D39-E39))</f>
        <v>0</v>
      </c>
      <c r="I39" s="5">
        <f>IF((E39-D39)&lt;0,0,(E39-D39))</f>
        <v>0</v>
      </c>
      <c r="J39" s="5">
        <f>Table14[[#This Row],[Enrolment S.Y. 2025-2026 ]]*8</f>
        <v>0</v>
      </c>
      <c r="K39" s="5"/>
      <c r="L39" s="1"/>
      <c r="M39" s="5"/>
      <c r="N39" s="5">
        <f>IF((J39-K39)&lt;0,0,(J39-K39))</f>
        <v>0</v>
      </c>
      <c r="O39" s="5">
        <f>IF((K39-J39)&lt;0,0,(K39-J39))</f>
        <v>0</v>
      </c>
      <c r="P39" s="5">
        <f>Table14[[#This Row],[Enrolment S.Y. 2025-2026 ]]*8</f>
        <v>0</v>
      </c>
      <c r="Q39" s="5"/>
      <c r="R39" s="1"/>
      <c r="S39" s="5"/>
      <c r="T39" s="5">
        <f>IF((P39-Q39)&lt;0,0,(P39-Q39))</f>
        <v>0</v>
      </c>
      <c r="U39" s="5">
        <f>IF((Q39-P39)&lt;0,0,(Q39-P39))</f>
        <v>0</v>
      </c>
      <c r="V39" s="5">
        <f>Table14[[#This Row],[Enrolment S.Y. 2025-2026 ]]*8</f>
        <v>0</v>
      </c>
      <c r="W39" s="5"/>
      <c r="X39" s="1"/>
      <c r="Y39" s="5"/>
      <c r="Z39" s="5">
        <f>IF((V39-W39)&lt;0,0,(V39-W39))</f>
        <v>0</v>
      </c>
      <c r="AA39" s="5">
        <f>IF((W39-V39)&lt;0,0,(W39-V39))</f>
        <v>0</v>
      </c>
    </row>
    <row r="40" spans="1:27" ht="19.5">
      <c r="A40" s="37">
        <v>5</v>
      </c>
      <c r="B40" s="9" t="s">
        <v>16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>IF((J40-K40)&lt;0,0,(J40-K40))</f>
        <v>0</v>
      </c>
      <c r="O40" s="5">
        <f>IF((K40-J40)&lt;0,0,(K40-J40))</f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5</v>
      </c>
      <c r="B41" s="9" t="s">
        <v>13</v>
      </c>
      <c r="C41" s="1"/>
      <c r="D41" s="5">
        <f>Table14[[#This Row],[Enrolment S.Y. 2025-2026 ]]*8</f>
        <v>0</v>
      </c>
      <c r="E41" s="5"/>
      <c r="F41" s="1"/>
      <c r="G41" s="5"/>
      <c r="H41" s="5">
        <f>IF((D41-E41)&lt;0,0,(D41-E41))</f>
        <v>0</v>
      </c>
      <c r="I41" s="5">
        <f>IF((E41-D41)&lt;0,0,(E41-D41))</f>
        <v>0</v>
      </c>
      <c r="J41" s="5">
        <f>Table14[[#This Row],[Enrolment S.Y. 2025-2026 ]]*8</f>
        <v>0</v>
      </c>
      <c r="K41" s="5"/>
      <c r="L41" s="1"/>
      <c r="M41" s="5"/>
      <c r="N41" s="5">
        <f>IF((J41-K41)&lt;0,0,(J41-K41))</f>
        <v>0</v>
      </c>
      <c r="O41" s="5">
        <f>IF((K41-J41)&lt;0,0,(K41-J41))</f>
        <v>0</v>
      </c>
      <c r="P41" s="5">
        <f>Table14[[#This Row],[Enrolment S.Y. 2025-2026 ]]*8</f>
        <v>0</v>
      </c>
      <c r="Q41" s="5"/>
      <c r="R41" s="1"/>
      <c r="S41" s="5"/>
      <c r="T41" s="5">
        <f>IF((P41-Q41)&lt;0,0,(P41-Q41))</f>
        <v>0</v>
      </c>
      <c r="U41" s="5">
        <f>IF((Q41-P41)&lt;0,0,(Q41-P41))</f>
        <v>0</v>
      </c>
      <c r="V41" s="5">
        <f>Table14[[#This Row],[Enrolment S.Y. 2025-2026 ]]*8</f>
        <v>0</v>
      </c>
      <c r="W41" s="5"/>
      <c r="X41" s="1"/>
      <c r="Y41" s="5"/>
      <c r="Z41" s="5">
        <f>IF((V41-W41)&lt;0,0,(V41-W41))</f>
        <v>0</v>
      </c>
      <c r="AA41" s="5">
        <f>IF((W41-V41)&lt;0,0,(W41-V41))</f>
        <v>0</v>
      </c>
    </row>
    <row r="42" spans="1:27" s="7" customFormat="1" ht="19.5">
      <c r="A42" s="45">
        <v>5</v>
      </c>
      <c r="B42" s="49" t="s">
        <v>11</v>
      </c>
      <c r="C42" s="45"/>
      <c r="D42" s="45">
        <f>Table14[[#This Row],[Enrolment S.Y. 2025-2026 ]]*8</f>
        <v>0</v>
      </c>
      <c r="E42" s="45"/>
      <c r="F42" s="45"/>
      <c r="G42" s="45"/>
      <c r="H42" s="45">
        <f>IF((D42-E42)&lt;0,0,(D42-E42))</f>
        <v>0</v>
      </c>
      <c r="I42" s="45">
        <f>IF((E42-D42)&lt;0,0,(E42-D42))</f>
        <v>0</v>
      </c>
      <c r="J42" s="45">
        <f>Table14[[#This Row],[Enrolment S.Y. 2025-2026 ]]*8</f>
        <v>0</v>
      </c>
      <c r="K42" s="45"/>
      <c r="L42" s="45"/>
      <c r="M42" s="45"/>
      <c r="N42" s="45">
        <f>IF((J42-K42)&lt;0,0,(J42-K42))</f>
        <v>0</v>
      </c>
      <c r="O42" s="45">
        <f>IF((K42-J42)&lt;0,0,(K42-J42))</f>
        <v>0</v>
      </c>
      <c r="P42" s="45">
        <f>Table14[[#This Row],[Enrolment S.Y. 2025-2026 ]]*8</f>
        <v>0</v>
      </c>
      <c r="Q42" s="45"/>
      <c r="R42" s="45"/>
      <c r="S42" s="45"/>
      <c r="T42" s="45">
        <f>IF((P42-Q42)&lt;0,0,(P42-Q42))</f>
        <v>0</v>
      </c>
      <c r="U42" s="45">
        <f>IF((Q42-P42)&lt;0,0,(Q42-P42))</f>
        <v>0</v>
      </c>
      <c r="V42" s="45">
        <f>Table14[[#This Row],[Enrolment S.Y. 2025-2026 ]]*8</f>
        <v>0</v>
      </c>
      <c r="W42" s="45"/>
      <c r="X42" s="45"/>
      <c r="Y42" s="45"/>
      <c r="Z42" s="45">
        <f>IF((V42-W42)&lt;0,0,(V42-W42))</f>
        <v>0</v>
      </c>
      <c r="AA42" s="45">
        <f>IF((W42-V42)&lt;0,0,(W42-V42))</f>
        <v>0</v>
      </c>
    </row>
    <row r="43" spans="1:27" ht="36.75">
      <c r="A43" s="1">
        <v>5</v>
      </c>
      <c r="B43" s="43" t="s">
        <v>18</v>
      </c>
      <c r="C43" s="1"/>
      <c r="D43" s="5">
        <f>Table14[[#This Row],[Enrolment S.Y. 2025-2026 ]]*8</f>
        <v>0</v>
      </c>
      <c r="E43" s="5"/>
      <c r="F43" s="1"/>
      <c r="G43" s="5"/>
      <c r="H43" s="5">
        <f>IF((D43-E43)&lt;0,0,(D43-E43))</f>
        <v>0</v>
      </c>
      <c r="I43" s="5">
        <f>IF((E43-D43)&lt;0,0,(E43-D43))</f>
        <v>0</v>
      </c>
      <c r="J43" s="5">
        <f>Table14[[#This Row],[Enrolment S.Y. 2025-2026 ]]*8</f>
        <v>0</v>
      </c>
      <c r="K43" s="5"/>
      <c r="L43" s="1"/>
      <c r="M43" s="5"/>
      <c r="N43" s="5">
        <f>IF((J43-K43)&lt;0,0,(J43-K43))</f>
        <v>0</v>
      </c>
      <c r="O43" s="5">
        <f>IF((K43-J43)&lt;0,0,(K43-J43))</f>
        <v>0</v>
      </c>
      <c r="P43" s="5">
        <f>Table14[[#This Row],[Enrolment S.Y. 2025-2026 ]]*8</f>
        <v>0</v>
      </c>
      <c r="Q43" s="5"/>
      <c r="R43" s="1"/>
      <c r="S43" s="5"/>
      <c r="T43" s="5">
        <f>IF((P43-Q43)&lt;0,0,(P43-Q43))</f>
        <v>0</v>
      </c>
      <c r="U43" s="5">
        <f>IF((Q43-P43)&lt;0,0,(Q43-P43))</f>
        <v>0</v>
      </c>
      <c r="V43" s="5">
        <f>Table14[[#This Row],[Enrolment S.Y. 2025-2026 ]]*8</f>
        <v>0</v>
      </c>
      <c r="W43" s="5"/>
      <c r="X43" s="1"/>
      <c r="Y43" s="5"/>
      <c r="Z43" s="5">
        <f>IF((V43-W43)&lt;0,0,(V43-W43))</f>
        <v>0</v>
      </c>
      <c r="AA43" s="5">
        <f>IF((W43-V43)&lt;0,0,(W43-V43))</f>
        <v>0</v>
      </c>
    </row>
    <row r="44" spans="1:27" ht="19.5">
      <c r="A44" s="1">
        <v>5</v>
      </c>
      <c r="B44" s="9" t="s">
        <v>14</v>
      </c>
      <c r="C44" s="1"/>
      <c r="D44" s="5">
        <f>Table14[[#This Row],[Enrolment S.Y. 2025-2026 ]]*8</f>
        <v>0</v>
      </c>
      <c r="E44" s="5"/>
      <c r="F44" s="1"/>
      <c r="G44" s="5"/>
      <c r="H44" s="5">
        <f>IF((D44-E44)&lt;0,0,(D44-E44))</f>
        <v>0</v>
      </c>
      <c r="I44" s="5">
        <f>IF((E44-D44)&lt;0,0,(E44-D44))</f>
        <v>0</v>
      </c>
      <c r="J44" s="5">
        <f>Table14[[#This Row],[Enrolment S.Y. 2025-2026 ]]*8</f>
        <v>0</v>
      </c>
      <c r="K44" s="5"/>
      <c r="L44" s="1"/>
      <c r="M44" s="5"/>
      <c r="N44" s="5">
        <f>IF((J44-K44)&lt;0,0,(J44-K44))</f>
        <v>0</v>
      </c>
      <c r="O44" s="5">
        <f>IF((K44-J44)&lt;0,0,(K44-J44))</f>
        <v>0</v>
      </c>
      <c r="P44" s="5">
        <f>Table14[[#This Row],[Enrolment S.Y. 2025-2026 ]]*8</f>
        <v>0</v>
      </c>
      <c r="Q44" s="5"/>
      <c r="R44" s="1"/>
      <c r="S44" s="5"/>
      <c r="T44" s="5">
        <f>IF((P44-Q44)&lt;0,0,(P44-Q44))</f>
        <v>0</v>
      </c>
      <c r="U44" s="5">
        <f>IF((Q44-P44)&lt;0,0,(Q44-P44))</f>
        <v>0</v>
      </c>
      <c r="V44" s="5">
        <f>Table14[[#This Row],[Enrolment S.Y. 2025-2026 ]]*8</f>
        <v>0</v>
      </c>
      <c r="W44" s="5"/>
      <c r="X44" s="1"/>
      <c r="Y44" s="5"/>
      <c r="Z44" s="5">
        <f>IF((V44-W44)&lt;0,0,(V44-W44))</f>
        <v>0</v>
      </c>
      <c r="AA44" s="5">
        <f>IF((W44-V44)&lt;0,0,(W44-V44))</f>
        <v>0</v>
      </c>
    </row>
    <row r="45" spans="1:27" ht="19.5">
      <c r="A45" s="1">
        <v>5</v>
      </c>
      <c r="B45" s="9" t="s">
        <v>88</v>
      </c>
      <c r="C45" s="1"/>
      <c r="D45" s="5">
        <f>Table14[[#This Row],[Enrolment S.Y. 2025-2026 ]]*8</f>
        <v>0</v>
      </c>
      <c r="E45" s="5"/>
      <c r="F45" s="1"/>
      <c r="G45" s="5"/>
      <c r="H45" s="5">
        <f>IF((D45-E45)&lt;0,0,(D45-E45))</f>
        <v>0</v>
      </c>
      <c r="I45" s="5">
        <f>IF((E45-D45)&lt;0,0,(E45-D45))</f>
        <v>0</v>
      </c>
      <c r="J45" s="5">
        <f>Table14[[#This Row],[Enrolment S.Y. 2025-2026 ]]*8</f>
        <v>0</v>
      </c>
      <c r="K45" s="5"/>
      <c r="L45" s="1"/>
      <c r="M45" s="5"/>
      <c r="N45" s="5">
        <f>IF((J45-K45)&lt;0,0,(J45-K45))</f>
        <v>0</v>
      </c>
      <c r="O45" s="5">
        <f>IF((K45-J45)&lt;0,0,(K45-J45))</f>
        <v>0</v>
      </c>
      <c r="P45" s="5">
        <f>Table14[[#This Row],[Enrolment S.Y. 2025-2026 ]]*8</f>
        <v>0</v>
      </c>
      <c r="Q45" s="5"/>
      <c r="R45" s="1"/>
      <c r="S45" s="5"/>
      <c r="T45" s="5">
        <f>IF((P45-Q45)&lt;0,0,(P45-Q45))</f>
        <v>0</v>
      </c>
      <c r="U45" s="5">
        <f>IF((Q45-P45)&lt;0,0,(Q45-P45))</f>
        <v>0</v>
      </c>
      <c r="V45" s="5">
        <f>Table14[[#This Row],[Enrolment S.Y. 2025-2026 ]]*8</f>
        <v>0</v>
      </c>
      <c r="W45" s="5"/>
      <c r="X45" s="1"/>
      <c r="Y45" s="5"/>
      <c r="Z45" s="5">
        <f>IF((V45-W45)&lt;0,0,(V45-W45))</f>
        <v>0</v>
      </c>
      <c r="AA45" s="5">
        <f>IF((W45-V45)&lt;0,0,(W45-V45))</f>
        <v>0</v>
      </c>
    </row>
    <row r="46" spans="1:27" ht="19.5">
      <c r="A46" s="1">
        <v>5</v>
      </c>
      <c r="B46" s="9" t="s">
        <v>89</v>
      </c>
      <c r="C46" s="1"/>
      <c r="D46" s="5">
        <f>Table14[[#This Row],[Enrolment S.Y. 2025-2026 ]]*8</f>
        <v>0</v>
      </c>
      <c r="E46" s="5"/>
      <c r="F46" s="1"/>
      <c r="G46" s="5"/>
      <c r="H46" s="5">
        <f>IF((D46-E46)&lt;0,0,(D46-E46))</f>
        <v>0</v>
      </c>
      <c r="I46" s="5">
        <f>IF((E46-D46)&lt;0,0,(E46-D46))</f>
        <v>0</v>
      </c>
      <c r="J46" s="5">
        <f>Table14[[#This Row],[Enrolment S.Y. 2025-2026 ]]*8</f>
        <v>0</v>
      </c>
      <c r="K46" s="5"/>
      <c r="L46" s="1"/>
      <c r="M46" s="5"/>
      <c r="N46" s="5">
        <f>IF((J46-K46)&lt;0,0,(J46-K46))</f>
        <v>0</v>
      </c>
      <c r="O46" s="5">
        <f>IF((K46-J46)&lt;0,0,(K46-J46))</f>
        <v>0</v>
      </c>
      <c r="P46" s="5">
        <f>Table14[[#This Row],[Enrolment S.Y. 2025-2026 ]]*8</f>
        <v>0</v>
      </c>
      <c r="Q46" s="5"/>
      <c r="R46" s="1"/>
      <c r="S46" s="5"/>
      <c r="T46" s="5">
        <f>IF((P46-Q46)&lt;0,0,(P46-Q46))</f>
        <v>0</v>
      </c>
      <c r="U46" s="5">
        <f>IF((Q46-P46)&lt;0,0,(Q46-P46))</f>
        <v>0</v>
      </c>
      <c r="V46" s="5">
        <f>Table14[[#This Row],[Enrolment S.Y. 2025-2026 ]]*8</f>
        <v>0</v>
      </c>
      <c r="W46" s="5"/>
      <c r="X46" s="1"/>
      <c r="Y46" s="5"/>
      <c r="Z46" s="5">
        <f>IF((V46-W46)&lt;0,0,(V46-W46))</f>
        <v>0</v>
      </c>
      <c r="AA46" s="5">
        <f>IF((W46-V46)&lt;0,0,(W46-V46))</f>
        <v>0</v>
      </c>
    </row>
    <row r="47" spans="1:27" ht="19.5">
      <c r="A47" s="1">
        <v>5</v>
      </c>
      <c r="B47" s="9" t="s">
        <v>20</v>
      </c>
      <c r="C47" s="1"/>
      <c r="D47" s="5">
        <f>Table14[[#This Row],[Enrolment S.Y. 2025-2026 ]]*8</f>
        <v>0</v>
      </c>
      <c r="E47" s="5"/>
      <c r="F47" s="1"/>
      <c r="G47" s="5"/>
      <c r="H47" s="5">
        <f>IF((D47-E47)&lt;0,0,(D47-E47))</f>
        <v>0</v>
      </c>
      <c r="I47" s="5">
        <f>IF((E47-D47)&lt;0,0,(E47-D47))</f>
        <v>0</v>
      </c>
      <c r="J47" s="5">
        <f>Table14[[#This Row],[Enrolment S.Y. 2025-2026 ]]*8</f>
        <v>0</v>
      </c>
      <c r="K47" s="5"/>
      <c r="L47" s="1"/>
      <c r="M47" s="5"/>
      <c r="N47" s="5">
        <f>IF((J47-K47)&lt;0,0,(J47-K47))</f>
        <v>0</v>
      </c>
      <c r="O47" s="5">
        <f>IF((K47-J47)&lt;0,0,(K47-J47))</f>
        <v>0</v>
      </c>
      <c r="P47" s="5">
        <f>Table14[[#This Row],[Enrolment S.Y. 2025-2026 ]]*8</f>
        <v>0</v>
      </c>
      <c r="Q47" s="5"/>
      <c r="R47" s="1"/>
      <c r="S47" s="5"/>
      <c r="T47" s="5">
        <f>IF((P47-Q47)&lt;0,0,(P47-Q47))</f>
        <v>0</v>
      </c>
      <c r="U47" s="5">
        <f>IF((Q47-P47)&lt;0,0,(Q47-P47))</f>
        <v>0</v>
      </c>
      <c r="V47" s="5">
        <f>Table14[[#This Row],[Enrolment S.Y. 2025-2026 ]]*8</f>
        <v>0</v>
      </c>
      <c r="W47" s="5"/>
      <c r="X47" s="1"/>
      <c r="Y47" s="5"/>
      <c r="Z47" s="5">
        <f>IF((V47-W47)&lt;0,0,(V47-W47))</f>
        <v>0</v>
      </c>
      <c r="AA47" s="5">
        <f>IF((W47-V47)&lt;0,0,(W47-V47))</f>
        <v>0</v>
      </c>
    </row>
    <row r="48" spans="1:27" ht="19.5">
      <c r="A48" s="1">
        <v>5</v>
      </c>
      <c r="B48" s="9" t="s">
        <v>90</v>
      </c>
      <c r="C48" s="1"/>
      <c r="D48" s="5">
        <f>Table14[[#This Row],[Enrolment S.Y. 2025-2026 ]]*8</f>
        <v>0</v>
      </c>
      <c r="E48" s="5"/>
      <c r="F48" s="1"/>
      <c r="G48" s="5"/>
      <c r="H48" s="5">
        <f>IF((D48-E48)&lt;0,0,(D48-E48))</f>
        <v>0</v>
      </c>
      <c r="I48" s="5">
        <f>IF((E48-D48)&lt;0,0,(E48-D48))</f>
        <v>0</v>
      </c>
      <c r="J48" s="5">
        <f>Table14[[#This Row],[Enrolment S.Y. 2025-2026 ]]*8</f>
        <v>0</v>
      </c>
      <c r="K48" s="5"/>
      <c r="L48" s="1"/>
      <c r="M48" s="5"/>
      <c r="N48" s="5">
        <f>IF((J48-K48)&lt;0,0,(J48-K48))</f>
        <v>0</v>
      </c>
      <c r="O48" s="5">
        <f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>IF((P48-Q48)&lt;0,0,(P48-Q48))</f>
        <v>0</v>
      </c>
      <c r="U48" s="5">
        <f>IF((Q48-P48)&lt;0,0,(Q48-P48))</f>
        <v>0</v>
      </c>
      <c r="V48" s="5">
        <f>Table14[[#This Row],[Enrolment S.Y. 2025-2026 ]]*8</f>
        <v>0</v>
      </c>
      <c r="W48" s="5"/>
      <c r="X48" s="1"/>
      <c r="Y48" s="5"/>
      <c r="Z48" s="5">
        <f>IF((V48-W48)&lt;0,0,(V48-W48))</f>
        <v>0</v>
      </c>
      <c r="AA48" s="5">
        <f>IF((W48-V48)&lt;0,0,(W48-V48))</f>
        <v>0</v>
      </c>
    </row>
    <row r="49" spans="1:27" ht="19.5">
      <c r="A49" s="37">
        <v>5</v>
      </c>
      <c r="B49" s="9" t="s">
        <v>91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>IF((J49-K49)&lt;0,0,(J49-K49))</f>
        <v>0</v>
      </c>
      <c r="O49" s="5">
        <f>IF((K49-J49)&lt;0,0,(K49-J49))</f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6</v>
      </c>
      <c r="B50" s="9" t="s">
        <v>15</v>
      </c>
      <c r="C50" s="1"/>
      <c r="D50" s="5">
        <v>0</v>
      </c>
      <c r="E50" s="5">
        <v>72</v>
      </c>
      <c r="F50" s="1">
        <v>2025</v>
      </c>
      <c r="G50" s="5" t="s">
        <v>9</v>
      </c>
      <c r="H50" s="5">
        <f>IF((D50-E50)&lt;0,0,(D50-E50))</f>
        <v>0</v>
      </c>
      <c r="I50" s="5">
        <f>IF((E50-D50)&lt;0,0,(E50-D50))</f>
        <v>72</v>
      </c>
      <c r="J50" s="5">
        <f>Table14[[#This Row],[Enrolment S.Y. 2025-2026 ]]*8</f>
        <v>0</v>
      </c>
      <c r="K50" s="5">
        <v>46</v>
      </c>
      <c r="L50" s="1">
        <v>2025</v>
      </c>
      <c r="M50" s="5" t="s">
        <v>9</v>
      </c>
      <c r="N50" s="5">
        <f>IF((J50-K50)&lt;0,0,(J50-K50))</f>
        <v>0</v>
      </c>
      <c r="O50" s="5">
        <f>IF((K50-J50)&lt;0,0,(K50-J50))</f>
        <v>46</v>
      </c>
      <c r="P50" s="5">
        <f>Table14[[#This Row],[Enrolment S.Y. 2025-2026 ]]*8</f>
        <v>0</v>
      </c>
      <c r="Q50" s="5"/>
      <c r="R50" s="1"/>
      <c r="S50" s="5"/>
      <c r="T50" s="5">
        <f>IF((P50-Q50)&lt;0,0,(P50-Q50))</f>
        <v>0</v>
      </c>
      <c r="U50" s="5">
        <f>IF((Q50-P50)&lt;0,0,(Q50-P50))</f>
        <v>0</v>
      </c>
      <c r="V50" s="5">
        <f>Table14[[#This Row],[Enrolment S.Y. 2025-2026 ]]*8</f>
        <v>0</v>
      </c>
      <c r="W50" s="5">
        <v>46</v>
      </c>
      <c r="X50" s="1">
        <v>2025</v>
      </c>
      <c r="Y50" s="5" t="s">
        <v>9</v>
      </c>
      <c r="Z50" s="5">
        <f>IF((V50-W50)&lt;0,0,(V50-W50))</f>
        <v>0</v>
      </c>
      <c r="AA50" s="5">
        <f>IF((W50-V50)&lt;0,0,(W50-V50))</f>
        <v>46</v>
      </c>
    </row>
    <row r="51" spans="1:27" ht="19.5">
      <c r="A51" s="1">
        <v>6</v>
      </c>
      <c r="B51" s="9" t="s">
        <v>16</v>
      </c>
      <c r="C51" s="1"/>
      <c r="D51" s="5">
        <v>0</v>
      </c>
      <c r="E51" s="5">
        <v>72</v>
      </c>
      <c r="F51" s="1">
        <v>2025</v>
      </c>
      <c r="G51" s="5" t="s">
        <v>9</v>
      </c>
      <c r="H51" s="5">
        <f>IF((D51-E51)&lt;0,0,(D51-E51))</f>
        <v>0</v>
      </c>
      <c r="I51" s="5">
        <f>IF((E51-D51)&lt;0,0,(E51-D51))</f>
        <v>72</v>
      </c>
      <c r="J51" s="5">
        <f>Table14[[#This Row],[Enrolment S.Y. 2025-2026 ]]*8</f>
        <v>0</v>
      </c>
      <c r="K51" s="5">
        <v>46</v>
      </c>
      <c r="L51" s="1">
        <v>2025</v>
      </c>
      <c r="M51" s="5" t="s">
        <v>9</v>
      </c>
      <c r="N51" s="5">
        <f>IF((J51-K51)&lt;0,0,(J51-K51))</f>
        <v>0</v>
      </c>
      <c r="O51" s="5">
        <f>IF((K51-J51)&lt;0,0,(K51-J51))</f>
        <v>46</v>
      </c>
      <c r="P51" s="5">
        <f>Table14[[#This Row],[Enrolment S.Y. 2025-2026 ]]*8</f>
        <v>0</v>
      </c>
      <c r="Q51" s="5"/>
      <c r="R51" s="1"/>
      <c r="S51" s="5"/>
      <c r="T51" s="5">
        <f>IF((P51-Q51)&lt;0,0,(P51-Q51))</f>
        <v>0</v>
      </c>
      <c r="U51" s="5">
        <f>IF((Q51-P51)&lt;0,0,(Q51-P51))</f>
        <v>0</v>
      </c>
      <c r="V51" s="5">
        <f>Table14[[#This Row],[Enrolment S.Y. 2025-2026 ]]*8</f>
        <v>0</v>
      </c>
      <c r="W51" s="5">
        <v>46</v>
      </c>
      <c r="X51" s="1">
        <v>2025</v>
      </c>
      <c r="Y51" s="5" t="s">
        <v>9</v>
      </c>
      <c r="Z51" s="5">
        <f>IF((V51-W51)&lt;0,0,(V51-W51))</f>
        <v>0</v>
      </c>
      <c r="AA51" s="5">
        <f>IF((W51-V51)&lt;0,0,(W51-V51))</f>
        <v>46</v>
      </c>
    </row>
    <row r="52" spans="1:27" ht="19.5">
      <c r="A52" s="37">
        <v>6</v>
      </c>
      <c r="B52" s="9" t="s">
        <v>13</v>
      </c>
      <c r="C52" s="5"/>
      <c r="D52" s="5">
        <v>0</v>
      </c>
      <c r="E52" s="5">
        <v>72</v>
      </c>
      <c r="F52" s="1">
        <v>2025</v>
      </c>
      <c r="G52" s="5" t="s">
        <v>9</v>
      </c>
      <c r="H52" s="5">
        <f>IF((D52-E52)&lt;0,0,(D52-E52))</f>
        <v>0</v>
      </c>
      <c r="I52" s="5">
        <f>IF((E52-D52)&lt;0,0,(E52-D52))</f>
        <v>72</v>
      </c>
      <c r="J52" s="5">
        <f>Table14[[#This Row],[Enrolment S.Y. 2025-2026 ]]*8</f>
        <v>0</v>
      </c>
      <c r="K52" s="5">
        <v>46</v>
      </c>
      <c r="L52" s="1">
        <v>2025</v>
      </c>
      <c r="M52" s="5" t="s">
        <v>9</v>
      </c>
      <c r="N52" s="5">
        <f>IF((J52-K52)&lt;0,0,(J52-K52))</f>
        <v>0</v>
      </c>
      <c r="O52" s="5">
        <f>IF((K52-J52)&lt;0,0,(K52-J52))</f>
        <v>46</v>
      </c>
      <c r="P52" s="5">
        <f>Table14[[#This Row],[Enrolment S.Y. 2025-2026 ]]*8</f>
        <v>0</v>
      </c>
      <c r="Q52" s="5">
        <v>414</v>
      </c>
      <c r="R52" s="1">
        <v>2025</v>
      </c>
      <c r="S52" s="5" t="s">
        <v>9</v>
      </c>
      <c r="T52" s="5">
        <v>414</v>
      </c>
      <c r="U52" s="5">
        <f>IF((Q52-P52)&lt;0,0,(Q52-P52))</f>
        <v>414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6</v>
      </c>
      <c r="B53" s="9" t="s">
        <v>11</v>
      </c>
      <c r="C53" s="1"/>
      <c r="D53" s="5">
        <v>0</v>
      </c>
      <c r="E53" s="5">
        <v>72</v>
      </c>
      <c r="F53" s="1">
        <v>2025</v>
      </c>
      <c r="G53" s="5" t="s">
        <v>9</v>
      </c>
      <c r="H53" s="5">
        <f>IF((D53-E53)&lt;0,0,(D53-E53))</f>
        <v>0</v>
      </c>
      <c r="I53" s="5">
        <f>IF((E53-D53)&lt;0,0,(E53-D53))</f>
        <v>72</v>
      </c>
      <c r="J53" s="5">
        <f>Table14[[#This Row],[Enrolment S.Y. 2025-2026 ]]*8</f>
        <v>0</v>
      </c>
      <c r="K53" s="5"/>
      <c r="L53" s="1"/>
      <c r="M53" s="5"/>
      <c r="N53" s="5">
        <f>IF((J53-K53)&lt;0,0,(J53-K53))</f>
        <v>0</v>
      </c>
      <c r="O53" s="5">
        <f>IF((K53-J53)&lt;0,0,(K53-J53))</f>
        <v>0</v>
      </c>
      <c r="P53" s="5">
        <f>Table14[[#This Row],[Enrolment S.Y. 2025-2026 ]]*8</f>
        <v>0</v>
      </c>
      <c r="Q53" s="5"/>
      <c r="R53" s="1"/>
      <c r="S53" s="5"/>
      <c r="T53" s="5">
        <f>IF((P53-Q53)&lt;0,0,(P53-Q53))</f>
        <v>0</v>
      </c>
      <c r="U53" s="5">
        <f>IF((Q53-P53)&lt;0,0,(Q53-P53))</f>
        <v>0</v>
      </c>
      <c r="V53" s="5">
        <f>Table14[[#This Row],[Enrolment S.Y. 2025-2026 ]]*8</f>
        <v>0</v>
      </c>
      <c r="W53" s="5">
        <v>46</v>
      </c>
      <c r="X53" s="1">
        <v>2025</v>
      </c>
      <c r="Y53" s="5" t="s">
        <v>9</v>
      </c>
      <c r="Z53" s="5">
        <f>IF((V53-W53)&lt;0,0,(V53-W53))</f>
        <v>0</v>
      </c>
      <c r="AA53" s="5">
        <f>IF((W53-V53)&lt;0,0,(W53-V53))</f>
        <v>46</v>
      </c>
    </row>
    <row r="54" spans="1:27" s="7" customFormat="1" ht="38.25">
      <c r="A54" s="45">
        <v>6</v>
      </c>
      <c r="B54" s="49" t="s">
        <v>18</v>
      </c>
      <c r="C54" s="45"/>
      <c r="D54" s="45">
        <v>0</v>
      </c>
      <c r="E54" s="45">
        <v>72</v>
      </c>
      <c r="F54" s="45">
        <v>2025</v>
      </c>
      <c r="G54" s="45" t="s">
        <v>9</v>
      </c>
      <c r="H54" s="45">
        <f>IF((D54-E54)&lt;0,0,(D54-E54))</f>
        <v>0</v>
      </c>
      <c r="I54" s="45">
        <f>IF((E54-D54)&lt;0,0,(E54-D54))</f>
        <v>72</v>
      </c>
      <c r="J54" s="45">
        <f>Table14[[#This Row],[Enrolment S.Y. 2025-2026 ]]*8</f>
        <v>0</v>
      </c>
      <c r="K54" s="45"/>
      <c r="L54" s="45"/>
      <c r="M54" s="45"/>
      <c r="N54" s="45">
        <f>IF((J54-K54)&lt;0,0,(J54-K54))</f>
        <v>0</v>
      </c>
      <c r="O54" s="45">
        <f>IF((K54-J54)&lt;0,0,(K54-J54))</f>
        <v>0</v>
      </c>
      <c r="P54" s="45">
        <f>Table14[[#This Row],[Enrolment S.Y. 2025-2026 ]]*8</f>
        <v>0</v>
      </c>
      <c r="Q54" s="45">
        <v>46</v>
      </c>
      <c r="R54" s="45">
        <v>2025</v>
      </c>
      <c r="S54" s="45" t="s">
        <v>9</v>
      </c>
      <c r="T54" s="45">
        <f>IF((P54-Q54)&lt;0,0,(P54-Q54))</f>
        <v>0</v>
      </c>
      <c r="U54" s="45">
        <f>IF((Q54-P54)&lt;0,0,(Q54-P54))</f>
        <v>46</v>
      </c>
      <c r="V54" s="45">
        <f>Table14[[#This Row],[Enrolment S.Y. 2025-2026 ]]*8</f>
        <v>0</v>
      </c>
      <c r="W54" s="45"/>
      <c r="X54" s="45"/>
      <c r="Y54" s="45"/>
      <c r="Z54" s="45">
        <f>IF((V54-W54)&lt;0,0,(V54-W54))</f>
        <v>0</v>
      </c>
      <c r="AA54" s="45">
        <f>IF((W54-V54)&lt;0,0,(W54-V54))</f>
        <v>0</v>
      </c>
    </row>
    <row r="55" spans="1:27" ht="19.5">
      <c r="A55" s="1">
        <v>6</v>
      </c>
      <c r="B55" s="9" t="s">
        <v>14</v>
      </c>
      <c r="C55" s="1"/>
      <c r="D55" s="5">
        <v>0</v>
      </c>
      <c r="E55" s="5">
        <v>72</v>
      </c>
      <c r="F55" s="1">
        <v>2025</v>
      </c>
      <c r="G55" s="5" t="s">
        <v>9</v>
      </c>
      <c r="H55" s="5">
        <f>IF((D55-E55)&lt;0,0,(D55-E55))</f>
        <v>0</v>
      </c>
      <c r="I55" s="5">
        <f>IF((E55-D55)&lt;0,0,(E55-D55))</f>
        <v>72</v>
      </c>
      <c r="J55" s="5">
        <f>Table14[[#This Row],[Enrolment S.Y. 2025-2026 ]]*8</f>
        <v>0</v>
      </c>
      <c r="K55" s="5"/>
      <c r="L55" s="1"/>
      <c r="M55" s="5"/>
      <c r="N55" s="5">
        <f>IF((J55-K55)&lt;0,0,(J55-K55))</f>
        <v>0</v>
      </c>
      <c r="O55" s="5">
        <f>IF((K55-J55)&lt;0,0,(K55-J55))</f>
        <v>0</v>
      </c>
      <c r="P55" s="5">
        <f>Table14[[#This Row],[Enrolment S.Y. 2025-2026 ]]*8</f>
        <v>0</v>
      </c>
      <c r="Q55" s="5">
        <v>476</v>
      </c>
      <c r="R55" s="1">
        <v>2025</v>
      </c>
      <c r="S55" s="5" t="s">
        <v>9</v>
      </c>
      <c r="T55" s="5">
        <f>IF((P55-Q55)&lt;0,0,(P55-Q55))</f>
        <v>0</v>
      </c>
      <c r="U55" s="5">
        <f>IF((Q55-P55)&lt;0,0,(Q55-P55))</f>
        <v>476</v>
      </c>
      <c r="V55" s="5">
        <f>Table14[[#This Row],[Enrolment S.Y. 2025-2026 ]]*8</f>
        <v>0</v>
      </c>
      <c r="W55" s="5"/>
      <c r="X55" s="1"/>
      <c r="Y55" s="5"/>
      <c r="Z55" s="5">
        <f>IF((V55-W55)&lt;0,0,(V55-W55))</f>
        <v>0</v>
      </c>
      <c r="AA55" s="5">
        <f>IF((W55-V55)&lt;0,0,(W55-V55))</f>
        <v>0</v>
      </c>
    </row>
    <row r="56" spans="1:27" ht="19.5">
      <c r="A56" s="1">
        <v>6</v>
      </c>
      <c r="B56" s="9" t="s">
        <v>88</v>
      </c>
      <c r="C56" s="1"/>
      <c r="D56" s="5">
        <v>0</v>
      </c>
      <c r="E56" s="5">
        <v>72</v>
      </c>
      <c r="F56" s="1">
        <v>2025</v>
      </c>
      <c r="G56" s="5" t="s">
        <v>9</v>
      </c>
      <c r="H56" s="5">
        <f>IF((D56-E56)&lt;0,0,(D56-E56))</f>
        <v>0</v>
      </c>
      <c r="I56" s="5">
        <f>IF((E56-D56)&lt;0,0,(E56-D56))</f>
        <v>72</v>
      </c>
      <c r="J56" s="5">
        <f>Table14[[#This Row],[Enrolment S.Y. 2025-2026 ]]*8</f>
        <v>0</v>
      </c>
      <c r="K56" s="5"/>
      <c r="L56" s="1"/>
      <c r="M56" s="5"/>
      <c r="N56" s="5">
        <f>IF((J56-K56)&lt;0,0,(J56-K56))</f>
        <v>0</v>
      </c>
      <c r="O56" s="5">
        <f>IF((K56-J56)&lt;0,0,(K56-J56))</f>
        <v>0</v>
      </c>
      <c r="P56" s="5">
        <f>Table14[[#This Row],[Enrolment S.Y. 2025-2026 ]]*8</f>
        <v>0</v>
      </c>
      <c r="Q56" s="5"/>
      <c r="R56" s="1"/>
      <c r="S56" s="5"/>
      <c r="T56" s="5">
        <f>IF((P56-Q56)&lt;0,0,(P56-Q56))</f>
        <v>0</v>
      </c>
      <c r="U56" s="5">
        <f>IF((Q56-P56)&lt;0,0,(Q56-P56))</f>
        <v>0</v>
      </c>
      <c r="V56" s="5">
        <f>Table14[[#This Row],[Enrolment S.Y. 2025-2026 ]]*8</f>
        <v>0</v>
      </c>
      <c r="W56" s="5">
        <v>46</v>
      </c>
      <c r="X56" s="1"/>
      <c r="Y56" s="5"/>
      <c r="Z56" s="5">
        <f>IF((V56-W56)&lt;0,0,(V56-W56))</f>
        <v>0</v>
      </c>
      <c r="AA56" s="5">
        <f>IF((W56-V56)&lt;0,0,(W56-V56))</f>
        <v>46</v>
      </c>
    </row>
    <row r="57" spans="1:27" ht="19.5">
      <c r="A57" s="1">
        <v>6</v>
      </c>
      <c r="B57" s="9" t="s">
        <v>89</v>
      </c>
      <c r="C57" s="1"/>
      <c r="D57" s="5">
        <v>0</v>
      </c>
      <c r="E57" s="5">
        <v>72</v>
      </c>
      <c r="F57" s="1">
        <v>2025</v>
      </c>
      <c r="G57" s="5" t="s">
        <v>9</v>
      </c>
      <c r="H57" s="5">
        <f>IF((D57-E57)&lt;0,0,(D57-E57))</f>
        <v>0</v>
      </c>
      <c r="I57" s="5">
        <f>IF((E57-D57)&lt;0,0,(E57-D57))</f>
        <v>72</v>
      </c>
      <c r="J57" s="5">
        <f>Table14[[#This Row],[Enrolment S.Y. 2025-2026 ]]*8</f>
        <v>0</v>
      </c>
      <c r="K57" s="5"/>
      <c r="L57" s="1"/>
      <c r="M57" s="5"/>
      <c r="N57" s="5">
        <f>IF((J57-K57)&lt;0,0,(J57-K57))</f>
        <v>0</v>
      </c>
      <c r="O57" s="5">
        <f>IF((K57-J57)&lt;0,0,(K57-J57))</f>
        <v>0</v>
      </c>
      <c r="P57" s="5">
        <f>Table14[[#This Row],[Enrolment S.Y. 2025-2026 ]]*8</f>
        <v>0</v>
      </c>
      <c r="Q57" s="5">
        <v>46</v>
      </c>
      <c r="R57" s="1">
        <v>2025</v>
      </c>
      <c r="S57" s="5" t="s">
        <v>9</v>
      </c>
      <c r="T57" s="5">
        <f>IF((P57-Q57)&lt;0,0,(P57-Q57))</f>
        <v>0</v>
      </c>
      <c r="U57" s="5">
        <f>IF((Q57-P57)&lt;0,0,(Q57-P57))</f>
        <v>46</v>
      </c>
      <c r="V57" s="5">
        <f>Table14[[#This Row],[Enrolment S.Y. 2025-2026 ]]*8</f>
        <v>0</v>
      </c>
      <c r="W57" s="5"/>
      <c r="X57" s="1"/>
      <c r="Y57" s="5"/>
      <c r="Z57" s="5">
        <f>IF((V57-W57)&lt;0,0,(V57-W57))</f>
        <v>0</v>
      </c>
      <c r="AA57" s="5">
        <f>IF((W57-V57)&lt;0,0,(W57-V57))</f>
        <v>0</v>
      </c>
    </row>
    <row r="58" spans="1:27" ht="19.5">
      <c r="A58" s="1">
        <v>6</v>
      </c>
      <c r="B58" s="9" t="s">
        <v>20</v>
      </c>
      <c r="C58" s="1"/>
      <c r="D58" s="5">
        <v>0</v>
      </c>
      <c r="E58" s="5">
        <v>72</v>
      </c>
      <c r="F58" s="1">
        <v>2025</v>
      </c>
      <c r="G58" s="5" t="s">
        <v>9</v>
      </c>
      <c r="H58" s="5">
        <f>IF((D58-E58)&lt;0,0,(D58-E58))</f>
        <v>0</v>
      </c>
      <c r="I58" s="5">
        <f>IF((E58-D58)&lt;0,0,(E58-D58))</f>
        <v>72</v>
      </c>
      <c r="J58" s="5">
        <f>Table14[[#This Row],[Enrolment S.Y. 2025-2026 ]]*8</f>
        <v>0</v>
      </c>
      <c r="K58" s="5"/>
      <c r="L58" s="1"/>
      <c r="M58" s="5"/>
      <c r="N58" s="5">
        <f>IF((J58-K58)&lt;0,0,(J58-K58))</f>
        <v>0</v>
      </c>
      <c r="O58" s="5">
        <f>IF((K58-J58)&lt;0,0,(K58-J58))</f>
        <v>0</v>
      </c>
      <c r="P58" s="5">
        <f>Table14[[#This Row],[Enrolment S.Y. 2025-2026 ]]*8</f>
        <v>0</v>
      </c>
      <c r="Q58" s="5"/>
      <c r="R58" s="1"/>
      <c r="S58" s="5"/>
      <c r="T58" s="5">
        <f>IF((P58-Q58)&lt;0,0,(P58-Q58))</f>
        <v>0</v>
      </c>
      <c r="U58" s="5">
        <f>IF((Q58-P58)&lt;0,0,(Q58-P58))</f>
        <v>0</v>
      </c>
      <c r="V58" s="5">
        <f>Table14[[#This Row],[Enrolment S.Y. 2025-2026 ]]*8</f>
        <v>0</v>
      </c>
      <c r="W58" s="5">
        <v>46</v>
      </c>
      <c r="X58" s="1">
        <v>2025</v>
      </c>
      <c r="Y58" s="5" t="s">
        <v>9</v>
      </c>
      <c r="Z58" s="5">
        <f>IF((V58-W58)&lt;0,0,(V58-W58))</f>
        <v>0</v>
      </c>
      <c r="AA58" s="5">
        <f>IF((W58-V58)&lt;0,0,(W58-V58))</f>
        <v>46</v>
      </c>
    </row>
    <row r="59" spans="1:27" ht="19.5">
      <c r="A59" s="1">
        <v>6</v>
      </c>
      <c r="B59" s="9" t="s">
        <v>90</v>
      </c>
      <c r="C59" s="1"/>
      <c r="D59" s="5">
        <v>0</v>
      </c>
      <c r="E59" s="5">
        <v>72</v>
      </c>
      <c r="F59" s="1">
        <v>2025</v>
      </c>
      <c r="G59" s="5" t="s">
        <v>9</v>
      </c>
      <c r="H59" s="5">
        <f>IF((D59-E59)&lt;0,0,(D59-E59))</f>
        <v>0</v>
      </c>
      <c r="I59" s="5">
        <f>IF((E59-D59)&lt;0,0,(E59-D59))</f>
        <v>72</v>
      </c>
      <c r="J59" s="5">
        <f>Table14[[#This Row],[Enrolment S.Y. 2025-2026 ]]*8</f>
        <v>0</v>
      </c>
      <c r="K59" s="5"/>
      <c r="L59" s="1"/>
      <c r="M59" s="5"/>
      <c r="N59" s="5">
        <f>IF((J59-K59)&lt;0,0,(J59-K59))</f>
        <v>0</v>
      </c>
      <c r="O59" s="5">
        <f>IF((K59-J59)&lt;0,0,(K59-J59))</f>
        <v>0</v>
      </c>
      <c r="P59" s="5">
        <f>Table14[[#This Row],[Enrolment S.Y. 2025-2026 ]]*8</f>
        <v>0</v>
      </c>
      <c r="Q59" s="5"/>
      <c r="R59" s="1"/>
      <c r="S59" s="5"/>
      <c r="T59" s="5">
        <f>IF((P59-Q59)&lt;0,0,(P59-Q59))</f>
        <v>0</v>
      </c>
      <c r="U59" s="5">
        <f>IF((Q59-P59)&lt;0,0,(Q59-P59))</f>
        <v>0</v>
      </c>
      <c r="V59" s="5">
        <f>Table14[[#This Row],[Enrolment S.Y. 2025-2026 ]]*8</f>
        <v>0</v>
      </c>
      <c r="W59" s="5">
        <v>46</v>
      </c>
      <c r="X59" s="1">
        <v>2025</v>
      </c>
      <c r="Y59" s="5" t="s">
        <v>9</v>
      </c>
      <c r="Z59" s="5">
        <f>IF((V59-W59)&lt;0,0,(V59-W59))</f>
        <v>0</v>
      </c>
      <c r="AA59" s="5">
        <f>IF((W59-V59)&lt;0,0,(W59-V59))</f>
        <v>46</v>
      </c>
    </row>
    <row r="60" spans="1:27" ht="19.5">
      <c r="A60" s="1">
        <v>6</v>
      </c>
      <c r="B60" s="9" t="s">
        <v>91</v>
      </c>
      <c r="C60" s="1"/>
      <c r="D60" s="5">
        <v>0</v>
      </c>
      <c r="E60" s="5">
        <v>72</v>
      </c>
      <c r="F60" s="1">
        <v>2025</v>
      </c>
      <c r="G60" s="5" t="s">
        <v>9</v>
      </c>
      <c r="H60" s="5">
        <f>IF((D60-E60)&lt;0,0,(D60-E60))</f>
        <v>0</v>
      </c>
      <c r="I60" s="5">
        <f>IF((E60-D60)&lt;0,0,(E60-D60))</f>
        <v>72</v>
      </c>
      <c r="J60" s="5">
        <f>Table14[[#This Row],[Enrolment S.Y. 2025-2026 ]]*8</f>
        <v>0</v>
      </c>
      <c r="K60" s="5"/>
      <c r="L60" s="1"/>
      <c r="M60" s="5"/>
      <c r="N60" s="5">
        <f>IF((J60-K60)&lt;0,0,(J60-K60))</f>
        <v>0</v>
      </c>
      <c r="O60" s="5">
        <f>IF((K60-J60)&lt;0,0,(K60-J60))</f>
        <v>0</v>
      </c>
      <c r="P60" s="5">
        <f>Table14[[#This Row],[Enrolment S.Y. 2025-2026 ]]*8</f>
        <v>0</v>
      </c>
      <c r="Q60" s="5"/>
      <c r="R60" s="1"/>
      <c r="S60" s="5"/>
      <c r="T60" s="5">
        <f>IF((P60-Q60)&lt;0,0,(P60-Q60))</f>
        <v>0</v>
      </c>
      <c r="U60" s="5">
        <f>IF((Q60-P60)&lt;0,0,(Q60-P60))</f>
        <v>0</v>
      </c>
      <c r="V60" s="5">
        <f>Table14[[#This Row],[Enrolment S.Y. 2025-2026 ]]*8</f>
        <v>0</v>
      </c>
      <c r="W60" s="5">
        <v>46</v>
      </c>
      <c r="X60" s="1">
        <v>2025</v>
      </c>
      <c r="Y60" s="5" t="s">
        <v>9</v>
      </c>
      <c r="Z60" s="5">
        <f>IF((V60-W60)&lt;0,0,(V60-W60))</f>
        <v>0</v>
      </c>
      <c r="AA60" s="5">
        <f>IF((W60-V60)&lt;0,0,(W60-V60))</f>
        <v>46</v>
      </c>
    </row>
    <row r="61" spans="1:27" ht="19.5">
      <c r="A61" s="38">
        <v>7</v>
      </c>
      <c r="B61" s="11" t="s">
        <v>15</v>
      </c>
      <c r="C61" s="12"/>
      <c r="D61" s="12">
        <f>Table14[[#This Row],[Enrolment S.Y. 2025-2026 ]]*8</f>
        <v>0</v>
      </c>
      <c r="E61" s="12"/>
      <c r="F61" s="10"/>
      <c r="G61" s="12"/>
      <c r="H61" s="12">
        <f>IF((D61-E61)&lt;0,0,(D61-E61))</f>
        <v>0</v>
      </c>
      <c r="I61" s="12">
        <f>IF((E61-D61)&lt;0,0,(E61-D61))</f>
        <v>0</v>
      </c>
      <c r="J61" s="12">
        <f>Table14[[#This Row],[Enrolment S.Y. 2025-2026 ]]*8</f>
        <v>0</v>
      </c>
      <c r="K61" s="12"/>
      <c r="L61" s="10"/>
      <c r="M61" s="12"/>
      <c r="N61" s="12">
        <f>IF((J61-K61)&lt;0,0,(J61-K61))</f>
        <v>0</v>
      </c>
      <c r="O61" s="12">
        <f>IF((K61-J61)&lt;0,0,(K61-J61))</f>
        <v>0</v>
      </c>
      <c r="P61" s="12">
        <f>Table14[[#This Row],[Enrolment S.Y. 2025-2026 ]]*8</f>
        <v>0</v>
      </c>
      <c r="Q61" s="12"/>
      <c r="R61" s="10"/>
      <c r="S61" s="12"/>
      <c r="T61" s="12">
        <f>IF((P61-Q61)&lt;0,0,(P61-Q61))</f>
        <v>0</v>
      </c>
      <c r="U61" s="12">
        <f>IF((Q61-P61)&lt;0,0,(Q61-P61))</f>
        <v>0</v>
      </c>
      <c r="V61" s="12">
        <f>Table14[[#This Row],[Enrolment S.Y. 2025-2026 ]]*8</f>
        <v>0</v>
      </c>
      <c r="W61" s="12"/>
      <c r="X61" s="10"/>
      <c r="Y61" s="12"/>
      <c r="Z61" s="12">
        <f>IF((V61-W61)&lt;0,0,(V61-W61))</f>
        <v>0</v>
      </c>
      <c r="AA61" s="12">
        <f>IF((W61-V61)&lt;0,0,(W61-V61))</f>
        <v>0</v>
      </c>
    </row>
    <row r="62" spans="1:27" ht="19.5">
      <c r="A62" s="10">
        <v>7</v>
      </c>
      <c r="B62" s="11" t="s">
        <v>16</v>
      </c>
      <c r="C62" s="10"/>
      <c r="D62" s="12">
        <f>Table14[[#This Row],[Enrolment S.Y. 2025-2026 ]]*8</f>
        <v>0</v>
      </c>
      <c r="E62" s="12"/>
      <c r="F62" s="10"/>
      <c r="G62" s="12"/>
      <c r="H62" s="12">
        <f>IF((D62-E62)&lt;0,0,(D62-E62))</f>
        <v>0</v>
      </c>
      <c r="I62" s="12">
        <f>IF((E62-D62)&lt;0,0,(E62-D62))</f>
        <v>0</v>
      </c>
      <c r="J62" s="12">
        <f>Table14[[#This Row],[Enrolment S.Y. 2025-2026 ]]*8</f>
        <v>0</v>
      </c>
      <c r="K62" s="12"/>
      <c r="L62" s="10"/>
      <c r="M62" s="12"/>
      <c r="N62" s="12">
        <f>IF((J62-K62)&lt;0,0,(J62-K62))</f>
        <v>0</v>
      </c>
      <c r="O62" s="12">
        <f>IF((K62-J62)&lt;0,0,(K62-J62))</f>
        <v>0</v>
      </c>
      <c r="P62" s="12">
        <f>Table14[[#This Row],[Enrolment S.Y. 2025-2026 ]]*8</f>
        <v>0</v>
      </c>
      <c r="Q62" s="12"/>
      <c r="R62" s="10"/>
      <c r="S62" s="12"/>
      <c r="T62" s="12">
        <f>IF((P62-Q62)&lt;0,0,(P62-Q62))</f>
        <v>0</v>
      </c>
      <c r="U62" s="12">
        <f>IF((Q62-P62)&lt;0,0,(Q62-P62))</f>
        <v>0</v>
      </c>
      <c r="V62" s="12">
        <f>Table14[[#This Row],[Enrolment S.Y. 2025-2026 ]]*8</f>
        <v>0</v>
      </c>
      <c r="W62" s="12"/>
      <c r="X62" s="10"/>
      <c r="Y62" s="12"/>
      <c r="Z62" s="12">
        <f>IF((V62-W62)&lt;0,0,(V62-W62))</f>
        <v>0</v>
      </c>
      <c r="AA62" s="12">
        <f>IF((W62-V62)&lt;0,0,(W62-V62))</f>
        <v>0</v>
      </c>
    </row>
    <row r="63" spans="1:27" ht="19.5">
      <c r="A63" s="10">
        <v>7</v>
      </c>
      <c r="B63" s="11" t="s">
        <v>13</v>
      </c>
      <c r="C63" s="10"/>
      <c r="D63" s="12">
        <f>Table14[[#This Row],[Enrolment S.Y. 2025-2026 ]]*8</f>
        <v>0</v>
      </c>
      <c r="E63" s="12"/>
      <c r="F63" s="10"/>
      <c r="G63" s="12"/>
      <c r="H63" s="12">
        <f>IF((D63-E63)&lt;0,0,(D63-E63))</f>
        <v>0</v>
      </c>
      <c r="I63" s="12">
        <f>IF((E63-D63)&lt;0,0,(E63-D63))</f>
        <v>0</v>
      </c>
      <c r="J63" s="12">
        <f>Table14[[#This Row],[Enrolment S.Y. 2025-2026 ]]*8</f>
        <v>0</v>
      </c>
      <c r="K63" s="12"/>
      <c r="L63" s="10"/>
      <c r="M63" s="12"/>
      <c r="N63" s="12">
        <f>IF((J63-K63)&lt;0,0,(J63-K63))</f>
        <v>0</v>
      </c>
      <c r="O63" s="12">
        <f>IF((K63-J63)&lt;0,0,(K63-J63))</f>
        <v>0</v>
      </c>
      <c r="P63" s="12">
        <f>Table14[[#This Row],[Enrolment S.Y. 2025-2026 ]]*8</f>
        <v>0</v>
      </c>
      <c r="Q63" s="12"/>
      <c r="R63" s="10"/>
      <c r="S63" s="12"/>
      <c r="T63" s="12">
        <f>IF((P63-Q63)&lt;0,0,(P63-Q63))</f>
        <v>0</v>
      </c>
      <c r="U63" s="12">
        <f>IF((Q63-P63)&lt;0,0,(Q63-P63))</f>
        <v>0</v>
      </c>
      <c r="V63" s="12">
        <f>Table14[[#This Row],[Enrolment S.Y. 2025-2026 ]]*8</f>
        <v>0</v>
      </c>
      <c r="W63" s="12"/>
      <c r="X63" s="10"/>
      <c r="Y63" s="12"/>
      <c r="Z63" s="12">
        <f>IF((V63-W63)&lt;0,0,(V63-W63))</f>
        <v>0</v>
      </c>
      <c r="AA63" s="12">
        <f>IF((W63-V63)&lt;0,0,(W63-V63))</f>
        <v>0</v>
      </c>
    </row>
    <row r="64" spans="1:27" ht="19.5">
      <c r="A64" s="38">
        <v>7</v>
      </c>
      <c r="B64" s="11" t="s">
        <v>22</v>
      </c>
      <c r="C64" s="12"/>
      <c r="D64" s="12">
        <f>Table14[[#This Row],[Enrolment S.Y. 2025-2026 ]]*8</f>
        <v>0</v>
      </c>
      <c r="E64" s="12"/>
      <c r="F64" s="10"/>
      <c r="G64" s="12"/>
      <c r="H64" s="12">
        <f>IF((D64-E64)&lt;0,0,(D64-E64))</f>
        <v>0</v>
      </c>
      <c r="I64" s="12">
        <f>IF((E64-D64)&lt;0,0,(E64-D64))</f>
        <v>0</v>
      </c>
      <c r="J64" s="12">
        <f>Table14[[#This Row],[Enrolment S.Y. 2025-2026 ]]*8</f>
        <v>0</v>
      </c>
      <c r="K64" s="12"/>
      <c r="L64" s="10"/>
      <c r="M64" s="12"/>
      <c r="N64" s="12">
        <f>IF((J64-K64)&lt;0,0,(J64-K64))</f>
        <v>0</v>
      </c>
      <c r="O64" s="12">
        <f>IF((K64-J64)&lt;0,0,(K64-J64))</f>
        <v>0</v>
      </c>
      <c r="P64" s="12">
        <f>Table14[[#This Row],[Enrolment S.Y. 2025-2026 ]]*8</f>
        <v>0</v>
      </c>
      <c r="Q64" s="12"/>
      <c r="R64" s="10"/>
      <c r="S64" s="12"/>
      <c r="T64" s="12">
        <f>IF((P64-Q64)&lt;0,0,(P64-Q64))</f>
        <v>0</v>
      </c>
      <c r="U64" s="12">
        <f>IF((Q64-P64)&lt;0,0,(Q64-P64))</f>
        <v>0</v>
      </c>
      <c r="V64" s="12">
        <f>Table14[[#This Row],[Enrolment S.Y. 2025-2026 ]]*8</f>
        <v>0</v>
      </c>
      <c r="W64" s="12"/>
      <c r="X64" s="10"/>
      <c r="Y64" s="12"/>
      <c r="Z64" s="12">
        <f>IF((V64-W64)&lt;0,0,(V64-W64))</f>
        <v>0</v>
      </c>
      <c r="AA64" s="12">
        <f>IF((W64-V64)&lt;0,0,(W64-V64))</f>
        <v>0</v>
      </c>
    </row>
    <row r="65" spans="1:27" ht="36.75">
      <c r="A65" s="10">
        <v>7</v>
      </c>
      <c r="B65" s="44" t="s">
        <v>18</v>
      </c>
      <c r="C65" s="10"/>
      <c r="D65" s="12">
        <f>Table14[[#This Row],[Enrolment S.Y. 2025-2026 ]]*8</f>
        <v>0</v>
      </c>
      <c r="E65" s="12"/>
      <c r="F65" s="10"/>
      <c r="G65" s="12"/>
      <c r="H65" s="12">
        <f>IF((D65-E65)&lt;0,0,(D65-E65))</f>
        <v>0</v>
      </c>
      <c r="I65" s="12">
        <f>IF((E65-D65)&lt;0,0,(E65-D65))</f>
        <v>0</v>
      </c>
      <c r="J65" s="12">
        <f>Table14[[#This Row],[Enrolment S.Y. 2025-2026 ]]*8</f>
        <v>0</v>
      </c>
      <c r="K65" s="12"/>
      <c r="L65" s="10"/>
      <c r="M65" s="12"/>
      <c r="N65" s="12">
        <f>IF((J65-K65)&lt;0,0,(J65-K65))</f>
        <v>0</v>
      </c>
      <c r="O65" s="12">
        <f>IF((K65-J65)&lt;0,0,(K65-J65))</f>
        <v>0</v>
      </c>
      <c r="P65" s="12">
        <f>Table14[[#This Row],[Enrolment S.Y. 2025-2026 ]]*8</f>
        <v>0</v>
      </c>
      <c r="Q65" s="12"/>
      <c r="R65" s="10"/>
      <c r="S65" s="12"/>
      <c r="T65" s="12">
        <f>IF((P65-Q65)&lt;0,0,(P65-Q65))</f>
        <v>0</v>
      </c>
      <c r="U65" s="12">
        <f>IF((Q65-P65)&lt;0,0,(Q65-P65))</f>
        <v>0</v>
      </c>
      <c r="V65" s="12">
        <f>Table14[[#This Row],[Enrolment S.Y. 2025-2026 ]]*8</f>
        <v>0</v>
      </c>
      <c r="W65" s="12"/>
      <c r="X65" s="10"/>
      <c r="Y65" s="12"/>
      <c r="Z65" s="12">
        <f>IF((V65-W65)&lt;0,0,(V65-W65))</f>
        <v>0</v>
      </c>
      <c r="AA65" s="12">
        <f>IF((W65-V65)&lt;0,0,(W65-V65))</f>
        <v>0</v>
      </c>
    </row>
    <row r="66" spans="1:27" s="7" customFormat="1" ht="19.5">
      <c r="A66" s="47">
        <v>7</v>
      </c>
      <c r="B66" s="50" t="s">
        <v>14</v>
      </c>
      <c r="C66" s="47"/>
      <c r="D66" s="47">
        <f>Table14[[#This Row],[Enrolment S.Y. 2025-2026 ]]*8</f>
        <v>0</v>
      </c>
      <c r="E66" s="47"/>
      <c r="F66" s="47"/>
      <c r="G66" s="47"/>
      <c r="H66" s="47">
        <f>IF((D66-E66)&lt;0,0,(D66-E66))</f>
        <v>0</v>
      </c>
      <c r="I66" s="47">
        <f>IF((E66-D66)&lt;0,0,(E66-D66))</f>
        <v>0</v>
      </c>
      <c r="J66" s="47">
        <f>Table14[[#This Row],[Enrolment S.Y. 2025-2026 ]]*8</f>
        <v>0</v>
      </c>
      <c r="K66" s="47"/>
      <c r="L66" s="47"/>
      <c r="M66" s="47"/>
      <c r="N66" s="47">
        <f>IF((J66-K66)&lt;0,0,(J66-K66))</f>
        <v>0</v>
      </c>
      <c r="O66" s="47">
        <f>IF((K66-J66)&lt;0,0,(K66-J66))</f>
        <v>0</v>
      </c>
      <c r="P66" s="47">
        <f>Table14[[#This Row],[Enrolment S.Y. 2025-2026 ]]*8</f>
        <v>0</v>
      </c>
      <c r="Q66" s="47"/>
      <c r="R66" s="47"/>
      <c r="S66" s="47"/>
      <c r="T66" s="47">
        <f>IF((P66-Q66)&lt;0,0,(P66-Q66))</f>
        <v>0</v>
      </c>
      <c r="U66" s="47">
        <f>IF((Q66-P66)&lt;0,0,(Q66-P66))</f>
        <v>0</v>
      </c>
      <c r="V66" s="47">
        <f>Table14[[#This Row],[Enrolment S.Y. 2025-2026 ]]*8</f>
        <v>0</v>
      </c>
      <c r="W66" s="47"/>
      <c r="X66" s="47"/>
      <c r="Y66" s="47"/>
      <c r="Z66" s="47">
        <f>IF((V66-W66)&lt;0,0,(V66-W66))</f>
        <v>0</v>
      </c>
      <c r="AA66" s="47">
        <f>IF((W66-V66)&lt;0,0,(W66-V66))</f>
        <v>0</v>
      </c>
    </row>
    <row r="67" spans="1:27" ht="19.5">
      <c r="A67" s="10">
        <v>7</v>
      </c>
      <c r="B67" s="11" t="s">
        <v>88</v>
      </c>
      <c r="C67" s="10"/>
      <c r="D67" s="12">
        <f>Table14[[#This Row],[Enrolment S.Y. 2025-2026 ]]*8</f>
        <v>0</v>
      </c>
      <c r="E67" s="12"/>
      <c r="F67" s="10"/>
      <c r="G67" s="12"/>
      <c r="H67" s="12">
        <f>IF((D67-E67)&lt;0,0,(D67-E67))</f>
        <v>0</v>
      </c>
      <c r="I67" s="12">
        <f>IF((E67-D67)&lt;0,0,(E67-D67))</f>
        <v>0</v>
      </c>
      <c r="J67" s="12">
        <f>Table14[[#This Row],[Enrolment S.Y. 2025-2026 ]]*8</f>
        <v>0</v>
      </c>
      <c r="K67" s="12"/>
      <c r="L67" s="10"/>
      <c r="M67" s="12"/>
      <c r="N67" s="12">
        <f>IF((J67-K67)&lt;0,0,(J67-K67))</f>
        <v>0</v>
      </c>
      <c r="O67" s="12">
        <f>IF((K67-J67)&lt;0,0,(K67-J67))</f>
        <v>0</v>
      </c>
      <c r="P67" s="12">
        <f>Table14[[#This Row],[Enrolment S.Y. 2025-2026 ]]*8</f>
        <v>0</v>
      </c>
      <c r="Q67" s="12"/>
      <c r="R67" s="10"/>
      <c r="S67" s="12"/>
      <c r="T67" s="12">
        <f>IF((P67-Q67)&lt;0,0,(P67-Q67))</f>
        <v>0</v>
      </c>
      <c r="U67" s="12">
        <f>IF((Q67-P67)&lt;0,0,(Q67-P67))</f>
        <v>0</v>
      </c>
      <c r="V67" s="12">
        <f>Table14[[#This Row],[Enrolment S.Y. 2025-2026 ]]*8</f>
        <v>0</v>
      </c>
      <c r="W67" s="12"/>
      <c r="X67" s="10"/>
      <c r="Y67" s="12"/>
      <c r="Z67" s="12">
        <f>IF((V67-W67)&lt;0,0,(V67-W67))</f>
        <v>0</v>
      </c>
      <c r="AA67" s="12">
        <f>IF((W67-V67)&lt;0,0,(W67-V67))</f>
        <v>0</v>
      </c>
    </row>
    <row r="68" spans="1:27" ht="19.5">
      <c r="A68" s="10">
        <v>7</v>
      </c>
      <c r="B68" s="11" t="s">
        <v>89</v>
      </c>
      <c r="C68" s="10"/>
      <c r="D68" s="12">
        <f>Table14[[#This Row],[Enrolment S.Y. 2025-2026 ]]*8</f>
        <v>0</v>
      </c>
      <c r="E68" s="12"/>
      <c r="F68" s="10"/>
      <c r="G68" s="12"/>
      <c r="H68" s="12">
        <f>IF((D68-E68)&lt;0,0,(D68-E68))</f>
        <v>0</v>
      </c>
      <c r="I68" s="12">
        <f>IF((E68-D68)&lt;0,0,(E68-D68))</f>
        <v>0</v>
      </c>
      <c r="J68" s="12">
        <f>Table14[[#This Row],[Enrolment S.Y. 2025-2026 ]]*8</f>
        <v>0</v>
      </c>
      <c r="K68" s="12"/>
      <c r="L68" s="10"/>
      <c r="M68" s="12"/>
      <c r="N68" s="12">
        <f>IF((J68-K68)&lt;0,0,(J68-K68))</f>
        <v>0</v>
      </c>
      <c r="O68" s="12">
        <f>IF((K68-J68)&lt;0,0,(K68-J68))</f>
        <v>0</v>
      </c>
      <c r="P68" s="12">
        <f>Table14[[#This Row],[Enrolment S.Y. 2025-2026 ]]*8</f>
        <v>0</v>
      </c>
      <c r="Q68" s="12"/>
      <c r="R68" s="10"/>
      <c r="S68" s="12"/>
      <c r="T68" s="12">
        <f>IF((P68-Q68)&lt;0,0,(P68-Q68))</f>
        <v>0</v>
      </c>
      <c r="U68" s="12">
        <f>IF((Q68-P68)&lt;0,0,(Q68-P68))</f>
        <v>0</v>
      </c>
      <c r="V68" s="12">
        <f>Table14[[#This Row],[Enrolment S.Y. 2025-2026 ]]*8</f>
        <v>0</v>
      </c>
      <c r="W68" s="12"/>
      <c r="X68" s="10"/>
      <c r="Y68" s="12"/>
      <c r="Z68" s="12">
        <f>IF((V68-W68)&lt;0,0,(V68-W68))</f>
        <v>0</v>
      </c>
      <c r="AA68" s="12">
        <f>IF((W68-V68)&lt;0,0,(W68-V68))</f>
        <v>0</v>
      </c>
    </row>
    <row r="69" spans="1:27" ht="19.5">
      <c r="A69" s="10">
        <v>7</v>
      </c>
      <c r="B69" s="11" t="s">
        <v>23</v>
      </c>
      <c r="C69" s="10"/>
      <c r="D69" s="12">
        <f>Table14[[#This Row],[Enrolment S.Y. 2025-2026 ]]*8</f>
        <v>0</v>
      </c>
      <c r="E69" s="12"/>
      <c r="F69" s="10"/>
      <c r="G69" s="12"/>
      <c r="H69" s="12">
        <f>IF((D69-E69)&lt;0,0,(D69-E69))</f>
        <v>0</v>
      </c>
      <c r="I69" s="12">
        <f>IF((E69-D69)&lt;0,0,(E69-D69))</f>
        <v>0</v>
      </c>
      <c r="J69" s="12">
        <f>Table14[[#This Row],[Enrolment S.Y. 2025-2026 ]]*8</f>
        <v>0</v>
      </c>
      <c r="K69" s="12"/>
      <c r="L69" s="10"/>
      <c r="M69" s="12"/>
      <c r="N69" s="12">
        <f>IF((J69-K69)&lt;0,0,(J69-K69))</f>
        <v>0</v>
      </c>
      <c r="O69" s="12">
        <f>IF((K69-J69)&lt;0,0,(K69-J69))</f>
        <v>0</v>
      </c>
      <c r="P69" s="12">
        <f>Table14[[#This Row],[Enrolment S.Y. 2025-2026 ]]*8</f>
        <v>0</v>
      </c>
      <c r="Q69" s="12"/>
      <c r="R69" s="10"/>
      <c r="S69" s="12"/>
      <c r="T69" s="12">
        <f>IF((P69-Q69)&lt;0,0,(P69-Q69))</f>
        <v>0</v>
      </c>
      <c r="U69" s="12">
        <f>IF((Q69-P69)&lt;0,0,(Q69-P69))</f>
        <v>0</v>
      </c>
      <c r="V69" s="12">
        <f>Table14[[#This Row],[Enrolment S.Y. 2025-2026 ]]*8</f>
        <v>0</v>
      </c>
      <c r="W69" s="12"/>
      <c r="X69" s="10"/>
      <c r="Y69" s="12"/>
      <c r="Z69" s="12">
        <f>IF((V69-W69)&lt;0,0,(V69-W69))</f>
        <v>0</v>
      </c>
      <c r="AA69" s="12">
        <f>IF((W69-V69)&lt;0,0,(W69-V69))</f>
        <v>0</v>
      </c>
    </row>
    <row r="70" spans="1:27" ht="19.5">
      <c r="A70" s="10">
        <v>7</v>
      </c>
      <c r="B70" s="11" t="s">
        <v>90</v>
      </c>
      <c r="C70" s="10"/>
      <c r="D70" s="12">
        <f>Table14[[#This Row],[Enrolment S.Y. 2025-2026 ]]*8</f>
        <v>0</v>
      </c>
      <c r="E70" s="12"/>
      <c r="F70" s="10"/>
      <c r="G70" s="12"/>
      <c r="H70" s="12">
        <f>IF((D70-E70)&lt;0,0,(D70-E70))</f>
        <v>0</v>
      </c>
      <c r="I70" s="12">
        <f>IF((E70-D70)&lt;0,0,(E70-D70))</f>
        <v>0</v>
      </c>
      <c r="J70" s="12">
        <f>Table14[[#This Row],[Enrolment S.Y. 2025-2026 ]]*8</f>
        <v>0</v>
      </c>
      <c r="K70" s="12"/>
      <c r="L70" s="10"/>
      <c r="M70" s="12"/>
      <c r="N70" s="12">
        <f>IF((J70-K70)&lt;0,0,(J70-K70))</f>
        <v>0</v>
      </c>
      <c r="O70" s="12">
        <f>IF((K70-J70)&lt;0,0,(K70-J70))</f>
        <v>0</v>
      </c>
      <c r="P70" s="12">
        <f>Table14[[#This Row],[Enrolment S.Y. 2025-2026 ]]*8</f>
        <v>0</v>
      </c>
      <c r="Q70" s="12"/>
      <c r="R70" s="10"/>
      <c r="S70" s="12"/>
      <c r="T70" s="12">
        <f>IF((P70-Q70)&lt;0,0,(P70-Q70))</f>
        <v>0</v>
      </c>
      <c r="U70" s="12">
        <f>IF((Q70-P70)&lt;0,0,(Q70-P70))</f>
        <v>0</v>
      </c>
      <c r="V70" s="12">
        <f>Table14[[#This Row],[Enrolment S.Y. 2025-2026 ]]*8</f>
        <v>0</v>
      </c>
      <c r="W70" s="12"/>
      <c r="X70" s="10"/>
      <c r="Y70" s="12"/>
      <c r="Z70" s="12">
        <f>IF((V70-W70)&lt;0,0,(V70-W70))</f>
        <v>0</v>
      </c>
      <c r="AA70" s="12">
        <f>IF((W70-V70)&lt;0,0,(W70-V70))</f>
        <v>0</v>
      </c>
    </row>
    <row r="71" spans="1:27" ht="19.5">
      <c r="A71" s="10">
        <v>7</v>
      </c>
      <c r="B71" s="11" t="s">
        <v>91</v>
      </c>
      <c r="C71" s="10"/>
      <c r="D71" s="12">
        <f>Table14[[#This Row],[Enrolment S.Y. 2025-2026 ]]*8</f>
        <v>0</v>
      </c>
      <c r="E71" s="12"/>
      <c r="F71" s="10"/>
      <c r="G71" s="12"/>
      <c r="H71" s="12">
        <f>IF((D71-E71)&lt;0,0,(D71-E71))</f>
        <v>0</v>
      </c>
      <c r="I71" s="12">
        <f>IF((E71-D71)&lt;0,0,(E71-D71))</f>
        <v>0</v>
      </c>
      <c r="J71" s="12">
        <f>Table14[[#This Row],[Enrolment S.Y. 2025-2026 ]]*8</f>
        <v>0</v>
      </c>
      <c r="K71" s="12"/>
      <c r="L71" s="10"/>
      <c r="M71" s="12"/>
      <c r="N71" s="12">
        <f>IF((J71-K71)&lt;0,0,(J71-K71))</f>
        <v>0</v>
      </c>
      <c r="O71" s="12">
        <f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>IF((P71-Q71)&lt;0,0,(P71-Q71))</f>
        <v>0</v>
      </c>
      <c r="U71" s="12">
        <f>IF((Q71-P71)&lt;0,0,(Q71-P71))</f>
        <v>0</v>
      </c>
      <c r="V71" s="12">
        <f>Table14[[#This Row],[Enrolment S.Y. 2025-2026 ]]*8</f>
        <v>0</v>
      </c>
      <c r="W71" s="12"/>
      <c r="X71" s="10"/>
      <c r="Y71" s="12"/>
      <c r="Z71" s="12">
        <f>IF((V71-W71)&lt;0,0,(V71-W71))</f>
        <v>0</v>
      </c>
      <c r="AA71" s="12">
        <f>IF((W71-V71)&lt;0,0,(W71-V71))</f>
        <v>0</v>
      </c>
    </row>
    <row r="72" spans="1:27" ht="19.5">
      <c r="A72" s="10">
        <v>8</v>
      </c>
      <c r="B72" s="11" t="s">
        <v>15</v>
      </c>
      <c r="C72" s="10"/>
      <c r="D72" s="12">
        <f>Table14[[#This Row],[Enrolment S.Y. 2025-2026 ]]*8</f>
        <v>0</v>
      </c>
      <c r="E72" s="12"/>
      <c r="F72" s="10"/>
      <c r="G72" s="12"/>
      <c r="H72" s="12">
        <f>IF((D72-E72)&lt;0,0,(D72-E72))</f>
        <v>0</v>
      </c>
      <c r="I72" s="12">
        <f>IF((E72-D72)&lt;0,0,(E72-D72))</f>
        <v>0</v>
      </c>
      <c r="J72" s="12">
        <f>Table14[[#This Row],[Enrolment S.Y. 2025-2026 ]]*8</f>
        <v>0</v>
      </c>
      <c r="K72" s="12"/>
      <c r="L72" s="10"/>
      <c r="M72" s="12"/>
      <c r="N72" s="12">
        <f>IF((J72-K72)&lt;0,0,(J72-K72))</f>
        <v>0</v>
      </c>
      <c r="O72" s="12">
        <f>IF((K72-J72)&lt;0,0,(K72-J72))</f>
        <v>0</v>
      </c>
      <c r="P72" s="12">
        <f>Table14[[#This Row],[Enrolment S.Y. 2025-2026 ]]*8</f>
        <v>0</v>
      </c>
      <c r="Q72" s="12"/>
      <c r="R72" s="10"/>
      <c r="S72" s="12"/>
      <c r="T72" s="12">
        <f>IF((P72-Q72)&lt;0,0,(P72-Q72))</f>
        <v>0</v>
      </c>
      <c r="U72" s="12">
        <f>IF((Q72-P72)&lt;0,0,(Q72-P72))</f>
        <v>0</v>
      </c>
      <c r="V72" s="12">
        <f>Table14[[#This Row],[Enrolment S.Y. 2025-2026 ]]*8</f>
        <v>0</v>
      </c>
      <c r="W72" s="12"/>
      <c r="X72" s="10"/>
      <c r="Y72" s="12"/>
      <c r="Z72" s="12">
        <f>IF((V72-W72)&lt;0,0,(V72-W72))</f>
        <v>0</v>
      </c>
      <c r="AA72" s="12">
        <f>IF((W72-V72)&lt;0,0,(W72-V72))</f>
        <v>0</v>
      </c>
    </row>
    <row r="73" spans="1:27" ht="19.5">
      <c r="A73" s="38">
        <v>8</v>
      </c>
      <c r="B73" s="11" t="s">
        <v>16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>IF((J73-K73)&lt;0,0,(J73-K73))</f>
        <v>0</v>
      </c>
      <c r="O73" s="12">
        <f>IF((K73-J73)&lt;0,0,(K73-J73))</f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8</v>
      </c>
      <c r="B74" s="11" t="s">
        <v>13</v>
      </c>
      <c r="C74" s="10"/>
      <c r="D74" s="12">
        <f>Table14[[#This Row],[Enrolment S.Y. 2025-2026 ]]*8</f>
        <v>0</v>
      </c>
      <c r="E74" s="12"/>
      <c r="F74" s="10"/>
      <c r="G74" s="12"/>
      <c r="H74" s="12">
        <f>IF((D74-E74)&lt;0,0,(D74-E74))</f>
        <v>0</v>
      </c>
      <c r="I74" s="12">
        <f>IF((E74-D74)&lt;0,0,(E74-D74))</f>
        <v>0</v>
      </c>
      <c r="J74" s="12">
        <f>Table14[[#This Row],[Enrolment S.Y. 2025-2026 ]]*8</f>
        <v>0</v>
      </c>
      <c r="K74" s="12"/>
      <c r="L74" s="10"/>
      <c r="M74" s="12"/>
      <c r="N74" s="12">
        <f>IF((J74-K74)&lt;0,0,(J74-K74))</f>
        <v>0</v>
      </c>
      <c r="O74" s="12">
        <f>IF((K74-J74)&lt;0,0,(K74-J74))</f>
        <v>0</v>
      </c>
      <c r="P74" s="12">
        <f>Table14[[#This Row],[Enrolment S.Y. 2025-2026 ]]*8</f>
        <v>0</v>
      </c>
      <c r="Q74" s="12"/>
      <c r="R74" s="10"/>
      <c r="S74" s="12"/>
      <c r="T74" s="12">
        <f>IF((P74-Q74)&lt;0,0,(P74-Q74))</f>
        <v>0</v>
      </c>
      <c r="U74" s="12">
        <f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>IF((V74-W74)&lt;0,0,(V74-W74))</f>
        <v>0</v>
      </c>
      <c r="AA74" s="12">
        <f>IF((W74-V74)&lt;0,0,(W74-V74))</f>
        <v>0</v>
      </c>
    </row>
    <row r="75" spans="1:27" ht="19.5">
      <c r="A75" s="10">
        <v>8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>IF((D75-E75)&lt;0,0,(D75-E75))</f>
        <v>0</v>
      </c>
      <c r="I75" s="12">
        <f>IF((E75-D75)&lt;0,0,(E75-D75))</f>
        <v>0</v>
      </c>
      <c r="J75" s="12">
        <f>Table14[[#This Row],[Enrolment S.Y. 2025-2026 ]]*8</f>
        <v>0</v>
      </c>
      <c r="K75" s="12"/>
      <c r="L75" s="10"/>
      <c r="M75" s="12"/>
      <c r="N75" s="12">
        <f>IF((J75-K75)&lt;0,0,(J75-K75))</f>
        <v>0</v>
      </c>
      <c r="O75" s="12">
        <f>IF((K75-J75)&lt;0,0,(K75-J75))</f>
        <v>0</v>
      </c>
      <c r="P75" s="12">
        <f>Table14[[#This Row],[Enrolment S.Y. 2025-2026 ]]*8</f>
        <v>0</v>
      </c>
      <c r="Q75" s="12"/>
      <c r="R75" s="10"/>
      <c r="S75" s="12"/>
      <c r="T75" s="12">
        <f>IF((P75-Q75)&lt;0,0,(P75-Q75))</f>
        <v>0</v>
      </c>
      <c r="U75" s="12">
        <f>IF((Q75-P75)&lt;0,0,(Q75-P75))</f>
        <v>0</v>
      </c>
      <c r="V75" s="12">
        <f>Table14[[#This Row],[Enrolment S.Y. 2025-2026 ]]*8</f>
        <v>0</v>
      </c>
      <c r="W75" s="12"/>
      <c r="X75" s="10"/>
      <c r="Y75" s="12"/>
      <c r="Z75" s="12">
        <f>IF((V75-W75)&lt;0,0,(V75-W75))</f>
        <v>0</v>
      </c>
      <c r="AA75" s="12">
        <f>IF((W75-V75)&lt;0,0,(W75-V75))</f>
        <v>0</v>
      </c>
    </row>
    <row r="76" spans="1:27" ht="19.5">
      <c r="A76" s="38">
        <v>8</v>
      </c>
      <c r="B76" s="11" t="s">
        <v>24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>IF((J76-K76)&lt;0,0,(J76-K76))</f>
        <v>0</v>
      </c>
      <c r="O76" s="12">
        <f>IF((K76-J76)&lt;0,0,(K76-J76))</f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8</v>
      </c>
      <c r="B77" s="11" t="s">
        <v>14</v>
      </c>
      <c r="C77" s="10"/>
      <c r="D77" s="12">
        <f>Table14[[#This Row],[Enrolment S.Y. 2025-2026 ]]*8</f>
        <v>0</v>
      </c>
      <c r="E77" s="12"/>
      <c r="F77" s="10"/>
      <c r="G77" s="12"/>
      <c r="H77" s="12">
        <f>IF((D77-E77)&lt;0,0,(D77-E77))</f>
        <v>0</v>
      </c>
      <c r="I77" s="12">
        <f>IF((E77-D77)&lt;0,0,(E77-D77))</f>
        <v>0</v>
      </c>
      <c r="J77" s="12">
        <f>Table14[[#This Row],[Enrolment S.Y. 2025-2026 ]]*8</f>
        <v>0</v>
      </c>
      <c r="K77" s="12"/>
      <c r="L77" s="10"/>
      <c r="M77" s="12"/>
      <c r="N77" s="12">
        <f>IF((J77-K77)&lt;0,0,(J77-K77))</f>
        <v>0</v>
      </c>
      <c r="O77" s="12">
        <f>IF((K77-J77)&lt;0,0,(K77-J77))</f>
        <v>0</v>
      </c>
      <c r="P77" s="12">
        <f>Table14[[#This Row],[Enrolment S.Y. 2025-2026 ]]*8</f>
        <v>0</v>
      </c>
      <c r="Q77" s="12"/>
      <c r="R77" s="10"/>
      <c r="S77" s="12"/>
      <c r="T77" s="12">
        <f>IF((P77-Q77)&lt;0,0,(P77-Q77))</f>
        <v>0</v>
      </c>
      <c r="U77" s="12">
        <f>IF((Q77-P77)&lt;0,0,(Q77-P77))</f>
        <v>0</v>
      </c>
      <c r="V77" s="12">
        <f>Table14[[#This Row],[Enrolment S.Y. 2025-2026 ]]*8</f>
        <v>0</v>
      </c>
      <c r="W77" s="12"/>
      <c r="X77" s="10"/>
      <c r="Y77" s="12"/>
      <c r="Z77" s="12">
        <f>IF((V77-W77)&lt;0,0,(V77-W77))</f>
        <v>0</v>
      </c>
      <c r="AA77" s="12">
        <f>IF((W77-V77)&lt;0,0,(W77-V77))</f>
        <v>0</v>
      </c>
    </row>
    <row r="78" spans="1:27" s="7" customFormat="1" ht="19.5">
      <c r="A78" s="47">
        <v>8</v>
      </c>
      <c r="B78" s="50" t="s">
        <v>88</v>
      </c>
      <c r="C78" s="47"/>
      <c r="D78" s="47">
        <f>Table14[[#This Row],[Enrolment S.Y. 2025-2026 ]]*8</f>
        <v>0</v>
      </c>
      <c r="E78" s="47"/>
      <c r="F78" s="47"/>
      <c r="G78" s="47"/>
      <c r="H78" s="47">
        <f>IF((D78-E78)&lt;0,0,(D78-E78))</f>
        <v>0</v>
      </c>
      <c r="I78" s="47">
        <f>IF((E78-D78)&lt;0,0,(E78-D78))</f>
        <v>0</v>
      </c>
      <c r="J78" s="47">
        <f>Table14[[#This Row],[Enrolment S.Y. 2025-2026 ]]*8</f>
        <v>0</v>
      </c>
      <c r="K78" s="47"/>
      <c r="L78" s="47"/>
      <c r="M78" s="47"/>
      <c r="N78" s="47">
        <f>IF((J78-K78)&lt;0,0,(J78-K78))</f>
        <v>0</v>
      </c>
      <c r="O78" s="47">
        <f>IF((K78-J78)&lt;0,0,(K78-J78))</f>
        <v>0</v>
      </c>
      <c r="P78" s="47">
        <f>Table14[[#This Row],[Enrolment S.Y. 2025-2026 ]]*8</f>
        <v>0</v>
      </c>
      <c r="Q78" s="47"/>
      <c r="R78" s="47"/>
      <c r="S78" s="47"/>
      <c r="T78" s="47">
        <f>IF((P78-Q78)&lt;0,0,(P78-Q78))</f>
        <v>0</v>
      </c>
      <c r="U78" s="47">
        <f>IF((Q78-P78)&lt;0,0,(Q78-P78))</f>
        <v>0</v>
      </c>
      <c r="V78" s="47">
        <f>Table14[[#This Row],[Enrolment S.Y. 2025-2026 ]]*8</f>
        <v>0</v>
      </c>
      <c r="W78" s="47"/>
      <c r="X78" s="47"/>
      <c r="Y78" s="47"/>
      <c r="Z78" s="47">
        <f>IF((V78-W78)&lt;0,0,(V78-W78))</f>
        <v>0</v>
      </c>
      <c r="AA78" s="47">
        <f>IF((W78-V78)&lt;0,0,(W78-V78))</f>
        <v>0</v>
      </c>
    </row>
    <row r="79" spans="1:27" ht="19.5">
      <c r="A79" s="10">
        <v>8</v>
      </c>
      <c r="B79" s="11" t="s">
        <v>89</v>
      </c>
      <c r="C79" s="10"/>
      <c r="D79" s="12">
        <f>Table14[[#This Row],[Enrolment S.Y. 2025-2026 ]]*8</f>
        <v>0</v>
      </c>
      <c r="E79" s="12"/>
      <c r="F79" s="10"/>
      <c r="G79" s="12"/>
      <c r="H79" s="12">
        <f>IF((D79-E79)&lt;0,0,(D79-E79))</f>
        <v>0</v>
      </c>
      <c r="I79" s="12">
        <f>IF((E79-D79)&lt;0,0,(E79-D79))</f>
        <v>0</v>
      </c>
      <c r="J79" s="12">
        <f>Table14[[#This Row],[Enrolment S.Y. 2025-2026 ]]*8</f>
        <v>0</v>
      </c>
      <c r="K79" s="12"/>
      <c r="L79" s="10"/>
      <c r="M79" s="12"/>
      <c r="N79" s="12">
        <f>IF((J79-K79)&lt;0,0,(J79-K79))</f>
        <v>0</v>
      </c>
      <c r="O79" s="12">
        <f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>IF((P79-Q79)&lt;0,0,(P79-Q79))</f>
        <v>0</v>
      </c>
      <c r="U79" s="12">
        <f>IF((Q79-P79)&lt;0,0,(Q79-P79))</f>
        <v>0</v>
      </c>
      <c r="V79" s="12">
        <f>Table14[[#This Row],[Enrolment S.Y. 2025-2026 ]]*8</f>
        <v>0</v>
      </c>
      <c r="W79" s="12"/>
      <c r="X79" s="10"/>
      <c r="Y79" s="12"/>
      <c r="Z79" s="12">
        <f>IF((V79-W79)&lt;0,0,(V79-W79))</f>
        <v>0</v>
      </c>
      <c r="AA79" s="12">
        <f>IF((W79-V79)&lt;0,0,(W79-V79))</f>
        <v>0</v>
      </c>
    </row>
    <row r="80" spans="1:27" ht="19.5">
      <c r="A80" s="10">
        <v>8</v>
      </c>
      <c r="B80" s="11" t="s">
        <v>23</v>
      </c>
      <c r="C80" s="10"/>
      <c r="D80" s="12">
        <f>Table14[[#This Row],[Enrolment S.Y. 2025-2026 ]]*8</f>
        <v>0</v>
      </c>
      <c r="E80" s="12"/>
      <c r="F80" s="10"/>
      <c r="G80" s="12"/>
      <c r="H80" s="12">
        <f>IF((D80-E80)&lt;0,0,(D80-E80))</f>
        <v>0</v>
      </c>
      <c r="I80" s="12">
        <f>IF((E80-D80)&lt;0,0,(E80-D80))</f>
        <v>0</v>
      </c>
      <c r="J80" s="12">
        <f>Table14[[#This Row],[Enrolment S.Y. 2025-2026 ]]*8</f>
        <v>0</v>
      </c>
      <c r="K80" s="12"/>
      <c r="L80" s="10"/>
      <c r="M80" s="12"/>
      <c r="N80" s="12">
        <f>IF((J80-K80)&lt;0,0,(J80-K80))</f>
        <v>0</v>
      </c>
      <c r="O80" s="12">
        <f>IF((K80-J80)&lt;0,0,(K80-J80))</f>
        <v>0</v>
      </c>
      <c r="P80" s="12">
        <f>Table14[[#This Row],[Enrolment S.Y. 2025-2026 ]]*8</f>
        <v>0</v>
      </c>
      <c r="Q80" s="12"/>
      <c r="R80" s="10"/>
      <c r="S80" s="12"/>
      <c r="T80" s="12">
        <f>IF((P80-Q80)&lt;0,0,(P80-Q80))</f>
        <v>0</v>
      </c>
      <c r="U80" s="12">
        <f>IF((Q80-P80)&lt;0,0,(Q80-P80))</f>
        <v>0</v>
      </c>
      <c r="V80" s="12">
        <f>Table14[[#This Row],[Enrolment S.Y. 2025-2026 ]]*8</f>
        <v>0</v>
      </c>
      <c r="W80" s="12"/>
      <c r="X80" s="10"/>
      <c r="Y80" s="12"/>
      <c r="Z80" s="12">
        <f>IF((V80-W80)&lt;0,0,(V80-W80))</f>
        <v>0</v>
      </c>
      <c r="AA80" s="12">
        <f>IF((W80-V80)&lt;0,0,(W80-V80))</f>
        <v>0</v>
      </c>
    </row>
    <row r="81" spans="1:27" ht="19.5">
      <c r="A81" s="10">
        <v>8</v>
      </c>
      <c r="B81" s="11" t="s">
        <v>90</v>
      </c>
      <c r="C81" s="10"/>
      <c r="D81" s="12">
        <f>Table14[[#This Row],[Enrolment S.Y. 2025-2026 ]]*8</f>
        <v>0</v>
      </c>
      <c r="E81" s="12"/>
      <c r="F81" s="10"/>
      <c r="G81" s="12"/>
      <c r="H81" s="12">
        <f>IF((D81-E81)&lt;0,0,(D81-E81))</f>
        <v>0</v>
      </c>
      <c r="I81" s="12">
        <f>IF((E81-D81)&lt;0,0,(E81-D81))</f>
        <v>0</v>
      </c>
      <c r="J81" s="12">
        <f>Table14[[#This Row],[Enrolment S.Y. 2025-2026 ]]*8</f>
        <v>0</v>
      </c>
      <c r="K81" s="12"/>
      <c r="L81" s="10"/>
      <c r="M81" s="12"/>
      <c r="N81" s="12">
        <f>IF((J81-K81)&lt;0,0,(J81-K81))</f>
        <v>0</v>
      </c>
      <c r="O81" s="12">
        <f>IF((K81-J81)&lt;0,0,(K81-J81))</f>
        <v>0</v>
      </c>
      <c r="P81" s="12">
        <f>Table14[[#This Row],[Enrolment S.Y. 2025-2026 ]]*8</f>
        <v>0</v>
      </c>
      <c r="Q81" s="12"/>
      <c r="R81" s="10"/>
      <c r="S81" s="12"/>
      <c r="T81" s="12">
        <f>IF((P81-Q81)&lt;0,0,(P81-Q81))</f>
        <v>0</v>
      </c>
      <c r="U81" s="12">
        <f>IF((Q81-P81)&lt;0,0,(Q81-P81))</f>
        <v>0</v>
      </c>
      <c r="V81" s="12">
        <f>Table14[[#This Row],[Enrolment S.Y. 2025-2026 ]]*8</f>
        <v>0</v>
      </c>
      <c r="W81" s="12"/>
      <c r="X81" s="10"/>
      <c r="Y81" s="12"/>
      <c r="Z81" s="12">
        <f>IF((V81-W81)&lt;0,0,(V81-W81))</f>
        <v>0</v>
      </c>
      <c r="AA81" s="12">
        <f>IF((W81-V81)&lt;0,0,(W81-V81))</f>
        <v>0</v>
      </c>
    </row>
    <row r="82" spans="1:27" ht="19.5">
      <c r="A82" s="10">
        <v>8</v>
      </c>
      <c r="B82" s="11" t="s">
        <v>91</v>
      </c>
      <c r="C82" s="10"/>
      <c r="D82" s="12">
        <f>Table14[[#This Row],[Enrolment S.Y. 2025-2026 ]]*8</f>
        <v>0</v>
      </c>
      <c r="E82" s="12"/>
      <c r="F82" s="10"/>
      <c r="G82" s="12"/>
      <c r="H82" s="12">
        <f>IF((D82-E82)&lt;0,0,(D82-E82))</f>
        <v>0</v>
      </c>
      <c r="I82" s="12">
        <f>IF((E82-D82)&lt;0,0,(E82-D82))</f>
        <v>0</v>
      </c>
      <c r="J82" s="12">
        <f>Table14[[#This Row],[Enrolment S.Y. 2025-2026 ]]*8</f>
        <v>0</v>
      </c>
      <c r="K82" s="12"/>
      <c r="L82" s="10"/>
      <c r="M82" s="12"/>
      <c r="N82" s="12">
        <f>IF((J82-K82)&lt;0,0,(J82-K82))</f>
        <v>0</v>
      </c>
      <c r="O82" s="12">
        <f>IF((K82-J82)&lt;0,0,(K82-J82))</f>
        <v>0</v>
      </c>
      <c r="P82" s="12">
        <f>Table14[[#This Row],[Enrolment S.Y. 2025-2026 ]]*8</f>
        <v>0</v>
      </c>
      <c r="Q82" s="12"/>
      <c r="R82" s="10"/>
      <c r="S82" s="12"/>
      <c r="T82" s="12">
        <f>IF((P82-Q82)&lt;0,0,(P82-Q82))</f>
        <v>0</v>
      </c>
      <c r="U82" s="12">
        <f>IF((Q82-P82)&lt;0,0,(Q82-P82))</f>
        <v>0</v>
      </c>
      <c r="V82" s="12">
        <f>Table14[[#This Row],[Enrolment S.Y. 2025-2026 ]]*8</f>
        <v>0</v>
      </c>
      <c r="W82" s="12"/>
      <c r="X82" s="10"/>
      <c r="Y82" s="12"/>
      <c r="Z82" s="12">
        <f>IF((V82-W82)&lt;0,0,(V82-W82))</f>
        <v>0</v>
      </c>
      <c r="AA82" s="12">
        <f>IF((W82-V82)&lt;0,0,(W82-V82))</f>
        <v>0</v>
      </c>
    </row>
    <row r="83" spans="1:27" ht="19.5">
      <c r="A83" s="10">
        <v>9</v>
      </c>
      <c r="B83" s="11" t="s">
        <v>15</v>
      </c>
      <c r="C83" s="10"/>
      <c r="D83" s="12">
        <f>Table14[[#This Row],[Enrolment S.Y. 2025-2026 ]]*8</f>
        <v>0</v>
      </c>
      <c r="E83" s="12"/>
      <c r="F83" s="10"/>
      <c r="G83" s="12"/>
      <c r="H83" s="12">
        <f>IF((D83-E83)&lt;0,0,(D83-E83))</f>
        <v>0</v>
      </c>
      <c r="I83" s="12">
        <f>IF((E83-D83)&lt;0,0,(E83-D83))</f>
        <v>0</v>
      </c>
      <c r="J83" s="12">
        <f>Table14[[#This Row],[Enrolment S.Y. 2025-2026 ]]*8</f>
        <v>0</v>
      </c>
      <c r="K83" s="12"/>
      <c r="L83" s="10"/>
      <c r="M83" s="12"/>
      <c r="N83" s="12">
        <f>IF((J83-K83)&lt;0,0,(J83-K83))</f>
        <v>0</v>
      </c>
      <c r="O83" s="12">
        <f>IF((K83-J83)&lt;0,0,(K83-J83))</f>
        <v>0</v>
      </c>
      <c r="P83" s="12">
        <f>Table14[[#This Row],[Enrolment S.Y. 2025-2026 ]]*8</f>
        <v>0</v>
      </c>
      <c r="Q83" s="12"/>
      <c r="R83" s="10"/>
      <c r="S83" s="12"/>
      <c r="T83" s="12">
        <f>IF((P83-Q83)&lt;0,0,(P83-Q83))</f>
        <v>0</v>
      </c>
      <c r="U83" s="12">
        <f>IF((Q83-P83)&lt;0,0,(Q83-P83))</f>
        <v>0</v>
      </c>
      <c r="V83" s="12">
        <f>Table14[[#This Row],[Enrolment S.Y. 2025-2026 ]]*8</f>
        <v>0</v>
      </c>
      <c r="W83" s="12"/>
      <c r="X83" s="10"/>
      <c r="Y83" s="12"/>
      <c r="Z83" s="12">
        <f>IF((V83-W83)&lt;0,0,(V83-W83))</f>
        <v>0</v>
      </c>
      <c r="AA83" s="12">
        <f>IF((W83-V83)&lt;0,0,(W83-V83))</f>
        <v>0</v>
      </c>
    </row>
    <row r="84" spans="1:27" ht="19.5">
      <c r="A84" s="10">
        <v>9</v>
      </c>
      <c r="B84" s="11" t="s">
        <v>16</v>
      </c>
      <c r="C84" s="10"/>
      <c r="D84" s="12">
        <f>Table14[[#This Row],[Enrolment S.Y. 2025-2026 ]]*8</f>
        <v>0</v>
      </c>
      <c r="E84" s="12"/>
      <c r="F84" s="10"/>
      <c r="G84" s="12"/>
      <c r="H84" s="12">
        <f>IF((D84-E84)&lt;0,0,(D84-E84))</f>
        <v>0</v>
      </c>
      <c r="I84" s="12">
        <f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>IF((J84-K84)&lt;0,0,(J84-K84))</f>
        <v>0</v>
      </c>
      <c r="O84" s="12">
        <f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v>380</v>
      </c>
      <c r="U84" s="12">
        <f>IF((Q84-P84)&lt;0,0,(Q84-P84))</f>
        <v>0</v>
      </c>
      <c r="V84" s="12">
        <f>Table14[[#This Row],[Enrolment S.Y. 2025-2026 ]]*8</f>
        <v>0</v>
      </c>
      <c r="W84" s="12"/>
      <c r="X84" s="10"/>
      <c r="Y84" s="12"/>
      <c r="Z84" s="12">
        <f>IF((V84-W84)&lt;0,0,(V84-W84))</f>
        <v>0</v>
      </c>
      <c r="AA84" s="12">
        <f>IF((W84-V84)&lt;0,0,(W84-V84))</f>
        <v>0</v>
      </c>
    </row>
    <row r="85" spans="1:27" ht="19.5">
      <c r="A85" s="38">
        <v>9</v>
      </c>
      <c r="B85" s="11" t="s">
        <v>13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v>0</v>
      </c>
      <c r="O85" s="12">
        <f>IF((K85-J85)&lt;0,0,(K85-J85))</f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9</v>
      </c>
      <c r="B86" s="11" t="s">
        <v>22</v>
      </c>
      <c r="C86" s="10"/>
      <c r="D86" s="12">
        <f>Table14[[#This Row],[Enrolment S.Y. 2025-2026 ]]*8</f>
        <v>0</v>
      </c>
      <c r="E86" s="12"/>
      <c r="F86" s="10"/>
      <c r="G86" s="12"/>
      <c r="H86" s="12">
        <f>IF((D86-E86)&lt;0,0,(D86-E86))</f>
        <v>0</v>
      </c>
      <c r="I86" s="12">
        <f>IF((E86-D86)&lt;0,0,(E86-D86))</f>
        <v>0</v>
      </c>
      <c r="J86" s="12">
        <f>Table14[[#This Row],[Enrolment S.Y. 2025-2026 ]]*8</f>
        <v>0</v>
      </c>
      <c r="K86" s="12"/>
      <c r="L86" s="10"/>
      <c r="M86" s="12"/>
      <c r="N86" s="12">
        <f>IF((J86-K86)&lt;0,0,(J86-K86))</f>
        <v>0</v>
      </c>
      <c r="O86" s="12">
        <f>IF((K86-J86)&lt;0,0,(K86-J86))</f>
        <v>0</v>
      </c>
      <c r="P86" s="12">
        <f>Table14[[#This Row],[Enrolment S.Y. 2025-2026 ]]*8</f>
        <v>0</v>
      </c>
      <c r="Q86" s="12"/>
      <c r="R86" s="10"/>
      <c r="S86" s="12"/>
      <c r="T86" s="12">
        <v>380</v>
      </c>
      <c r="U86" s="12">
        <f>IF((Q86-P86)&lt;0,0,(Q86-P86))</f>
        <v>0</v>
      </c>
      <c r="V86" s="12">
        <f>Table14[[#This Row],[Enrolment S.Y. 2025-2026 ]]*8</f>
        <v>0</v>
      </c>
      <c r="W86" s="12"/>
      <c r="X86" s="10"/>
      <c r="Y86" s="12"/>
      <c r="Z86" s="12">
        <f>IF((V86-W86)&lt;0,0,(V86-W86))</f>
        <v>0</v>
      </c>
      <c r="AA86" s="12">
        <f>IF((W86-V86)&lt;0,0,(W86-V86))</f>
        <v>0</v>
      </c>
    </row>
    <row r="87" spans="1:27" ht="19.5">
      <c r="A87" s="10">
        <v>9</v>
      </c>
      <c r="B87" s="11" t="s">
        <v>24</v>
      </c>
      <c r="C87" s="10"/>
      <c r="D87" s="12">
        <f>Table14[[#This Row],[Enrolment S.Y. 2025-2026 ]]*8</f>
        <v>0</v>
      </c>
      <c r="E87" s="12"/>
      <c r="F87" s="10"/>
      <c r="G87" s="12"/>
      <c r="H87" s="12">
        <f>IF((D87-E87)&lt;0,0,(D87-E87))</f>
        <v>0</v>
      </c>
      <c r="I87" s="12">
        <f>IF((E87-D87)&lt;0,0,(E87-D87))</f>
        <v>0</v>
      </c>
      <c r="J87" s="12">
        <f>Table14[[#This Row],[Enrolment S.Y. 2025-2026 ]]*8</f>
        <v>0</v>
      </c>
      <c r="K87" s="12"/>
      <c r="L87" s="10"/>
      <c r="M87" s="12"/>
      <c r="N87" s="12">
        <f>IF((J87-K87)&lt;0,0,(J87-K87))</f>
        <v>0</v>
      </c>
      <c r="O87" s="12">
        <f>IF((K87-J87)&lt;0,0,(K87-J87))</f>
        <v>0</v>
      </c>
      <c r="P87" s="12">
        <f>Table14[[#This Row],[Enrolment S.Y. 2025-2026 ]]*8</f>
        <v>0</v>
      </c>
      <c r="Q87" s="12"/>
      <c r="R87" s="10"/>
      <c r="S87" s="12"/>
      <c r="T87" s="12">
        <v>456</v>
      </c>
      <c r="U87" s="12">
        <f>IF((Q87-P87)&lt;0,0,(Q87-P87))</f>
        <v>0</v>
      </c>
      <c r="V87" s="12">
        <f>Table14[[#This Row],[Enrolment S.Y. 2025-2026 ]]*8</f>
        <v>0</v>
      </c>
      <c r="W87" s="12"/>
      <c r="X87" s="10"/>
      <c r="Y87" s="12"/>
      <c r="Z87" s="12">
        <f>IF((V87-W87)&lt;0,0,(V87-W87))</f>
        <v>0</v>
      </c>
      <c r="AA87" s="12">
        <f>IF((W87-V87)&lt;0,0,(W87-V87))</f>
        <v>0</v>
      </c>
    </row>
    <row r="88" spans="1:27" ht="19.5">
      <c r="A88" s="38">
        <v>9</v>
      </c>
      <c r="B88" s="11" t="s">
        <v>14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>IF((J88-K88)&lt;0,0,(J88-K88))</f>
        <v>0</v>
      </c>
      <c r="O88" s="12">
        <f>IF((K88-J88)&lt;0,0,(K88-J88))</f>
        <v>0</v>
      </c>
      <c r="P88" s="12">
        <f>Table14[[#This Row],[Enrolment S.Y. 2025-2026 ]]*8</f>
        <v>0</v>
      </c>
      <c r="Q88" s="12"/>
      <c r="R88" s="10"/>
      <c r="S88" s="12"/>
      <c r="T88" s="12">
        <v>456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9</v>
      </c>
      <c r="B89" s="11" t="s">
        <v>88</v>
      </c>
      <c r="C89" s="10"/>
      <c r="D89" s="12">
        <f>Table14[[#This Row],[Enrolment S.Y. 2025-2026 ]]*8</f>
        <v>0</v>
      </c>
      <c r="E89" s="12"/>
      <c r="F89" s="10"/>
      <c r="G89" s="12"/>
      <c r="H89" s="12">
        <f>IF((D89-E89)&lt;0,0,(D89-E89))</f>
        <v>0</v>
      </c>
      <c r="I89" s="12">
        <f>IF((E89-D89)&lt;0,0,(E89-D89))</f>
        <v>0</v>
      </c>
      <c r="J89" s="12">
        <f>Table14[[#This Row],[Enrolment S.Y. 2025-2026 ]]*8</f>
        <v>0</v>
      </c>
      <c r="K89" s="12"/>
      <c r="L89" s="10"/>
      <c r="M89" s="12"/>
      <c r="N89" s="12">
        <f>IF((J89-K89)&lt;0,0,(J89-K89))</f>
        <v>0</v>
      </c>
      <c r="O89" s="12">
        <f>IF((K89-J89)&lt;0,0,(K89-J89))</f>
        <v>0</v>
      </c>
      <c r="P89" s="12">
        <f>Table14[[#This Row],[Enrolment S.Y. 2025-2026 ]]*8</f>
        <v>0</v>
      </c>
      <c r="Q89" s="12"/>
      <c r="R89" s="10"/>
      <c r="S89" s="12"/>
      <c r="T89" s="12">
        <f>IF((P89-Q89)&lt;0,0,(P89-Q89))</f>
        <v>0</v>
      </c>
      <c r="U89" s="12">
        <f>IF((Q89-P89)&lt;0,0,(Q89-P89))</f>
        <v>0</v>
      </c>
      <c r="V89" s="12">
        <f>Table14[[#This Row],[Enrolment S.Y. 2025-2026 ]]*8</f>
        <v>0</v>
      </c>
      <c r="W89" s="12"/>
      <c r="X89" s="10"/>
      <c r="Y89" s="12"/>
      <c r="Z89" s="12">
        <f>IF((V89-W89)&lt;0,0,(V89-W89))</f>
        <v>0</v>
      </c>
      <c r="AA89" s="12">
        <f>IF((W89-V89)&lt;0,0,(W89-V89))</f>
        <v>0</v>
      </c>
    </row>
    <row r="90" spans="1:27" s="7" customFormat="1" ht="19.5">
      <c r="A90" s="47">
        <v>9</v>
      </c>
      <c r="B90" s="50" t="s">
        <v>89</v>
      </c>
      <c r="C90" s="47"/>
      <c r="D90" s="47">
        <f>Table14[[#This Row],[Enrolment S.Y. 2025-2026 ]]*8</f>
        <v>0</v>
      </c>
      <c r="E90" s="47"/>
      <c r="F90" s="47"/>
      <c r="G90" s="47"/>
      <c r="H90" s="47">
        <f>IF((D90-E90)&lt;0,0,(D90-E90))</f>
        <v>0</v>
      </c>
      <c r="I90" s="47">
        <f>IF((E90-D90)&lt;0,0,(E90-D90))</f>
        <v>0</v>
      </c>
      <c r="J90" s="47">
        <f>Table14[[#This Row],[Enrolment S.Y. 2025-2026 ]]*8</f>
        <v>0</v>
      </c>
      <c r="K90" s="47"/>
      <c r="L90" s="47"/>
      <c r="M90" s="47"/>
      <c r="N90" s="47">
        <f>IF((J90-K90)&lt;0,0,(J90-K90))</f>
        <v>0</v>
      </c>
      <c r="O90" s="47">
        <f>IF((K90-J90)&lt;0,0,(K90-J90))</f>
        <v>0</v>
      </c>
      <c r="P90" s="47">
        <f>Table14[[#This Row],[Enrolment S.Y. 2025-2026 ]]*8</f>
        <v>0</v>
      </c>
      <c r="Q90" s="47"/>
      <c r="R90" s="47"/>
      <c r="S90" s="47"/>
      <c r="T90" s="47">
        <f>IF((P90-Q90)&lt;0,0,(P90-Q90))</f>
        <v>0</v>
      </c>
      <c r="U90" s="47">
        <f>IF((Q90-P90)&lt;0,0,(Q90-P90))</f>
        <v>0</v>
      </c>
      <c r="V90" s="47">
        <f>Table14[[#This Row],[Enrolment S.Y. 2025-2026 ]]*8</f>
        <v>0</v>
      </c>
      <c r="W90" s="47"/>
      <c r="X90" s="47"/>
      <c r="Y90" s="47"/>
      <c r="Z90" s="47">
        <f>IF((V90-W90)&lt;0,0,(V90-W90))</f>
        <v>0</v>
      </c>
      <c r="AA90" s="47">
        <f>IF((W90-V90)&lt;0,0,(W90-V90))</f>
        <v>0</v>
      </c>
    </row>
    <row r="91" spans="1:27" ht="19.5">
      <c r="A91" s="10">
        <v>9</v>
      </c>
      <c r="B91" s="11" t="s">
        <v>23</v>
      </c>
      <c r="C91" s="10"/>
      <c r="D91" s="12">
        <f>Table14[[#This Row],[Enrolment S.Y. 2025-2026 ]]*8</f>
        <v>0</v>
      </c>
      <c r="E91" s="12"/>
      <c r="F91" s="10"/>
      <c r="G91" s="12"/>
      <c r="H91" s="12">
        <f>IF((D91-E91)&lt;0,0,(D91-E91))</f>
        <v>0</v>
      </c>
      <c r="I91" s="12">
        <f>IF((E91-D91)&lt;0,0,(E91-D91))</f>
        <v>0</v>
      </c>
      <c r="J91" s="12">
        <f>Table14[[#This Row],[Enrolment S.Y. 2025-2026 ]]*8</f>
        <v>0</v>
      </c>
      <c r="K91" s="12"/>
      <c r="L91" s="10"/>
      <c r="M91" s="12"/>
      <c r="N91" s="12">
        <f>IF((J91-K91)&lt;0,0,(J91-K91))</f>
        <v>0</v>
      </c>
      <c r="O91" s="12">
        <f>IF((K91-J91)&lt;0,0,(K91-J91))</f>
        <v>0</v>
      </c>
      <c r="P91" s="12">
        <f>Table14[[#This Row],[Enrolment S.Y. 2025-2026 ]]*8</f>
        <v>0</v>
      </c>
      <c r="Q91" s="12"/>
      <c r="R91" s="10"/>
      <c r="S91" s="12"/>
      <c r="T91" s="12">
        <f>IF((P91-Q91)&lt;0,0,(P91-Q91))</f>
        <v>0</v>
      </c>
      <c r="U91" s="12">
        <f>IF((Q91-P91)&lt;0,0,(Q91-P91))</f>
        <v>0</v>
      </c>
      <c r="V91" s="12">
        <f>Table14[[#This Row],[Enrolment S.Y. 2025-2026 ]]*8</f>
        <v>0</v>
      </c>
      <c r="W91" s="12"/>
      <c r="X91" s="10"/>
      <c r="Y91" s="12"/>
      <c r="Z91" s="12">
        <f>IF((V91-W91)&lt;0,0,(V91-W91))</f>
        <v>0</v>
      </c>
      <c r="AA91" s="12">
        <f>IF((W91-V91)&lt;0,0,(W91-V91))</f>
        <v>0</v>
      </c>
    </row>
    <row r="92" spans="1:27" ht="19.5">
      <c r="A92" s="10">
        <v>9</v>
      </c>
      <c r="B92" s="11" t="s">
        <v>90</v>
      </c>
      <c r="C92" s="10"/>
      <c r="D92" s="12">
        <f>Table14[[#This Row],[Enrolment S.Y. 2025-2026 ]]*8</f>
        <v>0</v>
      </c>
      <c r="E92" s="12"/>
      <c r="F92" s="10"/>
      <c r="G92" s="12"/>
      <c r="H92" s="12">
        <f>IF((D92-E92)&lt;0,0,(D92-E92))</f>
        <v>0</v>
      </c>
      <c r="I92" s="12">
        <f>IF((E92-D92)&lt;0,0,(E92-D92))</f>
        <v>0</v>
      </c>
      <c r="J92" s="12">
        <f>Table14[[#This Row],[Enrolment S.Y. 2025-2026 ]]*8</f>
        <v>0</v>
      </c>
      <c r="K92" s="12"/>
      <c r="L92" s="10"/>
      <c r="M92" s="12"/>
      <c r="N92" s="12">
        <f>IF((J92-K92)&lt;0,0,(J92-K92))</f>
        <v>0</v>
      </c>
      <c r="O92" s="12">
        <f>IF((K92-J92)&lt;0,0,(K92-J92))</f>
        <v>0</v>
      </c>
      <c r="P92" s="12">
        <f>Table14[[#This Row],[Enrolment S.Y. 2025-2026 ]]*8</f>
        <v>0</v>
      </c>
      <c r="Q92" s="12"/>
      <c r="R92" s="10"/>
      <c r="S92" s="12"/>
      <c r="T92" s="12">
        <v>608</v>
      </c>
      <c r="U92" s="12">
        <f>IF((Q92-P92)&lt;0,0,(Q92-P92))</f>
        <v>0</v>
      </c>
      <c r="V92" s="12">
        <f>Table14[[#This Row],[Enrolment S.Y. 2025-2026 ]]*8</f>
        <v>0</v>
      </c>
      <c r="W92" s="12"/>
      <c r="X92" s="10"/>
      <c r="Y92" s="12"/>
      <c r="Z92" s="12">
        <f>IF((V92-W92)&lt;0,0,(V92-W92))</f>
        <v>0</v>
      </c>
      <c r="AA92" s="12">
        <f>IF((W92-V92)&lt;0,0,(W92-V92))</f>
        <v>0</v>
      </c>
    </row>
    <row r="93" spans="1:27" ht="19.5">
      <c r="A93" s="10">
        <v>9</v>
      </c>
      <c r="B93" s="11" t="s">
        <v>91</v>
      </c>
      <c r="C93" s="10"/>
      <c r="D93" s="12">
        <f>Table14[[#This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Table14[[#This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Table14[[#This Row],[Enrolment S.Y. 2025-2026 ]]*8</f>
        <v>0</v>
      </c>
      <c r="Q93" s="12"/>
      <c r="R93" s="10"/>
      <c r="S93" s="12"/>
      <c r="T93" s="12">
        <v>228</v>
      </c>
      <c r="U93" s="12">
        <f>IF((Q93-P93)&lt;0,0,(Q93-P93))</f>
        <v>0</v>
      </c>
      <c r="V93" s="12">
        <f>Table14[[#This Row],[Enrolment S.Y. 2025-2026 ]]*8</f>
        <v>0</v>
      </c>
      <c r="W93" s="12"/>
      <c r="X93" s="10">
        <v>2025</v>
      </c>
      <c r="Y93" s="12" t="s">
        <v>9</v>
      </c>
      <c r="Z93" s="12">
        <v>0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/>
      <c r="D94" s="12">
        <v>486</v>
      </c>
      <c r="E94" s="12"/>
      <c r="F94" s="10">
        <v>2025</v>
      </c>
      <c r="G94" s="12" t="s">
        <v>9</v>
      </c>
      <c r="H94" s="12">
        <f>IF((D94-E94)&lt;0,0,(D94-E94))</f>
        <v>486</v>
      </c>
      <c r="I94" s="12">
        <f>IF((E94-D94)&lt;0,0,(E94-D94))</f>
        <v>0</v>
      </c>
      <c r="J94" s="12">
        <f>Table14[[#This Row],[Enrolment S.Y. 2025-2026 ]]*8</f>
        <v>0</v>
      </c>
      <c r="K94" s="12"/>
      <c r="L94" s="10">
        <v>2025</v>
      </c>
      <c r="M94" s="12" t="s">
        <v>9</v>
      </c>
      <c r="N94" s="12">
        <v>488</v>
      </c>
      <c r="O94" s="12">
        <f>IF((K94-J94)&lt;0,0,(K94-J94))</f>
        <v>0</v>
      </c>
      <c r="P94" s="12">
        <f>Table14[[#This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Table14[[#This Row],[Enrolment S.Y. 2025-2026 ]]*8</f>
        <v>0</v>
      </c>
      <c r="W94" s="12"/>
      <c r="X94" s="10">
        <v>2025</v>
      </c>
      <c r="Y94" s="12" t="s">
        <v>9</v>
      </c>
      <c r="Z94" s="12">
        <v>183</v>
      </c>
      <c r="AA94" s="12">
        <f>IF((W94-V94)&lt;0,0,(W94-V94))</f>
        <v>0</v>
      </c>
    </row>
    <row r="95" spans="1:27" ht="19.5">
      <c r="A95" s="10">
        <v>10</v>
      </c>
      <c r="B95" s="11" t="s">
        <v>16</v>
      </c>
      <c r="C95" s="10"/>
      <c r="D95" s="12">
        <f>Table14[[#This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Table14[[#This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Table14[[#This Row],[Enrolment S.Y. 2025-2026 ]]*8</f>
        <v>0</v>
      </c>
      <c r="Q95" s="12"/>
      <c r="R95" s="10">
        <v>2025</v>
      </c>
      <c r="S95" s="12" t="s">
        <v>9</v>
      </c>
      <c r="T95" s="12">
        <v>422</v>
      </c>
      <c r="U95" s="12">
        <v>0</v>
      </c>
      <c r="V95" s="12">
        <f>Table14[[#This Row],[Enrolment S.Y. 2025-2026 ]]*8</f>
        <v>0</v>
      </c>
      <c r="W95" s="12"/>
      <c r="X95" s="10">
        <v>2025</v>
      </c>
      <c r="Y95" s="12" t="s">
        <v>9</v>
      </c>
      <c r="Z95" s="12">
        <v>427</v>
      </c>
      <c r="AA95" s="12">
        <f>IF((W95-V95)&lt;0,0,(W95-V95))</f>
        <v>0</v>
      </c>
    </row>
    <row r="96" spans="1:27" ht="19.5">
      <c r="A96" s="10">
        <v>10</v>
      </c>
      <c r="B96" s="11" t="s">
        <v>13</v>
      </c>
      <c r="C96" s="10"/>
      <c r="D96" s="12">
        <v>540</v>
      </c>
      <c r="E96" s="12"/>
      <c r="F96" s="10">
        <v>2025</v>
      </c>
      <c r="G96" s="12" t="s">
        <v>9</v>
      </c>
      <c r="H96" s="12">
        <f>IF((D96-E96)&lt;0,0,(D96-E96))</f>
        <v>540</v>
      </c>
      <c r="I96" s="12">
        <f>IF((E96-D96)&lt;0,0,(E96-D96))</f>
        <v>0</v>
      </c>
      <c r="J96" s="12">
        <f>Table14[[#This Row],[Enrolment S.Y. 2025-2026 ]]*8</f>
        <v>0</v>
      </c>
      <c r="K96" s="12"/>
      <c r="L96" s="10">
        <v>2025</v>
      </c>
      <c r="M96" s="12" t="s">
        <v>9</v>
      </c>
      <c r="N96" s="12">
        <v>549</v>
      </c>
      <c r="O96" s="12">
        <f>IF((K96-J96)&lt;0,0,(K96-J96))</f>
        <v>0</v>
      </c>
      <c r="P96" s="12">
        <f>Table14[[#This Row],[Enrolment S.Y. 2025-2026 ]]*8</f>
        <v>0</v>
      </c>
      <c r="Q96" s="12"/>
      <c r="R96" s="10">
        <v>2025</v>
      </c>
      <c r="S96" s="12" t="s">
        <v>9</v>
      </c>
      <c r="T96" s="12">
        <v>122</v>
      </c>
      <c r="U96" s="12">
        <v>0</v>
      </c>
      <c r="V96" s="12">
        <f>Table14[[#This Row],[Enrolment S.Y. 2025-2026 ]]*8</f>
        <v>0</v>
      </c>
      <c r="W96" s="12"/>
      <c r="X96" s="10">
        <v>2025</v>
      </c>
      <c r="Y96" s="12" t="s">
        <v>9</v>
      </c>
      <c r="Z96" s="12">
        <v>124</v>
      </c>
      <c r="AA96" s="12">
        <f>IF((W96-V96)&lt;0,0,(W96-V96))</f>
        <v>0</v>
      </c>
    </row>
    <row r="97" spans="1:27" ht="19.5">
      <c r="A97" s="38">
        <v>10</v>
      </c>
      <c r="B97" s="11" t="s">
        <v>22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v>0</v>
      </c>
      <c r="V97" s="12">
        <f>Table14[[#This Row],[Enrolment S.Y. 2025-2026 ]]*8</f>
        <v>0</v>
      </c>
      <c r="W97" s="12"/>
      <c r="X97" s="10">
        <v>2025</v>
      </c>
      <c r="Y97" s="12" t="s">
        <v>9</v>
      </c>
      <c r="Z97" s="12">
        <v>124</v>
      </c>
      <c r="AA97" s="12">
        <f>IF((W97-V97)&lt;0,0,(W97-V97))</f>
        <v>0</v>
      </c>
    </row>
    <row r="98" spans="1:27" ht="19.5">
      <c r="A98" s="10">
        <v>10</v>
      </c>
      <c r="B98" s="11" t="s">
        <v>24</v>
      </c>
      <c r="C98" s="10"/>
      <c r="D98" s="12">
        <f>Table14[[#This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Table14[[#This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Table14[[#This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Table14[[#This Row],[Enrolment S.Y. 2025-2026 ]]*8</f>
        <v>0</v>
      </c>
      <c r="W98" s="12"/>
      <c r="X98" s="10">
        <v>2025</v>
      </c>
      <c r="Y98" s="12" t="s">
        <v>9</v>
      </c>
      <c r="Z98" s="12">
        <v>244</v>
      </c>
      <c r="AA98" s="12">
        <f>IF((W98-V98)&lt;0,0,(W98-V98))</f>
        <v>0</v>
      </c>
    </row>
    <row r="99" spans="1:27" ht="19.5">
      <c r="A99" s="10">
        <v>10</v>
      </c>
      <c r="B99" s="11" t="s">
        <v>14</v>
      </c>
      <c r="C99" s="10"/>
      <c r="D99" s="12">
        <f>Table14[[#This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Table14[[#This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Table14[[#This Row],[Enrolment S.Y. 2025-2026 ]]*8</f>
        <v>0</v>
      </c>
      <c r="Q99" s="12"/>
      <c r="R99" s="10">
        <v>2025</v>
      </c>
      <c r="S99" s="12" t="s">
        <v>9</v>
      </c>
      <c r="T99" s="12">
        <v>427</v>
      </c>
      <c r="U99" s="12">
        <v>0</v>
      </c>
      <c r="V99" s="12">
        <f>Table14[[#This Row],[Enrolment S.Y. 2025-2026 ]]*8</f>
        <v>0</v>
      </c>
      <c r="W99" s="12"/>
      <c r="X99" s="10">
        <v>2025</v>
      </c>
      <c r="Y99" s="12" t="s">
        <v>9</v>
      </c>
      <c r="Z99" s="12">
        <v>366</v>
      </c>
      <c r="AA99" s="12">
        <f>IF((W99-V99)&lt;0,0,(W99-V99))</f>
        <v>0</v>
      </c>
    </row>
    <row r="100" spans="1:27" ht="19.5">
      <c r="A100" s="38">
        <v>10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>
        <v>2025</v>
      </c>
      <c r="Y100" s="12" t="s">
        <v>9</v>
      </c>
      <c r="Z100" s="12">
        <v>122</v>
      </c>
      <c r="AA100" s="12">
        <f>IF((W100-V100)&lt;0,0,(W100-V100))</f>
        <v>0</v>
      </c>
    </row>
    <row r="101" spans="1:27" ht="19.5">
      <c r="A101" s="10">
        <v>10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Table14[[#This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Table14[[#This Row],[Enrolment S.Y. 2025-2026 ]]*8</f>
        <v>0</v>
      </c>
      <c r="Q101" s="12"/>
      <c r="R101" s="10">
        <v>2025</v>
      </c>
      <c r="S101" s="12" t="s">
        <v>9</v>
      </c>
      <c r="T101" s="12">
        <v>183</v>
      </c>
      <c r="U101" s="12">
        <v>0</v>
      </c>
      <c r="V101" s="12">
        <f>Table14[[#This Row],[Enrolment S.Y. 2025-2026 ]]*8</f>
        <v>0</v>
      </c>
      <c r="W101" s="12"/>
      <c r="X101" s="10">
        <v>2025</v>
      </c>
      <c r="Y101" s="12" t="s">
        <v>9</v>
      </c>
      <c r="Z101" s="12">
        <v>124</v>
      </c>
      <c r="AA101" s="12">
        <f>IF((W101-V101)&lt;0,0,(W101-V101))</f>
        <v>0</v>
      </c>
    </row>
    <row r="102" spans="1:27" s="7" customFormat="1" ht="19.5">
      <c r="A102" s="47">
        <v>10</v>
      </c>
      <c r="B102" s="50" t="s">
        <v>23</v>
      </c>
      <c r="C102" s="47"/>
      <c r="D102" s="47">
        <f>Table14[[#This Row],[Enrolment S.Y. 2025-2026 ]]*8</f>
        <v>0</v>
      </c>
      <c r="E102" s="47"/>
      <c r="F102" s="47"/>
      <c r="G102" s="47"/>
      <c r="H102" s="47">
        <f>IF((D102-E102)&lt;0,0,(D102-E102))</f>
        <v>0</v>
      </c>
      <c r="I102" s="47">
        <f>IF((E102-D102)&lt;0,0,(E102-D102))</f>
        <v>0</v>
      </c>
      <c r="J102" s="47">
        <f>Table14[[#This Row],[Enrolment S.Y. 2025-2026 ]]*8</f>
        <v>0</v>
      </c>
      <c r="K102" s="47"/>
      <c r="L102" s="47"/>
      <c r="M102" s="47"/>
      <c r="N102" s="47">
        <f>IF((J102-K102)&lt;0,0,(J102-K102))</f>
        <v>0</v>
      </c>
      <c r="O102" s="47">
        <f>IF((K102-J102)&lt;0,0,(K102-J102))</f>
        <v>0</v>
      </c>
      <c r="P102" s="47">
        <f>Table14[[#This Row],[Enrolment S.Y. 2025-2026 ]]*8</f>
        <v>0</v>
      </c>
      <c r="Q102" s="47"/>
      <c r="R102" s="47"/>
      <c r="S102" s="47"/>
      <c r="T102" s="47">
        <f>IF((P102-Q102)&lt;0,0,(P102-Q102))</f>
        <v>0</v>
      </c>
      <c r="U102" s="47">
        <f>IF((Q102-P102)&lt;0,0,(Q102-P102))</f>
        <v>0</v>
      </c>
      <c r="V102" s="47">
        <f>Table14[[#This Row],[Enrolment S.Y. 2025-2026 ]]*8</f>
        <v>0</v>
      </c>
      <c r="W102" s="47"/>
      <c r="X102" s="47"/>
      <c r="Y102" s="47"/>
      <c r="Z102" s="47">
        <f>IF((V102-W102)&lt;0,0,(V102-W102))</f>
        <v>0</v>
      </c>
      <c r="AA102" s="47">
        <f>IF((W102-V102)&lt;0,0,(W102-V102))</f>
        <v>0</v>
      </c>
    </row>
    <row r="103" spans="1:27" ht="19.5">
      <c r="A103" s="10">
        <v>10</v>
      </c>
      <c r="B103" s="11" t="s">
        <v>90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>IF((D103-E103)&lt;0,0,(D103-E103))</f>
        <v>0</v>
      </c>
      <c r="I103" s="12">
        <f>IF((E103-D103)&lt;0,0,(E103-D103))</f>
        <v>0</v>
      </c>
      <c r="J103" s="12">
        <f>Table14[[#This Row],[Enrolment S.Y. 2025-2026 ]]*8</f>
        <v>0</v>
      </c>
      <c r="K103" s="12"/>
      <c r="L103" s="10"/>
      <c r="M103" s="12"/>
      <c r="N103" s="12">
        <f>IF((J103-K103)&lt;0,0,(J103-K103))</f>
        <v>0</v>
      </c>
      <c r="O103" s="12">
        <f>IF((K103-J103)&lt;0,0,(K103-J103))</f>
        <v>0</v>
      </c>
      <c r="P103" s="12">
        <f>Table14[[#This Row],[Enrolment S.Y. 2025-2026 ]]*8</f>
        <v>0</v>
      </c>
      <c r="Q103" s="12"/>
      <c r="R103" s="10">
        <v>2025</v>
      </c>
      <c r="S103" s="12" t="s">
        <v>9</v>
      </c>
      <c r="T103" s="12">
        <v>122</v>
      </c>
      <c r="U103" s="12">
        <v>0</v>
      </c>
      <c r="V103" s="12">
        <f>Table14[[#This Row],[Enrolment S.Y. 2025-2026 ]]*8</f>
        <v>0</v>
      </c>
      <c r="W103" s="12"/>
      <c r="X103" s="10">
        <v>2025</v>
      </c>
      <c r="Y103" s="12" t="s">
        <v>9</v>
      </c>
      <c r="Z103" s="12">
        <v>61</v>
      </c>
      <c r="AA103" s="12">
        <f>IF((W103-V103)&lt;0,0,(W103-V103))</f>
        <v>0</v>
      </c>
    </row>
    <row r="104" spans="1:27" ht="19.5">
      <c r="A104" s="10">
        <v>10</v>
      </c>
      <c r="B104" s="11" t="s">
        <v>91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>IF((D104-E104)&lt;0,0,(D104-E104))</f>
        <v>0</v>
      </c>
      <c r="I104" s="12">
        <f>IF((E104-D104)&lt;0,0,(E104-D104))</f>
        <v>0</v>
      </c>
      <c r="J104" s="12">
        <f>Table14[[#This Row],[Enrolment S.Y. 2025-2026 ]]*8</f>
        <v>0</v>
      </c>
      <c r="K104" s="12"/>
      <c r="L104" s="10"/>
      <c r="M104" s="12"/>
      <c r="N104" s="12">
        <f>IF((J104-K104)&lt;0,0,(J104-K104))</f>
        <v>0</v>
      </c>
      <c r="O104" s="12">
        <f>IF((K104-J104)&lt;0,0,(K104-J104))</f>
        <v>0</v>
      </c>
      <c r="P104" s="12">
        <f>Table14[[#This Row],[Enrolment S.Y. 2025-2026 ]]*8</f>
        <v>0</v>
      </c>
      <c r="Q104" s="12"/>
      <c r="R104" s="10"/>
      <c r="S104" s="12"/>
      <c r="T104" s="12">
        <f>IF((P104-Q104)&lt;0,0,(P104-Q104))</f>
        <v>0</v>
      </c>
      <c r="U104" s="12">
        <f>IF((Q104-P104)&lt;0,0,(Q104-P104))</f>
        <v>0</v>
      </c>
      <c r="V104" s="12">
        <f>Table14[[#This Row],[Enrolment S.Y. 2025-2026 ]]*8</f>
        <v>0</v>
      </c>
      <c r="W104" s="12"/>
      <c r="X104" s="10">
        <v>2025</v>
      </c>
      <c r="Y104" s="12" t="s">
        <v>9</v>
      </c>
      <c r="Z104" s="12">
        <v>183</v>
      </c>
      <c r="AA104" s="12">
        <f>IF((W104-V104)&lt;0,0,(W104-V104))</f>
        <v>0</v>
      </c>
    </row>
    <row r="105" spans="1:27" ht="38.25">
      <c r="A105" s="1" t="s">
        <v>25</v>
      </c>
      <c r="B105" s="9" t="s">
        <v>26</v>
      </c>
      <c r="C105" s="1"/>
      <c r="D105" s="5">
        <f>Table14[[#This Row],[Enrolment S.Y. 2025-2026 ]]*8</f>
        <v>0</v>
      </c>
      <c r="E105" s="5"/>
      <c r="F105" s="1"/>
      <c r="G105" s="5"/>
      <c r="H105" s="5">
        <f>IF((D105-E105)&lt;0,0,(D105-E105))</f>
        <v>0</v>
      </c>
      <c r="I105" s="5">
        <f>IF((E105-D105)&lt;0,0,(E105-D105))</f>
        <v>0</v>
      </c>
      <c r="J105" s="5">
        <f>Table14[[#This Row],[Enrolment S.Y. 2025-2026 ]]*8</f>
        <v>0</v>
      </c>
      <c r="K105" s="5"/>
      <c r="L105" s="1"/>
      <c r="M105" s="5"/>
      <c r="N105" s="5">
        <f>IF((J105-K105)&lt;0,0,(J105-K105))</f>
        <v>0</v>
      </c>
      <c r="O105" s="5">
        <f>IF((K105-J105)&lt;0,0,(K105-J105))</f>
        <v>0</v>
      </c>
      <c r="P105" s="5">
        <f>Table14[[#This Row],[Enrolment S.Y. 2025-2026 ]]*8</f>
        <v>0</v>
      </c>
      <c r="Q105" s="5"/>
      <c r="R105" s="1"/>
      <c r="S105" s="5"/>
      <c r="T105" s="5">
        <f>IF((P105-Q105)&lt;0,0,(P105-Q105))</f>
        <v>0</v>
      </c>
      <c r="U105" s="5">
        <f>IF((Q105-P105)&lt;0,0,(Q105-P105))</f>
        <v>0</v>
      </c>
      <c r="V105" s="5">
        <f>Table14[[#This Row],[Enrolment S.Y. 2025-2026 ]]*8</f>
        <v>0</v>
      </c>
      <c r="W105" s="5"/>
      <c r="X105" s="1"/>
      <c r="Y105" s="5"/>
      <c r="Z105" s="5">
        <f>IF((V105-W105)&lt;0,0,(V105-W105))</f>
        <v>0</v>
      </c>
      <c r="AA105" s="5">
        <f>IF((W105-V105)&lt;0,0,(W105-V105))</f>
        <v>0</v>
      </c>
    </row>
    <row r="106" spans="1:27" ht="19.5">
      <c r="A106" s="1" t="s">
        <v>25</v>
      </c>
      <c r="B106" s="9" t="s">
        <v>27</v>
      </c>
      <c r="C106" s="1"/>
      <c r="D106" s="5">
        <f>Table14[[#This Row],[Enrolment S.Y. 2025-2026 ]]*8</f>
        <v>0</v>
      </c>
      <c r="E106" s="5"/>
      <c r="F106" s="1"/>
      <c r="G106" s="5"/>
      <c r="H106" s="5">
        <f>IF((D106-E106)&lt;0,0,(D106-E106))</f>
        <v>0</v>
      </c>
      <c r="I106" s="5">
        <f>IF((E106-D106)&lt;0,0,(E106-D106))</f>
        <v>0</v>
      </c>
      <c r="J106" s="5">
        <f>Table14[[#This Row],[Enrolment S.Y. 2025-2026 ]]*8</f>
        <v>0</v>
      </c>
      <c r="K106" s="5"/>
      <c r="L106" s="1"/>
      <c r="M106" s="5"/>
      <c r="N106" s="5">
        <f>IF((J106-K106)&lt;0,0,(J106-K106))</f>
        <v>0</v>
      </c>
      <c r="O106" s="5">
        <f>IF((K106-J106)&lt;0,0,(K106-J106))</f>
        <v>0</v>
      </c>
      <c r="P106" s="5">
        <f>Table14[[#This Row],[Enrolment S.Y. 2025-2026 ]]*8</f>
        <v>0</v>
      </c>
      <c r="Q106" s="5"/>
      <c r="R106" s="1"/>
      <c r="S106" s="5"/>
      <c r="T106" s="5">
        <f>IF((P106-Q106)&lt;0,0,(P106-Q106))</f>
        <v>0</v>
      </c>
      <c r="U106" s="5">
        <f>IF((Q106-P106)&lt;0,0,(Q106-P106))</f>
        <v>0</v>
      </c>
      <c r="V106" s="5">
        <f>Table14[[#This Row],[Enrolment S.Y. 2025-2026 ]]*8</f>
        <v>0</v>
      </c>
      <c r="W106" s="5"/>
      <c r="X106" s="1"/>
      <c r="Y106" s="5"/>
      <c r="Z106" s="5">
        <f>IF((V106-W106)&lt;0,0,(V106-W106))</f>
        <v>0</v>
      </c>
      <c r="AA106" s="5">
        <f>IF((W106-V106)&lt;0,0,(W106-V106))</f>
        <v>0</v>
      </c>
    </row>
    <row r="107" spans="1:27" ht="19.5">
      <c r="A107" s="1" t="s">
        <v>25</v>
      </c>
      <c r="B107" s="43" t="s">
        <v>28</v>
      </c>
      <c r="C107" s="1"/>
      <c r="D107" s="5">
        <f>Table14[[#This Row],[Enrolment S.Y. 2025-2026 ]]*8</f>
        <v>0</v>
      </c>
      <c r="E107" s="5"/>
      <c r="F107" s="1"/>
      <c r="G107" s="5"/>
      <c r="H107" s="5">
        <f>IF((D107-E107)&lt;0,0,(D107-E107))</f>
        <v>0</v>
      </c>
      <c r="I107" s="5">
        <f>IF((E107-D107)&lt;0,0,(E107-D107))</f>
        <v>0</v>
      </c>
      <c r="J107" s="5">
        <f>Table14[[#This Row],[Enrolment S.Y. 2025-2026 ]]*8</f>
        <v>0</v>
      </c>
      <c r="K107" s="5"/>
      <c r="L107" s="1"/>
      <c r="M107" s="5"/>
      <c r="N107" s="5">
        <f>IF((J107-K107)&lt;0,0,(J107-K107))</f>
        <v>0</v>
      </c>
      <c r="O107" s="5">
        <f>IF((K107-J107)&lt;0,0,(K107-J107))</f>
        <v>0</v>
      </c>
      <c r="P107" s="5">
        <f>Table14[[#This Row],[Enrolment S.Y. 2025-2026 ]]*8</f>
        <v>0</v>
      </c>
      <c r="Q107" s="5"/>
      <c r="R107" s="1"/>
      <c r="S107" s="5"/>
      <c r="T107" s="5">
        <f>IF((P107-Q107)&lt;0,0,(P107-Q107))</f>
        <v>0</v>
      </c>
      <c r="U107" s="5">
        <f>IF((Q107-P107)&lt;0,0,(Q107-P107))</f>
        <v>0</v>
      </c>
      <c r="V107" s="5">
        <f>Table14[[#This Row],[Enrolment S.Y. 2025-2026 ]]*8</f>
        <v>0</v>
      </c>
      <c r="W107" s="5"/>
      <c r="X107" s="1"/>
      <c r="Y107" s="5"/>
      <c r="Z107" s="5">
        <f>IF((V107-W107)&lt;0,0,(V107-W107))</f>
        <v>0</v>
      </c>
      <c r="AA107" s="5">
        <f>IF((W107-V107)&lt;0,0,(W107-V107))</f>
        <v>0</v>
      </c>
    </row>
    <row r="108" spans="1:27" ht="19.5">
      <c r="A108" s="1" t="s">
        <v>25</v>
      </c>
      <c r="B108" s="43" t="s">
        <v>29</v>
      </c>
      <c r="C108" s="1"/>
      <c r="D108" s="5">
        <f>Table14[[#This Row],[Enrolment S.Y. 2025-2026 ]]*8</f>
        <v>0</v>
      </c>
      <c r="E108" s="5"/>
      <c r="F108" s="1"/>
      <c r="G108" s="5"/>
      <c r="H108" s="5">
        <f>IF((D108-E108)&lt;0,0,(D108-E108))</f>
        <v>0</v>
      </c>
      <c r="I108" s="5">
        <f>IF((E108-D108)&lt;0,0,(E108-D108))</f>
        <v>0</v>
      </c>
      <c r="J108" s="5">
        <f>Table14[[#This Row],[Enrolment S.Y. 2025-2026 ]]*8</f>
        <v>0</v>
      </c>
      <c r="K108" s="5"/>
      <c r="L108" s="1"/>
      <c r="M108" s="5"/>
      <c r="N108" s="5">
        <f>IF((J108-K108)&lt;0,0,(J108-K108))</f>
        <v>0</v>
      </c>
      <c r="O108" s="5">
        <f>IF((K108-J108)&lt;0,0,(K108-J108))</f>
        <v>0</v>
      </c>
      <c r="P108" s="5">
        <f>Table14[[#This Row],[Enrolment S.Y. 2025-2026 ]]*8</f>
        <v>0</v>
      </c>
      <c r="Q108" s="5"/>
      <c r="R108" s="1"/>
      <c r="S108" s="5"/>
      <c r="T108" s="5">
        <f>IF((P108-Q108)&lt;0,0,(P108-Q108))</f>
        <v>0</v>
      </c>
      <c r="U108" s="5">
        <f>IF((Q108-P108)&lt;0,0,(Q108-P108))</f>
        <v>0</v>
      </c>
      <c r="V108" s="5">
        <f>Table14[[#This Row],[Enrolment S.Y. 2025-2026 ]]*8</f>
        <v>0</v>
      </c>
      <c r="W108" s="5"/>
      <c r="X108" s="1"/>
      <c r="Y108" s="5"/>
      <c r="Z108" s="5">
        <f>IF((V108-W108)&lt;0,0,(V108-W108))</f>
        <v>0</v>
      </c>
      <c r="AA108" s="5">
        <f>IF((W108-V108)&lt;0,0,(W108-V108))</f>
        <v>0</v>
      </c>
    </row>
    <row r="109" spans="1:27" ht="38.25">
      <c r="A109" s="37" t="s">
        <v>25</v>
      </c>
      <c r="B109" s="9" t="s">
        <v>30</v>
      </c>
      <c r="C109" s="1"/>
      <c r="D109" s="5">
        <f>Table14[[#This Row],[Enrolment S.Y. 2025-2026 ]]*8</f>
        <v>0</v>
      </c>
      <c r="E109" s="5"/>
      <c r="F109" s="1"/>
      <c r="G109" s="5"/>
      <c r="H109" s="5">
        <f>IF((D109-E109)&lt;0,0,(D109-E109))</f>
        <v>0</v>
      </c>
      <c r="I109" s="5">
        <f>IF((E109-D109)&lt;0,0,(E109-D109))</f>
        <v>0</v>
      </c>
      <c r="J109" s="5">
        <f>Table14[[#This Row],[Enrolment S.Y. 2025-2026 ]]*8</f>
        <v>0</v>
      </c>
      <c r="K109" s="5"/>
      <c r="L109" s="1"/>
      <c r="M109" s="5"/>
      <c r="N109" s="5">
        <f>IF((J109-K109)&lt;0,0,(J109-K109))</f>
        <v>0</v>
      </c>
      <c r="O109" s="5">
        <f>IF((K109-J109)&lt;0,0,(K109-J109))</f>
        <v>0</v>
      </c>
      <c r="P109" s="5">
        <f>Table14[[#This Row],[Enrolment S.Y. 2025-2026 ]]*8</f>
        <v>0</v>
      </c>
      <c r="Q109" s="5"/>
      <c r="R109" s="1"/>
      <c r="S109" s="5"/>
      <c r="T109" s="5">
        <f>IF((P109-Q109)&lt;0,0,(P109-Q109))</f>
        <v>0</v>
      </c>
      <c r="U109" s="5">
        <f>IF((Q109-P109)&lt;0,0,(Q109-P109))</f>
        <v>0</v>
      </c>
      <c r="V109" s="5">
        <f>Table14[[#This Row],[Enrolment S.Y. 2025-2026 ]]*8</f>
        <v>0</v>
      </c>
      <c r="W109" s="5"/>
      <c r="X109" s="1"/>
      <c r="Y109" s="5"/>
      <c r="Z109" s="5">
        <f>IF((V109-W109)&lt;0,0,(V109-W109))</f>
        <v>0</v>
      </c>
      <c r="AA109" s="5">
        <f>IF((W109-V109)&lt;0,0,(W109-V109))</f>
        <v>0</v>
      </c>
    </row>
    <row r="110" spans="1:27" ht="38.25">
      <c r="A110" s="1" t="s">
        <v>25</v>
      </c>
      <c r="B110" s="9" t="s">
        <v>31</v>
      </c>
      <c r="C110" s="1"/>
      <c r="D110" s="5">
        <f>Table14[[#This Row],[Enrolment S.Y. 2025-2026 ]]*8</f>
        <v>0</v>
      </c>
      <c r="E110" s="5"/>
      <c r="F110" s="1"/>
      <c r="G110" s="5"/>
      <c r="H110" s="5">
        <f>IF((D110-E110)&lt;0,0,(D110-E110))</f>
        <v>0</v>
      </c>
      <c r="I110" s="5">
        <f>IF((E110-D110)&lt;0,0,(E110-D110))</f>
        <v>0</v>
      </c>
      <c r="J110" s="5">
        <f>Table14[[#This Row],[Enrolment S.Y. 2025-2026 ]]*8</f>
        <v>0</v>
      </c>
      <c r="K110" s="5"/>
      <c r="L110" s="1"/>
      <c r="M110" s="5"/>
      <c r="N110" s="5">
        <f>IF((J110-K110)&lt;0,0,(J110-K110))</f>
        <v>0</v>
      </c>
      <c r="O110" s="5">
        <f>IF((K110-J110)&lt;0,0,(K110-J110))</f>
        <v>0</v>
      </c>
      <c r="P110" s="5">
        <f>Table14[[#This Row],[Enrolment S.Y. 2025-2026 ]]*8</f>
        <v>0</v>
      </c>
      <c r="Q110" s="5"/>
      <c r="R110" s="1"/>
      <c r="S110" s="5"/>
      <c r="T110" s="5">
        <f>IF((P110-Q110)&lt;0,0,(P110-Q110))</f>
        <v>0</v>
      </c>
      <c r="U110" s="5">
        <f>IF((Q110-P110)&lt;0,0,(Q110-P110))</f>
        <v>0</v>
      </c>
      <c r="V110" s="5">
        <f>Table14[[#This Row],[Enrolment S.Y. 2025-2026 ]]*8</f>
        <v>0</v>
      </c>
      <c r="W110" s="5"/>
      <c r="X110" s="1"/>
      <c r="Y110" s="5"/>
      <c r="Z110" s="5">
        <f>IF((V110-W110)&lt;0,0,(V110-W110))</f>
        <v>0</v>
      </c>
      <c r="AA110" s="5">
        <f>IF((W110-V110)&lt;0,0,(W110-V110))</f>
        <v>0</v>
      </c>
    </row>
    <row r="111" spans="1:27" ht="57.75">
      <c r="A111" s="1" t="s">
        <v>25</v>
      </c>
      <c r="B111" s="9" t="s">
        <v>32</v>
      </c>
      <c r="C111" s="1"/>
      <c r="D111" s="5">
        <f>Table14[[#This Row],[Enrolment S.Y. 2025-2026 ]]*8</f>
        <v>0</v>
      </c>
      <c r="E111" s="5"/>
      <c r="F111" s="1"/>
      <c r="G111" s="5"/>
      <c r="H111" s="5">
        <f>IF((D111-E111)&lt;0,0,(D111-E111))</f>
        <v>0</v>
      </c>
      <c r="I111" s="5">
        <f>IF((E111-D111)&lt;0,0,(E111-D111))</f>
        <v>0</v>
      </c>
      <c r="J111" s="5">
        <f>Table14[[#This Row],[Enrolment S.Y. 2025-2026 ]]*8</f>
        <v>0</v>
      </c>
      <c r="K111" s="5"/>
      <c r="L111" s="1"/>
      <c r="M111" s="5"/>
      <c r="N111" s="5">
        <f>IF((J111-K111)&lt;0,0,(J111-K111))</f>
        <v>0</v>
      </c>
      <c r="O111" s="5">
        <f>IF((K111-J111)&lt;0,0,(K111-J111))</f>
        <v>0</v>
      </c>
      <c r="P111" s="5">
        <f>Table14[[#This Row],[Enrolment S.Y. 2025-2026 ]]*8</f>
        <v>0</v>
      </c>
      <c r="Q111" s="5"/>
      <c r="R111" s="1"/>
      <c r="S111" s="5"/>
      <c r="T111" s="5">
        <f>IF((P111-Q111)&lt;0,0,(P111-Q111))</f>
        <v>0</v>
      </c>
      <c r="U111" s="5">
        <f>IF((Q111-P111)&lt;0,0,(Q111-P111))</f>
        <v>0</v>
      </c>
      <c r="V111" s="5">
        <f>Table14[[#This Row],[Enrolment S.Y. 2025-2026 ]]*8</f>
        <v>0</v>
      </c>
      <c r="W111" s="5"/>
      <c r="X111" s="1"/>
      <c r="Y111" s="5"/>
      <c r="Z111" s="5">
        <f>IF((V111-W111)&lt;0,0,(V111-W111))</f>
        <v>0</v>
      </c>
      <c r="AA111" s="5">
        <f>IF((W111-V111)&lt;0,0,(W111-V111))</f>
        <v>0</v>
      </c>
    </row>
    <row r="112" spans="1:27" ht="38.25">
      <c r="A112" s="37" t="s">
        <v>25</v>
      </c>
      <c r="B112" s="9" t="s">
        <v>33</v>
      </c>
      <c r="C112" s="1"/>
      <c r="D112" s="5">
        <f>Table14[[#This Row],[Enrolment S.Y. 2025-2026 ]]*8</f>
        <v>0</v>
      </c>
      <c r="E112" s="5"/>
      <c r="F112" s="1"/>
      <c r="G112" s="5"/>
      <c r="H112" s="5">
        <f>IF((D112-E112)&lt;0,0,(D112-E112))</f>
        <v>0</v>
      </c>
      <c r="I112" s="5">
        <f>IF((E112-D112)&lt;0,0,(E112-D112))</f>
        <v>0</v>
      </c>
      <c r="J112" s="5">
        <f>Table14[[#This Row],[Enrolment S.Y. 2025-2026 ]]*8</f>
        <v>0</v>
      </c>
      <c r="K112" s="5"/>
      <c r="L112" s="1"/>
      <c r="M112" s="5"/>
      <c r="N112" s="5">
        <f>IF((J112-K112)&lt;0,0,(J112-K112))</f>
        <v>0</v>
      </c>
      <c r="O112" s="5">
        <f>IF((K112-J112)&lt;0,0,(K112-J112))</f>
        <v>0</v>
      </c>
      <c r="P112" s="5">
        <f>Table14[[#This Row],[Enrolment S.Y. 2025-2026 ]]*8</f>
        <v>0</v>
      </c>
      <c r="Q112" s="5"/>
      <c r="R112" s="1"/>
      <c r="S112" s="5"/>
      <c r="T112" s="5">
        <f>IF((P112-Q112)&lt;0,0,(P112-Q112))</f>
        <v>0</v>
      </c>
      <c r="U112" s="5">
        <f>IF((Q112-P112)&lt;0,0,(Q112-P112))</f>
        <v>0</v>
      </c>
      <c r="V112" s="5">
        <f>Table14[[#This Row],[Enrolment S.Y. 2025-2026 ]]*8</f>
        <v>0</v>
      </c>
      <c r="W112" s="5"/>
      <c r="X112" s="1"/>
      <c r="Y112" s="5"/>
      <c r="Z112" s="5">
        <f>IF((V112-W112)&lt;0,0,(V112-W112))</f>
        <v>0</v>
      </c>
      <c r="AA112" s="5">
        <f>IF((W112-V112)&lt;0,0,(W112-V112))</f>
        <v>0</v>
      </c>
    </row>
    <row r="113" spans="1:28" ht="15">
      <c r="A113" s="46"/>
      <c r="B113" s="46"/>
      <c r="C113" s="46"/>
      <c r="D113" s="52"/>
      <c r="E113" s="52"/>
      <c r="F113" s="46"/>
      <c r="G113" s="52"/>
      <c r="H113" s="52"/>
      <c r="I113" s="52"/>
      <c r="J113" s="52"/>
      <c r="K113" s="52"/>
      <c r="L113" s="46"/>
      <c r="M113" s="52"/>
      <c r="N113" s="52"/>
      <c r="O113" s="52"/>
      <c r="P113" s="52"/>
      <c r="Q113" s="52"/>
      <c r="R113" s="46"/>
      <c r="S113" s="52"/>
      <c r="T113" s="52"/>
      <c r="U113" s="52"/>
      <c r="V113" s="52"/>
      <c r="W113" s="52"/>
      <c r="X113" s="46"/>
      <c r="Y113" s="52"/>
      <c r="Z113" s="52"/>
      <c r="AA113" s="52"/>
    </row>
    <row r="114" spans="1:28" s="7" customFormat="1" ht="15"/>
    <row r="115" spans="1:28" ht="15">
      <c r="A115" s="46"/>
      <c r="B115" s="46"/>
      <c r="C115" s="46"/>
      <c r="D115" s="52"/>
      <c r="E115" s="52"/>
      <c r="F115" s="46"/>
      <c r="G115" s="52"/>
      <c r="H115" s="52"/>
      <c r="I115" s="52"/>
      <c r="J115" s="52"/>
      <c r="K115" s="52"/>
      <c r="L115" s="46"/>
      <c r="M115" s="52"/>
      <c r="N115" s="52"/>
      <c r="O115" s="52"/>
      <c r="P115" s="52"/>
      <c r="Q115" s="52"/>
      <c r="R115" s="46"/>
      <c r="S115" s="52"/>
      <c r="T115" s="52"/>
      <c r="U115" s="52"/>
      <c r="V115" s="52"/>
      <c r="W115" s="52"/>
      <c r="X115" s="46"/>
      <c r="Y115" s="52"/>
      <c r="Z115" s="52"/>
      <c r="AA115" s="52"/>
    </row>
    <row r="116" spans="1:28" ht="15">
      <c r="A116" s="46"/>
      <c r="B116" s="46"/>
      <c r="C116" s="46"/>
      <c r="D116" s="52"/>
      <c r="E116" s="52"/>
      <c r="F116" s="46"/>
      <c r="G116" s="52"/>
      <c r="H116" s="52"/>
      <c r="I116" s="52"/>
      <c r="J116" s="52"/>
      <c r="K116" s="52"/>
      <c r="L116" s="46"/>
      <c r="M116" s="52"/>
      <c r="N116" s="52"/>
      <c r="O116" s="52"/>
      <c r="P116" s="52"/>
      <c r="Q116" s="52"/>
      <c r="R116" s="46"/>
      <c r="S116" s="52"/>
      <c r="T116" s="52"/>
      <c r="U116" s="52"/>
      <c r="V116" s="52"/>
      <c r="W116" s="52"/>
      <c r="X116" s="46"/>
      <c r="Y116" s="52"/>
      <c r="Z116" s="52"/>
      <c r="AA116" s="52"/>
    </row>
    <row r="117" spans="1:28" ht="15">
      <c r="A117" s="46"/>
      <c r="B117" s="46"/>
      <c r="C117" s="46"/>
      <c r="D117" s="52"/>
      <c r="E117" s="52"/>
      <c r="F117" s="46"/>
      <c r="G117" s="52"/>
      <c r="H117" s="52"/>
      <c r="I117" s="52"/>
      <c r="J117" s="52"/>
      <c r="K117" s="52"/>
      <c r="L117" s="46"/>
      <c r="M117" s="52"/>
      <c r="N117" s="52"/>
      <c r="O117" s="52"/>
      <c r="P117" s="52"/>
      <c r="Q117" s="52"/>
      <c r="R117" s="46"/>
      <c r="S117" s="52"/>
      <c r="T117" s="52"/>
      <c r="U117" s="52"/>
      <c r="V117" s="52"/>
      <c r="W117" s="52"/>
      <c r="X117" s="46"/>
      <c r="Y117" s="52"/>
      <c r="Z117" s="52"/>
      <c r="AA117" s="52"/>
    </row>
    <row r="118" spans="1:28" ht="15">
      <c r="A118" s="46"/>
      <c r="B118" s="46"/>
      <c r="C118" s="46"/>
      <c r="D118" s="52"/>
      <c r="E118" s="52"/>
      <c r="F118" s="46"/>
      <c r="G118" s="52"/>
      <c r="H118" s="52"/>
      <c r="I118" s="52"/>
      <c r="J118" s="52"/>
      <c r="K118" s="52"/>
      <c r="L118" s="46"/>
      <c r="M118" s="52"/>
      <c r="N118" s="52"/>
      <c r="O118" s="52"/>
      <c r="P118" s="52"/>
      <c r="Q118" s="52"/>
      <c r="R118" s="46"/>
      <c r="S118" s="52"/>
      <c r="T118" s="52"/>
      <c r="U118" s="52"/>
      <c r="V118" s="52"/>
      <c r="W118" s="52"/>
      <c r="X118" s="46"/>
      <c r="Y118" s="52"/>
      <c r="Z118" s="52"/>
      <c r="AA118" s="52"/>
    </row>
    <row r="119" spans="1:28" ht="15">
      <c r="A119" s="46"/>
      <c r="B119" s="46"/>
      <c r="C119" s="46"/>
      <c r="D119" s="52"/>
      <c r="E119" s="52"/>
      <c r="F119" s="46"/>
      <c r="G119" s="52"/>
      <c r="H119" s="52"/>
      <c r="I119" s="52"/>
      <c r="J119" s="52"/>
      <c r="K119" s="52"/>
      <c r="L119" s="46"/>
      <c r="M119" s="52"/>
      <c r="N119" s="52"/>
      <c r="O119" s="52"/>
      <c r="P119" s="52"/>
      <c r="Q119" s="52"/>
      <c r="R119" s="46"/>
      <c r="S119" s="52"/>
      <c r="T119" s="52"/>
      <c r="U119" s="52"/>
      <c r="V119" s="52"/>
      <c r="W119" s="52"/>
      <c r="X119" s="46"/>
      <c r="Y119" s="52"/>
      <c r="Z119" s="52"/>
      <c r="AA119" s="52"/>
    </row>
    <row r="120" spans="1:28" ht="15">
      <c r="A120" s="46"/>
      <c r="B120" s="46"/>
      <c r="C120" s="46"/>
      <c r="D120" s="52"/>
      <c r="E120" s="52"/>
      <c r="F120" s="46"/>
      <c r="G120" s="52"/>
      <c r="H120" s="52"/>
      <c r="I120" s="52"/>
      <c r="J120" s="52"/>
      <c r="K120" s="52"/>
      <c r="L120" s="46"/>
      <c r="M120" s="52"/>
      <c r="N120" s="52"/>
      <c r="O120" s="52"/>
      <c r="P120" s="52"/>
      <c r="Q120" s="52"/>
      <c r="R120" s="46"/>
      <c r="S120" s="52"/>
      <c r="T120" s="52"/>
      <c r="U120" s="52"/>
      <c r="V120" s="52"/>
      <c r="W120" s="52"/>
      <c r="X120" s="46"/>
      <c r="Y120" s="52"/>
      <c r="Z120" s="52"/>
      <c r="AA120" s="52"/>
    </row>
    <row r="121" spans="1:28" ht="15">
      <c r="A121" s="46"/>
      <c r="B121" s="46"/>
      <c r="C121" s="46"/>
      <c r="D121" s="52"/>
      <c r="E121" s="52"/>
      <c r="F121" s="46"/>
      <c r="G121" s="52"/>
      <c r="H121" s="52"/>
      <c r="I121" s="52"/>
      <c r="J121" s="52"/>
      <c r="K121" s="52"/>
      <c r="L121" s="46"/>
      <c r="M121" s="52"/>
      <c r="N121" s="52"/>
      <c r="O121" s="52"/>
      <c r="P121" s="52"/>
      <c r="Q121" s="52"/>
      <c r="R121" s="46"/>
      <c r="S121" s="52"/>
      <c r="T121" s="52"/>
      <c r="U121" s="52"/>
      <c r="V121" s="52"/>
      <c r="W121" s="52"/>
      <c r="X121" s="46"/>
      <c r="Y121" s="52"/>
      <c r="Z121" s="52"/>
      <c r="AA121" s="52"/>
    </row>
    <row r="122" spans="1:28" ht="15">
      <c r="A122" s="46"/>
      <c r="B122" s="46"/>
      <c r="C122" s="46"/>
      <c r="D122" s="52"/>
      <c r="E122" s="52"/>
      <c r="F122" s="46"/>
      <c r="G122" s="52"/>
      <c r="H122" s="52"/>
      <c r="I122" s="52"/>
      <c r="J122" s="52"/>
      <c r="K122" s="52"/>
      <c r="L122" s="46"/>
      <c r="M122" s="52"/>
      <c r="N122" s="52"/>
      <c r="O122" s="52"/>
      <c r="P122" s="52"/>
      <c r="Q122" s="52"/>
      <c r="R122" s="46"/>
      <c r="S122" s="52"/>
      <c r="T122" s="52"/>
      <c r="U122" s="52"/>
      <c r="V122" s="52"/>
      <c r="W122" s="52"/>
      <c r="X122" s="46"/>
      <c r="Y122" s="52"/>
      <c r="Z122" s="52"/>
      <c r="AA122" s="52"/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 D55:F65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25" right="0.25" top="0.75" bottom="0.75" header="0.3" footer="0.3"/>
  <pageSetup paperSize="6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JAY T INOCENCIO</cp:lastModifiedBy>
  <cp:revision/>
  <dcterms:created xsi:type="dcterms:W3CDTF">2025-11-19T20:48:15Z</dcterms:created>
  <dcterms:modified xsi:type="dcterms:W3CDTF">2026-03-26T04:48:49Z</dcterms:modified>
  <cp:category/>
  <cp:contentStatus/>
</cp:coreProperties>
</file>