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47" documentId="13_ncr:1_{BFB59F67-F0DC-4675-A682-EB0734A8026A}" xr6:coauthVersionLast="47" xr6:coauthVersionMax="47" xr10:uidLastSave="{56A76CC2-D74F-4B80-8E6B-CFCE0A03016D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H64" i="5"/>
  <c r="J64" i="5"/>
  <c r="T64" i="5"/>
  <c r="V64" i="5"/>
  <c r="Z64" i="5" s="1"/>
  <c r="H61" i="5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H3" i="4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I65" i="5"/>
  <c r="V63" i="5"/>
  <c r="AA63" i="5" s="1"/>
  <c r="U63" i="5"/>
  <c r="J63" i="5"/>
  <c r="I63" i="5"/>
  <c r="V62" i="5"/>
  <c r="AA62" i="5" s="1"/>
  <c r="U62" i="5"/>
  <c r="J62" i="5"/>
  <c r="I62" i="5"/>
  <c r="V60" i="5"/>
  <c r="AA60" i="5" s="1"/>
  <c r="P60" i="5"/>
  <c r="U60" i="5" s="1"/>
  <c r="J60" i="5"/>
  <c r="N60" i="5" s="1"/>
  <c r="I60" i="5"/>
  <c r="V59" i="5"/>
  <c r="AA59" i="5" s="1"/>
  <c r="P59" i="5"/>
  <c r="U59" i="5" s="1"/>
  <c r="J59" i="5"/>
  <c r="I59" i="5"/>
  <c r="V58" i="5"/>
  <c r="AA58" i="5" s="1"/>
  <c r="P58" i="5"/>
  <c r="U58" i="5" s="1"/>
  <c r="J58" i="5"/>
  <c r="N58" i="5" s="1"/>
  <c r="I58" i="5"/>
  <c r="V57" i="5"/>
  <c r="AA57" i="5" s="1"/>
  <c r="P57" i="5"/>
  <c r="U57" i="5" s="1"/>
  <c r="J57" i="5"/>
  <c r="H57" i="5"/>
  <c r="V56" i="5"/>
  <c r="AA56" i="5" s="1"/>
  <c r="P56" i="5"/>
  <c r="U56" i="5" s="1"/>
  <c r="J56" i="5"/>
  <c r="N56" i="5" s="1"/>
  <c r="I56" i="5"/>
  <c r="V55" i="5"/>
  <c r="AA55" i="5" s="1"/>
  <c r="P55" i="5"/>
  <c r="U55" i="5" s="1"/>
  <c r="J55" i="5"/>
  <c r="I55" i="5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H29" i="4"/>
  <c r="H30" i="4"/>
  <c r="D19" i="4"/>
  <c r="H19" i="4" s="1"/>
  <c r="H10" i="4"/>
  <c r="H11" i="4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I7" i="4"/>
  <c r="I8" i="4"/>
  <c r="I9" i="4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I27" i="4"/>
  <c r="I28" i="4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I41" i="4"/>
  <c r="I43" i="4"/>
  <c r="H44" i="4"/>
  <c r="H45" i="4"/>
  <c r="I48" i="4"/>
  <c r="I49" i="4"/>
  <c r="H50" i="4"/>
  <c r="H51" i="4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<sst xmlns="http://schemas.openxmlformats.org/spreadsheetml/2006/main" count="445" uniqueCount="92">
  <si>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</si>
  <si>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</si>
  <si>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</si>
  <si>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</si>
  <si>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</si>
  <si>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</si>
  <si>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</si>
  <si>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</si>
  <si>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</si>
  <si>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</si>
  <si>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</si>
  <si>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</si>
  <si>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</si>
  <si>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</si>
  <si>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</si>
  <si>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</si>
  <si>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</si>
  <si>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CO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</si>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</sst>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sz val="14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15" fillId="7" borderId="1" xfId="0" applyFont="1" applyFill="1" applyBorder="1" applyAlignment="1">
      <alignment horizontal="left" vertical="center" wrapText="1"/>
    </xf>
    <xf numFmtId="0" fontId="15" fillId="7" borderId="1" xfId="0" applyFont="1" applyFill="1" applyBorder="1" applyAlignment="1">
      <alignment vertical="center" wrapText="1"/>
    </xf>
    <xf numFmtId="0" fontId="15" fillId="9" borderId="1" xfId="0" applyFont="1" applyFill="1" applyBorder="1" applyAlignment="1">
      <alignment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8"/>
  <sheetViews>
    <sheetView zoomScale="85" zoomScaleNormal="85" workbookViewId="0">
      <pane xSplit="2" topLeftCell="C1" activePane="topRight" state="frozen"/>
      <selection pane="topRight" activeCell="J2" sqref="J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>
        <v>304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304</v>
      </c>
    </row>
    <row r="3" spans="1:8" ht="29.25" customHeight="1">
      <c r="A3" s="1">
        <v>1</v>
      </c>
      <c r="B3" s="2" t="s">
        <v>10</v>
      </c>
      <c r="C3" s="1"/>
      <c r="D3" s="1">
        <v>304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304</v>
      </c>
    </row>
    <row r="4" spans="1:8" ht="21" customHeight="1">
      <c r="A4" s="1">
        <v>1</v>
      </c>
      <c r="B4" s="2" t="s">
        <v>11</v>
      </c>
      <c r="C4" s="1"/>
      <c r="D4" s="1">
        <v>304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304</v>
      </c>
    </row>
    <row r="5" spans="1:8" ht="25.5" customHeight="1">
      <c r="A5" s="1">
        <v>1</v>
      </c>
      <c r="B5" s="2" t="s">
        <v>12</v>
      </c>
      <c r="C5" s="1"/>
      <c r="D5" s="1">
        <v>304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304</v>
      </c>
    </row>
    <row r="6" spans="1:8" ht="19.149999999999999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/>
      <c r="D23" s="1">
        <v>339</v>
      </c>
      <c r="E23" s="1">
        <v>2025</v>
      </c>
      <c r="F23" s="5" t="s">
        <v>17</v>
      </c>
      <c r="G23" s="3">
        <f t="shared" si="4"/>
        <v>0</v>
      </c>
      <c r="H23" s="4">
        <f t="shared" si="5"/>
        <v>339</v>
      </c>
    </row>
    <row r="24" spans="1:8" ht="27" customHeight="1">
      <c r="A24" s="1">
        <v>4</v>
      </c>
      <c r="B24" s="9" t="s">
        <v>11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18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19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20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/>
      <c r="D31" s="1">
        <v>314</v>
      </c>
      <c r="E31" s="1">
        <v>2025</v>
      </c>
      <c r="F31" s="5" t="s">
        <v>17</v>
      </c>
      <c r="G31" s="3">
        <f t="shared" ref="G31:G39" si="6">IF((C31-D31)&lt;0,0,C31-D31)</f>
        <v>0</v>
      </c>
      <c r="H31" s="4">
        <f t="shared" ref="H31:H39" si="7">IF((D31-C31)&lt;0,0,D31-C31)</f>
        <v>314</v>
      </c>
    </row>
    <row r="32" spans="1:8" ht="27.75" customHeight="1">
      <c r="A32" s="1">
        <v>5</v>
      </c>
      <c r="B32" s="9" t="s">
        <v>16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/>
      <c r="D35" s="1">
        <v>402</v>
      </c>
      <c r="E35" s="1">
        <v>2025</v>
      </c>
      <c r="F35" s="5" t="s">
        <v>17</v>
      </c>
      <c r="G35" s="3">
        <f t="shared" si="6"/>
        <v>0</v>
      </c>
      <c r="H35" s="4">
        <f t="shared" si="7"/>
        <v>402</v>
      </c>
    </row>
    <row r="36" spans="1:8" ht="27.75" customHeight="1">
      <c r="A36" s="1">
        <v>5</v>
      </c>
      <c r="B36" s="9" t="s">
        <v>14</v>
      </c>
      <c r="C36" s="1"/>
      <c r="D36" s="1">
        <v>314</v>
      </c>
      <c r="E36" s="1">
        <v>2025</v>
      </c>
      <c r="F36" s="5" t="s">
        <v>17</v>
      </c>
      <c r="G36" s="3">
        <f t="shared" si="6"/>
        <v>0</v>
      </c>
      <c r="H36" s="4">
        <f t="shared" si="7"/>
        <v>314</v>
      </c>
    </row>
    <row r="37" spans="1:8" ht="27.75" customHeight="1">
      <c r="A37" s="1">
        <v>5</v>
      </c>
      <c r="B37" s="9" t="s">
        <v>19</v>
      </c>
      <c r="C37" s="1"/>
      <c r="D37" s="1">
        <v>315</v>
      </c>
      <c r="E37" s="1">
        <v>2025</v>
      </c>
      <c r="F37" s="5" t="s">
        <v>17</v>
      </c>
      <c r="G37" s="3">
        <f t="shared" si="6"/>
        <v>0</v>
      </c>
      <c r="H37" s="4">
        <f t="shared" si="7"/>
        <v>315</v>
      </c>
    </row>
    <row r="38" spans="1:8" ht="27.75" customHeight="1">
      <c r="A38" s="1">
        <v>5</v>
      </c>
      <c r="B38" s="9" t="s">
        <v>20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pageSetup paperSize="6"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sheetPr>
    <pageSetUpPr fitToPage="1"/>
  </sheetPr>
  <dimension ref="A1:AA157"/>
  <sheetViews>
    <sheetView topLeftCell="J1" zoomScale="70" zoomScaleNormal="70" workbookViewId="0">
      <selection activeCell="AE2" sqref="AE2"/>
    </sheetView>
  </sheetViews>
  <sheetFormatPr defaultRowHeight="13.9"/>
  <cols>
    <col min="1" max="1" width="9.42578125" customWidth="1"/>
    <col min="2" max="2" width="24" customWidth="1"/>
    <col min="3" max="4" width="13" customWidth="1"/>
    <col min="5" max="5" width="20" customWidth="1"/>
    <col min="6" max="10" width="12.85546875" customWidth="1"/>
    <col min="11" max="11" width="20.140625" customWidth="1"/>
    <col min="12" max="16" width="13.7109375" customWidth="1"/>
    <col min="17" max="17" width="21.140625" customWidth="1"/>
    <col min="18" max="22" width="12.28515625" customWidth="1"/>
    <col min="23" max="23" width="20.42578125" customWidth="1"/>
    <col min="24" max="27" width="10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/>
      <c r="D3" s="34"/>
      <c r="E3" s="34">
        <v>72</v>
      </c>
      <c r="F3" s="32">
        <v>2025</v>
      </c>
      <c r="G3" s="34" t="s">
        <v>9</v>
      </c>
      <c r="H3" s="34">
        <f>IF((D3-E3)&lt;0,0,(D3-E3))</f>
        <v>0</v>
      </c>
      <c r="I3" s="34">
        <f>IF((E3-D3)&lt;0,0,(E3-D3))</f>
        <v>72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/>
      <c r="D7" s="5">
        <v>0</v>
      </c>
      <c r="E7" s="5">
        <v>205</v>
      </c>
      <c r="F7" s="1">
        <v>2025</v>
      </c>
      <c r="G7" s="5" t="s">
        <v>9</v>
      </c>
      <c r="H7" s="5">
        <f>IF((D7-E7)&lt;0,0,(D7-E7))</f>
        <v>0</v>
      </c>
      <c r="I7" s="5">
        <f>IF((E7-D7)&lt;0,0,(E7-D7))</f>
        <v>205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/>
      <c r="D8" s="5">
        <v>0</v>
      </c>
      <c r="E8" s="5">
        <v>205</v>
      </c>
      <c r="F8" s="1">
        <v>2025</v>
      </c>
      <c r="G8" s="5" t="s">
        <v>9</v>
      </c>
      <c r="H8" s="5">
        <f>IF((D8-E8)&lt;0,0,(D8-E8))</f>
        <v>0</v>
      </c>
      <c r="I8" s="5">
        <f>IF((E8-D8)&lt;0,0,(E8-D8))</f>
        <v>205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/>
      <c r="D9" s="5">
        <v>0</v>
      </c>
      <c r="E9" s="5">
        <v>205</v>
      </c>
      <c r="F9" s="1">
        <v>2025</v>
      </c>
      <c r="G9" s="5" t="s">
        <v>9</v>
      </c>
      <c r="H9" s="5">
        <f>IF((D9-E9)&lt;0,0,(D9-E9))</f>
        <v>0</v>
      </c>
      <c r="I9" s="5">
        <f>IF((E9-D9)&lt;0,0,(E9-D9))</f>
        <v>205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/>
      <c r="D10" s="5">
        <v>0</v>
      </c>
      <c r="E10" s="5">
        <v>205</v>
      </c>
      <c r="F10" s="1">
        <v>2025</v>
      </c>
      <c r="G10" s="5" t="s">
        <v>9</v>
      </c>
      <c r="H10" s="5">
        <f>IF((D10-E10)&lt;0,0,(D10-E10))</f>
        <v>0</v>
      </c>
      <c r="I10" s="5">
        <f>IF((E10-D10)&lt;0,0,(E10-D10))</f>
        <v>205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/>
      <c r="D11" s="5">
        <v>0</v>
      </c>
      <c r="E11" s="5">
        <v>205</v>
      </c>
      <c r="F11" s="1">
        <v>2025</v>
      </c>
      <c r="G11" s="5" t="s">
        <v>9</v>
      </c>
      <c r="H11" s="5">
        <f>IF((D11-E11)&lt;0,0,(D11-E11))</f>
        <v>0</v>
      </c>
      <c r="I11" s="5">
        <f>IF((E11-D11)&lt;0,0,(E11-D11))</f>
        <v>205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63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6.75">
      <c r="A14" s="1">
        <v>2</v>
      </c>
      <c r="B14" s="46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16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63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6.75">
      <c r="A23" s="1">
        <v>3</v>
      </c>
      <c r="B23" s="46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/>
      <c r="D25" s="5">
        <v>0</v>
      </c>
      <c r="E25" s="5">
        <v>232</v>
      </c>
      <c r="F25" s="1">
        <v>2025</v>
      </c>
      <c r="G25" s="5" t="s">
        <v>9</v>
      </c>
      <c r="H25" s="5">
        <f t="shared" si="2"/>
        <v>0</v>
      </c>
      <c r="I25" s="5">
        <f t="shared" si="3"/>
        <v>232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/>
      <c r="D26" s="5">
        <v>0</v>
      </c>
      <c r="E26" s="5">
        <v>232</v>
      </c>
      <c r="F26" s="1">
        <v>2025</v>
      </c>
      <c r="G26" s="5" t="s">
        <v>9</v>
      </c>
      <c r="H26" s="5">
        <f t="shared" si="2"/>
        <v>0</v>
      </c>
      <c r="I26" s="5">
        <f t="shared" si="3"/>
        <v>232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/>
      <c r="D27" s="5">
        <v>0</v>
      </c>
      <c r="E27" s="5">
        <v>232</v>
      </c>
      <c r="F27" s="1">
        <v>2025</v>
      </c>
      <c r="G27" s="5" t="s">
        <v>9</v>
      </c>
      <c r="H27" s="5">
        <f t="shared" si="2"/>
        <v>0</v>
      </c>
      <c r="I27" s="5">
        <f t="shared" si="3"/>
        <v>232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/>
      <c r="D28" s="5">
        <v>0</v>
      </c>
      <c r="E28" s="5">
        <v>232</v>
      </c>
      <c r="F28" s="1">
        <v>2025</v>
      </c>
      <c r="G28" s="5" t="s">
        <v>9</v>
      </c>
      <c r="H28" s="5">
        <f t="shared" si="2"/>
        <v>0</v>
      </c>
      <c r="I28" s="5">
        <f t="shared" si="3"/>
        <v>232</v>
      </c>
      <c r="J28" s="5">
        <f>Table1[[#This Row],[Enrolment S.Y. 2025-2026 ]]*8</f>
        <v>0</v>
      </c>
      <c r="K28" s="5">
        <v>274</v>
      </c>
      <c r="L28" s="1">
        <v>2025</v>
      </c>
      <c r="M28" s="5" t="s">
        <v>9</v>
      </c>
      <c r="N28" s="5">
        <f t="shared" si="10"/>
        <v>0</v>
      </c>
      <c r="O28" s="5">
        <f t="shared" si="11"/>
        <v>274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/>
      <c r="D29" s="5">
        <v>0</v>
      </c>
      <c r="E29" s="5">
        <v>232</v>
      </c>
      <c r="F29" s="1">
        <v>2025</v>
      </c>
      <c r="G29" s="5" t="s">
        <v>9</v>
      </c>
      <c r="H29" s="5">
        <f>IF((D29-E29)&lt;0,0,(D29-E29))</f>
        <v>0</v>
      </c>
      <c r="I29" s="5">
        <f>IF((E29-D29)&lt;0,0,(E29-D29))</f>
        <v>232</v>
      </c>
      <c r="J29" s="5">
        <f>Table1[[#This Row],[Enrolment S.Y. 2025-2026 ]]*8</f>
        <v>0</v>
      </c>
      <c r="K29" s="5">
        <v>274</v>
      </c>
      <c r="L29" s="1">
        <v>2025</v>
      </c>
      <c r="M29" s="5" t="s">
        <v>9</v>
      </c>
      <c r="N29" s="5">
        <f t="shared" si="10"/>
        <v>0</v>
      </c>
      <c r="O29" s="5">
        <f t="shared" si="11"/>
        <v>274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/>
      <c r="D30" s="5">
        <v>0</v>
      </c>
      <c r="E30" s="5">
        <v>232</v>
      </c>
      <c r="F30" s="1">
        <v>2025</v>
      </c>
      <c r="G30" s="5" t="s">
        <v>9</v>
      </c>
      <c r="H30" s="5">
        <f>IF((D30-E30)&lt;0,0,(D30-E30))</f>
        <v>0</v>
      </c>
      <c r="I30" s="5">
        <f>IF((E30-D30)&lt;0,0,(E30-D30))</f>
        <v>232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63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15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16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36.75">
      <c r="A37" s="1">
        <v>4</v>
      </c>
      <c r="B37" s="47" t="s">
        <v>18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14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19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20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/>
      <c r="D41" s="5">
        <v>0</v>
      </c>
      <c r="E41" s="5">
        <v>328</v>
      </c>
      <c r="F41" s="1">
        <v>2025</v>
      </c>
      <c r="G41" s="5" t="s">
        <v>9</v>
      </c>
      <c r="H41" s="5">
        <f t="shared" si="2"/>
        <v>0</v>
      </c>
      <c r="I41" s="5">
        <f t="shared" si="3"/>
        <v>328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/>
      <c r="D43" s="5">
        <v>0</v>
      </c>
      <c r="E43" s="5">
        <v>105</v>
      </c>
      <c r="F43" s="1">
        <v>2025</v>
      </c>
      <c r="G43" s="5" t="s">
        <v>9</v>
      </c>
      <c r="H43" s="5">
        <f t="shared" si="2"/>
        <v>0</v>
      </c>
      <c r="I43" s="5">
        <f t="shared" si="3"/>
        <v>105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/>
      <c r="D44" s="5">
        <v>0</v>
      </c>
      <c r="E44" s="5">
        <v>105</v>
      </c>
      <c r="F44" s="1">
        <v>2025</v>
      </c>
      <c r="G44" s="5" t="s">
        <v>9</v>
      </c>
      <c r="H44" s="5">
        <f t="shared" si="2"/>
        <v>0</v>
      </c>
      <c r="I44" s="5">
        <f t="shared" si="3"/>
        <v>105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/>
      <c r="D45" s="5">
        <v>0</v>
      </c>
      <c r="E45" s="5">
        <v>105</v>
      </c>
      <c r="F45" s="1">
        <v>2025</v>
      </c>
      <c r="G45" s="5" t="s">
        <v>9</v>
      </c>
      <c r="H45" s="5">
        <f t="shared" si="2"/>
        <v>0</v>
      </c>
      <c r="I45" s="5">
        <f t="shared" si="3"/>
        <v>105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/>
      <c r="D46" s="5">
        <v>0</v>
      </c>
      <c r="E46" s="5">
        <v>105</v>
      </c>
      <c r="F46" s="1">
        <v>2025</v>
      </c>
      <c r="G46" s="5" t="s">
        <v>9</v>
      </c>
      <c r="H46" s="5">
        <f t="shared" si="2"/>
        <v>0</v>
      </c>
      <c r="I46" s="5">
        <f t="shared" si="3"/>
        <v>105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/>
      <c r="D47" s="5">
        <v>0</v>
      </c>
      <c r="E47" s="5">
        <v>105</v>
      </c>
      <c r="F47" s="1">
        <v>2025</v>
      </c>
      <c r="G47" s="5" t="s">
        <v>9</v>
      </c>
      <c r="H47" s="5">
        <f t="shared" si="2"/>
        <v>0</v>
      </c>
      <c r="I47" s="5">
        <f t="shared" si="3"/>
        <v>105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/>
      <c r="D48" s="5">
        <v>0</v>
      </c>
      <c r="E48" s="5">
        <v>105</v>
      </c>
      <c r="F48" s="1">
        <v>2025</v>
      </c>
      <c r="G48" s="5" t="s">
        <v>9</v>
      </c>
      <c r="H48" s="5">
        <f t="shared" si="2"/>
        <v>0</v>
      </c>
      <c r="I48" s="5">
        <f t="shared" si="3"/>
        <v>105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/>
      <c r="D49" s="5">
        <v>0</v>
      </c>
      <c r="E49" s="5">
        <v>105</v>
      </c>
      <c r="F49" s="1">
        <v>2025</v>
      </c>
      <c r="G49" s="5" t="s">
        <v>9</v>
      </c>
      <c r="H49" s="5">
        <f t="shared" si="2"/>
        <v>0</v>
      </c>
      <c r="I49" s="5">
        <f t="shared" si="3"/>
        <v>105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/>
      <c r="D50" s="5">
        <v>0</v>
      </c>
      <c r="E50" s="5">
        <v>105</v>
      </c>
      <c r="F50" s="1">
        <v>2025</v>
      </c>
      <c r="G50" s="5" t="s">
        <v>9</v>
      </c>
      <c r="H50" s="5">
        <f t="shared" si="2"/>
        <v>0</v>
      </c>
      <c r="I50" s="5">
        <f t="shared" si="3"/>
        <v>105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/>
      <c r="D51" s="5">
        <v>0</v>
      </c>
      <c r="E51" s="5">
        <v>105</v>
      </c>
      <c r="F51" s="1">
        <v>2025</v>
      </c>
      <c r="G51" s="5" t="s">
        <v>9</v>
      </c>
      <c r="H51" s="5">
        <f t="shared" si="2"/>
        <v>0</v>
      </c>
      <c r="I51" s="5">
        <f t="shared" si="3"/>
        <v>105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16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6.75">
      <c r="A57" s="1">
        <v>6</v>
      </c>
      <c r="B57" s="47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6.75">
      <c r="A67" s="10">
        <v>7</v>
      </c>
      <c r="B67" s="48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25</v>
      </c>
      <c r="B106" s="47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6.75">
      <c r="A108" s="1" t="s">
        <v>25</v>
      </c>
      <c r="B108" s="47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4.75">
      <c r="A109" s="1" t="s">
        <v>25</v>
      </c>
      <c r="B109" s="47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H5:L5 D14:F21 Q14:R21 W14:X21 Q23:R31 W23:X31 H33:I41 Q33:R41 W33:X4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N5:R12 T5:X12 N4:P4 T4:V4 J4 Z4:AA127 N3:R3 Y13 D2:F3 D5:F12 D23:F31 D33:F41 D43:F51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25" right="0.25" top="0.75" bottom="0.75" header="0.3" footer="0.3"/>
  <pageSetup paperSize="6" fitToHeight="0" orientation="landscape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sheetPr>
    <pageSetUpPr fitToPage="1"/>
  </sheetPr>
  <dimension ref="A1:AB170"/>
  <sheetViews>
    <sheetView tabSelected="1" topLeftCell="J1" zoomScale="55" zoomScaleNormal="55" workbookViewId="0">
      <selection activeCell="S7" sqref="S7"/>
    </sheetView>
  </sheetViews>
  <sheetFormatPr defaultRowHeight="13.9"/>
  <cols>
    <col min="1" max="1" width="9.42578125" customWidth="1"/>
    <col min="2" max="2" width="23.28515625" customWidth="1"/>
    <col min="3" max="4" width="12.42578125" customWidth="1"/>
    <col min="5" max="5" width="21.7109375" customWidth="1"/>
    <col min="6" max="10" width="13.42578125" customWidth="1"/>
    <col min="11" max="11" width="21.85546875" customWidth="1"/>
    <col min="12" max="16" width="12.85546875" customWidth="1"/>
    <col min="17" max="17" width="21.42578125" customWidth="1"/>
    <col min="18" max="22" width="12.5703125" customWidth="1"/>
    <col min="23" max="23" width="21.28515625" customWidth="1"/>
    <col min="24" max="28" width="12" customWidth="1"/>
  </cols>
  <sheetData>
    <row r="1" spans="1:27" s="28" customFormat="1" ht="34.15" customHeight="1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6.75">
      <c r="A3" s="1">
        <v>1</v>
      </c>
      <c r="B3" s="46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16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6.75">
      <c r="A12" s="1">
        <v>2</v>
      </c>
      <c r="B12" s="46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>
        <v>255</v>
      </c>
      <c r="L15" s="1">
        <v>2025</v>
      </c>
      <c r="M15" s="5" t="s">
        <v>9</v>
      </c>
      <c r="N15" s="5">
        <f t="shared" si="2"/>
        <v>0</v>
      </c>
      <c r="O15" s="5">
        <f t="shared" si="3"/>
        <v>255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16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15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63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6.75">
      <c r="A21" s="1">
        <v>3</v>
      </c>
      <c r="B21" s="46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16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63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16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>
        <v>76</v>
      </c>
      <c r="X33" s="1">
        <v>2025</v>
      </c>
      <c r="Y33" s="5" t="s">
        <v>9</v>
      </c>
      <c r="Z33" s="5">
        <f t="shared" si="6"/>
        <v>0</v>
      </c>
      <c r="AA33" s="5">
        <f t="shared" si="7"/>
        <v>76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6.75">
      <c r="A35" s="1">
        <v>4</v>
      </c>
      <c r="B35" s="47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16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6.75">
      <c r="A47" s="1">
        <v>5</v>
      </c>
      <c r="B47" s="47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/>
      <c r="D55" s="5">
        <v>0</v>
      </c>
      <c r="E55" s="5">
        <v>72</v>
      </c>
      <c r="F55" s="1">
        <v>2025</v>
      </c>
      <c r="G55" s="5" t="s">
        <v>9</v>
      </c>
      <c r="H55" s="5">
        <f t="shared" si="0"/>
        <v>0</v>
      </c>
      <c r="I55" s="5">
        <f t="shared" si="1"/>
        <v>72</v>
      </c>
      <c r="J55" s="5">
        <f>Table14[[#This Row],[Enrolment S.Y. 2025-2026 ]]*8</f>
        <v>0</v>
      </c>
      <c r="K55" s="5">
        <v>46</v>
      </c>
      <c r="L55" s="1">
        <v>2025</v>
      </c>
      <c r="M55" s="5" t="s">
        <v>9</v>
      </c>
      <c r="N55" s="5">
        <f t="shared" si="2"/>
        <v>0</v>
      </c>
      <c r="O55" s="5">
        <f t="shared" si="3"/>
        <v>46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>
        <v>46</v>
      </c>
      <c r="X55" s="1">
        <v>2025</v>
      </c>
      <c r="Y55" s="5" t="s">
        <v>9</v>
      </c>
      <c r="Z55" s="5">
        <f t="shared" si="6"/>
        <v>0</v>
      </c>
      <c r="AA55" s="5">
        <f t="shared" si="7"/>
        <v>46</v>
      </c>
    </row>
    <row r="56" spans="1:27" ht="19.5">
      <c r="A56" s="1">
        <v>6</v>
      </c>
      <c r="B56" s="9" t="s">
        <v>16</v>
      </c>
      <c r="C56" s="1"/>
      <c r="D56" s="5">
        <v>0</v>
      </c>
      <c r="E56" s="5">
        <v>72</v>
      </c>
      <c r="F56" s="1">
        <v>2025</v>
      </c>
      <c r="G56" s="5" t="s">
        <v>9</v>
      </c>
      <c r="H56" s="5">
        <f t="shared" si="0"/>
        <v>0</v>
      </c>
      <c r="I56" s="5">
        <f t="shared" si="1"/>
        <v>72</v>
      </c>
      <c r="J56" s="5">
        <f>Table14[[#This Row],[Enrolment S.Y. 2025-2026 ]]*8</f>
        <v>0</v>
      </c>
      <c r="K56" s="5">
        <v>46</v>
      </c>
      <c r="L56" s="1">
        <v>2025</v>
      </c>
      <c r="M56" s="5" t="s">
        <v>9</v>
      </c>
      <c r="N56" s="5">
        <f t="shared" si="2"/>
        <v>0</v>
      </c>
      <c r="O56" s="5">
        <f t="shared" si="3"/>
        <v>46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>
        <v>46</v>
      </c>
      <c r="X56" s="1">
        <v>2025</v>
      </c>
      <c r="Y56" s="5" t="s">
        <v>9</v>
      </c>
      <c r="Z56" s="5">
        <f t="shared" si="6"/>
        <v>0</v>
      </c>
      <c r="AA56" s="5">
        <f t="shared" si="7"/>
        <v>46</v>
      </c>
    </row>
    <row r="57" spans="1:27" ht="19.5">
      <c r="A57" s="1">
        <v>6</v>
      </c>
      <c r="B57" s="9" t="s">
        <v>13</v>
      </c>
      <c r="C57" s="1"/>
      <c r="D57" s="5">
        <v>0</v>
      </c>
      <c r="E57" s="5">
        <v>72</v>
      </c>
      <c r="F57" s="1">
        <v>2025</v>
      </c>
      <c r="G57" s="5" t="s">
        <v>9</v>
      </c>
      <c r="H57" s="5">
        <f t="shared" si="0"/>
        <v>0</v>
      </c>
      <c r="I57" s="5">
        <f t="shared" si="1"/>
        <v>72</v>
      </c>
      <c r="J57" s="5">
        <f>Table14[[#This Row],[Enrolment S.Y. 2025-2026 ]]*8</f>
        <v>0</v>
      </c>
      <c r="K57" s="5">
        <v>46</v>
      </c>
      <c r="L57" s="1">
        <v>2025</v>
      </c>
      <c r="M57" s="5" t="s">
        <v>9</v>
      </c>
      <c r="N57" s="5">
        <f t="shared" si="2"/>
        <v>0</v>
      </c>
      <c r="O57" s="5">
        <f t="shared" si="3"/>
        <v>46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/>
      <c r="D58" s="5">
        <v>0</v>
      </c>
      <c r="E58" s="5">
        <v>72</v>
      </c>
      <c r="F58" s="1">
        <v>2025</v>
      </c>
      <c r="G58" s="5" t="s">
        <v>9</v>
      </c>
      <c r="H58" s="5">
        <f t="shared" si="0"/>
        <v>0</v>
      </c>
      <c r="I58" s="5">
        <f t="shared" si="1"/>
        <v>72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>
        <v>46</v>
      </c>
      <c r="X58" s="1">
        <v>2025</v>
      </c>
      <c r="Y58" s="5" t="s">
        <v>9</v>
      </c>
      <c r="Z58" s="5">
        <f t="shared" si="6"/>
        <v>0</v>
      </c>
      <c r="AA58" s="5">
        <f t="shared" si="7"/>
        <v>46</v>
      </c>
    </row>
    <row r="59" spans="1:27" ht="38.25">
      <c r="A59" s="1">
        <v>6</v>
      </c>
      <c r="B59" s="9" t="s">
        <v>18</v>
      </c>
      <c r="C59" s="1"/>
      <c r="D59" s="5">
        <v>0</v>
      </c>
      <c r="E59" s="5">
        <v>72</v>
      </c>
      <c r="F59" s="1">
        <v>2025</v>
      </c>
      <c r="G59" s="5" t="s">
        <v>9</v>
      </c>
      <c r="H59" s="5">
        <f t="shared" si="0"/>
        <v>0</v>
      </c>
      <c r="I59" s="5">
        <f t="shared" si="1"/>
        <v>72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>
        <v>46</v>
      </c>
      <c r="R59" s="1">
        <v>2025</v>
      </c>
      <c r="S59" s="5" t="s">
        <v>9</v>
      </c>
      <c r="T59" s="5">
        <f t="shared" si="4"/>
        <v>0</v>
      </c>
      <c r="U59" s="5">
        <f t="shared" si="5"/>
        <v>46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/>
      <c r="D60" s="5">
        <v>0</v>
      </c>
      <c r="E60" s="5">
        <v>72</v>
      </c>
      <c r="F60" s="1">
        <v>2025</v>
      </c>
      <c r="G60" s="5" t="s">
        <v>9</v>
      </c>
      <c r="H60" s="5">
        <f t="shared" si="0"/>
        <v>0</v>
      </c>
      <c r="I60" s="5">
        <f t="shared" si="1"/>
        <v>72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5"/>
      <c r="D61" s="5">
        <v>0</v>
      </c>
      <c r="E61" s="5">
        <v>72</v>
      </c>
      <c r="F61" s="1">
        <v>2025</v>
      </c>
      <c r="G61" s="5" t="s">
        <v>9</v>
      </c>
      <c r="H61" s="5">
        <f>IF((D61-E61)&lt;0,0,(D61-E61))</f>
        <v>0</v>
      </c>
      <c r="I61" s="5">
        <f>IF((E61-D61)&lt;0,0,(E61-D61))</f>
        <v>72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>
        <v>46</v>
      </c>
      <c r="X61" s="1"/>
      <c r="Y61" s="5"/>
      <c r="Z61" s="5">
        <f>IF((V61-W61)&lt;0,0,(V61-W61))</f>
        <v>0</v>
      </c>
      <c r="AA61" s="5">
        <f>IF((W61-V61)&lt;0,0,(W61-V61))</f>
        <v>46</v>
      </c>
    </row>
    <row r="62" spans="1:27" ht="19.5">
      <c r="A62" s="1">
        <v>6</v>
      </c>
      <c r="B62" s="9" t="s">
        <v>89</v>
      </c>
      <c r="C62" s="1"/>
      <c r="D62" s="5">
        <v>0</v>
      </c>
      <c r="E62" s="5">
        <v>72</v>
      </c>
      <c r="F62" s="1">
        <v>2025</v>
      </c>
      <c r="G62" s="5" t="s">
        <v>9</v>
      </c>
      <c r="H62" s="5">
        <f t="shared" si="0"/>
        <v>0</v>
      </c>
      <c r="I62" s="5">
        <f t="shared" si="1"/>
        <v>72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>
        <v>46</v>
      </c>
      <c r="R62" s="1">
        <v>2025</v>
      </c>
      <c r="S62" s="5" t="s">
        <v>9</v>
      </c>
      <c r="T62" s="5">
        <f t="shared" si="4"/>
        <v>0</v>
      </c>
      <c r="U62" s="5">
        <f t="shared" si="5"/>
        <v>46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/>
      <c r="D63" s="5">
        <v>0</v>
      </c>
      <c r="E63" s="5">
        <v>72</v>
      </c>
      <c r="F63" s="1">
        <v>2025</v>
      </c>
      <c r="G63" s="5" t="s">
        <v>9</v>
      </c>
      <c r="H63" s="5">
        <f t="shared" si="0"/>
        <v>0</v>
      </c>
      <c r="I63" s="5">
        <f t="shared" si="1"/>
        <v>72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>
        <v>46</v>
      </c>
      <c r="X63" s="1">
        <v>2025</v>
      </c>
      <c r="Y63" s="5" t="s">
        <v>9</v>
      </c>
      <c r="Z63" s="5">
        <f t="shared" si="6"/>
        <v>0</v>
      </c>
      <c r="AA63" s="5">
        <f t="shared" si="7"/>
        <v>46</v>
      </c>
    </row>
    <row r="64" spans="1:27" ht="19.5">
      <c r="A64" s="37">
        <v>6</v>
      </c>
      <c r="B64" s="9" t="s">
        <v>90</v>
      </c>
      <c r="C64" s="5"/>
      <c r="D64" s="5">
        <v>0</v>
      </c>
      <c r="E64" s="5">
        <v>72</v>
      </c>
      <c r="F64" s="1">
        <v>2025</v>
      </c>
      <c r="G64" s="5" t="s">
        <v>9</v>
      </c>
      <c r="H64" s="5">
        <f>IF((D64-E64)&lt;0,0,(D64-E64))</f>
        <v>0</v>
      </c>
      <c r="I64" s="5">
        <f>IF((E64-D64)&lt;0,0,(E64-D64))</f>
        <v>72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>
        <v>46</v>
      </c>
      <c r="X64" s="1">
        <v>2025</v>
      </c>
      <c r="Y64" s="5" t="s">
        <v>9</v>
      </c>
      <c r="Z64" s="5">
        <f>IF((V64-W64)&lt;0,0,(V64-W64))</f>
        <v>0</v>
      </c>
      <c r="AA64" s="5">
        <f>IF((W64-V64)&lt;0,0,(W64-V64))</f>
        <v>46</v>
      </c>
    </row>
    <row r="65" spans="1:27" ht="19.5">
      <c r="A65" s="1">
        <v>6</v>
      </c>
      <c r="B65" s="9" t="s">
        <v>91</v>
      </c>
      <c r="C65" s="1"/>
      <c r="D65" s="5">
        <v>0</v>
      </c>
      <c r="E65" s="5">
        <v>72</v>
      </c>
      <c r="F65" s="1">
        <v>2025</v>
      </c>
      <c r="G65" s="5" t="s">
        <v>9</v>
      </c>
      <c r="H65" s="5">
        <f t="shared" si="0"/>
        <v>0</v>
      </c>
      <c r="I65" s="5">
        <f t="shared" si="1"/>
        <v>72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>
        <v>46</v>
      </c>
      <c r="X65" s="1">
        <v>2025</v>
      </c>
      <c r="Y65" s="5" t="s">
        <v>9</v>
      </c>
      <c r="Z65" s="5">
        <f t="shared" si="6"/>
        <v>0</v>
      </c>
      <c r="AA65" s="5">
        <f t="shared" si="7"/>
        <v>46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6.75">
      <c r="A71" s="10">
        <v>7</v>
      </c>
      <c r="B71" s="48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25</v>
      </c>
      <c r="B117" s="47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25</v>
      </c>
      <c r="B118" s="47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8.25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7.75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 D55:F65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25" right="0.25" top="0.75" bottom="0.75" header="0.3" footer="0.3"/>
  <pageSetup paperSize="6" fitToHeight="0" orientation="landscape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Ruby Baniqued</cp:lastModifiedBy>
  <cp:revision/>
  <dcterms:created xsi:type="dcterms:W3CDTF">2025-11-19T20:48:15Z</dcterms:created>
  <dcterms:modified xsi:type="dcterms:W3CDTF">2026-02-09T05:06:16Z</dcterms:modified>
  <cp:category/>
  <cp:contentStatus/>
</cp:coreProperties>
</file>