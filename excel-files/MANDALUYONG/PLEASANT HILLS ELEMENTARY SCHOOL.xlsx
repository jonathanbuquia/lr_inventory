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1" documentId="13_ncr:1_{BFB59F67-F0DC-4675-A682-EB0734A8026A}" xr6:coauthVersionLast="47" xr6:coauthVersionMax="47" xr10:uidLastSave="{382869F5-732D-4FC3-8C64-7322E8D6F0B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Z64" i="5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Z65" i="5"/>
  <c r="J65" i="5"/>
  <c r="D65" i="5"/>
  <c r="I65" i="5" s="1"/>
  <c r="V63" i="5"/>
  <c r="AA63" i="5" s="1"/>
  <c r="U63" i="5"/>
  <c r="J63" i="5"/>
  <c r="D63" i="5"/>
  <c r="I63" i="5" s="1"/>
  <c r="AA62" i="5"/>
  <c r="U62" i="5"/>
  <c r="J62" i="5"/>
  <c r="D62" i="5"/>
  <c r="I62" i="5" s="1"/>
  <c r="AA60" i="5"/>
  <c r="P60" i="5"/>
  <c r="U60" i="5" s="1"/>
  <c r="J60" i="5"/>
  <c r="N60" i="5" s="1"/>
  <c r="D60" i="5"/>
  <c r="I60" i="5" s="1"/>
  <c r="AA59" i="5"/>
  <c r="P59" i="5"/>
  <c r="U59" i="5" s="1"/>
  <c r="J59" i="5"/>
  <c r="D59" i="5"/>
  <c r="I59" i="5" s="1"/>
  <c r="AA58" i="5"/>
  <c r="P58" i="5"/>
  <c r="U58" i="5" s="1"/>
  <c r="J58" i="5"/>
  <c r="N58" i="5" s="1"/>
  <c r="D58" i="5"/>
  <c r="I58" i="5" s="1"/>
  <c r="AA57" i="5"/>
  <c r="P57" i="5"/>
  <c r="U57" i="5" s="1"/>
  <c r="J57" i="5"/>
  <c r="D57" i="5"/>
  <c r="AA56" i="5"/>
  <c r="P56" i="5"/>
  <c r="U56" i="5" s="1"/>
  <c r="J56" i="5"/>
  <c r="N56" i="5" s="1"/>
  <c r="I56" i="5"/>
  <c r="AA55" i="5"/>
  <c r="P55" i="5"/>
  <c r="U55" i="5" s="1"/>
  <c r="J55" i="5"/>
  <c r="I55" i="5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O5" i="5"/>
  <c r="I5" i="5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O56" i="5"/>
  <c r="Z59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<sst xmlns="http://schemas.openxmlformats.org/spreadsheetml/2006/main" count="391" uniqueCount="92">
  <si>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</si>
  <si>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</si>
  <si>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</si>
  <si>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</si>
  <si>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</si>
  <si>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</si>
  <si>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</si>
  <si>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</si>
  <si>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</si>
  <si>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</si>
  <si>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</si>
  <si>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</si>
  <si>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</si>
  <si>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</si>
  <si>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</si>
  <si>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</si>
  <si>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</si>
  <si>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</si>
  <si>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</si>
  <si>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</si>
  <si>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</si>
  <si>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</si>
  <si>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</si>
  <si>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</si>
  <si>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</si>
  <si>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</si>
  <si>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</si>
  <si>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</si>
  <si>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</si>
  <si>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</si>
  <si>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</si>
  <si>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</si>
  <si>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</si>
  <si>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</si>
  <si>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</si>
  <si>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</si>
  <si>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</si>
  <si>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</si>
  <si>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</si>
  <si>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</si>
  <si>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</si>
  <si>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</si>
  <si>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</si>
  <si>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</si>
  <si>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</si>
  <si>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</si>
  <si>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</si>
  <si>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</si>
  <si>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</si>
  <si>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</si>
  <si>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</si>
  <si>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</si>
  <si>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</si>
  <si>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</si>
  <si>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</si>
  <si>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</si>
  <si>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</si>
  <si>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</si>
  <si>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</si>
  <si>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</si>
  <si>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</si>
  <si>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</si>
  <si>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  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</si>
  <si>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</si>
  <si>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</si>
  <si>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</si>
  <si>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</si>
  <si>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</si>
  <si>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</si>
  <si>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</si>
  <si>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</si>
  <si>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</si>
  <si>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</si>
  <si>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</si>
  <si>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</si>
  <si>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</si>
  <si>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</si>
  <si>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</si>
  <si>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</si>
  <si>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</si>
  <si>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</si>
  <si>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</si>
  <si>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</si>
  <si>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</si>
  <si>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</si>
  <si>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</si>
  <si>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</si>
  <si>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 xml:space="preserve"> 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</si>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</sst>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zoomScale="70" zoomScaleNormal="70" workbookViewId="0">
      <selection activeCell="X5" activeCellId="47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/>
    </sheetView>
  </sheetViews>
  <sheetFormatPr defaultRowHeight="13.9"/>
  <cols>
    <col min="1" max="1" width="9" customWidth="1"/>
    <col min="2" max="2" width="23.85546875" customWidth="1"/>
    <col min="3" max="4" width="11.140625" customWidth="1"/>
    <col min="5" max="5" width="21.7109375" customWidth="1"/>
    <col min="6" max="10" width="11.140625" customWidth="1"/>
    <col min="11" max="11" width="21.28515625" customWidth="1"/>
    <col min="12" max="12" width="24.85546875" bestFit="1" customWidth="1"/>
    <col min="13" max="16" width="10.28515625" customWidth="1"/>
    <col min="17" max="17" width="21" customWidth="1"/>
    <col min="18" max="22" width="10.5703125" customWidth="1"/>
    <col min="23" max="23" width="21.28515625" customWidth="1"/>
    <col min="24" max="27" width="10.140625" customWidth="1"/>
  </cols>
  <sheetData>
    <row r="1" spans="1:27" s="28" customFormat="1" ht="34.15" customHeight="1">
      <c r="D1" s="45" t="s">
        <v>32</v>
      </c>
      <c r="E1" s="45"/>
      <c r="F1" s="45"/>
      <c r="G1" s="45"/>
      <c r="H1" s="45"/>
      <c r="I1" s="45"/>
      <c r="J1" s="46" t="s">
        <v>33</v>
      </c>
      <c r="K1" s="46"/>
      <c r="L1" s="46"/>
      <c r="M1" s="46"/>
      <c r="N1" s="46"/>
      <c r="O1" s="46"/>
      <c r="P1" s="47" t="s">
        <v>34</v>
      </c>
      <c r="Q1" s="47"/>
      <c r="R1" s="47"/>
      <c r="S1" s="47"/>
      <c r="T1" s="47"/>
      <c r="U1" s="47"/>
      <c r="V1" s="48" t="s">
        <v>35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6.75">
      <c r="A5" s="1">
        <v>1</v>
      </c>
      <c r="B5" s="4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.75">
      <c r="A14" s="1">
        <v>2</v>
      </c>
      <c r="B14" s="4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6.75">
      <c r="A23" s="1">
        <v>3</v>
      </c>
      <c r="B23" s="4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6.75">
      <c r="A37" s="1">
        <v>4</v>
      </c>
      <c r="B37" s="43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6.75">
      <c r="A47" s="1">
        <v>5</v>
      </c>
      <c r="B47" s="43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6.75">
      <c r="A57" s="1">
        <v>6</v>
      </c>
      <c r="B57" s="43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6.75">
      <c r="A67" s="10">
        <v>7</v>
      </c>
      <c r="B67" s="44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tabSelected="1" topLeftCell="A67" zoomScale="55" zoomScaleNormal="55" workbookViewId="0">
      <selection activeCell="X122" sqref="X122"/>
    </sheetView>
  </sheetViews>
  <sheetFormatPr defaultRowHeight="13.9"/>
  <cols>
    <col min="1" max="1" width="7" customWidth="1"/>
    <col min="2" max="2" width="20.7109375" customWidth="1"/>
    <col min="3" max="4" width="12.28515625" customWidth="1"/>
    <col min="5" max="5" width="22.5703125" customWidth="1"/>
    <col min="6" max="10" width="13.85546875" customWidth="1"/>
    <col min="11" max="11" width="22.5703125" customWidth="1"/>
    <col min="12" max="13" width="11.5703125" customWidth="1"/>
    <col min="14" max="16" width="14.7109375" customWidth="1"/>
    <col min="17" max="17" width="23.7109375" customWidth="1"/>
    <col min="18" max="19" width="12.140625" customWidth="1"/>
    <col min="20" max="22" width="14" customWidth="1"/>
    <col min="23" max="23" width="22.7109375" customWidth="1"/>
    <col min="24" max="25" width="11.28515625" customWidth="1"/>
    <col min="26" max="27" width="14.5703125" customWidth="1"/>
  </cols>
  <sheetData>
    <row r="1" spans="1:27" s="28" customFormat="1" ht="34.15" customHeight="1">
      <c r="B1" s="35" t="s">
        <v>62</v>
      </c>
      <c r="D1" s="45" t="s">
        <v>32</v>
      </c>
      <c r="E1" s="45"/>
      <c r="F1" s="45"/>
      <c r="G1" s="45"/>
      <c r="H1" s="45"/>
      <c r="I1" s="45"/>
      <c r="J1" s="46" t="s">
        <v>33</v>
      </c>
      <c r="K1" s="46"/>
      <c r="L1" s="46"/>
      <c r="M1" s="46"/>
      <c r="N1" s="46"/>
      <c r="O1" s="46"/>
      <c r="P1" s="47" t="s">
        <v>34</v>
      </c>
      <c r="Q1" s="47"/>
      <c r="R1" s="47"/>
      <c r="S1" s="47"/>
      <c r="T1" s="47"/>
      <c r="U1" s="47"/>
      <c r="V1" s="48" t="s">
        <v>35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0.7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 t="s">
        <v>87</v>
      </c>
      <c r="D5" s="5">
        <v>285</v>
      </c>
      <c r="E5" s="5"/>
      <c r="F5" s="1"/>
      <c r="G5" s="5"/>
      <c r="H5" s="5">
        <f t="shared" si="0"/>
        <v>285</v>
      </c>
      <c r="I5" s="5">
        <f t="shared" si="1"/>
        <v>0</v>
      </c>
      <c r="J5" s="5" t="e">
        <f>Table14[[#This Row],[Enrolment S.Y. 2025-2026 ]]*8</f>
        <v>#VALUE!</v>
      </c>
      <c r="K5" s="5"/>
      <c r="L5" s="1"/>
      <c r="M5" s="5"/>
      <c r="N5" s="5" t="e">
        <f t="shared" si="2"/>
        <v>#VALUE!</v>
      </c>
      <c r="O5" s="5" t="e">
        <f t="shared" si="3"/>
        <v>#VALUE!</v>
      </c>
      <c r="P5" s="5" t="e">
        <f>Table14[[#This Row],[Enrolment S.Y. 2025-2026 ]]*8</f>
        <v>#VALUE!</v>
      </c>
      <c r="Q5" s="5"/>
      <c r="R5" s="1"/>
      <c r="S5" s="5"/>
      <c r="T5" s="5" t="e">
        <f t="shared" si="4"/>
        <v>#VALUE!</v>
      </c>
      <c r="U5" s="5" t="e">
        <f t="shared" si="5"/>
        <v>#VALUE!</v>
      </c>
      <c r="V5" s="5" t="e">
        <f>Table14[[#This Row],[Enrolment S.Y. 2025-2026 ]]*8</f>
        <v>#VALUE!</v>
      </c>
      <c r="W5" s="5"/>
      <c r="X5" s="1"/>
      <c r="Y5" s="5"/>
      <c r="Z5" s="5" t="e">
        <f t="shared" si="6"/>
        <v>#VALUE!</v>
      </c>
      <c r="AA5" s="5" t="e">
        <f t="shared" si="7"/>
        <v>#VALUE!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2.25" customHeight="1">
      <c r="A12" s="1">
        <v>2</v>
      </c>
      <c r="B12" s="4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v>235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6.75">
      <c r="A21" s="1">
        <v>3</v>
      </c>
      <c r="B21" s="4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43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v>171</v>
      </c>
      <c r="E55" s="5"/>
      <c r="F55" s="1"/>
      <c r="G55" s="5"/>
      <c r="H55" s="5">
        <f t="shared" si="0"/>
        <v>171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v>74</v>
      </c>
      <c r="U55" s="5">
        <f t="shared" si="5"/>
        <v>0</v>
      </c>
      <c r="V55" s="5">
        <v>259</v>
      </c>
      <c r="W55" s="5"/>
      <c r="X55" s="1"/>
      <c r="Y55" s="5"/>
      <c r="Z55" s="5">
        <f t="shared" si="6"/>
        <v>259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v>855</v>
      </c>
      <c r="E56" s="5"/>
      <c r="F56" s="1"/>
      <c r="G56" s="5"/>
      <c r="H56" s="5">
        <f t="shared" si="0"/>
        <v>855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v>222</v>
      </c>
      <c r="U56" s="5">
        <f t="shared" si="5"/>
        <v>0</v>
      </c>
      <c r="V56" s="5">
        <v>185</v>
      </c>
      <c r="W56" s="5"/>
      <c r="X56" s="1"/>
      <c r="Y56" s="5"/>
      <c r="Z56" s="5">
        <f t="shared" si="6"/>
        <v>185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v>627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v>333</v>
      </c>
      <c r="U57" s="5">
        <f t="shared" si="5"/>
        <v>0</v>
      </c>
      <c r="V57" s="5">
        <v>333</v>
      </c>
      <c r="W57" s="5"/>
      <c r="X57" s="1"/>
      <c r="Y57" s="5"/>
      <c r="Z57" s="5">
        <f t="shared" si="6"/>
        <v>333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v>148</v>
      </c>
      <c r="U58" s="5">
        <f t="shared" si="5"/>
        <v>0</v>
      </c>
      <c r="V58" s="5">
        <v>74</v>
      </c>
      <c r="W58" s="5"/>
      <c r="X58" s="1"/>
      <c r="Y58" s="5"/>
      <c r="Z58" s="5">
        <f t="shared" si="6"/>
        <v>74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v>222</v>
      </c>
      <c r="U59" s="5">
        <f t="shared" si="5"/>
        <v>0</v>
      </c>
      <c r="V59" s="5">
        <v>259</v>
      </c>
      <c r="W59" s="5"/>
      <c r="X59" s="1"/>
      <c r="Y59" s="5"/>
      <c r="Z59" s="5">
        <f t="shared" si="6"/>
        <v>259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v>148</v>
      </c>
      <c r="U60" s="5">
        <f t="shared" si="5"/>
        <v>0</v>
      </c>
      <c r="V60" s="5">
        <v>259</v>
      </c>
      <c r="W60" s="5"/>
      <c r="X60" s="1"/>
      <c r="Y60" s="5"/>
      <c r="Z60" s="5">
        <f t="shared" si="6"/>
        <v>259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v>148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v>259</v>
      </c>
      <c r="U62" s="5">
        <f t="shared" si="5"/>
        <v>0</v>
      </c>
      <c r="V62" s="5">
        <v>333</v>
      </c>
      <c r="W62" s="5"/>
      <c r="X62" s="1"/>
      <c r="Y62" s="5"/>
      <c r="Z62" s="5">
        <f t="shared" si="6"/>
        <v>333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v>111</v>
      </c>
      <c r="U64" s="5">
        <f>IF((Q64-P64)&lt;0,0,(Q64-P64))</f>
        <v>0</v>
      </c>
      <c r="V64" s="5">
        <v>111</v>
      </c>
      <c r="W64" s="5"/>
      <c r="X64" s="1"/>
      <c r="Y64" s="5"/>
      <c r="Z64" s="5">
        <f>IF((V64-W64)&lt;0,0,(V64-W64))</f>
        <v>111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v>111</v>
      </c>
      <c r="U65" s="5">
        <v>0</v>
      </c>
      <c r="V65" s="5">
        <v>296</v>
      </c>
      <c r="W65" s="5"/>
      <c r="X65" s="1"/>
      <c r="Y65" s="5"/>
      <c r="Z65" s="5">
        <f t="shared" si="6"/>
        <v>296</v>
      </c>
      <c r="AA65" s="5">
        <f t="shared" si="7"/>
        <v>0</v>
      </c>
    </row>
    <row r="66" spans="1:27" s="7" customFormat="1" ht="15">
      <c r="B66" s="8" t="s">
        <v>61</v>
      </c>
      <c r="V66" s="8">
        <v>111</v>
      </c>
    </row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R91 L91 X91 F91" xr:uid="{77F72D89-8371-4D0C-A323-BD25723C617C}">
      <formula1>"2024,2025"</formula1>
    </dataValidation>
    <dataValidation type="list" allowBlank="1" showInputMessage="1" showErrorMessage="1" sqref="F115:F122 F103:F113 F92:F101 F79:F89 F67:F77 F55:F65 F43:F53 F31:F41 F21:F29 F12:F19 F3:F10 L115:L122 L103:L113 L92:L101 L79:L89 L67:L77 L55:L65 L43:L53 L31:L41 L21:L29 L12:L19 L3:L10 R115:R122 R103:R113 R92:R101 R79:R89 R67:R77 R55:R65 R43:R53 R31:R41 R21:R29 R12:R19 R3:R10 X115:X122 X103:X113 X92:X101 X79:X89 X67:X77 X55:X65 X43:X53 X31:X41 X21:X29 X12:X19 X3:X10" xr:uid="{9F597708-9F99-4CC7-AD50-694240470AB5}">
      <formula1>"2024,2025,2026"</formula1>
    </dataValidation>
  </dataValidations>
  <pageMargins left="0.7" right="0.7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2026-03-02T02:41:16Z</dcterms:modified>
  <cp:category/>
  <cp:contentStatus/>
</cp:coreProperties>
</file>