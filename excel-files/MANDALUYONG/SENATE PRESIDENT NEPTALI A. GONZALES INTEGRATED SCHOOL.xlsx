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4" documentId="13_ncr:1_{BFB59F67-F0DC-4675-A682-EB0734A8026A}" xr6:coauthVersionLast="47" xr6:coauthVersionMax="47" xr10:uidLastSave="{98BEADC7-0A1E-4FFA-A8FB-A2E3EEFA09B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D109" i="5"/>
  <c r="H109" i="5" s="1"/>
  <c r="J109" i="5"/>
  <c r="U109" i="5"/>
  <c r="V109" i="5"/>
  <c r="D88" i="5"/>
  <c r="H88" i="5" s="1"/>
  <c r="J88" i="5"/>
  <c r="T88" i="5"/>
  <c r="V88" i="5"/>
  <c r="Z88" i="5" s="1"/>
  <c r="D100" i="5"/>
  <c r="H100" i="5" s="1"/>
  <c r="J100" i="5"/>
  <c r="T100" i="5"/>
  <c r="V100" i="5"/>
  <c r="D97" i="5"/>
  <c r="H97" i="5" s="1"/>
  <c r="J97" i="5"/>
  <c r="V97" i="5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P108" i="5"/>
  <c r="J108" i="5"/>
  <c r="N108" i="5" s="1"/>
  <c r="D108" i="5"/>
  <c r="I108" i="5" s="1"/>
  <c r="V107" i="5"/>
  <c r="AA107" i="5" s="1"/>
  <c r="U107" i="5"/>
  <c r="J107" i="5"/>
  <c r="O107" i="5" s="1"/>
  <c r="D107" i="5"/>
  <c r="I107" i="5" s="1"/>
  <c r="V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U103" i="5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U96" i="5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U94" i="5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V56" i="5"/>
  <c r="AA56" i="5" s="1"/>
  <c r="P56" i="5"/>
  <c r="U56" i="5" s="1"/>
  <c r="J56" i="5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N9" i="4"/>
  <c r="O10" i="4"/>
  <c r="O11" i="4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65" i="5"/>
  <c r="O82" i="5"/>
  <c r="Z84" i="5"/>
  <c r="T94" i="5"/>
  <c r="H98" i="5"/>
  <c r="T99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9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T96" i="5"/>
  <c r="AA106" i="5"/>
  <c r="H113" i="5"/>
  <c r="O117" i="5"/>
  <c r="AA121" i="5"/>
  <c r="H110" i="5"/>
  <c r="O115" i="5"/>
  <c r="T118" i="5"/>
  <c r="N3" i="5"/>
  <c r="Z8" i="5"/>
  <c r="O15" i="5"/>
  <c r="N21" i="5"/>
  <c r="Z26" i="5"/>
  <c r="Z28" i="5"/>
  <c r="I43" i="5"/>
  <c r="T48" i="5"/>
  <c r="T75" i="5"/>
  <c r="H89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O58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T58" i="5"/>
  <c r="O68" i="5"/>
  <c r="N68" i="5"/>
  <c r="Z79" i="5"/>
  <c r="T80" i="5"/>
  <c r="O59" i="5"/>
  <c r="N59" i="5"/>
  <c r="U95" i="5"/>
  <c r="T95" i="5"/>
  <c r="T34" i="5"/>
  <c r="T45" i="5"/>
  <c r="O55" i="5"/>
  <c r="O60" i="5"/>
  <c r="T67" i="5"/>
  <c r="U82" i="5"/>
  <c r="T82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O56" i="5"/>
  <c r="O70" i="5"/>
  <c r="N70" i="5"/>
  <c r="Z81" i="5"/>
  <c r="U87" i="5"/>
  <c r="T87" i="5"/>
  <c r="U101" i="5"/>
  <c r="T101" i="5"/>
  <c r="U117" i="5"/>
  <c r="T117" i="5"/>
  <c r="O31" i="5"/>
  <c r="N31" i="5"/>
  <c r="O57" i="5"/>
  <c r="O79" i="5"/>
  <c r="N79" i="5"/>
  <c r="Z83" i="5"/>
  <c r="U91" i="5"/>
  <c r="T91" i="5"/>
  <c r="U115" i="5"/>
  <c r="T115" i="5"/>
  <c r="Z122" i="5"/>
  <c r="N83" i="5"/>
  <c r="N92" i="5"/>
  <c r="N94" i="5"/>
  <c r="N96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<sst xmlns="http://schemas.openxmlformats.org/spreadsheetml/2006/main" count="442" uniqueCount="92">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</sst>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tabSelected="1" zoomScale="85" zoomScaleNormal="85" workbookViewId="0">
      <pane xSplit="2" ySplit="1" topLeftCell="C142" activePane="bottomRight" state="frozen"/>
      <selection pane="bottomRight"/>
      <selection pane="bottomLeft"/>
      <selection pane="topRight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>
        <v>91</v>
      </c>
      <c r="E35" s="1">
        <v>2025</v>
      </c>
      <c r="F35" s="5" t="s">
        <v>20</v>
      </c>
      <c r="G35" s="3">
        <f t="shared" si="6"/>
        <v>0</v>
      </c>
      <c r="H35" s="4">
        <f t="shared" si="7"/>
        <v>91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>
        <v>318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318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272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272</v>
      </c>
    </row>
    <row r="64" spans="1:8" ht="27.75" customHeight="1">
      <c r="A64" s="10">
        <v>8</v>
      </c>
      <c r="B64" s="11" t="s">
        <v>21</v>
      </c>
      <c r="C64" s="10"/>
      <c r="D64" s="10">
        <v>272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272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25" right="0.25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opLeftCell="A104" zoomScale="70" zoomScaleNormal="70" workbookViewId="0">
      <selection activeCell="B111" sqref="B111"/>
    </sheetView>
  </sheetViews>
  <sheetFormatPr defaultRowHeight="13.9"/>
  <cols>
    <col min="1" max="1" width="9.42578125" customWidth="1"/>
    <col min="2" max="2" width="21.140625" customWidth="1"/>
    <col min="3" max="4" width="11.140625" customWidth="1"/>
    <col min="5" max="5" width="22.5703125" customWidth="1"/>
    <col min="6" max="10" width="10.42578125" customWidth="1"/>
    <col min="11" max="11" width="22.140625" customWidth="1"/>
    <col min="12" max="16" width="10.42578125" customWidth="1"/>
    <col min="17" max="17" width="21.42578125" customWidth="1"/>
    <col min="18" max="22" width="11.28515625" customWidth="1"/>
    <col min="23" max="23" width="21.85546875" customWidth="1"/>
    <col min="24" max="27" width="11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v>91</v>
      </c>
      <c r="K9" s="5"/>
      <c r="L9" s="1"/>
      <c r="M9" s="5"/>
      <c r="N9" s="5">
        <f t="shared" si="10"/>
        <v>91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v>91</v>
      </c>
      <c r="K10" s="5"/>
      <c r="L10" s="1"/>
      <c r="M10" s="5"/>
      <c r="N10" s="5">
        <f t="shared" si="10"/>
        <v>91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v>96</v>
      </c>
      <c r="K11" s="5"/>
      <c r="L11" s="1"/>
      <c r="M11" s="5"/>
      <c r="N11" s="5">
        <f t="shared" si="10"/>
        <v>96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46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46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36.75">
      <c r="A41" s="1">
        <v>4</v>
      </c>
      <c r="B41" s="46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46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46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36.75">
      <c r="A51" s="1">
        <v>5</v>
      </c>
      <c r="B51" s="46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46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46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36.75">
      <c r="A61" s="1">
        <v>6</v>
      </c>
      <c r="B61" s="46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6.75">
      <c r="A67" s="10">
        <v>7</v>
      </c>
      <c r="B67" s="47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47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36.75">
      <c r="A71" s="10">
        <v>7</v>
      </c>
      <c r="B71" s="47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47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36.75">
      <c r="A81" s="10">
        <v>8</v>
      </c>
      <c r="B81" s="47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47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36.75">
      <c r="A91" s="10">
        <v>9</v>
      </c>
      <c r="B91" s="47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47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36.75">
      <c r="A101" s="10">
        <v>10</v>
      </c>
      <c r="B101" s="47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36.75">
      <c r="A106" s="1" t="s">
        <v>24</v>
      </c>
      <c r="B106" s="46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6.75">
      <c r="A107" s="1" t="s">
        <v>24</v>
      </c>
      <c r="B107" s="46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24</v>
      </c>
      <c r="B108" s="46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24</v>
      </c>
      <c r="B109" s="46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zoomScale="55" zoomScaleNormal="55" workbookViewId="0">
      <pane xSplit="2" ySplit="2" topLeftCell="C120" activePane="bottomRight" state="frozen"/>
      <selection pane="bottomRight" activeCell="X1" sqref="X1:AA1048576"/>
      <selection pane="bottomLeft"/>
      <selection pane="topRight"/>
    </sheetView>
  </sheetViews>
  <sheetFormatPr defaultRowHeight="13.9"/>
  <cols>
    <col min="1" max="1" width="7.7109375" customWidth="1"/>
    <col min="2" max="2" width="20.28515625" customWidth="1"/>
    <col min="3" max="4" width="10.7109375" customWidth="1"/>
    <col min="5" max="5" width="21.7109375" customWidth="1"/>
    <col min="6" max="10" width="12.5703125" customWidth="1"/>
    <col min="11" max="11" width="22.7109375" customWidth="1"/>
    <col min="12" max="16" width="11.5703125" customWidth="1"/>
    <col min="17" max="17" width="22.5703125" customWidth="1"/>
    <col min="18" max="22" width="11.7109375" customWidth="1"/>
    <col min="23" max="23" width="22.28515625" customWidth="1"/>
    <col min="24" max="27" width="11.710937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43.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v>96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40.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46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46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v>75</v>
      </c>
      <c r="I55" s="5">
        <f t="shared" si="1"/>
        <v>0</v>
      </c>
      <c r="J55" s="5">
        <f>Table14[[#This Row],[Enrolment S.Y. 2025-2026 ]]*8</f>
        <v>0</v>
      </c>
      <c r="K55" s="5"/>
      <c r="L55" s="1">
        <v>2025</v>
      </c>
      <c r="M55" s="5" t="s">
        <v>91</v>
      </c>
      <c r="N55" s="5">
        <v>48</v>
      </c>
      <c r="O55" s="5">
        <f t="shared" si="3"/>
        <v>0</v>
      </c>
      <c r="P55" s="5">
        <f>Table14[[#This Row],[Enrolment S.Y. 2025-2026 ]]*8</f>
        <v>0</v>
      </c>
      <c r="Q55" s="5"/>
      <c r="R55" s="1">
        <v>2025</v>
      </c>
      <c r="S55" s="5" t="s">
        <v>91</v>
      </c>
      <c r="T55" s="5">
        <v>32</v>
      </c>
      <c r="U55" s="5">
        <f t="shared" si="5"/>
        <v>0</v>
      </c>
      <c r="V55" s="5">
        <f>Table14[[#This Row],[Enrolment S.Y. 2025-2026 ]]*8</f>
        <v>0</v>
      </c>
      <c r="W55" s="5"/>
      <c r="X55" s="1">
        <v>2025</v>
      </c>
      <c r="Y55" s="5" t="s">
        <v>91</v>
      </c>
      <c r="Z55" s="5">
        <v>112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v>375</v>
      </c>
      <c r="I56" s="5">
        <f t="shared" si="1"/>
        <v>0</v>
      </c>
      <c r="J56" s="5">
        <f>Table14[[#This Row],[Enrolment S.Y. 2025-2026 ]]*8</f>
        <v>0</v>
      </c>
      <c r="K56" s="5"/>
      <c r="L56" s="1">
        <v>2025</v>
      </c>
      <c r="M56" s="5" t="s">
        <v>91</v>
      </c>
      <c r="N56" s="5">
        <v>224</v>
      </c>
      <c r="O56" s="5">
        <f t="shared" si="3"/>
        <v>0</v>
      </c>
      <c r="P56" s="5">
        <f>Table14[[#This Row],[Enrolment S.Y. 2025-2026 ]]*8</f>
        <v>0</v>
      </c>
      <c r="Q56" s="5"/>
      <c r="R56" s="1">
        <v>2025</v>
      </c>
      <c r="S56" s="5" t="s">
        <v>91</v>
      </c>
      <c r="T56" s="5">
        <v>96</v>
      </c>
      <c r="U56" s="5">
        <f t="shared" si="5"/>
        <v>0</v>
      </c>
      <c r="V56" s="5">
        <f>Table14[[#This Row],[Enrolment S.Y. 2025-2026 ]]*8</f>
        <v>0</v>
      </c>
      <c r="W56" s="5"/>
      <c r="X56" s="1">
        <v>2025</v>
      </c>
      <c r="Y56" s="5" t="s">
        <v>91</v>
      </c>
      <c r="Z56" s="5">
        <v>80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v>275</v>
      </c>
      <c r="I57" s="5">
        <f t="shared" si="1"/>
        <v>0</v>
      </c>
      <c r="J57" s="5">
        <f>Table14[[#This Row],[Enrolment S.Y. 2025-2026 ]]*8</f>
        <v>0</v>
      </c>
      <c r="K57" s="5"/>
      <c r="L57" s="1">
        <v>2025</v>
      </c>
      <c r="M57" s="5" t="s">
        <v>91</v>
      </c>
      <c r="N57" s="5">
        <v>224</v>
      </c>
      <c r="O57" s="5">
        <f t="shared" si="3"/>
        <v>0</v>
      </c>
      <c r="P57" s="5">
        <f>Table14[[#This Row],[Enrolment S.Y. 2025-2026 ]]*8</f>
        <v>0</v>
      </c>
      <c r="Q57" s="5"/>
      <c r="R57" s="1">
        <v>2025</v>
      </c>
      <c r="S57" s="5" t="s">
        <v>91</v>
      </c>
      <c r="T57" s="5">
        <v>144</v>
      </c>
      <c r="U57" s="5">
        <f t="shared" si="5"/>
        <v>0</v>
      </c>
      <c r="V57" s="5">
        <f>Table14[[#This Row],[Enrolment S.Y. 2025-2026 ]]*8</f>
        <v>0</v>
      </c>
      <c r="W57" s="5"/>
      <c r="X57" s="1">
        <v>2025</v>
      </c>
      <c r="Y57" s="5" t="s">
        <v>91</v>
      </c>
      <c r="Z57" s="5">
        <v>144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>
        <v>2025</v>
      </c>
      <c r="S59" s="5" t="s">
        <v>91</v>
      </c>
      <c r="T59" s="5">
        <v>222</v>
      </c>
      <c r="U59" s="5">
        <f t="shared" si="5"/>
        <v>0</v>
      </c>
      <c r="V59" s="5">
        <f>Table14[[#This Row],[Enrolment S.Y. 2025-2026 ]]*8</f>
        <v>0</v>
      </c>
      <c r="W59" s="5"/>
      <c r="X59" s="1">
        <v>2025</v>
      </c>
      <c r="Y59" s="5" t="s">
        <v>91</v>
      </c>
      <c r="Z59" s="5">
        <v>112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>
        <v>2025</v>
      </c>
      <c r="S60" s="5" t="s">
        <v>91</v>
      </c>
      <c r="T60" s="5">
        <v>64</v>
      </c>
      <c r="U60" s="5">
        <f t="shared" si="5"/>
        <v>0</v>
      </c>
      <c r="V60" s="5">
        <f>Table14[[#This Row],[Enrolment S.Y. 2025-2026 ]]*8</f>
        <v>0</v>
      </c>
      <c r="W60" s="5"/>
      <c r="X60" s="1">
        <v>2025</v>
      </c>
      <c r="Y60" s="5" t="s">
        <v>91</v>
      </c>
      <c r="Z60" s="5">
        <v>96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>
        <v>2025</v>
      </c>
      <c r="S61" s="5" t="s">
        <v>91</v>
      </c>
      <c r="T61" s="5">
        <v>64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>
        <v>2025</v>
      </c>
      <c r="S62" s="5" t="s">
        <v>91</v>
      </c>
      <c r="T62" s="5">
        <v>259</v>
      </c>
      <c r="U62" s="5">
        <f t="shared" si="5"/>
        <v>0</v>
      </c>
      <c r="V62" s="5">
        <f>Table14[[#This Row],[Enrolment S.Y. 2025-2026 ]]*8</f>
        <v>0</v>
      </c>
      <c r="W62" s="5"/>
      <c r="X62" s="1">
        <v>2025</v>
      </c>
      <c r="Y62" s="5" t="s">
        <v>91</v>
      </c>
      <c r="Z62" s="5">
        <v>144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>
        <v>2025</v>
      </c>
      <c r="S63" s="5" t="s">
        <v>91</v>
      </c>
      <c r="T63" s="5">
        <v>64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>
        <v>2025</v>
      </c>
      <c r="S64" s="5" t="s">
        <v>91</v>
      </c>
      <c r="T64" s="5">
        <v>159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>
        <v>2025</v>
      </c>
      <c r="S65" s="5" t="s">
        <v>91</v>
      </c>
      <c r="T65" s="5">
        <v>48</v>
      </c>
      <c r="U65" s="5">
        <f t="shared" si="5"/>
        <v>0</v>
      </c>
      <c r="V65" s="5">
        <f>Table14[[#This Row],[Enrolment S.Y. 2025-2026 ]]*8</f>
        <v>0</v>
      </c>
      <c r="W65" s="5"/>
      <c r="X65" s="1">
        <v>2025</v>
      </c>
      <c r="Y65" s="5" t="s">
        <v>91</v>
      </c>
      <c r="Z65" s="5">
        <v>128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.75">
      <c r="A71" s="10">
        <v>7</v>
      </c>
      <c r="B71" s="47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>
        <v>2025</v>
      </c>
      <c r="M80" s="12" t="s">
        <v>91</v>
      </c>
      <c r="N80" s="12">
        <v>329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>
        <v>2025</v>
      </c>
      <c r="M81" s="12" t="s">
        <v>91</v>
      </c>
      <c r="N81" s="12">
        <v>470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>
        <v>2025</v>
      </c>
      <c r="Y91" s="12" t="s">
        <v>91</v>
      </c>
      <c r="Z91" s="12">
        <v>658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v>294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>
        <v>2025</v>
      </c>
      <c r="Y92" s="12" t="s">
        <v>91</v>
      </c>
      <c r="Z92" s="12">
        <v>329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v>1127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>
        <v>2025</v>
      </c>
      <c r="Y93" s="12" t="s">
        <v>91</v>
      </c>
      <c r="Z93" s="12">
        <v>423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v>235</v>
      </c>
      <c r="Q94" s="12"/>
      <c r="R94" s="10">
        <v>2025</v>
      </c>
      <c r="S94" s="12" t="s">
        <v>91</v>
      </c>
      <c r="T94" s="12">
        <f t="shared" si="16"/>
        <v>235</v>
      </c>
      <c r="U94" s="12">
        <f t="shared" si="17"/>
        <v>0</v>
      </c>
      <c r="V94" s="12">
        <f>Table14[[#This Row],[Enrolment S.Y. 2025-2026 ]]*8</f>
        <v>0</v>
      </c>
      <c r="W94" s="12"/>
      <c r="X94" s="10">
        <v>2025</v>
      </c>
      <c r="Y94" s="12" t="s">
        <v>91</v>
      </c>
      <c r="Z94" s="12">
        <v>376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>
        <v>2025</v>
      </c>
      <c r="Y95" s="12" t="s">
        <v>91</v>
      </c>
      <c r="Z95" s="12">
        <v>188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v>282</v>
      </c>
      <c r="Q96" s="12"/>
      <c r="R96" s="10">
        <v>2025</v>
      </c>
      <c r="S96" s="12" t="s">
        <v>91</v>
      </c>
      <c r="T96" s="12">
        <f t="shared" si="16"/>
        <v>282</v>
      </c>
      <c r="U96" s="12">
        <f t="shared" si="17"/>
        <v>0</v>
      </c>
      <c r="V96" s="12">
        <f>Table14[[#This Row],[Enrolment S.Y. 2025-2026 ]]*8</f>
        <v>0</v>
      </c>
      <c r="W96" s="12"/>
      <c r="X96" s="10">
        <v>2025</v>
      </c>
      <c r="Y96" s="12" t="s">
        <v>91</v>
      </c>
      <c r="Z96" s="12">
        <v>470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>
        <v>2025</v>
      </c>
      <c r="Y97" s="12" t="s">
        <v>91</v>
      </c>
      <c r="Z97" s="12">
        <v>376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>
        <v>2025</v>
      </c>
      <c r="Y98" s="12" t="s">
        <v>91</v>
      </c>
      <c r="Z98" s="12">
        <v>376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>
        <v>2025</v>
      </c>
      <c r="Y100" s="12" t="s">
        <v>91</v>
      </c>
      <c r="Z100" s="12">
        <v>235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>
        <v>2025</v>
      </c>
      <c r="Y101" s="12" t="s">
        <v>91</v>
      </c>
      <c r="Z101" s="12">
        <v>235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v>432</v>
      </c>
      <c r="I103" s="12">
        <f t="shared" si="23"/>
        <v>0</v>
      </c>
      <c r="J103" s="12">
        <f>Table14[[#This Row],[Enrolment S.Y. 2025-2026 ]]*8</f>
        <v>0</v>
      </c>
      <c r="K103" s="12"/>
      <c r="L103" s="10">
        <v>2025</v>
      </c>
      <c r="M103" s="12" t="s">
        <v>91</v>
      </c>
      <c r="N103" s="12">
        <v>360</v>
      </c>
      <c r="O103" s="12">
        <f t="shared" si="21"/>
        <v>0</v>
      </c>
      <c r="P103" s="12">
        <v>225</v>
      </c>
      <c r="Q103" s="12"/>
      <c r="R103" s="10">
        <v>2025</v>
      </c>
      <c r="S103" s="12" t="s">
        <v>91</v>
      </c>
      <c r="T103" s="12">
        <f t="shared" si="16"/>
        <v>225</v>
      </c>
      <c r="U103" s="12">
        <f t="shared" si="17"/>
        <v>0</v>
      </c>
      <c r="V103" s="12">
        <f>Table14[[#This Row],[Enrolment S.Y. 2025-2026 ]]*8</f>
        <v>0</v>
      </c>
      <c r="W103" s="12"/>
      <c r="X103" s="10">
        <v>2025</v>
      </c>
      <c r="Y103" s="12" t="s">
        <v>91</v>
      </c>
      <c r="Z103" s="12">
        <v>135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v>378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>
        <v>2025</v>
      </c>
      <c r="Y104" s="12" t="s">
        <v>91</v>
      </c>
      <c r="Z104" s="12">
        <v>315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v>540</v>
      </c>
      <c r="I105" s="12">
        <f t="shared" si="23"/>
        <v>0</v>
      </c>
      <c r="J105" s="12">
        <f>Table14[[#This Row],[Enrolment S.Y. 2025-2026 ]]*8</f>
        <v>0</v>
      </c>
      <c r="K105" s="12"/>
      <c r="L105" s="10">
        <v>2025</v>
      </c>
      <c r="M105" s="12" t="s">
        <v>91</v>
      </c>
      <c r="N105" s="12">
        <v>405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>
        <v>2025</v>
      </c>
      <c r="Y105" s="12" t="s">
        <v>91</v>
      </c>
      <c r="Z105" s="12">
        <v>180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v>315</v>
      </c>
      <c r="Q106" s="12"/>
      <c r="R106" s="10">
        <v>2025</v>
      </c>
      <c r="S106" s="12" t="s">
        <v>91</v>
      </c>
      <c r="T106" s="12">
        <f t="shared" si="16"/>
        <v>315</v>
      </c>
      <c r="U106" s="12">
        <f t="shared" si="17"/>
        <v>0</v>
      </c>
      <c r="V106" s="12">
        <f>Table14[[#This Row],[Enrolment S.Y. 2025-2026 ]]*8</f>
        <v>0</v>
      </c>
      <c r="W106" s="12"/>
      <c r="X106" s="10">
        <v>2025</v>
      </c>
      <c r="Y106" s="12" t="s">
        <v>91</v>
      </c>
      <c r="Z106" s="12">
        <v>180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v>180</v>
      </c>
      <c r="Q107" s="12"/>
      <c r="R107" s="10">
        <v>2025</v>
      </c>
      <c r="S107" s="12" t="s">
        <v>91</v>
      </c>
      <c r="T107" s="12">
        <f t="shared" si="16"/>
        <v>180</v>
      </c>
      <c r="U107" s="12">
        <f t="shared" si="17"/>
        <v>0</v>
      </c>
      <c r="V107" s="12">
        <f>Table14[[#This Row],[Enrolment S.Y. 2025-2026 ]]*8</f>
        <v>0</v>
      </c>
      <c r="W107" s="12"/>
      <c r="X107" s="10">
        <v>2025</v>
      </c>
      <c r="Y107" s="12" t="s">
        <v>91</v>
      </c>
      <c r="Z107" s="12">
        <v>180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>
        <v>2025</v>
      </c>
      <c r="Y108" s="12" t="s">
        <v>91</v>
      </c>
      <c r="Z108" s="12">
        <v>270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>
        <v>2025</v>
      </c>
      <c r="Y109" s="12" t="s">
        <v>91</v>
      </c>
      <c r="Z109" s="12">
        <v>90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>
        <v>2025</v>
      </c>
      <c r="Y110" s="12" t="s">
        <v>91</v>
      </c>
      <c r="Z110" s="12">
        <v>180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>
        <v>2025</v>
      </c>
      <c r="Y112" s="12" t="s">
        <v>91</v>
      </c>
      <c r="Z112" s="12">
        <v>45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v>90</v>
      </c>
      <c r="Q113" s="12"/>
      <c r="R113" s="10">
        <v>2025</v>
      </c>
      <c r="S113" s="12" t="s">
        <v>91</v>
      </c>
      <c r="T113" s="12">
        <f t="shared" si="16"/>
        <v>90</v>
      </c>
      <c r="U113" s="12">
        <f t="shared" si="17"/>
        <v>0</v>
      </c>
      <c r="V113" s="12">
        <f>Table14[[#This Row],[Enrolment S.Y. 2025-2026 ]]*8</f>
        <v>0</v>
      </c>
      <c r="W113" s="12"/>
      <c r="X113" s="10">
        <v>2025</v>
      </c>
      <c r="Y113" s="12" t="s">
        <v>91</v>
      </c>
      <c r="Z113" s="12">
        <v>135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46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46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36.75">
      <c r="A118" s="1" t="s">
        <v>24</v>
      </c>
      <c r="B118" s="46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54.75">
      <c r="A119" s="1" t="s">
        <v>24</v>
      </c>
      <c r="B119" s="46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.75">
      <c r="A120" s="1" t="s">
        <v>24</v>
      </c>
      <c r="B120" s="46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4.75">
      <c r="A121" s="1" t="s">
        <v>24</v>
      </c>
      <c r="B121" s="46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T67:X77 Z67:AA77 H67:L77 T79:X89 Z79:AA89 Z91:AA101 H91:L101 Z103:AA113 N115:R122 T115:X122 Z115:AA122 H115:L122 D103:F113 N31:R41 N43:R53 N67:R77 N79:R89 N91:R101 H55:L65 H79:L89 H103:L113 N55:R65 N103:R113 T55:X65 T91:X101 T103:X113" name="LAS"/>
    <protectedRange sqref="G2:I2 M2:O2 S2:U2 Y2:AA2 G3:G10 M3:M10 S3:S10 Y3:Y10 Y12:Y19 G12:G19 M12:M19 S12:S19 Y21:Y29 G21:G29 M21:M29 S21:S29 Y31:Y41 G31:G41 M31:M41 S31:S41 Y43:Y53 G43:G53 M43:M53 S43:S53 G55:G65 Y67:Y77 G67:G77 M67:M77 S67:S77 Y79:Y89 G79:G89 S79:S89 G91:G101 M91:M101 S91:S101 G103:G113 Y115:Y122 G115:G122 M115:M122 S115:S122 M55:M65 M79:M89 M103:M113 S55:S65 S103:S113 Y55:Y65 Y91:Y101 Y103:Y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S103:S113 M103:M113 M115:M122 M67:M77 G67:G77 Y67:Y77 S67:S77 S79:S89 M55:M65 G79:G89 Y79:Y89 Y55:Y65 S91:S101 M91:M101 G91:G101 G103:G113 Y91:Y101 S55:S65 M79:M89 Y103:Y113" xr:uid="{CBD486C7-A5DB-48F1-B496-5027CC51E830}">
      <formula1>"CO,RO,SDO,LGU,SCHOOL"</formula1>
    </dataValidation>
    <dataValidation type="list" allowBlank="1" showInputMessage="1" showErrorMessage="1" sqref="X21:X29 X31:X41 X43:X53 X67:X77 X79:X89 R103:R113 X55:X65 X91:X101 X12:X19 X3:X10 L21:L29 L31:L41 L43:L53 L67:L77 L55:L65 F103:F113 L91:L101 L79:L89 L12:L19 L3:L10 R21:R29 R31:R41 R43:R53 R67:R77 R79:R89 L103:L113 R91:R101 R55:R65 R12:R19 R3:R10 F21:F29 F31:F41 F43:F53 F67:F77 F79:F89 F55:F65 F3:F10 F91:F101 X115:X122 F12:F19 F115:F122 R115:R122 L115:L122 X103:X113" xr:uid="{77F72D89-8371-4D0C-A323-BD25723C617C}">
      <formula1>"2024,2025"</formula1>
    </dataValidation>
  </dataValidations>
  <pageMargins left="0.7" right="0.7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2026-02-10T01:00:43Z</dcterms:modified>
  <cp:category/>
  <cp:contentStatus/>
</cp:coreProperties>
</file>