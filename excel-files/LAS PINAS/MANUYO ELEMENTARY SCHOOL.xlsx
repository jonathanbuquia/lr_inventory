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7" documentId="13_ncr:1_{BFB59F67-F0DC-4675-A682-EB0734A8026A}" xr6:coauthVersionLast="47" xr6:coauthVersionMax="47" xr10:uidLastSave="{36FB52ED-FE94-4134-B9D2-D0DA8EE3561A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<sst xmlns="http://schemas.openxmlformats.org/spreadsheetml/2006/main" count="402" uniqueCount="91">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</sst>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charset val="134"/>
    </font>
    <font>
      <sz val="11"/>
      <color rgb="FF000000"/>
      <name val="Aptos Narrow"/>
      <charset val="134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43AEE2"/>
      </top>
      <bottom style="thin">
        <color rgb="FF43AEE2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6" fillId="14" borderId="10" xfId="0" applyFont="1" applyFill="1" applyBorder="1" applyAlignment="1">
      <alignment horizontal="center" vertical="center" wrapText="1"/>
    </xf>
    <xf numFmtId="0" fontId="15" fillId="13" borderId="3" xfId="0" applyFont="1" applyFill="1" applyBorder="1" applyAlignment="1">
      <alignment horizontal="center" vertical="center" wrapText="1"/>
    </xf>
    <xf numFmtId="0" fontId="16" fillId="14" borderId="10" xfId="0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2" fillId="7" borderId="9" xfId="0" applyFont="1" applyFill="1" applyBorder="1" applyAlignment="1">
      <alignment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61" activePane="topRight" state="frozen"/>
      <selection pane="topRight" activeCell="E29" sqref="E2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169</v>
      </c>
      <c r="D2" s="1">
        <v>288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119</v>
      </c>
    </row>
    <row r="3" spans="1:8" ht="29.25" customHeight="1">
      <c r="A3" s="1">
        <v>1</v>
      </c>
      <c r="B3" s="2" t="s">
        <v>10</v>
      </c>
      <c r="C3" s="1">
        <v>169</v>
      </c>
      <c r="D3" s="1">
        <v>288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119</v>
      </c>
    </row>
    <row r="4" spans="1:8" ht="21" customHeight="1">
      <c r="A4" s="1">
        <v>1</v>
      </c>
      <c r="B4" s="2" t="s">
        <v>11</v>
      </c>
      <c r="C4" s="1">
        <v>169</v>
      </c>
      <c r="D4" s="1">
        <v>288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119</v>
      </c>
    </row>
    <row r="5" spans="1:8" ht="25.5" customHeight="1">
      <c r="A5" s="1">
        <v>1</v>
      </c>
      <c r="B5" s="2" t="s">
        <v>12</v>
      </c>
      <c r="C5" s="1">
        <v>169</v>
      </c>
      <c r="D5" s="1">
        <v>288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119</v>
      </c>
    </row>
    <row r="6" spans="1:8" ht="19.5">
      <c r="A6" s="1">
        <v>1</v>
      </c>
      <c r="B6" s="2" t="s">
        <v>13</v>
      </c>
      <c r="C6" s="1">
        <v>169</v>
      </c>
      <c r="D6" s="1"/>
      <c r="E6" s="1"/>
      <c r="F6" s="5"/>
      <c r="G6" s="3">
        <f t="shared" si="0"/>
        <v>169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202</v>
      </c>
      <c r="D8" s="1">
        <v>0</v>
      </c>
      <c r="E8" s="1"/>
      <c r="F8" s="5"/>
      <c r="G8" s="3">
        <f>IF((C8-D8)&lt;0,0,C8-D8)</f>
        <v>202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202</v>
      </c>
      <c r="D9" s="1">
        <v>0</v>
      </c>
      <c r="E9" s="1"/>
      <c r="F9" s="5"/>
      <c r="G9" s="3">
        <f>IF((C9-D9)&lt;0,0,C9-D9)</f>
        <v>202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202</v>
      </c>
      <c r="D10" s="1">
        <v>0</v>
      </c>
      <c r="E10" s="1"/>
      <c r="F10" s="5"/>
      <c r="G10" s="3">
        <f>IF((C10-D10)&lt;0,0,C10-D10)</f>
        <v>202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202</v>
      </c>
      <c r="D11" s="1">
        <v>0</v>
      </c>
      <c r="E11" s="1"/>
      <c r="F11" s="5"/>
      <c r="G11" s="3">
        <f>IF((C11-D11)&lt;0,0,C11-D11)</f>
        <v>202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202</v>
      </c>
      <c r="D12" s="1">
        <v>0</v>
      </c>
      <c r="E12" s="1"/>
      <c r="F12" s="5"/>
      <c r="G12" s="3">
        <f>IF((C12-D12)&lt;0,0,C12-D12)</f>
        <v>202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223</v>
      </c>
      <c r="D14" s="1">
        <v>0</v>
      </c>
      <c r="E14" s="1"/>
      <c r="F14" s="5"/>
      <c r="G14" s="3">
        <f t="shared" ref="G14:G19" si="2">IF((C14-D14)&lt;0,0,C14-D14)</f>
        <v>223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223</v>
      </c>
      <c r="D15" s="1">
        <v>0</v>
      </c>
      <c r="E15" s="1"/>
      <c r="F15" s="5"/>
      <c r="G15" s="3">
        <f t="shared" si="2"/>
        <v>223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223</v>
      </c>
      <c r="D16" s="1">
        <v>0</v>
      </c>
      <c r="E16" s="1"/>
      <c r="F16" s="5"/>
      <c r="G16" s="3">
        <f t="shared" si="2"/>
        <v>223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223</v>
      </c>
      <c r="D17" s="1">
        <v>0</v>
      </c>
      <c r="E17" s="1"/>
      <c r="F17" s="5"/>
      <c r="G17" s="3">
        <f t="shared" si="2"/>
        <v>223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223</v>
      </c>
      <c r="D18" s="1">
        <v>0</v>
      </c>
      <c r="E18" s="1"/>
      <c r="F18" s="5"/>
      <c r="G18" s="3">
        <f t="shared" si="2"/>
        <v>223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223</v>
      </c>
      <c r="D19" s="1">
        <v>0</v>
      </c>
      <c r="E19" s="1"/>
      <c r="F19" s="5"/>
      <c r="G19" s="3">
        <f t="shared" si="2"/>
        <v>223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215</v>
      </c>
      <c r="D21" s="1">
        <v>0</v>
      </c>
      <c r="E21" s="1"/>
      <c r="F21" s="5"/>
      <c r="G21" s="3">
        <f t="shared" ref="G21:G29" si="4">IF((C21-D21)&lt;0,0,C21-D21)</f>
        <v>215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215</v>
      </c>
      <c r="D22" s="1">
        <v>351</v>
      </c>
      <c r="E22" s="1">
        <v>2024</v>
      </c>
      <c r="F22" s="5" t="s">
        <v>9</v>
      </c>
      <c r="G22" s="3">
        <f t="shared" si="4"/>
        <v>0</v>
      </c>
      <c r="H22" s="4">
        <f t="shared" si="5"/>
        <v>136</v>
      </c>
    </row>
    <row r="23" spans="1:8" ht="19.5">
      <c r="A23" s="1">
        <v>4</v>
      </c>
      <c r="B23" s="9" t="s">
        <v>13</v>
      </c>
      <c r="C23" s="1">
        <v>215</v>
      </c>
      <c r="D23" s="1">
        <v>351</v>
      </c>
      <c r="E23" s="1">
        <v>2024</v>
      </c>
      <c r="F23" s="5" t="s">
        <v>9</v>
      </c>
      <c r="G23" s="3">
        <f t="shared" si="4"/>
        <v>0</v>
      </c>
      <c r="H23" s="4">
        <f t="shared" si="5"/>
        <v>136</v>
      </c>
    </row>
    <row r="24" spans="1:8" ht="27" customHeight="1">
      <c r="A24" s="1">
        <v>4</v>
      </c>
      <c r="B24" s="9" t="s">
        <v>11</v>
      </c>
      <c r="C24" s="1">
        <v>215</v>
      </c>
      <c r="D24" s="1">
        <v>351</v>
      </c>
      <c r="E24" s="1">
        <v>2024</v>
      </c>
      <c r="F24" s="5" t="s">
        <v>9</v>
      </c>
      <c r="G24" s="3">
        <f t="shared" si="4"/>
        <v>0</v>
      </c>
      <c r="H24" s="4">
        <f t="shared" si="5"/>
        <v>136</v>
      </c>
    </row>
    <row r="25" spans="1:8" ht="33.75" customHeight="1">
      <c r="A25" s="1">
        <v>4</v>
      </c>
      <c r="B25" s="9" t="s">
        <v>17</v>
      </c>
      <c r="C25" s="1">
        <v>215</v>
      </c>
      <c r="D25" s="1">
        <v>351</v>
      </c>
      <c r="E25" s="1">
        <v>2024</v>
      </c>
      <c r="F25" s="5" t="s">
        <v>9</v>
      </c>
      <c r="G25" s="3">
        <f t="shared" si="4"/>
        <v>0</v>
      </c>
      <c r="H25" s="4">
        <f t="shared" si="5"/>
        <v>136</v>
      </c>
    </row>
    <row r="26" spans="1:8" ht="33.75" customHeight="1">
      <c r="A26" s="1">
        <v>4</v>
      </c>
      <c r="B26" s="9" t="s">
        <v>14</v>
      </c>
      <c r="C26" s="1">
        <v>215</v>
      </c>
      <c r="D26" s="1">
        <v>351</v>
      </c>
      <c r="E26" s="1">
        <v>2024</v>
      </c>
      <c r="F26" s="5" t="s">
        <v>9</v>
      </c>
      <c r="G26" s="3">
        <f t="shared" si="4"/>
        <v>0</v>
      </c>
      <c r="H26" s="4">
        <f t="shared" si="5"/>
        <v>136</v>
      </c>
    </row>
    <row r="27" spans="1:8" ht="33.75" customHeight="1">
      <c r="A27" s="1">
        <v>4</v>
      </c>
      <c r="B27" s="9" t="s">
        <v>18</v>
      </c>
      <c r="C27" s="29">
        <v>215</v>
      </c>
      <c r="D27" s="29">
        <v>351</v>
      </c>
      <c r="E27" s="29">
        <v>2024</v>
      </c>
      <c r="F27" s="31" t="s">
        <v>9</v>
      </c>
      <c r="G27" s="3">
        <f t="shared" si="4"/>
        <v>0</v>
      </c>
      <c r="H27" s="4">
        <f t="shared" si="5"/>
        <v>136</v>
      </c>
    </row>
    <row r="28" spans="1:8" ht="27.75" customHeight="1">
      <c r="A28" s="1">
        <v>4</v>
      </c>
      <c r="B28" s="50" t="s">
        <v>19</v>
      </c>
      <c r="C28" s="1">
        <v>215</v>
      </c>
      <c r="D28" s="1">
        <v>0</v>
      </c>
      <c r="E28" s="1"/>
      <c r="F28" s="1"/>
      <c r="G28" s="13">
        <f t="shared" si="4"/>
        <v>215</v>
      </c>
      <c r="H28" s="4">
        <f t="shared" si="5"/>
        <v>0</v>
      </c>
    </row>
    <row r="29" spans="1:8" ht="27.75" customHeight="1">
      <c r="A29" s="1">
        <v>4</v>
      </c>
      <c r="B29" s="50" t="s">
        <v>20</v>
      </c>
      <c r="C29" s="1">
        <v>215</v>
      </c>
      <c r="D29" s="1">
        <v>0</v>
      </c>
      <c r="E29" s="1"/>
      <c r="F29" s="1"/>
      <c r="G29" s="13">
        <f t="shared" si="4"/>
        <v>215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193</v>
      </c>
      <c r="D31" s="1">
        <v>313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120</v>
      </c>
    </row>
    <row r="32" spans="1:8" ht="27.75" customHeight="1">
      <c r="A32" s="1">
        <v>5</v>
      </c>
      <c r="B32" s="9" t="s">
        <v>16</v>
      </c>
      <c r="C32" s="1">
        <v>193</v>
      </c>
      <c r="D32" s="1">
        <v>0</v>
      </c>
      <c r="E32" s="1"/>
      <c r="F32" s="5"/>
      <c r="G32" s="3">
        <f t="shared" si="6"/>
        <v>193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193</v>
      </c>
      <c r="D33" s="1">
        <v>0</v>
      </c>
      <c r="E33" s="1"/>
      <c r="F33" s="5"/>
      <c r="G33" s="3">
        <f t="shared" si="6"/>
        <v>193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193</v>
      </c>
      <c r="D34" s="1">
        <v>0</v>
      </c>
      <c r="E34" s="1"/>
      <c r="F34" s="5"/>
      <c r="G34" s="3">
        <f t="shared" si="6"/>
        <v>193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193</v>
      </c>
      <c r="D35" s="1">
        <v>313</v>
      </c>
      <c r="E35" s="1">
        <v>2025</v>
      </c>
      <c r="F35" s="5" t="s">
        <v>9</v>
      </c>
      <c r="G35" s="3">
        <f t="shared" si="6"/>
        <v>0</v>
      </c>
      <c r="H35" s="4">
        <f t="shared" si="7"/>
        <v>120</v>
      </c>
    </row>
    <row r="36" spans="1:8" ht="27.75" customHeight="1">
      <c r="A36" s="1">
        <v>5</v>
      </c>
      <c r="B36" s="9" t="s">
        <v>14</v>
      </c>
      <c r="C36" s="1">
        <v>193</v>
      </c>
      <c r="D36" s="1">
        <v>313</v>
      </c>
      <c r="E36" s="1">
        <v>2025</v>
      </c>
      <c r="F36" s="5" t="s">
        <v>9</v>
      </c>
      <c r="G36" s="3">
        <f t="shared" si="6"/>
        <v>0</v>
      </c>
      <c r="H36" s="4">
        <f t="shared" si="7"/>
        <v>120</v>
      </c>
    </row>
    <row r="37" spans="1:8" ht="27.75" customHeight="1">
      <c r="A37" s="1">
        <v>5</v>
      </c>
      <c r="B37" s="9" t="s">
        <v>18</v>
      </c>
      <c r="C37" s="1">
        <v>193</v>
      </c>
      <c r="D37" s="1">
        <v>313</v>
      </c>
      <c r="E37" s="1">
        <v>2025</v>
      </c>
      <c r="F37" s="5" t="s">
        <v>9</v>
      </c>
      <c r="G37" s="3">
        <f t="shared" si="6"/>
        <v>0</v>
      </c>
      <c r="H37" s="4">
        <f t="shared" si="7"/>
        <v>120</v>
      </c>
    </row>
    <row r="38" spans="1:8" ht="27.75" customHeight="1">
      <c r="A38" s="1">
        <v>5</v>
      </c>
      <c r="B38" s="9" t="s">
        <v>19</v>
      </c>
      <c r="C38" s="1">
        <v>193</v>
      </c>
      <c r="D38" s="1">
        <v>0</v>
      </c>
      <c r="E38" s="1"/>
      <c r="F38" s="5"/>
      <c r="G38" s="3">
        <f t="shared" si="6"/>
        <v>193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193</v>
      </c>
      <c r="D39" s="1">
        <v>0</v>
      </c>
      <c r="E39" s="1"/>
      <c r="F39" s="5"/>
      <c r="G39" s="3">
        <f t="shared" si="6"/>
        <v>193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218</v>
      </c>
      <c r="D41" s="1">
        <v>0</v>
      </c>
      <c r="E41" s="1"/>
      <c r="F41" s="5"/>
      <c r="G41" s="3">
        <f t="shared" ref="G41:G49" si="8">IF((C41-D41)&lt;0,0,C41-D41)</f>
        <v>218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218</v>
      </c>
      <c r="D42" s="1">
        <v>0</v>
      </c>
      <c r="E42" s="1"/>
      <c r="F42" s="5"/>
      <c r="G42" s="3">
        <f t="shared" si="8"/>
        <v>218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218</v>
      </c>
      <c r="D43" s="1">
        <v>0</v>
      </c>
      <c r="E43" s="1"/>
      <c r="F43" s="5"/>
      <c r="G43" s="3">
        <f t="shared" si="8"/>
        <v>218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218</v>
      </c>
      <c r="D44" s="1">
        <v>0</v>
      </c>
      <c r="E44" s="1"/>
      <c r="F44" s="5"/>
      <c r="G44" s="3">
        <f t="shared" si="8"/>
        <v>218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218</v>
      </c>
      <c r="D45" s="1">
        <v>0</v>
      </c>
      <c r="E45" s="1"/>
      <c r="F45" s="5"/>
      <c r="G45" s="3">
        <f t="shared" si="8"/>
        <v>218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218</v>
      </c>
      <c r="D46" s="1">
        <v>0</v>
      </c>
      <c r="E46" s="1"/>
      <c r="F46" s="5"/>
      <c r="G46" s="3">
        <f t="shared" si="8"/>
        <v>218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218</v>
      </c>
      <c r="D47" s="1">
        <v>0</v>
      </c>
      <c r="E47" s="1"/>
      <c r="F47" s="5"/>
      <c r="G47" s="3">
        <f t="shared" si="8"/>
        <v>218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218</v>
      </c>
      <c r="D48" s="1">
        <v>0</v>
      </c>
      <c r="E48" s="1"/>
      <c r="F48" s="5"/>
      <c r="G48" s="3">
        <f t="shared" si="8"/>
        <v>218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218</v>
      </c>
      <c r="D49" s="1">
        <v>0</v>
      </c>
      <c r="E49" s="1"/>
      <c r="F49" s="5"/>
      <c r="G49" s="3">
        <f t="shared" si="8"/>
        <v>218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91:E98 E31:E39 E51:E59 E61:E69 E41:E49 E2:E6 E71:E79 E81:E89 E8:E12 E21:E2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M8" sqref="M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6" t="s">
        <v>33</v>
      </c>
      <c r="E1" s="46"/>
      <c r="F1" s="46"/>
      <c r="G1" s="46"/>
      <c r="H1" s="46"/>
      <c r="I1" s="46"/>
      <c r="J1" s="47" t="s">
        <v>34</v>
      </c>
      <c r="K1" s="47"/>
      <c r="L1" s="47"/>
      <c r="M1" s="47"/>
      <c r="N1" s="47"/>
      <c r="O1" s="47"/>
      <c r="P1" s="48" t="s">
        <v>35</v>
      </c>
      <c r="Q1" s="48"/>
      <c r="R1" s="48"/>
      <c r="S1" s="48"/>
      <c r="T1" s="48"/>
      <c r="U1" s="48"/>
      <c r="V1" s="49" t="s">
        <v>36</v>
      </c>
      <c r="W1" s="49"/>
      <c r="X1" s="49"/>
      <c r="Y1" s="49"/>
      <c r="Z1" s="49"/>
      <c r="AA1" s="49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42">
        <v>151</v>
      </c>
      <c r="D3" s="34">
        <f>Table1[[#This Row],[Enrolment S.Y. 2025-2026 ]]*8</f>
        <v>1208</v>
      </c>
      <c r="E3" s="34"/>
      <c r="F3" s="32"/>
      <c r="G3" s="34"/>
      <c r="H3" s="34">
        <f>IF((D3-E3)&lt;0,0,(D3-E3))</f>
        <v>1208</v>
      </c>
      <c r="I3" s="34">
        <f>IF((E3-D3)&lt;0,0,(E3-D3))</f>
        <v>0</v>
      </c>
      <c r="J3" s="34">
        <f>Table1[[#This Row],[Enrolment S.Y. 2025-2026 ]]*8</f>
        <v>1208</v>
      </c>
      <c r="K3" s="34"/>
      <c r="L3" s="32"/>
      <c r="M3" s="34"/>
      <c r="N3" s="5">
        <f t="shared" ref="N3" si="0">IF((J3-K3)&lt;0,0,(J3-K3))</f>
        <v>1208</v>
      </c>
      <c r="O3" s="5">
        <f t="shared" ref="O3" si="1">IF((K3-J3)&lt;0,0,(K3-J3))</f>
        <v>0</v>
      </c>
      <c r="P3" s="5">
        <f>Table1[[#This Row],[Enrolment S.Y. 2025-2026 ]]*8</f>
        <v>1208</v>
      </c>
      <c r="Q3" s="34"/>
      <c r="R3" s="32"/>
      <c r="S3" s="34"/>
      <c r="T3" s="34">
        <f>IF((P3-Q3)&lt;0,0,(P3-Q3))</f>
        <v>1208</v>
      </c>
      <c r="U3" s="34">
        <f>IF((Q3-P3)&lt;0,0,(Q3-P3))</f>
        <v>0</v>
      </c>
      <c r="V3" s="34">
        <f>Table1[[#This Row],[Enrolment S.Y. 2025-2026 ]]*8</f>
        <v>1208</v>
      </c>
      <c r="W3" s="34"/>
      <c r="X3" s="32"/>
      <c r="Y3" s="34"/>
      <c r="Z3" s="34">
        <f>IF((V3-W3)&lt;0,0,(V3-W3))</f>
        <v>1208</v>
      </c>
      <c r="AA3" s="34">
        <f>IF((W3-V3)&lt;0,0,(W3-V3))</f>
        <v>0</v>
      </c>
    </row>
    <row r="4" spans="1:27" s="7" customFormat="1" ht="19.5">
      <c r="C4" s="43"/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42">
        <v>169</v>
      </c>
      <c r="D5" s="5">
        <f>Table1[[#This Row],[Enrolment S.Y. 2025-2026 ]]*8</f>
        <v>1352</v>
      </c>
      <c r="E5" s="44">
        <v>172</v>
      </c>
      <c r="F5" s="1">
        <v>2025</v>
      </c>
      <c r="G5" s="5"/>
      <c r="H5" s="5">
        <f t="shared" ref="H5:H77" si="2">IF((D5-E5)&lt;0,0,(D5-E5))</f>
        <v>1180</v>
      </c>
      <c r="I5" s="5">
        <f t="shared" ref="I5:I77" si="3">IF((E5-D5)&lt;0,0,(E5-D5))</f>
        <v>0</v>
      </c>
      <c r="J5" s="5">
        <f>Table1[[#This Row],[Enrolment S.Y. 2025-2026 ]]*8</f>
        <v>1352</v>
      </c>
      <c r="K5" s="44">
        <v>172</v>
      </c>
      <c r="L5" s="1">
        <v>2025</v>
      </c>
      <c r="M5" s="5"/>
      <c r="N5" s="5">
        <f t="shared" ref="N5" si="4">IF((J5-K5)&lt;0,0,(J5-K5))</f>
        <v>1180</v>
      </c>
      <c r="O5" s="5">
        <f t="shared" ref="O5" si="5">IF((K5-J5)&lt;0,0,(K5-J5))</f>
        <v>0</v>
      </c>
      <c r="P5" s="5">
        <f>Table1[[#This Row],[Enrolment S.Y. 2025-2026 ]]*8</f>
        <v>1352</v>
      </c>
      <c r="Q5" s="5"/>
      <c r="R5" s="1"/>
      <c r="S5" s="5"/>
      <c r="T5" s="5">
        <f t="shared" ref="T5" si="6">IF((P5-Q5)&lt;0,0,(P5-Q5))</f>
        <v>1352</v>
      </c>
      <c r="U5" s="5">
        <f t="shared" ref="U5" si="7">IF((Q5-P5)&lt;0,0,(Q5-P5))</f>
        <v>0</v>
      </c>
      <c r="V5" s="5">
        <f>Table1[[#This Row],[Enrolment S.Y. 2025-2026 ]]*8</f>
        <v>1352</v>
      </c>
      <c r="W5" s="5"/>
      <c r="X5" s="1"/>
      <c r="Y5" s="5"/>
      <c r="Z5" s="5">
        <f t="shared" ref="Z5" si="8">IF((V5-W5)&lt;0,0,(V5-W5))</f>
        <v>1352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42">
        <v>169</v>
      </c>
      <c r="D6" s="5">
        <f>Table1[[#This Row],[Enrolment S.Y. 2025-2026 ]]*8</f>
        <v>1352</v>
      </c>
      <c r="E6" s="44">
        <v>172</v>
      </c>
      <c r="F6" s="1">
        <v>2025</v>
      </c>
      <c r="G6" s="5"/>
      <c r="H6" s="5">
        <f t="shared" si="2"/>
        <v>1180</v>
      </c>
      <c r="I6" s="5">
        <f t="shared" si="3"/>
        <v>0</v>
      </c>
      <c r="J6" s="5">
        <f>Table1[[#This Row],[Enrolment S.Y. 2025-2026 ]]*8</f>
        <v>1352</v>
      </c>
      <c r="K6" s="44">
        <v>172</v>
      </c>
      <c r="L6" s="1">
        <v>2025</v>
      </c>
      <c r="M6" s="5"/>
      <c r="N6" s="5">
        <f t="shared" ref="N6:N69" si="10">IF((J6-K6)&lt;0,0,(J6-K6))</f>
        <v>1180</v>
      </c>
      <c r="O6" s="5">
        <f t="shared" ref="O6:O69" si="11">IF((K6-J6)&lt;0,0,(K6-J6))</f>
        <v>0</v>
      </c>
      <c r="P6" s="5">
        <f>Table1[[#This Row],[Enrolment S.Y. 2025-2026 ]]*8</f>
        <v>1352</v>
      </c>
      <c r="Q6" s="5"/>
      <c r="R6" s="1"/>
      <c r="S6" s="5"/>
      <c r="T6" s="5">
        <f t="shared" ref="T6:T69" si="12">IF((P6-Q6)&lt;0,0,(P6-Q6))</f>
        <v>1352</v>
      </c>
      <c r="U6" s="5">
        <f t="shared" ref="U6:U69" si="13">IF((Q6-P6)&lt;0,0,(Q6-P6))</f>
        <v>0</v>
      </c>
      <c r="V6" s="5">
        <f>Table1[[#This Row],[Enrolment S.Y. 2025-2026 ]]*8</f>
        <v>1352</v>
      </c>
      <c r="W6" s="5"/>
      <c r="X6" s="1"/>
      <c r="Y6" s="5"/>
      <c r="Z6" s="5">
        <f t="shared" ref="Z6:Z69" si="14">IF((V6-W6)&lt;0,0,(V6-W6))</f>
        <v>1352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42">
        <v>169</v>
      </c>
      <c r="D7" s="5">
        <f>Table1[[#This Row],[Enrolment S.Y. 2025-2026 ]]*8</f>
        <v>1352</v>
      </c>
      <c r="E7" s="44">
        <v>172</v>
      </c>
      <c r="F7" s="1">
        <v>2025</v>
      </c>
      <c r="G7" s="5"/>
      <c r="H7" s="5">
        <f t="shared" si="2"/>
        <v>1180</v>
      </c>
      <c r="I7" s="5">
        <f t="shared" si="3"/>
        <v>0</v>
      </c>
      <c r="J7" s="5">
        <f>Table1[[#This Row],[Enrolment S.Y. 2025-2026 ]]*8</f>
        <v>1352</v>
      </c>
      <c r="K7" s="44">
        <v>172</v>
      </c>
      <c r="L7" s="1">
        <v>2025</v>
      </c>
      <c r="M7" s="5"/>
      <c r="N7" s="5">
        <f t="shared" si="10"/>
        <v>1180</v>
      </c>
      <c r="O7" s="5">
        <f t="shared" si="11"/>
        <v>0</v>
      </c>
      <c r="P7" s="5">
        <f>Table1[[#This Row],[Enrolment S.Y. 2025-2026 ]]*8</f>
        <v>1352</v>
      </c>
      <c r="Q7" s="5"/>
      <c r="R7" s="1"/>
      <c r="S7" s="5"/>
      <c r="T7" s="5">
        <f t="shared" si="12"/>
        <v>1352</v>
      </c>
      <c r="U7" s="5">
        <f t="shared" si="13"/>
        <v>0</v>
      </c>
      <c r="V7" s="5">
        <f>Table1[[#This Row],[Enrolment S.Y. 2025-2026 ]]*8</f>
        <v>1352</v>
      </c>
      <c r="W7" s="5"/>
      <c r="X7" s="1"/>
      <c r="Y7" s="5"/>
      <c r="Z7" s="5">
        <f t="shared" si="14"/>
        <v>1352</v>
      </c>
      <c r="AA7" s="5">
        <f t="shared" si="15"/>
        <v>0</v>
      </c>
    </row>
    <row r="8" spans="1:27" ht="19.5">
      <c r="A8" s="1">
        <v>1</v>
      </c>
      <c r="B8" s="2" t="s">
        <v>12</v>
      </c>
      <c r="C8" s="42">
        <v>169</v>
      </c>
      <c r="D8" s="5">
        <f>Table1[[#This Row],[Enrolment S.Y. 2025-2026 ]]*8</f>
        <v>1352</v>
      </c>
      <c r="E8" s="44">
        <v>172</v>
      </c>
      <c r="F8" s="1">
        <v>2025</v>
      </c>
      <c r="G8" s="5"/>
      <c r="H8" s="5">
        <f t="shared" si="2"/>
        <v>1180</v>
      </c>
      <c r="I8" s="5">
        <f t="shared" si="3"/>
        <v>0</v>
      </c>
      <c r="J8" s="5">
        <f>Table1[[#This Row],[Enrolment S.Y. 2025-2026 ]]*8</f>
        <v>1352</v>
      </c>
      <c r="K8" s="44">
        <v>172</v>
      </c>
      <c r="L8" s="1">
        <v>2025</v>
      </c>
      <c r="M8" s="5"/>
      <c r="N8" s="5">
        <f t="shared" si="10"/>
        <v>1180</v>
      </c>
      <c r="O8" s="5">
        <f t="shared" si="11"/>
        <v>0</v>
      </c>
      <c r="P8" s="5">
        <f>Table1[[#This Row],[Enrolment S.Y. 2025-2026 ]]*8</f>
        <v>1352</v>
      </c>
      <c r="Q8" s="5"/>
      <c r="R8" s="1"/>
      <c r="S8" s="5"/>
      <c r="T8" s="5">
        <f t="shared" si="12"/>
        <v>1352</v>
      </c>
      <c r="U8" s="5">
        <f t="shared" si="13"/>
        <v>0</v>
      </c>
      <c r="V8" s="5">
        <f>Table1[[#This Row],[Enrolment S.Y. 2025-2026 ]]*8</f>
        <v>1352</v>
      </c>
      <c r="W8" s="5"/>
      <c r="X8" s="1"/>
      <c r="Y8" s="5"/>
      <c r="Z8" s="5">
        <f t="shared" si="14"/>
        <v>1352</v>
      </c>
      <c r="AA8" s="5">
        <f t="shared" si="15"/>
        <v>0</v>
      </c>
    </row>
    <row r="9" spans="1:27" ht="19.5">
      <c r="A9" s="1">
        <v>1</v>
      </c>
      <c r="B9" s="2" t="s">
        <v>13</v>
      </c>
      <c r="C9" s="42">
        <v>169</v>
      </c>
      <c r="D9" s="5">
        <f>Table1[[#This Row],[Enrolment S.Y. 2025-2026 ]]*8</f>
        <v>1352</v>
      </c>
      <c r="E9" s="44">
        <v>172</v>
      </c>
      <c r="F9" s="1">
        <v>2025</v>
      </c>
      <c r="G9" s="5"/>
      <c r="H9" s="5">
        <f t="shared" si="2"/>
        <v>1180</v>
      </c>
      <c r="I9" s="5">
        <f t="shared" si="3"/>
        <v>0</v>
      </c>
      <c r="J9" s="5">
        <f>Table1[[#This Row],[Enrolment S.Y. 2025-2026 ]]*8</f>
        <v>1352</v>
      </c>
      <c r="K9" s="44">
        <v>172</v>
      </c>
      <c r="L9" s="1">
        <v>2025</v>
      </c>
      <c r="M9" s="5"/>
      <c r="N9" s="5">
        <f t="shared" si="10"/>
        <v>1180</v>
      </c>
      <c r="O9" s="5">
        <f t="shared" si="11"/>
        <v>0</v>
      </c>
      <c r="P9" s="5">
        <f>Table1[[#This Row],[Enrolment S.Y. 2025-2026 ]]*8</f>
        <v>1352</v>
      </c>
      <c r="Q9" s="5"/>
      <c r="R9" s="1"/>
      <c r="S9" s="5"/>
      <c r="T9" s="5">
        <f t="shared" si="12"/>
        <v>1352</v>
      </c>
      <c r="U9" s="5">
        <f t="shared" si="13"/>
        <v>0</v>
      </c>
      <c r="V9" s="5">
        <f>Table1[[#This Row],[Enrolment S.Y. 2025-2026 ]]*8</f>
        <v>1352</v>
      </c>
      <c r="W9" s="5"/>
      <c r="X9" s="1"/>
      <c r="Y9" s="5"/>
      <c r="Z9" s="5">
        <f t="shared" si="14"/>
        <v>1352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42"/>
      <c r="D10" s="5">
        <f>Table1[[#This Row],[Enrolment S.Y. 2025-2026 ]]*8</f>
        <v>0</v>
      </c>
      <c r="E10" s="44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44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42"/>
      <c r="D11" s="5">
        <f>Table1[[#This Row],[Enrolment S.Y. 2025-2026 ]]*8</f>
        <v>0</v>
      </c>
      <c r="E11" s="44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44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42"/>
      <c r="D12" s="5">
        <f>Table1[[#This Row],[Enrolment S.Y. 2025-2026 ]]*8</f>
        <v>0</v>
      </c>
      <c r="E12" s="44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44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C13" s="43"/>
      <c r="E13" s="45"/>
      <c r="J13" s="13"/>
      <c r="K13" s="45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42"/>
      <c r="D14" s="5">
        <f>Table1[[#This Row],[Enrolment S.Y. 2025-2026 ]]*8</f>
        <v>0</v>
      </c>
      <c r="E14" s="44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44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42"/>
      <c r="D15" s="5">
        <f>Table1[[#This Row],[Enrolment S.Y. 2025-2026 ]]*8</f>
        <v>0</v>
      </c>
      <c r="E15" s="44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44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42">
        <v>202</v>
      </c>
      <c r="D16" s="5">
        <f>Table1[[#This Row],[Enrolment S.Y. 2025-2026 ]]*8</f>
        <v>1616</v>
      </c>
      <c r="E16" s="44">
        <v>202</v>
      </c>
      <c r="F16" s="1">
        <v>2025</v>
      </c>
      <c r="G16" s="5"/>
      <c r="H16" s="5">
        <f t="shared" si="2"/>
        <v>1414</v>
      </c>
      <c r="I16" s="5">
        <f t="shared" si="3"/>
        <v>0</v>
      </c>
      <c r="J16" s="5">
        <f>Table1[[#This Row],[Enrolment S.Y. 2025-2026 ]]*8</f>
        <v>1616</v>
      </c>
      <c r="K16" s="44">
        <v>202</v>
      </c>
      <c r="L16" s="1">
        <v>2025</v>
      </c>
      <c r="M16" s="5"/>
      <c r="N16" s="5">
        <f t="shared" si="10"/>
        <v>1414</v>
      </c>
      <c r="O16" s="5">
        <f t="shared" si="11"/>
        <v>0</v>
      </c>
      <c r="P16" s="5">
        <f>Table1[[#This Row],[Enrolment S.Y. 2025-2026 ]]*8</f>
        <v>1616</v>
      </c>
      <c r="Q16" s="5"/>
      <c r="R16" s="1"/>
      <c r="S16" s="5"/>
      <c r="T16" s="5">
        <f t="shared" si="12"/>
        <v>1616</v>
      </c>
      <c r="U16" s="5">
        <f t="shared" si="13"/>
        <v>0</v>
      </c>
      <c r="V16" s="5">
        <f>Table1[[#This Row],[Enrolment S.Y. 2025-2026 ]]*8</f>
        <v>1616</v>
      </c>
      <c r="W16" s="5"/>
      <c r="X16" s="1"/>
      <c r="Y16" s="5"/>
      <c r="Z16" s="5">
        <f t="shared" si="14"/>
        <v>1616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42">
        <v>202</v>
      </c>
      <c r="D17" s="5">
        <f>Table1[[#This Row],[Enrolment S.Y. 2025-2026 ]]*8</f>
        <v>1616</v>
      </c>
      <c r="E17" s="44">
        <v>202</v>
      </c>
      <c r="F17" s="1">
        <v>2025</v>
      </c>
      <c r="G17" s="5"/>
      <c r="H17" s="5">
        <f t="shared" si="2"/>
        <v>1414</v>
      </c>
      <c r="I17" s="5">
        <f t="shared" si="3"/>
        <v>0</v>
      </c>
      <c r="J17" s="5">
        <f>Table1[[#This Row],[Enrolment S.Y. 2025-2026 ]]*8</f>
        <v>1616</v>
      </c>
      <c r="K17" s="44">
        <v>202</v>
      </c>
      <c r="L17" s="1">
        <v>2025</v>
      </c>
      <c r="M17" s="5"/>
      <c r="N17" s="5">
        <f t="shared" si="10"/>
        <v>1414</v>
      </c>
      <c r="O17" s="5">
        <f t="shared" si="11"/>
        <v>0</v>
      </c>
      <c r="P17" s="5">
        <f>Table1[[#This Row],[Enrolment S.Y. 2025-2026 ]]*8</f>
        <v>1616</v>
      </c>
      <c r="Q17" s="5"/>
      <c r="R17" s="1"/>
      <c r="S17" s="5"/>
      <c r="T17" s="5">
        <f t="shared" si="12"/>
        <v>1616</v>
      </c>
      <c r="U17" s="5">
        <f t="shared" si="13"/>
        <v>0</v>
      </c>
      <c r="V17" s="5">
        <f>Table1[[#This Row],[Enrolment S.Y. 2025-2026 ]]*8</f>
        <v>1616</v>
      </c>
      <c r="W17" s="5"/>
      <c r="X17" s="1"/>
      <c r="Y17" s="5"/>
      <c r="Z17" s="5">
        <f t="shared" si="14"/>
        <v>1616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42">
        <v>202</v>
      </c>
      <c r="D18" s="5">
        <f>Table1[[#This Row],[Enrolment S.Y. 2025-2026 ]]*8</f>
        <v>1616</v>
      </c>
      <c r="E18" s="44">
        <v>202</v>
      </c>
      <c r="F18" s="1">
        <v>2025</v>
      </c>
      <c r="G18" s="5"/>
      <c r="H18" s="5">
        <f t="shared" si="2"/>
        <v>1414</v>
      </c>
      <c r="I18" s="5">
        <f t="shared" si="3"/>
        <v>0</v>
      </c>
      <c r="J18" s="5">
        <f>Table1[[#This Row],[Enrolment S.Y. 2025-2026 ]]*8</f>
        <v>1616</v>
      </c>
      <c r="K18" s="44">
        <v>202</v>
      </c>
      <c r="L18" s="1">
        <v>2025</v>
      </c>
      <c r="M18" s="5"/>
      <c r="N18" s="5">
        <f t="shared" si="10"/>
        <v>1414</v>
      </c>
      <c r="O18" s="5">
        <f t="shared" si="11"/>
        <v>0</v>
      </c>
      <c r="P18" s="5">
        <f>Table1[[#This Row],[Enrolment S.Y. 2025-2026 ]]*8</f>
        <v>1616</v>
      </c>
      <c r="Q18" s="5"/>
      <c r="R18" s="1"/>
      <c r="S18" s="5"/>
      <c r="T18" s="5">
        <f t="shared" si="12"/>
        <v>1616</v>
      </c>
      <c r="U18" s="5">
        <f t="shared" si="13"/>
        <v>0</v>
      </c>
      <c r="V18" s="5">
        <f>Table1[[#This Row],[Enrolment S.Y. 2025-2026 ]]*8</f>
        <v>1616</v>
      </c>
      <c r="W18" s="5"/>
      <c r="X18" s="1"/>
      <c r="Y18" s="5"/>
      <c r="Z18" s="5">
        <f t="shared" si="14"/>
        <v>1616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42">
        <v>202</v>
      </c>
      <c r="D19" s="5">
        <f>Table1[[#This Row],[Enrolment S.Y. 2025-2026 ]]*8</f>
        <v>1616</v>
      </c>
      <c r="E19" s="44">
        <v>202</v>
      </c>
      <c r="F19" s="1">
        <v>2025</v>
      </c>
      <c r="G19" s="5"/>
      <c r="H19" s="5">
        <f>IF((D19-E19)&lt;0,0,(D19-E19))</f>
        <v>1414</v>
      </c>
      <c r="I19" s="5">
        <f>IF((E19-D19)&lt;0,0,(E19-D19))</f>
        <v>0</v>
      </c>
      <c r="J19" s="5">
        <f>Table1[[#This Row],[Enrolment S.Y. 2025-2026 ]]*8</f>
        <v>1616</v>
      </c>
      <c r="K19" s="44">
        <v>202</v>
      </c>
      <c r="L19" s="1">
        <v>2025</v>
      </c>
      <c r="M19" s="5"/>
      <c r="N19" s="5">
        <f t="shared" si="10"/>
        <v>1414</v>
      </c>
      <c r="O19" s="5">
        <f t="shared" si="11"/>
        <v>0</v>
      </c>
      <c r="P19" s="5">
        <f>Table1[[#This Row],[Enrolment S.Y. 2025-2026 ]]*8</f>
        <v>1616</v>
      </c>
      <c r="Q19" s="5"/>
      <c r="R19" s="1"/>
      <c r="S19" s="5"/>
      <c r="T19" s="5">
        <f t="shared" si="12"/>
        <v>1616</v>
      </c>
      <c r="U19" s="5">
        <f t="shared" si="13"/>
        <v>0</v>
      </c>
      <c r="V19" s="5">
        <f>Table1[[#This Row],[Enrolment S.Y. 2025-2026 ]]*8</f>
        <v>1616</v>
      </c>
      <c r="W19" s="5"/>
      <c r="X19" s="1"/>
      <c r="Y19" s="5"/>
      <c r="Z19" s="5">
        <f t="shared" si="14"/>
        <v>1616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42">
        <v>202</v>
      </c>
      <c r="D20" s="5">
        <f>Table1[[#This Row],[Enrolment S.Y. 2025-2026 ]]*8</f>
        <v>1616</v>
      </c>
      <c r="E20" s="44">
        <v>202</v>
      </c>
      <c r="F20" s="1">
        <v>2025</v>
      </c>
      <c r="G20" s="5"/>
      <c r="H20" s="5">
        <f>IF((D20-E20)&lt;0,0,(D20-E20))</f>
        <v>1414</v>
      </c>
      <c r="I20" s="5">
        <f>IF((E20-D20)&lt;0,0,(E20-D20))</f>
        <v>0</v>
      </c>
      <c r="J20" s="5">
        <f>Table1[[#This Row],[Enrolment S.Y. 2025-2026 ]]*8</f>
        <v>1616</v>
      </c>
      <c r="K20" s="44">
        <v>202</v>
      </c>
      <c r="L20" s="1">
        <v>2025</v>
      </c>
      <c r="M20" s="5"/>
      <c r="N20" s="5">
        <f t="shared" si="10"/>
        <v>1414</v>
      </c>
      <c r="O20" s="5">
        <f t="shared" si="11"/>
        <v>0</v>
      </c>
      <c r="P20" s="5">
        <f>Table1[[#This Row],[Enrolment S.Y. 2025-2026 ]]*8</f>
        <v>1616</v>
      </c>
      <c r="Q20" s="5"/>
      <c r="R20" s="1"/>
      <c r="S20" s="5"/>
      <c r="T20" s="5">
        <f t="shared" si="12"/>
        <v>1616</v>
      </c>
      <c r="U20" s="5">
        <f t="shared" si="13"/>
        <v>0</v>
      </c>
      <c r="V20" s="5">
        <f>Table1[[#This Row],[Enrolment S.Y. 2025-2026 ]]*8</f>
        <v>1616</v>
      </c>
      <c r="W20" s="5"/>
      <c r="X20" s="1"/>
      <c r="Y20" s="5"/>
      <c r="Z20" s="5">
        <f t="shared" si="14"/>
        <v>1616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42"/>
      <c r="D21" s="5">
        <f>Table1[[#This Row],[Enrolment S.Y. 2025-2026 ]]*8</f>
        <v>0</v>
      </c>
      <c r="E21" s="44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44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C22" s="43"/>
      <c r="E22" s="45"/>
      <c r="J22" s="13"/>
      <c r="K22" s="45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42"/>
      <c r="D23" s="5">
        <f>Table1[[#This Row],[Enrolment S.Y. 2025-2026 ]]*8</f>
        <v>0</v>
      </c>
      <c r="E23" s="44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44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42"/>
      <c r="D24" s="5">
        <f>Table1[[#This Row],[Enrolment S.Y. 2025-2026 ]]*8</f>
        <v>0</v>
      </c>
      <c r="E24" s="44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44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42">
        <v>223</v>
      </c>
      <c r="D25" s="5">
        <f>Table1[[#This Row],[Enrolment S.Y. 2025-2026 ]]*8</f>
        <v>1784</v>
      </c>
      <c r="E25" s="44">
        <v>226</v>
      </c>
      <c r="F25" s="1">
        <v>2025</v>
      </c>
      <c r="G25" s="5"/>
      <c r="H25" s="5">
        <f t="shared" si="2"/>
        <v>1558</v>
      </c>
      <c r="I25" s="5">
        <f t="shared" si="3"/>
        <v>0</v>
      </c>
      <c r="J25" s="5">
        <f>Table1[[#This Row],[Enrolment S.Y. 2025-2026 ]]*8</f>
        <v>1784</v>
      </c>
      <c r="K25" s="44">
        <v>226</v>
      </c>
      <c r="L25" s="1">
        <v>2025</v>
      </c>
      <c r="M25" s="5"/>
      <c r="N25" s="5">
        <f t="shared" si="10"/>
        <v>1558</v>
      </c>
      <c r="O25" s="5">
        <f t="shared" si="11"/>
        <v>0</v>
      </c>
      <c r="P25" s="5">
        <f>Table1[[#This Row],[Enrolment S.Y. 2025-2026 ]]*8</f>
        <v>1784</v>
      </c>
      <c r="Q25" s="5"/>
      <c r="R25" s="1"/>
      <c r="S25" s="5"/>
      <c r="T25" s="5">
        <f t="shared" si="12"/>
        <v>1784</v>
      </c>
      <c r="U25" s="5">
        <f t="shared" si="13"/>
        <v>0</v>
      </c>
      <c r="V25" s="5">
        <f>Table1[[#This Row],[Enrolment S.Y. 2025-2026 ]]*8</f>
        <v>1784</v>
      </c>
      <c r="W25" s="5"/>
      <c r="X25" s="1"/>
      <c r="Y25" s="5"/>
      <c r="Z25" s="5">
        <f t="shared" si="14"/>
        <v>1784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42">
        <v>223</v>
      </c>
      <c r="D26" s="5">
        <f>Table1[[#This Row],[Enrolment S.Y. 2025-2026 ]]*8</f>
        <v>1784</v>
      </c>
      <c r="E26" s="44">
        <v>226</v>
      </c>
      <c r="F26" s="1">
        <v>2025</v>
      </c>
      <c r="G26" s="5"/>
      <c r="H26" s="5">
        <f t="shared" si="2"/>
        <v>1558</v>
      </c>
      <c r="I26" s="5">
        <f t="shared" si="3"/>
        <v>0</v>
      </c>
      <c r="J26" s="5">
        <f>Table1[[#This Row],[Enrolment S.Y. 2025-2026 ]]*8</f>
        <v>1784</v>
      </c>
      <c r="K26" s="44">
        <v>226</v>
      </c>
      <c r="L26" s="1">
        <v>2025</v>
      </c>
      <c r="M26" s="5"/>
      <c r="N26" s="5">
        <f t="shared" si="10"/>
        <v>1558</v>
      </c>
      <c r="O26" s="5">
        <f t="shared" si="11"/>
        <v>0</v>
      </c>
      <c r="P26" s="5">
        <f>Table1[[#This Row],[Enrolment S.Y. 2025-2026 ]]*8</f>
        <v>1784</v>
      </c>
      <c r="Q26" s="5"/>
      <c r="R26" s="1"/>
      <c r="S26" s="5"/>
      <c r="T26" s="5">
        <f t="shared" si="12"/>
        <v>1784</v>
      </c>
      <c r="U26" s="5">
        <f t="shared" si="13"/>
        <v>0</v>
      </c>
      <c r="V26" s="5">
        <f>Table1[[#This Row],[Enrolment S.Y. 2025-2026 ]]*8</f>
        <v>1784</v>
      </c>
      <c r="W26" s="5"/>
      <c r="X26" s="1"/>
      <c r="Y26" s="5"/>
      <c r="Z26" s="5">
        <f t="shared" si="14"/>
        <v>1784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42">
        <v>223</v>
      </c>
      <c r="D27" s="5">
        <f>Table1[[#This Row],[Enrolment S.Y. 2025-2026 ]]*8</f>
        <v>1784</v>
      </c>
      <c r="E27" s="44">
        <v>226</v>
      </c>
      <c r="F27" s="1">
        <v>2025</v>
      </c>
      <c r="G27" s="5"/>
      <c r="H27" s="5">
        <f t="shared" si="2"/>
        <v>1558</v>
      </c>
      <c r="I27" s="5">
        <f t="shared" si="3"/>
        <v>0</v>
      </c>
      <c r="J27" s="5">
        <f>Table1[[#This Row],[Enrolment S.Y. 2025-2026 ]]*8</f>
        <v>1784</v>
      </c>
      <c r="K27" s="44">
        <v>226</v>
      </c>
      <c r="L27" s="1">
        <v>2025</v>
      </c>
      <c r="M27" s="5"/>
      <c r="N27" s="5">
        <f t="shared" si="10"/>
        <v>1558</v>
      </c>
      <c r="O27" s="5">
        <f t="shared" si="11"/>
        <v>0</v>
      </c>
      <c r="P27" s="5">
        <f>Table1[[#This Row],[Enrolment S.Y. 2025-2026 ]]*8</f>
        <v>1784</v>
      </c>
      <c r="Q27" s="5"/>
      <c r="R27" s="1"/>
      <c r="S27" s="5"/>
      <c r="T27" s="5">
        <f t="shared" si="12"/>
        <v>1784</v>
      </c>
      <c r="U27" s="5">
        <f t="shared" si="13"/>
        <v>0</v>
      </c>
      <c r="V27" s="5">
        <f>Table1[[#This Row],[Enrolment S.Y. 2025-2026 ]]*8</f>
        <v>1784</v>
      </c>
      <c r="W27" s="5"/>
      <c r="X27" s="1"/>
      <c r="Y27" s="5"/>
      <c r="Z27" s="5">
        <f t="shared" si="14"/>
        <v>1784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42">
        <v>223</v>
      </c>
      <c r="D28" s="5">
        <f>Table1[[#This Row],[Enrolment S.Y. 2025-2026 ]]*8</f>
        <v>1784</v>
      </c>
      <c r="E28" s="44">
        <v>226</v>
      </c>
      <c r="F28" s="1">
        <v>2025</v>
      </c>
      <c r="G28" s="5"/>
      <c r="H28" s="5">
        <f t="shared" si="2"/>
        <v>1558</v>
      </c>
      <c r="I28" s="5">
        <f t="shared" si="3"/>
        <v>0</v>
      </c>
      <c r="J28" s="5">
        <f>Table1[[#This Row],[Enrolment S.Y. 2025-2026 ]]*8</f>
        <v>1784</v>
      </c>
      <c r="K28" s="44">
        <v>226</v>
      </c>
      <c r="L28" s="1">
        <v>2025</v>
      </c>
      <c r="M28" s="5"/>
      <c r="N28" s="5">
        <f t="shared" si="10"/>
        <v>1558</v>
      </c>
      <c r="O28" s="5">
        <f t="shared" si="11"/>
        <v>0</v>
      </c>
      <c r="P28" s="5">
        <f>Table1[[#This Row],[Enrolment S.Y. 2025-2026 ]]*8</f>
        <v>1784</v>
      </c>
      <c r="Q28" s="5"/>
      <c r="R28" s="1"/>
      <c r="S28" s="5"/>
      <c r="T28" s="5">
        <f t="shared" si="12"/>
        <v>1784</v>
      </c>
      <c r="U28" s="5">
        <f t="shared" si="13"/>
        <v>0</v>
      </c>
      <c r="V28" s="5">
        <f>Table1[[#This Row],[Enrolment S.Y. 2025-2026 ]]*8</f>
        <v>1784</v>
      </c>
      <c r="W28" s="5"/>
      <c r="X28" s="1"/>
      <c r="Y28" s="5"/>
      <c r="Z28" s="5">
        <f t="shared" si="14"/>
        <v>1784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42">
        <v>223</v>
      </c>
      <c r="D29" s="5">
        <f>Table1[[#This Row],[Enrolment S.Y. 2025-2026 ]]*8</f>
        <v>1784</v>
      </c>
      <c r="E29" s="44">
        <v>226</v>
      </c>
      <c r="F29" s="1">
        <v>2025</v>
      </c>
      <c r="G29" s="5"/>
      <c r="H29" s="5">
        <f>IF((D29-E29)&lt;0,0,(D29-E29))</f>
        <v>1558</v>
      </c>
      <c r="I29" s="5">
        <f>IF((E29-D29)&lt;0,0,(E29-D29))</f>
        <v>0</v>
      </c>
      <c r="J29" s="5">
        <f>Table1[[#This Row],[Enrolment S.Y. 2025-2026 ]]*8</f>
        <v>1784</v>
      </c>
      <c r="K29" s="44">
        <v>226</v>
      </c>
      <c r="L29" s="1">
        <v>2025</v>
      </c>
      <c r="M29" s="5"/>
      <c r="N29" s="5">
        <f t="shared" si="10"/>
        <v>1558</v>
      </c>
      <c r="O29" s="5">
        <f t="shared" si="11"/>
        <v>0</v>
      </c>
      <c r="P29" s="5">
        <f>Table1[[#This Row],[Enrolment S.Y. 2025-2026 ]]*8</f>
        <v>1784</v>
      </c>
      <c r="Q29" s="5"/>
      <c r="R29" s="1"/>
      <c r="S29" s="5"/>
      <c r="T29" s="5">
        <f t="shared" si="12"/>
        <v>1784</v>
      </c>
      <c r="U29" s="5">
        <f t="shared" si="13"/>
        <v>0</v>
      </c>
      <c r="V29" s="5">
        <f>Table1[[#This Row],[Enrolment S.Y. 2025-2026 ]]*8</f>
        <v>1784</v>
      </c>
      <c r="W29" s="5"/>
      <c r="X29" s="1"/>
      <c r="Y29" s="5"/>
      <c r="Z29" s="5">
        <f t="shared" si="14"/>
        <v>1784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42">
        <v>223</v>
      </c>
      <c r="D30" s="5">
        <f>Table1[[#This Row],[Enrolment S.Y. 2025-2026 ]]*8</f>
        <v>1784</v>
      </c>
      <c r="E30" s="44">
        <v>226</v>
      </c>
      <c r="F30" s="1">
        <v>2025</v>
      </c>
      <c r="G30" s="5"/>
      <c r="H30" s="5">
        <f>IF((D30-E30)&lt;0,0,(D30-E30))</f>
        <v>1558</v>
      </c>
      <c r="I30" s="5">
        <f>IF((E30-D30)&lt;0,0,(E30-D30))</f>
        <v>0</v>
      </c>
      <c r="J30" s="5">
        <f>Table1[[#This Row],[Enrolment S.Y. 2025-2026 ]]*8</f>
        <v>1784</v>
      </c>
      <c r="K30" s="44">
        <v>226</v>
      </c>
      <c r="L30" s="1">
        <v>2025</v>
      </c>
      <c r="M30" s="5"/>
      <c r="N30" s="5">
        <f t="shared" si="10"/>
        <v>1558</v>
      </c>
      <c r="O30" s="5">
        <f t="shared" si="11"/>
        <v>0</v>
      </c>
      <c r="P30" s="5">
        <f>Table1[[#This Row],[Enrolment S.Y. 2025-2026 ]]*8</f>
        <v>1784</v>
      </c>
      <c r="Q30" s="5"/>
      <c r="R30" s="1"/>
      <c r="S30" s="5"/>
      <c r="T30" s="5">
        <f t="shared" si="12"/>
        <v>1784</v>
      </c>
      <c r="U30" s="5">
        <f t="shared" si="13"/>
        <v>0</v>
      </c>
      <c r="V30" s="5">
        <f>Table1[[#This Row],[Enrolment S.Y. 2025-2026 ]]*8</f>
        <v>1784</v>
      </c>
      <c r="W30" s="5"/>
      <c r="X30" s="1"/>
      <c r="Y30" s="5"/>
      <c r="Z30" s="5">
        <f t="shared" si="14"/>
        <v>1784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42">
        <v>223</v>
      </c>
      <c r="D31" s="5">
        <f>Table1[[#This Row],[Enrolment S.Y. 2025-2026 ]]*8</f>
        <v>1784</v>
      </c>
      <c r="E31" s="44">
        <v>226</v>
      </c>
      <c r="F31" s="1">
        <v>2025</v>
      </c>
      <c r="G31" s="5"/>
      <c r="H31" s="5">
        <f>IF((D31-E31)&lt;0,0,(D31-E31))</f>
        <v>1558</v>
      </c>
      <c r="I31" s="5">
        <f>IF((E31-D31)&lt;0,0,(E31-D31))</f>
        <v>0</v>
      </c>
      <c r="J31" s="5">
        <f>Table1[[#This Row],[Enrolment S.Y. 2025-2026 ]]*8</f>
        <v>1784</v>
      </c>
      <c r="K31" s="44">
        <v>226</v>
      </c>
      <c r="L31" s="1">
        <v>2025</v>
      </c>
      <c r="M31" s="5"/>
      <c r="N31" s="5">
        <f t="shared" si="10"/>
        <v>1558</v>
      </c>
      <c r="O31" s="5">
        <f t="shared" si="11"/>
        <v>0</v>
      </c>
      <c r="P31" s="5">
        <f>Table1[[#This Row],[Enrolment S.Y. 2025-2026 ]]*8</f>
        <v>1784</v>
      </c>
      <c r="Q31" s="5"/>
      <c r="R31" s="1"/>
      <c r="S31" s="5"/>
      <c r="T31" s="5">
        <f t="shared" si="12"/>
        <v>1784</v>
      </c>
      <c r="U31" s="5">
        <f t="shared" si="13"/>
        <v>0</v>
      </c>
      <c r="V31" s="5">
        <f>Table1[[#This Row],[Enrolment S.Y. 2025-2026 ]]*8</f>
        <v>1784</v>
      </c>
      <c r="W31" s="5"/>
      <c r="X31" s="1"/>
      <c r="Y31" s="5"/>
      <c r="Z31" s="5">
        <f t="shared" si="14"/>
        <v>1784</v>
      </c>
      <c r="AA31" s="5">
        <f t="shared" si="15"/>
        <v>0</v>
      </c>
    </row>
    <row r="32" spans="1:27" s="7" customFormat="1" ht="19.5">
      <c r="C32" s="43"/>
      <c r="E32" s="45"/>
      <c r="J32" s="13"/>
      <c r="K32" s="45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42">
        <v>215</v>
      </c>
      <c r="D33" s="5">
        <f>Table1[[#This Row],[Enrolment S.Y. 2025-2026 ]]*8</f>
        <v>1720</v>
      </c>
      <c r="E33" s="44">
        <v>216</v>
      </c>
      <c r="F33" s="1">
        <v>2025</v>
      </c>
      <c r="G33" s="5"/>
      <c r="H33" s="5">
        <f t="shared" si="2"/>
        <v>1504</v>
      </c>
      <c r="I33" s="5">
        <f t="shared" si="3"/>
        <v>0</v>
      </c>
      <c r="J33" s="5">
        <f>Table1[[#This Row],[Enrolment S.Y. 2025-2026 ]]*8</f>
        <v>1720</v>
      </c>
      <c r="K33" s="44">
        <v>216</v>
      </c>
      <c r="L33" s="1">
        <v>2025</v>
      </c>
      <c r="M33" s="5"/>
      <c r="N33" s="5">
        <f t="shared" si="10"/>
        <v>1504</v>
      </c>
      <c r="O33" s="5">
        <f t="shared" si="11"/>
        <v>0</v>
      </c>
      <c r="P33" s="5">
        <f>Table1[[#This Row],[Enrolment S.Y. 2025-2026 ]]*8</f>
        <v>1720</v>
      </c>
      <c r="Q33" s="5"/>
      <c r="R33" s="1"/>
      <c r="S33" s="5"/>
      <c r="T33" s="5">
        <f t="shared" si="12"/>
        <v>1720</v>
      </c>
      <c r="U33" s="5">
        <f t="shared" si="13"/>
        <v>0</v>
      </c>
      <c r="V33" s="5">
        <f>Table1[[#This Row],[Enrolment S.Y. 2025-2026 ]]*8</f>
        <v>1720</v>
      </c>
      <c r="W33" s="5"/>
      <c r="X33" s="1"/>
      <c r="Y33" s="5"/>
      <c r="Z33" s="5">
        <f t="shared" si="14"/>
        <v>1720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42">
        <v>215</v>
      </c>
      <c r="D34" s="5">
        <f>Table1[[#This Row],[Enrolment S.Y. 2025-2026 ]]*8</f>
        <v>1720</v>
      </c>
      <c r="E34" s="44">
        <v>216</v>
      </c>
      <c r="F34" s="1">
        <v>2025</v>
      </c>
      <c r="G34" s="5"/>
      <c r="H34" s="5">
        <f t="shared" si="2"/>
        <v>1504</v>
      </c>
      <c r="I34" s="5">
        <f t="shared" si="3"/>
        <v>0</v>
      </c>
      <c r="J34" s="5">
        <f>Table1[[#This Row],[Enrolment S.Y. 2025-2026 ]]*8</f>
        <v>1720</v>
      </c>
      <c r="K34" s="44">
        <v>216</v>
      </c>
      <c r="L34" s="1">
        <v>2025</v>
      </c>
      <c r="M34" s="5"/>
      <c r="N34" s="5">
        <f t="shared" si="10"/>
        <v>1504</v>
      </c>
      <c r="O34" s="5">
        <f t="shared" si="11"/>
        <v>0</v>
      </c>
      <c r="P34" s="5">
        <f>Table1[[#This Row],[Enrolment S.Y. 2025-2026 ]]*8</f>
        <v>1720</v>
      </c>
      <c r="Q34" s="5"/>
      <c r="R34" s="1"/>
      <c r="S34" s="5"/>
      <c r="T34" s="5">
        <f t="shared" si="12"/>
        <v>1720</v>
      </c>
      <c r="U34" s="5">
        <f t="shared" si="13"/>
        <v>0</v>
      </c>
      <c r="V34" s="5">
        <f>Table1[[#This Row],[Enrolment S.Y. 2025-2026 ]]*8</f>
        <v>1720</v>
      </c>
      <c r="W34" s="5"/>
      <c r="X34" s="1"/>
      <c r="Y34" s="5"/>
      <c r="Z34" s="5">
        <f t="shared" si="14"/>
        <v>1720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42">
        <v>215</v>
      </c>
      <c r="D35" s="5">
        <f>Table1[[#This Row],[Enrolment S.Y. 2025-2026 ]]*8</f>
        <v>1720</v>
      </c>
      <c r="E35" s="44">
        <v>216</v>
      </c>
      <c r="F35" s="1">
        <v>2025</v>
      </c>
      <c r="G35" s="5"/>
      <c r="H35" s="5">
        <f t="shared" si="2"/>
        <v>1504</v>
      </c>
      <c r="I35" s="5">
        <f t="shared" si="3"/>
        <v>0</v>
      </c>
      <c r="J35" s="5">
        <f>Table1[[#This Row],[Enrolment S.Y. 2025-2026 ]]*8</f>
        <v>1720</v>
      </c>
      <c r="K35" s="44">
        <v>216</v>
      </c>
      <c r="L35" s="1">
        <v>2025</v>
      </c>
      <c r="M35" s="5"/>
      <c r="N35" s="5">
        <f t="shared" si="10"/>
        <v>1504</v>
      </c>
      <c r="O35" s="5">
        <f t="shared" si="11"/>
        <v>0</v>
      </c>
      <c r="P35" s="5">
        <f>Table1[[#This Row],[Enrolment S.Y. 2025-2026 ]]*8</f>
        <v>1720</v>
      </c>
      <c r="Q35" s="5"/>
      <c r="R35" s="1"/>
      <c r="S35" s="5"/>
      <c r="T35" s="5">
        <f t="shared" si="12"/>
        <v>1720</v>
      </c>
      <c r="U35" s="5">
        <f t="shared" si="13"/>
        <v>0</v>
      </c>
      <c r="V35" s="5">
        <f>Table1[[#This Row],[Enrolment S.Y. 2025-2026 ]]*8</f>
        <v>1720</v>
      </c>
      <c r="W35" s="5"/>
      <c r="X35" s="1"/>
      <c r="Y35" s="5"/>
      <c r="Z35" s="5">
        <f t="shared" si="14"/>
        <v>1720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42">
        <v>215</v>
      </c>
      <c r="D36" s="5">
        <f>Table1[[#This Row],[Enrolment S.Y. 2025-2026 ]]*8</f>
        <v>1720</v>
      </c>
      <c r="E36" s="44">
        <v>216</v>
      </c>
      <c r="F36" s="1">
        <v>2025</v>
      </c>
      <c r="G36" s="5"/>
      <c r="H36" s="5">
        <f t="shared" si="2"/>
        <v>1504</v>
      </c>
      <c r="I36" s="5">
        <f t="shared" si="3"/>
        <v>0</v>
      </c>
      <c r="J36" s="5">
        <f>Table1[[#This Row],[Enrolment S.Y. 2025-2026 ]]*8</f>
        <v>1720</v>
      </c>
      <c r="K36" s="44">
        <v>216</v>
      </c>
      <c r="L36" s="1">
        <v>2025</v>
      </c>
      <c r="M36" s="5"/>
      <c r="N36" s="5">
        <f t="shared" si="10"/>
        <v>1504</v>
      </c>
      <c r="O36" s="5">
        <f t="shared" si="11"/>
        <v>0</v>
      </c>
      <c r="P36" s="5">
        <f>Table1[[#This Row],[Enrolment S.Y. 2025-2026 ]]*8</f>
        <v>1720</v>
      </c>
      <c r="Q36" s="5"/>
      <c r="R36" s="1"/>
      <c r="S36" s="5"/>
      <c r="T36" s="5">
        <f t="shared" si="12"/>
        <v>1720</v>
      </c>
      <c r="U36" s="5">
        <f t="shared" si="13"/>
        <v>0</v>
      </c>
      <c r="V36" s="5">
        <f>Table1[[#This Row],[Enrolment S.Y. 2025-2026 ]]*8</f>
        <v>1720</v>
      </c>
      <c r="W36" s="5"/>
      <c r="X36" s="1"/>
      <c r="Y36" s="5"/>
      <c r="Z36" s="5">
        <f t="shared" si="14"/>
        <v>1720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42">
        <v>215</v>
      </c>
      <c r="D37" s="5">
        <f>Table1[[#This Row],[Enrolment S.Y. 2025-2026 ]]*8</f>
        <v>1720</v>
      </c>
      <c r="E37" s="44">
        <v>216</v>
      </c>
      <c r="F37" s="1">
        <v>2025</v>
      </c>
      <c r="G37" s="5"/>
      <c r="H37" s="5">
        <f t="shared" si="2"/>
        <v>1504</v>
      </c>
      <c r="I37" s="5">
        <f t="shared" si="3"/>
        <v>0</v>
      </c>
      <c r="J37" s="5">
        <f>Table1[[#This Row],[Enrolment S.Y. 2025-2026 ]]*8</f>
        <v>1720</v>
      </c>
      <c r="K37" s="44">
        <v>216</v>
      </c>
      <c r="L37" s="1">
        <v>2025</v>
      </c>
      <c r="M37" s="5"/>
      <c r="N37" s="5">
        <f t="shared" si="10"/>
        <v>1504</v>
      </c>
      <c r="O37" s="5">
        <f t="shared" si="11"/>
        <v>0</v>
      </c>
      <c r="P37" s="5">
        <f>Table1[[#This Row],[Enrolment S.Y. 2025-2026 ]]*8</f>
        <v>1720</v>
      </c>
      <c r="Q37" s="5"/>
      <c r="R37" s="1"/>
      <c r="S37" s="5"/>
      <c r="T37" s="5">
        <f t="shared" si="12"/>
        <v>1720</v>
      </c>
      <c r="U37" s="5">
        <f t="shared" si="13"/>
        <v>0</v>
      </c>
      <c r="V37" s="5">
        <f>Table1[[#This Row],[Enrolment S.Y. 2025-2026 ]]*8</f>
        <v>1720</v>
      </c>
      <c r="W37" s="5"/>
      <c r="X37" s="1"/>
      <c r="Y37" s="5"/>
      <c r="Z37" s="5">
        <f t="shared" si="14"/>
        <v>1720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42">
        <v>215</v>
      </c>
      <c r="D38" s="5">
        <f>Table1[[#This Row],[Enrolment S.Y. 2025-2026 ]]*8</f>
        <v>1720</v>
      </c>
      <c r="E38" s="44">
        <v>216</v>
      </c>
      <c r="F38" s="1">
        <v>2025</v>
      </c>
      <c r="G38" s="5"/>
      <c r="H38" s="5">
        <f t="shared" si="2"/>
        <v>1504</v>
      </c>
      <c r="I38" s="5">
        <f t="shared" si="3"/>
        <v>0</v>
      </c>
      <c r="J38" s="5">
        <f>Table1[[#This Row],[Enrolment S.Y. 2025-2026 ]]*8</f>
        <v>1720</v>
      </c>
      <c r="K38" s="44">
        <v>216</v>
      </c>
      <c r="L38" s="1">
        <v>2025</v>
      </c>
      <c r="M38" s="5"/>
      <c r="N38" s="5">
        <f t="shared" si="10"/>
        <v>1504</v>
      </c>
      <c r="O38" s="5">
        <f t="shared" si="11"/>
        <v>0</v>
      </c>
      <c r="P38" s="5">
        <f>Table1[[#This Row],[Enrolment S.Y. 2025-2026 ]]*8</f>
        <v>1720</v>
      </c>
      <c r="Q38" s="5"/>
      <c r="R38" s="1"/>
      <c r="S38" s="5"/>
      <c r="T38" s="5">
        <f t="shared" si="12"/>
        <v>1720</v>
      </c>
      <c r="U38" s="5">
        <f t="shared" si="13"/>
        <v>0</v>
      </c>
      <c r="V38" s="5">
        <f>Table1[[#This Row],[Enrolment S.Y. 2025-2026 ]]*8</f>
        <v>1720</v>
      </c>
      <c r="W38" s="5"/>
      <c r="X38" s="1"/>
      <c r="Y38" s="5"/>
      <c r="Z38" s="5">
        <f t="shared" si="14"/>
        <v>1720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42">
        <v>215</v>
      </c>
      <c r="D39" s="5">
        <f>Table1[[#This Row],[Enrolment S.Y. 2025-2026 ]]*8</f>
        <v>1720</v>
      </c>
      <c r="E39" s="44">
        <v>216</v>
      </c>
      <c r="F39" s="1">
        <v>2025</v>
      </c>
      <c r="G39" s="5"/>
      <c r="H39" s="5">
        <f t="shared" si="2"/>
        <v>1504</v>
      </c>
      <c r="I39" s="5">
        <f t="shared" si="3"/>
        <v>0</v>
      </c>
      <c r="J39" s="5">
        <f>Table1[[#This Row],[Enrolment S.Y. 2025-2026 ]]*8</f>
        <v>1720</v>
      </c>
      <c r="K39" s="44">
        <v>216</v>
      </c>
      <c r="L39" s="1">
        <v>2025</v>
      </c>
      <c r="M39" s="5"/>
      <c r="N39" s="5">
        <f t="shared" si="10"/>
        <v>1504</v>
      </c>
      <c r="O39" s="5">
        <f t="shared" si="11"/>
        <v>0</v>
      </c>
      <c r="P39" s="5">
        <f>Table1[[#This Row],[Enrolment S.Y. 2025-2026 ]]*8</f>
        <v>1720</v>
      </c>
      <c r="Q39" s="5"/>
      <c r="R39" s="1"/>
      <c r="S39" s="5"/>
      <c r="T39" s="5">
        <f t="shared" si="12"/>
        <v>1720</v>
      </c>
      <c r="U39" s="5">
        <f t="shared" si="13"/>
        <v>0</v>
      </c>
      <c r="V39" s="5">
        <f>Table1[[#This Row],[Enrolment S.Y. 2025-2026 ]]*8</f>
        <v>1720</v>
      </c>
      <c r="W39" s="5"/>
      <c r="X39" s="1"/>
      <c r="Y39" s="5"/>
      <c r="Z39" s="5">
        <f t="shared" si="14"/>
        <v>1720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42">
        <v>215</v>
      </c>
      <c r="D40" s="5">
        <f>Table1[[#This Row],[Enrolment S.Y. 2025-2026 ]]*8</f>
        <v>1720</v>
      </c>
      <c r="E40" s="44">
        <v>216</v>
      </c>
      <c r="F40" s="1">
        <v>2025</v>
      </c>
      <c r="G40" s="5"/>
      <c r="H40" s="5">
        <f t="shared" si="2"/>
        <v>1504</v>
      </c>
      <c r="I40" s="5">
        <f t="shared" si="3"/>
        <v>0</v>
      </c>
      <c r="J40" s="5">
        <f>Table1[[#This Row],[Enrolment S.Y. 2025-2026 ]]*8</f>
        <v>1720</v>
      </c>
      <c r="K40" s="44">
        <v>216</v>
      </c>
      <c r="L40" s="1">
        <v>2025</v>
      </c>
      <c r="M40" s="5"/>
      <c r="N40" s="5">
        <f t="shared" si="10"/>
        <v>1504</v>
      </c>
      <c r="O40" s="5">
        <f t="shared" si="11"/>
        <v>0</v>
      </c>
      <c r="P40" s="5">
        <f>Table1[[#This Row],[Enrolment S.Y. 2025-2026 ]]*8</f>
        <v>1720</v>
      </c>
      <c r="Q40" s="5"/>
      <c r="R40" s="1"/>
      <c r="S40" s="5"/>
      <c r="T40" s="5">
        <f t="shared" si="12"/>
        <v>1720</v>
      </c>
      <c r="U40" s="5">
        <f t="shared" si="13"/>
        <v>0</v>
      </c>
      <c r="V40" s="5">
        <f>Table1[[#This Row],[Enrolment S.Y. 2025-2026 ]]*8</f>
        <v>1720</v>
      </c>
      <c r="W40" s="5"/>
      <c r="X40" s="1"/>
      <c r="Y40" s="5"/>
      <c r="Z40" s="5">
        <f t="shared" si="14"/>
        <v>1720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42">
        <v>215</v>
      </c>
      <c r="D41" s="5">
        <f>Table1[[#This Row],[Enrolment S.Y. 2025-2026 ]]*8</f>
        <v>1720</v>
      </c>
      <c r="E41" s="44">
        <v>216</v>
      </c>
      <c r="F41" s="1">
        <v>2025</v>
      </c>
      <c r="G41" s="5"/>
      <c r="H41" s="5">
        <f t="shared" si="2"/>
        <v>1504</v>
      </c>
      <c r="I41" s="5">
        <f t="shared" si="3"/>
        <v>0</v>
      </c>
      <c r="J41" s="5">
        <f>Table1[[#This Row],[Enrolment S.Y. 2025-2026 ]]*8</f>
        <v>1720</v>
      </c>
      <c r="K41" s="44">
        <v>216</v>
      </c>
      <c r="L41" s="1">
        <v>2025</v>
      </c>
      <c r="M41" s="5"/>
      <c r="N41" s="5">
        <f t="shared" si="10"/>
        <v>1504</v>
      </c>
      <c r="O41" s="5">
        <f t="shared" si="11"/>
        <v>0</v>
      </c>
      <c r="P41" s="5">
        <f>Table1[[#This Row],[Enrolment S.Y. 2025-2026 ]]*8</f>
        <v>1720</v>
      </c>
      <c r="Q41" s="5"/>
      <c r="R41" s="1"/>
      <c r="S41" s="5"/>
      <c r="T41" s="5">
        <f t="shared" si="12"/>
        <v>1720</v>
      </c>
      <c r="U41" s="5">
        <f t="shared" si="13"/>
        <v>0</v>
      </c>
      <c r="V41" s="5">
        <f>Table1[[#This Row],[Enrolment S.Y. 2025-2026 ]]*8</f>
        <v>1720</v>
      </c>
      <c r="W41" s="5"/>
      <c r="X41" s="1"/>
      <c r="Y41" s="5"/>
      <c r="Z41" s="5">
        <f t="shared" si="14"/>
        <v>1720</v>
      </c>
      <c r="AA41" s="5">
        <f t="shared" si="15"/>
        <v>0</v>
      </c>
    </row>
    <row r="42" spans="1:27" s="7" customFormat="1" ht="19.5">
      <c r="C42" s="43"/>
      <c r="E42" s="45"/>
      <c r="J42" s="13"/>
      <c r="K42" s="45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42">
        <v>193</v>
      </c>
      <c r="D43" s="5">
        <f>Table1[[#This Row],[Enrolment S.Y. 2025-2026 ]]*8</f>
        <v>1544</v>
      </c>
      <c r="E43" s="44">
        <v>193</v>
      </c>
      <c r="F43" s="1">
        <v>2025</v>
      </c>
      <c r="G43" s="5"/>
      <c r="H43" s="5">
        <f t="shared" si="2"/>
        <v>1351</v>
      </c>
      <c r="I43" s="5">
        <f t="shared" si="3"/>
        <v>0</v>
      </c>
      <c r="J43" s="5">
        <f>Table1[[#This Row],[Enrolment S.Y. 2025-2026 ]]*8</f>
        <v>1544</v>
      </c>
      <c r="K43" s="44">
        <v>193</v>
      </c>
      <c r="L43" s="1">
        <v>2025</v>
      </c>
      <c r="M43" s="5"/>
      <c r="N43" s="5">
        <f t="shared" si="10"/>
        <v>1351</v>
      </c>
      <c r="O43" s="5">
        <f t="shared" si="11"/>
        <v>0</v>
      </c>
      <c r="P43" s="5">
        <f>Table1[[#This Row],[Enrolment S.Y. 2025-2026 ]]*8</f>
        <v>1544</v>
      </c>
      <c r="Q43" s="5"/>
      <c r="R43" s="1"/>
      <c r="S43" s="5"/>
      <c r="T43" s="5">
        <f t="shared" si="12"/>
        <v>1544</v>
      </c>
      <c r="U43" s="5">
        <f t="shared" si="13"/>
        <v>0</v>
      </c>
      <c r="V43" s="5">
        <f>Table1[[#This Row],[Enrolment S.Y. 2025-2026 ]]*8</f>
        <v>1544</v>
      </c>
      <c r="W43" s="5"/>
      <c r="X43" s="1"/>
      <c r="Y43" s="5"/>
      <c r="Z43" s="5">
        <f t="shared" si="14"/>
        <v>1544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42">
        <v>193</v>
      </c>
      <c r="D44" s="5">
        <f>Table1[[#This Row],[Enrolment S.Y. 2025-2026 ]]*8</f>
        <v>1544</v>
      </c>
      <c r="E44" s="44">
        <v>193</v>
      </c>
      <c r="F44" s="1">
        <v>2025</v>
      </c>
      <c r="G44" s="5"/>
      <c r="H44" s="5">
        <f t="shared" si="2"/>
        <v>1351</v>
      </c>
      <c r="I44" s="5">
        <f t="shared" si="3"/>
        <v>0</v>
      </c>
      <c r="J44" s="5">
        <f>Table1[[#This Row],[Enrolment S.Y. 2025-2026 ]]*8</f>
        <v>1544</v>
      </c>
      <c r="K44" s="44">
        <v>193</v>
      </c>
      <c r="L44" s="1">
        <v>2025</v>
      </c>
      <c r="M44" s="5"/>
      <c r="N44" s="5">
        <f t="shared" si="10"/>
        <v>1351</v>
      </c>
      <c r="O44" s="5">
        <f t="shared" si="11"/>
        <v>0</v>
      </c>
      <c r="P44" s="5">
        <f>Table1[[#This Row],[Enrolment S.Y. 2025-2026 ]]*8</f>
        <v>1544</v>
      </c>
      <c r="Q44" s="5"/>
      <c r="R44" s="1"/>
      <c r="S44" s="5"/>
      <c r="T44" s="5">
        <f t="shared" si="12"/>
        <v>1544</v>
      </c>
      <c r="U44" s="5">
        <f t="shared" si="13"/>
        <v>0</v>
      </c>
      <c r="V44" s="5">
        <f>Table1[[#This Row],[Enrolment S.Y. 2025-2026 ]]*8</f>
        <v>1544</v>
      </c>
      <c r="W44" s="5"/>
      <c r="X44" s="1"/>
      <c r="Y44" s="5"/>
      <c r="Z44" s="5">
        <f t="shared" si="14"/>
        <v>1544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42">
        <v>193</v>
      </c>
      <c r="D45" s="5">
        <f>Table1[[#This Row],[Enrolment S.Y. 2025-2026 ]]*8</f>
        <v>1544</v>
      </c>
      <c r="E45" s="44">
        <v>193</v>
      </c>
      <c r="F45" s="1">
        <v>2025</v>
      </c>
      <c r="G45" s="5"/>
      <c r="H45" s="5">
        <f t="shared" si="2"/>
        <v>1351</v>
      </c>
      <c r="I45" s="5">
        <f t="shared" si="3"/>
        <v>0</v>
      </c>
      <c r="J45" s="5">
        <f>Table1[[#This Row],[Enrolment S.Y. 2025-2026 ]]*8</f>
        <v>1544</v>
      </c>
      <c r="K45" s="44">
        <v>193</v>
      </c>
      <c r="L45" s="1">
        <v>2025</v>
      </c>
      <c r="M45" s="5"/>
      <c r="N45" s="5">
        <f t="shared" si="10"/>
        <v>1351</v>
      </c>
      <c r="O45" s="5">
        <f t="shared" si="11"/>
        <v>0</v>
      </c>
      <c r="P45" s="5">
        <f>Table1[[#This Row],[Enrolment S.Y. 2025-2026 ]]*8</f>
        <v>1544</v>
      </c>
      <c r="Q45" s="5"/>
      <c r="R45" s="1"/>
      <c r="S45" s="5"/>
      <c r="T45" s="5">
        <f t="shared" si="12"/>
        <v>1544</v>
      </c>
      <c r="U45" s="5">
        <f t="shared" si="13"/>
        <v>0</v>
      </c>
      <c r="V45" s="5">
        <f>Table1[[#This Row],[Enrolment S.Y. 2025-2026 ]]*8</f>
        <v>1544</v>
      </c>
      <c r="W45" s="5"/>
      <c r="X45" s="1"/>
      <c r="Y45" s="5"/>
      <c r="Z45" s="5">
        <f t="shared" si="14"/>
        <v>1544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42">
        <v>193</v>
      </c>
      <c r="D46" s="5">
        <f>Table1[[#This Row],[Enrolment S.Y. 2025-2026 ]]*8</f>
        <v>1544</v>
      </c>
      <c r="E46" s="44">
        <v>193</v>
      </c>
      <c r="F46" s="1">
        <v>2025</v>
      </c>
      <c r="G46" s="5"/>
      <c r="H46" s="5">
        <f t="shared" si="2"/>
        <v>1351</v>
      </c>
      <c r="I46" s="5">
        <f t="shared" si="3"/>
        <v>0</v>
      </c>
      <c r="J46" s="5">
        <f>Table1[[#This Row],[Enrolment S.Y. 2025-2026 ]]*8</f>
        <v>1544</v>
      </c>
      <c r="K46" s="44">
        <v>193</v>
      </c>
      <c r="L46" s="1">
        <v>2025</v>
      </c>
      <c r="M46" s="5"/>
      <c r="N46" s="5">
        <f t="shared" si="10"/>
        <v>1351</v>
      </c>
      <c r="O46" s="5">
        <f t="shared" si="11"/>
        <v>0</v>
      </c>
      <c r="P46" s="5">
        <f>Table1[[#This Row],[Enrolment S.Y. 2025-2026 ]]*8</f>
        <v>1544</v>
      </c>
      <c r="Q46" s="5"/>
      <c r="R46" s="1"/>
      <c r="S46" s="5"/>
      <c r="T46" s="5">
        <f t="shared" si="12"/>
        <v>1544</v>
      </c>
      <c r="U46" s="5">
        <f t="shared" si="13"/>
        <v>0</v>
      </c>
      <c r="V46" s="5">
        <f>Table1[[#This Row],[Enrolment S.Y. 2025-2026 ]]*8</f>
        <v>1544</v>
      </c>
      <c r="W46" s="5"/>
      <c r="X46" s="1"/>
      <c r="Y46" s="5"/>
      <c r="Z46" s="5">
        <f t="shared" si="14"/>
        <v>1544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42">
        <v>193</v>
      </c>
      <c r="D47" s="5">
        <f>Table1[[#This Row],[Enrolment S.Y. 2025-2026 ]]*8</f>
        <v>1544</v>
      </c>
      <c r="E47" s="44">
        <v>193</v>
      </c>
      <c r="F47" s="1">
        <v>2025</v>
      </c>
      <c r="G47" s="5"/>
      <c r="H47" s="5">
        <f t="shared" si="2"/>
        <v>1351</v>
      </c>
      <c r="I47" s="5">
        <f t="shared" si="3"/>
        <v>0</v>
      </c>
      <c r="J47" s="5">
        <f>Table1[[#This Row],[Enrolment S.Y. 2025-2026 ]]*8</f>
        <v>1544</v>
      </c>
      <c r="K47" s="44">
        <v>193</v>
      </c>
      <c r="L47" s="1">
        <v>2025</v>
      </c>
      <c r="M47" s="5"/>
      <c r="N47" s="5">
        <f t="shared" si="10"/>
        <v>1351</v>
      </c>
      <c r="O47" s="5">
        <f t="shared" si="11"/>
        <v>0</v>
      </c>
      <c r="P47" s="5">
        <f>Table1[[#This Row],[Enrolment S.Y. 2025-2026 ]]*8</f>
        <v>1544</v>
      </c>
      <c r="Q47" s="5"/>
      <c r="R47" s="1"/>
      <c r="S47" s="5"/>
      <c r="T47" s="5">
        <f t="shared" si="12"/>
        <v>1544</v>
      </c>
      <c r="U47" s="5">
        <f t="shared" si="13"/>
        <v>0</v>
      </c>
      <c r="V47" s="5">
        <f>Table1[[#This Row],[Enrolment S.Y. 2025-2026 ]]*8</f>
        <v>1544</v>
      </c>
      <c r="W47" s="5"/>
      <c r="X47" s="1"/>
      <c r="Y47" s="5"/>
      <c r="Z47" s="5">
        <f t="shared" si="14"/>
        <v>1544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42">
        <v>193</v>
      </c>
      <c r="D48" s="5">
        <f>Table1[[#This Row],[Enrolment S.Y. 2025-2026 ]]*8</f>
        <v>1544</v>
      </c>
      <c r="E48" s="44">
        <v>193</v>
      </c>
      <c r="F48" s="1">
        <v>2025</v>
      </c>
      <c r="G48" s="5"/>
      <c r="H48" s="5">
        <f t="shared" si="2"/>
        <v>1351</v>
      </c>
      <c r="I48" s="5">
        <f t="shared" si="3"/>
        <v>0</v>
      </c>
      <c r="J48" s="5">
        <f>Table1[[#This Row],[Enrolment S.Y. 2025-2026 ]]*8</f>
        <v>1544</v>
      </c>
      <c r="K48" s="44">
        <v>193</v>
      </c>
      <c r="L48" s="1">
        <v>2025</v>
      </c>
      <c r="M48" s="5"/>
      <c r="N48" s="5">
        <f t="shared" si="10"/>
        <v>1351</v>
      </c>
      <c r="O48" s="5">
        <f t="shared" si="11"/>
        <v>0</v>
      </c>
      <c r="P48" s="5">
        <f>Table1[[#This Row],[Enrolment S.Y. 2025-2026 ]]*8</f>
        <v>1544</v>
      </c>
      <c r="Q48" s="5"/>
      <c r="R48" s="1"/>
      <c r="S48" s="5"/>
      <c r="T48" s="5">
        <f t="shared" si="12"/>
        <v>1544</v>
      </c>
      <c r="U48" s="5">
        <f t="shared" si="13"/>
        <v>0</v>
      </c>
      <c r="V48" s="5">
        <f>Table1[[#This Row],[Enrolment S.Y. 2025-2026 ]]*8</f>
        <v>1544</v>
      </c>
      <c r="W48" s="5"/>
      <c r="X48" s="1"/>
      <c r="Y48" s="5"/>
      <c r="Z48" s="5">
        <f t="shared" si="14"/>
        <v>1544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42">
        <v>193</v>
      </c>
      <c r="D49" s="5">
        <f>Table1[[#This Row],[Enrolment S.Y. 2025-2026 ]]*8</f>
        <v>1544</v>
      </c>
      <c r="E49" s="44">
        <v>193</v>
      </c>
      <c r="F49" s="1">
        <v>2025</v>
      </c>
      <c r="G49" s="5"/>
      <c r="H49" s="5">
        <f t="shared" si="2"/>
        <v>1351</v>
      </c>
      <c r="I49" s="5">
        <f t="shared" si="3"/>
        <v>0</v>
      </c>
      <c r="J49" s="5">
        <f>Table1[[#This Row],[Enrolment S.Y. 2025-2026 ]]*8</f>
        <v>1544</v>
      </c>
      <c r="K49" s="44">
        <v>193</v>
      </c>
      <c r="L49" s="1">
        <v>2025</v>
      </c>
      <c r="M49" s="5"/>
      <c r="N49" s="5">
        <f t="shared" si="10"/>
        <v>1351</v>
      </c>
      <c r="O49" s="5">
        <f t="shared" si="11"/>
        <v>0</v>
      </c>
      <c r="P49" s="5">
        <f>Table1[[#This Row],[Enrolment S.Y. 2025-2026 ]]*8</f>
        <v>1544</v>
      </c>
      <c r="Q49" s="5"/>
      <c r="R49" s="1"/>
      <c r="S49" s="5"/>
      <c r="T49" s="5">
        <f t="shared" si="12"/>
        <v>1544</v>
      </c>
      <c r="U49" s="5">
        <f t="shared" si="13"/>
        <v>0</v>
      </c>
      <c r="V49" s="5">
        <f>Table1[[#This Row],[Enrolment S.Y. 2025-2026 ]]*8</f>
        <v>1544</v>
      </c>
      <c r="W49" s="5"/>
      <c r="X49" s="1"/>
      <c r="Y49" s="5"/>
      <c r="Z49" s="5">
        <f t="shared" si="14"/>
        <v>1544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42">
        <v>193</v>
      </c>
      <c r="D50" s="5">
        <f>Table1[[#This Row],[Enrolment S.Y. 2025-2026 ]]*8</f>
        <v>1544</v>
      </c>
      <c r="E50" s="44">
        <v>193</v>
      </c>
      <c r="F50" s="1">
        <v>2025</v>
      </c>
      <c r="G50" s="5"/>
      <c r="H50" s="5">
        <f t="shared" si="2"/>
        <v>1351</v>
      </c>
      <c r="I50" s="5">
        <f t="shared" si="3"/>
        <v>0</v>
      </c>
      <c r="J50" s="5">
        <f>Table1[[#This Row],[Enrolment S.Y. 2025-2026 ]]*8</f>
        <v>1544</v>
      </c>
      <c r="K50" s="44">
        <v>193</v>
      </c>
      <c r="L50" s="1">
        <v>2025</v>
      </c>
      <c r="M50" s="5"/>
      <c r="N50" s="5">
        <f t="shared" si="10"/>
        <v>1351</v>
      </c>
      <c r="O50" s="5">
        <f t="shared" si="11"/>
        <v>0</v>
      </c>
      <c r="P50" s="5">
        <f>Table1[[#This Row],[Enrolment S.Y. 2025-2026 ]]*8</f>
        <v>1544</v>
      </c>
      <c r="Q50" s="5"/>
      <c r="R50" s="1"/>
      <c r="S50" s="5"/>
      <c r="T50" s="5">
        <f t="shared" si="12"/>
        <v>1544</v>
      </c>
      <c r="U50" s="5">
        <f t="shared" si="13"/>
        <v>0</v>
      </c>
      <c r="V50" s="5">
        <f>Table1[[#This Row],[Enrolment S.Y. 2025-2026 ]]*8</f>
        <v>1544</v>
      </c>
      <c r="W50" s="5"/>
      <c r="X50" s="1"/>
      <c r="Y50" s="5"/>
      <c r="Z50" s="5">
        <f t="shared" si="14"/>
        <v>1544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42">
        <v>193</v>
      </c>
      <c r="D51" s="5">
        <f>Table1[[#This Row],[Enrolment S.Y. 2025-2026 ]]*8</f>
        <v>1544</v>
      </c>
      <c r="E51" s="44">
        <v>193</v>
      </c>
      <c r="F51" s="1">
        <v>2025</v>
      </c>
      <c r="G51" s="5"/>
      <c r="H51" s="5">
        <f t="shared" si="2"/>
        <v>1351</v>
      </c>
      <c r="I51" s="5">
        <f t="shared" si="3"/>
        <v>0</v>
      </c>
      <c r="J51" s="5">
        <f>Table1[[#This Row],[Enrolment S.Y. 2025-2026 ]]*8</f>
        <v>1544</v>
      </c>
      <c r="K51" s="44">
        <v>193</v>
      </c>
      <c r="L51" s="1">
        <v>2025</v>
      </c>
      <c r="M51" s="5"/>
      <c r="N51" s="5">
        <f t="shared" si="10"/>
        <v>1351</v>
      </c>
      <c r="O51" s="5">
        <f t="shared" si="11"/>
        <v>0</v>
      </c>
      <c r="P51" s="5">
        <f>Table1[[#This Row],[Enrolment S.Y. 2025-2026 ]]*8</f>
        <v>1544</v>
      </c>
      <c r="Q51" s="5"/>
      <c r="R51" s="1"/>
      <c r="S51" s="5"/>
      <c r="T51" s="5">
        <f t="shared" si="12"/>
        <v>1544</v>
      </c>
      <c r="U51" s="5">
        <f t="shared" si="13"/>
        <v>0</v>
      </c>
      <c r="V51" s="5">
        <f>Table1[[#This Row],[Enrolment S.Y. 2025-2026 ]]*8</f>
        <v>1544</v>
      </c>
      <c r="W51" s="5"/>
      <c r="X51" s="1"/>
      <c r="Y51" s="5"/>
      <c r="Z51" s="5">
        <f t="shared" si="14"/>
        <v>1544</v>
      </c>
      <c r="AA51" s="5">
        <f t="shared" si="15"/>
        <v>0</v>
      </c>
    </row>
    <row r="52" spans="1:27" s="7" customFormat="1" ht="19.5">
      <c r="C52" s="43"/>
      <c r="E52" s="45"/>
      <c r="J52" s="13"/>
      <c r="K52" s="45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42">
        <v>218</v>
      </c>
      <c r="D53" s="5">
        <f>Table1[[#This Row],[Enrolment S.Y. 2025-2026 ]]*8</f>
        <v>1744</v>
      </c>
      <c r="E53" s="44">
        <v>224</v>
      </c>
      <c r="F53" s="1">
        <v>2025</v>
      </c>
      <c r="G53" s="5"/>
      <c r="H53" s="5">
        <f t="shared" si="2"/>
        <v>1520</v>
      </c>
      <c r="I53" s="5">
        <f t="shared" si="3"/>
        <v>0</v>
      </c>
      <c r="J53" s="5">
        <f>Table1[[#This Row],[Enrolment S.Y. 2025-2026 ]]*8</f>
        <v>1744</v>
      </c>
      <c r="K53" s="44">
        <v>224</v>
      </c>
      <c r="L53" s="1">
        <v>2025</v>
      </c>
      <c r="M53" s="5"/>
      <c r="N53" s="5">
        <f t="shared" si="10"/>
        <v>1520</v>
      </c>
      <c r="O53" s="5">
        <f t="shared" si="11"/>
        <v>0</v>
      </c>
      <c r="P53" s="5">
        <f>Table1[[#This Row],[Enrolment S.Y. 2025-2026 ]]*8</f>
        <v>1744</v>
      </c>
      <c r="Q53" s="5"/>
      <c r="R53" s="1"/>
      <c r="S53" s="5"/>
      <c r="T53" s="5">
        <f t="shared" si="12"/>
        <v>1744</v>
      </c>
      <c r="U53" s="5">
        <f t="shared" si="13"/>
        <v>0</v>
      </c>
      <c r="V53" s="5">
        <f>Table1[[#This Row],[Enrolment S.Y. 2025-2026 ]]*8</f>
        <v>1744</v>
      </c>
      <c r="W53" s="5"/>
      <c r="X53" s="1"/>
      <c r="Y53" s="5"/>
      <c r="Z53" s="5">
        <f t="shared" si="14"/>
        <v>1744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42">
        <v>218</v>
      </c>
      <c r="D54" s="5">
        <f>Table1[[#This Row],[Enrolment S.Y. 2025-2026 ]]*8</f>
        <v>1744</v>
      </c>
      <c r="E54" s="44">
        <v>224</v>
      </c>
      <c r="F54" s="1">
        <v>2025</v>
      </c>
      <c r="G54" s="5"/>
      <c r="H54" s="5">
        <f t="shared" si="2"/>
        <v>1520</v>
      </c>
      <c r="I54" s="5">
        <f t="shared" si="3"/>
        <v>0</v>
      </c>
      <c r="J54" s="5">
        <f>Table1[[#This Row],[Enrolment S.Y. 2025-2026 ]]*8</f>
        <v>1744</v>
      </c>
      <c r="K54" s="44">
        <v>224</v>
      </c>
      <c r="L54" s="1">
        <v>2025</v>
      </c>
      <c r="M54" s="5"/>
      <c r="N54" s="5">
        <f t="shared" si="10"/>
        <v>1520</v>
      </c>
      <c r="O54" s="5">
        <f t="shared" si="11"/>
        <v>0</v>
      </c>
      <c r="P54" s="5">
        <f>Table1[[#This Row],[Enrolment S.Y. 2025-2026 ]]*8</f>
        <v>1744</v>
      </c>
      <c r="Q54" s="5"/>
      <c r="R54" s="1"/>
      <c r="S54" s="5"/>
      <c r="T54" s="5">
        <f t="shared" si="12"/>
        <v>1744</v>
      </c>
      <c r="U54" s="5">
        <f t="shared" si="13"/>
        <v>0</v>
      </c>
      <c r="V54" s="5">
        <f>Table1[[#This Row],[Enrolment S.Y. 2025-2026 ]]*8</f>
        <v>1744</v>
      </c>
      <c r="W54" s="5"/>
      <c r="X54" s="1"/>
      <c r="Y54" s="5"/>
      <c r="Z54" s="5">
        <f t="shared" si="14"/>
        <v>1744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42">
        <v>218</v>
      </c>
      <c r="D55" s="5">
        <f>Table1[[#This Row],[Enrolment S.Y. 2025-2026 ]]*8</f>
        <v>1744</v>
      </c>
      <c r="E55" s="44">
        <v>224</v>
      </c>
      <c r="F55" s="1">
        <v>2025</v>
      </c>
      <c r="G55" s="5"/>
      <c r="H55" s="5">
        <f t="shared" si="2"/>
        <v>1520</v>
      </c>
      <c r="I55" s="5">
        <f t="shared" si="3"/>
        <v>0</v>
      </c>
      <c r="J55" s="5">
        <f>Table1[[#This Row],[Enrolment S.Y. 2025-2026 ]]*8</f>
        <v>1744</v>
      </c>
      <c r="K55" s="44">
        <v>224</v>
      </c>
      <c r="L55" s="1">
        <v>2025</v>
      </c>
      <c r="M55" s="5"/>
      <c r="N55" s="5">
        <f t="shared" si="10"/>
        <v>1520</v>
      </c>
      <c r="O55" s="5">
        <f t="shared" si="11"/>
        <v>0</v>
      </c>
      <c r="P55" s="5">
        <f>Table1[[#This Row],[Enrolment S.Y. 2025-2026 ]]*8</f>
        <v>1744</v>
      </c>
      <c r="Q55" s="5"/>
      <c r="R55" s="1"/>
      <c r="S55" s="5"/>
      <c r="T55" s="5">
        <f t="shared" si="12"/>
        <v>1744</v>
      </c>
      <c r="U55" s="5">
        <f t="shared" si="13"/>
        <v>0</v>
      </c>
      <c r="V55" s="5">
        <f>Table1[[#This Row],[Enrolment S.Y. 2025-2026 ]]*8</f>
        <v>1744</v>
      </c>
      <c r="W55" s="5"/>
      <c r="X55" s="1"/>
      <c r="Y55" s="5"/>
      <c r="Z55" s="5">
        <f t="shared" si="14"/>
        <v>1744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42">
        <v>218</v>
      </c>
      <c r="D56" s="5">
        <f>Table1[[#This Row],[Enrolment S.Y. 2025-2026 ]]*8</f>
        <v>1744</v>
      </c>
      <c r="E56" s="44">
        <v>224</v>
      </c>
      <c r="F56" s="1">
        <v>2025</v>
      </c>
      <c r="G56" s="5"/>
      <c r="H56" s="5">
        <f t="shared" si="2"/>
        <v>1520</v>
      </c>
      <c r="I56" s="5">
        <f t="shared" si="3"/>
        <v>0</v>
      </c>
      <c r="J56" s="5">
        <f>Table1[[#This Row],[Enrolment S.Y. 2025-2026 ]]*8</f>
        <v>1744</v>
      </c>
      <c r="K56" s="44">
        <v>224</v>
      </c>
      <c r="L56" s="1">
        <v>2025</v>
      </c>
      <c r="M56" s="5"/>
      <c r="N56" s="5">
        <f t="shared" si="10"/>
        <v>1520</v>
      </c>
      <c r="O56" s="5">
        <f t="shared" si="11"/>
        <v>0</v>
      </c>
      <c r="P56" s="5">
        <f>Table1[[#This Row],[Enrolment S.Y. 2025-2026 ]]*8</f>
        <v>1744</v>
      </c>
      <c r="Q56" s="5"/>
      <c r="R56" s="1"/>
      <c r="S56" s="5"/>
      <c r="T56" s="5">
        <f t="shared" si="12"/>
        <v>1744</v>
      </c>
      <c r="U56" s="5">
        <f t="shared" si="13"/>
        <v>0</v>
      </c>
      <c r="V56" s="5">
        <f>Table1[[#This Row],[Enrolment S.Y. 2025-2026 ]]*8</f>
        <v>1744</v>
      </c>
      <c r="W56" s="5"/>
      <c r="X56" s="1"/>
      <c r="Y56" s="5"/>
      <c r="Z56" s="5">
        <f t="shared" si="14"/>
        <v>1744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42">
        <v>218</v>
      </c>
      <c r="D57" s="5">
        <f>Table1[[#This Row],[Enrolment S.Y. 2025-2026 ]]*8</f>
        <v>1744</v>
      </c>
      <c r="E57" s="44">
        <v>224</v>
      </c>
      <c r="F57" s="1">
        <v>2025</v>
      </c>
      <c r="G57" s="5"/>
      <c r="H57" s="5">
        <f t="shared" si="2"/>
        <v>1520</v>
      </c>
      <c r="I57" s="5">
        <f t="shared" si="3"/>
        <v>0</v>
      </c>
      <c r="J57" s="5">
        <f>Table1[[#This Row],[Enrolment S.Y. 2025-2026 ]]*8</f>
        <v>1744</v>
      </c>
      <c r="K57" s="44">
        <v>224</v>
      </c>
      <c r="L57" s="1">
        <v>2025</v>
      </c>
      <c r="M57" s="5"/>
      <c r="N57" s="5">
        <f t="shared" si="10"/>
        <v>1520</v>
      </c>
      <c r="O57" s="5">
        <f t="shared" si="11"/>
        <v>0</v>
      </c>
      <c r="P57" s="5">
        <f>Table1[[#This Row],[Enrolment S.Y. 2025-2026 ]]*8</f>
        <v>1744</v>
      </c>
      <c r="Q57" s="5"/>
      <c r="R57" s="1"/>
      <c r="S57" s="5"/>
      <c r="T57" s="5">
        <f t="shared" si="12"/>
        <v>1744</v>
      </c>
      <c r="U57" s="5">
        <f t="shared" si="13"/>
        <v>0</v>
      </c>
      <c r="V57" s="5">
        <f>Table1[[#This Row],[Enrolment S.Y. 2025-2026 ]]*8</f>
        <v>1744</v>
      </c>
      <c r="W57" s="5"/>
      <c r="X57" s="1"/>
      <c r="Y57" s="5"/>
      <c r="Z57" s="5">
        <f t="shared" si="14"/>
        <v>1744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42">
        <v>218</v>
      </c>
      <c r="D58" s="5">
        <f>Table1[[#This Row],[Enrolment S.Y. 2025-2026 ]]*8</f>
        <v>1744</v>
      </c>
      <c r="E58" s="44">
        <v>224</v>
      </c>
      <c r="F58" s="1">
        <v>2025</v>
      </c>
      <c r="G58" s="5"/>
      <c r="H58" s="5">
        <f t="shared" si="2"/>
        <v>1520</v>
      </c>
      <c r="I58" s="5">
        <f t="shared" si="3"/>
        <v>0</v>
      </c>
      <c r="J58" s="5">
        <f>Table1[[#This Row],[Enrolment S.Y. 2025-2026 ]]*8</f>
        <v>1744</v>
      </c>
      <c r="K58" s="44">
        <v>224</v>
      </c>
      <c r="L58" s="1">
        <v>2025</v>
      </c>
      <c r="M58" s="5"/>
      <c r="N58" s="5">
        <f t="shared" si="10"/>
        <v>1520</v>
      </c>
      <c r="O58" s="5">
        <f t="shared" si="11"/>
        <v>0</v>
      </c>
      <c r="P58" s="5">
        <f>Table1[[#This Row],[Enrolment S.Y. 2025-2026 ]]*8</f>
        <v>1744</v>
      </c>
      <c r="Q58" s="5"/>
      <c r="R58" s="1"/>
      <c r="S58" s="5"/>
      <c r="T58" s="5">
        <f t="shared" si="12"/>
        <v>1744</v>
      </c>
      <c r="U58" s="5">
        <f t="shared" si="13"/>
        <v>0</v>
      </c>
      <c r="V58" s="5">
        <f>Table1[[#This Row],[Enrolment S.Y. 2025-2026 ]]*8</f>
        <v>1744</v>
      </c>
      <c r="W58" s="5"/>
      <c r="X58" s="1"/>
      <c r="Y58" s="5"/>
      <c r="Z58" s="5">
        <f t="shared" si="14"/>
        <v>1744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42">
        <v>218</v>
      </c>
      <c r="D59" s="5">
        <f>Table1[[#This Row],[Enrolment S.Y. 2025-2026 ]]*8</f>
        <v>1744</v>
      </c>
      <c r="E59" s="44">
        <v>224</v>
      </c>
      <c r="F59" s="1">
        <v>2025</v>
      </c>
      <c r="G59" s="5"/>
      <c r="H59" s="5">
        <f t="shared" si="2"/>
        <v>1520</v>
      </c>
      <c r="I59" s="5">
        <f t="shared" si="3"/>
        <v>0</v>
      </c>
      <c r="J59" s="5">
        <f>Table1[[#This Row],[Enrolment S.Y. 2025-2026 ]]*8</f>
        <v>1744</v>
      </c>
      <c r="K59" s="44">
        <v>224</v>
      </c>
      <c r="L59" s="1">
        <v>2025</v>
      </c>
      <c r="M59" s="5"/>
      <c r="N59" s="5">
        <f t="shared" si="10"/>
        <v>1520</v>
      </c>
      <c r="O59" s="5">
        <f t="shared" si="11"/>
        <v>0</v>
      </c>
      <c r="P59" s="5">
        <f>Table1[[#This Row],[Enrolment S.Y. 2025-2026 ]]*8</f>
        <v>1744</v>
      </c>
      <c r="Q59" s="5"/>
      <c r="R59" s="1"/>
      <c r="S59" s="5"/>
      <c r="T59" s="5">
        <f t="shared" si="12"/>
        <v>1744</v>
      </c>
      <c r="U59" s="5">
        <f t="shared" si="13"/>
        <v>0</v>
      </c>
      <c r="V59" s="5">
        <f>Table1[[#This Row],[Enrolment S.Y. 2025-2026 ]]*8</f>
        <v>1744</v>
      </c>
      <c r="W59" s="5"/>
      <c r="X59" s="1"/>
      <c r="Y59" s="5"/>
      <c r="Z59" s="5">
        <f t="shared" si="14"/>
        <v>1744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42">
        <v>218</v>
      </c>
      <c r="D60" s="5">
        <f>Table1[[#This Row],[Enrolment S.Y. 2025-2026 ]]*8</f>
        <v>1744</v>
      </c>
      <c r="E60" s="44">
        <v>224</v>
      </c>
      <c r="F60" s="1">
        <v>2025</v>
      </c>
      <c r="G60" s="5"/>
      <c r="H60" s="5">
        <f t="shared" si="2"/>
        <v>1520</v>
      </c>
      <c r="I60" s="5">
        <f t="shared" si="3"/>
        <v>0</v>
      </c>
      <c r="J60" s="5">
        <f>Table1[[#This Row],[Enrolment S.Y. 2025-2026 ]]*8</f>
        <v>1744</v>
      </c>
      <c r="K60" s="44">
        <v>224</v>
      </c>
      <c r="L60" s="1">
        <v>2025</v>
      </c>
      <c r="M60" s="5"/>
      <c r="N60" s="5">
        <f t="shared" si="10"/>
        <v>1520</v>
      </c>
      <c r="O60" s="5">
        <f t="shared" si="11"/>
        <v>0</v>
      </c>
      <c r="P60" s="5">
        <f>Table1[[#This Row],[Enrolment S.Y. 2025-2026 ]]*8</f>
        <v>1744</v>
      </c>
      <c r="Q60" s="5"/>
      <c r="R60" s="1"/>
      <c r="S60" s="5"/>
      <c r="T60" s="5">
        <f t="shared" si="12"/>
        <v>1744</v>
      </c>
      <c r="U60" s="5">
        <f t="shared" si="13"/>
        <v>0</v>
      </c>
      <c r="V60" s="5">
        <f>Table1[[#This Row],[Enrolment S.Y. 2025-2026 ]]*8</f>
        <v>1744</v>
      </c>
      <c r="W60" s="5"/>
      <c r="X60" s="1"/>
      <c r="Y60" s="5"/>
      <c r="Z60" s="5">
        <f t="shared" si="14"/>
        <v>1744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42">
        <v>218</v>
      </c>
      <c r="D61" s="5">
        <f>Table1[[#This Row],[Enrolment S.Y. 2025-2026 ]]*8</f>
        <v>1744</v>
      </c>
      <c r="E61" s="44">
        <v>224</v>
      </c>
      <c r="F61" s="1">
        <v>2025</v>
      </c>
      <c r="G61" s="5"/>
      <c r="H61" s="5">
        <f t="shared" si="2"/>
        <v>1520</v>
      </c>
      <c r="I61" s="5">
        <f t="shared" si="3"/>
        <v>0</v>
      </c>
      <c r="J61" s="5">
        <f>Table1[[#This Row],[Enrolment S.Y. 2025-2026 ]]*8</f>
        <v>1744</v>
      </c>
      <c r="K61" s="44">
        <v>224</v>
      </c>
      <c r="L61" s="1">
        <v>2025</v>
      </c>
      <c r="M61" s="5"/>
      <c r="N61" s="5">
        <f t="shared" si="10"/>
        <v>1520</v>
      </c>
      <c r="O61" s="5">
        <f t="shared" si="11"/>
        <v>0</v>
      </c>
      <c r="P61" s="5">
        <f>Table1[[#This Row],[Enrolment S.Y. 2025-2026 ]]*8</f>
        <v>1744</v>
      </c>
      <c r="Q61" s="5"/>
      <c r="R61" s="1"/>
      <c r="S61" s="5"/>
      <c r="T61" s="5">
        <f t="shared" si="12"/>
        <v>1744</v>
      </c>
      <c r="U61" s="5">
        <f t="shared" si="13"/>
        <v>0</v>
      </c>
      <c r="V61" s="5">
        <f>Table1[[#This Row],[Enrolment S.Y. 2025-2026 ]]*8</f>
        <v>1744</v>
      </c>
      <c r="W61" s="5"/>
      <c r="X61" s="1"/>
      <c r="Y61" s="5"/>
      <c r="Z61" s="5">
        <f t="shared" si="14"/>
        <v>1744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J5 Q14:R21 W14:X21 Q23:R31 W23:X31 H33:I41 Q33:R41 W33:X41 H43:I51 Q43:R51 W43:X51 H53:I61 Q53:R61 W53:X61 D63:F71 H63:I71 Q63:R71 W63:X71 D73:F81 H73:I81 Q73:R81 W73:X81 D83:F91 H83:I91 Q83:R91 W83:X91 D93:F101 H93:I101 Q93:R101 W93:X101 D103:F110 H103:I110 Q103:R110 W103:X110 D112:F127 H112:I127 N127:R127 W112:X127 H14:I21 H23:I31 H6:I12 K63:L71 K73:L81 K83:L91 K93:L101 K103:L110 K112:L127 Q112:R126 P2:R2 V2:X3 N13:P126 T13:V127 J6:J127 N5:R12 T5:X12 N4:P4 T4:V4 J4 Z4:AA127 N3:R3 Y13 D5:F12 D14:F21 D23:F31 D33:F41 D43:F51 D53:F61 K5:L12 K14:L21 K23:L31 K33:L41 K43:L51 K53:L6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14:L21 L23:L31 L33:L41 L63:L71 L73:L81 L43:L51 R112:R127 L83:L91 L93:L101 L5:L12 F53:F61 R23:R31 R33:R41 R43:R51 R63:R71 R73:R81 R53:R61 F112:F127 R83:R91 R93:R101 R14:R21 R5:R12 F14:F21 F23:F31 F33:F41 F63:F71 F73:F81 F43:F51 X112:X127 F83:F91 F93:F101 F5:F12 F103:F110 R103:R110 L103:L110 X103:X110 L53:L6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G3" sqref="G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6" t="s">
        <v>33</v>
      </c>
      <c r="E1" s="46"/>
      <c r="F1" s="46"/>
      <c r="G1" s="46"/>
      <c r="H1" s="46"/>
      <c r="I1" s="46"/>
      <c r="J1" s="47" t="s">
        <v>34</v>
      </c>
      <c r="K1" s="47"/>
      <c r="L1" s="47"/>
      <c r="M1" s="47"/>
      <c r="N1" s="47"/>
      <c r="O1" s="47"/>
      <c r="P1" s="48" t="s">
        <v>35</v>
      </c>
      <c r="Q1" s="48"/>
      <c r="R1" s="48"/>
      <c r="S1" s="48"/>
      <c r="T1" s="48"/>
      <c r="U1" s="48"/>
      <c r="V1" s="49" t="s">
        <v>36</v>
      </c>
      <c r="W1" s="49"/>
      <c r="X1" s="49"/>
      <c r="Y1" s="49"/>
      <c r="Z1" s="49"/>
      <c r="AA1" s="49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Jennifer Tubello</cp:lastModifiedBy>
  <cp:revision/>
  <dcterms:created xsi:type="dcterms:W3CDTF">2025-11-19T20:48:15Z</dcterms:created>
  <dcterms:modified xsi:type="dcterms:W3CDTF">2026-01-20T08:35:42Z</dcterms:modified>
  <cp:category/>
  <cp:contentStatus/>
</cp:coreProperties>
</file>