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9" documentId="13_ncr:1_{BFB59F67-F0DC-4675-A682-EB0734A8026A}" xr6:coauthVersionLast="47" xr6:coauthVersionMax="47" xr10:uidLastSave="{2BF75C80-9723-4701-9DE0-C9E78F9530E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<sst xmlns="http://schemas.openxmlformats.org/spreadsheetml/2006/main" count="238" uniqueCount="79">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</sst>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34"/>
    </font>
    <font>
      <sz val="11"/>
      <color rgb="FF000000"/>
      <name val="Aptos Narrow"/>
      <charset val="134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horizontal="center" vertical="center" wrapText="1"/>
    </xf>
    <xf numFmtId="0" fontId="16" fillId="13" borderId="1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J126" sqref="J12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169</v>
      </c>
      <c r="D2" s="1">
        <v>288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>
        <v>169</v>
      </c>
      <c r="D3" s="1">
        <v>288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119</v>
      </c>
    </row>
    <row r="4" spans="1:8" ht="21" customHeight="1">
      <c r="A4" s="1">
        <v>1</v>
      </c>
      <c r="B4" s="2" t="s">
        <v>11</v>
      </c>
      <c r="C4" s="1">
        <v>169</v>
      </c>
      <c r="D4" s="1">
        <v>288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169</v>
      </c>
      <c r="D5" s="1">
        <v>288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119</v>
      </c>
    </row>
    <row r="6" spans="1:8" ht="19.5">
      <c r="A6" s="1">
        <v>1</v>
      </c>
      <c r="B6" s="2" t="s">
        <v>13</v>
      </c>
      <c r="C6" s="1">
        <v>169</v>
      </c>
      <c r="D6" s="1"/>
      <c r="E6" s="1"/>
      <c r="F6" s="5"/>
      <c r="G6" s="3">
        <f t="shared" si="0"/>
        <v>169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202</v>
      </c>
      <c r="D8" s="1">
        <v>0</v>
      </c>
      <c r="E8" s="1"/>
      <c r="F8" s="5"/>
      <c r="G8" s="3">
        <f>IF((C8-D8)&lt;0,0,C8-D8)</f>
        <v>202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202</v>
      </c>
      <c r="D9" s="1">
        <v>0</v>
      </c>
      <c r="E9" s="1"/>
      <c r="F9" s="5"/>
      <c r="G9" s="3">
        <f>IF((C9-D9)&lt;0,0,C9-D9)</f>
        <v>202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202</v>
      </c>
      <c r="D10" s="1">
        <v>0</v>
      </c>
      <c r="E10" s="1"/>
      <c r="F10" s="5"/>
      <c r="G10" s="3">
        <f>IF((C10-D10)&lt;0,0,C10-D10)</f>
        <v>202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202</v>
      </c>
      <c r="D11" s="1">
        <v>0</v>
      </c>
      <c r="E11" s="1"/>
      <c r="F11" s="5"/>
      <c r="G11" s="3">
        <f>IF((C11-D11)&lt;0,0,C11-D11)</f>
        <v>202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202</v>
      </c>
      <c r="D12" s="1">
        <v>0</v>
      </c>
      <c r="E12" s="1"/>
      <c r="F12" s="5"/>
      <c r="G12" s="3">
        <f>IF((C12-D12)&lt;0,0,C12-D12)</f>
        <v>202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223</v>
      </c>
      <c r="D14" s="1">
        <v>0</v>
      </c>
      <c r="E14" s="1"/>
      <c r="F14" s="5"/>
      <c r="G14" s="3">
        <f t="shared" ref="G14:G19" si="2">IF((C14-D14)&lt;0,0,C14-D14)</f>
        <v>223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223</v>
      </c>
      <c r="D15" s="1">
        <v>0</v>
      </c>
      <c r="E15" s="1"/>
      <c r="F15" s="5"/>
      <c r="G15" s="3">
        <f t="shared" si="2"/>
        <v>223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223</v>
      </c>
      <c r="D16" s="1">
        <v>0</v>
      </c>
      <c r="E16" s="1"/>
      <c r="F16" s="5"/>
      <c r="G16" s="3">
        <f t="shared" si="2"/>
        <v>223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223</v>
      </c>
      <c r="D17" s="1">
        <v>0</v>
      </c>
      <c r="E17" s="1"/>
      <c r="F17" s="5"/>
      <c r="G17" s="3">
        <f t="shared" si="2"/>
        <v>223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223</v>
      </c>
      <c r="D18" s="1">
        <v>0</v>
      </c>
      <c r="E18" s="1"/>
      <c r="F18" s="5"/>
      <c r="G18" s="3">
        <f t="shared" si="2"/>
        <v>223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223</v>
      </c>
      <c r="D19" s="1">
        <v>0</v>
      </c>
      <c r="E19" s="1"/>
      <c r="F19" s="5"/>
      <c r="G19" s="3">
        <f t="shared" si="2"/>
        <v>223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0</v>
      </c>
      <c r="E21" s="1"/>
      <c r="F21" s="5"/>
      <c r="G21" s="3">
        <f t="shared" ref="G21:G29" si="4">IF((C21-D21)&lt;0,0,C21-D21)</f>
        <v>215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215</v>
      </c>
      <c r="D22" s="1">
        <v>351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136</v>
      </c>
    </row>
    <row r="23" spans="1:8" ht="19.5">
      <c r="A23" s="1">
        <v>4</v>
      </c>
      <c r="B23" s="9" t="s">
        <v>13</v>
      </c>
      <c r="C23" s="1">
        <v>215</v>
      </c>
      <c r="D23" s="1">
        <v>351</v>
      </c>
      <c r="E23" s="1">
        <v>2024</v>
      </c>
      <c r="F23" s="5" t="s">
        <v>9</v>
      </c>
      <c r="G23" s="3">
        <f t="shared" si="4"/>
        <v>0</v>
      </c>
      <c r="H23" s="4">
        <f t="shared" si="5"/>
        <v>136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351</v>
      </c>
      <c r="E24" s="1">
        <v>2024</v>
      </c>
      <c r="F24" s="5" t="s">
        <v>9</v>
      </c>
      <c r="G24" s="3">
        <f t="shared" si="4"/>
        <v>0</v>
      </c>
      <c r="H24" s="4">
        <f t="shared" si="5"/>
        <v>136</v>
      </c>
    </row>
    <row r="25" spans="1:8" ht="33.75" customHeight="1">
      <c r="A25" s="1">
        <v>4</v>
      </c>
      <c r="B25" s="9" t="s">
        <v>17</v>
      </c>
      <c r="C25" s="1">
        <v>215</v>
      </c>
      <c r="D25" s="1">
        <v>351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136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351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136</v>
      </c>
    </row>
    <row r="27" spans="1:8" ht="33.75" customHeight="1">
      <c r="A27" s="1">
        <v>4</v>
      </c>
      <c r="B27" s="9" t="s">
        <v>18</v>
      </c>
      <c r="C27" s="26">
        <v>215</v>
      </c>
      <c r="D27" s="26">
        <v>351</v>
      </c>
      <c r="E27" s="1">
        <v>2024</v>
      </c>
      <c r="F27" s="27" t="s">
        <v>9</v>
      </c>
      <c r="G27" s="3">
        <f t="shared" si="4"/>
        <v>0</v>
      </c>
      <c r="H27" s="4">
        <f t="shared" si="5"/>
        <v>136</v>
      </c>
    </row>
    <row r="28" spans="1:8" ht="27.75" customHeight="1">
      <c r="A28" s="1">
        <v>4</v>
      </c>
      <c r="B28" s="41" t="s">
        <v>19</v>
      </c>
      <c r="C28" s="1">
        <v>215</v>
      </c>
      <c r="D28" s="1">
        <v>0</v>
      </c>
      <c r="E28" s="1"/>
      <c r="F28" s="1"/>
      <c r="G28" s="10">
        <f t="shared" si="4"/>
        <v>215</v>
      </c>
      <c r="H28" s="4">
        <f t="shared" si="5"/>
        <v>0</v>
      </c>
    </row>
    <row r="29" spans="1:8" ht="27.75" customHeight="1">
      <c r="A29" s="1">
        <v>4</v>
      </c>
      <c r="B29" s="41" t="s">
        <v>20</v>
      </c>
      <c r="C29" s="1">
        <v>215</v>
      </c>
      <c r="D29" s="1">
        <v>0</v>
      </c>
      <c r="E29" s="1"/>
      <c r="F29" s="1"/>
      <c r="G29" s="10">
        <f t="shared" si="4"/>
        <v>215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193</v>
      </c>
      <c r="D31" s="1">
        <v>313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120</v>
      </c>
    </row>
    <row r="32" spans="1:8" ht="27.75" customHeight="1">
      <c r="A32" s="1">
        <v>5</v>
      </c>
      <c r="B32" s="9" t="s">
        <v>16</v>
      </c>
      <c r="C32" s="1">
        <v>193</v>
      </c>
      <c r="D32" s="1">
        <v>0</v>
      </c>
      <c r="E32" s="1"/>
      <c r="F32" s="5"/>
      <c r="G32" s="3">
        <f t="shared" si="6"/>
        <v>193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193</v>
      </c>
      <c r="D33" s="1">
        <v>0</v>
      </c>
      <c r="E33" s="1"/>
      <c r="F33" s="5"/>
      <c r="G33" s="3">
        <f t="shared" si="6"/>
        <v>193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193</v>
      </c>
      <c r="D34" s="1">
        <v>0</v>
      </c>
      <c r="E34" s="1"/>
      <c r="F34" s="5"/>
      <c r="G34" s="3">
        <f t="shared" si="6"/>
        <v>193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193</v>
      </c>
      <c r="D35" s="1">
        <v>313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120</v>
      </c>
    </row>
    <row r="36" spans="1:8" ht="27.75" customHeight="1">
      <c r="A36" s="1">
        <v>5</v>
      </c>
      <c r="B36" s="9" t="s">
        <v>14</v>
      </c>
      <c r="C36" s="1">
        <v>193</v>
      </c>
      <c r="D36" s="1">
        <v>313</v>
      </c>
      <c r="E36" s="1">
        <v>2025</v>
      </c>
      <c r="F36" s="5" t="s">
        <v>9</v>
      </c>
      <c r="G36" s="3">
        <f t="shared" si="6"/>
        <v>0</v>
      </c>
      <c r="H36" s="4">
        <f t="shared" si="7"/>
        <v>120</v>
      </c>
    </row>
    <row r="37" spans="1:8" ht="27.75" customHeight="1">
      <c r="A37" s="1">
        <v>5</v>
      </c>
      <c r="B37" s="9" t="s">
        <v>18</v>
      </c>
      <c r="C37" s="1">
        <v>193</v>
      </c>
      <c r="D37" s="1">
        <v>313</v>
      </c>
      <c r="E37" s="1">
        <v>2025</v>
      </c>
      <c r="F37" s="5" t="s">
        <v>9</v>
      </c>
      <c r="G37" s="3">
        <f t="shared" si="6"/>
        <v>0</v>
      </c>
      <c r="H37" s="4">
        <f t="shared" si="7"/>
        <v>120</v>
      </c>
    </row>
    <row r="38" spans="1:8" ht="27.75" customHeight="1">
      <c r="A38" s="1">
        <v>5</v>
      </c>
      <c r="B38" s="9" t="s">
        <v>19</v>
      </c>
      <c r="C38" s="1">
        <v>193</v>
      </c>
      <c r="D38" s="1">
        <v>0</v>
      </c>
      <c r="E38" s="1"/>
      <c r="F38" s="5"/>
      <c r="G38" s="3">
        <f t="shared" si="6"/>
        <v>193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193</v>
      </c>
      <c r="D39" s="1">
        <v>0</v>
      </c>
      <c r="E39" s="1"/>
      <c r="F39" s="5"/>
      <c r="G39" s="3">
        <f t="shared" si="6"/>
        <v>193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218</v>
      </c>
      <c r="D41" s="1">
        <v>0</v>
      </c>
      <c r="E41" s="1"/>
      <c r="F41" s="5"/>
      <c r="G41" s="3">
        <f t="shared" ref="G41:G49" si="8">IF((C41-D41)&lt;0,0,C41-D41)</f>
        <v>218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218</v>
      </c>
      <c r="D42" s="1">
        <v>0</v>
      </c>
      <c r="E42" s="1"/>
      <c r="F42" s="5"/>
      <c r="G42" s="3">
        <f t="shared" si="8"/>
        <v>218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218</v>
      </c>
      <c r="D43" s="1">
        <v>0</v>
      </c>
      <c r="E43" s="1"/>
      <c r="F43" s="5"/>
      <c r="G43" s="3">
        <f t="shared" si="8"/>
        <v>218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218</v>
      </c>
      <c r="D44" s="1">
        <v>0</v>
      </c>
      <c r="E44" s="1"/>
      <c r="F44" s="5"/>
      <c r="G44" s="3">
        <f t="shared" si="8"/>
        <v>218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218</v>
      </c>
      <c r="D45" s="1">
        <v>0</v>
      </c>
      <c r="E45" s="1"/>
      <c r="F45" s="5"/>
      <c r="G45" s="3">
        <f t="shared" si="8"/>
        <v>218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218</v>
      </c>
      <c r="D46" s="1">
        <v>0</v>
      </c>
      <c r="E46" s="1"/>
      <c r="F46" s="5"/>
      <c r="G46" s="3">
        <f t="shared" si="8"/>
        <v>218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218</v>
      </c>
      <c r="D47" s="1">
        <v>0</v>
      </c>
      <c r="E47" s="1"/>
      <c r="F47" s="5"/>
      <c r="G47" s="3">
        <f t="shared" si="8"/>
        <v>218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218</v>
      </c>
      <c r="D48" s="1">
        <v>0</v>
      </c>
      <c r="E48" s="1"/>
      <c r="F48" s="5"/>
      <c r="G48" s="3">
        <f t="shared" si="8"/>
        <v>218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218</v>
      </c>
      <c r="D49" s="1">
        <v>0</v>
      </c>
      <c r="E49" s="1"/>
      <c r="F49" s="5"/>
      <c r="G49" s="3">
        <f t="shared" si="8"/>
        <v>218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F28 C1:E49" name="Textbooks"/>
    <protectedRange sqref="F1:F27 F29:F49" name="SOURCE"/>
  </protectedRanges>
  <phoneticPr fontId="8" type="noConversion"/>
  <dataValidations count="3">
    <dataValidation type="list" allowBlank="1" showInputMessage="1" showErrorMessage="1" sqref="F28" xr:uid="{B46E7B13-721E-4D49-837E-C02BF9777D48}">
      <formula1>"2024,2025"</formula1>
    </dataValidation>
    <dataValidation type="list" allowBlank="1" showInputMessage="1" showErrorMessage="1" sqref="F14:F19 F31:F39 F41:F49 F2:F6 F8:F12 F21:F27 F29" xr:uid="{2F7388E0-D1A1-4571-8C10-96CB9A727EB3}">
      <formula1>"CO,RO,SDO"</formula1>
    </dataValidation>
    <dataValidation type="list" allowBlank="1" showInputMessage="1" showErrorMessage="1" sqref="E41:E49 E8:E12 E2:E6 E14:E19 E21:E29 E31:E39" xr:uid="{A2966CE6-6935-4859-B1F0-CCAF1D0E699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41" zoomScale="70" zoomScaleNormal="70" workbookViewId="0">
      <selection activeCell="AC132" sqref="AC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5" t="s">
        <v>34</v>
      </c>
      <c r="N2" s="35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6" t="s">
        <v>46</v>
      </c>
      <c r="Z2" s="36" t="s">
        <v>47</v>
      </c>
      <c r="AA2" s="23" t="s">
        <v>48</v>
      </c>
    </row>
    <row r="3" spans="1:27" ht="30.6" customHeight="1">
      <c r="A3" s="34" t="s">
        <v>49</v>
      </c>
      <c r="B3" s="29"/>
      <c r="C3" s="37">
        <v>151</v>
      </c>
      <c r="D3" s="30">
        <f>Table1[[#This Row],[Enrolment S.Y. 2025-2026 ]]*8</f>
        <v>1208</v>
      </c>
      <c r="E3" s="30"/>
      <c r="F3" s="28"/>
      <c r="G3" s="30"/>
      <c r="H3" s="30">
        <f>IF((D3-E3)&lt;0,0,(D3-E3))</f>
        <v>1208</v>
      </c>
      <c r="I3" s="30">
        <f>IF((E3-D3)&lt;0,0,(E3-D3))</f>
        <v>0</v>
      </c>
      <c r="J3" s="30">
        <f>Table1[[#This Row],[Enrolment S.Y. 2025-2026 ]]*8</f>
        <v>1208</v>
      </c>
      <c r="K3" s="30"/>
      <c r="L3" s="28"/>
      <c r="M3" s="30"/>
      <c r="N3" s="5">
        <f t="shared" ref="N3" si="0">IF((J3-K3)&lt;0,0,(J3-K3))</f>
        <v>1208</v>
      </c>
      <c r="O3" s="5">
        <f t="shared" ref="O3" si="1">IF((K3-J3)&lt;0,0,(K3-J3))</f>
        <v>0</v>
      </c>
      <c r="P3" s="5">
        <f>Table1[[#This Row],[Enrolment S.Y. 2025-2026 ]]*8</f>
        <v>1208</v>
      </c>
      <c r="Q3" s="30"/>
      <c r="R3" s="28"/>
      <c r="S3" s="30"/>
      <c r="T3" s="30">
        <f>IF((P3-Q3)&lt;0,0,(P3-Q3))</f>
        <v>1208</v>
      </c>
      <c r="U3" s="30">
        <f>IF((Q3-P3)&lt;0,0,(Q3-P3))</f>
        <v>0</v>
      </c>
      <c r="V3" s="30">
        <f>Table1[[#This Row],[Enrolment S.Y. 2025-2026 ]]*8</f>
        <v>1208</v>
      </c>
      <c r="W3" s="30"/>
      <c r="X3" s="28"/>
      <c r="Y3" s="30"/>
      <c r="Z3" s="30">
        <f>IF((V3-W3)&lt;0,0,(V3-W3))</f>
        <v>1208</v>
      </c>
      <c r="AA3" s="30">
        <f>IF((W3-V3)&lt;0,0,(W3-V3))</f>
        <v>0</v>
      </c>
    </row>
    <row r="4" spans="1:27" s="7" customFormat="1" ht="19.5">
      <c r="C4" s="38"/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37">
        <v>169</v>
      </c>
      <c r="D5" s="5">
        <f>Table1[[#This Row],[Enrolment S.Y. 2025-2026 ]]*8</f>
        <v>1352</v>
      </c>
      <c r="E5" s="39">
        <v>172</v>
      </c>
      <c r="F5" s="1">
        <v>2025</v>
      </c>
      <c r="G5" s="5"/>
      <c r="H5" s="5">
        <f t="shared" ref="H5:H61" si="2">IF((D5-E5)&lt;0,0,(D5-E5))</f>
        <v>1180</v>
      </c>
      <c r="I5" s="5">
        <f t="shared" ref="I5:I61" si="3">IF((E5-D5)&lt;0,0,(E5-D5))</f>
        <v>0</v>
      </c>
      <c r="J5" s="5">
        <f>Table1[[#This Row],[Enrolment S.Y. 2025-2026 ]]*8</f>
        <v>1352</v>
      </c>
      <c r="K5" s="39">
        <v>172</v>
      </c>
      <c r="L5" s="1">
        <v>2025</v>
      </c>
      <c r="M5" s="5"/>
      <c r="N5" s="5">
        <f t="shared" ref="N5" si="4">IF((J5-K5)&lt;0,0,(J5-K5))</f>
        <v>1180</v>
      </c>
      <c r="O5" s="5">
        <f t="shared" ref="O5" si="5">IF((K5-J5)&lt;0,0,(K5-J5))</f>
        <v>0</v>
      </c>
      <c r="P5" s="5">
        <f>Table1[[#This Row],[Enrolment S.Y. 2025-2026 ]]*8</f>
        <v>1352</v>
      </c>
      <c r="Q5" s="5"/>
      <c r="R5" s="1"/>
      <c r="S5" s="5"/>
      <c r="T5" s="5">
        <f t="shared" ref="T5" si="6">IF((P5-Q5)&lt;0,0,(P5-Q5))</f>
        <v>1352</v>
      </c>
      <c r="U5" s="5">
        <f t="shared" ref="U5" si="7">IF((Q5-P5)&lt;0,0,(Q5-P5))</f>
        <v>0</v>
      </c>
      <c r="V5" s="5">
        <f>Table1[[#This Row],[Enrolment S.Y. 2025-2026 ]]*8</f>
        <v>1352</v>
      </c>
      <c r="W5" s="5"/>
      <c r="X5" s="1"/>
      <c r="Y5" s="5"/>
      <c r="Z5" s="5">
        <f t="shared" ref="Z5" si="8">IF((V5-W5)&lt;0,0,(V5-W5))</f>
        <v>1352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37">
        <v>169</v>
      </c>
      <c r="D6" s="5">
        <f>Table1[[#This Row],[Enrolment S.Y. 2025-2026 ]]*8</f>
        <v>1352</v>
      </c>
      <c r="E6" s="39">
        <v>172</v>
      </c>
      <c r="F6" s="1">
        <v>2025</v>
      </c>
      <c r="G6" s="5"/>
      <c r="H6" s="5">
        <f t="shared" si="2"/>
        <v>1180</v>
      </c>
      <c r="I6" s="5">
        <f t="shared" si="3"/>
        <v>0</v>
      </c>
      <c r="J6" s="5">
        <f>Table1[[#This Row],[Enrolment S.Y. 2025-2026 ]]*8</f>
        <v>1352</v>
      </c>
      <c r="K6" s="39">
        <v>172</v>
      </c>
      <c r="L6" s="1">
        <v>2025</v>
      </c>
      <c r="M6" s="5"/>
      <c r="N6" s="5">
        <f t="shared" ref="N6:N61" si="10">IF((J6-K6)&lt;0,0,(J6-K6))</f>
        <v>1180</v>
      </c>
      <c r="O6" s="5">
        <f t="shared" ref="O6:O61" si="11">IF((K6-J6)&lt;0,0,(K6-J6))</f>
        <v>0</v>
      </c>
      <c r="P6" s="5">
        <f>Table1[[#This Row],[Enrolment S.Y. 2025-2026 ]]*8</f>
        <v>1352</v>
      </c>
      <c r="Q6" s="5"/>
      <c r="R6" s="1"/>
      <c r="S6" s="5"/>
      <c r="T6" s="5">
        <f t="shared" ref="T6:T61" si="12">IF((P6-Q6)&lt;0,0,(P6-Q6))</f>
        <v>1352</v>
      </c>
      <c r="U6" s="5">
        <f t="shared" ref="U6:U61" si="13">IF((Q6-P6)&lt;0,0,(Q6-P6))</f>
        <v>0</v>
      </c>
      <c r="V6" s="5">
        <f>Table1[[#This Row],[Enrolment S.Y. 2025-2026 ]]*8</f>
        <v>1352</v>
      </c>
      <c r="W6" s="5"/>
      <c r="X6" s="1"/>
      <c r="Y6" s="5"/>
      <c r="Z6" s="5">
        <f t="shared" ref="Z6:Z61" si="14">IF((V6-W6)&lt;0,0,(V6-W6))</f>
        <v>1352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37">
        <v>169</v>
      </c>
      <c r="D7" s="5">
        <f>Table1[[#This Row],[Enrolment S.Y. 2025-2026 ]]*8</f>
        <v>1352</v>
      </c>
      <c r="E7" s="39">
        <v>172</v>
      </c>
      <c r="F7" s="1">
        <v>2025</v>
      </c>
      <c r="G7" s="5"/>
      <c r="H7" s="5">
        <f t="shared" si="2"/>
        <v>1180</v>
      </c>
      <c r="I7" s="5">
        <f t="shared" si="3"/>
        <v>0</v>
      </c>
      <c r="J7" s="5">
        <f>Table1[[#This Row],[Enrolment S.Y. 2025-2026 ]]*8</f>
        <v>1352</v>
      </c>
      <c r="K7" s="39">
        <v>172</v>
      </c>
      <c r="L7" s="1">
        <v>2025</v>
      </c>
      <c r="M7" s="5"/>
      <c r="N7" s="5">
        <f t="shared" si="10"/>
        <v>1180</v>
      </c>
      <c r="O7" s="5">
        <f t="shared" si="11"/>
        <v>0</v>
      </c>
      <c r="P7" s="5">
        <f>Table1[[#This Row],[Enrolment S.Y. 2025-2026 ]]*8</f>
        <v>1352</v>
      </c>
      <c r="Q7" s="5"/>
      <c r="R7" s="1"/>
      <c r="S7" s="5"/>
      <c r="T7" s="5">
        <f t="shared" si="12"/>
        <v>1352</v>
      </c>
      <c r="U7" s="5">
        <f t="shared" si="13"/>
        <v>0</v>
      </c>
      <c r="V7" s="5">
        <f>Table1[[#This Row],[Enrolment S.Y. 2025-2026 ]]*8</f>
        <v>1352</v>
      </c>
      <c r="W7" s="5"/>
      <c r="X7" s="1"/>
      <c r="Y7" s="5"/>
      <c r="Z7" s="5">
        <f t="shared" si="14"/>
        <v>1352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37">
        <v>169</v>
      </c>
      <c r="D8" s="5">
        <f>Table1[[#This Row],[Enrolment S.Y. 2025-2026 ]]*8</f>
        <v>1352</v>
      </c>
      <c r="E8" s="39">
        <v>172</v>
      </c>
      <c r="F8" s="1">
        <v>2025</v>
      </c>
      <c r="G8" s="5"/>
      <c r="H8" s="5">
        <f t="shared" si="2"/>
        <v>1180</v>
      </c>
      <c r="I8" s="5">
        <f t="shared" si="3"/>
        <v>0</v>
      </c>
      <c r="J8" s="5">
        <f>Table1[[#This Row],[Enrolment S.Y. 2025-2026 ]]*8</f>
        <v>1352</v>
      </c>
      <c r="K8" s="39">
        <v>172</v>
      </c>
      <c r="L8" s="1">
        <v>2025</v>
      </c>
      <c r="M8" s="5"/>
      <c r="N8" s="5">
        <f t="shared" si="10"/>
        <v>1180</v>
      </c>
      <c r="O8" s="5">
        <f t="shared" si="11"/>
        <v>0</v>
      </c>
      <c r="P8" s="5">
        <f>Table1[[#This Row],[Enrolment S.Y. 2025-2026 ]]*8</f>
        <v>1352</v>
      </c>
      <c r="Q8" s="5"/>
      <c r="R8" s="1"/>
      <c r="S8" s="5"/>
      <c r="T8" s="5">
        <f t="shared" si="12"/>
        <v>1352</v>
      </c>
      <c r="U8" s="5">
        <f t="shared" si="13"/>
        <v>0</v>
      </c>
      <c r="V8" s="5">
        <f>Table1[[#This Row],[Enrolment S.Y. 2025-2026 ]]*8</f>
        <v>1352</v>
      </c>
      <c r="W8" s="5"/>
      <c r="X8" s="1"/>
      <c r="Y8" s="5"/>
      <c r="Z8" s="5">
        <f t="shared" si="14"/>
        <v>1352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37">
        <v>169</v>
      </c>
      <c r="D9" s="5">
        <f>Table1[[#This Row],[Enrolment S.Y. 2025-2026 ]]*8</f>
        <v>1352</v>
      </c>
      <c r="E9" s="39">
        <v>172</v>
      </c>
      <c r="F9" s="1">
        <v>2025</v>
      </c>
      <c r="G9" s="5"/>
      <c r="H9" s="5">
        <f t="shared" si="2"/>
        <v>1180</v>
      </c>
      <c r="I9" s="5">
        <f t="shared" si="3"/>
        <v>0</v>
      </c>
      <c r="J9" s="5">
        <f>Table1[[#This Row],[Enrolment S.Y. 2025-2026 ]]*8</f>
        <v>1352</v>
      </c>
      <c r="K9" s="39">
        <v>172</v>
      </c>
      <c r="L9" s="1">
        <v>2025</v>
      </c>
      <c r="M9" s="5"/>
      <c r="N9" s="5">
        <f t="shared" si="10"/>
        <v>1180</v>
      </c>
      <c r="O9" s="5">
        <f t="shared" si="11"/>
        <v>0</v>
      </c>
      <c r="P9" s="5">
        <f>Table1[[#This Row],[Enrolment S.Y. 2025-2026 ]]*8</f>
        <v>1352</v>
      </c>
      <c r="Q9" s="5"/>
      <c r="R9" s="1"/>
      <c r="S9" s="5"/>
      <c r="T9" s="5">
        <f t="shared" si="12"/>
        <v>1352</v>
      </c>
      <c r="U9" s="5">
        <f t="shared" si="13"/>
        <v>0</v>
      </c>
      <c r="V9" s="5">
        <f>Table1[[#This Row],[Enrolment S.Y. 2025-2026 ]]*8</f>
        <v>1352</v>
      </c>
      <c r="W9" s="5"/>
      <c r="X9" s="1"/>
      <c r="Y9" s="5"/>
      <c r="Z9" s="5">
        <f t="shared" si="14"/>
        <v>1352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37"/>
      <c r="D10" s="5">
        <f>Table1[[#This Row],[Enrolment S.Y. 2025-2026 ]]*8</f>
        <v>0</v>
      </c>
      <c r="E10" s="39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39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37"/>
      <c r="D11" s="5">
        <f>Table1[[#This Row],[Enrolment S.Y. 2025-2026 ]]*8</f>
        <v>0</v>
      </c>
      <c r="E11" s="39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39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37"/>
      <c r="D12" s="5">
        <f>Table1[[#This Row],[Enrolment S.Y. 2025-2026 ]]*8</f>
        <v>0</v>
      </c>
      <c r="E12" s="39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39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C13" s="38"/>
      <c r="E13" s="40"/>
      <c r="J13" s="10"/>
      <c r="K13" s="4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37"/>
      <c r="D14" s="5">
        <f>Table1[[#This Row],[Enrolment S.Y. 2025-2026 ]]*8</f>
        <v>0</v>
      </c>
      <c r="E14" s="39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39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37"/>
      <c r="D15" s="5">
        <f>Table1[[#This Row],[Enrolment S.Y. 2025-2026 ]]*8</f>
        <v>0</v>
      </c>
      <c r="E15" s="39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39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37">
        <v>202</v>
      </c>
      <c r="D16" s="5">
        <f>Table1[[#This Row],[Enrolment S.Y. 2025-2026 ]]*8</f>
        <v>1616</v>
      </c>
      <c r="E16" s="39">
        <v>202</v>
      </c>
      <c r="F16" s="1">
        <v>2025</v>
      </c>
      <c r="G16" s="5"/>
      <c r="H16" s="5">
        <f t="shared" si="2"/>
        <v>1414</v>
      </c>
      <c r="I16" s="5">
        <f t="shared" si="3"/>
        <v>0</v>
      </c>
      <c r="J16" s="5">
        <f>Table1[[#This Row],[Enrolment S.Y. 2025-2026 ]]*8</f>
        <v>1616</v>
      </c>
      <c r="K16" s="39">
        <v>202</v>
      </c>
      <c r="L16" s="1">
        <v>2025</v>
      </c>
      <c r="M16" s="5"/>
      <c r="N16" s="5">
        <f t="shared" si="10"/>
        <v>1414</v>
      </c>
      <c r="O16" s="5">
        <f t="shared" si="11"/>
        <v>0</v>
      </c>
      <c r="P16" s="5">
        <f>Table1[[#This Row],[Enrolment S.Y. 2025-2026 ]]*8</f>
        <v>1616</v>
      </c>
      <c r="Q16" s="5"/>
      <c r="R16" s="1"/>
      <c r="S16" s="5"/>
      <c r="T16" s="5">
        <f t="shared" si="12"/>
        <v>1616</v>
      </c>
      <c r="U16" s="5">
        <f t="shared" si="13"/>
        <v>0</v>
      </c>
      <c r="V16" s="5">
        <f>Table1[[#This Row],[Enrolment S.Y. 2025-2026 ]]*8</f>
        <v>1616</v>
      </c>
      <c r="W16" s="5"/>
      <c r="X16" s="1"/>
      <c r="Y16" s="5"/>
      <c r="Z16" s="5">
        <f t="shared" si="14"/>
        <v>1616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37">
        <v>202</v>
      </c>
      <c r="D17" s="5">
        <f>Table1[[#This Row],[Enrolment S.Y. 2025-2026 ]]*8</f>
        <v>1616</v>
      </c>
      <c r="E17" s="39">
        <v>202</v>
      </c>
      <c r="F17" s="1">
        <v>2025</v>
      </c>
      <c r="G17" s="5"/>
      <c r="H17" s="5">
        <f t="shared" si="2"/>
        <v>1414</v>
      </c>
      <c r="I17" s="5">
        <f t="shared" si="3"/>
        <v>0</v>
      </c>
      <c r="J17" s="5">
        <f>Table1[[#This Row],[Enrolment S.Y. 2025-2026 ]]*8</f>
        <v>1616</v>
      </c>
      <c r="K17" s="39">
        <v>202</v>
      </c>
      <c r="L17" s="1">
        <v>2025</v>
      </c>
      <c r="M17" s="5"/>
      <c r="N17" s="5">
        <f t="shared" si="10"/>
        <v>1414</v>
      </c>
      <c r="O17" s="5">
        <f t="shared" si="11"/>
        <v>0</v>
      </c>
      <c r="P17" s="5">
        <f>Table1[[#This Row],[Enrolment S.Y. 2025-2026 ]]*8</f>
        <v>1616</v>
      </c>
      <c r="Q17" s="5"/>
      <c r="R17" s="1"/>
      <c r="S17" s="5"/>
      <c r="T17" s="5">
        <f t="shared" si="12"/>
        <v>1616</v>
      </c>
      <c r="U17" s="5">
        <f t="shared" si="13"/>
        <v>0</v>
      </c>
      <c r="V17" s="5">
        <f>Table1[[#This Row],[Enrolment S.Y. 2025-2026 ]]*8</f>
        <v>1616</v>
      </c>
      <c r="W17" s="5"/>
      <c r="X17" s="1"/>
      <c r="Y17" s="5"/>
      <c r="Z17" s="5">
        <f t="shared" si="14"/>
        <v>1616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37">
        <v>202</v>
      </c>
      <c r="D18" s="5">
        <f>Table1[[#This Row],[Enrolment S.Y. 2025-2026 ]]*8</f>
        <v>1616</v>
      </c>
      <c r="E18" s="39">
        <v>202</v>
      </c>
      <c r="F18" s="1">
        <v>2025</v>
      </c>
      <c r="G18" s="5"/>
      <c r="H18" s="5">
        <f t="shared" si="2"/>
        <v>1414</v>
      </c>
      <c r="I18" s="5">
        <f t="shared" si="3"/>
        <v>0</v>
      </c>
      <c r="J18" s="5">
        <f>Table1[[#This Row],[Enrolment S.Y. 2025-2026 ]]*8</f>
        <v>1616</v>
      </c>
      <c r="K18" s="39">
        <v>202</v>
      </c>
      <c r="L18" s="1">
        <v>2025</v>
      </c>
      <c r="M18" s="5"/>
      <c r="N18" s="5">
        <f t="shared" si="10"/>
        <v>1414</v>
      </c>
      <c r="O18" s="5">
        <f t="shared" si="11"/>
        <v>0</v>
      </c>
      <c r="P18" s="5">
        <f>Table1[[#This Row],[Enrolment S.Y. 2025-2026 ]]*8</f>
        <v>1616</v>
      </c>
      <c r="Q18" s="5"/>
      <c r="R18" s="1"/>
      <c r="S18" s="5"/>
      <c r="T18" s="5">
        <f t="shared" si="12"/>
        <v>1616</v>
      </c>
      <c r="U18" s="5">
        <f t="shared" si="13"/>
        <v>0</v>
      </c>
      <c r="V18" s="5">
        <f>Table1[[#This Row],[Enrolment S.Y. 2025-2026 ]]*8</f>
        <v>1616</v>
      </c>
      <c r="W18" s="5"/>
      <c r="X18" s="1"/>
      <c r="Y18" s="5"/>
      <c r="Z18" s="5">
        <f t="shared" si="14"/>
        <v>1616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37">
        <v>202</v>
      </c>
      <c r="D19" s="5">
        <f>Table1[[#This Row],[Enrolment S.Y. 2025-2026 ]]*8</f>
        <v>1616</v>
      </c>
      <c r="E19" s="39">
        <v>202</v>
      </c>
      <c r="F19" s="1">
        <v>2025</v>
      </c>
      <c r="G19" s="5"/>
      <c r="H19" s="5">
        <f>IF((D19-E19)&lt;0,0,(D19-E19))</f>
        <v>1414</v>
      </c>
      <c r="I19" s="5">
        <f>IF((E19-D19)&lt;0,0,(E19-D19))</f>
        <v>0</v>
      </c>
      <c r="J19" s="5">
        <f>Table1[[#This Row],[Enrolment S.Y. 2025-2026 ]]*8</f>
        <v>1616</v>
      </c>
      <c r="K19" s="39">
        <v>202</v>
      </c>
      <c r="L19" s="1">
        <v>2025</v>
      </c>
      <c r="M19" s="5"/>
      <c r="N19" s="5">
        <f t="shared" si="10"/>
        <v>1414</v>
      </c>
      <c r="O19" s="5">
        <f t="shared" si="11"/>
        <v>0</v>
      </c>
      <c r="P19" s="5">
        <f>Table1[[#This Row],[Enrolment S.Y. 2025-2026 ]]*8</f>
        <v>1616</v>
      </c>
      <c r="Q19" s="5"/>
      <c r="R19" s="1"/>
      <c r="S19" s="5"/>
      <c r="T19" s="5">
        <f t="shared" si="12"/>
        <v>1616</v>
      </c>
      <c r="U19" s="5">
        <f t="shared" si="13"/>
        <v>0</v>
      </c>
      <c r="V19" s="5">
        <f>Table1[[#This Row],[Enrolment S.Y. 2025-2026 ]]*8</f>
        <v>1616</v>
      </c>
      <c r="W19" s="5"/>
      <c r="X19" s="1"/>
      <c r="Y19" s="5"/>
      <c r="Z19" s="5">
        <f t="shared" si="14"/>
        <v>1616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37">
        <v>202</v>
      </c>
      <c r="D20" s="5">
        <f>Table1[[#This Row],[Enrolment S.Y. 2025-2026 ]]*8</f>
        <v>1616</v>
      </c>
      <c r="E20" s="39">
        <v>202</v>
      </c>
      <c r="F20" s="1">
        <v>2025</v>
      </c>
      <c r="G20" s="5"/>
      <c r="H20" s="5">
        <f>IF((D20-E20)&lt;0,0,(D20-E20))</f>
        <v>1414</v>
      </c>
      <c r="I20" s="5">
        <f>IF((E20-D20)&lt;0,0,(E20-D20))</f>
        <v>0</v>
      </c>
      <c r="J20" s="5">
        <f>Table1[[#This Row],[Enrolment S.Y. 2025-2026 ]]*8</f>
        <v>1616</v>
      </c>
      <c r="K20" s="39">
        <v>202</v>
      </c>
      <c r="L20" s="1">
        <v>2025</v>
      </c>
      <c r="M20" s="5"/>
      <c r="N20" s="5">
        <f t="shared" si="10"/>
        <v>1414</v>
      </c>
      <c r="O20" s="5">
        <f t="shared" si="11"/>
        <v>0</v>
      </c>
      <c r="P20" s="5">
        <f>Table1[[#This Row],[Enrolment S.Y. 2025-2026 ]]*8</f>
        <v>1616</v>
      </c>
      <c r="Q20" s="5"/>
      <c r="R20" s="1"/>
      <c r="S20" s="5"/>
      <c r="T20" s="5">
        <f t="shared" si="12"/>
        <v>1616</v>
      </c>
      <c r="U20" s="5">
        <f t="shared" si="13"/>
        <v>0</v>
      </c>
      <c r="V20" s="5">
        <f>Table1[[#This Row],[Enrolment S.Y. 2025-2026 ]]*8</f>
        <v>1616</v>
      </c>
      <c r="W20" s="5"/>
      <c r="X20" s="1"/>
      <c r="Y20" s="5"/>
      <c r="Z20" s="5">
        <f t="shared" si="14"/>
        <v>1616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37"/>
      <c r="D21" s="5">
        <f>Table1[[#This Row],[Enrolment S.Y. 2025-2026 ]]*8</f>
        <v>0</v>
      </c>
      <c r="E21" s="39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39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C22" s="38"/>
      <c r="E22" s="40"/>
      <c r="J22" s="10"/>
      <c r="K22" s="4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37"/>
      <c r="D23" s="5">
        <f>Table1[[#This Row],[Enrolment S.Y. 2025-2026 ]]*8</f>
        <v>0</v>
      </c>
      <c r="E23" s="39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39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37"/>
      <c r="D24" s="5">
        <f>Table1[[#This Row],[Enrolment S.Y. 2025-2026 ]]*8</f>
        <v>0</v>
      </c>
      <c r="E24" s="39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39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37">
        <v>223</v>
      </c>
      <c r="D25" s="5">
        <f>Table1[[#This Row],[Enrolment S.Y. 2025-2026 ]]*8</f>
        <v>1784</v>
      </c>
      <c r="E25" s="39">
        <v>226</v>
      </c>
      <c r="F25" s="1">
        <v>2025</v>
      </c>
      <c r="G25" s="5"/>
      <c r="H25" s="5">
        <f t="shared" si="2"/>
        <v>1558</v>
      </c>
      <c r="I25" s="5">
        <f t="shared" si="3"/>
        <v>0</v>
      </c>
      <c r="J25" s="5">
        <f>Table1[[#This Row],[Enrolment S.Y. 2025-2026 ]]*8</f>
        <v>1784</v>
      </c>
      <c r="K25" s="39">
        <v>226</v>
      </c>
      <c r="L25" s="1">
        <v>2025</v>
      </c>
      <c r="M25" s="5"/>
      <c r="N25" s="5">
        <f t="shared" si="10"/>
        <v>1558</v>
      </c>
      <c r="O25" s="5">
        <f t="shared" si="11"/>
        <v>0</v>
      </c>
      <c r="P25" s="5">
        <f>Table1[[#This Row],[Enrolment S.Y. 2025-2026 ]]*8</f>
        <v>1784</v>
      </c>
      <c r="Q25" s="5"/>
      <c r="R25" s="1"/>
      <c r="S25" s="5"/>
      <c r="T25" s="5">
        <f t="shared" si="12"/>
        <v>1784</v>
      </c>
      <c r="U25" s="5">
        <f t="shared" si="13"/>
        <v>0</v>
      </c>
      <c r="V25" s="5">
        <f>Table1[[#This Row],[Enrolment S.Y. 2025-2026 ]]*8</f>
        <v>1784</v>
      </c>
      <c r="W25" s="5"/>
      <c r="X25" s="1"/>
      <c r="Y25" s="5"/>
      <c r="Z25" s="5">
        <f t="shared" si="14"/>
        <v>1784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7">
        <v>223</v>
      </c>
      <c r="D26" s="5">
        <f>Table1[[#This Row],[Enrolment S.Y. 2025-2026 ]]*8</f>
        <v>1784</v>
      </c>
      <c r="E26" s="39">
        <v>226</v>
      </c>
      <c r="F26" s="1">
        <v>2025</v>
      </c>
      <c r="G26" s="5"/>
      <c r="H26" s="5">
        <f t="shared" si="2"/>
        <v>1558</v>
      </c>
      <c r="I26" s="5">
        <f t="shared" si="3"/>
        <v>0</v>
      </c>
      <c r="J26" s="5">
        <f>Table1[[#This Row],[Enrolment S.Y. 2025-2026 ]]*8</f>
        <v>1784</v>
      </c>
      <c r="K26" s="39">
        <v>226</v>
      </c>
      <c r="L26" s="1">
        <v>2025</v>
      </c>
      <c r="M26" s="5"/>
      <c r="N26" s="5">
        <f t="shared" si="10"/>
        <v>1558</v>
      </c>
      <c r="O26" s="5">
        <f t="shared" si="11"/>
        <v>0</v>
      </c>
      <c r="P26" s="5">
        <f>Table1[[#This Row],[Enrolment S.Y. 2025-2026 ]]*8</f>
        <v>1784</v>
      </c>
      <c r="Q26" s="5"/>
      <c r="R26" s="1"/>
      <c r="S26" s="5"/>
      <c r="T26" s="5">
        <f t="shared" si="12"/>
        <v>1784</v>
      </c>
      <c r="U26" s="5">
        <f t="shared" si="13"/>
        <v>0</v>
      </c>
      <c r="V26" s="5">
        <f>Table1[[#This Row],[Enrolment S.Y. 2025-2026 ]]*8</f>
        <v>1784</v>
      </c>
      <c r="W26" s="5"/>
      <c r="X26" s="1"/>
      <c r="Y26" s="5"/>
      <c r="Z26" s="5">
        <f t="shared" si="14"/>
        <v>1784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37">
        <v>223</v>
      </c>
      <c r="D27" s="5">
        <f>Table1[[#This Row],[Enrolment S.Y. 2025-2026 ]]*8</f>
        <v>1784</v>
      </c>
      <c r="E27" s="39">
        <v>226</v>
      </c>
      <c r="F27" s="1">
        <v>2025</v>
      </c>
      <c r="G27" s="5"/>
      <c r="H27" s="5">
        <f t="shared" si="2"/>
        <v>1558</v>
      </c>
      <c r="I27" s="5">
        <f t="shared" si="3"/>
        <v>0</v>
      </c>
      <c r="J27" s="5">
        <f>Table1[[#This Row],[Enrolment S.Y. 2025-2026 ]]*8</f>
        <v>1784</v>
      </c>
      <c r="K27" s="39">
        <v>226</v>
      </c>
      <c r="L27" s="1">
        <v>2025</v>
      </c>
      <c r="M27" s="5"/>
      <c r="N27" s="5">
        <f t="shared" si="10"/>
        <v>1558</v>
      </c>
      <c r="O27" s="5">
        <f t="shared" si="11"/>
        <v>0</v>
      </c>
      <c r="P27" s="5">
        <f>Table1[[#This Row],[Enrolment S.Y. 2025-2026 ]]*8</f>
        <v>1784</v>
      </c>
      <c r="Q27" s="5"/>
      <c r="R27" s="1"/>
      <c r="S27" s="5"/>
      <c r="T27" s="5">
        <f t="shared" si="12"/>
        <v>1784</v>
      </c>
      <c r="U27" s="5">
        <f t="shared" si="13"/>
        <v>0</v>
      </c>
      <c r="V27" s="5">
        <f>Table1[[#This Row],[Enrolment S.Y. 2025-2026 ]]*8</f>
        <v>1784</v>
      </c>
      <c r="W27" s="5"/>
      <c r="X27" s="1"/>
      <c r="Y27" s="5"/>
      <c r="Z27" s="5">
        <f t="shared" si="14"/>
        <v>1784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37">
        <v>223</v>
      </c>
      <c r="D28" s="5">
        <f>Table1[[#This Row],[Enrolment S.Y. 2025-2026 ]]*8</f>
        <v>1784</v>
      </c>
      <c r="E28" s="39">
        <v>226</v>
      </c>
      <c r="F28" s="1">
        <v>2025</v>
      </c>
      <c r="G28" s="5"/>
      <c r="H28" s="5">
        <f t="shared" si="2"/>
        <v>1558</v>
      </c>
      <c r="I28" s="5">
        <f t="shared" si="3"/>
        <v>0</v>
      </c>
      <c r="J28" s="5">
        <f>Table1[[#This Row],[Enrolment S.Y. 2025-2026 ]]*8</f>
        <v>1784</v>
      </c>
      <c r="K28" s="39">
        <v>226</v>
      </c>
      <c r="L28" s="1">
        <v>2025</v>
      </c>
      <c r="M28" s="5"/>
      <c r="N28" s="5">
        <f t="shared" si="10"/>
        <v>1558</v>
      </c>
      <c r="O28" s="5">
        <f t="shared" si="11"/>
        <v>0</v>
      </c>
      <c r="P28" s="5">
        <f>Table1[[#This Row],[Enrolment S.Y. 2025-2026 ]]*8</f>
        <v>1784</v>
      </c>
      <c r="Q28" s="5"/>
      <c r="R28" s="1"/>
      <c r="S28" s="5"/>
      <c r="T28" s="5">
        <f t="shared" si="12"/>
        <v>1784</v>
      </c>
      <c r="U28" s="5">
        <f t="shared" si="13"/>
        <v>0</v>
      </c>
      <c r="V28" s="5">
        <f>Table1[[#This Row],[Enrolment S.Y. 2025-2026 ]]*8</f>
        <v>1784</v>
      </c>
      <c r="W28" s="5"/>
      <c r="X28" s="1"/>
      <c r="Y28" s="5"/>
      <c r="Z28" s="5">
        <f t="shared" si="14"/>
        <v>1784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37">
        <v>223</v>
      </c>
      <c r="D29" s="5">
        <f>Table1[[#This Row],[Enrolment S.Y. 2025-2026 ]]*8</f>
        <v>1784</v>
      </c>
      <c r="E29" s="39">
        <v>226</v>
      </c>
      <c r="F29" s="1">
        <v>2025</v>
      </c>
      <c r="G29" s="5"/>
      <c r="H29" s="5">
        <f>IF((D29-E29)&lt;0,0,(D29-E29))</f>
        <v>1558</v>
      </c>
      <c r="I29" s="5">
        <f>IF((E29-D29)&lt;0,0,(E29-D29))</f>
        <v>0</v>
      </c>
      <c r="J29" s="5">
        <f>Table1[[#This Row],[Enrolment S.Y. 2025-2026 ]]*8</f>
        <v>1784</v>
      </c>
      <c r="K29" s="39">
        <v>226</v>
      </c>
      <c r="L29" s="1">
        <v>2025</v>
      </c>
      <c r="M29" s="5"/>
      <c r="N29" s="5">
        <f t="shared" si="10"/>
        <v>1558</v>
      </c>
      <c r="O29" s="5">
        <f t="shared" si="11"/>
        <v>0</v>
      </c>
      <c r="P29" s="5">
        <f>Table1[[#This Row],[Enrolment S.Y. 2025-2026 ]]*8</f>
        <v>1784</v>
      </c>
      <c r="Q29" s="5"/>
      <c r="R29" s="1"/>
      <c r="S29" s="5"/>
      <c r="T29" s="5">
        <f t="shared" si="12"/>
        <v>1784</v>
      </c>
      <c r="U29" s="5">
        <f t="shared" si="13"/>
        <v>0</v>
      </c>
      <c r="V29" s="5">
        <f>Table1[[#This Row],[Enrolment S.Y. 2025-2026 ]]*8</f>
        <v>1784</v>
      </c>
      <c r="W29" s="5"/>
      <c r="X29" s="1"/>
      <c r="Y29" s="5"/>
      <c r="Z29" s="5">
        <f t="shared" si="14"/>
        <v>1784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37">
        <v>223</v>
      </c>
      <c r="D30" s="5">
        <f>Table1[[#This Row],[Enrolment S.Y. 2025-2026 ]]*8</f>
        <v>1784</v>
      </c>
      <c r="E30" s="39">
        <v>226</v>
      </c>
      <c r="F30" s="1">
        <v>2025</v>
      </c>
      <c r="G30" s="5"/>
      <c r="H30" s="5">
        <f>IF((D30-E30)&lt;0,0,(D30-E30))</f>
        <v>1558</v>
      </c>
      <c r="I30" s="5">
        <f>IF((E30-D30)&lt;0,0,(E30-D30))</f>
        <v>0</v>
      </c>
      <c r="J30" s="5">
        <f>Table1[[#This Row],[Enrolment S.Y. 2025-2026 ]]*8</f>
        <v>1784</v>
      </c>
      <c r="K30" s="39">
        <v>226</v>
      </c>
      <c r="L30" s="1">
        <v>2025</v>
      </c>
      <c r="M30" s="5"/>
      <c r="N30" s="5">
        <f t="shared" si="10"/>
        <v>1558</v>
      </c>
      <c r="O30" s="5">
        <f t="shared" si="11"/>
        <v>0</v>
      </c>
      <c r="P30" s="5">
        <f>Table1[[#This Row],[Enrolment S.Y. 2025-2026 ]]*8</f>
        <v>1784</v>
      </c>
      <c r="Q30" s="5"/>
      <c r="R30" s="1"/>
      <c r="S30" s="5"/>
      <c r="T30" s="5">
        <f t="shared" si="12"/>
        <v>1784</v>
      </c>
      <c r="U30" s="5">
        <f t="shared" si="13"/>
        <v>0</v>
      </c>
      <c r="V30" s="5">
        <f>Table1[[#This Row],[Enrolment S.Y. 2025-2026 ]]*8</f>
        <v>1784</v>
      </c>
      <c r="W30" s="5"/>
      <c r="X30" s="1"/>
      <c r="Y30" s="5"/>
      <c r="Z30" s="5">
        <f t="shared" si="14"/>
        <v>1784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37">
        <v>223</v>
      </c>
      <c r="D31" s="5">
        <f>Table1[[#This Row],[Enrolment S.Y. 2025-2026 ]]*8</f>
        <v>1784</v>
      </c>
      <c r="E31" s="39">
        <v>226</v>
      </c>
      <c r="F31" s="1">
        <v>2025</v>
      </c>
      <c r="G31" s="5"/>
      <c r="H31" s="5">
        <f>IF((D31-E31)&lt;0,0,(D31-E31))</f>
        <v>1558</v>
      </c>
      <c r="I31" s="5">
        <f>IF((E31-D31)&lt;0,0,(E31-D31))</f>
        <v>0</v>
      </c>
      <c r="J31" s="5">
        <f>Table1[[#This Row],[Enrolment S.Y. 2025-2026 ]]*8</f>
        <v>1784</v>
      </c>
      <c r="K31" s="39">
        <v>226</v>
      </c>
      <c r="L31" s="1">
        <v>2025</v>
      </c>
      <c r="M31" s="5"/>
      <c r="N31" s="5">
        <f t="shared" si="10"/>
        <v>1558</v>
      </c>
      <c r="O31" s="5">
        <f t="shared" si="11"/>
        <v>0</v>
      </c>
      <c r="P31" s="5">
        <f>Table1[[#This Row],[Enrolment S.Y. 2025-2026 ]]*8</f>
        <v>1784</v>
      </c>
      <c r="Q31" s="5"/>
      <c r="R31" s="1"/>
      <c r="S31" s="5"/>
      <c r="T31" s="5">
        <f t="shared" si="12"/>
        <v>1784</v>
      </c>
      <c r="U31" s="5">
        <f t="shared" si="13"/>
        <v>0</v>
      </c>
      <c r="V31" s="5">
        <f>Table1[[#This Row],[Enrolment S.Y. 2025-2026 ]]*8</f>
        <v>1784</v>
      </c>
      <c r="W31" s="5"/>
      <c r="X31" s="1"/>
      <c r="Y31" s="5"/>
      <c r="Z31" s="5">
        <f t="shared" si="14"/>
        <v>1784</v>
      </c>
      <c r="AA31" s="5">
        <f t="shared" si="15"/>
        <v>0</v>
      </c>
    </row>
    <row r="32" spans="1:27" s="7" customFormat="1" ht="19.5">
      <c r="C32" s="38"/>
      <c r="E32" s="40"/>
      <c r="J32" s="10"/>
      <c r="K32" s="4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37">
        <v>215</v>
      </c>
      <c r="D33" s="5">
        <f>Table1[[#This Row],[Enrolment S.Y. 2025-2026 ]]*8</f>
        <v>1720</v>
      </c>
      <c r="E33" s="39">
        <v>216</v>
      </c>
      <c r="F33" s="1">
        <v>2025</v>
      </c>
      <c r="G33" s="5"/>
      <c r="H33" s="5">
        <f t="shared" si="2"/>
        <v>1504</v>
      </c>
      <c r="I33" s="5">
        <f t="shared" si="3"/>
        <v>0</v>
      </c>
      <c r="J33" s="5">
        <f>Table1[[#This Row],[Enrolment S.Y. 2025-2026 ]]*8</f>
        <v>1720</v>
      </c>
      <c r="K33" s="39">
        <v>216</v>
      </c>
      <c r="L33" s="1">
        <v>2025</v>
      </c>
      <c r="M33" s="5"/>
      <c r="N33" s="5">
        <f t="shared" si="10"/>
        <v>1504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37">
        <v>215</v>
      </c>
      <c r="D34" s="5">
        <f>Table1[[#This Row],[Enrolment S.Y. 2025-2026 ]]*8</f>
        <v>1720</v>
      </c>
      <c r="E34" s="39">
        <v>216</v>
      </c>
      <c r="F34" s="1">
        <v>2025</v>
      </c>
      <c r="G34" s="5"/>
      <c r="H34" s="5">
        <f t="shared" si="2"/>
        <v>1504</v>
      </c>
      <c r="I34" s="5">
        <f t="shared" si="3"/>
        <v>0</v>
      </c>
      <c r="J34" s="5">
        <f>Table1[[#This Row],[Enrolment S.Y. 2025-2026 ]]*8</f>
        <v>1720</v>
      </c>
      <c r="K34" s="39">
        <v>216</v>
      </c>
      <c r="L34" s="1">
        <v>2025</v>
      </c>
      <c r="M34" s="5"/>
      <c r="N34" s="5">
        <f t="shared" si="10"/>
        <v>1504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37">
        <v>215</v>
      </c>
      <c r="D35" s="5">
        <f>Table1[[#This Row],[Enrolment S.Y. 2025-2026 ]]*8</f>
        <v>1720</v>
      </c>
      <c r="E35" s="39">
        <v>216</v>
      </c>
      <c r="F35" s="1">
        <v>2025</v>
      </c>
      <c r="G35" s="5"/>
      <c r="H35" s="5">
        <f t="shared" si="2"/>
        <v>1504</v>
      </c>
      <c r="I35" s="5">
        <f t="shared" si="3"/>
        <v>0</v>
      </c>
      <c r="J35" s="5">
        <f>Table1[[#This Row],[Enrolment S.Y. 2025-2026 ]]*8</f>
        <v>1720</v>
      </c>
      <c r="K35" s="39">
        <v>216</v>
      </c>
      <c r="L35" s="1">
        <v>2025</v>
      </c>
      <c r="M35" s="5"/>
      <c r="N35" s="5">
        <f t="shared" si="10"/>
        <v>1504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37">
        <v>215</v>
      </c>
      <c r="D36" s="5">
        <f>Table1[[#This Row],[Enrolment S.Y. 2025-2026 ]]*8</f>
        <v>1720</v>
      </c>
      <c r="E36" s="39">
        <v>216</v>
      </c>
      <c r="F36" s="1">
        <v>2025</v>
      </c>
      <c r="G36" s="5"/>
      <c r="H36" s="5">
        <f t="shared" si="2"/>
        <v>1504</v>
      </c>
      <c r="I36" s="5">
        <f t="shared" si="3"/>
        <v>0</v>
      </c>
      <c r="J36" s="5">
        <f>Table1[[#This Row],[Enrolment S.Y. 2025-2026 ]]*8</f>
        <v>1720</v>
      </c>
      <c r="K36" s="39">
        <v>216</v>
      </c>
      <c r="L36" s="1">
        <v>2025</v>
      </c>
      <c r="M36" s="5"/>
      <c r="N36" s="5">
        <f t="shared" si="10"/>
        <v>1504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37">
        <v>215</v>
      </c>
      <c r="D37" s="5">
        <f>Table1[[#This Row],[Enrolment S.Y. 2025-2026 ]]*8</f>
        <v>1720</v>
      </c>
      <c r="E37" s="39">
        <v>216</v>
      </c>
      <c r="F37" s="1">
        <v>2025</v>
      </c>
      <c r="G37" s="5"/>
      <c r="H37" s="5">
        <f t="shared" si="2"/>
        <v>1504</v>
      </c>
      <c r="I37" s="5">
        <f t="shared" si="3"/>
        <v>0</v>
      </c>
      <c r="J37" s="5">
        <f>Table1[[#This Row],[Enrolment S.Y. 2025-2026 ]]*8</f>
        <v>1720</v>
      </c>
      <c r="K37" s="39">
        <v>216</v>
      </c>
      <c r="L37" s="1">
        <v>2025</v>
      </c>
      <c r="M37" s="5"/>
      <c r="N37" s="5">
        <f t="shared" si="10"/>
        <v>1504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37">
        <v>215</v>
      </c>
      <c r="D38" s="5">
        <f>Table1[[#This Row],[Enrolment S.Y. 2025-2026 ]]*8</f>
        <v>1720</v>
      </c>
      <c r="E38" s="39">
        <v>216</v>
      </c>
      <c r="F38" s="1">
        <v>2025</v>
      </c>
      <c r="G38" s="5"/>
      <c r="H38" s="5">
        <f t="shared" si="2"/>
        <v>1504</v>
      </c>
      <c r="I38" s="5">
        <f t="shared" si="3"/>
        <v>0</v>
      </c>
      <c r="J38" s="5">
        <f>Table1[[#This Row],[Enrolment S.Y. 2025-2026 ]]*8</f>
        <v>1720</v>
      </c>
      <c r="K38" s="39">
        <v>216</v>
      </c>
      <c r="L38" s="1">
        <v>2025</v>
      </c>
      <c r="M38" s="5"/>
      <c r="N38" s="5">
        <f t="shared" si="10"/>
        <v>1504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37">
        <v>215</v>
      </c>
      <c r="D39" s="5">
        <f>Table1[[#This Row],[Enrolment S.Y. 2025-2026 ]]*8</f>
        <v>1720</v>
      </c>
      <c r="E39" s="39">
        <v>216</v>
      </c>
      <c r="F39" s="1">
        <v>2025</v>
      </c>
      <c r="G39" s="5"/>
      <c r="H39" s="5">
        <f t="shared" si="2"/>
        <v>1504</v>
      </c>
      <c r="I39" s="5">
        <f t="shared" si="3"/>
        <v>0</v>
      </c>
      <c r="J39" s="5">
        <f>Table1[[#This Row],[Enrolment S.Y. 2025-2026 ]]*8</f>
        <v>1720</v>
      </c>
      <c r="K39" s="39">
        <v>216</v>
      </c>
      <c r="L39" s="1">
        <v>2025</v>
      </c>
      <c r="M39" s="5"/>
      <c r="N39" s="5">
        <f t="shared" si="10"/>
        <v>1504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37">
        <v>215</v>
      </c>
      <c r="D40" s="5">
        <f>Table1[[#This Row],[Enrolment S.Y. 2025-2026 ]]*8</f>
        <v>1720</v>
      </c>
      <c r="E40" s="39">
        <v>216</v>
      </c>
      <c r="F40" s="1">
        <v>2025</v>
      </c>
      <c r="G40" s="5"/>
      <c r="H40" s="5">
        <f t="shared" si="2"/>
        <v>1504</v>
      </c>
      <c r="I40" s="5">
        <f t="shared" si="3"/>
        <v>0</v>
      </c>
      <c r="J40" s="5">
        <f>Table1[[#This Row],[Enrolment S.Y. 2025-2026 ]]*8</f>
        <v>1720</v>
      </c>
      <c r="K40" s="39">
        <v>216</v>
      </c>
      <c r="L40" s="1">
        <v>2025</v>
      </c>
      <c r="M40" s="5"/>
      <c r="N40" s="5">
        <f t="shared" si="10"/>
        <v>1504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37">
        <v>215</v>
      </c>
      <c r="D41" s="5">
        <f>Table1[[#This Row],[Enrolment S.Y. 2025-2026 ]]*8</f>
        <v>1720</v>
      </c>
      <c r="E41" s="39">
        <v>216</v>
      </c>
      <c r="F41" s="1">
        <v>2025</v>
      </c>
      <c r="G41" s="5"/>
      <c r="H41" s="5">
        <f t="shared" si="2"/>
        <v>1504</v>
      </c>
      <c r="I41" s="5">
        <f t="shared" si="3"/>
        <v>0</v>
      </c>
      <c r="J41" s="5">
        <f>Table1[[#This Row],[Enrolment S.Y. 2025-2026 ]]*8</f>
        <v>1720</v>
      </c>
      <c r="K41" s="39">
        <v>216</v>
      </c>
      <c r="L41" s="1">
        <v>2025</v>
      </c>
      <c r="M41" s="5"/>
      <c r="N41" s="5">
        <f t="shared" si="10"/>
        <v>1504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5">
      <c r="C42" s="38"/>
      <c r="E42" s="40"/>
      <c r="J42" s="10"/>
      <c r="K42" s="4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37">
        <v>193</v>
      </c>
      <c r="D43" s="5">
        <f>Table1[[#This Row],[Enrolment S.Y. 2025-2026 ]]*8</f>
        <v>1544</v>
      </c>
      <c r="E43" s="39">
        <v>193</v>
      </c>
      <c r="F43" s="1">
        <v>2025</v>
      </c>
      <c r="G43" s="5"/>
      <c r="H43" s="5">
        <f t="shared" si="2"/>
        <v>1351</v>
      </c>
      <c r="I43" s="5">
        <f t="shared" si="3"/>
        <v>0</v>
      </c>
      <c r="J43" s="5">
        <f>Table1[[#This Row],[Enrolment S.Y. 2025-2026 ]]*8</f>
        <v>1544</v>
      </c>
      <c r="K43" s="39">
        <v>193</v>
      </c>
      <c r="L43" s="1">
        <v>2025</v>
      </c>
      <c r="M43" s="5"/>
      <c r="N43" s="5">
        <f t="shared" si="10"/>
        <v>1351</v>
      </c>
      <c r="O43" s="5">
        <f t="shared" si="11"/>
        <v>0</v>
      </c>
      <c r="P43" s="5">
        <f>Table1[[#This Row],[Enrolment S.Y. 2025-2026 ]]*8</f>
        <v>1544</v>
      </c>
      <c r="Q43" s="5"/>
      <c r="R43" s="1"/>
      <c r="S43" s="5"/>
      <c r="T43" s="5">
        <f t="shared" si="12"/>
        <v>1544</v>
      </c>
      <c r="U43" s="5">
        <f t="shared" si="13"/>
        <v>0</v>
      </c>
      <c r="V43" s="5">
        <f>Table1[[#This Row],[Enrolment S.Y. 2025-2026 ]]*8</f>
        <v>1544</v>
      </c>
      <c r="W43" s="5"/>
      <c r="X43" s="1"/>
      <c r="Y43" s="5"/>
      <c r="Z43" s="5">
        <f t="shared" si="14"/>
        <v>1544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37">
        <v>193</v>
      </c>
      <c r="D44" s="5">
        <f>Table1[[#This Row],[Enrolment S.Y. 2025-2026 ]]*8</f>
        <v>1544</v>
      </c>
      <c r="E44" s="39">
        <v>193</v>
      </c>
      <c r="F44" s="1">
        <v>2025</v>
      </c>
      <c r="G44" s="5"/>
      <c r="H44" s="5">
        <f t="shared" si="2"/>
        <v>1351</v>
      </c>
      <c r="I44" s="5">
        <f t="shared" si="3"/>
        <v>0</v>
      </c>
      <c r="J44" s="5">
        <f>Table1[[#This Row],[Enrolment S.Y. 2025-2026 ]]*8</f>
        <v>1544</v>
      </c>
      <c r="K44" s="39">
        <v>193</v>
      </c>
      <c r="L44" s="1">
        <v>2025</v>
      </c>
      <c r="M44" s="5"/>
      <c r="N44" s="5">
        <f t="shared" si="10"/>
        <v>1351</v>
      </c>
      <c r="O44" s="5">
        <f t="shared" si="11"/>
        <v>0</v>
      </c>
      <c r="P44" s="5">
        <f>Table1[[#This Row],[Enrolment S.Y. 2025-2026 ]]*8</f>
        <v>1544</v>
      </c>
      <c r="Q44" s="5"/>
      <c r="R44" s="1"/>
      <c r="S44" s="5"/>
      <c r="T44" s="5">
        <f t="shared" si="12"/>
        <v>1544</v>
      </c>
      <c r="U44" s="5">
        <f t="shared" si="13"/>
        <v>0</v>
      </c>
      <c r="V44" s="5">
        <f>Table1[[#This Row],[Enrolment S.Y. 2025-2026 ]]*8</f>
        <v>1544</v>
      </c>
      <c r="W44" s="5"/>
      <c r="X44" s="1"/>
      <c r="Y44" s="5"/>
      <c r="Z44" s="5">
        <f t="shared" si="14"/>
        <v>1544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37">
        <v>193</v>
      </c>
      <c r="D45" s="5">
        <f>Table1[[#This Row],[Enrolment S.Y. 2025-2026 ]]*8</f>
        <v>1544</v>
      </c>
      <c r="E45" s="39">
        <v>193</v>
      </c>
      <c r="F45" s="1">
        <v>2025</v>
      </c>
      <c r="G45" s="5"/>
      <c r="H45" s="5">
        <f t="shared" si="2"/>
        <v>1351</v>
      </c>
      <c r="I45" s="5">
        <f t="shared" si="3"/>
        <v>0</v>
      </c>
      <c r="J45" s="5">
        <f>Table1[[#This Row],[Enrolment S.Y. 2025-2026 ]]*8</f>
        <v>1544</v>
      </c>
      <c r="K45" s="39">
        <v>193</v>
      </c>
      <c r="L45" s="1">
        <v>2025</v>
      </c>
      <c r="M45" s="5"/>
      <c r="N45" s="5">
        <f t="shared" si="10"/>
        <v>1351</v>
      </c>
      <c r="O45" s="5">
        <f t="shared" si="11"/>
        <v>0</v>
      </c>
      <c r="P45" s="5">
        <f>Table1[[#This Row],[Enrolment S.Y. 2025-2026 ]]*8</f>
        <v>1544</v>
      </c>
      <c r="Q45" s="5"/>
      <c r="R45" s="1"/>
      <c r="S45" s="5"/>
      <c r="T45" s="5">
        <f t="shared" si="12"/>
        <v>1544</v>
      </c>
      <c r="U45" s="5">
        <f t="shared" si="13"/>
        <v>0</v>
      </c>
      <c r="V45" s="5">
        <f>Table1[[#This Row],[Enrolment S.Y. 2025-2026 ]]*8</f>
        <v>1544</v>
      </c>
      <c r="W45" s="5"/>
      <c r="X45" s="1"/>
      <c r="Y45" s="5"/>
      <c r="Z45" s="5">
        <f t="shared" si="14"/>
        <v>1544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37">
        <v>193</v>
      </c>
      <c r="D46" s="5">
        <f>Table1[[#This Row],[Enrolment S.Y. 2025-2026 ]]*8</f>
        <v>1544</v>
      </c>
      <c r="E46" s="39">
        <v>193</v>
      </c>
      <c r="F46" s="1">
        <v>2025</v>
      </c>
      <c r="G46" s="5"/>
      <c r="H46" s="5">
        <f t="shared" si="2"/>
        <v>1351</v>
      </c>
      <c r="I46" s="5">
        <f t="shared" si="3"/>
        <v>0</v>
      </c>
      <c r="J46" s="5">
        <f>Table1[[#This Row],[Enrolment S.Y. 2025-2026 ]]*8</f>
        <v>1544</v>
      </c>
      <c r="K46" s="39">
        <v>193</v>
      </c>
      <c r="L46" s="1">
        <v>2025</v>
      </c>
      <c r="M46" s="5"/>
      <c r="N46" s="5">
        <f t="shared" si="10"/>
        <v>1351</v>
      </c>
      <c r="O46" s="5">
        <f t="shared" si="11"/>
        <v>0</v>
      </c>
      <c r="P46" s="5">
        <f>Table1[[#This Row],[Enrolment S.Y. 2025-2026 ]]*8</f>
        <v>1544</v>
      </c>
      <c r="Q46" s="5"/>
      <c r="R46" s="1"/>
      <c r="S46" s="5"/>
      <c r="T46" s="5">
        <f t="shared" si="12"/>
        <v>1544</v>
      </c>
      <c r="U46" s="5">
        <f t="shared" si="13"/>
        <v>0</v>
      </c>
      <c r="V46" s="5">
        <f>Table1[[#This Row],[Enrolment S.Y. 2025-2026 ]]*8</f>
        <v>1544</v>
      </c>
      <c r="W46" s="5"/>
      <c r="X46" s="1"/>
      <c r="Y46" s="5"/>
      <c r="Z46" s="5">
        <f t="shared" si="14"/>
        <v>1544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37">
        <v>193</v>
      </c>
      <c r="D47" s="5">
        <f>Table1[[#This Row],[Enrolment S.Y. 2025-2026 ]]*8</f>
        <v>1544</v>
      </c>
      <c r="E47" s="39">
        <v>193</v>
      </c>
      <c r="F47" s="1">
        <v>2025</v>
      </c>
      <c r="G47" s="5"/>
      <c r="H47" s="5">
        <f t="shared" si="2"/>
        <v>1351</v>
      </c>
      <c r="I47" s="5">
        <f t="shared" si="3"/>
        <v>0</v>
      </c>
      <c r="J47" s="5">
        <f>Table1[[#This Row],[Enrolment S.Y. 2025-2026 ]]*8</f>
        <v>1544</v>
      </c>
      <c r="K47" s="39">
        <v>193</v>
      </c>
      <c r="L47" s="1">
        <v>2025</v>
      </c>
      <c r="M47" s="5"/>
      <c r="N47" s="5">
        <f t="shared" si="10"/>
        <v>1351</v>
      </c>
      <c r="O47" s="5">
        <f t="shared" si="11"/>
        <v>0</v>
      </c>
      <c r="P47" s="5">
        <f>Table1[[#This Row],[Enrolment S.Y. 2025-2026 ]]*8</f>
        <v>1544</v>
      </c>
      <c r="Q47" s="5"/>
      <c r="R47" s="1"/>
      <c r="S47" s="5"/>
      <c r="T47" s="5">
        <f t="shared" si="12"/>
        <v>1544</v>
      </c>
      <c r="U47" s="5">
        <f t="shared" si="13"/>
        <v>0</v>
      </c>
      <c r="V47" s="5">
        <f>Table1[[#This Row],[Enrolment S.Y. 2025-2026 ]]*8</f>
        <v>1544</v>
      </c>
      <c r="W47" s="5"/>
      <c r="X47" s="1"/>
      <c r="Y47" s="5"/>
      <c r="Z47" s="5">
        <f t="shared" si="14"/>
        <v>1544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37">
        <v>193</v>
      </c>
      <c r="D48" s="5">
        <f>Table1[[#This Row],[Enrolment S.Y. 2025-2026 ]]*8</f>
        <v>1544</v>
      </c>
      <c r="E48" s="39">
        <v>193</v>
      </c>
      <c r="F48" s="1">
        <v>2025</v>
      </c>
      <c r="G48" s="5"/>
      <c r="H48" s="5">
        <f t="shared" si="2"/>
        <v>1351</v>
      </c>
      <c r="I48" s="5">
        <f t="shared" si="3"/>
        <v>0</v>
      </c>
      <c r="J48" s="5">
        <f>Table1[[#This Row],[Enrolment S.Y. 2025-2026 ]]*8</f>
        <v>1544</v>
      </c>
      <c r="K48" s="39">
        <v>193</v>
      </c>
      <c r="L48" s="1">
        <v>2025</v>
      </c>
      <c r="M48" s="5"/>
      <c r="N48" s="5">
        <f t="shared" si="10"/>
        <v>1351</v>
      </c>
      <c r="O48" s="5">
        <f t="shared" si="11"/>
        <v>0</v>
      </c>
      <c r="P48" s="5">
        <f>Table1[[#This Row],[Enrolment S.Y. 2025-2026 ]]*8</f>
        <v>1544</v>
      </c>
      <c r="Q48" s="5"/>
      <c r="R48" s="1"/>
      <c r="S48" s="5"/>
      <c r="T48" s="5">
        <f t="shared" si="12"/>
        <v>1544</v>
      </c>
      <c r="U48" s="5">
        <f t="shared" si="13"/>
        <v>0</v>
      </c>
      <c r="V48" s="5">
        <f>Table1[[#This Row],[Enrolment S.Y. 2025-2026 ]]*8</f>
        <v>1544</v>
      </c>
      <c r="W48" s="5"/>
      <c r="X48" s="1"/>
      <c r="Y48" s="5"/>
      <c r="Z48" s="5">
        <f t="shared" si="14"/>
        <v>1544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37">
        <v>193</v>
      </c>
      <c r="D49" s="5">
        <f>Table1[[#This Row],[Enrolment S.Y. 2025-2026 ]]*8</f>
        <v>1544</v>
      </c>
      <c r="E49" s="39">
        <v>193</v>
      </c>
      <c r="F49" s="1">
        <v>2025</v>
      </c>
      <c r="G49" s="5"/>
      <c r="H49" s="5">
        <f t="shared" si="2"/>
        <v>1351</v>
      </c>
      <c r="I49" s="5">
        <f t="shared" si="3"/>
        <v>0</v>
      </c>
      <c r="J49" s="5">
        <f>Table1[[#This Row],[Enrolment S.Y. 2025-2026 ]]*8</f>
        <v>1544</v>
      </c>
      <c r="K49" s="39">
        <v>193</v>
      </c>
      <c r="L49" s="1">
        <v>2025</v>
      </c>
      <c r="M49" s="5"/>
      <c r="N49" s="5">
        <f t="shared" si="10"/>
        <v>1351</v>
      </c>
      <c r="O49" s="5">
        <f t="shared" si="11"/>
        <v>0</v>
      </c>
      <c r="P49" s="5">
        <f>Table1[[#This Row],[Enrolment S.Y. 2025-2026 ]]*8</f>
        <v>1544</v>
      </c>
      <c r="Q49" s="5"/>
      <c r="R49" s="1"/>
      <c r="S49" s="5"/>
      <c r="T49" s="5">
        <f t="shared" si="12"/>
        <v>1544</v>
      </c>
      <c r="U49" s="5">
        <f t="shared" si="13"/>
        <v>0</v>
      </c>
      <c r="V49" s="5">
        <f>Table1[[#This Row],[Enrolment S.Y. 2025-2026 ]]*8</f>
        <v>1544</v>
      </c>
      <c r="W49" s="5"/>
      <c r="X49" s="1"/>
      <c r="Y49" s="5"/>
      <c r="Z49" s="5">
        <f t="shared" si="14"/>
        <v>1544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37">
        <v>193</v>
      </c>
      <c r="D50" s="5">
        <f>Table1[[#This Row],[Enrolment S.Y. 2025-2026 ]]*8</f>
        <v>1544</v>
      </c>
      <c r="E50" s="39">
        <v>193</v>
      </c>
      <c r="F50" s="1">
        <v>2025</v>
      </c>
      <c r="G50" s="5"/>
      <c r="H50" s="5">
        <f t="shared" si="2"/>
        <v>1351</v>
      </c>
      <c r="I50" s="5">
        <f t="shared" si="3"/>
        <v>0</v>
      </c>
      <c r="J50" s="5">
        <f>Table1[[#This Row],[Enrolment S.Y. 2025-2026 ]]*8</f>
        <v>1544</v>
      </c>
      <c r="K50" s="39">
        <v>193</v>
      </c>
      <c r="L50" s="1">
        <v>2025</v>
      </c>
      <c r="M50" s="5"/>
      <c r="N50" s="5">
        <f t="shared" si="10"/>
        <v>1351</v>
      </c>
      <c r="O50" s="5">
        <f t="shared" si="11"/>
        <v>0</v>
      </c>
      <c r="P50" s="5">
        <f>Table1[[#This Row],[Enrolment S.Y. 2025-2026 ]]*8</f>
        <v>1544</v>
      </c>
      <c r="Q50" s="5"/>
      <c r="R50" s="1"/>
      <c r="S50" s="5"/>
      <c r="T50" s="5">
        <f t="shared" si="12"/>
        <v>1544</v>
      </c>
      <c r="U50" s="5">
        <f t="shared" si="13"/>
        <v>0</v>
      </c>
      <c r="V50" s="5">
        <f>Table1[[#This Row],[Enrolment S.Y. 2025-2026 ]]*8</f>
        <v>1544</v>
      </c>
      <c r="W50" s="5"/>
      <c r="X50" s="1"/>
      <c r="Y50" s="5"/>
      <c r="Z50" s="5">
        <f t="shared" si="14"/>
        <v>1544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37">
        <v>193</v>
      </c>
      <c r="D51" s="5">
        <f>Table1[[#This Row],[Enrolment S.Y. 2025-2026 ]]*8</f>
        <v>1544</v>
      </c>
      <c r="E51" s="39">
        <v>193</v>
      </c>
      <c r="F51" s="1">
        <v>2025</v>
      </c>
      <c r="G51" s="5"/>
      <c r="H51" s="5">
        <f t="shared" si="2"/>
        <v>1351</v>
      </c>
      <c r="I51" s="5">
        <f t="shared" si="3"/>
        <v>0</v>
      </c>
      <c r="J51" s="5">
        <f>Table1[[#This Row],[Enrolment S.Y. 2025-2026 ]]*8</f>
        <v>1544</v>
      </c>
      <c r="K51" s="39">
        <v>193</v>
      </c>
      <c r="L51" s="1">
        <v>2025</v>
      </c>
      <c r="M51" s="5"/>
      <c r="N51" s="5">
        <f t="shared" si="10"/>
        <v>1351</v>
      </c>
      <c r="O51" s="5">
        <f t="shared" si="11"/>
        <v>0</v>
      </c>
      <c r="P51" s="5">
        <f>Table1[[#This Row],[Enrolment S.Y. 2025-2026 ]]*8</f>
        <v>1544</v>
      </c>
      <c r="Q51" s="5"/>
      <c r="R51" s="1"/>
      <c r="S51" s="5"/>
      <c r="T51" s="5">
        <f t="shared" si="12"/>
        <v>1544</v>
      </c>
      <c r="U51" s="5">
        <f t="shared" si="13"/>
        <v>0</v>
      </c>
      <c r="V51" s="5">
        <f>Table1[[#This Row],[Enrolment S.Y. 2025-2026 ]]*8</f>
        <v>1544</v>
      </c>
      <c r="W51" s="5"/>
      <c r="X51" s="1"/>
      <c r="Y51" s="5"/>
      <c r="Z51" s="5">
        <f t="shared" si="14"/>
        <v>1544</v>
      </c>
      <c r="AA51" s="5">
        <f t="shared" si="15"/>
        <v>0</v>
      </c>
    </row>
    <row r="52" spans="1:27" s="7" customFormat="1" ht="19.5">
      <c r="C52" s="38"/>
      <c r="E52" s="40"/>
      <c r="J52" s="10"/>
      <c r="K52" s="4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37">
        <v>218</v>
      </c>
      <c r="D53" s="5">
        <f>Table1[[#This Row],[Enrolment S.Y. 2025-2026 ]]*8</f>
        <v>1744</v>
      </c>
      <c r="E53" s="39">
        <v>224</v>
      </c>
      <c r="F53" s="1">
        <v>2025</v>
      </c>
      <c r="G53" s="5"/>
      <c r="H53" s="5">
        <f t="shared" si="2"/>
        <v>1520</v>
      </c>
      <c r="I53" s="5">
        <f t="shared" si="3"/>
        <v>0</v>
      </c>
      <c r="J53" s="5">
        <f>Table1[[#This Row],[Enrolment S.Y. 2025-2026 ]]*8</f>
        <v>1744</v>
      </c>
      <c r="K53" s="39">
        <v>224</v>
      </c>
      <c r="L53" s="1">
        <v>2025</v>
      </c>
      <c r="M53" s="5"/>
      <c r="N53" s="5">
        <f t="shared" si="10"/>
        <v>1520</v>
      </c>
      <c r="O53" s="5">
        <f t="shared" si="11"/>
        <v>0</v>
      </c>
      <c r="P53" s="5">
        <f>Table1[[#This Row],[Enrolment S.Y. 2025-2026 ]]*8</f>
        <v>1744</v>
      </c>
      <c r="Q53" s="5"/>
      <c r="R53" s="1"/>
      <c r="S53" s="5"/>
      <c r="T53" s="5">
        <f t="shared" si="12"/>
        <v>1744</v>
      </c>
      <c r="U53" s="5">
        <f t="shared" si="13"/>
        <v>0</v>
      </c>
      <c r="V53" s="5">
        <f>Table1[[#This Row],[Enrolment S.Y. 2025-2026 ]]*8</f>
        <v>1744</v>
      </c>
      <c r="W53" s="5"/>
      <c r="X53" s="1"/>
      <c r="Y53" s="5"/>
      <c r="Z53" s="5">
        <f t="shared" si="14"/>
        <v>1744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37">
        <v>218</v>
      </c>
      <c r="D54" s="5">
        <f>Table1[[#This Row],[Enrolment S.Y. 2025-2026 ]]*8</f>
        <v>1744</v>
      </c>
      <c r="E54" s="39">
        <v>224</v>
      </c>
      <c r="F54" s="1">
        <v>2025</v>
      </c>
      <c r="G54" s="5"/>
      <c r="H54" s="5">
        <f t="shared" si="2"/>
        <v>1520</v>
      </c>
      <c r="I54" s="5">
        <f t="shared" si="3"/>
        <v>0</v>
      </c>
      <c r="J54" s="5">
        <f>Table1[[#This Row],[Enrolment S.Y. 2025-2026 ]]*8</f>
        <v>1744</v>
      </c>
      <c r="K54" s="39">
        <v>224</v>
      </c>
      <c r="L54" s="1">
        <v>2025</v>
      </c>
      <c r="M54" s="5"/>
      <c r="N54" s="5">
        <f t="shared" si="10"/>
        <v>1520</v>
      </c>
      <c r="O54" s="5">
        <f t="shared" si="11"/>
        <v>0</v>
      </c>
      <c r="P54" s="5">
        <f>Table1[[#This Row],[Enrolment S.Y. 2025-2026 ]]*8</f>
        <v>1744</v>
      </c>
      <c r="Q54" s="5"/>
      <c r="R54" s="1"/>
      <c r="S54" s="5"/>
      <c r="T54" s="5">
        <f t="shared" si="12"/>
        <v>1744</v>
      </c>
      <c r="U54" s="5">
        <f t="shared" si="13"/>
        <v>0</v>
      </c>
      <c r="V54" s="5">
        <f>Table1[[#This Row],[Enrolment S.Y. 2025-2026 ]]*8</f>
        <v>1744</v>
      </c>
      <c r="W54" s="5"/>
      <c r="X54" s="1"/>
      <c r="Y54" s="5"/>
      <c r="Z54" s="5">
        <f t="shared" si="14"/>
        <v>1744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37">
        <v>218</v>
      </c>
      <c r="D55" s="5">
        <f>Table1[[#This Row],[Enrolment S.Y. 2025-2026 ]]*8</f>
        <v>1744</v>
      </c>
      <c r="E55" s="39">
        <v>224</v>
      </c>
      <c r="F55" s="1">
        <v>2025</v>
      </c>
      <c r="G55" s="5"/>
      <c r="H55" s="5">
        <f t="shared" si="2"/>
        <v>1520</v>
      </c>
      <c r="I55" s="5">
        <f t="shared" si="3"/>
        <v>0</v>
      </c>
      <c r="J55" s="5">
        <f>Table1[[#This Row],[Enrolment S.Y. 2025-2026 ]]*8</f>
        <v>1744</v>
      </c>
      <c r="K55" s="39">
        <v>224</v>
      </c>
      <c r="L55" s="1">
        <v>2025</v>
      </c>
      <c r="M55" s="5"/>
      <c r="N55" s="5">
        <f t="shared" si="10"/>
        <v>1520</v>
      </c>
      <c r="O55" s="5">
        <f t="shared" si="11"/>
        <v>0</v>
      </c>
      <c r="P55" s="5">
        <f>Table1[[#This Row],[Enrolment S.Y. 2025-2026 ]]*8</f>
        <v>1744</v>
      </c>
      <c r="Q55" s="5"/>
      <c r="R55" s="1"/>
      <c r="S55" s="5"/>
      <c r="T55" s="5">
        <f t="shared" si="12"/>
        <v>1744</v>
      </c>
      <c r="U55" s="5">
        <f t="shared" si="13"/>
        <v>0</v>
      </c>
      <c r="V55" s="5">
        <f>Table1[[#This Row],[Enrolment S.Y. 2025-2026 ]]*8</f>
        <v>1744</v>
      </c>
      <c r="W55" s="5"/>
      <c r="X55" s="1"/>
      <c r="Y55" s="5"/>
      <c r="Z55" s="5">
        <f t="shared" si="14"/>
        <v>1744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37">
        <v>218</v>
      </c>
      <c r="D56" s="5">
        <f>Table1[[#This Row],[Enrolment S.Y. 2025-2026 ]]*8</f>
        <v>1744</v>
      </c>
      <c r="E56" s="39">
        <v>224</v>
      </c>
      <c r="F56" s="1">
        <v>2025</v>
      </c>
      <c r="G56" s="5"/>
      <c r="H56" s="5">
        <f t="shared" si="2"/>
        <v>1520</v>
      </c>
      <c r="I56" s="5">
        <f t="shared" si="3"/>
        <v>0</v>
      </c>
      <c r="J56" s="5">
        <f>Table1[[#This Row],[Enrolment S.Y. 2025-2026 ]]*8</f>
        <v>1744</v>
      </c>
      <c r="K56" s="39">
        <v>224</v>
      </c>
      <c r="L56" s="1">
        <v>2025</v>
      </c>
      <c r="M56" s="5"/>
      <c r="N56" s="5">
        <f t="shared" si="10"/>
        <v>1520</v>
      </c>
      <c r="O56" s="5">
        <f t="shared" si="11"/>
        <v>0</v>
      </c>
      <c r="P56" s="5">
        <f>Table1[[#This Row],[Enrolment S.Y. 2025-2026 ]]*8</f>
        <v>1744</v>
      </c>
      <c r="Q56" s="5"/>
      <c r="R56" s="1"/>
      <c r="S56" s="5"/>
      <c r="T56" s="5">
        <f t="shared" si="12"/>
        <v>1744</v>
      </c>
      <c r="U56" s="5">
        <f t="shared" si="13"/>
        <v>0</v>
      </c>
      <c r="V56" s="5">
        <f>Table1[[#This Row],[Enrolment S.Y. 2025-2026 ]]*8</f>
        <v>1744</v>
      </c>
      <c r="W56" s="5"/>
      <c r="X56" s="1"/>
      <c r="Y56" s="5"/>
      <c r="Z56" s="5">
        <f t="shared" si="14"/>
        <v>1744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37">
        <v>218</v>
      </c>
      <c r="D57" s="5">
        <f>Table1[[#This Row],[Enrolment S.Y. 2025-2026 ]]*8</f>
        <v>1744</v>
      </c>
      <c r="E57" s="39">
        <v>224</v>
      </c>
      <c r="F57" s="1">
        <v>2025</v>
      </c>
      <c r="G57" s="5"/>
      <c r="H57" s="5">
        <f t="shared" si="2"/>
        <v>1520</v>
      </c>
      <c r="I57" s="5">
        <f t="shared" si="3"/>
        <v>0</v>
      </c>
      <c r="J57" s="5">
        <f>Table1[[#This Row],[Enrolment S.Y. 2025-2026 ]]*8</f>
        <v>1744</v>
      </c>
      <c r="K57" s="39">
        <v>224</v>
      </c>
      <c r="L57" s="1">
        <v>2025</v>
      </c>
      <c r="M57" s="5"/>
      <c r="N57" s="5">
        <f t="shared" si="10"/>
        <v>1520</v>
      </c>
      <c r="O57" s="5">
        <f t="shared" si="11"/>
        <v>0</v>
      </c>
      <c r="P57" s="5">
        <f>Table1[[#This Row],[Enrolment S.Y. 2025-2026 ]]*8</f>
        <v>1744</v>
      </c>
      <c r="Q57" s="5"/>
      <c r="R57" s="1"/>
      <c r="S57" s="5"/>
      <c r="T57" s="5">
        <f t="shared" si="12"/>
        <v>1744</v>
      </c>
      <c r="U57" s="5">
        <f t="shared" si="13"/>
        <v>0</v>
      </c>
      <c r="V57" s="5">
        <f>Table1[[#This Row],[Enrolment S.Y. 2025-2026 ]]*8</f>
        <v>1744</v>
      </c>
      <c r="W57" s="5"/>
      <c r="X57" s="1"/>
      <c r="Y57" s="5"/>
      <c r="Z57" s="5">
        <f t="shared" si="14"/>
        <v>1744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37">
        <v>218</v>
      </c>
      <c r="D58" s="5">
        <f>Table1[[#This Row],[Enrolment S.Y. 2025-2026 ]]*8</f>
        <v>1744</v>
      </c>
      <c r="E58" s="39">
        <v>224</v>
      </c>
      <c r="F58" s="1">
        <v>2025</v>
      </c>
      <c r="G58" s="5"/>
      <c r="H58" s="5">
        <f t="shared" si="2"/>
        <v>1520</v>
      </c>
      <c r="I58" s="5">
        <f t="shared" si="3"/>
        <v>0</v>
      </c>
      <c r="J58" s="5">
        <f>Table1[[#This Row],[Enrolment S.Y. 2025-2026 ]]*8</f>
        <v>1744</v>
      </c>
      <c r="K58" s="39">
        <v>224</v>
      </c>
      <c r="L58" s="1">
        <v>2025</v>
      </c>
      <c r="M58" s="5"/>
      <c r="N58" s="5">
        <f t="shared" si="10"/>
        <v>1520</v>
      </c>
      <c r="O58" s="5">
        <f t="shared" si="11"/>
        <v>0</v>
      </c>
      <c r="P58" s="5">
        <f>Table1[[#This Row],[Enrolment S.Y. 2025-2026 ]]*8</f>
        <v>1744</v>
      </c>
      <c r="Q58" s="5"/>
      <c r="R58" s="1"/>
      <c r="S58" s="5"/>
      <c r="T58" s="5">
        <f t="shared" si="12"/>
        <v>1744</v>
      </c>
      <c r="U58" s="5">
        <f t="shared" si="13"/>
        <v>0</v>
      </c>
      <c r="V58" s="5">
        <f>Table1[[#This Row],[Enrolment S.Y. 2025-2026 ]]*8</f>
        <v>1744</v>
      </c>
      <c r="W58" s="5"/>
      <c r="X58" s="1"/>
      <c r="Y58" s="5"/>
      <c r="Z58" s="5">
        <f t="shared" si="14"/>
        <v>1744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37">
        <v>218</v>
      </c>
      <c r="D59" s="5">
        <f>Table1[[#This Row],[Enrolment S.Y. 2025-2026 ]]*8</f>
        <v>1744</v>
      </c>
      <c r="E59" s="39">
        <v>224</v>
      </c>
      <c r="F59" s="1">
        <v>2025</v>
      </c>
      <c r="G59" s="5"/>
      <c r="H59" s="5">
        <f t="shared" si="2"/>
        <v>1520</v>
      </c>
      <c r="I59" s="5">
        <f t="shared" si="3"/>
        <v>0</v>
      </c>
      <c r="J59" s="5">
        <f>Table1[[#This Row],[Enrolment S.Y. 2025-2026 ]]*8</f>
        <v>1744</v>
      </c>
      <c r="K59" s="39">
        <v>224</v>
      </c>
      <c r="L59" s="1">
        <v>2025</v>
      </c>
      <c r="M59" s="5"/>
      <c r="N59" s="5">
        <f t="shared" si="10"/>
        <v>1520</v>
      </c>
      <c r="O59" s="5">
        <f t="shared" si="11"/>
        <v>0</v>
      </c>
      <c r="P59" s="5">
        <f>Table1[[#This Row],[Enrolment S.Y. 2025-2026 ]]*8</f>
        <v>1744</v>
      </c>
      <c r="Q59" s="5"/>
      <c r="R59" s="1"/>
      <c r="S59" s="5"/>
      <c r="T59" s="5">
        <f t="shared" si="12"/>
        <v>1744</v>
      </c>
      <c r="U59" s="5">
        <f t="shared" si="13"/>
        <v>0</v>
      </c>
      <c r="V59" s="5">
        <f>Table1[[#This Row],[Enrolment S.Y. 2025-2026 ]]*8</f>
        <v>1744</v>
      </c>
      <c r="W59" s="5"/>
      <c r="X59" s="1"/>
      <c r="Y59" s="5"/>
      <c r="Z59" s="5">
        <f t="shared" si="14"/>
        <v>1744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37">
        <v>218</v>
      </c>
      <c r="D60" s="5">
        <f>Table1[[#This Row],[Enrolment S.Y. 2025-2026 ]]*8</f>
        <v>1744</v>
      </c>
      <c r="E60" s="39">
        <v>224</v>
      </c>
      <c r="F60" s="1">
        <v>2025</v>
      </c>
      <c r="G60" s="5"/>
      <c r="H60" s="5">
        <f t="shared" si="2"/>
        <v>1520</v>
      </c>
      <c r="I60" s="5">
        <f t="shared" si="3"/>
        <v>0</v>
      </c>
      <c r="J60" s="5">
        <f>Table1[[#This Row],[Enrolment S.Y. 2025-2026 ]]*8</f>
        <v>1744</v>
      </c>
      <c r="K60" s="39">
        <v>224</v>
      </c>
      <c r="L60" s="1">
        <v>2025</v>
      </c>
      <c r="M60" s="5"/>
      <c r="N60" s="5">
        <f t="shared" si="10"/>
        <v>1520</v>
      </c>
      <c r="O60" s="5">
        <f t="shared" si="11"/>
        <v>0</v>
      </c>
      <c r="P60" s="5">
        <f>Table1[[#This Row],[Enrolment S.Y. 2025-2026 ]]*8</f>
        <v>1744</v>
      </c>
      <c r="Q60" s="5"/>
      <c r="R60" s="1"/>
      <c r="S60" s="5"/>
      <c r="T60" s="5">
        <f t="shared" si="12"/>
        <v>1744</v>
      </c>
      <c r="U60" s="5">
        <f t="shared" si="13"/>
        <v>0</v>
      </c>
      <c r="V60" s="5">
        <f>Table1[[#This Row],[Enrolment S.Y. 2025-2026 ]]*8</f>
        <v>1744</v>
      </c>
      <c r="W60" s="5"/>
      <c r="X60" s="1"/>
      <c r="Y60" s="5"/>
      <c r="Z60" s="5">
        <f t="shared" si="14"/>
        <v>1744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37">
        <v>218</v>
      </c>
      <c r="D61" s="5">
        <f>Table1[[#This Row],[Enrolment S.Y. 2025-2026 ]]*8</f>
        <v>1744</v>
      </c>
      <c r="E61" s="39">
        <v>224</v>
      </c>
      <c r="F61" s="1">
        <v>2025</v>
      </c>
      <c r="G61" s="5"/>
      <c r="H61" s="5">
        <f t="shared" si="2"/>
        <v>1520</v>
      </c>
      <c r="I61" s="5">
        <f t="shared" si="3"/>
        <v>0</v>
      </c>
      <c r="J61" s="5">
        <f>Table1[[#This Row],[Enrolment S.Y. 2025-2026 ]]*8</f>
        <v>1744</v>
      </c>
      <c r="K61" s="39">
        <v>224</v>
      </c>
      <c r="L61" s="1">
        <v>2025</v>
      </c>
      <c r="M61" s="5"/>
      <c r="N61" s="5">
        <f t="shared" si="10"/>
        <v>1520</v>
      </c>
      <c r="O61" s="5">
        <f t="shared" si="11"/>
        <v>0</v>
      </c>
      <c r="P61" s="5">
        <f>Table1[[#This Row],[Enrolment S.Y. 2025-2026 ]]*8</f>
        <v>1744</v>
      </c>
      <c r="Q61" s="5"/>
      <c r="R61" s="1"/>
      <c r="S61" s="5"/>
      <c r="T61" s="5">
        <f t="shared" si="12"/>
        <v>1744</v>
      </c>
      <c r="U61" s="5">
        <f t="shared" si="13"/>
        <v>0</v>
      </c>
      <c r="V61" s="5">
        <f>Table1[[#This Row],[Enrolment S.Y. 2025-2026 ]]*8</f>
        <v>1744</v>
      </c>
      <c r="W61" s="5"/>
      <c r="X61" s="1"/>
      <c r="Y61" s="5"/>
      <c r="Z61" s="5">
        <f t="shared" si="14"/>
        <v>1744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J5 H33:I41 H43:I51 H53:I61 K33:L41 K43:L51 K53:L61 W53:X61 T5:X12 W14:X21 W23:X31 W33:X41 H14:I21 H23:I31 H6:I12 N13:P61 P2:R2 V2:X3 T13:V61 J6:J61 Z4:AA61 N4:P4 T4:V4 J4 W43:X51 N3:R3 Y13 D5:F12 D14:F21 D23:F31 D33:F41 D43:F51 D53:F61 N5:R12 Q14:R21 Q23:R31 Q33:R41 Q43:R51 Q53:R61 K5:L12 K14:L21 K23:L3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R5:R12 R14:R21 R23:R31 R33:R41 R43:R61 X5:X12 X14:X21 X23:X31 X33:X41 X43:X51 X53:X61 F5:F12 F14:F21 F23:F31 F33:F41 F43:F51 F53:F61 L5:L12 L14:L21 L23:L31 L33:L41 L43:L51 L53:L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abSelected="1" topLeftCell="W125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31"/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2" t="s">
        <v>0</v>
      </c>
      <c r="B2" s="32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5" t="s">
        <v>60</v>
      </c>
      <c r="N2" s="35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6" t="s">
        <v>72</v>
      </c>
      <c r="Z2" s="36" t="s">
        <v>73</v>
      </c>
      <c r="AA2" s="23" t="s">
        <v>74</v>
      </c>
    </row>
    <row r="3" spans="1:27" ht="38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3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3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3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3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3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3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1" spans="28:28" ht="15"/>
  </sheetData>
  <protectedRanges>
    <protectedRange sqref="C2:C10 C12:C19 C21:C29 C31:C41 C43:C53 C55:C65" name="Textbooks"/>
    <protectedRange sqref="J2:L2 D21:F29 D31:F41 D43:F53 D55:F65 H31:L41 D2:F10 D12:F19 N31:R41 P2:R10 N3:O10 V2:X10 T3:U10 N12:R19 T12:X19 Z3:AA10 Z12:AA19 N21:R29 T21:X29 Z21:AA29 T31:X41 Z31:AA41 T43:X53 Z43:AA53 H43:L53 T55:X65 Z55:AA65 H55:L65 N43:R53 N55:R65 H3:L10 H12:L19 H21:L29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2026-04-07T05:42:11Z</dcterms:modified>
  <cp:category/>
  <cp:contentStatus/>
</cp:coreProperties>
</file>