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3" documentId="13_ncr:1_{BFB59F67-F0DC-4675-A682-EB0734A8026A}" xr6:coauthVersionLast="47" xr6:coauthVersionMax="47" xr10:uidLastSave="{5CD3FED4-CFD7-4C92-9EEC-FB05A0C68AC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<sst xmlns="http://schemas.openxmlformats.org/spreadsheetml/2006/main" count="407" uniqueCount="92">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</sst>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E92" sqref="E9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8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8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225</v>
      </c>
      <c r="D91" s="1">
        <v>487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262</v>
      </c>
    </row>
    <row r="92" spans="1:8" ht="27.75" customHeight="1">
      <c r="A92" s="1" t="s">
        <v>23</v>
      </c>
      <c r="B92" s="9" t="s">
        <v>26</v>
      </c>
      <c r="C92" s="1">
        <v>225</v>
      </c>
      <c r="D92" s="1">
        <v>0</v>
      </c>
      <c r="E92" s="1"/>
      <c r="F92" s="5"/>
      <c r="G92" s="3">
        <f t="shared" si="18"/>
        <v>225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199</v>
      </c>
      <c r="D93" s="1">
        <v>487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288</v>
      </c>
    </row>
    <row r="94" spans="1:8" ht="27.75" customHeight="1">
      <c r="A94" s="1" t="s">
        <v>23</v>
      </c>
      <c r="B94" s="9" t="s">
        <v>28</v>
      </c>
      <c r="C94" s="1">
        <v>199</v>
      </c>
      <c r="D94" s="1">
        <v>487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288</v>
      </c>
    </row>
    <row r="95" spans="1:8" ht="40.5" customHeight="1">
      <c r="A95" s="1" t="s">
        <v>23</v>
      </c>
      <c r="B95" s="9" t="s">
        <v>29</v>
      </c>
      <c r="C95" s="1">
        <v>225</v>
      </c>
      <c r="D95" s="1">
        <v>487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262</v>
      </c>
    </row>
    <row r="96" spans="1:8" ht="38.25" customHeight="1">
      <c r="A96" s="1" t="s">
        <v>23</v>
      </c>
      <c r="B96" s="9" t="s">
        <v>30</v>
      </c>
      <c r="C96" s="1">
        <v>225</v>
      </c>
      <c r="D96" s="1">
        <v>487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262</v>
      </c>
    </row>
    <row r="97" spans="1:8" ht="27.75" customHeight="1">
      <c r="A97" s="1" t="s">
        <v>23</v>
      </c>
      <c r="B97" s="9" t="s">
        <v>31</v>
      </c>
      <c r="C97" s="1">
        <v>199</v>
      </c>
      <c r="D97" s="1">
        <v>487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288</v>
      </c>
    </row>
    <row r="98" spans="1:8" ht="47.25" customHeight="1">
      <c r="A98" s="1" t="s">
        <v>23</v>
      </c>
      <c r="B98" s="9" t="s">
        <v>32</v>
      </c>
      <c r="C98" s="1">
        <v>225</v>
      </c>
      <c r="D98" s="1">
        <v>487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262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3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61:E69 E81:E89 E71:E79 E51:E59 E41:E49 E31:E39 E21:E29 E14:E19 E2:E6 E8:E12 E91:E92 E94:E98" xr:uid="{85DD4C70-DE48-46D4-8D38-1AED99D46A9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T1" zoomScale="70" zoomScaleNormal="70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225</v>
      </c>
      <c r="D103" s="5">
        <f>Table1[[#This Row],[Enrolment S.Y. 2025-2026 ]]*8</f>
        <v>1800</v>
      </c>
      <c r="E103" s="5">
        <v>245</v>
      </c>
      <c r="F103" s="1">
        <v>2025</v>
      </c>
      <c r="G103" s="5" t="s">
        <v>63</v>
      </c>
      <c r="H103" s="5">
        <f t="shared" si="22"/>
        <v>1555</v>
      </c>
      <c r="I103" s="5">
        <f t="shared" si="23"/>
        <v>0</v>
      </c>
      <c r="J103" s="5">
        <f>Table1[[#This Row],[Enrolment S.Y. 2025-2026 ]]*8</f>
        <v>1800</v>
      </c>
      <c r="K103" s="5">
        <v>245</v>
      </c>
      <c r="L103" s="1">
        <v>2025</v>
      </c>
      <c r="M103" s="5" t="s">
        <v>63</v>
      </c>
      <c r="N103" s="5">
        <f t="shared" si="16"/>
        <v>1555</v>
      </c>
      <c r="O103" s="5">
        <f t="shared" si="17"/>
        <v>0</v>
      </c>
      <c r="P103" s="5">
        <f>Table1[[#This Row],[Enrolment S.Y. 2025-2026 ]]*8</f>
        <v>1800</v>
      </c>
      <c r="Q103" s="5"/>
      <c r="R103" s="1"/>
      <c r="S103" s="5"/>
      <c r="T103" s="5">
        <f t="shared" si="18"/>
        <v>1800</v>
      </c>
      <c r="U103" s="5">
        <f t="shared" si="19"/>
        <v>0</v>
      </c>
      <c r="V103" s="5">
        <f>Table1[[#This Row],[Enrolment S.Y. 2025-2026 ]]*8</f>
        <v>1800</v>
      </c>
      <c r="W103" s="5"/>
      <c r="X103" s="1"/>
      <c r="Y103" s="5"/>
      <c r="Z103" s="5">
        <f t="shared" si="20"/>
        <v>1800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225</v>
      </c>
      <c r="D104" s="5">
        <f>Table1[[#This Row],[Enrolment S.Y. 2025-2026 ]]*8</f>
        <v>1800</v>
      </c>
      <c r="E104" s="5">
        <v>245</v>
      </c>
      <c r="F104" s="1">
        <v>2025</v>
      </c>
      <c r="G104" s="5" t="s">
        <v>63</v>
      </c>
      <c r="H104" s="5">
        <f t="shared" si="22"/>
        <v>1555</v>
      </c>
      <c r="I104" s="5">
        <f t="shared" si="23"/>
        <v>0</v>
      </c>
      <c r="J104" s="5">
        <f>Table1[[#This Row],[Enrolment S.Y. 2025-2026 ]]*8</f>
        <v>1800</v>
      </c>
      <c r="K104" s="5">
        <v>245</v>
      </c>
      <c r="L104" s="1">
        <v>2025</v>
      </c>
      <c r="M104" s="5" t="s">
        <v>63</v>
      </c>
      <c r="N104" s="5">
        <f t="shared" si="16"/>
        <v>1555</v>
      </c>
      <c r="O104" s="5">
        <f t="shared" si="17"/>
        <v>0</v>
      </c>
      <c r="P104" s="5">
        <f>Table1[[#This Row],[Enrolment S.Y. 2025-2026 ]]*8</f>
        <v>1800</v>
      </c>
      <c r="Q104" s="5"/>
      <c r="R104" s="1"/>
      <c r="S104" s="5"/>
      <c r="T104" s="5">
        <f t="shared" si="18"/>
        <v>1800</v>
      </c>
      <c r="U104" s="5">
        <f t="shared" si="19"/>
        <v>0</v>
      </c>
      <c r="V104" s="5">
        <f>Table1[[#This Row],[Enrolment S.Y. 2025-2026 ]]*8</f>
        <v>1800</v>
      </c>
      <c r="W104" s="5"/>
      <c r="X104" s="1"/>
      <c r="Y104" s="5"/>
      <c r="Z104" s="5">
        <f t="shared" si="20"/>
        <v>1800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199</v>
      </c>
      <c r="D105" s="5">
        <f>Table1[[#This Row],[Enrolment S.Y. 2025-2026 ]]*8</f>
        <v>1592</v>
      </c>
      <c r="E105" s="5">
        <v>245</v>
      </c>
      <c r="F105" s="1">
        <v>2025</v>
      </c>
      <c r="G105" s="5" t="s">
        <v>63</v>
      </c>
      <c r="H105" s="5">
        <f t="shared" si="22"/>
        <v>1347</v>
      </c>
      <c r="I105" s="5">
        <f t="shared" si="23"/>
        <v>0</v>
      </c>
      <c r="J105" s="5">
        <f>Table1[[#This Row],[Enrolment S.Y. 2025-2026 ]]*8</f>
        <v>1592</v>
      </c>
      <c r="K105" s="5">
        <v>245</v>
      </c>
      <c r="L105" s="1">
        <v>2025</v>
      </c>
      <c r="M105" s="5" t="s">
        <v>63</v>
      </c>
      <c r="N105" s="5">
        <f t="shared" si="16"/>
        <v>1347</v>
      </c>
      <c r="O105" s="5">
        <f t="shared" si="17"/>
        <v>0</v>
      </c>
      <c r="P105" s="5">
        <f>Table1[[#This Row],[Enrolment S.Y. 2025-2026 ]]*8</f>
        <v>1592</v>
      </c>
      <c r="Q105" s="5"/>
      <c r="R105" s="1"/>
      <c r="S105" s="5"/>
      <c r="T105" s="5">
        <f t="shared" si="18"/>
        <v>1592</v>
      </c>
      <c r="U105" s="5">
        <f t="shared" si="19"/>
        <v>0</v>
      </c>
      <c r="V105" s="5">
        <f>Table1[[#This Row],[Enrolment S.Y. 2025-2026 ]]*8</f>
        <v>1592</v>
      </c>
      <c r="W105" s="5"/>
      <c r="X105" s="1"/>
      <c r="Y105" s="5"/>
      <c r="Z105" s="5">
        <f t="shared" si="20"/>
        <v>1592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199</v>
      </c>
      <c r="D106" s="5">
        <f>Table1[[#This Row],[Enrolment S.Y. 2025-2026 ]]*8</f>
        <v>1592</v>
      </c>
      <c r="E106" s="5">
        <v>245</v>
      </c>
      <c r="F106" s="1">
        <v>2025</v>
      </c>
      <c r="G106" s="5" t="s">
        <v>63</v>
      </c>
      <c r="H106" s="5">
        <f t="shared" si="22"/>
        <v>1347</v>
      </c>
      <c r="I106" s="5">
        <f t="shared" si="23"/>
        <v>0</v>
      </c>
      <c r="J106" s="5">
        <f>Table1[[#This Row],[Enrolment S.Y. 2025-2026 ]]*8</f>
        <v>1592</v>
      </c>
      <c r="K106" s="5">
        <v>245</v>
      </c>
      <c r="L106" s="1">
        <v>2025</v>
      </c>
      <c r="M106" s="5" t="s">
        <v>63</v>
      </c>
      <c r="N106" s="5">
        <f t="shared" si="16"/>
        <v>1347</v>
      </c>
      <c r="O106" s="5">
        <f t="shared" si="17"/>
        <v>0</v>
      </c>
      <c r="P106" s="5">
        <f>Table1[[#This Row],[Enrolment S.Y. 2025-2026 ]]*8</f>
        <v>1592</v>
      </c>
      <c r="Q106" s="5"/>
      <c r="R106" s="1"/>
      <c r="S106" s="5"/>
      <c r="T106" s="5">
        <f t="shared" si="18"/>
        <v>1592</v>
      </c>
      <c r="U106" s="5">
        <f t="shared" si="19"/>
        <v>0</v>
      </c>
      <c r="V106" s="5">
        <f>Table1[[#This Row],[Enrolment S.Y. 2025-2026 ]]*8</f>
        <v>1592</v>
      </c>
      <c r="W106" s="5"/>
      <c r="X106" s="1"/>
      <c r="Y106" s="5"/>
      <c r="Z106" s="5">
        <f t="shared" si="20"/>
        <v>1592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225</v>
      </c>
      <c r="D107" s="5">
        <f>Table1[[#This Row],[Enrolment S.Y. 2025-2026 ]]*8</f>
        <v>1800</v>
      </c>
      <c r="E107" s="5"/>
      <c r="F107" s="1"/>
      <c r="G107" s="5"/>
      <c r="H107" s="5">
        <f t="shared" si="22"/>
        <v>1800</v>
      </c>
      <c r="I107" s="5">
        <f t="shared" si="23"/>
        <v>0</v>
      </c>
      <c r="J107" s="5">
        <f>Table1[[#This Row],[Enrolment S.Y. 2025-2026 ]]*8</f>
        <v>1800</v>
      </c>
      <c r="K107" s="5"/>
      <c r="L107" s="1">
        <v>2025</v>
      </c>
      <c r="M107" s="5"/>
      <c r="N107" s="5">
        <f t="shared" si="16"/>
        <v>1800</v>
      </c>
      <c r="O107" s="5">
        <f t="shared" si="17"/>
        <v>0</v>
      </c>
      <c r="P107" s="5">
        <f>Table1[[#This Row],[Enrolment S.Y. 2025-2026 ]]*8</f>
        <v>1800</v>
      </c>
      <c r="Q107" s="5"/>
      <c r="R107" s="1"/>
      <c r="S107" s="5"/>
      <c r="T107" s="5">
        <f t="shared" si="18"/>
        <v>1800</v>
      </c>
      <c r="U107" s="5">
        <f t="shared" si="19"/>
        <v>0</v>
      </c>
      <c r="V107" s="5">
        <f>Table1[[#This Row],[Enrolment S.Y. 2025-2026 ]]*8</f>
        <v>1800</v>
      </c>
      <c r="W107" s="5"/>
      <c r="X107" s="1"/>
      <c r="Y107" s="5"/>
      <c r="Z107" s="5">
        <f t="shared" si="20"/>
        <v>1800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225</v>
      </c>
      <c r="D108" s="5">
        <f>Table1[[#This Row],[Enrolment S.Y. 2025-2026 ]]*8</f>
        <v>1800</v>
      </c>
      <c r="E108" s="5">
        <v>245</v>
      </c>
      <c r="F108" s="1">
        <v>2025</v>
      </c>
      <c r="G108" s="5" t="s">
        <v>63</v>
      </c>
      <c r="H108" s="5">
        <f t="shared" si="22"/>
        <v>1555</v>
      </c>
      <c r="I108" s="5">
        <f t="shared" si="23"/>
        <v>0</v>
      </c>
      <c r="J108" s="5">
        <f>Table1[[#This Row],[Enrolment S.Y. 2025-2026 ]]*8</f>
        <v>1800</v>
      </c>
      <c r="K108" s="5">
        <v>245</v>
      </c>
      <c r="L108" s="1">
        <v>2025</v>
      </c>
      <c r="M108" s="5" t="s">
        <v>63</v>
      </c>
      <c r="N108" s="5">
        <f t="shared" si="16"/>
        <v>1555</v>
      </c>
      <c r="O108" s="5">
        <f t="shared" si="17"/>
        <v>0</v>
      </c>
      <c r="P108" s="5">
        <f>Table1[[#This Row],[Enrolment S.Y. 2025-2026 ]]*8</f>
        <v>1800</v>
      </c>
      <c r="Q108" s="5"/>
      <c r="R108" s="1"/>
      <c r="S108" s="5"/>
      <c r="T108" s="5">
        <f t="shared" si="18"/>
        <v>1800</v>
      </c>
      <c r="U108" s="5">
        <f t="shared" si="19"/>
        <v>0</v>
      </c>
      <c r="V108" s="5">
        <f>Table1[[#This Row],[Enrolment S.Y. 2025-2026 ]]*8</f>
        <v>1800</v>
      </c>
      <c r="W108" s="5"/>
      <c r="X108" s="1"/>
      <c r="Y108" s="5"/>
      <c r="Z108" s="5">
        <f t="shared" si="20"/>
        <v>1800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199</v>
      </c>
      <c r="D109" s="5">
        <f>Table1[[#This Row],[Enrolment S.Y. 2025-2026 ]]*8</f>
        <v>1592</v>
      </c>
      <c r="E109" s="5">
        <v>245</v>
      </c>
      <c r="F109" s="1">
        <v>2025</v>
      </c>
      <c r="G109" s="5" t="s">
        <v>63</v>
      </c>
      <c r="H109" s="5">
        <f t="shared" si="22"/>
        <v>1347</v>
      </c>
      <c r="I109" s="5">
        <f t="shared" si="23"/>
        <v>0</v>
      </c>
      <c r="J109" s="5">
        <f>Table1[[#This Row],[Enrolment S.Y. 2025-2026 ]]*8</f>
        <v>1592</v>
      </c>
      <c r="K109" s="5">
        <v>245</v>
      </c>
      <c r="L109" s="1">
        <v>2025</v>
      </c>
      <c r="M109" s="5" t="s">
        <v>63</v>
      </c>
      <c r="N109" s="5">
        <f t="shared" si="16"/>
        <v>1347</v>
      </c>
      <c r="O109" s="5">
        <f t="shared" si="17"/>
        <v>0</v>
      </c>
      <c r="P109" s="5">
        <f>Table1[[#This Row],[Enrolment S.Y. 2025-2026 ]]*8</f>
        <v>1592</v>
      </c>
      <c r="Q109" s="5"/>
      <c r="R109" s="1"/>
      <c r="S109" s="5"/>
      <c r="T109" s="5">
        <f t="shared" si="18"/>
        <v>1592</v>
      </c>
      <c r="U109" s="5">
        <f t="shared" si="19"/>
        <v>0</v>
      </c>
      <c r="V109" s="5">
        <f>Table1[[#This Row],[Enrolment S.Y. 2025-2026 ]]*8</f>
        <v>1592</v>
      </c>
      <c r="W109" s="5"/>
      <c r="X109" s="1"/>
      <c r="Y109" s="5"/>
      <c r="Z109" s="5">
        <f t="shared" si="20"/>
        <v>1592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225</v>
      </c>
      <c r="D110" s="5">
        <f>Table1[[#This Row],[Enrolment S.Y. 2025-2026 ]]*8</f>
        <v>1800</v>
      </c>
      <c r="E110" s="5"/>
      <c r="F110" s="1"/>
      <c r="G110" s="5"/>
      <c r="H110" s="5">
        <f t="shared" si="22"/>
        <v>1800</v>
      </c>
      <c r="I110" s="5">
        <f t="shared" si="23"/>
        <v>0</v>
      </c>
      <c r="J110" s="5">
        <f>Table1[[#This Row],[Enrolment S.Y. 2025-2026 ]]*8</f>
        <v>1800</v>
      </c>
      <c r="K110" s="5"/>
      <c r="L110" s="1"/>
      <c r="M110" s="5"/>
      <c r="N110" s="5">
        <f t="shared" si="16"/>
        <v>1800</v>
      </c>
      <c r="O110" s="5">
        <f t="shared" si="17"/>
        <v>0</v>
      </c>
      <c r="P110" s="5">
        <f>Table1[[#This Row],[Enrolment S.Y. 2025-2026 ]]*8</f>
        <v>1800</v>
      </c>
      <c r="Q110" s="5"/>
      <c r="R110" s="1"/>
      <c r="S110" s="5"/>
      <c r="T110" s="5">
        <f t="shared" si="18"/>
        <v>1800</v>
      </c>
      <c r="U110" s="5">
        <f t="shared" si="19"/>
        <v>0</v>
      </c>
      <c r="V110" s="5">
        <f>Table1[[#This Row],[Enrolment S.Y. 2025-2026 ]]*8</f>
        <v>1800</v>
      </c>
      <c r="W110" s="5"/>
      <c r="X110" s="1"/>
      <c r="Y110" s="5"/>
      <c r="Z110" s="5">
        <f t="shared" si="20"/>
        <v>1800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H33:I41 H43:I51 H53:I61 H63:I71 H73:I81 H83:I91 H93:I101 H103:I110 Q103:R110 H112:I127 N127:R127 H14:I21 H23:I31 H6:I12 Q112:R126 P2:R2 V2:X3 N13:P126 T13:V127 J6:J127 N4:P4 T4:V4 J4 Z4:AA127 N3:R3 Y13 D5:F12 D63:F71 D93:F101 D83:F91 D73:F81 D53:F61 D43:F51 D33:F41 D23:F31 D14:F21 D103:F110 D112:F127 K6:L12 K63:L71 K93:L101 K83:L91 K73:L81 K53:L61 K43:L51 K33:L41 K23:L31 K14:L21 K103:L110 K112:L127 N5:R12 Q63:R71 Q93:R101 Q83:R91 Q73:R81 Q53:R61 Q43:R51 Q33:R41 Q23:R31 Q14:R21 T5:X12 W63:X71 W103:X110 W112:X127 W93:X101 W83:X91 W73:X81 W53:X61 W43:X51 W33:X41 W23:X31 W14:X2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112:R127 R103:R110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73:F81 F93:F101 F83:F91 F63:F71 F53:F61 F43:F51 F33:F41 F23:F31 F5:F12 F14:F21 F103:F110 F112:F127 L73:L81 L93:L101 L83:L91 L63:L71 L53:L61 L43:L51 L33:L41 L23:L31 L5:L12 L14:L21 L103:L110 L112:L127 R73:R81 R93:R101 R83:R91 R63:R71 R53:R61 R43:R51 R33:R41 R23:R31 R5:R12 R14:R21 X73:X81 X112:X127 X103:X110 X93:X101 X83:X91 X63:X71 X53:X61 X43:X51 X33:X41 X23:X31 X5:X12 X14:X21" xr:uid="{59997D90-2F64-4048-8900-D52A39895EC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20" zoomScale="55" zoomScaleNormal="55" workbookViewId="0">
      <selection activeCell="Y122" sqref="Y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11.5703125" customWidth="1"/>
    <col min="6" max="6" width="14.85546875" customWidth="1"/>
    <col min="7" max="7" width="16.42578125" customWidth="1"/>
    <col min="8" max="8" width="27" customWidth="1"/>
    <col min="9" max="9" width="42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225</v>
      </c>
      <c r="D115" s="5">
        <f>Table14[[#This Row],[Enrolment S.Y. 2025-2026 ]]*8</f>
        <v>1800</v>
      </c>
      <c r="E115" s="5"/>
      <c r="F115" s="1">
        <v>2025</v>
      </c>
      <c r="G115" s="5"/>
      <c r="H115" s="5">
        <f t="shared" si="22"/>
        <v>1800</v>
      </c>
      <c r="I115" s="5">
        <f t="shared" si="23"/>
        <v>0</v>
      </c>
      <c r="J115" s="5">
        <f>Table14[[#This Row],[Enrolment S.Y. 2025-2026 ]]*8</f>
        <v>1800</v>
      </c>
      <c r="K115" s="5"/>
      <c r="L115" s="1">
        <v>2025</v>
      </c>
      <c r="M115" s="5"/>
      <c r="N115" s="5">
        <f t="shared" si="20"/>
        <v>1800</v>
      </c>
      <c r="O115" s="5">
        <f t="shared" si="21"/>
        <v>0</v>
      </c>
      <c r="P115" s="5">
        <f>Table14[[#This Row],[Enrolment S.Y. 2025-2026 ]]*8</f>
        <v>1800</v>
      </c>
      <c r="Q115" s="5"/>
      <c r="R115" s="1"/>
      <c r="S115" s="5"/>
      <c r="T115" s="5">
        <f t="shared" si="16"/>
        <v>1800</v>
      </c>
      <c r="U115" s="5">
        <f t="shared" si="17"/>
        <v>0</v>
      </c>
      <c r="V115" s="5">
        <f>Table14[[#This Row],[Enrolment S.Y. 2025-2026 ]]*8</f>
        <v>1800</v>
      </c>
      <c r="W115" s="5"/>
      <c r="X115" s="1"/>
      <c r="Y115" s="5"/>
      <c r="Z115" s="5">
        <f t="shared" si="18"/>
        <v>1800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225</v>
      </c>
      <c r="D116" s="5">
        <f>Table14[[#This Row],[Enrolment S.Y. 2025-2026 ]]*8</f>
        <v>1800</v>
      </c>
      <c r="E116" s="5"/>
      <c r="F116" s="1">
        <v>2025</v>
      </c>
      <c r="G116" s="5"/>
      <c r="H116" s="5">
        <f t="shared" si="22"/>
        <v>1800</v>
      </c>
      <c r="I116" s="5">
        <f t="shared" si="23"/>
        <v>0</v>
      </c>
      <c r="J116" s="5">
        <f>Table14[[#This Row],[Enrolment S.Y. 2025-2026 ]]*8</f>
        <v>1800</v>
      </c>
      <c r="K116" s="5"/>
      <c r="L116" s="1">
        <v>2025</v>
      </c>
      <c r="M116" s="5"/>
      <c r="N116" s="5">
        <f t="shared" si="20"/>
        <v>1800</v>
      </c>
      <c r="O116" s="5">
        <f t="shared" si="21"/>
        <v>0</v>
      </c>
      <c r="P116" s="5">
        <f>Table14[[#This Row],[Enrolment S.Y. 2025-2026 ]]*8</f>
        <v>1800</v>
      </c>
      <c r="Q116" s="5"/>
      <c r="R116" s="1"/>
      <c r="S116" s="5"/>
      <c r="T116" s="5">
        <f t="shared" si="16"/>
        <v>1800</v>
      </c>
      <c r="U116" s="5">
        <f t="shared" si="17"/>
        <v>0</v>
      </c>
      <c r="V116" s="5">
        <f>Table14[[#This Row],[Enrolment S.Y. 2025-2026 ]]*8</f>
        <v>1800</v>
      </c>
      <c r="W116" s="5"/>
      <c r="X116" s="1"/>
      <c r="Y116" s="5"/>
      <c r="Z116" s="5">
        <f t="shared" si="18"/>
        <v>1800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199</v>
      </c>
      <c r="D117" s="5">
        <f>Table14[[#This Row],[Enrolment S.Y. 2025-2026 ]]*8</f>
        <v>1592</v>
      </c>
      <c r="E117" s="5"/>
      <c r="F117" s="1">
        <v>2025</v>
      </c>
      <c r="G117" s="5"/>
      <c r="H117" s="5">
        <f t="shared" si="22"/>
        <v>1592</v>
      </c>
      <c r="I117" s="5">
        <f t="shared" si="23"/>
        <v>0</v>
      </c>
      <c r="J117" s="5">
        <f>Table14[[#This Row],[Enrolment S.Y. 2025-2026 ]]*8</f>
        <v>1592</v>
      </c>
      <c r="K117" s="5"/>
      <c r="L117" s="1">
        <v>2025</v>
      </c>
      <c r="M117" s="5"/>
      <c r="N117" s="5">
        <f t="shared" si="20"/>
        <v>1592</v>
      </c>
      <c r="O117" s="5">
        <f t="shared" si="21"/>
        <v>0</v>
      </c>
      <c r="P117" s="5">
        <f>Table14[[#This Row],[Enrolment S.Y. 2025-2026 ]]*8</f>
        <v>1592</v>
      </c>
      <c r="Q117" s="5"/>
      <c r="R117" s="1"/>
      <c r="S117" s="5"/>
      <c r="T117" s="5">
        <f t="shared" si="16"/>
        <v>1592</v>
      </c>
      <c r="U117" s="5">
        <f t="shared" si="17"/>
        <v>0</v>
      </c>
      <c r="V117" s="5">
        <f>Table14[[#This Row],[Enrolment S.Y. 2025-2026 ]]*8</f>
        <v>1592</v>
      </c>
      <c r="W117" s="5"/>
      <c r="X117" s="1"/>
      <c r="Y117" s="5"/>
      <c r="Z117" s="5">
        <f t="shared" si="18"/>
        <v>1592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199</v>
      </c>
      <c r="D118" s="5">
        <f>Table14[[#This Row],[Enrolment S.Y. 2025-2026 ]]*8</f>
        <v>1592</v>
      </c>
      <c r="E118" s="5"/>
      <c r="F118" s="1">
        <v>2025</v>
      </c>
      <c r="G118" s="5"/>
      <c r="H118" s="5">
        <f t="shared" si="22"/>
        <v>1592</v>
      </c>
      <c r="I118" s="5">
        <f t="shared" si="23"/>
        <v>0</v>
      </c>
      <c r="J118" s="5">
        <f>Table14[[#This Row],[Enrolment S.Y. 2025-2026 ]]*8</f>
        <v>1592</v>
      </c>
      <c r="K118" s="5"/>
      <c r="L118" s="1">
        <v>2025</v>
      </c>
      <c r="M118" s="5"/>
      <c r="N118" s="5">
        <f t="shared" si="20"/>
        <v>1592</v>
      </c>
      <c r="O118" s="5">
        <f t="shared" si="21"/>
        <v>0</v>
      </c>
      <c r="P118" s="5">
        <f>Table14[[#This Row],[Enrolment S.Y. 2025-2026 ]]*8</f>
        <v>1592</v>
      </c>
      <c r="Q118" s="5"/>
      <c r="R118" s="1"/>
      <c r="S118" s="5"/>
      <c r="T118" s="5">
        <f t="shared" si="16"/>
        <v>1592</v>
      </c>
      <c r="U118" s="5">
        <f t="shared" si="17"/>
        <v>0</v>
      </c>
      <c r="V118" s="5">
        <f>Table14[[#This Row],[Enrolment S.Y. 2025-2026 ]]*8</f>
        <v>1592</v>
      </c>
      <c r="W118" s="5"/>
      <c r="X118" s="1"/>
      <c r="Y118" s="5"/>
      <c r="Z118" s="5">
        <f t="shared" si="18"/>
        <v>1592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225</v>
      </c>
      <c r="D119" s="5">
        <f>Table14[[#This Row],[Enrolment S.Y. 2025-2026 ]]*8</f>
        <v>1800</v>
      </c>
      <c r="E119" s="5"/>
      <c r="F119" s="1">
        <v>2025</v>
      </c>
      <c r="G119" s="5"/>
      <c r="H119" s="5">
        <f t="shared" si="22"/>
        <v>1800</v>
      </c>
      <c r="I119" s="5">
        <f t="shared" si="23"/>
        <v>0</v>
      </c>
      <c r="J119" s="5">
        <f>Table14[[#This Row],[Enrolment S.Y. 2025-2026 ]]*8</f>
        <v>1800</v>
      </c>
      <c r="K119" s="5"/>
      <c r="L119" s="1">
        <v>2025</v>
      </c>
      <c r="M119" s="5"/>
      <c r="N119" s="5">
        <f t="shared" si="20"/>
        <v>1800</v>
      </c>
      <c r="O119" s="5">
        <f t="shared" si="21"/>
        <v>0</v>
      </c>
      <c r="P119" s="5">
        <f>Table14[[#This Row],[Enrolment S.Y. 2025-2026 ]]*8</f>
        <v>1800</v>
      </c>
      <c r="Q119" s="5"/>
      <c r="R119" s="1"/>
      <c r="S119" s="5"/>
      <c r="T119" s="5">
        <f t="shared" si="16"/>
        <v>1800</v>
      </c>
      <c r="U119" s="5">
        <f t="shared" si="17"/>
        <v>0</v>
      </c>
      <c r="V119" s="5">
        <f>Table14[[#This Row],[Enrolment S.Y. 2025-2026 ]]*8</f>
        <v>1800</v>
      </c>
      <c r="W119" s="5"/>
      <c r="X119" s="1"/>
      <c r="Y119" s="5"/>
      <c r="Z119" s="5">
        <f t="shared" si="18"/>
        <v>1800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225</v>
      </c>
      <c r="D120" s="5">
        <f>Table14[[#This Row],[Enrolment S.Y. 2025-2026 ]]*8</f>
        <v>1800</v>
      </c>
      <c r="E120" s="5"/>
      <c r="F120" s="1">
        <v>2025</v>
      </c>
      <c r="G120" s="5"/>
      <c r="H120" s="5">
        <f t="shared" si="22"/>
        <v>1800</v>
      </c>
      <c r="I120" s="5">
        <f t="shared" si="23"/>
        <v>0</v>
      </c>
      <c r="J120" s="5">
        <f>Table14[[#This Row],[Enrolment S.Y. 2025-2026 ]]*8</f>
        <v>1800</v>
      </c>
      <c r="K120" s="5"/>
      <c r="L120" s="1">
        <v>2025</v>
      </c>
      <c r="M120" s="5"/>
      <c r="N120" s="5">
        <f t="shared" si="20"/>
        <v>1800</v>
      </c>
      <c r="O120" s="5">
        <f t="shared" si="21"/>
        <v>0</v>
      </c>
      <c r="P120" s="5">
        <f>Table14[[#This Row],[Enrolment S.Y. 2025-2026 ]]*8</f>
        <v>1800</v>
      </c>
      <c r="Q120" s="5"/>
      <c r="R120" s="1"/>
      <c r="S120" s="5"/>
      <c r="T120" s="5">
        <f t="shared" si="16"/>
        <v>1800</v>
      </c>
      <c r="U120" s="5">
        <f t="shared" si="17"/>
        <v>0</v>
      </c>
      <c r="V120" s="5">
        <f>Table14[[#This Row],[Enrolment S.Y. 2025-2026 ]]*8</f>
        <v>1800</v>
      </c>
      <c r="W120" s="5"/>
      <c r="X120" s="1"/>
      <c r="Y120" s="5"/>
      <c r="Z120" s="5">
        <f t="shared" si="18"/>
        <v>1800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199</v>
      </c>
      <c r="D121" s="5">
        <f>Table14[[#This Row],[Enrolment S.Y. 2025-2026 ]]*8</f>
        <v>1592</v>
      </c>
      <c r="E121" s="5"/>
      <c r="F121" s="1">
        <v>2025</v>
      </c>
      <c r="G121" s="5"/>
      <c r="H121" s="5">
        <f t="shared" si="22"/>
        <v>1592</v>
      </c>
      <c r="I121" s="5">
        <f t="shared" si="23"/>
        <v>0</v>
      </c>
      <c r="J121" s="5">
        <f>Table14[[#This Row],[Enrolment S.Y. 2025-2026 ]]*8</f>
        <v>1592</v>
      </c>
      <c r="K121" s="5"/>
      <c r="L121" s="1">
        <v>2025</v>
      </c>
      <c r="M121" s="5"/>
      <c r="N121" s="5">
        <f t="shared" si="20"/>
        <v>1592</v>
      </c>
      <c r="O121" s="5">
        <f t="shared" si="21"/>
        <v>0</v>
      </c>
      <c r="P121" s="5">
        <f>Table14[[#This Row],[Enrolment S.Y. 2025-2026 ]]*8</f>
        <v>1592</v>
      </c>
      <c r="Q121" s="5"/>
      <c r="R121" s="1"/>
      <c r="S121" s="5"/>
      <c r="T121" s="5">
        <f t="shared" si="16"/>
        <v>1592</v>
      </c>
      <c r="U121" s="5">
        <f t="shared" si="17"/>
        <v>0</v>
      </c>
      <c r="V121" s="5">
        <f>Table14[[#This Row],[Enrolment S.Y. 2025-2026 ]]*8</f>
        <v>1592</v>
      </c>
      <c r="W121" s="5"/>
      <c r="X121" s="1"/>
      <c r="Y121" s="5"/>
      <c r="Z121" s="5">
        <f t="shared" si="18"/>
        <v>1592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199</v>
      </c>
      <c r="D122" s="5">
        <f>Table14[[#This Row],[Enrolment S.Y. 2025-2026 ]]*8</f>
        <v>1592</v>
      </c>
      <c r="E122" s="5"/>
      <c r="F122" s="1"/>
      <c r="G122" s="5"/>
      <c r="H122" s="5">
        <f t="shared" si="22"/>
        <v>1592</v>
      </c>
      <c r="I122" s="5">
        <f t="shared" si="23"/>
        <v>0</v>
      </c>
      <c r="J122" s="5">
        <f>Table14[[#This Row],[Enrolment S.Y. 2025-2026 ]]*8</f>
        <v>1592</v>
      </c>
      <c r="K122" s="5"/>
      <c r="L122" s="1"/>
      <c r="M122" s="5"/>
      <c r="N122" s="5">
        <f t="shared" si="20"/>
        <v>1592</v>
      </c>
      <c r="O122" s="5">
        <f t="shared" si="21"/>
        <v>0</v>
      </c>
      <c r="P122" s="5">
        <f>Table14[[#This Row],[Enrolment S.Y. 2025-2026 ]]*8</f>
        <v>1592</v>
      </c>
      <c r="Q122" s="5"/>
      <c r="R122" s="1"/>
      <c r="S122" s="5"/>
      <c r="T122" s="5">
        <f t="shared" si="16"/>
        <v>1592</v>
      </c>
      <c r="U122" s="5">
        <f t="shared" si="17"/>
        <v>0</v>
      </c>
      <c r="V122" s="5">
        <f>Table14[[#This Row],[Enrolment S.Y. 2025-2026 ]]*8</f>
        <v>1592</v>
      </c>
      <c r="W122" s="5"/>
      <c r="X122" s="1"/>
      <c r="Y122" s="5"/>
      <c r="Z122" s="5">
        <f t="shared" si="18"/>
        <v>1592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67:F77 D103:F113 D91:F101 D79:F89 D55:F65 D43:F53 D31:F41 D21:F29 D12:F19 D115:F122 H3:L10 H55:L65 H43:L53 H31:L41 H21:L29 H12:L19 H67:L77 H103:L113 H91:L101 H79:L89 H115:L122 P2:R10 N67:R77 N103:R113 N91:R101 N79:R89 N55:R65 N43:R53 N31:R41 N21:R29 N12:R19 N115:R122 V2:X10 T67:X77 T103:X113 T91:X101 T79:X89 T55:X65 T43:X53 T31:X41 T21:X29 T12:X19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79:F89 F103:F113 F91:F101 F67:F77 F55:F65 F43:F53 F31:F41 F21:F29 F3:F10 F12:F19 F115:F122 L55:L65 L43:L53 L31:L41 L21:L29 L3:L10 L12:L19 L103:L113 L91:L101 L67:L77 L79:L89 L115:L122 R79:R89 R103:R113 R91:R101 R67:R77 R55:R65 R43:R53 R31:R41 R21:R29 R3:R10 R12:R19 R115:R122 X79:X89 X103:X113 X91:X101 X67:X77 X55:X65 X43:X53 X31:X41 X21:X29 X3:X10 X12:X19" xr:uid="{882A9E64-8012-4071-88E9-6C607BFDBA2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2026-02-20T08:26:28Z</dcterms:modified>
  <cp:category/>
  <cp:contentStatus/>
</cp:coreProperties>
</file>