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89" documentId="13_ncr:1_{BFB59F67-F0DC-4675-A682-EB0734A8026A}" xr6:coauthVersionLast="47" xr6:coauthVersionMax="47" xr10:uidLastSave="{D742E860-65CF-4F45-8D45-EEE87D7F97E2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4" l="1"/>
  <c r="I71" i="4"/>
  <c r="J71" i="4"/>
  <c r="N71" i="4"/>
  <c r="O71" i="4"/>
  <c r="T71" i="4"/>
  <c r="U71" i="4"/>
  <c r="V71" i="4"/>
  <c r="Z71" i="4"/>
  <c r="AA71" i="4"/>
  <c r="H72" i="4"/>
  <c r="I72" i="4"/>
  <c r="J72" i="4"/>
  <c r="N72" i="4"/>
  <c r="O72" i="4"/>
  <c r="T72" i="4"/>
  <c r="U72" i="4"/>
  <c r="V72" i="4"/>
  <c r="Z72" i="4"/>
  <c r="AA72" i="4"/>
  <c r="H73" i="4"/>
  <c r="I73" i="4"/>
  <c r="J73" i="4"/>
  <c r="N73" i="4"/>
  <c r="O73" i="4"/>
  <c r="T73" i="4"/>
  <c r="U73" i="4"/>
  <c r="V73" i="4"/>
  <c r="Z73" i="4"/>
  <c r="AA73" i="4"/>
  <c r="H74" i="4"/>
  <c r="I74" i="4"/>
  <c r="J74" i="4"/>
  <c r="N74" i="4"/>
  <c r="O74" i="4"/>
  <c r="T74" i="4"/>
  <c r="U74" i="4"/>
  <c r="V74" i="4"/>
  <c r="Z74" i="4"/>
  <c r="AA74" i="4"/>
  <c r="H75" i="4"/>
  <c r="I75" i="4"/>
  <c r="J75" i="4"/>
  <c r="N75" i="4"/>
  <c r="O75" i="4"/>
  <c r="T75" i="4"/>
  <c r="U75" i="4"/>
  <c r="V75" i="4"/>
  <c r="Z75" i="4"/>
  <c r="AA75" i="4"/>
  <c r="G34" i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45" i="4"/>
  <c r="K47" i="4"/>
  <c r="K50" i="4"/>
  <c r="K52" i="4"/>
  <c r="K53" i="4"/>
  <c r="K54" i="4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<sst xmlns="http://schemas.openxmlformats.org/spreadsheetml/2006/main" count="379" uniqueCount="103">
  <si>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</si>
  <si>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</si>
  <si>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</si>
  <si>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</si>
  <si>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</si>
  <si>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</si>
  <si>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</si>
  <si>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</si>
  <si>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</si>
  <si>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</si>
  <si>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</si>
  <si>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</si>
  <si>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</si>
  <si>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</si>
  <si>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</si>
  <si>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</si>
  <si>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</si>
  <si>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</si>
  <si>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</si>
  <si>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</si>
  <si>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</si>
  <si>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</si>
  <si>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</si>
  <si>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</si>
  <si>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</si>
  <si>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</si>
  <si>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</si>
  <si>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</si>
  <si>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</si>
  <si>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</si>
  <si>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</si>
  <si>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</si>
  <si>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</si>
  <si>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</si>
  <si>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</si>
  <si>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</si>
  <si>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</si>
  <si>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</si>
  <si>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</si>
  <si>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</si>
  <si>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</si>
  <si>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</si>
  <si>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</si>
  <si>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</si>
  <si>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</si>
  <si>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</si>
  <si>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</si>
  <si>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</si>
  <si>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</si>
  <si>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</si>
  <si>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</si>
  <si>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</si>
  <si>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</si>
  <si>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</si>
  <si>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</si>
  <si>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</si>
  <si>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</si>
  <si>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</si>
  <si>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Komunikasyon at Pananaliksik</t>
  </si>
  <si>
    <t>Phil. Politics</t>
  </si>
  <si>
    <t>Reading &amp; Writing</t>
  </si>
  <si>
    <t>Earth &amp; Life</t>
  </si>
  <si>
    <t>Organization &amp; Management</t>
  </si>
  <si>
    <t>Empowerment Technology</t>
  </si>
  <si>
    <t>Principles of Marketing</t>
  </si>
  <si>
    <t>Business Finance</t>
  </si>
  <si>
    <t>Introduction to Philosophy</t>
  </si>
  <si>
    <t>Discipline and Ideas</t>
  </si>
  <si>
    <t>Introduction to World Religion</t>
  </si>
  <si>
    <t>Filipino sa Piling Larang</t>
  </si>
  <si>
    <t>Fundamentals of Accounting</t>
  </si>
  <si>
    <t>Oral Communication</t>
  </si>
  <si>
    <t>Business Math</t>
  </si>
  <si>
    <t>Creative Writing</t>
  </si>
  <si>
    <t>Practical Research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</si>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</sst>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5" fillId="0" borderId="0" xfId="0" applyFont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5" totalsRowShown="0" dataDxfId="59" headerRowBorderDxfId="57" tableBorderDxfId="58">
  <autoFilter ref="A2:AA75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>
      <calculatedColumnFormula>ROUNDDOWN(Table1[[#This Row],[Enrolment S.Y. 2025-2026 ]] / 2, 0) * 2</calculatedColumnFormula>
    </tableColumn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zoomScale="85" zoomScaleNormal="85" workbookViewId="0">
      <pane xSplit="2" topLeftCell="C1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8.42578125" customWidth="1"/>
    <col min="3" max="3" width="24.85546875" bestFit="1" customWidth="1"/>
    <col min="4" max="4" width="22.85546875" customWidth="1"/>
    <col min="5" max="5" width="25.140625" customWidth="1"/>
    <col min="6" max="6" width="19.140625" bestFit="1" customWidth="1"/>
    <col min="7" max="7" width="15.140625" customWidth="1"/>
    <col min="8" max="8" width="16.140625" bestFit="1" customWidth="1"/>
    <col min="9" max="9" width="9" customWidth="1"/>
    <col min="10" max="10" width="48.85546875" customWidth="1"/>
    <col min="11" max="11" width="14.5703125" customWidth="1"/>
    <col min="12" max="12" width="18.7109375" customWidth="1"/>
    <col min="13" max="13" width="16.5703125" customWidth="1"/>
  </cols>
  <sheetData>
    <row r="1" spans="1:14" s="13" customFormat="1" ht="64.900000000000006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8" t="s">
        <v>7</v>
      </c>
      <c r="I1" s="5"/>
      <c r="J1" s="40"/>
      <c r="K1" s="41"/>
      <c r="L1" s="41"/>
      <c r="M1" s="5"/>
      <c r="N1" s="5"/>
    </row>
    <row r="2" spans="1:14" ht="42.75" customHeight="1">
      <c r="A2" s="6"/>
      <c r="B2" s="6"/>
      <c r="C2" s="7"/>
      <c r="D2" s="7"/>
      <c r="E2" s="7"/>
      <c r="F2" s="6"/>
      <c r="G2" s="6"/>
      <c r="H2" s="6"/>
    </row>
    <row r="3" spans="1:14" ht="29.25" customHeight="1">
      <c r="A3" s="9">
        <v>7</v>
      </c>
      <c r="B3" s="10" t="s">
        <v>8</v>
      </c>
      <c r="C3" s="9">
        <v>383</v>
      </c>
      <c r="D3" s="9">
        <v>325</v>
      </c>
      <c r="E3" s="9">
        <v>2025</v>
      </c>
      <c r="F3" s="11" t="s">
        <v>9</v>
      </c>
      <c r="G3" s="2">
        <f t="shared" ref="G3:G11" si="0">IF((C3-D3)&lt;0,0,C3-D3)</f>
        <v>58</v>
      </c>
      <c r="H3" s="3">
        <f t="shared" ref="H3:H11" si="1">IF((D3-C3)&lt;0,0,D3-C3)</f>
        <v>0</v>
      </c>
    </row>
    <row r="4" spans="1:14" ht="21" customHeight="1">
      <c r="A4" s="9">
        <v>7</v>
      </c>
      <c r="B4" s="10" t="s">
        <v>10</v>
      </c>
      <c r="C4" s="9">
        <v>383</v>
      </c>
      <c r="D4" s="9"/>
      <c r="E4" s="9"/>
      <c r="F4" s="11"/>
      <c r="G4" s="2">
        <f t="shared" si="0"/>
        <v>383</v>
      </c>
      <c r="H4" s="3">
        <f t="shared" si="1"/>
        <v>0</v>
      </c>
    </row>
    <row r="5" spans="1:14" ht="25.5" customHeight="1">
      <c r="A5" s="9">
        <v>7</v>
      </c>
      <c r="B5" s="10" t="s">
        <v>11</v>
      </c>
      <c r="C5" s="9">
        <v>383</v>
      </c>
      <c r="D5" s="9">
        <v>325</v>
      </c>
      <c r="E5" s="9">
        <v>2024</v>
      </c>
      <c r="F5" s="11" t="s">
        <v>9</v>
      </c>
      <c r="G5" s="2">
        <f t="shared" si="0"/>
        <v>58</v>
      </c>
      <c r="H5" s="3">
        <f t="shared" si="1"/>
        <v>0</v>
      </c>
    </row>
    <row r="6" spans="1:14" ht="19.5">
      <c r="A6" s="9">
        <v>7</v>
      </c>
      <c r="B6" s="10" t="s">
        <v>12</v>
      </c>
      <c r="C6" s="9">
        <v>383</v>
      </c>
      <c r="D6" s="9"/>
      <c r="E6" s="9"/>
      <c r="F6" s="11"/>
      <c r="G6" s="2">
        <f t="shared" si="0"/>
        <v>383</v>
      </c>
      <c r="H6" s="3">
        <f t="shared" si="1"/>
        <v>0</v>
      </c>
    </row>
    <row r="7" spans="1:14" ht="19.5">
      <c r="A7" s="9">
        <v>7</v>
      </c>
      <c r="B7" s="10" t="s">
        <v>13</v>
      </c>
      <c r="C7" s="9">
        <v>383</v>
      </c>
      <c r="D7" s="9">
        <v>325</v>
      </c>
      <c r="E7" s="9">
        <v>2025</v>
      </c>
      <c r="F7" s="11" t="s">
        <v>9</v>
      </c>
      <c r="G7" s="2">
        <f t="shared" si="0"/>
        <v>58</v>
      </c>
      <c r="H7" s="3">
        <f t="shared" si="1"/>
        <v>0</v>
      </c>
    </row>
    <row r="8" spans="1:14" ht="39.75" customHeight="1">
      <c r="A8" s="9">
        <v>7</v>
      </c>
      <c r="B8" s="10" t="s">
        <v>14</v>
      </c>
      <c r="C8" s="9">
        <v>383</v>
      </c>
      <c r="D8" s="9">
        <v>325</v>
      </c>
      <c r="E8" s="9">
        <v>2024</v>
      </c>
      <c r="F8" s="11" t="s">
        <v>9</v>
      </c>
      <c r="G8" s="2">
        <f t="shared" si="0"/>
        <v>58</v>
      </c>
      <c r="H8" s="3">
        <f t="shared" si="1"/>
        <v>0</v>
      </c>
    </row>
    <row r="9" spans="1:14" ht="29.25" customHeight="1">
      <c r="A9" s="9">
        <v>7</v>
      </c>
      <c r="B9" s="10" t="s">
        <v>15</v>
      </c>
      <c r="C9" s="9">
        <v>383</v>
      </c>
      <c r="D9" s="9">
        <v>325</v>
      </c>
      <c r="E9" s="9">
        <v>2024</v>
      </c>
      <c r="F9" s="11" t="s">
        <v>9</v>
      </c>
      <c r="G9" s="2">
        <f t="shared" si="0"/>
        <v>58</v>
      </c>
      <c r="H9" s="3">
        <f t="shared" si="1"/>
        <v>0</v>
      </c>
    </row>
    <row r="10" spans="1:14" ht="28.5" customHeight="1">
      <c r="A10" s="9">
        <v>7</v>
      </c>
      <c r="B10" s="10" t="s">
        <v>16</v>
      </c>
      <c r="C10" s="9">
        <v>383</v>
      </c>
      <c r="D10" s="9">
        <v>325</v>
      </c>
      <c r="E10" s="9">
        <v>2025</v>
      </c>
      <c r="F10" s="11" t="s">
        <v>9</v>
      </c>
      <c r="G10" s="2">
        <f t="shared" si="0"/>
        <v>58</v>
      </c>
      <c r="H10" s="3">
        <f t="shared" si="1"/>
        <v>0</v>
      </c>
    </row>
    <row r="11" spans="1:14" ht="24" customHeight="1">
      <c r="A11" s="9">
        <v>7</v>
      </c>
      <c r="B11" s="10" t="s">
        <v>17</v>
      </c>
      <c r="C11" s="9">
        <v>383</v>
      </c>
      <c r="D11" s="9"/>
      <c r="E11" s="9"/>
      <c r="F11" s="11"/>
      <c r="G11" s="2">
        <f t="shared" si="0"/>
        <v>383</v>
      </c>
      <c r="H11" s="3">
        <f t="shared" si="1"/>
        <v>0</v>
      </c>
    </row>
    <row r="12" spans="1:14" ht="15">
      <c r="A12" s="6"/>
      <c r="B12" s="6"/>
      <c r="C12" s="7"/>
      <c r="D12" s="7"/>
      <c r="E12" s="7"/>
      <c r="F12" s="6"/>
      <c r="G12" s="6"/>
      <c r="H12" s="6"/>
    </row>
    <row r="13" spans="1:14" ht="19.5">
      <c r="A13" s="9">
        <v>8</v>
      </c>
      <c r="B13" s="10" t="s">
        <v>8</v>
      </c>
      <c r="C13" s="9">
        <v>332</v>
      </c>
      <c r="D13" s="9"/>
      <c r="E13" s="9"/>
      <c r="F13" s="11"/>
      <c r="G13" s="2">
        <f t="shared" ref="G13:G21" si="2">IF((C13-D13)&lt;0,0,C13-D13)</f>
        <v>332</v>
      </c>
      <c r="H13" s="3">
        <f t="shared" ref="H13:H21" si="3">IF((D13-C13)&lt;0,0,D13-C13)</f>
        <v>0</v>
      </c>
    </row>
    <row r="14" spans="1:14" ht="49.5" customHeight="1">
      <c r="A14" s="9">
        <v>8</v>
      </c>
      <c r="B14" s="10" t="s">
        <v>10</v>
      </c>
      <c r="C14" s="9">
        <v>332</v>
      </c>
      <c r="D14" s="9"/>
      <c r="E14" s="9"/>
      <c r="F14" s="11"/>
      <c r="G14" s="2">
        <f t="shared" si="2"/>
        <v>332</v>
      </c>
      <c r="H14" s="3">
        <f t="shared" si="3"/>
        <v>0</v>
      </c>
    </row>
    <row r="15" spans="1:14" ht="29.25" customHeight="1">
      <c r="A15" s="9">
        <v>8</v>
      </c>
      <c r="B15" s="10" t="s">
        <v>11</v>
      </c>
      <c r="C15" s="9">
        <v>332</v>
      </c>
      <c r="D15" s="9">
        <v>298</v>
      </c>
      <c r="E15" s="9">
        <v>2025</v>
      </c>
      <c r="F15" s="11" t="s">
        <v>9</v>
      </c>
      <c r="G15" s="2">
        <f t="shared" si="2"/>
        <v>34</v>
      </c>
      <c r="H15" s="3">
        <f t="shared" si="3"/>
        <v>0</v>
      </c>
    </row>
    <row r="16" spans="1:14" ht="27" customHeight="1">
      <c r="A16" s="9">
        <v>8</v>
      </c>
      <c r="B16" s="10" t="s">
        <v>12</v>
      </c>
      <c r="C16" s="9">
        <v>332</v>
      </c>
      <c r="D16" s="9">
        <v>298</v>
      </c>
      <c r="E16" s="9">
        <v>2025</v>
      </c>
      <c r="F16" s="11" t="s">
        <v>9</v>
      </c>
      <c r="G16" s="2">
        <f t="shared" si="2"/>
        <v>34</v>
      </c>
      <c r="H16" s="3">
        <f t="shared" si="3"/>
        <v>0</v>
      </c>
    </row>
    <row r="17" spans="1:8" ht="23.25" customHeight="1">
      <c r="A17" s="9">
        <v>8</v>
      </c>
      <c r="B17" s="10" t="s">
        <v>18</v>
      </c>
      <c r="C17" s="9">
        <v>332</v>
      </c>
      <c r="D17" s="9"/>
      <c r="E17" s="9"/>
      <c r="F17" s="11"/>
      <c r="G17" s="2">
        <f t="shared" si="2"/>
        <v>332</v>
      </c>
      <c r="H17" s="3">
        <f t="shared" si="3"/>
        <v>0</v>
      </c>
    </row>
    <row r="18" spans="1:8" ht="21" customHeight="1">
      <c r="A18" s="9">
        <v>8</v>
      </c>
      <c r="B18" s="10" t="s">
        <v>14</v>
      </c>
      <c r="C18" s="9">
        <v>332</v>
      </c>
      <c r="D18" s="9"/>
      <c r="E18" s="9"/>
      <c r="F18" s="11"/>
      <c r="G18" s="2">
        <f t="shared" si="2"/>
        <v>332</v>
      </c>
      <c r="H18" s="3">
        <f t="shared" si="3"/>
        <v>0</v>
      </c>
    </row>
    <row r="19" spans="1:8" ht="19.5">
      <c r="A19" s="9">
        <v>8</v>
      </c>
      <c r="B19" s="10" t="s">
        <v>15</v>
      </c>
      <c r="C19" s="9">
        <v>332</v>
      </c>
      <c r="D19" s="9"/>
      <c r="E19" s="9"/>
      <c r="F19" s="11"/>
      <c r="G19" s="2">
        <f t="shared" si="2"/>
        <v>332</v>
      </c>
      <c r="H19" s="3">
        <f t="shared" si="3"/>
        <v>0</v>
      </c>
    </row>
    <row r="20" spans="1:8" ht="19.5">
      <c r="A20" s="9">
        <v>8</v>
      </c>
      <c r="B20" s="10" t="s">
        <v>16</v>
      </c>
      <c r="C20" s="9">
        <v>332</v>
      </c>
      <c r="D20" s="9"/>
      <c r="E20" s="9"/>
      <c r="F20" s="11"/>
      <c r="G20" s="2">
        <f t="shared" si="2"/>
        <v>332</v>
      </c>
      <c r="H20" s="3">
        <f t="shared" si="3"/>
        <v>0</v>
      </c>
    </row>
    <row r="21" spans="1:8" ht="28.5" customHeight="1">
      <c r="A21" s="9">
        <v>8</v>
      </c>
      <c r="B21" s="10" t="s">
        <v>17</v>
      </c>
      <c r="C21" s="9">
        <v>332</v>
      </c>
      <c r="D21" s="9"/>
      <c r="E21" s="9"/>
      <c r="F21" s="11"/>
      <c r="G21" s="2">
        <f t="shared" si="2"/>
        <v>332</v>
      </c>
      <c r="H21" s="3">
        <f t="shared" si="3"/>
        <v>0</v>
      </c>
    </row>
    <row r="22" spans="1:8" ht="24" customHeight="1">
      <c r="A22" s="6"/>
      <c r="B22" s="6"/>
      <c r="C22" s="7"/>
      <c r="D22" s="7"/>
      <c r="E22" s="7"/>
      <c r="F22" s="6"/>
      <c r="G22" s="6"/>
      <c r="H22" s="6"/>
    </row>
    <row r="23" spans="1:8" ht="19.5">
      <c r="A23" s="9">
        <v>9</v>
      </c>
      <c r="B23" s="10" t="s">
        <v>8</v>
      </c>
      <c r="C23" s="9">
        <v>306</v>
      </c>
      <c r="D23" s="9"/>
      <c r="E23" s="9"/>
      <c r="F23" s="11"/>
      <c r="G23" s="2">
        <f t="shared" ref="G23:G31" si="4">IF((C23-D23)&lt;0,0,C23-D23)</f>
        <v>306</v>
      </c>
      <c r="H23" s="3">
        <f t="shared" ref="H23:H31" si="5">IF((D23-C23)&lt;0,0,D23-C23)</f>
        <v>0</v>
      </c>
    </row>
    <row r="24" spans="1:8" ht="27" customHeight="1">
      <c r="A24" s="9">
        <v>9</v>
      </c>
      <c r="B24" s="10" t="s">
        <v>10</v>
      </c>
      <c r="C24" s="9">
        <v>306</v>
      </c>
      <c r="D24" s="9">
        <v>361</v>
      </c>
      <c r="E24" s="9">
        <v>2024</v>
      </c>
      <c r="F24" s="11" t="s">
        <v>9</v>
      </c>
      <c r="G24" s="2">
        <f t="shared" si="4"/>
        <v>0</v>
      </c>
      <c r="H24" s="3">
        <f t="shared" si="5"/>
        <v>55</v>
      </c>
    </row>
    <row r="25" spans="1:8" ht="33.75" customHeight="1">
      <c r="A25" s="9">
        <v>9</v>
      </c>
      <c r="B25" s="10" t="s">
        <v>11</v>
      </c>
      <c r="C25" s="9">
        <v>306</v>
      </c>
      <c r="D25" s="9"/>
      <c r="E25" s="9"/>
      <c r="F25" s="11"/>
      <c r="G25" s="2">
        <f t="shared" si="4"/>
        <v>306</v>
      </c>
      <c r="H25" s="3">
        <f t="shared" si="5"/>
        <v>0</v>
      </c>
    </row>
    <row r="26" spans="1:8" ht="33.75" customHeight="1">
      <c r="A26" s="9">
        <v>9</v>
      </c>
      <c r="B26" s="10" t="s">
        <v>12</v>
      </c>
      <c r="C26" s="9">
        <v>306</v>
      </c>
      <c r="D26" s="9"/>
      <c r="E26" s="9"/>
      <c r="F26" s="11"/>
      <c r="G26" s="2">
        <f t="shared" si="4"/>
        <v>306</v>
      </c>
      <c r="H26" s="3">
        <f t="shared" si="5"/>
        <v>0</v>
      </c>
    </row>
    <row r="27" spans="1:8" ht="33.75" customHeight="1">
      <c r="A27" s="9">
        <v>9</v>
      </c>
      <c r="B27" s="10" t="s">
        <v>18</v>
      </c>
      <c r="C27" s="9">
        <v>306</v>
      </c>
      <c r="D27" s="9"/>
      <c r="E27" s="9"/>
      <c r="F27" s="11"/>
      <c r="G27" s="2">
        <f t="shared" si="4"/>
        <v>306</v>
      </c>
      <c r="H27" s="3">
        <f t="shared" si="5"/>
        <v>0</v>
      </c>
    </row>
    <row r="28" spans="1:8" ht="27.75" customHeight="1">
      <c r="A28" s="9">
        <v>9</v>
      </c>
      <c r="B28" s="10" t="s">
        <v>14</v>
      </c>
      <c r="C28" s="9">
        <v>306</v>
      </c>
      <c r="D28" s="9"/>
      <c r="E28" s="9"/>
      <c r="F28" s="11"/>
      <c r="G28" s="2">
        <f t="shared" si="4"/>
        <v>306</v>
      </c>
      <c r="H28" s="3">
        <f t="shared" si="5"/>
        <v>0</v>
      </c>
    </row>
    <row r="29" spans="1:8" ht="27.75" customHeight="1">
      <c r="A29" s="9">
        <v>9</v>
      </c>
      <c r="B29" s="10" t="s">
        <v>15</v>
      </c>
      <c r="C29" s="9">
        <v>306</v>
      </c>
      <c r="D29" s="9"/>
      <c r="E29" s="9"/>
      <c r="F29" s="11"/>
      <c r="G29" s="2">
        <f t="shared" si="4"/>
        <v>306</v>
      </c>
      <c r="H29" s="3">
        <f t="shared" si="5"/>
        <v>0</v>
      </c>
    </row>
    <row r="30" spans="1:8" ht="27.75" customHeight="1">
      <c r="A30" s="9">
        <v>9</v>
      </c>
      <c r="B30" s="10" t="s">
        <v>16</v>
      </c>
      <c r="C30" s="9">
        <v>306</v>
      </c>
      <c r="D30" s="9"/>
      <c r="E30" s="9"/>
      <c r="F30" s="11"/>
      <c r="G30" s="2">
        <f t="shared" si="4"/>
        <v>306</v>
      </c>
      <c r="H30" s="3">
        <f t="shared" si="5"/>
        <v>0</v>
      </c>
    </row>
    <row r="31" spans="1:8" ht="27.75" customHeight="1">
      <c r="A31" s="9">
        <v>9</v>
      </c>
      <c r="B31" s="10" t="s">
        <v>17</v>
      </c>
      <c r="C31" s="9">
        <v>306</v>
      </c>
      <c r="D31" s="9"/>
      <c r="E31" s="9"/>
      <c r="F31" s="11"/>
      <c r="G31" s="2">
        <f t="shared" si="4"/>
        <v>306</v>
      </c>
      <c r="H31" s="3">
        <f t="shared" si="5"/>
        <v>0</v>
      </c>
    </row>
    <row r="32" spans="1:8" ht="27.75" customHeight="1">
      <c r="A32" s="6"/>
      <c r="B32" s="7"/>
      <c r="C32" s="7"/>
      <c r="D32" s="7"/>
      <c r="E32" s="7"/>
      <c r="F32" s="6"/>
      <c r="G32" s="6"/>
      <c r="H32" s="6"/>
    </row>
    <row r="33" spans="1:8" ht="27.75" customHeight="1">
      <c r="A33" s="9">
        <v>10</v>
      </c>
      <c r="B33" s="10" t="s">
        <v>8</v>
      </c>
      <c r="C33" s="9">
        <v>287</v>
      </c>
      <c r="D33" s="9"/>
      <c r="E33" s="9"/>
      <c r="F33" s="11"/>
      <c r="G33" s="2">
        <f t="shared" ref="G33:G41" si="6">IF((C33-D33)&lt;0,0,C33-D33)</f>
        <v>287</v>
      </c>
      <c r="H33" s="3">
        <f t="shared" ref="H33:H41" si="7">IF((D33-C33)&lt;0,0,D33-C33)</f>
        <v>0</v>
      </c>
    </row>
    <row r="34" spans="1:8" ht="27.75" customHeight="1">
      <c r="A34" s="9">
        <v>10</v>
      </c>
      <c r="B34" s="10" t="s">
        <v>10</v>
      </c>
      <c r="C34" s="9">
        <v>287</v>
      </c>
      <c r="D34" s="9">
        <v>337</v>
      </c>
      <c r="E34" s="9">
        <v>2024</v>
      </c>
      <c r="F34" s="11" t="s">
        <v>9</v>
      </c>
      <c r="G34" s="2">
        <f t="shared" si="6"/>
        <v>0</v>
      </c>
      <c r="H34" s="3">
        <f t="shared" si="7"/>
        <v>50</v>
      </c>
    </row>
    <row r="35" spans="1:8" ht="39" customHeight="1">
      <c r="A35" s="9">
        <v>10</v>
      </c>
      <c r="B35" s="10" t="s">
        <v>11</v>
      </c>
      <c r="C35" s="9">
        <v>287</v>
      </c>
      <c r="D35" s="9"/>
      <c r="E35" s="9"/>
      <c r="F35" s="11"/>
      <c r="G35" s="2">
        <f t="shared" si="6"/>
        <v>287</v>
      </c>
      <c r="H35" s="3">
        <f t="shared" si="7"/>
        <v>0</v>
      </c>
    </row>
    <row r="36" spans="1:8" ht="27.75" customHeight="1">
      <c r="A36" s="9">
        <v>10</v>
      </c>
      <c r="B36" s="10" t="s">
        <v>12</v>
      </c>
      <c r="C36" s="9">
        <v>287</v>
      </c>
      <c r="D36" s="9"/>
      <c r="E36" s="9"/>
      <c r="F36" s="11"/>
      <c r="G36" s="2">
        <f t="shared" si="6"/>
        <v>287</v>
      </c>
      <c r="H36" s="3">
        <f t="shared" si="7"/>
        <v>0</v>
      </c>
    </row>
    <row r="37" spans="1:8" ht="27.75" customHeight="1">
      <c r="A37" s="9">
        <v>10</v>
      </c>
      <c r="B37" s="10" t="s">
        <v>18</v>
      </c>
      <c r="C37" s="9">
        <v>287</v>
      </c>
      <c r="D37" s="9"/>
      <c r="E37" s="9"/>
      <c r="F37" s="11"/>
      <c r="G37" s="2">
        <f t="shared" si="6"/>
        <v>287</v>
      </c>
      <c r="H37" s="3">
        <f t="shared" si="7"/>
        <v>0</v>
      </c>
    </row>
    <row r="38" spans="1:8" ht="27.75" customHeight="1">
      <c r="A38" s="9">
        <v>10</v>
      </c>
      <c r="B38" s="10" t="s">
        <v>14</v>
      </c>
      <c r="C38" s="9">
        <v>287</v>
      </c>
      <c r="D38" s="9"/>
      <c r="E38" s="9"/>
      <c r="F38" s="11"/>
      <c r="G38" s="2">
        <f t="shared" si="6"/>
        <v>287</v>
      </c>
      <c r="H38" s="3">
        <f t="shared" si="7"/>
        <v>0</v>
      </c>
    </row>
    <row r="39" spans="1:8" ht="27.75" customHeight="1">
      <c r="A39" s="9">
        <v>10</v>
      </c>
      <c r="B39" s="10" t="s">
        <v>15</v>
      </c>
      <c r="C39" s="9">
        <v>287</v>
      </c>
      <c r="D39" s="9"/>
      <c r="E39" s="9"/>
      <c r="F39" s="11"/>
      <c r="G39" s="2">
        <f t="shared" si="6"/>
        <v>287</v>
      </c>
      <c r="H39" s="3">
        <f t="shared" si="7"/>
        <v>0</v>
      </c>
    </row>
    <row r="40" spans="1:8" ht="27.75" customHeight="1">
      <c r="A40" s="9">
        <v>10</v>
      </c>
      <c r="B40" s="10" t="s">
        <v>16</v>
      </c>
      <c r="C40" s="9">
        <v>287</v>
      </c>
      <c r="D40" s="9"/>
      <c r="E40" s="9"/>
      <c r="F40" s="11"/>
      <c r="G40" s="2">
        <f t="shared" si="6"/>
        <v>287</v>
      </c>
      <c r="H40" s="3">
        <f t="shared" si="7"/>
        <v>0</v>
      </c>
    </row>
    <row r="41" spans="1:8" ht="27.75" customHeight="1">
      <c r="A41" s="9">
        <v>10</v>
      </c>
      <c r="B41" s="10" t="s">
        <v>17</v>
      </c>
      <c r="C41" s="9">
        <v>287</v>
      </c>
      <c r="D41" s="9"/>
      <c r="E41" s="9"/>
      <c r="F41" s="11"/>
      <c r="G41" s="2">
        <f t="shared" si="6"/>
        <v>287</v>
      </c>
      <c r="H41" s="3">
        <f t="shared" si="7"/>
        <v>0</v>
      </c>
    </row>
    <row r="42" spans="1:8" ht="27.75" customHeight="1">
      <c r="A42" s="6"/>
      <c r="B42" s="6"/>
      <c r="C42" s="7"/>
      <c r="D42" s="7"/>
      <c r="E42" s="7"/>
      <c r="F42" s="6"/>
      <c r="G42" s="6"/>
      <c r="H42" s="6"/>
    </row>
    <row r="43" spans="1:8" ht="27.75" customHeight="1">
      <c r="A43" s="1" t="s">
        <v>19</v>
      </c>
      <c r="B43" s="8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8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8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8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8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8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12" ht="27.75" customHeight="1">
      <c r="A49" s="1" t="s">
        <v>19</v>
      </c>
      <c r="B49" s="8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12" ht="27.75" customHeight="1">
      <c r="A50" s="1" t="s">
        <v>19</v>
      </c>
      <c r="B50" s="8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12" ht="56.25" customHeight="1">
      <c r="J51" s="42"/>
      <c r="K51" s="43"/>
      <c r="L51" s="43"/>
    </row>
    <row r="52" spans="1:12" ht="27.75" customHeight="1">
      <c r="J52" s="44"/>
      <c r="K52" s="43"/>
      <c r="L52" s="43"/>
    </row>
    <row r="53" spans="1:12" ht="27.75" customHeight="1">
      <c r="J53" s="44"/>
      <c r="K53" s="43"/>
      <c r="L53" s="43"/>
    </row>
    <row r="54" spans="1:12" ht="27.75" customHeight="1">
      <c r="J54" s="44"/>
      <c r="K54" s="43"/>
      <c r="L54" s="43"/>
    </row>
    <row r="55" spans="1:12" ht="39" customHeight="1">
      <c r="J55" s="44"/>
      <c r="K55" s="43"/>
      <c r="L55" s="43"/>
    </row>
    <row r="56" spans="1:12" ht="27.75" customHeight="1">
      <c r="J56" s="44"/>
      <c r="K56" s="43"/>
      <c r="L56" s="43"/>
    </row>
    <row r="57" spans="1:12" ht="27.75" customHeight="1">
      <c r="J57" s="44"/>
      <c r="K57" s="43"/>
      <c r="L57" s="43"/>
    </row>
    <row r="58" spans="1:12" ht="27.75" customHeight="1">
      <c r="J58" s="44"/>
      <c r="K58" s="43"/>
      <c r="L58" s="43"/>
    </row>
    <row r="59" spans="1:12" ht="27.75" customHeight="1">
      <c r="J59" s="44"/>
      <c r="K59" s="43"/>
      <c r="L59" s="43"/>
    </row>
    <row r="60" spans="1:12" ht="27.75" customHeight="1">
      <c r="J60" s="44"/>
      <c r="K60" s="43"/>
      <c r="L60" s="43"/>
    </row>
    <row r="61" spans="1:12" ht="27.75" customHeight="1">
      <c r="J61" s="44"/>
      <c r="K61" s="43"/>
      <c r="L61" s="43"/>
    </row>
    <row r="62" spans="1:12" ht="27.75" customHeight="1">
      <c r="J62" s="44"/>
      <c r="K62" s="43"/>
      <c r="L62" s="43"/>
    </row>
    <row r="63" spans="1:12" ht="27.75" customHeight="1">
      <c r="J63" s="44"/>
      <c r="K63" s="43"/>
      <c r="L63" s="43"/>
    </row>
    <row r="64" spans="1:12" ht="27.75" customHeight="1">
      <c r="J64" s="44"/>
      <c r="K64" s="43"/>
      <c r="L64" s="43"/>
    </row>
    <row r="65" spans="10:12" ht="27.75" customHeight="1">
      <c r="J65" s="44"/>
      <c r="K65" s="43"/>
      <c r="L65" s="43"/>
    </row>
    <row r="66" spans="10:12" ht="27.75" customHeight="1">
      <c r="J66" s="44"/>
      <c r="K66" s="43"/>
      <c r="L66" s="43"/>
    </row>
    <row r="67" spans="10:12" ht="27.75" customHeight="1">
      <c r="J67" s="44"/>
      <c r="K67" s="43"/>
      <c r="L67" s="43"/>
    </row>
    <row r="68" spans="10:12" ht="27.75" customHeight="1">
      <c r="J68" s="44"/>
      <c r="K68" s="43"/>
      <c r="L68" s="43"/>
    </row>
    <row r="69" spans="10:12" ht="27.75" customHeight="1">
      <c r="J69" s="44"/>
      <c r="K69" s="43"/>
      <c r="L69" s="43"/>
    </row>
    <row r="70" spans="10:12" ht="27.75" customHeight="1">
      <c r="J70" s="44"/>
      <c r="K70" s="43"/>
      <c r="L70" s="43"/>
    </row>
    <row r="71" spans="10:12" ht="27.75" customHeight="1">
      <c r="J71" s="44"/>
      <c r="K71" s="43"/>
      <c r="L71" s="43"/>
    </row>
    <row r="72" spans="10:12" ht="27.75" customHeight="1">
      <c r="J72" s="44"/>
      <c r="K72" s="43"/>
      <c r="L72" s="43"/>
    </row>
    <row r="73" spans="10:12" ht="27.75" customHeight="1">
      <c r="J73" s="44"/>
      <c r="K73" s="43"/>
      <c r="L73" s="43"/>
    </row>
    <row r="74" spans="10:12" ht="27.75" customHeight="1">
      <c r="J74" s="44"/>
      <c r="K74" s="43"/>
      <c r="L74" s="43"/>
    </row>
    <row r="75" spans="10:12" ht="27.75" customHeight="1">
      <c r="J75" s="44"/>
      <c r="K75" s="43"/>
      <c r="L75" s="43"/>
    </row>
    <row r="76" spans="10:12" ht="27.75" customHeight="1">
      <c r="J76" s="44"/>
      <c r="K76" s="43"/>
      <c r="L76" s="43"/>
    </row>
    <row r="77" spans="10:12" ht="27.75" customHeight="1">
      <c r="J77" s="44"/>
      <c r="K77" s="43"/>
      <c r="L77" s="43"/>
    </row>
    <row r="78" spans="10:12" ht="27.75" customHeight="1">
      <c r="J78" s="44"/>
      <c r="K78" s="43"/>
      <c r="L78" s="43"/>
    </row>
    <row r="79" spans="10:12" ht="27.75" customHeight="1">
      <c r="J79" s="44"/>
      <c r="K79" s="43"/>
      <c r="L79" s="43"/>
    </row>
    <row r="80" spans="10:12" ht="27.75" customHeight="1">
      <c r="J80" s="44"/>
      <c r="K80" s="43"/>
      <c r="L80" s="43"/>
    </row>
    <row r="81" spans="10:12" ht="27.75" customHeight="1">
      <c r="J81" s="44"/>
      <c r="K81" s="43"/>
      <c r="L81" s="43"/>
    </row>
    <row r="82" spans="10:12" ht="27.75" customHeight="1">
      <c r="J82" s="44"/>
      <c r="K82" s="43"/>
      <c r="L82" s="43"/>
    </row>
    <row r="83" spans="10:12" ht="27.75" customHeight="1">
      <c r="J83" s="44"/>
      <c r="K83" s="43"/>
      <c r="L83" s="43"/>
    </row>
    <row r="84" spans="10:12" ht="27.75" customHeight="1">
      <c r="J84" s="44"/>
      <c r="K84" s="43"/>
      <c r="L84" s="43"/>
    </row>
    <row r="85" spans="10:12" ht="27.75" customHeight="1">
      <c r="J85" s="44"/>
      <c r="K85" s="43"/>
      <c r="L85" s="43"/>
    </row>
    <row r="86" spans="10:12" ht="27.75" customHeight="1">
      <c r="J86" s="44"/>
      <c r="K86" s="43"/>
      <c r="L86" s="43"/>
    </row>
    <row r="87" spans="10:12" ht="27.75" customHeight="1">
      <c r="J87" s="44"/>
      <c r="K87" s="43"/>
      <c r="L87" s="43"/>
    </row>
    <row r="88" spans="10:12" ht="27.75" customHeight="1">
      <c r="J88" s="44"/>
      <c r="K88" s="43"/>
      <c r="L88" s="43"/>
    </row>
    <row r="89" spans="10:12" ht="27.75" customHeight="1">
      <c r="J89" s="44"/>
      <c r="K89" s="43"/>
      <c r="L89" s="43"/>
    </row>
    <row r="90" spans="10:12" ht="27.75" customHeight="1">
      <c r="J90" s="44"/>
      <c r="K90" s="43"/>
      <c r="L90" s="43"/>
    </row>
    <row r="91" spans="10:12" ht="41.25" customHeight="1">
      <c r="J91" s="42"/>
      <c r="K91" s="43"/>
      <c r="L91" s="43"/>
    </row>
    <row r="92" spans="10:12" ht="27.75" customHeight="1"/>
    <row r="93" spans="10:12" ht="39.75" customHeight="1"/>
    <row r="94" spans="10:12" ht="27.75" customHeight="1"/>
    <row r="95" spans="10:12" ht="36.75" customHeight="1"/>
    <row r="96" spans="10:12" ht="41.25" customHeight="1"/>
    <row r="97" ht="52.5" customHeight="1"/>
    <row r="98" ht="38.25" customHeight="1"/>
    <row r="99" ht="27.75" customHeight="1"/>
    <row r="100" ht="47.25" customHeight="1"/>
    <row r="101" ht="15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3:E11 E13:E21 E43:E50 E33:E41 E23:E31" xr:uid="{B46E7B13-721E-4D49-837E-C02BF9777D48}">
      <formula1>"2024,2025"</formula1>
    </dataValidation>
    <dataValidation type="list" allowBlank="1" showInputMessage="1" showErrorMessage="1" sqref="F3:F11 F13:F21 F43:F50 F33:F41 F23:F3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62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9.5703125" customWidth="1"/>
    <col min="4" max="4" width="33.140625" customWidth="1"/>
    <col min="5" max="5" width="24.85546875" customWidth="1"/>
    <col min="6" max="6" width="22.140625" customWidth="1"/>
    <col min="7" max="7" width="19" customWidth="1"/>
    <col min="8" max="9" width="20.85546875" customWidth="1"/>
    <col min="10" max="10" width="14" customWidth="1"/>
    <col min="11" max="11" width="36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D1" s="45" t="s">
        <v>28</v>
      </c>
      <c r="E1" s="45"/>
      <c r="F1" s="45"/>
      <c r="G1" s="45"/>
      <c r="H1" s="45"/>
      <c r="I1" s="45"/>
      <c r="J1" s="46" t="s">
        <v>29</v>
      </c>
      <c r="K1" s="46"/>
      <c r="L1" s="46"/>
      <c r="M1" s="46"/>
      <c r="N1" s="46"/>
      <c r="O1" s="46"/>
      <c r="P1" s="47" t="s">
        <v>30</v>
      </c>
      <c r="Q1" s="47"/>
      <c r="R1" s="47"/>
      <c r="S1" s="47"/>
      <c r="T1" s="47"/>
      <c r="U1" s="47"/>
      <c r="V1" s="48" t="s">
        <v>31</v>
      </c>
      <c r="W1" s="48"/>
      <c r="X1" s="48"/>
      <c r="Y1" s="48"/>
      <c r="Z1" s="48"/>
      <c r="AA1" s="48"/>
    </row>
    <row r="2" spans="1:27" ht="69.599999999999994" customHeight="1">
      <c r="A2" s="14" t="s">
        <v>0</v>
      </c>
      <c r="B2" s="14" t="s">
        <v>1</v>
      </c>
      <c r="C2" s="15" t="s">
        <v>2</v>
      </c>
      <c r="D2" s="19" t="s">
        <v>32</v>
      </c>
      <c r="E2" s="19" t="s">
        <v>33</v>
      </c>
      <c r="F2" s="20" t="s">
        <v>34</v>
      </c>
      <c r="G2" s="23" t="s">
        <v>35</v>
      </c>
      <c r="H2" s="16" t="s">
        <v>36</v>
      </c>
      <c r="I2" s="23" t="s">
        <v>37</v>
      </c>
      <c r="J2" s="21" t="s">
        <v>38</v>
      </c>
      <c r="K2" s="21" t="s">
        <v>39</v>
      </c>
      <c r="L2" s="22" t="s">
        <v>40</v>
      </c>
      <c r="M2" s="38" t="s">
        <v>41</v>
      </c>
      <c r="N2" s="38" t="s">
        <v>42</v>
      </c>
      <c r="O2" s="21" t="s">
        <v>43</v>
      </c>
      <c r="P2" s="23" t="s">
        <v>44</v>
      </c>
      <c r="Q2" s="23" t="s">
        <v>45</v>
      </c>
      <c r="R2" s="24" t="s">
        <v>46</v>
      </c>
      <c r="S2" s="16" t="s">
        <v>47</v>
      </c>
      <c r="T2" s="16" t="s">
        <v>48</v>
      </c>
      <c r="U2" s="23" t="s">
        <v>49</v>
      </c>
      <c r="V2" s="25" t="s">
        <v>50</v>
      </c>
      <c r="W2" s="25" t="s">
        <v>51</v>
      </c>
      <c r="X2" s="26" t="s">
        <v>52</v>
      </c>
      <c r="Y2" s="39" t="s">
        <v>53</v>
      </c>
      <c r="Z2" s="39" t="s">
        <v>54</v>
      </c>
      <c r="AA2" s="25" t="s">
        <v>55</v>
      </c>
    </row>
    <row r="3" spans="1:27" ht="30.6" customHeight="1">
      <c r="A3" s="37" t="s">
        <v>56</v>
      </c>
      <c r="B3" s="32"/>
      <c r="C3" s="31"/>
      <c r="D3" s="33">
        <f>Table1[[#This Row],[Enrolment S.Y. 2025-2026 ]]*8</f>
        <v>0</v>
      </c>
      <c r="E3" s="33"/>
      <c r="F3" s="31"/>
      <c r="G3" s="33"/>
      <c r="H3" s="33">
        <f>IF((D3-E3)&lt;0,0,(D3-E3))</f>
        <v>0</v>
      </c>
      <c r="I3" s="33">
        <f>IF((E3-D3)&lt;0,0,(E3-D3))</f>
        <v>0</v>
      </c>
      <c r="J3" s="33">
        <f>Table1[[#This Row],[Enrolment S.Y. 2025-2026 ]]*8</f>
        <v>0</v>
      </c>
      <c r="K3" s="33">
        <f>ROUNDDOWN(Table1[[#This Row],[Enrolment S.Y. 2025-2026 ]] / 2, 0) * 2</f>
        <v>0</v>
      </c>
      <c r="L3" s="31"/>
      <c r="M3" s="33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3"/>
      <c r="R3" s="31"/>
      <c r="S3" s="33"/>
      <c r="T3" s="33">
        <f>IF((P3-Q3)&lt;0,0,(P3-Q3))</f>
        <v>0</v>
      </c>
      <c r="U3" s="33">
        <f>IF((Q3-P3)&lt;0,0,(Q3-P3))</f>
        <v>0</v>
      </c>
      <c r="V3" s="33">
        <f>Table1[[#This Row],[Enrolment S.Y. 2025-2026 ]]*8</f>
        <v>0</v>
      </c>
      <c r="W3" s="33"/>
      <c r="X3" s="31"/>
      <c r="Y3" s="33"/>
      <c r="Z3" s="33">
        <f>IF((V3-W3)&lt;0,0,(V3-W3))</f>
        <v>0</v>
      </c>
      <c r="AA3" s="33">
        <f>IF((W3-V3)&lt;0,0,(W3-V3))</f>
        <v>0</v>
      </c>
    </row>
    <row r="4" spans="1:27" s="6" customFormat="1" ht="19.149999999999999">
      <c r="J4" s="12"/>
      <c r="K4" s="6">
        <f>ROUNDDOWN(Table1[[#This Row],[Enrolment S.Y. 2025-2026 ]] / 2, 0) * 2</f>
        <v>0</v>
      </c>
      <c r="N4" s="12"/>
      <c r="O4" s="12"/>
      <c r="P4" s="12"/>
      <c r="S4" s="4"/>
      <c r="T4" s="12"/>
      <c r="U4" s="12"/>
      <c r="V4" s="12"/>
      <c r="Z4" s="12"/>
      <c r="AA4" s="12"/>
    </row>
    <row r="5" spans="1:27" ht="19.5">
      <c r="A5" s="6"/>
      <c r="B5" s="6"/>
      <c r="C5" s="6"/>
      <c r="D5" s="6"/>
      <c r="E5" s="6"/>
      <c r="F5" s="6"/>
      <c r="G5" s="6"/>
      <c r="H5" s="6"/>
      <c r="I5" s="6"/>
      <c r="J5" s="12"/>
      <c r="K5" s="6">
        <f>ROUNDDOWN(Table1[[#This Row],[Enrolment S.Y. 2025-2026 ]] / 2, 0) * 2</f>
        <v>0</v>
      </c>
      <c r="L5" s="6"/>
      <c r="M5" s="4"/>
      <c r="N5" s="12"/>
      <c r="O5" s="12"/>
      <c r="P5" s="12"/>
      <c r="Q5" s="6"/>
      <c r="R5" s="6"/>
      <c r="S5" s="4"/>
      <c r="T5" s="12"/>
      <c r="U5" s="12"/>
      <c r="V5" s="12"/>
      <c r="W5" s="6"/>
      <c r="X5" s="6"/>
      <c r="Y5" s="4"/>
      <c r="Z5" s="12"/>
      <c r="AA5" s="12"/>
    </row>
    <row r="6" spans="1:27" ht="19.5">
      <c r="A6" s="9">
        <v>7</v>
      </c>
      <c r="B6" s="10" t="s">
        <v>8</v>
      </c>
      <c r="C6" s="9">
        <v>383</v>
      </c>
      <c r="D6" s="11">
        <f>Table1[[#This Row],[Enrolment S.Y. 2025-2026 ]]*8</f>
        <v>3064</v>
      </c>
      <c r="E6" s="11">
        <v>379</v>
      </c>
      <c r="F6" s="9">
        <v>2025</v>
      </c>
      <c r="G6" s="11" t="s">
        <v>57</v>
      </c>
      <c r="H6" s="11">
        <f t="shared" ref="H6:H20" si="2">IF((D6-E6)&lt;0,0,(D6-E6))</f>
        <v>2685</v>
      </c>
      <c r="I6" s="11">
        <f t="shared" ref="I6:I20" si="3">IF((E6-D6)&lt;0,0,(E6-D6))</f>
        <v>0</v>
      </c>
      <c r="J6" s="11">
        <f>Table1[[#This Row],[Enrolment S.Y. 2025-2026 ]]*8</f>
        <v>3064</v>
      </c>
      <c r="K6" s="11">
        <f>ROUNDDOWN(Table1[[#This Row],[Enrolment S.Y. 2025-2026 ]] / 2, 0) * 2</f>
        <v>382</v>
      </c>
      <c r="L6" s="9">
        <v>2025</v>
      </c>
      <c r="M6" s="11" t="s">
        <v>57</v>
      </c>
      <c r="N6" s="11">
        <f t="shared" ref="N6:N12" si="4">IF((J6-K6)&lt;0,0,(J6-K6))</f>
        <v>2682</v>
      </c>
      <c r="O6" s="11">
        <f t="shared" ref="O6:O12" si="5">IF((K6-J6)&lt;0,0,(K6-J6))</f>
        <v>0</v>
      </c>
      <c r="P6" s="11">
        <f>Table1[[#This Row],[Enrolment S.Y. 2025-2026 ]]*8</f>
        <v>3064</v>
      </c>
      <c r="Q6" s="11"/>
      <c r="R6" s="9"/>
      <c r="S6" s="11"/>
      <c r="T6" s="11">
        <f t="shared" ref="T6:T12" si="6">IF((P6-Q6)&lt;0,0,(P6-Q6))</f>
        <v>3064</v>
      </c>
      <c r="U6" s="11">
        <f t="shared" ref="U6:U12" si="7">IF((Q6-P6)&lt;0,0,(Q6-P6))</f>
        <v>0</v>
      </c>
      <c r="V6" s="11">
        <f>Table1[[#This Row],[Enrolment S.Y. 2025-2026 ]]*8</f>
        <v>3064</v>
      </c>
      <c r="W6" s="11"/>
      <c r="X6" s="9"/>
      <c r="Y6" s="11"/>
      <c r="Z6" s="11">
        <f t="shared" ref="Z6:Z12" si="8">IF((V6-W6)&lt;0,0,(V6-W6))</f>
        <v>3064</v>
      </c>
      <c r="AA6" s="11">
        <f t="shared" ref="AA6:AA12" si="9">IF((W6-V6)&lt;0,0,(W6-V6))</f>
        <v>0</v>
      </c>
    </row>
    <row r="7" spans="1:27" ht="19.5">
      <c r="A7" s="9">
        <v>7</v>
      </c>
      <c r="B7" s="10" t="s">
        <v>10</v>
      </c>
      <c r="C7" s="9">
        <v>383</v>
      </c>
      <c r="D7" s="11">
        <f>Table1[[#This Row],[Enrolment S.Y. 2025-2026 ]]*8</f>
        <v>3064</v>
      </c>
      <c r="E7" s="11">
        <v>379</v>
      </c>
      <c r="F7" s="9">
        <v>2025</v>
      </c>
      <c r="G7" s="11" t="s">
        <v>57</v>
      </c>
      <c r="H7" s="11">
        <f t="shared" si="2"/>
        <v>2685</v>
      </c>
      <c r="I7" s="11">
        <f t="shared" si="3"/>
        <v>0</v>
      </c>
      <c r="J7" s="11">
        <f>Table1[[#This Row],[Enrolment S.Y. 2025-2026 ]]*8</f>
        <v>3064</v>
      </c>
      <c r="K7" s="11">
        <f>ROUNDDOWN(Table1[[#This Row],[Enrolment S.Y. 2025-2026 ]] / 2, 0) * 2</f>
        <v>382</v>
      </c>
      <c r="L7" s="9">
        <v>2025</v>
      </c>
      <c r="M7" s="11" t="s">
        <v>57</v>
      </c>
      <c r="N7" s="11">
        <f t="shared" si="4"/>
        <v>2682</v>
      </c>
      <c r="O7" s="11">
        <f t="shared" si="5"/>
        <v>0</v>
      </c>
      <c r="P7" s="11">
        <f>Table1[[#This Row],[Enrolment S.Y. 2025-2026 ]]*8</f>
        <v>3064</v>
      </c>
      <c r="Q7" s="11"/>
      <c r="R7" s="9"/>
      <c r="S7" s="11"/>
      <c r="T7" s="11">
        <f t="shared" si="6"/>
        <v>3064</v>
      </c>
      <c r="U7" s="11">
        <f t="shared" si="7"/>
        <v>0</v>
      </c>
      <c r="V7" s="11">
        <f>Table1[[#This Row],[Enrolment S.Y. 2025-2026 ]]*8</f>
        <v>3064</v>
      </c>
      <c r="W7" s="11"/>
      <c r="X7" s="9"/>
      <c r="Y7" s="11"/>
      <c r="Z7" s="11">
        <f t="shared" si="8"/>
        <v>3064</v>
      </c>
      <c r="AA7" s="11">
        <f t="shared" si="9"/>
        <v>0</v>
      </c>
    </row>
    <row r="8" spans="1:27" ht="19.5">
      <c r="A8" s="9">
        <v>7</v>
      </c>
      <c r="B8" s="10" t="s">
        <v>11</v>
      </c>
      <c r="C8" s="9">
        <v>383</v>
      </c>
      <c r="D8" s="11">
        <f>Table1[[#This Row],[Enrolment S.Y. 2025-2026 ]]*8</f>
        <v>3064</v>
      </c>
      <c r="E8" s="11">
        <v>379</v>
      </c>
      <c r="F8" s="9">
        <v>2025</v>
      </c>
      <c r="G8" s="11" t="s">
        <v>57</v>
      </c>
      <c r="H8" s="11">
        <f t="shared" si="2"/>
        <v>2685</v>
      </c>
      <c r="I8" s="11">
        <f t="shared" si="3"/>
        <v>0</v>
      </c>
      <c r="J8" s="11">
        <f>Table1[[#This Row],[Enrolment S.Y. 2025-2026 ]]*8</f>
        <v>3064</v>
      </c>
      <c r="K8" s="11">
        <f>ROUNDDOWN(Table1[[#This Row],[Enrolment S.Y. 2025-2026 ]] / 2, 0) * 2</f>
        <v>382</v>
      </c>
      <c r="L8" s="9">
        <v>2025</v>
      </c>
      <c r="M8" s="11" t="s">
        <v>57</v>
      </c>
      <c r="N8" s="11">
        <f t="shared" si="4"/>
        <v>2682</v>
      </c>
      <c r="O8" s="11">
        <f t="shared" si="5"/>
        <v>0</v>
      </c>
      <c r="P8" s="11">
        <f>Table1[[#This Row],[Enrolment S.Y. 2025-2026 ]]*8</f>
        <v>3064</v>
      </c>
      <c r="Q8" s="11"/>
      <c r="R8" s="9"/>
      <c r="S8" s="11"/>
      <c r="T8" s="11">
        <f t="shared" si="6"/>
        <v>3064</v>
      </c>
      <c r="U8" s="11">
        <f t="shared" si="7"/>
        <v>0</v>
      </c>
      <c r="V8" s="11">
        <f>Table1[[#This Row],[Enrolment S.Y. 2025-2026 ]]*8</f>
        <v>3064</v>
      </c>
      <c r="W8" s="11"/>
      <c r="X8" s="9"/>
      <c r="Y8" s="11"/>
      <c r="Z8" s="11">
        <f t="shared" si="8"/>
        <v>3064</v>
      </c>
      <c r="AA8" s="11">
        <f t="shared" si="9"/>
        <v>0</v>
      </c>
    </row>
    <row r="9" spans="1:27" ht="19.5">
      <c r="A9" s="9">
        <v>7</v>
      </c>
      <c r="B9" s="10" t="s">
        <v>12</v>
      </c>
      <c r="C9" s="9">
        <v>383</v>
      </c>
      <c r="D9" s="11">
        <f>Table1[[#This Row],[Enrolment S.Y. 2025-2026 ]]*8</f>
        <v>3064</v>
      </c>
      <c r="E9" s="11">
        <v>379</v>
      </c>
      <c r="F9" s="9">
        <v>2025</v>
      </c>
      <c r="G9" s="11" t="s">
        <v>57</v>
      </c>
      <c r="H9" s="11">
        <f t="shared" si="2"/>
        <v>2685</v>
      </c>
      <c r="I9" s="11">
        <f t="shared" si="3"/>
        <v>0</v>
      </c>
      <c r="J9" s="11">
        <f>Table1[[#This Row],[Enrolment S.Y. 2025-2026 ]]*8</f>
        <v>3064</v>
      </c>
      <c r="K9" s="11">
        <f>ROUNDDOWN(Table1[[#This Row],[Enrolment S.Y. 2025-2026 ]] / 2, 0) * 2</f>
        <v>382</v>
      </c>
      <c r="L9" s="9">
        <v>2025</v>
      </c>
      <c r="M9" s="11" t="s">
        <v>57</v>
      </c>
      <c r="N9" s="11">
        <f t="shared" si="4"/>
        <v>2682</v>
      </c>
      <c r="O9" s="11">
        <f t="shared" si="5"/>
        <v>0</v>
      </c>
      <c r="P9" s="11">
        <f>Table1[[#This Row],[Enrolment S.Y. 2025-2026 ]]*8</f>
        <v>3064</v>
      </c>
      <c r="Q9" s="11"/>
      <c r="R9" s="9"/>
      <c r="S9" s="11"/>
      <c r="T9" s="11">
        <f t="shared" si="6"/>
        <v>3064</v>
      </c>
      <c r="U9" s="11">
        <f t="shared" si="7"/>
        <v>0</v>
      </c>
      <c r="V9" s="11">
        <f>Table1[[#This Row],[Enrolment S.Y. 2025-2026 ]]*8</f>
        <v>3064</v>
      </c>
      <c r="W9" s="11"/>
      <c r="X9" s="9"/>
      <c r="Y9" s="11"/>
      <c r="Z9" s="11">
        <f t="shared" si="8"/>
        <v>3064</v>
      </c>
      <c r="AA9" s="11">
        <f t="shared" si="9"/>
        <v>0</v>
      </c>
    </row>
    <row r="10" spans="1:27" ht="38.25">
      <c r="A10" s="9">
        <v>7</v>
      </c>
      <c r="B10" s="10" t="s">
        <v>13</v>
      </c>
      <c r="C10" s="9">
        <v>383</v>
      </c>
      <c r="D10" s="11">
        <f>Table1[[#This Row],[Enrolment S.Y. 2025-2026 ]]*8</f>
        <v>3064</v>
      </c>
      <c r="E10" s="11">
        <v>379</v>
      </c>
      <c r="F10" s="9">
        <v>2025</v>
      </c>
      <c r="G10" s="11" t="s">
        <v>57</v>
      </c>
      <c r="H10" s="11">
        <f t="shared" si="2"/>
        <v>2685</v>
      </c>
      <c r="I10" s="11">
        <f t="shared" si="3"/>
        <v>0</v>
      </c>
      <c r="J10" s="11">
        <f>Table1[[#This Row],[Enrolment S.Y. 2025-2026 ]]*8</f>
        <v>3064</v>
      </c>
      <c r="K10" s="11">
        <f>ROUNDDOWN(Table1[[#This Row],[Enrolment S.Y. 2025-2026 ]] / 2, 0) * 2</f>
        <v>382</v>
      </c>
      <c r="L10" s="9">
        <v>2025</v>
      </c>
      <c r="M10" s="11" t="s">
        <v>57</v>
      </c>
      <c r="N10" s="11">
        <f t="shared" si="4"/>
        <v>2682</v>
      </c>
      <c r="O10" s="11">
        <f t="shared" si="5"/>
        <v>0</v>
      </c>
      <c r="P10" s="11">
        <f>Table1[[#This Row],[Enrolment S.Y. 2025-2026 ]]*8</f>
        <v>3064</v>
      </c>
      <c r="Q10" s="11"/>
      <c r="R10" s="9"/>
      <c r="S10" s="11"/>
      <c r="T10" s="11">
        <f t="shared" si="6"/>
        <v>3064</v>
      </c>
      <c r="U10" s="11">
        <f t="shared" si="7"/>
        <v>0</v>
      </c>
      <c r="V10" s="11">
        <f>Table1[[#This Row],[Enrolment S.Y. 2025-2026 ]]*8</f>
        <v>3064</v>
      </c>
      <c r="W10" s="11"/>
      <c r="X10" s="9"/>
      <c r="Y10" s="11"/>
      <c r="Z10" s="11">
        <f t="shared" si="8"/>
        <v>3064</v>
      </c>
      <c r="AA10" s="11">
        <f t="shared" si="9"/>
        <v>0</v>
      </c>
    </row>
    <row r="11" spans="1:27" ht="19.5">
      <c r="A11" s="9">
        <v>7</v>
      </c>
      <c r="B11" s="10" t="s">
        <v>14</v>
      </c>
      <c r="C11" s="9">
        <v>383</v>
      </c>
      <c r="D11" s="11">
        <f>Table1[[#This Row],[Enrolment S.Y. 2025-2026 ]]*8</f>
        <v>3064</v>
      </c>
      <c r="E11" s="11">
        <v>379</v>
      </c>
      <c r="F11" s="9">
        <v>2025</v>
      </c>
      <c r="G11" s="11" t="s">
        <v>57</v>
      </c>
      <c r="H11" s="11">
        <f t="shared" si="2"/>
        <v>2685</v>
      </c>
      <c r="I11" s="11">
        <f t="shared" si="3"/>
        <v>0</v>
      </c>
      <c r="J11" s="11">
        <f>Table1[[#This Row],[Enrolment S.Y. 2025-2026 ]]*8</f>
        <v>3064</v>
      </c>
      <c r="K11" s="11">
        <f>ROUNDDOWN(Table1[[#This Row],[Enrolment S.Y. 2025-2026 ]] / 2, 0) * 2</f>
        <v>382</v>
      </c>
      <c r="L11" s="9">
        <v>2025</v>
      </c>
      <c r="M11" s="11" t="s">
        <v>57</v>
      </c>
      <c r="N11" s="11">
        <f t="shared" si="4"/>
        <v>2682</v>
      </c>
      <c r="O11" s="11">
        <f t="shared" si="5"/>
        <v>0</v>
      </c>
      <c r="P11" s="11">
        <f>Table1[[#This Row],[Enrolment S.Y. 2025-2026 ]]*8</f>
        <v>3064</v>
      </c>
      <c r="Q11" s="11"/>
      <c r="R11" s="9"/>
      <c r="S11" s="11"/>
      <c r="T11" s="11">
        <f t="shared" si="6"/>
        <v>3064</v>
      </c>
      <c r="U11" s="11">
        <f t="shared" si="7"/>
        <v>0</v>
      </c>
      <c r="V11" s="11">
        <f>Table1[[#This Row],[Enrolment S.Y. 2025-2026 ]]*8</f>
        <v>3064</v>
      </c>
      <c r="W11" s="11"/>
      <c r="X11" s="9"/>
      <c r="Y11" s="11"/>
      <c r="Z11" s="11">
        <f t="shared" si="8"/>
        <v>3064</v>
      </c>
      <c r="AA11" s="11">
        <f t="shared" si="9"/>
        <v>0</v>
      </c>
    </row>
    <row r="12" spans="1:27" ht="19.5">
      <c r="A12" s="9">
        <v>7</v>
      </c>
      <c r="B12" s="10" t="s">
        <v>15</v>
      </c>
      <c r="C12" s="9">
        <v>383</v>
      </c>
      <c r="D12" s="11">
        <f>Table1[[#This Row],[Enrolment S.Y. 2025-2026 ]]*8</f>
        <v>3064</v>
      </c>
      <c r="E12" s="11">
        <v>379</v>
      </c>
      <c r="F12" s="9">
        <v>2025</v>
      </c>
      <c r="G12" s="11" t="s">
        <v>57</v>
      </c>
      <c r="H12" s="11">
        <f t="shared" si="2"/>
        <v>2685</v>
      </c>
      <c r="I12" s="11">
        <f t="shared" si="3"/>
        <v>0</v>
      </c>
      <c r="J12" s="11">
        <f>Table1[[#This Row],[Enrolment S.Y. 2025-2026 ]]*8</f>
        <v>3064</v>
      </c>
      <c r="K12" s="11">
        <f>ROUNDDOWN(Table1[[#This Row],[Enrolment S.Y. 2025-2026 ]] / 2, 0) * 2</f>
        <v>382</v>
      </c>
      <c r="L12" s="9">
        <v>2025</v>
      </c>
      <c r="M12" s="11" t="s">
        <v>57</v>
      </c>
      <c r="N12" s="11">
        <f t="shared" si="4"/>
        <v>2682</v>
      </c>
      <c r="O12" s="11">
        <f t="shared" si="5"/>
        <v>0</v>
      </c>
      <c r="P12" s="11">
        <f>Table1[[#This Row],[Enrolment S.Y. 2025-2026 ]]*8</f>
        <v>3064</v>
      </c>
      <c r="Q12" s="11"/>
      <c r="R12" s="9"/>
      <c r="S12" s="11"/>
      <c r="T12" s="11">
        <f t="shared" si="6"/>
        <v>3064</v>
      </c>
      <c r="U12" s="11">
        <f t="shared" si="7"/>
        <v>0</v>
      </c>
      <c r="V12" s="11">
        <f>Table1[[#This Row],[Enrolment S.Y. 2025-2026 ]]*8</f>
        <v>3064</v>
      </c>
      <c r="W12" s="11"/>
      <c r="X12" s="9"/>
      <c r="Y12" s="11"/>
      <c r="Z12" s="11">
        <f t="shared" si="8"/>
        <v>3064</v>
      </c>
      <c r="AA12" s="11">
        <f t="shared" si="9"/>
        <v>0</v>
      </c>
    </row>
    <row r="13" spans="1:27" s="6" customFormat="1" ht="19.5">
      <c r="A13" s="9">
        <v>7</v>
      </c>
      <c r="B13" s="10" t="s">
        <v>16</v>
      </c>
      <c r="C13" s="9">
        <v>383</v>
      </c>
      <c r="D13" s="11">
        <f>Table1[[#This Row],[Enrolment S.Y. 2025-2026 ]]*8</f>
        <v>3064</v>
      </c>
      <c r="E13" s="11">
        <v>379</v>
      </c>
      <c r="F13" s="9">
        <v>2025</v>
      </c>
      <c r="G13" s="11" t="s">
        <v>57</v>
      </c>
      <c r="H13" s="11">
        <f t="shared" si="2"/>
        <v>2685</v>
      </c>
      <c r="I13" s="11">
        <f t="shared" si="3"/>
        <v>0</v>
      </c>
      <c r="J13" s="11">
        <f>Table1[[#This Row],[Enrolment S.Y. 2025-2026 ]]*8</f>
        <v>3064</v>
      </c>
      <c r="K13" s="11">
        <f>ROUNDDOWN(Table1[[#This Row],[Enrolment S.Y. 2025-2026 ]] / 2, 0) * 2</f>
        <v>382</v>
      </c>
      <c r="L13" s="9">
        <v>2025</v>
      </c>
      <c r="M13" s="11" t="s">
        <v>57</v>
      </c>
      <c r="N13" s="11">
        <f t="shared" ref="N13:N69" si="10">IF((J13-K13)&lt;0,0,(J13-K13))</f>
        <v>2682</v>
      </c>
      <c r="O13" s="11">
        <f t="shared" ref="O13:O69" si="11">IF((K13-J13)&lt;0,0,(K13-J13))</f>
        <v>0</v>
      </c>
      <c r="P13" s="11">
        <f>Table1[[#This Row],[Enrolment S.Y. 2025-2026 ]]*8</f>
        <v>3064</v>
      </c>
      <c r="Q13" s="11"/>
      <c r="R13" s="9"/>
      <c r="S13" s="11"/>
      <c r="T13" s="11">
        <f t="shared" ref="T13:T70" si="12">IF((P13-Q13)&lt;0,0,(P13-Q13))</f>
        <v>3064</v>
      </c>
      <c r="U13" s="11">
        <f t="shared" ref="U13:U70" si="13">IF((Q13-P13)&lt;0,0,(Q13-P13))</f>
        <v>0</v>
      </c>
      <c r="V13" s="11">
        <f>Table1[[#This Row],[Enrolment S.Y. 2025-2026 ]]*8</f>
        <v>3064</v>
      </c>
      <c r="W13" s="11"/>
      <c r="X13" s="9"/>
      <c r="Y13" s="11"/>
      <c r="Z13" s="11">
        <f t="shared" ref="Z13:Z70" si="14">IF((V13-W13)&lt;0,0,(V13-W13))</f>
        <v>3064</v>
      </c>
      <c r="AA13" s="11">
        <f t="shared" ref="AA13:AA70" si="15">IF((W13-V13)&lt;0,0,(W13-V13))</f>
        <v>0</v>
      </c>
    </row>
    <row r="14" spans="1:27" ht="19.5">
      <c r="A14" s="9">
        <v>7</v>
      </c>
      <c r="B14" s="10" t="s">
        <v>17</v>
      </c>
      <c r="C14" s="9">
        <v>383</v>
      </c>
      <c r="D14" s="11">
        <f>Table1[[#This Row],[Enrolment S.Y. 2025-2026 ]]*8</f>
        <v>3064</v>
      </c>
      <c r="E14" s="11">
        <v>379</v>
      </c>
      <c r="F14" s="9">
        <v>2025</v>
      </c>
      <c r="G14" s="11" t="s">
        <v>57</v>
      </c>
      <c r="H14" s="11">
        <f t="shared" si="2"/>
        <v>2685</v>
      </c>
      <c r="I14" s="11">
        <f t="shared" si="3"/>
        <v>0</v>
      </c>
      <c r="J14" s="11">
        <f>Table1[[#This Row],[Enrolment S.Y. 2025-2026 ]]*8</f>
        <v>3064</v>
      </c>
      <c r="K14" s="11">
        <f>ROUNDDOWN(Table1[[#This Row],[Enrolment S.Y. 2025-2026 ]] / 2, 0) * 2</f>
        <v>382</v>
      </c>
      <c r="L14" s="9">
        <v>2025</v>
      </c>
      <c r="M14" s="11" t="s">
        <v>57</v>
      </c>
      <c r="N14" s="11">
        <f t="shared" si="10"/>
        <v>2682</v>
      </c>
      <c r="O14" s="11">
        <f t="shared" si="11"/>
        <v>0</v>
      </c>
      <c r="P14" s="11">
        <f>Table1[[#This Row],[Enrolment S.Y. 2025-2026 ]]*8</f>
        <v>3064</v>
      </c>
      <c r="Q14" s="11"/>
      <c r="R14" s="9"/>
      <c r="S14" s="11"/>
      <c r="T14" s="11">
        <f t="shared" si="12"/>
        <v>3064</v>
      </c>
      <c r="U14" s="11">
        <f t="shared" si="13"/>
        <v>0</v>
      </c>
      <c r="V14" s="11">
        <f>Table1[[#This Row],[Enrolment S.Y. 2025-2026 ]]*8</f>
        <v>3064</v>
      </c>
      <c r="W14" s="11"/>
      <c r="X14" s="9"/>
      <c r="Y14" s="11"/>
      <c r="Z14" s="11">
        <f t="shared" si="14"/>
        <v>3064</v>
      </c>
      <c r="AA14" s="11">
        <f t="shared" si="15"/>
        <v>0</v>
      </c>
    </row>
    <row r="15" spans="1:27" ht="19.5">
      <c r="A15" s="6"/>
      <c r="B15" s="6"/>
      <c r="C15" s="6"/>
      <c r="D15" s="6"/>
      <c r="E15" s="6"/>
      <c r="F15" s="6"/>
      <c r="G15" s="6"/>
      <c r="H15" s="6"/>
      <c r="I15" s="6"/>
      <c r="J15" s="12"/>
      <c r="K15" s="6">
        <f>ROUNDDOWN(Table1[[#This Row],[Enrolment S.Y. 2025-2026 ]] / 2, 0) * 2</f>
        <v>0</v>
      </c>
      <c r="L15" s="6"/>
      <c r="M15" s="4"/>
      <c r="N15" s="12"/>
      <c r="O15" s="12"/>
      <c r="P15" s="12"/>
      <c r="Q15" s="6"/>
      <c r="R15" s="6"/>
      <c r="S15" s="4"/>
      <c r="T15" s="12"/>
      <c r="U15" s="12"/>
      <c r="V15" s="12"/>
      <c r="W15" s="6"/>
      <c r="X15" s="6"/>
      <c r="Y15" s="4"/>
      <c r="Z15" s="12"/>
      <c r="AA15" s="12"/>
    </row>
    <row r="16" spans="1:27" ht="19.5">
      <c r="A16" s="9">
        <v>8</v>
      </c>
      <c r="B16" s="10" t="s">
        <v>8</v>
      </c>
      <c r="C16" s="9">
        <v>332</v>
      </c>
      <c r="D16" s="11">
        <f>Table1[[#This Row],[Enrolment S.Y. 2025-2026 ]]*8</f>
        <v>2656</v>
      </c>
      <c r="E16" s="11">
        <v>317</v>
      </c>
      <c r="F16" s="9">
        <v>2025</v>
      </c>
      <c r="G16" s="11" t="s">
        <v>57</v>
      </c>
      <c r="H16" s="11">
        <f t="shared" si="2"/>
        <v>2339</v>
      </c>
      <c r="I16" s="11">
        <f t="shared" si="3"/>
        <v>0</v>
      </c>
      <c r="J16" s="11">
        <f>Table1[[#This Row],[Enrolment S.Y. 2025-2026 ]]*8</f>
        <v>2656</v>
      </c>
      <c r="K16" s="11">
        <f>ROUNDDOWN(Table1[[#This Row],[Enrolment S.Y. 2025-2026 ]] / 2, 0) * 2</f>
        <v>332</v>
      </c>
      <c r="L16" s="9">
        <v>2025</v>
      </c>
      <c r="M16" s="11" t="s">
        <v>57</v>
      </c>
      <c r="N16" s="11">
        <f t="shared" si="10"/>
        <v>2324</v>
      </c>
      <c r="O16" s="11">
        <f t="shared" si="11"/>
        <v>0</v>
      </c>
      <c r="P16" s="11">
        <f>Table1[[#This Row],[Enrolment S.Y. 2025-2026 ]]*8</f>
        <v>2656</v>
      </c>
      <c r="Q16" s="11"/>
      <c r="R16" s="9"/>
      <c r="S16" s="11"/>
      <c r="T16" s="11">
        <f t="shared" si="12"/>
        <v>2656</v>
      </c>
      <c r="U16" s="11">
        <f t="shared" si="13"/>
        <v>0</v>
      </c>
      <c r="V16" s="11">
        <f>Table1[[#This Row],[Enrolment S.Y. 2025-2026 ]]*8</f>
        <v>2656</v>
      </c>
      <c r="W16" s="11"/>
      <c r="X16" s="9"/>
      <c r="Y16" s="11"/>
      <c r="Z16" s="11">
        <f t="shared" si="14"/>
        <v>2656</v>
      </c>
      <c r="AA16" s="11">
        <f t="shared" si="15"/>
        <v>0</v>
      </c>
    </row>
    <row r="17" spans="1:27" ht="19.5">
      <c r="A17" s="9">
        <v>8</v>
      </c>
      <c r="B17" s="10" t="s">
        <v>10</v>
      </c>
      <c r="C17" s="9">
        <v>332</v>
      </c>
      <c r="D17" s="11">
        <f>Table1[[#This Row],[Enrolment S.Y. 2025-2026 ]]*8</f>
        <v>2656</v>
      </c>
      <c r="E17" s="11">
        <v>317</v>
      </c>
      <c r="F17" s="9">
        <v>2025</v>
      </c>
      <c r="G17" s="11" t="s">
        <v>57</v>
      </c>
      <c r="H17" s="11">
        <f t="shared" si="2"/>
        <v>2339</v>
      </c>
      <c r="I17" s="11">
        <f t="shared" si="3"/>
        <v>0</v>
      </c>
      <c r="J17" s="11">
        <f>Table1[[#This Row],[Enrolment S.Y. 2025-2026 ]]*8</f>
        <v>2656</v>
      </c>
      <c r="K17" s="11">
        <f>ROUNDDOWN(Table1[[#This Row],[Enrolment S.Y. 2025-2026 ]] / 2, 0) * 2</f>
        <v>332</v>
      </c>
      <c r="L17" s="9">
        <v>2025</v>
      </c>
      <c r="M17" s="11" t="s">
        <v>57</v>
      </c>
      <c r="N17" s="11">
        <f t="shared" si="10"/>
        <v>2324</v>
      </c>
      <c r="O17" s="11">
        <f t="shared" si="11"/>
        <v>0</v>
      </c>
      <c r="P17" s="11">
        <f>Table1[[#This Row],[Enrolment S.Y. 2025-2026 ]]*8</f>
        <v>2656</v>
      </c>
      <c r="Q17" s="11"/>
      <c r="R17" s="9"/>
      <c r="S17" s="11"/>
      <c r="T17" s="11">
        <f t="shared" si="12"/>
        <v>2656</v>
      </c>
      <c r="U17" s="11">
        <f t="shared" si="13"/>
        <v>0</v>
      </c>
      <c r="V17" s="11">
        <f>Table1[[#This Row],[Enrolment S.Y. 2025-2026 ]]*8</f>
        <v>2656</v>
      </c>
      <c r="W17" s="11"/>
      <c r="X17" s="9"/>
      <c r="Y17" s="11"/>
      <c r="Z17" s="11">
        <f t="shared" si="14"/>
        <v>2656</v>
      </c>
      <c r="AA17" s="11">
        <f t="shared" si="15"/>
        <v>0</v>
      </c>
    </row>
    <row r="18" spans="1:27" ht="19.5">
      <c r="A18" s="9">
        <v>8</v>
      </c>
      <c r="B18" s="10" t="s">
        <v>11</v>
      </c>
      <c r="C18" s="9">
        <v>332</v>
      </c>
      <c r="D18" s="11">
        <f>Table1[[#This Row],[Enrolment S.Y. 2025-2026 ]]*8</f>
        <v>2656</v>
      </c>
      <c r="E18" s="11">
        <v>317</v>
      </c>
      <c r="F18" s="9">
        <v>2025</v>
      </c>
      <c r="G18" s="11" t="s">
        <v>57</v>
      </c>
      <c r="H18" s="11">
        <f t="shared" si="2"/>
        <v>2339</v>
      </c>
      <c r="I18" s="11">
        <f t="shared" si="3"/>
        <v>0</v>
      </c>
      <c r="J18" s="11">
        <f>Table1[[#This Row],[Enrolment S.Y. 2025-2026 ]]*8</f>
        <v>2656</v>
      </c>
      <c r="K18" s="11">
        <f>ROUNDDOWN(Table1[[#This Row],[Enrolment S.Y. 2025-2026 ]] / 2, 0) * 2</f>
        <v>332</v>
      </c>
      <c r="L18" s="9">
        <v>2025</v>
      </c>
      <c r="M18" s="11" t="s">
        <v>57</v>
      </c>
      <c r="N18" s="11">
        <f t="shared" si="10"/>
        <v>2324</v>
      </c>
      <c r="O18" s="11">
        <f t="shared" si="11"/>
        <v>0</v>
      </c>
      <c r="P18" s="11">
        <f>Table1[[#This Row],[Enrolment S.Y. 2025-2026 ]]*8</f>
        <v>2656</v>
      </c>
      <c r="Q18" s="11"/>
      <c r="R18" s="9"/>
      <c r="S18" s="11"/>
      <c r="T18" s="11">
        <f t="shared" si="12"/>
        <v>2656</v>
      </c>
      <c r="U18" s="11">
        <f t="shared" si="13"/>
        <v>0</v>
      </c>
      <c r="V18" s="11">
        <f>Table1[[#This Row],[Enrolment S.Y. 2025-2026 ]]*8</f>
        <v>2656</v>
      </c>
      <c r="W18" s="11"/>
      <c r="X18" s="9"/>
      <c r="Y18" s="11"/>
      <c r="Z18" s="11">
        <f t="shared" si="14"/>
        <v>2656</v>
      </c>
      <c r="AA18" s="11">
        <f t="shared" si="15"/>
        <v>0</v>
      </c>
    </row>
    <row r="19" spans="1:27" ht="19.5">
      <c r="A19" s="9">
        <v>8</v>
      </c>
      <c r="B19" s="10" t="s">
        <v>12</v>
      </c>
      <c r="C19" s="9">
        <v>332</v>
      </c>
      <c r="D19" s="11">
        <f>Table1[[#This Row],[Enrolment S.Y. 2025-2026 ]]*8</f>
        <v>2656</v>
      </c>
      <c r="E19" s="11">
        <v>317</v>
      </c>
      <c r="F19" s="9">
        <v>2025</v>
      </c>
      <c r="G19" s="11" t="s">
        <v>57</v>
      </c>
      <c r="H19" s="11">
        <f t="shared" si="2"/>
        <v>2339</v>
      </c>
      <c r="I19" s="11">
        <f t="shared" si="3"/>
        <v>0</v>
      </c>
      <c r="J19" s="11">
        <f>Table1[[#This Row],[Enrolment S.Y. 2025-2026 ]]*8</f>
        <v>2656</v>
      </c>
      <c r="K19" s="11">
        <f>ROUNDDOWN(Table1[[#This Row],[Enrolment S.Y. 2025-2026 ]] / 2, 0) * 2</f>
        <v>332</v>
      </c>
      <c r="L19" s="9">
        <v>2025</v>
      </c>
      <c r="M19" s="11" t="s">
        <v>57</v>
      </c>
      <c r="N19" s="11">
        <f t="shared" si="10"/>
        <v>2324</v>
      </c>
      <c r="O19" s="11">
        <f t="shared" si="11"/>
        <v>0</v>
      </c>
      <c r="P19" s="11">
        <f>Table1[[#This Row],[Enrolment S.Y. 2025-2026 ]]*8</f>
        <v>2656</v>
      </c>
      <c r="Q19" s="11"/>
      <c r="R19" s="9"/>
      <c r="S19" s="11"/>
      <c r="T19" s="11">
        <f t="shared" si="12"/>
        <v>2656</v>
      </c>
      <c r="U19" s="11">
        <f t="shared" si="13"/>
        <v>0</v>
      </c>
      <c r="V19" s="11">
        <f>Table1[[#This Row],[Enrolment S.Y. 2025-2026 ]]*8</f>
        <v>2656</v>
      </c>
      <c r="W19" s="11"/>
      <c r="X19" s="9"/>
      <c r="Y19" s="11"/>
      <c r="Z19" s="11">
        <f t="shared" si="14"/>
        <v>2656</v>
      </c>
      <c r="AA19" s="11">
        <f t="shared" si="15"/>
        <v>0</v>
      </c>
    </row>
    <row r="20" spans="1:27" ht="19.5">
      <c r="A20" s="9">
        <v>8</v>
      </c>
      <c r="B20" s="10" t="s">
        <v>18</v>
      </c>
      <c r="C20" s="9">
        <v>332</v>
      </c>
      <c r="D20" s="11">
        <f>Table1[[#This Row],[Enrolment S.Y. 2025-2026 ]]*8</f>
        <v>2656</v>
      </c>
      <c r="E20" s="11">
        <v>317</v>
      </c>
      <c r="F20" s="9">
        <v>2025</v>
      </c>
      <c r="G20" s="11" t="s">
        <v>57</v>
      </c>
      <c r="H20" s="11">
        <f t="shared" si="2"/>
        <v>2339</v>
      </c>
      <c r="I20" s="11">
        <f t="shared" si="3"/>
        <v>0</v>
      </c>
      <c r="J20" s="11">
        <f>Table1[[#This Row],[Enrolment S.Y. 2025-2026 ]]*8</f>
        <v>2656</v>
      </c>
      <c r="K20" s="11">
        <f>ROUNDDOWN(Table1[[#This Row],[Enrolment S.Y. 2025-2026 ]] / 2, 0) * 2</f>
        <v>332</v>
      </c>
      <c r="L20" s="9">
        <v>2025</v>
      </c>
      <c r="M20" s="11" t="s">
        <v>57</v>
      </c>
      <c r="N20" s="11">
        <f t="shared" si="10"/>
        <v>2324</v>
      </c>
      <c r="O20" s="11">
        <f t="shared" si="11"/>
        <v>0</v>
      </c>
      <c r="P20" s="11">
        <f>Table1[[#This Row],[Enrolment S.Y. 2025-2026 ]]*8</f>
        <v>2656</v>
      </c>
      <c r="Q20" s="11"/>
      <c r="R20" s="9"/>
      <c r="S20" s="11"/>
      <c r="T20" s="11">
        <f t="shared" si="12"/>
        <v>2656</v>
      </c>
      <c r="U20" s="11">
        <f t="shared" si="13"/>
        <v>0</v>
      </c>
      <c r="V20" s="11">
        <f>Table1[[#This Row],[Enrolment S.Y. 2025-2026 ]]*8</f>
        <v>2656</v>
      </c>
      <c r="W20" s="11"/>
      <c r="X20" s="9"/>
      <c r="Y20" s="11"/>
      <c r="Z20" s="11">
        <f t="shared" si="14"/>
        <v>2656</v>
      </c>
      <c r="AA20" s="11">
        <f t="shared" si="15"/>
        <v>0</v>
      </c>
    </row>
    <row r="21" spans="1:27" ht="19.5">
      <c r="A21" s="9">
        <v>8</v>
      </c>
      <c r="B21" s="10" t="s">
        <v>14</v>
      </c>
      <c r="C21" s="9">
        <v>332</v>
      </c>
      <c r="D21" s="11">
        <f>Table1[[#This Row],[Enrolment S.Y. 2025-2026 ]]*8</f>
        <v>2656</v>
      </c>
      <c r="E21" s="11">
        <v>317</v>
      </c>
      <c r="F21" s="9">
        <v>2025</v>
      </c>
      <c r="G21" s="11" t="s">
        <v>57</v>
      </c>
      <c r="H21" s="11">
        <f t="shared" ref="H21:H70" si="16">IF((D21-E21)&lt;0,0,(D21-E21))</f>
        <v>2339</v>
      </c>
      <c r="I21" s="11">
        <f t="shared" ref="I21:I70" si="17">IF((E21-D21)&lt;0,0,(E21-D21))</f>
        <v>0</v>
      </c>
      <c r="J21" s="11">
        <f>Table1[[#This Row],[Enrolment S.Y. 2025-2026 ]]*8</f>
        <v>2656</v>
      </c>
      <c r="K21" s="11">
        <f>ROUNDDOWN(Table1[[#This Row],[Enrolment S.Y. 2025-2026 ]] / 2, 0) * 2</f>
        <v>332</v>
      </c>
      <c r="L21" s="9">
        <v>2025</v>
      </c>
      <c r="M21" s="11" t="s">
        <v>57</v>
      </c>
      <c r="N21" s="11">
        <f t="shared" si="10"/>
        <v>2324</v>
      </c>
      <c r="O21" s="11">
        <f t="shared" si="11"/>
        <v>0</v>
      </c>
      <c r="P21" s="11">
        <f>Table1[[#This Row],[Enrolment S.Y. 2025-2026 ]]*8</f>
        <v>2656</v>
      </c>
      <c r="Q21" s="11"/>
      <c r="R21" s="9"/>
      <c r="S21" s="11"/>
      <c r="T21" s="11">
        <f t="shared" si="12"/>
        <v>2656</v>
      </c>
      <c r="U21" s="11">
        <f t="shared" si="13"/>
        <v>0</v>
      </c>
      <c r="V21" s="11">
        <f>Table1[[#This Row],[Enrolment S.Y. 2025-2026 ]]*8</f>
        <v>2656</v>
      </c>
      <c r="W21" s="11"/>
      <c r="X21" s="9"/>
      <c r="Y21" s="11"/>
      <c r="Z21" s="11">
        <f t="shared" si="14"/>
        <v>2656</v>
      </c>
      <c r="AA21" s="11">
        <f t="shared" si="15"/>
        <v>0</v>
      </c>
    </row>
    <row r="22" spans="1:27" s="6" customFormat="1" ht="19.5">
      <c r="A22" s="9">
        <v>8</v>
      </c>
      <c r="B22" s="10" t="s">
        <v>15</v>
      </c>
      <c r="C22" s="9">
        <v>332</v>
      </c>
      <c r="D22" s="11">
        <f>Table1[[#This Row],[Enrolment S.Y. 2025-2026 ]]*8</f>
        <v>2656</v>
      </c>
      <c r="E22" s="11">
        <v>317</v>
      </c>
      <c r="F22" s="9">
        <v>2025</v>
      </c>
      <c r="G22" s="11" t="s">
        <v>57</v>
      </c>
      <c r="H22" s="11">
        <f t="shared" si="16"/>
        <v>2339</v>
      </c>
      <c r="I22" s="11">
        <f t="shared" si="17"/>
        <v>0</v>
      </c>
      <c r="J22" s="11">
        <f>Table1[[#This Row],[Enrolment S.Y. 2025-2026 ]]*8</f>
        <v>2656</v>
      </c>
      <c r="K22" s="11">
        <f>ROUNDDOWN(Table1[[#This Row],[Enrolment S.Y. 2025-2026 ]] / 2, 0) * 2</f>
        <v>332</v>
      </c>
      <c r="L22" s="9">
        <v>2025</v>
      </c>
      <c r="M22" s="11" t="s">
        <v>57</v>
      </c>
      <c r="N22" s="11">
        <f t="shared" si="10"/>
        <v>2324</v>
      </c>
      <c r="O22" s="11">
        <f t="shared" si="11"/>
        <v>0</v>
      </c>
      <c r="P22" s="11">
        <f>Table1[[#This Row],[Enrolment S.Y. 2025-2026 ]]*8</f>
        <v>2656</v>
      </c>
      <c r="Q22" s="11"/>
      <c r="R22" s="9"/>
      <c r="S22" s="11"/>
      <c r="T22" s="11">
        <f t="shared" si="12"/>
        <v>2656</v>
      </c>
      <c r="U22" s="11">
        <f t="shared" si="13"/>
        <v>0</v>
      </c>
      <c r="V22" s="11">
        <f>Table1[[#This Row],[Enrolment S.Y. 2025-2026 ]]*8</f>
        <v>2656</v>
      </c>
      <c r="W22" s="11"/>
      <c r="X22" s="9"/>
      <c r="Y22" s="11"/>
      <c r="Z22" s="11">
        <f t="shared" si="14"/>
        <v>2656</v>
      </c>
      <c r="AA22" s="11">
        <f t="shared" si="15"/>
        <v>0</v>
      </c>
    </row>
    <row r="23" spans="1:27" ht="19.5">
      <c r="A23" s="9">
        <v>8</v>
      </c>
      <c r="B23" s="10" t="s">
        <v>16</v>
      </c>
      <c r="C23" s="9">
        <v>332</v>
      </c>
      <c r="D23" s="11">
        <f>Table1[[#This Row],[Enrolment S.Y. 2025-2026 ]]*8</f>
        <v>2656</v>
      </c>
      <c r="E23" s="11">
        <v>317</v>
      </c>
      <c r="F23" s="9">
        <v>2025</v>
      </c>
      <c r="G23" s="11" t="s">
        <v>57</v>
      </c>
      <c r="H23" s="11">
        <f t="shared" si="16"/>
        <v>2339</v>
      </c>
      <c r="I23" s="11">
        <f t="shared" si="17"/>
        <v>0</v>
      </c>
      <c r="J23" s="11">
        <f>Table1[[#This Row],[Enrolment S.Y. 2025-2026 ]]*8</f>
        <v>2656</v>
      </c>
      <c r="K23" s="11">
        <f>ROUNDDOWN(Table1[[#This Row],[Enrolment S.Y. 2025-2026 ]] / 2, 0) * 2</f>
        <v>332</v>
      </c>
      <c r="L23" s="9">
        <v>2025</v>
      </c>
      <c r="M23" s="11" t="s">
        <v>57</v>
      </c>
      <c r="N23" s="11">
        <f t="shared" si="10"/>
        <v>2324</v>
      </c>
      <c r="O23" s="11">
        <f t="shared" si="11"/>
        <v>0</v>
      </c>
      <c r="P23" s="11">
        <f>Table1[[#This Row],[Enrolment S.Y. 2025-2026 ]]*8</f>
        <v>2656</v>
      </c>
      <c r="Q23" s="11"/>
      <c r="R23" s="9"/>
      <c r="S23" s="11"/>
      <c r="T23" s="11">
        <f t="shared" si="12"/>
        <v>2656</v>
      </c>
      <c r="U23" s="11">
        <f t="shared" si="13"/>
        <v>0</v>
      </c>
      <c r="V23" s="11">
        <f>Table1[[#This Row],[Enrolment S.Y. 2025-2026 ]]*8</f>
        <v>2656</v>
      </c>
      <c r="W23" s="11"/>
      <c r="X23" s="9"/>
      <c r="Y23" s="11"/>
      <c r="Z23" s="11">
        <f t="shared" si="14"/>
        <v>2656</v>
      </c>
      <c r="AA23" s="11">
        <f t="shared" si="15"/>
        <v>0</v>
      </c>
    </row>
    <row r="24" spans="1:27" ht="19.5">
      <c r="A24" s="9">
        <v>8</v>
      </c>
      <c r="B24" s="10" t="s">
        <v>17</v>
      </c>
      <c r="C24" s="9">
        <v>332</v>
      </c>
      <c r="D24" s="11">
        <f>Table1[[#This Row],[Enrolment S.Y. 2025-2026 ]]*8</f>
        <v>2656</v>
      </c>
      <c r="E24" s="11">
        <v>317</v>
      </c>
      <c r="F24" s="9">
        <v>2025</v>
      </c>
      <c r="G24" s="11" t="s">
        <v>57</v>
      </c>
      <c r="H24" s="11">
        <f t="shared" si="16"/>
        <v>2339</v>
      </c>
      <c r="I24" s="11">
        <f t="shared" si="17"/>
        <v>0</v>
      </c>
      <c r="J24" s="11">
        <f>Table1[[#This Row],[Enrolment S.Y. 2025-2026 ]]*8</f>
        <v>2656</v>
      </c>
      <c r="K24" s="11">
        <f>ROUNDDOWN(Table1[[#This Row],[Enrolment S.Y. 2025-2026 ]] / 2, 0) * 2</f>
        <v>332</v>
      </c>
      <c r="L24" s="9">
        <v>2025</v>
      </c>
      <c r="M24" s="11" t="s">
        <v>57</v>
      </c>
      <c r="N24" s="11">
        <f t="shared" si="10"/>
        <v>2324</v>
      </c>
      <c r="O24" s="11">
        <f t="shared" si="11"/>
        <v>0</v>
      </c>
      <c r="P24" s="11">
        <f>Table1[[#This Row],[Enrolment S.Y. 2025-2026 ]]*8</f>
        <v>2656</v>
      </c>
      <c r="Q24" s="11"/>
      <c r="R24" s="9"/>
      <c r="S24" s="11"/>
      <c r="T24" s="11">
        <f t="shared" si="12"/>
        <v>2656</v>
      </c>
      <c r="U24" s="11">
        <f t="shared" si="13"/>
        <v>0</v>
      </c>
      <c r="V24" s="11">
        <f>Table1[[#This Row],[Enrolment S.Y. 2025-2026 ]]*8</f>
        <v>2656</v>
      </c>
      <c r="W24" s="11"/>
      <c r="X24" s="9"/>
      <c r="Y24" s="11"/>
      <c r="Z24" s="11">
        <f t="shared" si="14"/>
        <v>2656</v>
      </c>
      <c r="AA24" s="11">
        <f t="shared" si="15"/>
        <v>0</v>
      </c>
    </row>
    <row r="25" spans="1:27" ht="19.5">
      <c r="A25" s="6"/>
      <c r="B25" s="6"/>
      <c r="C25" s="6"/>
      <c r="D25" s="6"/>
      <c r="E25" s="6"/>
      <c r="F25" s="6"/>
      <c r="G25" s="6"/>
      <c r="H25" s="6"/>
      <c r="I25" s="6"/>
      <c r="J25" s="12"/>
      <c r="K25" s="6">
        <f>ROUNDDOWN(Table1[[#This Row],[Enrolment S.Y. 2025-2026 ]] / 2, 0) * 2</f>
        <v>0</v>
      </c>
      <c r="L25" s="6"/>
      <c r="M25" s="4"/>
      <c r="N25" s="12"/>
      <c r="O25" s="12"/>
      <c r="P25" s="12"/>
      <c r="Q25" s="6"/>
      <c r="R25" s="6"/>
      <c r="S25" s="4"/>
      <c r="T25" s="12"/>
      <c r="U25" s="12"/>
      <c r="V25" s="12"/>
      <c r="W25" s="6"/>
      <c r="X25" s="6"/>
      <c r="Y25" s="4"/>
      <c r="Z25" s="12"/>
      <c r="AA25" s="12"/>
    </row>
    <row r="26" spans="1:27" ht="19.5">
      <c r="A26" s="9">
        <v>9</v>
      </c>
      <c r="B26" s="10" t="s">
        <v>8</v>
      </c>
      <c r="C26" s="9">
        <v>306</v>
      </c>
      <c r="D26" s="11">
        <f>Table1[[#This Row],[Enrolment S.Y. 2025-2026 ]]*8</f>
        <v>2448</v>
      </c>
      <c r="E26" s="11">
        <v>287</v>
      </c>
      <c r="F26" s="9">
        <v>2025</v>
      </c>
      <c r="G26" s="11" t="s">
        <v>57</v>
      </c>
      <c r="H26" s="11">
        <f t="shared" si="16"/>
        <v>2161</v>
      </c>
      <c r="I26" s="11">
        <f t="shared" si="17"/>
        <v>0</v>
      </c>
      <c r="J26" s="11">
        <f>Table1[[#This Row],[Enrolment S.Y. 2025-2026 ]]*8</f>
        <v>2448</v>
      </c>
      <c r="K26" s="11">
        <f>ROUNDDOWN(Table1[[#This Row],[Enrolment S.Y. 2025-2026 ]] / 2, 0) * 2</f>
        <v>306</v>
      </c>
      <c r="L26" s="9">
        <v>2025</v>
      </c>
      <c r="M26" s="11" t="s">
        <v>57</v>
      </c>
      <c r="N26" s="11">
        <f t="shared" si="10"/>
        <v>2142</v>
      </c>
      <c r="O26" s="11">
        <f t="shared" si="11"/>
        <v>0</v>
      </c>
      <c r="P26" s="11">
        <f>Table1[[#This Row],[Enrolment S.Y. 2025-2026 ]]*8</f>
        <v>2448</v>
      </c>
      <c r="Q26" s="11"/>
      <c r="R26" s="9"/>
      <c r="S26" s="11"/>
      <c r="T26" s="11">
        <f t="shared" si="12"/>
        <v>2448</v>
      </c>
      <c r="U26" s="11">
        <f t="shared" si="13"/>
        <v>0</v>
      </c>
      <c r="V26" s="11">
        <f>Table1[[#This Row],[Enrolment S.Y. 2025-2026 ]]*8</f>
        <v>2448</v>
      </c>
      <c r="W26" s="11"/>
      <c r="X26" s="9"/>
      <c r="Y26" s="11"/>
      <c r="Z26" s="11">
        <f t="shared" si="14"/>
        <v>2448</v>
      </c>
      <c r="AA26" s="11">
        <f t="shared" si="15"/>
        <v>0</v>
      </c>
    </row>
    <row r="27" spans="1:27" ht="19.5">
      <c r="A27" s="9">
        <v>9</v>
      </c>
      <c r="B27" s="10" t="s">
        <v>10</v>
      </c>
      <c r="C27" s="9">
        <v>306</v>
      </c>
      <c r="D27" s="11">
        <f>Table1[[#This Row],[Enrolment S.Y. 2025-2026 ]]*8</f>
        <v>2448</v>
      </c>
      <c r="E27" s="11">
        <v>287</v>
      </c>
      <c r="F27" s="9">
        <v>2025</v>
      </c>
      <c r="G27" s="11" t="s">
        <v>57</v>
      </c>
      <c r="H27" s="11">
        <f t="shared" si="16"/>
        <v>2161</v>
      </c>
      <c r="I27" s="11">
        <f t="shared" si="17"/>
        <v>0</v>
      </c>
      <c r="J27" s="11">
        <f>Table1[[#This Row],[Enrolment S.Y. 2025-2026 ]]*8</f>
        <v>2448</v>
      </c>
      <c r="K27" s="11">
        <f>ROUNDDOWN(Table1[[#This Row],[Enrolment S.Y. 2025-2026 ]] / 2, 0) * 2</f>
        <v>306</v>
      </c>
      <c r="L27" s="9">
        <v>2025</v>
      </c>
      <c r="M27" s="11" t="s">
        <v>57</v>
      </c>
      <c r="N27" s="11">
        <f t="shared" si="10"/>
        <v>2142</v>
      </c>
      <c r="O27" s="11">
        <f t="shared" si="11"/>
        <v>0</v>
      </c>
      <c r="P27" s="11">
        <f>Table1[[#This Row],[Enrolment S.Y. 2025-2026 ]]*8</f>
        <v>2448</v>
      </c>
      <c r="Q27" s="11"/>
      <c r="R27" s="9"/>
      <c r="S27" s="11"/>
      <c r="T27" s="11">
        <f t="shared" si="12"/>
        <v>2448</v>
      </c>
      <c r="U27" s="11">
        <f t="shared" si="13"/>
        <v>0</v>
      </c>
      <c r="V27" s="11">
        <f>Table1[[#This Row],[Enrolment S.Y. 2025-2026 ]]*8</f>
        <v>2448</v>
      </c>
      <c r="W27" s="11"/>
      <c r="X27" s="9"/>
      <c r="Y27" s="11"/>
      <c r="Z27" s="11">
        <f t="shared" si="14"/>
        <v>2448</v>
      </c>
      <c r="AA27" s="11">
        <f t="shared" si="15"/>
        <v>0</v>
      </c>
    </row>
    <row r="28" spans="1:27" ht="19.5">
      <c r="A28" s="9">
        <v>9</v>
      </c>
      <c r="B28" s="10" t="s">
        <v>11</v>
      </c>
      <c r="C28" s="9">
        <v>306</v>
      </c>
      <c r="D28" s="11">
        <f>Table1[[#This Row],[Enrolment S.Y. 2025-2026 ]]*8</f>
        <v>2448</v>
      </c>
      <c r="E28" s="11">
        <v>287</v>
      </c>
      <c r="F28" s="9">
        <v>2025</v>
      </c>
      <c r="G28" s="11" t="s">
        <v>57</v>
      </c>
      <c r="H28" s="11">
        <f t="shared" si="16"/>
        <v>2161</v>
      </c>
      <c r="I28" s="11">
        <f t="shared" si="17"/>
        <v>0</v>
      </c>
      <c r="J28" s="11">
        <f>Table1[[#This Row],[Enrolment S.Y. 2025-2026 ]]*8</f>
        <v>2448</v>
      </c>
      <c r="K28" s="11">
        <f>ROUNDDOWN(Table1[[#This Row],[Enrolment S.Y. 2025-2026 ]] / 2, 0) * 2</f>
        <v>306</v>
      </c>
      <c r="L28" s="9">
        <v>2025</v>
      </c>
      <c r="M28" s="11" t="s">
        <v>57</v>
      </c>
      <c r="N28" s="11">
        <f t="shared" si="10"/>
        <v>2142</v>
      </c>
      <c r="O28" s="11">
        <f t="shared" si="11"/>
        <v>0</v>
      </c>
      <c r="P28" s="11">
        <f>Table1[[#This Row],[Enrolment S.Y. 2025-2026 ]]*8</f>
        <v>2448</v>
      </c>
      <c r="Q28" s="11"/>
      <c r="R28" s="9"/>
      <c r="S28" s="11"/>
      <c r="T28" s="11">
        <f t="shared" si="12"/>
        <v>2448</v>
      </c>
      <c r="U28" s="11">
        <f t="shared" si="13"/>
        <v>0</v>
      </c>
      <c r="V28" s="11">
        <f>Table1[[#This Row],[Enrolment S.Y. 2025-2026 ]]*8</f>
        <v>2448</v>
      </c>
      <c r="W28" s="11"/>
      <c r="X28" s="9"/>
      <c r="Y28" s="11"/>
      <c r="Z28" s="11">
        <f t="shared" si="14"/>
        <v>2448</v>
      </c>
      <c r="AA28" s="11">
        <f t="shared" si="15"/>
        <v>0</v>
      </c>
    </row>
    <row r="29" spans="1:27" ht="19.5">
      <c r="A29" s="9">
        <v>9</v>
      </c>
      <c r="B29" s="10" t="s">
        <v>12</v>
      </c>
      <c r="C29" s="9">
        <v>306</v>
      </c>
      <c r="D29" s="11">
        <f>Table1[[#This Row],[Enrolment S.Y. 2025-2026 ]]*8</f>
        <v>2448</v>
      </c>
      <c r="E29" s="11">
        <v>287</v>
      </c>
      <c r="F29" s="9">
        <v>2025</v>
      </c>
      <c r="G29" s="11" t="s">
        <v>57</v>
      </c>
      <c r="H29" s="11">
        <f t="shared" si="16"/>
        <v>2161</v>
      </c>
      <c r="I29" s="11">
        <f t="shared" si="17"/>
        <v>0</v>
      </c>
      <c r="J29" s="11">
        <f>Table1[[#This Row],[Enrolment S.Y. 2025-2026 ]]*8</f>
        <v>2448</v>
      </c>
      <c r="K29" s="11">
        <f>ROUNDDOWN(Table1[[#This Row],[Enrolment S.Y. 2025-2026 ]] / 2, 0) * 2</f>
        <v>306</v>
      </c>
      <c r="L29" s="9">
        <v>2025</v>
      </c>
      <c r="M29" s="11" t="s">
        <v>57</v>
      </c>
      <c r="N29" s="11">
        <f t="shared" si="10"/>
        <v>2142</v>
      </c>
      <c r="O29" s="11">
        <f t="shared" si="11"/>
        <v>0</v>
      </c>
      <c r="P29" s="11">
        <f>Table1[[#This Row],[Enrolment S.Y. 2025-2026 ]]*8</f>
        <v>2448</v>
      </c>
      <c r="Q29" s="11"/>
      <c r="R29" s="9"/>
      <c r="S29" s="11"/>
      <c r="T29" s="11">
        <f t="shared" si="12"/>
        <v>2448</v>
      </c>
      <c r="U29" s="11">
        <f t="shared" si="13"/>
        <v>0</v>
      </c>
      <c r="V29" s="11">
        <f>Table1[[#This Row],[Enrolment S.Y. 2025-2026 ]]*8</f>
        <v>2448</v>
      </c>
      <c r="W29" s="11"/>
      <c r="X29" s="9"/>
      <c r="Y29" s="11"/>
      <c r="Z29" s="11">
        <f t="shared" si="14"/>
        <v>2448</v>
      </c>
      <c r="AA29" s="11">
        <f t="shared" si="15"/>
        <v>0</v>
      </c>
    </row>
    <row r="30" spans="1:27" ht="19.5">
      <c r="A30" s="9">
        <v>9</v>
      </c>
      <c r="B30" s="10" t="s">
        <v>18</v>
      </c>
      <c r="C30" s="9">
        <v>306</v>
      </c>
      <c r="D30" s="11">
        <f>Table1[[#This Row],[Enrolment S.Y. 2025-2026 ]]*8</f>
        <v>2448</v>
      </c>
      <c r="E30" s="11">
        <v>287</v>
      </c>
      <c r="F30" s="9">
        <v>2025</v>
      </c>
      <c r="G30" s="11" t="s">
        <v>57</v>
      </c>
      <c r="H30" s="11">
        <f t="shared" si="16"/>
        <v>2161</v>
      </c>
      <c r="I30" s="11">
        <f t="shared" si="17"/>
        <v>0</v>
      </c>
      <c r="J30" s="11">
        <f>Table1[[#This Row],[Enrolment S.Y. 2025-2026 ]]*8</f>
        <v>2448</v>
      </c>
      <c r="K30" s="11">
        <f>ROUNDDOWN(Table1[[#This Row],[Enrolment S.Y. 2025-2026 ]] / 2, 0) * 2</f>
        <v>306</v>
      </c>
      <c r="L30" s="9">
        <v>2025</v>
      </c>
      <c r="M30" s="11" t="s">
        <v>57</v>
      </c>
      <c r="N30" s="11">
        <f t="shared" si="10"/>
        <v>2142</v>
      </c>
      <c r="O30" s="11">
        <f t="shared" si="11"/>
        <v>0</v>
      </c>
      <c r="P30" s="11">
        <f>Table1[[#This Row],[Enrolment S.Y. 2025-2026 ]]*8</f>
        <v>2448</v>
      </c>
      <c r="Q30" s="11"/>
      <c r="R30" s="9"/>
      <c r="S30" s="11"/>
      <c r="T30" s="11">
        <f t="shared" si="12"/>
        <v>2448</v>
      </c>
      <c r="U30" s="11">
        <f t="shared" si="13"/>
        <v>0</v>
      </c>
      <c r="V30" s="11">
        <f>Table1[[#This Row],[Enrolment S.Y. 2025-2026 ]]*8</f>
        <v>2448</v>
      </c>
      <c r="W30" s="11"/>
      <c r="X30" s="9"/>
      <c r="Y30" s="11"/>
      <c r="Z30" s="11">
        <f t="shared" si="14"/>
        <v>2448</v>
      </c>
      <c r="AA30" s="11">
        <f t="shared" si="15"/>
        <v>0</v>
      </c>
    </row>
    <row r="31" spans="1:27" ht="19.5">
      <c r="A31" s="9">
        <v>9</v>
      </c>
      <c r="B31" s="10" t="s">
        <v>14</v>
      </c>
      <c r="C31" s="9">
        <v>306</v>
      </c>
      <c r="D31" s="11">
        <f>Table1[[#This Row],[Enrolment S.Y. 2025-2026 ]]*8</f>
        <v>2448</v>
      </c>
      <c r="E31" s="11">
        <v>287</v>
      </c>
      <c r="F31" s="9">
        <v>2025</v>
      </c>
      <c r="G31" s="11" t="s">
        <v>57</v>
      </c>
      <c r="H31" s="11">
        <f t="shared" si="16"/>
        <v>2161</v>
      </c>
      <c r="I31" s="11">
        <f t="shared" si="17"/>
        <v>0</v>
      </c>
      <c r="J31" s="11">
        <f>Table1[[#This Row],[Enrolment S.Y. 2025-2026 ]]*8</f>
        <v>2448</v>
      </c>
      <c r="K31" s="11">
        <f>ROUNDDOWN(Table1[[#This Row],[Enrolment S.Y. 2025-2026 ]] / 2, 0) * 2</f>
        <v>306</v>
      </c>
      <c r="L31" s="9">
        <v>2025</v>
      </c>
      <c r="M31" s="11" t="s">
        <v>57</v>
      </c>
      <c r="N31" s="11">
        <f t="shared" si="10"/>
        <v>2142</v>
      </c>
      <c r="O31" s="11">
        <f t="shared" si="11"/>
        <v>0</v>
      </c>
      <c r="P31" s="11">
        <f>Table1[[#This Row],[Enrolment S.Y. 2025-2026 ]]*8</f>
        <v>2448</v>
      </c>
      <c r="Q31" s="11"/>
      <c r="R31" s="9"/>
      <c r="S31" s="11"/>
      <c r="T31" s="11">
        <f t="shared" si="12"/>
        <v>2448</v>
      </c>
      <c r="U31" s="11">
        <f t="shared" si="13"/>
        <v>0</v>
      </c>
      <c r="V31" s="11">
        <f>Table1[[#This Row],[Enrolment S.Y. 2025-2026 ]]*8</f>
        <v>2448</v>
      </c>
      <c r="W31" s="11"/>
      <c r="X31" s="9"/>
      <c r="Y31" s="11"/>
      <c r="Z31" s="11">
        <f t="shared" si="14"/>
        <v>2448</v>
      </c>
      <c r="AA31" s="11">
        <f t="shared" si="15"/>
        <v>0</v>
      </c>
    </row>
    <row r="32" spans="1:27" s="6" customFormat="1" ht="19.5">
      <c r="A32" s="9">
        <v>9</v>
      </c>
      <c r="B32" s="10" t="s">
        <v>15</v>
      </c>
      <c r="C32" s="9">
        <v>306</v>
      </c>
      <c r="D32" s="11">
        <f>Table1[[#This Row],[Enrolment S.Y. 2025-2026 ]]*8</f>
        <v>2448</v>
      </c>
      <c r="E32" s="11">
        <v>287</v>
      </c>
      <c r="F32" s="9">
        <v>2025</v>
      </c>
      <c r="G32" s="11" t="s">
        <v>57</v>
      </c>
      <c r="H32" s="11">
        <f t="shared" si="16"/>
        <v>2161</v>
      </c>
      <c r="I32" s="11">
        <f t="shared" si="17"/>
        <v>0</v>
      </c>
      <c r="J32" s="11">
        <f>Table1[[#This Row],[Enrolment S.Y. 2025-2026 ]]*8</f>
        <v>2448</v>
      </c>
      <c r="K32" s="11">
        <f>ROUNDDOWN(Table1[[#This Row],[Enrolment S.Y. 2025-2026 ]] / 2, 0) * 2</f>
        <v>306</v>
      </c>
      <c r="L32" s="9">
        <v>2025</v>
      </c>
      <c r="M32" s="11" t="s">
        <v>57</v>
      </c>
      <c r="N32" s="11">
        <f t="shared" si="10"/>
        <v>2142</v>
      </c>
      <c r="O32" s="11">
        <f t="shared" si="11"/>
        <v>0</v>
      </c>
      <c r="P32" s="11">
        <f>Table1[[#This Row],[Enrolment S.Y. 2025-2026 ]]*8</f>
        <v>2448</v>
      </c>
      <c r="Q32" s="11"/>
      <c r="R32" s="9"/>
      <c r="S32" s="11"/>
      <c r="T32" s="11">
        <f t="shared" si="12"/>
        <v>2448</v>
      </c>
      <c r="U32" s="11">
        <f t="shared" si="13"/>
        <v>0</v>
      </c>
      <c r="V32" s="11">
        <f>Table1[[#This Row],[Enrolment S.Y. 2025-2026 ]]*8</f>
        <v>2448</v>
      </c>
      <c r="W32" s="11"/>
      <c r="X32" s="9"/>
      <c r="Y32" s="11"/>
      <c r="Z32" s="11">
        <f t="shared" si="14"/>
        <v>2448</v>
      </c>
      <c r="AA32" s="11">
        <f t="shared" si="15"/>
        <v>0</v>
      </c>
    </row>
    <row r="33" spans="1:27" ht="19.5">
      <c r="A33" s="9">
        <v>9</v>
      </c>
      <c r="B33" s="10" t="s">
        <v>16</v>
      </c>
      <c r="C33" s="9">
        <v>306</v>
      </c>
      <c r="D33" s="11">
        <f>Table1[[#This Row],[Enrolment S.Y. 2025-2026 ]]*8</f>
        <v>2448</v>
      </c>
      <c r="E33" s="11">
        <v>287</v>
      </c>
      <c r="F33" s="9">
        <v>2025</v>
      </c>
      <c r="G33" s="11" t="s">
        <v>57</v>
      </c>
      <c r="H33" s="11">
        <f t="shared" si="16"/>
        <v>2161</v>
      </c>
      <c r="I33" s="11">
        <f t="shared" si="17"/>
        <v>0</v>
      </c>
      <c r="J33" s="11">
        <f>Table1[[#This Row],[Enrolment S.Y. 2025-2026 ]]*8</f>
        <v>2448</v>
      </c>
      <c r="K33" s="11">
        <f>ROUNDDOWN(Table1[[#This Row],[Enrolment S.Y. 2025-2026 ]] / 2, 0) * 2</f>
        <v>306</v>
      </c>
      <c r="L33" s="9">
        <v>2025</v>
      </c>
      <c r="M33" s="11" t="s">
        <v>57</v>
      </c>
      <c r="N33" s="11">
        <f t="shared" si="10"/>
        <v>2142</v>
      </c>
      <c r="O33" s="11">
        <f t="shared" si="11"/>
        <v>0</v>
      </c>
      <c r="P33" s="11">
        <f>Table1[[#This Row],[Enrolment S.Y. 2025-2026 ]]*8</f>
        <v>2448</v>
      </c>
      <c r="Q33" s="11"/>
      <c r="R33" s="9"/>
      <c r="S33" s="11"/>
      <c r="T33" s="11">
        <f t="shared" si="12"/>
        <v>2448</v>
      </c>
      <c r="U33" s="11">
        <f t="shared" si="13"/>
        <v>0</v>
      </c>
      <c r="V33" s="11">
        <f>Table1[[#This Row],[Enrolment S.Y. 2025-2026 ]]*8</f>
        <v>2448</v>
      </c>
      <c r="W33" s="11"/>
      <c r="X33" s="9"/>
      <c r="Y33" s="11"/>
      <c r="Z33" s="11">
        <f t="shared" si="14"/>
        <v>2448</v>
      </c>
      <c r="AA33" s="11">
        <f t="shared" si="15"/>
        <v>0</v>
      </c>
    </row>
    <row r="34" spans="1:27" ht="19.5">
      <c r="A34" s="9">
        <v>9</v>
      </c>
      <c r="B34" s="10" t="s">
        <v>17</v>
      </c>
      <c r="C34" s="9">
        <v>306</v>
      </c>
      <c r="D34" s="11">
        <f>Table1[[#This Row],[Enrolment S.Y. 2025-2026 ]]*8</f>
        <v>2448</v>
      </c>
      <c r="E34" s="11">
        <v>287</v>
      </c>
      <c r="F34" s="9">
        <v>2025</v>
      </c>
      <c r="G34" s="11" t="s">
        <v>57</v>
      </c>
      <c r="H34" s="11">
        <f t="shared" si="16"/>
        <v>2161</v>
      </c>
      <c r="I34" s="11">
        <f t="shared" si="17"/>
        <v>0</v>
      </c>
      <c r="J34" s="11">
        <f>Table1[[#This Row],[Enrolment S.Y. 2025-2026 ]]*8</f>
        <v>2448</v>
      </c>
      <c r="K34" s="11">
        <f>ROUNDDOWN(Table1[[#This Row],[Enrolment S.Y. 2025-2026 ]] / 2, 0) * 2</f>
        <v>306</v>
      </c>
      <c r="L34" s="9">
        <v>2025</v>
      </c>
      <c r="M34" s="11" t="s">
        <v>57</v>
      </c>
      <c r="N34" s="11">
        <f t="shared" si="10"/>
        <v>2142</v>
      </c>
      <c r="O34" s="11">
        <f t="shared" si="11"/>
        <v>0</v>
      </c>
      <c r="P34" s="11">
        <f>Table1[[#This Row],[Enrolment S.Y. 2025-2026 ]]*8</f>
        <v>2448</v>
      </c>
      <c r="Q34" s="11"/>
      <c r="R34" s="9"/>
      <c r="S34" s="11"/>
      <c r="T34" s="11">
        <f t="shared" si="12"/>
        <v>2448</v>
      </c>
      <c r="U34" s="11">
        <f t="shared" si="13"/>
        <v>0</v>
      </c>
      <c r="V34" s="11">
        <f>Table1[[#This Row],[Enrolment S.Y. 2025-2026 ]]*8</f>
        <v>2448</v>
      </c>
      <c r="W34" s="11"/>
      <c r="X34" s="9"/>
      <c r="Y34" s="11"/>
      <c r="Z34" s="11">
        <f t="shared" si="14"/>
        <v>2448</v>
      </c>
      <c r="AA34" s="11">
        <f t="shared" si="15"/>
        <v>0</v>
      </c>
    </row>
    <row r="35" spans="1:27" ht="19.5">
      <c r="A35" s="6"/>
      <c r="B35" s="6"/>
      <c r="C35" s="6"/>
      <c r="D35" s="6"/>
      <c r="E35" s="6"/>
      <c r="F35" s="6"/>
      <c r="G35" s="6"/>
      <c r="H35" s="6"/>
      <c r="I35" s="6"/>
      <c r="J35" s="12"/>
      <c r="K35" s="6">
        <f>ROUNDDOWN(Table1[[#This Row],[Enrolment S.Y. 2025-2026 ]] / 2, 0) * 2</f>
        <v>0</v>
      </c>
      <c r="L35" s="6"/>
      <c r="M35" s="4"/>
      <c r="N35" s="12"/>
      <c r="O35" s="12"/>
      <c r="P35" s="12"/>
      <c r="Q35" s="6"/>
      <c r="R35" s="6"/>
      <c r="S35" s="4"/>
      <c r="T35" s="12"/>
      <c r="U35" s="12"/>
      <c r="V35" s="12"/>
      <c r="W35" s="6"/>
      <c r="X35" s="6"/>
      <c r="Y35" s="4"/>
      <c r="Z35" s="12"/>
      <c r="AA35" s="12"/>
    </row>
    <row r="36" spans="1:27" ht="19.5">
      <c r="A36" s="9">
        <v>10</v>
      </c>
      <c r="B36" s="10" t="s">
        <v>8</v>
      </c>
      <c r="C36" s="9">
        <v>287</v>
      </c>
      <c r="D36" s="11">
        <f>Table1[[#This Row],[Enrolment S.Y. 2025-2026 ]]*8</f>
        <v>2296</v>
      </c>
      <c r="E36" s="11">
        <v>287</v>
      </c>
      <c r="F36" s="9">
        <v>2025</v>
      </c>
      <c r="G36" s="11" t="s">
        <v>57</v>
      </c>
      <c r="H36" s="11">
        <f>IF((D36-E36)&lt;0,0,(D36-E36))</f>
        <v>2009</v>
      </c>
      <c r="I36" s="11">
        <f>IF((E36-D36)&lt;0,0,(E36-D36))</f>
        <v>0</v>
      </c>
      <c r="J36" s="11">
        <f>Table1[[#This Row],[Enrolment S.Y. 2025-2026 ]]*8</f>
        <v>2296</v>
      </c>
      <c r="K36" s="11">
        <v>289</v>
      </c>
      <c r="L36" s="9">
        <v>2025</v>
      </c>
      <c r="M36" s="11" t="s">
        <v>57</v>
      </c>
      <c r="N36" s="11">
        <f>IF((J36-K36)&lt;0,0,(J36-K36))</f>
        <v>2007</v>
      </c>
      <c r="O36" s="11">
        <f>IF((K36-J36)&lt;0,0,(K36-J36))</f>
        <v>0</v>
      </c>
      <c r="P36" s="11">
        <f>Table1[[#This Row],[Enrolment S.Y. 2025-2026 ]]*8</f>
        <v>2296</v>
      </c>
      <c r="Q36" s="11"/>
      <c r="R36" s="9"/>
      <c r="S36" s="11"/>
      <c r="T36" s="11">
        <f>IF((P36-Q36)&lt;0,0,(P36-Q36))</f>
        <v>2296</v>
      </c>
      <c r="U36" s="11">
        <f>IF((Q36-P36)&lt;0,0,(Q36-P36))</f>
        <v>0</v>
      </c>
      <c r="V36" s="11">
        <f>Table1[[#This Row],[Enrolment S.Y. 2025-2026 ]]*8</f>
        <v>2296</v>
      </c>
      <c r="W36" s="11"/>
      <c r="X36" s="9"/>
      <c r="Y36" s="11"/>
      <c r="Z36" s="11">
        <f>IF((V36-W36)&lt;0,0,(V36-W36))</f>
        <v>2296</v>
      </c>
      <c r="AA36" s="11">
        <f>IF((W36-V36)&lt;0,0,(W36-V36))</f>
        <v>0</v>
      </c>
    </row>
    <row r="37" spans="1:27" ht="19.5">
      <c r="A37" s="9">
        <v>10</v>
      </c>
      <c r="B37" s="10" t="s">
        <v>10</v>
      </c>
      <c r="C37" s="9">
        <v>287</v>
      </c>
      <c r="D37" s="11">
        <f>Table1[[#This Row],[Enrolment S.Y. 2025-2026 ]]*8</f>
        <v>2296</v>
      </c>
      <c r="E37" s="11">
        <v>287</v>
      </c>
      <c r="F37" s="9">
        <v>2025</v>
      </c>
      <c r="G37" s="11" t="s">
        <v>57</v>
      </c>
      <c r="H37" s="11">
        <f>IF((D37-E37)&lt;0,0,(D37-E37))</f>
        <v>2009</v>
      </c>
      <c r="I37" s="11">
        <f>IF((E37-D37)&lt;0,0,(E37-D37))</f>
        <v>0</v>
      </c>
      <c r="J37" s="11">
        <f>Table1[[#This Row],[Enrolment S.Y. 2025-2026 ]]*8</f>
        <v>2296</v>
      </c>
      <c r="K37" s="11">
        <v>289</v>
      </c>
      <c r="L37" s="9">
        <v>2025</v>
      </c>
      <c r="M37" s="11" t="s">
        <v>57</v>
      </c>
      <c r="N37" s="11">
        <f>IF((J37-K37)&lt;0,0,(J37-K37))</f>
        <v>2007</v>
      </c>
      <c r="O37" s="11">
        <f>IF((K37-J37)&lt;0,0,(K37-J37))</f>
        <v>0</v>
      </c>
      <c r="P37" s="11">
        <f>Table1[[#This Row],[Enrolment S.Y. 2025-2026 ]]*8</f>
        <v>2296</v>
      </c>
      <c r="Q37" s="11"/>
      <c r="R37" s="9"/>
      <c r="S37" s="11"/>
      <c r="T37" s="11">
        <f>IF((P37-Q37)&lt;0,0,(P37-Q37))</f>
        <v>2296</v>
      </c>
      <c r="U37" s="11">
        <f>IF((Q37-P37)&lt;0,0,(Q37-P37))</f>
        <v>0</v>
      </c>
      <c r="V37" s="11">
        <f>Table1[[#This Row],[Enrolment S.Y. 2025-2026 ]]*8</f>
        <v>2296</v>
      </c>
      <c r="W37" s="11"/>
      <c r="X37" s="9"/>
      <c r="Y37" s="11"/>
      <c r="Z37" s="11">
        <f>IF((V37-W37)&lt;0,0,(V37-W37))</f>
        <v>2296</v>
      </c>
      <c r="AA37" s="11">
        <f>IF((W37-V37)&lt;0,0,(W37-V37))</f>
        <v>0</v>
      </c>
    </row>
    <row r="38" spans="1:27" ht="19.5">
      <c r="A38" s="9">
        <v>10</v>
      </c>
      <c r="B38" s="10" t="s">
        <v>11</v>
      </c>
      <c r="C38" s="9">
        <v>287</v>
      </c>
      <c r="D38" s="11">
        <f>Table1[[#This Row],[Enrolment S.Y. 2025-2026 ]]*8</f>
        <v>2296</v>
      </c>
      <c r="E38" s="11">
        <v>287</v>
      </c>
      <c r="F38" s="9">
        <v>2025</v>
      </c>
      <c r="G38" s="11" t="s">
        <v>57</v>
      </c>
      <c r="H38" s="11">
        <f>IF((D38-E38)&lt;0,0,(D38-E38))</f>
        <v>2009</v>
      </c>
      <c r="I38" s="11">
        <f>IF((E38-D38)&lt;0,0,(E38-D38))</f>
        <v>0</v>
      </c>
      <c r="J38" s="11">
        <f>Table1[[#This Row],[Enrolment S.Y. 2025-2026 ]]*8</f>
        <v>2296</v>
      </c>
      <c r="K38" s="11">
        <v>289</v>
      </c>
      <c r="L38" s="9">
        <v>2025</v>
      </c>
      <c r="M38" s="11" t="s">
        <v>57</v>
      </c>
      <c r="N38" s="11">
        <f>IF((J38-K38)&lt;0,0,(J38-K38))</f>
        <v>2007</v>
      </c>
      <c r="O38" s="11">
        <f>IF((K38-J38)&lt;0,0,(K38-J38))</f>
        <v>0</v>
      </c>
      <c r="P38" s="11">
        <f>Table1[[#This Row],[Enrolment S.Y. 2025-2026 ]]*8</f>
        <v>2296</v>
      </c>
      <c r="Q38" s="11"/>
      <c r="R38" s="9"/>
      <c r="S38" s="11"/>
      <c r="T38" s="11">
        <f>IF((P38-Q38)&lt;0,0,(P38-Q38))</f>
        <v>2296</v>
      </c>
      <c r="U38" s="11">
        <f>IF((Q38-P38)&lt;0,0,(Q38-P38))</f>
        <v>0</v>
      </c>
      <c r="V38" s="11">
        <f>Table1[[#This Row],[Enrolment S.Y. 2025-2026 ]]*8</f>
        <v>2296</v>
      </c>
      <c r="W38" s="11"/>
      <c r="X38" s="9"/>
      <c r="Y38" s="11"/>
      <c r="Z38" s="11">
        <f>IF((V38-W38)&lt;0,0,(V38-W38))</f>
        <v>2296</v>
      </c>
      <c r="AA38" s="11">
        <f>IF((W38-V38)&lt;0,0,(W38-V38))</f>
        <v>0</v>
      </c>
    </row>
    <row r="39" spans="1:27" ht="19.5">
      <c r="A39" s="9">
        <v>10</v>
      </c>
      <c r="B39" s="10" t="s">
        <v>12</v>
      </c>
      <c r="C39" s="9">
        <v>287</v>
      </c>
      <c r="D39" s="11">
        <f>Table1[[#This Row],[Enrolment S.Y. 2025-2026 ]]*8</f>
        <v>2296</v>
      </c>
      <c r="E39" s="11">
        <v>287</v>
      </c>
      <c r="F39" s="9">
        <v>2025</v>
      </c>
      <c r="G39" s="11" t="s">
        <v>57</v>
      </c>
      <c r="H39" s="11">
        <f>IF((D39-E39)&lt;0,0,(D39-E39))</f>
        <v>2009</v>
      </c>
      <c r="I39" s="11">
        <f>IF((E39-D39)&lt;0,0,(E39-D39))</f>
        <v>0</v>
      </c>
      <c r="J39" s="11">
        <f>Table1[[#This Row],[Enrolment S.Y. 2025-2026 ]]*8</f>
        <v>2296</v>
      </c>
      <c r="K39" s="11">
        <v>289</v>
      </c>
      <c r="L39" s="9">
        <v>2025</v>
      </c>
      <c r="M39" s="11" t="s">
        <v>57</v>
      </c>
      <c r="N39" s="11">
        <f>IF((J39-K39)&lt;0,0,(J39-K39))</f>
        <v>2007</v>
      </c>
      <c r="O39" s="11">
        <f>IF((K39-J39)&lt;0,0,(K39-J39))</f>
        <v>0</v>
      </c>
      <c r="P39" s="11">
        <f>Table1[[#This Row],[Enrolment S.Y. 2025-2026 ]]*8</f>
        <v>2296</v>
      </c>
      <c r="Q39" s="11"/>
      <c r="R39" s="9"/>
      <c r="S39" s="11"/>
      <c r="T39" s="11">
        <f>IF((P39-Q39)&lt;0,0,(P39-Q39))</f>
        <v>2296</v>
      </c>
      <c r="U39" s="11">
        <f>IF((Q39-P39)&lt;0,0,(Q39-P39))</f>
        <v>0</v>
      </c>
      <c r="V39" s="11">
        <f>Table1[[#This Row],[Enrolment S.Y. 2025-2026 ]]*8</f>
        <v>2296</v>
      </c>
      <c r="W39" s="11"/>
      <c r="X39" s="9"/>
      <c r="Y39" s="11"/>
      <c r="Z39" s="11">
        <f>IF((V39-W39)&lt;0,0,(V39-W39))</f>
        <v>2296</v>
      </c>
      <c r="AA39" s="11">
        <f>IF((W39-V39)&lt;0,0,(W39-V39))</f>
        <v>0</v>
      </c>
    </row>
    <row r="40" spans="1:27" ht="19.5">
      <c r="A40" s="9">
        <v>10</v>
      </c>
      <c r="B40" s="10" t="s">
        <v>18</v>
      </c>
      <c r="C40" s="9">
        <v>287</v>
      </c>
      <c r="D40" s="11">
        <f>Table1[[#This Row],[Enrolment S.Y. 2025-2026 ]]*8</f>
        <v>2296</v>
      </c>
      <c r="E40" s="11">
        <v>287</v>
      </c>
      <c r="F40" s="9">
        <v>2025</v>
      </c>
      <c r="G40" s="11" t="s">
        <v>57</v>
      </c>
      <c r="H40" s="11">
        <f>IF((D40-E40)&lt;0,0,(D40-E40))</f>
        <v>2009</v>
      </c>
      <c r="I40" s="11">
        <f>IF((E40-D40)&lt;0,0,(E40-D40))</f>
        <v>0</v>
      </c>
      <c r="J40" s="11">
        <f>Table1[[#This Row],[Enrolment S.Y. 2025-2026 ]]*8</f>
        <v>2296</v>
      </c>
      <c r="K40" s="11">
        <v>289</v>
      </c>
      <c r="L40" s="9">
        <v>2025</v>
      </c>
      <c r="M40" s="11" t="s">
        <v>57</v>
      </c>
      <c r="N40" s="11">
        <f>IF((J40-K40)&lt;0,0,(J40-K40))</f>
        <v>2007</v>
      </c>
      <c r="O40" s="11">
        <f>IF((K40-J40)&lt;0,0,(K40-J40))</f>
        <v>0</v>
      </c>
      <c r="P40" s="11">
        <f>Table1[[#This Row],[Enrolment S.Y. 2025-2026 ]]*8</f>
        <v>2296</v>
      </c>
      <c r="Q40" s="11"/>
      <c r="R40" s="9"/>
      <c r="S40" s="11"/>
      <c r="T40" s="11">
        <f>IF((P40-Q40)&lt;0,0,(P40-Q40))</f>
        <v>2296</v>
      </c>
      <c r="U40" s="11">
        <f>IF((Q40-P40)&lt;0,0,(Q40-P40))</f>
        <v>0</v>
      </c>
      <c r="V40" s="11">
        <f>Table1[[#This Row],[Enrolment S.Y. 2025-2026 ]]*8</f>
        <v>2296</v>
      </c>
      <c r="W40" s="11"/>
      <c r="X40" s="9"/>
      <c r="Y40" s="11"/>
      <c r="Z40" s="11">
        <f>IF((V40-W40)&lt;0,0,(V40-W40))</f>
        <v>2296</v>
      </c>
      <c r="AA40" s="11">
        <f>IF((W40-V40)&lt;0,0,(W40-V40))</f>
        <v>0</v>
      </c>
    </row>
    <row r="41" spans="1:27" ht="19.5">
      <c r="A41" s="9">
        <v>10</v>
      </c>
      <c r="B41" s="10" t="s">
        <v>14</v>
      </c>
      <c r="C41" s="9">
        <v>287</v>
      </c>
      <c r="D41" s="11">
        <f>Table1[[#This Row],[Enrolment S.Y. 2025-2026 ]]*8</f>
        <v>2296</v>
      </c>
      <c r="E41" s="11">
        <v>287</v>
      </c>
      <c r="F41" s="9">
        <v>2025</v>
      </c>
      <c r="G41" s="11" t="s">
        <v>57</v>
      </c>
      <c r="H41" s="11">
        <f>IF((D41-E41)&lt;0,0,(D41-E41))</f>
        <v>2009</v>
      </c>
      <c r="I41" s="11">
        <f>IF((E41-D41)&lt;0,0,(E41-D41))</f>
        <v>0</v>
      </c>
      <c r="J41" s="11">
        <f>Table1[[#This Row],[Enrolment S.Y. 2025-2026 ]]*8</f>
        <v>2296</v>
      </c>
      <c r="K41" s="11">
        <v>289</v>
      </c>
      <c r="L41" s="9">
        <v>2025</v>
      </c>
      <c r="M41" s="11" t="s">
        <v>57</v>
      </c>
      <c r="N41" s="11">
        <f>IF((J41-K41)&lt;0,0,(J41-K41))</f>
        <v>2007</v>
      </c>
      <c r="O41" s="11">
        <f>IF((K41-J41)&lt;0,0,(K41-J41))</f>
        <v>0</v>
      </c>
      <c r="P41" s="11">
        <f>Table1[[#This Row],[Enrolment S.Y. 2025-2026 ]]*8</f>
        <v>2296</v>
      </c>
      <c r="Q41" s="11"/>
      <c r="R41" s="9"/>
      <c r="S41" s="11"/>
      <c r="T41" s="11">
        <f>IF((P41-Q41)&lt;0,0,(P41-Q41))</f>
        <v>2296</v>
      </c>
      <c r="U41" s="11">
        <f>IF((Q41-P41)&lt;0,0,(Q41-P41))</f>
        <v>0</v>
      </c>
      <c r="V41" s="11">
        <f>Table1[[#This Row],[Enrolment S.Y. 2025-2026 ]]*8</f>
        <v>2296</v>
      </c>
      <c r="W41" s="11"/>
      <c r="X41" s="9"/>
      <c r="Y41" s="11"/>
      <c r="Z41" s="11">
        <f>IF((V41-W41)&lt;0,0,(V41-W41))</f>
        <v>2296</v>
      </c>
      <c r="AA41" s="11">
        <f>IF((W41-V41)&lt;0,0,(W41-V41))</f>
        <v>0</v>
      </c>
    </row>
    <row r="42" spans="1:27" s="6" customFormat="1" ht="19.5">
      <c r="A42" s="9">
        <v>10</v>
      </c>
      <c r="B42" s="10" t="s">
        <v>15</v>
      </c>
      <c r="C42" s="9">
        <v>287</v>
      </c>
      <c r="D42" s="11">
        <f>Table1[[#This Row],[Enrolment S.Y. 2025-2026 ]]*8</f>
        <v>2296</v>
      </c>
      <c r="E42" s="11">
        <v>287</v>
      </c>
      <c r="F42" s="9">
        <v>2025</v>
      </c>
      <c r="G42" s="11" t="s">
        <v>57</v>
      </c>
      <c r="H42" s="11">
        <f>IF((D42-E42)&lt;0,0,(D42-E42))</f>
        <v>2009</v>
      </c>
      <c r="I42" s="11">
        <f>IF((E42-D42)&lt;0,0,(E42-D42))</f>
        <v>0</v>
      </c>
      <c r="J42" s="11">
        <f>Table1[[#This Row],[Enrolment S.Y. 2025-2026 ]]*8</f>
        <v>2296</v>
      </c>
      <c r="K42" s="11">
        <v>289</v>
      </c>
      <c r="L42" s="9">
        <v>2025</v>
      </c>
      <c r="M42" s="11" t="s">
        <v>57</v>
      </c>
      <c r="N42" s="11">
        <f>IF((J42-K42)&lt;0,0,(J42-K42))</f>
        <v>2007</v>
      </c>
      <c r="O42" s="11">
        <f>IF((K42-J42)&lt;0,0,(K42-J42))</f>
        <v>0</v>
      </c>
      <c r="P42" s="11">
        <f>Table1[[#This Row],[Enrolment S.Y. 2025-2026 ]]*8</f>
        <v>2296</v>
      </c>
      <c r="Q42" s="11"/>
      <c r="R42" s="9"/>
      <c r="S42" s="11"/>
      <c r="T42" s="11">
        <f>IF((P42-Q42)&lt;0,0,(P42-Q42))</f>
        <v>2296</v>
      </c>
      <c r="U42" s="11">
        <f>IF((Q42-P42)&lt;0,0,(Q42-P42))</f>
        <v>0</v>
      </c>
      <c r="V42" s="11">
        <f>Table1[[#This Row],[Enrolment S.Y. 2025-2026 ]]*8</f>
        <v>2296</v>
      </c>
      <c r="W42" s="11"/>
      <c r="X42" s="9"/>
      <c r="Y42" s="11"/>
      <c r="Z42" s="11">
        <f>IF((V42-W42)&lt;0,0,(V42-W42))</f>
        <v>2296</v>
      </c>
      <c r="AA42" s="11">
        <f>IF((W42-V42)&lt;0,0,(W42-V42))</f>
        <v>0</v>
      </c>
    </row>
    <row r="43" spans="1:27" ht="19.5">
      <c r="A43" s="9">
        <v>10</v>
      </c>
      <c r="B43" s="10" t="s">
        <v>16</v>
      </c>
      <c r="C43" s="9">
        <v>287</v>
      </c>
      <c r="D43" s="11">
        <f>Table1[[#This Row],[Enrolment S.Y. 2025-2026 ]]*8</f>
        <v>2296</v>
      </c>
      <c r="E43" s="11">
        <v>287</v>
      </c>
      <c r="F43" s="9">
        <v>2025</v>
      </c>
      <c r="G43" s="11" t="s">
        <v>57</v>
      </c>
      <c r="H43" s="11">
        <f>IF((D43-E43)&lt;0,0,(D43-E43))</f>
        <v>2009</v>
      </c>
      <c r="I43" s="11">
        <f>IF((E43-D43)&lt;0,0,(E43-D43))</f>
        <v>0</v>
      </c>
      <c r="J43" s="11">
        <f>Table1[[#This Row],[Enrolment S.Y. 2025-2026 ]]*8</f>
        <v>2296</v>
      </c>
      <c r="K43" s="11">
        <v>289</v>
      </c>
      <c r="L43" s="9">
        <v>2025</v>
      </c>
      <c r="M43" s="11" t="s">
        <v>57</v>
      </c>
      <c r="N43" s="11">
        <f>IF((J43-K43)&lt;0,0,(J43-K43))</f>
        <v>2007</v>
      </c>
      <c r="O43" s="11">
        <f>IF((K43-J43)&lt;0,0,(K43-J43))</f>
        <v>0</v>
      </c>
      <c r="P43" s="11">
        <f>Table1[[#This Row],[Enrolment S.Y. 2025-2026 ]]*8</f>
        <v>2296</v>
      </c>
      <c r="Q43" s="11"/>
      <c r="R43" s="9"/>
      <c r="S43" s="11"/>
      <c r="T43" s="11">
        <f>IF((P43-Q43)&lt;0,0,(P43-Q43))</f>
        <v>2296</v>
      </c>
      <c r="U43" s="11">
        <f>IF((Q43-P43)&lt;0,0,(Q43-P43))</f>
        <v>0</v>
      </c>
      <c r="V43" s="11">
        <f>Table1[[#This Row],[Enrolment S.Y. 2025-2026 ]]*8</f>
        <v>2296</v>
      </c>
      <c r="W43" s="11"/>
      <c r="X43" s="9"/>
      <c r="Y43" s="11"/>
      <c r="Z43" s="11">
        <f>IF((V43-W43)&lt;0,0,(V43-W43))</f>
        <v>2296</v>
      </c>
      <c r="AA43" s="11">
        <f>IF((W43-V43)&lt;0,0,(W43-V43))</f>
        <v>0</v>
      </c>
    </row>
    <row r="44" spans="1:27" ht="19.5">
      <c r="A44" s="9">
        <v>10</v>
      </c>
      <c r="B44" s="10" t="s">
        <v>17</v>
      </c>
      <c r="C44" s="9">
        <v>287</v>
      </c>
      <c r="D44" s="11">
        <f>Table1[[#This Row],[Enrolment S.Y. 2025-2026 ]]*8</f>
        <v>2296</v>
      </c>
      <c r="E44" s="11">
        <v>287</v>
      </c>
      <c r="F44" s="9">
        <v>2025</v>
      </c>
      <c r="G44" s="11" t="s">
        <v>57</v>
      </c>
      <c r="H44" s="11">
        <f>IF((D44-E44)&lt;0,0,(D44-E44))</f>
        <v>2009</v>
      </c>
      <c r="I44" s="11">
        <f>IF((E44-D44)&lt;0,0,(E44-D44))</f>
        <v>0</v>
      </c>
      <c r="J44" s="11">
        <f>Table1[[#This Row],[Enrolment S.Y. 2025-2026 ]]*8</f>
        <v>2296</v>
      </c>
      <c r="K44" s="11">
        <v>289</v>
      </c>
      <c r="L44" s="9">
        <v>2025</v>
      </c>
      <c r="M44" s="11" t="s">
        <v>57</v>
      </c>
      <c r="N44" s="11">
        <f>IF((J44-K44)&lt;0,0,(J44-K44))</f>
        <v>2007</v>
      </c>
      <c r="O44" s="11">
        <f>IF((K44-J44)&lt;0,0,(K44-J44))</f>
        <v>0</v>
      </c>
      <c r="P44" s="11">
        <f>Table1[[#This Row],[Enrolment S.Y. 2025-2026 ]]*8</f>
        <v>2296</v>
      </c>
      <c r="Q44" s="11"/>
      <c r="R44" s="9"/>
      <c r="S44" s="11"/>
      <c r="T44" s="11">
        <f>IF((P44-Q44)&lt;0,0,(P44-Q44))</f>
        <v>2296</v>
      </c>
      <c r="U44" s="11">
        <f>IF((Q44-P44)&lt;0,0,(Q44-P44))</f>
        <v>0</v>
      </c>
      <c r="V44" s="11">
        <f>Table1[[#This Row],[Enrolment S.Y. 2025-2026 ]]*8</f>
        <v>2296</v>
      </c>
      <c r="W44" s="11"/>
      <c r="X44" s="9"/>
      <c r="Y44" s="11"/>
      <c r="Z44" s="11">
        <f>IF((V44-W44)&lt;0,0,(V44-W44))</f>
        <v>2296</v>
      </c>
      <c r="AA44" s="11">
        <f>IF((W44-V44)&lt;0,0,(W44-V44))</f>
        <v>0</v>
      </c>
    </row>
    <row r="45" spans="1:27" ht="19.5">
      <c r="A45" s="6"/>
      <c r="B45" s="6"/>
      <c r="C45" s="6"/>
      <c r="D45" s="6"/>
      <c r="E45" s="6"/>
      <c r="F45" s="6"/>
      <c r="G45" s="6"/>
      <c r="H45" s="6"/>
      <c r="I45" s="6"/>
      <c r="J45" s="12"/>
      <c r="K45" s="6">
        <f>ROUNDDOWN(Table1[[#This Row],[Enrolment S.Y. 2025-2026 ]] / 2, 0) * 2</f>
        <v>0</v>
      </c>
      <c r="L45" s="6"/>
      <c r="M45" s="4"/>
      <c r="N45" s="12"/>
      <c r="O45" s="12"/>
      <c r="P45" s="12"/>
      <c r="Q45" s="6"/>
      <c r="R45" s="6"/>
      <c r="S45" s="4"/>
      <c r="T45" s="12"/>
      <c r="U45" s="12"/>
      <c r="V45" s="12"/>
      <c r="W45" s="6"/>
      <c r="X45" s="6"/>
      <c r="Y45" s="4"/>
      <c r="Z45" s="12"/>
      <c r="AA45" s="12"/>
    </row>
    <row r="46" spans="1:27" ht="38.25">
      <c r="A46" s="1" t="s">
        <v>19</v>
      </c>
      <c r="B46" s="8" t="s">
        <v>20</v>
      </c>
      <c r="C46" s="1"/>
      <c r="D46" s="4">
        <f>Table1[[#This Row],[Enrolment S.Y. 2025-2026 ]]*8</f>
        <v>0</v>
      </c>
      <c r="E46" s="4"/>
      <c r="F46" s="1">
        <v>2025</v>
      </c>
      <c r="G46" s="4" t="s">
        <v>57</v>
      </c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>
        <v>50</v>
      </c>
      <c r="L46" s="1"/>
      <c r="M46" s="4"/>
      <c r="N46" s="4">
        <f t="shared" si="10"/>
        <v>0</v>
      </c>
      <c r="O46" s="4">
        <f t="shared" si="11"/>
        <v>50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19</v>
      </c>
      <c r="B47" s="8" t="s">
        <v>21</v>
      </c>
      <c r="C47" s="1"/>
      <c r="D47" s="4">
        <f>Table1[[#This Row],[Enrolment S.Y. 2025-2026 ]]*8</f>
        <v>0</v>
      </c>
      <c r="E47" s="4"/>
      <c r="F47" s="1">
        <v>2025</v>
      </c>
      <c r="G47" s="4" t="s">
        <v>57</v>
      </c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>
        <f>ROUNDDOWN(Table1[[#This Row],[Enrolment S.Y. 2025-2026 ]] / 2, 0) * 2</f>
        <v>0</v>
      </c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19</v>
      </c>
      <c r="B48" s="8" t="s">
        <v>22</v>
      </c>
      <c r="C48" s="1"/>
      <c r="D48" s="4">
        <f>Table1[[#This Row],[Enrolment S.Y. 2025-2026 ]]*8</f>
        <v>0</v>
      </c>
      <c r="E48" s="4"/>
      <c r="F48" s="1">
        <v>2025</v>
      </c>
      <c r="G48" s="4" t="s">
        <v>57</v>
      </c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>
        <v>50</v>
      </c>
      <c r="L48" s="1"/>
      <c r="M48" s="4"/>
      <c r="N48" s="4">
        <f t="shared" si="10"/>
        <v>0</v>
      </c>
      <c r="O48" s="4">
        <f t="shared" si="11"/>
        <v>50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19</v>
      </c>
      <c r="B49" s="8" t="s">
        <v>23</v>
      </c>
      <c r="C49" s="1"/>
      <c r="D49" s="4">
        <f>Table1[[#This Row],[Enrolment S.Y. 2025-2026 ]]*8</f>
        <v>0</v>
      </c>
      <c r="E49" s="4"/>
      <c r="F49" s="1">
        <v>2025</v>
      </c>
      <c r="G49" s="4" t="s">
        <v>57</v>
      </c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>
        <v>50</v>
      </c>
      <c r="L49" s="1"/>
      <c r="M49" s="4"/>
      <c r="N49" s="4">
        <f t="shared" si="10"/>
        <v>0</v>
      </c>
      <c r="O49" s="4">
        <f t="shared" si="11"/>
        <v>50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19</v>
      </c>
      <c r="B50" s="8" t="s">
        <v>24</v>
      </c>
      <c r="C50" s="1"/>
      <c r="D50" s="4">
        <f>Table1[[#This Row],[Enrolment S.Y. 2025-2026 ]]*8</f>
        <v>0</v>
      </c>
      <c r="E50" s="4"/>
      <c r="F50" s="1">
        <v>2025</v>
      </c>
      <c r="G50" s="4" t="s">
        <v>57</v>
      </c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>
        <f>ROUNDDOWN(Table1[[#This Row],[Enrolment S.Y. 2025-2026 ]] / 2, 0) * 2</f>
        <v>0</v>
      </c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19</v>
      </c>
      <c r="B51" s="8" t="s">
        <v>25</v>
      </c>
      <c r="C51" s="1"/>
      <c r="D51" s="4">
        <f>Table1[[#This Row],[Enrolment S.Y. 2025-2026 ]]*8</f>
        <v>0</v>
      </c>
      <c r="E51" s="4"/>
      <c r="F51" s="1">
        <v>2025</v>
      </c>
      <c r="G51" s="4" t="s">
        <v>57</v>
      </c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>
        <v>50</v>
      </c>
      <c r="L51" s="1"/>
      <c r="M51" s="4"/>
      <c r="N51" s="4">
        <f t="shared" si="10"/>
        <v>0</v>
      </c>
      <c r="O51" s="4">
        <f t="shared" si="11"/>
        <v>50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6" customFormat="1" ht="57.75">
      <c r="A52" s="1" t="s">
        <v>19</v>
      </c>
      <c r="B52" s="8" t="s">
        <v>26</v>
      </c>
      <c r="C52" s="1"/>
      <c r="D52" s="4">
        <f>Table1[[#This Row],[Enrolment S.Y. 2025-2026 ]]*8</f>
        <v>0</v>
      </c>
      <c r="E52" s="4"/>
      <c r="F52" s="1">
        <v>2025</v>
      </c>
      <c r="G52" s="4" t="s">
        <v>57</v>
      </c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>
        <f>ROUNDDOWN(Table1[[#This Row],[Enrolment S.Y. 2025-2026 ]] / 2, 0) * 2</f>
        <v>0</v>
      </c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19</v>
      </c>
      <c r="B53" s="8" t="s">
        <v>27</v>
      </c>
      <c r="C53" s="1"/>
      <c r="D53" s="4">
        <f>Table1[[#This Row],[Enrolment S.Y. 2025-2026 ]]*8</f>
        <v>0</v>
      </c>
      <c r="E53" s="4"/>
      <c r="F53" s="1">
        <v>2025</v>
      </c>
      <c r="G53" s="4" t="s">
        <v>57</v>
      </c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>
        <f>ROUNDDOWN(Table1[[#This Row],[Enrolment S.Y. 2025-2026 ]] / 2, 0) * 2</f>
        <v>0</v>
      </c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6"/>
      <c r="B54" s="6"/>
      <c r="C54" s="6"/>
      <c r="D54" s="6"/>
      <c r="E54" s="6"/>
      <c r="F54" s="6"/>
      <c r="G54" s="6"/>
      <c r="H54" s="6"/>
      <c r="I54" s="6"/>
      <c r="J54" s="12"/>
      <c r="K54" s="6">
        <f>ROUNDDOWN(Table1[[#This Row],[Enrolment S.Y. 2025-2026 ]] / 2, 0) * 2</f>
        <v>0</v>
      </c>
      <c r="L54" s="6"/>
      <c r="M54" s="6"/>
      <c r="N54" s="12"/>
      <c r="O54" s="12"/>
      <c r="P54" s="12"/>
      <c r="Q54" s="6"/>
      <c r="R54" s="6"/>
      <c r="S54" s="6"/>
      <c r="T54" s="12"/>
      <c r="U54" s="12"/>
      <c r="V54" s="12"/>
      <c r="W54" s="6"/>
      <c r="X54" s="6"/>
      <c r="Y54" s="6"/>
      <c r="Z54" s="12"/>
      <c r="AA54" s="12"/>
    </row>
    <row r="55" spans="1:27" ht="38.25">
      <c r="A55" s="1" t="s">
        <v>19</v>
      </c>
      <c r="B55" s="8" t="s">
        <v>58</v>
      </c>
      <c r="C55" s="1"/>
      <c r="D55" s="4"/>
      <c r="E55" s="4"/>
      <c r="F55" s="1">
        <v>2025</v>
      </c>
      <c r="G55" s="4" t="s">
        <v>57</v>
      </c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>
        <v>50</v>
      </c>
      <c r="L55" s="1"/>
      <c r="M55" s="4"/>
      <c r="N55" s="4">
        <f t="shared" si="10"/>
        <v>0</v>
      </c>
      <c r="O55" s="4">
        <f t="shared" si="11"/>
        <v>50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 t="s">
        <v>19</v>
      </c>
      <c r="B56" s="8" t="s">
        <v>59</v>
      </c>
      <c r="C56" s="1"/>
      <c r="D56" s="4"/>
      <c r="E56" s="4"/>
      <c r="F56" s="1">
        <v>2025</v>
      </c>
      <c r="G56" s="4" t="s">
        <v>57</v>
      </c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>
        <v>50</v>
      </c>
      <c r="L56" s="1"/>
      <c r="M56" s="4"/>
      <c r="N56" s="4">
        <f t="shared" si="10"/>
        <v>0</v>
      </c>
      <c r="O56" s="4">
        <f t="shared" si="11"/>
        <v>50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 t="s">
        <v>19</v>
      </c>
      <c r="B57" s="8" t="s">
        <v>60</v>
      </c>
      <c r="C57" s="1"/>
      <c r="D57" s="4"/>
      <c r="E57" s="4"/>
      <c r="F57" s="1">
        <v>2025</v>
      </c>
      <c r="G57" s="4" t="s">
        <v>57</v>
      </c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>
        <v>50</v>
      </c>
      <c r="L57" s="1"/>
      <c r="M57" s="4"/>
      <c r="N57" s="4">
        <f t="shared" si="10"/>
        <v>0</v>
      </c>
      <c r="O57" s="4">
        <f t="shared" si="11"/>
        <v>50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 t="s">
        <v>19</v>
      </c>
      <c r="B58" s="8" t="s">
        <v>23</v>
      </c>
      <c r="C58" s="1"/>
      <c r="D58" s="4"/>
      <c r="E58" s="4"/>
      <c r="F58" s="1">
        <v>2025</v>
      </c>
      <c r="G58" s="4" t="s">
        <v>57</v>
      </c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>
        <v>50</v>
      </c>
      <c r="L58" s="1"/>
      <c r="M58" s="4"/>
      <c r="N58" s="4">
        <f t="shared" si="10"/>
        <v>0</v>
      </c>
      <c r="O58" s="4">
        <f t="shared" si="11"/>
        <v>50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 t="s">
        <v>19</v>
      </c>
      <c r="B59" s="8" t="s">
        <v>61</v>
      </c>
      <c r="C59" s="1"/>
      <c r="D59" s="4"/>
      <c r="E59" s="4"/>
      <c r="F59" s="1">
        <v>2025</v>
      </c>
      <c r="G59" s="4" t="s">
        <v>57</v>
      </c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>
        <v>50</v>
      </c>
      <c r="L59" s="1"/>
      <c r="M59" s="4"/>
      <c r="N59" s="4">
        <f t="shared" si="10"/>
        <v>0</v>
      </c>
      <c r="O59" s="4">
        <f t="shared" si="11"/>
        <v>50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38.25">
      <c r="A60" s="1" t="s">
        <v>19</v>
      </c>
      <c r="B60" s="8" t="s">
        <v>62</v>
      </c>
      <c r="C60" s="1"/>
      <c r="D60" s="4"/>
      <c r="E60" s="4"/>
      <c r="F60" s="1">
        <v>2025</v>
      </c>
      <c r="G60" s="4" t="s">
        <v>57</v>
      </c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>
        <v>50</v>
      </c>
      <c r="L60" s="1"/>
      <c r="M60" s="4"/>
      <c r="N60" s="4">
        <f t="shared" si="10"/>
        <v>0</v>
      </c>
      <c r="O60" s="4">
        <f t="shared" si="11"/>
        <v>50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38.25">
      <c r="A61" s="1" t="s">
        <v>19</v>
      </c>
      <c r="B61" s="8" t="s">
        <v>63</v>
      </c>
      <c r="C61" s="1"/>
      <c r="D61" s="4"/>
      <c r="E61" s="4"/>
      <c r="F61" s="1">
        <v>2025</v>
      </c>
      <c r="G61" s="4" t="s">
        <v>57</v>
      </c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>
        <v>50</v>
      </c>
      <c r="L61" s="1"/>
      <c r="M61" s="4"/>
      <c r="N61" s="4">
        <f t="shared" si="10"/>
        <v>0</v>
      </c>
      <c r="O61" s="4">
        <f t="shared" si="11"/>
        <v>50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6" customFormat="1" ht="38.25">
      <c r="A62" s="1" t="s">
        <v>19</v>
      </c>
      <c r="B62" s="8" t="s">
        <v>64</v>
      </c>
      <c r="C62" s="1"/>
      <c r="D62" s="4"/>
      <c r="E62" s="4"/>
      <c r="F62" s="1">
        <v>2025</v>
      </c>
      <c r="G62" s="4" t="s">
        <v>57</v>
      </c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>
        <v>50</v>
      </c>
      <c r="L62" s="1"/>
      <c r="M62" s="4"/>
      <c r="N62" s="4">
        <f t="shared" si="10"/>
        <v>0</v>
      </c>
      <c r="O62" s="4">
        <f t="shared" si="11"/>
        <v>50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 t="s">
        <v>19</v>
      </c>
      <c r="B63" s="8" t="s">
        <v>65</v>
      </c>
      <c r="C63" s="1"/>
      <c r="D63" s="4"/>
      <c r="E63" s="4"/>
      <c r="F63" s="1">
        <v>2025</v>
      </c>
      <c r="G63" s="4" t="s">
        <v>57</v>
      </c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>
        <v>50</v>
      </c>
      <c r="L63" s="1"/>
      <c r="M63" s="4"/>
      <c r="N63" s="4">
        <f t="shared" si="10"/>
        <v>0</v>
      </c>
      <c r="O63" s="4">
        <f t="shared" si="11"/>
        <v>50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38.25">
      <c r="A64" s="1" t="s">
        <v>19</v>
      </c>
      <c r="B64" s="8" t="s">
        <v>66</v>
      </c>
      <c r="C64" s="1"/>
      <c r="D64" s="4"/>
      <c r="E64" s="4"/>
      <c r="F64" s="1">
        <v>2025</v>
      </c>
      <c r="G64" s="4" t="s">
        <v>57</v>
      </c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>
        <v>50</v>
      </c>
      <c r="L64" s="1"/>
      <c r="M64" s="4"/>
      <c r="N64" s="4">
        <f t="shared" si="10"/>
        <v>0</v>
      </c>
      <c r="O64" s="4">
        <f t="shared" si="11"/>
        <v>50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38.25">
      <c r="A65" s="1" t="s">
        <v>19</v>
      </c>
      <c r="B65" s="8" t="s">
        <v>67</v>
      </c>
      <c r="C65" s="1"/>
      <c r="D65" s="4"/>
      <c r="E65" s="4"/>
      <c r="F65" s="1">
        <v>2025</v>
      </c>
      <c r="G65" s="4" t="s">
        <v>57</v>
      </c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>
        <v>50</v>
      </c>
      <c r="L65" s="1"/>
      <c r="M65" s="4"/>
      <c r="N65" s="4">
        <f t="shared" si="10"/>
        <v>0</v>
      </c>
      <c r="O65" s="4">
        <f t="shared" si="11"/>
        <v>50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38.25">
      <c r="A66" s="1" t="s">
        <v>19</v>
      </c>
      <c r="B66" s="8" t="s">
        <v>68</v>
      </c>
      <c r="C66" s="1"/>
      <c r="D66" s="4"/>
      <c r="E66" s="4"/>
      <c r="F66" s="1">
        <v>2025</v>
      </c>
      <c r="G66" s="4" t="s">
        <v>57</v>
      </c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>
        <v>50</v>
      </c>
      <c r="L66" s="1"/>
      <c r="M66" s="4"/>
      <c r="N66" s="4">
        <f t="shared" si="10"/>
        <v>0</v>
      </c>
      <c r="O66" s="4">
        <f t="shared" si="11"/>
        <v>50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39.75" customHeight="1">
      <c r="A67" s="1" t="s">
        <v>19</v>
      </c>
      <c r="B67" s="8" t="s">
        <v>69</v>
      </c>
      <c r="C67" s="1"/>
      <c r="D67" s="4"/>
      <c r="E67" s="4"/>
      <c r="F67" s="1">
        <v>2025</v>
      </c>
      <c r="G67" s="4" t="s">
        <v>57</v>
      </c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>
        <v>50</v>
      </c>
      <c r="L67" s="1"/>
      <c r="M67" s="4"/>
      <c r="N67" s="4">
        <f t="shared" si="10"/>
        <v>0</v>
      </c>
      <c r="O67" s="4">
        <f t="shared" si="11"/>
        <v>50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38.25">
      <c r="A68" s="1" t="s">
        <v>19</v>
      </c>
      <c r="B68" s="8" t="s">
        <v>70</v>
      </c>
      <c r="C68" s="1"/>
      <c r="D68" s="4"/>
      <c r="E68" s="4"/>
      <c r="F68" s="1">
        <v>2025</v>
      </c>
      <c r="G68" s="4" t="s">
        <v>57</v>
      </c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>
        <v>50</v>
      </c>
      <c r="L68" s="1"/>
      <c r="M68" s="4"/>
      <c r="N68" s="4">
        <f t="shared" si="10"/>
        <v>0</v>
      </c>
      <c r="O68" s="4">
        <f t="shared" si="11"/>
        <v>50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38.25">
      <c r="A69" s="1" t="s">
        <v>19</v>
      </c>
      <c r="B69" s="8" t="s">
        <v>71</v>
      </c>
      <c r="C69" s="1"/>
      <c r="D69" s="4"/>
      <c r="E69" s="4"/>
      <c r="F69" s="1">
        <v>2025</v>
      </c>
      <c r="G69" s="4" t="s">
        <v>57</v>
      </c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>
        <v>50</v>
      </c>
      <c r="L69" s="1"/>
      <c r="M69" s="4"/>
      <c r="N69" s="4">
        <f t="shared" si="10"/>
        <v>0</v>
      </c>
      <c r="O69" s="4">
        <f t="shared" si="11"/>
        <v>50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1" t="s">
        <v>19</v>
      </c>
      <c r="B70" s="29" t="s">
        <v>72</v>
      </c>
      <c r="C70" s="28"/>
      <c r="D70" s="4"/>
      <c r="E70" s="30"/>
      <c r="F70" s="1">
        <v>2025</v>
      </c>
      <c r="G70" s="4" t="s">
        <v>57</v>
      </c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4">
        <v>50</v>
      </c>
      <c r="L70" s="1"/>
      <c r="M70" s="30"/>
      <c r="N70" s="4">
        <f t="shared" ref="N70" si="18">IF((J70-K70)&lt;0,0,(J70-K70))</f>
        <v>0</v>
      </c>
      <c r="O70" s="4">
        <f t="shared" ref="O70" si="19">IF((K70-J70)&lt;0,0,(K70-J70))</f>
        <v>50</v>
      </c>
      <c r="P70" s="4"/>
      <c r="Q70" s="30"/>
      <c r="R70" s="1"/>
      <c r="S70" s="30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30"/>
      <c r="X70" s="1"/>
      <c r="Y70" s="30"/>
      <c r="Z70" s="4">
        <f t="shared" si="14"/>
        <v>0</v>
      </c>
      <c r="AA70" s="4">
        <f t="shared" si="15"/>
        <v>0</v>
      </c>
    </row>
    <row r="71" spans="1:27" ht="19.5">
      <c r="A71" s="1" t="s">
        <v>19</v>
      </c>
      <c r="B71" s="29" t="s">
        <v>73</v>
      </c>
      <c r="C71" s="28"/>
      <c r="D71" s="4"/>
      <c r="E71" s="30"/>
      <c r="F71" s="1">
        <v>2025</v>
      </c>
      <c r="G71" s="4" t="s">
        <v>57</v>
      </c>
      <c r="H71" s="4">
        <f t="shared" ref="H71:H75" si="20">IF((D71-E71)&lt;0,0,(D71-E71))</f>
        <v>0</v>
      </c>
      <c r="I71" s="4">
        <f t="shared" ref="I71:I75" si="21">IF((E71-D71)&lt;0,0,(E71-D71))</f>
        <v>0</v>
      </c>
      <c r="J71" s="4">
        <f>Table1[[#This Row],[Enrolment S.Y. 2025-2026 ]]*8</f>
        <v>0</v>
      </c>
      <c r="K71" s="4">
        <v>50</v>
      </c>
      <c r="L71" s="1"/>
      <c r="M71" s="30"/>
      <c r="N71" s="4">
        <f t="shared" ref="N71:N75" si="22">IF((J71-K71)&lt;0,0,(J71-K71))</f>
        <v>0</v>
      </c>
      <c r="O71" s="4">
        <f t="shared" ref="O71:O75" si="23">IF((K71-J71)&lt;0,0,(K71-J71))</f>
        <v>50</v>
      </c>
      <c r="P71" s="4"/>
      <c r="Q71" s="30"/>
      <c r="R71" s="1"/>
      <c r="S71" s="30"/>
      <c r="T71" s="4">
        <f t="shared" ref="T71:T75" si="24">IF((P71-Q71)&lt;0,0,(P71-Q71))</f>
        <v>0</v>
      </c>
      <c r="U71" s="4">
        <f t="shared" ref="U71:U75" si="25">IF((Q71-P71)&lt;0,0,(Q71-P71))</f>
        <v>0</v>
      </c>
      <c r="V71" s="4">
        <f>Table1[[#This Row],[Enrolment S.Y. 2025-2026 ]]*8</f>
        <v>0</v>
      </c>
      <c r="W71" s="30"/>
      <c r="X71" s="1"/>
      <c r="Y71" s="30"/>
      <c r="Z71" s="4">
        <f t="shared" ref="Z71:Z75" si="26">IF((V71-W71)&lt;0,0,(V71-W71))</f>
        <v>0</v>
      </c>
      <c r="AA71" s="4">
        <f t="shared" ref="AA71:AA75" si="27">IF((W71-V71)&lt;0,0,(W71-V71))</f>
        <v>0</v>
      </c>
    </row>
    <row r="72" spans="1:27" s="6" customFormat="1" ht="19.5">
      <c r="A72" s="1" t="s">
        <v>19</v>
      </c>
      <c r="B72" s="29" t="s">
        <v>74</v>
      </c>
      <c r="C72" s="28"/>
      <c r="D72" s="4"/>
      <c r="E72" s="30"/>
      <c r="F72" s="1">
        <v>2025</v>
      </c>
      <c r="G72" s="4" t="s">
        <v>57</v>
      </c>
      <c r="H72" s="4">
        <f t="shared" si="20"/>
        <v>0</v>
      </c>
      <c r="I72" s="4">
        <f t="shared" si="21"/>
        <v>0</v>
      </c>
      <c r="J72" s="4">
        <f>Table1[[#This Row],[Enrolment S.Y. 2025-2026 ]]*8</f>
        <v>0</v>
      </c>
      <c r="K72" s="4">
        <v>50</v>
      </c>
      <c r="L72" s="1"/>
      <c r="M72" s="30"/>
      <c r="N72" s="4">
        <f t="shared" si="22"/>
        <v>0</v>
      </c>
      <c r="O72" s="4">
        <f t="shared" si="23"/>
        <v>50</v>
      </c>
      <c r="P72" s="4"/>
      <c r="Q72" s="30"/>
      <c r="R72" s="1"/>
      <c r="S72" s="30"/>
      <c r="T72" s="4">
        <f t="shared" si="24"/>
        <v>0</v>
      </c>
      <c r="U72" s="4">
        <f t="shared" si="25"/>
        <v>0</v>
      </c>
      <c r="V72" s="4">
        <f>Table1[[#This Row],[Enrolment S.Y. 2025-2026 ]]*8</f>
        <v>0</v>
      </c>
      <c r="W72" s="30"/>
      <c r="X72" s="1"/>
      <c r="Y72" s="30"/>
      <c r="Z72" s="4">
        <f t="shared" si="26"/>
        <v>0</v>
      </c>
      <c r="AA72" s="4">
        <f t="shared" si="27"/>
        <v>0</v>
      </c>
    </row>
    <row r="73" spans="1:27" ht="19.5">
      <c r="A73" s="28"/>
      <c r="B73" s="29"/>
      <c r="C73" s="28"/>
      <c r="D73" s="4"/>
      <c r="E73" s="30"/>
      <c r="F73" s="28"/>
      <c r="G73" s="30"/>
      <c r="H73" s="4">
        <f t="shared" si="20"/>
        <v>0</v>
      </c>
      <c r="I73" s="4">
        <f t="shared" si="21"/>
        <v>0</v>
      </c>
      <c r="J73" s="4">
        <f>Table1[[#This Row],[Enrolment S.Y. 2025-2026 ]]*8</f>
        <v>0</v>
      </c>
      <c r="K73" s="4">
        <v>50</v>
      </c>
      <c r="L73" s="1"/>
      <c r="M73" s="30"/>
      <c r="N73" s="4">
        <f t="shared" si="22"/>
        <v>0</v>
      </c>
      <c r="O73" s="4">
        <f t="shared" si="23"/>
        <v>50</v>
      </c>
      <c r="P73" s="4"/>
      <c r="Q73" s="30"/>
      <c r="R73" s="1"/>
      <c r="S73" s="30"/>
      <c r="T73" s="4">
        <f t="shared" si="24"/>
        <v>0</v>
      </c>
      <c r="U73" s="4">
        <f t="shared" si="25"/>
        <v>0</v>
      </c>
      <c r="V73" s="4">
        <f>Table1[[#This Row],[Enrolment S.Y. 2025-2026 ]]*8</f>
        <v>0</v>
      </c>
      <c r="W73" s="30"/>
      <c r="X73" s="1"/>
      <c r="Y73" s="30"/>
      <c r="Z73" s="4">
        <f t="shared" si="26"/>
        <v>0</v>
      </c>
      <c r="AA73" s="4">
        <f t="shared" si="27"/>
        <v>0</v>
      </c>
    </row>
    <row r="74" spans="1:27" ht="19.5">
      <c r="A74" s="28"/>
      <c r="B74" s="29"/>
      <c r="C74" s="28"/>
      <c r="D74" s="4"/>
      <c r="E74" s="30"/>
      <c r="F74" s="28"/>
      <c r="G74" s="30"/>
      <c r="H74" s="4">
        <f t="shared" si="20"/>
        <v>0</v>
      </c>
      <c r="I74" s="4">
        <f t="shared" si="21"/>
        <v>0</v>
      </c>
      <c r="J74" s="4">
        <f>Table1[[#This Row],[Enrolment S.Y. 2025-2026 ]]*8</f>
        <v>0</v>
      </c>
      <c r="K74" s="4">
        <v>50</v>
      </c>
      <c r="L74" s="1"/>
      <c r="M74" s="30"/>
      <c r="N74" s="4">
        <f t="shared" si="22"/>
        <v>0</v>
      </c>
      <c r="O74" s="4">
        <f t="shared" si="23"/>
        <v>50</v>
      </c>
      <c r="P74" s="4"/>
      <c r="Q74" s="30"/>
      <c r="R74" s="1"/>
      <c r="S74" s="30"/>
      <c r="T74" s="4">
        <f t="shared" si="24"/>
        <v>0</v>
      </c>
      <c r="U74" s="4">
        <f t="shared" si="25"/>
        <v>0</v>
      </c>
      <c r="V74" s="4">
        <f>Table1[[#This Row],[Enrolment S.Y. 2025-2026 ]]*8</f>
        <v>0</v>
      </c>
      <c r="W74" s="30"/>
      <c r="X74" s="1"/>
      <c r="Y74" s="30"/>
      <c r="Z74" s="4">
        <f t="shared" si="26"/>
        <v>0</v>
      </c>
      <c r="AA74" s="4">
        <f t="shared" si="27"/>
        <v>0</v>
      </c>
    </row>
    <row r="75" spans="1:27" ht="19.5">
      <c r="A75" s="28"/>
      <c r="B75" s="29"/>
      <c r="C75" s="28"/>
      <c r="D75" s="4"/>
      <c r="E75" s="30"/>
      <c r="F75" s="28"/>
      <c r="G75" s="30"/>
      <c r="H75" s="4">
        <f t="shared" si="20"/>
        <v>0</v>
      </c>
      <c r="I75" s="4">
        <f t="shared" si="21"/>
        <v>0</v>
      </c>
      <c r="J75" s="4">
        <f>Table1[[#This Row],[Enrolment S.Y. 2025-2026 ]]*8</f>
        <v>0</v>
      </c>
      <c r="K75" s="4">
        <v>50</v>
      </c>
      <c r="L75" s="1"/>
      <c r="M75" s="30"/>
      <c r="N75" s="4">
        <f t="shared" si="22"/>
        <v>0</v>
      </c>
      <c r="O75" s="4">
        <f t="shared" si="23"/>
        <v>50</v>
      </c>
      <c r="P75" s="4"/>
      <c r="Q75" s="30"/>
      <c r="R75" s="1"/>
      <c r="S75" s="30"/>
      <c r="T75" s="4">
        <f t="shared" si="24"/>
        <v>0</v>
      </c>
      <c r="U75" s="4">
        <f t="shared" si="25"/>
        <v>0</v>
      </c>
      <c r="V75" s="4">
        <f>Table1[[#This Row],[Enrolment S.Y. 2025-2026 ]]*8</f>
        <v>0</v>
      </c>
      <c r="W75" s="30"/>
      <c r="X75" s="1"/>
      <c r="Y75" s="30"/>
      <c r="Z75" s="4">
        <f t="shared" si="26"/>
        <v>0</v>
      </c>
      <c r="AA75" s="4">
        <f t="shared" si="27"/>
        <v>0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6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6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6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/>
    <row r="107" spans="1:27" ht="15"/>
    <row r="108" spans="1:27" ht="32.25" customHeight="1"/>
    <row r="109" spans="1:27" ht="57" customHeight="1"/>
    <row r="110" spans="1:27" ht="15"/>
    <row r="111" spans="1:27" s="6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</sheetData>
  <protectedRanges>
    <protectedRange sqref="C2:C3 C16:C24 C26:C34 C36:C44 C46:C53 C55:C69 C6:C14" name="Textbooks"/>
    <protectedRange sqref="J2:L3 D2:F3 Q56:Q69 K6:L14 K16:L24 K26:L34 K36:L44 K46:L53 K55:L75 R56:R75 Q6:R14 D6:F14 H6:I14 D16:F24 H16:I24 D26:F34 H26:I34 D36:F44 H36:I44 H46:I53 W46:X53 Q46:R53 W16:X24 W6:X14 Q55:R55 P2:R2 V2:X3 W26:X34 N4:P69 N3:R3 H55:I75 N70:Q75 T4:V75 J4:J75 Z4:AA75 D46:F53 D55:F75 W36:X44 W55:X75 Q16:R24 Q26:R34 Q36:R44" name="LAS"/>
    <protectedRange sqref="G2:I3 M2:O2 S2:U3 Y2:AA3 G36:G44 S4:S53 M5:M53 M55:M75 M3 Y5:Y53 S55:S75 Y55:Y75 G46:G53 G55:G75 G6:G14 G16:G24 G26:G34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M55:M75 Y55:Y75 S55:S75 G55:G75" xr:uid="{8289B4A9-982E-4C7E-A8E2-4BF3404561DB}">
      <formula1>"CO,RO,SDO"</formula1>
    </dataValidation>
    <dataValidation type="list" allowBlank="1" showInputMessage="1" showErrorMessage="1" sqref="F6:F14 F16:F24 F36:F44 F26:F34 F46:F53 F55:F75 X46:X53" xr:uid="{4ECCD083-8EC4-42EE-B46C-B614411F330D}">
      <formula1>"2024,2025"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  <dataValidation type="list" allowBlank="1" showInputMessage="1" showErrorMessage="1" sqref="L6:L14 L16:L24 L26:L34 L36:L44 L46:L53 L55:L75 R46:R53 R6:R14 R16:R24 R26:R34 R36:R44 R55:R75 X36:X44 X6:X14 X16:X24 X26:X34 X55:X75" xr:uid="{32C1021F-D383-4E8F-BA04-95834989D573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E58" sqref="E58"/>
    </sheetView>
  </sheetViews>
  <sheetFormatPr defaultRowHeight="13.9"/>
  <cols>
    <col min="1" max="1" width="9.42578125" customWidth="1"/>
    <col min="2" max="2" width="27.85546875" customWidth="1"/>
    <col min="3" max="3" width="17.5703125" customWidth="1"/>
    <col min="4" max="4" width="16.42578125" customWidth="1"/>
    <col min="5" max="5" width="24" customWidth="1"/>
    <col min="6" max="6" width="24.85546875" bestFit="1" customWidth="1"/>
    <col min="7" max="7" width="23.140625" customWidth="1"/>
    <col min="8" max="8" width="18.28515625" customWidth="1"/>
    <col min="9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B1" s="34"/>
      <c r="D1" s="45" t="s">
        <v>28</v>
      </c>
      <c r="E1" s="45"/>
      <c r="F1" s="45"/>
      <c r="G1" s="45"/>
      <c r="H1" s="45"/>
      <c r="I1" s="45"/>
      <c r="J1" s="46" t="s">
        <v>29</v>
      </c>
      <c r="K1" s="46"/>
      <c r="L1" s="46"/>
      <c r="M1" s="46"/>
      <c r="N1" s="46"/>
      <c r="O1" s="46"/>
      <c r="P1" s="47" t="s">
        <v>30</v>
      </c>
      <c r="Q1" s="47"/>
      <c r="R1" s="47"/>
      <c r="S1" s="47"/>
      <c r="T1" s="47"/>
      <c r="U1" s="47"/>
      <c r="V1" s="48" t="s">
        <v>31</v>
      </c>
      <c r="W1" s="48"/>
      <c r="X1" s="48"/>
      <c r="Y1" s="48"/>
      <c r="Z1" s="48"/>
      <c r="AA1" s="48"/>
    </row>
    <row r="2" spans="1:27" ht="69.599999999999994" customHeight="1">
      <c r="A2" s="14" t="s">
        <v>0</v>
      </c>
      <c r="B2" s="35" t="s">
        <v>1</v>
      </c>
      <c r="C2" s="15" t="s">
        <v>2</v>
      </c>
      <c r="D2" s="19" t="s">
        <v>75</v>
      </c>
      <c r="E2" s="19" t="s">
        <v>76</v>
      </c>
      <c r="F2" s="20" t="s">
        <v>77</v>
      </c>
      <c r="G2" s="23" t="s">
        <v>78</v>
      </c>
      <c r="H2" s="16" t="s">
        <v>79</v>
      </c>
      <c r="I2" s="23" t="s">
        <v>80</v>
      </c>
      <c r="J2" s="21" t="s">
        <v>81</v>
      </c>
      <c r="K2" s="21" t="s">
        <v>82</v>
      </c>
      <c r="L2" s="22" t="s">
        <v>83</v>
      </c>
      <c r="M2" s="38" t="s">
        <v>84</v>
      </c>
      <c r="N2" s="38" t="s">
        <v>85</v>
      </c>
      <c r="O2" s="21" t="s">
        <v>86</v>
      </c>
      <c r="P2" s="23" t="s">
        <v>87</v>
      </c>
      <c r="Q2" s="23" t="s">
        <v>88</v>
      </c>
      <c r="R2" s="24" t="s">
        <v>89</v>
      </c>
      <c r="S2" s="16" t="s">
        <v>90</v>
      </c>
      <c r="T2" s="16" t="s">
        <v>91</v>
      </c>
      <c r="U2" s="23" t="s">
        <v>92</v>
      </c>
      <c r="V2" s="25" t="s">
        <v>93</v>
      </c>
      <c r="W2" s="25" t="s">
        <v>94</v>
      </c>
      <c r="X2" s="26" t="s">
        <v>95</v>
      </c>
      <c r="Y2" s="39" t="s">
        <v>96</v>
      </c>
      <c r="Z2" s="39" t="s">
        <v>97</v>
      </c>
      <c r="AA2" s="25" t="s">
        <v>98</v>
      </c>
    </row>
    <row r="3" spans="1:27" ht="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9.5">
      <c r="A4" s="9">
        <v>7</v>
      </c>
      <c r="B4" s="10" t="s">
        <v>8</v>
      </c>
      <c r="C4" s="9">
        <v>383</v>
      </c>
      <c r="D4" s="11">
        <f>Table14[[#This Row],[Enrolment S.Y. 2025-2026 ]]*8</f>
        <v>3064</v>
      </c>
      <c r="E4" s="11"/>
      <c r="F4" s="9"/>
      <c r="G4" s="11"/>
      <c r="H4" s="11">
        <f t="shared" ref="H4:H20" si="0">IF((D4-E4)&lt;0,0,(D4-E4))</f>
        <v>3064</v>
      </c>
      <c r="I4" s="11">
        <f t="shared" ref="I4:I20" si="1">IF((E4-D4)&lt;0,0,(E4-D4))</f>
        <v>0</v>
      </c>
      <c r="J4" s="11">
        <f>Table14[[#This Row],[Enrolment S.Y. 2025-2026 ]]*8</f>
        <v>3064</v>
      </c>
      <c r="K4" s="11"/>
      <c r="L4" s="9"/>
      <c r="M4" s="11"/>
      <c r="N4" s="11">
        <f t="shared" ref="N4:N7" si="2">IF((J4-K4)&lt;0,0,(J4-K4))</f>
        <v>3064</v>
      </c>
      <c r="O4" s="11">
        <f t="shared" ref="O4:O7" si="3">IF((K4-J4)&lt;0,0,(K4-J4))</f>
        <v>0</v>
      </c>
      <c r="P4" s="11">
        <f>Table14[[#This Row],[Enrolment S.Y. 2025-2026 ]]*8</f>
        <v>3064</v>
      </c>
      <c r="Q4" s="11"/>
      <c r="R4" s="9"/>
      <c r="S4" s="11"/>
      <c r="T4" s="11">
        <f t="shared" ref="T4:T9" si="4">IF((P4-Q4)&lt;0,0,(P4-Q4))</f>
        <v>3064</v>
      </c>
      <c r="U4" s="11">
        <f t="shared" ref="U4:U9" si="5">IF((Q4-P4)&lt;0,0,(Q4-P4))</f>
        <v>0</v>
      </c>
      <c r="V4" s="11">
        <f>Table14[[#This Row],[Enrolment S.Y. 2025-2026 ]]*8</f>
        <v>3064</v>
      </c>
      <c r="W4" s="11"/>
      <c r="X4" s="9"/>
      <c r="Y4" s="11"/>
      <c r="Z4" s="11">
        <f t="shared" ref="Z4:Z9" si="6">IF((V4-W4)&lt;0,0,(V4-W4))</f>
        <v>3064</v>
      </c>
      <c r="AA4" s="11">
        <f t="shared" ref="AA4:AA9" si="7">IF((W4-V4)&lt;0,0,(W4-V4))</f>
        <v>0</v>
      </c>
    </row>
    <row r="5" spans="1:27" ht="19.5">
      <c r="A5" s="9">
        <v>7</v>
      </c>
      <c r="B5" s="10" t="s">
        <v>10</v>
      </c>
      <c r="C5" s="9">
        <v>383</v>
      </c>
      <c r="D5" s="11">
        <f>Table14[[#This Row],[Enrolment S.Y. 2025-2026 ]]*8</f>
        <v>3064</v>
      </c>
      <c r="E5" s="11"/>
      <c r="F5" s="9"/>
      <c r="G5" s="11"/>
      <c r="H5" s="11">
        <f t="shared" si="0"/>
        <v>3064</v>
      </c>
      <c r="I5" s="11">
        <f t="shared" si="1"/>
        <v>0</v>
      </c>
      <c r="J5" s="11">
        <f>Table14[[#This Row],[Enrolment S.Y. 2025-2026 ]]*8</f>
        <v>3064</v>
      </c>
      <c r="K5" s="11"/>
      <c r="L5" s="9"/>
      <c r="M5" s="11"/>
      <c r="N5" s="11">
        <f t="shared" si="2"/>
        <v>3064</v>
      </c>
      <c r="O5" s="11">
        <f t="shared" si="3"/>
        <v>0</v>
      </c>
      <c r="P5" s="11">
        <f>Table14[[#This Row],[Enrolment S.Y. 2025-2026 ]]*8</f>
        <v>3064</v>
      </c>
      <c r="Q5" s="11"/>
      <c r="R5" s="9"/>
      <c r="S5" s="11"/>
      <c r="T5" s="11">
        <f t="shared" si="4"/>
        <v>3064</v>
      </c>
      <c r="U5" s="11">
        <f t="shared" si="5"/>
        <v>0</v>
      </c>
      <c r="V5" s="11">
        <f>Table14[[#This Row],[Enrolment S.Y. 2025-2026 ]]*8</f>
        <v>3064</v>
      </c>
      <c r="W5" s="11"/>
      <c r="X5" s="9"/>
      <c r="Y5" s="11"/>
      <c r="Z5" s="11">
        <f t="shared" si="6"/>
        <v>3064</v>
      </c>
      <c r="AA5" s="11">
        <f t="shared" si="7"/>
        <v>0</v>
      </c>
    </row>
    <row r="6" spans="1:27" ht="19.5">
      <c r="A6" s="9">
        <v>7</v>
      </c>
      <c r="B6" s="10" t="s">
        <v>11</v>
      </c>
      <c r="C6" s="9">
        <v>383</v>
      </c>
      <c r="D6" s="11">
        <f>Table14[[#This Row],[Enrolment S.Y. 2025-2026 ]]*8</f>
        <v>3064</v>
      </c>
      <c r="E6" s="11"/>
      <c r="F6" s="9"/>
      <c r="G6" s="11"/>
      <c r="H6" s="11">
        <f t="shared" si="0"/>
        <v>3064</v>
      </c>
      <c r="I6" s="11">
        <f t="shared" si="1"/>
        <v>0</v>
      </c>
      <c r="J6" s="11">
        <f>Table14[[#This Row],[Enrolment S.Y. 2025-2026 ]]*8</f>
        <v>3064</v>
      </c>
      <c r="K6" s="11"/>
      <c r="L6" s="9"/>
      <c r="M6" s="11"/>
      <c r="N6" s="11">
        <f t="shared" si="2"/>
        <v>3064</v>
      </c>
      <c r="O6" s="11">
        <f t="shared" si="3"/>
        <v>0</v>
      </c>
      <c r="P6" s="11">
        <f>Table14[[#This Row],[Enrolment S.Y. 2025-2026 ]]*8</f>
        <v>3064</v>
      </c>
      <c r="Q6" s="11"/>
      <c r="R6" s="9"/>
      <c r="S6" s="11"/>
      <c r="T6" s="11">
        <f t="shared" si="4"/>
        <v>3064</v>
      </c>
      <c r="U6" s="11">
        <f t="shared" si="5"/>
        <v>0</v>
      </c>
      <c r="V6" s="11">
        <f>Table14[[#This Row],[Enrolment S.Y. 2025-2026 ]]*8</f>
        <v>3064</v>
      </c>
      <c r="W6" s="11"/>
      <c r="X6" s="9"/>
      <c r="Y6" s="11"/>
      <c r="Z6" s="11">
        <f t="shared" si="6"/>
        <v>3064</v>
      </c>
      <c r="AA6" s="11">
        <f t="shared" si="7"/>
        <v>0</v>
      </c>
    </row>
    <row r="7" spans="1:27" ht="19.5">
      <c r="A7" s="9">
        <v>7</v>
      </c>
      <c r="B7" s="10" t="s">
        <v>12</v>
      </c>
      <c r="C7" s="9">
        <v>383</v>
      </c>
      <c r="D7" s="11">
        <f>Table14[[#This Row],[Enrolment S.Y. 2025-2026 ]]*8</f>
        <v>3064</v>
      </c>
      <c r="E7" s="11"/>
      <c r="F7" s="9"/>
      <c r="G7" s="11"/>
      <c r="H7" s="11">
        <f t="shared" si="0"/>
        <v>3064</v>
      </c>
      <c r="I7" s="11">
        <f t="shared" si="1"/>
        <v>0</v>
      </c>
      <c r="J7" s="11">
        <f>Table14[[#This Row],[Enrolment S.Y. 2025-2026 ]]*8</f>
        <v>3064</v>
      </c>
      <c r="K7" s="11"/>
      <c r="L7" s="9"/>
      <c r="M7" s="11"/>
      <c r="N7" s="11">
        <f t="shared" si="2"/>
        <v>3064</v>
      </c>
      <c r="O7" s="11">
        <f t="shared" si="3"/>
        <v>0</v>
      </c>
      <c r="P7" s="11">
        <f>Table14[[#This Row],[Enrolment S.Y. 2025-2026 ]]*8</f>
        <v>3064</v>
      </c>
      <c r="Q7" s="11"/>
      <c r="R7" s="9"/>
      <c r="S7" s="11"/>
      <c r="T7" s="11">
        <f t="shared" si="4"/>
        <v>3064</v>
      </c>
      <c r="U7" s="11">
        <f t="shared" si="5"/>
        <v>0</v>
      </c>
      <c r="V7" s="11">
        <f>Table14[[#This Row],[Enrolment S.Y. 2025-2026 ]]*8</f>
        <v>3064</v>
      </c>
      <c r="W7" s="11"/>
      <c r="X7" s="9"/>
      <c r="Y7" s="11"/>
      <c r="Z7" s="11">
        <f t="shared" si="6"/>
        <v>3064</v>
      </c>
      <c r="AA7" s="11">
        <f t="shared" si="7"/>
        <v>0</v>
      </c>
    </row>
    <row r="8" spans="1:27" ht="38.25">
      <c r="A8" s="9">
        <v>7</v>
      </c>
      <c r="B8" s="10" t="s">
        <v>13</v>
      </c>
      <c r="C8" s="9">
        <v>383</v>
      </c>
      <c r="D8" s="11">
        <f>Table14[[#This Row],[Enrolment S.Y. 2025-2026 ]]*8</f>
        <v>3064</v>
      </c>
      <c r="E8" s="11"/>
      <c r="F8" s="9"/>
      <c r="G8" s="11"/>
      <c r="H8" s="11">
        <f t="shared" si="0"/>
        <v>3064</v>
      </c>
      <c r="I8" s="11">
        <f t="shared" si="1"/>
        <v>0</v>
      </c>
      <c r="J8" s="11">
        <f>Table14[[#This Row],[Enrolment S.Y. 2025-2026 ]]*8</f>
        <v>3064</v>
      </c>
      <c r="K8" s="11"/>
      <c r="L8" s="9"/>
      <c r="M8" s="11"/>
      <c r="N8" s="11">
        <f t="shared" ref="N8:N14" si="8">IF((J8-K8)&lt;0,0,(J8-K8))</f>
        <v>3064</v>
      </c>
      <c r="O8" s="11">
        <f t="shared" ref="O8:O14" si="9">IF((K8-J8)&lt;0,0,(K8-J8))</f>
        <v>0</v>
      </c>
      <c r="P8" s="11">
        <f>Table14[[#This Row],[Enrolment S.Y. 2025-2026 ]]*8</f>
        <v>3064</v>
      </c>
      <c r="Q8" s="11"/>
      <c r="R8" s="9"/>
      <c r="S8" s="11"/>
      <c r="T8" s="11">
        <f t="shared" si="4"/>
        <v>3064</v>
      </c>
      <c r="U8" s="11">
        <f t="shared" si="5"/>
        <v>0</v>
      </c>
      <c r="V8" s="11">
        <f>Table14[[#This Row],[Enrolment S.Y. 2025-2026 ]]*8</f>
        <v>3064</v>
      </c>
      <c r="W8" s="11"/>
      <c r="X8" s="9"/>
      <c r="Y8" s="11"/>
      <c r="Z8" s="11">
        <f t="shared" si="6"/>
        <v>3064</v>
      </c>
      <c r="AA8" s="11">
        <f t="shared" si="7"/>
        <v>0</v>
      </c>
    </row>
    <row r="9" spans="1:27" ht="19.5">
      <c r="A9" s="9">
        <v>7</v>
      </c>
      <c r="B9" s="10" t="s">
        <v>14</v>
      </c>
      <c r="C9" s="9">
        <v>383</v>
      </c>
      <c r="D9" s="11">
        <f>Table14[[#This Row],[Enrolment S.Y. 2025-2026 ]]*8</f>
        <v>3064</v>
      </c>
      <c r="E9" s="11"/>
      <c r="F9" s="9"/>
      <c r="G9" s="11"/>
      <c r="H9" s="11">
        <f t="shared" si="0"/>
        <v>3064</v>
      </c>
      <c r="I9" s="11">
        <f t="shared" si="1"/>
        <v>0</v>
      </c>
      <c r="J9" s="11">
        <f>Table14[[#This Row],[Enrolment S.Y. 2025-2026 ]]*8</f>
        <v>3064</v>
      </c>
      <c r="K9" s="11"/>
      <c r="L9" s="9"/>
      <c r="M9" s="11"/>
      <c r="N9" s="11">
        <f t="shared" si="8"/>
        <v>3064</v>
      </c>
      <c r="O9" s="11">
        <f t="shared" si="9"/>
        <v>0</v>
      </c>
      <c r="P9" s="11">
        <f>Table14[[#This Row],[Enrolment S.Y. 2025-2026 ]]*8</f>
        <v>3064</v>
      </c>
      <c r="Q9" s="11"/>
      <c r="R9" s="9"/>
      <c r="S9" s="11"/>
      <c r="T9" s="11">
        <f t="shared" si="4"/>
        <v>3064</v>
      </c>
      <c r="U9" s="11">
        <f t="shared" si="5"/>
        <v>0</v>
      </c>
      <c r="V9" s="11">
        <f>Table14[[#This Row],[Enrolment S.Y. 2025-2026 ]]*8</f>
        <v>3064</v>
      </c>
      <c r="W9" s="11"/>
      <c r="X9" s="9"/>
      <c r="Y9" s="11"/>
      <c r="Z9" s="11">
        <f t="shared" si="6"/>
        <v>3064</v>
      </c>
      <c r="AA9" s="11">
        <f t="shared" si="7"/>
        <v>0</v>
      </c>
    </row>
    <row r="10" spans="1:27" ht="19.5">
      <c r="A10" s="36">
        <v>7</v>
      </c>
      <c r="B10" s="10" t="s">
        <v>99</v>
      </c>
      <c r="C10" s="9">
        <v>383</v>
      </c>
      <c r="D10" s="11">
        <f>Table14[[#This Row],[Enrolment S.Y. 2025-2026 ]]*8</f>
        <v>3064</v>
      </c>
      <c r="E10" s="11"/>
      <c r="F10" s="9"/>
      <c r="G10" s="11"/>
      <c r="H10" s="11">
        <f>IF((D10-E10)&lt;0,0,(D10-E10))</f>
        <v>3064</v>
      </c>
      <c r="I10" s="11">
        <f>IF((E10-D10)&lt;0,0,(E10-D10))</f>
        <v>0</v>
      </c>
      <c r="J10" s="11">
        <f>Table14[[#This Row],[Enrolment S.Y. 2025-2026 ]]*8</f>
        <v>3064</v>
      </c>
      <c r="K10" s="11"/>
      <c r="L10" s="9"/>
      <c r="M10" s="11"/>
      <c r="N10" s="11">
        <f t="shared" si="8"/>
        <v>3064</v>
      </c>
      <c r="O10" s="11">
        <f t="shared" si="9"/>
        <v>0</v>
      </c>
      <c r="P10" s="11">
        <f>Table14[[#This Row],[Enrolment S.Y. 2025-2026 ]]*8</f>
        <v>3064</v>
      </c>
      <c r="Q10" s="11"/>
      <c r="R10" s="9"/>
      <c r="S10" s="11"/>
      <c r="T10" s="11">
        <f>IF((P10-Q10)&lt;0,0,(P10-Q10))</f>
        <v>3064</v>
      </c>
      <c r="U10" s="11">
        <f>IF((Q10-P10)&lt;0,0,(Q10-P10))</f>
        <v>0</v>
      </c>
      <c r="V10" s="11">
        <f>Table14[[#This Row],[Enrolment S.Y. 2025-2026 ]]*8</f>
        <v>3064</v>
      </c>
      <c r="W10" s="11"/>
      <c r="X10" s="9"/>
      <c r="Y10" s="11"/>
      <c r="Z10" s="11">
        <f>IF((V10-W10)&lt;0,0,(V10-W10))</f>
        <v>3064</v>
      </c>
      <c r="AA10" s="11">
        <f>IF((W10-V10)&lt;0,0,(W10-V10))</f>
        <v>0</v>
      </c>
    </row>
    <row r="11" spans="1:27" s="6" customFormat="1" ht="19.5">
      <c r="A11" s="9">
        <v>7</v>
      </c>
      <c r="B11" s="10" t="s">
        <v>100</v>
      </c>
      <c r="C11" s="9">
        <v>383</v>
      </c>
      <c r="D11" s="11">
        <f>Table14[[#This Row],[Enrolment S.Y. 2025-2026 ]]*8</f>
        <v>3064</v>
      </c>
      <c r="E11" s="11"/>
      <c r="F11" s="9"/>
      <c r="G11" s="11"/>
      <c r="H11" s="11">
        <f t="shared" si="0"/>
        <v>3064</v>
      </c>
      <c r="I11" s="11">
        <f t="shared" si="1"/>
        <v>0</v>
      </c>
      <c r="J11" s="11">
        <f>Table14[[#This Row],[Enrolment S.Y. 2025-2026 ]]*8</f>
        <v>3064</v>
      </c>
      <c r="K11" s="11"/>
      <c r="L11" s="9"/>
      <c r="M11" s="11"/>
      <c r="N11" s="11">
        <f t="shared" si="8"/>
        <v>3064</v>
      </c>
      <c r="O11" s="11">
        <f t="shared" si="9"/>
        <v>0</v>
      </c>
      <c r="P11" s="11">
        <f>Table14[[#This Row],[Enrolment S.Y. 2025-2026 ]]*8</f>
        <v>3064</v>
      </c>
      <c r="Q11" s="11"/>
      <c r="R11" s="9"/>
      <c r="S11" s="11"/>
      <c r="T11" s="11">
        <f t="shared" ref="T11:T59" si="10">IF((P11-Q11)&lt;0,0,(P11-Q11))</f>
        <v>3064</v>
      </c>
      <c r="U11" s="11">
        <f t="shared" ref="U11:U59" si="11">IF((Q11-P11)&lt;0,0,(Q11-P11))</f>
        <v>0</v>
      </c>
      <c r="V11" s="11">
        <f>Table14[[#This Row],[Enrolment S.Y. 2025-2026 ]]*8</f>
        <v>3064</v>
      </c>
      <c r="W11" s="11"/>
      <c r="X11" s="9"/>
      <c r="Y11" s="11"/>
      <c r="Z11" s="11">
        <f t="shared" ref="Z11:Z59" si="12">IF((V11-W11)&lt;0,0,(V11-W11))</f>
        <v>3064</v>
      </c>
      <c r="AA11" s="11">
        <f t="shared" ref="AA11:AA59" si="13">IF((W11-V11)&lt;0,0,(W11-V11))</f>
        <v>0</v>
      </c>
    </row>
    <row r="12" spans="1:27" ht="19.5">
      <c r="A12" s="9">
        <v>7</v>
      </c>
      <c r="B12" s="10" t="s">
        <v>16</v>
      </c>
      <c r="C12" s="9">
        <v>383</v>
      </c>
      <c r="D12" s="11">
        <f>Table14[[#This Row],[Enrolment S.Y. 2025-2026 ]]*8</f>
        <v>3064</v>
      </c>
      <c r="E12" s="11"/>
      <c r="F12" s="9"/>
      <c r="G12" s="11"/>
      <c r="H12" s="11">
        <f t="shared" si="0"/>
        <v>3064</v>
      </c>
      <c r="I12" s="11">
        <f t="shared" si="1"/>
        <v>0</v>
      </c>
      <c r="J12" s="11">
        <f>Table14[[#This Row],[Enrolment S.Y. 2025-2026 ]]*8</f>
        <v>3064</v>
      </c>
      <c r="K12" s="11"/>
      <c r="L12" s="9"/>
      <c r="M12" s="11"/>
      <c r="N12" s="11">
        <f t="shared" si="8"/>
        <v>3064</v>
      </c>
      <c r="O12" s="11">
        <f t="shared" si="9"/>
        <v>0</v>
      </c>
      <c r="P12" s="11">
        <f>Table14[[#This Row],[Enrolment S.Y. 2025-2026 ]]*8</f>
        <v>3064</v>
      </c>
      <c r="Q12" s="11"/>
      <c r="R12" s="9"/>
      <c r="S12" s="11"/>
      <c r="T12" s="11">
        <f t="shared" si="10"/>
        <v>3064</v>
      </c>
      <c r="U12" s="11">
        <f t="shared" si="11"/>
        <v>0</v>
      </c>
      <c r="V12" s="11">
        <f>Table14[[#This Row],[Enrolment S.Y. 2025-2026 ]]*8</f>
        <v>3064</v>
      </c>
      <c r="W12" s="11"/>
      <c r="X12" s="9"/>
      <c r="Y12" s="11"/>
      <c r="Z12" s="11">
        <f t="shared" si="12"/>
        <v>3064</v>
      </c>
      <c r="AA12" s="11">
        <f t="shared" si="13"/>
        <v>0</v>
      </c>
    </row>
    <row r="13" spans="1:27" ht="19.5">
      <c r="A13" s="36">
        <v>7</v>
      </c>
      <c r="B13" s="10" t="s">
        <v>101</v>
      </c>
      <c r="C13" s="9">
        <v>383</v>
      </c>
      <c r="D13" s="11">
        <f>Table14[[#This Row],[Enrolment S.Y. 2025-2026 ]]*8</f>
        <v>3064</v>
      </c>
      <c r="E13" s="11"/>
      <c r="F13" s="9"/>
      <c r="G13" s="11"/>
      <c r="H13" s="11">
        <f>IF((D13-E13)&lt;0,0,(D13-E13))</f>
        <v>3064</v>
      </c>
      <c r="I13" s="11">
        <f>IF((E13-D13)&lt;0,0,(E13-D13))</f>
        <v>0</v>
      </c>
      <c r="J13" s="11">
        <f>Table14[[#This Row],[Enrolment S.Y. 2025-2026 ]]*8</f>
        <v>3064</v>
      </c>
      <c r="K13" s="11"/>
      <c r="L13" s="9"/>
      <c r="M13" s="11"/>
      <c r="N13" s="11">
        <f t="shared" si="8"/>
        <v>3064</v>
      </c>
      <c r="O13" s="11">
        <f t="shared" si="9"/>
        <v>0</v>
      </c>
      <c r="P13" s="11">
        <f>Table14[[#This Row],[Enrolment S.Y. 2025-2026 ]]*8</f>
        <v>3064</v>
      </c>
      <c r="Q13" s="11"/>
      <c r="R13" s="9"/>
      <c r="S13" s="11"/>
      <c r="T13" s="11">
        <f>IF((P13-Q13)&lt;0,0,(P13-Q13))</f>
        <v>3064</v>
      </c>
      <c r="U13" s="11">
        <f>IF((Q13-P13)&lt;0,0,(Q13-P13))</f>
        <v>0</v>
      </c>
      <c r="V13" s="11">
        <f>Table14[[#This Row],[Enrolment S.Y. 2025-2026 ]]*8</f>
        <v>3064</v>
      </c>
      <c r="W13" s="11"/>
      <c r="X13" s="9"/>
      <c r="Y13" s="11"/>
      <c r="Z13" s="11">
        <f>IF((V13-W13)&lt;0,0,(V13-W13))</f>
        <v>3064</v>
      </c>
      <c r="AA13" s="11">
        <f>IF((W13-V13)&lt;0,0,(W13-V13))</f>
        <v>0</v>
      </c>
    </row>
    <row r="14" spans="1:27" ht="19.5">
      <c r="A14" s="9">
        <v>7</v>
      </c>
      <c r="B14" s="10" t="s">
        <v>102</v>
      </c>
      <c r="C14" s="9">
        <v>383</v>
      </c>
      <c r="D14" s="11">
        <f>Table14[[#This Row],[Enrolment S.Y. 2025-2026 ]]*8</f>
        <v>3064</v>
      </c>
      <c r="E14" s="11"/>
      <c r="F14" s="9"/>
      <c r="G14" s="11"/>
      <c r="H14" s="11">
        <f t="shared" si="0"/>
        <v>3064</v>
      </c>
      <c r="I14" s="11">
        <f t="shared" si="1"/>
        <v>0</v>
      </c>
      <c r="J14" s="11">
        <f>Table14[[#This Row],[Enrolment S.Y. 2025-2026 ]]*8</f>
        <v>3064</v>
      </c>
      <c r="K14" s="11"/>
      <c r="L14" s="9"/>
      <c r="M14" s="11"/>
      <c r="N14" s="11">
        <f t="shared" si="8"/>
        <v>3064</v>
      </c>
      <c r="O14" s="11">
        <f t="shared" si="9"/>
        <v>0</v>
      </c>
      <c r="P14" s="11">
        <f>Table14[[#This Row],[Enrolment S.Y. 2025-2026 ]]*8</f>
        <v>3064</v>
      </c>
      <c r="Q14" s="11"/>
      <c r="R14" s="9"/>
      <c r="S14" s="11"/>
      <c r="T14" s="11">
        <f t="shared" si="10"/>
        <v>3064</v>
      </c>
      <c r="U14" s="11">
        <f t="shared" si="11"/>
        <v>0</v>
      </c>
      <c r="V14" s="11">
        <f>Table14[[#This Row],[Enrolment S.Y. 2025-2026 ]]*8</f>
        <v>3064</v>
      </c>
      <c r="W14" s="11"/>
      <c r="X14" s="9"/>
      <c r="Y14" s="11"/>
      <c r="Z14" s="11">
        <f t="shared" si="12"/>
        <v>3064</v>
      </c>
      <c r="AA14" s="11">
        <f t="shared" si="13"/>
        <v>0</v>
      </c>
    </row>
    <row r="15" spans="1:27" ht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9.5">
      <c r="A16" s="9">
        <v>8</v>
      </c>
      <c r="B16" s="10" t="s">
        <v>8</v>
      </c>
      <c r="C16" s="9">
        <v>332</v>
      </c>
      <c r="D16" s="11">
        <f>Table14[[#This Row],[Enrolment S.Y. 2025-2026 ]]*8</f>
        <v>2656</v>
      </c>
      <c r="E16" s="11"/>
      <c r="F16" s="9"/>
      <c r="G16" s="11"/>
      <c r="H16" s="11">
        <f t="shared" si="0"/>
        <v>2656</v>
      </c>
      <c r="I16" s="11">
        <f t="shared" si="1"/>
        <v>0</v>
      </c>
      <c r="J16" s="11">
        <f>Table14[[#This Row],[Enrolment S.Y. 2025-2026 ]]*8</f>
        <v>2656</v>
      </c>
      <c r="K16" s="11"/>
      <c r="L16" s="9"/>
      <c r="M16" s="11"/>
      <c r="N16" s="11">
        <f t="shared" ref="N11:N59" si="14">IF((J16-K16)&lt;0,0,(J16-K16))</f>
        <v>2656</v>
      </c>
      <c r="O16" s="11">
        <f t="shared" ref="O11:O59" si="15">IF((K16-J16)&lt;0,0,(K16-J16))</f>
        <v>0</v>
      </c>
      <c r="P16" s="11">
        <f>Table14[[#This Row],[Enrolment S.Y. 2025-2026 ]]*8</f>
        <v>2656</v>
      </c>
      <c r="Q16" s="11"/>
      <c r="R16" s="9"/>
      <c r="S16" s="11"/>
      <c r="T16" s="11">
        <f t="shared" si="10"/>
        <v>2656</v>
      </c>
      <c r="U16" s="11">
        <f t="shared" si="11"/>
        <v>0</v>
      </c>
      <c r="V16" s="11">
        <f>Table14[[#This Row],[Enrolment S.Y. 2025-2026 ]]*8</f>
        <v>2656</v>
      </c>
      <c r="W16" s="11"/>
      <c r="X16" s="9"/>
      <c r="Y16" s="11"/>
      <c r="Z16" s="11">
        <f t="shared" si="12"/>
        <v>2656</v>
      </c>
      <c r="AA16" s="11">
        <f t="shared" si="13"/>
        <v>0</v>
      </c>
    </row>
    <row r="17" spans="1:27" ht="19.5">
      <c r="A17" s="9">
        <v>8</v>
      </c>
      <c r="B17" s="10" t="s">
        <v>10</v>
      </c>
      <c r="C17" s="9">
        <v>332</v>
      </c>
      <c r="D17" s="11">
        <f>Table14[[#This Row],[Enrolment S.Y. 2025-2026 ]]*8</f>
        <v>2656</v>
      </c>
      <c r="E17" s="11"/>
      <c r="F17" s="9"/>
      <c r="G17" s="11"/>
      <c r="H17" s="11">
        <f t="shared" si="0"/>
        <v>2656</v>
      </c>
      <c r="I17" s="11">
        <f t="shared" si="1"/>
        <v>0</v>
      </c>
      <c r="J17" s="11">
        <f>Table14[[#This Row],[Enrolment S.Y. 2025-2026 ]]*8</f>
        <v>2656</v>
      </c>
      <c r="K17" s="11"/>
      <c r="L17" s="9"/>
      <c r="M17" s="11"/>
      <c r="N17" s="11">
        <f t="shared" si="14"/>
        <v>2656</v>
      </c>
      <c r="O17" s="11">
        <f t="shared" si="15"/>
        <v>0</v>
      </c>
      <c r="P17" s="11">
        <f>Table14[[#This Row],[Enrolment S.Y. 2025-2026 ]]*8</f>
        <v>2656</v>
      </c>
      <c r="Q17" s="11"/>
      <c r="R17" s="9"/>
      <c r="S17" s="11"/>
      <c r="T17" s="11">
        <f t="shared" si="10"/>
        <v>2656</v>
      </c>
      <c r="U17" s="11">
        <f t="shared" si="11"/>
        <v>0</v>
      </c>
      <c r="V17" s="11">
        <f>Table14[[#This Row],[Enrolment S.Y. 2025-2026 ]]*8</f>
        <v>2656</v>
      </c>
      <c r="W17" s="11"/>
      <c r="X17" s="9"/>
      <c r="Y17" s="11"/>
      <c r="Z17" s="11">
        <f t="shared" si="12"/>
        <v>2656</v>
      </c>
      <c r="AA17" s="11">
        <f t="shared" si="13"/>
        <v>0</v>
      </c>
    </row>
    <row r="18" spans="1:27" ht="19.5">
      <c r="A18" s="9">
        <v>8</v>
      </c>
      <c r="B18" s="10" t="s">
        <v>11</v>
      </c>
      <c r="C18" s="9">
        <v>332</v>
      </c>
      <c r="D18" s="11">
        <f>Table14[[#This Row],[Enrolment S.Y. 2025-2026 ]]*8</f>
        <v>2656</v>
      </c>
      <c r="E18" s="11"/>
      <c r="F18" s="9"/>
      <c r="G18" s="11"/>
      <c r="H18" s="11">
        <f t="shared" si="0"/>
        <v>2656</v>
      </c>
      <c r="I18" s="11">
        <f t="shared" si="1"/>
        <v>0</v>
      </c>
      <c r="J18" s="11">
        <f>Table14[[#This Row],[Enrolment S.Y. 2025-2026 ]]*8</f>
        <v>2656</v>
      </c>
      <c r="K18" s="11"/>
      <c r="L18" s="9"/>
      <c r="M18" s="11"/>
      <c r="N18" s="11">
        <f t="shared" si="14"/>
        <v>2656</v>
      </c>
      <c r="O18" s="11">
        <f t="shared" si="15"/>
        <v>0</v>
      </c>
      <c r="P18" s="11">
        <f>Table14[[#This Row],[Enrolment S.Y. 2025-2026 ]]*8</f>
        <v>2656</v>
      </c>
      <c r="Q18" s="11"/>
      <c r="R18" s="9"/>
      <c r="S18" s="11"/>
      <c r="T18" s="11">
        <f t="shared" si="10"/>
        <v>2656</v>
      </c>
      <c r="U18" s="11">
        <f t="shared" si="11"/>
        <v>0</v>
      </c>
      <c r="V18" s="11">
        <f>Table14[[#This Row],[Enrolment S.Y. 2025-2026 ]]*8</f>
        <v>2656</v>
      </c>
      <c r="W18" s="11"/>
      <c r="X18" s="9"/>
      <c r="Y18" s="11"/>
      <c r="Z18" s="11">
        <f t="shared" si="12"/>
        <v>2656</v>
      </c>
      <c r="AA18" s="11">
        <f t="shared" si="13"/>
        <v>0</v>
      </c>
    </row>
    <row r="19" spans="1:27" ht="19.5">
      <c r="A19" s="9">
        <v>8</v>
      </c>
      <c r="B19" s="10" t="s">
        <v>12</v>
      </c>
      <c r="C19" s="9">
        <v>332</v>
      </c>
      <c r="D19" s="11">
        <f>Table14[[#This Row],[Enrolment S.Y. 2025-2026 ]]*8</f>
        <v>2656</v>
      </c>
      <c r="E19" s="11"/>
      <c r="F19" s="9"/>
      <c r="G19" s="11"/>
      <c r="H19" s="11">
        <f t="shared" si="0"/>
        <v>2656</v>
      </c>
      <c r="I19" s="11">
        <f t="shared" si="1"/>
        <v>0</v>
      </c>
      <c r="J19" s="11">
        <f>Table14[[#This Row],[Enrolment S.Y. 2025-2026 ]]*8</f>
        <v>2656</v>
      </c>
      <c r="K19" s="11"/>
      <c r="L19" s="9"/>
      <c r="M19" s="11"/>
      <c r="N19" s="11">
        <f t="shared" si="14"/>
        <v>2656</v>
      </c>
      <c r="O19" s="11">
        <f t="shared" si="15"/>
        <v>0</v>
      </c>
      <c r="P19" s="11">
        <f>Table14[[#This Row],[Enrolment S.Y. 2025-2026 ]]*8</f>
        <v>2656</v>
      </c>
      <c r="Q19" s="11"/>
      <c r="R19" s="9"/>
      <c r="S19" s="11"/>
      <c r="T19" s="11">
        <f t="shared" si="10"/>
        <v>2656</v>
      </c>
      <c r="U19" s="11">
        <f t="shared" si="11"/>
        <v>0</v>
      </c>
      <c r="V19" s="11">
        <f>Table14[[#This Row],[Enrolment S.Y. 2025-2026 ]]*8</f>
        <v>2656</v>
      </c>
      <c r="W19" s="11"/>
      <c r="X19" s="9"/>
      <c r="Y19" s="11"/>
      <c r="Z19" s="11">
        <f t="shared" si="12"/>
        <v>2656</v>
      </c>
      <c r="AA19" s="11">
        <f t="shared" si="13"/>
        <v>0</v>
      </c>
    </row>
    <row r="20" spans="1:27" s="6" customFormat="1" ht="19.5">
      <c r="A20" s="9">
        <v>8</v>
      </c>
      <c r="B20" s="10" t="s">
        <v>18</v>
      </c>
      <c r="C20" s="9">
        <v>332</v>
      </c>
      <c r="D20" s="11">
        <f>Table14[[#This Row],[Enrolment S.Y. 2025-2026 ]]*8</f>
        <v>2656</v>
      </c>
      <c r="E20" s="11"/>
      <c r="F20" s="9"/>
      <c r="G20" s="11"/>
      <c r="H20" s="11">
        <f t="shared" si="0"/>
        <v>2656</v>
      </c>
      <c r="I20" s="11">
        <f t="shared" si="1"/>
        <v>0</v>
      </c>
      <c r="J20" s="11">
        <f>Table14[[#This Row],[Enrolment S.Y. 2025-2026 ]]*8</f>
        <v>2656</v>
      </c>
      <c r="K20" s="11"/>
      <c r="L20" s="9"/>
      <c r="M20" s="11"/>
      <c r="N20" s="11">
        <f t="shared" si="14"/>
        <v>2656</v>
      </c>
      <c r="O20" s="11">
        <f t="shared" si="15"/>
        <v>0</v>
      </c>
      <c r="P20" s="11">
        <f>Table14[[#This Row],[Enrolment S.Y. 2025-2026 ]]*8</f>
        <v>2656</v>
      </c>
      <c r="Q20" s="11"/>
      <c r="R20" s="9"/>
      <c r="S20" s="11"/>
      <c r="T20" s="11">
        <f t="shared" si="10"/>
        <v>2656</v>
      </c>
      <c r="U20" s="11">
        <f t="shared" si="11"/>
        <v>0</v>
      </c>
      <c r="V20" s="11">
        <f>Table14[[#This Row],[Enrolment S.Y. 2025-2026 ]]*8</f>
        <v>2656</v>
      </c>
      <c r="W20" s="11"/>
      <c r="X20" s="9"/>
      <c r="Y20" s="11"/>
      <c r="Z20" s="11">
        <f t="shared" si="12"/>
        <v>2656</v>
      </c>
      <c r="AA20" s="11">
        <f t="shared" si="13"/>
        <v>0</v>
      </c>
    </row>
    <row r="21" spans="1:27" ht="19.5">
      <c r="A21" s="9">
        <v>8</v>
      </c>
      <c r="B21" s="10" t="s">
        <v>14</v>
      </c>
      <c r="C21" s="9">
        <v>332</v>
      </c>
      <c r="D21" s="11">
        <f>Table14[[#This Row],[Enrolment S.Y. 2025-2026 ]]*8</f>
        <v>2656</v>
      </c>
      <c r="E21" s="11"/>
      <c r="F21" s="9"/>
      <c r="G21" s="11"/>
      <c r="H21" s="11">
        <f t="shared" ref="H21:H59" si="16">IF((D21-E21)&lt;0,0,(D21-E21))</f>
        <v>2656</v>
      </c>
      <c r="I21" s="11">
        <f t="shared" ref="I21:I59" si="17">IF((E21-D21)&lt;0,0,(E21-D21))</f>
        <v>0</v>
      </c>
      <c r="J21" s="11">
        <f>Table14[[#This Row],[Enrolment S.Y. 2025-2026 ]]*8</f>
        <v>2656</v>
      </c>
      <c r="K21" s="11"/>
      <c r="L21" s="9"/>
      <c r="M21" s="11"/>
      <c r="N21" s="11">
        <f t="shared" ref="N21:N26" si="18">IF((J21-K21)&lt;0,0,(J21-K21))</f>
        <v>2656</v>
      </c>
      <c r="O21" s="11">
        <f t="shared" ref="O21:O26" si="19">IF((K21-J21)&lt;0,0,(K21-J21))</f>
        <v>0</v>
      </c>
      <c r="P21" s="11">
        <f>Table14[[#This Row],[Enrolment S.Y. 2025-2026 ]]*8</f>
        <v>2656</v>
      </c>
      <c r="Q21" s="11"/>
      <c r="R21" s="9"/>
      <c r="S21" s="11"/>
      <c r="T21" s="11">
        <f t="shared" si="10"/>
        <v>2656</v>
      </c>
      <c r="U21" s="11">
        <f t="shared" si="11"/>
        <v>0</v>
      </c>
      <c r="V21" s="11">
        <f>Table14[[#This Row],[Enrolment S.Y. 2025-2026 ]]*8</f>
        <v>2656</v>
      </c>
      <c r="W21" s="11"/>
      <c r="X21" s="9"/>
      <c r="Y21" s="11"/>
      <c r="Z21" s="11">
        <f t="shared" si="12"/>
        <v>2656</v>
      </c>
      <c r="AA21" s="11">
        <f t="shared" si="13"/>
        <v>0</v>
      </c>
    </row>
    <row r="22" spans="1:27" ht="19.5">
      <c r="A22" s="36">
        <v>8</v>
      </c>
      <c r="B22" s="10" t="s">
        <v>99</v>
      </c>
      <c r="C22" s="9">
        <v>332</v>
      </c>
      <c r="D22" s="11">
        <f>Table14[[#This Row],[Enrolment S.Y. 2025-2026 ]]*8</f>
        <v>2656</v>
      </c>
      <c r="E22" s="11"/>
      <c r="F22" s="9"/>
      <c r="G22" s="11"/>
      <c r="H22" s="11">
        <f>IF((D22-E22)&lt;0,0,(D22-E22))</f>
        <v>2656</v>
      </c>
      <c r="I22" s="11">
        <f>IF((E22-D22)&lt;0,0,(E22-D22))</f>
        <v>0</v>
      </c>
      <c r="J22" s="11">
        <f>Table14[[#This Row],[Enrolment S.Y. 2025-2026 ]]*8</f>
        <v>2656</v>
      </c>
      <c r="K22" s="11"/>
      <c r="L22" s="9"/>
      <c r="M22" s="11"/>
      <c r="N22" s="11">
        <f t="shared" si="18"/>
        <v>2656</v>
      </c>
      <c r="O22" s="11">
        <f t="shared" si="19"/>
        <v>0</v>
      </c>
      <c r="P22" s="11">
        <f>Table14[[#This Row],[Enrolment S.Y. 2025-2026 ]]*8</f>
        <v>2656</v>
      </c>
      <c r="Q22" s="11"/>
      <c r="R22" s="9"/>
      <c r="S22" s="11"/>
      <c r="T22" s="11">
        <f>IF((P22-Q22)&lt;0,0,(P22-Q22))</f>
        <v>2656</v>
      </c>
      <c r="U22" s="11">
        <f>IF((Q22-P22)&lt;0,0,(Q22-P22))</f>
        <v>0</v>
      </c>
      <c r="V22" s="11">
        <f>Table14[[#This Row],[Enrolment S.Y. 2025-2026 ]]*8</f>
        <v>2656</v>
      </c>
      <c r="W22" s="11"/>
      <c r="X22" s="9"/>
      <c r="Y22" s="11"/>
      <c r="Z22" s="11">
        <f>IF((V22-W22)&lt;0,0,(V22-W22))</f>
        <v>2656</v>
      </c>
      <c r="AA22" s="11">
        <f>IF((W22-V22)&lt;0,0,(W22-V22))</f>
        <v>0</v>
      </c>
    </row>
    <row r="23" spans="1:27" ht="19.5">
      <c r="A23" s="9">
        <v>8</v>
      </c>
      <c r="B23" s="10" t="s">
        <v>100</v>
      </c>
      <c r="C23" s="9">
        <v>332</v>
      </c>
      <c r="D23" s="11">
        <f>Table14[[#This Row],[Enrolment S.Y. 2025-2026 ]]*8</f>
        <v>2656</v>
      </c>
      <c r="E23" s="11"/>
      <c r="F23" s="9"/>
      <c r="G23" s="11"/>
      <c r="H23" s="11">
        <f t="shared" si="16"/>
        <v>2656</v>
      </c>
      <c r="I23" s="11">
        <f t="shared" si="17"/>
        <v>0</v>
      </c>
      <c r="J23" s="11">
        <f>Table14[[#This Row],[Enrolment S.Y. 2025-2026 ]]*8</f>
        <v>2656</v>
      </c>
      <c r="K23" s="11"/>
      <c r="L23" s="9"/>
      <c r="M23" s="11"/>
      <c r="N23" s="11">
        <f t="shared" si="18"/>
        <v>2656</v>
      </c>
      <c r="O23" s="11">
        <f t="shared" si="19"/>
        <v>0</v>
      </c>
      <c r="P23" s="11">
        <f>Table14[[#This Row],[Enrolment S.Y. 2025-2026 ]]*8</f>
        <v>2656</v>
      </c>
      <c r="Q23" s="11"/>
      <c r="R23" s="9"/>
      <c r="S23" s="11"/>
      <c r="T23" s="11">
        <f t="shared" si="10"/>
        <v>2656</v>
      </c>
      <c r="U23" s="11">
        <f t="shared" si="11"/>
        <v>0</v>
      </c>
      <c r="V23" s="11">
        <f>Table14[[#This Row],[Enrolment S.Y. 2025-2026 ]]*8</f>
        <v>2656</v>
      </c>
      <c r="W23" s="11"/>
      <c r="X23" s="9"/>
      <c r="Y23" s="11"/>
      <c r="Z23" s="11">
        <f t="shared" si="12"/>
        <v>2656</v>
      </c>
      <c r="AA23" s="11">
        <f t="shared" si="13"/>
        <v>0</v>
      </c>
    </row>
    <row r="24" spans="1:27" ht="19.5">
      <c r="A24" s="9">
        <v>8</v>
      </c>
      <c r="B24" s="10" t="s">
        <v>16</v>
      </c>
      <c r="C24" s="9">
        <v>332</v>
      </c>
      <c r="D24" s="11">
        <f>Table14[[#This Row],[Enrolment S.Y. 2025-2026 ]]*8</f>
        <v>2656</v>
      </c>
      <c r="E24" s="11"/>
      <c r="F24" s="9"/>
      <c r="G24" s="11"/>
      <c r="H24" s="11">
        <f t="shared" si="16"/>
        <v>2656</v>
      </c>
      <c r="I24" s="11">
        <f t="shared" si="17"/>
        <v>0</v>
      </c>
      <c r="J24" s="11">
        <f>Table14[[#This Row],[Enrolment S.Y. 2025-2026 ]]*8</f>
        <v>2656</v>
      </c>
      <c r="K24" s="11"/>
      <c r="L24" s="9"/>
      <c r="M24" s="11"/>
      <c r="N24" s="11">
        <f t="shared" si="18"/>
        <v>2656</v>
      </c>
      <c r="O24" s="11">
        <f t="shared" si="19"/>
        <v>0</v>
      </c>
      <c r="P24" s="11">
        <f>Table14[[#This Row],[Enrolment S.Y. 2025-2026 ]]*8</f>
        <v>2656</v>
      </c>
      <c r="Q24" s="11"/>
      <c r="R24" s="9"/>
      <c r="S24" s="11"/>
      <c r="T24" s="11">
        <f t="shared" si="10"/>
        <v>2656</v>
      </c>
      <c r="U24" s="11">
        <f t="shared" si="11"/>
        <v>0</v>
      </c>
      <c r="V24" s="11">
        <f>Table14[[#This Row],[Enrolment S.Y. 2025-2026 ]]*8</f>
        <v>2656</v>
      </c>
      <c r="W24" s="11"/>
      <c r="X24" s="9"/>
      <c r="Y24" s="11"/>
      <c r="Z24" s="11">
        <f t="shared" si="12"/>
        <v>2656</v>
      </c>
      <c r="AA24" s="11">
        <f t="shared" si="13"/>
        <v>0</v>
      </c>
    </row>
    <row r="25" spans="1:27" ht="19.5">
      <c r="A25" s="36">
        <v>8</v>
      </c>
      <c r="B25" s="10" t="s">
        <v>101</v>
      </c>
      <c r="C25" s="9">
        <v>332</v>
      </c>
      <c r="D25" s="11">
        <f>Table14[[#This Row],[Enrolment S.Y. 2025-2026 ]]*8</f>
        <v>2656</v>
      </c>
      <c r="E25" s="11"/>
      <c r="F25" s="9"/>
      <c r="G25" s="11"/>
      <c r="H25" s="11">
        <f>IF((D25-E25)&lt;0,0,(D25-E25))</f>
        <v>2656</v>
      </c>
      <c r="I25" s="11">
        <f>IF((E25-D25)&lt;0,0,(E25-D25))</f>
        <v>0</v>
      </c>
      <c r="J25" s="11">
        <f>Table14[[#This Row],[Enrolment S.Y. 2025-2026 ]]*8</f>
        <v>2656</v>
      </c>
      <c r="K25" s="11"/>
      <c r="L25" s="9"/>
      <c r="M25" s="11"/>
      <c r="N25" s="11">
        <f t="shared" si="18"/>
        <v>2656</v>
      </c>
      <c r="O25" s="11">
        <f t="shared" si="19"/>
        <v>0</v>
      </c>
      <c r="P25" s="11">
        <f>Table14[[#This Row],[Enrolment S.Y. 2025-2026 ]]*8</f>
        <v>2656</v>
      </c>
      <c r="Q25" s="11"/>
      <c r="R25" s="9"/>
      <c r="S25" s="11"/>
      <c r="T25" s="11">
        <f>IF((P25-Q25)&lt;0,0,(P25-Q25))</f>
        <v>2656</v>
      </c>
      <c r="U25" s="11">
        <f>IF((Q25-P25)&lt;0,0,(Q25-P25))</f>
        <v>0</v>
      </c>
      <c r="V25" s="11">
        <f>Table14[[#This Row],[Enrolment S.Y. 2025-2026 ]]*8</f>
        <v>2656</v>
      </c>
      <c r="W25" s="11"/>
      <c r="X25" s="9"/>
      <c r="Y25" s="11"/>
      <c r="Z25" s="11">
        <f>IF((V25-W25)&lt;0,0,(V25-W25))</f>
        <v>2656</v>
      </c>
      <c r="AA25" s="11">
        <f>IF((W25-V25)&lt;0,0,(W25-V25))</f>
        <v>0</v>
      </c>
    </row>
    <row r="26" spans="1:27" ht="19.5">
      <c r="A26" s="9">
        <v>8</v>
      </c>
      <c r="B26" s="10" t="s">
        <v>102</v>
      </c>
      <c r="C26" s="9">
        <v>332</v>
      </c>
      <c r="D26" s="11">
        <f>Table14[[#This Row],[Enrolment S.Y. 2025-2026 ]]*8</f>
        <v>2656</v>
      </c>
      <c r="E26" s="11"/>
      <c r="F26" s="9"/>
      <c r="G26" s="11"/>
      <c r="H26" s="11">
        <f t="shared" si="16"/>
        <v>2656</v>
      </c>
      <c r="I26" s="11">
        <f t="shared" si="17"/>
        <v>0</v>
      </c>
      <c r="J26" s="11">
        <f>Table14[[#This Row],[Enrolment S.Y. 2025-2026 ]]*8</f>
        <v>2656</v>
      </c>
      <c r="K26" s="11"/>
      <c r="L26" s="9"/>
      <c r="M26" s="11"/>
      <c r="N26" s="11">
        <f t="shared" si="18"/>
        <v>2656</v>
      </c>
      <c r="O26" s="11">
        <f t="shared" si="19"/>
        <v>0</v>
      </c>
      <c r="P26" s="11">
        <f>Table14[[#This Row],[Enrolment S.Y. 2025-2026 ]]*8</f>
        <v>2656</v>
      </c>
      <c r="Q26" s="11"/>
      <c r="R26" s="9"/>
      <c r="S26" s="11"/>
      <c r="T26" s="11">
        <f t="shared" si="10"/>
        <v>2656</v>
      </c>
      <c r="U26" s="11">
        <f t="shared" si="11"/>
        <v>0</v>
      </c>
      <c r="V26" s="11">
        <f>Table14[[#This Row],[Enrolment S.Y. 2025-2026 ]]*8</f>
        <v>2656</v>
      </c>
      <c r="W26" s="11"/>
      <c r="X26" s="9"/>
      <c r="Y26" s="11"/>
      <c r="Z26" s="11">
        <f t="shared" si="12"/>
        <v>2656</v>
      </c>
      <c r="AA26" s="11">
        <f t="shared" si="13"/>
        <v>0</v>
      </c>
    </row>
    <row r="27" spans="1:27" ht="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9.5">
      <c r="A28" s="9">
        <v>9</v>
      </c>
      <c r="B28" s="10" t="s">
        <v>8</v>
      </c>
      <c r="C28" s="9">
        <v>306</v>
      </c>
      <c r="D28" s="11">
        <f>Table14[[#This Row],[Enrolment S.Y. 2025-2026 ]]*8</f>
        <v>2448</v>
      </c>
      <c r="E28" s="11"/>
      <c r="F28" s="9"/>
      <c r="G28" s="11"/>
      <c r="H28" s="11">
        <f t="shared" si="16"/>
        <v>2448</v>
      </c>
      <c r="I28" s="11">
        <f t="shared" si="17"/>
        <v>0</v>
      </c>
      <c r="J28" s="11">
        <f>Table14[[#This Row],[Enrolment S.Y. 2025-2026 ]]*8</f>
        <v>2448</v>
      </c>
      <c r="K28" s="11"/>
      <c r="L28" s="9"/>
      <c r="M28" s="11"/>
      <c r="N28" s="11">
        <f t="shared" si="14"/>
        <v>2448</v>
      </c>
      <c r="O28" s="11">
        <f t="shared" si="15"/>
        <v>0</v>
      </c>
      <c r="P28" s="11">
        <f>Table14[[#This Row],[Enrolment S.Y. 2025-2026 ]]*8</f>
        <v>2448</v>
      </c>
      <c r="Q28" s="11"/>
      <c r="R28" s="9"/>
      <c r="S28" s="11"/>
      <c r="T28" s="11">
        <f t="shared" si="10"/>
        <v>2448</v>
      </c>
      <c r="U28" s="11">
        <f t="shared" si="11"/>
        <v>0</v>
      </c>
      <c r="V28" s="11">
        <f>Table14[[#This Row],[Enrolment S.Y. 2025-2026 ]]*8</f>
        <v>2448</v>
      </c>
      <c r="W28" s="11"/>
      <c r="X28" s="9"/>
      <c r="Y28" s="11"/>
      <c r="Z28" s="11">
        <f t="shared" si="12"/>
        <v>2448</v>
      </c>
      <c r="AA28" s="11">
        <f t="shared" si="13"/>
        <v>0</v>
      </c>
    </row>
    <row r="29" spans="1:27" ht="19.5">
      <c r="A29" s="9">
        <v>9</v>
      </c>
      <c r="B29" s="10" t="s">
        <v>10</v>
      </c>
      <c r="C29" s="9">
        <v>306</v>
      </c>
      <c r="D29" s="11">
        <f>Table14[[#This Row],[Enrolment S.Y. 2025-2026 ]]*8</f>
        <v>2448</v>
      </c>
      <c r="E29" s="11"/>
      <c r="F29" s="9"/>
      <c r="G29" s="11"/>
      <c r="H29" s="11">
        <f t="shared" si="16"/>
        <v>2448</v>
      </c>
      <c r="I29" s="11">
        <f t="shared" si="17"/>
        <v>0</v>
      </c>
      <c r="J29" s="11">
        <f>Table14[[#This Row],[Enrolment S.Y. 2025-2026 ]]*8</f>
        <v>2448</v>
      </c>
      <c r="K29" s="11"/>
      <c r="L29" s="9"/>
      <c r="M29" s="11"/>
      <c r="N29" s="11">
        <f t="shared" si="14"/>
        <v>2448</v>
      </c>
      <c r="O29" s="11">
        <f t="shared" si="15"/>
        <v>0</v>
      </c>
      <c r="P29" s="11">
        <f>Table14[[#This Row],[Enrolment S.Y. 2025-2026 ]]*8</f>
        <v>2448</v>
      </c>
      <c r="Q29" s="11"/>
      <c r="R29" s="9"/>
      <c r="S29" s="11"/>
      <c r="T29" s="11">
        <f t="shared" si="10"/>
        <v>2448</v>
      </c>
      <c r="U29" s="11">
        <f t="shared" si="11"/>
        <v>0</v>
      </c>
      <c r="V29" s="11">
        <f>Table14[[#This Row],[Enrolment S.Y. 2025-2026 ]]*8</f>
        <v>2448</v>
      </c>
      <c r="W29" s="11"/>
      <c r="X29" s="9"/>
      <c r="Y29" s="11"/>
      <c r="Z29" s="11">
        <f t="shared" si="12"/>
        <v>2448</v>
      </c>
      <c r="AA29" s="11">
        <f t="shared" si="13"/>
        <v>0</v>
      </c>
    </row>
    <row r="30" spans="1:27" s="6" customFormat="1" ht="19.5">
      <c r="A30" s="9">
        <v>9</v>
      </c>
      <c r="B30" s="10" t="s">
        <v>11</v>
      </c>
      <c r="C30" s="9">
        <v>306</v>
      </c>
      <c r="D30" s="11">
        <f>Table14[[#This Row],[Enrolment S.Y. 2025-2026 ]]*8</f>
        <v>2448</v>
      </c>
      <c r="E30" s="11"/>
      <c r="F30" s="9"/>
      <c r="G30" s="11"/>
      <c r="H30" s="11">
        <f t="shared" si="16"/>
        <v>2448</v>
      </c>
      <c r="I30" s="11">
        <f t="shared" si="17"/>
        <v>0</v>
      </c>
      <c r="J30" s="11">
        <f>Table14[[#This Row],[Enrolment S.Y. 2025-2026 ]]*8</f>
        <v>2448</v>
      </c>
      <c r="K30" s="11"/>
      <c r="L30" s="9"/>
      <c r="M30" s="11"/>
      <c r="N30" s="11">
        <f t="shared" si="14"/>
        <v>2448</v>
      </c>
      <c r="O30" s="11">
        <f t="shared" si="15"/>
        <v>0</v>
      </c>
      <c r="P30" s="11">
        <f>Table14[[#This Row],[Enrolment S.Y. 2025-2026 ]]*8</f>
        <v>2448</v>
      </c>
      <c r="Q30" s="11"/>
      <c r="R30" s="9"/>
      <c r="S30" s="11"/>
      <c r="T30" s="11">
        <f t="shared" si="10"/>
        <v>2448</v>
      </c>
      <c r="U30" s="11">
        <f t="shared" si="11"/>
        <v>0</v>
      </c>
      <c r="V30" s="11">
        <f>Table14[[#This Row],[Enrolment S.Y. 2025-2026 ]]*8</f>
        <v>2448</v>
      </c>
      <c r="W30" s="11"/>
      <c r="X30" s="9"/>
      <c r="Y30" s="11"/>
      <c r="Z30" s="11">
        <f t="shared" si="12"/>
        <v>2448</v>
      </c>
      <c r="AA30" s="11">
        <f t="shared" si="13"/>
        <v>0</v>
      </c>
    </row>
    <row r="31" spans="1:27" ht="19.5">
      <c r="A31" s="9">
        <v>9</v>
      </c>
      <c r="B31" s="10" t="s">
        <v>12</v>
      </c>
      <c r="C31" s="9">
        <v>306</v>
      </c>
      <c r="D31" s="11">
        <f>Table14[[#This Row],[Enrolment S.Y. 2025-2026 ]]*8</f>
        <v>2448</v>
      </c>
      <c r="E31" s="11"/>
      <c r="F31" s="9"/>
      <c r="G31" s="11"/>
      <c r="H31" s="11">
        <f t="shared" si="16"/>
        <v>2448</v>
      </c>
      <c r="I31" s="11">
        <f t="shared" si="17"/>
        <v>0</v>
      </c>
      <c r="J31" s="11">
        <f>Table14[[#This Row],[Enrolment S.Y. 2025-2026 ]]*8</f>
        <v>2448</v>
      </c>
      <c r="K31" s="11"/>
      <c r="L31" s="9"/>
      <c r="M31" s="11"/>
      <c r="N31" s="11">
        <f t="shared" si="14"/>
        <v>2448</v>
      </c>
      <c r="O31" s="11">
        <f t="shared" si="15"/>
        <v>0</v>
      </c>
      <c r="P31" s="11">
        <f>Table14[[#This Row],[Enrolment S.Y. 2025-2026 ]]*8</f>
        <v>2448</v>
      </c>
      <c r="Q31" s="11"/>
      <c r="R31" s="9"/>
      <c r="S31" s="11"/>
      <c r="T31" s="11">
        <f t="shared" si="10"/>
        <v>2448</v>
      </c>
      <c r="U31" s="11">
        <f t="shared" si="11"/>
        <v>0</v>
      </c>
      <c r="V31" s="11">
        <f>Table14[[#This Row],[Enrolment S.Y. 2025-2026 ]]*8</f>
        <v>2448</v>
      </c>
      <c r="W31" s="11"/>
      <c r="X31" s="9"/>
      <c r="Y31" s="11"/>
      <c r="Z31" s="11">
        <f t="shared" si="12"/>
        <v>2448</v>
      </c>
      <c r="AA31" s="11">
        <f t="shared" si="13"/>
        <v>0</v>
      </c>
    </row>
    <row r="32" spans="1:27" ht="19.5">
      <c r="A32" s="9">
        <v>9</v>
      </c>
      <c r="B32" s="10" t="s">
        <v>18</v>
      </c>
      <c r="C32" s="9">
        <v>306</v>
      </c>
      <c r="D32" s="11">
        <f>Table14[[#This Row],[Enrolment S.Y. 2025-2026 ]]*8</f>
        <v>2448</v>
      </c>
      <c r="E32" s="11"/>
      <c r="F32" s="9"/>
      <c r="G32" s="11"/>
      <c r="H32" s="11">
        <f t="shared" si="16"/>
        <v>2448</v>
      </c>
      <c r="I32" s="11">
        <f t="shared" si="17"/>
        <v>0</v>
      </c>
      <c r="J32" s="11">
        <f>Table14[[#This Row],[Enrolment S.Y. 2025-2026 ]]*8</f>
        <v>2448</v>
      </c>
      <c r="K32" s="11"/>
      <c r="L32" s="9"/>
      <c r="M32" s="11"/>
      <c r="N32" s="11">
        <f t="shared" si="14"/>
        <v>2448</v>
      </c>
      <c r="O32" s="11">
        <f t="shared" si="15"/>
        <v>0</v>
      </c>
      <c r="P32" s="11">
        <f>Table14[[#This Row],[Enrolment S.Y. 2025-2026 ]]*8</f>
        <v>2448</v>
      </c>
      <c r="Q32" s="11"/>
      <c r="R32" s="9"/>
      <c r="S32" s="11"/>
      <c r="T32" s="11">
        <f t="shared" si="10"/>
        <v>2448</v>
      </c>
      <c r="U32" s="11">
        <f t="shared" si="11"/>
        <v>0</v>
      </c>
      <c r="V32" s="11">
        <f>Table14[[#This Row],[Enrolment S.Y. 2025-2026 ]]*8</f>
        <v>2448</v>
      </c>
      <c r="W32" s="11"/>
      <c r="X32" s="9"/>
      <c r="Y32" s="11"/>
      <c r="Z32" s="11">
        <f t="shared" si="12"/>
        <v>2448</v>
      </c>
      <c r="AA32" s="11">
        <f t="shared" si="13"/>
        <v>0</v>
      </c>
    </row>
    <row r="33" spans="1:27" ht="19.5">
      <c r="A33" s="9">
        <v>9</v>
      </c>
      <c r="B33" s="10" t="s">
        <v>14</v>
      </c>
      <c r="C33" s="9">
        <v>306</v>
      </c>
      <c r="D33" s="11">
        <f>Table14[[#This Row],[Enrolment S.Y. 2025-2026 ]]*8</f>
        <v>2448</v>
      </c>
      <c r="E33" s="11"/>
      <c r="F33" s="9"/>
      <c r="G33" s="11"/>
      <c r="H33" s="11">
        <f t="shared" si="16"/>
        <v>2448</v>
      </c>
      <c r="I33" s="11">
        <f t="shared" si="17"/>
        <v>0</v>
      </c>
      <c r="J33" s="11">
        <f>Table14[[#This Row],[Enrolment S.Y. 2025-2026 ]]*8</f>
        <v>2448</v>
      </c>
      <c r="K33" s="11"/>
      <c r="L33" s="9"/>
      <c r="M33" s="11"/>
      <c r="N33" s="11">
        <f t="shared" si="14"/>
        <v>2448</v>
      </c>
      <c r="O33" s="11">
        <f t="shared" si="15"/>
        <v>0</v>
      </c>
      <c r="P33" s="11">
        <f>Table14[[#This Row],[Enrolment S.Y. 2025-2026 ]]*8</f>
        <v>2448</v>
      </c>
      <c r="Q33" s="11"/>
      <c r="R33" s="9"/>
      <c r="S33" s="11"/>
      <c r="T33" s="11">
        <f t="shared" si="10"/>
        <v>2448</v>
      </c>
      <c r="U33" s="11">
        <f t="shared" si="11"/>
        <v>0</v>
      </c>
      <c r="V33" s="11">
        <f>Table14[[#This Row],[Enrolment S.Y. 2025-2026 ]]*8</f>
        <v>2448</v>
      </c>
      <c r="W33" s="11"/>
      <c r="X33" s="9"/>
      <c r="Y33" s="11"/>
      <c r="Z33" s="11">
        <f t="shared" si="12"/>
        <v>2448</v>
      </c>
      <c r="AA33" s="11">
        <f t="shared" si="13"/>
        <v>0</v>
      </c>
    </row>
    <row r="34" spans="1:27" ht="19.5">
      <c r="A34" s="36">
        <v>9</v>
      </c>
      <c r="B34" s="10" t="s">
        <v>99</v>
      </c>
      <c r="C34" s="9">
        <v>306</v>
      </c>
      <c r="D34" s="11">
        <f>Table14[[#This Row],[Enrolment S.Y. 2025-2026 ]]*8</f>
        <v>2448</v>
      </c>
      <c r="E34" s="11"/>
      <c r="F34" s="9"/>
      <c r="G34" s="11"/>
      <c r="H34" s="11">
        <f>IF((D34-E34)&lt;0,0,(D34-E34))</f>
        <v>2448</v>
      </c>
      <c r="I34" s="11">
        <f>IF((E34-D34)&lt;0,0,(E34-D34))</f>
        <v>0</v>
      </c>
      <c r="J34" s="11">
        <f>Table14[[#This Row],[Enrolment S.Y. 2025-2026 ]]*8</f>
        <v>2448</v>
      </c>
      <c r="K34" s="11"/>
      <c r="L34" s="9"/>
      <c r="M34" s="11"/>
      <c r="N34" s="11">
        <f t="shared" ref="N34:N38" si="20">IF((J34-K34)&lt;0,0,(J34-K34))</f>
        <v>2448</v>
      </c>
      <c r="O34" s="11">
        <f t="shared" ref="O34:O38" si="21">IF((K34-J34)&lt;0,0,(K34-J34))</f>
        <v>0</v>
      </c>
      <c r="P34" s="11">
        <f>Table14[[#This Row],[Enrolment S.Y. 2025-2026 ]]*8</f>
        <v>2448</v>
      </c>
      <c r="Q34" s="11"/>
      <c r="R34" s="9"/>
      <c r="S34" s="11"/>
      <c r="T34" s="11">
        <f>IF((P34-Q34)&lt;0,0,(P34-Q34))</f>
        <v>2448</v>
      </c>
      <c r="U34" s="11">
        <f>IF((Q34-P34)&lt;0,0,(Q34-P34))</f>
        <v>0</v>
      </c>
      <c r="V34" s="11">
        <f>Table14[[#This Row],[Enrolment S.Y. 2025-2026 ]]*8</f>
        <v>2448</v>
      </c>
      <c r="W34" s="11"/>
      <c r="X34" s="9"/>
      <c r="Y34" s="11"/>
      <c r="Z34" s="11">
        <f>IF((V34-W34)&lt;0,0,(V34-W34))</f>
        <v>2448</v>
      </c>
      <c r="AA34" s="11">
        <f>IF((W34-V34)&lt;0,0,(W34-V34))</f>
        <v>0</v>
      </c>
    </row>
    <row r="35" spans="1:27" ht="19.5">
      <c r="A35" s="9">
        <v>9</v>
      </c>
      <c r="B35" s="10" t="s">
        <v>100</v>
      </c>
      <c r="C35" s="9">
        <v>306</v>
      </c>
      <c r="D35" s="11">
        <f>Table14[[#This Row],[Enrolment S.Y. 2025-2026 ]]*8</f>
        <v>2448</v>
      </c>
      <c r="E35" s="11"/>
      <c r="F35" s="9"/>
      <c r="G35" s="11"/>
      <c r="H35" s="11">
        <f t="shared" si="16"/>
        <v>2448</v>
      </c>
      <c r="I35" s="11">
        <f t="shared" si="17"/>
        <v>0</v>
      </c>
      <c r="J35" s="11">
        <f>Table14[[#This Row],[Enrolment S.Y. 2025-2026 ]]*8</f>
        <v>2448</v>
      </c>
      <c r="K35" s="11"/>
      <c r="L35" s="9"/>
      <c r="M35" s="11"/>
      <c r="N35" s="11">
        <f t="shared" si="20"/>
        <v>2448</v>
      </c>
      <c r="O35" s="11">
        <f t="shared" si="21"/>
        <v>0</v>
      </c>
      <c r="P35" s="11">
        <f>Table14[[#This Row],[Enrolment S.Y. 2025-2026 ]]*8</f>
        <v>2448</v>
      </c>
      <c r="Q35" s="11"/>
      <c r="R35" s="9"/>
      <c r="S35" s="11"/>
      <c r="T35" s="11">
        <f t="shared" si="10"/>
        <v>2448</v>
      </c>
      <c r="U35" s="11">
        <f t="shared" si="11"/>
        <v>0</v>
      </c>
      <c r="V35" s="11">
        <f>Table14[[#This Row],[Enrolment S.Y. 2025-2026 ]]*8</f>
        <v>2448</v>
      </c>
      <c r="W35" s="11"/>
      <c r="X35" s="9"/>
      <c r="Y35" s="11"/>
      <c r="Z35" s="11">
        <f t="shared" si="12"/>
        <v>2448</v>
      </c>
      <c r="AA35" s="11">
        <f t="shared" si="13"/>
        <v>0</v>
      </c>
    </row>
    <row r="36" spans="1:27" ht="19.5">
      <c r="A36" s="9">
        <v>9</v>
      </c>
      <c r="B36" s="10" t="s">
        <v>16</v>
      </c>
      <c r="C36" s="9">
        <v>306</v>
      </c>
      <c r="D36" s="11">
        <f>Table14[[#This Row],[Enrolment S.Y. 2025-2026 ]]*8</f>
        <v>2448</v>
      </c>
      <c r="E36" s="11"/>
      <c r="F36" s="9"/>
      <c r="G36" s="11"/>
      <c r="H36" s="11">
        <f t="shared" si="16"/>
        <v>2448</v>
      </c>
      <c r="I36" s="11">
        <f t="shared" si="17"/>
        <v>0</v>
      </c>
      <c r="J36" s="11">
        <f>Table14[[#This Row],[Enrolment S.Y. 2025-2026 ]]*8</f>
        <v>2448</v>
      </c>
      <c r="K36" s="11"/>
      <c r="L36" s="9"/>
      <c r="M36" s="11"/>
      <c r="N36" s="11">
        <f t="shared" si="20"/>
        <v>2448</v>
      </c>
      <c r="O36" s="11">
        <f t="shared" si="21"/>
        <v>0</v>
      </c>
      <c r="P36" s="11">
        <f>Table14[[#This Row],[Enrolment S.Y. 2025-2026 ]]*8</f>
        <v>2448</v>
      </c>
      <c r="Q36" s="11"/>
      <c r="R36" s="9"/>
      <c r="S36" s="11"/>
      <c r="T36" s="11">
        <f t="shared" si="10"/>
        <v>2448</v>
      </c>
      <c r="U36" s="11">
        <f t="shared" si="11"/>
        <v>0</v>
      </c>
      <c r="V36" s="11">
        <f>Table14[[#This Row],[Enrolment S.Y. 2025-2026 ]]*8</f>
        <v>2448</v>
      </c>
      <c r="W36" s="11"/>
      <c r="X36" s="9"/>
      <c r="Y36" s="11"/>
      <c r="Z36" s="11">
        <f t="shared" si="12"/>
        <v>2448</v>
      </c>
      <c r="AA36" s="11">
        <f t="shared" si="13"/>
        <v>0</v>
      </c>
    </row>
    <row r="37" spans="1:27" ht="19.5">
      <c r="A37" s="36">
        <v>9</v>
      </c>
      <c r="B37" s="10" t="s">
        <v>101</v>
      </c>
      <c r="C37" s="9">
        <v>306</v>
      </c>
      <c r="D37" s="11">
        <f>Table14[[#This Row],[Enrolment S.Y. 2025-2026 ]]*8</f>
        <v>2448</v>
      </c>
      <c r="E37" s="11"/>
      <c r="F37" s="9"/>
      <c r="G37" s="11"/>
      <c r="H37" s="11">
        <f>IF((D37-E37)&lt;0,0,(D37-E37))</f>
        <v>2448</v>
      </c>
      <c r="I37" s="11">
        <f>IF((E37-D37)&lt;0,0,(E37-D37))</f>
        <v>0</v>
      </c>
      <c r="J37" s="11">
        <f>Table14[[#This Row],[Enrolment S.Y. 2025-2026 ]]*8</f>
        <v>2448</v>
      </c>
      <c r="K37" s="11"/>
      <c r="L37" s="9"/>
      <c r="M37" s="11"/>
      <c r="N37" s="11">
        <f t="shared" si="20"/>
        <v>2448</v>
      </c>
      <c r="O37" s="11">
        <f t="shared" si="21"/>
        <v>0</v>
      </c>
      <c r="P37" s="11">
        <f>Table14[[#This Row],[Enrolment S.Y. 2025-2026 ]]*8</f>
        <v>2448</v>
      </c>
      <c r="Q37" s="11"/>
      <c r="R37" s="9"/>
      <c r="S37" s="11"/>
      <c r="T37" s="11">
        <f>IF((P37-Q37)&lt;0,0,(P37-Q37))</f>
        <v>2448</v>
      </c>
      <c r="U37" s="11">
        <f>IF((Q37-P37)&lt;0,0,(Q37-P37))</f>
        <v>0</v>
      </c>
      <c r="V37" s="11">
        <f>Table14[[#This Row],[Enrolment S.Y. 2025-2026 ]]*8</f>
        <v>2448</v>
      </c>
      <c r="W37" s="11"/>
      <c r="X37" s="9"/>
      <c r="Y37" s="11"/>
      <c r="Z37" s="11">
        <f>IF((V37-W37)&lt;0,0,(V37-W37))</f>
        <v>2448</v>
      </c>
      <c r="AA37" s="11">
        <f>IF((W37-V37)&lt;0,0,(W37-V37))</f>
        <v>0</v>
      </c>
    </row>
    <row r="38" spans="1:27" ht="19.5">
      <c r="A38" s="9">
        <v>9</v>
      </c>
      <c r="B38" s="10" t="s">
        <v>102</v>
      </c>
      <c r="C38" s="9">
        <v>306</v>
      </c>
      <c r="D38" s="11">
        <f>Table14[[#This Row],[Enrolment S.Y. 2025-2026 ]]*8</f>
        <v>2448</v>
      </c>
      <c r="E38" s="11"/>
      <c r="F38" s="9"/>
      <c r="G38" s="11"/>
      <c r="H38" s="11">
        <f t="shared" si="16"/>
        <v>2448</v>
      </c>
      <c r="I38" s="11">
        <f t="shared" si="17"/>
        <v>0</v>
      </c>
      <c r="J38" s="11">
        <f>Table14[[#This Row],[Enrolment S.Y. 2025-2026 ]]*8</f>
        <v>2448</v>
      </c>
      <c r="K38" s="11"/>
      <c r="L38" s="9"/>
      <c r="M38" s="11"/>
      <c r="N38" s="11">
        <f t="shared" si="20"/>
        <v>2448</v>
      </c>
      <c r="O38" s="11">
        <f t="shared" si="21"/>
        <v>0</v>
      </c>
      <c r="P38" s="11">
        <f>Table14[[#This Row],[Enrolment S.Y. 2025-2026 ]]*8</f>
        <v>2448</v>
      </c>
      <c r="Q38" s="11"/>
      <c r="R38" s="9"/>
      <c r="S38" s="11"/>
      <c r="T38" s="11">
        <f t="shared" si="10"/>
        <v>2448</v>
      </c>
      <c r="U38" s="11">
        <f t="shared" si="11"/>
        <v>0</v>
      </c>
      <c r="V38" s="11">
        <f>Table14[[#This Row],[Enrolment S.Y. 2025-2026 ]]*8</f>
        <v>2448</v>
      </c>
      <c r="W38" s="11"/>
      <c r="X38" s="9"/>
      <c r="Y38" s="11"/>
      <c r="Z38" s="11">
        <f t="shared" si="12"/>
        <v>2448</v>
      </c>
      <c r="AA38" s="11">
        <f t="shared" si="13"/>
        <v>0</v>
      </c>
    </row>
    <row r="39" spans="1:27" ht="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9.5">
      <c r="A40" s="9">
        <v>10</v>
      </c>
      <c r="B40" s="10" t="s">
        <v>8</v>
      </c>
      <c r="C40" s="9">
        <v>287</v>
      </c>
      <c r="D40" s="11">
        <f>Table14[[#This Row],[Enrolment S.Y. 2025-2026 ]]*8</f>
        <v>2296</v>
      </c>
      <c r="E40" s="11"/>
      <c r="F40" s="9"/>
      <c r="G40" s="11"/>
      <c r="H40" s="11">
        <f t="shared" si="16"/>
        <v>2296</v>
      </c>
      <c r="I40" s="11">
        <f t="shared" si="17"/>
        <v>0</v>
      </c>
      <c r="J40" s="11">
        <f>Table14[[#This Row],[Enrolment S.Y. 2025-2026 ]]*8</f>
        <v>2296</v>
      </c>
      <c r="K40" s="11"/>
      <c r="L40" s="9"/>
      <c r="M40" s="11"/>
      <c r="N40" s="11">
        <f t="shared" si="14"/>
        <v>2296</v>
      </c>
      <c r="O40" s="11">
        <f t="shared" si="15"/>
        <v>0</v>
      </c>
      <c r="P40" s="11">
        <f>Table14[[#This Row],[Enrolment S.Y. 2025-2026 ]]*8</f>
        <v>2296</v>
      </c>
      <c r="Q40" s="11"/>
      <c r="R40" s="9"/>
      <c r="S40" s="11"/>
      <c r="T40" s="11">
        <f t="shared" si="10"/>
        <v>2296</v>
      </c>
      <c r="U40" s="11">
        <f t="shared" si="11"/>
        <v>0</v>
      </c>
      <c r="V40" s="11">
        <f>Table14[[#This Row],[Enrolment S.Y. 2025-2026 ]]*8</f>
        <v>2296</v>
      </c>
      <c r="W40" s="11"/>
      <c r="X40" s="9"/>
      <c r="Y40" s="11"/>
      <c r="Z40" s="11">
        <f t="shared" si="12"/>
        <v>2296</v>
      </c>
      <c r="AA40" s="11">
        <f t="shared" si="13"/>
        <v>0</v>
      </c>
    </row>
    <row r="41" spans="1:27" ht="19.5">
      <c r="A41" s="9">
        <v>10</v>
      </c>
      <c r="B41" s="10" t="s">
        <v>10</v>
      </c>
      <c r="C41" s="9">
        <v>287</v>
      </c>
      <c r="D41" s="11">
        <f>Table14[[#This Row],[Enrolment S.Y. 2025-2026 ]]*8</f>
        <v>2296</v>
      </c>
      <c r="E41" s="11"/>
      <c r="F41" s="9"/>
      <c r="G41" s="11"/>
      <c r="H41" s="11">
        <f t="shared" si="16"/>
        <v>2296</v>
      </c>
      <c r="I41" s="11">
        <f t="shared" si="17"/>
        <v>0</v>
      </c>
      <c r="J41" s="11">
        <f>Table14[[#This Row],[Enrolment S.Y. 2025-2026 ]]*8</f>
        <v>2296</v>
      </c>
      <c r="K41" s="11"/>
      <c r="L41" s="9"/>
      <c r="M41" s="11"/>
      <c r="N41" s="11">
        <f t="shared" si="14"/>
        <v>2296</v>
      </c>
      <c r="O41" s="11">
        <f t="shared" si="15"/>
        <v>0</v>
      </c>
      <c r="P41" s="11">
        <f>Table14[[#This Row],[Enrolment S.Y. 2025-2026 ]]*8</f>
        <v>2296</v>
      </c>
      <c r="Q41" s="11"/>
      <c r="R41" s="9"/>
      <c r="S41" s="11"/>
      <c r="T41" s="11">
        <f t="shared" si="10"/>
        <v>2296</v>
      </c>
      <c r="U41" s="11">
        <f t="shared" si="11"/>
        <v>0</v>
      </c>
      <c r="V41" s="11">
        <f>Table14[[#This Row],[Enrolment S.Y. 2025-2026 ]]*8</f>
        <v>2296</v>
      </c>
      <c r="W41" s="11"/>
      <c r="X41" s="9"/>
      <c r="Y41" s="11"/>
      <c r="Z41" s="11">
        <f t="shared" si="12"/>
        <v>2296</v>
      </c>
      <c r="AA41" s="11">
        <f t="shared" si="13"/>
        <v>0</v>
      </c>
    </row>
    <row r="42" spans="1:27" s="6" customFormat="1" ht="19.5">
      <c r="A42" s="9">
        <v>10</v>
      </c>
      <c r="B42" s="10" t="s">
        <v>11</v>
      </c>
      <c r="C42" s="9">
        <v>287</v>
      </c>
      <c r="D42" s="11">
        <f>Table14[[#This Row],[Enrolment S.Y. 2025-2026 ]]*8</f>
        <v>2296</v>
      </c>
      <c r="E42" s="11"/>
      <c r="F42" s="9"/>
      <c r="G42" s="11"/>
      <c r="H42" s="11">
        <f t="shared" si="16"/>
        <v>2296</v>
      </c>
      <c r="I42" s="11">
        <f t="shared" si="17"/>
        <v>0</v>
      </c>
      <c r="J42" s="11">
        <f>Table14[[#This Row],[Enrolment S.Y. 2025-2026 ]]*8</f>
        <v>2296</v>
      </c>
      <c r="K42" s="11"/>
      <c r="L42" s="9"/>
      <c r="M42" s="11"/>
      <c r="N42" s="11">
        <f t="shared" si="14"/>
        <v>2296</v>
      </c>
      <c r="O42" s="11">
        <f t="shared" si="15"/>
        <v>0</v>
      </c>
      <c r="P42" s="11">
        <f>Table14[[#This Row],[Enrolment S.Y. 2025-2026 ]]*8</f>
        <v>2296</v>
      </c>
      <c r="Q42" s="11"/>
      <c r="R42" s="9"/>
      <c r="S42" s="11"/>
      <c r="T42" s="11">
        <f t="shared" si="10"/>
        <v>2296</v>
      </c>
      <c r="U42" s="11">
        <f t="shared" si="11"/>
        <v>0</v>
      </c>
      <c r="V42" s="11">
        <f>Table14[[#This Row],[Enrolment S.Y. 2025-2026 ]]*8</f>
        <v>2296</v>
      </c>
      <c r="W42" s="11"/>
      <c r="X42" s="9"/>
      <c r="Y42" s="11"/>
      <c r="Z42" s="11">
        <f t="shared" si="12"/>
        <v>2296</v>
      </c>
      <c r="AA42" s="11">
        <f t="shared" si="13"/>
        <v>0</v>
      </c>
    </row>
    <row r="43" spans="1:27" ht="19.5">
      <c r="A43" s="9">
        <v>10</v>
      </c>
      <c r="B43" s="10" t="s">
        <v>12</v>
      </c>
      <c r="C43" s="9">
        <v>287</v>
      </c>
      <c r="D43" s="11">
        <f>Table14[[#This Row],[Enrolment S.Y. 2025-2026 ]]*8</f>
        <v>2296</v>
      </c>
      <c r="E43" s="11"/>
      <c r="F43" s="9"/>
      <c r="G43" s="11"/>
      <c r="H43" s="11">
        <f t="shared" si="16"/>
        <v>2296</v>
      </c>
      <c r="I43" s="11">
        <f t="shared" si="17"/>
        <v>0</v>
      </c>
      <c r="J43" s="11">
        <f>Table14[[#This Row],[Enrolment S.Y. 2025-2026 ]]*8</f>
        <v>2296</v>
      </c>
      <c r="K43" s="11"/>
      <c r="L43" s="9"/>
      <c r="M43" s="11"/>
      <c r="N43" s="11">
        <f t="shared" si="14"/>
        <v>2296</v>
      </c>
      <c r="O43" s="11">
        <f t="shared" si="15"/>
        <v>0</v>
      </c>
      <c r="P43" s="11">
        <f>Table14[[#This Row],[Enrolment S.Y. 2025-2026 ]]*8</f>
        <v>2296</v>
      </c>
      <c r="Q43" s="11"/>
      <c r="R43" s="9"/>
      <c r="S43" s="11"/>
      <c r="T43" s="11">
        <f t="shared" si="10"/>
        <v>2296</v>
      </c>
      <c r="U43" s="11">
        <f t="shared" si="11"/>
        <v>0</v>
      </c>
      <c r="V43" s="11">
        <f>Table14[[#This Row],[Enrolment S.Y. 2025-2026 ]]*8</f>
        <v>2296</v>
      </c>
      <c r="W43" s="11"/>
      <c r="X43" s="9"/>
      <c r="Y43" s="11"/>
      <c r="Z43" s="11">
        <f t="shared" si="12"/>
        <v>2296</v>
      </c>
      <c r="AA43" s="11">
        <f t="shared" si="13"/>
        <v>0</v>
      </c>
    </row>
    <row r="44" spans="1:27" ht="19.5">
      <c r="A44" s="9">
        <v>10</v>
      </c>
      <c r="B44" s="10" t="s">
        <v>18</v>
      </c>
      <c r="C44" s="9">
        <v>287</v>
      </c>
      <c r="D44" s="11">
        <f>Table14[[#This Row],[Enrolment S.Y. 2025-2026 ]]*8</f>
        <v>2296</v>
      </c>
      <c r="E44" s="11"/>
      <c r="F44" s="9"/>
      <c r="G44" s="11"/>
      <c r="H44" s="11">
        <f t="shared" si="16"/>
        <v>2296</v>
      </c>
      <c r="I44" s="11">
        <f t="shared" si="17"/>
        <v>0</v>
      </c>
      <c r="J44" s="11">
        <f>Table14[[#This Row],[Enrolment S.Y. 2025-2026 ]]*8</f>
        <v>2296</v>
      </c>
      <c r="K44" s="11"/>
      <c r="L44" s="9"/>
      <c r="M44" s="11"/>
      <c r="N44" s="11">
        <f t="shared" si="14"/>
        <v>2296</v>
      </c>
      <c r="O44" s="11">
        <f t="shared" si="15"/>
        <v>0</v>
      </c>
      <c r="P44" s="11">
        <f>Table14[[#This Row],[Enrolment S.Y. 2025-2026 ]]*8</f>
        <v>2296</v>
      </c>
      <c r="Q44" s="11"/>
      <c r="R44" s="9"/>
      <c r="S44" s="11"/>
      <c r="T44" s="11">
        <f t="shared" si="10"/>
        <v>2296</v>
      </c>
      <c r="U44" s="11">
        <f t="shared" si="11"/>
        <v>0</v>
      </c>
      <c r="V44" s="11">
        <f>Table14[[#This Row],[Enrolment S.Y. 2025-2026 ]]*8</f>
        <v>2296</v>
      </c>
      <c r="W44" s="11"/>
      <c r="X44" s="9"/>
      <c r="Y44" s="11"/>
      <c r="Z44" s="11">
        <f t="shared" si="12"/>
        <v>2296</v>
      </c>
      <c r="AA44" s="11">
        <f t="shared" si="13"/>
        <v>0</v>
      </c>
    </row>
    <row r="45" spans="1:27" ht="19.5">
      <c r="A45" s="9">
        <v>10</v>
      </c>
      <c r="B45" s="10" t="s">
        <v>14</v>
      </c>
      <c r="C45" s="9">
        <v>287</v>
      </c>
      <c r="D45" s="11">
        <f>Table14[[#This Row],[Enrolment S.Y. 2025-2026 ]]*8</f>
        <v>2296</v>
      </c>
      <c r="E45" s="11"/>
      <c r="F45" s="9"/>
      <c r="G45" s="11"/>
      <c r="H45" s="11">
        <f t="shared" si="16"/>
        <v>2296</v>
      </c>
      <c r="I45" s="11">
        <f t="shared" si="17"/>
        <v>0</v>
      </c>
      <c r="J45" s="11">
        <f>Table14[[#This Row],[Enrolment S.Y. 2025-2026 ]]*8</f>
        <v>2296</v>
      </c>
      <c r="K45" s="11"/>
      <c r="L45" s="9"/>
      <c r="M45" s="11"/>
      <c r="N45" s="11">
        <f t="shared" si="14"/>
        <v>2296</v>
      </c>
      <c r="O45" s="11">
        <f t="shared" si="15"/>
        <v>0</v>
      </c>
      <c r="P45" s="11">
        <f>Table14[[#This Row],[Enrolment S.Y. 2025-2026 ]]*8</f>
        <v>2296</v>
      </c>
      <c r="Q45" s="11"/>
      <c r="R45" s="9"/>
      <c r="S45" s="11"/>
      <c r="T45" s="11">
        <f t="shared" si="10"/>
        <v>2296</v>
      </c>
      <c r="U45" s="11">
        <f t="shared" si="11"/>
        <v>0</v>
      </c>
      <c r="V45" s="11">
        <f>Table14[[#This Row],[Enrolment S.Y. 2025-2026 ]]*8</f>
        <v>2296</v>
      </c>
      <c r="W45" s="11"/>
      <c r="X45" s="9"/>
      <c r="Y45" s="11"/>
      <c r="Z45" s="11">
        <f t="shared" si="12"/>
        <v>2296</v>
      </c>
      <c r="AA45" s="11">
        <f t="shared" si="13"/>
        <v>0</v>
      </c>
    </row>
    <row r="46" spans="1:27" ht="19.5">
      <c r="A46" s="36">
        <v>10</v>
      </c>
      <c r="B46" s="10" t="s">
        <v>99</v>
      </c>
      <c r="C46" s="9">
        <v>287</v>
      </c>
      <c r="D46" s="11">
        <f>Table14[[#This Row],[Enrolment S.Y. 2025-2026 ]]*8</f>
        <v>2296</v>
      </c>
      <c r="E46" s="11"/>
      <c r="F46" s="9"/>
      <c r="G46" s="11"/>
      <c r="H46" s="11">
        <f>IF((D46-E46)&lt;0,0,(D46-E46))</f>
        <v>2296</v>
      </c>
      <c r="I46" s="11">
        <f>IF((E46-D46)&lt;0,0,(E46-D46))</f>
        <v>0</v>
      </c>
      <c r="J46" s="11">
        <f>Table14[[#This Row],[Enrolment S.Y. 2025-2026 ]]*8</f>
        <v>2296</v>
      </c>
      <c r="K46" s="11"/>
      <c r="L46" s="9"/>
      <c r="M46" s="11"/>
      <c r="N46" s="11">
        <f t="shared" ref="N46:N50" si="22">IF((J46-K46)&lt;0,0,(J46-K46))</f>
        <v>2296</v>
      </c>
      <c r="O46" s="11">
        <f t="shared" ref="O46:O50" si="23">IF((K46-J46)&lt;0,0,(K46-J46))</f>
        <v>0</v>
      </c>
      <c r="P46" s="11">
        <f>Table14[[#This Row],[Enrolment S.Y. 2025-2026 ]]*8</f>
        <v>2296</v>
      </c>
      <c r="Q46" s="11"/>
      <c r="R46" s="9"/>
      <c r="S46" s="11"/>
      <c r="T46" s="11">
        <f>IF((P46-Q46)&lt;0,0,(P46-Q46))</f>
        <v>2296</v>
      </c>
      <c r="U46" s="11">
        <f>IF((Q46-P46)&lt;0,0,(Q46-P46))</f>
        <v>0</v>
      </c>
      <c r="V46" s="11">
        <f>Table14[[#This Row],[Enrolment S.Y. 2025-2026 ]]*8</f>
        <v>2296</v>
      </c>
      <c r="W46" s="11"/>
      <c r="X46" s="9"/>
      <c r="Y46" s="11"/>
      <c r="Z46" s="11">
        <f>IF((V46-W46)&lt;0,0,(V46-W46))</f>
        <v>2296</v>
      </c>
      <c r="AA46" s="11">
        <f>IF((W46-V46)&lt;0,0,(W46-V46))</f>
        <v>0</v>
      </c>
    </row>
    <row r="47" spans="1:27" ht="19.5">
      <c r="A47" s="9">
        <v>10</v>
      </c>
      <c r="B47" s="10" t="s">
        <v>100</v>
      </c>
      <c r="C47" s="9">
        <v>287</v>
      </c>
      <c r="D47" s="11">
        <f>Table14[[#This Row],[Enrolment S.Y. 2025-2026 ]]*8</f>
        <v>2296</v>
      </c>
      <c r="E47" s="11"/>
      <c r="F47" s="9"/>
      <c r="G47" s="11"/>
      <c r="H47" s="11">
        <f t="shared" si="16"/>
        <v>2296</v>
      </c>
      <c r="I47" s="11">
        <f t="shared" si="17"/>
        <v>0</v>
      </c>
      <c r="J47" s="11">
        <f>Table14[[#This Row],[Enrolment S.Y. 2025-2026 ]]*8</f>
        <v>2296</v>
      </c>
      <c r="K47" s="11"/>
      <c r="L47" s="9"/>
      <c r="M47" s="11"/>
      <c r="N47" s="11">
        <f t="shared" si="22"/>
        <v>2296</v>
      </c>
      <c r="O47" s="11">
        <f t="shared" si="23"/>
        <v>0</v>
      </c>
      <c r="P47" s="11">
        <f>Table14[[#This Row],[Enrolment S.Y. 2025-2026 ]]*8</f>
        <v>2296</v>
      </c>
      <c r="Q47" s="11"/>
      <c r="R47" s="9"/>
      <c r="S47" s="11"/>
      <c r="T47" s="11">
        <f t="shared" si="10"/>
        <v>2296</v>
      </c>
      <c r="U47" s="11">
        <f t="shared" si="11"/>
        <v>0</v>
      </c>
      <c r="V47" s="11">
        <f>Table14[[#This Row],[Enrolment S.Y. 2025-2026 ]]*8</f>
        <v>2296</v>
      </c>
      <c r="W47" s="11"/>
      <c r="X47" s="9"/>
      <c r="Y47" s="11"/>
      <c r="Z47" s="11">
        <f t="shared" si="12"/>
        <v>2296</v>
      </c>
      <c r="AA47" s="11">
        <f t="shared" si="13"/>
        <v>0</v>
      </c>
    </row>
    <row r="48" spans="1:27" ht="19.5">
      <c r="A48" s="9">
        <v>10</v>
      </c>
      <c r="B48" s="10" t="s">
        <v>16</v>
      </c>
      <c r="C48" s="9">
        <v>287</v>
      </c>
      <c r="D48" s="11">
        <f>Table14[[#This Row],[Enrolment S.Y. 2025-2026 ]]*8</f>
        <v>2296</v>
      </c>
      <c r="E48" s="11"/>
      <c r="F48" s="9"/>
      <c r="G48" s="11"/>
      <c r="H48" s="11">
        <f t="shared" si="16"/>
        <v>2296</v>
      </c>
      <c r="I48" s="11">
        <f t="shared" si="17"/>
        <v>0</v>
      </c>
      <c r="J48" s="11">
        <f>Table14[[#This Row],[Enrolment S.Y. 2025-2026 ]]*8</f>
        <v>2296</v>
      </c>
      <c r="K48" s="11"/>
      <c r="L48" s="9"/>
      <c r="M48" s="11"/>
      <c r="N48" s="11">
        <f t="shared" si="22"/>
        <v>2296</v>
      </c>
      <c r="O48" s="11">
        <f t="shared" si="23"/>
        <v>0</v>
      </c>
      <c r="P48" s="11">
        <f>Table14[[#This Row],[Enrolment S.Y. 2025-2026 ]]*8</f>
        <v>2296</v>
      </c>
      <c r="Q48" s="11"/>
      <c r="R48" s="9"/>
      <c r="S48" s="11"/>
      <c r="T48" s="11">
        <f t="shared" si="10"/>
        <v>2296</v>
      </c>
      <c r="U48" s="11">
        <f t="shared" si="11"/>
        <v>0</v>
      </c>
      <c r="V48" s="11">
        <f>Table14[[#This Row],[Enrolment S.Y. 2025-2026 ]]*8</f>
        <v>2296</v>
      </c>
      <c r="W48" s="11"/>
      <c r="X48" s="9"/>
      <c r="Y48" s="11"/>
      <c r="Z48" s="11">
        <f t="shared" si="12"/>
        <v>2296</v>
      </c>
      <c r="AA48" s="11">
        <f t="shared" si="13"/>
        <v>0</v>
      </c>
    </row>
    <row r="49" spans="1:27" ht="19.5">
      <c r="A49" s="36">
        <v>10</v>
      </c>
      <c r="B49" s="10" t="s">
        <v>101</v>
      </c>
      <c r="C49" s="9">
        <v>287</v>
      </c>
      <c r="D49" s="11">
        <f>Table14[[#This Row],[Enrolment S.Y. 2025-2026 ]]*8</f>
        <v>2296</v>
      </c>
      <c r="E49" s="11"/>
      <c r="F49" s="9"/>
      <c r="G49" s="11"/>
      <c r="H49" s="11">
        <f>IF((D49-E49)&lt;0,0,(D49-E49))</f>
        <v>2296</v>
      </c>
      <c r="I49" s="11">
        <f>IF((E49-D49)&lt;0,0,(E49-D49))</f>
        <v>0</v>
      </c>
      <c r="J49" s="11">
        <f>Table14[[#This Row],[Enrolment S.Y. 2025-2026 ]]*8</f>
        <v>2296</v>
      </c>
      <c r="K49" s="11"/>
      <c r="L49" s="9"/>
      <c r="M49" s="11"/>
      <c r="N49" s="11">
        <f t="shared" si="22"/>
        <v>2296</v>
      </c>
      <c r="O49" s="11">
        <f t="shared" si="23"/>
        <v>0</v>
      </c>
      <c r="P49" s="11">
        <f>Table14[[#This Row],[Enrolment S.Y. 2025-2026 ]]*8</f>
        <v>2296</v>
      </c>
      <c r="Q49" s="11"/>
      <c r="R49" s="9"/>
      <c r="S49" s="11"/>
      <c r="T49" s="11">
        <f>IF((P49-Q49)&lt;0,0,(P49-Q49))</f>
        <v>2296</v>
      </c>
      <c r="U49" s="11">
        <f>IF((Q49-P49)&lt;0,0,(Q49-P49))</f>
        <v>0</v>
      </c>
      <c r="V49" s="11">
        <f>Table14[[#This Row],[Enrolment S.Y. 2025-2026 ]]*8</f>
        <v>2296</v>
      </c>
      <c r="W49" s="11"/>
      <c r="X49" s="9"/>
      <c r="Y49" s="11"/>
      <c r="Z49" s="11">
        <f>IF((V49-W49)&lt;0,0,(V49-W49))</f>
        <v>2296</v>
      </c>
      <c r="AA49" s="11">
        <f>IF((W49-V49)&lt;0,0,(W49-V49))</f>
        <v>0</v>
      </c>
    </row>
    <row r="50" spans="1:27" ht="19.5">
      <c r="A50" s="9">
        <v>10</v>
      </c>
      <c r="B50" s="10" t="s">
        <v>102</v>
      </c>
      <c r="C50" s="9">
        <v>287</v>
      </c>
      <c r="D50" s="11">
        <f>Table14[[#This Row],[Enrolment S.Y. 2025-2026 ]]*8</f>
        <v>2296</v>
      </c>
      <c r="E50" s="11"/>
      <c r="F50" s="9"/>
      <c r="G50" s="11"/>
      <c r="H50" s="11">
        <f t="shared" si="16"/>
        <v>2296</v>
      </c>
      <c r="I50" s="11">
        <f t="shared" si="17"/>
        <v>0</v>
      </c>
      <c r="J50" s="11">
        <f>Table14[[#This Row],[Enrolment S.Y. 2025-2026 ]]*8</f>
        <v>2296</v>
      </c>
      <c r="K50" s="11"/>
      <c r="L50" s="9"/>
      <c r="M50" s="11"/>
      <c r="N50" s="11">
        <f t="shared" si="22"/>
        <v>2296</v>
      </c>
      <c r="O50" s="11">
        <f t="shared" si="23"/>
        <v>0</v>
      </c>
      <c r="P50" s="11">
        <f>Table14[[#This Row],[Enrolment S.Y. 2025-2026 ]]*8</f>
        <v>2296</v>
      </c>
      <c r="Q50" s="11"/>
      <c r="R50" s="9"/>
      <c r="S50" s="11"/>
      <c r="T50" s="11">
        <f t="shared" si="10"/>
        <v>2296</v>
      </c>
      <c r="U50" s="11">
        <f t="shared" si="11"/>
        <v>0</v>
      </c>
      <c r="V50" s="11">
        <f>Table14[[#This Row],[Enrolment S.Y. 2025-2026 ]]*8</f>
        <v>2296</v>
      </c>
      <c r="W50" s="11"/>
      <c r="X50" s="9"/>
      <c r="Y50" s="11"/>
      <c r="Z50" s="11">
        <f t="shared" si="12"/>
        <v>2296</v>
      </c>
      <c r="AA50" s="11">
        <f t="shared" si="13"/>
        <v>0</v>
      </c>
    </row>
    <row r="51" spans="1:27" ht="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38.25">
      <c r="A52" s="1" t="s">
        <v>19</v>
      </c>
      <c r="B52" s="8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8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6" customFormat="1" ht="19.5">
      <c r="A54" s="1" t="s">
        <v>19</v>
      </c>
      <c r="B54" s="8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8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8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8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8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8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s="6" customFormat="1" ht="15"/>
    <row r="67" spans="1:27" ht="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34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s="6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6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6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6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6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6"/>
    </row>
    <row r="125" spans="1:28">
      <c r="AB125" s="6"/>
    </row>
    <row r="126" spans="1:28">
      <c r="AB126" s="6"/>
    </row>
    <row r="127" spans="1:28">
      <c r="AB127" s="6"/>
    </row>
    <row r="128" spans="1:28">
      <c r="AB128" s="6"/>
    </row>
    <row r="129" spans="28:28">
      <c r="AB129" s="6"/>
    </row>
    <row r="130" spans="28:28">
      <c r="AB130" s="6"/>
    </row>
    <row r="131" spans="28:28">
      <c r="AB131" s="6"/>
    </row>
    <row r="132" spans="28:28">
      <c r="AB132" s="6"/>
    </row>
    <row r="133" spans="28:28">
      <c r="AB133" s="6"/>
    </row>
    <row r="134" spans="28:28">
      <c r="AB134" s="6"/>
    </row>
    <row r="135" spans="28:28">
      <c r="AB135" s="6"/>
    </row>
    <row r="136" spans="28:28">
      <c r="AB136" s="6"/>
    </row>
    <row r="137" spans="28:28">
      <c r="AB137" s="6"/>
    </row>
    <row r="138" spans="28:28">
      <c r="AB138" s="6"/>
    </row>
    <row r="139" spans="28:28">
      <c r="AB139" s="6"/>
    </row>
    <row r="140" spans="28:28">
      <c r="AB140" s="6"/>
    </row>
  </sheetData>
  <protectedRanges>
    <protectedRange sqref="C40:C50 C52:C59 C4:C14 C16:C26 C28:C38 C2" name="Textbooks"/>
    <protectedRange sqref="J2:L2 V2:X2 T16:X26 N16:R26 N28:R38 P2:R2 H16:L26 H28:L38 T4:X14 Z4:AA14 Z16:AA26 Z28:AA38 Z40:AA50 Z52:AA59 D4:F14 D52:F59 D40:F50 N4:R14 N52:R59 N40:R50 T52:X59 D2:F2 D16:F26 D28:F38 T40:X50 T28:X38 H4:L14 H52:L59 H40:L50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X52:X59 F40:F50 F52:F59 F28:F38 F4:F14 F16:F26 L40:L50 L52:L59 L4:L14 L16:L26 L28:L38 R40:R50 R52:R59 R4:R14 R16:R26 R28:R38 X40:X50 X28:X38 X4:X14 X16:X26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2026-04-07T05:46:31Z</dcterms:modified>
  <cp:category/>
  <cp:contentStatus/>
</cp:coreProperties>
</file>