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09" documentId="13_ncr:1_{BFB59F67-F0DC-4675-A682-EB0734A8026A}" xr6:coauthVersionLast="47" xr6:coauthVersionMax="47" xr10:uidLastSave="{B8666427-D6D8-44E8-84CB-AFE41B2AA41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" i="4" l="1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T67" i="4"/>
  <c r="X34" i="4"/>
  <c r="X35" i="4"/>
  <c r="X36" i="4"/>
  <c r="X37" i="4"/>
  <c r="X38" i="4"/>
  <c r="X39" i="4"/>
  <c r="X40" i="4"/>
  <c r="X41" i="4"/>
  <c r="X24" i="4"/>
  <c r="X25" i="4"/>
  <c r="X26" i="4"/>
  <c r="X27" i="4"/>
  <c r="X28" i="4"/>
  <c r="X29" i="4"/>
  <c r="X30" i="4"/>
  <c r="X31" i="4"/>
  <c r="X14" i="4"/>
  <c r="X15" i="4"/>
  <c r="X16" i="4"/>
  <c r="X17" i="4"/>
  <c r="X18" i="4"/>
  <c r="X19" i="4"/>
  <c r="X20" i="4"/>
  <c r="X21" i="4"/>
  <c r="X4" i="4"/>
  <c r="X5" i="4"/>
  <c r="X6" i="4"/>
  <c r="X7" i="4"/>
  <c r="X8" i="4"/>
  <c r="X9" i="4"/>
  <c r="X10" i="4"/>
  <c r="X11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44" i="4"/>
  <c r="R34" i="4"/>
  <c r="R35" i="4"/>
  <c r="R36" i="4"/>
  <c r="R37" i="4"/>
  <c r="R38" i="4"/>
  <c r="R39" i="4"/>
  <c r="R40" i="4"/>
  <c r="R41" i="4"/>
  <c r="R24" i="4"/>
  <c r="R25" i="4"/>
  <c r="R26" i="4"/>
  <c r="R27" i="4"/>
  <c r="R28" i="4"/>
  <c r="R29" i="4"/>
  <c r="R30" i="4"/>
  <c r="R31" i="4"/>
  <c r="R14" i="4"/>
  <c r="R15" i="4"/>
  <c r="R16" i="4"/>
  <c r="R17" i="4"/>
  <c r="R18" i="4"/>
  <c r="R19" i="4"/>
  <c r="R20" i="4"/>
  <c r="R21" i="4"/>
  <c r="R4" i="4"/>
  <c r="R5" i="4"/>
  <c r="R6" i="4"/>
  <c r="R7" i="4"/>
  <c r="R8" i="4"/>
  <c r="R9" i="4"/>
  <c r="R10" i="4"/>
  <c r="R11" i="4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X3" i="4"/>
  <c r="X12" i="4"/>
  <c r="X13" i="4"/>
  <c r="X22" i="4"/>
  <c r="X23" i="4"/>
  <c r="X32" i="4"/>
  <c r="X33" i="4"/>
  <c r="X42" i="4"/>
  <c r="X43" i="4"/>
  <c r="X44" i="4"/>
  <c r="X45" i="4"/>
  <c r="X46" i="4"/>
  <c r="X47" i="4"/>
  <c r="X48" i="4"/>
  <c r="X49" i="4"/>
  <c r="X50" i="4"/>
  <c r="X51" i="4"/>
  <c r="X52" i="4"/>
  <c r="R3" i="4"/>
  <c r="R12" i="4"/>
  <c r="R13" i="4"/>
  <c r="R22" i="4"/>
  <c r="R23" i="4"/>
  <c r="R32" i="4"/>
  <c r="R33" i="4"/>
  <c r="R42" i="4"/>
  <c r="R43" i="4"/>
  <c r="R45" i="4"/>
  <c r="R46" i="4"/>
  <c r="R47" i="4"/>
  <c r="R48" i="4"/>
  <c r="R49" i="4"/>
  <c r="R50" i="4"/>
  <c r="R51" i="4"/>
  <c r="R52" i="4"/>
  <c r="L43" i="4"/>
  <c r="L44" i="4"/>
  <c r="L45" i="4"/>
  <c r="L46" i="4"/>
  <c r="L47" i="4"/>
  <c r="L48" i="4"/>
  <c r="L49" i="4"/>
  <c r="L50" i="4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P58" i="5"/>
  <c r="T58" i="5" s="1"/>
  <c r="J58" i="5"/>
  <c r="D58" i="5"/>
  <c r="I58" i="5" s="1"/>
  <c r="V57" i="5"/>
  <c r="Z57" i="5" s="1"/>
  <c r="P57" i="5"/>
  <c r="T57" i="5" s="1"/>
  <c r="J57" i="5"/>
  <c r="N57" i="5" s="1"/>
  <c r="D57" i="5"/>
  <c r="I57" i="5" s="1"/>
  <c r="V56" i="5"/>
  <c r="P56" i="5"/>
  <c r="J56" i="5"/>
  <c r="D56" i="5"/>
  <c r="I56" i="5" s="1"/>
  <c r="V55" i="5"/>
  <c r="Z55" i="5" s="1"/>
  <c r="P55" i="5"/>
  <c r="T55" i="5" s="1"/>
  <c r="J55" i="5"/>
  <c r="N55" i="5" s="1"/>
  <c r="D55" i="5"/>
  <c r="I55" i="5" s="1"/>
  <c r="V54" i="5"/>
  <c r="P54" i="5"/>
  <c r="J54" i="5"/>
  <c r="D54" i="5"/>
  <c r="I54" i="5" s="1"/>
  <c r="V53" i="5"/>
  <c r="Z53" i="5" s="1"/>
  <c r="P53" i="5"/>
  <c r="T53" i="5" s="1"/>
  <c r="J53" i="5"/>
  <c r="N53" i="5" s="1"/>
  <c r="D53" i="5"/>
  <c r="I53" i="5" s="1"/>
  <c r="V52" i="5"/>
  <c r="P52" i="5"/>
  <c r="J52" i="5"/>
  <c r="D52" i="5"/>
  <c r="I52" i="5" s="1"/>
  <c r="V51" i="5"/>
  <c r="Z51" i="5" s="1"/>
  <c r="P51" i="5"/>
  <c r="T51" i="5" s="1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T56" i="4" s="1"/>
  <c r="P57" i="4"/>
  <c r="P58" i="4"/>
  <c r="T58" i="4" s="1"/>
  <c r="P59" i="4"/>
  <c r="T59" i="4" s="1"/>
  <c r="P60" i="4"/>
  <c r="T60" i="4" s="1"/>
  <c r="P61" i="4"/>
  <c r="T61" i="4" s="1"/>
  <c r="P62" i="4"/>
  <c r="T62" i="4" s="1"/>
  <c r="P63" i="4"/>
  <c r="T63" i="4" s="1"/>
  <c r="P64" i="4"/>
  <c r="T64" i="4" s="1"/>
  <c r="P65" i="4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U65" i="4" l="1"/>
  <c r="T65" i="4"/>
  <c r="U57" i="4"/>
  <c r="T57" i="4"/>
  <c r="U52" i="5"/>
  <c r="T52" i="5"/>
  <c r="U54" i="5"/>
  <c r="T54" i="5"/>
  <c r="U56" i="5"/>
  <c r="T56" i="5"/>
  <c r="O52" i="5"/>
  <c r="N52" i="5"/>
  <c r="O54" i="5"/>
  <c r="N54" i="5"/>
  <c r="O56" i="5"/>
  <c r="N56" i="5"/>
  <c r="O58" i="5"/>
  <c r="N58" i="5"/>
  <c r="AA52" i="5"/>
  <c r="Z52" i="5"/>
  <c r="AA54" i="5"/>
  <c r="Z54" i="5"/>
  <c r="AA56" i="5"/>
  <c r="Z56" i="5"/>
  <c r="AA58" i="5"/>
  <c r="Z58" i="5"/>
  <c r="N7" i="5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U56" i="4"/>
  <c r="T34" i="4"/>
  <c r="U34" i="4"/>
  <c r="U60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11" i="5"/>
  <c r="H25" i="5"/>
  <c r="H28" i="5"/>
  <c r="H29" i="5"/>
  <c r="Z34" i="5"/>
  <c r="H42" i="5"/>
  <c r="H43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H54" i="5"/>
  <c r="O57" i="5"/>
  <c r="O55" i="5"/>
  <c r="U29" i="5"/>
  <c r="T29" i="5"/>
  <c r="U40" i="5"/>
  <c r="T40" i="5"/>
  <c r="U47" i="5"/>
  <c r="T47" i="5"/>
  <c r="Z25" i="5"/>
  <c r="U44" i="5"/>
  <c r="T4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U20" i="5"/>
  <c r="T20" i="5"/>
  <c r="U55" i="5"/>
  <c r="O6" i="5"/>
  <c r="N6" i="5"/>
  <c r="Z17" i="5"/>
  <c r="U23" i="5"/>
  <c r="T23" i="5"/>
  <c r="Z32" i="5"/>
  <c r="U37" i="5"/>
  <c r="T37" i="5"/>
  <c r="U53" i="5"/>
  <c r="O15" i="5"/>
  <c r="N15" i="5"/>
  <c r="Z19" i="5"/>
  <c r="U27" i="5"/>
  <c r="T27" i="5"/>
  <c r="U51" i="5"/>
  <c r="N17" i="5"/>
  <c r="N19" i="5"/>
  <c r="N28" i="5"/>
  <c r="N30" i="5"/>
  <c r="N32" i="5"/>
  <c r="N39" i="5"/>
  <c r="N41" i="5"/>
  <c r="N43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<sst xmlns="http://schemas.openxmlformats.org/spreadsheetml/2006/main" count="302" uniqueCount="85">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</sst>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>
      <calculatedColumnFormula>Table1[[#This Row],[Enrolment S.Y. 2025-2026 ]]*8</calculatedColumnFormula>
    </tableColumn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>
      <calculatedColumnFormula>Table1[[#This Row],[Enrolment S.Y. 2025-2026 ]]*8</calculatedColumnFormula>
    </tableColumn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>
      <calculatedColumnFormula>Table1[[#This Row],[Enrolment S.Y. 2025-2026 ]]*8</calculatedColumnFormula>
    </tableColumn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>
      <calculatedColumnFormula>Table14[[#This Row],[Enrolment S.Y. 2025-2026 ]]*8</calculatedColumnFormula>
    </tableColumn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>
      <calculatedColumnFormula>Table14[[#This Row],[Enrolment S.Y. 2025-2026 ]]*8</calculatedColumnFormula>
    </tableColumn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>
        <v>110</v>
      </c>
      <c r="D42" s="1">
        <v>92</v>
      </c>
      <c r="E42" s="1">
        <v>2025</v>
      </c>
      <c r="F42" s="4" t="s">
        <v>20</v>
      </c>
      <c r="G42" s="2">
        <f t="shared" ref="G42:G49" si="8">IF((C42-D42)&lt;0,0,C42-D42)</f>
        <v>18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21</v>
      </c>
      <c r="C43" s="1">
        <v>110</v>
      </c>
      <c r="D43" s="1"/>
      <c r="E43" s="1"/>
      <c r="F43" s="4"/>
      <c r="G43" s="2">
        <f t="shared" si="8"/>
        <v>110</v>
      </c>
      <c r="H43" s="3">
        <f t="shared" si="9"/>
        <v>0</v>
      </c>
    </row>
    <row r="44" spans="1:8" ht="27.75" customHeight="1">
      <c r="A44" s="1" t="s">
        <v>18</v>
      </c>
      <c r="B44" s="7" t="s">
        <v>22</v>
      </c>
      <c r="C44" s="1">
        <v>94</v>
      </c>
      <c r="D44" s="1">
        <v>86</v>
      </c>
      <c r="E44" s="1">
        <v>2025</v>
      </c>
      <c r="F44" s="4" t="s">
        <v>20</v>
      </c>
      <c r="G44" s="2">
        <f t="shared" si="8"/>
        <v>8</v>
      </c>
      <c r="H44" s="3">
        <f t="shared" si="9"/>
        <v>0</v>
      </c>
    </row>
    <row r="45" spans="1:8" ht="36.75" customHeight="1">
      <c r="A45" s="1" t="s">
        <v>18</v>
      </c>
      <c r="B45" s="7" t="s">
        <v>23</v>
      </c>
      <c r="C45" s="1">
        <v>0</v>
      </c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24</v>
      </c>
      <c r="C46" s="1">
        <v>110</v>
      </c>
      <c r="D46" s="1"/>
      <c r="E46" s="1"/>
      <c r="F46" s="4"/>
      <c r="G46" s="2">
        <f t="shared" si="8"/>
        <v>110</v>
      </c>
      <c r="H46" s="3">
        <f t="shared" si="9"/>
        <v>0</v>
      </c>
    </row>
    <row r="47" spans="1:8" ht="27.75" customHeight="1">
      <c r="A47" s="1" t="s">
        <v>18</v>
      </c>
      <c r="B47" s="7" t="s">
        <v>25</v>
      </c>
      <c r="C47" s="1">
        <v>110</v>
      </c>
      <c r="D47" s="1">
        <v>90</v>
      </c>
      <c r="E47" s="1"/>
      <c r="F47" s="4" t="s">
        <v>20</v>
      </c>
      <c r="G47" s="2">
        <f t="shared" si="8"/>
        <v>20</v>
      </c>
      <c r="H47" s="3">
        <f t="shared" si="9"/>
        <v>0</v>
      </c>
    </row>
    <row r="48" spans="1:8" ht="27.75" customHeight="1">
      <c r="A48" s="1" t="s">
        <v>18</v>
      </c>
      <c r="B48" s="7" t="s">
        <v>26</v>
      </c>
      <c r="C48" s="1">
        <v>94</v>
      </c>
      <c r="D48" s="1">
        <v>84</v>
      </c>
      <c r="E48" s="1">
        <v>2025</v>
      </c>
      <c r="F48" s="4" t="s">
        <v>20</v>
      </c>
      <c r="G48" s="2">
        <f t="shared" si="8"/>
        <v>10</v>
      </c>
      <c r="H48" s="3">
        <f t="shared" si="9"/>
        <v>0</v>
      </c>
    </row>
    <row r="49" spans="1:8" ht="27.75" customHeight="1">
      <c r="A49" s="1" t="s">
        <v>18</v>
      </c>
      <c r="B49" s="7" t="s">
        <v>27</v>
      </c>
      <c r="C49" s="1">
        <v>110</v>
      </c>
      <c r="D49" s="1">
        <v>90</v>
      </c>
      <c r="E49" s="1">
        <v>2025</v>
      </c>
      <c r="F49" s="4" t="s">
        <v>20</v>
      </c>
      <c r="G49" s="2">
        <f t="shared" si="8"/>
        <v>20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43" xr:uid="{B46E7B13-721E-4D49-837E-C02BF9777D48}">
      <formula1>"2024,2025"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2:E10 E12:E20 E22:E30 E32:E40 E45:E47 E48:E49 E42 E44" xr:uid="{A64A31BF-5E6D-4F52-89AF-C32C90AD3952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K65" sqref="AK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>
        <f>Table1[[#This Row],[Enrolment S.Y. 2025-2026 ]]*8</f>
        <v>0</v>
      </c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>
        <f>Table1[[#This Row],[Enrolment S.Y. 2025-2026 ]]*8</f>
        <v>0</v>
      </c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>
        <f>Table1[[#This Row],[Enrolment S.Y. 2025-2026 ]]*8</f>
        <v>0</v>
      </c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>
        <f>Table1[[#This Row],[Enrolment S.Y. 2025-2026 ]]*8</f>
        <v>0</v>
      </c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>
        <f>Table1[[#This Row],[Enrolment S.Y. 2025-2026 ]]*8</f>
        <v>0</v>
      </c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>
        <f>Table1[[#This Row],[Enrolment S.Y. 2025-2026 ]]*8</f>
        <v>0</v>
      </c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>
        <f>Table1[[#This Row],[Enrolment S.Y. 2025-2026 ]]*8</f>
        <v>0</v>
      </c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>
        <f>Table1[[#This Row],[Enrolment S.Y. 2025-2026 ]]*8</f>
        <v>0</v>
      </c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>
        <f>Table1[[#This Row],[Enrolment S.Y. 2025-2026 ]]*8</f>
        <v>0</v>
      </c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>
        <f>Table1[[#This Row],[Enrolment S.Y. 2025-2026 ]]*8</f>
        <v>0</v>
      </c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>
        <f>Table1[[#This Row],[Enrolment S.Y. 2025-2026 ]]*8</f>
        <v>0</v>
      </c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>
        <f>Table1[[#This Row],[Enrolment S.Y. 2025-2026 ]]*8</f>
        <v>0</v>
      </c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>
        <f>Table1[[#This Row],[Enrolment S.Y. 2025-2026 ]]*8</f>
        <v>0</v>
      </c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>
        <f>Table1[[#This Row],[Enrolment S.Y. 2025-2026 ]]*8</f>
        <v>0</v>
      </c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>
        <f>Table1[[#This Row],[Enrolment S.Y. 2025-2026 ]]*8</f>
        <v>0</v>
      </c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>
        <f>Table1[[#This Row],[Enrolment S.Y. 2025-2026 ]]*8</f>
        <v>0</v>
      </c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>
        <f>Table1[[#This Row],[Enrolment S.Y. 2025-2026 ]]*8</f>
        <v>0</v>
      </c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>
        <f>Table1[[#This Row],[Enrolment S.Y. 2025-2026 ]]*8</f>
        <v>0</v>
      </c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>
        <f>Table1[[#This Row],[Enrolment S.Y. 2025-2026 ]]*8</f>
        <v>0</v>
      </c>
      <c r="S12" s="4"/>
      <c r="T12" s="11"/>
      <c r="U12" s="11"/>
      <c r="V12" s="11"/>
      <c r="W12" s="5"/>
      <c r="X12" s="5">
        <f>Table1[[#This Row],[Enrolment S.Y. 2025-2026 ]]*8</f>
        <v>0</v>
      </c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>
        <f>Table1[[#This Row],[Enrolment S.Y. 2025-2026 ]]*8</f>
        <v>0</v>
      </c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>
        <f>Table1[[#This Row],[Enrolment S.Y. 2025-2026 ]]*8</f>
        <v>0</v>
      </c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>
        <f>Table1[[#This Row],[Enrolment S.Y. 2025-2026 ]]*8</f>
        <v>0</v>
      </c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>
        <f>Table1[[#This Row],[Enrolment S.Y. 2025-2026 ]]*8</f>
        <v>0</v>
      </c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>
        <f>Table1[[#This Row],[Enrolment S.Y. 2025-2026 ]]*8</f>
        <v>0</v>
      </c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>
        <f>Table1[[#This Row],[Enrolment S.Y. 2025-2026 ]]*8</f>
        <v>0</v>
      </c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>
        <f>Table1[[#This Row],[Enrolment S.Y. 2025-2026 ]]*8</f>
        <v>0</v>
      </c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>
        <f>Table1[[#This Row],[Enrolment S.Y. 2025-2026 ]]*8</f>
        <v>0</v>
      </c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>
        <f>Table1[[#This Row],[Enrolment S.Y. 2025-2026 ]]*8</f>
        <v>0</v>
      </c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>
        <f>Table1[[#This Row],[Enrolment S.Y. 2025-2026 ]]*8</f>
        <v>0</v>
      </c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>
        <f>Table1[[#This Row],[Enrolment S.Y. 2025-2026 ]]*8</f>
        <v>0</v>
      </c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>
        <f>Table1[[#This Row],[Enrolment S.Y. 2025-2026 ]]*8</f>
        <v>0</v>
      </c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>
        <f>Table1[[#This Row],[Enrolment S.Y. 2025-2026 ]]*8</f>
        <v>0</v>
      </c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>
        <f>Table1[[#This Row],[Enrolment S.Y. 2025-2026 ]]*8</f>
        <v>0</v>
      </c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>
        <f>Table1[[#This Row],[Enrolment S.Y. 2025-2026 ]]*8</f>
        <v>0</v>
      </c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>
        <f>Table1[[#This Row],[Enrolment S.Y. 2025-2026 ]]*8</f>
        <v>0</v>
      </c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>
        <f>Table1[[#This Row],[Enrolment S.Y. 2025-2026 ]]*8</f>
        <v>0</v>
      </c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>
        <f>Table1[[#This Row],[Enrolment S.Y. 2025-2026 ]]*8</f>
        <v>0</v>
      </c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R22" s="5">
        <f>Table1[[#This Row],[Enrolment S.Y. 2025-2026 ]]*8</f>
        <v>0</v>
      </c>
      <c r="S22" s="4"/>
      <c r="T22" s="11"/>
      <c r="U22" s="11"/>
      <c r="V22" s="11"/>
      <c r="X22" s="5">
        <f>Table1[[#This Row],[Enrolment S.Y. 2025-2026 ]]*8</f>
        <v>0</v>
      </c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>
        <f>Table1[[#This Row],[Enrolment S.Y. 2025-2026 ]]*8</f>
        <v>0</v>
      </c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>
        <f>Table1[[#This Row],[Enrolment S.Y. 2025-2026 ]]*8</f>
        <v>0</v>
      </c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>
        <f>Table1[[#This Row],[Enrolment S.Y. 2025-2026 ]]*8</f>
        <v>0</v>
      </c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>
        <f>Table1[[#This Row],[Enrolment S.Y. 2025-2026 ]]*8</f>
        <v>0</v>
      </c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>
        <f>Table1[[#This Row],[Enrolment S.Y. 2025-2026 ]]*8</f>
        <v>0</v>
      </c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>
        <f>Table1[[#This Row],[Enrolment S.Y. 2025-2026 ]]*8</f>
        <v>0</v>
      </c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>
        <f>Table1[[#This Row],[Enrolment S.Y. 2025-2026 ]]*8</f>
        <v>0</v>
      </c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>
        <f>Table1[[#This Row],[Enrolment S.Y. 2025-2026 ]]*8</f>
        <v>0</v>
      </c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>
        <f>Table1[[#This Row],[Enrolment S.Y. 2025-2026 ]]*8</f>
        <v>0</v>
      </c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>
        <f>Table1[[#This Row],[Enrolment S.Y. 2025-2026 ]]*8</f>
        <v>0</v>
      </c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>
        <f>Table1[[#This Row],[Enrolment S.Y. 2025-2026 ]]*8</f>
        <v>0</v>
      </c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>
        <f>Table1[[#This Row],[Enrolment S.Y. 2025-2026 ]]*8</f>
        <v>0</v>
      </c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>
        <f>Table1[[#This Row],[Enrolment S.Y. 2025-2026 ]]*8</f>
        <v>0</v>
      </c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>
        <f>Table1[[#This Row],[Enrolment S.Y. 2025-2026 ]]*8</f>
        <v>0</v>
      </c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>
        <f>Table1[[#This Row],[Enrolment S.Y. 2025-2026 ]]*8</f>
        <v>0</v>
      </c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>
        <f>Table1[[#This Row],[Enrolment S.Y. 2025-2026 ]]*8</f>
        <v>0</v>
      </c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>
        <f>Table1[[#This Row],[Enrolment S.Y. 2025-2026 ]]*8</f>
        <v>0</v>
      </c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>
        <f>Table1[[#This Row],[Enrolment S.Y. 2025-2026 ]]*8</f>
        <v>0</v>
      </c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R32" s="5">
        <f>Table1[[#This Row],[Enrolment S.Y. 2025-2026 ]]*8</f>
        <v>0</v>
      </c>
      <c r="S32" s="4"/>
      <c r="T32" s="11"/>
      <c r="U32" s="11"/>
      <c r="V32" s="11"/>
      <c r="X32" s="5">
        <f>Table1[[#This Row],[Enrolment S.Y. 2025-2026 ]]*8</f>
        <v>0</v>
      </c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>
        <f>Table1[[#This Row],[Enrolment S.Y. 2025-2026 ]]*8</f>
        <v>0</v>
      </c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>
        <f>Table1[[#This Row],[Enrolment S.Y. 2025-2026 ]]*8</f>
        <v>0</v>
      </c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>
        <f>Table1[[#This Row],[Enrolment S.Y. 2025-2026 ]]*8</f>
        <v>0</v>
      </c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>
        <f>Table1[[#This Row],[Enrolment S.Y. 2025-2026 ]]*8</f>
        <v>0</v>
      </c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>
        <f>Table1[[#This Row],[Enrolment S.Y. 2025-2026 ]]*8</f>
        <v>0</v>
      </c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>
        <f>Table1[[#This Row],[Enrolment S.Y. 2025-2026 ]]*8</f>
        <v>0</v>
      </c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>
        <f>Table1[[#This Row],[Enrolment S.Y. 2025-2026 ]]*8</f>
        <v>0</v>
      </c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>
        <f>Table1[[#This Row],[Enrolment S.Y. 2025-2026 ]]*8</f>
        <v>0</v>
      </c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>
        <f>Table1[[#This Row],[Enrolment S.Y. 2025-2026 ]]*8</f>
        <v>0</v>
      </c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>
        <f>Table1[[#This Row],[Enrolment S.Y. 2025-2026 ]]*8</f>
        <v>0</v>
      </c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>
        <f>Table1[[#This Row],[Enrolment S.Y. 2025-2026 ]]*8</f>
        <v>0</v>
      </c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>
        <f>Table1[[#This Row],[Enrolment S.Y. 2025-2026 ]]*8</f>
        <v>0</v>
      </c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>
        <f>Table1[[#This Row],[Enrolment S.Y. 2025-2026 ]]*8</f>
        <v>0</v>
      </c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>
        <f>Table1[[#This Row],[Enrolment S.Y. 2025-2026 ]]*8</f>
        <v>0</v>
      </c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>
        <f>Table1[[#This Row],[Enrolment S.Y. 2025-2026 ]]*8</f>
        <v>0</v>
      </c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>
        <f>Table1[[#This Row],[Enrolment S.Y. 2025-2026 ]]*8</f>
        <v>0</v>
      </c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>
        <f>Table1[[#This Row],[Enrolment S.Y. 2025-2026 ]]*8</f>
        <v>0</v>
      </c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>
        <f>Table1[[#This Row],[Enrolment S.Y. 2025-2026 ]]*8</f>
        <v>0</v>
      </c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R42" s="5">
        <f>Table1[[#This Row],[Enrolment S.Y. 2025-2026 ]]*8</f>
        <v>0</v>
      </c>
      <c r="S42" s="4"/>
      <c r="T42" s="11"/>
      <c r="U42" s="11"/>
      <c r="V42" s="11"/>
      <c r="X42" s="5">
        <f>Table1[[#This Row],[Enrolment S.Y. 2025-2026 ]]*8</f>
        <v>0</v>
      </c>
      <c r="Y42" s="4"/>
      <c r="Z42" s="11"/>
      <c r="AA42" s="11"/>
    </row>
    <row r="43" spans="1:27" ht="38.25">
      <c r="A43" s="1" t="s">
        <v>18</v>
      </c>
      <c r="B43" s="7" t="s">
        <v>19</v>
      </c>
      <c r="C43" s="1">
        <v>110</v>
      </c>
      <c r="D43" s="4">
        <f>Table1[[#This Row],[Enrolment S.Y. 2025-2026 ]]*8</f>
        <v>880</v>
      </c>
      <c r="E43" s="4">
        <v>110</v>
      </c>
      <c r="F43" s="1">
        <v>2025</v>
      </c>
      <c r="G43" s="4" t="s">
        <v>56</v>
      </c>
      <c r="H43" s="4">
        <f t="shared" si="14"/>
        <v>770</v>
      </c>
      <c r="I43" s="4">
        <f t="shared" si="15"/>
        <v>0</v>
      </c>
      <c r="J43" s="4">
        <f>Table1[[#This Row],[Enrolment S.Y. 2025-2026 ]]*8</f>
        <v>880</v>
      </c>
      <c r="K43" s="1">
        <v>110</v>
      </c>
      <c r="L43" s="4">
        <f>Table1[[#This Row],[Enrolment S.Y. 2025-2026 ]]*8</f>
        <v>880</v>
      </c>
      <c r="M43" s="4" t="s">
        <v>56</v>
      </c>
      <c r="N43" s="4">
        <f t="shared" si="8"/>
        <v>770</v>
      </c>
      <c r="O43" s="4">
        <f t="shared" si="9"/>
        <v>0</v>
      </c>
      <c r="P43" s="4">
        <f>Table1[[#This Row],[Enrolment S.Y. 2025-2026 ]]*8</f>
        <v>880</v>
      </c>
      <c r="Q43" s="1">
        <v>110</v>
      </c>
      <c r="R43" s="4">
        <f>Table1[[#This Row],[Enrolment S.Y. 2025-2026 ]]*8</f>
        <v>880</v>
      </c>
      <c r="S43" s="4" t="s">
        <v>56</v>
      </c>
      <c r="T43" s="4">
        <f t="shared" si="10"/>
        <v>770</v>
      </c>
      <c r="U43" s="4">
        <f t="shared" si="11"/>
        <v>0</v>
      </c>
      <c r="V43" s="4">
        <f>Table1[[#This Row],[Enrolment S.Y. 2025-2026 ]]*8</f>
        <v>880</v>
      </c>
      <c r="W43" s="1">
        <v>110</v>
      </c>
      <c r="X43" s="4">
        <f>Table1[[#This Row],[Enrolment S.Y. 2025-2026 ]]*8</f>
        <v>880</v>
      </c>
      <c r="Y43" s="4" t="s">
        <v>56</v>
      </c>
      <c r="Z43" s="4">
        <f t="shared" si="12"/>
        <v>770</v>
      </c>
      <c r="AA43" s="4">
        <f t="shared" si="13"/>
        <v>0</v>
      </c>
    </row>
    <row r="44" spans="1:27" ht="19.5">
      <c r="A44" s="1" t="s">
        <v>18</v>
      </c>
      <c r="B44" s="7" t="s">
        <v>21</v>
      </c>
      <c r="C44" s="1">
        <v>110</v>
      </c>
      <c r="D44" s="4">
        <f>Table1[[#This Row],[Enrolment S.Y. 2025-2026 ]]*8</f>
        <v>880</v>
      </c>
      <c r="E44" s="4">
        <v>110</v>
      </c>
      <c r="F44" s="1">
        <v>2025</v>
      </c>
      <c r="G44" s="4" t="s">
        <v>56</v>
      </c>
      <c r="H44" s="4">
        <f t="shared" si="14"/>
        <v>770</v>
      </c>
      <c r="I44" s="4">
        <f t="shared" si="15"/>
        <v>0</v>
      </c>
      <c r="J44" s="4">
        <f>Table1[[#This Row],[Enrolment S.Y. 2025-2026 ]]*8</f>
        <v>880</v>
      </c>
      <c r="K44" s="1">
        <v>110</v>
      </c>
      <c r="L44" s="4">
        <f>Table1[[#This Row],[Enrolment S.Y. 2025-2026 ]]*8</f>
        <v>880</v>
      </c>
      <c r="M44" s="4" t="s">
        <v>56</v>
      </c>
      <c r="N44" s="4">
        <f t="shared" si="8"/>
        <v>770</v>
      </c>
      <c r="O44" s="4">
        <f t="shared" si="9"/>
        <v>0</v>
      </c>
      <c r="P44" s="4">
        <f>Table1[[#This Row],[Enrolment S.Y. 2025-2026 ]]*8</f>
        <v>880</v>
      </c>
      <c r="Q44" s="1">
        <v>110</v>
      </c>
      <c r="R44" s="4">
        <f>Table1[[#This Row],[Enrolment S.Y. 2025-2026 ]]*8</f>
        <v>880</v>
      </c>
      <c r="S44" s="4" t="s">
        <v>56</v>
      </c>
      <c r="T44" s="4">
        <f t="shared" si="10"/>
        <v>770</v>
      </c>
      <c r="U44" s="4">
        <f t="shared" si="11"/>
        <v>0</v>
      </c>
      <c r="V44" s="4">
        <f>Table1[[#This Row],[Enrolment S.Y. 2025-2026 ]]*8</f>
        <v>880</v>
      </c>
      <c r="W44" s="1">
        <v>110</v>
      </c>
      <c r="X44" s="4">
        <f>Table1[[#This Row],[Enrolment S.Y. 2025-2026 ]]*8</f>
        <v>880</v>
      </c>
      <c r="Y44" s="4" t="s">
        <v>56</v>
      </c>
      <c r="Z44" s="4">
        <f t="shared" si="12"/>
        <v>770</v>
      </c>
      <c r="AA44" s="4">
        <f t="shared" si="13"/>
        <v>0</v>
      </c>
    </row>
    <row r="45" spans="1:27" ht="19.5">
      <c r="A45" s="1" t="s">
        <v>18</v>
      </c>
      <c r="B45" s="7" t="s">
        <v>22</v>
      </c>
      <c r="C45" s="1">
        <v>94</v>
      </c>
      <c r="D45" s="4">
        <f>Table1[[#This Row],[Enrolment S.Y. 2025-2026 ]]*8</f>
        <v>752</v>
      </c>
      <c r="E45" s="4">
        <v>94</v>
      </c>
      <c r="F45" s="1">
        <v>2025</v>
      </c>
      <c r="G45" s="4" t="s">
        <v>56</v>
      </c>
      <c r="H45" s="4">
        <f t="shared" si="14"/>
        <v>658</v>
      </c>
      <c r="I45" s="4">
        <f t="shared" si="15"/>
        <v>0</v>
      </c>
      <c r="J45" s="4">
        <f>Table1[[#This Row],[Enrolment S.Y. 2025-2026 ]]*8</f>
        <v>752</v>
      </c>
      <c r="K45" s="1">
        <v>94</v>
      </c>
      <c r="L45" s="4">
        <f>Table1[[#This Row],[Enrolment S.Y. 2025-2026 ]]*8</f>
        <v>752</v>
      </c>
      <c r="M45" s="4" t="s">
        <v>56</v>
      </c>
      <c r="N45" s="4">
        <f t="shared" si="8"/>
        <v>658</v>
      </c>
      <c r="O45" s="4">
        <f t="shared" si="9"/>
        <v>0</v>
      </c>
      <c r="P45" s="4">
        <f>Table1[[#This Row],[Enrolment S.Y. 2025-2026 ]]*8</f>
        <v>752</v>
      </c>
      <c r="Q45" s="1">
        <v>94</v>
      </c>
      <c r="R45" s="4">
        <f>Table1[[#This Row],[Enrolment S.Y. 2025-2026 ]]*8</f>
        <v>752</v>
      </c>
      <c r="S45" s="4" t="s">
        <v>56</v>
      </c>
      <c r="T45" s="4">
        <f t="shared" si="10"/>
        <v>658</v>
      </c>
      <c r="U45" s="4">
        <f t="shared" si="11"/>
        <v>0</v>
      </c>
      <c r="V45" s="4">
        <f>Table1[[#This Row],[Enrolment S.Y. 2025-2026 ]]*8</f>
        <v>752</v>
      </c>
      <c r="W45" s="1">
        <v>94</v>
      </c>
      <c r="X45" s="4">
        <f>Table1[[#This Row],[Enrolment S.Y. 2025-2026 ]]*8</f>
        <v>752</v>
      </c>
      <c r="Y45" s="4" t="s">
        <v>56</v>
      </c>
      <c r="Z45" s="4">
        <f t="shared" si="12"/>
        <v>658</v>
      </c>
      <c r="AA45" s="4">
        <f t="shared" si="13"/>
        <v>0</v>
      </c>
    </row>
    <row r="46" spans="1:27" ht="19.5">
      <c r="A46" s="1" t="s">
        <v>18</v>
      </c>
      <c r="B46" s="7" t="s">
        <v>23</v>
      </c>
      <c r="C46" s="1">
        <v>0</v>
      </c>
      <c r="D46" s="4">
        <f>Table1[[#This Row],[Enrolment S.Y. 2025-2026 ]]*8</f>
        <v>0</v>
      </c>
      <c r="E46" s="4">
        <v>0</v>
      </c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1">
        <v>0</v>
      </c>
      <c r="L46" s="4">
        <f>Table1[[#This Row],[Enrolment S.Y. 2025-2026 ]]*8</f>
        <v>0</v>
      </c>
      <c r="M46" s="4" t="s">
        <v>56</v>
      </c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1">
        <v>0</v>
      </c>
      <c r="R46" s="4">
        <f>Table1[[#This Row],[Enrolment S.Y. 2025-2026 ]]*8</f>
        <v>0</v>
      </c>
      <c r="S46" s="4" t="s">
        <v>56</v>
      </c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1">
        <v>0</v>
      </c>
      <c r="X46" s="4">
        <f>Table1[[#This Row],[Enrolment S.Y. 2025-2026 ]]*8</f>
        <v>0</v>
      </c>
      <c r="Y46" s="4" t="s">
        <v>56</v>
      </c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24</v>
      </c>
      <c r="C47" s="1">
        <v>110</v>
      </c>
      <c r="D47" s="4">
        <f>Table1[[#This Row],[Enrolment S.Y. 2025-2026 ]]*8</f>
        <v>880</v>
      </c>
      <c r="E47" s="4">
        <v>110</v>
      </c>
      <c r="F47" s="1">
        <v>2025</v>
      </c>
      <c r="G47" s="4" t="s">
        <v>56</v>
      </c>
      <c r="H47" s="4">
        <f t="shared" si="14"/>
        <v>770</v>
      </c>
      <c r="I47" s="4">
        <f t="shared" si="15"/>
        <v>0</v>
      </c>
      <c r="J47" s="4">
        <f>Table1[[#This Row],[Enrolment S.Y. 2025-2026 ]]*8</f>
        <v>880</v>
      </c>
      <c r="K47" s="1">
        <v>110</v>
      </c>
      <c r="L47" s="4">
        <f>Table1[[#This Row],[Enrolment S.Y. 2025-2026 ]]*8</f>
        <v>880</v>
      </c>
      <c r="M47" s="4" t="s">
        <v>56</v>
      </c>
      <c r="N47" s="4">
        <f t="shared" si="8"/>
        <v>770</v>
      </c>
      <c r="O47" s="4">
        <f t="shared" si="9"/>
        <v>0</v>
      </c>
      <c r="P47" s="4">
        <f>Table1[[#This Row],[Enrolment S.Y. 2025-2026 ]]*8</f>
        <v>880</v>
      </c>
      <c r="Q47" s="1">
        <v>110</v>
      </c>
      <c r="R47" s="4">
        <f>Table1[[#This Row],[Enrolment S.Y. 2025-2026 ]]*8</f>
        <v>880</v>
      </c>
      <c r="S47" s="4" t="s">
        <v>56</v>
      </c>
      <c r="T47" s="4">
        <f t="shared" si="10"/>
        <v>770</v>
      </c>
      <c r="U47" s="4">
        <f t="shared" si="11"/>
        <v>0</v>
      </c>
      <c r="V47" s="4">
        <f>Table1[[#This Row],[Enrolment S.Y. 2025-2026 ]]*8</f>
        <v>880</v>
      </c>
      <c r="W47" s="1">
        <v>110</v>
      </c>
      <c r="X47" s="4">
        <f>Table1[[#This Row],[Enrolment S.Y. 2025-2026 ]]*8</f>
        <v>880</v>
      </c>
      <c r="Y47" s="4" t="s">
        <v>56</v>
      </c>
      <c r="Z47" s="4">
        <f t="shared" si="12"/>
        <v>770</v>
      </c>
      <c r="AA47" s="4">
        <f t="shared" si="13"/>
        <v>0</v>
      </c>
    </row>
    <row r="48" spans="1:27" ht="38.25">
      <c r="A48" s="1" t="s">
        <v>18</v>
      </c>
      <c r="B48" s="7" t="s">
        <v>25</v>
      </c>
      <c r="C48" s="1">
        <v>110</v>
      </c>
      <c r="D48" s="4">
        <f>Table1[[#This Row],[Enrolment S.Y. 2025-2026 ]]*8</f>
        <v>880</v>
      </c>
      <c r="E48" s="4">
        <v>110</v>
      </c>
      <c r="F48" s="1">
        <v>2025</v>
      </c>
      <c r="G48" s="4" t="s">
        <v>56</v>
      </c>
      <c r="H48" s="4">
        <f t="shared" si="14"/>
        <v>770</v>
      </c>
      <c r="I48" s="4">
        <f t="shared" si="15"/>
        <v>0</v>
      </c>
      <c r="J48" s="4">
        <f>Table1[[#This Row],[Enrolment S.Y. 2025-2026 ]]*8</f>
        <v>880</v>
      </c>
      <c r="K48" s="1">
        <v>110</v>
      </c>
      <c r="L48" s="4">
        <f>Table1[[#This Row],[Enrolment S.Y. 2025-2026 ]]*8</f>
        <v>880</v>
      </c>
      <c r="M48" s="4" t="s">
        <v>56</v>
      </c>
      <c r="N48" s="4">
        <f t="shared" si="8"/>
        <v>770</v>
      </c>
      <c r="O48" s="4">
        <f t="shared" si="9"/>
        <v>0</v>
      </c>
      <c r="P48" s="4">
        <f>Table1[[#This Row],[Enrolment S.Y. 2025-2026 ]]*8</f>
        <v>880</v>
      </c>
      <c r="Q48" s="1">
        <v>110</v>
      </c>
      <c r="R48" s="4">
        <f>Table1[[#This Row],[Enrolment S.Y. 2025-2026 ]]*8</f>
        <v>880</v>
      </c>
      <c r="S48" s="4" t="s">
        <v>56</v>
      </c>
      <c r="T48" s="4">
        <f t="shared" si="10"/>
        <v>770</v>
      </c>
      <c r="U48" s="4">
        <f t="shared" si="11"/>
        <v>0</v>
      </c>
      <c r="V48" s="4">
        <f>Table1[[#This Row],[Enrolment S.Y. 2025-2026 ]]*8</f>
        <v>880</v>
      </c>
      <c r="W48" s="1">
        <v>110</v>
      </c>
      <c r="X48" s="4">
        <f>Table1[[#This Row],[Enrolment S.Y. 2025-2026 ]]*8</f>
        <v>880</v>
      </c>
      <c r="Y48" s="4" t="s">
        <v>56</v>
      </c>
      <c r="Z48" s="4">
        <f t="shared" si="12"/>
        <v>770</v>
      </c>
      <c r="AA48" s="4">
        <f t="shared" si="13"/>
        <v>0</v>
      </c>
    </row>
    <row r="49" spans="1:27" ht="57.75">
      <c r="A49" s="1" t="s">
        <v>18</v>
      </c>
      <c r="B49" s="7" t="s">
        <v>26</v>
      </c>
      <c r="C49" s="1">
        <v>94</v>
      </c>
      <c r="D49" s="4">
        <f>Table1[[#This Row],[Enrolment S.Y. 2025-2026 ]]*8</f>
        <v>752</v>
      </c>
      <c r="E49" s="4">
        <v>94</v>
      </c>
      <c r="F49" s="1">
        <v>2025</v>
      </c>
      <c r="G49" s="4" t="s">
        <v>56</v>
      </c>
      <c r="H49" s="4">
        <f t="shared" si="14"/>
        <v>658</v>
      </c>
      <c r="I49" s="4">
        <f t="shared" si="15"/>
        <v>0</v>
      </c>
      <c r="J49" s="4">
        <f>Table1[[#This Row],[Enrolment S.Y. 2025-2026 ]]*8</f>
        <v>752</v>
      </c>
      <c r="K49" s="1">
        <v>94</v>
      </c>
      <c r="L49" s="4">
        <f>Table1[[#This Row],[Enrolment S.Y. 2025-2026 ]]*8</f>
        <v>752</v>
      </c>
      <c r="M49" s="4" t="s">
        <v>56</v>
      </c>
      <c r="N49" s="4">
        <f t="shared" si="8"/>
        <v>658</v>
      </c>
      <c r="O49" s="4">
        <f t="shared" si="9"/>
        <v>0</v>
      </c>
      <c r="P49" s="4">
        <f>Table1[[#This Row],[Enrolment S.Y. 2025-2026 ]]*8</f>
        <v>752</v>
      </c>
      <c r="Q49" s="1">
        <v>94</v>
      </c>
      <c r="R49" s="4">
        <f>Table1[[#This Row],[Enrolment S.Y. 2025-2026 ]]*8</f>
        <v>752</v>
      </c>
      <c r="S49" s="4" t="s">
        <v>56</v>
      </c>
      <c r="T49" s="4">
        <f t="shared" si="10"/>
        <v>658</v>
      </c>
      <c r="U49" s="4">
        <f t="shared" si="11"/>
        <v>0</v>
      </c>
      <c r="V49" s="4">
        <f>Table1[[#This Row],[Enrolment S.Y. 2025-2026 ]]*8</f>
        <v>752</v>
      </c>
      <c r="W49" s="1">
        <v>94</v>
      </c>
      <c r="X49" s="4">
        <f>Table1[[#This Row],[Enrolment S.Y. 2025-2026 ]]*8</f>
        <v>752</v>
      </c>
      <c r="Y49" s="4" t="s">
        <v>56</v>
      </c>
      <c r="Z49" s="4">
        <f t="shared" si="12"/>
        <v>658</v>
      </c>
      <c r="AA49" s="4">
        <f t="shared" si="13"/>
        <v>0</v>
      </c>
    </row>
    <row r="50" spans="1:27" ht="38.25">
      <c r="A50" s="1" t="s">
        <v>18</v>
      </c>
      <c r="B50" s="7" t="s">
        <v>27</v>
      </c>
      <c r="C50" s="1">
        <v>110</v>
      </c>
      <c r="D50" s="4">
        <f>Table1[[#This Row],[Enrolment S.Y. 2025-2026 ]]*8</f>
        <v>880</v>
      </c>
      <c r="E50" s="4">
        <v>110</v>
      </c>
      <c r="F50" s="1">
        <v>2025</v>
      </c>
      <c r="G50" s="4" t="s">
        <v>56</v>
      </c>
      <c r="H50" s="4">
        <f t="shared" si="14"/>
        <v>770</v>
      </c>
      <c r="I50" s="4">
        <f t="shared" si="15"/>
        <v>0</v>
      </c>
      <c r="J50" s="4">
        <f>Table1[[#This Row],[Enrolment S.Y. 2025-2026 ]]*8</f>
        <v>880</v>
      </c>
      <c r="K50" s="1">
        <v>110</v>
      </c>
      <c r="L50" s="4">
        <f>Table1[[#This Row],[Enrolment S.Y. 2025-2026 ]]*8</f>
        <v>880</v>
      </c>
      <c r="M50" s="4" t="s">
        <v>56</v>
      </c>
      <c r="N50" s="4">
        <f t="shared" si="8"/>
        <v>770</v>
      </c>
      <c r="O50" s="4">
        <f t="shared" si="9"/>
        <v>0</v>
      </c>
      <c r="P50" s="4">
        <f>Table1[[#This Row],[Enrolment S.Y. 2025-2026 ]]*8</f>
        <v>880</v>
      </c>
      <c r="Q50" s="1">
        <v>110</v>
      </c>
      <c r="R50" s="4">
        <f>Table1[[#This Row],[Enrolment S.Y. 2025-2026 ]]*8</f>
        <v>880</v>
      </c>
      <c r="S50" s="4" t="s">
        <v>56</v>
      </c>
      <c r="T50" s="4">
        <f t="shared" si="10"/>
        <v>770</v>
      </c>
      <c r="U50" s="4">
        <f t="shared" si="11"/>
        <v>0</v>
      </c>
      <c r="V50" s="4">
        <f>Table1[[#This Row],[Enrolment S.Y. 2025-2026 ]]*8</f>
        <v>880</v>
      </c>
      <c r="W50" s="1">
        <v>110</v>
      </c>
      <c r="X50" s="4">
        <f>Table1[[#This Row],[Enrolment S.Y. 2025-2026 ]]*8</f>
        <v>880</v>
      </c>
      <c r="Y50" s="4" t="s">
        <v>56</v>
      </c>
      <c r="Z50" s="4">
        <f t="shared" si="12"/>
        <v>770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>
        <f>Table1[[#This Row],[Enrolment S.Y. 2025-2026 ]]*8</f>
        <v>0</v>
      </c>
      <c r="S51" s="5"/>
      <c r="T51" s="11"/>
      <c r="U51" s="11"/>
      <c r="V51" s="11"/>
      <c r="W51" s="5"/>
      <c r="X51" s="5">
        <f>Table1[[#This Row],[Enrolment S.Y. 2025-2026 ]]*8</f>
        <v>0</v>
      </c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>
        <f>Table1[[#This Row],[Enrolment S.Y. 2025-2026 ]]*8</f>
        <v>0</v>
      </c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>
        <f>Table1[[#This Row],[Enrolment S.Y. 2025-2026 ]]*8</f>
        <v>0</v>
      </c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>
        <f>Table1[[#This Row],[Enrolment S.Y. 2025-2026 ]]*8</f>
        <v>0</v>
      </c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>
        <f>Table1[[#This Row],[Enrolment S.Y. 2025-2026 ]]*8</f>
        <v>0</v>
      </c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>
        <f>Table1[[#This Row],[Enrolment S.Y. 2025-2026 ]]*8</f>
        <v>0</v>
      </c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>
        <f>Table1[[#This Row],[Enrolment S.Y. 2025-2026 ]]*8</f>
        <v>0</v>
      </c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>
        <f>Table1[[#This Row],[Enrolment S.Y. 2025-2026 ]]*8</f>
        <v>0</v>
      </c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>
        <f>Table1[[#This Row],[Enrolment S.Y. 2025-2026 ]]*8</f>
        <v>0</v>
      </c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>
        <f>Table1[[#This Row],[Enrolment S.Y. 2025-2026 ]]*8</f>
        <v>0</v>
      </c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>
        <f>Table1[[#This Row],[Enrolment S.Y. 2025-2026 ]]*8</f>
        <v>0</v>
      </c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>
        <f>Table1[[#This Row],[Enrolment S.Y. 2025-2026 ]]*8</f>
        <v>0</v>
      </c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>
        <f>Table1[[#This Row],[Enrolment S.Y. 2025-2026 ]]*8</f>
        <v>0</v>
      </c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>
        <f>Table1[[#This Row],[Enrolment S.Y. 2025-2026 ]]*8</f>
        <v>0</v>
      </c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>
        <f>Table1[[#This Row],[Enrolment S.Y. 2025-2026 ]]*8</f>
        <v>0</v>
      </c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>
        <f>Table1[[#This Row],[Enrolment S.Y. 2025-2026 ]]*8</f>
        <v>0</v>
      </c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>
        <f>Table1[[#This Row],[Enrolment S.Y. 2025-2026 ]]*8</f>
        <v>0</v>
      </c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>
        <f>Table1[[#This Row],[Enrolment S.Y. 2025-2026 ]]*8</f>
        <v>0</v>
      </c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>
        <f>Table1[[#This Row],[Enrolment S.Y. 2025-2026 ]]*8</f>
        <v>0</v>
      </c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>
        <f>Table1[[#This Row],[Enrolment S.Y. 2025-2026 ]]*8</f>
        <v>0</v>
      </c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>
        <f>Table1[[#This Row],[Enrolment S.Y. 2025-2026 ]]*8</f>
        <v>0</v>
      </c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>
        <f>Table1[[#This Row],[Enrolment S.Y. 2025-2026 ]]*8</f>
        <v>0</v>
      </c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>
        <f>Table1[[#This Row],[Enrolment S.Y. 2025-2026 ]]*8</f>
        <v>0</v>
      </c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>
        <f>Table1[[#This Row],[Enrolment S.Y. 2025-2026 ]]*8</f>
        <v>0</v>
      </c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>
        <f>Table1[[#This Row],[Enrolment S.Y. 2025-2026 ]]*8</f>
        <v>0</v>
      </c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>
        <f>Table1[[#This Row],[Enrolment S.Y. 2025-2026 ]]*8</f>
        <v>0</v>
      </c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>
        <f>Table1[[#This Row],[Enrolment S.Y. 2025-2026 ]]*8</f>
        <v>0</v>
      </c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>
        <f>Table1[[#This Row],[Enrolment S.Y. 2025-2026 ]]*8</f>
        <v>0</v>
      </c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>
        <f>Table1[[#This Row],[Enrolment S.Y. 2025-2026 ]]*8</f>
        <v>0</v>
      </c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>
        <f>Table1[[#This Row],[Enrolment S.Y. 2025-2026 ]]*8</f>
        <v>0</v>
      </c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>
        <f>Table1[[#This Row],[Enrolment S.Y. 2025-2026 ]]*8</f>
        <v>0</v>
      </c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1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1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1">
        <f>Table1[[#This Row],[Enrolment S.Y. 2025-2026 ]]*8</f>
        <v>0</v>
      </c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1">
        <f>Table1[[#This Row],[Enrolment S.Y. 2025-2026 ]]*8</f>
        <v>0</v>
      </c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33:C41 C43:C50 C52:C67 W43:W50 K43:K50 Q43:Q50 C13:C21 C23:C31 C2:C11" name="Textbooks"/>
    <protectedRange sqref="D2:F11 D13:F21 D23:F31 D33:F41 H3:I11 H13:I21 H23:I31 H33:I41 D43:F50 H43:I50 H52:I67 N67:Q67 Q3:R11 Q13:R21 V2:X2 Q52:R52 P2:R2 Q23:R31 N3:P66 J3:J67 Q33:R41 R43:R50 Q53:Q66 Z3:AA67 R53:R67 D52:F67 L43:L50 X43:X50 K13:L21 K23:L31 W3:X11 W13:X21 W23:X31 K3:L11 W33:X41 K33:L41 K52:L67 T3:V67 W52:X67 J2:L2" name="LAS"/>
    <protectedRange sqref="S2:U2 M2:O2 Y2:AA2 S3:S50 G52:G67 M52:M67 S52:S67 Y52:Y67 Y3:Y50 G3:G11 G13:G21 G23:G31 G33:G41 G43:G50 M3:M50 G2:I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43:F50" xr:uid="{4ECCD083-8EC4-42EE-B46C-B614411F330D}">
      <formula1>"2024,2025"</formula1>
    </dataValidation>
    <dataValidation type="list" allowBlank="1" showInputMessage="1" showErrorMessage="1" sqref="G43:G50 G3:G11 G13:G21 G23:G31 G33:G41 Y3:Y50 M3:M50 S3:S50" xr:uid="{5129D80C-83DF-45BE-B6AD-F21CA596CBA5}">
      <formula1>"CO,RO,SDO,LGU,SCHOOL"</formula1>
    </dataValidation>
    <dataValidation type="list" allowBlank="1" showInputMessage="1" showErrorMessage="1" sqref="L3:L11 L52:L67 R3:R11 R13:R21 R23:R31 R33:R41 R52:R67 X3:X11 X13:X21 X23:X31 X33:X41 F3:F11 F13:F21 F23:F31 F33:F41 F52:F67 L13:L21 L23:L31 L33:L41 X52:X67" xr:uid="{064B2FB7-2E07-40BE-A420-F312394B8D1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F71" sqref="AF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425781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>
        <f>Table14[[#This Row],[Enrolment S.Y. 2025-2026 ]]*8</f>
        <v>0</v>
      </c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>
        <f>Table14[[#This Row],[Enrolment S.Y. 2025-2026 ]]*8</f>
        <v>0</v>
      </c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>
        <f>Table14[[#This Row],[Enrolment S.Y. 2025-2026 ]]*8</f>
        <v>0</v>
      </c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>
        <f>Table14[[#This Row],[Enrolment S.Y. 2025-2026 ]]*8</f>
        <v>0</v>
      </c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>
        <f>Table14[[#This Row],[Enrolment S.Y. 2025-2026 ]]*8</f>
        <v>0</v>
      </c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>
        <f>Table14[[#This Row],[Enrolment S.Y. 2025-2026 ]]*8</f>
        <v>0</v>
      </c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>
        <f>Table14[[#This Row],[Enrolment S.Y. 2025-2026 ]]*8</f>
        <v>0</v>
      </c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>
        <f>Table14[[#This Row],[Enrolment S.Y. 2025-2026 ]]*8</f>
        <v>0</v>
      </c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>
        <f>Table14[[#This Row],[Enrolment S.Y. 2025-2026 ]]*8</f>
        <v>0</v>
      </c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>
        <f>Table14[[#This Row],[Enrolment S.Y. 2025-2026 ]]*8</f>
        <v>0</v>
      </c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>
        <f>Table14[[#This Row],[Enrolment S.Y. 2025-2026 ]]*8</f>
        <v>0</v>
      </c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>
        <f>Table14[[#This Row],[Enrolment S.Y. 2025-2026 ]]*8</f>
        <v>0</v>
      </c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>
        <f>Table14[[#This Row],[Enrolment S.Y. 2025-2026 ]]*8</f>
        <v>0</v>
      </c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>
        <f>Table14[[#This Row],[Enrolment S.Y. 2025-2026 ]]*8</f>
        <v>0</v>
      </c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>
        <f>Table14[[#This Row],[Enrolment S.Y. 2025-2026 ]]*8</f>
        <v>0</v>
      </c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>
        <f>Table14[[#This Row],[Enrolment S.Y. 2025-2026 ]]*8</f>
        <v>0</v>
      </c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>
        <f>Table14[[#This Row],[Enrolment S.Y. 2025-2026 ]]*8</f>
        <v>0</v>
      </c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>
        <f>Table14[[#This Row],[Enrolment S.Y. 2025-2026 ]]*8</f>
        <v>0</v>
      </c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>
        <f>Table14[[#This Row],[Enrolment S.Y. 2025-2026 ]]*8</f>
        <v>0</v>
      </c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>
        <f>Table14[[#This Row],[Enrolment S.Y. 2025-2026 ]]*8</f>
        <v>0</v>
      </c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>
        <f>Table14[[#This Row],[Enrolment S.Y. 2025-2026 ]]*8</f>
        <v>0</v>
      </c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>
        <f>Table14[[#This Row],[Enrolment S.Y. 2025-2026 ]]*8</f>
        <v>0</v>
      </c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>
        <f>Table14[[#This Row],[Enrolment S.Y. 2025-2026 ]]*8</f>
        <v>0</v>
      </c>
      <c r="L14" s="5"/>
      <c r="M14" s="5"/>
      <c r="N14" s="5"/>
      <c r="O14" s="5"/>
      <c r="P14" s="5"/>
      <c r="Q14" s="5">
        <f>Table14[[#This Row],[Enrolment S.Y. 2025-2026 ]]*8</f>
        <v>0</v>
      </c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>
        <f>Table14[[#This Row],[Enrolment S.Y. 2025-2026 ]]*8</f>
        <v>0</v>
      </c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>
        <f>Table14[[#This Row],[Enrolment S.Y. 2025-2026 ]]*8</f>
        <v>0</v>
      </c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>
        <f>Table14[[#This Row],[Enrolment S.Y. 2025-2026 ]]*8</f>
        <v>0</v>
      </c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>
        <f>Table14[[#This Row],[Enrolment S.Y. 2025-2026 ]]*8</f>
        <v>0</v>
      </c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>
        <f>Table14[[#This Row],[Enrolment S.Y. 2025-2026 ]]*8</f>
        <v>0</v>
      </c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>
        <f>Table14[[#This Row],[Enrolment S.Y. 2025-2026 ]]*8</f>
        <v>0</v>
      </c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>
        <f>Table14[[#This Row],[Enrolment S.Y. 2025-2026 ]]*8</f>
        <v>0</v>
      </c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>
        <f>Table14[[#This Row],[Enrolment S.Y. 2025-2026 ]]*8</f>
        <v>0</v>
      </c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>
        <f>Table14[[#This Row],[Enrolment S.Y. 2025-2026 ]]*8</f>
        <v>0</v>
      </c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>
        <f>Table14[[#This Row],[Enrolment S.Y. 2025-2026 ]]*8</f>
        <v>0</v>
      </c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>
        <f>Table14[[#This Row],[Enrolment S.Y. 2025-2026 ]]*8</f>
        <v>0</v>
      </c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>
        <f>Table14[[#This Row],[Enrolment S.Y. 2025-2026 ]]*8</f>
        <v>0</v>
      </c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>
        <f>Table14[[#This Row],[Enrolment S.Y. 2025-2026 ]]*8</f>
        <v>0</v>
      </c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>
        <f>Table14[[#This Row],[Enrolment S.Y. 2025-2026 ]]*8</f>
        <v>0</v>
      </c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>
        <f>Table14[[#This Row],[Enrolment S.Y. 2025-2026 ]]*8</f>
        <v>0</v>
      </c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>
        <f>Table14[[#This Row],[Enrolment S.Y. 2025-2026 ]]*8</f>
        <v>0</v>
      </c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>
        <f>Table14[[#This Row],[Enrolment S.Y. 2025-2026 ]]*8</f>
        <v>0</v>
      </c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>
        <f>Table14[[#This Row],[Enrolment S.Y. 2025-2026 ]]*8</f>
        <v>0</v>
      </c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>
        <f>Table14[[#This Row],[Enrolment S.Y. 2025-2026 ]]*8</f>
        <v>0</v>
      </c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>
        <f>Table14[[#This Row],[Enrolment S.Y. 2025-2026 ]]*8</f>
        <v>0</v>
      </c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>
        <f>Table14[[#This Row],[Enrolment S.Y. 2025-2026 ]]*8</f>
        <v>0</v>
      </c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>
        <f>Table14[[#This Row],[Enrolment S.Y. 2025-2026 ]]*8</f>
        <v>0</v>
      </c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>
        <f>Table14[[#This Row],[Enrolment S.Y. 2025-2026 ]]*8</f>
        <v>0</v>
      </c>
      <c r="L26" s="5"/>
      <c r="M26" s="5"/>
      <c r="N26" s="5"/>
      <c r="O26" s="5"/>
      <c r="P26" s="5"/>
      <c r="Q26" s="5">
        <f>Table14[[#This Row],[Enrolment S.Y. 2025-2026 ]]*8</f>
        <v>0</v>
      </c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>
        <f>Table14[[#This Row],[Enrolment S.Y. 2025-2026 ]]*8</f>
        <v>0</v>
      </c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>
        <f>Table14[[#This Row],[Enrolment S.Y. 2025-2026 ]]*8</f>
        <v>0</v>
      </c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>
        <f>Table14[[#This Row],[Enrolment S.Y. 2025-2026 ]]*8</f>
        <v>0</v>
      </c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>
        <f>Table14[[#This Row],[Enrolment S.Y. 2025-2026 ]]*8</f>
        <v>0</v>
      </c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>
        <f>Table14[[#This Row],[Enrolment S.Y. 2025-2026 ]]*8</f>
        <v>0</v>
      </c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>
        <f>Table14[[#This Row],[Enrolment S.Y. 2025-2026 ]]*8</f>
        <v>0</v>
      </c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>
        <f>Table14[[#This Row],[Enrolment S.Y. 2025-2026 ]]*8</f>
        <v>0</v>
      </c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>
        <f>Table14[[#This Row],[Enrolment S.Y. 2025-2026 ]]*8</f>
        <v>0</v>
      </c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>
        <f>Table14[[#This Row],[Enrolment S.Y. 2025-2026 ]]*8</f>
        <v>0</v>
      </c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>
        <f>Table14[[#This Row],[Enrolment S.Y. 2025-2026 ]]*8</f>
        <v>0</v>
      </c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>
        <f>Table14[[#This Row],[Enrolment S.Y. 2025-2026 ]]*8</f>
        <v>0</v>
      </c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>
        <f>Table14[[#This Row],[Enrolment S.Y. 2025-2026 ]]*8</f>
        <v>0</v>
      </c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>
        <f>Table14[[#This Row],[Enrolment S.Y. 2025-2026 ]]*8</f>
        <v>0</v>
      </c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>
        <f>Table14[[#This Row],[Enrolment S.Y. 2025-2026 ]]*8</f>
        <v>0</v>
      </c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>
        <f>Table14[[#This Row],[Enrolment S.Y. 2025-2026 ]]*8</f>
        <v>0</v>
      </c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>
        <f>Table14[[#This Row],[Enrolment S.Y. 2025-2026 ]]*8</f>
        <v>0</v>
      </c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>
        <f>Table14[[#This Row],[Enrolment S.Y. 2025-2026 ]]*8</f>
        <v>0</v>
      </c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>
        <f>Table14[[#This Row],[Enrolment S.Y. 2025-2026 ]]*8</f>
        <v>0</v>
      </c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>
        <f>Table14[[#This Row],[Enrolment S.Y. 2025-2026 ]]*8</f>
        <v>0</v>
      </c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>
        <f>Table14[[#This Row],[Enrolment S.Y. 2025-2026 ]]*8</f>
        <v>0</v>
      </c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>
        <f>Table14[[#This Row],[Enrolment S.Y. 2025-2026 ]]*8</f>
        <v>0</v>
      </c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>
        <f>Table14[[#This Row],[Enrolment S.Y. 2025-2026 ]]*8</f>
        <v>0</v>
      </c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>
        <f>Table14[[#This Row],[Enrolment S.Y. 2025-2026 ]]*8</f>
        <v>0</v>
      </c>
      <c r="L38" s="5"/>
      <c r="M38" s="5"/>
      <c r="N38" s="5"/>
      <c r="O38" s="5"/>
      <c r="P38" s="5"/>
      <c r="Q38" s="5">
        <f>Table14[[#This Row],[Enrolment S.Y. 2025-2026 ]]*8</f>
        <v>0</v>
      </c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>
        <f>Table14[[#This Row],[Enrolment S.Y. 2025-2026 ]]*8</f>
        <v>0</v>
      </c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>
        <f>Table14[[#This Row],[Enrolment S.Y. 2025-2026 ]]*8</f>
        <v>0</v>
      </c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>
        <f>Table14[[#This Row],[Enrolment S.Y. 2025-2026 ]]*8</f>
        <v>0</v>
      </c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>
        <f>Table14[[#This Row],[Enrolment S.Y. 2025-2026 ]]*8</f>
        <v>0</v>
      </c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>
        <f>Table14[[#This Row],[Enrolment S.Y. 2025-2026 ]]*8</f>
        <v>0</v>
      </c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>
        <f>Table14[[#This Row],[Enrolment S.Y. 2025-2026 ]]*8</f>
        <v>0</v>
      </c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>
        <f>Table14[[#This Row],[Enrolment S.Y. 2025-2026 ]]*8</f>
        <v>0</v>
      </c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>
        <f>Table14[[#This Row],[Enrolment S.Y. 2025-2026 ]]*8</f>
        <v>0</v>
      </c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>
        <f>Table14[[#This Row],[Enrolment S.Y. 2025-2026 ]]*8</f>
        <v>0</v>
      </c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>
        <f>Table14[[#This Row],[Enrolment S.Y. 2025-2026 ]]*8</f>
        <v>0</v>
      </c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>
        <f>Table14[[#This Row],[Enrolment S.Y. 2025-2026 ]]*8</f>
        <v>0</v>
      </c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>
        <f>Table14[[#This Row],[Enrolment S.Y. 2025-2026 ]]*8</f>
        <v>0</v>
      </c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>
        <f>Table14[[#This Row],[Enrolment S.Y. 2025-2026 ]]*8</f>
        <v>0</v>
      </c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>
        <f>Table14[[#This Row],[Enrolment S.Y. 2025-2026 ]]*8</f>
        <v>0</v>
      </c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>
        <f>Table14[[#This Row],[Enrolment S.Y. 2025-2026 ]]*8</f>
        <v>0</v>
      </c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>
        <f>Table14[[#This Row],[Enrolment S.Y. 2025-2026 ]]*8</f>
        <v>0</v>
      </c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>
        <f>Table14[[#This Row],[Enrolment S.Y. 2025-2026 ]]*8</f>
        <v>0</v>
      </c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>
        <f>Table14[[#This Row],[Enrolment S.Y. 2025-2026 ]]*8</f>
        <v>0</v>
      </c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>
        <f>Table14[[#This Row],[Enrolment S.Y. 2025-2026 ]]*8</f>
        <v>0</v>
      </c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>
        <f>Table14[[#This Row],[Enrolment S.Y. 2025-2026 ]]*8</f>
        <v>0</v>
      </c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>
        <f>Table14[[#This Row],[Enrolment S.Y. 2025-2026 ]]*8</f>
        <v>0</v>
      </c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>
        <f>Table14[[#This Row],[Enrolment S.Y. 2025-2026 ]]*8</f>
        <v>0</v>
      </c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>
        <f>Table14[[#This Row],[Enrolment S.Y. 2025-2026 ]]*8</f>
        <v>0</v>
      </c>
      <c r="L50" s="5"/>
      <c r="M50" s="5"/>
      <c r="N50" s="5"/>
      <c r="O50" s="5"/>
      <c r="P50" s="5"/>
      <c r="Q50" s="5">
        <f>Table14[[#This Row],[Enrolment S.Y. 2025-2026 ]]*8</f>
        <v>0</v>
      </c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>
        <v>110</v>
      </c>
      <c r="D51" s="4">
        <f>Table14[[#This Row],[Enrolment S.Y. 2025-2026 ]]*8</f>
        <v>880</v>
      </c>
      <c r="E51" s="4">
        <v>24</v>
      </c>
      <c r="F51" s="1"/>
      <c r="G51" s="4" t="s">
        <v>56</v>
      </c>
      <c r="H51" s="4">
        <f t="shared" si="16"/>
        <v>856</v>
      </c>
      <c r="I51" s="4">
        <f t="shared" si="17"/>
        <v>0</v>
      </c>
      <c r="J51" s="4">
        <f>Table14[[#This Row],[Enrolment S.Y. 2025-2026 ]]*8</f>
        <v>880</v>
      </c>
      <c r="K51" s="4">
        <v>24</v>
      </c>
      <c r="L51" s="1"/>
      <c r="M51" s="4" t="s">
        <v>56</v>
      </c>
      <c r="N51" s="4">
        <f t="shared" ref="N51:N58" si="24">IF((J51-K51)&lt;0,0,(J51-K51))</f>
        <v>856</v>
      </c>
      <c r="O51" s="4">
        <f t="shared" si="15"/>
        <v>0</v>
      </c>
      <c r="P51" s="4">
        <f>Table14[[#This Row],[Enrolment S.Y. 2025-2026 ]]*8</f>
        <v>880</v>
      </c>
      <c r="Q51" s="4">
        <v>24</v>
      </c>
      <c r="R51" s="1"/>
      <c r="S51" s="4" t="s">
        <v>56</v>
      </c>
      <c r="T51" s="4">
        <f t="shared" ref="T51:T58" si="25">IF((P51-Q51)&lt;0,0,(P51-Q51))</f>
        <v>856</v>
      </c>
      <c r="U51" s="4">
        <f t="shared" si="11"/>
        <v>0</v>
      </c>
      <c r="V51" s="4">
        <f>Table14[[#This Row],[Enrolment S.Y. 2025-2026 ]]*8</f>
        <v>880</v>
      </c>
      <c r="W51" s="4">
        <v>24</v>
      </c>
      <c r="X51" s="1"/>
      <c r="Y51" s="4" t="s">
        <v>56</v>
      </c>
      <c r="Z51" s="4">
        <f t="shared" si="12"/>
        <v>856</v>
      </c>
      <c r="AA51" s="4">
        <f t="shared" si="13"/>
        <v>0</v>
      </c>
    </row>
    <row r="52" spans="1:27" ht="19.5">
      <c r="A52" s="1" t="s">
        <v>18</v>
      </c>
      <c r="B52" s="7" t="s">
        <v>21</v>
      </c>
      <c r="C52" s="1">
        <v>110</v>
      </c>
      <c r="D52" s="4">
        <f>Table14[[#This Row],[Enrolment S.Y. 2025-2026 ]]*8</f>
        <v>880</v>
      </c>
      <c r="E52" s="4">
        <v>11</v>
      </c>
      <c r="F52" s="1"/>
      <c r="G52" s="4" t="s">
        <v>56</v>
      </c>
      <c r="H52" s="4">
        <f t="shared" si="16"/>
        <v>869</v>
      </c>
      <c r="I52" s="4">
        <f t="shared" si="17"/>
        <v>0</v>
      </c>
      <c r="J52" s="4">
        <f>Table14[[#This Row],[Enrolment S.Y. 2025-2026 ]]*8</f>
        <v>880</v>
      </c>
      <c r="K52" s="4">
        <v>11</v>
      </c>
      <c r="L52" s="1"/>
      <c r="M52" s="4" t="s">
        <v>56</v>
      </c>
      <c r="N52" s="4">
        <f t="shared" si="24"/>
        <v>869</v>
      </c>
      <c r="O52" s="4">
        <f t="shared" si="15"/>
        <v>0</v>
      </c>
      <c r="P52" s="4">
        <f>Table14[[#This Row],[Enrolment S.Y. 2025-2026 ]]*8</f>
        <v>880</v>
      </c>
      <c r="Q52" s="4">
        <v>11</v>
      </c>
      <c r="R52" s="1"/>
      <c r="S52" s="4" t="s">
        <v>56</v>
      </c>
      <c r="T52" s="4">
        <f t="shared" si="25"/>
        <v>869</v>
      </c>
      <c r="U52" s="4">
        <f t="shared" si="11"/>
        <v>0</v>
      </c>
      <c r="V52" s="4">
        <f>Table14[[#This Row],[Enrolment S.Y. 2025-2026 ]]*8</f>
        <v>880</v>
      </c>
      <c r="W52" s="4">
        <v>11</v>
      </c>
      <c r="X52" s="1"/>
      <c r="Y52" s="4" t="s">
        <v>56</v>
      </c>
      <c r="Z52" s="4">
        <f t="shared" si="12"/>
        <v>869</v>
      </c>
      <c r="AA52" s="4">
        <f t="shared" si="13"/>
        <v>0</v>
      </c>
    </row>
    <row r="53" spans="1:27" ht="19.5">
      <c r="A53" s="1" t="s">
        <v>18</v>
      </c>
      <c r="B53" s="7" t="s">
        <v>22</v>
      </c>
      <c r="C53" s="1">
        <v>94</v>
      </c>
      <c r="D53" s="4">
        <f>Table14[[#This Row],[Enrolment S.Y. 2025-2026 ]]*8</f>
        <v>752</v>
      </c>
      <c r="E53" s="4">
        <v>5</v>
      </c>
      <c r="F53" s="1"/>
      <c r="G53" s="4" t="s">
        <v>56</v>
      </c>
      <c r="H53" s="4">
        <f t="shared" si="16"/>
        <v>747</v>
      </c>
      <c r="I53" s="4">
        <f t="shared" si="17"/>
        <v>0</v>
      </c>
      <c r="J53" s="4">
        <f>Table14[[#This Row],[Enrolment S.Y. 2025-2026 ]]*8</f>
        <v>752</v>
      </c>
      <c r="K53" s="4">
        <v>5</v>
      </c>
      <c r="L53" s="1"/>
      <c r="M53" s="4" t="s">
        <v>56</v>
      </c>
      <c r="N53" s="4">
        <f t="shared" si="24"/>
        <v>747</v>
      </c>
      <c r="O53" s="4">
        <f t="shared" si="15"/>
        <v>0</v>
      </c>
      <c r="P53" s="4">
        <f>Table14[[#This Row],[Enrolment S.Y. 2025-2026 ]]*8</f>
        <v>752</v>
      </c>
      <c r="Q53" s="4">
        <v>5</v>
      </c>
      <c r="R53" s="1"/>
      <c r="S53" s="4" t="s">
        <v>56</v>
      </c>
      <c r="T53" s="4">
        <f t="shared" si="25"/>
        <v>747</v>
      </c>
      <c r="U53" s="4">
        <f t="shared" si="11"/>
        <v>0</v>
      </c>
      <c r="V53" s="4">
        <f>Table14[[#This Row],[Enrolment S.Y. 2025-2026 ]]*8</f>
        <v>752</v>
      </c>
      <c r="W53" s="4">
        <v>5</v>
      </c>
      <c r="X53" s="1"/>
      <c r="Y53" s="4" t="s">
        <v>56</v>
      </c>
      <c r="Z53" s="4">
        <f t="shared" si="12"/>
        <v>747</v>
      </c>
      <c r="AA53" s="4">
        <f t="shared" si="13"/>
        <v>0</v>
      </c>
    </row>
    <row r="54" spans="1:27" s="5" customFormat="1" ht="19.5">
      <c r="A54" s="1" t="s">
        <v>18</v>
      </c>
      <c r="B54" s="7" t="s">
        <v>23</v>
      </c>
      <c r="C54" s="1">
        <v>0</v>
      </c>
      <c r="D54" s="4">
        <f>Table14[[#This Row],[Enrolment S.Y. 2025-2026 ]]*8</f>
        <v>0</v>
      </c>
      <c r="E54" s="4">
        <v>0</v>
      </c>
      <c r="F54" s="1"/>
      <c r="G54" s="4" t="s">
        <v>56</v>
      </c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>
        <v>0</v>
      </c>
      <c r="L54" s="1"/>
      <c r="M54" s="4" t="s">
        <v>56</v>
      </c>
      <c r="N54" s="4">
        <f t="shared" si="24"/>
        <v>0</v>
      </c>
      <c r="O54" s="4">
        <f t="shared" si="15"/>
        <v>0</v>
      </c>
      <c r="P54" s="4">
        <f>Table14[[#This Row],[Enrolment S.Y. 2025-2026 ]]*8</f>
        <v>0</v>
      </c>
      <c r="Q54" s="4">
        <v>0</v>
      </c>
      <c r="R54" s="1"/>
      <c r="S54" s="4" t="s">
        <v>56</v>
      </c>
      <c r="T54" s="4">
        <f t="shared" si="25"/>
        <v>0</v>
      </c>
      <c r="U54" s="4">
        <f t="shared" si="11"/>
        <v>0</v>
      </c>
      <c r="V54" s="4">
        <f>Table14[[#This Row],[Enrolment S.Y. 2025-2026 ]]*8</f>
        <v>0</v>
      </c>
      <c r="W54" s="4">
        <v>0</v>
      </c>
      <c r="X54" s="1"/>
      <c r="Y54" s="4" t="s">
        <v>56</v>
      </c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24</v>
      </c>
      <c r="C55" s="1">
        <v>110</v>
      </c>
      <c r="D55" s="4">
        <f>Table14[[#This Row],[Enrolment S.Y. 2025-2026 ]]*8</f>
        <v>880</v>
      </c>
      <c r="E55" s="4">
        <v>0</v>
      </c>
      <c r="F55" s="1"/>
      <c r="G55" s="4" t="s">
        <v>56</v>
      </c>
      <c r="H55" s="4">
        <f t="shared" si="16"/>
        <v>880</v>
      </c>
      <c r="I55" s="4">
        <f t="shared" si="17"/>
        <v>0</v>
      </c>
      <c r="J55" s="4">
        <f>Table14[[#This Row],[Enrolment S.Y. 2025-2026 ]]*8</f>
        <v>880</v>
      </c>
      <c r="K55" s="4">
        <v>0</v>
      </c>
      <c r="L55" s="1"/>
      <c r="M55" s="4" t="s">
        <v>56</v>
      </c>
      <c r="N55" s="4">
        <f t="shared" si="24"/>
        <v>880</v>
      </c>
      <c r="O55" s="4">
        <f t="shared" si="15"/>
        <v>0</v>
      </c>
      <c r="P55" s="4">
        <f>Table14[[#This Row],[Enrolment S.Y. 2025-2026 ]]*8</f>
        <v>880</v>
      </c>
      <c r="Q55" s="4">
        <v>0</v>
      </c>
      <c r="R55" s="1"/>
      <c r="S55" s="4" t="s">
        <v>56</v>
      </c>
      <c r="T55" s="4">
        <f t="shared" si="25"/>
        <v>880</v>
      </c>
      <c r="U55" s="4">
        <f t="shared" si="11"/>
        <v>0</v>
      </c>
      <c r="V55" s="4">
        <f>Table14[[#This Row],[Enrolment S.Y. 2025-2026 ]]*8</f>
        <v>880</v>
      </c>
      <c r="W55" s="4">
        <v>0</v>
      </c>
      <c r="X55" s="1"/>
      <c r="Y55" s="4" t="s">
        <v>56</v>
      </c>
      <c r="Z55" s="4">
        <f t="shared" si="12"/>
        <v>880</v>
      </c>
      <c r="AA55" s="4">
        <f t="shared" si="13"/>
        <v>0</v>
      </c>
    </row>
    <row r="56" spans="1:27" ht="38.25">
      <c r="A56" s="1" t="s">
        <v>18</v>
      </c>
      <c r="B56" s="7" t="s">
        <v>25</v>
      </c>
      <c r="C56" s="1">
        <v>110</v>
      </c>
      <c r="D56" s="4">
        <f>Table14[[#This Row],[Enrolment S.Y. 2025-2026 ]]*8</f>
        <v>880</v>
      </c>
      <c r="E56" s="4">
        <v>8</v>
      </c>
      <c r="F56" s="1"/>
      <c r="G56" s="4" t="s">
        <v>56</v>
      </c>
      <c r="H56" s="4">
        <f t="shared" si="16"/>
        <v>872</v>
      </c>
      <c r="I56" s="4">
        <f t="shared" si="17"/>
        <v>0</v>
      </c>
      <c r="J56" s="4">
        <f>Table14[[#This Row],[Enrolment S.Y. 2025-2026 ]]*8</f>
        <v>880</v>
      </c>
      <c r="K56" s="4">
        <v>8</v>
      </c>
      <c r="L56" s="1"/>
      <c r="M56" s="4" t="s">
        <v>56</v>
      </c>
      <c r="N56" s="4">
        <f t="shared" si="24"/>
        <v>872</v>
      </c>
      <c r="O56" s="4">
        <f t="shared" si="15"/>
        <v>0</v>
      </c>
      <c r="P56" s="4">
        <f>Table14[[#This Row],[Enrolment S.Y. 2025-2026 ]]*8</f>
        <v>880</v>
      </c>
      <c r="Q56" s="4">
        <v>8</v>
      </c>
      <c r="R56" s="1"/>
      <c r="S56" s="4" t="s">
        <v>56</v>
      </c>
      <c r="T56" s="4">
        <f t="shared" si="25"/>
        <v>872</v>
      </c>
      <c r="U56" s="4">
        <f t="shared" si="11"/>
        <v>0</v>
      </c>
      <c r="V56" s="4">
        <f>Table14[[#This Row],[Enrolment S.Y. 2025-2026 ]]*8</f>
        <v>880</v>
      </c>
      <c r="W56" s="4">
        <v>8</v>
      </c>
      <c r="X56" s="1"/>
      <c r="Y56" s="4" t="s">
        <v>56</v>
      </c>
      <c r="Z56" s="4">
        <f t="shared" si="12"/>
        <v>872</v>
      </c>
      <c r="AA56" s="4">
        <f t="shared" si="13"/>
        <v>0</v>
      </c>
    </row>
    <row r="57" spans="1:27" ht="57.75">
      <c r="A57" s="1" t="s">
        <v>18</v>
      </c>
      <c r="B57" s="7" t="s">
        <v>26</v>
      </c>
      <c r="C57" s="1">
        <v>94</v>
      </c>
      <c r="D57" s="4">
        <f>Table14[[#This Row],[Enrolment S.Y. 2025-2026 ]]*8</f>
        <v>752</v>
      </c>
      <c r="E57" s="4">
        <v>2</v>
      </c>
      <c r="F57" s="1"/>
      <c r="G57" s="4" t="s">
        <v>56</v>
      </c>
      <c r="H57" s="4">
        <f t="shared" si="16"/>
        <v>750</v>
      </c>
      <c r="I57" s="4">
        <f t="shared" si="17"/>
        <v>0</v>
      </c>
      <c r="J57" s="4">
        <f>Table14[[#This Row],[Enrolment S.Y. 2025-2026 ]]*8</f>
        <v>752</v>
      </c>
      <c r="K57" s="4">
        <v>2</v>
      </c>
      <c r="L57" s="1"/>
      <c r="M57" s="4" t="s">
        <v>56</v>
      </c>
      <c r="N57" s="4">
        <f t="shared" si="24"/>
        <v>750</v>
      </c>
      <c r="O57" s="4">
        <f t="shared" si="15"/>
        <v>0</v>
      </c>
      <c r="P57" s="4">
        <f>Table14[[#This Row],[Enrolment S.Y. 2025-2026 ]]*8</f>
        <v>752</v>
      </c>
      <c r="Q57" s="4">
        <v>2</v>
      </c>
      <c r="R57" s="1"/>
      <c r="S57" s="4" t="s">
        <v>56</v>
      </c>
      <c r="T57" s="4">
        <f t="shared" si="25"/>
        <v>750</v>
      </c>
      <c r="U57" s="4">
        <f t="shared" si="11"/>
        <v>0</v>
      </c>
      <c r="V57" s="4">
        <f>Table14[[#This Row],[Enrolment S.Y. 2025-2026 ]]*8</f>
        <v>752</v>
      </c>
      <c r="W57" s="4">
        <v>2</v>
      </c>
      <c r="X57" s="1"/>
      <c r="Y57" s="4" t="s">
        <v>56</v>
      </c>
      <c r="Z57" s="4">
        <f t="shared" si="12"/>
        <v>750</v>
      </c>
      <c r="AA57" s="4">
        <f t="shared" si="13"/>
        <v>0</v>
      </c>
    </row>
    <row r="58" spans="1:27" ht="38.25">
      <c r="A58" s="1" t="s">
        <v>18</v>
      </c>
      <c r="B58" s="7" t="s">
        <v>27</v>
      </c>
      <c r="C58" s="1">
        <v>110</v>
      </c>
      <c r="D58" s="4">
        <f>Table14[[#This Row],[Enrolment S.Y. 2025-2026 ]]*8</f>
        <v>880</v>
      </c>
      <c r="E58" s="4">
        <v>0</v>
      </c>
      <c r="F58" s="1"/>
      <c r="G58" s="4" t="s">
        <v>56</v>
      </c>
      <c r="H58" s="4">
        <f t="shared" si="16"/>
        <v>880</v>
      </c>
      <c r="I58" s="4">
        <f t="shared" si="17"/>
        <v>0</v>
      </c>
      <c r="J58" s="4">
        <f>Table14[[#This Row],[Enrolment S.Y. 2025-2026 ]]*8</f>
        <v>880</v>
      </c>
      <c r="K58" s="4">
        <v>0</v>
      </c>
      <c r="L58" s="1"/>
      <c r="M58" s="4" t="s">
        <v>56</v>
      </c>
      <c r="N58" s="4">
        <f t="shared" si="24"/>
        <v>880</v>
      </c>
      <c r="O58" s="4">
        <f t="shared" si="15"/>
        <v>0</v>
      </c>
      <c r="P58" s="4">
        <f>Table14[[#This Row],[Enrolment S.Y. 2025-2026 ]]*8</f>
        <v>880</v>
      </c>
      <c r="Q58" s="4">
        <v>0</v>
      </c>
      <c r="R58" s="1"/>
      <c r="S58" s="4" t="s">
        <v>56</v>
      </c>
      <c r="T58" s="4">
        <f t="shared" si="25"/>
        <v>880</v>
      </c>
      <c r="U58" s="4">
        <f t="shared" si="11"/>
        <v>0</v>
      </c>
      <c r="V58" s="4">
        <f>Table14[[#This Row],[Enrolment S.Y. 2025-2026 ]]*8</f>
        <v>880</v>
      </c>
      <c r="W58" s="4">
        <v>0</v>
      </c>
      <c r="X58" s="1"/>
      <c r="Y58" s="4" t="s">
        <v>56</v>
      </c>
      <c r="Z58" s="4">
        <f t="shared" si="12"/>
        <v>880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>
        <f>Table14[[#This Row],[Enrolment S.Y. 2025-2026 ]]*8</f>
        <v>0</v>
      </c>
      <c r="L59" s="5"/>
      <c r="M59" s="5"/>
      <c r="N59" s="5"/>
      <c r="O59" s="5"/>
      <c r="P59" s="5"/>
      <c r="Q59" s="5">
        <f>Table14[[#This Row],[Enrolment S.Y. 2025-2026 ]]*8</f>
        <v>0</v>
      </c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>
        <f>Table14[[#This Row],[Enrolment S.Y. 2025-2026 ]]*8</f>
        <v>0</v>
      </c>
      <c r="L60" s="5"/>
      <c r="M60" s="5"/>
      <c r="N60" s="5"/>
      <c r="O60" s="5"/>
      <c r="P60" s="5"/>
      <c r="Q60" s="5">
        <f>Table14[[#This Row],[Enrolment S.Y. 2025-2026 ]]*8</f>
        <v>0</v>
      </c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>
        <f>Table14[[#This Row],[Enrolment S.Y. 2025-2026 ]]*8</f>
        <v>0</v>
      </c>
      <c r="L61" s="5"/>
      <c r="M61" s="5"/>
      <c r="N61" s="5"/>
      <c r="O61" s="5"/>
      <c r="P61" s="5"/>
      <c r="Q61" s="5">
        <f>Table14[[#This Row],[Enrolment S.Y. 2025-2026 ]]*8</f>
        <v>0</v>
      </c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>
        <f>Table14[[#This Row],[Enrolment S.Y. 2025-2026 ]]*8</f>
        <v>0</v>
      </c>
      <c r="L62" s="5"/>
      <c r="M62" s="5"/>
      <c r="N62" s="5"/>
      <c r="O62" s="5"/>
      <c r="P62" s="5"/>
      <c r="Q62" s="5">
        <f>Table14[[#This Row],[Enrolment S.Y. 2025-2026 ]]*8</f>
        <v>0</v>
      </c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>
        <f>Table14[[#This Row],[Enrolment S.Y. 2025-2026 ]]*8</f>
        <v>0</v>
      </c>
      <c r="L63" s="5"/>
      <c r="M63" s="5"/>
      <c r="N63" s="5"/>
      <c r="O63" s="5"/>
      <c r="P63" s="5"/>
      <c r="Q63" s="5">
        <f>Table14[[#This Row],[Enrolment S.Y. 2025-2026 ]]*8</f>
        <v>0</v>
      </c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>
        <f>Table14[[#This Row],[Enrolment S.Y. 2025-2026 ]]*8</f>
        <v>0</v>
      </c>
      <c r="L64" s="5"/>
      <c r="M64" s="5"/>
      <c r="N64" s="5"/>
      <c r="O64" s="5"/>
      <c r="P64" s="5"/>
      <c r="Q64" s="5">
        <f>Table14[[#This Row],[Enrolment S.Y. 2025-2026 ]]*8</f>
        <v>0</v>
      </c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>
        <f>Table14[[#This Row],[Enrolment S.Y. 2025-2026 ]]*8</f>
        <v>0</v>
      </c>
      <c r="L65" s="5"/>
      <c r="M65" s="5"/>
      <c r="N65" s="5"/>
      <c r="O65" s="5"/>
      <c r="P65" s="5"/>
      <c r="Q65" s="5">
        <f>Table14[[#This Row],[Enrolment S.Y. 2025-2026 ]]*8</f>
        <v>0</v>
      </c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>
      <c r="K66" s="5">
        <f>Table14[[#This Row],[Enrolment S.Y. 2025-2026 ]]*8</f>
        <v>0</v>
      </c>
      <c r="Q66" s="5">
        <f>Table14[[#This Row],[Enrolment S.Y. 2025-2026 ]]*8</f>
        <v>0</v>
      </c>
    </row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>
        <f>Table14[[#This Row],[Enrolment S.Y. 2025-2026 ]]*8</f>
        <v>0</v>
      </c>
      <c r="L67" s="5"/>
      <c r="M67" s="5"/>
      <c r="N67" s="5"/>
      <c r="O67" s="5"/>
      <c r="P67" s="5"/>
      <c r="Q67" s="5">
        <f>Table14[[#This Row],[Enrolment S.Y. 2025-2026 ]]*8</f>
        <v>0</v>
      </c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>
        <f>Table14[[#This Row],[Enrolment S.Y. 2025-2026 ]]*8</f>
        <v>0</v>
      </c>
      <c r="L68" s="5"/>
      <c r="M68" s="5"/>
      <c r="N68" s="5"/>
      <c r="O68" s="5"/>
      <c r="P68" s="5"/>
      <c r="Q68" s="5">
        <f>Table14[[#This Row],[Enrolment S.Y. 2025-2026 ]]*8</f>
        <v>0</v>
      </c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>
        <f>Table14[[#This Row],[Enrolment S.Y. 2025-2026 ]]*8</f>
        <v>0</v>
      </c>
      <c r="L69" s="5"/>
      <c r="M69" s="5"/>
      <c r="N69" s="5"/>
      <c r="O69" s="5"/>
      <c r="P69" s="5"/>
      <c r="Q69" s="5">
        <f>Table14[[#This Row],[Enrolment S.Y. 2025-2026 ]]*8</f>
        <v>0</v>
      </c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>
        <f>Table14[[#This Row],[Enrolment S.Y. 2025-2026 ]]*8</f>
        <v>0</v>
      </c>
      <c r="L70" s="5"/>
      <c r="M70" s="5"/>
      <c r="N70" s="5"/>
      <c r="O70" s="5"/>
      <c r="P70" s="5"/>
      <c r="Q70" s="5">
        <f>Table14[[#This Row],[Enrolment S.Y. 2025-2026 ]]*8</f>
        <v>0</v>
      </c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>
        <f>Table14[[#This Row],[Enrolment S.Y. 2025-2026 ]]*8</f>
        <v>0</v>
      </c>
      <c r="L71" s="5"/>
      <c r="M71" s="5"/>
      <c r="N71" s="5"/>
      <c r="O71" s="5"/>
      <c r="P71" s="5"/>
      <c r="Q71" s="5">
        <f>Table14[[#This Row],[Enrolment S.Y. 2025-2026 ]]*8</f>
        <v>0</v>
      </c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>
        <f>Table14[[#This Row],[Enrolment S.Y. 2025-2026 ]]*8</f>
        <v>0</v>
      </c>
      <c r="L72" s="5"/>
      <c r="M72" s="5"/>
      <c r="N72" s="5"/>
      <c r="O72" s="5"/>
      <c r="P72" s="5"/>
      <c r="Q72" s="5">
        <f>Table14[[#This Row],[Enrolment S.Y. 2025-2026 ]]*8</f>
        <v>0</v>
      </c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>
        <f>Table14[[#This Row],[Enrolment S.Y. 2025-2026 ]]*8</f>
        <v>0</v>
      </c>
      <c r="L73" s="5"/>
      <c r="M73" s="5"/>
      <c r="N73" s="5"/>
      <c r="O73" s="5"/>
      <c r="P73" s="5"/>
      <c r="Q73" s="5">
        <f>Table14[[#This Row],[Enrolment S.Y. 2025-2026 ]]*8</f>
        <v>0</v>
      </c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>
        <f>Table14[[#This Row],[Enrolment S.Y. 2025-2026 ]]*8</f>
        <v>0</v>
      </c>
      <c r="L74" s="5"/>
      <c r="M74" s="5"/>
      <c r="N74" s="5"/>
      <c r="O74" s="5"/>
      <c r="P74" s="5"/>
      <c r="Q74" s="5">
        <f>Table14[[#This Row],[Enrolment S.Y. 2025-2026 ]]*8</f>
        <v>0</v>
      </c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>
        <f>Table14[[#This Row],[Enrolment S.Y. 2025-2026 ]]*8</f>
        <v>0</v>
      </c>
      <c r="L75" s="5"/>
      <c r="M75" s="5"/>
      <c r="N75" s="5"/>
      <c r="O75" s="5"/>
      <c r="P75" s="5"/>
      <c r="Q75" s="5">
        <f>Table14[[#This Row],[Enrolment S.Y. 2025-2026 ]]*8</f>
        <v>0</v>
      </c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>
        <f>Table14[[#This Row],[Enrolment S.Y. 2025-2026 ]]*8</f>
        <v>0</v>
      </c>
      <c r="L76" s="5"/>
      <c r="M76" s="5"/>
      <c r="N76" s="5"/>
      <c r="O76" s="5"/>
      <c r="P76" s="5"/>
      <c r="Q76" s="5">
        <f>Table14[[#This Row],[Enrolment S.Y. 2025-2026 ]]*8</f>
        <v>0</v>
      </c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N51:R58 T51:X58 N3:R13 N15:R25 N27:R37 P2:R2 D15:F25 D27:F37 D51:F58 N39:R49 V2:X2 T3:X13 Z3:AA13 H3:L13 T15:X25 Z15:AA25 H15:L25 T27:X37 Z27:AA37 H27:L37 T39:X49 Z39:AA49 H39:L49 Z51:AA58 D39:F49 H51:L58 D2:F13" name="LAS"/>
    <protectedRange sqref="G2:I2 M2:O2 S2:U2 Y2:AA2 G51:G58 M51:M58 S51:S58 Y51:Y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51:M58 S51:S58 G51:G58 M3:M13 G3:G13 Y3:Y13 S3:S13 S15:S25 M15:M25 G15:G25 Y15:Y25 Y27:Y37 S27:S37 M27:M37 G27:G37 G39:G49 Y39:Y49 S39:S49 M39:M49 Y51:Y58" xr:uid="{CBD486C7-A5DB-48F1-B496-5027CC51E830}">
      <formula1>"CO,RO,SDO,LGU,SCHOOL"</formula1>
    </dataValidation>
    <dataValidation type="list" allowBlank="1" showInputMessage="1" showErrorMessage="1" sqref="X3:X13 X15:X25 X27:X37 X39:X49 L3:L13 L15:L25 L27:L37 L39:L49 R3:R13 R15:R25 R27:R37 R39:R49 F3:F13 F15:F25 F27:F37 R51:R58 F51:F58 L51:L58 F39:F49 X51:X58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2026-04-07T05:54:01Z</dcterms:modified>
  <cp:category/>
  <cp:contentStatus/>
</cp:coreProperties>
</file>