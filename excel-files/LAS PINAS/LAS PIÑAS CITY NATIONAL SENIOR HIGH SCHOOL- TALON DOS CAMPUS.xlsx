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06" documentId="13_ncr:1_{BFB59F67-F0DC-4675-A682-EB0734A8026A}" xr6:coauthVersionLast="47" xr6:coauthVersionMax="47" xr10:uidLastSave="{4299F131-0424-42A8-8A61-DC128C20E210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3" i="4" l="1"/>
  <c r="X114" i="4"/>
  <c r="X115" i="4"/>
  <c r="X116" i="4"/>
  <c r="X117" i="4"/>
  <c r="X118" i="4"/>
  <c r="X119" i="4"/>
  <c r="X120" i="4"/>
  <c r="X121" i="4"/>
  <c r="X122" i="4"/>
  <c r="X123" i="4"/>
  <c r="X124" i="4"/>
  <c r="X125" i="4"/>
  <c r="X126" i="4"/>
  <c r="X127" i="4"/>
  <c r="X24" i="4"/>
  <c r="X25" i="4"/>
  <c r="X26" i="4"/>
  <c r="X27" i="4"/>
  <c r="X28" i="4"/>
  <c r="X29" i="4"/>
  <c r="X30" i="4"/>
  <c r="X31" i="4"/>
  <c r="X15" i="4"/>
  <c r="X16" i="4"/>
  <c r="X17" i="4"/>
  <c r="X18" i="4"/>
  <c r="X19" i="4"/>
  <c r="X20" i="4"/>
  <c r="X21" i="4"/>
  <c r="X6" i="4"/>
  <c r="X7" i="4"/>
  <c r="X8" i="4"/>
  <c r="X9" i="4"/>
  <c r="X10" i="4"/>
  <c r="X11" i="4"/>
  <c r="X12" i="4"/>
  <c r="R6" i="4"/>
  <c r="R7" i="4"/>
  <c r="R8" i="4"/>
  <c r="R9" i="4"/>
  <c r="R10" i="4"/>
  <c r="R11" i="4"/>
  <c r="R12" i="4"/>
  <c r="T127" i="4"/>
  <c r="R25" i="4"/>
  <c r="X94" i="4"/>
  <c r="X95" i="4"/>
  <c r="X96" i="4"/>
  <c r="X97" i="4"/>
  <c r="X98" i="4"/>
  <c r="X99" i="4"/>
  <c r="X100" i="4"/>
  <c r="X101" i="4"/>
  <c r="X84" i="4"/>
  <c r="X85" i="4"/>
  <c r="X86" i="4"/>
  <c r="X87" i="4"/>
  <c r="X88" i="4"/>
  <c r="X89" i="4"/>
  <c r="X90" i="4"/>
  <c r="X91" i="4"/>
  <c r="X74" i="4"/>
  <c r="X75" i="4"/>
  <c r="X76" i="4"/>
  <c r="X77" i="4"/>
  <c r="X78" i="4"/>
  <c r="X79" i="4"/>
  <c r="X80" i="4"/>
  <c r="X81" i="4"/>
  <c r="X64" i="4"/>
  <c r="X65" i="4"/>
  <c r="X66" i="4"/>
  <c r="X67" i="4"/>
  <c r="X68" i="4"/>
  <c r="X69" i="4"/>
  <c r="X70" i="4"/>
  <c r="X71" i="4"/>
  <c r="X54" i="4"/>
  <c r="X55" i="4"/>
  <c r="X56" i="4"/>
  <c r="X57" i="4"/>
  <c r="X58" i="4"/>
  <c r="X59" i="4"/>
  <c r="X60" i="4"/>
  <c r="X61" i="4"/>
  <c r="X44" i="4"/>
  <c r="X45" i="4"/>
  <c r="X46" i="4"/>
  <c r="X47" i="4"/>
  <c r="X48" i="4"/>
  <c r="X49" i="4"/>
  <c r="X50" i="4"/>
  <c r="X51" i="4"/>
  <c r="X34" i="4"/>
  <c r="X35" i="4"/>
  <c r="X36" i="4"/>
  <c r="X37" i="4"/>
  <c r="X38" i="4"/>
  <c r="X39" i="4"/>
  <c r="X40" i="4"/>
  <c r="X41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04" i="4"/>
  <c r="R94" i="4"/>
  <c r="R95" i="4"/>
  <c r="R96" i="4"/>
  <c r="R97" i="4"/>
  <c r="R98" i="4"/>
  <c r="R99" i="4"/>
  <c r="R100" i="4"/>
  <c r="R101" i="4"/>
  <c r="R84" i="4"/>
  <c r="R85" i="4"/>
  <c r="R86" i="4"/>
  <c r="R87" i="4"/>
  <c r="R88" i="4"/>
  <c r="R89" i="4"/>
  <c r="R90" i="4"/>
  <c r="R91" i="4"/>
  <c r="R74" i="4"/>
  <c r="R75" i="4"/>
  <c r="R76" i="4"/>
  <c r="R77" i="4"/>
  <c r="R78" i="4"/>
  <c r="R79" i="4"/>
  <c r="R80" i="4"/>
  <c r="R81" i="4"/>
  <c r="R64" i="4"/>
  <c r="R65" i="4"/>
  <c r="R66" i="4"/>
  <c r="R67" i="4"/>
  <c r="R68" i="4"/>
  <c r="R69" i="4"/>
  <c r="R70" i="4"/>
  <c r="R71" i="4"/>
  <c r="R54" i="4"/>
  <c r="R55" i="4"/>
  <c r="R56" i="4"/>
  <c r="R57" i="4"/>
  <c r="R58" i="4"/>
  <c r="R59" i="4"/>
  <c r="R60" i="4"/>
  <c r="R61" i="4"/>
  <c r="R44" i="4"/>
  <c r="R45" i="4"/>
  <c r="R46" i="4"/>
  <c r="R47" i="4"/>
  <c r="R48" i="4"/>
  <c r="R49" i="4"/>
  <c r="R50" i="4"/>
  <c r="R51" i="4"/>
  <c r="R34" i="4"/>
  <c r="R35" i="4"/>
  <c r="R36" i="4"/>
  <c r="R37" i="4"/>
  <c r="R38" i="4"/>
  <c r="R39" i="4"/>
  <c r="R40" i="4"/>
  <c r="R41" i="4"/>
  <c r="R24" i="4"/>
  <c r="R26" i="4"/>
  <c r="R27" i="4"/>
  <c r="R28" i="4"/>
  <c r="R29" i="4"/>
  <c r="R30" i="4"/>
  <c r="R31" i="4"/>
  <c r="R15" i="4"/>
  <c r="R16" i="4"/>
  <c r="R17" i="4"/>
  <c r="R18" i="4"/>
  <c r="R19" i="4"/>
  <c r="R20" i="4"/>
  <c r="R21" i="4"/>
  <c r="R5" i="4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4" i="5"/>
  <c r="Q105" i="5"/>
  <c r="Q106" i="5"/>
  <c r="Q107" i="5"/>
  <c r="Q108" i="5"/>
  <c r="Q109" i="5"/>
  <c r="Q110" i="5"/>
  <c r="Q111" i="5"/>
  <c r="Q112" i="5"/>
  <c r="Q113" i="5"/>
  <c r="Q114" i="5"/>
  <c r="Q123" i="5"/>
  <c r="Q124" i="5"/>
  <c r="Q125" i="5"/>
  <c r="Q126" i="5"/>
  <c r="Q127" i="5"/>
  <c r="Q128" i="5"/>
  <c r="Q129" i="5"/>
  <c r="Q130" i="5"/>
  <c r="Q131" i="5"/>
  <c r="Q132" i="5"/>
  <c r="Q133" i="5"/>
  <c r="Q134" i="5"/>
  <c r="Q135" i="5"/>
  <c r="Q136" i="5"/>
  <c r="Q137" i="5"/>
  <c r="Q138" i="5"/>
  <c r="Q139" i="5"/>
  <c r="Q140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X3" i="4"/>
  <c r="X4" i="4"/>
  <c r="X5" i="4"/>
  <c r="X13" i="4"/>
  <c r="X14" i="4"/>
  <c r="X22" i="4"/>
  <c r="X23" i="4"/>
  <c r="X32" i="4"/>
  <c r="X33" i="4"/>
  <c r="X42" i="4"/>
  <c r="X43" i="4"/>
  <c r="X52" i="4"/>
  <c r="X53" i="4"/>
  <c r="X62" i="4"/>
  <c r="X63" i="4"/>
  <c r="X72" i="4"/>
  <c r="X73" i="4"/>
  <c r="X82" i="4"/>
  <c r="X83" i="4"/>
  <c r="X92" i="4"/>
  <c r="X93" i="4"/>
  <c r="X102" i="4"/>
  <c r="X103" i="4"/>
  <c r="X104" i="4"/>
  <c r="X105" i="4"/>
  <c r="X106" i="4"/>
  <c r="X107" i="4"/>
  <c r="X108" i="4"/>
  <c r="X109" i="4"/>
  <c r="X110" i="4"/>
  <c r="X111" i="4"/>
  <c r="X112" i="4"/>
  <c r="R3" i="4"/>
  <c r="R4" i="4"/>
  <c r="R13" i="4"/>
  <c r="R14" i="4"/>
  <c r="R22" i="4"/>
  <c r="R23" i="4"/>
  <c r="R32" i="4"/>
  <c r="R33" i="4"/>
  <c r="R42" i="4"/>
  <c r="R43" i="4"/>
  <c r="R52" i="4"/>
  <c r="R53" i="4"/>
  <c r="R62" i="4"/>
  <c r="R63" i="4"/>
  <c r="R72" i="4"/>
  <c r="R73" i="4"/>
  <c r="R82" i="4"/>
  <c r="R83" i="4"/>
  <c r="R92" i="4"/>
  <c r="R93" i="4"/>
  <c r="R102" i="4"/>
  <c r="R103" i="4"/>
  <c r="R105" i="4"/>
  <c r="R106" i="4"/>
  <c r="R107" i="4"/>
  <c r="R108" i="4"/>
  <c r="R109" i="4"/>
  <c r="R110" i="4"/>
  <c r="R111" i="4"/>
  <c r="R112" i="4"/>
  <c r="L103" i="4"/>
  <c r="L104" i="4"/>
  <c r="L105" i="4"/>
  <c r="L106" i="4"/>
  <c r="L107" i="4"/>
  <c r="L108" i="4"/>
  <c r="L109" i="4"/>
  <c r="L110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P122" i="5"/>
  <c r="T122" i="5" s="1"/>
  <c r="J122" i="5"/>
  <c r="D122" i="5"/>
  <c r="I122" i="5" s="1"/>
  <c r="V121" i="5"/>
  <c r="Z121" i="5" s="1"/>
  <c r="P121" i="5"/>
  <c r="T121" i="5" s="1"/>
  <c r="J121" i="5"/>
  <c r="N121" i="5" s="1"/>
  <c r="D121" i="5"/>
  <c r="I121" i="5" s="1"/>
  <c r="V120" i="5"/>
  <c r="P120" i="5"/>
  <c r="J120" i="5"/>
  <c r="D120" i="5"/>
  <c r="I120" i="5" s="1"/>
  <c r="V119" i="5"/>
  <c r="Z119" i="5" s="1"/>
  <c r="P119" i="5"/>
  <c r="T119" i="5" s="1"/>
  <c r="J119" i="5"/>
  <c r="N119" i="5" s="1"/>
  <c r="D119" i="5"/>
  <c r="I119" i="5" s="1"/>
  <c r="V118" i="5"/>
  <c r="P118" i="5"/>
  <c r="J118" i="5"/>
  <c r="D118" i="5"/>
  <c r="I118" i="5" s="1"/>
  <c r="V117" i="5"/>
  <c r="Z117" i="5" s="1"/>
  <c r="P117" i="5"/>
  <c r="T117" i="5" s="1"/>
  <c r="J117" i="5"/>
  <c r="N117" i="5" s="1"/>
  <c r="D117" i="5"/>
  <c r="I117" i="5" s="1"/>
  <c r="V116" i="5"/>
  <c r="P116" i="5"/>
  <c r="J116" i="5"/>
  <c r="D116" i="5"/>
  <c r="I116" i="5" s="1"/>
  <c r="V115" i="5"/>
  <c r="Z115" i="5" s="1"/>
  <c r="P115" i="5"/>
  <c r="T115" i="5" s="1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T116" i="4" s="1"/>
  <c r="P117" i="4"/>
  <c r="P118" i="4"/>
  <c r="T118" i="4" s="1"/>
  <c r="P119" i="4"/>
  <c r="T119" i="4" s="1"/>
  <c r="P120" i="4"/>
  <c r="T120" i="4" s="1"/>
  <c r="P121" i="4"/>
  <c r="T121" i="4" s="1"/>
  <c r="P122" i="4"/>
  <c r="T122" i="4" s="1"/>
  <c r="P123" i="4"/>
  <c r="T123" i="4" s="1"/>
  <c r="P124" i="4"/>
  <c r="T124" i="4" s="1"/>
  <c r="P125" i="4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U125" i="4" l="1"/>
  <c r="T125" i="4"/>
  <c r="U117" i="4"/>
  <c r="T117" i="4"/>
  <c r="U116" i="5"/>
  <c r="T116" i="5"/>
  <c r="U118" i="5"/>
  <c r="T118" i="5"/>
  <c r="U120" i="5"/>
  <c r="T120" i="5"/>
  <c r="O116" i="5"/>
  <c r="N116" i="5"/>
  <c r="O118" i="5"/>
  <c r="N118" i="5"/>
  <c r="O120" i="5"/>
  <c r="N120" i="5"/>
  <c r="O122" i="5"/>
  <c r="N122" i="5"/>
  <c r="AA116" i="5"/>
  <c r="Z116" i="5"/>
  <c r="AA118" i="5"/>
  <c r="Z118" i="5"/>
  <c r="AA120" i="5"/>
  <c r="Z120" i="5"/>
  <c r="AA122" i="5"/>
  <c r="Z122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U116" i="4"/>
  <c r="T94" i="4"/>
  <c r="U94" i="4"/>
  <c r="T23" i="4"/>
  <c r="U23" i="4"/>
  <c r="U120" i="4"/>
  <c r="T49" i="4"/>
  <c r="U49" i="4"/>
  <c r="N11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U84" i="5"/>
  <c r="T84" i="5"/>
  <c r="U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O31" i="5"/>
  <c r="N31" i="5"/>
  <c r="O57" i="5"/>
  <c r="N57" i="5"/>
  <c r="O79" i="5"/>
  <c r="N79" i="5"/>
  <c r="Z83" i="5"/>
  <c r="U91" i="5"/>
  <c r="T91" i="5"/>
  <c r="U115" i="5"/>
  <c r="N81" i="5"/>
  <c r="N83" i="5"/>
  <c r="N92" i="5"/>
  <c r="N94" i="5"/>
  <c r="N96" i="5"/>
  <c r="N103" i="5"/>
  <c r="N105" i="5"/>
  <c r="N107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<sst xmlns="http://schemas.openxmlformats.org/spreadsheetml/2006/main" count="456" uniqueCount="92">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</sst>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>
      <calculatedColumnFormula>Table1[[#This Row],[Enrolment S.Y. 2025-2026 ]]*8</calculatedColumnFormula>
    </tableColumn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>
      <calculatedColumnFormula>Table1[[#This Row],[Enrolment S.Y. 2025-2026 ]]*8</calculatedColumnFormula>
    </tableColumn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>
      <calculatedColumnFormula>Table1[[#This Row],[Enrolment S.Y. 2025-2026 ]]*8</calculatedColumnFormula>
    </tableColumn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>
      <calculatedColumnFormula>Table14[[#This Row],[Enrolment S.Y. 2025-2026 ]]*8</calculatedColumnFormula>
    </tableColumn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>
      <calculatedColumnFormula>Table14[[#This Row],[Enrolment S.Y. 2025-2026 ]]*8</calculatedColumnFormula>
    </tableColumn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63" activePane="topRight" state="frozen"/>
      <selection pane="topRight" activeCell="E93" sqref="E9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t="15">
      <c r="C7" s="6"/>
      <c r="D7" s="6"/>
      <c r="E7" s="8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5">
      <c r="C13" s="6"/>
      <c r="D13" s="6"/>
      <c r="E13" s="8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110</v>
      </c>
      <c r="D91" s="1">
        <v>92</v>
      </c>
      <c r="E91" s="1">
        <v>2025</v>
      </c>
      <c r="F91" s="5" t="s">
        <v>25</v>
      </c>
      <c r="G91" s="3">
        <f t="shared" ref="G91:G98" si="18">IF((C91-D91)&lt;0,0,C91-D91)</f>
        <v>18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26</v>
      </c>
      <c r="C92" s="1">
        <v>110</v>
      </c>
      <c r="D92" s="1"/>
      <c r="E92" s="1"/>
      <c r="F92" s="5"/>
      <c r="G92" s="3">
        <f t="shared" si="18"/>
        <v>110</v>
      </c>
      <c r="H92" s="4">
        <f t="shared" si="19"/>
        <v>0</v>
      </c>
    </row>
    <row r="93" spans="1:8" ht="27.75" customHeight="1">
      <c r="A93" s="1" t="s">
        <v>23</v>
      </c>
      <c r="B93" s="9" t="s">
        <v>27</v>
      </c>
      <c r="C93" s="1">
        <v>94</v>
      </c>
      <c r="D93" s="1">
        <v>86</v>
      </c>
      <c r="E93" s="1">
        <v>2025</v>
      </c>
      <c r="F93" s="5" t="s">
        <v>25</v>
      </c>
      <c r="G93" s="3">
        <f t="shared" si="18"/>
        <v>8</v>
      </c>
      <c r="H93" s="4">
        <f t="shared" si="19"/>
        <v>0</v>
      </c>
    </row>
    <row r="94" spans="1:8" ht="27.75" customHeight="1">
      <c r="A94" s="1" t="s">
        <v>23</v>
      </c>
      <c r="B94" s="9" t="s">
        <v>28</v>
      </c>
      <c r="C94" s="1">
        <v>0</v>
      </c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29</v>
      </c>
      <c r="C95" s="1">
        <v>110</v>
      </c>
      <c r="D95" s="1"/>
      <c r="E95" s="1"/>
      <c r="F95" s="5"/>
      <c r="G95" s="3">
        <f t="shared" si="18"/>
        <v>110</v>
      </c>
      <c r="H95" s="4">
        <f t="shared" si="19"/>
        <v>0</v>
      </c>
    </row>
    <row r="96" spans="1:8" ht="38.25" customHeight="1">
      <c r="A96" s="1" t="s">
        <v>23</v>
      </c>
      <c r="B96" s="9" t="s">
        <v>30</v>
      </c>
      <c r="C96" s="1">
        <v>110</v>
      </c>
      <c r="D96" s="1">
        <v>90</v>
      </c>
      <c r="E96" s="1"/>
      <c r="F96" s="5" t="s">
        <v>25</v>
      </c>
      <c r="G96" s="3">
        <f t="shared" si="18"/>
        <v>20</v>
      </c>
      <c r="H96" s="4">
        <f t="shared" si="19"/>
        <v>0</v>
      </c>
    </row>
    <row r="97" spans="1:8" ht="27.75" customHeight="1">
      <c r="A97" s="1" t="s">
        <v>23</v>
      </c>
      <c r="B97" s="9" t="s">
        <v>31</v>
      </c>
      <c r="C97" s="1">
        <v>94</v>
      </c>
      <c r="D97" s="1">
        <v>84</v>
      </c>
      <c r="E97" s="1">
        <v>2025</v>
      </c>
      <c r="F97" s="5" t="s">
        <v>25</v>
      </c>
      <c r="G97" s="3">
        <f t="shared" si="18"/>
        <v>10</v>
      </c>
      <c r="H97" s="4">
        <f t="shared" si="19"/>
        <v>0</v>
      </c>
    </row>
    <row r="98" spans="1:8" ht="47.25" customHeight="1">
      <c r="A98" s="1" t="s">
        <v>23</v>
      </c>
      <c r="B98" s="9" t="s">
        <v>32</v>
      </c>
      <c r="C98" s="1">
        <v>110</v>
      </c>
      <c r="D98" s="1">
        <v>90</v>
      </c>
      <c r="E98" s="1">
        <v>2025</v>
      </c>
      <c r="F98" s="5" t="s">
        <v>25</v>
      </c>
      <c r="G98" s="3">
        <f t="shared" si="18"/>
        <v>20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2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41:E49 E31:E39 E21:E29 E14:E19 E2:E6 E8:E12 E51:E59 E61:E69 E71:E79 E81:E89 E94:E96 E97:E98 E91 E93" xr:uid="{A64A31BF-5E6D-4F52-89AF-C32C90AD395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R115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>
        <f>Table1[[#This Row],[Enrolment S.Y. 2025-2026 ]]*8</f>
        <v>0</v>
      </c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>
        <f>Table1[[#This Row],[Enrolment S.Y. 2025-2026 ]]*8</f>
        <v>0</v>
      </c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5">
      <c r="J4" s="13"/>
      <c r="N4" s="13"/>
      <c r="O4" s="13"/>
      <c r="P4" s="13"/>
      <c r="R4" s="7">
        <f>Table1[[#This Row],[Enrolment S.Y. 2025-2026 ]]*8</f>
        <v>0</v>
      </c>
      <c r="S4" s="5"/>
      <c r="T4" s="13"/>
      <c r="U4" s="13"/>
      <c r="V4" s="13"/>
      <c r="X4" s="7">
        <f>Table1[[#This Row],[Enrolment S.Y. 2025-2026 ]]*8</f>
        <v>0</v>
      </c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32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>
        <f>Table1[[#This Row],[Enrolment S.Y. 2025-2026 ]]*8</f>
        <v>0</v>
      </c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>
        <f>Table1[[#This Row],[Enrolment S.Y. 2025-2026 ]]*8</f>
        <v>0</v>
      </c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32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>
        <f>Table1[[#This Row],[Enrolment S.Y. 2025-2026 ]]*8</f>
        <v>0</v>
      </c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>
        <f>Table1[[#This Row],[Enrolment S.Y. 2025-2026 ]]*8</f>
        <v>0</v>
      </c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32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>
        <f>Table1[[#This Row],[Enrolment S.Y. 2025-2026 ]]*8</f>
        <v>0</v>
      </c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>
        <f>Table1[[#This Row],[Enrolment S.Y. 2025-2026 ]]*8</f>
        <v>0</v>
      </c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32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>
        <f>Table1[[#This Row],[Enrolment S.Y. 2025-2026 ]]*8</f>
        <v>0</v>
      </c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>
        <f>Table1[[#This Row],[Enrolment S.Y. 2025-2026 ]]*8</f>
        <v>0</v>
      </c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32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>
        <f>Table1[[#This Row],[Enrolment S.Y. 2025-2026 ]]*8</f>
        <v>0</v>
      </c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>
        <f>Table1[[#This Row],[Enrolment S.Y. 2025-2026 ]]*8</f>
        <v>0</v>
      </c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32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>
        <f>Table1[[#This Row],[Enrolment S.Y. 2025-2026 ]]*8</f>
        <v>0</v>
      </c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>
        <f>Table1[[#This Row],[Enrolment S.Y. 2025-2026 ]]*8</f>
        <v>0</v>
      </c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32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>
        <f>Table1[[#This Row],[Enrolment S.Y. 2025-2026 ]]*8</f>
        <v>0</v>
      </c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>
        <f>Table1[[#This Row],[Enrolment S.Y. 2025-2026 ]]*8</f>
        <v>0</v>
      </c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32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>
        <f>Table1[[#This Row],[Enrolment S.Y. 2025-2026 ]]*8</f>
        <v>0</v>
      </c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>
        <f>Table1[[#This Row],[Enrolment S.Y. 2025-2026 ]]*8</f>
        <v>0</v>
      </c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R13" s="7">
        <f>Table1[[#This Row],[Enrolment S.Y. 2025-2026 ]]*8</f>
        <v>0</v>
      </c>
      <c r="S13" s="5"/>
      <c r="T13" s="13"/>
      <c r="U13" s="13"/>
      <c r="V13" s="13"/>
      <c r="X13" s="7">
        <f>Table1[[#This Row],[Enrolment S.Y. 2025-2026 ]]*8</f>
        <v>0</v>
      </c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32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>
        <f>Table1[[#This Row],[Enrolment S.Y. 2025-2026 ]]*8</f>
        <v>0</v>
      </c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>
        <f>Table1[[#This Row],[Enrolment S.Y. 2025-2026 ]]*8</f>
        <v>0</v>
      </c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32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>
        <f>Table1[[#This Row],[Enrolment S.Y. 2025-2026 ]]*8</f>
        <v>0</v>
      </c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>
        <f>Table1[[#This Row],[Enrolment S.Y. 2025-2026 ]]*8</f>
        <v>0</v>
      </c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32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>
        <f>Table1[[#This Row],[Enrolment S.Y. 2025-2026 ]]*8</f>
        <v>0</v>
      </c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>
        <f>Table1[[#This Row],[Enrolment S.Y. 2025-2026 ]]*8</f>
        <v>0</v>
      </c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32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>
        <f>Table1[[#This Row],[Enrolment S.Y. 2025-2026 ]]*8</f>
        <v>0</v>
      </c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>
        <f>Table1[[#This Row],[Enrolment S.Y. 2025-2026 ]]*8</f>
        <v>0</v>
      </c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32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>
        <f>Table1[[#This Row],[Enrolment S.Y. 2025-2026 ]]*8</f>
        <v>0</v>
      </c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>
        <f>Table1[[#This Row],[Enrolment S.Y. 2025-2026 ]]*8</f>
        <v>0</v>
      </c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32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>
        <f>Table1[[#This Row],[Enrolment S.Y. 2025-2026 ]]*8</f>
        <v>0</v>
      </c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>
        <f>Table1[[#This Row],[Enrolment S.Y. 2025-2026 ]]*8</f>
        <v>0</v>
      </c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32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>
        <f>Table1[[#This Row],[Enrolment S.Y. 2025-2026 ]]*8</f>
        <v>0</v>
      </c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>
        <f>Table1[[#This Row],[Enrolment S.Y. 2025-2026 ]]*8</f>
        <v>0</v>
      </c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32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>
        <f>Table1[[#This Row],[Enrolment S.Y. 2025-2026 ]]*8</f>
        <v>0</v>
      </c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>
        <f>Table1[[#This Row],[Enrolment S.Y. 2025-2026 ]]*8</f>
        <v>0</v>
      </c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R22" s="7">
        <f>Table1[[#This Row],[Enrolment S.Y. 2025-2026 ]]*8</f>
        <v>0</v>
      </c>
      <c r="S22" s="5"/>
      <c r="T22" s="13"/>
      <c r="U22" s="13"/>
      <c r="V22" s="13"/>
      <c r="X22" s="7">
        <f>Table1[[#This Row],[Enrolment S.Y. 2025-2026 ]]*8</f>
        <v>0</v>
      </c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32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>
        <f>Table1[[#This Row],[Enrolment S.Y. 2025-2026 ]]*8</f>
        <v>0</v>
      </c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>
        <f>Table1[[#This Row],[Enrolment S.Y. 2025-2026 ]]*8</f>
        <v>0</v>
      </c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32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>
        <f>Table1[[#This Row],[Enrolment S.Y. 2025-2026 ]]*8</f>
        <v>0</v>
      </c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>
        <f>Table1[[#This Row],[Enrolment S.Y. 2025-2026 ]]*8</f>
        <v>0</v>
      </c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32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>
        <f>Table1[[#This Row],[Enrolment S.Y. 2025-2026 ]]*8</f>
        <v>0</v>
      </c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>
        <f>Table1[[#This Row],[Enrolment S.Y. 2025-2026 ]]*8</f>
        <v>0</v>
      </c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32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>
        <f>Table1[[#This Row],[Enrolment S.Y. 2025-2026 ]]*8</f>
        <v>0</v>
      </c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>
        <f>Table1[[#This Row],[Enrolment S.Y. 2025-2026 ]]*8</f>
        <v>0</v>
      </c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32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>
        <f>Table1[[#This Row],[Enrolment S.Y. 2025-2026 ]]*8</f>
        <v>0</v>
      </c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>
        <f>Table1[[#This Row],[Enrolment S.Y. 2025-2026 ]]*8</f>
        <v>0</v>
      </c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32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>
        <f>Table1[[#This Row],[Enrolment S.Y. 2025-2026 ]]*8</f>
        <v>0</v>
      </c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>
        <f>Table1[[#This Row],[Enrolment S.Y. 2025-2026 ]]*8</f>
        <v>0</v>
      </c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32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>
        <f>Table1[[#This Row],[Enrolment S.Y. 2025-2026 ]]*8</f>
        <v>0</v>
      </c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>
        <f>Table1[[#This Row],[Enrolment S.Y. 2025-2026 ]]*8</f>
        <v>0</v>
      </c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32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>
        <f>Table1[[#This Row],[Enrolment S.Y. 2025-2026 ]]*8</f>
        <v>0</v>
      </c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>
        <f>Table1[[#This Row],[Enrolment S.Y. 2025-2026 ]]*8</f>
        <v>0</v>
      </c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32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>
        <f>Table1[[#This Row],[Enrolment S.Y. 2025-2026 ]]*8</f>
        <v>0</v>
      </c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>
        <f>Table1[[#This Row],[Enrolment S.Y. 2025-2026 ]]*8</f>
        <v>0</v>
      </c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R32" s="7">
        <f>Table1[[#This Row],[Enrolment S.Y. 2025-2026 ]]*8</f>
        <v>0</v>
      </c>
      <c r="S32" s="5"/>
      <c r="T32" s="13"/>
      <c r="U32" s="13"/>
      <c r="V32" s="13"/>
      <c r="X32" s="7">
        <f>Table1[[#This Row],[Enrolment S.Y. 2025-2026 ]]*8</f>
        <v>0</v>
      </c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32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>
        <f>Table1[[#This Row],[Enrolment S.Y. 2025-2026 ]]*8</f>
        <v>0</v>
      </c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>
        <f>Table1[[#This Row],[Enrolment S.Y. 2025-2026 ]]*8</f>
        <v>0</v>
      </c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32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>
        <f>Table1[[#This Row],[Enrolment S.Y. 2025-2026 ]]*8</f>
        <v>0</v>
      </c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>
        <f>Table1[[#This Row],[Enrolment S.Y. 2025-2026 ]]*8</f>
        <v>0</v>
      </c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32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>
        <f>Table1[[#This Row],[Enrolment S.Y. 2025-2026 ]]*8</f>
        <v>0</v>
      </c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>
        <f>Table1[[#This Row],[Enrolment S.Y. 2025-2026 ]]*8</f>
        <v>0</v>
      </c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32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>
        <f>Table1[[#This Row],[Enrolment S.Y. 2025-2026 ]]*8</f>
        <v>0</v>
      </c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>
        <f>Table1[[#This Row],[Enrolment S.Y. 2025-2026 ]]*8</f>
        <v>0</v>
      </c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32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>
        <f>Table1[[#This Row],[Enrolment S.Y. 2025-2026 ]]*8</f>
        <v>0</v>
      </c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>
        <f>Table1[[#This Row],[Enrolment S.Y. 2025-2026 ]]*8</f>
        <v>0</v>
      </c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32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>
        <f>Table1[[#This Row],[Enrolment S.Y. 2025-2026 ]]*8</f>
        <v>0</v>
      </c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>
        <f>Table1[[#This Row],[Enrolment S.Y. 2025-2026 ]]*8</f>
        <v>0</v>
      </c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32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>
        <f>Table1[[#This Row],[Enrolment S.Y. 2025-2026 ]]*8</f>
        <v>0</v>
      </c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>
        <f>Table1[[#This Row],[Enrolment S.Y. 2025-2026 ]]*8</f>
        <v>0</v>
      </c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32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>
        <f>Table1[[#This Row],[Enrolment S.Y. 2025-2026 ]]*8</f>
        <v>0</v>
      </c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>
        <f>Table1[[#This Row],[Enrolment S.Y. 2025-2026 ]]*8</f>
        <v>0</v>
      </c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32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>
        <f>Table1[[#This Row],[Enrolment S.Y. 2025-2026 ]]*8</f>
        <v>0</v>
      </c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>
        <f>Table1[[#This Row],[Enrolment S.Y. 2025-2026 ]]*8</f>
        <v>0</v>
      </c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R42" s="7">
        <f>Table1[[#This Row],[Enrolment S.Y. 2025-2026 ]]*8</f>
        <v>0</v>
      </c>
      <c r="S42" s="5"/>
      <c r="T42" s="13"/>
      <c r="U42" s="13"/>
      <c r="V42" s="13"/>
      <c r="X42" s="7">
        <f>Table1[[#This Row],[Enrolment S.Y. 2025-2026 ]]*8</f>
        <v>0</v>
      </c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32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>
        <f>Table1[[#This Row],[Enrolment S.Y. 2025-2026 ]]*8</f>
        <v>0</v>
      </c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>
        <f>Table1[[#This Row],[Enrolment S.Y. 2025-2026 ]]*8</f>
        <v>0</v>
      </c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32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>
        <f>Table1[[#This Row],[Enrolment S.Y. 2025-2026 ]]*8</f>
        <v>0</v>
      </c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>
        <f>Table1[[#This Row],[Enrolment S.Y. 2025-2026 ]]*8</f>
        <v>0</v>
      </c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32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>
        <f>Table1[[#This Row],[Enrolment S.Y. 2025-2026 ]]*8</f>
        <v>0</v>
      </c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>
        <f>Table1[[#This Row],[Enrolment S.Y. 2025-2026 ]]*8</f>
        <v>0</v>
      </c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32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>
        <f>Table1[[#This Row],[Enrolment S.Y. 2025-2026 ]]*8</f>
        <v>0</v>
      </c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>
        <f>Table1[[#This Row],[Enrolment S.Y. 2025-2026 ]]*8</f>
        <v>0</v>
      </c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32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>
        <f>Table1[[#This Row],[Enrolment S.Y. 2025-2026 ]]*8</f>
        <v>0</v>
      </c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>
        <f>Table1[[#This Row],[Enrolment S.Y. 2025-2026 ]]*8</f>
        <v>0</v>
      </c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32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>
        <f>Table1[[#This Row],[Enrolment S.Y. 2025-2026 ]]*8</f>
        <v>0</v>
      </c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>
        <f>Table1[[#This Row],[Enrolment S.Y. 2025-2026 ]]*8</f>
        <v>0</v>
      </c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32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>
        <f>Table1[[#This Row],[Enrolment S.Y. 2025-2026 ]]*8</f>
        <v>0</v>
      </c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>
        <f>Table1[[#This Row],[Enrolment S.Y. 2025-2026 ]]*8</f>
        <v>0</v>
      </c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32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>
        <f>Table1[[#This Row],[Enrolment S.Y. 2025-2026 ]]*8</f>
        <v>0</v>
      </c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>
        <f>Table1[[#This Row],[Enrolment S.Y. 2025-2026 ]]*8</f>
        <v>0</v>
      </c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32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>
        <f>Table1[[#This Row],[Enrolment S.Y. 2025-2026 ]]*8</f>
        <v>0</v>
      </c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>
        <f>Table1[[#This Row],[Enrolment S.Y. 2025-2026 ]]*8</f>
        <v>0</v>
      </c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R52" s="7">
        <f>Table1[[#This Row],[Enrolment S.Y. 2025-2026 ]]*8</f>
        <v>0</v>
      </c>
      <c r="S52" s="5"/>
      <c r="T52" s="13"/>
      <c r="U52" s="13"/>
      <c r="V52" s="13"/>
      <c r="X52" s="7">
        <f>Table1[[#This Row],[Enrolment S.Y. 2025-2026 ]]*8</f>
        <v>0</v>
      </c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32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>
        <f>Table1[[#This Row],[Enrolment S.Y. 2025-2026 ]]*8</f>
        <v>0</v>
      </c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>
        <f>Table1[[#This Row],[Enrolment S.Y. 2025-2026 ]]*8</f>
        <v>0</v>
      </c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32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>
        <f>Table1[[#This Row],[Enrolment S.Y. 2025-2026 ]]*8</f>
        <v>0</v>
      </c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>
        <f>Table1[[#This Row],[Enrolment S.Y. 2025-2026 ]]*8</f>
        <v>0</v>
      </c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32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>
        <f>Table1[[#This Row],[Enrolment S.Y. 2025-2026 ]]*8</f>
        <v>0</v>
      </c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>
        <f>Table1[[#This Row],[Enrolment S.Y. 2025-2026 ]]*8</f>
        <v>0</v>
      </c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32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>
        <f>Table1[[#This Row],[Enrolment S.Y. 2025-2026 ]]*8</f>
        <v>0</v>
      </c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>
        <f>Table1[[#This Row],[Enrolment S.Y. 2025-2026 ]]*8</f>
        <v>0</v>
      </c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32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>
        <f>Table1[[#This Row],[Enrolment S.Y. 2025-2026 ]]*8</f>
        <v>0</v>
      </c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>
        <f>Table1[[#This Row],[Enrolment S.Y. 2025-2026 ]]*8</f>
        <v>0</v>
      </c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32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>
        <f>Table1[[#This Row],[Enrolment S.Y. 2025-2026 ]]*8</f>
        <v>0</v>
      </c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>
        <f>Table1[[#This Row],[Enrolment S.Y. 2025-2026 ]]*8</f>
        <v>0</v>
      </c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32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>
        <f>Table1[[#This Row],[Enrolment S.Y. 2025-2026 ]]*8</f>
        <v>0</v>
      </c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>
        <f>Table1[[#This Row],[Enrolment S.Y. 2025-2026 ]]*8</f>
        <v>0</v>
      </c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32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>
        <f>Table1[[#This Row],[Enrolment S.Y. 2025-2026 ]]*8</f>
        <v>0</v>
      </c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>
        <f>Table1[[#This Row],[Enrolment S.Y. 2025-2026 ]]*8</f>
        <v>0</v>
      </c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32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>
        <f>Table1[[#This Row],[Enrolment S.Y. 2025-2026 ]]*8</f>
        <v>0</v>
      </c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>
        <f>Table1[[#This Row],[Enrolment S.Y. 2025-2026 ]]*8</f>
        <v>0</v>
      </c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R62" s="7">
        <f>Table1[[#This Row],[Enrolment S.Y. 2025-2026 ]]*8</f>
        <v>0</v>
      </c>
      <c r="S62" s="5"/>
      <c r="T62" s="13"/>
      <c r="U62" s="13"/>
      <c r="V62" s="13"/>
      <c r="X62" s="7">
        <f>Table1[[#This Row],[Enrolment S.Y. 2025-2026 ]]*8</f>
        <v>0</v>
      </c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>
        <f>Table1[[#This Row],[Enrolment S.Y. 2025-2026 ]]*8</f>
        <v>0</v>
      </c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>
        <f>Table1[[#This Row],[Enrolment S.Y. 2025-2026 ]]*8</f>
        <v>0</v>
      </c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>
        <f>Table1[[#This Row],[Enrolment S.Y. 2025-2026 ]]*8</f>
        <v>0</v>
      </c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>
        <f>Table1[[#This Row],[Enrolment S.Y. 2025-2026 ]]*8</f>
        <v>0</v>
      </c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>
        <f>Table1[[#This Row],[Enrolment S.Y. 2025-2026 ]]*8</f>
        <v>0</v>
      </c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>
        <f>Table1[[#This Row],[Enrolment S.Y. 2025-2026 ]]*8</f>
        <v>0</v>
      </c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>
        <f>Table1[[#This Row],[Enrolment S.Y. 2025-2026 ]]*8</f>
        <v>0</v>
      </c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>
        <f>Table1[[#This Row],[Enrolment S.Y. 2025-2026 ]]*8</f>
        <v>0</v>
      </c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>
        <f>Table1[[#This Row],[Enrolment S.Y. 2025-2026 ]]*8</f>
        <v>0</v>
      </c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>
        <f>Table1[[#This Row],[Enrolment S.Y. 2025-2026 ]]*8</f>
        <v>0</v>
      </c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>
        <f>Table1[[#This Row],[Enrolment S.Y. 2025-2026 ]]*8</f>
        <v>0</v>
      </c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>
        <f>Table1[[#This Row],[Enrolment S.Y. 2025-2026 ]]*8</f>
        <v>0</v>
      </c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>
        <f>Table1[[#This Row],[Enrolment S.Y. 2025-2026 ]]*8</f>
        <v>0</v>
      </c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>
        <f>Table1[[#This Row],[Enrolment S.Y. 2025-2026 ]]*8</f>
        <v>0</v>
      </c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>
        <f>Table1[[#This Row],[Enrolment S.Y. 2025-2026 ]]*8</f>
        <v>0</v>
      </c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>
        <f>Table1[[#This Row],[Enrolment S.Y. 2025-2026 ]]*8</f>
        <v>0</v>
      </c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>
        <f>Table1[[#This Row],[Enrolment S.Y. 2025-2026 ]]*8</f>
        <v>0</v>
      </c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>
        <f>Table1[[#This Row],[Enrolment S.Y. 2025-2026 ]]*8</f>
        <v>0</v>
      </c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R72" s="7">
        <f>Table1[[#This Row],[Enrolment S.Y. 2025-2026 ]]*8</f>
        <v>0</v>
      </c>
      <c r="S72" s="5"/>
      <c r="T72" s="13"/>
      <c r="U72" s="13"/>
      <c r="V72" s="13"/>
      <c r="X72" s="7">
        <f>Table1[[#This Row],[Enrolment S.Y. 2025-2026 ]]*8</f>
        <v>0</v>
      </c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>
        <f>Table1[[#This Row],[Enrolment S.Y. 2025-2026 ]]*8</f>
        <v>0</v>
      </c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>
        <f>Table1[[#This Row],[Enrolment S.Y. 2025-2026 ]]*8</f>
        <v>0</v>
      </c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>
        <f>Table1[[#This Row],[Enrolment S.Y. 2025-2026 ]]*8</f>
        <v>0</v>
      </c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>
        <f>Table1[[#This Row],[Enrolment S.Y. 2025-2026 ]]*8</f>
        <v>0</v>
      </c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>
        <f>Table1[[#This Row],[Enrolment S.Y. 2025-2026 ]]*8</f>
        <v>0</v>
      </c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>
        <f>Table1[[#This Row],[Enrolment S.Y. 2025-2026 ]]*8</f>
        <v>0</v>
      </c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>
        <f>Table1[[#This Row],[Enrolment S.Y. 2025-2026 ]]*8</f>
        <v>0</v>
      </c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>
        <f>Table1[[#This Row],[Enrolment S.Y. 2025-2026 ]]*8</f>
        <v>0</v>
      </c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>
        <f>Table1[[#This Row],[Enrolment S.Y. 2025-2026 ]]*8</f>
        <v>0</v>
      </c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>
        <f>Table1[[#This Row],[Enrolment S.Y. 2025-2026 ]]*8</f>
        <v>0</v>
      </c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>
        <f>Table1[[#This Row],[Enrolment S.Y. 2025-2026 ]]*8</f>
        <v>0</v>
      </c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>
        <f>Table1[[#This Row],[Enrolment S.Y. 2025-2026 ]]*8</f>
        <v>0</v>
      </c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>
        <f>Table1[[#This Row],[Enrolment S.Y. 2025-2026 ]]*8</f>
        <v>0</v>
      </c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>
        <f>Table1[[#This Row],[Enrolment S.Y. 2025-2026 ]]*8</f>
        <v>0</v>
      </c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>
        <f>Table1[[#This Row],[Enrolment S.Y. 2025-2026 ]]*8</f>
        <v>0</v>
      </c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>
        <f>Table1[[#This Row],[Enrolment S.Y. 2025-2026 ]]*8</f>
        <v>0</v>
      </c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>
        <f>Table1[[#This Row],[Enrolment S.Y. 2025-2026 ]]*8</f>
        <v>0</v>
      </c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>
        <f>Table1[[#This Row],[Enrolment S.Y. 2025-2026 ]]*8</f>
        <v>0</v>
      </c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R82" s="7">
        <f>Table1[[#This Row],[Enrolment S.Y. 2025-2026 ]]*8</f>
        <v>0</v>
      </c>
      <c r="S82" s="5"/>
      <c r="T82" s="13"/>
      <c r="U82" s="13"/>
      <c r="V82" s="13"/>
      <c r="X82" s="7">
        <f>Table1[[#This Row],[Enrolment S.Y. 2025-2026 ]]*8</f>
        <v>0</v>
      </c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>
        <f>Table1[[#This Row],[Enrolment S.Y. 2025-2026 ]]*8</f>
        <v>0</v>
      </c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>
        <f>Table1[[#This Row],[Enrolment S.Y. 2025-2026 ]]*8</f>
        <v>0</v>
      </c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>
        <f>Table1[[#This Row],[Enrolment S.Y. 2025-2026 ]]*8</f>
        <v>0</v>
      </c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>
        <f>Table1[[#This Row],[Enrolment S.Y. 2025-2026 ]]*8</f>
        <v>0</v>
      </c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>
        <f>Table1[[#This Row],[Enrolment S.Y. 2025-2026 ]]*8</f>
        <v>0</v>
      </c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>
        <f>Table1[[#This Row],[Enrolment S.Y. 2025-2026 ]]*8</f>
        <v>0</v>
      </c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>
        <f>Table1[[#This Row],[Enrolment S.Y. 2025-2026 ]]*8</f>
        <v>0</v>
      </c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>
        <f>Table1[[#This Row],[Enrolment S.Y. 2025-2026 ]]*8</f>
        <v>0</v>
      </c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>
        <f>Table1[[#This Row],[Enrolment S.Y. 2025-2026 ]]*8</f>
        <v>0</v>
      </c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>
        <f>Table1[[#This Row],[Enrolment S.Y. 2025-2026 ]]*8</f>
        <v>0</v>
      </c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>
        <f>Table1[[#This Row],[Enrolment S.Y. 2025-2026 ]]*8</f>
        <v>0</v>
      </c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>
        <f>Table1[[#This Row],[Enrolment S.Y. 2025-2026 ]]*8</f>
        <v>0</v>
      </c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>
        <f>Table1[[#This Row],[Enrolment S.Y. 2025-2026 ]]*8</f>
        <v>0</v>
      </c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>
        <f>Table1[[#This Row],[Enrolment S.Y. 2025-2026 ]]*8</f>
        <v>0</v>
      </c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>
        <f>Table1[[#This Row],[Enrolment S.Y. 2025-2026 ]]*8</f>
        <v>0</v>
      </c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>
        <f>Table1[[#This Row],[Enrolment S.Y. 2025-2026 ]]*8</f>
        <v>0</v>
      </c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>
        <f>Table1[[#This Row],[Enrolment S.Y. 2025-2026 ]]*8</f>
        <v>0</v>
      </c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>
        <f>Table1[[#This Row],[Enrolment S.Y. 2025-2026 ]]*8</f>
        <v>0</v>
      </c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R92" s="7">
        <f>Table1[[#This Row],[Enrolment S.Y. 2025-2026 ]]*8</f>
        <v>0</v>
      </c>
      <c r="S92" s="5"/>
      <c r="T92" s="13"/>
      <c r="U92" s="13"/>
      <c r="V92" s="13"/>
      <c r="X92" s="7">
        <f>Table1[[#This Row],[Enrolment S.Y. 2025-2026 ]]*8</f>
        <v>0</v>
      </c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>
        <f>Table1[[#This Row],[Enrolment S.Y. 2025-2026 ]]*8</f>
        <v>0</v>
      </c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>
        <f>Table1[[#This Row],[Enrolment S.Y. 2025-2026 ]]*8</f>
        <v>0</v>
      </c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>
        <f>Table1[[#This Row],[Enrolment S.Y. 2025-2026 ]]*8</f>
        <v>0</v>
      </c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>
        <f>Table1[[#This Row],[Enrolment S.Y. 2025-2026 ]]*8</f>
        <v>0</v>
      </c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>
        <f>Table1[[#This Row],[Enrolment S.Y. 2025-2026 ]]*8</f>
        <v>0</v>
      </c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>
        <f>Table1[[#This Row],[Enrolment S.Y. 2025-2026 ]]*8</f>
        <v>0</v>
      </c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>
        <f>Table1[[#This Row],[Enrolment S.Y. 2025-2026 ]]*8</f>
        <v>0</v>
      </c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>
        <f>Table1[[#This Row],[Enrolment S.Y. 2025-2026 ]]*8</f>
        <v>0</v>
      </c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>
        <f>Table1[[#This Row],[Enrolment S.Y. 2025-2026 ]]*8</f>
        <v>0</v>
      </c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>
        <f>Table1[[#This Row],[Enrolment S.Y. 2025-2026 ]]*8</f>
        <v>0</v>
      </c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>
        <f>Table1[[#This Row],[Enrolment S.Y. 2025-2026 ]]*8</f>
        <v>0</v>
      </c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>
        <f>Table1[[#This Row],[Enrolment S.Y. 2025-2026 ]]*8</f>
        <v>0</v>
      </c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>
        <f>Table1[[#This Row],[Enrolment S.Y. 2025-2026 ]]*8</f>
        <v>0</v>
      </c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>
        <f>Table1[[#This Row],[Enrolment S.Y. 2025-2026 ]]*8</f>
        <v>0</v>
      </c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>
        <f>Table1[[#This Row],[Enrolment S.Y. 2025-2026 ]]*8</f>
        <v>0</v>
      </c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>
        <f>Table1[[#This Row],[Enrolment S.Y. 2025-2026 ]]*8</f>
        <v>0</v>
      </c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>
        <f>Table1[[#This Row],[Enrolment S.Y. 2025-2026 ]]*8</f>
        <v>0</v>
      </c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>
        <f>Table1[[#This Row],[Enrolment S.Y. 2025-2026 ]]*8</f>
        <v>0</v>
      </c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R102" s="7">
        <f>Table1[[#This Row],[Enrolment S.Y. 2025-2026 ]]*8</f>
        <v>0</v>
      </c>
      <c r="S102" s="5"/>
      <c r="T102" s="13"/>
      <c r="U102" s="13"/>
      <c r="V102" s="13"/>
      <c r="X102" s="7">
        <f>Table1[[#This Row],[Enrolment S.Y. 2025-2026 ]]*8</f>
        <v>0</v>
      </c>
      <c r="Y102" s="5"/>
      <c r="Z102" s="13"/>
      <c r="AA102" s="13"/>
    </row>
    <row r="103" spans="1:27" ht="38.25">
      <c r="A103" s="1" t="s">
        <v>23</v>
      </c>
      <c r="B103" s="9" t="s">
        <v>24</v>
      </c>
      <c r="C103" s="1">
        <v>110</v>
      </c>
      <c r="D103" s="5">
        <f>Table1[[#This Row],[Enrolment S.Y. 2025-2026 ]]*8</f>
        <v>880</v>
      </c>
      <c r="E103" s="5">
        <v>110</v>
      </c>
      <c r="F103" s="1">
        <v>2025</v>
      </c>
      <c r="G103" s="5" t="s">
        <v>63</v>
      </c>
      <c r="H103" s="5">
        <f t="shared" si="22"/>
        <v>770</v>
      </c>
      <c r="I103" s="5">
        <f t="shared" si="23"/>
        <v>0</v>
      </c>
      <c r="J103" s="5">
        <f>Table1[[#This Row],[Enrolment S.Y. 2025-2026 ]]*8</f>
        <v>880</v>
      </c>
      <c r="K103" s="1">
        <v>110</v>
      </c>
      <c r="L103" s="5">
        <f>Table1[[#This Row],[Enrolment S.Y. 2025-2026 ]]*8</f>
        <v>880</v>
      </c>
      <c r="M103" s="5" t="s">
        <v>63</v>
      </c>
      <c r="N103" s="5">
        <f t="shared" si="16"/>
        <v>770</v>
      </c>
      <c r="O103" s="5">
        <f t="shared" si="17"/>
        <v>0</v>
      </c>
      <c r="P103" s="5">
        <f>Table1[[#This Row],[Enrolment S.Y. 2025-2026 ]]*8</f>
        <v>880</v>
      </c>
      <c r="Q103" s="1">
        <v>110</v>
      </c>
      <c r="R103" s="5">
        <f>Table1[[#This Row],[Enrolment S.Y. 2025-2026 ]]*8</f>
        <v>880</v>
      </c>
      <c r="S103" s="5" t="s">
        <v>63</v>
      </c>
      <c r="T103" s="5">
        <f t="shared" si="18"/>
        <v>770</v>
      </c>
      <c r="U103" s="5">
        <f t="shared" si="19"/>
        <v>0</v>
      </c>
      <c r="V103" s="5">
        <f>Table1[[#This Row],[Enrolment S.Y. 2025-2026 ]]*8</f>
        <v>880</v>
      </c>
      <c r="W103" s="1">
        <v>110</v>
      </c>
      <c r="X103" s="5">
        <f>Table1[[#This Row],[Enrolment S.Y. 2025-2026 ]]*8</f>
        <v>880</v>
      </c>
      <c r="Y103" s="5" t="s">
        <v>63</v>
      </c>
      <c r="Z103" s="5">
        <f t="shared" si="20"/>
        <v>770</v>
      </c>
      <c r="AA103" s="5">
        <f t="shared" si="21"/>
        <v>0</v>
      </c>
    </row>
    <row r="104" spans="1:27" ht="19.5">
      <c r="A104" s="1" t="s">
        <v>23</v>
      </c>
      <c r="B104" s="9" t="s">
        <v>26</v>
      </c>
      <c r="C104" s="1">
        <v>110</v>
      </c>
      <c r="D104" s="5">
        <f>Table1[[#This Row],[Enrolment S.Y. 2025-2026 ]]*8</f>
        <v>880</v>
      </c>
      <c r="E104" s="5">
        <v>110</v>
      </c>
      <c r="F104" s="1">
        <v>2025</v>
      </c>
      <c r="G104" s="5" t="s">
        <v>63</v>
      </c>
      <c r="H104" s="5">
        <f t="shared" si="22"/>
        <v>770</v>
      </c>
      <c r="I104" s="5">
        <f t="shared" si="23"/>
        <v>0</v>
      </c>
      <c r="J104" s="5">
        <f>Table1[[#This Row],[Enrolment S.Y. 2025-2026 ]]*8</f>
        <v>880</v>
      </c>
      <c r="K104" s="1">
        <v>110</v>
      </c>
      <c r="L104" s="5">
        <f>Table1[[#This Row],[Enrolment S.Y. 2025-2026 ]]*8</f>
        <v>880</v>
      </c>
      <c r="M104" s="5" t="s">
        <v>63</v>
      </c>
      <c r="N104" s="5">
        <f t="shared" si="16"/>
        <v>770</v>
      </c>
      <c r="O104" s="5">
        <f t="shared" si="17"/>
        <v>0</v>
      </c>
      <c r="P104" s="5">
        <f>Table1[[#This Row],[Enrolment S.Y. 2025-2026 ]]*8</f>
        <v>880</v>
      </c>
      <c r="Q104" s="1">
        <v>110</v>
      </c>
      <c r="R104" s="5">
        <f>Table1[[#This Row],[Enrolment S.Y. 2025-2026 ]]*8</f>
        <v>880</v>
      </c>
      <c r="S104" s="5" t="s">
        <v>63</v>
      </c>
      <c r="T104" s="5">
        <f t="shared" si="18"/>
        <v>770</v>
      </c>
      <c r="U104" s="5">
        <f t="shared" si="19"/>
        <v>0</v>
      </c>
      <c r="V104" s="5">
        <f>Table1[[#This Row],[Enrolment S.Y. 2025-2026 ]]*8</f>
        <v>880</v>
      </c>
      <c r="W104" s="1">
        <v>110</v>
      </c>
      <c r="X104" s="5">
        <f>Table1[[#This Row],[Enrolment S.Y. 2025-2026 ]]*8</f>
        <v>880</v>
      </c>
      <c r="Y104" s="5" t="s">
        <v>63</v>
      </c>
      <c r="Z104" s="5">
        <f t="shared" si="20"/>
        <v>770</v>
      </c>
      <c r="AA104" s="5">
        <f t="shared" si="21"/>
        <v>0</v>
      </c>
    </row>
    <row r="105" spans="1:27" ht="19.5">
      <c r="A105" s="1" t="s">
        <v>23</v>
      </c>
      <c r="B105" s="9" t="s">
        <v>27</v>
      </c>
      <c r="C105" s="1">
        <v>94</v>
      </c>
      <c r="D105" s="5">
        <f>Table1[[#This Row],[Enrolment S.Y. 2025-2026 ]]*8</f>
        <v>752</v>
      </c>
      <c r="E105" s="5">
        <v>94</v>
      </c>
      <c r="F105" s="1">
        <v>2025</v>
      </c>
      <c r="G105" s="5" t="s">
        <v>63</v>
      </c>
      <c r="H105" s="5">
        <f t="shared" si="22"/>
        <v>658</v>
      </c>
      <c r="I105" s="5">
        <f t="shared" si="23"/>
        <v>0</v>
      </c>
      <c r="J105" s="5">
        <f>Table1[[#This Row],[Enrolment S.Y. 2025-2026 ]]*8</f>
        <v>752</v>
      </c>
      <c r="K105" s="1">
        <v>94</v>
      </c>
      <c r="L105" s="5">
        <f>Table1[[#This Row],[Enrolment S.Y. 2025-2026 ]]*8</f>
        <v>752</v>
      </c>
      <c r="M105" s="5" t="s">
        <v>63</v>
      </c>
      <c r="N105" s="5">
        <f t="shared" si="16"/>
        <v>658</v>
      </c>
      <c r="O105" s="5">
        <f t="shared" si="17"/>
        <v>0</v>
      </c>
      <c r="P105" s="5">
        <f>Table1[[#This Row],[Enrolment S.Y. 2025-2026 ]]*8</f>
        <v>752</v>
      </c>
      <c r="Q105" s="1">
        <v>94</v>
      </c>
      <c r="R105" s="5">
        <f>Table1[[#This Row],[Enrolment S.Y. 2025-2026 ]]*8</f>
        <v>752</v>
      </c>
      <c r="S105" s="5" t="s">
        <v>63</v>
      </c>
      <c r="T105" s="5">
        <f t="shared" si="18"/>
        <v>658</v>
      </c>
      <c r="U105" s="5">
        <f t="shared" si="19"/>
        <v>0</v>
      </c>
      <c r="V105" s="5">
        <f>Table1[[#This Row],[Enrolment S.Y. 2025-2026 ]]*8</f>
        <v>752</v>
      </c>
      <c r="W105" s="1">
        <v>94</v>
      </c>
      <c r="X105" s="5">
        <f>Table1[[#This Row],[Enrolment S.Y. 2025-2026 ]]*8</f>
        <v>752</v>
      </c>
      <c r="Y105" s="5" t="s">
        <v>63</v>
      </c>
      <c r="Z105" s="5">
        <f t="shared" si="20"/>
        <v>658</v>
      </c>
      <c r="AA105" s="5">
        <f t="shared" si="21"/>
        <v>0</v>
      </c>
    </row>
    <row r="106" spans="1:27" ht="19.5">
      <c r="A106" s="1" t="s">
        <v>23</v>
      </c>
      <c r="B106" s="9" t="s">
        <v>28</v>
      </c>
      <c r="C106" s="1">
        <v>0</v>
      </c>
      <c r="D106" s="5">
        <f>Table1[[#This Row],[Enrolment S.Y. 2025-2026 ]]*8</f>
        <v>0</v>
      </c>
      <c r="E106" s="5">
        <v>0</v>
      </c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1">
        <v>0</v>
      </c>
      <c r="L106" s="5">
        <f>Table1[[#This Row],[Enrolment S.Y. 2025-2026 ]]*8</f>
        <v>0</v>
      </c>
      <c r="M106" s="5" t="s">
        <v>63</v>
      </c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1">
        <v>0</v>
      </c>
      <c r="R106" s="5">
        <f>Table1[[#This Row],[Enrolment S.Y. 2025-2026 ]]*8</f>
        <v>0</v>
      </c>
      <c r="S106" s="5" t="s">
        <v>63</v>
      </c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1">
        <v>0</v>
      </c>
      <c r="X106" s="5">
        <f>Table1[[#This Row],[Enrolment S.Y. 2025-2026 ]]*8</f>
        <v>0</v>
      </c>
      <c r="Y106" s="5" t="s">
        <v>63</v>
      </c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9" t="s">
        <v>29</v>
      </c>
      <c r="C107" s="1">
        <v>110</v>
      </c>
      <c r="D107" s="5">
        <f>Table1[[#This Row],[Enrolment S.Y. 2025-2026 ]]*8</f>
        <v>880</v>
      </c>
      <c r="E107" s="5">
        <v>110</v>
      </c>
      <c r="F107" s="1">
        <v>2025</v>
      </c>
      <c r="G107" s="5" t="s">
        <v>63</v>
      </c>
      <c r="H107" s="5">
        <f t="shared" si="22"/>
        <v>770</v>
      </c>
      <c r="I107" s="5">
        <f t="shared" si="23"/>
        <v>0</v>
      </c>
      <c r="J107" s="5">
        <f>Table1[[#This Row],[Enrolment S.Y. 2025-2026 ]]*8</f>
        <v>880</v>
      </c>
      <c r="K107" s="1">
        <v>110</v>
      </c>
      <c r="L107" s="5">
        <f>Table1[[#This Row],[Enrolment S.Y. 2025-2026 ]]*8</f>
        <v>880</v>
      </c>
      <c r="M107" s="5" t="s">
        <v>63</v>
      </c>
      <c r="N107" s="5">
        <f t="shared" si="16"/>
        <v>770</v>
      </c>
      <c r="O107" s="5">
        <f t="shared" si="17"/>
        <v>0</v>
      </c>
      <c r="P107" s="5">
        <f>Table1[[#This Row],[Enrolment S.Y. 2025-2026 ]]*8</f>
        <v>880</v>
      </c>
      <c r="Q107" s="1">
        <v>110</v>
      </c>
      <c r="R107" s="5">
        <f>Table1[[#This Row],[Enrolment S.Y. 2025-2026 ]]*8</f>
        <v>880</v>
      </c>
      <c r="S107" s="5" t="s">
        <v>63</v>
      </c>
      <c r="T107" s="5">
        <f t="shared" si="18"/>
        <v>770</v>
      </c>
      <c r="U107" s="5">
        <f t="shared" si="19"/>
        <v>0</v>
      </c>
      <c r="V107" s="5">
        <f>Table1[[#This Row],[Enrolment S.Y. 2025-2026 ]]*8</f>
        <v>880</v>
      </c>
      <c r="W107" s="1">
        <v>110</v>
      </c>
      <c r="X107" s="5">
        <f>Table1[[#This Row],[Enrolment S.Y. 2025-2026 ]]*8</f>
        <v>880</v>
      </c>
      <c r="Y107" s="5" t="s">
        <v>63</v>
      </c>
      <c r="Z107" s="5">
        <f t="shared" si="20"/>
        <v>770</v>
      </c>
      <c r="AA107" s="5">
        <f t="shared" si="21"/>
        <v>0</v>
      </c>
    </row>
    <row r="108" spans="1:27" ht="38.25">
      <c r="A108" s="1" t="s">
        <v>23</v>
      </c>
      <c r="B108" s="9" t="s">
        <v>30</v>
      </c>
      <c r="C108" s="1">
        <v>110</v>
      </c>
      <c r="D108" s="5">
        <f>Table1[[#This Row],[Enrolment S.Y. 2025-2026 ]]*8</f>
        <v>880</v>
      </c>
      <c r="E108" s="5">
        <v>110</v>
      </c>
      <c r="F108" s="1">
        <v>2025</v>
      </c>
      <c r="G108" s="5" t="s">
        <v>63</v>
      </c>
      <c r="H108" s="5">
        <f t="shared" si="22"/>
        <v>770</v>
      </c>
      <c r="I108" s="5">
        <f t="shared" si="23"/>
        <v>0</v>
      </c>
      <c r="J108" s="5">
        <f>Table1[[#This Row],[Enrolment S.Y. 2025-2026 ]]*8</f>
        <v>880</v>
      </c>
      <c r="K108" s="1">
        <v>110</v>
      </c>
      <c r="L108" s="5">
        <f>Table1[[#This Row],[Enrolment S.Y. 2025-2026 ]]*8</f>
        <v>880</v>
      </c>
      <c r="M108" s="5" t="s">
        <v>63</v>
      </c>
      <c r="N108" s="5">
        <f t="shared" si="16"/>
        <v>770</v>
      </c>
      <c r="O108" s="5">
        <f t="shared" si="17"/>
        <v>0</v>
      </c>
      <c r="P108" s="5">
        <f>Table1[[#This Row],[Enrolment S.Y. 2025-2026 ]]*8</f>
        <v>880</v>
      </c>
      <c r="Q108" s="1">
        <v>110</v>
      </c>
      <c r="R108" s="5">
        <f>Table1[[#This Row],[Enrolment S.Y. 2025-2026 ]]*8</f>
        <v>880</v>
      </c>
      <c r="S108" s="5" t="s">
        <v>63</v>
      </c>
      <c r="T108" s="5">
        <f t="shared" si="18"/>
        <v>770</v>
      </c>
      <c r="U108" s="5">
        <f t="shared" si="19"/>
        <v>0</v>
      </c>
      <c r="V108" s="5">
        <f>Table1[[#This Row],[Enrolment S.Y. 2025-2026 ]]*8</f>
        <v>880</v>
      </c>
      <c r="W108" s="1">
        <v>110</v>
      </c>
      <c r="X108" s="5">
        <f>Table1[[#This Row],[Enrolment S.Y. 2025-2026 ]]*8</f>
        <v>880</v>
      </c>
      <c r="Y108" s="5" t="s">
        <v>63</v>
      </c>
      <c r="Z108" s="5">
        <f t="shared" si="20"/>
        <v>770</v>
      </c>
      <c r="AA108" s="5">
        <f t="shared" si="21"/>
        <v>0</v>
      </c>
    </row>
    <row r="109" spans="1:27" ht="57.75">
      <c r="A109" s="1" t="s">
        <v>23</v>
      </c>
      <c r="B109" s="9" t="s">
        <v>31</v>
      </c>
      <c r="C109" s="1">
        <v>94</v>
      </c>
      <c r="D109" s="5">
        <f>Table1[[#This Row],[Enrolment S.Y. 2025-2026 ]]*8</f>
        <v>752</v>
      </c>
      <c r="E109" s="5">
        <v>94</v>
      </c>
      <c r="F109" s="1">
        <v>2025</v>
      </c>
      <c r="G109" s="5" t="s">
        <v>63</v>
      </c>
      <c r="H109" s="5">
        <f t="shared" si="22"/>
        <v>658</v>
      </c>
      <c r="I109" s="5">
        <f t="shared" si="23"/>
        <v>0</v>
      </c>
      <c r="J109" s="5">
        <f>Table1[[#This Row],[Enrolment S.Y. 2025-2026 ]]*8</f>
        <v>752</v>
      </c>
      <c r="K109" s="1">
        <v>94</v>
      </c>
      <c r="L109" s="5">
        <f>Table1[[#This Row],[Enrolment S.Y. 2025-2026 ]]*8</f>
        <v>752</v>
      </c>
      <c r="M109" s="5" t="s">
        <v>63</v>
      </c>
      <c r="N109" s="5">
        <f t="shared" si="16"/>
        <v>658</v>
      </c>
      <c r="O109" s="5">
        <f t="shared" si="17"/>
        <v>0</v>
      </c>
      <c r="P109" s="5">
        <f>Table1[[#This Row],[Enrolment S.Y. 2025-2026 ]]*8</f>
        <v>752</v>
      </c>
      <c r="Q109" s="1">
        <v>94</v>
      </c>
      <c r="R109" s="5">
        <f>Table1[[#This Row],[Enrolment S.Y. 2025-2026 ]]*8</f>
        <v>752</v>
      </c>
      <c r="S109" s="5" t="s">
        <v>63</v>
      </c>
      <c r="T109" s="5">
        <f t="shared" si="18"/>
        <v>658</v>
      </c>
      <c r="U109" s="5">
        <f t="shared" si="19"/>
        <v>0</v>
      </c>
      <c r="V109" s="5">
        <f>Table1[[#This Row],[Enrolment S.Y. 2025-2026 ]]*8</f>
        <v>752</v>
      </c>
      <c r="W109" s="1">
        <v>94</v>
      </c>
      <c r="X109" s="5">
        <f>Table1[[#This Row],[Enrolment S.Y. 2025-2026 ]]*8</f>
        <v>752</v>
      </c>
      <c r="Y109" s="5" t="s">
        <v>63</v>
      </c>
      <c r="Z109" s="5">
        <f t="shared" si="20"/>
        <v>658</v>
      </c>
      <c r="AA109" s="5">
        <f t="shared" si="21"/>
        <v>0</v>
      </c>
    </row>
    <row r="110" spans="1:27" ht="38.25">
      <c r="A110" s="1" t="s">
        <v>23</v>
      </c>
      <c r="B110" s="9" t="s">
        <v>32</v>
      </c>
      <c r="C110" s="1">
        <v>110</v>
      </c>
      <c r="D110" s="5">
        <f>Table1[[#This Row],[Enrolment S.Y. 2025-2026 ]]*8</f>
        <v>880</v>
      </c>
      <c r="E110" s="5">
        <v>110</v>
      </c>
      <c r="F110" s="1">
        <v>2025</v>
      </c>
      <c r="G110" s="5" t="s">
        <v>63</v>
      </c>
      <c r="H110" s="5">
        <f t="shared" si="22"/>
        <v>770</v>
      </c>
      <c r="I110" s="5">
        <f t="shared" si="23"/>
        <v>0</v>
      </c>
      <c r="J110" s="5">
        <f>Table1[[#This Row],[Enrolment S.Y. 2025-2026 ]]*8</f>
        <v>880</v>
      </c>
      <c r="K110" s="1">
        <v>110</v>
      </c>
      <c r="L110" s="5">
        <f>Table1[[#This Row],[Enrolment S.Y. 2025-2026 ]]*8</f>
        <v>880</v>
      </c>
      <c r="M110" s="5" t="s">
        <v>63</v>
      </c>
      <c r="N110" s="5">
        <f t="shared" si="16"/>
        <v>770</v>
      </c>
      <c r="O110" s="5">
        <f t="shared" si="17"/>
        <v>0</v>
      </c>
      <c r="P110" s="5">
        <f>Table1[[#This Row],[Enrolment S.Y. 2025-2026 ]]*8</f>
        <v>880</v>
      </c>
      <c r="Q110" s="1">
        <v>110</v>
      </c>
      <c r="R110" s="5">
        <f>Table1[[#This Row],[Enrolment S.Y. 2025-2026 ]]*8</f>
        <v>880</v>
      </c>
      <c r="S110" s="5" t="s">
        <v>63</v>
      </c>
      <c r="T110" s="5">
        <f t="shared" si="18"/>
        <v>770</v>
      </c>
      <c r="U110" s="5">
        <f t="shared" si="19"/>
        <v>0</v>
      </c>
      <c r="V110" s="5">
        <f>Table1[[#This Row],[Enrolment S.Y. 2025-2026 ]]*8</f>
        <v>880</v>
      </c>
      <c r="W110" s="1">
        <v>110</v>
      </c>
      <c r="X110" s="5">
        <f>Table1[[#This Row],[Enrolment S.Y. 2025-2026 ]]*8</f>
        <v>880</v>
      </c>
      <c r="Y110" s="5" t="s">
        <v>63</v>
      </c>
      <c r="Z110" s="5">
        <f t="shared" si="20"/>
        <v>770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R111" s="7">
        <f>Table1[[#This Row],[Enrolment S.Y. 2025-2026 ]]*8</f>
        <v>0</v>
      </c>
      <c r="T111" s="13"/>
      <c r="U111" s="13"/>
      <c r="V111" s="13"/>
      <c r="X111" s="7">
        <f>Table1[[#This Row],[Enrolment S.Y. 2025-2026 ]]*8</f>
        <v>0</v>
      </c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>
        <f>Table1[[#This Row],[Enrolment S.Y. 2025-2026 ]]*8</f>
        <v>0</v>
      </c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>
        <f>Table1[[#This Row],[Enrolment S.Y. 2025-2026 ]]*8</f>
        <v>0</v>
      </c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>
        <f>Table1[[#This Row],[Enrolment S.Y. 2025-2026 ]]*8</f>
        <v>0</v>
      </c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>
        <f>Table1[[#This Row],[Enrolment S.Y. 2025-2026 ]]*8</f>
        <v>0</v>
      </c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>
        <f>Table1[[#This Row],[Enrolment S.Y. 2025-2026 ]]*8</f>
        <v>0</v>
      </c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>
        <f>Table1[[#This Row],[Enrolment S.Y. 2025-2026 ]]*8</f>
        <v>0</v>
      </c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>
        <f>Table1[[#This Row],[Enrolment S.Y. 2025-2026 ]]*8</f>
        <v>0</v>
      </c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>
        <f>Table1[[#This Row],[Enrolment S.Y. 2025-2026 ]]*8</f>
        <v>0</v>
      </c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>
        <f>Table1[[#This Row],[Enrolment S.Y. 2025-2026 ]]*8</f>
        <v>0</v>
      </c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>
        <f>Table1[[#This Row],[Enrolment S.Y. 2025-2026 ]]*8</f>
        <v>0</v>
      </c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>
        <f>Table1[[#This Row],[Enrolment S.Y. 2025-2026 ]]*8</f>
        <v>0</v>
      </c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>
        <f>Table1[[#This Row],[Enrolment S.Y. 2025-2026 ]]*8</f>
        <v>0</v>
      </c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>
        <f>Table1[[#This Row],[Enrolment S.Y. 2025-2026 ]]*8</f>
        <v>0</v>
      </c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>
        <f>Table1[[#This Row],[Enrolment S.Y. 2025-2026 ]]*8</f>
        <v>0</v>
      </c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>
        <f>Table1[[#This Row],[Enrolment S.Y. 2025-2026 ]]*8</f>
        <v>0</v>
      </c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>
        <f>Table1[[#This Row],[Enrolment S.Y. 2025-2026 ]]*8</f>
        <v>0</v>
      </c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>
        <f>Table1[[#This Row],[Enrolment S.Y. 2025-2026 ]]*8</f>
        <v>0</v>
      </c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>
        <f>Table1[[#This Row],[Enrolment S.Y. 2025-2026 ]]*8</f>
        <v>0</v>
      </c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>
        <f>Table1[[#This Row],[Enrolment S.Y. 2025-2026 ]]*8</f>
        <v>0</v>
      </c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>
        <f>Table1[[#This Row],[Enrolment S.Y. 2025-2026 ]]*8</f>
        <v>0</v>
      </c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>
        <f>Table1[[#This Row],[Enrolment S.Y. 2025-2026 ]]*8</f>
        <v>0</v>
      </c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>
        <f>Table1[[#This Row],[Enrolment S.Y. 2025-2026 ]]*8</f>
        <v>0</v>
      </c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>
        <f>Table1[[#This Row],[Enrolment S.Y. 2025-2026 ]]*8</f>
        <v>0</v>
      </c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>
        <f>Table1[[#This Row],[Enrolment S.Y. 2025-2026 ]]*8</f>
        <v>0</v>
      </c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>
        <f>Table1[[#This Row],[Enrolment S.Y. 2025-2026 ]]*8</f>
        <v>0</v>
      </c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>
        <f>Table1[[#This Row],[Enrolment S.Y. 2025-2026 ]]*8</f>
        <v>0</v>
      </c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>
        <f>Table1[[#This Row],[Enrolment S.Y. 2025-2026 ]]*8</f>
        <v>0</v>
      </c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>
        <f>Table1[[#This Row],[Enrolment S.Y. 2025-2026 ]]*8</f>
        <v>0</v>
      </c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>
        <f>Table1[[#This Row],[Enrolment S.Y. 2025-2026 ]]*8</f>
        <v>0</v>
      </c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>
        <f>Table1[[#This Row],[Enrolment S.Y. 2025-2026 ]]*8</f>
        <v>0</v>
      </c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1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1">
        <f>Table1[[#This Row],[Enrolment S.Y. 2025-2026 ]]*8</f>
        <v>0</v>
      </c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1">
        <f>Table1[[#This Row],[Enrolment S.Y. 2025-2026 ]]*8</f>
        <v>0</v>
      </c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 K103:K110 Q103:Q110 W103:W110" name="Textbooks"/>
    <protectedRange sqref="J2:L3 D2:F3 H33:I41 H43:I51 H53:I61 H63:I71 H73:I81 H83:I91 H93:I101 D103:F110 H103:I110 H112:I127 N127:Q127 H14:I21 H23:I31 H6:I12 Q112:R112 P2:R2 V2:X3 N13:P126 J6:J127 N4:P4 T4:V4 J4 Z4:AA127 N3:R3 Y13 L103:L110 X103:X110 D5:F12 D14:F21 H5:L5 K43:L51 K53:L61 K63:L71 K6:L12 K14:L21 K23:L31 K33:L41 Q14:R21 Q23:R31 Q33:R41 Q43:R51 Q53:R61 Q63:R71 Q73:R81 Q83:R91 Q93:R101 R103:R110 Q113:Q126 R113:R127 W33:X41 W43:X51 W53:X61 W63:X71 W73:X81 W83:X91 W93:X101 D23:F31 D33:F41 D43:F51 D53:F61 D63:F71 D73:F81 D83:F91 D93:F101 D112:F127 K73:L81 K83:L91 K93:L101 K112:L127 T13:V127 N5:R12 T5:X12 W14:X21 W23:X31 W112:X127" name="LAS"/>
    <protectedRange sqref="G2:I3 M2:O2 S2:U3 Y2:AA3 G112:G127 M112:M127 S112:S127 Y112:Y127 G5:G12 M5:M12 Y5:Y12 G14:G21 M3 G23:G31 G33:G41 G43:G51 G53:G61 G63:G71 G73:G81 G83:G91 G93:G101 G103:G110 M14:M110 S4:S110 Y14:Y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03:F110" xr:uid="{4ECCD083-8EC4-42EE-B46C-B614411F330D}">
      <formula1>"2024,2025"</formula1>
    </dataValidation>
    <dataValidation type="list" allowBlank="1" showInputMessage="1" showErrorMessage="1" sqref="G103:G110 S4:S110 M14:M110 G5:G12 M5:M12 Y5:Y12 G14:G21 G23:G31 G33:G41 G43:G51 G53:G61 G63:G71 G73:G81 G83:G91 G93:G101 Y14:Y110" xr:uid="{5129D80C-83DF-45BE-B6AD-F21CA596CBA5}">
      <formula1>"CO,RO,SDO,LGU,SCHOOL"</formula1>
    </dataValidation>
    <dataValidation type="list" allowBlank="1" showInputMessage="1" showErrorMessage="1" sqref="F5:F12 F14:F21 X23:X31 L3 L33:L41 L43:L51 L53:L61 L63:L71 L14:L21 L5:L12 L23:L31 L112:L127 R14:R21 R23:R31 R33:R41 R43:R51 R53:R61 R63:R71 R73:R81 R83:R91 R93:R101 R112:R127 R5:R12 X5:X12 X14:X21 X33:X41 X43:X51 X53:X61 X63:X71 X73:X81 X83:X91 X93:X101 F23:F61 F63:F71 F73:F81 F83:F91 F93:F101 F112:F127 L73:L81 L83:L91 L93:L101 X112:X127" xr:uid="{064B2FB7-2E07-40BE-A420-F312394B8D1D}">
      <formula1>"2024,2025,2026"</formula1>
    </dataValidation>
    <dataValidation allowBlank="1" showInputMessage="1" showErrorMessage="1" sqref="K5:K12 K14:K21 K23:K31" xr:uid="{3E2ECECB-5A74-4DA2-822D-6FF19BE7A36F}"/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9" zoomScale="55" zoomScaleNormal="55" workbookViewId="0">
      <selection activeCell="F13" sqref="F13:F2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425781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>
        <f>Table14[[#This Row],[Enrolment S.Y. 2025-2026 ]]*8</f>
        <v>0</v>
      </c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>
        <f>Table14[[#This Row],[Enrolment S.Y. 2025-2026 ]]*8</f>
        <v>0</v>
      </c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>
        <f>Table14[[#This Row],[Enrolment S.Y. 2025-2026 ]]*8</f>
        <v>0</v>
      </c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>
        <f>Table14[[#This Row],[Enrolment S.Y. 2025-2026 ]]*8</f>
        <v>0</v>
      </c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>
        <f>Table14[[#This Row],[Enrolment S.Y. 2025-2026 ]]*8</f>
        <v>0</v>
      </c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>
        <f>Table14[[#This Row],[Enrolment S.Y. 2025-2026 ]]*8</f>
        <v>0</v>
      </c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>
        <f>Table14[[#This Row],[Enrolment S.Y. 2025-2026 ]]*8</f>
        <v>0</v>
      </c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>
        <f>Table14[[#This Row],[Enrolment S.Y. 2025-2026 ]]*8</f>
        <v>0</v>
      </c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>
        <f>Table14[[#This Row],[Enrolment S.Y. 2025-2026 ]]*8</f>
        <v>0</v>
      </c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>
        <f>Table14[[#This Row],[Enrolment S.Y. 2025-2026 ]]*8</f>
        <v>0</v>
      </c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>
        <f>Table14[[#This Row],[Enrolment S.Y. 2025-2026 ]]*8</f>
        <v>0</v>
      </c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>
        <f>Table14[[#This Row],[Enrolment S.Y. 2025-2026 ]]*8</f>
        <v>0</v>
      </c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>
        <f>Table14[[#This Row],[Enrolment S.Y. 2025-2026 ]]*8</f>
        <v>0</v>
      </c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>
        <f>Table14[[#This Row],[Enrolment S.Y. 2025-2026 ]]*8</f>
        <v>0</v>
      </c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>
        <f>Table14[[#This Row],[Enrolment S.Y. 2025-2026 ]]*8</f>
        <v>0</v>
      </c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>
        <f>Table14[[#This Row],[Enrolment S.Y. 2025-2026 ]]*8</f>
        <v>0</v>
      </c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>
      <c r="K11" s="7">
        <f>Table14[[#This Row],[Enrolment S.Y. 2025-2026 ]]*8</f>
        <v>0</v>
      </c>
      <c r="Q11" s="7">
        <f>Table14[[#This Row],[Enrolment S.Y. 2025-2026 ]]*8</f>
        <v>0</v>
      </c>
    </row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>
        <f>Table14[[#This Row],[Enrolment S.Y. 2025-2026 ]]*8</f>
        <v>0</v>
      </c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>
        <f>Table14[[#This Row],[Enrolment S.Y. 2025-2026 ]]*8</f>
        <v>0</v>
      </c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>
        <f>Table14[[#This Row],[Enrolment S.Y. 2025-2026 ]]*8</f>
        <v>0</v>
      </c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>
        <f>Table14[[#This Row],[Enrolment S.Y. 2025-2026 ]]*8</f>
        <v>0</v>
      </c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>
        <f>Table14[[#This Row],[Enrolment S.Y. 2025-2026 ]]*8</f>
        <v>0</v>
      </c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>
        <f>Table14[[#This Row],[Enrolment S.Y. 2025-2026 ]]*8</f>
        <v>0</v>
      </c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>
        <f>Table14[[#This Row],[Enrolment S.Y. 2025-2026 ]]*8</f>
        <v>0</v>
      </c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>
        <f>Table14[[#This Row],[Enrolment S.Y. 2025-2026 ]]*8</f>
        <v>0</v>
      </c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>
        <f>Table14[[#This Row],[Enrolment S.Y. 2025-2026 ]]*8</f>
        <v>0</v>
      </c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>
        <f>Table14[[#This Row],[Enrolment S.Y. 2025-2026 ]]*8</f>
        <v>0</v>
      </c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>
        <f>Table14[[#This Row],[Enrolment S.Y. 2025-2026 ]]*8</f>
        <v>0</v>
      </c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>
        <f>Table14[[#This Row],[Enrolment S.Y. 2025-2026 ]]*8</f>
        <v>0</v>
      </c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>
        <f>Table14[[#This Row],[Enrolment S.Y. 2025-2026 ]]*8</f>
        <v>0</v>
      </c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>
        <f>Table14[[#This Row],[Enrolment S.Y. 2025-2026 ]]*8</f>
        <v>0</v>
      </c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>
        <f>Table14[[#This Row],[Enrolment S.Y. 2025-2026 ]]*8</f>
        <v>0</v>
      </c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>
        <f>Table14[[#This Row],[Enrolment S.Y. 2025-2026 ]]*8</f>
        <v>0</v>
      </c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>
      <c r="K20" s="7">
        <f>Table14[[#This Row],[Enrolment S.Y. 2025-2026 ]]*8</f>
        <v>0</v>
      </c>
      <c r="Q20" s="7">
        <f>Table14[[#This Row],[Enrolment S.Y. 2025-2026 ]]*8</f>
        <v>0</v>
      </c>
    </row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>
        <f>Table14[[#This Row],[Enrolment S.Y. 2025-2026 ]]*8</f>
        <v>0</v>
      </c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>
        <f>Table14[[#This Row],[Enrolment S.Y. 2025-2026 ]]*8</f>
        <v>0</v>
      </c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>
        <f>Table14[[#This Row],[Enrolment S.Y. 2025-2026 ]]*8</f>
        <v>0</v>
      </c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>
        <f>Table14[[#This Row],[Enrolment S.Y. 2025-2026 ]]*8</f>
        <v>0</v>
      </c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>
        <f>Table14[[#This Row],[Enrolment S.Y. 2025-2026 ]]*8</f>
        <v>0</v>
      </c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>
        <f>Table14[[#This Row],[Enrolment S.Y. 2025-2026 ]]*8</f>
        <v>0</v>
      </c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>
        <f>Table14[[#This Row],[Enrolment S.Y. 2025-2026 ]]*8</f>
        <v>0</v>
      </c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>
        <f>Table14[[#This Row],[Enrolment S.Y. 2025-2026 ]]*8</f>
        <v>0</v>
      </c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>
        <f>Table14[[#This Row],[Enrolment S.Y. 2025-2026 ]]*8</f>
        <v>0</v>
      </c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>
        <f>Table14[[#This Row],[Enrolment S.Y. 2025-2026 ]]*8</f>
        <v>0</v>
      </c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>
        <f>Table14[[#This Row],[Enrolment S.Y. 2025-2026 ]]*8</f>
        <v>0</v>
      </c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>
        <f>Table14[[#This Row],[Enrolment S.Y. 2025-2026 ]]*8</f>
        <v>0</v>
      </c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>
        <f>Table14[[#This Row],[Enrolment S.Y. 2025-2026 ]]*8</f>
        <v>0</v>
      </c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>
        <f>Table14[[#This Row],[Enrolment S.Y. 2025-2026 ]]*8</f>
        <v>0</v>
      </c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>
        <f>Table14[[#This Row],[Enrolment S.Y. 2025-2026 ]]*8</f>
        <v>0</v>
      </c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>
        <f>Table14[[#This Row],[Enrolment S.Y. 2025-2026 ]]*8</f>
        <v>0</v>
      </c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>
        <f>Table14[[#This Row],[Enrolment S.Y. 2025-2026 ]]*8</f>
        <v>0</v>
      </c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>
        <f>Table14[[#This Row],[Enrolment S.Y. 2025-2026 ]]*8</f>
        <v>0</v>
      </c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>
      <c r="K30" s="7">
        <f>Table14[[#This Row],[Enrolment S.Y. 2025-2026 ]]*8</f>
        <v>0</v>
      </c>
      <c r="Q30" s="7">
        <f>Table14[[#This Row],[Enrolment S.Y. 2025-2026 ]]*8</f>
        <v>0</v>
      </c>
    </row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>
        <f>Table14[[#This Row],[Enrolment S.Y. 2025-2026 ]]*8</f>
        <v>0</v>
      </c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>
        <f>Table14[[#This Row],[Enrolment S.Y. 2025-2026 ]]*8</f>
        <v>0</v>
      </c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>
        <f>Table14[[#This Row],[Enrolment S.Y. 2025-2026 ]]*8</f>
        <v>0</v>
      </c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>
        <f>Table14[[#This Row],[Enrolment S.Y. 2025-2026 ]]*8</f>
        <v>0</v>
      </c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>
        <f>Table14[[#This Row],[Enrolment S.Y. 2025-2026 ]]*8</f>
        <v>0</v>
      </c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>
        <f>Table14[[#This Row],[Enrolment S.Y. 2025-2026 ]]*8</f>
        <v>0</v>
      </c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>
        <f>Table14[[#This Row],[Enrolment S.Y. 2025-2026 ]]*8</f>
        <v>0</v>
      </c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>
        <f>Table14[[#This Row],[Enrolment S.Y. 2025-2026 ]]*8</f>
        <v>0</v>
      </c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>
        <f>Table14[[#This Row],[Enrolment S.Y. 2025-2026 ]]*8</f>
        <v>0</v>
      </c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>
        <f>Table14[[#This Row],[Enrolment S.Y. 2025-2026 ]]*8</f>
        <v>0</v>
      </c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>
        <f>Table14[[#This Row],[Enrolment S.Y. 2025-2026 ]]*8</f>
        <v>0</v>
      </c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>
        <f>Table14[[#This Row],[Enrolment S.Y. 2025-2026 ]]*8</f>
        <v>0</v>
      </c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>
        <f>Table14[[#This Row],[Enrolment S.Y. 2025-2026 ]]*8</f>
        <v>0</v>
      </c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>
        <f>Table14[[#This Row],[Enrolment S.Y. 2025-2026 ]]*8</f>
        <v>0</v>
      </c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>
        <f>Table14[[#This Row],[Enrolment S.Y. 2025-2026 ]]*8</f>
        <v>0</v>
      </c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>
        <f>Table14[[#This Row],[Enrolment S.Y. 2025-2026 ]]*8</f>
        <v>0</v>
      </c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>
        <f>Table14[[#This Row],[Enrolment S.Y. 2025-2026 ]]*8</f>
        <v>0</v>
      </c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>
        <f>Table14[[#This Row],[Enrolment S.Y. 2025-2026 ]]*8</f>
        <v>0</v>
      </c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>
        <f>Table14[[#This Row],[Enrolment S.Y. 2025-2026 ]]*8</f>
        <v>0</v>
      </c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>
        <f>Table14[[#This Row],[Enrolment S.Y. 2025-2026 ]]*8</f>
        <v>0</v>
      </c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>
        <f>Table14[[#This Row],[Enrolment S.Y. 2025-2026 ]]*8</f>
        <v>0</v>
      </c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>
        <f>Table14[[#This Row],[Enrolment S.Y. 2025-2026 ]]*8</f>
        <v>0</v>
      </c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>
      <c r="K42" s="7">
        <f>Table14[[#This Row],[Enrolment S.Y. 2025-2026 ]]*8</f>
        <v>0</v>
      </c>
      <c r="Q42" s="7">
        <f>Table14[[#This Row],[Enrolment S.Y. 2025-2026 ]]*8</f>
        <v>0</v>
      </c>
    </row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>
        <f>Table14[[#This Row],[Enrolment S.Y. 2025-2026 ]]*8</f>
        <v>0</v>
      </c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>
        <f>Table14[[#This Row],[Enrolment S.Y. 2025-2026 ]]*8</f>
        <v>0</v>
      </c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>
        <f>Table14[[#This Row],[Enrolment S.Y. 2025-2026 ]]*8</f>
        <v>0</v>
      </c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>
        <f>Table14[[#This Row],[Enrolment S.Y. 2025-2026 ]]*8</f>
        <v>0</v>
      </c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>
        <f>Table14[[#This Row],[Enrolment S.Y. 2025-2026 ]]*8</f>
        <v>0</v>
      </c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>
        <f>Table14[[#This Row],[Enrolment S.Y. 2025-2026 ]]*8</f>
        <v>0</v>
      </c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>
        <f>Table14[[#This Row],[Enrolment S.Y. 2025-2026 ]]*8</f>
        <v>0</v>
      </c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>
        <f>Table14[[#This Row],[Enrolment S.Y. 2025-2026 ]]*8</f>
        <v>0</v>
      </c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>
        <f>Table14[[#This Row],[Enrolment S.Y. 2025-2026 ]]*8</f>
        <v>0</v>
      </c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>
        <f>Table14[[#This Row],[Enrolment S.Y. 2025-2026 ]]*8</f>
        <v>0</v>
      </c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>
        <f>Table14[[#This Row],[Enrolment S.Y. 2025-2026 ]]*8</f>
        <v>0</v>
      </c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>
        <f>Table14[[#This Row],[Enrolment S.Y. 2025-2026 ]]*8</f>
        <v>0</v>
      </c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>
        <f>Table14[[#This Row],[Enrolment S.Y. 2025-2026 ]]*8</f>
        <v>0</v>
      </c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>
        <f>Table14[[#This Row],[Enrolment S.Y. 2025-2026 ]]*8</f>
        <v>0</v>
      </c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>
        <f>Table14[[#This Row],[Enrolment S.Y. 2025-2026 ]]*8</f>
        <v>0</v>
      </c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>
        <f>Table14[[#This Row],[Enrolment S.Y. 2025-2026 ]]*8</f>
        <v>0</v>
      </c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>
        <f>Table14[[#This Row],[Enrolment S.Y. 2025-2026 ]]*8</f>
        <v>0</v>
      </c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>
        <f>Table14[[#This Row],[Enrolment S.Y. 2025-2026 ]]*8</f>
        <v>0</v>
      </c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>
        <f>Table14[[#This Row],[Enrolment S.Y. 2025-2026 ]]*8</f>
        <v>0</v>
      </c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>
        <f>Table14[[#This Row],[Enrolment S.Y. 2025-2026 ]]*8</f>
        <v>0</v>
      </c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>
        <f>Table14[[#This Row],[Enrolment S.Y. 2025-2026 ]]*8</f>
        <v>0</v>
      </c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>
        <f>Table14[[#This Row],[Enrolment S.Y. 2025-2026 ]]*8</f>
        <v>0</v>
      </c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>
      <c r="K54" s="7">
        <f>Table14[[#This Row],[Enrolment S.Y. 2025-2026 ]]*8</f>
        <v>0</v>
      </c>
      <c r="Q54" s="7">
        <f>Table14[[#This Row],[Enrolment S.Y. 2025-2026 ]]*8</f>
        <v>0</v>
      </c>
    </row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>
        <f>Table14[[#This Row],[Enrolment S.Y. 2025-2026 ]]*8</f>
        <v>0</v>
      </c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>
        <f>Table14[[#This Row],[Enrolment S.Y. 2025-2026 ]]*8</f>
        <v>0</v>
      </c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>
        <f>Table14[[#This Row],[Enrolment S.Y. 2025-2026 ]]*8</f>
        <v>0</v>
      </c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>
        <f>Table14[[#This Row],[Enrolment S.Y. 2025-2026 ]]*8</f>
        <v>0</v>
      </c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>
        <f>Table14[[#This Row],[Enrolment S.Y. 2025-2026 ]]*8</f>
        <v>0</v>
      </c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>
        <f>Table14[[#This Row],[Enrolment S.Y. 2025-2026 ]]*8</f>
        <v>0</v>
      </c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>
        <f>Table14[[#This Row],[Enrolment S.Y. 2025-2026 ]]*8</f>
        <v>0</v>
      </c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>
        <f>Table14[[#This Row],[Enrolment S.Y. 2025-2026 ]]*8</f>
        <v>0</v>
      </c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>
        <f>Table14[[#This Row],[Enrolment S.Y. 2025-2026 ]]*8</f>
        <v>0</v>
      </c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>
        <f>Table14[[#This Row],[Enrolment S.Y. 2025-2026 ]]*8</f>
        <v>0</v>
      </c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>
        <f>Table14[[#This Row],[Enrolment S.Y. 2025-2026 ]]*8</f>
        <v>0</v>
      </c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>
        <f>Table14[[#This Row],[Enrolment S.Y. 2025-2026 ]]*8</f>
        <v>0</v>
      </c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>
        <f>Table14[[#This Row],[Enrolment S.Y. 2025-2026 ]]*8</f>
        <v>0</v>
      </c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f>Table14[[#This Row],[Enrolment S.Y. 2025-2026 ]]*8</f>
        <v>0</v>
      </c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>
        <f>Table14[[#This Row],[Enrolment S.Y. 2025-2026 ]]*8</f>
        <v>0</v>
      </c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>
        <f>Table14[[#This Row],[Enrolment S.Y. 2025-2026 ]]*8</f>
        <v>0</v>
      </c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>
        <f>Table14[[#This Row],[Enrolment S.Y. 2025-2026 ]]*8</f>
        <v>0</v>
      </c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>
        <f>Table14[[#This Row],[Enrolment S.Y. 2025-2026 ]]*8</f>
        <v>0</v>
      </c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>
        <f>Table14[[#This Row],[Enrolment S.Y. 2025-2026 ]]*8</f>
        <v>0</v>
      </c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>
        <f>Table14[[#This Row],[Enrolment S.Y. 2025-2026 ]]*8</f>
        <v>0</v>
      </c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>
        <f>Table14[[#This Row],[Enrolment S.Y. 2025-2026 ]]*8</f>
        <v>0</v>
      </c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>
        <f>Table14[[#This Row],[Enrolment S.Y. 2025-2026 ]]*8</f>
        <v>0</v>
      </c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K66" s="7">
        <f>Table14[[#This Row],[Enrolment S.Y. 2025-2026 ]]*8</f>
        <v>0</v>
      </c>
      <c r="Q66" s="7">
        <f>Table14[[#This Row],[Enrolment S.Y. 2025-2026 ]]*8</f>
        <v>0</v>
      </c>
    </row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>
        <f>Table14[[#This Row],[Enrolment S.Y. 2025-2026 ]]*8</f>
        <v>0</v>
      </c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>
        <f>Table14[[#This Row],[Enrolment S.Y. 2025-2026 ]]*8</f>
        <v>0</v>
      </c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>
        <f>Table14[[#This Row],[Enrolment S.Y. 2025-2026 ]]*8</f>
        <v>0</v>
      </c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>
        <f>Table14[[#This Row],[Enrolment S.Y. 2025-2026 ]]*8</f>
        <v>0</v>
      </c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>
        <f>Table14[[#This Row],[Enrolment S.Y. 2025-2026 ]]*8</f>
        <v>0</v>
      </c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>
        <f>Table14[[#This Row],[Enrolment S.Y. 2025-2026 ]]*8</f>
        <v>0</v>
      </c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>
        <f>Table14[[#This Row],[Enrolment S.Y. 2025-2026 ]]*8</f>
        <v>0</v>
      </c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>
        <f>Table14[[#This Row],[Enrolment S.Y. 2025-2026 ]]*8</f>
        <v>0</v>
      </c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>
        <f>Table14[[#This Row],[Enrolment S.Y. 2025-2026 ]]*8</f>
        <v>0</v>
      </c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>
        <f>Table14[[#This Row],[Enrolment S.Y. 2025-2026 ]]*8</f>
        <v>0</v>
      </c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>
        <f>Table14[[#This Row],[Enrolment S.Y. 2025-2026 ]]*8</f>
        <v>0</v>
      </c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>
        <f>Table14[[#This Row],[Enrolment S.Y. 2025-2026 ]]*8</f>
        <v>0</v>
      </c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>
        <f>Table14[[#This Row],[Enrolment S.Y. 2025-2026 ]]*8</f>
        <v>0</v>
      </c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>
        <f>Table14[[#This Row],[Enrolment S.Y. 2025-2026 ]]*8</f>
        <v>0</v>
      </c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>
        <f>Table14[[#This Row],[Enrolment S.Y. 2025-2026 ]]*8</f>
        <v>0</v>
      </c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>
        <f>Table14[[#This Row],[Enrolment S.Y. 2025-2026 ]]*8</f>
        <v>0</v>
      </c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>
        <f>Table14[[#This Row],[Enrolment S.Y. 2025-2026 ]]*8</f>
        <v>0</v>
      </c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>
        <f>Table14[[#This Row],[Enrolment S.Y. 2025-2026 ]]*8</f>
        <v>0</v>
      </c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>
        <f>Table14[[#This Row],[Enrolment S.Y. 2025-2026 ]]*8</f>
        <v>0</v>
      </c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>
        <f>Table14[[#This Row],[Enrolment S.Y. 2025-2026 ]]*8</f>
        <v>0</v>
      </c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>
        <f>Table14[[#This Row],[Enrolment S.Y. 2025-2026 ]]*8</f>
        <v>0</v>
      </c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>
        <f>Table14[[#This Row],[Enrolment S.Y. 2025-2026 ]]*8</f>
        <v>0</v>
      </c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>
      <c r="K78" s="7">
        <f>Table14[[#This Row],[Enrolment S.Y. 2025-2026 ]]*8</f>
        <v>0</v>
      </c>
      <c r="Q78" s="7">
        <f>Table14[[#This Row],[Enrolment S.Y. 2025-2026 ]]*8</f>
        <v>0</v>
      </c>
    </row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>
        <f>Table14[[#This Row],[Enrolment S.Y. 2025-2026 ]]*8</f>
        <v>0</v>
      </c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>
        <f>Table14[[#This Row],[Enrolment S.Y. 2025-2026 ]]*8</f>
        <v>0</v>
      </c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>
        <f>Table14[[#This Row],[Enrolment S.Y. 2025-2026 ]]*8</f>
        <v>0</v>
      </c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>
        <f>Table14[[#This Row],[Enrolment S.Y. 2025-2026 ]]*8</f>
        <v>0</v>
      </c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>
        <f>Table14[[#This Row],[Enrolment S.Y. 2025-2026 ]]*8</f>
        <v>0</v>
      </c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>
        <f>Table14[[#This Row],[Enrolment S.Y. 2025-2026 ]]*8</f>
        <v>0</v>
      </c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>
        <f>Table14[[#This Row],[Enrolment S.Y. 2025-2026 ]]*8</f>
        <v>0</v>
      </c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>
        <f>Table14[[#This Row],[Enrolment S.Y. 2025-2026 ]]*8</f>
        <v>0</v>
      </c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>
        <f>Table14[[#This Row],[Enrolment S.Y. 2025-2026 ]]*8</f>
        <v>0</v>
      </c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>
        <f>Table14[[#This Row],[Enrolment S.Y. 2025-2026 ]]*8</f>
        <v>0</v>
      </c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>
        <f>Table14[[#This Row],[Enrolment S.Y. 2025-2026 ]]*8</f>
        <v>0</v>
      </c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>
        <f>Table14[[#This Row],[Enrolment S.Y. 2025-2026 ]]*8</f>
        <v>0</v>
      </c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>
        <f>Table14[[#This Row],[Enrolment S.Y. 2025-2026 ]]*8</f>
        <v>0</v>
      </c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>
        <f>Table14[[#This Row],[Enrolment S.Y. 2025-2026 ]]*8</f>
        <v>0</v>
      </c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>
        <f>Table14[[#This Row],[Enrolment S.Y. 2025-2026 ]]*8</f>
        <v>0</v>
      </c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>
        <f>Table14[[#This Row],[Enrolment S.Y. 2025-2026 ]]*8</f>
        <v>0</v>
      </c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>
        <f>Table14[[#This Row],[Enrolment S.Y. 2025-2026 ]]*8</f>
        <v>0</v>
      </c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>
        <f>Table14[[#This Row],[Enrolment S.Y. 2025-2026 ]]*8</f>
        <v>0</v>
      </c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>
        <f>Table14[[#This Row],[Enrolment S.Y. 2025-2026 ]]*8</f>
        <v>0</v>
      </c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>
        <f>Table14[[#This Row],[Enrolment S.Y. 2025-2026 ]]*8</f>
        <v>0</v>
      </c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>
        <f>Table14[[#This Row],[Enrolment S.Y. 2025-2026 ]]*8</f>
        <v>0</v>
      </c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>
        <f>Table14[[#This Row],[Enrolment S.Y. 2025-2026 ]]*8</f>
        <v>0</v>
      </c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>
      <c r="K90" s="7">
        <f>Table14[[#This Row],[Enrolment S.Y. 2025-2026 ]]*8</f>
        <v>0</v>
      </c>
      <c r="Q90" s="7">
        <f>Table14[[#This Row],[Enrolment S.Y. 2025-2026 ]]*8</f>
        <v>0</v>
      </c>
    </row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>
        <f>Table14[[#This Row],[Enrolment S.Y. 2025-2026 ]]*8</f>
        <v>0</v>
      </c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>
        <f>Table14[[#This Row],[Enrolment S.Y. 2025-2026 ]]*8</f>
        <v>0</v>
      </c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>
        <f>Table14[[#This Row],[Enrolment S.Y. 2025-2026 ]]*8</f>
        <v>0</v>
      </c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>
        <f>Table14[[#This Row],[Enrolment S.Y. 2025-2026 ]]*8</f>
        <v>0</v>
      </c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>
        <f>Table14[[#This Row],[Enrolment S.Y. 2025-2026 ]]*8</f>
        <v>0</v>
      </c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>
        <f>Table14[[#This Row],[Enrolment S.Y. 2025-2026 ]]*8</f>
        <v>0</v>
      </c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>
        <f>Table14[[#This Row],[Enrolment S.Y. 2025-2026 ]]*8</f>
        <v>0</v>
      </c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>
        <f>Table14[[#This Row],[Enrolment S.Y. 2025-2026 ]]*8</f>
        <v>0</v>
      </c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>
        <f>Table14[[#This Row],[Enrolment S.Y. 2025-2026 ]]*8</f>
        <v>0</v>
      </c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>
        <f>Table14[[#This Row],[Enrolment S.Y. 2025-2026 ]]*8</f>
        <v>0</v>
      </c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>
        <f>Table14[[#This Row],[Enrolment S.Y. 2025-2026 ]]*8</f>
        <v>0</v>
      </c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>
        <f>Table14[[#This Row],[Enrolment S.Y. 2025-2026 ]]*8</f>
        <v>0</v>
      </c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>
        <f>Table14[[#This Row],[Enrolment S.Y. 2025-2026 ]]*8</f>
        <v>0</v>
      </c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>
        <f>Table14[[#This Row],[Enrolment S.Y. 2025-2026 ]]*8</f>
        <v>0</v>
      </c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>
        <f>Table14[[#This Row],[Enrolment S.Y. 2025-2026 ]]*8</f>
        <v>0</v>
      </c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>
        <f>Table14[[#This Row],[Enrolment S.Y. 2025-2026 ]]*8</f>
        <v>0</v>
      </c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>
        <f>Table14[[#This Row],[Enrolment S.Y. 2025-2026 ]]*8</f>
        <v>0</v>
      </c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>
        <f>Table14[[#This Row],[Enrolment S.Y. 2025-2026 ]]*8</f>
        <v>0</v>
      </c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>
        <f>Table14[[#This Row],[Enrolment S.Y. 2025-2026 ]]*8</f>
        <v>0</v>
      </c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>
        <f>Table14[[#This Row],[Enrolment S.Y. 2025-2026 ]]*8</f>
        <v>0</v>
      </c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>
        <f>Table14[[#This Row],[Enrolment S.Y. 2025-2026 ]]*8</f>
        <v>0</v>
      </c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>
        <f>Table14[[#This Row],[Enrolment S.Y. 2025-2026 ]]*8</f>
        <v>0</v>
      </c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>
      <c r="K102" s="7">
        <f>Table14[[#This Row],[Enrolment S.Y. 2025-2026 ]]*8</f>
        <v>0</v>
      </c>
      <c r="Q102" s="7">
        <f>Table14[[#This Row],[Enrolment S.Y. 2025-2026 ]]*8</f>
        <v>0</v>
      </c>
    </row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>
        <f>Table14[[#This Row],[Enrolment S.Y. 2025-2026 ]]*8</f>
        <v>0</v>
      </c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>
        <f>Table14[[#This Row],[Enrolment S.Y. 2025-2026 ]]*8</f>
        <v>0</v>
      </c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>
        <f>Table14[[#This Row],[Enrolment S.Y. 2025-2026 ]]*8</f>
        <v>0</v>
      </c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>
        <f>Table14[[#This Row],[Enrolment S.Y. 2025-2026 ]]*8</f>
        <v>0</v>
      </c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>
        <f>Table14[[#This Row],[Enrolment S.Y. 2025-2026 ]]*8</f>
        <v>0</v>
      </c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>
        <f>Table14[[#This Row],[Enrolment S.Y. 2025-2026 ]]*8</f>
        <v>0</v>
      </c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>
        <f>Table14[[#This Row],[Enrolment S.Y. 2025-2026 ]]*8</f>
        <v>0</v>
      </c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>
        <f>Table14[[#This Row],[Enrolment S.Y. 2025-2026 ]]*8</f>
        <v>0</v>
      </c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>
        <f>Table14[[#This Row],[Enrolment S.Y. 2025-2026 ]]*8</f>
        <v>0</v>
      </c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>
        <f>Table14[[#This Row],[Enrolment S.Y. 2025-2026 ]]*8</f>
        <v>0</v>
      </c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>
        <f>Table14[[#This Row],[Enrolment S.Y. 2025-2026 ]]*8</f>
        <v>0</v>
      </c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>
        <f>Table14[[#This Row],[Enrolment S.Y. 2025-2026 ]]*8</f>
        <v>0</v>
      </c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>
        <f>Table14[[#This Row],[Enrolment S.Y. 2025-2026 ]]*8</f>
        <v>0</v>
      </c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>
        <f>Table14[[#This Row],[Enrolment S.Y. 2025-2026 ]]*8</f>
        <v>0</v>
      </c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>
        <f>Table14[[#This Row],[Enrolment S.Y. 2025-2026 ]]*8</f>
        <v>0</v>
      </c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>
        <f>Table14[[#This Row],[Enrolment S.Y. 2025-2026 ]]*8</f>
        <v>0</v>
      </c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>
        <f>Table14[[#This Row],[Enrolment S.Y. 2025-2026 ]]*8</f>
        <v>0</v>
      </c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>
        <f>Table14[[#This Row],[Enrolment S.Y. 2025-2026 ]]*8</f>
        <v>0</v>
      </c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>
        <f>Table14[[#This Row],[Enrolment S.Y. 2025-2026 ]]*8</f>
        <v>0</v>
      </c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>
        <f>Table14[[#This Row],[Enrolment S.Y. 2025-2026 ]]*8</f>
        <v>0</v>
      </c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>
        <f>Table14[[#This Row],[Enrolment S.Y. 2025-2026 ]]*8</f>
        <v>0</v>
      </c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>
        <f>Table14[[#This Row],[Enrolment S.Y. 2025-2026 ]]*8</f>
        <v>0</v>
      </c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>
      <c r="K114" s="7">
        <f>Table14[[#This Row],[Enrolment S.Y. 2025-2026 ]]*8</f>
        <v>0</v>
      </c>
      <c r="Q114" s="7">
        <f>Table14[[#This Row],[Enrolment S.Y. 2025-2026 ]]*8</f>
        <v>0</v>
      </c>
    </row>
    <row r="115" spans="1:28" ht="38.25">
      <c r="A115" s="1" t="s">
        <v>23</v>
      </c>
      <c r="B115" s="9" t="s">
        <v>24</v>
      </c>
      <c r="C115" s="1">
        <v>110</v>
      </c>
      <c r="D115" s="5">
        <f>Table14[[#This Row],[Enrolment S.Y. 2025-2026 ]]*8</f>
        <v>880</v>
      </c>
      <c r="E115" s="5">
        <v>24</v>
      </c>
      <c r="F115" s="1"/>
      <c r="G115" s="5" t="s">
        <v>63</v>
      </c>
      <c r="H115" s="5">
        <f t="shared" si="22"/>
        <v>856</v>
      </c>
      <c r="I115" s="5">
        <f t="shared" si="23"/>
        <v>0</v>
      </c>
      <c r="J115" s="5">
        <f>Table14[[#This Row],[Enrolment S.Y. 2025-2026 ]]*8</f>
        <v>880</v>
      </c>
      <c r="K115" s="5">
        <v>24</v>
      </c>
      <c r="L115" s="1"/>
      <c r="M115" s="5" t="s">
        <v>63</v>
      </c>
      <c r="N115" s="5">
        <f t="shared" ref="N115:N122" si="30">IF((J115-K115)&lt;0,0,(J115-K115))</f>
        <v>856</v>
      </c>
      <c r="O115" s="5">
        <f t="shared" si="21"/>
        <v>0</v>
      </c>
      <c r="P115" s="5">
        <f>Table14[[#This Row],[Enrolment S.Y. 2025-2026 ]]*8</f>
        <v>880</v>
      </c>
      <c r="Q115" s="5">
        <v>24</v>
      </c>
      <c r="R115" s="1"/>
      <c r="S115" s="5" t="s">
        <v>63</v>
      </c>
      <c r="T115" s="5">
        <f t="shared" ref="T115:T122" si="31">IF((P115-Q115)&lt;0,0,(P115-Q115))</f>
        <v>856</v>
      </c>
      <c r="U115" s="5">
        <f t="shared" si="17"/>
        <v>0</v>
      </c>
      <c r="V115" s="5">
        <f>Table14[[#This Row],[Enrolment S.Y. 2025-2026 ]]*8</f>
        <v>880</v>
      </c>
      <c r="W115" s="5">
        <v>24</v>
      </c>
      <c r="X115" s="1"/>
      <c r="Y115" s="5" t="s">
        <v>63</v>
      </c>
      <c r="Z115" s="5">
        <f t="shared" si="18"/>
        <v>856</v>
      </c>
      <c r="AA115" s="5">
        <f t="shared" si="19"/>
        <v>0</v>
      </c>
    </row>
    <row r="116" spans="1:28" ht="19.5">
      <c r="A116" s="1" t="s">
        <v>23</v>
      </c>
      <c r="B116" s="9" t="s">
        <v>26</v>
      </c>
      <c r="C116" s="1">
        <v>110</v>
      </c>
      <c r="D116" s="5">
        <f>Table14[[#This Row],[Enrolment S.Y. 2025-2026 ]]*8</f>
        <v>880</v>
      </c>
      <c r="E116" s="5">
        <v>11</v>
      </c>
      <c r="F116" s="1"/>
      <c r="G116" s="5" t="s">
        <v>63</v>
      </c>
      <c r="H116" s="5">
        <f t="shared" si="22"/>
        <v>869</v>
      </c>
      <c r="I116" s="5">
        <f t="shared" si="23"/>
        <v>0</v>
      </c>
      <c r="J116" s="5">
        <f>Table14[[#This Row],[Enrolment S.Y. 2025-2026 ]]*8</f>
        <v>880</v>
      </c>
      <c r="K116" s="5">
        <v>11</v>
      </c>
      <c r="L116" s="1"/>
      <c r="M116" s="5" t="s">
        <v>63</v>
      </c>
      <c r="N116" s="5">
        <f t="shared" si="30"/>
        <v>869</v>
      </c>
      <c r="O116" s="5">
        <f t="shared" si="21"/>
        <v>0</v>
      </c>
      <c r="P116" s="5">
        <f>Table14[[#This Row],[Enrolment S.Y. 2025-2026 ]]*8</f>
        <v>880</v>
      </c>
      <c r="Q116" s="5">
        <v>11</v>
      </c>
      <c r="R116" s="1"/>
      <c r="S116" s="5" t="s">
        <v>63</v>
      </c>
      <c r="T116" s="5">
        <f t="shared" si="31"/>
        <v>869</v>
      </c>
      <c r="U116" s="5">
        <f t="shared" si="17"/>
        <v>0</v>
      </c>
      <c r="V116" s="5">
        <f>Table14[[#This Row],[Enrolment S.Y. 2025-2026 ]]*8</f>
        <v>880</v>
      </c>
      <c r="W116" s="5">
        <v>11</v>
      </c>
      <c r="X116" s="1"/>
      <c r="Y116" s="5" t="s">
        <v>63</v>
      </c>
      <c r="Z116" s="5">
        <f t="shared" si="18"/>
        <v>869</v>
      </c>
      <c r="AA116" s="5">
        <f t="shared" si="19"/>
        <v>0</v>
      </c>
    </row>
    <row r="117" spans="1:28" ht="19.5">
      <c r="A117" s="1" t="s">
        <v>23</v>
      </c>
      <c r="B117" s="9" t="s">
        <v>27</v>
      </c>
      <c r="C117" s="1">
        <v>94</v>
      </c>
      <c r="D117" s="5">
        <f>Table14[[#This Row],[Enrolment S.Y. 2025-2026 ]]*8</f>
        <v>752</v>
      </c>
      <c r="E117" s="5">
        <v>5</v>
      </c>
      <c r="F117" s="1"/>
      <c r="G117" s="5" t="s">
        <v>63</v>
      </c>
      <c r="H117" s="5">
        <f t="shared" si="22"/>
        <v>747</v>
      </c>
      <c r="I117" s="5">
        <f t="shared" si="23"/>
        <v>0</v>
      </c>
      <c r="J117" s="5">
        <f>Table14[[#This Row],[Enrolment S.Y. 2025-2026 ]]*8</f>
        <v>752</v>
      </c>
      <c r="K117" s="5">
        <v>5</v>
      </c>
      <c r="L117" s="1"/>
      <c r="M117" s="5" t="s">
        <v>63</v>
      </c>
      <c r="N117" s="5">
        <f t="shared" si="30"/>
        <v>747</v>
      </c>
      <c r="O117" s="5">
        <f t="shared" si="21"/>
        <v>0</v>
      </c>
      <c r="P117" s="5">
        <f>Table14[[#This Row],[Enrolment S.Y. 2025-2026 ]]*8</f>
        <v>752</v>
      </c>
      <c r="Q117" s="5">
        <v>5</v>
      </c>
      <c r="R117" s="1"/>
      <c r="S117" s="5" t="s">
        <v>63</v>
      </c>
      <c r="T117" s="5">
        <f t="shared" si="31"/>
        <v>747</v>
      </c>
      <c r="U117" s="5">
        <f t="shared" si="17"/>
        <v>0</v>
      </c>
      <c r="V117" s="5">
        <f>Table14[[#This Row],[Enrolment S.Y. 2025-2026 ]]*8</f>
        <v>752</v>
      </c>
      <c r="W117" s="5">
        <v>5</v>
      </c>
      <c r="X117" s="1"/>
      <c r="Y117" s="5" t="s">
        <v>63</v>
      </c>
      <c r="Z117" s="5">
        <f t="shared" si="18"/>
        <v>747</v>
      </c>
      <c r="AA117" s="5">
        <f t="shared" si="19"/>
        <v>0</v>
      </c>
    </row>
    <row r="118" spans="1:28" ht="19.5">
      <c r="A118" s="1" t="s">
        <v>23</v>
      </c>
      <c r="B118" s="9" t="s">
        <v>28</v>
      </c>
      <c r="C118" s="1">
        <v>0</v>
      </c>
      <c r="D118" s="5">
        <f>Table14[[#This Row],[Enrolment S.Y. 2025-2026 ]]*8</f>
        <v>0</v>
      </c>
      <c r="E118" s="5">
        <v>0</v>
      </c>
      <c r="F118" s="1"/>
      <c r="G118" s="5" t="s">
        <v>63</v>
      </c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>
        <v>0</v>
      </c>
      <c r="L118" s="1"/>
      <c r="M118" s="5" t="s">
        <v>63</v>
      </c>
      <c r="N118" s="5">
        <f t="shared" si="30"/>
        <v>0</v>
      </c>
      <c r="O118" s="5">
        <f t="shared" si="21"/>
        <v>0</v>
      </c>
      <c r="P118" s="5">
        <f>Table14[[#This Row],[Enrolment S.Y. 2025-2026 ]]*8</f>
        <v>0</v>
      </c>
      <c r="Q118" s="5">
        <v>0</v>
      </c>
      <c r="R118" s="1"/>
      <c r="S118" s="5" t="s">
        <v>63</v>
      </c>
      <c r="T118" s="5">
        <f t="shared" si="31"/>
        <v>0</v>
      </c>
      <c r="U118" s="5">
        <f t="shared" si="17"/>
        <v>0</v>
      </c>
      <c r="V118" s="5">
        <f>Table14[[#This Row],[Enrolment S.Y. 2025-2026 ]]*8</f>
        <v>0</v>
      </c>
      <c r="W118" s="5">
        <v>0</v>
      </c>
      <c r="X118" s="1"/>
      <c r="Y118" s="5" t="s">
        <v>63</v>
      </c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29</v>
      </c>
      <c r="C119" s="1">
        <v>110</v>
      </c>
      <c r="D119" s="5">
        <f>Table14[[#This Row],[Enrolment S.Y. 2025-2026 ]]*8</f>
        <v>880</v>
      </c>
      <c r="E119" s="5">
        <v>0</v>
      </c>
      <c r="F119" s="1"/>
      <c r="G119" s="5" t="s">
        <v>63</v>
      </c>
      <c r="H119" s="5">
        <f t="shared" si="22"/>
        <v>880</v>
      </c>
      <c r="I119" s="5">
        <f t="shared" si="23"/>
        <v>0</v>
      </c>
      <c r="J119" s="5">
        <f>Table14[[#This Row],[Enrolment S.Y. 2025-2026 ]]*8</f>
        <v>880</v>
      </c>
      <c r="K119" s="5">
        <v>0</v>
      </c>
      <c r="L119" s="1"/>
      <c r="M119" s="5" t="s">
        <v>63</v>
      </c>
      <c r="N119" s="5">
        <f t="shared" si="30"/>
        <v>880</v>
      </c>
      <c r="O119" s="5">
        <f t="shared" si="21"/>
        <v>0</v>
      </c>
      <c r="P119" s="5">
        <f>Table14[[#This Row],[Enrolment S.Y. 2025-2026 ]]*8</f>
        <v>880</v>
      </c>
      <c r="Q119" s="5">
        <v>0</v>
      </c>
      <c r="R119" s="1"/>
      <c r="S119" s="5" t="s">
        <v>63</v>
      </c>
      <c r="T119" s="5">
        <f t="shared" si="31"/>
        <v>880</v>
      </c>
      <c r="U119" s="5">
        <f t="shared" si="17"/>
        <v>0</v>
      </c>
      <c r="V119" s="5">
        <f>Table14[[#This Row],[Enrolment S.Y. 2025-2026 ]]*8</f>
        <v>880</v>
      </c>
      <c r="W119" s="5">
        <v>0</v>
      </c>
      <c r="X119" s="1"/>
      <c r="Y119" s="5" t="s">
        <v>63</v>
      </c>
      <c r="Z119" s="5">
        <f t="shared" si="18"/>
        <v>880</v>
      </c>
      <c r="AA119" s="5">
        <f t="shared" si="19"/>
        <v>0</v>
      </c>
    </row>
    <row r="120" spans="1:28" ht="38.25">
      <c r="A120" s="1" t="s">
        <v>23</v>
      </c>
      <c r="B120" s="9" t="s">
        <v>30</v>
      </c>
      <c r="C120" s="1">
        <v>110</v>
      </c>
      <c r="D120" s="5">
        <f>Table14[[#This Row],[Enrolment S.Y. 2025-2026 ]]*8</f>
        <v>880</v>
      </c>
      <c r="E120" s="5">
        <v>8</v>
      </c>
      <c r="F120" s="1"/>
      <c r="G120" s="5" t="s">
        <v>63</v>
      </c>
      <c r="H120" s="5">
        <f t="shared" si="22"/>
        <v>872</v>
      </c>
      <c r="I120" s="5">
        <f t="shared" si="23"/>
        <v>0</v>
      </c>
      <c r="J120" s="5">
        <f>Table14[[#This Row],[Enrolment S.Y. 2025-2026 ]]*8</f>
        <v>880</v>
      </c>
      <c r="K120" s="5">
        <v>8</v>
      </c>
      <c r="L120" s="1"/>
      <c r="M120" s="5" t="s">
        <v>63</v>
      </c>
      <c r="N120" s="5">
        <f t="shared" si="30"/>
        <v>872</v>
      </c>
      <c r="O120" s="5">
        <f t="shared" si="21"/>
        <v>0</v>
      </c>
      <c r="P120" s="5">
        <f>Table14[[#This Row],[Enrolment S.Y. 2025-2026 ]]*8</f>
        <v>880</v>
      </c>
      <c r="Q120" s="5">
        <v>8</v>
      </c>
      <c r="R120" s="1"/>
      <c r="S120" s="5" t="s">
        <v>63</v>
      </c>
      <c r="T120" s="5">
        <f t="shared" si="31"/>
        <v>872</v>
      </c>
      <c r="U120" s="5">
        <f t="shared" si="17"/>
        <v>0</v>
      </c>
      <c r="V120" s="5">
        <f>Table14[[#This Row],[Enrolment S.Y. 2025-2026 ]]*8</f>
        <v>880</v>
      </c>
      <c r="W120" s="5">
        <v>8</v>
      </c>
      <c r="X120" s="1"/>
      <c r="Y120" s="5" t="s">
        <v>63</v>
      </c>
      <c r="Z120" s="5">
        <f t="shared" si="18"/>
        <v>872</v>
      </c>
      <c r="AA120" s="5">
        <f t="shared" si="19"/>
        <v>0</v>
      </c>
    </row>
    <row r="121" spans="1:28" ht="57.75">
      <c r="A121" s="1" t="s">
        <v>23</v>
      </c>
      <c r="B121" s="9" t="s">
        <v>31</v>
      </c>
      <c r="C121" s="1">
        <v>94</v>
      </c>
      <c r="D121" s="5">
        <f>Table14[[#This Row],[Enrolment S.Y. 2025-2026 ]]*8</f>
        <v>752</v>
      </c>
      <c r="E121" s="5">
        <v>2</v>
      </c>
      <c r="F121" s="1"/>
      <c r="G121" s="5" t="s">
        <v>63</v>
      </c>
      <c r="H121" s="5">
        <f t="shared" si="22"/>
        <v>750</v>
      </c>
      <c r="I121" s="5">
        <f t="shared" si="23"/>
        <v>0</v>
      </c>
      <c r="J121" s="5">
        <f>Table14[[#This Row],[Enrolment S.Y. 2025-2026 ]]*8</f>
        <v>752</v>
      </c>
      <c r="K121" s="5">
        <v>2</v>
      </c>
      <c r="L121" s="1"/>
      <c r="M121" s="5" t="s">
        <v>63</v>
      </c>
      <c r="N121" s="5">
        <f t="shared" si="30"/>
        <v>750</v>
      </c>
      <c r="O121" s="5">
        <f t="shared" si="21"/>
        <v>0</v>
      </c>
      <c r="P121" s="5">
        <f>Table14[[#This Row],[Enrolment S.Y. 2025-2026 ]]*8</f>
        <v>752</v>
      </c>
      <c r="Q121" s="5">
        <v>2</v>
      </c>
      <c r="R121" s="1"/>
      <c r="S121" s="5" t="s">
        <v>63</v>
      </c>
      <c r="T121" s="5">
        <f t="shared" si="31"/>
        <v>750</v>
      </c>
      <c r="U121" s="5">
        <f t="shared" si="17"/>
        <v>0</v>
      </c>
      <c r="V121" s="5">
        <f>Table14[[#This Row],[Enrolment S.Y. 2025-2026 ]]*8</f>
        <v>752</v>
      </c>
      <c r="W121" s="5">
        <v>2</v>
      </c>
      <c r="X121" s="1"/>
      <c r="Y121" s="5" t="s">
        <v>63</v>
      </c>
      <c r="Z121" s="5">
        <f t="shared" si="18"/>
        <v>750</v>
      </c>
      <c r="AA121" s="5">
        <f t="shared" si="19"/>
        <v>0</v>
      </c>
    </row>
    <row r="122" spans="1:28" ht="38.25">
      <c r="A122" s="1" t="s">
        <v>23</v>
      </c>
      <c r="B122" s="9" t="s">
        <v>32</v>
      </c>
      <c r="C122" s="1">
        <v>110</v>
      </c>
      <c r="D122" s="5">
        <f>Table14[[#This Row],[Enrolment S.Y. 2025-2026 ]]*8</f>
        <v>880</v>
      </c>
      <c r="E122" s="5">
        <v>0</v>
      </c>
      <c r="F122" s="1"/>
      <c r="G122" s="5" t="s">
        <v>63</v>
      </c>
      <c r="H122" s="5">
        <f t="shared" si="22"/>
        <v>880</v>
      </c>
      <c r="I122" s="5">
        <f t="shared" si="23"/>
        <v>0</v>
      </c>
      <c r="J122" s="5">
        <f>Table14[[#This Row],[Enrolment S.Y. 2025-2026 ]]*8</f>
        <v>880</v>
      </c>
      <c r="K122" s="5">
        <v>0</v>
      </c>
      <c r="L122" s="1"/>
      <c r="M122" s="5" t="s">
        <v>63</v>
      </c>
      <c r="N122" s="5">
        <f t="shared" si="30"/>
        <v>880</v>
      </c>
      <c r="O122" s="5">
        <f t="shared" si="21"/>
        <v>0</v>
      </c>
      <c r="P122" s="5">
        <f>Table14[[#This Row],[Enrolment S.Y. 2025-2026 ]]*8</f>
        <v>880</v>
      </c>
      <c r="Q122" s="5">
        <v>0</v>
      </c>
      <c r="R122" s="1"/>
      <c r="S122" s="5" t="s">
        <v>63</v>
      </c>
      <c r="T122" s="5">
        <f t="shared" si="31"/>
        <v>880</v>
      </c>
      <c r="U122" s="5">
        <f t="shared" si="17"/>
        <v>0</v>
      </c>
      <c r="V122" s="5">
        <f>Table14[[#This Row],[Enrolment S.Y. 2025-2026 ]]*8</f>
        <v>880</v>
      </c>
      <c r="W122" s="5">
        <v>0</v>
      </c>
      <c r="X122" s="1"/>
      <c r="Y122" s="5" t="s">
        <v>63</v>
      </c>
      <c r="Z122" s="5">
        <f t="shared" si="18"/>
        <v>880</v>
      </c>
      <c r="AA122" s="5">
        <f t="shared" si="19"/>
        <v>0</v>
      </c>
    </row>
    <row r="123" spans="1:28" s="7" customFormat="1">
      <c r="K123" s="7">
        <f>Table14[[#This Row],[Enrolment S.Y. 2025-2026 ]]*8</f>
        <v>0</v>
      </c>
      <c r="Q123" s="7">
        <f>Table14[[#This Row],[Enrolment S.Y. 2025-2026 ]]*8</f>
        <v>0</v>
      </c>
    </row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>
        <f>Table14[[#This Row],[Enrolment S.Y. 2025-2026 ]]*8</f>
        <v>0</v>
      </c>
      <c r="L124" s="7"/>
      <c r="M124" s="7"/>
      <c r="N124" s="7"/>
      <c r="O124" s="7"/>
      <c r="P124" s="7"/>
      <c r="Q124" s="7">
        <f>Table14[[#This Row],[Enrolment S.Y. 2025-2026 ]]*8</f>
        <v>0</v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>
        <f>Table14[[#This Row],[Enrolment S.Y. 2025-2026 ]]*8</f>
        <v>0</v>
      </c>
      <c r="L125" s="7"/>
      <c r="M125" s="7"/>
      <c r="N125" s="7"/>
      <c r="O125" s="7"/>
      <c r="P125" s="7"/>
      <c r="Q125" s="7">
        <f>Table14[[#This Row],[Enrolment S.Y. 2025-2026 ]]*8</f>
        <v>0</v>
      </c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>
        <f>Table14[[#This Row],[Enrolment S.Y. 2025-2026 ]]*8</f>
        <v>0</v>
      </c>
      <c r="L126" s="7"/>
      <c r="M126" s="7"/>
      <c r="N126" s="7"/>
      <c r="O126" s="7"/>
      <c r="P126" s="7"/>
      <c r="Q126" s="7">
        <f>Table14[[#This Row],[Enrolment S.Y. 2025-2026 ]]*8</f>
        <v>0</v>
      </c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>
        <f>Table14[[#This Row],[Enrolment S.Y. 2025-2026 ]]*8</f>
        <v>0</v>
      </c>
      <c r="L127" s="7"/>
      <c r="M127" s="7"/>
      <c r="N127" s="7"/>
      <c r="O127" s="7"/>
      <c r="P127" s="7"/>
      <c r="Q127" s="7">
        <f>Table14[[#This Row],[Enrolment S.Y. 2025-2026 ]]*8</f>
        <v>0</v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>
        <f>Table14[[#This Row],[Enrolment S.Y. 2025-2026 ]]*8</f>
        <v>0</v>
      </c>
      <c r="L128" s="7"/>
      <c r="M128" s="7"/>
      <c r="N128" s="7"/>
      <c r="O128" s="7"/>
      <c r="P128" s="7"/>
      <c r="Q128" s="7">
        <f>Table14[[#This Row],[Enrolment S.Y. 2025-2026 ]]*8</f>
        <v>0</v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>
        <f>Table14[[#This Row],[Enrolment S.Y. 2025-2026 ]]*8</f>
        <v>0</v>
      </c>
      <c r="L129" s="7"/>
      <c r="M129" s="7"/>
      <c r="N129" s="7"/>
      <c r="O129" s="7"/>
      <c r="P129" s="7"/>
      <c r="Q129" s="7">
        <f>Table14[[#This Row],[Enrolment S.Y. 2025-2026 ]]*8</f>
        <v>0</v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>
        <f>Table14[[#This Row],[Enrolment S.Y. 2025-2026 ]]*8</f>
        <v>0</v>
      </c>
      <c r="L130" s="7"/>
      <c r="M130" s="7"/>
      <c r="N130" s="7"/>
      <c r="O130" s="7"/>
      <c r="P130" s="7"/>
      <c r="Q130" s="7">
        <f>Table14[[#This Row],[Enrolment S.Y. 2025-2026 ]]*8</f>
        <v>0</v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>
        <f>Table14[[#This Row],[Enrolment S.Y. 2025-2026 ]]*8</f>
        <v>0</v>
      </c>
      <c r="L131" s="7"/>
      <c r="M131" s="7"/>
      <c r="N131" s="7"/>
      <c r="O131" s="7"/>
      <c r="P131" s="7"/>
      <c r="Q131" s="7">
        <f>Table14[[#This Row],[Enrolment S.Y. 2025-2026 ]]*8</f>
        <v>0</v>
      </c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>
        <f>Table14[[#This Row],[Enrolment S.Y. 2025-2026 ]]*8</f>
        <v>0</v>
      </c>
      <c r="L132" s="7"/>
      <c r="M132" s="7"/>
      <c r="N132" s="7"/>
      <c r="O132" s="7"/>
      <c r="P132" s="7"/>
      <c r="Q132" s="7">
        <f>Table14[[#This Row],[Enrolment S.Y. 2025-2026 ]]*8</f>
        <v>0</v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>
        <f>Table14[[#This Row],[Enrolment S.Y. 2025-2026 ]]*8</f>
        <v>0</v>
      </c>
      <c r="L133" s="7"/>
      <c r="M133" s="7"/>
      <c r="N133" s="7"/>
      <c r="O133" s="7"/>
      <c r="P133" s="7"/>
      <c r="Q133" s="7">
        <f>Table14[[#This Row],[Enrolment S.Y. 2025-2026 ]]*8</f>
        <v>0</v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>
        <f>Table14[[#This Row],[Enrolment S.Y. 2025-2026 ]]*8</f>
        <v>0</v>
      </c>
      <c r="L134" s="7"/>
      <c r="M134" s="7"/>
      <c r="N134" s="7"/>
      <c r="O134" s="7"/>
      <c r="P134" s="7"/>
      <c r="Q134" s="7">
        <f>Table14[[#This Row],[Enrolment S.Y. 2025-2026 ]]*8</f>
        <v>0</v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>
        <f>Table14[[#This Row],[Enrolment S.Y. 2025-2026 ]]*8</f>
        <v>0</v>
      </c>
      <c r="L135" s="7"/>
      <c r="M135" s="7"/>
      <c r="N135" s="7"/>
      <c r="O135" s="7"/>
      <c r="P135" s="7"/>
      <c r="Q135" s="7">
        <f>Table14[[#This Row],[Enrolment S.Y. 2025-2026 ]]*8</f>
        <v>0</v>
      </c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>
        <f>Table14[[#This Row],[Enrolment S.Y. 2025-2026 ]]*8</f>
        <v>0</v>
      </c>
      <c r="L136" s="7"/>
      <c r="M136" s="7"/>
      <c r="N136" s="7"/>
      <c r="O136" s="7"/>
      <c r="P136" s="7"/>
      <c r="Q136" s="7">
        <f>Table14[[#This Row],[Enrolment S.Y. 2025-2026 ]]*8</f>
        <v>0</v>
      </c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>
        <f>Table14[[#This Row],[Enrolment S.Y. 2025-2026 ]]*8</f>
        <v>0</v>
      </c>
      <c r="L137" s="7"/>
      <c r="M137" s="7"/>
      <c r="N137" s="7"/>
      <c r="O137" s="7"/>
      <c r="P137" s="7"/>
      <c r="Q137" s="7">
        <f>Table14[[#This Row],[Enrolment S.Y. 2025-2026 ]]*8</f>
        <v>0</v>
      </c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>
        <f>Table14[[#This Row],[Enrolment S.Y. 2025-2026 ]]*8</f>
        <v>0</v>
      </c>
      <c r="L138" s="7"/>
      <c r="M138" s="7"/>
      <c r="N138" s="7"/>
      <c r="O138" s="7"/>
      <c r="P138" s="7"/>
      <c r="Q138" s="7">
        <f>Table14[[#This Row],[Enrolment S.Y. 2025-2026 ]]*8</f>
        <v>0</v>
      </c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>
        <f>Table14[[#This Row],[Enrolment S.Y. 2025-2026 ]]*8</f>
        <v>0</v>
      </c>
      <c r="L139" s="7"/>
      <c r="M139" s="7"/>
      <c r="N139" s="7"/>
      <c r="O139" s="7"/>
      <c r="P139" s="7"/>
      <c r="Q139" s="7">
        <f>Table14[[#This Row],[Enrolment S.Y. 2025-2026 ]]*8</f>
        <v>0</v>
      </c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>
        <f>Table14[[#This Row],[Enrolment S.Y. 2025-2026 ]]*8</f>
        <v>0</v>
      </c>
      <c r="L140" s="7"/>
      <c r="M140" s="7"/>
      <c r="N140" s="7"/>
      <c r="O140" s="7"/>
      <c r="P140" s="7"/>
      <c r="Q140" s="7">
        <f>Table14[[#This Row],[Enrolment S.Y. 2025-2026 ]]*8</f>
        <v>0</v>
      </c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Z115:AA122 D103:F113 N31:R41 N43:R53 N55:R65 N67:R77 N79:R89 N91:R101 N103:R113 H115:L122 N115:R122 T115:X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G115:G122 M115:M122 S115:S122 Y115:Y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15:M122 S115:S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Y115:Y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R115:R122 F12:F19 F115:F122 L115:L122 F103:F113 X115:X122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2026-02-20T08:26:26Z</dcterms:modified>
  <cp:category/>
  <cp:contentStatus/>
</cp:coreProperties>
</file>