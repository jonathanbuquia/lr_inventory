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13" documentId="13_ncr:1_{BFB59F67-F0DC-4675-A682-EB0734A8026A}" xr6:coauthVersionLast="47" xr6:coauthVersionMax="47" xr10:uidLastSave="{255BFF8E-2416-4513-9784-59E5701748D5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1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<sst xmlns="http://schemas.openxmlformats.org/spreadsheetml/2006/main" count="392" uniqueCount="91">
  <si>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</si>
  <si>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</si>
  <si>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</si>
  <si>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</si>
  <si>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</si>
  <si>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</si>
  <si>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</si>
  <si>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</si>
  <si>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</si>
  <si>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</si>
  <si>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</si>
  <si>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</si>
  <si>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</si>
  <si>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</si>
  <si>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</si>
  <si>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</si>
  <si>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</si>
  <si>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</si>
  <si>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</si>
  <si>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</si>
  <si>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SDO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</si>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</sst>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>
    <filterColumn colId="0">
      <filters>
        <filter val="10"/>
        <filter val="7"/>
        <filter val="8"/>
        <filter val="9"/>
        <filter val="SHS"/>
      </filters>
    </filterColumn>
  </autoFilter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5"/>
  <sheetViews>
    <sheetView zoomScale="85" zoomScaleNormal="85" workbookViewId="0">
      <pane xSplit="2" topLeftCell="C92" activePane="topRight" state="frozen"/>
      <selection pane="topRight" activeCell="E146" sqref="E14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hidden="1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hidden="1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 hidden="1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idden="1">
      <c r="C7" s="6"/>
      <c r="D7" s="6"/>
      <c r="E7" s="6"/>
    </row>
    <row r="8" spans="1:8" ht="39.75" hidden="1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hidden="1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hidden="1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hidden="1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 hidden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idden="1">
      <c r="C13" s="6"/>
      <c r="D13" s="6"/>
      <c r="E13" s="6"/>
    </row>
    <row r="14" spans="1:8" ht="49.5" hidden="1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hidden="1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hidden="1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hidden="1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hidden="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 hidden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idden="1">
      <c r="A20" s="7"/>
      <c r="B20" s="7"/>
      <c r="C20" s="8"/>
      <c r="D20" s="8"/>
      <c r="E20" s="8"/>
      <c r="F20" s="7"/>
      <c r="G20" s="7"/>
      <c r="H20" s="7"/>
    </row>
    <row r="21" spans="1:8" ht="28.5" hidden="1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hidden="1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 hidden="1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hidden="1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hidden="1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hidden="1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hidden="1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hidden="1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hidden="1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hidden="1" customHeight="1">
      <c r="A30" s="7"/>
      <c r="B30" s="7"/>
      <c r="C30" s="8"/>
      <c r="D30" s="8"/>
      <c r="E30" s="8"/>
      <c r="F30" s="7"/>
      <c r="G30" s="7"/>
      <c r="H30" s="7"/>
    </row>
    <row r="31" spans="1:8" ht="27.75" hidden="1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hidden="1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hidden="1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hidden="1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hidden="1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hidden="1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hidden="1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hidden="1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hidden="1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hidden="1" customHeight="1">
      <c r="A40" s="7"/>
      <c r="B40" s="7"/>
      <c r="C40" s="8"/>
      <c r="D40" s="8"/>
      <c r="E40" s="8"/>
      <c r="F40" s="7"/>
      <c r="G40" s="7"/>
      <c r="H40" s="7"/>
    </row>
    <row r="41" spans="1:8" ht="27.75" hidden="1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hidden="1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hidden="1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hidden="1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hidden="1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hidden="1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hidden="1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hidden="1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hidden="1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hidden="1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330</v>
      </c>
      <c r="D51" s="10">
        <v>108</v>
      </c>
      <c r="E51" s="10"/>
      <c r="F51" s="12" t="s">
        <v>20</v>
      </c>
      <c r="G51" s="3">
        <f t="shared" ref="G51:G59" si="10">IF((C51-D51)&lt;0,0,C51-D51)</f>
        <v>222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330</v>
      </c>
      <c r="D52" s="10">
        <v>205</v>
      </c>
      <c r="E52" s="10"/>
      <c r="F52" s="12" t="s">
        <v>20</v>
      </c>
      <c r="G52" s="3">
        <f t="shared" si="10"/>
        <v>125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330</v>
      </c>
      <c r="D53" s="10">
        <v>372</v>
      </c>
      <c r="E53" s="10"/>
      <c r="F53" s="12" t="s">
        <v>20</v>
      </c>
      <c r="G53" s="3">
        <f t="shared" si="10"/>
        <v>0</v>
      </c>
      <c r="H53" s="4">
        <f t="shared" si="11"/>
        <v>42</v>
      </c>
    </row>
    <row r="54" spans="1:8" ht="27.75" customHeight="1">
      <c r="A54" s="10">
        <v>7</v>
      </c>
      <c r="B54" s="11" t="s">
        <v>21</v>
      </c>
      <c r="C54" s="10">
        <v>330</v>
      </c>
      <c r="D54" s="10">
        <v>196</v>
      </c>
      <c r="E54" s="10"/>
      <c r="F54" s="12" t="s">
        <v>20</v>
      </c>
      <c r="G54" s="3">
        <f t="shared" si="10"/>
        <v>134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330</v>
      </c>
      <c r="D55" s="10">
        <v>48</v>
      </c>
      <c r="E55" s="10"/>
      <c r="F55" s="12"/>
      <c r="G55" s="3">
        <f t="shared" si="10"/>
        <v>282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330</v>
      </c>
      <c r="D56" s="10">
        <v>48</v>
      </c>
      <c r="E56" s="10"/>
      <c r="F56" s="12"/>
      <c r="G56" s="3">
        <f t="shared" si="10"/>
        <v>282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330</v>
      </c>
      <c r="D57" s="10">
        <v>57</v>
      </c>
      <c r="E57" s="10"/>
      <c r="F57" s="12"/>
      <c r="G57" s="3">
        <f t="shared" si="10"/>
        <v>273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330</v>
      </c>
      <c r="D58" s="10">
        <v>372</v>
      </c>
      <c r="E58" s="10"/>
      <c r="F58" s="12"/>
      <c r="G58" s="3">
        <f t="shared" si="10"/>
        <v>0</v>
      </c>
      <c r="H58" s="4">
        <f t="shared" si="11"/>
        <v>42</v>
      </c>
    </row>
    <row r="59" spans="1:8" ht="27.75" customHeight="1">
      <c r="A59" s="10">
        <v>7</v>
      </c>
      <c r="B59" s="11" t="s">
        <v>19</v>
      </c>
      <c r="C59" s="10">
        <v>330</v>
      </c>
      <c r="D59" s="10">
        <v>43</v>
      </c>
      <c r="E59" s="10"/>
      <c r="F59" s="12"/>
      <c r="G59" s="3">
        <f t="shared" si="10"/>
        <v>287</v>
      </c>
      <c r="H59" s="4">
        <f t="shared" si="11"/>
        <v>0</v>
      </c>
    </row>
    <row r="60" spans="1:8" ht="27.75" hidden="1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345</v>
      </c>
      <c r="D61" s="10">
        <v>158</v>
      </c>
      <c r="E61" s="10"/>
      <c r="F61" s="12"/>
      <c r="G61" s="3">
        <f t="shared" ref="G61:G69" si="12">IF((C61-D61)&lt;0,0,C61-D61)</f>
        <v>187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345</v>
      </c>
      <c r="D62" s="10">
        <v>164</v>
      </c>
      <c r="E62" s="10"/>
      <c r="F62" s="12"/>
      <c r="G62" s="3">
        <f t="shared" si="12"/>
        <v>181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345</v>
      </c>
      <c r="D63" s="10">
        <v>305</v>
      </c>
      <c r="E63" s="10"/>
      <c r="F63" s="12"/>
      <c r="G63" s="3">
        <f t="shared" si="12"/>
        <v>40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345</v>
      </c>
      <c r="D64" s="10">
        <v>187</v>
      </c>
      <c r="E64" s="10"/>
      <c r="F64" s="12"/>
      <c r="G64" s="3">
        <f t="shared" si="12"/>
        <v>158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345</v>
      </c>
      <c r="D65" s="10">
        <v>75</v>
      </c>
      <c r="E65" s="10"/>
      <c r="F65" s="12"/>
      <c r="G65" s="3">
        <f t="shared" si="12"/>
        <v>270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345</v>
      </c>
      <c r="D66" s="10">
        <v>124</v>
      </c>
      <c r="E66" s="10"/>
      <c r="F66" s="12"/>
      <c r="G66" s="3">
        <f t="shared" si="12"/>
        <v>221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345</v>
      </c>
      <c r="D67" s="10">
        <v>186</v>
      </c>
      <c r="E67" s="10"/>
      <c r="F67" s="12"/>
      <c r="G67" s="3">
        <f t="shared" si="12"/>
        <v>159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345</v>
      </c>
      <c r="D68" s="10"/>
      <c r="E68" s="10"/>
      <c r="F68" s="12"/>
      <c r="G68" s="3">
        <f t="shared" si="12"/>
        <v>345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345</v>
      </c>
      <c r="D69" s="10">
        <v>139</v>
      </c>
      <c r="E69" s="10"/>
      <c r="F69" s="12"/>
      <c r="G69" s="3">
        <f t="shared" si="12"/>
        <v>206</v>
      </c>
      <c r="H69" s="4">
        <f t="shared" si="13"/>
        <v>0</v>
      </c>
    </row>
    <row r="70" spans="1:8" ht="27.75" hidden="1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275</v>
      </c>
      <c r="D71" s="10">
        <v>178</v>
      </c>
      <c r="E71" s="10"/>
      <c r="F71" s="12"/>
      <c r="G71" s="3">
        <f t="shared" ref="G71:G79" si="14">IF((C71-D71)&lt;0,0,C71-D71)</f>
        <v>97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275</v>
      </c>
      <c r="D72" s="10">
        <v>263</v>
      </c>
      <c r="E72" s="10"/>
      <c r="F72" s="12"/>
      <c r="G72" s="3">
        <f t="shared" si="14"/>
        <v>12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275</v>
      </c>
      <c r="D73" s="10">
        <v>394</v>
      </c>
      <c r="E73" s="10"/>
      <c r="F73" s="12"/>
      <c r="G73" s="3">
        <f t="shared" si="14"/>
        <v>0</v>
      </c>
      <c r="H73" s="4">
        <f t="shared" si="15"/>
        <v>119</v>
      </c>
    </row>
    <row r="74" spans="1:8" ht="27.75" customHeight="1">
      <c r="A74" s="10">
        <v>9</v>
      </c>
      <c r="B74" s="11" t="s">
        <v>21</v>
      </c>
      <c r="C74" s="10">
        <v>275</v>
      </c>
      <c r="D74" s="10">
        <v>250</v>
      </c>
      <c r="E74" s="10"/>
      <c r="F74" s="12"/>
      <c r="G74" s="3">
        <f t="shared" si="14"/>
        <v>25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275</v>
      </c>
      <c r="D75" s="10">
        <v>247</v>
      </c>
      <c r="E75" s="10"/>
      <c r="F75" s="12"/>
      <c r="G75" s="3">
        <f t="shared" si="14"/>
        <v>28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275</v>
      </c>
      <c r="D76" s="10">
        <v>295</v>
      </c>
      <c r="E76" s="10"/>
      <c r="F76" s="12"/>
      <c r="G76" s="3">
        <f t="shared" si="14"/>
        <v>0</v>
      </c>
      <c r="H76" s="4">
        <f t="shared" si="15"/>
        <v>20</v>
      </c>
    </row>
    <row r="77" spans="1:8" ht="27.75" customHeight="1">
      <c r="A77" s="10">
        <v>9</v>
      </c>
      <c r="B77" s="11" t="s">
        <v>17</v>
      </c>
      <c r="C77" s="10">
        <v>275</v>
      </c>
      <c r="D77" s="10">
        <v>187</v>
      </c>
      <c r="E77" s="10"/>
      <c r="F77" s="12"/>
      <c r="G77" s="3">
        <f t="shared" si="14"/>
        <v>88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275</v>
      </c>
      <c r="D78" s="10"/>
      <c r="E78" s="10"/>
      <c r="F78" s="12"/>
      <c r="G78" s="3">
        <f t="shared" si="14"/>
        <v>275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275</v>
      </c>
      <c r="D79" s="10">
        <v>297</v>
      </c>
      <c r="E79" s="10"/>
      <c r="F79" s="12"/>
      <c r="G79" s="3">
        <f t="shared" si="14"/>
        <v>0</v>
      </c>
      <c r="H79" s="4">
        <f t="shared" si="15"/>
        <v>22</v>
      </c>
    </row>
    <row r="80" spans="1:8" ht="27.75" hidden="1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285</v>
      </c>
      <c r="D81" s="10">
        <v>52</v>
      </c>
      <c r="E81" s="10"/>
      <c r="F81" s="12"/>
      <c r="G81" s="3">
        <f t="shared" ref="G81:G89" si="16">IF((C81-D81)&lt;0,0,C81-D81)</f>
        <v>233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285</v>
      </c>
      <c r="D82" s="10">
        <v>140</v>
      </c>
      <c r="E82" s="10"/>
      <c r="F82" s="12"/>
      <c r="G82" s="3">
        <f t="shared" si="16"/>
        <v>145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285</v>
      </c>
      <c r="D83" s="10">
        <v>46</v>
      </c>
      <c r="E83" s="10"/>
      <c r="F83" s="12"/>
      <c r="G83" s="3">
        <f t="shared" si="16"/>
        <v>239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285</v>
      </c>
      <c r="D84" s="10">
        <v>71</v>
      </c>
      <c r="E84" s="10"/>
      <c r="F84" s="12"/>
      <c r="G84" s="3">
        <f t="shared" si="16"/>
        <v>214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285</v>
      </c>
      <c r="D85" s="10"/>
      <c r="E85" s="10"/>
      <c r="F85" s="12"/>
      <c r="G85" s="3">
        <f t="shared" si="16"/>
        <v>285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285</v>
      </c>
      <c r="D86" s="10">
        <v>149</v>
      </c>
      <c r="E86" s="10"/>
      <c r="F86" s="12"/>
      <c r="G86" s="3">
        <f t="shared" si="16"/>
        <v>136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285</v>
      </c>
      <c r="D87" s="10">
        <v>162</v>
      </c>
      <c r="E87" s="10"/>
      <c r="F87" s="12"/>
      <c r="G87" s="3">
        <f t="shared" si="16"/>
        <v>123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285</v>
      </c>
      <c r="D88" s="10"/>
      <c r="E88" s="10"/>
      <c r="F88" s="12"/>
      <c r="G88" s="3">
        <f t="shared" si="16"/>
        <v>285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285</v>
      </c>
      <c r="D89" s="10">
        <v>73</v>
      </c>
      <c r="E89" s="10"/>
      <c r="F89" s="12"/>
      <c r="G89" s="3">
        <f t="shared" si="16"/>
        <v>212</v>
      </c>
      <c r="H89" s="4">
        <f t="shared" si="17"/>
        <v>0</v>
      </c>
    </row>
    <row r="90" spans="1:8" ht="27.75" hidden="1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194</v>
      </c>
      <c r="D91" s="1">
        <v>96</v>
      </c>
      <c r="E91" s="1"/>
      <c r="F91" s="5"/>
      <c r="G91" s="3">
        <f t="shared" ref="G91:G98" si="18">IF((C91-D91)&lt;0,0,C91-D91)</f>
        <v>98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194</v>
      </c>
      <c r="D92" s="1">
        <v>96</v>
      </c>
      <c r="E92" s="1"/>
      <c r="F92" s="5"/>
      <c r="G92" s="3">
        <f t="shared" si="18"/>
        <v>98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194</v>
      </c>
      <c r="D93" s="1"/>
      <c r="E93" s="1"/>
      <c r="F93" s="5"/>
      <c r="G93" s="3">
        <f t="shared" si="18"/>
        <v>194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194</v>
      </c>
      <c r="D94" s="1">
        <v>96</v>
      </c>
      <c r="E94" s="1"/>
      <c r="F94" s="5"/>
      <c r="G94" s="3">
        <f t="shared" si="18"/>
        <v>98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194</v>
      </c>
      <c r="D95" s="1">
        <v>96</v>
      </c>
      <c r="E95" s="1"/>
      <c r="F95" s="5"/>
      <c r="G95" s="3">
        <f t="shared" si="18"/>
        <v>98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194</v>
      </c>
      <c r="D96" s="1"/>
      <c r="E96" s="1"/>
      <c r="F96" s="5"/>
      <c r="G96" s="3">
        <f t="shared" si="18"/>
        <v>194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194</v>
      </c>
      <c r="D97" s="1">
        <v>96</v>
      </c>
      <c r="E97" s="1"/>
      <c r="F97" s="5"/>
      <c r="G97" s="3">
        <f t="shared" si="18"/>
        <v>98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194</v>
      </c>
      <c r="D98" s="1">
        <v>96</v>
      </c>
      <c r="E98" s="1"/>
      <c r="F98" s="5"/>
      <c r="G98" s="3">
        <f t="shared" si="18"/>
        <v>98</v>
      </c>
      <c r="H98" s="4">
        <f t="shared" si="19"/>
        <v>0</v>
      </c>
    </row>
    <row r="99" spans="1:8" hidden="1"/>
    <row r="100" spans="1:8" hidden="1"/>
    <row r="101" spans="1:8" hidden="1"/>
    <row r="102" spans="1:8" hidden="1"/>
    <row r="103" spans="1:8" hidden="1"/>
    <row r="104" spans="1:8" hidden="1"/>
    <row r="105" spans="1:8" hidden="1"/>
    <row r="106" spans="1:8" hidden="1"/>
    <row r="107" spans="1:8" hidden="1"/>
    <row r="108" spans="1:8" hidden="1"/>
    <row r="109" spans="1:8" hidden="1"/>
    <row r="110" spans="1:8" hidden="1"/>
    <row r="111" spans="1:8" hidden="1"/>
    <row r="112" spans="1:8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14:E19 E21:E29 E31:E39 E2:E6 E8:E12 E41:E4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51:E59 E61:E69 E71:E79 E81:E89 E91:E98" xr:uid="{E853698E-7F40-4707-AFAD-A0ED1EDDBB6E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17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194</v>
      </c>
      <c r="D103" s="5">
        <f>Table1[[#This Row],[Enrolment S.Y. 2025-2026 ]]*8</f>
        <v>1552</v>
      </c>
      <c r="E103" s="5"/>
      <c r="F103" s="1"/>
      <c r="G103" s="5"/>
      <c r="H103" s="5">
        <f t="shared" si="22"/>
        <v>1552</v>
      </c>
      <c r="I103" s="5">
        <f t="shared" si="23"/>
        <v>0</v>
      </c>
      <c r="J103" s="5">
        <f>Table1[[#This Row],[Enrolment S.Y. 2025-2026 ]]*8</f>
        <v>1552</v>
      </c>
      <c r="K103" s="5"/>
      <c r="L103" s="1"/>
      <c r="M103" s="5"/>
      <c r="N103" s="5">
        <f t="shared" si="16"/>
        <v>1552</v>
      </c>
      <c r="O103" s="5">
        <f t="shared" si="17"/>
        <v>0</v>
      </c>
      <c r="P103" s="5">
        <f>Table1[[#This Row],[Enrolment S.Y. 2025-2026 ]]*8</f>
        <v>1552</v>
      </c>
      <c r="Q103" s="5"/>
      <c r="R103" s="1"/>
      <c r="S103" s="5"/>
      <c r="T103" s="5">
        <f t="shared" si="18"/>
        <v>1552</v>
      </c>
      <c r="U103" s="5">
        <f t="shared" si="19"/>
        <v>0</v>
      </c>
      <c r="V103" s="5">
        <f>Table1[[#This Row],[Enrolment S.Y. 2025-2026 ]]*8</f>
        <v>1552</v>
      </c>
      <c r="W103" s="5"/>
      <c r="X103" s="1"/>
      <c r="Y103" s="5"/>
      <c r="Z103" s="5">
        <f t="shared" si="20"/>
        <v>1552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194</v>
      </c>
      <c r="D104" s="5">
        <f>Table1[[#This Row],[Enrolment S.Y. 2025-2026 ]]*8</f>
        <v>1552</v>
      </c>
      <c r="E104" s="5"/>
      <c r="F104" s="1"/>
      <c r="G104" s="5"/>
      <c r="H104" s="5">
        <f t="shared" si="22"/>
        <v>1552</v>
      </c>
      <c r="I104" s="5">
        <f t="shared" si="23"/>
        <v>0</v>
      </c>
      <c r="J104" s="5">
        <f>Table1[[#This Row],[Enrolment S.Y. 2025-2026 ]]*8</f>
        <v>1552</v>
      </c>
      <c r="K104" s="5"/>
      <c r="L104" s="1"/>
      <c r="M104" s="5"/>
      <c r="N104" s="5">
        <f t="shared" si="16"/>
        <v>1552</v>
      </c>
      <c r="O104" s="5">
        <f t="shared" si="17"/>
        <v>0</v>
      </c>
      <c r="P104" s="5">
        <f>Table1[[#This Row],[Enrolment S.Y. 2025-2026 ]]*8</f>
        <v>1552</v>
      </c>
      <c r="Q104" s="5"/>
      <c r="R104" s="1"/>
      <c r="S104" s="5"/>
      <c r="T104" s="5">
        <f t="shared" si="18"/>
        <v>1552</v>
      </c>
      <c r="U104" s="5">
        <f t="shared" si="19"/>
        <v>0</v>
      </c>
      <c r="V104" s="5">
        <f>Table1[[#This Row],[Enrolment S.Y. 2025-2026 ]]*8</f>
        <v>1552</v>
      </c>
      <c r="W104" s="5"/>
      <c r="X104" s="1"/>
      <c r="Y104" s="5"/>
      <c r="Z104" s="5">
        <f t="shared" si="20"/>
        <v>1552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194</v>
      </c>
      <c r="D105" s="5">
        <f>Table1[[#This Row],[Enrolment S.Y. 2025-2026 ]]*8</f>
        <v>1552</v>
      </c>
      <c r="E105" s="5"/>
      <c r="F105" s="1"/>
      <c r="G105" s="5"/>
      <c r="H105" s="5">
        <f t="shared" si="22"/>
        <v>1552</v>
      </c>
      <c r="I105" s="5">
        <f t="shared" si="23"/>
        <v>0</v>
      </c>
      <c r="J105" s="5">
        <f>Table1[[#This Row],[Enrolment S.Y. 2025-2026 ]]*8</f>
        <v>1552</v>
      </c>
      <c r="K105" s="5"/>
      <c r="L105" s="1"/>
      <c r="M105" s="5"/>
      <c r="N105" s="5">
        <f t="shared" si="16"/>
        <v>1552</v>
      </c>
      <c r="O105" s="5">
        <f t="shared" si="17"/>
        <v>0</v>
      </c>
      <c r="P105" s="5">
        <f>Table1[[#This Row],[Enrolment S.Y. 2025-2026 ]]*8</f>
        <v>1552</v>
      </c>
      <c r="Q105" s="5"/>
      <c r="R105" s="1"/>
      <c r="S105" s="5"/>
      <c r="T105" s="5">
        <f t="shared" si="18"/>
        <v>1552</v>
      </c>
      <c r="U105" s="5">
        <f t="shared" si="19"/>
        <v>0</v>
      </c>
      <c r="V105" s="5">
        <f>Table1[[#This Row],[Enrolment S.Y. 2025-2026 ]]*8</f>
        <v>1552</v>
      </c>
      <c r="W105" s="5"/>
      <c r="X105" s="1"/>
      <c r="Y105" s="5"/>
      <c r="Z105" s="5">
        <f t="shared" si="20"/>
        <v>1552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194</v>
      </c>
      <c r="D106" s="5">
        <f>Table1[[#This Row],[Enrolment S.Y. 2025-2026 ]]*8</f>
        <v>1552</v>
      </c>
      <c r="E106" s="5"/>
      <c r="F106" s="1"/>
      <c r="G106" s="5"/>
      <c r="H106" s="5">
        <f t="shared" si="22"/>
        <v>1552</v>
      </c>
      <c r="I106" s="5">
        <f t="shared" si="23"/>
        <v>0</v>
      </c>
      <c r="J106" s="5">
        <f>Table1[[#This Row],[Enrolment S.Y. 2025-2026 ]]*8</f>
        <v>1552</v>
      </c>
      <c r="K106" s="5"/>
      <c r="L106" s="1"/>
      <c r="M106" s="5"/>
      <c r="N106" s="5">
        <f t="shared" si="16"/>
        <v>1552</v>
      </c>
      <c r="O106" s="5">
        <f t="shared" si="17"/>
        <v>0</v>
      </c>
      <c r="P106" s="5">
        <f>Table1[[#This Row],[Enrolment S.Y. 2025-2026 ]]*8</f>
        <v>1552</v>
      </c>
      <c r="Q106" s="5"/>
      <c r="R106" s="1"/>
      <c r="S106" s="5"/>
      <c r="T106" s="5">
        <f t="shared" si="18"/>
        <v>1552</v>
      </c>
      <c r="U106" s="5">
        <f t="shared" si="19"/>
        <v>0</v>
      </c>
      <c r="V106" s="5">
        <f>Table1[[#This Row],[Enrolment S.Y. 2025-2026 ]]*8</f>
        <v>1552</v>
      </c>
      <c r="W106" s="5"/>
      <c r="X106" s="1"/>
      <c r="Y106" s="5"/>
      <c r="Z106" s="5">
        <f t="shared" si="20"/>
        <v>1552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194</v>
      </c>
      <c r="D107" s="5">
        <f>Table1[[#This Row],[Enrolment S.Y. 2025-2026 ]]*8</f>
        <v>1552</v>
      </c>
      <c r="E107" s="5"/>
      <c r="F107" s="1"/>
      <c r="G107" s="5"/>
      <c r="H107" s="5">
        <f t="shared" si="22"/>
        <v>1552</v>
      </c>
      <c r="I107" s="5">
        <f t="shared" si="23"/>
        <v>0</v>
      </c>
      <c r="J107" s="5">
        <f>Table1[[#This Row],[Enrolment S.Y. 2025-2026 ]]*8</f>
        <v>1552</v>
      </c>
      <c r="K107" s="5"/>
      <c r="L107" s="1"/>
      <c r="M107" s="5"/>
      <c r="N107" s="5">
        <f t="shared" si="16"/>
        <v>1552</v>
      </c>
      <c r="O107" s="5">
        <f t="shared" si="17"/>
        <v>0</v>
      </c>
      <c r="P107" s="5">
        <f>Table1[[#This Row],[Enrolment S.Y. 2025-2026 ]]*8</f>
        <v>1552</v>
      </c>
      <c r="Q107" s="5"/>
      <c r="R107" s="1"/>
      <c r="S107" s="5"/>
      <c r="T107" s="5">
        <f t="shared" si="18"/>
        <v>1552</v>
      </c>
      <c r="U107" s="5">
        <f t="shared" si="19"/>
        <v>0</v>
      </c>
      <c r="V107" s="5">
        <f>Table1[[#This Row],[Enrolment S.Y. 2025-2026 ]]*8</f>
        <v>1552</v>
      </c>
      <c r="W107" s="5"/>
      <c r="X107" s="1"/>
      <c r="Y107" s="5"/>
      <c r="Z107" s="5">
        <f t="shared" si="20"/>
        <v>1552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194</v>
      </c>
      <c r="D108" s="5">
        <f>Table1[[#This Row],[Enrolment S.Y. 2025-2026 ]]*8</f>
        <v>1552</v>
      </c>
      <c r="E108" s="5"/>
      <c r="F108" s="1"/>
      <c r="G108" s="5"/>
      <c r="H108" s="5">
        <f t="shared" si="22"/>
        <v>1552</v>
      </c>
      <c r="I108" s="5">
        <f t="shared" si="23"/>
        <v>0</v>
      </c>
      <c r="J108" s="5">
        <f>Table1[[#This Row],[Enrolment S.Y. 2025-2026 ]]*8</f>
        <v>1552</v>
      </c>
      <c r="K108" s="5"/>
      <c r="L108" s="1"/>
      <c r="M108" s="5"/>
      <c r="N108" s="5">
        <f t="shared" si="16"/>
        <v>1552</v>
      </c>
      <c r="O108" s="5">
        <f t="shared" si="17"/>
        <v>0</v>
      </c>
      <c r="P108" s="5">
        <f>Table1[[#This Row],[Enrolment S.Y. 2025-2026 ]]*8</f>
        <v>1552</v>
      </c>
      <c r="Q108" s="5"/>
      <c r="R108" s="1"/>
      <c r="S108" s="5"/>
      <c r="T108" s="5">
        <f t="shared" si="18"/>
        <v>1552</v>
      </c>
      <c r="U108" s="5">
        <f t="shared" si="19"/>
        <v>0</v>
      </c>
      <c r="V108" s="5">
        <f>Table1[[#This Row],[Enrolment S.Y. 2025-2026 ]]*8</f>
        <v>1552</v>
      </c>
      <c r="W108" s="5"/>
      <c r="X108" s="1"/>
      <c r="Y108" s="5"/>
      <c r="Z108" s="5">
        <f t="shared" si="20"/>
        <v>1552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194</v>
      </c>
      <c r="D109" s="5">
        <f>Table1[[#This Row],[Enrolment S.Y. 2025-2026 ]]*8</f>
        <v>1552</v>
      </c>
      <c r="E109" s="5"/>
      <c r="F109" s="1"/>
      <c r="G109" s="5"/>
      <c r="H109" s="5">
        <f t="shared" si="22"/>
        <v>1552</v>
      </c>
      <c r="I109" s="5">
        <f t="shared" si="23"/>
        <v>0</v>
      </c>
      <c r="J109" s="5">
        <f>Table1[[#This Row],[Enrolment S.Y. 2025-2026 ]]*8</f>
        <v>1552</v>
      </c>
      <c r="K109" s="5"/>
      <c r="L109" s="1"/>
      <c r="M109" s="5"/>
      <c r="N109" s="5">
        <f t="shared" si="16"/>
        <v>1552</v>
      </c>
      <c r="O109" s="5">
        <f t="shared" si="17"/>
        <v>0</v>
      </c>
      <c r="P109" s="5">
        <f>Table1[[#This Row],[Enrolment S.Y. 2025-2026 ]]*8</f>
        <v>1552</v>
      </c>
      <c r="Q109" s="5"/>
      <c r="R109" s="1"/>
      <c r="S109" s="5"/>
      <c r="T109" s="5">
        <f t="shared" si="18"/>
        <v>1552</v>
      </c>
      <c r="U109" s="5">
        <f t="shared" si="19"/>
        <v>0</v>
      </c>
      <c r="V109" s="5">
        <f>Table1[[#This Row],[Enrolment S.Y. 2025-2026 ]]*8</f>
        <v>1552</v>
      </c>
      <c r="W109" s="5"/>
      <c r="X109" s="1"/>
      <c r="Y109" s="5"/>
      <c r="Z109" s="5">
        <f t="shared" si="20"/>
        <v>1552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194</v>
      </c>
      <c r="D110" s="5">
        <f>Table1[[#This Row],[Enrolment S.Y. 2025-2026 ]]*8</f>
        <v>1552</v>
      </c>
      <c r="E110" s="5"/>
      <c r="F110" s="1"/>
      <c r="G110" s="5"/>
      <c r="H110" s="5">
        <f t="shared" si="22"/>
        <v>1552</v>
      </c>
      <c r="I110" s="5">
        <f t="shared" si="23"/>
        <v>0</v>
      </c>
      <c r="J110" s="5">
        <f>Table1[[#This Row],[Enrolment S.Y. 2025-2026 ]]*8</f>
        <v>1552</v>
      </c>
      <c r="K110" s="5"/>
      <c r="L110" s="1"/>
      <c r="M110" s="5"/>
      <c r="N110" s="5">
        <f t="shared" si="16"/>
        <v>1552</v>
      </c>
      <c r="O110" s="5">
        <f t="shared" si="17"/>
        <v>0</v>
      </c>
      <c r="P110" s="5">
        <f>Table1[[#This Row],[Enrolment S.Y. 2025-2026 ]]*8</f>
        <v>1552</v>
      </c>
      <c r="Q110" s="5"/>
      <c r="R110" s="1"/>
      <c r="S110" s="5"/>
      <c r="T110" s="5">
        <f t="shared" si="18"/>
        <v>1552</v>
      </c>
      <c r="U110" s="5">
        <f t="shared" si="19"/>
        <v>0</v>
      </c>
      <c r="V110" s="5">
        <f>Table1[[#This Row],[Enrolment S.Y. 2025-2026 ]]*8</f>
        <v>1552</v>
      </c>
      <c r="W110" s="5"/>
      <c r="X110" s="1"/>
      <c r="Y110" s="5"/>
      <c r="Z110" s="5">
        <f t="shared" si="20"/>
        <v>1552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H33:I41 H43:I51 H53:I61 H63:I71 H73:I81 H83:I91 H93:I101 H103:I110 H112:I127 N127:Q127 H14:I21 H23:I31 H6:I12 Q112:R112 P2:R2 V2:X3 N13:P126 T13:V127 J6:J127 N4:P4 T4:V4 J4 Z4:AA127 N3:R3 Y13 D5:F12 D14:F21 D23:F31 D33:F41 D43:F51 D53:F61 D63:F71 D73:F81 D83:F91 D93:F101 D103:F110 D112:F127 K6:L12 K14:L21 K23:L31 K33:L41 K43:L51 K53:L61 K63:L71 K73:L81 K83:L91 K93:L101 K103:L110 K112:L127 N5:R12 Q14:R21 Q23:R31 Q33:R41 Q43:R51 Q53:R61 Q63:R71 Q73:R81 Q83:R91 Q93:R101 Q103:R110 Q113:Q126 R113:R127 T5:X12 W14:X21 W23:X31 W33:X41 W43:X51 W53:X61 W63:X71 W73:X81 W83:X91 W93:X101 W103:X110 W112:X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S114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 customHeight="1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194</v>
      </c>
      <c r="D115" s="5">
        <f>Table14[[#This Row],[Enrolment S.Y. 2025-2026 ]]*8</f>
        <v>1552</v>
      </c>
      <c r="E115" s="5"/>
      <c r="F115" s="1"/>
      <c r="G115" s="5"/>
      <c r="H115" s="5">
        <f t="shared" si="22"/>
        <v>1552</v>
      </c>
      <c r="I115" s="5">
        <f t="shared" si="23"/>
        <v>0</v>
      </c>
      <c r="J115" s="5">
        <f>Table14[[#This Row],[Enrolment S.Y. 2025-2026 ]]*8</f>
        <v>1552</v>
      </c>
      <c r="K115" s="5"/>
      <c r="L115" s="1"/>
      <c r="M115" s="5"/>
      <c r="N115" s="5">
        <f t="shared" si="20"/>
        <v>1552</v>
      </c>
      <c r="O115" s="5">
        <f t="shared" si="21"/>
        <v>0</v>
      </c>
      <c r="P115" s="5">
        <f>Table14[[#This Row],[Enrolment S.Y. 2025-2026 ]]*8</f>
        <v>1552</v>
      </c>
      <c r="Q115" s="5"/>
      <c r="R115" s="1"/>
      <c r="S115" s="5"/>
      <c r="T115" s="5">
        <f t="shared" si="16"/>
        <v>1552</v>
      </c>
      <c r="U115" s="5">
        <f t="shared" si="17"/>
        <v>0</v>
      </c>
      <c r="V115" s="5">
        <f>Table14[[#This Row],[Enrolment S.Y. 2025-2026 ]]*8</f>
        <v>1552</v>
      </c>
      <c r="W115" s="5"/>
      <c r="X115" s="1"/>
      <c r="Y115" s="5"/>
      <c r="Z115" s="5">
        <f t="shared" si="18"/>
        <v>1552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194</v>
      </c>
      <c r="D116" s="5">
        <f>Table14[[#This Row],[Enrolment S.Y. 2025-2026 ]]*8</f>
        <v>1552</v>
      </c>
      <c r="E116" s="5"/>
      <c r="F116" s="1"/>
      <c r="G116" s="5"/>
      <c r="H116" s="5">
        <f t="shared" si="22"/>
        <v>1552</v>
      </c>
      <c r="I116" s="5">
        <f t="shared" si="23"/>
        <v>0</v>
      </c>
      <c r="J116" s="5">
        <f>Table14[[#This Row],[Enrolment S.Y. 2025-2026 ]]*8</f>
        <v>1552</v>
      </c>
      <c r="K116" s="5"/>
      <c r="L116" s="1"/>
      <c r="M116" s="5"/>
      <c r="N116" s="5">
        <f t="shared" si="20"/>
        <v>1552</v>
      </c>
      <c r="O116" s="5">
        <f t="shared" si="21"/>
        <v>0</v>
      </c>
      <c r="P116" s="5">
        <f>Table14[[#This Row],[Enrolment S.Y. 2025-2026 ]]*8</f>
        <v>1552</v>
      </c>
      <c r="Q116" s="5"/>
      <c r="R116" s="1"/>
      <c r="S116" s="5"/>
      <c r="T116" s="5">
        <f t="shared" si="16"/>
        <v>1552</v>
      </c>
      <c r="U116" s="5">
        <f t="shared" si="17"/>
        <v>0</v>
      </c>
      <c r="V116" s="5">
        <f>Table14[[#This Row],[Enrolment S.Y. 2025-2026 ]]*8</f>
        <v>1552</v>
      </c>
      <c r="W116" s="5"/>
      <c r="X116" s="1"/>
      <c r="Y116" s="5"/>
      <c r="Z116" s="5">
        <f t="shared" si="18"/>
        <v>1552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194</v>
      </c>
      <c r="D117" s="5">
        <f>Table14[[#This Row],[Enrolment S.Y. 2025-2026 ]]*8</f>
        <v>1552</v>
      </c>
      <c r="E117" s="5"/>
      <c r="F117" s="1"/>
      <c r="G117" s="5"/>
      <c r="H117" s="5">
        <f t="shared" si="22"/>
        <v>1552</v>
      </c>
      <c r="I117" s="5">
        <f t="shared" si="23"/>
        <v>0</v>
      </c>
      <c r="J117" s="5">
        <f>Table14[[#This Row],[Enrolment S.Y. 2025-2026 ]]*8</f>
        <v>1552</v>
      </c>
      <c r="K117" s="5"/>
      <c r="L117" s="1"/>
      <c r="M117" s="5"/>
      <c r="N117" s="5">
        <f t="shared" si="20"/>
        <v>1552</v>
      </c>
      <c r="O117" s="5">
        <f t="shared" si="21"/>
        <v>0</v>
      </c>
      <c r="P117" s="5">
        <f>Table14[[#This Row],[Enrolment S.Y. 2025-2026 ]]*8</f>
        <v>1552</v>
      </c>
      <c r="Q117" s="5"/>
      <c r="R117" s="1"/>
      <c r="S117" s="5"/>
      <c r="T117" s="5">
        <f t="shared" si="16"/>
        <v>1552</v>
      </c>
      <c r="U117" s="5">
        <f t="shared" si="17"/>
        <v>0</v>
      </c>
      <c r="V117" s="5">
        <f>Table14[[#This Row],[Enrolment S.Y. 2025-2026 ]]*8</f>
        <v>1552</v>
      </c>
      <c r="W117" s="5"/>
      <c r="X117" s="1"/>
      <c r="Y117" s="5"/>
      <c r="Z117" s="5">
        <f t="shared" si="18"/>
        <v>1552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194</v>
      </c>
      <c r="D118" s="5">
        <f>Table14[[#This Row],[Enrolment S.Y. 2025-2026 ]]*8</f>
        <v>1552</v>
      </c>
      <c r="E118" s="5"/>
      <c r="F118" s="1"/>
      <c r="G118" s="5"/>
      <c r="H118" s="5">
        <f t="shared" si="22"/>
        <v>1552</v>
      </c>
      <c r="I118" s="5">
        <f t="shared" si="23"/>
        <v>0</v>
      </c>
      <c r="J118" s="5">
        <f>Table14[[#This Row],[Enrolment S.Y. 2025-2026 ]]*8</f>
        <v>1552</v>
      </c>
      <c r="K118" s="5"/>
      <c r="L118" s="1"/>
      <c r="M118" s="5"/>
      <c r="N118" s="5">
        <f t="shared" si="20"/>
        <v>1552</v>
      </c>
      <c r="O118" s="5">
        <f t="shared" si="21"/>
        <v>0</v>
      </c>
      <c r="P118" s="5">
        <f>Table14[[#This Row],[Enrolment S.Y. 2025-2026 ]]*8</f>
        <v>1552</v>
      </c>
      <c r="Q118" s="5"/>
      <c r="R118" s="1"/>
      <c r="S118" s="5"/>
      <c r="T118" s="5">
        <f t="shared" si="16"/>
        <v>1552</v>
      </c>
      <c r="U118" s="5">
        <f t="shared" si="17"/>
        <v>0</v>
      </c>
      <c r="V118" s="5">
        <f>Table14[[#This Row],[Enrolment S.Y. 2025-2026 ]]*8</f>
        <v>1552</v>
      </c>
      <c r="W118" s="5"/>
      <c r="X118" s="1"/>
      <c r="Y118" s="5"/>
      <c r="Z118" s="5">
        <f t="shared" si="18"/>
        <v>1552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194</v>
      </c>
      <c r="D119" s="5">
        <f>Table14[[#This Row],[Enrolment S.Y. 2025-2026 ]]*8</f>
        <v>1552</v>
      </c>
      <c r="E119" s="5"/>
      <c r="F119" s="1"/>
      <c r="G119" s="5"/>
      <c r="H119" s="5">
        <f t="shared" si="22"/>
        <v>1552</v>
      </c>
      <c r="I119" s="5">
        <f t="shared" si="23"/>
        <v>0</v>
      </c>
      <c r="J119" s="5">
        <f>Table14[[#This Row],[Enrolment S.Y. 2025-2026 ]]*8</f>
        <v>1552</v>
      </c>
      <c r="K119" s="5"/>
      <c r="L119" s="1"/>
      <c r="M119" s="5"/>
      <c r="N119" s="5">
        <f t="shared" si="20"/>
        <v>1552</v>
      </c>
      <c r="O119" s="5">
        <f t="shared" si="21"/>
        <v>0</v>
      </c>
      <c r="P119" s="5">
        <f>Table14[[#This Row],[Enrolment S.Y. 2025-2026 ]]*8</f>
        <v>1552</v>
      </c>
      <c r="Q119" s="5"/>
      <c r="R119" s="1"/>
      <c r="S119" s="5"/>
      <c r="T119" s="5">
        <f t="shared" si="16"/>
        <v>1552</v>
      </c>
      <c r="U119" s="5">
        <f t="shared" si="17"/>
        <v>0</v>
      </c>
      <c r="V119" s="5">
        <f>Table14[[#This Row],[Enrolment S.Y. 2025-2026 ]]*8</f>
        <v>1552</v>
      </c>
      <c r="W119" s="5"/>
      <c r="X119" s="1"/>
      <c r="Y119" s="5"/>
      <c r="Z119" s="5">
        <f t="shared" si="18"/>
        <v>1552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194</v>
      </c>
      <c r="D120" s="5">
        <f>Table14[[#This Row],[Enrolment S.Y. 2025-2026 ]]*8</f>
        <v>1552</v>
      </c>
      <c r="E120" s="5"/>
      <c r="F120" s="1"/>
      <c r="G120" s="5"/>
      <c r="H120" s="5">
        <f t="shared" si="22"/>
        <v>1552</v>
      </c>
      <c r="I120" s="5">
        <f t="shared" si="23"/>
        <v>0</v>
      </c>
      <c r="J120" s="5">
        <f>Table14[[#This Row],[Enrolment S.Y. 2025-2026 ]]*8</f>
        <v>1552</v>
      </c>
      <c r="K120" s="5"/>
      <c r="L120" s="1"/>
      <c r="M120" s="5"/>
      <c r="N120" s="5">
        <f t="shared" si="20"/>
        <v>1552</v>
      </c>
      <c r="O120" s="5">
        <f t="shared" si="21"/>
        <v>0</v>
      </c>
      <c r="P120" s="5">
        <f>Table14[[#This Row],[Enrolment S.Y. 2025-2026 ]]*8</f>
        <v>1552</v>
      </c>
      <c r="Q120" s="5"/>
      <c r="R120" s="1"/>
      <c r="S120" s="5"/>
      <c r="T120" s="5">
        <f t="shared" si="16"/>
        <v>1552</v>
      </c>
      <c r="U120" s="5">
        <f t="shared" si="17"/>
        <v>0</v>
      </c>
      <c r="V120" s="5">
        <f>Table14[[#This Row],[Enrolment S.Y. 2025-2026 ]]*8</f>
        <v>1552</v>
      </c>
      <c r="W120" s="5"/>
      <c r="X120" s="1"/>
      <c r="Y120" s="5"/>
      <c r="Z120" s="5">
        <f t="shared" si="18"/>
        <v>1552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194</v>
      </c>
      <c r="D121" s="5">
        <f>Table14[[#This Row],[Enrolment S.Y. 2025-2026 ]]*8</f>
        <v>1552</v>
      </c>
      <c r="E121" s="5"/>
      <c r="F121" s="1"/>
      <c r="G121" s="5"/>
      <c r="H121" s="5">
        <f t="shared" si="22"/>
        <v>1552</v>
      </c>
      <c r="I121" s="5">
        <f t="shared" si="23"/>
        <v>0</v>
      </c>
      <c r="J121" s="5">
        <f>Table14[[#This Row],[Enrolment S.Y. 2025-2026 ]]*8</f>
        <v>1552</v>
      </c>
      <c r="K121" s="5"/>
      <c r="L121" s="1"/>
      <c r="M121" s="5"/>
      <c r="N121" s="5">
        <f t="shared" si="20"/>
        <v>1552</v>
      </c>
      <c r="O121" s="5">
        <f t="shared" si="21"/>
        <v>0</v>
      </c>
      <c r="P121" s="5">
        <f>Table14[[#This Row],[Enrolment S.Y. 2025-2026 ]]*8</f>
        <v>1552</v>
      </c>
      <c r="Q121" s="5"/>
      <c r="R121" s="1"/>
      <c r="S121" s="5"/>
      <c r="T121" s="5">
        <f t="shared" si="16"/>
        <v>1552</v>
      </c>
      <c r="U121" s="5">
        <f t="shared" si="17"/>
        <v>0</v>
      </c>
      <c r="V121" s="5">
        <f>Table14[[#This Row],[Enrolment S.Y. 2025-2026 ]]*8</f>
        <v>1552</v>
      </c>
      <c r="W121" s="5"/>
      <c r="X121" s="1"/>
      <c r="Y121" s="5"/>
      <c r="Z121" s="5">
        <f t="shared" si="18"/>
        <v>1552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194</v>
      </c>
      <c r="D122" s="5">
        <f>Table14[[#This Row],[Enrolment S.Y. 2025-2026 ]]*8</f>
        <v>1552</v>
      </c>
      <c r="E122" s="5"/>
      <c r="F122" s="1"/>
      <c r="G122" s="5"/>
      <c r="H122" s="5">
        <f t="shared" si="22"/>
        <v>1552</v>
      </c>
      <c r="I122" s="5">
        <f t="shared" si="23"/>
        <v>0</v>
      </c>
      <c r="J122" s="5">
        <f>Table14[[#This Row],[Enrolment S.Y. 2025-2026 ]]*8</f>
        <v>1552</v>
      </c>
      <c r="K122" s="5"/>
      <c r="L122" s="1"/>
      <c r="M122" s="5"/>
      <c r="N122" s="5">
        <f t="shared" si="20"/>
        <v>1552</v>
      </c>
      <c r="O122" s="5">
        <f t="shared" si="21"/>
        <v>0</v>
      </c>
      <c r="P122" s="5">
        <f>Table14[[#This Row],[Enrolment S.Y. 2025-2026 ]]*8</f>
        <v>1552</v>
      </c>
      <c r="Q122" s="5"/>
      <c r="R122" s="1"/>
      <c r="S122" s="5"/>
      <c r="T122" s="5">
        <f t="shared" si="16"/>
        <v>1552</v>
      </c>
      <c r="U122" s="5">
        <f t="shared" si="17"/>
        <v>0</v>
      </c>
      <c r="V122" s="5">
        <f>Table14[[#This Row],[Enrolment S.Y. 2025-2026 ]]*8</f>
        <v>1552</v>
      </c>
      <c r="W122" s="5"/>
      <c r="X122" s="1"/>
      <c r="Y122" s="5"/>
      <c r="Z122" s="5">
        <f t="shared" si="18"/>
        <v>1552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N3:O10 T3:U10 Z3:AA10 Z12:AA19 Z21:AA29 Z31:AA41 Z43:AA53 Z55:AA65 Z67:AA77 Z79:AA89 Z91:AA101 Z103:AA113 Z115:AA122 D2:F10 D12:F19 D21:F29 D31:F41 D43:F53 D55:F65 D67:F77 D79:F89 D91:F101 D103:F113 D115:F122 H3:L10 H12:L19 H21:L29 H31:L41 H43:L53 H55:L65 H67:L77 H79:L89 H91:L101 H103:L113 H115:L122 P2:R10 N12:R19 N21:R29 N31:R41 N43:R53 N55:R65 N67:R77 N79:R89 N91:R101 N103:R113 N115:R122 V2:X10 T12:X19 T21:X29 T31:X41 T43:X53 T55:X65 T67:X77 T79:X89 T91:X101 T103:X113 T115:X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093F6DBA-DEB6-4313-80B3-8AC2DAF12DD6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2026-02-23T00:38:30Z</dcterms:modified>
  <cp:category/>
  <cp:contentStatus/>
</cp:coreProperties>
</file>