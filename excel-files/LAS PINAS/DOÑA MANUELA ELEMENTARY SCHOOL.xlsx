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69" documentId="13_ncr:1_{BFB59F67-F0DC-4675-A682-EB0734A8026A}" xr6:coauthVersionLast="47" xr6:coauthVersionMax="47" xr10:uidLastSave="{658642BC-9E5B-4763-8F0B-520DD87665E3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<sst xmlns="http://schemas.openxmlformats.org/spreadsheetml/2006/main" count="390" uniqueCount="91">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</sst>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zoomScale="85" zoomScaleNormal="85" workbookViewId="0">
      <pane xSplit="2" topLeftCell="C92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208</v>
      </c>
      <c r="D2" s="1">
        <v>250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42</v>
      </c>
    </row>
    <row r="3" spans="1:8" ht="29.25" customHeight="1">
      <c r="A3" s="1">
        <v>1</v>
      </c>
      <c r="B3" s="2" t="s">
        <v>10</v>
      </c>
      <c r="C3" s="1">
        <v>208</v>
      </c>
      <c r="D3" s="1"/>
      <c r="E3" s="1"/>
      <c r="F3" s="5"/>
      <c r="G3" s="3">
        <f>IF((C3-D3)&lt;0,0,C3-D3)</f>
        <v>208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208</v>
      </c>
      <c r="D4" s="1">
        <v>351</v>
      </c>
      <c r="E4" s="1">
        <v>2025</v>
      </c>
      <c r="F4" s="5"/>
      <c r="G4" s="3">
        <f>IF((C4-D4)&lt;0,0,C4-D4)</f>
        <v>0</v>
      </c>
      <c r="H4" s="4">
        <f>IF((D4-C4)&lt;0,0,D4-C4)</f>
        <v>143</v>
      </c>
    </row>
    <row r="5" spans="1:8" ht="25.5" customHeight="1">
      <c r="A5" s="1">
        <v>1</v>
      </c>
      <c r="B5" s="2" t="s">
        <v>12</v>
      </c>
      <c r="C5" s="1">
        <v>208</v>
      </c>
      <c r="D5" s="1">
        <v>351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143</v>
      </c>
    </row>
    <row r="6" spans="1:8" ht="19.5">
      <c r="A6" s="1">
        <v>1</v>
      </c>
      <c r="B6" s="2" t="s">
        <v>13</v>
      </c>
      <c r="C6" s="1">
        <v>208</v>
      </c>
      <c r="D6" s="1"/>
      <c r="E6" s="1"/>
      <c r="F6" s="5"/>
      <c r="G6" s="3">
        <f t="shared" si="0"/>
        <v>208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257</v>
      </c>
      <c r="D8" s="1"/>
      <c r="E8" s="1"/>
      <c r="F8" s="5"/>
      <c r="G8" s="3">
        <f>IF((C8-D8)&lt;0,0,C8-D8)</f>
        <v>257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257</v>
      </c>
      <c r="D9" s="1"/>
      <c r="E9" s="1"/>
      <c r="F9" s="5"/>
      <c r="G9" s="3">
        <f>IF((C9-D9)&lt;0,0,C9-D9)</f>
        <v>257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257</v>
      </c>
      <c r="D10" s="1"/>
      <c r="E10" s="1"/>
      <c r="F10" s="5"/>
      <c r="G10" s="3">
        <f>IF((C10-D10)&lt;0,0,C10-D10)</f>
        <v>257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257</v>
      </c>
      <c r="D11" s="1"/>
      <c r="E11" s="1"/>
      <c r="F11" s="5"/>
      <c r="G11" s="3">
        <f>IF((C11-D11)&lt;0,0,C11-D11)</f>
        <v>257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257</v>
      </c>
      <c r="D12" s="1"/>
      <c r="E12" s="1"/>
      <c r="F12" s="5"/>
      <c r="G12" s="3">
        <f>IF((C12-D12)&lt;0,0,C12-D12)</f>
        <v>257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274</v>
      </c>
      <c r="D14" s="1"/>
      <c r="E14" s="1"/>
      <c r="F14" s="5"/>
      <c r="G14" s="3">
        <f t="shared" ref="G14:G19" si="2">IF((C14-D14)&lt;0,0,C14-D14)</f>
        <v>274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274</v>
      </c>
      <c r="D15" s="1"/>
      <c r="E15" s="1"/>
      <c r="F15" s="5"/>
      <c r="G15" s="3">
        <f t="shared" si="2"/>
        <v>274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274</v>
      </c>
      <c r="D16" s="1"/>
      <c r="E16" s="1"/>
      <c r="F16" s="5"/>
      <c r="G16" s="3">
        <f t="shared" si="2"/>
        <v>274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274</v>
      </c>
      <c r="D17" s="1"/>
      <c r="E17" s="1"/>
      <c r="F17" s="5"/>
      <c r="G17" s="3">
        <f t="shared" si="2"/>
        <v>274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274</v>
      </c>
      <c r="D18" s="1"/>
      <c r="E18" s="1"/>
      <c r="F18" s="5"/>
      <c r="G18" s="3">
        <f t="shared" si="2"/>
        <v>274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274</v>
      </c>
      <c r="D19" s="1"/>
      <c r="E19" s="1"/>
      <c r="F19" s="5"/>
      <c r="G19" s="3">
        <f t="shared" si="2"/>
        <v>274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258</v>
      </c>
      <c r="D21" s="1"/>
      <c r="E21" s="1"/>
      <c r="F21" s="5"/>
      <c r="G21" s="3">
        <f t="shared" ref="G21:G29" si="4">IF((C21-D21)&lt;0,0,C21-D21)</f>
        <v>258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258</v>
      </c>
      <c r="D22" s="1">
        <v>335</v>
      </c>
      <c r="E22" s="1"/>
      <c r="F22" s="5"/>
      <c r="G22" s="3">
        <f t="shared" si="4"/>
        <v>0</v>
      </c>
      <c r="H22" s="4">
        <f t="shared" si="5"/>
        <v>77</v>
      </c>
    </row>
    <row r="23" spans="1:8" ht="19.5">
      <c r="A23" s="1">
        <v>4</v>
      </c>
      <c r="B23" s="9" t="s">
        <v>13</v>
      </c>
      <c r="C23" s="1">
        <v>258</v>
      </c>
      <c r="D23" s="1">
        <v>335</v>
      </c>
      <c r="E23" s="1"/>
      <c r="F23" s="5"/>
      <c r="G23" s="3">
        <f t="shared" si="4"/>
        <v>0</v>
      </c>
      <c r="H23" s="4">
        <f t="shared" si="5"/>
        <v>77</v>
      </c>
    </row>
    <row r="24" spans="1:8" ht="27" customHeight="1">
      <c r="A24" s="1">
        <v>4</v>
      </c>
      <c r="B24" s="9" t="s">
        <v>11</v>
      </c>
      <c r="C24" s="1">
        <v>258</v>
      </c>
      <c r="D24" s="1">
        <v>335</v>
      </c>
      <c r="E24" s="1"/>
      <c r="F24" s="5"/>
      <c r="G24" s="3">
        <f t="shared" si="4"/>
        <v>0</v>
      </c>
      <c r="H24" s="4">
        <f t="shared" si="5"/>
        <v>77</v>
      </c>
    </row>
    <row r="25" spans="1:8" ht="33.75" customHeight="1">
      <c r="A25" s="1">
        <v>4</v>
      </c>
      <c r="B25" s="9" t="s">
        <v>17</v>
      </c>
      <c r="C25" s="1">
        <v>258</v>
      </c>
      <c r="D25" s="1">
        <v>335</v>
      </c>
      <c r="E25" s="1"/>
      <c r="F25" s="5"/>
      <c r="G25" s="3">
        <f t="shared" si="4"/>
        <v>0</v>
      </c>
      <c r="H25" s="4">
        <f t="shared" si="5"/>
        <v>77</v>
      </c>
    </row>
    <row r="26" spans="1:8" ht="33.75" customHeight="1">
      <c r="A26" s="1">
        <v>4</v>
      </c>
      <c r="B26" s="9" t="s">
        <v>14</v>
      </c>
      <c r="C26" s="1">
        <v>258</v>
      </c>
      <c r="D26" s="1">
        <v>335</v>
      </c>
      <c r="E26" s="1"/>
      <c r="F26" s="5"/>
      <c r="G26" s="3">
        <f t="shared" si="4"/>
        <v>0</v>
      </c>
      <c r="H26" s="4">
        <f t="shared" si="5"/>
        <v>77</v>
      </c>
    </row>
    <row r="27" spans="1:8" ht="33.75" customHeight="1">
      <c r="A27" s="1">
        <v>4</v>
      </c>
      <c r="B27" s="9" t="s">
        <v>18</v>
      </c>
      <c r="C27" s="1">
        <v>258</v>
      </c>
      <c r="D27" s="1">
        <v>335</v>
      </c>
      <c r="E27" s="1"/>
      <c r="F27" s="5"/>
      <c r="G27" s="3">
        <f t="shared" si="4"/>
        <v>0</v>
      </c>
      <c r="H27" s="4">
        <f t="shared" si="5"/>
        <v>77</v>
      </c>
    </row>
    <row r="28" spans="1:8" ht="27.75" customHeight="1">
      <c r="A28" s="1">
        <v>4</v>
      </c>
      <c r="B28" s="9" t="s">
        <v>19</v>
      </c>
      <c r="C28" s="1">
        <v>258</v>
      </c>
      <c r="D28" s="1"/>
      <c r="E28" s="1"/>
      <c r="F28" s="5"/>
      <c r="G28" s="3">
        <f t="shared" si="4"/>
        <v>258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258</v>
      </c>
      <c r="D29" s="1"/>
      <c r="E29" s="1"/>
      <c r="F29" s="5"/>
      <c r="G29" s="3">
        <f t="shared" si="4"/>
        <v>258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213</v>
      </c>
      <c r="D31" s="1"/>
      <c r="E31" s="1"/>
      <c r="F31" s="5"/>
      <c r="G31" s="3">
        <f t="shared" ref="G31:G39" si="6">IF((C31-D31)&lt;0,0,C31-D31)</f>
        <v>213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213</v>
      </c>
      <c r="D32" s="1"/>
      <c r="E32" s="1"/>
      <c r="F32" s="5"/>
      <c r="G32" s="3">
        <f t="shared" si="6"/>
        <v>213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213</v>
      </c>
      <c r="D33" s="1"/>
      <c r="E33" s="1"/>
      <c r="F33" s="5"/>
      <c r="G33" s="3">
        <f t="shared" si="6"/>
        <v>213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213</v>
      </c>
      <c r="D34" s="1"/>
      <c r="E34" s="1"/>
      <c r="F34" s="5"/>
      <c r="G34" s="3">
        <f t="shared" si="6"/>
        <v>213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213</v>
      </c>
      <c r="D35" s="1">
        <v>283</v>
      </c>
      <c r="E35" s="1">
        <v>2025</v>
      </c>
      <c r="F35" s="5"/>
      <c r="G35" s="3">
        <f t="shared" si="6"/>
        <v>0</v>
      </c>
      <c r="H35" s="4">
        <f t="shared" si="7"/>
        <v>70</v>
      </c>
    </row>
    <row r="36" spans="1:8" ht="27.75" customHeight="1">
      <c r="A36" s="1">
        <v>5</v>
      </c>
      <c r="B36" s="9" t="s">
        <v>14</v>
      </c>
      <c r="C36" s="1">
        <v>213</v>
      </c>
      <c r="D36" s="1"/>
      <c r="E36" s="1"/>
      <c r="F36" s="5"/>
      <c r="G36" s="3">
        <f t="shared" si="6"/>
        <v>213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213</v>
      </c>
      <c r="D37" s="1">
        <v>283</v>
      </c>
      <c r="E37" s="1">
        <v>2025</v>
      </c>
      <c r="F37" s="5"/>
      <c r="G37" s="3">
        <f t="shared" si="6"/>
        <v>0</v>
      </c>
      <c r="H37" s="4">
        <f t="shared" si="7"/>
        <v>70</v>
      </c>
    </row>
    <row r="38" spans="1:8" ht="27.75" customHeight="1">
      <c r="A38" s="1">
        <v>5</v>
      </c>
      <c r="B38" s="9" t="s">
        <v>19</v>
      </c>
      <c r="C38" s="1">
        <v>213</v>
      </c>
      <c r="D38" s="1"/>
      <c r="E38" s="1"/>
      <c r="F38" s="5"/>
      <c r="G38" s="3">
        <f t="shared" si="6"/>
        <v>213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213</v>
      </c>
      <c r="D39" s="1"/>
      <c r="E39" s="1"/>
      <c r="F39" s="5"/>
      <c r="G39" s="3">
        <f t="shared" si="6"/>
        <v>213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225</v>
      </c>
      <c r="D41" s="1"/>
      <c r="E41" s="1"/>
      <c r="F41" s="5"/>
      <c r="G41" s="3">
        <f t="shared" ref="G41:G49" si="8">IF((C41-D41)&lt;0,0,C41-D41)</f>
        <v>225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225</v>
      </c>
      <c r="D42" s="1"/>
      <c r="E42" s="1"/>
      <c r="F42" s="5"/>
      <c r="G42" s="3">
        <f t="shared" si="8"/>
        <v>225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225</v>
      </c>
      <c r="D43" s="1"/>
      <c r="E43" s="1"/>
      <c r="F43" s="5"/>
      <c r="G43" s="3">
        <f t="shared" si="8"/>
        <v>225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225</v>
      </c>
      <c r="D44" s="1"/>
      <c r="E44" s="1"/>
      <c r="F44" s="5"/>
      <c r="G44" s="3">
        <f t="shared" si="8"/>
        <v>225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225</v>
      </c>
      <c r="D45" s="1"/>
      <c r="E45" s="1"/>
      <c r="F45" s="5"/>
      <c r="G45" s="3">
        <f t="shared" si="8"/>
        <v>225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225</v>
      </c>
      <c r="D46" s="1"/>
      <c r="E46" s="1"/>
      <c r="F46" s="5"/>
      <c r="G46" s="3">
        <f t="shared" si="8"/>
        <v>225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225</v>
      </c>
      <c r="D47" s="1"/>
      <c r="E47" s="1"/>
      <c r="F47" s="5"/>
      <c r="G47" s="3">
        <f t="shared" si="8"/>
        <v>225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225</v>
      </c>
      <c r="D48" s="1"/>
      <c r="E48" s="1"/>
      <c r="F48" s="5"/>
      <c r="G48" s="3">
        <f t="shared" si="8"/>
        <v>225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225</v>
      </c>
      <c r="D49" s="1"/>
      <c r="E49" s="1"/>
      <c r="F49" s="5"/>
      <c r="G49" s="3">
        <f t="shared" si="8"/>
        <v>225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195" spans="1:1">
      <c r="A195">
        <v>1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E1A7E7F0-D601-4AD1-8161-2EF3C33CD6A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115" zoomScale="70" zoomScaleNormal="70" workbookViewId="0">
      <selection activeCell="F127" sqref="F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6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44.2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239</v>
      </c>
      <c r="F16" s="1"/>
      <c r="G16" s="5"/>
      <c r="H16" s="5">
        <f t="shared" si="2"/>
        <v>0</v>
      </c>
      <c r="I16" s="5">
        <f t="shared" si="3"/>
        <v>239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239</v>
      </c>
      <c r="F17" s="1"/>
      <c r="G17" s="5"/>
      <c r="H17" s="5">
        <f t="shared" si="2"/>
        <v>0</v>
      </c>
      <c r="I17" s="5">
        <f t="shared" si="3"/>
        <v>239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239</v>
      </c>
      <c r="F18" s="1"/>
      <c r="G18" s="5"/>
      <c r="H18" s="5">
        <f t="shared" si="2"/>
        <v>0</v>
      </c>
      <c r="I18" s="5">
        <f t="shared" si="3"/>
        <v>239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>
        <v>239</v>
      </c>
      <c r="F19" s="1"/>
      <c r="G19" s="5"/>
      <c r="H19" s="5">
        <f>IF((D19-E19)&lt;0,0,(D19-E19))</f>
        <v>0</v>
      </c>
      <c r="I19" s="5">
        <f>IF((E19-D19)&lt;0,0,(E19-D19))</f>
        <v>239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239</v>
      </c>
      <c r="F20" s="1"/>
      <c r="G20" s="5"/>
      <c r="H20" s="5">
        <f>IF((D20-E20)&lt;0,0,(D20-E20))</f>
        <v>0</v>
      </c>
      <c r="I20" s="5">
        <f>IF((E20-D20)&lt;0,0,(E20-D20))</f>
        <v>239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>
        <v>206</v>
      </c>
      <c r="F25" s="1"/>
      <c r="G25" s="5"/>
      <c r="H25" s="5">
        <f t="shared" si="2"/>
        <v>0</v>
      </c>
      <c r="I25" s="5">
        <f t="shared" si="3"/>
        <v>206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206</v>
      </c>
      <c r="F26" s="1"/>
      <c r="G26" s="5"/>
      <c r="H26" s="5">
        <f t="shared" si="2"/>
        <v>0</v>
      </c>
      <c r="I26" s="5">
        <f t="shared" si="3"/>
        <v>206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206</v>
      </c>
      <c r="F27" s="1"/>
      <c r="G27" s="5"/>
      <c r="H27" s="5">
        <f t="shared" si="2"/>
        <v>0</v>
      </c>
      <c r="I27" s="5">
        <f t="shared" si="3"/>
        <v>206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206</v>
      </c>
      <c r="F28" s="1"/>
      <c r="G28" s="5"/>
      <c r="H28" s="5">
        <f t="shared" si="2"/>
        <v>0</v>
      </c>
      <c r="I28" s="5">
        <f t="shared" si="3"/>
        <v>206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206</v>
      </c>
      <c r="F29" s="1"/>
      <c r="G29" s="5"/>
      <c r="H29" s="5">
        <f>IF((D29-E29)&lt;0,0,(D29-E29))</f>
        <v>0</v>
      </c>
      <c r="I29" s="5">
        <f>IF((E29-D29)&lt;0,0,(E29-D29))</f>
        <v>206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/>
      <c r="D30" s="5">
        <f>Table1[[#This Row],[Enrolment S.Y. 2025-2026 ]]*8</f>
        <v>0</v>
      </c>
      <c r="E30" s="5">
        <v>206</v>
      </c>
      <c r="F30" s="1"/>
      <c r="G30" s="5"/>
      <c r="H30" s="5">
        <f>IF((D30-E30)&lt;0,0,(D30-E30))</f>
        <v>0</v>
      </c>
      <c r="I30" s="5">
        <f>IF((E30-D30)&lt;0,0,(E30-D30))</f>
        <v>206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120</v>
      </c>
      <c r="F43" s="1"/>
      <c r="G43" s="5"/>
      <c r="H43" s="5">
        <f t="shared" si="2"/>
        <v>0</v>
      </c>
      <c r="I43" s="5">
        <f t="shared" si="3"/>
        <v>120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>
        <v>120</v>
      </c>
      <c r="F44" s="1"/>
      <c r="G44" s="5"/>
      <c r="H44" s="5">
        <f t="shared" si="2"/>
        <v>0</v>
      </c>
      <c r="I44" s="5">
        <f t="shared" si="3"/>
        <v>120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120</v>
      </c>
      <c r="F45" s="1"/>
      <c r="G45" s="5"/>
      <c r="H45" s="5">
        <f t="shared" si="2"/>
        <v>0</v>
      </c>
      <c r="I45" s="5">
        <f t="shared" si="3"/>
        <v>120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 customHeight="1">
      <c r="A47" s="1">
        <v>5</v>
      </c>
      <c r="B47" s="9" t="s">
        <v>17</v>
      </c>
      <c r="C47" s="1"/>
      <c r="D47" s="5">
        <f>Table1[[#This Row],[Enrolment S.Y. 2025-2026 ]]*8</f>
        <v>0</v>
      </c>
      <c r="E47" s="5">
        <v>120</v>
      </c>
      <c r="F47" s="1"/>
      <c r="G47" s="5"/>
      <c r="H47" s="5">
        <f t="shared" si="2"/>
        <v>0</v>
      </c>
      <c r="I47" s="5">
        <f t="shared" si="3"/>
        <v>120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120</v>
      </c>
      <c r="F48" s="1"/>
      <c r="G48" s="5"/>
      <c r="H48" s="5">
        <f t="shared" si="2"/>
        <v>0</v>
      </c>
      <c r="I48" s="5">
        <f t="shared" si="3"/>
        <v>120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>
        <v>120</v>
      </c>
      <c r="F49" s="1"/>
      <c r="G49" s="5"/>
      <c r="H49" s="5">
        <f t="shared" si="2"/>
        <v>0</v>
      </c>
      <c r="I49" s="5">
        <f t="shared" si="3"/>
        <v>120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>
        <v>120</v>
      </c>
      <c r="F50" s="1"/>
      <c r="G50" s="5"/>
      <c r="H50" s="5">
        <f t="shared" si="2"/>
        <v>0</v>
      </c>
      <c r="I50" s="5">
        <f t="shared" si="3"/>
        <v>120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>
        <v>120</v>
      </c>
      <c r="F51" s="1"/>
      <c r="G51" s="5"/>
      <c r="H51" s="5">
        <f t="shared" si="2"/>
        <v>0</v>
      </c>
      <c r="I51" s="5">
        <f t="shared" si="3"/>
        <v>120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X103:X110 R83:R91 R93:R101 R14:R21 R5:R12 L103:L110 R103:R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87488AEF-CDBB-4FBA-BB19-FFD69D8BE5B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3" topLeftCell="D116" activePane="topRight" state="frozen"/>
      <selection pane="topRight" activeCell="F122" sqref="F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9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.75" customHeight="1">
      <c r="A12" s="1">
        <v>2</v>
      </c>
      <c r="B12" s="2" t="s">
        <v>8</v>
      </c>
      <c r="C12" s="1">
        <v>257</v>
      </c>
      <c r="D12" s="5">
        <f>Table14[[#This Row],[Enrolment S.Y. 2025-2026 ]]*8</f>
        <v>2056</v>
      </c>
      <c r="E12" s="5"/>
      <c r="F12" s="1"/>
      <c r="G12" s="5"/>
      <c r="H12" s="5">
        <f t="shared" si="0"/>
        <v>2056</v>
      </c>
      <c r="I12" s="5">
        <f t="shared" si="1"/>
        <v>0</v>
      </c>
      <c r="J12" s="5">
        <f>Table14[[#This Row],[Enrolment S.Y. 2025-2026 ]]*8</f>
        <v>2056</v>
      </c>
      <c r="K12" s="5"/>
      <c r="L12" s="1"/>
      <c r="M12" s="5"/>
      <c r="N12" s="5">
        <f t="shared" si="2"/>
        <v>2056</v>
      </c>
      <c r="O12" s="5">
        <f t="shared" si="3"/>
        <v>0</v>
      </c>
      <c r="P12" s="5">
        <f>Table14[[#This Row],[Enrolment S.Y. 2025-2026 ]]*8</f>
        <v>2056</v>
      </c>
      <c r="Q12" s="5"/>
      <c r="R12" s="1"/>
      <c r="S12" s="5"/>
      <c r="T12" s="5">
        <f t="shared" si="4"/>
        <v>2056</v>
      </c>
      <c r="U12" s="5">
        <f t="shared" si="5"/>
        <v>0</v>
      </c>
      <c r="V12" s="5">
        <f>Table14[[#This Row],[Enrolment S.Y. 2025-2026 ]]*8</f>
        <v>2056</v>
      </c>
      <c r="W12" s="5"/>
      <c r="X12" s="1"/>
      <c r="Y12" s="5"/>
      <c r="Z12" s="5">
        <f t="shared" si="6"/>
        <v>2056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257</v>
      </c>
      <c r="D13" s="5">
        <f>Table14[[#This Row],[Enrolment S.Y. 2025-2026 ]]*8</f>
        <v>2056</v>
      </c>
      <c r="E13" s="5"/>
      <c r="F13" s="1"/>
      <c r="G13" s="5"/>
      <c r="H13" s="5">
        <f t="shared" si="0"/>
        <v>2056</v>
      </c>
      <c r="I13" s="5">
        <f t="shared" si="1"/>
        <v>0</v>
      </c>
      <c r="J13" s="5">
        <f>Table14[[#This Row],[Enrolment S.Y. 2025-2026 ]]*8</f>
        <v>2056</v>
      </c>
      <c r="K13" s="5"/>
      <c r="L13" s="1"/>
      <c r="M13" s="5"/>
      <c r="N13" s="5">
        <f t="shared" si="2"/>
        <v>2056</v>
      </c>
      <c r="O13" s="5">
        <f t="shared" si="3"/>
        <v>0</v>
      </c>
      <c r="P13" s="5">
        <f>Table14[[#This Row],[Enrolment S.Y. 2025-2026 ]]*8</f>
        <v>2056</v>
      </c>
      <c r="Q13" s="5"/>
      <c r="R13" s="1"/>
      <c r="S13" s="5"/>
      <c r="T13" s="5">
        <f t="shared" si="4"/>
        <v>2056</v>
      </c>
      <c r="U13" s="5">
        <f t="shared" si="5"/>
        <v>0</v>
      </c>
      <c r="V13" s="5">
        <f>Table14[[#This Row],[Enrolment S.Y. 2025-2026 ]]*8</f>
        <v>2056</v>
      </c>
      <c r="W13" s="5"/>
      <c r="X13" s="1"/>
      <c r="Y13" s="5"/>
      <c r="Z13" s="5">
        <f t="shared" si="6"/>
        <v>2056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257</v>
      </c>
      <c r="D14" s="5">
        <f>Table14[[#This Row],[Enrolment S.Y. 2025-2026 ]]*8</f>
        <v>2056</v>
      </c>
      <c r="E14" s="5"/>
      <c r="F14" s="1"/>
      <c r="G14" s="5"/>
      <c r="H14" s="5">
        <f t="shared" si="0"/>
        <v>2056</v>
      </c>
      <c r="I14" s="5">
        <f t="shared" si="1"/>
        <v>0</v>
      </c>
      <c r="J14" s="5">
        <f>Table14[[#This Row],[Enrolment S.Y. 2025-2026 ]]*8</f>
        <v>2056</v>
      </c>
      <c r="K14" s="5"/>
      <c r="L14" s="1"/>
      <c r="M14" s="5"/>
      <c r="N14" s="5">
        <f t="shared" si="2"/>
        <v>2056</v>
      </c>
      <c r="O14" s="5">
        <f t="shared" si="3"/>
        <v>0</v>
      </c>
      <c r="P14" s="5">
        <f>Table14[[#This Row],[Enrolment S.Y. 2025-2026 ]]*8</f>
        <v>2056</v>
      </c>
      <c r="Q14" s="5"/>
      <c r="R14" s="1"/>
      <c r="S14" s="5"/>
      <c r="T14" s="5">
        <f t="shared" si="4"/>
        <v>2056</v>
      </c>
      <c r="U14" s="5">
        <f t="shared" si="5"/>
        <v>0</v>
      </c>
      <c r="V14" s="5">
        <f>Table14[[#This Row],[Enrolment S.Y. 2025-2026 ]]*8</f>
        <v>2056</v>
      </c>
      <c r="W14" s="5"/>
      <c r="X14" s="1"/>
      <c r="Y14" s="5"/>
      <c r="Z14" s="5">
        <f t="shared" si="6"/>
        <v>2056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257</v>
      </c>
      <c r="D15" s="5">
        <f>Table14[[#This Row],[Enrolment S.Y. 2025-2026 ]]*8</f>
        <v>2056</v>
      </c>
      <c r="E15" s="5"/>
      <c r="F15" s="1"/>
      <c r="G15" s="5"/>
      <c r="H15" s="5">
        <f t="shared" si="0"/>
        <v>2056</v>
      </c>
      <c r="I15" s="5">
        <f t="shared" si="1"/>
        <v>0</v>
      </c>
      <c r="J15" s="5">
        <f>Table14[[#This Row],[Enrolment S.Y. 2025-2026 ]]*8</f>
        <v>2056</v>
      </c>
      <c r="K15" s="5"/>
      <c r="L15" s="1"/>
      <c r="M15" s="5"/>
      <c r="N15" s="5">
        <f t="shared" si="2"/>
        <v>2056</v>
      </c>
      <c r="O15" s="5">
        <f t="shared" si="3"/>
        <v>0</v>
      </c>
      <c r="P15" s="5">
        <f>Table14[[#This Row],[Enrolment S.Y. 2025-2026 ]]*8</f>
        <v>2056</v>
      </c>
      <c r="Q15" s="5"/>
      <c r="R15" s="1"/>
      <c r="S15" s="5"/>
      <c r="T15" s="5">
        <f t="shared" si="4"/>
        <v>2056</v>
      </c>
      <c r="U15" s="5">
        <f t="shared" si="5"/>
        <v>0</v>
      </c>
      <c r="V15" s="5">
        <f>Table14[[#This Row],[Enrolment S.Y. 2025-2026 ]]*8</f>
        <v>2056</v>
      </c>
      <c r="W15" s="5"/>
      <c r="X15" s="1"/>
      <c r="Y15" s="5"/>
      <c r="Z15" s="5">
        <f t="shared" si="6"/>
        <v>2056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257</v>
      </c>
      <c r="D16" s="5">
        <f>Table14[[#This Row],[Enrolment S.Y. 2025-2026 ]]*8</f>
        <v>2056</v>
      </c>
      <c r="E16" s="5">
        <v>1820</v>
      </c>
      <c r="F16" s="1"/>
      <c r="G16" s="5"/>
      <c r="H16" s="5">
        <f t="shared" si="0"/>
        <v>236</v>
      </c>
      <c r="I16" s="5">
        <f t="shared" si="1"/>
        <v>0</v>
      </c>
      <c r="J16" s="5">
        <f>Table14[[#This Row],[Enrolment S.Y. 2025-2026 ]]*8</f>
        <v>2056</v>
      </c>
      <c r="K16" s="5"/>
      <c r="L16" s="1"/>
      <c r="M16" s="5"/>
      <c r="N16" s="5">
        <f t="shared" si="2"/>
        <v>2056</v>
      </c>
      <c r="O16" s="5">
        <f t="shared" si="3"/>
        <v>0</v>
      </c>
      <c r="P16" s="5">
        <f>Table14[[#This Row],[Enrolment S.Y. 2025-2026 ]]*8</f>
        <v>2056</v>
      </c>
      <c r="Q16" s="5"/>
      <c r="R16" s="1"/>
      <c r="S16" s="5"/>
      <c r="T16" s="5">
        <f t="shared" si="4"/>
        <v>2056</v>
      </c>
      <c r="U16" s="5">
        <f t="shared" si="5"/>
        <v>0</v>
      </c>
      <c r="V16" s="5">
        <f>Table14[[#This Row],[Enrolment S.Y. 2025-2026 ]]*8</f>
        <v>2056</v>
      </c>
      <c r="W16" s="5"/>
      <c r="X16" s="1"/>
      <c r="Y16" s="5"/>
      <c r="Z16" s="5">
        <f t="shared" si="6"/>
        <v>2056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257</v>
      </c>
      <c r="D17" s="5">
        <f>Table14[[#This Row],[Enrolment S.Y. 2025-2026 ]]*8</f>
        <v>2056</v>
      </c>
      <c r="E17" s="5">
        <v>1560</v>
      </c>
      <c r="F17" s="1"/>
      <c r="G17" s="5"/>
      <c r="H17" s="5">
        <f>IF((D17-E17)&lt;0,0,(D17-E17))</f>
        <v>496</v>
      </c>
      <c r="I17" s="5">
        <f>IF((E17-D17)&lt;0,0,(E17-D17))</f>
        <v>0</v>
      </c>
      <c r="J17" s="5">
        <f>Table14[[#This Row],[Enrolment S.Y. 2025-2026 ]]*8</f>
        <v>2056</v>
      </c>
      <c r="K17" s="5"/>
      <c r="L17" s="1"/>
      <c r="M17" s="5"/>
      <c r="N17" s="5">
        <f t="shared" si="2"/>
        <v>2056</v>
      </c>
      <c r="O17" s="5">
        <f t="shared" si="3"/>
        <v>0</v>
      </c>
      <c r="P17" s="5">
        <f>Table14[[#This Row],[Enrolment S.Y. 2025-2026 ]]*8</f>
        <v>2056</v>
      </c>
      <c r="Q17" s="5"/>
      <c r="R17" s="1"/>
      <c r="S17" s="5"/>
      <c r="T17" s="5">
        <f t="shared" si="4"/>
        <v>2056</v>
      </c>
      <c r="U17" s="5">
        <f t="shared" si="5"/>
        <v>0</v>
      </c>
      <c r="V17" s="5">
        <f>Table14[[#This Row],[Enrolment S.Y. 2025-2026 ]]*8</f>
        <v>2056</v>
      </c>
      <c r="W17" s="5"/>
      <c r="X17" s="1"/>
      <c r="Y17" s="5"/>
      <c r="Z17" s="5">
        <f t="shared" si="6"/>
        <v>2056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257</v>
      </c>
      <c r="D18" s="5">
        <f>Table14[[#This Row],[Enrolment S.Y. 2025-2026 ]]*8</f>
        <v>2056</v>
      </c>
      <c r="E18" s="5">
        <v>1040</v>
      </c>
      <c r="F18" s="1"/>
      <c r="G18" s="5"/>
      <c r="H18" s="5">
        <f>IF((D18-E18)&lt;0,0,(D18-E18))</f>
        <v>1016</v>
      </c>
      <c r="I18" s="5">
        <f>IF((E18-D18)&lt;0,0,(E18-D18))</f>
        <v>0</v>
      </c>
      <c r="J18" s="5">
        <f>Table14[[#This Row],[Enrolment S.Y. 2025-2026 ]]*8</f>
        <v>2056</v>
      </c>
      <c r="K18" s="5"/>
      <c r="L18" s="1"/>
      <c r="M18" s="5"/>
      <c r="N18" s="5">
        <f t="shared" si="2"/>
        <v>2056</v>
      </c>
      <c r="O18" s="5">
        <f t="shared" si="3"/>
        <v>0</v>
      </c>
      <c r="P18" s="5">
        <f>Table14[[#This Row],[Enrolment S.Y. 2025-2026 ]]*8</f>
        <v>2056</v>
      </c>
      <c r="Q18" s="5"/>
      <c r="R18" s="1"/>
      <c r="S18" s="5"/>
      <c r="T18" s="5">
        <f t="shared" si="4"/>
        <v>2056</v>
      </c>
      <c r="U18" s="5">
        <f t="shared" si="5"/>
        <v>0</v>
      </c>
      <c r="V18" s="5">
        <f>Table14[[#This Row],[Enrolment S.Y. 2025-2026 ]]*8</f>
        <v>2056</v>
      </c>
      <c r="W18" s="5"/>
      <c r="X18" s="1"/>
      <c r="Y18" s="5"/>
      <c r="Z18" s="5">
        <f t="shared" si="6"/>
        <v>2056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257</v>
      </c>
      <c r="D19" s="5">
        <f>Table14[[#This Row],[Enrolment S.Y. 2025-2026 ]]*8</f>
        <v>2056</v>
      </c>
      <c r="E19" s="5"/>
      <c r="F19" s="1"/>
      <c r="G19" s="5"/>
      <c r="H19" s="5">
        <f>IF((D19-E19)&lt;0,0,(D19-E19))</f>
        <v>2056</v>
      </c>
      <c r="I19" s="5">
        <f>IF((E19-D19)&lt;0,0,(E19-D19))</f>
        <v>0</v>
      </c>
      <c r="J19" s="5">
        <f>Table14[[#This Row],[Enrolment S.Y. 2025-2026 ]]*8</f>
        <v>2056</v>
      </c>
      <c r="K19" s="5"/>
      <c r="L19" s="1"/>
      <c r="M19" s="5"/>
      <c r="N19" s="5">
        <f t="shared" si="2"/>
        <v>2056</v>
      </c>
      <c r="O19" s="5">
        <f t="shared" si="3"/>
        <v>0</v>
      </c>
      <c r="P19" s="5">
        <f>Table14[[#This Row],[Enrolment S.Y. 2025-2026 ]]*8</f>
        <v>2056</v>
      </c>
      <c r="Q19" s="5"/>
      <c r="R19" s="1"/>
      <c r="S19" s="5"/>
      <c r="T19" s="5">
        <f t="shared" si="4"/>
        <v>2056</v>
      </c>
      <c r="U19" s="5">
        <f t="shared" si="5"/>
        <v>0</v>
      </c>
      <c r="V19" s="5">
        <f>Table14[[#This Row],[Enrolment S.Y. 2025-2026 ]]*8</f>
        <v>2056</v>
      </c>
      <c r="W19" s="5"/>
      <c r="X19" s="1"/>
      <c r="Y19" s="5"/>
      <c r="Z19" s="5">
        <f t="shared" si="6"/>
        <v>2056</v>
      </c>
      <c r="AA19" s="5">
        <f t="shared" si="7"/>
        <v>0</v>
      </c>
    </row>
    <row r="20" spans="1:27" s="7" customFormat="1"/>
    <row r="21" spans="1:27" ht="40.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>
        <v>1526</v>
      </c>
      <c r="F26" s="1"/>
      <c r="G26" s="5"/>
      <c r="H26" s="5">
        <f t="shared" si="0"/>
        <v>0</v>
      </c>
      <c r="I26" s="5">
        <f t="shared" si="1"/>
        <v>1526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>
        <v>1308</v>
      </c>
      <c r="F27" s="1"/>
      <c r="G27" s="5"/>
      <c r="H27" s="5">
        <f>IF((D27-E27)&lt;0,0,(D27-E27))</f>
        <v>0</v>
      </c>
      <c r="I27" s="5">
        <f>IF((E27-D27)&lt;0,0,(E27-D27))</f>
        <v>1308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>
        <v>2398</v>
      </c>
      <c r="F28" s="1"/>
      <c r="G28" s="5"/>
      <c r="H28" s="5">
        <f>IF((D28-E28)&lt;0,0,(D28-E28))</f>
        <v>0</v>
      </c>
      <c r="I28" s="5">
        <f>IF((E28-D28)&lt;0,0,(E28-D28))</f>
        <v>2398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225</v>
      </c>
      <c r="D55" s="5">
        <f>Table14[[#This Row],[Enrolment S.Y. 2025-2026 ]]*8</f>
        <v>1800</v>
      </c>
      <c r="E55" s="5">
        <v>108</v>
      </c>
      <c r="F55" s="1"/>
      <c r="G55" s="5"/>
      <c r="H55" s="5">
        <f t="shared" si="0"/>
        <v>1692</v>
      </c>
      <c r="I55" s="5">
        <f t="shared" si="1"/>
        <v>0</v>
      </c>
      <c r="J55" s="5">
        <f>Table14[[#This Row],[Enrolment S.Y. 2025-2026 ]]*8</f>
        <v>1800</v>
      </c>
      <c r="K55" s="5">
        <v>138</v>
      </c>
      <c r="L55" s="1"/>
      <c r="M55" s="5"/>
      <c r="N55" s="5">
        <f t="shared" si="2"/>
        <v>1662</v>
      </c>
      <c r="O55" s="5">
        <f t="shared" si="3"/>
        <v>0</v>
      </c>
      <c r="P55" s="5">
        <f>Table14[[#This Row],[Enrolment S.Y. 2025-2026 ]]*8</f>
        <v>1800</v>
      </c>
      <c r="Q55" s="5">
        <v>92</v>
      </c>
      <c r="R55" s="1"/>
      <c r="S55" s="5"/>
      <c r="T55" s="5">
        <f t="shared" si="4"/>
        <v>1708</v>
      </c>
      <c r="U55" s="5">
        <f t="shared" si="5"/>
        <v>0</v>
      </c>
      <c r="V55" s="5">
        <f>Table14[[#This Row],[Enrolment S.Y. 2025-2026 ]]*8</f>
        <v>1800</v>
      </c>
      <c r="W55" s="5">
        <v>322</v>
      </c>
      <c r="X55" s="1"/>
      <c r="Y55" s="5"/>
      <c r="Z55" s="5">
        <f t="shared" si="6"/>
        <v>1478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225</v>
      </c>
      <c r="D56" s="5">
        <f>Table14[[#This Row],[Enrolment S.Y. 2025-2026 ]]*8</f>
        <v>1800</v>
      </c>
      <c r="E56" s="5">
        <v>504</v>
      </c>
      <c r="F56" s="1"/>
      <c r="G56" s="5"/>
      <c r="H56" s="5">
        <f t="shared" si="0"/>
        <v>1296</v>
      </c>
      <c r="I56" s="5">
        <f t="shared" si="1"/>
        <v>0</v>
      </c>
      <c r="J56" s="5">
        <f>Table14[[#This Row],[Enrolment S.Y. 2025-2026 ]]*8</f>
        <v>1800</v>
      </c>
      <c r="K56" s="5">
        <v>644</v>
      </c>
      <c r="L56" s="1"/>
      <c r="M56" s="5"/>
      <c r="N56" s="5">
        <f t="shared" si="2"/>
        <v>1156</v>
      </c>
      <c r="O56" s="5">
        <f t="shared" si="3"/>
        <v>0</v>
      </c>
      <c r="P56" s="5">
        <f>Table14[[#This Row],[Enrolment S.Y. 2025-2026 ]]*8</f>
        <v>1800</v>
      </c>
      <c r="Q56" s="5">
        <v>276</v>
      </c>
      <c r="R56" s="1"/>
      <c r="S56" s="5"/>
      <c r="T56" s="5">
        <f t="shared" si="4"/>
        <v>1524</v>
      </c>
      <c r="U56" s="5">
        <f t="shared" si="5"/>
        <v>0</v>
      </c>
      <c r="V56" s="5">
        <f>Table14[[#This Row],[Enrolment S.Y. 2025-2026 ]]*8</f>
        <v>1800</v>
      </c>
      <c r="W56" s="5">
        <v>230</v>
      </c>
      <c r="X56" s="1"/>
      <c r="Y56" s="5"/>
      <c r="Z56" s="5">
        <f t="shared" si="6"/>
        <v>1570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225</v>
      </c>
      <c r="D57" s="5">
        <f>Table14[[#This Row],[Enrolment S.Y. 2025-2026 ]]*8</f>
        <v>1800</v>
      </c>
      <c r="E57" s="5">
        <v>180</v>
      </c>
      <c r="F57" s="1"/>
      <c r="G57" s="5"/>
      <c r="H57" s="5">
        <f t="shared" si="0"/>
        <v>1620</v>
      </c>
      <c r="I57" s="5">
        <f t="shared" si="1"/>
        <v>0</v>
      </c>
      <c r="J57" s="5">
        <f>Table14[[#This Row],[Enrolment S.Y. 2025-2026 ]]*8</f>
        <v>1800</v>
      </c>
      <c r="K57" s="5">
        <v>644</v>
      </c>
      <c r="L57" s="1"/>
      <c r="M57" s="5"/>
      <c r="N57" s="5">
        <f t="shared" si="2"/>
        <v>1156</v>
      </c>
      <c r="O57" s="5">
        <f t="shared" si="3"/>
        <v>0</v>
      </c>
      <c r="P57" s="5">
        <f>Table14[[#This Row],[Enrolment S.Y. 2025-2026 ]]*8</f>
        <v>1800</v>
      </c>
      <c r="Q57" s="5">
        <v>414</v>
      </c>
      <c r="R57" s="1"/>
      <c r="S57" s="5"/>
      <c r="T57" s="5">
        <f t="shared" si="4"/>
        <v>1386</v>
      </c>
      <c r="U57" s="5">
        <f t="shared" si="5"/>
        <v>0</v>
      </c>
      <c r="V57" s="5">
        <f>Table14[[#This Row],[Enrolment S.Y. 2025-2026 ]]*8</f>
        <v>1800</v>
      </c>
      <c r="W57" s="5">
        <v>414</v>
      </c>
      <c r="X57" s="1"/>
      <c r="Y57" s="5"/>
      <c r="Z57" s="5">
        <f t="shared" si="6"/>
        <v>1386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225</v>
      </c>
      <c r="D58" s="5">
        <f>Table14[[#This Row],[Enrolment S.Y. 2025-2026 ]]*8</f>
        <v>1800</v>
      </c>
      <c r="E58" s="5"/>
      <c r="F58" s="1"/>
      <c r="G58" s="5"/>
      <c r="H58" s="5">
        <f t="shared" si="0"/>
        <v>1800</v>
      </c>
      <c r="I58" s="5">
        <f t="shared" si="1"/>
        <v>0</v>
      </c>
      <c r="J58" s="5">
        <f>Table14[[#This Row],[Enrolment S.Y. 2025-2026 ]]*8</f>
        <v>1800</v>
      </c>
      <c r="K58" s="5"/>
      <c r="L58" s="1"/>
      <c r="M58" s="5"/>
      <c r="N58" s="5">
        <f t="shared" si="2"/>
        <v>1800</v>
      </c>
      <c r="O58" s="5">
        <f t="shared" si="3"/>
        <v>0</v>
      </c>
      <c r="P58" s="5">
        <f>Table14[[#This Row],[Enrolment S.Y. 2025-2026 ]]*8</f>
        <v>1800</v>
      </c>
      <c r="Q58" s="5"/>
      <c r="R58" s="1"/>
      <c r="S58" s="5"/>
      <c r="T58" s="5">
        <f t="shared" si="4"/>
        <v>1800</v>
      </c>
      <c r="U58" s="5">
        <f t="shared" si="5"/>
        <v>0</v>
      </c>
      <c r="V58" s="5">
        <f>Table14[[#This Row],[Enrolment S.Y. 2025-2026 ]]*8</f>
        <v>1800</v>
      </c>
      <c r="W58" s="5"/>
      <c r="X58" s="1"/>
      <c r="Y58" s="5"/>
      <c r="Z58" s="5">
        <f t="shared" si="6"/>
        <v>1800</v>
      </c>
      <c r="AA58" s="5">
        <f t="shared" si="7"/>
        <v>0</v>
      </c>
    </row>
    <row r="59" spans="1:27" ht="40.5" customHeight="1">
      <c r="A59" s="1">
        <v>6</v>
      </c>
      <c r="B59" s="9" t="s">
        <v>17</v>
      </c>
      <c r="C59" s="1">
        <v>225</v>
      </c>
      <c r="D59" s="5">
        <f>Table14[[#This Row],[Enrolment S.Y. 2025-2026 ]]*8</f>
        <v>1800</v>
      </c>
      <c r="E59" s="5"/>
      <c r="F59" s="1"/>
      <c r="G59" s="5"/>
      <c r="H59" s="5">
        <f t="shared" si="0"/>
        <v>1800</v>
      </c>
      <c r="I59" s="5">
        <f t="shared" si="1"/>
        <v>0</v>
      </c>
      <c r="J59" s="5">
        <f>Table14[[#This Row],[Enrolment S.Y. 2025-2026 ]]*8</f>
        <v>1800</v>
      </c>
      <c r="K59" s="5"/>
      <c r="L59" s="1"/>
      <c r="M59" s="5"/>
      <c r="N59" s="5">
        <f t="shared" si="2"/>
        <v>1800</v>
      </c>
      <c r="O59" s="5">
        <f t="shared" si="3"/>
        <v>0</v>
      </c>
      <c r="P59" s="5">
        <f>Table14[[#This Row],[Enrolment S.Y. 2025-2026 ]]*8</f>
        <v>1800</v>
      </c>
      <c r="Q59" s="5">
        <v>276</v>
      </c>
      <c r="R59" s="1"/>
      <c r="S59" s="5"/>
      <c r="T59" s="5">
        <f t="shared" si="4"/>
        <v>1524</v>
      </c>
      <c r="U59" s="5">
        <f t="shared" si="5"/>
        <v>0</v>
      </c>
      <c r="V59" s="5">
        <f>Table14[[#This Row],[Enrolment S.Y. 2025-2026 ]]*8</f>
        <v>1800</v>
      </c>
      <c r="W59" s="5">
        <v>322</v>
      </c>
      <c r="X59" s="1"/>
      <c r="Y59" s="5"/>
      <c r="Z59" s="5">
        <f t="shared" si="6"/>
        <v>1478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225</v>
      </c>
      <c r="D60" s="5">
        <f>Table14[[#This Row],[Enrolment S.Y. 2025-2026 ]]*8</f>
        <v>1800</v>
      </c>
      <c r="E60" s="5"/>
      <c r="F60" s="1"/>
      <c r="G60" s="5"/>
      <c r="H60" s="5">
        <f t="shared" si="0"/>
        <v>1800</v>
      </c>
      <c r="I60" s="5">
        <f t="shared" si="1"/>
        <v>0</v>
      </c>
      <c r="J60" s="5">
        <f>Table14[[#This Row],[Enrolment S.Y. 2025-2026 ]]*8</f>
        <v>1800</v>
      </c>
      <c r="K60" s="5"/>
      <c r="L60" s="1"/>
      <c r="M60" s="5"/>
      <c r="N60" s="5">
        <f t="shared" si="2"/>
        <v>1800</v>
      </c>
      <c r="O60" s="5">
        <f t="shared" si="3"/>
        <v>0</v>
      </c>
      <c r="P60" s="5">
        <f>Table14[[#This Row],[Enrolment S.Y. 2025-2026 ]]*8</f>
        <v>1800</v>
      </c>
      <c r="Q60" s="5">
        <v>184</v>
      </c>
      <c r="R60" s="1"/>
      <c r="S60" s="5"/>
      <c r="T60" s="5">
        <f t="shared" si="4"/>
        <v>1616</v>
      </c>
      <c r="U60" s="5">
        <f t="shared" si="5"/>
        <v>0</v>
      </c>
      <c r="V60" s="5">
        <f>Table14[[#This Row],[Enrolment S.Y. 2025-2026 ]]*8</f>
        <v>1800</v>
      </c>
      <c r="W60" s="5">
        <v>368</v>
      </c>
      <c r="X60" s="1"/>
      <c r="Y60" s="5"/>
      <c r="Z60" s="5">
        <f t="shared" si="6"/>
        <v>1432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225</v>
      </c>
      <c r="D61" s="5">
        <f>Table14[[#This Row],[Enrolment S.Y. 2025-2026 ]]*8</f>
        <v>1800</v>
      </c>
      <c r="E61" s="5"/>
      <c r="F61" s="1"/>
      <c r="G61" s="5"/>
      <c r="H61" s="5">
        <f>IF((D61-E61)&lt;0,0,(D61-E61))</f>
        <v>1800</v>
      </c>
      <c r="I61" s="5">
        <f>IF((E61-D61)&lt;0,0,(E61-D61))</f>
        <v>0</v>
      </c>
      <c r="J61" s="5">
        <f>Table14[[#This Row],[Enrolment S.Y. 2025-2026 ]]*8</f>
        <v>1800</v>
      </c>
      <c r="K61" s="5"/>
      <c r="L61" s="1"/>
      <c r="M61" s="5"/>
      <c r="N61" s="5">
        <f t="shared" ref="N61:N65" si="12">IF((J61-K61)&lt;0,0,(J61-K61))</f>
        <v>1800</v>
      </c>
      <c r="O61" s="5">
        <f t="shared" ref="O61:O65" si="13">IF((K61-J61)&lt;0,0,(K61-J61))</f>
        <v>0</v>
      </c>
      <c r="P61" s="5">
        <f>Table14[[#This Row],[Enrolment S.Y. 2025-2026 ]]*8</f>
        <v>1800</v>
      </c>
      <c r="Q61" s="5">
        <v>184</v>
      </c>
      <c r="R61" s="1"/>
      <c r="S61" s="5"/>
      <c r="T61" s="5">
        <f>IF((P61-Q61)&lt;0,0,(P61-Q61))</f>
        <v>1616</v>
      </c>
      <c r="U61" s="5">
        <f>IF((Q61-P61)&lt;0,0,(Q61-P61))</f>
        <v>0</v>
      </c>
      <c r="V61" s="5">
        <f>Table14[[#This Row],[Enrolment S.Y. 2025-2026 ]]*8</f>
        <v>1800</v>
      </c>
      <c r="W61" s="5">
        <v>138</v>
      </c>
      <c r="X61" s="1"/>
      <c r="Y61" s="5"/>
      <c r="Z61" s="5">
        <f>IF((V61-W61)&lt;0,0,(V61-W61))</f>
        <v>1662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225</v>
      </c>
      <c r="D62" s="5">
        <f>Table14[[#This Row],[Enrolment S.Y. 2025-2026 ]]*8</f>
        <v>1800</v>
      </c>
      <c r="E62" s="5"/>
      <c r="F62" s="1"/>
      <c r="G62" s="5"/>
      <c r="H62" s="5">
        <f t="shared" si="0"/>
        <v>1800</v>
      </c>
      <c r="I62" s="5">
        <f t="shared" si="1"/>
        <v>0</v>
      </c>
      <c r="J62" s="5">
        <f>Table14[[#This Row],[Enrolment S.Y. 2025-2026 ]]*8</f>
        <v>1800</v>
      </c>
      <c r="K62" s="5"/>
      <c r="L62" s="1"/>
      <c r="M62" s="5"/>
      <c r="N62" s="5">
        <f t="shared" si="12"/>
        <v>1800</v>
      </c>
      <c r="O62" s="5">
        <f t="shared" si="13"/>
        <v>0</v>
      </c>
      <c r="P62" s="5">
        <f>Table14[[#This Row],[Enrolment S.Y. 2025-2026 ]]*8</f>
        <v>1800</v>
      </c>
      <c r="Q62" s="5">
        <v>321</v>
      </c>
      <c r="R62" s="1"/>
      <c r="S62" s="5"/>
      <c r="T62" s="5">
        <f t="shared" si="4"/>
        <v>1479</v>
      </c>
      <c r="U62" s="5">
        <f t="shared" si="5"/>
        <v>0</v>
      </c>
      <c r="V62" s="5">
        <f>Table14[[#This Row],[Enrolment S.Y. 2025-2026 ]]*8</f>
        <v>1800</v>
      </c>
      <c r="W62" s="5">
        <v>414</v>
      </c>
      <c r="X62" s="1"/>
      <c r="Y62" s="5"/>
      <c r="Z62" s="5">
        <f t="shared" si="6"/>
        <v>1386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225</v>
      </c>
      <c r="D63" s="5">
        <f>Table14[[#This Row],[Enrolment S.Y. 2025-2026 ]]*8</f>
        <v>1800</v>
      </c>
      <c r="E63" s="5"/>
      <c r="F63" s="1"/>
      <c r="G63" s="5"/>
      <c r="H63" s="5">
        <f t="shared" si="0"/>
        <v>1800</v>
      </c>
      <c r="I63" s="5">
        <f t="shared" si="1"/>
        <v>0</v>
      </c>
      <c r="J63" s="5">
        <f>Table14[[#This Row],[Enrolment S.Y. 2025-2026 ]]*8</f>
        <v>1800</v>
      </c>
      <c r="K63" s="5"/>
      <c r="L63" s="1"/>
      <c r="M63" s="5"/>
      <c r="N63" s="5">
        <f t="shared" si="12"/>
        <v>1800</v>
      </c>
      <c r="O63" s="5">
        <f t="shared" si="13"/>
        <v>0</v>
      </c>
      <c r="P63" s="5">
        <f>Table14[[#This Row],[Enrolment S.Y. 2025-2026 ]]*8</f>
        <v>1800</v>
      </c>
      <c r="Q63" s="5">
        <v>183</v>
      </c>
      <c r="R63" s="1"/>
      <c r="S63" s="5"/>
      <c r="T63" s="5">
        <f t="shared" si="4"/>
        <v>1617</v>
      </c>
      <c r="U63" s="5">
        <f t="shared" si="5"/>
        <v>0</v>
      </c>
      <c r="V63" s="5">
        <f>Table14[[#This Row],[Enrolment S.Y. 2025-2026 ]]*8</f>
        <v>1800</v>
      </c>
      <c r="W63" s="5">
        <v>92</v>
      </c>
      <c r="X63" s="1"/>
      <c r="Y63" s="5"/>
      <c r="Z63" s="5">
        <f t="shared" si="6"/>
        <v>1708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225</v>
      </c>
      <c r="D64" s="5">
        <f>Table14[[#This Row],[Enrolment S.Y. 2025-2026 ]]*8</f>
        <v>1800</v>
      </c>
      <c r="E64" s="5"/>
      <c r="F64" s="1"/>
      <c r="G64" s="5"/>
      <c r="H64" s="5">
        <f>IF((D64-E64)&lt;0,0,(D64-E64))</f>
        <v>1800</v>
      </c>
      <c r="I64" s="5">
        <f>IF((E64-D64)&lt;0,0,(E64-D64))</f>
        <v>0</v>
      </c>
      <c r="J64" s="5">
        <f>Table14[[#This Row],[Enrolment S.Y. 2025-2026 ]]*8</f>
        <v>1800</v>
      </c>
      <c r="K64" s="5"/>
      <c r="L64" s="1"/>
      <c r="M64" s="5"/>
      <c r="N64" s="5">
        <f t="shared" si="12"/>
        <v>1800</v>
      </c>
      <c r="O64" s="5">
        <f t="shared" si="13"/>
        <v>0</v>
      </c>
      <c r="P64" s="5">
        <f>Table14[[#This Row],[Enrolment S.Y. 2025-2026 ]]*8</f>
        <v>1800</v>
      </c>
      <c r="Q64" s="5">
        <v>138</v>
      </c>
      <c r="R64" s="1"/>
      <c r="S64" s="5"/>
      <c r="T64" s="5">
        <f>IF((P64-Q64)&lt;0,0,(P64-Q64))</f>
        <v>1662</v>
      </c>
      <c r="U64" s="5">
        <f>IF((Q64-P64)&lt;0,0,(Q64-P64))</f>
        <v>0</v>
      </c>
      <c r="V64" s="5">
        <f>Table14[[#This Row],[Enrolment S.Y. 2025-2026 ]]*8</f>
        <v>1800</v>
      </c>
      <c r="W64" s="5">
        <v>138</v>
      </c>
      <c r="X64" s="1"/>
      <c r="Y64" s="5"/>
      <c r="Z64" s="5">
        <f>IF((V64-W64)&lt;0,0,(V64-W64))</f>
        <v>1662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225</v>
      </c>
      <c r="D65" s="5">
        <f>Table14[[#This Row],[Enrolment S.Y. 2025-2026 ]]*8</f>
        <v>1800</v>
      </c>
      <c r="E65" s="5"/>
      <c r="F65" s="1"/>
      <c r="G65" s="5"/>
      <c r="H65" s="5">
        <f t="shared" si="0"/>
        <v>1800</v>
      </c>
      <c r="I65" s="5">
        <f t="shared" si="1"/>
        <v>0</v>
      </c>
      <c r="J65" s="5">
        <f>Table14[[#This Row],[Enrolment S.Y. 2025-2026 ]]*8</f>
        <v>1800</v>
      </c>
      <c r="K65" s="5"/>
      <c r="L65" s="1"/>
      <c r="M65" s="5"/>
      <c r="N65" s="5">
        <f t="shared" si="12"/>
        <v>1800</v>
      </c>
      <c r="O65" s="5">
        <f t="shared" si="13"/>
        <v>0</v>
      </c>
      <c r="P65" s="5">
        <f>Table14[[#This Row],[Enrolment S.Y. 2025-2026 ]]*8</f>
        <v>1800</v>
      </c>
      <c r="Q65" s="5">
        <v>138</v>
      </c>
      <c r="R65" s="1"/>
      <c r="S65" s="5"/>
      <c r="T65" s="5">
        <f t="shared" si="4"/>
        <v>1662</v>
      </c>
      <c r="U65" s="5">
        <f t="shared" si="5"/>
        <v>0</v>
      </c>
      <c r="V65" s="5">
        <f>Table14[[#This Row],[Enrolment S.Y. 2025-2026 ]]*8</f>
        <v>1800</v>
      </c>
      <c r="W65" s="5">
        <v>368</v>
      </c>
      <c r="X65" s="1"/>
      <c r="Y65" s="5"/>
      <c r="Z65" s="5">
        <f t="shared" si="6"/>
        <v>1432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12:F19 D21:F29 D31:F41 D43:F53 D55:F65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R115:R122 X115:X122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D2586153-7C15-4487-A3B9-5A3A9E79330E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2026-02-19T03:40:36Z</dcterms:modified>
  <cp:category/>
  <cp:contentStatus/>
</cp:coreProperties>
</file>