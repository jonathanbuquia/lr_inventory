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03" documentId="13_ncr:1_{BFB59F67-F0DC-4675-A682-EB0734A8026A}" xr6:coauthVersionLast="47" xr6:coauthVersionMax="47" xr10:uidLastSave="{0820AA55-38E6-4471-93F6-D8F59AD10696}"/>
  <bookViews>
    <workbookView xWindow="-108" yWindow="-108" windowWidth="23256" windowHeight="12456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5" i="1"/>
  <c r="K5" i="1"/>
  <c r="J6" i="1"/>
  <c r="K6" i="1"/>
  <c r="J2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19" i="1"/>
  <c r="J19" i="1"/>
  <c r="K18" i="1"/>
  <c r="J18" i="1"/>
  <c r="K17" i="1"/>
  <c r="J17" i="1"/>
  <c r="K16" i="1"/>
  <c r="J16" i="1"/>
  <c r="K15" i="1"/>
  <c r="J15" i="1"/>
  <c r="K14" i="1"/>
  <c r="J14" i="1"/>
  <c r="K12" i="1"/>
  <c r="J12" i="1"/>
  <c r="K11" i="1"/>
  <c r="J11" i="1"/>
  <c r="K10" i="1"/>
  <c r="J10" i="1"/>
  <c r="K9" i="1"/>
  <c r="J9" i="1"/>
  <c r="K8" i="1"/>
  <c r="J8" i="1"/>
  <c r="K4" i="1"/>
  <c r="J4" i="1"/>
  <c r="K3" i="1"/>
  <c r="J3" i="1"/>
  <c r="K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<sst xmlns="http://schemas.openxmlformats.org/spreadsheetml/2006/main" count="439" uniqueCount="95">
  <si>
    <t>Grade Level</t>
  </si>
  <si>
    <t>SUBJECTS</t>
  </si>
  <si>
    <t xml:space="preserve">Enrolment S.Y. 2025-2026 </t>
  </si>
  <si>
    <t>Enrolment S.Y. 2025-2026 6</t>
  </si>
  <si>
    <t>Enrolment S.Y. 2025-2026 2</t>
  </si>
  <si>
    <t>Enrolment S.Y. 2025-2027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</si>
  <si>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</si>
  <si>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</si>
  <si>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</si>
  <si>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</si>
  <si>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</si>
  <si>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</si>
  <si>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</si>
  <si>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</si>
  <si>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</si>
  <si>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</si>
  <si>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</si>
  <si>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</si>
  <si>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</si>
  <si>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</si>
  <si>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</si>
  <si>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</si>
  <si>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</si>
  <si>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RO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</si>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</sst>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K145" totalsRowShown="0" headerRowDxfId="62" headerRowBorderDxfId="60" tableBorderDxfId="61">
  <autoFilter ref="A1:K145" xr:uid="{DC451CB5-2E69-4EAA-94B0-458F89F93F29}"/>
  <tableColumns count="11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14" xr3:uid="{25A99F17-C396-4874-BFB1-5952BCDD3233}" name="Enrolment S.Y. 2025-2026 6"/>
    <tableColumn id="10" xr3:uid="{54DD4BC8-0AD0-4F6E-B73D-8C29424C6136}" name="Enrolment S.Y. 2025-2026 2"/>
    <tableColumn id="9" xr3:uid="{3D0D93ED-869E-43BB-92D7-F023FC97BE42}" name="Enrolment S.Y. 2025-2027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8"/>
  <sheetViews>
    <sheetView zoomScale="85" zoomScaleNormal="85" workbookViewId="0">
      <pane xSplit="2" topLeftCell="C85" activePane="topRight" state="frozen"/>
      <selection pane="topRight" activeCell="H91" sqref="H91:H98"/>
    </sheetView>
  </sheetViews>
  <sheetFormatPr defaultRowHeight="15" customHeight="1"/>
  <cols>
    <col min="1" max="1" width="10.140625" bestFit="1" customWidth="1"/>
    <col min="2" max="2" width="27.85546875" customWidth="1"/>
    <col min="3" max="3" width="24.85546875" bestFit="1" customWidth="1"/>
    <col min="4" max="6" width="24.85546875" customWidth="1"/>
    <col min="7" max="8" width="24.85546875" bestFit="1" customWidth="1"/>
    <col min="9" max="9" width="21.42578125" bestFit="1" customWidth="1"/>
    <col min="10" max="10" width="15.140625" customWidth="1"/>
    <col min="11" max="11" width="16.140625" bestFit="1" customWidth="1"/>
  </cols>
  <sheetData>
    <row r="1" spans="1:14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 t="s">
        <v>8</v>
      </c>
      <c r="J1" s="18" t="s">
        <v>9</v>
      </c>
      <c r="K1" s="19" t="s">
        <v>10</v>
      </c>
      <c r="L1" s="6"/>
      <c r="M1" s="6"/>
      <c r="N1" s="6"/>
    </row>
    <row r="2" spans="1:14" ht="42.75" customHeight="1">
      <c r="A2" s="1">
        <v>1</v>
      </c>
      <c r="B2" s="2" t="s">
        <v>11</v>
      </c>
      <c r="C2" s="1"/>
      <c r="D2" s="1"/>
      <c r="E2" s="1"/>
      <c r="F2" s="1"/>
      <c r="G2" s="1"/>
      <c r="H2" s="1"/>
      <c r="I2" s="5"/>
      <c r="J2" s="3">
        <f>IF((C2-G2)&lt;0,0,C2-G2)</f>
        <v>0</v>
      </c>
      <c r="K2" s="4">
        <f>IF((G2-C2)&lt;0,0,G2-C2)</f>
        <v>0</v>
      </c>
    </row>
    <row r="3" spans="1:14" ht="29.25" customHeight="1">
      <c r="A3" s="1">
        <v>1</v>
      </c>
      <c r="B3" s="2" t="s">
        <v>12</v>
      </c>
      <c r="C3" s="1"/>
      <c r="D3" s="1"/>
      <c r="E3" s="1"/>
      <c r="F3" s="1"/>
      <c r="G3" s="1"/>
      <c r="H3" s="1"/>
      <c r="I3" s="5"/>
      <c r="J3" s="3">
        <f>IF((C3-G3)&lt;0,0,C3-G3)</f>
        <v>0</v>
      </c>
      <c r="K3" s="4">
        <f>IF((G3-C3)&lt;0,0,G3-C3)</f>
        <v>0</v>
      </c>
    </row>
    <row r="4" spans="1:14" ht="21" customHeight="1">
      <c r="A4" s="1">
        <v>1</v>
      </c>
      <c r="B4" s="2" t="s">
        <v>13</v>
      </c>
      <c r="C4" s="1"/>
      <c r="D4" s="1"/>
      <c r="E4" s="1"/>
      <c r="F4" s="1"/>
      <c r="G4" s="1"/>
      <c r="H4" s="1"/>
      <c r="I4" s="5"/>
      <c r="J4" s="3">
        <f>IF((C4-G4)&lt;0,0,C4-G4)</f>
        <v>0</v>
      </c>
      <c r="K4" s="4">
        <f>IF((G4-C4)&lt;0,0,G4-C4)</f>
        <v>0</v>
      </c>
    </row>
    <row r="5" spans="1:14" ht="25.5" customHeight="1">
      <c r="A5" s="1">
        <v>1</v>
      </c>
      <c r="B5" s="2" t="s">
        <v>14</v>
      </c>
      <c r="C5" s="1"/>
      <c r="D5" s="1"/>
      <c r="E5" s="1"/>
      <c r="F5" s="1"/>
      <c r="G5" s="1"/>
      <c r="H5" s="1"/>
      <c r="I5" s="5"/>
      <c r="J5" s="3">
        <f>IF((C5-G5)&lt;0,0,C5-G5)</f>
        <v>0</v>
      </c>
      <c r="K5" s="4">
        <f>IF((G5-C5)&lt;0,0,G5-C5)</f>
        <v>0</v>
      </c>
    </row>
    <row r="6" spans="1:14" ht="19.5">
      <c r="A6" s="1">
        <v>1</v>
      </c>
      <c r="B6" s="2" t="s">
        <v>15</v>
      </c>
      <c r="C6" s="1"/>
      <c r="D6" s="1"/>
      <c r="E6" s="1"/>
      <c r="F6" s="1"/>
      <c r="G6" s="1"/>
      <c r="H6" s="1"/>
      <c r="I6" s="5"/>
      <c r="J6" s="3">
        <f>IF((C6-G6)&lt;0,0,C6-G6)</f>
        <v>0</v>
      </c>
      <c r="K6" s="4">
        <f>IF((G6-C6)&lt;0,0,G6-C6)</f>
        <v>0</v>
      </c>
    </row>
    <row r="7" spans="1:14">
      <c r="C7" s="6"/>
      <c r="D7" s="6"/>
      <c r="E7" s="6"/>
      <c r="F7" s="6"/>
      <c r="G7" s="6"/>
      <c r="H7" s="6"/>
    </row>
    <row r="8" spans="1:14" ht="39.75" customHeight="1">
      <c r="A8" s="1">
        <v>2</v>
      </c>
      <c r="B8" s="2" t="s">
        <v>11</v>
      </c>
      <c r="C8" s="1"/>
      <c r="D8" s="1"/>
      <c r="E8" s="1"/>
      <c r="F8" s="1"/>
      <c r="G8" s="1"/>
      <c r="H8" s="1"/>
      <c r="I8" s="5"/>
      <c r="J8" s="3">
        <f>IF((C8-G8)&lt;0,0,C8-G8)</f>
        <v>0</v>
      </c>
      <c r="K8" s="4">
        <f>IF((G8-C8)&lt;0,0,G8-C8)</f>
        <v>0</v>
      </c>
    </row>
    <row r="9" spans="1:14" ht="29.25" customHeight="1">
      <c r="A9" s="1">
        <v>2</v>
      </c>
      <c r="B9" s="2" t="s">
        <v>12</v>
      </c>
      <c r="C9" s="1"/>
      <c r="D9" s="1"/>
      <c r="E9" s="1"/>
      <c r="F9" s="1"/>
      <c r="G9" s="1"/>
      <c r="H9" s="1"/>
      <c r="I9" s="5"/>
      <c r="J9" s="3">
        <f>IF((C9-G9)&lt;0,0,C9-G9)</f>
        <v>0</v>
      </c>
      <c r="K9" s="4">
        <f>IF((G9-C9)&lt;0,0,G9-C9)</f>
        <v>0</v>
      </c>
    </row>
    <row r="10" spans="1:14" ht="28.5" customHeight="1">
      <c r="A10" s="1">
        <v>2</v>
      </c>
      <c r="B10" s="2" t="s">
        <v>13</v>
      </c>
      <c r="C10" s="1"/>
      <c r="D10" s="1"/>
      <c r="E10" s="1"/>
      <c r="F10" s="1"/>
      <c r="G10" s="1"/>
      <c r="H10" s="1"/>
      <c r="I10" s="5"/>
      <c r="J10" s="3">
        <f>IF((C10-G10)&lt;0,0,C10-G10)</f>
        <v>0</v>
      </c>
      <c r="K10" s="4">
        <f>IF((G10-C10)&lt;0,0,G10-C10)</f>
        <v>0</v>
      </c>
    </row>
    <row r="11" spans="1:14" ht="24" customHeight="1">
      <c r="A11" s="1">
        <v>2</v>
      </c>
      <c r="B11" s="2" t="s">
        <v>14</v>
      </c>
      <c r="C11" s="1"/>
      <c r="D11" s="1"/>
      <c r="E11" s="1"/>
      <c r="F11" s="1"/>
      <c r="G11" s="1"/>
      <c r="H11" s="1"/>
      <c r="I11" s="5"/>
      <c r="J11" s="3">
        <f>IF((C11-G11)&lt;0,0,C11-G11)</f>
        <v>0</v>
      </c>
      <c r="K11" s="4">
        <f>IF((G11-C11)&lt;0,0,G11-C11)</f>
        <v>0</v>
      </c>
    </row>
    <row r="12" spans="1:14" ht="19.5">
      <c r="A12" s="1">
        <v>2</v>
      </c>
      <c r="B12" s="2" t="s">
        <v>15</v>
      </c>
      <c r="C12" s="1"/>
      <c r="D12" s="1"/>
      <c r="E12" s="1"/>
      <c r="F12" s="1"/>
      <c r="G12" s="1"/>
      <c r="H12" s="1"/>
      <c r="I12" s="5"/>
      <c r="J12" s="3">
        <f>IF((C12-G12)&lt;0,0,C12-G12)</f>
        <v>0</v>
      </c>
      <c r="K12" s="4">
        <f>IF((G12-C12)&lt;0,0,G12-C12)</f>
        <v>0</v>
      </c>
    </row>
    <row r="13" spans="1:14">
      <c r="C13" s="6"/>
      <c r="D13" s="6"/>
      <c r="E13" s="6"/>
      <c r="F13" s="6"/>
      <c r="G13" s="6"/>
      <c r="H13" s="6"/>
    </row>
    <row r="14" spans="1:14" ht="49.5" customHeight="1">
      <c r="A14" s="1">
        <v>3</v>
      </c>
      <c r="B14" s="2" t="s">
        <v>11</v>
      </c>
      <c r="C14" s="1"/>
      <c r="D14" s="1"/>
      <c r="E14" s="1"/>
      <c r="F14" s="1"/>
      <c r="G14" s="1"/>
      <c r="H14" s="1"/>
      <c r="I14" s="5"/>
      <c r="J14" s="3">
        <f>IF((C14-G14)&lt;0,0,C14-G14)</f>
        <v>0</v>
      </c>
      <c r="K14" s="4">
        <f>IF((G14-C14)&lt;0,0,G14-C14)</f>
        <v>0</v>
      </c>
    </row>
    <row r="15" spans="1:14" ht="29.25" customHeight="1">
      <c r="A15" s="1">
        <v>3</v>
      </c>
      <c r="B15" s="2" t="s">
        <v>12</v>
      </c>
      <c r="C15" s="1"/>
      <c r="D15" s="1"/>
      <c r="E15" s="1"/>
      <c r="F15" s="1"/>
      <c r="G15" s="1"/>
      <c r="H15" s="1"/>
      <c r="I15" s="5"/>
      <c r="J15" s="3">
        <f>IF((C15-G15)&lt;0,0,C15-G15)</f>
        <v>0</v>
      </c>
      <c r="K15" s="4">
        <f>IF((G15-C15)&lt;0,0,G15-C15)</f>
        <v>0</v>
      </c>
    </row>
    <row r="16" spans="1:14" ht="27" customHeight="1">
      <c r="A16" s="1">
        <v>3</v>
      </c>
      <c r="B16" s="2" t="s">
        <v>13</v>
      </c>
      <c r="C16" s="1"/>
      <c r="D16" s="1"/>
      <c r="E16" s="1"/>
      <c r="F16" s="1"/>
      <c r="G16" s="1"/>
      <c r="H16" s="1"/>
      <c r="I16" s="5"/>
      <c r="J16" s="3">
        <f>IF((C16-G16)&lt;0,0,C16-G16)</f>
        <v>0</v>
      </c>
      <c r="K16" s="4">
        <f>IF((G16-C16)&lt;0,0,G16-C16)</f>
        <v>0</v>
      </c>
    </row>
    <row r="17" spans="1:11" ht="23.25" customHeight="1">
      <c r="A17" s="1">
        <v>3</v>
      </c>
      <c r="B17" s="2" t="s">
        <v>16</v>
      </c>
      <c r="C17" s="1"/>
      <c r="D17" s="1"/>
      <c r="E17" s="1"/>
      <c r="F17" s="1"/>
      <c r="G17" s="1"/>
      <c r="H17" s="1"/>
      <c r="I17" s="5"/>
      <c r="J17" s="3">
        <f>IF((C17-G17)&lt;0,0,C17-G17)</f>
        <v>0</v>
      </c>
      <c r="K17" s="4">
        <f>IF((G17-C17)&lt;0,0,G17-C17)</f>
        <v>0</v>
      </c>
    </row>
    <row r="18" spans="1:11" ht="21" customHeight="1">
      <c r="A18" s="1">
        <v>3</v>
      </c>
      <c r="B18" s="2" t="s">
        <v>14</v>
      </c>
      <c r="C18" s="1"/>
      <c r="D18" s="1"/>
      <c r="E18" s="1"/>
      <c r="F18" s="1"/>
      <c r="G18" s="1"/>
      <c r="H18" s="1"/>
      <c r="I18" s="5"/>
      <c r="J18" s="3">
        <f>IF((C18-G18)&lt;0,0,C18-G18)</f>
        <v>0</v>
      </c>
      <c r="K18" s="4">
        <f>IF((G18-C18)&lt;0,0,G18-C18)</f>
        <v>0</v>
      </c>
    </row>
    <row r="19" spans="1:11" ht="19.5">
      <c r="A19" s="1">
        <v>3</v>
      </c>
      <c r="B19" s="2" t="s">
        <v>15</v>
      </c>
      <c r="C19" s="1"/>
      <c r="D19" s="1"/>
      <c r="E19" s="1"/>
      <c r="F19" s="1"/>
      <c r="G19" s="1"/>
      <c r="H19" s="1"/>
      <c r="I19" s="5"/>
      <c r="J19" s="3">
        <f>IF((C19-G19)&lt;0,0,C19-G19)</f>
        <v>0</v>
      </c>
      <c r="K19" s="4">
        <f>IF((G19-C19)&lt;0,0,G19-C19)</f>
        <v>0</v>
      </c>
    </row>
    <row r="20" spans="1:11">
      <c r="A20" s="7"/>
      <c r="B20" s="7"/>
      <c r="C20" s="8"/>
      <c r="D20" s="8"/>
      <c r="E20" s="8"/>
      <c r="F20" s="8"/>
      <c r="G20" s="8"/>
      <c r="H20" s="8"/>
      <c r="I20" s="7"/>
      <c r="J20" s="7"/>
      <c r="K20" s="7"/>
    </row>
    <row r="21" spans="1:11" ht="28.5" customHeight="1">
      <c r="A21" s="1">
        <v>4</v>
      </c>
      <c r="B21" s="9" t="s">
        <v>17</v>
      </c>
      <c r="C21" s="1"/>
      <c r="D21" s="1"/>
      <c r="E21" s="1"/>
      <c r="F21" s="1"/>
      <c r="G21" s="1"/>
      <c r="H21" s="1"/>
      <c r="I21" s="5"/>
      <c r="J21" s="3">
        <f>IF((C21-G21)&lt;0,0,C21-G21)</f>
        <v>0</v>
      </c>
      <c r="K21" s="4">
        <f>IF((G21-C21)&lt;0,0,G21-C21)</f>
        <v>0</v>
      </c>
    </row>
    <row r="22" spans="1:11" ht="24" customHeight="1">
      <c r="A22" s="1">
        <v>4</v>
      </c>
      <c r="B22" s="9" t="s">
        <v>18</v>
      </c>
      <c r="C22" s="1"/>
      <c r="D22" s="1"/>
      <c r="E22" s="1"/>
      <c r="F22" s="1"/>
      <c r="G22" s="1"/>
      <c r="H22" s="1"/>
      <c r="I22" s="5"/>
      <c r="J22" s="3">
        <f>IF((C22-G22)&lt;0,0,C22-G22)</f>
        <v>0</v>
      </c>
      <c r="K22" s="4">
        <f>IF((G22-C22)&lt;0,0,G22-C22)</f>
        <v>0</v>
      </c>
    </row>
    <row r="23" spans="1:11" ht="19.5">
      <c r="A23" s="1">
        <v>4</v>
      </c>
      <c r="B23" s="9" t="s">
        <v>15</v>
      </c>
      <c r="C23" s="1"/>
      <c r="D23" s="1"/>
      <c r="E23" s="1"/>
      <c r="F23" s="1"/>
      <c r="G23" s="1"/>
      <c r="H23" s="1"/>
      <c r="I23" s="5"/>
      <c r="J23" s="3">
        <f>IF((C23-G23)&lt;0,0,C23-G23)</f>
        <v>0</v>
      </c>
      <c r="K23" s="4">
        <f>IF((G23-C23)&lt;0,0,G23-C23)</f>
        <v>0</v>
      </c>
    </row>
    <row r="24" spans="1:11" ht="27" customHeight="1">
      <c r="A24" s="1">
        <v>4</v>
      </c>
      <c r="B24" s="9" t="s">
        <v>13</v>
      </c>
      <c r="C24" s="1"/>
      <c r="D24" s="1"/>
      <c r="E24" s="1"/>
      <c r="F24" s="1"/>
      <c r="G24" s="1"/>
      <c r="H24" s="1"/>
      <c r="I24" s="5"/>
      <c r="J24" s="3">
        <f>IF((C24-G24)&lt;0,0,C24-G24)</f>
        <v>0</v>
      </c>
      <c r="K24" s="4">
        <f>IF((G24-C24)&lt;0,0,G24-C24)</f>
        <v>0</v>
      </c>
    </row>
    <row r="25" spans="1:11" ht="33.75" customHeight="1">
      <c r="A25" s="1">
        <v>4</v>
      </c>
      <c r="B25" s="9" t="s">
        <v>19</v>
      </c>
      <c r="C25" s="1"/>
      <c r="D25" s="1"/>
      <c r="E25" s="1"/>
      <c r="F25" s="1"/>
      <c r="G25" s="1"/>
      <c r="H25" s="1"/>
      <c r="I25" s="5"/>
      <c r="J25" s="3">
        <f>IF((C25-G25)&lt;0,0,C25-G25)</f>
        <v>0</v>
      </c>
      <c r="K25" s="4">
        <f>IF((G25-C25)&lt;0,0,G25-C25)</f>
        <v>0</v>
      </c>
    </row>
    <row r="26" spans="1:11" ht="33.75" customHeight="1">
      <c r="A26" s="1">
        <v>4</v>
      </c>
      <c r="B26" s="9" t="s">
        <v>16</v>
      </c>
      <c r="C26" s="1"/>
      <c r="D26" s="1"/>
      <c r="E26" s="1"/>
      <c r="F26" s="1"/>
      <c r="G26" s="1"/>
      <c r="H26" s="1"/>
      <c r="I26" s="5"/>
      <c r="J26" s="3">
        <f>IF((C26-G26)&lt;0,0,C26-G26)</f>
        <v>0</v>
      </c>
      <c r="K26" s="4">
        <f>IF((G26-C26)&lt;0,0,G26-C26)</f>
        <v>0</v>
      </c>
    </row>
    <row r="27" spans="1:11" ht="33.75" customHeight="1">
      <c r="A27" s="1">
        <v>4</v>
      </c>
      <c r="B27" s="9" t="s">
        <v>20</v>
      </c>
      <c r="C27" s="1"/>
      <c r="D27" s="1"/>
      <c r="E27" s="1"/>
      <c r="F27" s="1"/>
      <c r="G27" s="1"/>
      <c r="H27" s="1"/>
      <c r="I27" s="5"/>
      <c r="J27" s="3">
        <f>IF((C27-G27)&lt;0,0,C27-G27)</f>
        <v>0</v>
      </c>
      <c r="K27" s="4">
        <f>IF((G27-C27)&lt;0,0,G27-C27)</f>
        <v>0</v>
      </c>
    </row>
    <row r="28" spans="1:11" ht="27.75" customHeight="1">
      <c r="A28" s="1">
        <v>4</v>
      </c>
      <c r="B28" s="9" t="s">
        <v>21</v>
      </c>
      <c r="C28" s="1"/>
      <c r="D28" s="1"/>
      <c r="E28" s="1"/>
      <c r="F28" s="1"/>
      <c r="G28" s="1"/>
      <c r="H28" s="1"/>
      <c r="I28" s="5"/>
      <c r="J28" s="3">
        <f>IF((C28-G28)&lt;0,0,C28-G28)</f>
        <v>0</v>
      </c>
      <c r="K28" s="4">
        <f>IF((G28-C28)&lt;0,0,G28-C28)</f>
        <v>0</v>
      </c>
    </row>
    <row r="29" spans="1:11" ht="27.75" customHeight="1">
      <c r="A29" s="1">
        <v>4</v>
      </c>
      <c r="B29" s="9" t="s">
        <v>22</v>
      </c>
      <c r="C29" s="1"/>
      <c r="D29" s="1"/>
      <c r="E29" s="1"/>
      <c r="F29" s="1"/>
      <c r="G29" s="1"/>
      <c r="H29" s="1"/>
      <c r="I29" s="5"/>
      <c r="J29" s="3">
        <f>IF((C29-G29)&lt;0,0,C29-G29)</f>
        <v>0</v>
      </c>
      <c r="K29" s="4">
        <f>IF((G29-C29)&lt;0,0,G29-C29)</f>
        <v>0</v>
      </c>
    </row>
    <row r="30" spans="1:11" ht="27.75" customHeight="1">
      <c r="A30" s="7"/>
      <c r="B30" s="7"/>
      <c r="C30" s="8"/>
      <c r="D30" s="8"/>
      <c r="E30" s="8"/>
      <c r="F30" s="8"/>
      <c r="G30" s="8"/>
      <c r="H30" s="8"/>
      <c r="I30" s="7"/>
      <c r="J30" s="7"/>
      <c r="K30" s="7"/>
    </row>
    <row r="31" spans="1:11" ht="27.75" customHeight="1">
      <c r="A31" s="1">
        <v>5</v>
      </c>
      <c r="B31" s="9" t="s">
        <v>17</v>
      </c>
      <c r="C31" s="1"/>
      <c r="D31" s="1"/>
      <c r="E31" s="1"/>
      <c r="F31" s="1"/>
      <c r="G31" s="1"/>
      <c r="H31" s="1"/>
      <c r="I31" s="5"/>
      <c r="J31" s="3">
        <f>IF((C31-G31)&lt;0,0,C31-G31)</f>
        <v>0</v>
      </c>
      <c r="K31" s="4">
        <f>IF((G31-C31)&lt;0,0,G31-C31)</f>
        <v>0</v>
      </c>
    </row>
    <row r="32" spans="1:11" ht="27.75" customHeight="1">
      <c r="A32" s="1">
        <v>5</v>
      </c>
      <c r="B32" s="9" t="s">
        <v>18</v>
      </c>
      <c r="C32" s="1"/>
      <c r="D32" s="1"/>
      <c r="E32" s="1"/>
      <c r="F32" s="1"/>
      <c r="G32" s="1"/>
      <c r="H32" s="1"/>
      <c r="I32" s="5"/>
      <c r="J32" s="3">
        <f>IF((C32-G32)&lt;0,0,C32-G32)</f>
        <v>0</v>
      </c>
      <c r="K32" s="4">
        <f>IF((G32-C32)&lt;0,0,G32-C32)</f>
        <v>0</v>
      </c>
    </row>
    <row r="33" spans="1:11" ht="27.75" customHeight="1">
      <c r="A33" s="1">
        <v>5</v>
      </c>
      <c r="B33" s="9" t="s">
        <v>15</v>
      </c>
      <c r="C33" s="1"/>
      <c r="D33" s="1"/>
      <c r="E33" s="1"/>
      <c r="F33" s="1"/>
      <c r="G33" s="1"/>
      <c r="H33" s="1"/>
      <c r="I33" s="5"/>
      <c r="J33" s="3">
        <f>IF((C33-G33)&lt;0,0,C33-G33)</f>
        <v>0</v>
      </c>
      <c r="K33" s="4">
        <f>IF((G33-C33)&lt;0,0,G33-C33)</f>
        <v>0</v>
      </c>
    </row>
    <row r="34" spans="1:11" ht="27.75" customHeight="1">
      <c r="A34" s="1">
        <v>5</v>
      </c>
      <c r="B34" s="9" t="s">
        <v>13</v>
      </c>
      <c r="C34" s="1"/>
      <c r="D34" s="1"/>
      <c r="E34" s="1"/>
      <c r="F34" s="1"/>
      <c r="G34" s="1"/>
      <c r="H34" s="1"/>
      <c r="I34" s="5"/>
      <c r="J34" s="3">
        <f>IF((C34-G34)&lt;0,0,C34-G34)</f>
        <v>0</v>
      </c>
      <c r="K34" s="4">
        <f>IF((G34-C34)&lt;0,0,G34-C34)</f>
        <v>0</v>
      </c>
    </row>
    <row r="35" spans="1:11" ht="39" customHeight="1">
      <c r="A35" s="1">
        <v>5</v>
      </c>
      <c r="B35" s="9" t="s">
        <v>19</v>
      </c>
      <c r="C35" s="1"/>
      <c r="D35" s="1"/>
      <c r="E35" s="1"/>
      <c r="F35" s="1"/>
      <c r="G35" s="1"/>
      <c r="H35" s="1"/>
      <c r="I35" s="5"/>
      <c r="J35" s="3">
        <f>IF((C35-G35)&lt;0,0,C35-G35)</f>
        <v>0</v>
      </c>
      <c r="K35" s="4">
        <f>IF((G35-C35)&lt;0,0,G35-C35)</f>
        <v>0</v>
      </c>
    </row>
    <row r="36" spans="1:11" ht="27.75" customHeight="1">
      <c r="A36" s="1">
        <v>5</v>
      </c>
      <c r="B36" s="9" t="s">
        <v>16</v>
      </c>
      <c r="C36" s="1"/>
      <c r="D36" s="1"/>
      <c r="E36" s="1"/>
      <c r="F36" s="1"/>
      <c r="G36" s="1"/>
      <c r="H36" s="1"/>
      <c r="I36" s="5"/>
      <c r="J36" s="3">
        <f>IF((C36-G36)&lt;0,0,C36-G36)</f>
        <v>0</v>
      </c>
      <c r="K36" s="4">
        <f>IF((G36-C36)&lt;0,0,G36-C36)</f>
        <v>0</v>
      </c>
    </row>
    <row r="37" spans="1:11" ht="27.75" customHeight="1">
      <c r="A37" s="1">
        <v>5</v>
      </c>
      <c r="B37" s="9" t="s">
        <v>20</v>
      </c>
      <c r="C37" s="1"/>
      <c r="D37" s="1"/>
      <c r="E37" s="1"/>
      <c r="F37" s="1"/>
      <c r="G37" s="1"/>
      <c r="H37" s="1"/>
      <c r="I37" s="5"/>
      <c r="J37" s="3">
        <f>IF((C37-G37)&lt;0,0,C37-G37)</f>
        <v>0</v>
      </c>
      <c r="K37" s="4">
        <f>IF((G37-C37)&lt;0,0,G37-C37)</f>
        <v>0</v>
      </c>
    </row>
    <row r="38" spans="1:11" ht="27.75" customHeight="1">
      <c r="A38" s="1">
        <v>5</v>
      </c>
      <c r="B38" s="9" t="s">
        <v>21</v>
      </c>
      <c r="C38" s="1"/>
      <c r="D38" s="1"/>
      <c r="E38" s="1"/>
      <c r="F38" s="1"/>
      <c r="G38" s="1"/>
      <c r="H38" s="1"/>
      <c r="I38" s="5"/>
      <c r="J38" s="3">
        <f>IF((C38-G38)&lt;0,0,C38-G38)</f>
        <v>0</v>
      </c>
      <c r="K38" s="4">
        <f>IF((G38-C38)&lt;0,0,G38-C38)</f>
        <v>0</v>
      </c>
    </row>
    <row r="39" spans="1:11" ht="27.75" customHeight="1">
      <c r="A39" s="1">
        <v>5</v>
      </c>
      <c r="B39" s="9" t="s">
        <v>22</v>
      </c>
      <c r="C39" s="1"/>
      <c r="D39" s="1"/>
      <c r="E39" s="1"/>
      <c r="F39" s="1"/>
      <c r="G39" s="1"/>
      <c r="H39" s="1"/>
      <c r="I39" s="5"/>
      <c r="J39" s="3">
        <f>IF((C39-G39)&lt;0,0,C39-G39)</f>
        <v>0</v>
      </c>
      <c r="K39" s="4">
        <f>IF((G39-C39)&lt;0,0,G39-C39)</f>
        <v>0</v>
      </c>
    </row>
    <row r="40" spans="1:11" ht="27.75" customHeight="1">
      <c r="A40" s="7"/>
      <c r="B40" s="7"/>
      <c r="C40" s="8"/>
      <c r="D40" s="8"/>
      <c r="E40" s="8"/>
      <c r="F40" s="8"/>
      <c r="G40" s="8"/>
      <c r="H40" s="8"/>
      <c r="I40" s="7"/>
      <c r="J40" s="7"/>
      <c r="K40" s="7"/>
    </row>
    <row r="41" spans="1:11" ht="27.75" customHeight="1">
      <c r="A41" s="1">
        <v>6</v>
      </c>
      <c r="B41" s="9" t="s">
        <v>17</v>
      </c>
      <c r="C41" s="1"/>
      <c r="D41" s="1"/>
      <c r="E41" s="1"/>
      <c r="F41" s="1"/>
      <c r="G41" s="1"/>
      <c r="H41" s="1"/>
      <c r="I41" s="5"/>
      <c r="J41" s="3">
        <f>IF((C41-G41)&lt;0,0,C41-G41)</f>
        <v>0</v>
      </c>
      <c r="K41" s="4">
        <f>IF((G41-C41)&lt;0,0,G41-C41)</f>
        <v>0</v>
      </c>
    </row>
    <row r="42" spans="1:11" ht="27.75" customHeight="1">
      <c r="A42" s="1">
        <v>6</v>
      </c>
      <c r="B42" s="9" t="s">
        <v>18</v>
      </c>
      <c r="C42" s="1"/>
      <c r="D42" s="1"/>
      <c r="E42" s="1"/>
      <c r="F42" s="1"/>
      <c r="G42" s="1"/>
      <c r="H42" s="1"/>
      <c r="I42" s="5"/>
      <c r="J42" s="3">
        <f>IF((C42-G42)&lt;0,0,C42-G42)</f>
        <v>0</v>
      </c>
      <c r="K42" s="4">
        <f>IF((G42-C42)&lt;0,0,G42-C42)</f>
        <v>0</v>
      </c>
    </row>
    <row r="43" spans="1:11" ht="27.75" customHeight="1">
      <c r="A43" s="1">
        <v>6</v>
      </c>
      <c r="B43" s="9" t="s">
        <v>15</v>
      </c>
      <c r="C43" s="1"/>
      <c r="D43" s="1"/>
      <c r="E43" s="1"/>
      <c r="F43" s="1"/>
      <c r="G43" s="1"/>
      <c r="H43" s="1"/>
      <c r="I43" s="5"/>
      <c r="J43" s="3">
        <f>IF((C43-G43)&lt;0,0,C43-G43)</f>
        <v>0</v>
      </c>
      <c r="K43" s="4">
        <f>IF((G43-C43)&lt;0,0,G43-C43)</f>
        <v>0</v>
      </c>
    </row>
    <row r="44" spans="1:11" ht="27.75" customHeight="1">
      <c r="A44" s="1">
        <v>6</v>
      </c>
      <c r="B44" s="9" t="s">
        <v>13</v>
      </c>
      <c r="C44" s="1"/>
      <c r="D44" s="1"/>
      <c r="E44" s="1"/>
      <c r="F44" s="1"/>
      <c r="G44" s="1"/>
      <c r="H44" s="1"/>
      <c r="I44" s="5"/>
      <c r="J44" s="3">
        <f>IF((C44-G44)&lt;0,0,C44-G44)</f>
        <v>0</v>
      </c>
      <c r="K44" s="4">
        <f>IF((G44-C44)&lt;0,0,G44-C44)</f>
        <v>0</v>
      </c>
    </row>
    <row r="45" spans="1:11" ht="36.75" customHeight="1">
      <c r="A45" s="1">
        <v>6</v>
      </c>
      <c r="B45" s="9" t="s">
        <v>19</v>
      </c>
      <c r="C45" s="1"/>
      <c r="D45" s="1"/>
      <c r="E45" s="1"/>
      <c r="F45" s="1"/>
      <c r="G45" s="1"/>
      <c r="H45" s="1"/>
      <c r="I45" s="5"/>
      <c r="J45" s="3">
        <f>IF((C45-G45)&lt;0,0,C45-G45)</f>
        <v>0</v>
      </c>
      <c r="K45" s="4">
        <f>IF((G45-C45)&lt;0,0,G45-C45)</f>
        <v>0</v>
      </c>
    </row>
    <row r="46" spans="1:11" ht="27.75" customHeight="1">
      <c r="A46" s="1">
        <v>6</v>
      </c>
      <c r="B46" s="9" t="s">
        <v>16</v>
      </c>
      <c r="C46" s="1"/>
      <c r="D46" s="1"/>
      <c r="E46" s="1"/>
      <c r="F46" s="1"/>
      <c r="G46" s="1"/>
      <c r="H46" s="1"/>
      <c r="I46" s="5"/>
      <c r="J46" s="3">
        <f>IF((C46-G46)&lt;0,0,C46-G46)</f>
        <v>0</v>
      </c>
      <c r="K46" s="4">
        <f>IF((G46-C46)&lt;0,0,G46-C46)</f>
        <v>0</v>
      </c>
    </row>
    <row r="47" spans="1:11" ht="27.75" customHeight="1">
      <c r="A47" s="1">
        <v>6</v>
      </c>
      <c r="B47" s="9" t="s">
        <v>20</v>
      </c>
      <c r="C47" s="1"/>
      <c r="D47" s="1"/>
      <c r="E47" s="1"/>
      <c r="F47" s="1"/>
      <c r="G47" s="1"/>
      <c r="H47" s="1"/>
      <c r="I47" s="5"/>
      <c r="J47" s="3">
        <f>IF((C47-G47)&lt;0,0,C47-G47)</f>
        <v>0</v>
      </c>
      <c r="K47" s="4">
        <f>IF((G47-C47)&lt;0,0,G47-C47)</f>
        <v>0</v>
      </c>
    </row>
    <row r="48" spans="1:11" ht="27.75" customHeight="1">
      <c r="A48" s="1">
        <v>6</v>
      </c>
      <c r="B48" s="9" t="s">
        <v>21</v>
      </c>
      <c r="C48" s="1"/>
      <c r="D48" s="1"/>
      <c r="E48" s="1"/>
      <c r="F48" s="1"/>
      <c r="G48" s="1"/>
      <c r="H48" s="1"/>
      <c r="I48" s="5"/>
      <c r="J48" s="3">
        <f>IF((C48-G48)&lt;0,0,C48-G48)</f>
        <v>0</v>
      </c>
      <c r="K48" s="4">
        <f>IF((G48-C48)&lt;0,0,G48-C48)</f>
        <v>0</v>
      </c>
    </row>
    <row r="49" spans="1:11" ht="27.75" customHeight="1">
      <c r="A49" s="1">
        <v>6</v>
      </c>
      <c r="B49" s="9" t="s">
        <v>22</v>
      </c>
      <c r="C49" s="1"/>
      <c r="D49" s="1"/>
      <c r="E49" s="1"/>
      <c r="F49" s="1"/>
      <c r="G49" s="1"/>
      <c r="H49" s="1"/>
      <c r="I49" s="5"/>
      <c r="J49" s="3">
        <f>IF((C49-G49)&lt;0,0,C49-G49)</f>
        <v>0</v>
      </c>
      <c r="K49" s="4">
        <f>IF((G49-C49)&lt;0,0,G49-C49)</f>
        <v>0</v>
      </c>
    </row>
    <row r="50" spans="1:11" ht="27.75" customHeight="1">
      <c r="A50" s="7"/>
      <c r="B50" s="7"/>
      <c r="C50" s="8"/>
      <c r="D50" s="8"/>
      <c r="E50" s="8"/>
      <c r="F50" s="8"/>
      <c r="G50" s="8"/>
      <c r="H50" s="8"/>
      <c r="I50" s="7"/>
      <c r="J50" s="7"/>
      <c r="K50" s="7"/>
    </row>
    <row r="51" spans="1:11" ht="27.75" customHeight="1">
      <c r="A51" s="10">
        <v>7</v>
      </c>
      <c r="B51" s="11" t="s">
        <v>17</v>
      </c>
      <c r="C51" s="10">
        <v>861</v>
      </c>
      <c r="D51" s="10">
        <v>861</v>
      </c>
      <c r="E51" s="10"/>
      <c r="F51" s="10">
        <v>861</v>
      </c>
      <c r="G51" s="10">
        <v>874</v>
      </c>
      <c r="H51" s="10">
        <v>2025</v>
      </c>
      <c r="I51" s="12" t="s">
        <v>23</v>
      </c>
      <c r="J51" s="3">
        <f>IF((C51-G51)&lt;0,0,C51-G51)</f>
        <v>0</v>
      </c>
      <c r="K51" s="4">
        <f>IF((G51-C51)&lt;0,0,G51-C51)</f>
        <v>13</v>
      </c>
    </row>
    <row r="52" spans="1:11" ht="27.75" customHeight="1">
      <c r="A52" s="10">
        <v>7</v>
      </c>
      <c r="B52" s="11" t="s">
        <v>18</v>
      </c>
      <c r="C52" s="10">
        <v>861</v>
      </c>
      <c r="D52" s="10">
        <v>861</v>
      </c>
      <c r="E52" s="10"/>
      <c r="F52" s="10">
        <v>861</v>
      </c>
      <c r="G52" s="10">
        <v>874</v>
      </c>
      <c r="H52" s="10">
        <v>2025</v>
      </c>
      <c r="I52" s="12" t="s">
        <v>23</v>
      </c>
      <c r="J52" s="3">
        <f>IF((C52-G52)&lt;0,0,C52-G52)</f>
        <v>0</v>
      </c>
      <c r="K52" s="4">
        <f>IF((G52-C52)&lt;0,0,G52-C52)</f>
        <v>13</v>
      </c>
    </row>
    <row r="53" spans="1:11" ht="27.75" customHeight="1">
      <c r="A53" s="10">
        <v>7</v>
      </c>
      <c r="B53" s="11" t="s">
        <v>15</v>
      </c>
      <c r="C53" s="10">
        <v>861</v>
      </c>
      <c r="D53" s="10">
        <v>861</v>
      </c>
      <c r="E53" s="10"/>
      <c r="F53" s="10">
        <v>861</v>
      </c>
      <c r="G53" s="10">
        <v>874</v>
      </c>
      <c r="H53" s="10">
        <v>2025</v>
      </c>
      <c r="I53" s="12" t="s">
        <v>23</v>
      </c>
      <c r="J53" s="3">
        <f>IF((C53-G53)&lt;0,0,C53-G53)</f>
        <v>0</v>
      </c>
      <c r="K53" s="4">
        <f>IF((G53-C53)&lt;0,0,G53-C53)</f>
        <v>13</v>
      </c>
    </row>
    <row r="54" spans="1:11" ht="27.75" customHeight="1">
      <c r="A54" s="10">
        <v>7</v>
      </c>
      <c r="B54" s="11" t="s">
        <v>24</v>
      </c>
      <c r="C54" s="10">
        <v>861</v>
      </c>
      <c r="D54" s="10">
        <v>861</v>
      </c>
      <c r="E54" s="10"/>
      <c r="F54" s="10">
        <v>861</v>
      </c>
      <c r="G54" s="10">
        <v>874</v>
      </c>
      <c r="H54" s="10">
        <v>2025</v>
      </c>
      <c r="I54" s="12" t="s">
        <v>23</v>
      </c>
      <c r="J54" s="3">
        <f>IF((C54-G54)&lt;0,0,C54-G54)</f>
        <v>0</v>
      </c>
      <c r="K54" s="4">
        <f>IF((G54-C54)&lt;0,0,G54-C54)</f>
        <v>13</v>
      </c>
    </row>
    <row r="55" spans="1:11" ht="39" customHeight="1">
      <c r="A55" s="10">
        <v>7</v>
      </c>
      <c r="B55" s="11" t="s">
        <v>19</v>
      </c>
      <c r="C55" s="10">
        <v>861</v>
      </c>
      <c r="D55" s="10">
        <v>861</v>
      </c>
      <c r="E55" s="10"/>
      <c r="F55" s="10">
        <v>861</v>
      </c>
      <c r="G55" s="10">
        <v>874</v>
      </c>
      <c r="H55" s="10">
        <v>2025</v>
      </c>
      <c r="I55" s="12" t="s">
        <v>23</v>
      </c>
      <c r="J55" s="3">
        <f>IF((C55-G55)&lt;0,0,C55-G55)</f>
        <v>0</v>
      </c>
      <c r="K55" s="4">
        <f>IF((G55-C55)&lt;0,0,G55-C55)</f>
        <v>13</v>
      </c>
    </row>
    <row r="56" spans="1:11" ht="27.75" customHeight="1">
      <c r="A56" s="10">
        <v>7</v>
      </c>
      <c r="B56" s="11" t="s">
        <v>16</v>
      </c>
      <c r="C56" s="10">
        <v>861</v>
      </c>
      <c r="D56" s="10">
        <v>861</v>
      </c>
      <c r="E56" s="10"/>
      <c r="F56" s="10">
        <v>861</v>
      </c>
      <c r="G56" s="10">
        <v>874</v>
      </c>
      <c r="H56" s="10">
        <v>2025</v>
      </c>
      <c r="I56" s="12" t="s">
        <v>23</v>
      </c>
      <c r="J56" s="3">
        <f>IF((C56-G56)&lt;0,0,C56-G56)</f>
        <v>0</v>
      </c>
      <c r="K56" s="4">
        <f>IF((G56-C56)&lt;0,0,G56-C56)</f>
        <v>13</v>
      </c>
    </row>
    <row r="57" spans="1:11" ht="27.75" customHeight="1">
      <c r="A57" s="10">
        <v>7</v>
      </c>
      <c r="B57" s="11" t="s">
        <v>20</v>
      </c>
      <c r="C57" s="10">
        <v>861</v>
      </c>
      <c r="D57" s="10">
        <v>861</v>
      </c>
      <c r="E57" s="10"/>
      <c r="F57" s="10">
        <v>861</v>
      </c>
      <c r="G57" s="10">
        <v>874</v>
      </c>
      <c r="H57" s="10">
        <v>2025</v>
      </c>
      <c r="I57" s="12" t="s">
        <v>23</v>
      </c>
      <c r="J57" s="3">
        <f>IF((C57-G57)&lt;0,0,C57-G57)</f>
        <v>0</v>
      </c>
      <c r="K57" s="4">
        <f>IF((G57-C57)&lt;0,0,G57-C57)</f>
        <v>13</v>
      </c>
    </row>
    <row r="58" spans="1:11" ht="27.75" customHeight="1">
      <c r="A58" s="10">
        <v>7</v>
      </c>
      <c r="B58" s="11" t="s">
        <v>25</v>
      </c>
      <c r="C58" s="10">
        <v>861</v>
      </c>
      <c r="D58" s="10">
        <v>861</v>
      </c>
      <c r="E58" s="10"/>
      <c r="F58" s="10">
        <v>861</v>
      </c>
      <c r="G58" s="10">
        <v>874</v>
      </c>
      <c r="H58" s="10">
        <v>2025</v>
      </c>
      <c r="I58" s="12" t="s">
        <v>23</v>
      </c>
      <c r="J58" s="3">
        <f>IF((C58-G58)&lt;0,0,C58-G58)</f>
        <v>0</v>
      </c>
      <c r="K58" s="4">
        <f>IF((G58-C58)&lt;0,0,G58-C58)</f>
        <v>13</v>
      </c>
    </row>
    <row r="59" spans="1:11" ht="27.75" customHeight="1">
      <c r="A59" s="10">
        <v>7</v>
      </c>
      <c r="B59" s="11" t="s">
        <v>22</v>
      </c>
      <c r="C59" s="10">
        <v>861</v>
      </c>
      <c r="D59" s="10">
        <v>861</v>
      </c>
      <c r="E59" s="10"/>
      <c r="F59" s="10">
        <v>861</v>
      </c>
      <c r="G59" s="10">
        <v>874</v>
      </c>
      <c r="H59" s="10">
        <v>2025</v>
      </c>
      <c r="I59" s="12" t="s">
        <v>23</v>
      </c>
      <c r="J59" s="3">
        <f>IF((C59-G59)&lt;0,0,C59-G59)</f>
        <v>0</v>
      </c>
      <c r="K59" s="4">
        <f>IF((G59-C59)&lt;0,0,G59-C59)</f>
        <v>13</v>
      </c>
    </row>
    <row r="60" spans="1:11" ht="27.75" customHeight="1">
      <c r="A60" s="7"/>
      <c r="B60" s="7"/>
      <c r="C60" s="8"/>
      <c r="D60" s="8"/>
      <c r="E60" s="8"/>
      <c r="F60" s="8"/>
      <c r="G60" s="8"/>
      <c r="H60" s="8"/>
      <c r="I60" s="7"/>
      <c r="J60" s="7"/>
      <c r="K60" s="7"/>
    </row>
    <row r="61" spans="1:11" ht="27.75" customHeight="1">
      <c r="A61" s="10">
        <v>8</v>
      </c>
      <c r="B61" s="11" t="s">
        <v>17</v>
      </c>
      <c r="C61" s="10">
        <v>866</v>
      </c>
      <c r="D61" s="10">
        <v>866</v>
      </c>
      <c r="E61" s="10"/>
      <c r="F61" s="10">
        <v>866</v>
      </c>
      <c r="G61" s="10"/>
      <c r="H61" s="10"/>
      <c r="I61" s="12"/>
      <c r="J61" s="3">
        <f>IF((C61-G61)&lt;0,0,C61-G61)</f>
        <v>866</v>
      </c>
      <c r="K61" s="4">
        <f>IF((G61-C61)&lt;0,0,G61-C61)</f>
        <v>0</v>
      </c>
    </row>
    <row r="62" spans="1:11" ht="27.75" customHeight="1">
      <c r="A62" s="10">
        <v>8</v>
      </c>
      <c r="B62" s="11" t="s">
        <v>18</v>
      </c>
      <c r="C62" s="10">
        <v>866</v>
      </c>
      <c r="D62" s="10">
        <v>866</v>
      </c>
      <c r="E62" s="10"/>
      <c r="F62" s="10">
        <v>866</v>
      </c>
      <c r="G62" s="10"/>
      <c r="H62" s="10"/>
      <c r="I62" s="12" t="s">
        <v>23</v>
      </c>
      <c r="J62" s="3">
        <f>IF((C62-G62)&lt;0,0,C62-G62)</f>
        <v>866</v>
      </c>
      <c r="K62" s="4">
        <f>IF((G62-C62)&lt;0,0,G62-C62)</f>
        <v>0</v>
      </c>
    </row>
    <row r="63" spans="1:11" ht="27.75" customHeight="1">
      <c r="A63" s="10">
        <v>8</v>
      </c>
      <c r="B63" s="11" t="s">
        <v>15</v>
      </c>
      <c r="C63" s="10">
        <v>866</v>
      </c>
      <c r="D63" s="10">
        <v>866</v>
      </c>
      <c r="E63" s="10"/>
      <c r="F63" s="10">
        <v>866</v>
      </c>
      <c r="G63" s="10">
        <v>852</v>
      </c>
      <c r="H63" s="10"/>
      <c r="I63" s="12" t="s">
        <v>23</v>
      </c>
      <c r="J63" s="3">
        <f>IF((C63-G63)&lt;0,0,C63-G63)</f>
        <v>14</v>
      </c>
      <c r="K63" s="4">
        <f>IF((G63-C63)&lt;0,0,G63-C63)</f>
        <v>0</v>
      </c>
    </row>
    <row r="64" spans="1:11" ht="27.75" customHeight="1">
      <c r="A64" s="10">
        <v>8</v>
      </c>
      <c r="B64" s="11" t="s">
        <v>24</v>
      </c>
      <c r="C64" s="10">
        <v>866</v>
      </c>
      <c r="D64" s="10">
        <v>866</v>
      </c>
      <c r="E64" s="10"/>
      <c r="F64" s="10">
        <v>866</v>
      </c>
      <c r="G64" s="10">
        <v>852</v>
      </c>
      <c r="H64" s="10"/>
      <c r="I64" s="12" t="s">
        <v>23</v>
      </c>
      <c r="J64" s="3">
        <f>IF((C64-G64)&lt;0,0,C64-G64)</f>
        <v>14</v>
      </c>
      <c r="K64" s="4">
        <f>IF((G64-C64)&lt;0,0,G64-C64)</f>
        <v>0</v>
      </c>
    </row>
    <row r="65" spans="1:11" ht="27.75" customHeight="1">
      <c r="A65" s="10">
        <v>8</v>
      </c>
      <c r="B65" s="11" t="s">
        <v>26</v>
      </c>
      <c r="C65" s="10">
        <v>866</v>
      </c>
      <c r="D65" s="10">
        <v>866</v>
      </c>
      <c r="E65" s="10"/>
      <c r="F65" s="10">
        <v>866</v>
      </c>
      <c r="G65" s="10"/>
      <c r="H65" s="10"/>
      <c r="I65" s="12"/>
      <c r="J65" s="3">
        <f>IF((C65-G65)&lt;0,0,C65-G65)</f>
        <v>866</v>
      </c>
      <c r="K65" s="4">
        <f>IF((G65-C65)&lt;0,0,G65-C65)</f>
        <v>0</v>
      </c>
    </row>
    <row r="66" spans="1:11" ht="27.75" customHeight="1">
      <c r="A66" s="10">
        <v>8</v>
      </c>
      <c r="B66" s="11" t="s">
        <v>16</v>
      </c>
      <c r="C66" s="10">
        <v>866</v>
      </c>
      <c r="D66" s="10">
        <v>866</v>
      </c>
      <c r="E66" s="10"/>
      <c r="F66" s="10">
        <v>866</v>
      </c>
      <c r="G66" s="10"/>
      <c r="H66" s="10"/>
      <c r="I66" s="12"/>
      <c r="J66" s="3">
        <f>IF((C66-G66)&lt;0,0,C66-G66)</f>
        <v>866</v>
      </c>
      <c r="K66" s="4">
        <f>IF((G66-C66)&lt;0,0,G66-C66)</f>
        <v>0</v>
      </c>
    </row>
    <row r="67" spans="1:11" ht="27.75" customHeight="1">
      <c r="A67" s="10">
        <v>8</v>
      </c>
      <c r="B67" s="11" t="s">
        <v>20</v>
      </c>
      <c r="C67" s="10">
        <v>866</v>
      </c>
      <c r="D67" s="10">
        <v>866</v>
      </c>
      <c r="E67" s="10"/>
      <c r="F67" s="10">
        <v>866</v>
      </c>
      <c r="G67" s="10"/>
      <c r="H67" s="10"/>
      <c r="I67" s="12"/>
      <c r="J67" s="3">
        <f>IF((C67-G67)&lt;0,0,C67-G67)</f>
        <v>866</v>
      </c>
      <c r="K67" s="4">
        <f>IF((G67-C67)&lt;0,0,G67-C67)</f>
        <v>0</v>
      </c>
    </row>
    <row r="68" spans="1:11" ht="27.75" customHeight="1">
      <c r="A68" s="10">
        <v>8</v>
      </c>
      <c r="B68" s="11" t="s">
        <v>25</v>
      </c>
      <c r="C68" s="10">
        <v>866</v>
      </c>
      <c r="D68" s="10">
        <v>866</v>
      </c>
      <c r="E68" s="10"/>
      <c r="F68" s="10">
        <v>866</v>
      </c>
      <c r="G68" s="10"/>
      <c r="H68" s="10"/>
      <c r="I68" s="12"/>
      <c r="J68" s="3">
        <f>IF((C68-G68)&lt;0,0,C68-G68)</f>
        <v>866</v>
      </c>
      <c r="K68" s="4">
        <f>IF((G68-C68)&lt;0,0,G68-C68)</f>
        <v>0</v>
      </c>
    </row>
    <row r="69" spans="1:11" ht="27.75" customHeight="1">
      <c r="A69" s="10">
        <v>8</v>
      </c>
      <c r="B69" s="11" t="s">
        <v>22</v>
      </c>
      <c r="C69" s="10">
        <v>866</v>
      </c>
      <c r="D69" s="10">
        <v>866</v>
      </c>
      <c r="E69" s="10"/>
      <c r="F69" s="10">
        <v>866</v>
      </c>
      <c r="G69" s="10"/>
      <c r="H69" s="10"/>
      <c r="I69" s="12"/>
      <c r="J69" s="3">
        <f>IF((C69-G69)&lt;0,0,C69-G69)</f>
        <v>866</v>
      </c>
      <c r="K69" s="4">
        <f>IF((G69-C69)&lt;0,0,G69-C69)</f>
        <v>0</v>
      </c>
    </row>
    <row r="70" spans="1:11" ht="27.75" customHeight="1">
      <c r="A70" s="7"/>
      <c r="B70" s="7"/>
      <c r="C70" s="8"/>
      <c r="D70" s="8"/>
      <c r="E70" s="8"/>
      <c r="F70" s="8"/>
      <c r="G70" s="8"/>
      <c r="H70" s="8"/>
      <c r="I70" s="7"/>
      <c r="J70" s="7"/>
      <c r="K70" s="7"/>
    </row>
    <row r="71" spans="1:11" ht="27.75" customHeight="1">
      <c r="A71" s="10">
        <v>9</v>
      </c>
      <c r="B71" s="11" t="s">
        <v>17</v>
      </c>
      <c r="C71" s="10">
        <v>686</v>
      </c>
      <c r="D71" s="10">
        <v>686</v>
      </c>
      <c r="E71" s="10"/>
      <c r="F71" s="10">
        <v>686</v>
      </c>
      <c r="G71" s="10">
        <v>376</v>
      </c>
      <c r="H71" s="10"/>
      <c r="I71" s="12"/>
      <c r="J71" s="3">
        <f>IF((C71-G71)&lt;0,0,C71-G71)</f>
        <v>310</v>
      </c>
      <c r="K71" s="4">
        <f>IF((G71-C71)&lt;0,0,G71-C71)</f>
        <v>0</v>
      </c>
    </row>
    <row r="72" spans="1:11" ht="27.75" customHeight="1">
      <c r="A72" s="10">
        <v>9</v>
      </c>
      <c r="B72" s="11" t="s">
        <v>18</v>
      </c>
      <c r="C72" s="10">
        <v>686</v>
      </c>
      <c r="D72" s="10">
        <v>686</v>
      </c>
      <c r="E72" s="10"/>
      <c r="F72" s="10">
        <v>686</v>
      </c>
      <c r="G72" s="10">
        <v>1091</v>
      </c>
      <c r="H72" s="10"/>
      <c r="I72" s="12"/>
      <c r="J72" s="3">
        <f>IF((C72-G72)&lt;0,0,C72-G72)</f>
        <v>0</v>
      </c>
      <c r="K72" s="4">
        <f>IF((G72-C72)&lt;0,0,G72-C72)</f>
        <v>405</v>
      </c>
    </row>
    <row r="73" spans="1:11" ht="27.75" customHeight="1">
      <c r="A73" s="10">
        <v>9</v>
      </c>
      <c r="B73" s="11" t="s">
        <v>15</v>
      </c>
      <c r="C73" s="10">
        <v>686</v>
      </c>
      <c r="D73" s="10">
        <v>686</v>
      </c>
      <c r="E73" s="10"/>
      <c r="F73" s="10">
        <v>686</v>
      </c>
      <c r="G73" s="10">
        <v>522</v>
      </c>
      <c r="H73" s="10"/>
      <c r="I73" s="12"/>
      <c r="J73" s="3">
        <f>IF((C73-G73)&lt;0,0,C73-G73)</f>
        <v>164</v>
      </c>
      <c r="K73" s="4">
        <f>IF((G73-C73)&lt;0,0,G73-C73)</f>
        <v>0</v>
      </c>
    </row>
    <row r="74" spans="1:11" ht="27.75" customHeight="1">
      <c r="A74" s="10">
        <v>9</v>
      </c>
      <c r="B74" s="11" t="s">
        <v>24</v>
      </c>
      <c r="C74" s="10">
        <v>686</v>
      </c>
      <c r="D74" s="10">
        <v>686</v>
      </c>
      <c r="E74" s="10"/>
      <c r="F74" s="10">
        <v>686</v>
      </c>
      <c r="G74" s="10">
        <v>881</v>
      </c>
      <c r="H74" s="10"/>
      <c r="I74" s="12"/>
      <c r="J74" s="3">
        <f>IF((C74-G74)&lt;0,0,C74-G74)</f>
        <v>0</v>
      </c>
      <c r="K74" s="4">
        <f>IF((G74-C74)&lt;0,0,G74-C74)</f>
        <v>195</v>
      </c>
    </row>
    <row r="75" spans="1:11" ht="27.75" customHeight="1">
      <c r="A75" s="10">
        <v>9</v>
      </c>
      <c r="B75" s="11" t="s">
        <v>26</v>
      </c>
      <c r="C75" s="10">
        <v>686</v>
      </c>
      <c r="D75" s="10">
        <v>686</v>
      </c>
      <c r="E75" s="10"/>
      <c r="F75" s="10">
        <v>686</v>
      </c>
      <c r="G75" s="10">
        <v>567</v>
      </c>
      <c r="H75" s="10"/>
      <c r="I75" s="12"/>
      <c r="J75" s="3">
        <f>IF((C75-G75)&lt;0,0,C75-G75)</f>
        <v>119</v>
      </c>
      <c r="K75" s="4">
        <f>IF((G75-C75)&lt;0,0,G75-C75)</f>
        <v>0</v>
      </c>
    </row>
    <row r="76" spans="1:11" ht="27.75" customHeight="1">
      <c r="A76" s="10">
        <v>9</v>
      </c>
      <c r="B76" s="11" t="s">
        <v>16</v>
      </c>
      <c r="C76" s="10">
        <v>686</v>
      </c>
      <c r="D76" s="10">
        <v>686</v>
      </c>
      <c r="E76" s="10"/>
      <c r="F76" s="10">
        <v>686</v>
      </c>
      <c r="G76" s="10">
        <v>472</v>
      </c>
      <c r="H76" s="10"/>
      <c r="I76" s="12"/>
      <c r="J76" s="3">
        <f>IF((C76-G76)&lt;0,0,C76-G76)</f>
        <v>214</v>
      </c>
      <c r="K76" s="4">
        <f>IF((G76-C76)&lt;0,0,G76-C76)</f>
        <v>0</v>
      </c>
    </row>
    <row r="77" spans="1:11" ht="27.75" customHeight="1">
      <c r="A77" s="10">
        <v>9</v>
      </c>
      <c r="B77" s="11" t="s">
        <v>20</v>
      </c>
      <c r="C77" s="10">
        <v>686</v>
      </c>
      <c r="D77" s="10">
        <v>686</v>
      </c>
      <c r="E77" s="10"/>
      <c r="F77" s="10">
        <v>686</v>
      </c>
      <c r="G77" s="10">
        <v>556</v>
      </c>
      <c r="H77" s="10"/>
      <c r="I77" s="12"/>
      <c r="J77" s="3">
        <f>IF((C77-G77)&lt;0,0,C77-G77)</f>
        <v>130</v>
      </c>
      <c r="K77" s="4">
        <f>IF((G77-C77)&lt;0,0,G77-C77)</f>
        <v>0</v>
      </c>
    </row>
    <row r="78" spans="1:11" ht="27.75" customHeight="1">
      <c r="A78" s="10">
        <v>9</v>
      </c>
      <c r="B78" s="11" t="s">
        <v>25</v>
      </c>
      <c r="C78" s="10">
        <v>686</v>
      </c>
      <c r="D78" s="10">
        <v>686</v>
      </c>
      <c r="E78" s="10"/>
      <c r="F78" s="10">
        <v>686</v>
      </c>
      <c r="G78" s="10"/>
      <c r="H78" s="10"/>
      <c r="I78" s="12"/>
      <c r="J78" s="3">
        <f>IF((C78-G78)&lt;0,0,C78-G78)</f>
        <v>686</v>
      </c>
      <c r="K78" s="4">
        <f>IF((G78-C78)&lt;0,0,G78-C78)</f>
        <v>0</v>
      </c>
    </row>
    <row r="79" spans="1:11" ht="27.75" customHeight="1">
      <c r="A79" s="10">
        <v>9</v>
      </c>
      <c r="B79" s="11" t="s">
        <v>22</v>
      </c>
      <c r="C79" s="10">
        <v>686</v>
      </c>
      <c r="D79" s="10">
        <v>686</v>
      </c>
      <c r="E79" s="10"/>
      <c r="F79" s="10">
        <v>686</v>
      </c>
      <c r="G79" s="10">
        <v>526</v>
      </c>
      <c r="H79" s="10"/>
      <c r="I79" s="12"/>
      <c r="J79" s="3">
        <f>IF((C79-G79)&lt;0,0,C79-G79)</f>
        <v>160</v>
      </c>
      <c r="K79" s="4">
        <f>IF((G79-C79)&lt;0,0,G79-C79)</f>
        <v>0</v>
      </c>
    </row>
    <row r="80" spans="1:11" ht="27.75" customHeight="1">
      <c r="A80" s="7"/>
      <c r="B80" s="8"/>
      <c r="C80" s="8"/>
      <c r="D80" s="8"/>
      <c r="E80" s="8"/>
      <c r="F80" s="8"/>
      <c r="G80" s="8"/>
      <c r="H80" s="8"/>
      <c r="I80" s="7"/>
      <c r="J80" s="7"/>
      <c r="K80" s="7"/>
    </row>
    <row r="81" spans="1:11" ht="27.75" customHeight="1">
      <c r="A81" s="10">
        <v>10</v>
      </c>
      <c r="B81" s="11" t="s">
        <v>17</v>
      </c>
      <c r="C81" s="10">
        <v>721</v>
      </c>
      <c r="D81" s="10">
        <v>721</v>
      </c>
      <c r="E81" s="10"/>
      <c r="F81" s="10">
        <v>721</v>
      </c>
      <c r="G81" s="10"/>
      <c r="H81" s="10"/>
      <c r="I81" s="12"/>
      <c r="J81" s="3">
        <f>IF((C81-G81)&lt;0,0,C81-G81)</f>
        <v>721</v>
      </c>
      <c r="K81" s="4">
        <f>IF((G81-C81)&lt;0,0,G81-C81)</f>
        <v>0</v>
      </c>
    </row>
    <row r="82" spans="1:11" ht="27.75" customHeight="1">
      <c r="A82" s="10">
        <v>10</v>
      </c>
      <c r="B82" s="11" t="s">
        <v>18</v>
      </c>
      <c r="C82" s="10">
        <v>721</v>
      </c>
      <c r="D82" s="10">
        <v>721</v>
      </c>
      <c r="E82" s="10"/>
      <c r="F82" s="10">
        <v>721</v>
      </c>
      <c r="G82" s="10">
        <v>367</v>
      </c>
      <c r="H82" s="10"/>
      <c r="I82" s="12"/>
      <c r="J82" s="3">
        <f>IF((C82-G82)&lt;0,0,C82-G82)</f>
        <v>354</v>
      </c>
      <c r="K82" s="4">
        <f>IF((G82-C82)&lt;0,0,G82-C82)</f>
        <v>0</v>
      </c>
    </row>
    <row r="83" spans="1:11" ht="27.75" customHeight="1">
      <c r="A83" s="10">
        <v>10</v>
      </c>
      <c r="B83" s="11" t="s">
        <v>15</v>
      </c>
      <c r="C83" s="10">
        <v>721</v>
      </c>
      <c r="D83" s="10">
        <v>721</v>
      </c>
      <c r="E83" s="10"/>
      <c r="F83" s="10">
        <v>721</v>
      </c>
      <c r="G83" s="10"/>
      <c r="H83" s="10"/>
      <c r="I83" s="12"/>
      <c r="J83" s="3">
        <f>IF((C83-G83)&lt;0,0,C83-G83)</f>
        <v>721</v>
      </c>
      <c r="K83" s="4">
        <f>IF((G83-C83)&lt;0,0,G83-C83)</f>
        <v>0</v>
      </c>
    </row>
    <row r="84" spans="1:11" ht="27.75" customHeight="1">
      <c r="A84" s="10">
        <v>10</v>
      </c>
      <c r="B84" s="11" t="s">
        <v>24</v>
      </c>
      <c r="C84" s="10">
        <v>721</v>
      </c>
      <c r="D84" s="10">
        <v>721</v>
      </c>
      <c r="E84" s="10"/>
      <c r="F84" s="10">
        <v>721</v>
      </c>
      <c r="G84" s="10"/>
      <c r="H84" s="10"/>
      <c r="I84" s="12"/>
      <c r="J84" s="3">
        <f>IF((C84-G84)&lt;0,0,C84-G84)</f>
        <v>721</v>
      </c>
      <c r="K84" s="4">
        <f>IF((G84-C84)&lt;0,0,G84-C84)</f>
        <v>0</v>
      </c>
    </row>
    <row r="85" spans="1:11" ht="27.75" customHeight="1">
      <c r="A85" s="10">
        <v>10</v>
      </c>
      <c r="B85" s="11" t="s">
        <v>26</v>
      </c>
      <c r="C85" s="10">
        <v>721</v>
      </c>
      <c r="D85" s="10">
        <v>721</v>
      </c>
      <c r="E85" s="10"/>
      <c r="F85" s="10">
        <v>721</v>
      </c>
      <c r="G85" s="10"/>
      <c r="H85" s="10"/>
      <c r="I85" s="12"/>
      <c r="J85" s="3">
        <f>IF((C85-G85)&lt;0,0,C85-G85)</f>
        <v>721</v>
      </c>
      <c r="K85" s="4">
        <f>IF((G85-C85)&lt;0,0,G85-C85)</f>
        <v>0</v>
      </c>
    </row>
    <row r="86" spans="1:11" ht="27.75" customHeight="1">
      <c r="A86" s="10">
        <v>10</v>
      </c>
      <c r="B86" s="11" t="s">
        <v>16</v>
      </c>
      <c r="C86" s="10">
        <v>721</v>
      </c>
      <c r="D86" s="10">
        <v>721</v>
      </c>
      <c r="E86" s="10"/>
      <c r="F86" s="10">
        <v>721</v>
      </c>
      <c r="G86" s="10">
        <v>335</v>
      </c>
      <c r="H86" s="10"/>
      <c r="I86" s="12"/>
      <c r="J86" s="3">
        <f>IF((C86-G86)&lt;0,0,C86-G86)</f>
        <v>386</v>
      </c>
      <c r="K86" s="4">
        <f>IF((G86-C86)&lt;0,0,G86-C86)</f>
        <v>0</v>
      </c>
    </row>
    <row r="87" spans="1:11" ht="27.75" customHeight="1">
      <c r="A87" s="10">
        <v>10</v>
      </c>
      <c r="B87" s="11" t="s">
        <v>20</v>
      </c>
      <c r="C87" s="10">
        <v>721</v>
      </c>
      <c r="D87" s="10">
        <v>721</v>
      </c>
      <c r="E87" s="10"/>
      <c r="F87" s="10">
        <v>721</v>
      </c>
      <c r="G87" s="10">
        <v>283</v>
      </c>
      <c r="H87" s="10"/>
      <c r="I87" s="12"/>
      <c r="J87" s="3">
        <f>IF((C87-G87)&lt;0,0,C87-G87)</f>
        <v>438</v>
      </c>
      <c r="K87" s="4">
        <f>IF((G87-C87)&lt;0,0,G87-C87)</f>
        <v>0</v>
      </c>
    </row>
    <row r="88" spans="1:11" ht="27.75" customHeight="1">
      <c r="A88" s="10">
        <v>10</v>
      </c>
      <c r="B88" s="11" t="s">
        <v>25</v>
      </c>
      <c r="C88" s="10">
        <v>721</v>
      </c>
      <c r="D88" s="10">
        <v>721</v>
      </c>
      <c r="E88" s="10"/>
      <c r="F88" s="10">
        <v>721</v>
      </c>
      <c r="G88" s="10"/>
      <c r="H88" s="10"/>
      <c r="I88" s="12"/>
      <c r="J88" s="3">
        <f>IF((C88-G88)&lt;0,0,C88-G88)</f>
        <v>721</v>
      </c>
      <c r="K88" s="4">
        <f>IF((G88-C88)&lt;0,0,G88-C88)</f>
        <v>0</v>
      </c>
    </row>
    <row r="89" spans="1:11" ht="27.75" customHeight="1">
      <c r="A89" s="10">
        <v>10</v>
      </c>
      <c r="B89" s="11" t="s">
        <v>22</v>
      </c>
      <c r="C89" s="10">
        <v>721</v>
      </c>
      <c r="D89" s="10">
        <v>721</v>
      </c>
      <c r="E89" s="10"/>
      <c r="F89" s="10">
        <v>721</v>
      </c>
      <c r="G89" s="10">
        <v>832</v>
      </c>
      <c r="H89" s="10"/>
      <c r="I89" s="12"/>
      <c r="J89" s="3">
        <f>IF((C89-G89)&lt;0,0,C89-G89)</f>
        <v>0</v>
      </c>
      <c r="K89" s="4">
        <f>IF((G89-C89)&lt;0,0,G89-C89)</f>
        <v>111</v>
      </c>
    </row>
    <row r="90" spans="1:11" ht="27.75" customHeight="1">
      <c r="A90" s="7"/>
      <c r="B90" s="7"/>
      <c r="C90" s="8"/>
      <c r="D90" s="8"/>
      <c r="E90" s="8"/>
      <c r="F90" s="8"/>
      <c r="G90" s="8"/>
      <c r="H90" s="8"/>
      <c r="I90" s="7"/>
      <c r="J90" s="7"/>
      <c r="K90" s="7"/>
    </row>
    <row r="91" spans="1:11" ht="39.75" customHeight="1">
      <c r="A91" s="1" t="s">
        <v>27</v>
      </c>
      <c r="B91" s="9" t="s">
        <v>28</v>
      </c>
      <c r="C91" s="1"/>
      <c r="D91" s="1"/>
      <c r="E91" s="1"/>
      <c r="F91" s="1"/>
      <c r="G91" s="1"/>
      <c r="H91" s="1"/>
      <c r="I91" s="5"/>
      <c r="J91" s="3">
        <f>IF((C91-G91)&lt;0,0,C91-G91)</f>
        <v>0</v>
      </c>
      <c r="K91" s="4">
        <f>IF((G91-C91)&lt;0,0,G91-C91)</f>
        <v>0</v>
      </c>
    </row>
    <row r="92" spans="1:11" ht="27.75" customHeight="1">
      <c r="A92" s="1" t="s">
        <v>27</v>
      </c>
      <c r="B92" s="9" t="s">
        <v>29</v>
      </c>
      <c r="C92" s="1"/>
      <c r="D92" s="1"/>
      <c r="E92" s="1"/>
      <c r="F92" s="1"/>
      <c r="G92" s="1"/>
      <c r="H92" s="1"/>
      <c r="I92" s="5"/>
      <c r="J92" s="3">
        <f>IF((C92-G92)&lt;0,0,C92-G92)</f>
        <v>0</v>
      </c>
      <c r="K92" s="4">
        <f>IF((G92-C92)&lt;0,0,G92-C92)</f>
        <v>0</v>
      </c>
    </row>
    <row r="93" spans="1:11" ht="27.75" customHeight="1">
      <c r="A93" s="1" t="s">
        <v>27</v>
      </c>
      <c r="B93" s="9" t="s">
        <v>30</v>
      </c>
      <c r="C93" s="1"/>
      <c r="D93" s="1"/>
      <c r="E93" s="1"/>
      <c r="F93" s="1"/>
      <c r="G93" s="1"/>
      <c r="H93" s="1"/>
      <c r="I93" s="5"/>
      <c r="J93" s="3">
        <f>IF((C93-G93)&lt;0,0,C93-G93)</f>
        <v>0</v>
      </c>
      <c r="K93" s="4">
        <f>IF((G93-C93)&lt;0,0,G93-C93)</f>
        <v>0</v>
      </c>
    </row>
    <row r="94" spans="1:11" ht="27.75" customHeight="1">
      <c r="A94" s="1" t="s">
        <v>27</v>
      </c>
      <c r="B94" s="9" t="s">
        <v>31</v>
      </c>
      <c r="C94" s="1"/>
      <c r="D94" s="1"/>
      <c r="E94" s="1"/>
      <c r="F94" s="1"/>
      <c r="G94" s="1"/>
      <c r="H94" s="1"/>
      <c r="I94" s="5"/>
      <c r="J94" s="3">
        <f>IF((C94-G94)&lt;0,0,C94-G94)</f>
        <v>0</v>
      </c>
      <c r="K94" s="4">
        <f>IF((G94-C94)&lt;0,0,G94-C94)</f>
        <v>0</v>
      </c>
    </row>
    <row r="95" spans="1:11" ht="40.5" customHeight="1">
      <c r="A95" s="1" t="s">
        <v>27</v>
      </c>
      <c r="B95" s="9" t="s">
        <v>32</v>
      </c>
      <c r="C95" s="1"/>
      <c r="D95" s="1"/>
      <c r="E95" s="1"/>
      <c r="F95" s="1"/>
      <c r="G95" s="1"/>
      <c r="H95" s="1"/>
      <c r="I95" s="5"/>
      <c r="J95" s="3">
        <f>IF((C95-G95)&lt;0,0,C95-G95)</f>
        <v>0</v>
      </c>
      <c r="K95" s="4">
        <f>IF((G95-C95)&lt;0,0,G95-C95)</f>
        <v>0</v>
      </c>
    </row>
    <row r="96" spans="1:11" ht="38.25" customHeight="1">
      <c r="A96" s="1" t="s">
        <v>27</v>
      </c>
      <c r="B96" s="9" t="s">
        <v>33</v>
      </c>
      <c r="C96" s="1"/>
      <c r="D96" s="1"/>
      <c r="E96" s="1"/>
      <c r="F96" s="1"/>
      <c r="G96" s="1"/>
      <c r="H96" s="1"/>
      <c r="I96" s="5"/>
      <c r="J96" s="3">
        <f>IF((C96-G96)&lt;0,0,C96-G96)</f>
        <v>0</v>
      </c>
      <c r="K96" s="4">
        <f>IF((G96-C96)&lt;0,0,G96-C96)</f>
        <v>0</v>
      </c>
    </row>
    <row r="97" spans="1:11" ht="27.75" customHeight="1">
      <c r="A97" s="1" t="s">
        <v>27</v>
      </c>
      <c r="B97" s="9" t="s">
        <v>34</v>
      </c>
      <c r="C97" s="1"/>
      <c r="D97" s="1"/>
      <c r="E97" s="1"/>
      <c r="F97" s="1"/>
      <c r="G97" s="1"/>
      <c r="H97" s="1"/>
      <c r="I97" s="5"/>
      <c r="J97" s="3">
        <f>IF((C97-G97)&lt;0,0,C97-G97)</f>
        <v>0</v>
      </c>
      <c r="K97" s="4">
        <f>IF((G97-C97)&lt;0,0,G97-C97)</f>
        <v>0</v>
      </c>
    </row>
    <row r="98" spans="1:11" ht="47.25" customHeight="1">
      <c r="A98" s="1" t="s">
        <v>27</v>
      </c>
      <c r="B98" s="9" t="s">
        <v>35</v>
      </c>
      <c r="C98" s="1"/>
      <c r="D98" s="1"/>
      <c r="E98" s="1"/>
      <c r="F98" s="1"/>
      <c r="G98" s="1"/>
      <c r="H98" s="1"/>
      <c r="I98" s="5"/>
      <c r="J98" s="3">
        <f>IF((C98-G98)&lt;0,0,C98-G98)</f>
        <v>0</v>
      </c>
      <c r="K98" s="4">
        <f>IF((G98-C98)&lt;0,0,G98-C98)</f>
        <v>0</v>
      </c>
    </row>
  </sheetData>
  <protectedRanges>
    <protectedRange sqref="C1:H98" name="Textbooks"/>
    <protectedRange sqref="I1:I98" name="SOURCE"/>
  </protectedRanges>
  <phoneticPr fontId="8" type="noConversion"/>
  <dataValidations count="3">
    <dataValidation type="list" allowBlank="1" showInputMessage="1" showErrorMessage="1" sqref="H91:H98" xr:uid="{B46E7B13-721E-4D49-837E-C02BF9777D48}">
      <formula1>"2024,2025,2026"</formula1>
    </dataValidation>
    <dataValidation type="list" allowBlank="1" showInputMessage="1" showErrorMessage="1" sqref="I14:I19 I21:I29 I31:I39 I41:I49 I91:I98 I61:I69 I71:I79 I81:I89 I2:I6 I8:I12 I51:I59" xr:uid="{2F7388E0-D1A1-4571-8C10-96CB9A727EB3}">
      <formula1>"CO,RO,SDO"</formula1>
    </dataValidation>
    <dataValidation type="list" allowBlank="1" showInputMessage="1" showErrorMessage="1" sqref="H2:H6 H8:H12 H14:H19 H21:H29 H31:H39 H41:H49 H51:H59 H61:H69 H71:H79 H81:H89" xr:uid="{BD36D9BA-0744-4E54-BFF9-8399A7C76880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R109" zoomScale="70" zoomScaleNormal="70" workbookViewId="0">
      <selection activeCell="X112" sqref="X112: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36</v>
      </c>
      <c r="E1" s="42"/>
      <c r="F1" s="42"/>
      <c r="G1" s="42"/>
      <c r="H1" s="42"/>
      <c r="I1" s="42"/>
      <c r="J1" s="43" t="s">
        <v>37</v>
      </c>
      <c r="K1" s="43"/>
      <c r="L1" s="43"/>
      <c r="M1" s="43"/>
      <c r="N1" s="43"/>
      <c r="O1" s="43"/>
      <c r="P1" s="44" t="s">
        <v>38</v>
      </c>
      <c r="Q1" s="44"/>
      <c r="R1" s="44"/>
      <c r="S1" s="44"/>
      <c r="T1" s="44"/>
      <c r="U1" s="44"/>
      <c r="V1" s="45" t="s">
        <v>39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40</v>
      </c>
      <c r="E2" s="20" t="s">
        <v>41</v>
      </c>
      <c r="F2" s="21" t="s">
        <v>42</v>
      </c>
      <c r="G2" s="24" t="s">
        <v>43</v>
      </c>
      <c r="H2" s="17" t="s">
        <v>44</v>
      </c>
      <c r="I2" s="24" t="s">
        <v>45</v>
      </c>
      <c r="J2" s="22" t="s">
        <v>46</v>
      </c>
      <c r="K2" s="22" t="s">
        <v>47</v>
      </c>
      <c r="L2" s="23" t="s">
        <v>48</v>
      </c>
      <c r="M2" s="40" t="s">
        <v>49</v>
      </c>
      <c r="N2" s="40" t="s">
        <v>50</v>
      </c>
      <c r="O2" s="22" t="s">
        <v>51</v>
      </c>
      <c r="P2" s="24" t="s">
        <v>52</v>
      </c>
      <c r="Q2" s="24" t="s">
        <v>53</v>
      </c>
      <c r="R2" s="25" t="s">
        <v>54</v>
      </c>
      <c r="S2" s="17" t="s">
        <v>55</v>
      </c>
      <c r="T2" s="17" t="s">
        <v>56</v>
      </c>
      <c r="U2" s="24" t="s">
        <v>57</v>
      </c>
      <c r="V2" s="26" t="s">
        <v>58</v>
      </c>
      <c r="W2" s="26" t="s">
        <v>59</v>
      </c>
      <c r="X2" s="27" t="s">
        <v>60</v>
      </c>
      <c r="Y2" s="41" t="s">
        <v>61</v>
      </c>
      <c r="Z2" s="41" t="s">
        <v>62</v>
      </c>
      <c r="AA2" s="26" t="s">
        <v>63</v>
      </c>
    </row>
    <row r="3" spans="1:27" ht="30.6" customHeight="1">
      <c r="A3" s="39" t="s">
        <v>64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11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12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13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14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15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17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18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65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11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12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13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14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15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18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17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65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11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12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13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16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14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15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17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18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65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17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18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15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13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19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16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20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21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22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17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18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15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13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19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16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20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21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22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17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18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15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13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19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16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20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21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22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17</v>
      </c>
      <c r="C63" s="10">
        <v>861</v>
      </c>
      <c r="D63" s="12">
        <f>Table1[[#This Row],[Enrolment S.Y. 2025-2026 ]]*8</f>
        <v>6888</v>
      </c>
      <c r="E63" s="12">
        <v>870</v>
      </c>
      <c r="F63" s="10">
        <v>2025</v>
      </c>
      <c r="G63" s="12" t="s">
        <v>66</v>
      </c>
      <c r="H63" s="12">
        <f t="shared" si="2"/>
        <v>6018</v>
      </c>
      <c r="I63" s="12">
        <f t="shared" si="3"/>
        <v>0</v>
      </c>
      <c r="J63" s="12">
        <f>Table1[[#This Row],[Enrolment S.Y. 2025-2026 ]]*8</f>
        <v>6888</v>
      </c>
      <c r="K63" s="12"/>
      <c r="L63" s="10"/>
      <c r="M63" s="12"/>
      <c r="N63" s="12">
        <f t="shared" si="10"/>
        <v>6888</v>
      </c>
      <c r="O63" s="12">
        <f t="shared" si="11"/>
        <v>0</v>
      </c>
      <c r="P63" s="12">
        <f>Table1[[#This Row],[Enrolment S.Y. 2025-2026 ]]*8</f>
        <v>6888</v>
      </c>
      <c r="Q63" s="12"/>
      <c r="R63" s="10"/>
      <c r="S63" s="12"/>
      <c r="T63" s="12">
        <f t="shared" si="12"/>
        <v>6888</v>
      </c>
      <c r="U63" s="12">
        <f t="shared" si="13"/>
        <v>0</v>
      </c>
      <c r="V63" s="12">
        <f>Table1[[#This Row],[Enrolment S.Y. 2025-2026 ]]*8</f>
        <v>6888</v>
      </c>
      <c r="W63" s="12"/>
      <c r="X63" s="10"/>
      <c r="Y63" s="12"/>
      <c r="Z63" s="12">
        <f t="shared" si="14"/>
        <v>6888</v>
      </c>
      <c r="AA63" s="12">
        <f t="shared" si="15"/>
        <v>0</v>
      </c>
    </row>
    <row r="64" spans="1:27" ht="19.5">
      <c r="A64" s="10">
        <v>7</v>
      </c>
      <c r="B64" s="11" t="s">
        <v>18</v>
      </c>
      <c r="C64" s="10">
        <v>861</v>
      </c>
      <c r="D64" s="12">
        <f>Table1[[#This Row],[Enrolment S.Y. 2025-2026 ]]*8</f>
        <v>6888</v>
      </c>
      <c r="E64" s="12">
        <v>870</v>
      </c>
      <c r="F64" s="10">
        <v>2025</v>
      </c>
      <c r="G64" s="12" t="s">
        <v>66</v>
      </c>
      <c r="H64" s="12">
        <f t="shared" si="2"/>
        <v>6018</v>
      </c>
      <c r="I64" s="12">
        <f t="shared" si="3"/>
        <v>0</v>
      </c>
      <c r="J64" s="12">
        <f>Table1[[#This Row],[Enrolment S.Y. 2025-2026 ]]*8</f>
        <v>6888</v>
      </c>
      <c r="K64" s="12"/>
      <c r="L64" s="10"/>
      <c r="M64" s="12"/>
      <c r="N64" s="12">
        <f t="shared" si="10"/>
        <v>6888</v>
      </c>
      <c r="O64" s="12">
        <f t="shared" si="11"/>
        <v>0</v>
      </c>
      <c r="P64" s="12">
        <f>Table1[[#This Row],[Enrolment S.Y. 2025-2026 ]]*8</f>
        <v>6888</v>
      </c>
      <c r="Q64" s="12"/>
      <c r="R64" s="10"/>
      <c r="S64" s="12"/>
      <c r="T64" s="12">
        <f t="shared" si="12"/>
        <v>6888</v>
      </c>
      <c r="U64" s="12">
        <f t="shared" si="13"/>
        <v>0</v>
      </c>
      <c r="V64" s="12">
        <f>Table1[[#This Row],[Enrolment S.Y. 2025-2026 ]]*8</f>
        <v>6888</v>
      </c>
      <c r="W64" s="12"/>
      <c r="X64" s="10"/>
      <c r="Y64" s="12"/>
      <c r="Z64" s="12">
        <f t="shared" si="14"/>
        <v>6888</v>
      </c>
      <c r="AA64" s="12">
        <f t="shared" si="15"/>
        <v>0</v>
      </c>
    </row>
    <row r="65" spans="1:27" ht="19.5">
      <c r="A65" s="10">
        <v>7</v>
      </c>
      <c r="B65" s="11" t="s">
        <v>15</v>
      </c>
      <c r="C65" s="10">
        <v>861</v>
      </c>
      <c r="D65" s="12">
        <f>Table1[[#This Row],[Enrolment S.Y. 2025-2026 ]]*8</f>
        <v>6888</v>
      </c>
      <c r="E65" s="12">
        <v>870</v>
      </c>
      <c r="F65" s="10">
        <v>2025</v>
      </c>
      <c r="G65" s="12" t="s">
        <v>66</v>
      </c>
      <c r="H65" s="12">
        <f t="shared" si="2"/>
        <v>6018</v>
      </c>
      <c r="I65" s="12">
        <f t="shared" si="3"/>
        <v>0</v>
      </c>
      <c r="J65" s="12">
        <f>Table1[[#This Row],[Enrolment S.Y. 2025-2026 ]]*8</f>
        <v>6888</v>
      </c>
      <c r="K65" s="12"/>
      <c r="L65" s="10"/>
      <c r="M65" s="12"/>
      <c r="N65" s="12">
        <f t="shared" si="10"/>
        <v>6888</v>
      </c>
      <c r="O65" s="12">
        <f t="shared" si="11"/>
        <v>0</v>
      </c>
      <c r="P65" s="12">
        <f>Table1[[#This Row],[Enrolment S.Y. 2025-2026 ]]*8</f>
        <v>6888</v>
      </c>
      <c r="Q65" s="12"/>
      <c r="R65" s="10"/>
      <c r="S65" s="12"/>
      <c r="T65" s="12">
        <f t="shared" si="12"/>
        <v>6888</v>
      </c>
      <c r="U65" s="12">
        <f t="shared" si="13"/>
        <v>0</v>
      </c>
      <c r="V65" s="12">
        <f>Table1[[#This Row],[Enrolment S.Y. 2025-2026 ]]*8</f>
        <v>6888</v>
      </c>
      <c r="W65" s="12"/>
      <c r="X65" s="10"/>
      <c r="Y65" s="12"/>
      <c r="Z65" s="12">
        <f t="shared" si="14"/>
        <v>6888</v>
      </c>
      <c r="AA65" s="12">
        <f t="shared" si="15"/>
        <v>0</v>
      </c>
    </row>
    <row r="66" spans="1:27" ht="19.5">
      <c r="A66" s="10">
        <v>7</v>
      </c>
      <c r="B66" s="11" t="s">
        <v>24</v>
      </c>
      <c r="C66" s="10">
        <v>861</v>
      </c>
      <c r="D66" s="12">
        <f>Table1[[#This Row],[Enrolment S.Y. 2025-2026 ]]*8</f>
        <v>6888</v>
      </c>
      <c r="E66" s="12">
        <v>870</v>
      </c>
      <c r="F66" s="10">
        <v>2025</v>
      </c>
      <c r="G66" s="12" t="s">
        <v>66</v>
      </c>
      <c r="H66" s="12">
        <f t="shared" si="2"/>
        <v>6018</v>
      </c>
      <c r="I66" s="12">
        <f t="shared" si="3"/>
        <v>0</v>
      </c>
      <c r="J66" s="12">
        <f>Table1[[#This Row],[Enrolment S.Y. 2025-2026 ]]*8</f>
        <v>6888</v>
      </c>
      <c r="K66" s="12"/>
      <c r="L66" s="10"/>
      <c r="M66" s="12"/>
      <c r="N66" s="12">
        <f t="shared" si="10"/>
        <v>6888</v>
      </c>
      <c r="O66" s="12">
        <f t="shared" si="11"/>
        <v>0</v>
      </c>
      <c r="P66" s="12">
        <f>Table1[[#This Row],[Enrolment S.Y. 2025-2026 ]]*8</f>
        <v>6888</v>
      </c>
      <c r="Q66" s="12"/>
      <c r="R66" s="10"/>
      <c r="S66" s="12"/>
      <c r="T66" s="12">
        <f t="shared" si="12"/>
        <v>6888</v>
      </c>
      <c r="U66" s="12">
        <f t="shared" si="13"/>
        <v>0</v>
      </c>
      <c r="V66" s="12">
        <f>Table1[[#This Row],[Enrolment S.Y. 2025-2026 ]]*8</f>
        <v>6888</v>
      </c>
      <c r="W66" s="12"/>
      <c r="X66" s="10"/>
      <c r="Y66" s="12"/>
      <c r="Z66" s="12">
        <f t="shared" si="14"/>
        <v>6888</v>
      </c>
      <c r="AA66" s="12">
        <f t="shared" si="15"/>
        <v>0</v>
      </c>
    </row>
    <row r="67" spans="1:27" ht="38.25">
      <c r="A67" s="10">
        <v>7</v>
      </c>
      <c r="B67" s="11" t="s">
        <v>19</v>
      </c>
      <c r="C67" s="10">
        <v>861</v>
      </c>
      <c r="D67" s="12">
        <f>Table1[[#This Row],[Enrolment S.Y. 2025-2026 ]]*8</f>
        <v>6888</v>
      </c>
      <c r="E67" s="12">
        <v>870</v>
      </c>
      <c r="F67" s="10">
        <v>2025</v>
      </c>
      <c r="G67" s="12" t="s">
        <v>66</v>
      </c>
      <c r="H67" s="12">
        <f t="shared" si="2"/>
        <v>6018</v>
      </c>
      <c r="I67" s="12">
        <f t="shared" si="3"/>
        <v>0</v>
      </c>
      <c r="J67" s="12">
        <f>Table1[[#This Row],[Enrolment S.Y. 2025-2026 ]]*8</f>
        <v>6888</v>
      </c>
      <c r="K67" s="12"/>
      <c r="L67" s="10"/>
      <c r="M67" s="12"/>
      <c r="N67" s="12">
        <f t="shared" si="10"/>
        <v>6888</v>
      </c>
      <c r="O67" s="12">
        <f t="shared" si="11"/>
        <v>0</v>
      </c>
      <c r="P67" s="12">
        <f>Table1[[#This Row],[Enrolment S.Y. 2025-2026 ]]*8</f>
        <v>6888</v>
      </c>
      <c r="Q67" s="12"/>
      <c r="R67" s="10"/>
      <c r="S67" s="12"/>
      <c r="T67" s="12">
        <f t="shared" si="12"/>
        <v>6888</v>
      </c>
      <c r="U67" s="12">
        <f t="shared" si="13"/>
        <v>0</v>
      </c>
      <c r="V67" s="12">
        <f>Table1[[#This Row],[Enrolment S.Y. 2025-2026 ]]*8</f>
        <v>6888</v>
      </c>
      <c r="W67" s="12"/>
      <c r="X67" s="10"/>
      <c r="Y67" s="12"/>
      <c r="Z67" s="12">
        <f t="shared" si="14"/>
        <v>6888</v>
      </c>
      <c r="AA67" s="12">
        <f t="shared" si="15"/>
        <v>0</v>
      </c>
    </row>
    <row r="68" spans="1:27" ht="19.5">
      <c r="A68" s="10">
        <v>7</v>
      </c>
      <c r="B68" s="11" t="s">
        <v>16</v>
      </c>
      <c r="C68" s="10">
        <v>861</v>
      </c>
      <c r="D68" s="12">
        <f>Table1[[#This Row],[Enrolment S.Y. 2025-2026 ]]*8</f>
        <v>6888</v>
      </c>
      <c r="E68" s="12">
        <v>870</v>
      </c>
      <c r="F68" s="10">
        <v>2025</v>
      </c>
      <c r="G68" s="12" t="s">
        <v>66</v>
      </c>
      <c r="H68" s="12">
        <f t="shared" si="2"/>
        <v>6018</v>
      </c>
      <c r="I68" s="12">
        <f t="shared" si="3"/>
        <v>0</v>
      </c>
      <c r="J68" s="12">
        <f>Table1[[#This Row],[Enrolment S.Y. 2025-2026 ]]*8</f>
        <v>6888</v>
      </c>
      <c r="K68" s="12"/>
      <c r="L68" s="10"/>
      <c r="M68" s="12"/>
      <c r="N68" s="12">
        <f t="shared" si="10"/>
        <v>6888</v>
      </c>
      <c r="O68" s="12">
        <f t="shared" si="11"/>
        <v>0</v>
      </c>
      <c r="P68" s="12">
        <f>Table1[[#This Row],[Enrolment S.Y. 2025-2026 ]]*8</f>
        <v>6888</v>
      </c>
      <c r="Q68" s="12"/>
      <c r="R68" s="10"/>
      <c r="S68" s="12"/>
      <c r="T68" s="12">
        <f t="shared" si="12"/>
        <v>6888</v>
      </c>
      <c r="U68" s="12">
        <f t="shared" si="13"/>
        <v>0</v>
      </c>
      <c r="V68" s="12">
        <f>Table1[[#This Row],[Enrolment S.Y. 2025-2026 ]]*8</f>
        <v>6888</v>
      </c>
      <c r="W68" s="12"/>
      <c r="X68" s="10"/>
      <c r="Y68" s="12"/>
      <c r="Z68" s="12">
        <f t="shared" si="14"/>
        <v>6888</v>
      </c>
      <c r="AA68" s="12">
        <f t="shared" si="15"/>
        <v>0</v>
      </c>
    </row>
    <row r="69" spans="1:27" ht="19.5">
      <c r="A69" s="10">
        <v>7</v>
      </c>
      <c r="B69" s="11" t="s">
        <v>20</v>
      </c>
      <c r="C69" s="10">
        <v>861</v>
      </c>
      <c r="D69" s="12">
        <f>Table1[[#This Row],[Enrolment S.Y. 2025-2026 ]]*8</f>
        <v>6888</v>
      </c>
      <c r="E69" s="12">
        <v>870</v>
      </c>
      <c r="F69" s="10">
        <v>2025</v>
      </c>
      <c r="G69" s="12" t="s">
        <v>66</v>
      </c>
      <c r="H69" s="12">
        <f t="shared" si="2"/>
        <v>6018</v>
      </c>
      <c r="I69" s="12">
        <f t="shared" si="3"/>
        <v>0</v>
      </c>
      <c r="J69" s="12">
        <f>Table1[[#This Row],[Enrolment S.Y. 2025-2026 ]]*8</f>
        <v>6888</v>
      </c>
      <c r="K69" s="12"/>
      <c r="L69" s="10"/>
      <c r="M69" s="12"/>
      <c r="N69" s="12">
        <f t="shared" si="10"/>
        <v>6888</v>
      </c>
      <c r="O69" s="12">
        <f t="shared" si="11"/>
        <v>0</v>
      </c>
      <c r="P69" s="12">
        <f>Table1[[#This Row],[Enrolment S.Y. 2025-2026 ]]*8</f>
        <v>6888</v>
      </c>
      <c r="Q69" s="12"/>
      <c r="R69" s="10"/>
      <c r="S69" s="12"/>
      <c r="T69" s="12">
        <f t="shared" si="12"/>
        <v>6888</v>
      </c>
      <c r="U69" s="12">
        <f t="shared" si="13"/>
        <v>0</v>
      </c>
      <c r="V69" s="12">
        <f>Table1[[#This Row],[Enrolment S.Y. 2025-2026 ]]*8</f>
        <v>6888</v>
      </c>
      <c r="W69" s="12"/>
      <c r="X69" s="10"/>
      <c r="Y69" s="12"/>
      <c r="Z69" s="12">
        <f t="shared" si="14"/>
        <v>6888</v>
      </c>
      <c r="AA69" s="12">
        <f t="shared" si="15"/>
        <v>0</v>
      </c>
    </row>
    <row r="70" spans="1:27" ht="19.5">
      <c r="A70" s="10">
        <v>7</v>
      </c>
      <c r="B70" s="11" t="s">
        <v>25</v>
      </c>
      <c r="C70" s="10">
        <v>861</v>
      </c>
      <c r="D70" s="12">
        <f>Table1[[#This Row],[Enrolment S.Y. 2025-2026 ]]*8</f>
        <v>6888</v>
      </c>
      <c r="E70" s="12">
        <v>870</v>
      </c>
      <c r="F70" s="10">
        <v>2025</v>
      </c>
      <c r="G70" s="12" t="s">
        <v>66</v>
      </c>
      <c r="H70" s="12">
        <f t="shared" si="2"/>
        <v>6018</v>
      </c>
      <c r="I70" s="12">
        <f t="shared" si="3"/>
        <v>0</v>
      </c>
      <c r="J70" s="12">
        <f>Table1[[#This Row],[Enrolment S.Y. 2025-2026 ]]*8</f>
        <v>6888</v>
      </c>
      <c r="K70" s="12"/>
      <c r="L70" s="10"/>
      <c r="M70" s="12"/>
      <c r="N70" s="12">
        <f t="shared" ref="N70:N126" si="16">IF((J70-K70)&lt;0,0,(J70-K70))</f>
        <v>6888</v>
      </c>
      <c r="O70" s="12">
        <f t="shared" ref="O70:O126" si="17">IF((K70-J70)&lt;0,0,(K70-J70))</f>
        <v>0</v>
      </c>
      <c r="P70" s="12">
        <f>Table1[[#This Row],[Enrolment S.Y. 2025-2026 ]]*8</f>
        <v>6888</v>
      </c>
      <c r="Q70" s="12"/>
      <c r="R70" s="10"/>
      <c r="S70" s="12"/>
      <c r="T70" s="12">
        <f t="shared" ref="T70:T127" si="18">IF((P70-Q70)&lt;0,0,(P70-Q70))</f>
        <v>6888</v>
      </c>
      <c r="U70" s="12">
        <f t="shared" ref="U70:U127" si="19">IF((Q70-P70)&lt;0,0,(Q70-P70))</f>
        <v>0</v>
      </c>
      <c r="V70" s="12">
        <f>Table1[[#This Row],[Enrolment S.Y. 2025-2026 ]]*8</f>
        <v>6888</v>
      </c>
      <c r="W70" s="12"/>
      <c r="X70" s="10"/>
      <c r="Y70" s="12"/>
      <c r="Z70" s="12">
        <f t="shared" ref="Z70:Z127" si="20">IF((V70-W70)&lt;0,0,(V70-W70))</f>
        <v>6888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22</v>
      </c>
      <c r="C71" s="10">
        <v>861</v>
      </c>
      <c r="D71" s="12">
        <f>Table1[[#This Row],[Enrolment S.Y. 2025-2026 ]]*8</f>
        <v>6888</v>
      </c>
      <c r="E71" s="12">
        <v>870</v>
      </c>
      <c r="F71" s="10">
        <v>2025</v>
      </c>
      <c r="G71" s="12" t="s">
        <v>66</v>
      </c>
      <c r="H71" s="12">
        <f t="shared" si="2"/>
        <v>6018</v>
      </c>
      <c r="I71" s="12">
        <f t="shared" si="3"/>
        <v>0</v>
      </c>
      <c r="J71" s="12">
        <f>Table1[[#This Row],[Enrolment S.Y. 2025-2026 ]]*8</f>
        <v>6888</v>
      </c>
      <c r="K71" s="12"/>
      <c r="L71" s="10"/>
      <c r="M71" s="12"/>
      <c r="N71" s="12">
        <f t="shared" si="16"/>
        <v>6888</v>
      </c>
      <c r="O71" s="12">
        <f t="shared" si="17"/>
        <v>0</v>
      </c>
      <c r="P71" s="12">
        <f>Table1[[#This Row],[Enrolment S.Y. 2025-2026 ]]*8</f>
        <v>6888</v>
      </c>
      <c r="Q71" s="12"/>
      <c r="R71" s="10"/>
      <c r="S71" s="12"/>
      <c r="T71" s="12">
        <f t="shared" si="18"/>
        <v>6888</v>
      </c>
      <c r="U71" s="12">
        <f t="shared" si="19"/>
        <v>0</v>
      </c>
      <c r="V71" s="12">
        <f>Table1[[#This Row],[Enrolment S.Y. 2025-2026 ]]*8</f>
        <v>6888</v>
      </c>
      <c r="W71" s="12"/>
      <c r="X71" s="10"/>
      <c r="Y71" s="12"/>
      <c r="Z71" s="12">
        <f t="shared" si="20"/>
        <v>6888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17</v>
      </c>
      <c r="C73" s="10">
        <v>866</v>
      </c>
      <c r="D73" s="12">
        <f>Table1[[#This Row],[Enrolment S.Y. 2025-2026 ]]*8</f>
        <v>6928</v>
      </c>
      <c r="E73" s="12">
        <v>890</v>
      </c>
      <c r="F73" s="10">
        <v>2025</v>
      </c>
      <c r="G73" s="12" t="s">
        <v>66</v>
      </c>
      <c r="H73" s="12">
        <f t="shared" si="2"/>
        <v>6038</v>
      </c>
      <c r="I73" s="12">
        <f t="shared" si="3"/>
        <v>0</v>
      </c>
      <c r="J73" s="12">
        <f>Table1[[#This Row],[Enrolment S.Y. 2025-2026 ]]*8</f>
        <v>6928</v>
      </c>
      <c r="K73" s="12"/>
      <c r="L73" s="10"/>
      <c r="M73" s="12"/>
      <c r="N73" s="12">
        <f t="shared" si="16"/>
        <v>6928</v>
      </c>
      <c r="O73" s="12">
        <f t="shared" si="17"/>
        <v>0</v>
      </c>
      <c r="P73" s="12">
        <f>Table1[[#This Row],[Enrolment S.Y. 2025-2026 ]]*8</f>
        <v>6928</v>
      </c>
      <c r="Q73" s="12"/>
      <c r="R73" s="10"/>
      <c r="S73" s="12"/>
      <c r="T73" s="12">
        <f t="shared" si="18"/>
        <v>6928</v>
      </c>
      <c r="U73" s="12">
        <f t="shared" si="19"/>
        <v>0</v>
      </c>
      <c r="V73" s="12">
        <f>Table1[[#This Row],[Enrolment S.Y. 2025-2026 ]]*8</f>
        <v>6928</v>
      </c>
      <c r="W73" s="12"/>
      <c r="X73" s="10"/>
      <c r="Y73" s="12"/>
      <c r="Z73" s="12">
        <f t="shared" si="20"/>
        <v>6928</v>
      </c>
      <c r="AA73" s="12">
        <f t="shared" si="21"/>
        <v>0</v>
      </c>
    </row>
    <row r="74" spans="1:27" ht="19.5">
      <c r="A74" s="10">
        <v>8</v>
      </c>
      <c r="B74" s="11" t="s">
        <v>18</v>
      </c>
      <c r="C74" s="10">
        <v>866</v>
      </c>
      <c r="D74" s="12">
        <f>Table1[[#This Row],[Enrolment S.Y. 2025-2026 ]]*8</f>
        <v>6928</v>
      </c>
      <c r="E74" s="12">
        <v>890</v>
      </c>
      <c r="F74" s="10">
        <v>2025</v>
      </c>
      <c r="G74" s="12" t="s">
        <v>66</v>
      </c>
      <c r="H74" s="12">
        <f t="shared" si="2"/>
        <v>6038</v>
      </c>
      <c r="I74" s="12">
        <f t="shared" si="3"/>
        <v>0</v>
      </c>
      <c r="J74" s="12">
        <f>Table1[[#This Row],[Enrolment S.Y. 2025-2026 ]]*8</f>
        <v>6928</v>
      </c>
      <c r="K74" s="12"/>
      <c r="L74" s="10"/>
      <c r="M74" s="12"/>
      <c r="N74" s="12">
        <f t="shared" si="16"/>
        <v>6928</v>
      </c>
      <c r="O74" s="12">
        <f t="shared" si="17"/>
        <v>0</v>
      </c>
      <c r="P74" s="12">
        <f>Table1[[#This Row],[Enrolment S.Y. 2025-2026 ]]*8</f>
        <v>6928</v>
      </c>
      <c r="Q74" s="12"/>
      <c r="R74" s="10"/>
      <c r="S74" s="12"/>
      <c r="T74" s="12">
        <f t="shared" si="18"/>
        <v>6928</v>
      </c>
      <c r="U74" s="12">
        <f t="shared" si="19"/>
        <v>0</v>
      </c>
      <c r="V74" s="12">
        <f>Table1[[#This Row],[Enrolment S.Y. 2025-2026 ]]*8</f>
        <v>6928</v>
      </c>
      <c r="W74" s="12"/>
      <c r="X74" s="10"/>
      <c r="Y74" s="12"/>
      <c r="Z74" s="12">
        <f t="shared" si="20"/>
        <v>6928</v>
      </c>
      <c r="AA74" s="12">
        <f t="shared" si="21"/>
        <v>0</v>
      </c>
    </row>
    <row r="75" spans="1:27" ht="19.5">
      <c r="A75" s="10">
        <v>8</v>
      </c>
      <c r="B75" s="11" t="s">
        <v>15</v>
      </c>
      <c r="C75" s="10">
        <v>866</v>
      </c>
      <c r="D75" s="12">
        <f>Table1[[#This Row],[Enrolment S.Y. 2025-2026 ]]*8</f>
        <v>6928</v>
      </c>
      <c r="E75" s="12">
        <v>890</v>
      </c>
      <c r="F75" s="10">
        <v>2025</v>
      </c>
      <c r="G75" s="12" t="s">
        <v>66</v>
      </c>
      <c r="H75" s="12">
        <f t="shared" si="2"/>
        <v>6038</v>
      </c>
      <c r="I75" s="12">
        <f t="shared" si="3"/>
        <v>0</v>
      </c>
      <c r="J75" s="12">
        <f>Table1[[#This Row],[Enrolment S.Y. 2025-2026 ]]*8</f>
        <v>6928</v>
      </c>
      <c r="K75" s="12"/>
      <c r="L75" s="10"/>
      <c r="M75" s="12"/>
      <c r="N75" s="12">
        <f t="shared" si="16"/>
        <v>6928</v>
      </c>
      <c r="O75" s="12">
        <f t="shared" si="17"/>
        <v>0</v>
      </c>
      <c r="P75" s="12">
        <f>Table1[[#This Row],[Enrolment S.Y. 2025-2026 ]]*8</f>
        <v>6928</v>
      </c>
      <c r="Q75" s="12"/>
      <c r="R75" s="10"/>
      <c r="S75" s="12"/>
      <c r="T75" s="12">
        <f t="shared" si="18"/>
        <v>6928</v>
      </c>
      <c r="U75" s="12">
        <f t="shared" si="19"/>
        <v>0</v>
      </c>
      <c r="V75" s="12">
        <f>Table1[[#This Row],[Enrolment S.Y. 2025-2026 ]]*8</f>
        <v>6928</v>
      </c>
      <c r="W75" s="12"/>
      <c r="X75" s="10"/>
      <c r="Y75" s="12"/>
      <c r="Z75" s="12">
        <f t="shared" si="20"/>
        <v>6928</v>
      </c>
      <c r="AA75" s="12">
        <f t="shared" si="21"/>
        <v>0</v>
      </c>
    </row>
    <row r="76" spans="1:27" ht="19.5">
      <c r="A76" s="10">
        <v>8</v>
      </c>
      <c r="B76" s="11" t="s">
        <v>24</v>
      </c>
      <c r="C76" s="10">
        <v>866</v>
      </c>
      <c r="D76" s="12">
        <f>Table1[[#This Row],[Enrolment S.Y. 2025-2026 ]]*8</f>
        <v>6928</v>
      </c>
      <c r="E76" s="12">
        <v>890</v>
      </c>
      <c r="F76" s="10">
        <v>2025</v>
      </c>
      <c r="G76" s="12" t="s">
        <v>66</v>
      </c>
      <c r="H76" s="12">
        <f t="shared" si="2"/>
        <v>6038</v>
      </c>
      <c r="I76" s="12">
        <f t="shared" si="3"/>
        <v>0</v>
      </c>
      <c r="J76" s="12">
        <f>Table1[[#This Row],[Enrolment S.Y. 2025-2026 ]]*8</f>
        <v>6928</v>
      </c>
      <c r="K76" s="12"/>
      <c r="L76" s="10"/>
      <c r="M76" s="12"/>
      <c r="N76" s="12">
        <f t="shared" si="16"/>
        <v>6928</v>
      </c>
      <c r="O76" s="12">
        <f t="shared" si="17"/>
        <v>0</v>
      </c>
      <c r="P76" s="12">
        <f>Table1[[#This Row],[Enrolment S.Y. 2025-2026 ]]*8</f>
        <v>6928</v>
      </c>
      <c r="Q76" s="12"/>
      <c r="R76" s="10"/>
      <c r="S76" s="12"/>
      <c r="T76" s="12">
        <f t="shared" si="18"/>
        <v>6928</v>
      </c>
      <c r="U76" s="12">
        <f t="shared" si="19"/>
        <v>0</v>
      </c>
      <c r="V76" s="12">
        <f>Table1[[#This Row],[Enrolment S.Y. 2025-2026 ]]*8</f>
        <v>6928</v>
      </c>
      <c r="W76" s="12"/>
      <c r="X76" s="10"/>
      <c r="Y76" s="12"/>
      <c r="Z76" s="12">
        <f t="shared" si="20"/>
        <v>6928</v>
      </c>
      <c r="AA76" s="12">
        <f t="shared" si="21"/>
        <v>0</v>
      </c>
    </row>
    <row r="77" spans="1:27" ht="19.5">
      <c r="A77" s="10">
        <v>8</v>
      </c>
      <c r="B77" s="11" t="s">
        <v>26</v>
      </c>
      <c r="C77" s="10">
        <v>866</v>
      </c>
      <c r="D77" s="12">
        <f>Table1[[#This Row],[Enrolment S.Y. 2025-2026 ]]*8</f>
        <v>6928</v>
      </c>
      <c r="E77" s="12">
        <v>890</v>
      </c>
      <c r="F77" s="10">
        <v>2025</v>
      </c>
      <c r="G77" s="12" t="s">
        <v>66</v>
      </c>
      <c r="H77" s="12">
        <f t="shared" si="2"/>
        <v>6038</v>
      </c>
      <c r="I77" s="12">
        <f t="shared" si="3"/>
        <v>0</v>
      </c>
      <c r="J77" s="12">
        <f>Table1[[#This Row],[Enrolment S.Y. 2025-2026 ]]*8</f>
        <v>6928</v>
      </c>
      <c r="K77" s="12"/>
      <c r="L77" s="10"/>
      <c r="M77" s="12"/>
      <c r="N77" s="12">
        <f t="shared" si="16"/>
        <v>6928</v>
      </c>
      <c r="O77" s="12">
        <f t="shared" si="17"/>
        <v>0</v>
      </c>
      <c r="P77" s="12">
        <f>Table1[[#This Row],[Enrolment S.Y. 2025-2026 ]]*8</f>
        <v>6928</v>
      </c>
      <c r="Q77" s="12"/>
      <c r="R77" s="10"/>
      <c r="S77" s="12"/>
      <c r="T77" s="12">
        <f t="shared" si="18"/>
        <v>6928</v>
      </c>
      <c r="U77" s="12">
        <f t="shared" si="19"/>
        <v>0</v>
      </c>
      <c r="V77" s="12">
        <f>Table1[[#This Row],[Enrolment S.Y. 2025-2026 ]]*8</f>
        <v>6928</v>
      </c>
      <c r="W77" s="12"/>
      <c r="X77" s="10"/>
      <c r="Y77" s="12"/>
      <c r="Z77" s="12">
        <f t="shared" si="20"/>
        <v>6928</v>
      </c>
      <c r="AA77" s="12">
        <f t="shared" si="21"/>
        <v>0</v>
      </c>
    </row>
    <row r="78" spans="1:27" ht="19.5">
      <c r="A78" s="10">
        <v>8</v>
      </c>
      <c r="B78" s="11" t="s">
        <v>16</v>
      </c>
      <c r="C78" s="10">
        <v>866</v>
      </c>
      <c r="D78" s="12">
        <f>Table1[[#This Row],[Enrolment S.Y. 2025-2026 ]]*8</f>
        <v>6928</v>
      </c>
      <c r="E78" s="12">
        <v>890</v>
      </c>
      <c r="F78" s="10">
        <v>2025</v>
      </c>
      <c r="G78" s="12" t="s">
        <v>66</v>
      </c>
      <c r="H78" s="12">
        <f t="shared" ref="H78:H127" si="22">IF((D78-E78)&lt;0,0,(D78-E78))</f>
        <v>6038</v>
      </c>
      <c r="I78" s="12">
        <f t="shared" ref="I78:I127" si="23">IF((E78-D78)&lt;0,0,(E78-D78))</f>
        <v>0</v>
      </c>
      <c r="J78" s="12">
        <f>Table1[[#This Row],[Enrolment S.Y. 2025-2026 ]]*8</f>
        <v>6928</v>
      </c>
      <c r="K78" s="12"/>
      <c r="L78" s="10"/>
      <c r="M78" s="12"/>
      <c r="N78" s="12">
        <f t="shared" si="16"/>
        <v>6928</v>
      </c>
      <c r="O78" s="12">
        <f t="shared" si="17"/>
        <v>0</v>
      </c>
      <c r="P78" s="12">
        <f>Table1[[#This Row],[Enrolment S.Y. 2025-2026 ]]*8</f>
        <v>6928</v>
      </c>
      <c r="Q78" s="12"/>
      <c r="R78" s="10"/>
      <c r="S78" s="12"/>
      <c r="T78" s="12">
        <f t="shared" si="18"/>
        <v>6928</v>
      </c>
      <c r="U78" s="12">
        <f t="shared" si="19"/>
        <v>0</v>
      </c>
      <c r="V78" s="12">
        <f>Table1[[#This Row],[Enrolment S.Y. 2025-2026 ]]*8</f>
        <v>6928</v>
      </c>
      <c r="W78" s="12"/>
      <c r="X78" s="10"/>
      <c r="Y78" s="12"/>
      <c r="Z78" s="12">
        <f t="shared" si="20"/>
        <v>6928</v>
      </c>
      <c r="AA78" s="12">
        <f t="shared" si="21"/>
        <v>0</v>
      </c>
    </row>
    <row r="79" spans="1:27" ht="19.5">
      <c r="A79" s="10">
        <v>8</v>
      </c>
      <c r="B79" s="11" t="s">
        <v>20</v>
      </c>
      <c r="C79" s="10">
        <v>866</v>
      </c>
      <c r="D79" s="12">
        <f>Table1[[#This Row],[Enrolment S.Y. 2025-2026 ]]*8</f>
        <v>6928</v>
      </c>
      <c r="E79" s="12">
        <v>890</v>
      </c>
      <c r="F79" s="10">
        <v>2025</v>
      </c>
      <c r="G79" s="12" t="s">
        <v>66</v>
      </c>
      <c r="H79" s="12">
        <f t="shared" si="22"/>
        <v>6038</v>
      </c>
      <c r="I79" s="12">
        <f t="shared" si="23"/>
        <v>0</v>
      </c>
      <c r="J79" s="12">
        <f>Table1[[#This Row],[Enrolment S.Y. 2025-2026 ]]*8</f>
        <v>6928</v>
      </c>
      <c r="K79" s="12"/>
      <c r="L79" s="10"/>
      <c r="M79" s="12"/>
      <c r="N79" s="12">
        <f t="shared" si="16"/>
        <v>6928</v>
      </c>
      <c r="O79" s="12">
        <f t="shared" si="17"/>
        <v>0</v>
      </c>
      <c r="P79" s="12">
        <f>Table1[[#This Row],[Enrolment S.Y. 2025-2026 ]]*8</f>
        <v>6928</v>
      </c>
      <c r="Q79" s="12"/>
      <c r="R79" s="10"/>
      <c r="S79" s="12"/>
      <c r="T79" s="12">
        <f t="shared" si="18"/>
        <v>6928</v>
      </c>
      <c r="U79" s="12">
        <f t="shared" si="19"/>
        <v>0</v>
      </c>
      <c r="V79" s="12">
        <f>Table1[[#This Row],[Enrolment S.Y. 2025-2026 ]]*8</f>
        <v>6928</v>
      </c>
      <c r="W79" s="12"/>
      <c r="X79" s="10"/>
      <c r="Y79" s="12"/>
      <c r="Z79" s="12">
        <f t="shared" si="20"/>
        <v>6928</v>
      </c>
      <c r="AA79" s="12">
        <f t="shared" si="21"/>
        <v>0</v>
      </c>
    </row>
    <row r="80" spans="1:27" ht="19.5">
      <c r="A80" s="10">
        <v>8</v>
      </c>
      <c r="B80" s="11" t="s">
        <v>25</v>
      </c>
      <c r="C80" s="10">
        <v>866</v>
      </c>
      <c r="D80" s="12">
        <f>Table1[[#This Row],[Enrolment S.Y. 2025-2026 ]]*8</f>
        <v>6928</v>
      </c>
      <c r="E80" s="12">
        <v>890</v>
      </c>
      <c r="F80" s="10">
        <v>2025</v>
      </c>
      <c r="G80" s="12" t="s">
        <v>66</v>
      </c>
      <c r="H80" s="12">
        <f t="shared" si="22"/>
        <v>6038</v>
      </c>
      <c r="I80" s="12">
        <f t="shared" si="23"/>
        <v>0</v>
      </c>
      <c r="J80" s="12">
        <f>Table1[[#This Row],[Enrolment S.Y. 2025-2026 ]]*8</f>
        <v>6928</v>
      </c>
      <c r="K80" s="12"/>
      <c r="L80" s="10"/>
      <c r="M80" s="12"/>
      <c r="N80" s="12">
        <f t="shared" si="16"/>
        <v>6928</v>
      </c>
      <c r="O80" s="12">
        <f t="shared" si="17"/>
        <v>0</v>
      </c>
      <c r="P80" s="12">
        <f>Table1[[#This Row],[Enrolment S.Y. 2025-2026 ]]*8</f>
        <v>6928</v>
      </c>
      <c r="Q80" s="12"/>
      <c r="R80" s="10"/>
      <c r="S80" s="12"/>
      <c r="T80" s="12">
        <f t="shared" si="18"/>
        <v>6928</v>
      </c>
      <c r="U80" s="12">
        <f t="shared" si="19"/>
        <v>0</v>
      </c>
      <c r="V80" s="12">
        <f>Table1[[#This Row],[Enrolment S.Y. 2025-2026 ]]*8</f>
        <v>6928</v>
      </c>
      <c r="W80" s="12"/>
      <c r="X80" s="10"/>
      <c r="Y80" s="12"/>
      <c r="Z80" s="12">
        <f t="shared" si="20"/>
        <v>6928</v>
      </c>
      <c r="AA80" s="12">
        <f t="shared" si="21"/>
        <v>0</v>
      </c>
    </row>
    <row r="81" spans="1:27" ht="19.5">
      <c r="A81" s="10">
        <v>8</v>
      </c>
      <c r="B81" s="11" t="s">
        <v>22</v>
      </c>
      <c r="C81" s="10">
        <v>866</v>
      </c>
      <c r="D81" s="12">
        <f>Table1[[#This Row],[Enrolment S.Y. 2025-2026 ]]*8</f>
        <v>6928</v>
      </c>
      <c r="E81" s="12">
        <v>890</v>
      </c>
      <c r="F81" s="10">
        <v>2025</v>
      </c>
      <c r="G81" s="12" t="s">
        <v>66</v>
      </c>
      <c r="H81" s="12">
        <f t="shared" si="22"/>
        <v>6038</v>
      </c>
      <c r="I81" s="12">
        <f t="shared" si="23"/>
        <v>0</v>
      </c>
      <c r="J81" s="12">
        <f>Table1[[#This Row],[Enrolment S.Y. 2025-2026 ]]*8</f>
        <v>6928</v>
      </c>
      <c r="K81" s="12"/>
      <c r="L81" s="10"/>
      <c r="M81" s="12"/>
      <c r="N81" s="12">
        <f t="shared" si="16"/>
        <v>6928</v>
      </c>
      <c r="O81" s="12">
        <f t="shared" si="17"/>
        <v>0</v>
      </c>
      <c r="P81" s="12">
        <f>Table1[[#This Row],[Enrolment S.Y. 2025-2026 ]]*8</f>
        <v>6928</v>
      </c>
      <c r="Q81" s="12"/>
      <c r="R81" s="10"/>
      <c r="S81" s="12"/>
      <c r="T81" s="12">
        <f t="shared" si="18"/>
        <v>6928</v>
      </c>
      <c r="U81" s="12">
        <f t="shared" si="19"/>
        <v>0</v>
      </c>
      <c r="V81" s="12">
        <f>Table1[[#This Row],[Enrolment S.Y. 2025-2026 ]]*8</f>
        <v>6928</v>
      </c>
      <c r="W81" s="12"/>
      <c r="X81" s="10"/>
      <c r="Y81" s="12"/>
      <c r="Z81" s="12">
        <f t="shared" si="20"/>
        <v>6928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17</v>
      </c>
      <c r="C83" s="10">
        <v>686</v>
      </c>
      <c r="D83" s="12">
        <f>Table1[[#This Row],[Enrolment S.Y. 2025-2026 ]]*8</f>
        <v>5488</v>
      </c>
      <c r="E83" s="12">
        <v>690</v>
      </c>
      <c r="F83" s="10">
        <v>2025</v>
      </c>
      <c r="G83" s="12" t="s">
        <v>66</v>
      </c>
      <c r="H83" s="12">
        <f t="shared" si="22"/>
        <v>4798</v>
      </c>
      <c r="I83" s="12">
        <f t="shared" si="23"/>
        <v>0</v>
      </c>
      <c r="J83" s="12">
        <f>Table1[[#This Row],[Enrolment S.Y. 2025-2026 ]]*8</f>
        <v>5488</v>
      </c>
      <c r="K83" s="12"/>
      <c r="L83" s="10"/>
      <c r="M83" s="12"/>
      <c r="N83" s="12">
        <f t="shared" si="16"/>
        <v>5488</v>
      </c>
      <c r="O83" s="12">
        <f t="shared" si="17"/>
        <v>0</v>
      </c>
      <c r="P83" s="12">
        <f>Table1[[#This Row],[Enrolment S.Y. 2025-2026 ]]*8</f>
        <v>5488</v>
      </c>
      <c r="Q83" s="12"/>
      <c r="R83" s="10"/>
      <c r="S83" s="12"/>
      <c r="T83" s="12">
        <f t="shared" si="18"/>
        <v>5488</v>
      </c>
      <c r="U83" s="12">
        <f t="shared" si="19"/>
        <v>0</v>
      </c>
      <c r="V83" s="12">
        <f>Table1[[#This Row],[Enrolment S.Y. 2025-2026 ]]*8</f>
        <v>5488</v>
      </c>
      <c r="W83" s="12"/>
      <c r="X83" s="10"/>
      <c r="Y83" s="12"/>
      <c r="Z83" s="12">
        <f t="shared" si="20"/>
        <v>5488</v>
      </c>
      <c r="AA83" s="12">
        <f t="shared" si="21"/>
        <v>0</v>
      </c>
    </row>
    <row r="84" spans="1:27" ht="19.5">
      <c r="A84" s="10">
        <v>9</v>
      </c>
      <c r="B84" s="11" t="s">
        <v>18</v>
      </c>
      <c r="C84" s="10">
        <v>686</v>
      </c>
      <c r="D84" s="12">
        <f>Table1[[#This Row],[Enrolment S.Y. 2025-2026 ]]*8</f>
        <v>5488</v>
      </c>
      <c r="E84" s="12">
        <v>690</v>
      </c>
      <c r="F84" s="10">
        <v>2025</v>
      </c>
      <c r="G84" s="12" t="s">
        <v>66</v>
      </c>
      <c r="H84" s="12">
        <f t="shared" si="22"/>
        <v>4798</v>
      </c>
      <c r="I84" s="12">
        <f t="shared" si="23"/>
        <v>0</v>
      </c>
      <c r="J84" s="12">
        <f>Table1[[#This Row],[Enrolment S.Y. 2025-2026 ]]*8</f>
        <v>5488</v>
      </c>
      <c r="K84" s="12"/>
      <c r="L84" s="10"/>
      <c r="M84" s="12"/>
      <c r="N84" s="12">
        <f t="shared" si="16"/>
        <v>5488</v>
      </c>
      <c r="O84" s="12">
        <f t="shared" si="17"/>
        <v>0</v>
      </c>
      <c r="P84" s="12">
        <f>Table1[[#This Row],[Enrolment S.Y. 2025-2026 ]]*8</f>
        <v>5488</v>
      </c>
      <c r="Q84" s="12"/>
      <c r="R84" s="10"/>
      <c r="S84" s="12"/>
      <c r="T84" s="12">
        <f t="shared" si="18"/>
        <v>5488</v>
      </c>
      <c r="U84" s="12">
        <f t="shared" si="19"/>
        <v>0</v>
      </c>
      <c r="V84" s="12">
        <f>Table1[[#This Row],[Enrolment S.Y. 2025-2026 ]]*8</f>
        <v>5488</v>
      </c>
      <c r="W84" s="12"/>
      <c r="X84" s="10"/>
      <c r="Y84" s="12"/>
      <c r="Z84" s="12">
        <f t="shared" si="20"/>
        <v>5488</v>
      </c>
      <c r="AA84" s="12">
        <f t="shared" si="21"/>
        <v>0</v>
      </c>
    </row>
    <row r="85" spans="1:27" ht="19.5">
      <c r="A85" s="10">
        <v>9</v>
      </c>
      <c r="B85" s="11" t="s">
        <v>15</v>
      </c>
      <c r="C85" s="10">
        <v>686</v>
      </c>
      <c r="D85" s="12">
        <f>Table1[[#This Row],[Enrolment S.Y. 2025-2026 ]]*8</f>
        <v>5488</v>
      </c>
      <c r="E85" s="12">
        <v>690</v>
      </c>
      <c r="F85" s="10">
        <v>2025</v>
      </c>
      <c r="G85" s="12" t="s">
        <v>66</v>
      </c>
      <c r="H85" s="12">
        <f t="shared" si="22"/>
        <v>4798</v>
      </c>
      <c r="I85" s="12">
        <f t="shared" si="23"/>
        <v>0</v>
      </c>
      <c r="J85" s="12">
        <f>Table1[[#This Row],[Enrolment S.Y. 2025-2026 ]]*8</f>
        <v>5488</v>
      </c>
      <c r="K85" s="12"/>
      <c r="L85" s="10"/>
      <c r="M85" s="12"/>
      <c r="N85" s="12">
        <f t="shared" si="16"/>
        <v>5488</v>
      </c>
      <c r="O85" s="12">
        <f t="shared" si="17"/>
        <v>0</v>
      </c>
      <c r="P85" s="12">
        <f>Table1[[#This Row],[Enrolment S.Y. 2025-2026 ]]*8</f>
        <v>5488</v>
      </c>
      <c r="Q85" s="12"/>
      <c r="R85" s="10"/>
      <c r="S85" s="12"/>
      <c r="T85" s="12">
        <f t="shared" si="18"/>
        <v>5488</v>
      </c>
      <c r="U85" s="12">
        <f t="shared" si="19"/>
        <v>0</v>
      </c>
      <c r="V85" s="12">
        <f>Table1[[#This Row],[Enrolment S.Y. 2025-2026 ]]*8</f>
        <v>5488</v>
      </c>
      <c r="W85" s="12"/>
      <c r="X85" s="10"/>
      <c r="Y85" s="12"/>
      <c r="Z85" s="12">
        <f t="shared" si="20"/>
        <v>5488</v>
      </c>
      <c r="AA85" s="12">
        <f t="shared" si="21"/>
        <v>0</v>
      </c>
    </row>
    <row r="86" spans="1:27" ht="19.5">
      <c r="A86" s="10">
        <v>9</v>
      </c>
      <c r="B86" s="11" t="s">
        <v>24</v>
      </c>
      <c r="C86" s="10">
        <v>686</v>
      </c>
      <c r="D86" s="12">
        <f>Table1[[#This Row],[Enrolment S.Y. 2025-2026 ]]*8</f>
        <v>5488</v>
      </c>
      <c r="E86" s="12">
        <v>690</v>
      </c>
      <c r="F86" s="10">
        <v>2025</v>
      </c>
      <c r="G86" s="12" t="s">
        <v>66</v>
      </c>
      <c r="H86" s="12">
        <f t="shared" si="22"/>
        <v>4798</v>
      </c>
      <c r="I86" s="12">
        <f t="shared" si="23"/>
        <v>0</v>
      </c>
      <c r="J86" s="12">
        <f>Table1[[#This Row],[Enrolment S.Y. 2025-2026 ]]*8</f>
        <v>5488</v>
      </c>
      <c r="K86" s="12"/>
      <c r="L86" s="10"/>
      <c r="M86" s="12"/>
      <c r="N86" s="12">
        <f t="shared" si="16"/>
        <v>5488</v>
      </c>
      <c r="O86" s="12">
        <f t="shared" si="17"/>
        <v>0</v>
      </c>
      <c r="P86" s="12">
        <f>Table1[[#This Row],[Enrolment S.Y. 2025-2026 ]]*8</f>
        <v>5488</v>
      </c>
      <c r="Q86" s="12"/>
      <c r="R86" s="10"/>
      <c r="S86" s="12"/>
      <c r="T86" s="12">
        <f t="shared" si="18"/>
        <v>5488</v>
      </c>
      <c r="U86" s="12">
        <f t="shared" si="19"/>
        <v>0</v>
      </c>
      <c r="V86" s="12">
        <f>Table1[[#This Row],[Enrolment S.Y. 2025-2026 ]]*8</f>
        <v>5488</v>
      </c>
      <c r="W86" s="12"/>
      <c r="X86" s="10"/>
      <c r="Y86" s="12"/>
      <c r="Z86" s="12">
        <f t="shared" si="20"/>
        <v>5488</v>
      </c>
      <c r="AA86" s="12">
        <f t="shared" si="21"/>
        <v>0</v>
      </c>
    </row>
    <row r="87" spans="1:27" ht="19.5">
      <c r="A87" s="10">
        <v>9</v>
      </c>
      <c r="B87" s="11" t="s">
        <v>26</v>
      </c>
      <c r="C87" s="10">
        <v>686</v>
      </c>
      <c r="D87" s="12">
        <f>Table1[[#This Row],[Enrolment S.Y. 2025-2026 ]]*8</f>
        <v>5488</v>
      </c>
      <c r="E87" s="12">
        <v>690</v>
      </c>
      <c r="F87" s="10">
        <v>2025</v>
      </c>
      <c r="G87" s="12" t="s">
        <v>66</v>
      </c>
      <c r="H87" s="12">
        <f t="shared" si="22"/>
        <v>4798</v>
      </c>
      <c r="I87" s="12">
        <f t="shared" si="23"/>
        <v>0</v>
      </c>
      <c r="J87" s="12">
        <f>Table1[[#This Row],[Enrolment S.Y. 2025-2026 ]]*8</f>
        <v>5488</v>
      </c>
      <c r="K87" s="12"/>
      <c r="L87" s="10"/>
      <c r="M87" s="12"/>
      <c r="N87" s="12">
        <f t="shared" si="16"/>
        <v>5488</v>
      </c>
      <c r="O87" s="12">
        <f t="shared" si="17"/>
        <v>0</v>
      </c>
      <c r="P87" s="12">
        <f>Table1[[#This Row],[Enrolment S.Y. 2025-2026 ]]*8</f>
        <v>5488</v>
      </c>
      <c r="Q87" s="12"/>
      <c r="R87" s="10"/>
      <c r="S87" s="12"/>
      <c r="T87" s="12">
        <f t="shared" si="18"/>
        <v>5488</v>
      </c>
      <c r="U87" s="12">
        <f t="shared" si="19"/>
        <v>0</v>
      </c>
      <c r="V87" s="12">
        <f>Table1[[#This Row],[Enrolment S.Y. 2025-2026 ]]*8</f>
        <v>5488</v>
      </c>
      <c r="W87" s="12"/>
      <c r="X87" s="10"/>
      <c r="Y87" s="12"/>
      <c r="Z87" s="12">
        <f t="shared" si="20"/>
        <v>5488</v>
      </c>
      <c r="AA87" s="12">
        <f t="shared" si="21"/>
        <v>0</v>
      </c>
    </row>
    <row r="88" spans="1:27" ht="19.5">
      <c r="A88" s="10">
        <v>9</v>
      </c>
      <c r="B88" s="11" t="s">
        <v>16</v>
      </c>
      <c r="C88" s="10">
        <v>686</v>
      </c>
      <c r="D88" s="12">
        <f>Table1[[#This Row],[Enrolment S.Y. 2025-2026 ]]*8</f>
        <v>5488</v>
      </c>
      <c r="E88" s="12">
        <v>690</v>
      </c>
      <c r="F88" s="10">
        <v>2025</v>
      </c>
      <c r="G88" s="12" t="s">
        <v>66</v>
      </c>
      <c r="H88" s="12">
        <f t="shared" si="22"/>
        <v>4798</v>
      </c>
      <c r="I88" s="12">
        <f t="shared" si="23"/>
        <v>0</v>
      </c>
      <c r="J88" s="12">
        <f>Table1[[#This Row],[Enrolment S.Y. 2025-2026 ]]*8</f>
        <v>5488</v>
      </c>
      <c r="K88" s="12"/>
      <c r="L88" s="10"/>
      <c r="M88" s="12"/>
      <c r="N88" s="12">
        <f t="shared" si="16"/>
        <v>5488</v>
      </c>
      <c r="O88" s="12">
        <f t="shared" si="17"/>
        <v>0</v>
      </c>
      <c r="P88" s="12">
        <f>Table1[[#This Row],[Enrolment S.Y. 2025-2026 ]]*8</f>
        <v>5488</v>
      </c>
      <c r="Q88" s="12"/>
      <c r="R88" s="10"/>
      <c r="S88" s="12"/>
      <c r="T88" s="12">
        <f t="shared" si="18"/>
        <v>5488</v>
      </c>
      <c r="U88" s="12">
        <f t="shared" si="19"/>
        <v>0</v>
      </c>
      <c r="V88" s="12">
        <f>Table1[[#This Row],[Enrolment S.Y. 2025-2026 ]]*8</f>
        <v>5488</v>
      </c>
      <c r="W88" s="12"/>
      <c r="X88" s="10"/>
      <c r="Y88" s="12"/>
      <c r="Z88" s="12">
        <f t="shared" si="20"/>
        <v>5488</v>
      </c>
      <c r="AA88" s="12">
        <f t="shared" si="21"/>
        <v>0</v>
      </c>
    </row>
    <row r="89" spans="1:27" ht="19.5">
      <c r="A89" s="10">
        <v>9</v>
      </c>
      <c r="B89" s="11" t="s">
        <v>20</v>
      </c>
      <c r="C89" s="10">
        <v>686</v>
      </c>
      <c r="D89" s="12">
        <f>Table1[[#This Row],[Enrolment S.Y. 2025-2026 ]]*8</f>
        <v>5488</v>
      </c>
      <c r="E89" s="12">
        <v>690</v>
      </c>
      <c r="F89" s="10">
        <v>2025</v>
      </c>
      <c r="G89" s="12" t="s">
        <v>66</v>
      </c>
      <c r="H89" s="12">
        <f t="shared" si="22"/>
        <v>4798</v>
      </c>
      <c r="I89" s="12">
        <f t="shared" si="23"/>
        <v>0</v>
      </c>
      <c r="J89" s="12">
        <f>Table1[[#This Row],[Enrolment S.Y. 2025-2026 ]]*8</f>
        <v>5488</v>
      </c>
      <c r="K89" s="12"/>
      <c r="L89" s="10"/>
      <c r="M89" s="12"/>
      <c r="N89" s="12">
        <f t="shared" si="16"/>
        <v>5488</v>
      </c>
      <c r="O89" s="12">
        <f t="shared" si="17"/>
        <v>0</v>
      </c>
      <c r="P89" s="12">
        <f>Table1[[#This Row],[Enrolment S.Y. 2025-2026 ]]*8</f>
        <v>5488</v>
      </c>
      <c r="Q89" s="12"/>
      <c r="R89" s="10"/>
      <c r="S89" s="12"/>
      <c r="T89" s="12">
        <f t="shared" si="18"/>
        <v>5488</v>
      </c>
      <c r="U89" s="12">
        <f t="shared" si="19"/>
        <v>0</v>
      </c>
      <c r="V89" s="12">
        <f>Table1[[#This Row],[Enrolment S.Y. 2025-2026 ]]*8</f>
        <v>5488</v>
      </c>
      <c r="W89" s="12"/>
      <c r="X89" s="10"/>
      <c r="Y89" s="12"/>
      <c r="Z89" s="12">
        <f t="shared" si="20"/>
        <v>5488</v>
      </c>
      <c r="AA89" s="12">
        <f t="shared" si="21"/>
        <v>0</v>
      </c>
    </row>
    <row r="90" spans="1:27" ht="19.5">
      <c r="A90" s="10">
        <v>9</v>
      </c>
      <c r="B90" s="11" t="s">
        <v>25</v>
      </c>
      <c r="C90" s="10">
        <v>686</v>
      </c>
      <c r="D90" s="12">
        <f>Table1[[#This Row],[Enrolment S.Y. 2025-2026 ]]*8</f>
        <v>5488</v>
      </c>
      <c r="E90" s="12">
        <v>690</v>
      </c>
      <c r="F90" s="10">
        <v>2025</v>
      </c>
      <c r="G90" s="12" t="s">
        <v>66</v>
      </c>
      <c r="H90" s="12">
        <f t="shared" si="22"/>
        <v>4798</v>
      </c>
      <c r="I90" s="12">
        <f t="shared" si="23"/>
        <v>0</v>
      </c>
      <c r="J90" s="12">
        <f>Table1[[#This Row],[Enrolment S.Y. 2025-2026 ]]*8</f>
        <v>5488</v>
      </c>
      <c r="K90" s="12"/>
      <c r="L90" s="10"/>
      <c r="M90" s="12"/>
      <c r="N90" s="12">
        <f t="shared" si="16"/>
        <v>5488</v>
      </c>
      <c r="O90" s="12">
        <f t="shared" si="17"/>
        <v>0</v>
      </c>
      <c r="P90" s="12">
        <f>Table1[[#This Row],[Enrolment S.Y. 2025-2026 ]]*8</f>
        <v>5488</v>
      </c>
      <c r="Q90" s="12"/>
      <c r="R90" s="10"/>
      <c r="S90" s="12"/>
      <c r="T90" s="12">
        <f t="shared" si="18"/>
        <v>5488</v>
      </c>
      <c r="U90" s="12">
        <f t="shared" si="19"/>
        <v>0</v>
      </c>
      <c r="V90" s="12">
        <f>Table1[[#This Row],[Enrolment S.Y. 2025-2026 ]]*8</f>
        <v>5488</v>
      </c>
      <c r="W90" s="12"/>
      <c r="X90" s="10"/>
      <c r="Y90" s="12"/>
      <c r="Z90" s="12">
        <f t="shared" si="20"/>
        <v>5488</v>
      </c>
      <c r="AA90" s="12">
        <f t="shared" si="21"/>
        <v>0</v>
      </c>
    </row>
    <row r="91" spans="1:27" ht="19.5">
      <c r="A91" s="10">
        <v>9</v>
      </c>
      <c r="B91" s="11" t="s">
        <v>22</v>
      </c>
      <c r="C91" s="10">
        <v>686</v>
      </c>
      <c r="D91" s="12">
        <f>Table1[[#This Row],[Enrolment S.Y. 2025-2026 ]]*8</f>
        <v>5488</v>
      </c>
      <c r="E91" s="12">
        <v>690</v>
      </c>
      <c r="F91" s="10">
        <v>2025</v>
      </c>
      <c r="G91" s="12" t="s">
        <v>66</v>
      </c>
      <c r="H91" s="12">
        <f t="shared" si="22"/>
        <v>4798</v>
      </c>
      <c r="I91" s="12">
        <f t="shared" si="23"/>
        <v>0</v>
      </c>
      <c r="J91" s="12">
        <f>Table1[[#This Row],[Enrolment S.Y. 2025-2026 ]]*8</f>
        <v>5488</v>
      </c>
      <c r="K91" s="12"/>
      <c r="L91" s="10"/>
      <c r="M91" s="12"/>
      <c r="N91" s="12">
        <f t="shared" si="16"/>
        <v>5488</v>
      </c>
      <c r="O91" s="12">
        <f t="shared" si="17"/>
        <v>0</v>
      </c>
      <c r="P91" s="12">
        <f>Table1[[#This Row],[Enrolment S.Y. 2025-2026 ]]*8</f>
        <v>5488</v>
      </c>
      <c r="Q91" s="12"/>
      <c r="R91" s="10"/>
      <c r="S91" s="12"/>
      <c r="T91" s="12">
        <f t="shared" si="18"/>
        <v>5488</v>
      </c>
      <c r="U91" s="12">
        <f t="shared" si="19"/>
        <v>0</v>
      </c>
      <c r="V91" s="12">
        <f>Table1[[#This Row],[Enrolment S.Y. 2025-2026 ]]*8</f>
        <v>5488</v>
      </c>
      <c r="W91" s="12"/>
      <c r="X91" s="10"/>
      <c r="Y91" s="12"/>
      <c r="Z91" s="12">
        <f t="shared" si="20"/>
        <v>5488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17</v>
      </c>
      <c r="C93" s="10">
        <v>721</v>
      </c>
      <c r="D93" s="12">
        <f>Table1[[#This Row],[Enrolment S.Y. 2025-2026 ]]*8</f>
        <v>5768</v>
      </c>
      <c r="E93" s="12">
        <v>730</v>
      </c>
      <c r="F93" s="10">
        <v>2025</v>
      </c>
      <c r="G93" s="12" t="s">
        <v>66</v>
      </c>
      <c r="H93" s="12">
        <f>IF((D93-E93)&lt;0,0,(D93-E93))</f>
        <v>5038</v>
      </c>
      <c r="I93" s="12">
        <f>IF((E93-D93)&lt;0,0,(E93-D93))</f>
        <v>0</v>
      </c>
      <c r="J93" s="12">
        <f>Table1[[#This Row],[Enrolment S.Y. 2025-2026 ]]*8</f>
        <v>5768</v>
      </c>
      <c r="K93" s="12"/>
      <c r="L93" s="10"/>
      <c r="M93" s="12"/>
      <c r="N93" s="12">
        <f>IF((J93-K93)&lt;0,0,(J93-K93))</f>
        <v>5768</v>
      </c>
      <c r="O93" s="12">
        <f>IF((K93-J93)&lt;0,0,(K93-J93))</f>
        <v>0</v>
      </c>
      <c r="P93" s="12">
        <f>Table1[[#This Row],[Enrolment S.Y. 2025-2026 ]]*8</f>
        <v>5768</v>
      </c>
      <c r="Q93" s="12"/>
      <c r="R93" s="10"/>
      <c r="S93" s="12"/>
      <c r="T93" s="12">
        <f>IF((P93-Q93)&lt;0,0,(P93-Q93))</f>
        <v>5768</v>
      </c>
      <c r="U93" s="12">
        <f>IF((Q93-P93)&lt;0,0,(Q93-P93))</f>
        <v>0</v>
      </c>
      <c r="V93" s="12">
        <f>Table1[[#This Row],[Enrolment S.Y. 2025-2026 ]]*8</f>
        <v>5768</v>
      </c>
      <c r="W93" s="12"/>
      <c r="X93" s="10"/>
      <c r="Y93" s="12"/>
      <c r="Z93" s="12">
        <f>IF((V93-W93)&lt;0,0,(V93-W93))</f>
        <v>5768</v>
      </c>
      <c r="AA93" s="12">
        <f>IF((W93-V93)&lt;0,0,(W93-V93))</f>
        <v>0</v>
      </c>
    </row>
    <row r="94" spans="1:27" ht="19.5">
      <c r="A94" s="10">
        <v>10</v>
      </c>
      <c r="B94" s="11" t="s">
        <v>18</v>
      </c>
      <c r="C94" s="10">
        <v>721</v>
      </c>
      <c r="D94" s="12">
        <f>Table1[[#This Row],[Enrolment S.Y. 2025-2026 ]]*8</f>
        <v>5768</v>
      </c>
      <c r="E94" s="12">
        <v>730</v>
      </c>
      <c r="F94" s="10">
        <v>2025</v>
      </c>
      <c r="G94" s="12" t="s">
        <v>66</v>
      </c>
      <c r="H94" s="12">
        <f>IF((D94-E94)&lt;0,0,(D94-E94))</f>
        <v>5038</v>
      </c>
      <c r="I94" s="12">
        <f>IF((E94-D94)&lt;0,0,(E94-D94))</f>
        <v>0</v>
      </c>
      <c r="J94" s="12">
        <f>Table1[[#This Row],[Enrolment S.Y. 2025-2026 ]]*8</f>
        <v>5768</v>
      </c>
      <c r="K94" s="12"/>
      <c r="L94" s="10"/>
      <c r="M94" s="12"/>
      <c r="N94" s="12">
        <f>IF((J94-K94)&lt;0,0,(J94-K94))</f>
        <v>5768</v>
      </c>
      <c r="O94" s="12">
        <f>IF((K94-J94)&lt;0,0,(K94-J94))</f>
        <v>0</v>
      </c>
      <c r="P94" s="12">
        <f>Table1[[#This Row],[Enrolment S.Y. 2025-2026 ]]*8</f>
        <v>5768</v>
      </c>
      <c r="Q94" s="12"/>
      <c r="R94" s="10"/>
      <c r="S94" s="12"/>
      <c r="T94" s="12">
        <f>IF((P94-Q94)&lt;0,0,(P94-Q94))</f>
        <v>5768</v>
      </c>
      <c r="U94" s="12">
        <f>IF((Q94-P94)&lt;0,0,(Q94-P94))</f>
        <v>0</v>
      </c>
      <c r="V94" s="12">
        <f>Table1[[#This Row],[Enrolment S.Y. 2025-2026 ]]*8</f>
        <v>5768</v>
      </c>
      <c r="W94" s="12"/>
      <c r="X94" s="10"/>
      <c r="Y94" s="12"/>
      <c r="Z94" s="12">
        <f>IF((V94-W94)&lt;0,0,(V94-W94))</f>
        <v>5768</v>
      </c>
      <c r="AA94" s="12">
        <f>IF((W94-V94)&lt;0,0,(W94-V94))</f>
        <v>0</v>
      </c>
    </row>
    <row r="95" spans="1:27" ht="19.5">
      <c r="A95" s="10">
        <v>10</v>
      </c>
      <c r="B95" s="11" t="s">
        <v>15</v>
      </c>
      <c r="C95" s="10">
        <v>721</v>
      </c>
      <c r="D95" s="12">
        <f>Table1[[#This Row],[Enrolment S.Y. 2025-2026 ]]*8</f>
        <v>5768</v>
      </c>
      <c r="E95" s="12">
        <v>730</v>
      </c>
      <c r="F95" s="10">
        <v>2025</v>
      </c>
      <c r="G95" s="12" t="s">
        <v>66</v>
      </c>
      <c r="H95" s="12">
        <f>IF((D95-E95)&lt;0,0,(D95-E95))</f>
        <v>5038</v>
      </c>
      <c r="I95" s="12">
        <f>IF((E95-D95)&lt;0,0,(E95-D95))</f>
        <v>0</v>
      </c>
      <c r="J95" s="12">
        <f>Table1[[#This Row],[Enrolment S.Y. 2025-2026 ]]*8</f>
        <v>5768</v>
      </c>
      <c r="K95" s="12"/>
      <c r="L95" s="10"/>
      <c r="M95" s="12"/>
      <c r="N95" s="12">
        <f>IF((J95-K95)&lt;0,0,(J95-K95))</f>
        <v>5768</v>
      </c>
      <c r="O95" s="12">
        <f>IF((K95-J95)&lt;0,0,(K95-J95))</f>
        <v>0</v>
      </c>
      <c r="P95" s="12">
        <f>Table1[[#This Row],[Enrolment S.Y. 2025-2026 ]]*8</f>
        <v>5768</v>
      </c>
      <c r="Q95" s="12"/>
      <c r="R95" s="10"/>
      <c r="S95" s="12"/>
      <c r="T95" s="12">
        <f>IF((P95-Q95)&lt;0,0,(P95-Q95))</f>
        <v>5768</v>
      </c>
      <c r="U95" s="12">
        <f>IF((Q95-P95)&lt;0,0,(Q95-P95))</f>
        <v>0</v>
      </c>
      <c r="V95" s="12">
        <f>Table1[[#This Row],[Enrolment S.Y. 2025-2026 ]]*8</f>
        <v>5768</v>
      </c>
      <c r="W95" s="12"/>
      <c r="X95" s="10"/>
      <c r="Y95" s="12"/>
      <c r="Z95" s="12">
        <f>IF((V95-W95)&lt;0,0,(V95-W95))</f>
        <v>5768</v>
      </c>
      <c r="AA95" s="12">
        <f>IF((W95-V95)&lt;0,0,(W95-V95))</f>
        <v>0</v>
      </c>
    </row>
    <row r="96" spans="1:27" ht="19.5">
      <c r="A96" s="10">
        <v>10</v>
      </c>
      <c r="B96" s="11" t="s">
        <v>24</v>
      </c>
      <c r="C96" s="10">
        <v>721</v>
      </c>
      <c r="D96" s="12">
        <f>Table1[[#This Row],[Enrolment S.Y. 2025-2026 ]]*8</f>
        <v>5768</v>
      </c>
      <c r="E96" s="12">
        <v>730</v>
      </c>
      <c r="F96" s="10">
        <v>2025</v>
      </c>
      <c r="G96" s="12" t="s">
        <v>66</v>
      </c>
      <c r="H96" s="12">
        <f>IF((D96-E96)&lt;0,0,(D96-E96))</f>
        <v>5038</v>
      </c>
      <c r="I96" s="12">
        <f>IF((E96-D96)&lt;0,0,(E96-D96))</f>
        <v>0</v>
      </c>
      <c r="J96" s="12">
        <f>Table1[[#This Row],[Enrolment S.Y. 2025-2026 ]]*8</f>
        <v>5768</v>
      </c>
      <c r="K96" s="12"/>
      <c r="L96" s="10"/>
      <c r="M96" s="12"/>
      <c r="N96" s="12">
        <f>IF((J96-K96)&lt;0,0,(J96-K96))</f>
        <v>5768</v>
      </c>
      <c r="O96" s="12">
        <f>IF((K96-J96)&lt;0,0,(K96-J96))</f>
        <v>0</v>
      </c>
      <c r="P96" s="12">
        <f>Table1[[#This Row],[Enrolment S.Y. 2025-2026 ]]*8</f>
        <v>5768</v>
      </c>
      <c r="Q96" s="12"/>
      <c r="R96" s="10"/>
      <c r="S96" s="12"/>
      <c r="T96" s="12">
        <f>IF((P96-Q96)&lt;0,0,(P96-Q96))</f>
        <v>5768</v>
      </c>
      <c r="U96" s="12">
        <f>IF((Q96-P96)&lt;0,0,(Q96-P96))</f>
        <v>0</v>
      </c>
      <c r="V96" s="12">
        <f>Table1[[#This Row],[Enrolment S.Y. 2025-2026 ]]*8</f>
        <v>5768</v>
      </c>
      <c r="W96" s="12"/>
      <c r="X96" s="10"/>
      <c r="Y96" s="12"/>
      <c r="Z96" s="12">
        <f>IF((V96-W96)&lt;0,0,(V96-W96))</f>
        <v>5768</v>
      </c>
      <c r="AA96" s="12">
        <f>IF((W96-V96)&lt;0,0,(W96-V96))</f>
        <v>0</v>
      </c>
    </row>
    <row r="97" spans="1:27" ht="19.5">
      <c r="A97" s="10">
        <v>10</v>
      </c>
      <c r="B97" s="11" t="s">
        <v>26</v>
      </c>
      <c r="C97" s="10">
        <v>721</v>
      </c>
      <c r="D97" s="12">
        <f>Table1[[#This Row],[Enrolment S.Y. 2025-2026 ]]*8</f>
        <v>5768</v>
      </c>
      <c r="E97" s="12">
        <v>730</v>
      </c>
      <c r="F97" s="10">
        <v>2025</v>
      </c>
      <c r="G97" s="12" t="s">
        <v>66</v>
      </c>
      <c r="H97" s="12">
        <f>IF((D97-E97)&lt;0,0,(D97-E97))</f>
        <v>5038</v>
      </c>
      <c r="I97" s="12">
        <f>IF((E97-D97)&lt;0,0,(E97-D97))</f>
        <v>0</v>
      </c>
      <c r="J97" s="12">
        <f>Table1[[#This Row],[Enrolment S.Y. 2025-2026 ]]*8</f>
        <v>5768</v>
      </c>
      <c r="K97" s="12"/>
      <c r="L97" s="10"/>
      <c r="M97" s="12"/>
      <c r="N97" s="12">
        <f>IF((J97-K97)&lt;0,0,(J97-K97))</f>
        <v>5768</v>
      </c>
      <c r="O97" s="12">
        <f>IF((K97-J97)&lt;0,0,(K97-J97))</f>
        <v>0</v>
      </c>
      <c r="P97" s="12">
        <f>Table1[[#This Row],[Enrolment S.Y. 2025-2026 ]]*8</f>
        <v>5768</v>
      </c>
      <c r="Q97" s="12"/>
      <c r="R97" s="10"/>
      <c r="S97" s="12"/>
      <c r="T97" s="12">
        <f>IF((P97-Q97)&lt;0,0,(P97-Q97))</f>
        <v>5768</v>
      </c>
      <c r="U97" s="12">
        <f>IF((Q97-P97)&lt;0,0,(Q97-P97))</f>
        <v>0</v>
      </c>
      <c r="V97" s="12">
        <f>Table1[[#This Row],[Enrolment S.Y. 2025-2026 ]]*8</f>
        <v>5768</v>
      </c>
      <c r="W97" s="12"/>
      <c r="X97" s="10"/>
      <c r="Y97" s="12"/>
      <c r="Z97" s="12">
        <f>IF((V97-W97)&lt;0,0,(V97-W97))</f>
        <v>5768</v>
      </c>
      <c r="AA97" s="12">
        <f>IF((W97-V97)&lt;0,0,(W97-V97))</f>
        <v>0</v>
      </c>
    </row>
    <row r="98" spans="1:27" ht="19.5">
      <c r="A98" s="10">
        <v>10</v>
      </c>
      <c r="B98" s="11" t="s">
        <v>16</v>
      </c>
      <c r="C98" s="10">
        <v>721</v>
      </c>
      <c r="D98" s="12">
        <f>Table1[[#This Row],[Enrolment S.Y. 2025-2026 ]]*8</f>
        <v>5768</v>
      </c>
      <c r="E98" s="12">
        <v>730</v>
      </c>
      <c r="F98" s="10">
        <v>2025</v>
      </c>
      <c r="G98" s="12" t="s">
        <v>66</v>
      </c>
      <c r="H98" s="12">
        <f>IF((D98-E98)&lt;0,0,(D98-E98))</f>
        <v>5038</v>
      </c>
      <c r="I98" s="12">
        <f>IF((E98-D98)&lt;0,0,(E98-D98))</f>
        <v>0</v>
      </c>
      <c r="J98" s="12">
        <f>Table1[[#This Row],[Enrolment S.Y. 2025-2026 ]]*8</f>
        <v>5768</v>
      </c>
      <c r="K98" s="12"/>
      <c r="L98" s="10"/>
      <c r="M98" s="12"/>
      <c r="N98" s="12">
        <f>IF((J98-K98)&lt;0,0,(J98-K98))</f>
        <v>5768</v>
      </c>
      <c r="O98" s="12">
        <f>IF((K98-J98)&lt;0,0,(K98-J98))</f>
        <v>0</v>
      </c>
      <c r="P98" s="12">
        <f>Table1[[#This Row],[Enrolment S.Y. 2025-2026 ]]*8</f>
        <v>5768</v>
      </c>
      <c r="Q98" s="12"/>
      <c r="R98" s="10"/>
      <c r="S98" s="12"/>
      <c r="T98" s="12">
        <f>IF((P98-Q98)&lt;0,0,(P98-Q98))</f>
        <v>5768</v>
      </c>
      <c r="U98" s="12">
        <f>IF((Q98-P98)&lt;0,0,(Q98-P98))</f>
        <v>0</v>
      </c>
      <c r="V98" s="12">
        <f>Table1[[#This Row],[Enrolment S.Y. 2025-2026 ]]*8</f>
        <v>5768</v>
      </c>
      <c r="W98" s="12"/>
      <c r="X98" s="10"/>
      <c r="Y98" s="12"/>
      <c r="Z98" s="12">
        <f>IF((V98-W98)&lt;0,0,(V98-W98))</f>
        <v>5768</v>
      </c>
      <c r="AA98" s="12">
        <f>IF((W98-V98)&lt;0,0,(W98-V98))</f>
        <v>0</v>
      </c>
    </row>
    <row r="99" spans="1:27" ht="19.5">
      <c r="A99" s="10">
        <v>10</v>
      </c>
      <c r="B99" s="11" t="s">
        <v>20</v>
      </c>
      <c r="C99" s="10">
        <v>721</v>
      </c>
      <c r="D99" s="12">
        <f>Table1[[#This Row],[Enrolment S.Y. 2025-2026 ]]*8</f>
        <v>5768</v>
      </c>
      <c r="E99" s="12">
        <v>730</v>
      </c>
      <c r="F99" s="10">
        <v>2025</v>
      </c>
      <c r="G99" s="12" t="s">
        <v>66</v>
      </c>
      <c r="H99" s="12">
        <f>IF((D99-E99)&lt;0,0,(D99-E99))</f>
        <v>5038</v>
      </c>
      <c r="I99" s="12">
        <f>IF((E99-D99)&lt;0,0,(E99-D99))</f>
        <v>0</v>
      </c>
      <c r="J99" s="12">
        <f>Table1[[#This Row],[Enrolment S.Y. 2025-2026 ]]*8</f>
        <v>5768</v>
      </c>
      <c r="K99" s="12"/>
      <c r="L99" s="10"/>
      <c r="M99" s="12"/>
      <c r="N99" s="12">
        <f>IF((J99-K99)&lt;0,0,(J99-K99))</f>
        <v>5768</v>
      </c>
      <c r="O99" s="12">
        <f>IF((K99-J99)&lt;0,0,(K99-J99))</f>
        <v>0</v>
      </c>
      <c r="P99" s="12">
        <f>Table1[[#This Row],[Enrolment S.Y. 2025-2026 ]]*8</f>
        <v>5768</v>
      </c>
      <c r="Q99" s="12"/>
      <c r="R99" s="10"/>
      <c r="S99" s="12"/>
      <c r="T99" s="12">
        <f>IF((P99-Q99)&lt;0,0,(P99-Q99))</f>
        <v>5768</v>
      </c>
      <c r="U99" s="12">
        <f>IF((Q99-P99)&lt;0,0,(Q99-P99))</f>
        <v>0</v>
      </c>
      <c r="V99" s="12">
        <f>Table1[[#This Row],[Enrolment S.Y. 2025-2026 ]]*8</f>
        <v>5768</v>
      </c>
      <c r="W99" s="12"/>
      <c r="X99" s="10"/>
      <c r="Y99" s="12"/>
      <c r="Z99" s="12">
        <f>IF((V99-W99)&lt;0,0,(V99-W99))</f>
        <v>5768</v>
      </c>
      <c r="AA99" s="12">
        <f>IF((W99-V99)&lt;0,0,(W99-V99))</f>
        <v>0</v>
      </c>
    </row>
    <row r="100" spans="1:27" ht="19.5">
      <c r="A100" s="10">
        <v>10</v>
      </c>
      <c r="B100" s="11" t="s">
        <v>25</v>
      </c>
      <c r="C100" s="10">
        <v>721</v>
      </c>
      <c r="D100" s="12">
        <f>Table1[[#This Row],[Enrolment S.Y. 2025-2026 ]]*8</f>
        <v>5768</v>
      </c>
      <c r="E100" s="12">
        <v>730</v>
      </c>
      <c r="F100" s="10">
        <v>2025</v>
      </c>
      <c r="G100" s="12" t="s">
        <v>66</v>
      </c>
      <c r="H100" s="12">
        <f>IF((D100-E100)&lt;0,0,(D100-E100))</f>
        <v>5038</v>
      </c>
      <c r="I100" s="12">
        <f>IF((E100-D100)&lt;0,0,(E100-D100))</f>
        <v>0</v>
      </c>
      <c r="J100" s="12">
        <f>Table1[[#This Row],[Enrolment S.Y. 2025-2026 ]]*8</f>
        <v>5768</v>
      </c>
      <c r="K100" s="12"/>
      <c r="L100" s="10"/>
      <c r="M100" s="12"/>
      <c r="N100" s="12">
        <f>IF((J100-K100)&lt;0,0,(J100-K100))</f>
        <v>5768</v>
      </c>
      <c r="O100" s="12">
        <f>IF((K100-J100)&lt;0,0,(K100-J100))</f>
        <v>0</v>
      </c>
      <c r="P100" s="12">
        <f>Table1[[#This Row],[Enrolment S.Y. 2025-2026 ]]*8</f>
        <v>5768</v>
      </c>
      <c r="Q100" s="12"/>
      <c r="R100" s="10"/>
      <c r="S100" s="12"/>
      <c r="T100" s="12">
        <f>IF((P100-Q100)&lt;0,0,(P100-Q100))</f>
        <v>5768</v>
      </c>
      <c r="U100" s="12">
        <f>IF((Q100-P100)&lt;0,0,(Q100-P100))</f>
        <v>0</v>
      </c>
      <c r="V100" s="12">
        <f>Table1[[#This Row],[Enrolment S.Y. 2025-2026 ]]*8</f>
        <v>5768</v>
      </c>
      <c r="W100" s="12"/>
      <c r="X100" s="10"/>
      <c r="Y100" s="12"/>
      <c r="Z100" s="12">
        <f>IF((V100-W100)&lt;0,0,(V100-W100))</f>
        <v>5768</v>
      </c>
      <c r="AA100" s="12">
        <f>IF((W100-V100)&lt;0,0,(W100-V100))</f>
        <v>0</v>
      </c>
    </row>
    <row r="101" spans="1:27" ht="19.5">
      <c r="A101" s="10">
        <v>10</v>
      </c>
      <c r="B101" s="11" t="s">
        <v>22</v>
      </c>
      <c r="C101" s="10">
        <v>721</v>
      </c>
      <c r="D101" s="12">
        <f>Table1[[#This Row],[Enrolment S.Y. 2025-2026 ]]*8</f>
        <v>5768</v>
      </c>
      <c r="E101" s="12">
        <v>730</v>
      </c>
      <c r="F101" s="10">
        <v>2025</v>
      </c>
      <c r="G101" s="12" t="s">
        <v>66</v>
      </c>
      <c r="H101" s="12">
        <f>IF((D101-E101)&lt;0,0,(D101-E101))</f>
        <v>5038</v>
      </c>
      <c r="I101" s="12">
        <f>IF((E101-D101)&lt;0,0,(E101-D101))</f>
        <v>0</v>
      </c>
      <c r="J101" s="12">
        <f>Table1[[#This Row],[Enrolment S.Y. 2025-2026 ]]*8</f>
        <v>5768</v>
      </c>
      <c r="K101" s="12"/>
      <c r="L101" s="10"/>
      <c r="M101" s="12"/>
      <c r="N101" s="12">
        <f>IF((J101-K101)&lt;0,0,(J101-K101))</f>
        <v>5768</v>
      </c>
      <c r="O101" s="12">
        <f>IF((K101-J101)&lt;0,0,(K101-J101))</f>
        <v>0</v>
      </c>
      <c r="P101" s="12">
        <f>Table1[[#This Row],[Enrolment S.Y. 2025-2026 ]]*8</f>
        <v>5768</v>
      </c>
      <c r="Q101" s="12"/>
      <c r="R101" s="10"/>
      <c r="S101" s="12"/>
      <c r="T101" s="12">
        <f>IF((P101-Q101)&lt;0,0,(P101-Q101))</f>
        <v>5768</v>
      </c>
      <c r="U101" s="12">
        <f>IF((Q101-P101)&lt;0,0,(Q101-P101))</f>
        <v>0</v>
      </c>
      <c r="V101" s="12">
        <f>Table1[[#This Row],[Enrolment S.Y. 2025-2026 ]]*8</f>
        <v>5768</v>
      </c>
      <c r="W101" s="12"/>
      <c r="X101" s="10"/>
      <c r="Y101" s="12"/>
      <c r="Z101" s="12">
        <f>IF((V101-W101)&lt;0,0,(V101-W101))</f>
        <v>5768</v>
      </c>
      <c r="AA101" s="12">
        <f>IF((W101-V101)&lt;0,0,(W101-V101))</f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27</v>
      </c>
      <c r="B103" s="9" t="s">
        <v>28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27</v>
      </c>
      <c r="B104" s="9" t="s">
        <v>29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27</v>
      </c>
      <c r="B105" s="9" t="s">
        <v>30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27</v>
      </c>
      <c r="B106" s="9" t="s">
        <v>31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27</v>
      </c>
      <c r="B107" s="9" t="s">
        <v>32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27</v>
      </c>
      <c r="B108" s="9" t="s">
        <v>33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27</v>
      </c>
      <c r="B109" s="9" t="s">
        <v>34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27</v>
      </c>
      <c r="B110" s="9" t="s">
        <v>35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83:C91 C93:C101 C103:C110 C112:C127 C5:C12 C63:C71 C73:C81" name="Textbooks"/>
    <protectedRange sqref="J2:L3 D2:F3 H5:L5 D14:F21 Q14:R21 W14:X21 D23:F31 Q23:R31 W23:X31 D33:F41 H33:I41 Q33:R41 W33:X41 D43:F51 H43:I51 Q43:R51 W43:X51 D53:F61 H53:I61 Q53:R61 W53:X61 H63:I71 Q63:R71 W63:X71 H73:I81 Q73:R81 W73:X81 H83:I91 Q83:R91 W83:X9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73:F81 D83:F91 D63:F71 D93:F101" name="LAS"/>
    <protectedRange sqref="G2:I3 M2:O2 S2:U3 Y2:AA3 G112:G127 M112:M127 S112:S127 Y112:Y127 G5:G12 M5:M12 S4:S110 Y5:Y12 G14:G21 M14:M110 M3 Y14:Y110 G23:G31 G33:G41 G43:G51 G53:G61 G103:G110 G63:G71 G73:G81 G83:G91 G93:G101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103:G110 G63:G71 G73:G81 G83:G91 G93:G101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2BB66D44-B768-4648-A08E-927581311FCD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R115" zoomScale="55" zoomScaleNormal="55" workbookViewId="0">
      <selection activeCell="X122" sqref="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36</v>
      </c>
      <c r="E1" s="42"/>
      <c r="F1" s="42"/>
      <c r="G1" s="42"/>
      <c r="H1" s="42"/>
      <c r="I1" s="42"/>
      <c r="J1" s="43" t="s">
        <v>37</v>
      </c>
      <c r="K1" s="43"/>
      <c r="L1" s="43"/>
      <c r="M1" s="43"/>
      <c r="N1" s="43"/>
      <c r="O1" s="43"/>
      <c r="P1" s="44" t="s">
        <v>38</v>
      </c>
      <c r="Q1" s="44"/>
      <c r="R1" s="44"/>
      <c r="S1" s="44"/>
      <c r="T1" s="44"/>
      <c r="U1" s="44"/>
      <c r="V1" s="45" t="s">
        <v>39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67</v>
      </c>
      <c r="E2" s="20" t="s">
        <v>68</v>
      </c>
      <c r="F2" s="21" t="s">
        <v>69</v>
      </c>
      <c r="G2" s="24" t="s">
        <v>70</v>
      </c>
      <c r="H2" s="17" t="s">
        <v>71</v>
      </c>
      <c r="I2" s="24" t="s">
        <v>72</v>
      </c>
      <c r="J2" s="22" t="s">
        <v>73</v>
      </c>
      <c r="K2" s="22" t="s">
        <v>74</v>
      </c>
      <c r="L2" s="23" t="s">
        <v>75</v>
      </c>
      <c r="M2" s="40" t="s">
        <v>76</v>
      </c>
      <c r="N2" s="40" t="s">
        <v>77</v>
      </c>
      <c r="O2" s="22" t="s">
        <v>78</v>
      </c>
      <c r="P2" s="24" t="s">
        <v>79</v>
      </c>
      <c r="Q2" s="24" t="s">
        <v>80</v>
      </c>
      <c r="R2" s="25" t="s">
        <v>81</v>
      </c>
      <c r="S2" s="17" t="s">
        <v>82</v>
      </c>
      <c r="T2" s="17" t="s">
        <v>83</v>
      </c>
      <c r="U2" s="24" t="s">
        <v>84</v>
      </c>
      <c r="V2" s="26" t="s">
        <v>85</v>
      </c>
      <c r="W2" s="26" t="s">
        <v>86</v>
      </c>
      <c r="X2" s="27" t="s">
        <v>87</v>
      </c>
      <c r="Y2" s="41" t="s">
        <v>88</v>
      </c>
      <c r="Z2" s="41" t="s">
        <v>89</v>
      </c>
      <c r="AA2" s="26" t="s">
        <v>90</v>
      </c>
    </row>
    <row r="3" spans="1:27" ht="19.149999999999999">
      <c r="A3" s="1">
        <v>1</v>
      </c>
      <c r="B3" s="2" t="s">
        <v>11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12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13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14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15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17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18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65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11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12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13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14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15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18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17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65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11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12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13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16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14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15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17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18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65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17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18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15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13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19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16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91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92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21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93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94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17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18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15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13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19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16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91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92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21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93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94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17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18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15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13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19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16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91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92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21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93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94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17</v>
      </c>
      <c r="C67" s="10">
        <v>861</v>
      </c>
      <c r="D67" s="12">
        <f>Table14[[#This Row],[Enrolment S.Y. 2025-2026 ]]*8</f>
        <v>6888</v>
      </c>
      <c r="E67" s="12"/>
      <c r="F67" s="10"/>
      <c r="G67" s="12"/>
      <c r="H67" s="12">
        <f t="shared" si="0"/>
        <v>6888</v>
      </c>
      <c r="I67" s="12">
        <f t="shared" si="1"/>
        <v>0</v>
      </c>
      <c r="J67" s="12">
        <f>Table14[[#This Row],[Enrolment S.Y. 2025-2026 ]]*8</f>
        <v>6888</v>
      </c>
      <c r="K67" s="12"/>
      <c r="L67" s="10"/>
      <c r="M67" s="12"/>
      <c r="N67" s="12">
        <f t="shared" si="2"/>
        <v>6888</v>
      </c>
      <c r="O67" s="12">
        <f t="shared" si="3"/>
        <v>0</v>
      </c>
      <c r="P67" s="12">
        <f>Table14[[#This Row],[Enrolment S.Y. 2025-2026 ]]*8</f>
        <v>6888</v>
      </c>
      <c r="Q67" s="12"/>
      <c r="R67" s="10"/>
      <c r="S67" s="12"/>
      <c r="T67" s="12">
        <f t="shared" si="4"/>
        <v>6888</v>
      </c>
      <c r="U67" s="12">
        <f t="shared" si="5"/>
        <v>0</v>
      </c>
      <c r="V67" s="12">
        <f>Table14[[#This Row],[Enrolment S.Y. 2025-2026 ]]*8</f>
        <v>6888</v>
      </c>
      <c r="W67" s="12"/>
      <c r="X67" s="10"/>
      <c r="Y67" s="12"/>
      <c r="Z67" s="12">
        <f t="shared" si="6"/>
        <v>6888</v>
      </c>
      <c r="AA67" s="12">
        <f t="shared" si="7"/>
        <v>0</v>
      </c>
    </row>
    <row r="68" spans="1:27" ht="19.5">
      <c r="A68" s="10">
        <v>7</v>
      </c>
      <c r="B68" s="11" t="s">
        <v>18</v>
      </c>
      <c r="C68" s="10">
        <v>861</v>
      </c>
      <c r="D68" s="12">
        <f>Table14[[#This Row],[Enrolment S.Y. 2025-2026 ]]*8</f>
        <v>6888</v>
      </c>
      <c r="E68" s="12"/>
      <c r="F68" s="10"/>
      <c r="G68" s="12"/>
      <c r="H68" s="12">
        <f t="shared" si="0"/>
        <v>6888</v>
      </c>
      <c r="I68" s="12">
        <f t="shared" si="1"/>
        <v>0</v>
      </c>
      <c r="J68" s="12">
        <f>Table14[[#This Row],[Enrolment S.Y. 2025-2026 ]]*8</f>
        <v>6888</v>
      </c>
      <c r="K68" s="12"/>
      <c r="L68" s="10"/>
      <c r="M68" s="12"/>
      <c r="N68" s="12">
        <f t="shared" si="2"/>
        <v>6888</v>
      </c>
      <c r="O68" s="12">
        <f t="shared" si="3"/>
        <v>0</v>
      </c>
      <c r="P68" s="12">
        <f>Table14[[#This Row],[Enrolment S.Y. 2025-2026 ]]*8</f>
        <v>6888</v>
      </c>
      <c r="Q68" s="12"/>
      <c r="R68" s="10"/>
      <c r="S68" s="12"/>
      <c r="T68" s="12">
        <f t="shared" si="4"/>
        <v>6888</v>
      </c>
      <c r="U68" s="12">
        <f t="shared" si="5"/>
        <v>0</v>
      </c>
      <c r="V68" s="12">
        <f>Table14[[#This Row],[Enrolment S.Y. 2025-2026 ]]*8</f>
        <v>6888</v>
      </c>
      <c r="W68" s="12"/>
      <c r="X68" s="10"/>
      <c r="Y68" s="12"/>
      <c r="Z68" s="12">
        <f t="shared" si="6"/>
        <v>6888</v>
      </c>
      <c r="AA68" s="12">
        <f t="shared" si="7"/>
        <v>0</v>
      </c>
    </row>
    <row r="69" spans="1:27" ht="19.5">
      <c r="A69" s="10">
        <v>7</v>
      </c>
      <c r="B69" s="11" t="s">
        <v>15</v>
      </c>
      <c r="C69" s="10">
        <v>861</v>
      </c>
      <c r="D69" s="12">
        <f>Table14[[#This Row],[Enrolment S.Y. 2025-2026 ]]*8</f>
        <v>6888</v>
      </c>
      <c r="E69" s="12"/>
      <c r="F69" s="10"/>
      <c r="G69" s="12"/>
      <c r="H69" s="12">
        <f t="shared" si="0"/>
        <v>6888</v>
      </c>
      <c r="I69" s="12">
        <f t="shared" si="1"/>
        <v>0</v>
      </c>
      <c r="J69" s="12">
        <f>Table14[[#This Row],[Enrolment S.Y. 2025-2026 ]]*8</f>
        <v>6888</v>
      </c>
      <c r="K69" s="12"/>
      <c r="L69" s="10"/>
      <c r="M69" s="12"/>
      <c r="N69" s="12">
        <f t="shared" si="2"/>
        <v>6888</v>
      </c>
      <c r="O69" s="12">
        <f t="shared" si="3"/>
        <v>0</v>
      </c>
      <c r="P69" s="12">
        <f>Table14[[#This Row],[Enrolment S.Y. 2025-2026 ]]*8</f>
        <v>6888</v>
      </c>
      <c r="Q69" s="12"/>
      <c r="R69" s="10"/>
      <c r="S69" s="12"/>
      <c r="T69" s="12">
        <f t="shared" si="4"/>
        <v>6888</v>
      </c>
      <c r="U69" s="12">
        <f t="shared" si="5"/>
        <v>0</v>
      </c>
      <c r="V69" s="12">
        <f>Table14[[#This Row],[Enrolment S.Y. 2025-2026 ]]*8</f>
        <v>6888</v>
      </c>
      <c r="W69" s="12"/>
      <c r="X69" s="10"/>
      <c r="Y69" s="12"/>
      <c r="Z69" s="12">
        <f t="shared" si="6"/>
        <v>6888</v>
      </c>
      <c r="AA69" s="12">
        <f t="shared" si="7"/>
        <v>0</v>
      </c>
    </row>
    <row r="70" spans="1:27" ht="19.5">
      <c r="A70" s="10">
        <v>7</v>
      </c>
      <c r="B70" s="11" t="s">
        <v>24</v>
      </c>
      <c r="C70" s="10">
        <v>861</v>
      </c>
      <c r="D70" s="12">
        <f>Table14[[#This Row],[Enrolment S.Y. 2025-2026 ]]*8</f>
        <v>6888</v>
      </c>
      <c r="E70" s="12"/>
      <c r="F70" s="10"/>
      <c r="G70" s="12"/>
      <c r="H70" s="12">
        <f t="shared" si="0"/>
        <v>6888</v>
      </c>
      <c r="I70" s="12">
        <f t="shared" si="1"/>
        <v>0</v>
      </c>
      <c r="J70" s="12">
        <f>Table14[[#This Row],[Enrolment S.Y. 2025-2026 ]]*8</f>
        <v>6888</v>
      </c>
      <c r="K70" s="12"/>
      <c r="L70" s="10"/>
      <c r="M70" s="12"/>
      <c r="N70" s="12">
        <f t="shared" si="2"/>
        <v>6888</v>
      </c>
      <c r="O70" s="12">
        <f t="shared" si="3"/>
        <v>0</v>
      </c>
      <c r="P70" s="12">
        <f>Table14[[#This Row],[Enrolment S.Y. 2025-2026 ]]*8</f>
        <v>6888</v>
      </c>
      <c r="Q70" s="12"/>
      <c r="R70" s="10"/>
      <c r="S70" s="12"/>
      <c r="T70" s="12">
        <f t="shared" si="4"/>
        <v>6888</v>
      </c>
      <c r="U70" s="12">
        <f t="shared" si="5"/>
        <v>0</v>
      </c>
      <c r="V70" s="12">
        <f>Table14[[#This Row],[Enrolment S.Y. 2025-2026 ]]*8</f>
        <v>6888</v>
      </c>
      <c r="W70" s="12"/>
      <c r="X70" s="10"/>
      <c r="Y70" s="12"/>
      <c r="Z70" s="12">
        <f t="shared" si="6"/>
        <v>6888</v>
      </c>
      <c r="AA70" s="12">
        <f t="shared" si="7"/>
        <v>0</v>
      </c>
    </row>
    <row r="71" spans="1:27" ht="38.25">
      <c r="A71" s="10">
        <v>7</v>
      </c>
      <c r="B71" s="11" t="s">
        <v>19</v>
      </c>
      <c r="C71" s="10">
        <v>861</v>
      </c>
      <c r="D71" s="12">
        <f>Table14[[#This Row],[Enrolment S.Y. 2025-2026 ]]*8</f>
        <v>6888</v>
      </c>
      <c r="E71" s="12"/>
      <c r="F71" s="10"/>
      <c r="G71" s="12"/>
      <c r="H71" s="12">
        <f t="shared" si="0"/>
        <v>6888</v>
      </c>
      <c r="I71" s="12">
        <f t="shared" si="1"/>
        <v>0</v>
      </c>
      <c r="J71" s="12">
        <f>Table14[[#This Row],[Enrolment S.Y. 2025-2026 ]]*8</f>
        <v>6888</v>
      </c>
      <c r="K71" s="12"/>
      <c r="L71" s="10"/>
      <c r="M71" s="12"/>
      <c r="N71" s="12">
        <f t="shared" ref="N71:N77" si="14">IF((J71-K71)&lt;0,0,(J71-K71))</f>
        <v>6888</v>
      </c>
      <c r="O71" s="12">
        <f t="shared" ref="O71:O77" si="15">IF((K71-J71)&lt;0,0,(K71-J71))</f>
        <v>0</v>
      </c>
      <c r="P71" s="12">
        <f>Table14[[#This Row],[Enrolment S.Y. 2025-2026 ]]*8</f>
        <v>6888</v>
      </c>
      <c r="Q71" s="12"/>
      <c r="R71" s="10"/>
      <c r="S71" s="12"/>
      <c r="T71" s="12">
        <f t="shared" si="4"/>
        <v>6888</v>
      </c>
      <c r="U71" s="12">
        <f t="shared" si="5"/>
        <v>0</v>
      </c>
      <c r="V71" s="12">
        <f>Table14[[#This Row],[Enrolment S.Y. 2025-2026 ]]*8</f>
        <v>6888</v>
      </c>
      <c r="W71" s="12"/>
      <c r="X71" s="10"/>
      <c r="Y71" s="12"/>
      <c r="Z71" s="12">
        <f t="shared" si="6"/>
        <v>6888</v>
      </c>
      <c r="AA71" s="12">
        <f t="shared" si="7"/>
        <v>0</v>
      </c>
    </row>
    <row r="72" spans="1:27" ht="19.5">
      <c r="A72" s="10">
        <v>7</v>
      </c>
      <c r="B72" s="11" t="s">
        <v>16</v>
      </c>
      <c r="C72" s="10">
        <v>861</v>
      </c>
      <c r="D72" s="12">
        <f>Table14[[#This Row],[Enrolment S.Y. 2025-2026 ]]*8</f>
        <v>6888</v>
      </c>
      <c r="E72" s="12"/>
      <c r="F72" s="10"/>
      <c r="G72" s="12"/>
      <c r="H72" s="12">
        <f t="shared" si="0"/>
        <v>6888</v>
      </c>
      <c r="I72" s="12">
        <f t="shared" si="1"/>
        <v>0</v>
      </c>
      <c r="J72" s="12">
        <f>Table14[[#This Row],[Enrolment S.Y. 2025-2026 ]]*8</f>
        <v>6888</v>
      </c>
      <c r="K72" s="12"/>
      <c r="L72" s="10"/>
      <c r="M72" s="12"/>
      <c r="N72" s="12">
        <f t="shared" si="14"/>
        <v>6888</v>
      </c>
      <c r="O72" s="12">
        <f t="shared" si="15"/>
        <v>0</v>
      </c>
      <c r="P72" s="12">
        <f>Table14[[#This Row],[Enrolment S.Y. 2025-2026 ]]*8</f>
        <v>6888</v>
      </c>
      <c r="Q72" s="12"/>
      <c r="R72" s="10"/>
      <c r="S72" s="12"/>
      <c r="T72" s="12">
        <f t="shared" si="4"/>
        <v>6888</v>
      </c>
      <c r="U72" s="12">
        <f t="shared" si="5"/>
        <v>0</v>
      </c>
      <c r="V72" s="12">
        <f>Table14[[#This Row],[Enrolment S.Y. 2025-2026 ]]*8</f>
        <v>6888</v>
      </c>
      <c r="W72" s="12"/>
      <c r="X72" s="10"/>
      <c r="Y72" s="12"/>
      <c r="Z72" s="12">
        <f t="shared" si="6"/>
        <v>6888</v>
      </c>
      <c r="AA72" s="12">
        <f t="shared" si="7"/>
        <v>0</v>
      </c>
    </row>
    <row r="73" spans="1:27" ht="19.5">
      <c r="A73" s="38">
        <v>7</v>
      </c>
      <c r="B73" s="11" t="s">
        <v>91</v>
      </c>
      <c r="C73" s="12">
        <v>861</v>
      </c>
      <c r="D73" s="12">
        <f>Table14[[#This Row],[Enrolment S.Y. 2025-2026 ]]*8</f>
        <v>6888</v>
      </c>
      <c r="E73" s="12"/>
      <c r="F73" s="10"/>
      <c r="G73" s="12"/>
      <c r="H73" s="12">
        <f>IF((D73-E73)&lt;0,0,(D73-E73))</f>
        <v>6888</v>
      </c>
      <c r="I73" s="12">
        <f>IF((E73-D73)&lt;0,0,(E73-D73))</f>
        <v>0</v>
      </c>
      <c r="J73" s="12">
        <f>Table14[[#This Row],[Enrolment S.Y. 2025-2026 ]]*8</f>
        <v>6888</v>
      </c>
      <c r="K73" s="12"/>
      <c r="L73" s="10"/>
      <c r="M73" s="12"/>
      <c r="N73" s="12">
        <f t="shared" si="14"/>
        <v>6888</v>
      </c>
      <c r="O73" s="12">
        <f t="shared" si="15"/>
        <v>0</v>
      </c>
      <c r="P73" s="12">
        <f>Table14[[#This Row],[Enrolment S.Y. 2025-2026 ]]*8</f>
        <v>6888</v>
      </c>
      <c r="Q73" s="12"/>
      <c r="R73" s="10"/>
      <c r="S73" s="12"/>
      <c r="T73" s="12">
        <f>IF((P73-Q73)&lt;0,0,(P73-Q73))</f>
        <v>6888</v>
      </c>
      <c r="U73" s="12">
        <f>IF((Q73-P73)&lt;0,0,(Q73-P73))</f>
        <v>0</v>
      </c>
      <c r="V73" s="12">
        <f>Table14[[#This Row],[Enrolment S.Y. 2025-2026 ]]*8</f>
        <v>6888</v>
      </c>
      <c r="W73" s="12"/>
      <c r="X73" s="10"/>
      <c r="Y73" s="12"/>
      <c r="Z73" s="12">
        <f>IF((V73-W73)&lt;0,0,(V73-W73))</f>
        <v>6888</v>
      </c>
      <c r="AA73" s="12">
        <f>IF((W73-V73)&lt;0,0,(W73-V73))</f>
        <v>0</v>
      </c>
    </row>
    <row r="74" spans="1:27" ht="19.5">
      <c r="A74" s="10">
        <v>7</v>
      </c>
      <c r="B74" s="11" t="s">
        <v>92</v>
      </c>
      <c r="C74" s="10">
        <v>861</v>
      </c>
      <c r="D74" s="12">
        <f>Table14[[#This Row],[Enrolment S.Y. 2025-2026 ]]*8</f>
        <v>6888</v>
      </c>
      <c r="E74" s="12"/>
      <c r="F74" s="10"/>
      <c r="G74" s="12"/>
      <c r="H74" s="12">
        <f t="shared" si="0"/>
        <v>6888</v>
      </c>
      <c r="I74" s="12">
        <f t="shared" si="1"/>
        <v>0</v>
      </c>
      <c r="J74" s="12">
        <f>Table14[[#This Row],[Enrolment S.Y. 2025-2026 ]]*8</f>
        <v>6888</v>
      </c>
      <c r="K74" s="12"/>
      <c r="L74" s="10"/>
      <c r="M74" s="12"/>
      <c r="N74" s="12">
        <f t="shared" si="14"/>
        <v>6888</v>
      </c>
      <c r="O74" s="12">
        <f t="shared" si="15"/>
        <v>0</v>
      </c>
      <c r="P74" s="12">
        <f>Table14[[#This Row],[Enrolment S.Y. 2025-2026 ]]*8</f>
        <v>6888</v>
      </c>
      <c r="Q74" s="12"/>
      <c r="R74" s="10"/>
      <c r="S74" s="12"/>
      <c r="T74" s="12">
        <f t="shared" ref="T74:T122" si="16">IF((P74-Q74)&lt;0,0,(P74-Q74))</f>
        <v>6888</v>
      </c>
      <c r="U74" s="12">
        <f t="shared" ref="U74:U122" si="17">IF((Q74-P74)&lt;0,0,(Q74-P74))</f>
        <v>0</v>
      </c>
      <c r="V74" s="12">
        <f>Table14[[#This Row],[Enrolment S.Y. 2025-2026 ]]*8</f>
        <v>6888</v>
      </c>
      <c r="W74" s="12"/>
      <c r="X74" s="10"/>
      <c r="Y74" s="12"/>
      <c r="Z74" s="12">
        <f t="shared" ref="Z74:Z122" si="18">IF((V74-W74)&lt;0,0,(V74-W74))</f>
        <v>6888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25</v>
      </c>
      <c r="C75" s="10">
        <v>861</v>
      </c>
      <c r="D75" s="12">
        <f>Table14[[#This Row],[Enrolment S.Y. 2025-2026 ]]*8</f>
        <v>6888</v>
      </c>
      <c r="E75" s="12"/>
      <c r="F75" s="10"/>
      <c r="G75" s="12"/>
      <c r="H75" s="12">
        <f t="shared" si="0"/>
        <v>6888</v>
      </c>
      <c r="I75" s="12">
        <f t="shared" si="1"/>
        <v>0</v>
      </c>
      <c r="J75" s="12">
        <f>Table14[[#This Row],[Enrolment S.Y. 2025-2026 ]]*8</f>
        <v>6888</v>
      </c>
      <c r="K75" s="12"/>
      <c r="L75" s="10"/>
      <c r="M75" s="12"/>
      <c r="N75" s="12">
        <f t="shared" si="14"/>
        <v>6888</v>
      </c>
      <c r="O75" s="12">
        <f t="shared" si="15"/>
        <v>0</v>
      </c>
      <c r="P75" s="12">
        <f>Table14[[#This Row],[Enrolment S.Y. 2025-2026 ]]*8</f>
        <v>6888</v>
      </c>
      <c r="Q75" s="12"/>
      <c r="R75" s="10"/>
      <c r="S75" s="12"/>
      <c r="T75" s="12">
        <f t="shared" si="16"/>
        <v>6888</v>
      </c>
      <c r="U75" s="12">
        <f t="shared" si="17"/>
        <v>0</v>
      </c>
      <c r="V75" s="12">
        <f>Table14[[#This Row],[Enrolment S.Y. 2025-2026 ]]*8</f>
        <v>6888</v>
      </c>
      <c r="W75" s="12"/>
      <c r="X75" s="10"/>
      <c r="Y75" s="12"/>
      <c r="Z75" s="12">
        <f t="shared" si="18"/>
        <v>6888</v>
      </c>
      <c r="AA75" s="12">
        <f t="shared" si="19"/>
        <v>0</v>
      </c>
    </row>
    <row r="76" spans="1:27" ht="19.5">
      <c r="A76" s="38">
        <v>7</v>
      </c>
      <c r="B76" s="11" t="s">
        <v>93</v>
      </c>
      <c r="C76" s="12">
        <v>861</v>
      </c>
      <c r="D76" s="12">
        <f>Table14[[#This Row],[Enrolment S.Y. 2025-2026 ]]*8</f>
        <v>6888</v>
      </c>
      <c r="E76" s="12"/>
      <c r="F76" s="10"/>
      <c r="G76" s="12"/>
      <c r="H76" s="12">
        <f>IF((D76-E76)&lt;0,0,(D76-E76))</f>
        <v>6888</v>
      </c>
      <c r="I76" s="12">
        <f>IF((E76-D76)&lt;0,0,(E76-D76))</f>
        <v>0</v>
      </c>
      <c r="J76" s="12">
        <f>Table14[[#This Row],[Enrolment S.Y. 2025-2026 ]]*8</f>
        <v>6888</v>
      </c>
      <c r="K76" s="12"/>
      <c r="L76" s="10"/>
      <c r="M76" s="12"/>
      <c r="N76" s="12">
        <f t="shared" si="14"/>
        <v>6888</v>
      </c>
      <c r="O76" s="12">
        <f t="shared" si="15"/>
        <v>0</v>
      </c>
      <c r="P76" s="12">
        <f>Table14[[#This Row],[Enrolment S.Y. 2025-2026 ]]*8</f>
        <v>6888</v>
      </c>
      <c r="Q76" s="12"/>
      <c r="R76" s="10"/>
      <c r="S76" s="12"/>
      <c r="T76" s="12">
        <f>IF((P76-Q76)&lt;0,0,(P76-Q76))</f>
        <v>6888</v>
      </c>
      <c r="U76" s="12">
        <f>IF((Q76-P76)&lt;0,0,(Q76-P76))</f>
        <v>0</v>
      </c>
      <c r="V76" s="12">
        <f>Table14[[#This Row],[Enrolment S.Y. 2025-2026 ]]*8</f>
        <v>6888</v>
      </c>
      <c r="W76" s="12"/>
      <c r="X76" s="10"/>
      <c r="Y76" s="12"/>
      <c r="Z76" s="12">
        <f>IF((V76-W76)&lt;0,0,(V76-W76))</f>
        <v>6888</v>
      </c>
      <c r="AA76" s="12">
        <f>IF((W76-V76)&lt;0,0,(W76-V76))</f>
        <v>0</v>
      </c>
    </row>
    <row r="77" spans="1:27" ht="19.5">
      <c r="A77" s="10">
        <v>7</v>
      </c>
      <c r="B77" s="11" t="s">
        <v>94</v>
      </c>
      <c r="C77" s="10">
        <v>861</v>
      </c>
      <c r="D77" s="12">
        <f>Table14[[#This Row],[Enrolment S.Y. 2025-2026 ]]*8</f>
        <v>6888</v>
      </c>
      <c r="E77" s="12"/>
      <c r="F77" s="10"/>
      <c r="G77" s="12"/>
      <c r="H77" s="12">
        <f t="shared" si="0"/>
        <v>6888</v>
      </c>
      <c r="I77" s="12">
        <f t="shared" si="1"/>
        <v>0</v>
      </c>
      <c r="J77" s="12">
        <f>Table14[[#This Row],[Enrolment S.Y. 2025-2026 ]]*8</f>
        <v>6888</v>
      </c>
      <c r="K77" s="12"/>
      <c r="L77" s="10"/>
      <c r="M77" s="12"/>
      <c r="N77" s="12">
        <f t="shared" si="14"/>
        <v>6888</v>
      </c>
      <c r="O77" s="12">
        <f t="shared" si="15"/>
        <v>0</v>
      </c>
      <c r="P77" s="12">
        <f>Table14[[#This Row],[Enrolment S.Y. 2025-2026 ]]*8</f>
        <v>6888</v>
      </c>
      <c r="Q77" s="12"/>
      <c r="R77" s="10"/>
      <c r="S77" s="12"/>
      <c r="T77" s="12">
        <f t="shared" si="16"/>
        <v>6888</v>
      </c>
      <c r="U77" s="12">
        <f t="shared" si="17"/>
        <v>0</v>
      </c>
      <c r="V77" s="12">
        <f>Table14[[#This Row],[Enrolment S.Y. 2025-2026 ]]*8</f>
        <v>6888</v>
      </c>
      <c r="W77" s="12"/>
      <c r="X77" s="10"/>
      <c r="Y77" s="12"/>
      <c r="Z77" s="12">
        <f t="shared" si="18"/>
        <v>6888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17</v>
      </c>
      <c r="C79" s="10">
        <v>866</v>
      </c>
      <c r="D79" s="12">
        <f>Table14[[#This Row],[Enrolment S.Y. 2025-2026 ]]*8</f>
        <v>6928</v>
      </c>
      <c r="E79" s="12"/>
      <c r="F79" s="10"/>
      <c r="G79" s="12"/>
      <c r="H79" s="12">
        <f t="shared" si="0"/>
        <v>6928</v>
      </c>
      <c r="I79" s="12">
        <f t="shared" si="1"/>
        <v>0</v>
      </c>
      <c r="J79" s="12">
        <f>Table14[[#This Row],[Enrolment S.Y. 2025-2026 ]]*8</f>
        <v>6928</v>
      </c>
      <c r="K79" s="12"/>
      <c r="L79" s="10"/>
      <c r="M79" s="12"/>
      <c r="N79" s="12">
        <f t="shared" ref="N74:N122" si="20">IF((J79-K79)&lt;0,0,(J79-K79))</f>
        <v>6928</v>
      </c>
      <c r="O79" s="12">
        <f t="shared" ref="O74:O122" si="21">IF((K79-J79)&lt;0,0,(K79-J79))</f>
        <v>0</v>
      </c>
      <c r="P79" s="12">
        <f>Table14[[#This Row],[Enrolment S.Y. 2025-2026 ]]*8</f>
        <v>6928</v>
      </c>
      <c r="Q79" s="12"/>
      <c r="R79" s="10"/>
      <c r="S79" s="12"/>
      <c r="T79" s="12">
        <f t="shared" si="16"/>
        <v>6928</v>
      </c>
      <c r="U79" s="12">
        <f t="shared" si="17"/>
        <v>0</v>
      </c>
      <c r="V79" s="12">
        <f>Table14[[#This Row],[Enrolment S.Y. 2025-2026 ]]*8</f>
        <v>6928</v>
      </c>
      <c r="W79" s="12"/>
      <c r="X79" s="10"/>
      <c r="Y79" s="12"/>
      <c r="Z79" s="12">
        <f t="shared" si="18"/>
        <v>6928</v>
      </c>
      <c r="AA79" s="12">
        <f t="shared" si="19"/>
        <v>0</v>
      </c>
    </row>
    <row r="80" spans="1:27" ht="19.5">
      <c r="A80" s="10">
        <v>8</v>
      </c>
      <c r="B80" s="11" t="s">
        <v>18</v>
      </c>
      <c r="C80" s="10">
        <v>866</v>
      </c>
      <c r="D80" s="12">
        <f>Table14[[#This Row],[Enrolment S.Y. 2025-2026 ]]*8</f>
        <v>6928</v>
      </c>
      <c r="E80" s="12"/>
      <c r="F80" s="10"/>
      <c r="G80" s="12"/>
      <c r="H80" s="12">
        <f t="shared" si="0"/>
        <v>6928</v>
      </c>
      <c r="I80" s="12">
        <f t="shared" si="1"/>
        <v>0</v>
      </c>
      <c r="J80" s="12">
        <f>Table14[[#This Row],[Enrolment S.Y. 2025-2026 ]]*8</f>
        <v>6928</v>
      </c>
      <c r="K80" s="12"/>
      <c r="L80" s="10"/>
      <c r="M80" s="12"/>
      <c r="N80" s="12">
        <f t="shared" si="20"/>
        <v>6928</v>
      </c>
      <c r="O80" s="12">
        <f t="shared" si="21"/>
        <v>0</v>
      </c>
      <c r="P80" s="12">
        <f>Table14[[#This Row],[Enrolment S.Y. 2025-2026 ]]*8</f>
        <v>6928</v>
      </c>
      <c r="Q80" s="12"/>
      <c r="R80" s="10"/>
      <c r="S80" s="12"/>
      <c r="T80" s="12">
        <f t="shared" si="16"/>
        <v>6928</v>
      </c>
      <c r="U80" s="12">
        <f t="shared" si="17"/>
        <v>0</v>
      </c>
      <c r="V80" s="12">
        <f>Table14[[#This Row],[Enrolment S.Y. 2025-2026 ]]*8</f>
        <v>6928</v>
      </c>
      <c r="W80" s="12"/>
      <c r="X80" s="10"/>
      <c r="Y80" s="12"/>
      <c r="Z80" s="12">
        <f t="shared" si="18"/>
        <v>6928</v>
      </c>
      <c r="AA80" s="12">
        <f t="shared" si="19"/>
        <v>0</v>
      </c>
    </row>
    <row r="81" spans="1:27" ht="19.5">
      <c r="A81" s="10">
        <v>8</v>
      </c>
      <c r="B81" s="11" t="s">
        <v>15</v>
      </c>
      <c r="C81" s="10">
        <v>866</v>
      </c>
      <c r="D81" s="12">
        <f>Table14[[#This Row],[Enrolment S.Y. 2025-2026 ]]*8</f>
        <v>6928</v>
      </c>
      <c r="E81" s="12"/>
      <c r="F81" s="10"/>
      <c r="G81" s="12"/>
      <c r="H81" s="12">
        <f t="shared" si="0"/>
        <v>6928</v>
      </c>
      <c r="I81" s="12">
        <f t="shared" si="1"/>
        <v>0</v>
      </c>
      <c r="J81" s="12">
        <f>Table14[[#This Row],[Enrolment S.Y. 2025-2026 ]]*8</f>
        <v>6928</v>
      </c>
      <c r="K81" s="12"/>
      <c r="L81" s="10"/>
      <c r="M81" s="12"/>
      <c r="N81" s="12">
        <f t="shared" si="20"/>
        <v>6928</v>
      </c>
      <c r="O81" s="12">
        <f t="shared" si="21"/>
        <v>0</v>
      </c>
      <c r="P81" s="12">
        <f>Table14[[#This Row],[Enrolment S.Y. 2025-2026 ]]*8</f>
        <v>6928</v>
      </c>
      <c r="Q81" s="12"/>
      <c r="R81" s="10"/>
      <c r="S81" s="12"/>
      <c r="T81" s="12">
        <f t="shared" si="16"/>
        <v>6928</v>
      </c>
      <c r="U81" s="12">
        <f t="shared" si="17"/>
        <v>0</v>
      </c>
      <c r="V81" s="12">
        <f>Table14[[#This Row],[Enrolment S.Y. 2025-2026 ]]*8</f>
        <v>6928</v>
      </c>
      <c r="W81" s="12"/>
      <c r="X81" s="10"/>
      <c r="Y81" s="12"/>
      <c r="Z81" s="12">
        <f t="shared" si="18"/>
        <v>6928</v>
      </c>
      <c r="AA81" s="12">
        <f t="shared" si="19"/>
        <v>0</v>
      </c>
    </row>
    <row r="82" spans="1:27" ht="19.5">
      <c r="A82" s="10">
        <v>8</v>
      </c>
      <c r="B82" s="11" t="s">
        <v>24</v>
      </c>
      <c r="C82" s="10">
        <v>866</v>
      </c>
      <c r="D82" s="12">
        <f>Table14[[#This Row],[Enrolment S.Y. 2025-2026 ]]*8</f>
        <v>6928</v>
      </c>
      <c r="E82" s="12"/>
      <c r="F82" s="10"/>
      <c r="G82" s="12"/>
      <c r="H82" s="12">
        <f t="shared" si="0"/>
        <v>6928</v>
      </c>
      <c r="I82" s="12">
        <f t="shared" si="1"/>
        <v>0</v>
      </c>
      <c r="J82" s="12">
        <f>Table14[[#This Row],[Enrolment S.Y. 2025-2026 ]]*8</f>
        <v>6928</v>
      </c>
      <c r="K82" s="12"/>
      <c r="L82" s="10"/>
      <c r="M82" s="12"/>
      <c r="N82" s="12">
        <f t="shared" si="20"/>
        <v>6928</v>
      </c>
      <c r="O82" s="12">
        <f t="shared" si="21"/>
        <v>0</v>
      </c>
      <c r="P82" s="12">
        <f>Table14[[#This Row],[Enrolment S.Y. 2025-2026 ]]*8</f>
        <v>6928</v>
      </c>
      <c r="Q82" s="12"/>
      <c r="R82" s="10"/>
      <c r="S82" s="12"/>
      <c r="T82" s="12">
        <f t="shared" si="16"/>
        <v>6928</v>
      </c>
      <c r="U82" s="12">
        <f t="shared" si="17"/>
        <v>0</v>
      </c>
      <c r="V82" s="12">
        <f>Table14[[#This Row],[Enrolment S.Y. 2025-2026 ]]*8</f>
        <v>6928</v>
      </c>
      <c r="W82" s="12"/>
      <c r="X82" s="10"/>
      <c r="Y82" s="12"/>
      <c r="Z82" s="12">
        <f t="shared" si="18"/>
        <v>6928</v>
      </c>
      <c r="AA82" s="12">
        <f t="shared" si="19"/>
        <v>0</v>
      </c>
    </row>
    <row r="83" spans="1:27" ht="19.5">
      <c r="A83" s="10">
        <v>8</v>
      </c>
      <c r="B83" s="11" t="s">
        <v>26</v>
      </c>
      <c r="C83" s="10">
        <v>866</v>
      </c>
      <c r="D83" s="12">
        <f>Table14[[#This Row],[Enrolment S.Y. 2025-2026 ]]*8</f>
        <v>6928</v>
      </c>
      <c r="E83" s="12"/>
      <c r="F83" s="10"/>
      <c r="G83" s="12"/>
      <c r="H83" s="12">
        <f t="shared" si="0"/>
        <v>6928</v>
      </c>
      <c r="I83" s="12">
        <f t="shared" si="1"/>
        <v>0</v>
      </c>
      <c r="J83" s="12">
        <f>Table14[[#This Row],[Enrolment S.Y. 2025-2026 ]]*8</f>
        <v>6928</v>
      </c>
      <c r="K83" s="12"/>
      <c r="L83" s="10"/>
      <c r="M83" s="12"/>
      <c r="N83" s="12">
        <f t="shared" si="20"/>
        <v>6928</v>
      </c>
      <c r="O83" s="12">
        <f t="shared" si="21"/>
        <v>0</v>
      </c>
      <c r="P83" s="12">
        <f>Table14[[#This Row],[Enrolment S.Y. 2025-2026 ]]*8</f>
        <v>6928</v>
      </c>
      <c r="Q83" s="12"/>
      <c r="R83" s="10"/>
      <c r="S83" s="12"/>
      <c r="T83" s="12">
        <f t="shared" si="16"/>
        <v>6928</v>
      </c>
      <c r="U83" s="12">
        <f t="shared" si="17"/>
        <v>0</v>
      </c>
      <c r="V83" s="12">
        <f>Table14[[#This Row],[Enrolment S.Y. 2025-2026 ]]*8</f>
        <v>6928</v>
      </c>
      <c r="W83" s="12"/>
      <c r="X83" s="10"/>
      <c r="Y83" s="12"/>
      <c r="Z83" s="12">
        <f t="shared" si="18"/>
        <v>6928</v>
      </c>
      <c r="AA83" s="12">
        <f t="shared" si="19"/>
        <v>0</v>
      </c>
    </row>
    <row r="84" spans="1:27" ht="19.5">
      <c r="A84" s="10">
        <v>8</v>
      </c>
      <c r="B84" s="11" t="s">
        <v>16</v>
      </c>
      <c r="C84" s="10">
        <v>866</v>
      </c>
      <c r="D84" s="12">
        <f>Table14[[#This Row],[Enrolment S.Y. 2025-2026 ]]*8</f>
        <v>6928</v>
      </c>
      <c r="E84" s="12"/>
      <c r="F84" s="10"/>
      <c r="G84" s="12"/>
      <c r="H84" s="12">
        <f t="shared" ref="H84:H122" si="22">IF((D84-E84)&lt;0,0,(D84-E84))</f>
        <v>6928</v>
      </c>
      <c r="I84" s="12">
        <f t="shared" ref="I84:I122" si="23">IF((E84-D84)&lt;0,0,(E84-D84))</f>
        <v>0</v>
      </c>
      <c r="J84" s="12">
        <f>Table14[[#This Row],[Enrolment S.Y. 2025-2026 ]]*8</f>
        <v>6928</v>
      </c>
      <c r="K84" s="12"/>
      <c r="L84" s="10"/>
      <c r="M84" s="12"/>
      <c r="N84" s="12">
        <f t="shared" ref="N84:N89" si="24">IF((J84-K84)&lt;0,0,(J84-K84))</f>
        <v>6928</v>
      </c>
      <c r="O84" s="12">
        <f t="shared" ref="O84:O89" si="25">IF((K84-J84)&lt;0,0,(K84-J84))</f>
        <v>0</v>
      </c>
      <c r="P84" s="12">
        <f>Table14[[#This Row],[Enrolment S.Y. 2025-2026 ]]*8</f>
        <v>6928</v>
      </c>
      <c r="Q84" s="12"/>
      <c r="R84" s="10"/>
      <c r="S84" s="12"/>
      <c r="T84" s="12">
        <f t="shared" si="16"/>
        <v>6928</v>
      </c>
      <c r="U84" s="12">
        <f t="shared" si="17"/>
        <v>0</v>
      </c>
      <c r="V84" s="12">
        <f>Table14[[#This Row],[Enrolment S.Y. 2025-2026 ]]*8</f>
        <v>6928</v>
      </c>
      <c r="W84" s="12"/>
      <c r="X84" s="10"/>
      <c r="Y84" s="12"/>
      <c r="Z84" s="12">
        <f t="shared" si="18"/>
        <v>6928</v>
      </c>
      <c r="AA84" s="12">
        <f t="shared" si="19"/>
        <v>0</v>
      </c>
    </row>
    <row r="85" spans="1:27" ht="19.5">
      <c r="A85" s="38">
        <v>8</v>
      </c>
      <c r="B85" s="11" t="s">
        <v>91</v>
      </c>
      <c r="C85" s="12">
        <v>866</v>
      </c>
      <c r="D85" s="12">
        <f>Table14[[#This Row],[Enrolment S.Y. 2025-2026 ]]*8</f>
        <v>6928</v>
      </c>
      <c r="E85" s="12"/>
      <c r="F85" s="10"/>
      <c r="G85" s="12"/>
      <c r="H85" s="12">
        <f>IF((D85-E85)&lt;0,0,(D85-E85))</f>
        <v>6928</v>
      </c>
      <c r="I85" s="12">
        <f>IF((E85-D85)&lt;0,0,(E85-D85))</f>
        <v>0</v>
      </c>
      <c r="J85" s="12">
        <f>Table14[[#This Row],[Enrolment S.Y. 2025-2026 ]]*8</f>
        <v>6928</v>
      </c>
      <c r="K85" s="12"/>
      <c r="L85" s="10"/>
      <c r="M85" s="12"/>
      <c r="N85" s="12">
        <f t="shared" si="24"/>
        <v>6928</v>
      </c>
      <c r="O85" s="12">
        <f t="shared" si="25"/>
        <v>0</v>
      </c>
      <c r="P85" s="12">
        <f>Table14[[#This Row],[Enrolment S.Y. 2025-2026 ]]*8</f>
        <v>6928</v>
      </c>
      <c r="Q85" s="12"/>
      <c r="R85" s="10"/>
      <c r="S85" s="12"/>
      <c r="T85" s="12">
        <f>IF((P85-Q85)&lt;0,0,(P85-Q85))</f>
        <v>6928</v>
      </c>
      <c r="U85" s="12">
        <f>IF((Q85-P85)&lt;0,0,(Q85-P85))</f>
        <v>0</v>
      </c>
      <c r="V85" s="12">
        <f>Table14[[#This Row],[Enrolment S.Y. 2025-2026 ]]*8</f>
        <v>6928</v>
      </c>
      <c r="W85" s="12"/>
      <c r="X85" s="10"/>
      <c r="Y85" s="12"/>
      <c r="Z85" s="12">
        <f>IF((V85-W85)&lt;0,0,(V85-W85))</f>
        <v>6928</v>
      </c>
      <c r="AA85" s="12">
        <f>IF((W85-V85)&lt;0,0,(W85-V85))</f>
        <v>0</v>
      </c>
    </row>
    <row r="86" spans="1:27" ht="19.5">
      <c r="A86" s="10">
        <v>8</v>
      </c>
      <c r="B86" s="11" t="s">
        <v>92</v>
      </c>
      <c r="C86" s="10">
        <v>866</v>
      </c>
      <c r="D86" s="12">
        <f>Table14[[#This Row],[Enrolment S.Y. 2025-2026 ]]*8</f>
        <v>6928</v>
      </c>
      <c r="E86" s="12"/>
      <c r="F86" s="10"/>
      <c r="G86" s="12"/>
      <c r="H86" s="12">
        <f t="shared" si="22"/>
        <v>6928</v>
      </c>
      <c r="I86" s="12">
        <f t="shared" si="23"/>
        <v>0</v>
      </c>
      <c r="J86" s="12">
        <f>Table14[[#This Row],[Enrolment S.Y. 2025-2026 ]]*8</f>
        <v>6928</v>
      </c>
      <c r="K86" s="12"/>
      <c r="L86" s="10"/>
      <c r="M86" s="12"/>
      <c r="N86" s="12">
        <f t="shared" si="24"/>
        <v>6928</v>
      </c>
      <c r="O86" s="12">
        <f t="shared" si="25"/>
        <v>0</v>
      </c>
      <c r="P86" s="12">
        <f>Table14[[#This Row],[Enrolment S.Y. 2025-2026 ]]*8</f>
        <v>6928</v>
      </c>
      <c r="Q86" s="12"/>
      <c r="R86" s="10"/>
      <c r="S86" s="12"/>
      <c r="T86" s="12">
        <f t="shared" si="16"/>
        <v>6928</v>
      </c>
      <c r="U86" s="12">
        <f t="shared" si="17"/>
        <v>0</v>
      </c>
      <c r="V86" s="12">
        <f>Table14[[#This Row],[Enrolment S.Y. 2025-2026 ]]*8</f>
        <v>6928</v>
      </c>
      <c r="W86" s="12"/>
      <c r="X86" s="10"/>
      <c r="Y86" s="12"/>
      <c r="Z86" s="12">
        <f t="shared" si="18"/>
        <v>6928</v>
      </c>
      <c r="AA86" s="12">
        <f t="shared" si="19"/>
        <v>0</v>
      </c>
    </row>
    <row r="87" spans="1:27" ht="19.5">
      <c r="A87" s="10">
        <v>8</v>
      </c>
      <c r="B87" s="11" t="s">
        <v>25</v>
      </c>
      <c r="C87" s="10">
        <v>866</v>
      </c>
      <c r="D87" s="12">
        <f>Table14[[#This Row],[Enrolment S.Y. 2025-2026 ]]*8</f>
        <v>6928</v>
      </c>
      <c r="E87" s="12"/>
      <c r="F87" s="10"/>
      <c r="G87" s="12"/>
      <c r="H87" s="12">
        <f t="shared" si="22"/>
        <v>6928</v>
      </c>
      <c r="I87" s="12">
        <f t="shared" si="23"/>
        <v>0</v>
      </c>
      <c r="J87" s="12">
        <f>Table14[[#This Row],[Enrolment S.Y. 2025-2026 ]]*8</f>
        <v>6928</v>
      </c>
      <c r="K87" s="12"/>
      <c r="L87" s="10"/>
      <c r="M87" s="12"/>
      <c r="N87" s="12">
        <f t="shared" si="24"/>
        <v>6928</v>
      </c>
      <c r="O87" s="12">
        <f t="shared" si="25"/>
        <v>0</v>
      </c>
      <c r="P87" s="12">
        <f>Table14[[#This Row],[Enrolment S.Y. 2025-2026 ]]*8</f>
        <v>6928</v>
      </c>
      <c r="Q87" s="12"/>
      <c r="R87" s="10"/>
      <c r="S87" s="12"/>
      <c r="T87" s="12">
        <f t="shared" si="16"/>
        <v>6928</v>
      </c>
      <c r="U87" s="12">
        <f t="shared" si="17"/>
        <v>0</v>
      </c>
      <c r="V87" s="12">
        <f>Table14[[#This Row],[Enrolment S.Y. 2025-2026 ]]*8</f>
        <v>6928</v>
      </c>
      <c r="W87" s="12"/>
      <c r="X87" s="10"/>
      <c r="Y87" s="12"/>
      <c r="Z87" s="12">
        <f t="shared" si="18"/>
        <v>6928</v>
      </c>
      <c r="AA87" s="12">
        <f t="shared" si="19"/>
        <v>0</v>
      </c>
    </row>
    <row r="88" spans="1:27" ht="19.5">
      <c r="A88" s="38">
        <v>8</v>
      </c>
      <c r="B88" s="11" t="s">
        <v>93</v>
      </c>
      <c r="C88" s="12">
        <v>866</v>
      </c>
      <c r="D88" s="12">
        <f>Table14[[#This Row],[Enrolment S.Y. 2025-2026 ]]*8</f>
        <v>6928</v>
      </c>
      <c r="E88" s="12"/>
      <c r="F88" s="10"/>
      <c r="G88" s="12"/>
      <c r="H88" s="12">
        <f>IF((D88-E88)&lt;0,0,(D88-E88))</f>
        <v>6928</v>
      </c>
      <c r="I88" s="12">
        <f>IF((E88-D88)&lt;0,0,(E88-D88))</f>
        <v>0</v>
      </c>
      <c r="J88" s="12">
        <f>Table14[[#This Row],[Enrolment S.Y. 2025-2026 ]]*8</f>
        <v>6928</v>
      </c>
      <c r="K88" s="12"/>
      <c r="L88" s="10"/>
      <c r="M88" s="12"/>
      <c r="N88" s="12">
        <f t="shared" si="24"/>
        <v>6928</v>
      </c>
      <c r="O88" s="12">
        <f t="shared" si="25"/>
        <v>0</v>
      </c>
      <c r="P88" s="12">
        <f>Table14[[#This Row],[Enrolment S.Y. 2025-2026 ]]*8</f>
        <v>6928</v>
      </c>
      <c r="Q88" s="12"/>
      <c r="R88" s="10"/>
      <c r="S88" s="12"/>
      <c r="T88" s="12">
        <f>IF((P88-Q88)&lt;0,0,(P88-Q88))</f>
        <v>6928</v>
      </c>
      <c r="U88" s="12">
        <f>IF((Q88-P88)&lt;0,0,(Q88-P88))</f>
        <v>0</v>
      </c>
      <c r="V88" s="12">
        <f>Table14[[#This Row],[Enrolment S.Y. 2025-2026 ]]*8</f>
        <v>6928</v>
      </c>
      <c r="W88" s="12"/>
      <c r="X88" s="10"/>
      <c r="Y88" s="12"/>
      <c r="Z88" s="12">
        <f>IF((V88-W88)&lt;0,0,(V88-W88))</f>
        <v>6928</v>
      </c>
      <c r="AA88" s="12">
        <f>IF((W88-V88)&lt;0,0,(W88-V88))</f>
        <v>0</v>
      </c>
    </row>
    <row r="89" spans="1:27" ht="19.5">
      <c r="A89" s="10">
        <v>8</v>
      </c>
      <c r="B89" s="11" t="s">
        <v>94</v>
      </c>
      <c r="C89" s="10">
        <v>866</v>
      </c>
      <c r="D89" s="12">
        <f>Table14[[#This Row],[Enrolment S.Y. 2025-2026 ]]*8</f>
        <v>6928</v>
      </c>
      <c r="E89" s="12"/>
      <c r="F89" s="10"/>
      <c r="G89" s="12"/>
      <c r="H89" s="12">
        <f t="shared" si="22"/>
        <v>6928</v>
      </c>
      <c r="I89" s="12">
        <f t="shared" si="23"/>
        <v>0</v>
      </c>
      <c r="J89" s="12">
        <f>Table14[[#This Row],[Enrolment S.Y. 2025-2026 ]]*8</f>
        <v>6928</v>
      </c>
      <c r="K89" s="12"/>
      <c r="L89" s="10"/>
      <c r="M89" s="12"/>
      <c r="N89" s="12">
        <f t="shared" si="24"/>
        <v>6928</v>
      </c>
      <c r="O89" s="12">
        <f t="shared" si="25"/>
        <v>0</v>
      </c>
      <c r="P89" s="12">
        <f>Table14[[#This Row],[Enrolment S.Y. 2025-2026 ]]*8</f>
        <v>6928</v>
      </c>
      <c r="Q89" s="12"/>
      <c r="R89" s="10"/>
      <c r="S89" s="12"/>
      <c r="T89" s="12">
        <f t="shared" si="16"/>
        <v>6928</v>
      </c>
      <c r="U89" s="12">
        <f t="shared" si="17"/>
        <v>0</v>
      </c>
      <c r="V89" s="12">
        <f>Table14[[#This Row],[Enrolment S.Y. 2025-2026 ]]*8</f>
        <v>6928</v>
      </c>
      <c r="W89" s="12"/>
      <c r="X89" s="10"/>
      <c r="Y89" s="12"/>
      <c r="Z89" s="12">
        <f t="shared" si="18"/>
        <v>6928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17</v>
      </c>
      <c r="C91" s="10">
        <v>686</v>
      </c>
      <c r="D91" s="12">
        <f>Table14[[#This Row],[Enrolment S.Y. 2025-2026 ]]*8</f>
        <v>5488</v>
      </c>
      <c r="E91" s="12"/>
      <c r="F91" s="10"/>
      <c r="G91" s="12"/>
      <c r="H91" s="12">
        <f t="shared" si="22"/>
        <v>5488</v>
      </c>
      <c r="I91" s="12">
        <f t="shared" si="23"/>
        <v>0</v>
      </c>
      <c r="J91" s="12">
        <f>Table14[[#This Row],[Enrolment S.Y. 2025-2026 ]]*8</f>
        <v>5488</v>
      </c>
      <c r="K91" s="12"/>
      <c r="L91" s="10"/>
      <c r="M91" s="12"/>
      <c r="N91" s="12">
        <f t="shared" si="20"/>
        <v>5488</v>
      </c>
      <c r="O91" s="12">
        <f t="shared" si="21"/>
        <v>0</v>
      </c>
      <c r="P91" s="12">
        <f>Table14[[#This Row],[Enrolment S.Y. 2025-2026 ]]*8</f>
        <v>5488</v>
      </c>
      <c r="Q91" s="12"/>
      <c r="R91" s="10"/>
      <c r="S91" s="12"/>
      <c r="T91" s="12">
        <f t="shared" si="16"/>
        <v>5488</v>
      </c>
      <c r="U91" s="12">
        <f t="shared" si="17"/>
        <v>0</v>
      </c>
      <c r="V91" s="12">
        <f>Table14[[#This Row],[Enrolment S.Y. 2025-2026 ]]*8</f>
        <v>5488</v>
      </c>
      <c r="W91" s="12"/>
      <c r="X91" s="10"/>
      <c r="Y91" s="12"/>
      <c r="Z91" s="12">
        <f t="shared" si="18"/>
        <v>5488</v>
      </c>
      <c r="AA91" s="12">
        <f t="shared" si="19"/>
        <v>0</v>
      </c>
    </row>
    <row r="92" spans="1:27" ht="19.5">
      <c r="A92" s="10">
        <v>9</v>
      </c>
      <c r="B92" s="11" t="s">
        <v>18</v>
      </c>
      <c r="C92" s="10">
        <v>686</v>
      </c>
      <c r="D92" s="12">
        <f>Table14[[#This Row],[Enrolment S.Y. 2025-2026 ]]*8</f>
        <v>5488</v>
      </c>
      <c r="E92" s="12"/>
      <c r="F92" s="10"/>
      <c r="G92" s="12"/>
      <c r="H92" s="12">
        <f t="shared" si="22"/>
        <v>5488</v>
      </c>
      <c r="I92" s="12">
        <f t="shared" si="23"/>
        <v>0</v>
      </c>
      <c r="J92" s="12">
        <f>Table14[[#This Row],[Enrolment S.Y. 2025-2026 ]]*8</f>
        <v>5488</v>
      </c>
      <c r="K92" s="12"/>
      <c r="L92" s="10"/>
      <c r="M92" s="12"/>
      <c r="N92" s="12">
        <f t="shared" si="20"/>
        <v>5488</v>
      </c>
      <c r="O92" s="12">
        <f t="shared" si="21"/>
        <v>0</v>
      </c>
      <c r="P92" s="12">
        <f>Table14[[#This Row],[Enrolment S.Y. 2025-2026 ]]*8</f>
        <v>5488</v>
      </c>
      <c r="Q92" s="12"/>
      <c r="R92" s="10"/>
      <c r="S92" s="12"/>
      <c r="T92" s="12">
        <f t="shared" si="16"/>
        <v>5488</v>
      </c>
      <c r="U92" s="12">
        <f t="shared" si="17"/>
        <v>0</v>
      </c>
      <c r="V92" s="12">
        <f>Table14[[#This Row],[Enrolment S.Y. 2025-2026 ]]*8</f>
        <v>5488</v>
      </c>
      <c r="W92" s="12"/>
      <c r="X92" s="10"/>
      <c r="Y92" s="12"/>
      <c r="Z92" s="12">
        <f t="shared" si="18"/>
        <v>5488</v>
      </c>
      <c r="AA92" s="12">
        <f t="shared" si="19"/>
        <v>0</v>
      </c>
    </row>
    <row r="93" spans="1:27" ht="19.5">
      <c r="A93" s="10">
        <v>9</v>
      </c>
      <c r="B93" s="11" t="s">
        <v>15</v>
      </c>
      <c r="C93" s="10">
        <v>686</v>
      </c>
      <c r="D93" s="12">
        <f>Table14[[#This Row],[Enrolment S.Y. 2025-2026 ]]*8</f>
        <v>5488</v>
      </c>
      <c r="E93" s="12"/>
      <c r="F93" s="10"/>
      <c r="G93" s="12"/>
      <c r="H93" s="12">
        <f t="shared" si="22"/>
        <v>5488</v>
      </c>
      <c r="I93" s="12">
        <f t="shared" si="23"/>
        <v>0</v>
      </c>
      <c r="J93" s="12">
        <f>Table14[[#This Row],[Enrolment S.Y. 2025-2026 ]]*8</f>
        <v>5488</v>
      </c>
      <c r="K93" s="12"/>
      <c r="L93" s="10"/>
      <c r="M93" s="12"/>
      <c r="N93" s="12">
        <f t="shared" si="20"/>
        <v>5488</v>
      </c>
      <c r="O93" s="12">
        <f t="shared" si="21"/>
        <v>0</v>
      </c>
      <c r="P93" s="12">
        <f>Table14[[#This Row],[Enrolment S.Y. 2025-2026 ]]*8</f>
        <v>5488</v>
      </c>
      <c r="Q93" s="12"/>
      <c r="R93" s="10"/>
      <c r="S93" s="12"/>
      <c r="T93" s="12">
        <f t="shared" si="16"/>
        <v>5488</v>
      </c>
      <c r="U93" s="12">
        <f t="shared" si="17"/>
        <v>0</v>
      </c>
      <c r="V93" s="12">
        <f>Table14[[#This Row],[Enrolment S.Y. 2025-2026 ]]*8</f>
        <v>5488</v>
      </c>
      <c r="W93" s="12"/>
      <c r="X93" s="10"/>
      <c r="Y93" s="12"/>
      <c r="Z93" s="12">
        <f t="shared" si="18"/>
        <v>5488</v>
      </c>
      <c r="AA93" s="12">
        <f t="shared" si="19"/>
        <v>0</v>
      </c>
    </row>
    <row r="94" spans="1:27" ht="19.5">
      <c r="A94" s="10">
        <v>9</v>
      </c>
      <c r="B94" s="11" t="s">
        <v>24</v>
      </c>
      <c r="C94" s="10">
        <v>686</v>
      </c>
      <c r="D94" s="12">
        <f>Table14[[#This Row],[Enrolment S.Y. 2025-2026 ]]*8</f>
        <v>5488</v>
      </c>
      <c r="E94" s="12"/>
      <c r="F94" s="10"/>
      <c r="G94" s="12"/>
      <c r="H94" s="12">
        <f t="shared" si="22"/>
        <v>5488</v>
      </c>
      <c r="I94" s="12">
        <f t="shared" si="23"/>
        <v>0</v>
      </c>
      <c r="J94" s="12">
        <f>Table14[[#This Row],[Enrolment S.Y. 2025-2026 ]]*8</f>
        <v>5488</v>
      </c>
      <c r="K94" s="12"/>
      <c r="L94" s="10"/>
      <c r="M94" s="12"/>
      <c r="N94" s="12">
        <f t="shared" si="20"/>
        <v>5488</v>
      </c>
      <c r="O94" s="12">
        <f t="shared" si="21"/>
        <v>0</v>
      </c>
      <c r="P94" s="12">
        <f>Table14[[#This Row],[Enrolment S.Y. 2025-2026 ]]*8</f>
        <v>5488</v>
      </c>
      <c r="Q94" s="12"/>
      <c r="R94" s="10"/>
      <c r="S94" s="12"/>
      <c r="T94" s="12">
        <f t="shared" si="16"/>
        <v>5488</v>
      </c>
      <c r="U94" s="12">
        <f t="shared" si="17"/>
        <v>0</v>
      </c>
      <c r="V94" s="12">
        <f>Table14[[#This Row],[Enrolment S.Y. 2025-2026 ]]*8</f>
        <v>5488</v>
      </c>
      <c r="W94" s="12"/>
      <c r="X94" s="10"/>
      <c r="Y94" s="12"/>
      <c r="Z94" s="12">
        <f t="shared" si="18"/>
        <v>5488</v>
      </c>
      <c r="AA94" s="12">
        <f t="shared" si="19"/>
        <v>0</v>
      </c>
    </row>
    <row r="95" spans="1:27" ht="19.5">
      <c r="A95" s="10">
        <v>9</v>
      </c>
      <c r="B95" s="11" t="s">
        <v>26</v>
      </c>
      <c r="C95" s="10">
        <v>686</v>
      </c>
      <c r="D95" s="12">
        <f>Table14[[#This Row],[Enrolment S.Y. 2025-2026 ]]*8</f>
        <v>5488</v>
      </c>
      <c r="E95" s="12"/>
      <c r="F95" s="10"/>
      <c r="G95" s="12"/>
      <c r="H95" s="12">
        <f t="shared" si="22"/>
        <v>5488</v>
      </c>
      <c r="I95" s="12">
        <f t="shared" si="23"/>
        <v>0</v>
      </c>
      <c r="J95" s="12">
        <f>Table14[[#This Row],[Enrolment S.Y. 2025-2026 ]]*8</f>
        <v>5488</v>
      </c>
      <c r="K95" s="12"/>
      <c r="L95" s="10"/>
      <c r="M95" s="12"/>
      <c r="N95" s="12">
        <f t="shared" si="20"/>
        <v>5488</v>
      </c>
      <c r="O95" s="12">
        <f t="shared" si="21"/>
        <v>0</v>
      </c>
      <c r="P95" s="12">
        <f>Table14[[#This Row],[Enrolment S.Y. 2025-2026 ]]*8</f>
        <v>5488</v>
      </c>
      <c r="Q95" s="12"/>
      <c r="R95" s="10"/>
      <c r="S95" s="12"/>
      <c r="T95" s="12">
        <f t="shared" si="16"/>
        <v>5488</v>
      </c>
      <c r="U95" s="12">
        <f t="shared" si="17"/>
        <v>0</v>
      </c>
      <c r="V95" s="12">
        <f>Table14[[#This Row],[Enrolment S.Y. 2025-2026 ]]*8</f>
        <v>5488</v>
      </c>
      <c r="W95" s="12"/>
      <c r="X95" s="10"/>
      <c r="Y95" s="12"/>
      <c r="Z95" s="12">
        <f t="shared" si="18"/>
        <v>5488</v>
      </c>
      <c r="AA95" s="12">
        <f t="shared" si="19"/>
        <v>0</v>
      </c>
    </row>
    <row r="96" spans="1:27" ht="19.5">
      <c r="A96" s="10">
        <v>9</v>
      </c>
      <c r="B96" s="11" t="s">
        <v>16</v>
      </c>
      <c r="C96" s="10">
        <v>686</v>
      </c>
      <c r="D96" s="12">
        <f>Table14[[#This Row],[Enrolment S.Y. 2025-2026 ]]*8</f>
        <v>5488</v>
      </c>
      <c r="E96" s="12"/>
      <c r="F96" s="10"/>
      <c r="G96" s="12"/>
      <c r="H96" s="12">
        <f t="shared" si="22"/>
        <v>5488</v>
      </c>
      <c r="I96" s="12">
        <f t="shared" si="23"/>
        <v>0</v>
      </c>
      <c r="J96" s="12">
        <f>Table14[[#This Row],[Enrolment S.Y. 2025-2026 ]]*8</f>
        <v>5488</v>
      </c>
      <c r="K96" s="12"/>
      <c r="L96" s="10"/>
      <c r="M96" s="12"/>
      <c r="N96" s="12">
        <f t="shared" si="20"/>
        <v>5488</v>
      </c>
      <c r="O96" s="12">
        <f t="shared" si="21"/>
        <v>0</v>
      </c>
      <c r="P96" s="12">
        <f>Table14[[#This Row],[Enrolment S.Y. 2025-2026 ]]*8</f>
        <v>5488</v>
      </c>
      <c r="Q96" s="12"/>
      <c r="R96" s="10"/>
      <c r="S96" s="12"/>
      <c r="T96" s="12">
        <f t="shared" si="16"/>
        <v>5488</v>
      </c>
      <c r="U96" s="12">
        <f t="shared" si="17"/>
        <v>0</v>
      </c>
      <c r="V96" s="12">
        <f>Table14[[#This Row],[Enrolment S.Y. 2025-2026 ]]*8</f>
        <v>5488</v>
      </c>
      <c r="W96" s="12"/>
      <c r="X96" s="10"/>
      <c r="Y96" s="12"/>
      <c r="Z96" s="12">
        <f t="shared" si="18"/>
        <v>5488</v>
      </c>
      <c r="AA96" s="12">
        <f t="shared" si="19"/>
        <v>0</v>
      </c>
    </row>
    <row r="97" spans="1:27" ht="19.5">
      <c r="A97" s="38">
        <v>9</v>
      </c>
      <c r="B97" s="11" t="s">
        <v>91</v>
      </c>
      <c r="C97" s="10">
        <v>686</v>
      </c>
      <c r="D97" s="12">
        <f>Table14[[#This Row],[Enrolment S.Y. 2025-2026 ]]*8</f>
        <v>5488</v>
      </c>
      <c r="E97" s="12"/>
      <c r="F97" s="10"/>
      <c r="G97" s="12"/>
      <c r="H97" s="12">
        <f>IF((D97-E97)&lt;0,0,(D97-E97))</f>
        <v>5488</v>
      </c>
      <c r="I97" s="12">
        <f>IF((E97-D97)&lt;0,0,(E97-D97))</f>
        <v>0</v>
      </c>
      <c r="J97" s="12">
        <f>Table14[[#This Row],[Enrolment S.Y. 2025-2026 ]]*8</f>
        <v>5488</v>
      </c>
      <c r="K97" s="12"/>
      <c r="L97" s="10"/>
      <c r="M97" s="12"/>
      <c r="N97" s="12">
        <f t="shared" ref="N97:N101" si="26">IF((J97-K97)&lt;0,0,(J97-K97))</f>
        <v>5488</v>
      </c>
      <c r="O97" s="12">
        <f t="shared" ref="O97:O101" si="27">IF((K97-J97)&lt;0,0,(K97-J97))</f>
        <v>0</v>
      </c>
      <c r="P97" s="12">
        <f>Table14[[#This Row],[Enrolment S.Y. 2025-2026 ]]*8</f>
        <v>5488</v>
      </c>
      <c r="Q97" s="12"/>
      <c r="R97" s="10"/>
      <c r="S97" s="12"/>
      <c r="T97" s="12">
        <f>IF((P97-Q97)&lt;0,0,(P97-Q97))</f>
        <v>5488</v>
      </c>
      <c r="U97" s="12">
        <f>IF((Q97-P97)&lt;0,0,(Q97-P97))</f>
        <v>0</v>
      </c>
      <c r="V97" s="12">
        <f>Table14[[#This Row],[Enrolment S.Y. 2025-2026 ]]*8</f>
        <v>5488</v>
      </c>
      <c r="W97" s="12"/>
      <c r="X97" s="10"/>
      <c r="Y97" s="12"/>
      <c r="Z97" s="12">
        <f>IF((V97-W97)&lt;0,0,(V97-W97))</f>
        <v>5488</v>
      </c>
      <c r="AA97" s="12">
        <f>IF((W97-V97)&lt;0,0,(W97-V97))</f>
        <v>0</v>
      </c>
    </row>
    <row r="98" spans="1:27" ht="19.5">
      <c r="A98" s="10">
        <v>9</v>
      </c>
      <c r="B98" s="11" t="s">
        <v>92</v>
      </c>
      <c r="C98" s="10">
        <v>686</v>
      </c>
      <c r="D98" s="12">
        <f>Table14[[#This Row],[Enrolment S.Y. 2025-2026 ]]*8</f>
        <v>5488</v>
      </c>
      <c r="E98" s="12"/>
      <c r="F98" s="10"/>
      <c r="G98" s="12"/>
      <c r="H98" s="12">
        <f t="shared" si="22"/>
        <v>5488</v>
      </c>
      <c r="I98" s="12">
        <f t="shared" si="23"/>
        <v>0</v>
      </c>
      <c r="J98" s="12">
        <f>Table14[[#This Row],[Enrolment S.Y. 2025-2026 ]]*8</f>
        <v>5488</v>
      </c>
      <c r="K98" s="12"/>
      <c r="L98" s="10"/>
      <c r="M98" s="12"/>
      <c r="N98" s="12">
        <f t="shared" si="26"/>
        <v>5488</v>
      </c>
      <c r="O98" s="12">
        <f t="shared" si="27"/>
        <v>0</v>
      </c>
      <c r="P98" s="12">
        <f>Table14[[#This Row],[Enrolment S.Y. 2025-2026 ]]*8</f>
        <v>5488</v>
      </c>
      <c r="Q98" s="12"/>
      <c r="R98" s="10"/>
      <c r="S98" s="12"/>
      <c r="T98" s="12">
        <f t="shared" si="16"/>
        <v>5488</v>
      </c>
      <c r="U98" s="12">
        <f t="shared" si="17"/>
        <v>0</v>
      </c>
      <c r="V98" s="12">
        <f>Table14[[#This Row],[Enrolment S.Y. 2025-2026 ]]*8</f>
        <v>5488</v>
      </c>
      <c r="W98" s="12"/>
      <c r="X98" s="10"/>
      <c r="Y98" s="12"/>
      <c r="Z98" s="12">
        <f t="shared" si="18"/>
        <v>5488</v>
      </c>
      <c r="AA98" s="12">
        <f t="shared" si="19"/>
        <v>0</v>
      </c>
    </row>
    <row r="99" spans="1:27" ht="19.5">
      <c r="A99" s="10">
        <v>9</v>
      </c>
      <c r="B99" s="11" t="s">
        <v>25</v>
      </c>
      <c r="C99" s="10">
        <v>686</v>
      </c>
      <c r="D99" s="12">
        <f>Table14[[#This Row],[Enrolment S.Y. 2025-2026 ]]*8</f>
        <v>5488</v>
      </c>
      <c r="E99" s="12"/>
      <c r="F99" s="10"/>
      <c r="G99" s="12"/>
      <c r="H99" s="12">
        <f t="shared" si="22"/>
        <v>5488</v>
      </c>
      <c r="I99" s="12">
        <f t="shared" si="23"/>
        <v>0</v>
      </c>
      <c r="J99" s="12">
        <f>Table14[[#This Row],[Enrolment S.Y. 2025-2026 ]]*8</f>
        <v>5488</v>
      </c>
      <c r="K99" s="12"/>
      <c r="L99" s="10"/>
      <c r="M99" s="12"/>
      <c r="N99" s="12">
        <f t="shared" si="26"/>
        <v>5488</v>
      </c>
      <c r="O99" s="12">
        <f t="shared" si="27"/>
        <v>0</v>
      </c>
      <c r="P99" s="12">
        <f>Table14[[#This Row],[Enrolment S.Y. 2025-2026 ]]*8</f>
        <v>5488</v>
      </c>
      <c r="Q99" s="12"/>
      <c r="R99" s="10"/>
      <c r="S99" s="12"/>
      <c r="T99" s="12">
        <f t="shared" si="16"/>
        <v>5488</v>
      </c>
      <c r="U99" s="12">
        <f t="shared" si="17"/>
        <v>0</v>
      </c>
      <c r="V99" s="12">
        <f>Table14[[#This Row],[Enrolment S.Y. 2025-2026 ]]*8</f>
        <v>5488</v>
      </c>
      <c r="W99" s="12"/>
      <c r="X99" s="10"/>
      <c r="Y99" s="12"/>
      <c r="Z99" s="12">
        <f t="shared" si="18"/>
        <v>5488</v>
      </c>
      <c r="AA99" s="12">
        <f t="shared" si="19"/>
        <v>0</v>
      </c>
    </row>
    <row r="100" spans="1:27" ht="19.5">
      <c r="A100" s="38">
        <v>9</v>
      </c>
      <c r="B100" s="11" t="s">
        <v>93</v>
      </c>
      <c r="C100" s="10">
        <v>686</v>
      </c>
      <c r="D100" s="12">
        <f>Table14[[#This Row],[Enrolment S.Y. 2025-2026 ]]*8</f>
        <v>5488</v>
      </c>
      <c r="E100" s="12"/>
      <c r="F100" s="10"/>
      <c r="G100" s="12"/>
      <c r="H100" s="12">
        <f>IF((D100-E100)&lt;0,0,(D100-E100))</f>
        <v>5488</v>
      </c>
      <c r="I100" s="12">
        <f>IF((E100-D100)&lt;0,0,(E100-D100))</f>
        <v>0</v>
      </c>
      <c r="J100" s="12">
        <f>Table14[[#This Row],[Enrolment S.Y. 2025-2026 ]]*8</f>
        <v>5488</v>
      </c>
      <c r="K100" s="12"/>
      <c r="L100" s="10"/>
      <c r="M100" s="12"/>
      <c r="N100" s="12">
        <f t="shared" si="26"/>
        <v>5488</v>
      </c>
      <c r="O100" s="12">
        <f t="shared" si="27"/>
        <v>0</v>
      </c>
      <c r="P100" s="12">
        <f>Table14[[#This Row],[Enrolment S.Y. 2025-2026 ]]*8</f>
        <v>5488</v>
      </c>
      <c r="Q100" s="12"/>
      <c r="R100" s="10"/>
      <c r="S100" s="12"/>
      <c r="T100" s="12">
        <f>IF((P100-Q100)&lt;0,0,(P100-Q100))</f>
        <v>5488</v>
      </c>
      <c r="U100" s="12">
        <f>IF((Q100-P100)&lt;0,0,(Q100-P100))</f>
        <v>0</v>
      </c>
      <c r="V100" s="12">
        <f>Table14[[#This Row],[Enrolment S.Y. 2025-2026 ]]*8</f>
        <v>5488</v>
      </c>
      <c r="W100" s="12"/>
      <c r="X100" s="10"/>
      <c r="Y100" s="12"/>
      <c r="Z100" s="12">
        <f>IF((V100-W100)&lt;0,0,(V100-W100))</f>
        <v>5488</v>
      </c>
      <c r="AA100" s="12">
        <f>IF((W100-V100)&lt;0,0,(W100-V100))</f>
        <v>0</v>
      </c>
    </row>
    <row r="101" spans="1:27" ht="19.5">
      <c r="A101" s="10">
        <v>9</v>
      </c>
      <c r="B101" s="11" t="s">
        <v>94</v>
      </c>
      <c r="C101" s="10">
        <v>686</v>
      </c>
      <c r="D101" s="12">
        <f>Table14[[#This Row],[Enrolment S.Y. 2025-2026 ]]*8</f>
        <v>5488</v>
      </c>
      <c r="E101" s="12"/>
      <c r="F101" s="10"/>
      <c r="G101" s="12"/>
      <c r="H101" s="12">
        <f t="shared" si="22"/>
        <v>5488</v>
      </c>
      <c r="I101" s="12">
        <f t="shared" si="23"/>
        <v>0</v>
      </c>
      <c r="J101" s="12">
        <f>Table14[[#This Row],[Enrolment S.Y. 2025-2026 ]]*8</f>
        <v>5488</v>
      </c>
      <c r="K101" s="12"/>
      <c r="L101" s="10"/>
      <c r="M101" s="12"/>
      <c r="N101" s="12">
        <f t="shared" si="26"/>
        <v>5488</v>
      </c>
      <c r="O101" s="12">
        <f t="shared" si="27"/>
        <v>0</v>
      </c>
      <c r="P101" s="12">
        <f>Table14[[#This Row],[Enrolment S.Y. 2025-2026 ]]*8</f>
        <v>5488</v>
      </c>
      <c r="Q101" s="12"/>
      <c r="R101" s="10"/>
      <c r="S101" s="12"/>
      <c r="T101" s="12">
        <f t="shared" si="16"/>
        <v>5488</v>
      </c>
      <c r="U101" s="12">
        <f t="shared" si="17"/>
        <v>0</v>
      </c>
      <c r="V101" s="12">
        <f>Table14[[#This Row],[Enrolment S.Y. 2025-2026 ]]*8</f>
        <v>5488</v>
      </c>
      <c r="W101" s="12"/>
      <c r="X101" s="10"/>
      <c r="Y101" s="12"/>
      <c r="Z101" s="12">
        <f t="shared" si="18"/>
        <v>5488</v>
      </c>
      <c r="AA101" s="12">
        <f t="shared" si="19"/>
        <v>0</v>
      </c>
    </row>
    <row r="102" spans="1:27" s="7" customFormat="1" ht="15"/>
    <row r="103" spans="1:27" ht="19.5">
      <c r="A103" s="10">
        <v>10</v>
      </c>
      <c r="B103" s="11" t="s">
        <v>17</v>
      </c>
      <c r="C103" s="10">
        <v>721</v>
      </c>
      <c r="D103" s="12">
        <f>Table14[[#This Row],[Enrolment S.Y. 2025-2026 ]]*8</f>
        <v>5768</v>
      </c>
      <c r="E103" s="12"/>
      <c r="F103" s="10"/>
      <c r="G103" s="12"/>
      <c r="H103" s="12">
        <f t="shared" si="22"/>
        <v>5768</v>
      </c>
      <c r="I103" s="12">
        <f t="shared" si="23"/>
        <v>0</v>
      </c>
      <c r="J103" s="12">
        <f>Table14[[#This Row],[Enrolment S.Y. 2025-2026 ]]*8</f>
        <v>5768</v>
      </c>
      <c r="K103" s="12"/>
      <c r="L103" s="10"/>
      <c r="M103" s="12"/>
      <c r="N103" s="12">
        <f t="shared" si="20"/>
        <v>5768</v>
      </c>
      <c r="O103" s="12">
        <f t="shared" si="21"/>
        <v>0</v>
      </c>
      <c r="P103" s="12">
        <f>Table14[[#This Row],[Enrolment S.Y. 2025-2026 ]]*8</f>
        <v>5768</v>
      </c>
      <c r="Q103" s="12"/>
      <c r="R103" s="10"/>
      <c r="S103" s="12"/>
      <c r="T103" s="12">
        <f t="shared" si="16"/>
        <v>5768</v>
      </c>
      <c r="U103" s="12">
        <f t="shared" si="17"/>
        <v>0</v>
      </c>
      <c r="V103" s="12">
        <f>Table14[[#This Row],[Enrolment S.Y. 2025-2026 ]]*8</f>
        <v>5768</v>
      </c>
      <c r="W103" s="12"/>
      <c r="X103" s="10"/>
      <c r="Y103" s="12"/>
      <c r="Z103" s="12">
        <f t="shared" si="18"/>
        <v>5768</v>
      </c>
      <c r="AA103" s="12">
        <f t="shared" si="19"/>
        <v>0</v>
      </c>
    </row>
    <row r="104" spans="1:27" ht="19.5">
      <c r="A104" s="10">
        <v>10</v>
      </c>
      <c r="B104" s="11" t="s">
        <v>18</v>
      </c>
      <c r="C104" s="10">
        <v>721</v>
      </c>
      <c r="D104" s="12">
        <f>Table14[[#This Row],[Enrolment S.Y. 2025-2026 ]]*8</f>
        <v>5768</v>
      </c>
      <c r="E104" s="12"/>
      <c r="F104" s="10"/>
      <c r="G104" s="12"/>
      <c r="H104" s="12">
        <f t="shared" si="22"/>
        <v>5768</v>
      </c>
      <c r="I104" s="12">
        <f t="shared" si="23"/>
        <v>0</v>
      </c>
      <c r="J104" s="12">
        <f>Table14[[#This Row],[Enrolment S.Y. 2025-2026 ]]*8</f>
        <v>5768</v>
      </c>
      <c r="K104" s="12"/>
      <c r="L104" s="10"/>
      <c r="M104" s="12"/>
      <c r="N104" s="12">
        <f t="shared" si="20"/>
        <v>5768</v>
      </c>
      <c r="O104" s="12">
        <f t="shared" si="21"/>
        <v>0</v>
      </c>
      <c r="P104" s="12">
        <f>Table14[[#This Row],[Enrolment S.Y. 2025-2026 ]]*8</f>
        <v>5768</v>
      </c>
      <c r="Q104" s="12"/>
      <c r="R104" s="10"/>
      <c r="S104" s="12"/>
      <c r="T104" s="12">
        <f t="shared" si="16"/>
        <v>5768</v>
      </c>
      <c r="U104" s="12">
        <f t="shared" si="17"/>
        <v>0</v>
      </c>
      <c r="V104" s="12">
        <f>Table14[[#This Row],[Enrolment S.Y. 2025-2026 ]]*8</f>
        <v>5768</v>
      </c>
      <c r="W104" s="12"/>
      <c r="X104" s="10"/>
      <c r="Y104" s="12"/>
      <c r="Z104" s="12">
        <f t="shared" si="18"/>
        <v>5768</v>
      </c>
      <c r="AA104" s="12">
        <f t="shared" si="19"/>
        <v>0</v>
      </c>
    </row>
    <row r="105" spans="1:27" ht="19.5">
      <c r="A105" s="10">
        <v>10</v>
      </c>
      <c r="B105" s="11" t="s">
        <v>15</v>
      </c>
      <c r="C105" s="10">
        <v>721</v>
      </c>
      <c r="D105" s="12">
        <f>Table14[[#This Row],[Enrolment S.Y. 2025-2026 ]]*8</f>
        <v>5768</v>
      </c>
      <c r="E105" s="12"/>
      <c r="F105" s="10"/>
      <c r="G105" s="12"/>
      <c r="H105" s="12">
        <f t="shared" si="22"/>
        <v>5768</v>
      </c>
      <c r="I105" s="12">
        <f t="shared" si="23"/>
        <v>0</v>
      </c>
      <c r="J105" s="12">
        <f>Table14[[#This Row],[Enrolment S.Y. 2025-2026 ]]*8</f>
        <v>5768</v>
      </c>
      <c r="K105" s="12"/>
      <c r="L105" s="10"/>
      <c r="M105" s="12"/>
      <c r="N105" s="12">
        <f t="shared" si="20"/>
        <v>5768</v>
      </c>
      <c r="O105" s="12">
        <f t="shared" si="21"/>
        <v>0</v>
      </c>
      <c r="P105" s="12">
        <f>Table14[[#This Row],[Enrolment S.Y. 2025-2026 ]]*8</f>
        <v>5768</v>
      </c>
      <c r="Q105" s="12"/>
      <c r="R105" s="10"/>
      <c r="S105" s="12"/>
      <c r="T105" s="12">
        <f t="shared" si="16"/>
        <v>5768</v>
      </c>
      <c r="U105" s="12">
        <f t="shared" si="17"/>
        <v>0</v>
      </c>
      <c r="V105" s="12">
        <f>Table14[[#This Row],[Enrolment S.Y. 2025-2026 ]]*8</f>
        <v>5768</v>
      </c>
      <c r="W105" s="12"/>
      <c r="X105" s="10"/>
      <c r="Y105" s="12"/>
      <c r="Z105" s="12">
        <f t="shared" si="18"/>
        <v>5768</v>
      </c>
      <c r="AA105" s="12">
        <f t="shared" si="19"/>
        <v>0</v>
      </c>
    </row>
    <row r="106" spans="1:27" ht="19.5">
      <c r="A106" s="10">
        <v>10</v>
      </c>
      <c r="B106" s="11" t="s">
        <v>24</v>
      </c>
      <c r="C106" s="10">
        <v>721</v>
      </c>
      <c r="D106" s="12">
        <f>Table14[[#This Row],[Enrolment S.Y. 2025-2026 ]]*8</f>
        <v>5768</v>
      </c>
      <c r="E106" s="12"/>
      <c r="F106" s="10"/>
      <c r="G106" s="12"/>
      <c r="H106" s="12">
        <f t="shared" si="22"/>
        <v>5768</v>
      </c>
      <c r="I106" s="12">
        <f t="shared" si="23"/>
        <v>0</v>
      </c>
      <c r="J106" s="12">
        <f>Table14[[#This Row],[Enrolment S.Y. 2025-2026 ]]*8</f>
        <v>5768</v>
      </c>
      <c r="K106" s="12"/>
      <c r="L106" s="10"/>
      <c r="M106" s="12"/>
      <c r="N106" s="12">
        <f t="shared" si="20"/>
        <v>5768</v>
      </c>
      <c r="O106" s="12">
        <f t="shared" si="21"/>
        <v>0</v>
      </c>
      <c r="P106" s="12">
        <f>Table14[[#This Row],[Enrolment S.Y. 2025-2026 ]]*8</f>
        <v>5768</v>
      </c>
      <c r="Q106" s="12"/>
      <c r="R106" s="10"/>
      <c r="S106" s="12"/>
      <c r="T106" s="12">
        <f t="shared" si="16"/>
        <v>5768</v>
      </c>
      <c r="U106" s="12">
        <f t="shared" si="17"/>
        <v>0</v>
      </c>
      <c r="V106" s="12">
        <f>Table14[[#This Row],[Enrolment S.Y. 2025-2026 ]]*8</f>
        <v>5768</v>
      </c>
      <c r="W106" s="12"/>
      <c r="X106" s="10"/>
      <c r="Y106" s="12"/>
      <c r="Z106" s="12">
        <f t="shared" si="18"/>
        <v>5768</v>
      </c>
      <c r="AA106" s="12">
        <f t="shared" si="19"/>
        <v>0</v>
      </c>
    </row>
    <row r="107" spans="1:27" ht="19.5">
      <c r="A107" s="10">
        <v>10</v>
      </c>
      <c r="B107" s="11" t="s">
        <v>26</v>
      </c>
      <c r="C107" s="10">
        <v>721</v>
      </c>
      <c r="D107" s="12">
        <f>Table14[[#This Row],[Enrolment S.Y. 2025-2026 ]]*8</f>
        <v>5768</v>
      </c>
      <c r="E107" s="12"/>
      <c r="F107" s="10"/>
      <c r="G107" s="12"/>
      <c r="H107" s="12">
        <f t="shared" si="22"/>
        <v>5768</v>
      </c>
      <c r="I107" s="12">
        <f t="shared" si="23"/>
        <v>0</v>
      </c>
      <c r="J107" s="12">
        <f>Table14[[#This Row],[Enrolment S.Y. 2025-2026 ]]*8</f>
        <v>5768</v>
      </c>
      <c r="K107" s="12"/>
      <c r="L107" s="10"/>
      <c r="M107" s="12"/>
      <c r="N107" s="12">
        <f t="shared" si="20"/>
        <v>5768</v>
      </c>
      <c r="O107" s="12">
        <f t="shared" si="21"/>
        <v>0</v>
      </c>
      <c r="P107" s="12">
        <f>Table14[[#This Row],[Enrolment S.Y. 2025-2026 ]]*8</f>
        <v>5768</v>
      </c>
      <c r="Q107" s="12"/>
      <c r="R107" s="10"/>
      <c r="S107" s="12"/>
      <c r="T107" s="12">
        <f t="shared" si="16"/>
        <v>5768</v>
      </c>
      <c r="U107" s="12">
        <f t="shared" si="17"/>
        <v>0</v>
      </c>
      <c r="V107" s="12">
        <f>Table14[[#This Row],[Enrolment S.Y. 2025-2026 ]]*8</f>
        <v>5768</v>
      </c>
      <c r="W107" s="12"/>
      <c r="X107" s="10"/>
      <c r="Y107" s="12"/>
      <c r="Z107" s="12">
        <f t="shared" si="18"/>
        <v>5768</v>
      </c>
      <c r="AA107" s="12">
        <f t="shared" si="19"/>
        <v>0</v>
      </c>
    </row>
    <row r="108" spans="1:27" ht="19.5">
      <c r="A108" s="10">
        <v>10</v>
      </c>
      <c r="B108" s="11" t="s">
        <v>16</v>
      </c>
      <c r="C108" s="10">
        <v>721</v>
      </c>
      <c r="D108" s="12">
        <f>Table14[[#This Row],[Enrolment S.Y. 2025-2026 ]]*8</f>
        <v>5768</v>
      </c>
      <c r="E108" s="12"/>
      <c r="F108" s="10"/>
      <c r="G108" s="12"/>
      <c r="H108" s="12">
        <f t="shared" si="22"/>
        <v>5768</v>
      </c>
      <c r="I108" s="12">
        <f t="shared" si="23"/>
        <v>0</v>
      </c>
      <c r="J108" s="12">
        <f>Table14[[#This Row],[Enrolment S.Y. 2025-2026 ]]*8</f>
        <v>5768</v>
      </c>
      <c r="K108" s="12"/>
      <c r="L108" s="10"/>
      <c r="M108" s="12"/>
      <c r="N108" s="12">
        <f t="shared" si="20"/>
        <v>5768</v>
      </c>
      <c r="O108" s="12">
        <f t="shared" si="21"/>
        <v>0</v>
      </c>
      <c r="P108" s="12">
        <f>Table14[[#This Row],[Enrolment S.Y. 2025-2026 ]]*8</f>
        <v>5768</v>
      </c>
      <c r="Q108" s="12"/>
      <c r="R108" s="10"/>
      <c r="S108" s="12"/>
      <c r="T108" s="12">
        <f t="shared" si="16"/>
        <v>5768</v>
      </c>
      <c r="U108" s="12">
        <f t="shared" si="17"/>
        <v>0</v>
      </c>
      <c r="V108" s="12">
        <f>Table14[[#This Row],[Enrolment S.Y. 2025-2026 ]]*8</f>
        <v>5768</v>
      </c>
      <c r="W108" s="12"/>
      <c r="X108" s="10"/>
      <c r="Y108" s="12"/>
      <c r="Z108" s="12">
        <f t="shared" si="18"/>
        <v>5768</v>
      </c>
      <c r="AA108" s="12">
        <f t="shared" si="19"/>
        <v>0</v>
      </c>
    </row>
    <row r="109" spans="1:27" ht="19.5">
      <c r="A109" s="38">
        <v>10</v>
      </c>
      <c r="B109" s="11" t="s">
        <v>91</v>
      </c>
      <c r="C109" s="10">
        <v>721</v>
      </c>
      <c r="D109" s="12">
        <f>Table14[[#This Row],[Enrolment S.Y. 2025-2026 ]]*8</f>
        <v>5768</v>
      </c>
      <c r="E109" s="12"/>
      <c r="F109" s="10"/>
      <c r="G109" s="12"/>
      <c r="H109" s="12">
        <f>IF((D109-E109)&lt;0,0,(D109-E109))</f>
        <v>5768</v>
      </c>
      <c r="I109" s="12">
        <f>IF((E109-D109)&lt;0,0,(E109-D109))</f>
        <v>0</v>
      </c>
      <c r="J109" s="12">
        <f>Table14[[#This Row],[Enrolment S.Y. 2025-2026 ]]*8</f>
        <v>5768</v>
      </c>
      <c r="K109" s="12"/>
      <c r="L109" s="10"/>
      <c r="M109" s="12"/>
      <c r="N109" s="12">
        <f t="shared" ref="N109:N113" si="28">IF((J109-K109)&lt;0,0,(J109-K109))</f>
        <v>5768</v>
      </c>
      <c r="O109" s="12">
        <f t="shared" ref="O109:O113" si="29">IF((K109-J109)&lt;0,0,(K109-J109))</f>
        <v>0</v>
      </c>
      <c r="P109" s="12">
        <f>Table14[[#This Row],[Enrolment S.Y. 2025-2026 ]]*8</f>
        <v>5768</v>
      </c>
      <c r="Q109" s="12"/>
      <c r="R109" s="10"/>
      <c r="S109" s="12"/>
      <c r="T109" s="12">
        <f>IF((P109-Q109)&lt;0,0,(P109-Q109))</f>
        <v>5768</v>
      </c>
      <c r="U109" s="12">
        <f>IF((Q109-P109)&lt;0,0,(Q109-P109))</f>
        <v>0</v>
      </c>
      <c r="V109" s="12">
        <f>Table14[[#This Row],[Enrolment S.Y. 2025-2026 ]]*8</f>
        <v>5768</v>
      </c>
      <c r="W109" s="12"/>
      <c r="X109" s="10"/>
      <c r="Y109" s="12"/>
      <c r="Z109" s="12">
        <f>IF((V109-W109)&lt;0,0,(V109-W109))</f>
        <v>5768</v>
      </c>
      <c r="AA109" s="12">
        <f>IF((W109-V109)&lt;0,0,(W109-V109))</f>
        <v>0</v>
      </c>
    </row>
    <row r="110" spans="1:27" ht="19.5">
      <c r="A110" s="10">
        <v>10</v>
      </c>
      <c r="B110" s="11" t="s">
        <v>92</v>
      </c>
      <c r="C110" s="10">
        <v>721</v>
      </c>
      <c r="D110" s="12">
        <f>Table14[[#This Row],[Enrolment S.Y. 2025-2026 ]]*8</f>
        <v>5768</v>
      </c>
      <c r="E110" s="12"/>
      <c r="F110" s="10"/>
      <c r="G110" s="12"/>
      <c r="H110" s="12">
        <f t="shared" si="22"/>
        <v>5768</v>
      </c>
      <c r="I110" s="12">
        <f t="shared" si="23"/>
        <v>0</v>
      </c>
      <c r="J110" s="12">
        <f>Table14[[#This Row],[Enrolment S.Y. 2025-2026 ]]*8</f>
        <v>5768</v>
      </c>
      <c r="K110" s="12"/>
      <c r="L110" s="10"/>
      <c r="M110" s="12"/>
      <c r="N110" s="12">
        <f t="shared" si="28"/>
        <v>5768</v>
      </c>
      <c r="O110" s="12">
        <f t="shared" si="29"/>
        <v>0</v>
      </c>
      <c r="P110" s="12">
        <f>Table14[[#This Row],[Enrolment S.Y. 2025-2026 ]]*8</f>
        <v>5768</v>
      </c>
      <c r="Q110" s="12"/>
      <c r="R110" s="10"/>
      <c r="S110" s="12"/>
      <c r="T110" s="12">
        <f t="shared" si="16"/>
        <v>5768</v>
      </c>
      <c r="U110" s="12">
        <f t="shared" si="17"/>
        <v>0</v>
      </c>
      <c r="V110" s="12">
        <f>Table14[[#This Row],[Enrolment S.Y. 2025-2026 ]]*8</f>
        <v>5768</v>
      </c>
      <c r="W110" s="12"/>
      <c r="X110" s="10"/>
      <c r="Y110" s="12"/>
      <c r="Z110" s="12">
        <f t="shared" si="18"/>
        <v>5768</v>
      </c>
      <c r="AA110" s="12">
        <f t="shared" si="19"/>
        <v>0</v>
      </c>
    </row>
    <row r="111" spans="1:27" ht="19.5">
      <c r="A111" s="10">
        <v>10</v>
      </c>
      <c r="B111" s="11" t="s">
        <v>25</v>
      </c>
      <c r="C111" s="10">
        <v>721</v>
      </c>
      <c r="D111" s="12">
        <f>Table14[[#This Row],[Enrolment S.Y. 2025-2026 ]]*8</f>
        <v>5768</v>
      </c>
      <c r="E111" s="12"/>
      <c r="F111" s="10"/>
      <c r="G111" s="12"/>
      <c r="H111" s="12">
        <f t="shared" si="22"/>
        <v>5768</v>
      </c>
      <c r="I111" s="12">
        <f t="shared" si="23"/>
        <v>0</v>
      </c>
      <c r="J111" s="12">
        <f>Table14[[#This Row],[Enrolment S.Y. 2025-2026 ]]*8</f>
        <v>5768</v>
      </c>
      <c r="K111" s="12"/>
      <c r="L111" s="10"/>
      <c r="M111" s="12"/>
      <c r="N111" s="12">
        <f t="shared" si="28"/>
        <v>5768</v>
      </c>
      <c r="O111" s="12">
        <f t="shared" si="29"/>
        <v>0</v>
      </c>
      <c r="P111" s="12">
        <f>Table14[[#This Row],[Enrolment S.Y. 2025-2026 ]]*8</f>
        <v>5768</v>
      </c>
      <c r="Q111" s="12"/>
      <c r="R111" s="10"/>
      <c r="S111" s="12"/>
      <c r="T111" s="12">
        <f t="shared" si="16"/>
        <v>5768</v>
      </c>
      <c r="U111" s="12">
        <f t="shared" si="17"/>
        <v>0</v>
      </c>
      <c r="V111" s="12">
        <f>Table14[[#This Row],[Enrolment S.Y. 2025-2026 ]]*8</f>
        <v>5768</v>
      </c>
      <c r="W111" s="12"/>
      <c r="X111" s="10"/>
      <c r="Y111" s="12"/>
      <c r="Z111" s="12">
        <f t="shared" si="18"/>
        <v>5768</v>
      </c>
      <c r="AA111" s="12">
        <f t="shared" si="19"/>
        <v>0</v>
      </c>
    </row>
    <row r="112" spans="1:27" ht="19.5">
      <c r="A112" s="38">
        <v>10</v>
      </c>
      <c r="B112" s="11" t="s">
        <v>93</v>
      </c>
      <c r="C112" s="10">
        <v>721</v>
      </c>
      <c r="D112" s="12">
        <f>Table14[[#This Row],[Enrolment S.Y. 2025-2026 ]]*8</f>
        <v>5768</v>
      </c>
      <c r="E112" s="12"/>
      <c r="F112" s="10"/>
      <c r="G112" s="12"/>
      <c r="H112" s="12">
        <f>IF((D112-E112)&lt;0,0,(D112-E112))</f>
        <v>5768</v>
      </c>
      <c r="I112" s="12">
        <f>IF((E112-D112)&lt;0,0,(E112-D112))</f>
        <v>0</v>
      </c>
      <c r="J112" s="12">
        <f>Table14[[#This Row],[Enrolment S.Y. 2025-2026 ]]*8</f>
        <v>5768</v>
      </c>
      <c r="K112" s="12"/>
      <c r="L112" s="10"/>
      <c r="M112" s="12"/>
      <c r="N112" s="12">
        <f t="shared" si="28"/>
        <v>5768</v>
      </c>
      <c r="O112" s="12">
        <f t="shared" si="29"/>
        <v>0</v>
      </c>
      <c r="P112" s="12">
        <f>Table14[[#This Row],[Enrolment S.Y. 2025-2026 ]]*8</f>
        <v>5768</v>
      </c>
      <c r="Q112" s="12"/>
      <c r="R112" s="10"/>
      <c r="S112" s="12"/>
      <c r="T112" s="12">
        <f>IF((P112-Q112)&lt;0,0,(P112-Q112))</f>
        <v>5768</v>
      </c>
      <c r="U112" s="12">
        <f>IF((Q112-P112)&lt;0,0,(Q112-P112))</f>
        <v>0</v>
      </c>
      <c r="V112" s="12">
        <f>Table14[[#This Row],[Enrolment S.Y. 2025-2026 ]]*8</f>
        <v>5768</v>
      </c>
      <c r="W112" s="12"/>
      <c r="X112" s="10"/>
      <c r="Y112" s="12"/>
      <c r="Z112" s="12">
        <f>IF((V112-W112)&lt;0,0,(V112-W112))</f>
        <v>5768</v>
      </c>
      <c r="AA112" s="12">
        <f>IF((W112-V112)&lt;0,0,(W112-V112))</f>
        <v>0</v>
      </c>
    </row>
    <row r="113" spans="1:28" ht="19.5">
      <c r="A113" s="10">
        <v>10</v>
      </c>
      <c r="B113" s="11" t="s">
        <v>94</v>
      </c>
      <c r="C113" s="10">
        <v>721</v>
      </c>
      <c r="D113" s="12">
        <f>Table14[[#This Row],[Enrolment S.Y. 2025-2026 ]]*8</f>
        <v>5768</v>
      </c>
      <c r="E113" s="12"/>
      <c r="F113" s="10"/>
      <c r="G113" s="12"/>
      <c r="H113" s="12">
        <f t="shared" si="22"/>
        <v>5768</v>
      </c>
      <c r="I113" s="12">
        <f t="shared" si="23"/>
        <v>0</v>
      </c>
      <c r="J113" s="12">
        <f>Table14[[#This Row],[Enrolment S.Y. 2025-2026 ]]*8</f>
        <v>5768</v>
      </c>
      <c r="K113" s="12"/>
      <c r="L113" s="10"/>
      <c r="M113" s="12"/>
      <c r="N113" s="12">
        <f t="shared" si="28"/>
        <v>5768</v>
      </c>
      <c r="O113" s="12">
        <f t="shared" si="29"/>
        <v>0</v>
      </c>
      <c r="P113" s="12">
        <f>Table14[[#This Row],[Enrolment S.Y. 2025-2026 ]]*8</f>
        <v>5768</v>
      </c>
      <c r="Q113" s="12"/>
      <c r="R113" s="10"/>
      <c r="S113" s="12"/>
      <c r="T113" s="12">
        <f t="shared" si="16"/>
        <v>5768</v>
      </c>
      <c r="U113" s="12">
        <f t="shared" si="17"/>
        <v>0</v>
      </c>
      <c r="V113" s="12">
        <f>Table14[[#This Row],[Enrolment S.Y. 2025-2026 ]]*8</f>
        <v>5768</v>
      </c>
      <c r="W113" s="12"/>
      <c r="X113" s="10"/>
      <c r="Y113" s="12"/>
      <c r="Z113" s="12">
        <f t="shared" si="18"/>
        <v>5768</v>
      </c>
      <c r="AA113" s="12">
        <f t="shared" si="19"/>
        <v>0</v>
      </c>
    </row>
    <row r="114" spans="1:28" s="7" customFormat="1"/>
    <row r="115" spans="1:28" ht="38.450000000000003">
      <c r="A115" s="1" t="s">
        <v>27</v>
      </c>
      <c r="B115" s="9" t="s">
        <v>28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27</v>
      </c>
      <c r="B116" s="9" t="s">
        <v>29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27</v>
      </c>
      <c r="B117" s="9" t="s">
        <v>30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27</v>
      </c>
      <c r="B118" s="9" t="s">
        <v>31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27</v>
      </c>
      <c r="B119" s="9" t="s">
        <v>32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27</v>
      </c>
      <c r="B120" s="9" t="s">
        <v>33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27</v>
      </c>
      <c r="B121" s="9" t="s">
        <v>34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27</v>
      </c>
      <c r="B122" s="9" t="s">
        <v>35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V2:X10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 X3:X10" xr:uid="{77F72D89-8371-4D0C-A323-BD25723C617C}">
      <formula1>"2024,2025,2026"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3:R10 R12:R19 R21:R29 R31:R41 R43:R53 R55:R65 R67:R77 R79:R89 R91:R101 R103:R113 R115:R122 X55:X65 X43:X53 X31:X41 X21:X29 X12:X19 X67:X77 X103:X113 X91:X101 X79:X89" xr:uid="{0D16A010-F317-4F53-9158-8860F9BD0466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2026-02-23T03:32:54Z</dcterms:modified>
  <cp:category/>
  <cp:contentStatus/>
</cp:coreProperties>
</file>