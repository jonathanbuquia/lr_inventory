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6" documentId="13_ncr:1_{BFB59F67-F0DC-4675-A682-EB0734A8026A}" xr6:coauthVersionLast="47" xr6:coauthVersionMax="47" xr10:uidLastSave="{3AF30A0A-A368-416F-AA5D-889E5AC622B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<sst xmlns="http://schemas.openxmlformats.org/spreadsheetml/2006/main" count="502" uniqueCount="97">
  <si>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</si>
  <si>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</si>
  <si>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</si>
  <si>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</si>
  <si>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</si>
  <si>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</si>
  <si>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</si>
  <si>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</si>
  <si>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Enrolment S.Y. 2025-2026 2</t>
  </si>
  <si>
    <t>Quantity of Textbooks Received3</t>
  </si>
  <si>
    <t>Year of Delivery-TX4</t>
  </si>
  <si>
    <t>SOURCE-TX (CO,RO, SDO)5</t>
  </si>
  <si>
    <t>GAP-TX6</t>
  </si>
  <si>
    <t>Surplus-TX7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</si>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</sst>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0" fillId="13" borderId="12" xfId="0" applyFill="1" applyBorder="1"/>
    <xf numFmtId="0" fontId="0" fillId="13" borderId="13" xfId="0" applyFill="1" applyBorder="1"/>
    <xf numFmtId="0" fontId="0" fillId="0" borderId="12" xfId="0" applyBorder="1"/>
    <xf numFmtId="0" fontId="0" fillId="0" borderId="13" xfId="0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zoomScale="85" zoomScaleNormal="85" workbookViewId="0">
      <pane xSplit="2" topLeftCell="F1" activePane="topRight" state="frozen"/>
      <selection pane="topRight" activeCell="L2" sqref="L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3" customWidth="1"/>
    <col min="11" max="11" width="13.140625" customWidth="1"/>
    <col min="12" max="12" width="14.85546875" customWidth="1"/>
    <col min="13" max="13" width="15.7109375" customWidth="1"/>
    <col min="14" max="14" width="12.28515625" customWidth="1"/>
    <col min="15" max="15" width="14.85546875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0" t="s">
        <v>8</v>
      </c>
      <c r="K1" s="40" t="s">
        <v>9</v>
      </c>
      <c r="L1" s="40" t="s">
        <v>10</v>
      </c>
      <c r="M1" s="40" t="s">
        <v>11</v>
      </c>
      <c r="N1" s="40" t="s">
        <v>12</v>
      </c>
      <c r="O1" s="41" t="s">
        <v>13</v>
      </c>
    </row>
    <row r="2" spans="1:15" ht="42.75" customHeight="1">
      <c r="A2" s="1">
        <v>1</v>
      </c>
      <c r="B2" s="2" t="s">
        <v>14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2"/>
      <c r="K2" s="42"/>
      <c r="L2" s="42"/>
      <c r="M2" s="42"/>
      <c r="N2" s="42"/>
      <c r="O2" s="43"/>
    </row>
    <row r="3" spans="1:15" ht="29.25" customHeight="1">
      <c r="A3" s="1">
        <v>1</v>
      </c>
      <c r="B3" s="2" t="s">
        <v>15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 s="44"/>
      <c r="K3" s="44"/>
      <c r="L3" s="44"/>
      <c r="M3" s="44"/>
      <c r="N3" s="44"/>
      <c r="O3" s="45"/>
    </row>
    <row r="4" spans="1:15" ht="21" customHeight="1">
      <c r="A4" s="1">
        <v>1</v>
      </c>
      <c r="B4" s="2" t="s">
        <v>16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 s="42"/>
      <c r="K4" s="42"/>
      <c r="L4" s="42"/>
      <c r="M4" s="42"/>
      <c r="N4" s="42"/>
      <c r="O4" s="43"/>
    </row>
    <row r="5" spans="1:15" ht="25.5" customHeight="1">
      <c r="A5" s="1">
        <v>1</v>
      </c>
      <c r="B5" s="2" t="s">
        <v>17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 s="44"/>
      <c r="K5" s="44"/>
      <c r="L5" s="44"/>
      <c r="M5" s="44"/>
      <c r="N5" s="44"/>
      <c r="O5" s="45"/>
    </row>
    <row r="6" spans="1:15" ht="19.5">
      <c r="A6" s="1">
        <v>1</v>
      </c>
      <c r="B6" s="2" t="s">
        <v>18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5">
      <c r="C7" s="6"/>
      <c r="D7" s="6"/>
      <c r="E7" s="6"/>
    </row>
    <row r="8" spans="1:15" ht="39.75" customHeight="1">
      <c r="A8" s="1">
        <v>2</v>
      </c>
      <c r="B8" s="2" t="s">
        <v>14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5" ht="29.25" customHeight="1">
      <c r="A9" s="1">
        <v>2</v>
      </c>
      <c r="B9" s="2" t="s">
        <v>15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5" ht="28.5" customHeight="1">
      <c r="A10" s="1">
        <v>2</v>
      </c>
      <c r="B10" s="2" t="s">
        <v>16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5" ht="24" customHeight="1">
      <c r="A11" s="1">
        <v>2</v>
      </c>
      <c r="B11" s="2" t="s">
        <v>17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5" ht="19.5">
      <c r="A12" s="1">
        <v>2</v>
      </c>
      <c r="B12" s="2" t="s">
        <v>18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5">
      <c r="C13" s="6"/>
      <c r="D13" s="6"/>
      <c r="E13" s="6"/>
    </row>
    <row r="14" spans="1:15" ht="49.5" customHeight="1">
      <c r="A14" s="1">
        <v>3</v>
      </c>
      <c r="B14" s="2" t="s">
        <v>14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5" ht="29.25" customHeight="1">
      <c r="A15" s="1">
        <v>3</v>
      </c>
      <c r="B15" s="2" t="s">
        <v>15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5" ht="27" customHeight="1">
      <c r="A16" s="1">
        <v>3</v>
      </c>
      <c r="B16" s="2" t="s">
        <v>16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19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17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18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20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21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18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16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22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19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23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24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25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20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21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18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16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22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19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23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24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25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20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21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18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16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22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19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23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24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25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20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21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18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26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19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23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27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25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20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21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18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26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28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19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23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27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25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20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21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18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26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28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19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23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27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25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20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21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18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26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28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19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23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27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25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29</v>
      </c>
      <c r="B91" s="9" t="s">
        <v>30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29</v>
      </c>
      <c r="B92" s="9" t="s">
        <v>31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29</v>
      </c>
      <c r="B93" s="9" t="s">
        <v>32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29</v>
      </c>
      <c r="B94" s="9" t="s">
        <v>33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29</v>
      </c>
      <c r="B95" s="9" t="s">
        <v>34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29</v>
      </c>
      <c r="B96" s="9" t="s">
        <v>35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29</v>
      </c>
      <c r="B97" s="9" t="s">
        <v>36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29</v>
      </c>
      <c r="B98" s="9" t="s">
        <v>37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  <protectedRange sqref="J1:L1" name="Textbooks_1"/>
    <protectedRange sqref="M1" name="SOURCE_1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M111" zoomScale="70" zoomScaleNormal="70" workbookViewId="0">
      <selection activeCell="R112" sqref="R112: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8" t="s">
        <v>38</v>
      </c>
      <c r="E1" s="48"/>
      <c r="F1" s="48"/>
      <c r="G1" s="48"/>
      <c r="H1" s="48"/>
      <c r="I1" s="48"/>
      <c r="J1" s="49" t="s">
        <v>39</v>
      </c>
      <c r="K1" s="49"/>
      <c r="L1" s="49"/>
      <c r="M1" s="49"/>
      <c r="N1" s="49"/>
      <c r="O1" s="49"/>
      <c r="P1" s="50" t="s">
        <v>40</v>
      </c>
      <c r="Q1" s="50"/>
      <c r="R1" s="50"/>
      <c r="S1" s="50"/>
      <c r="T1" s="50"/>
      <c r="U1" s="50"/>
      <c r="V1" s="51" t="s">
        <v>41</v>
      </c>
      <c r="W1" s="51"/>
      <c r="X1" s="51"/>
      <c r="Y1" s="51"/>
      <c r="Z1" s="51"/>
      <c r="AA1" s="51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42</v>
      </c>
      <c r="E2" s="20" t="s">
        <v>43</v>
      </c>
      <c r="F2" s="21" t="s">
        <v>44</v>
      </c>
      <c r="G2" s="24" t="s">
        <v>45</v>
      </c>
      <c r="H2" s="17" t="s">
        <v>46</v>
      </c>
      <c r="I2" s="24" t="s">
        <v>47</v>
      </c>
      <c r="J2" s="22" t="s">
        <v>48</v>
      </c>
      <c r="K2" s="22" t="s">
        <v>49</v>
      </c>
      <c r="L2" s="23" t="s">
        <v>50</v>
      </c>
      <c r="M2" s="46" t="s">
        <v>51</v>
      </c>
      <c r="N2" s="46" t="s">
        <v>52</v>
      </c>
      <c r="O2" s="22" t="s">
        <v>53</v>
      </c>
      <c r="P2" s="24" t="s">
        <v>54</v>
      </c>
      <c r="Q2" s="24" t="s">
        <v>55</v>
      </c>
      <c r="R2" s="25" t="s">
        <v>56</v>
      </c>
      <c r="S2" s="17" t="s">
        <v>57</v>
      </c>
      <c r="T2" s="17" t="s">
        <v>58</v>
      </c>
      <c r="U2" s="24" t="s">
        <v>59</v>
      </c>
      <c r="V2" s="26" t="s">
        <v>60</v>
      </c>
      <c r="W2" s="26" t="s">
        <v>61</v>
      </c>
      <c r="X2" s="27" t="s">
        <v>62</v>
      </c>
      <c r="Y2" s="47" t="s">
        <v>63</v>
      </c>
      <c r="Z2" s="47" t="s">
        <v>64</v>
      </c>
      <c r="AA2" s="26" t="s">
        <v>65</v>
      </c>
    </row>
    <row r="3" spans="1:27" ht="30.6" customHeight="1">
      <c r="A3" s="39" t="s">
        <v>66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14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15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16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17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18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20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21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67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14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15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16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17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18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21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20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67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14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15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16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19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17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18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20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21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67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20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21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18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16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22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19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23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24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25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20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21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18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16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22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19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23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24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25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20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21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18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16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22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19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23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24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25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20</v>
      </c>
      <c r="C63" s="10">
        <v>664</v>
      </c>
      <c r="D63" s="12">
        <f>Table1[[#This Row],[Enrolment S.Y. 2025-2026 ]]*8</f>
        <v>5312</v>
      </c>
      <c r="E63" s="12">
        <v>660</v>
      </c>
      <c r="F63" s="10">
        <v>2025</v>
      </c>
      <c r="G63" s="12" t="s">
        <v>68</v>
      </c>
      <c r="H63" s="12">
        <f t="shared" si="2"/>
        <v>4652</v>
      </c>
      <c r="I63" s="12">
        <f t="shared" si="3"/>
        <v>0</v>
      </c>
      <c r="J63" s="12">
        <f>Table1[[#This Row],[Enrolment S.Y. 2025-2026 ]]*8</f>
        <v>5312</v>
      </c>
      <c r="K63" s="12">
        <v>663</v>
      </c>
      <c r="L63" s="10">
        <v>2025</v>
      </c>
      <c r="M63" s="12" t="s">
        <v>68</v>
      </c>
      <c r="N63" s="12">
        <f t="shared" si="10"/>
        <v>4649</v>
      </c>
      <c r="O63" s="12">
        <f t="shared" si="11"/>
        <v>0</v>
      </c>
      <c r="P63" s="12">
        <f>Table1[[#This Row],[Enrolment S.Y. 2025-2026 ]]*8</f>
        <v>5312</v>
      </c>
      <c r="Q63" s="12">
        <v>674</v>
      </c>
      <c r="R63" s="10"/>
      <c r="S63" s="12" t="s">
        <v>68</v>
      </c>
      <c r="T63" s="12">
        <f t="shared" si="12"/>
        <v>4638</v>
      </c>
      <c r="U63" s="12">
        <f t="shared" si="13"/>
        <v>0</v>
      </c>
      <c r="V63" s="12">
        <f>Table1[[#This Row],[Enrolment S.Y. 2025-2026 ]]*8</f>
        <v>5312</v>
      </c>
      <c r="W63" s="12"/>
      <c r="X63" s="10"/>
      <c r="Y63" s="12"/>
      <c r="Z63" s="12">
        <f t="shared" si="14"/>
        <v>5312</v>
      </c>
      <c r="AA63" s="12">
        <f t="shared" si="15"/>
        <v>0</v>
      </c>
    </row>
    <row r="64" spans="1:27" ht="19.5">
      <c r="A64" s="10">
        <v>7</v>
      </c>
      <c r="B64" s="11" t="s">
        <v>21</v>
      </c>
      <c r="C64" s="10">
        <v>664</v>
      </c>
      <c r="D64" s="12">
        <f>Table1[[#This Row],[Enrolment S.Y. 2025-2026 ]]*8</f>
        <v>5312</v>
      </c>
      <c r="E64" s="12">
        <v>660</v>
      </c>
      <c r="F64" s="10">
        <v>2025</v>
      </c>
      <c r="G64" s="12" t="s">
        <v>68</v>
      </c>
      <c r="H64" s="12">
        <f t="shared" si="2"/>
        <v>4652</v>
      </c>
      <c r="I64" s="12">
        <f t="shared" si="3"/>
        <v>0</v>
      </c>
      <c r="J64" s="12">
        <f>Table1[[#This Row],[Enrolment S.Y. 2025-2026 ]]*8</f>
        <v>5312</v>
      </c>
      <c r="K64" s="12">
        <v>663</v>
      </c>
      <c r="L64" s="10">
        <v>2025</v>
      </c>
      <c r="M64" s="12" t="s">
        <v>68</v>
      </c>
      <c r="N64" s="12">
        <f t="shared" si="10"/>
        <v>4649</v>
      </c>
      <c r="O64" s="12">
        <f t="shared" si="11"/>
        <v>0</v>
      </c>
      <c r="P64" s="12">
        <f>Table1[[#This Row],[Enrolment S.Y. 2025-2026 ]]*8</f>
        <v>5312</v>
      </c>
      <c r="Q64" s="12">
        <v>674</v>
      </c>
      <c r="R64" s="10"/>
      <c r="S64" s="12" t="s">
        <v>68</v>
      </c>
      <c r="T64" s="12">
        <f t="shared" si="12"/>
        <v>4638</v>
      </c>
      <c r="U64" s="12">
        <f t="shared" si="13"/>
        <v>0</v>
      </c>
      <c r="V64" s="12">
        <f>Table1[[#This Row],[Enrolment S.Y. 2025-2026 ]]*8</f>
        <v>5312</v>
      </c>
      <c r="W64" s="12"/>
      <c r="X64" s="10"/>
      <c r="Y64" s="12"/>
      <c r="Z64" s="12">
        <f t="shared" si="14"/>
        <v>5312</v>
      </c>
      <c r="AA64" s="12">
        <f t="shared" si="15"/>
        <v>0</v>
      </c>
    </row>
    <row r="65" spans="1:27" ht="19.5">
      <c r="A65" s="10">
        <v>7</v>
      </c>
      <c r="B65" s="11" t="s">
        <v>18</v>
      </c>
      <c r="C65" s="10">
        <v>664</v>
      </c>
      <c r="D65" s="12">
        <f>Table1[[#This Row],[Enrolment S.Y. 2025-2026 ]]*8</f>
        <v>5312</v>
      </c>
      <c r="E65" s="12">
        <v>660</v>
      </c>
      <c r="F65" s="10">
        <v>2025</v>
      </c>
      <c r="G65" s="12" t="s">
        <v>68</v>
      </c>
      <c r="H65" s="12">
        <f t="shared" si="2"/>
        <v>4652</v>
      </c>
      <c r="I65" s="12">
        <f t="shared" si="3"/>
        <v>0</v>
      </c>
      <c r="J65" s="12">
        <f>Table1[[#This Row],[Enrolment S.Y. 2025-2026 ]]*8</f>
        <v>5312</v>
      </c>
      <c r="K65" s="12">
        <v>663</v>
      </c>
      <c r="L65" s="10">
        <v>2025</v>
      </c>
      <c r="M65" s="12" t="s">
        <v>68</v>
      </c>
      <c r="N65" s="12">
        <f t="shared" si="10"/>
        <v>4649</v>
      </c>
      <c r="O65" s="12">
        <f t="shared" si="11"/>
        <v>0</v>
      </c>
      <c r="P65" s="12">
        <f>Table1[[#This Row],[Enrolment S.Y. 2025-2026 ]]*8</f>
        <v>5312</v>
      </c>
      <c r="Q65" s="12">
        <v>674</v>
      </c>
      <c r="R65" s="10"/>
      <c r="S65" s="12" t="s">
        <v>68</v>
      </c>
      <c r="T65" s="12">
        <f t="shared" si="12"/>
        <v>4638</v>
      </c>
      <c r="U65" s="12">
        <f t="shared" si="13"/>
        <v>0</v>
      </c>
      <c r="V65" s="12">
        <f>Table1[[#This Row],[Enrolment S.Y. 2025-2026 ]]*8</f>
        <v>5312</v>
      </c>
      <c r="W65" s="12"/>
      <c r="X65" s="10"/>
      <c r="Y65" s="12"/>
      <c r="Z65" s="12">
        <f t="shared" si="14"/>
        <v>5312</v>
      </c>
      <c r="AA65" s="12">
        <f t="shared" si="15"/>
        <v>0</v>
      </c>
    </row>
    <row r="66" spans="1:27" ht="19.5">
      <c r="A66" s="10">
        <v>7</v>
      </c>
      <c r="B66" s="11" t="s">
        <v>26</v>
      </c>
      <c r="C66" s="10">
        <v>664</v>
      </c>
      <c r="D66" s="12">
        <f>Table1[[#This Row],[Enrolment S.Y. 2025-2026 ]]*8</f>
        <v>5312</v>
      </c>
      <c r="E66" s="12">
        <v>660</v>
      </c>
      <c r="F66" s="10">
        <v>2025</v>
      </c>
      <c r="G66" s="12" t="s">
        <v>68</v>
      </c>
      <c r="H66" s="12">
        <f t="shared" si="2"/>
        <v>4652</v>
      </c>
      <c r="I66" s="12">
        <f t="shared" si="3"/>
        <v>0</v>
      </c>
      <c r="J66" s="12">
        <f>Table1[[#This Row],[Enrolment S.Y. 2025-2026 ]]*8</f>
        <v>5312</v>
      </c>
      <c r="K66" s="12">
        <v>663</v>
      </c>
      <c r="L66" s="10">
        <v>2025</v>
      </c>
      <c r="M66" s="12" t="s">
        <v>68</v>
      </c>
      <c r="N66" s="12">
        <f t="shared" si="10"/>
        <v>4649</v>
      </c>
      <c r="O66" s="12">
        <f t="shared" si="11"/>
        <v>0</v>
      </c>
      <c r="P66" s="12">
        <f>Table1[[#This Row],[Enrolment S.Y. 2025-2026 ]]*8</f>
        <v>5312</v>
      </c>
      <c r="Q66" s="12">
        <v>674</v>
      </c>
      <c r="R66" s="10"/>
      <c r="S66" s="12" t="s">
        <v>68</v>
      </c>
      <c r="T66" s="12">
        <f t="shared" si="12"/>
        <v>4638</v>
      </c>
      <c r="U66" s="12">
        <f t="shared" si="13"/>
        <v>0</v>
      </c>
      <c r="V66" s="12">
        <f>Table1[[#This Row],[Enrolment S.Y. 2025-2026 ]]*8</f>
        <v>5312</v>
      </c>
      <c r="W66" s="12"/>
      <c r="X66" s="10"/>
      <c r="Y66" s="12"/>
      <c r="Z66" s="12">
        <f t="shared" si="14"/>
        <v>5312</v>
      </c>
      <c r="AA66" s="12">
        <f t="shared" si="15"/>
        <v>0</v>
      </c>
    </row>
    <row r="67" spans="1:27" ht="38.25">
      <c r="A67" s="10">
        <v>7</v>
      </c>
      <c r="B67" s="11" t="s">
        <v>22</v>
      </c>
      <c r="C67" s="10">
        <v>664</v>
      </c>
      <c r="D67" s="12">
        <f>Table1[[#This Row],[Enrolment S.Y. 2025-2026 ]]*8</f>
        <v>5312</v>
      </c>
      <c r="E67" s="12">
        <v>660</v>
      </c>
      <c r="F67" s="10">
        <v>2025</v>
      </c>
      <c r="G67" s="12" t="s">
        <v>68</v>
      </c>
      <c r="H67" s="12">
        <f t="shared" si="2"/>
        <v>4652</v>
      </c>
      <c r="I67" s="12">
        <f t="shared" si="3"/>
        <v>0</v>
      </c>
      <c r="J67" s="12">
        <f>Table1[[#This Row],[Enrolment S.Y. 2025-2026 ]]*8</f>
        <v>5312</v>
      </c>
      <c r="K67" s="12">
        <v>663</v>
      </c>
      <c r="L67" s="10">
        <v>2025</v>
      </c>
      <c r="M67" s="12" t="s">
        <v>68</v>
      </c>
      <c r="N67" s="12">
        <f t="shared" si="10"/>
        <v>4649</v>
      </c>
      <c r="O67" s="12">
        <f t="shared" si="11"/>
        <v>0</v>
      </c>
      <c r="P67" s="12">
        <f>Table1[[#This Row],[Enrolment S.Y. 2025-2026 ]]*8</f>
        <v>5312</v>
      </c>
      <c r="Q67" s="12">
        <v>674</v>
      </c>
      <c r="R67" s="10"/>
      <c r="S67" s="12" t="s">
        <v>68</v>
      </c>
      <c r="T67" s="12">
        <f t="shared" si="12"/>
        <v>4638</v>
      </c>
      <c r="U67" s="12">
        <f t="shared" si="13"/>
        <v>0</v>
      </c>
      <c r="V67" s="12">
        <f>Table1[[#This Row],[Enrolment S.Y. 2025-2026 ]]*8</f>
        <v>5312</v>
      </c>
      <c r="W67" s="12"/>
      <c r="X67" s="10"/>
      <c r="Y67" s="12"/>
      <c r="Z67" s="12">
        <f t="shared" si="14"/>
        <v>5312</v>
      </c>
      <c r="AA67" s="12">
        <f t="shared" si="15"/>
        <v>0</v>
      </c>
    </row>
    <row r="68" spans="1:27" ht="19.5">
      <c r="A68" s="10">
        <v>7</v>
      </c>
      <c r="B68" s="11" t="s">
        <v>19</v>
      </c>
      <c r="C68" s="10">
        <v>664</v>
      </c>
      <c r="D68" s="12">
        <f>Table1[[#This Row],[Enrolment S.Y. 2025-2026 ]]*8</f>
        <v>5312</v>
      </c>
      <c r="E68" s="12">
        <v>660</v>
      </c>
      <c r="F68" s="10">
        <v>2025</v>
      </c>
      <c r="G68" s="12" t="s">
        <v>68</v>
      </c>
      <c r="H68" s="12">
        <f t="shared" si="2"/>
        <v>4652</v>
      </c>
      <c r="I68" s="12">
        <f t="shared" si="3"/>
        <v>0</v>
      </c>
      <c r="J68" s="12">
        <f>Table1[[#This Row],[Enrolment S.Y. 2025-2026 ]]*8</f>
        <v>5312</v>
      </c>
      <c r="K68" s="12">
        <v>663</v>
      </c>
      <c r="L68" s="10">
        <v>2025</v>
      </c>
      <c r="M68" s="12" t="s">
        <v>68</v>
      </c>
      <c r="N68" s="12">
        <f t="shared" si="10"/>
        <v>4649</v>
      </c>
      <c r="O68" s="12">
        <f t="shared" si="11"/>
        <v>0</v>
      </c>
      <c r="P68" s="12">
        <f>Table1[[#This Row],[Enrolment S.Y. 2025-2026 ]]*8</f>
        <v>5312</v>
      </c>
      <c r="Q68" s="12">
        <v>674</v>
      </c>
      <c r="R68" s="10"/>
      <c r="S68" s="12" t="s">
        <v>68</v>
      </c>
      <c r="T68" s="12">
        <f t="shared" si="12"/>
        <v>4638</v>
      </c>
      <c r="U68" s="12">
        <f t="shared" si="13"/>
        <v>0</v>
      </c>
      <c r="V68" s="12">
        <f>Table1[[#This Row],[Enrolment S.Y. 2025-2026 ]]*8</f>
        <v>5312</v>
      </c>
      <c r="W68" s="12"/>
      <c r="X68" s="10"/>
      <c r="Y68" s="12"/>
      <c r="Z68" s="12">
        <f t="shared" si="14"/>
        <v>5312</v>
      </c>
      <c r="AA68" s="12">
        <f t="shared" si="15"/>
        <v>0</v>
      </c>
    </row>
    <row r="69" spans="1:27" ht="19.5">
      <c r="A69" s="10">
        <v>7</v>
      </c>
      <c r="B69" s="11" t="s">
        <v>23</v>
      </c>
      <c r="C69" s="10">
        <v>664</v>
      </c>
      <c r="D69" s="12">
        <f>Table1[[#This Row],[Enrolment S.Y. 2025-2026 ]]*8</f>
        <v>5312</v>
      </c>
      <c r="E69" s="12">
        <v>660</v>
      </c>
      <c r="F69" s="10">
        <v>2025</v>
      </c>
      <c r="G69" s="12" t="s">
        <v>68</v>
      </c>
      <c r="H69" s="12">
        <f t="shared" si="2"/>
        <v>4652</v>
      </c>
      <c r="I69" s="12">
        <f t="shared" si="3"/>
        <v>0</v>
      </c>
      <c r="J69" s="12">
        <f>Table1[[#This Row],[Enrolment S.Y. 2025-2026 ]]*8</f>
        <v>5312</v>
      </c>
      <c r="K69" s="12">
        <v>663</v>
      </c>
      <c r="L69" s="10">
        <v>2025</v>
      </c>
      <c r="M69" s="12" t="s">
        <v>68</v>
      </c>
      <c r="N69" s="12">
        <f t="shared" si="10"/>
        <v>4649</v>
      </c>
      <c r="O69" s="12">
        <f t="shared" si="11"/>
        <v>0</v>
      </c>
      <c r="P69" s="12">
        <f>Table1[[#This Row],[Enrolment S.Y. 2025-2026 ]]*8</f>
        <v>5312</v>
      </c>
      <c r="Q69" s="12">
        <v>674</v>
      </c>
      <c r="R69" s="10"/>
      <c r="S69" s="12" t="s">
        <v>68</v>
      </c>
      <c r="T69" s="12">
        <f t="shared" si="12"/>
        <v>4638</v>
      </c>
      <c r="U69" s="12">
        <f t="shared" si="13"/>
        <v>0</v>
      </c>
      <c r="V69" s="12">
        <f>Table1[[#This Row],[Enrolment S.Y. 2025-2026 ]]*8</f>
        <v>5312</v>
      </c>
      <c r="W69" s="12"/>
      <c r="X69" s="10"/>
      <c r="Y69" s="12"/>
      <c r="Z69" s="12">
        <f t="shared" si="14"/>
        <v>5312</v>
      </c>
      <c r="AA69" s="12">
        <f t="shared" si="15"/>
        <v>0</v>
      </c>
    </row>
    <row r="70" spans="1:27" ht="19.5">
      <c r="A70" s="10">
        <v>7</v>
      </c>
      <c r="B70" s="11" t="s">
        <v>27</v>
      </c>
      <c r="C70" s="10">
        <v>664</v>
      </c>
      <c r="D70" s="12">
        <f>Table1[[#This Row],[Enrolment S.Y. 2025-2026 ]]*8</f>
        <v>5312</v>
      </c>
      <c r="E70" s="12">
        <v>660</v>
      </c>
      <c r="F70" s="10">
        <v>2025</v>
      </c>
      <c r="G70" s="12" t="s">
        <v>68</v>
      </c>
      <c r="H70" s="12">
        <f t="shared" si="2"/>
        <v>4652</v>
      </c>
      <c r="I70" s="12">
        <f t="shared" si="3"/>
        <v>0</v>
      </c>
      <c r="J70" s="12">
        <f>Table1[[#This Row],[Enrolment S.Y. 2025-2026 ]]*8</f>
        <v>5312</v>
      </c>
      <c r="K70" s="12">
        <v>663</v>
      </c>
      <c r="L70" s="10">
        <v>2025</v>
      </c>
      <c r="M70" s="12" t="s">
        <v>68</v>
      </c>
      <c r="N70" s="12">
        <f t="shared" ref="N70:N126" si="16">IF((J70-K70)&lt;0,0,(J70-K70))</f>
        <v>4649</v>
      </c>
      <c r="O70" s="12">
        <f t="shared" ref="O70:O126" si="17">IF((K70-J70)&lt;0,0,(K70-J70))</f>
        <v>0</v>
      </c>
      <c r="P70" s="12">
        <f>Table1[[#This Row],[Enrolment S.Y. 2025-2026 ]]*8</f>
        <v>5312</v>
      </c>
      <c r="Q70" s="12">
        <v>674</v>
      </c>
      <c r="R70" s="10"/>
      <c r="S70" s="12" t="s">
        <v>68</v>
      </c>
      <c r="T70" s="12">
        <f t="shared" ref="T70:T127" si="18">IF((P70-Q70)&lt;0,0,(P70-Q70))</f>
        <v>4638</v>
      </c>
      <c r="U70" s="12">
        <f t="shared" ref="U70:U127" si="19">IF((Q70-P70)&lt;0,0,(Q70-P70))</f>
        <v>0</v>
      </c>
      <c r="V70" s="12">
        <f>Table1[[#This Row],[Enrolment S.Y. 2025-2026 ]]*8</f>
        <v>5312</v>
      </c>
      <c r="W70" s="12"/>
      <c r="X70" s="10"/>
      <c r="Y70" s="12"/>
      <c r="Z70" s="12">
        <f t="shared" ref="Z70:Z127" si="20">IF((V70-W70)&lt;0,0,(V70-W70))</f>
        <v>5312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25</v>
      </c>
      <c r="C71" s="10">
        <v>664</v>
      </c>
      <c r="D71" s="12">
        <f>Table1[[#This Row],[Enrolment S.Y. 2025-2026 ]]*8</f>
        <v>5312</v>
      </c>
      <c r="E71" s="12">
        <v>660</v>
      </c>
      <c r="F71" s="10">
        <v>2025</v>
      </c>
      <c r="G71" s="12" t="s">
        <v>68</v>
      </c>
      <c r="H71" s="12">
        <f t="shared" si="2"/>
        <v>4652</v>
      </c>
      <c r="I71" s="12">
        <f t="shared" si="3"/>
        <v>0</v>
      </c>
      <c r="J71" s="12">
        <f>Table1[[#This Row],[Enrolment S.Y. 2025-2026 ]]*8</f>
        <v>5312</v>
      </c>
      <c r="K71" s="12">
        <v>663</v>
      </c>
      <c r="L71" s="10">
        <v>2025</v>
      </c>
      <c r="M71" s="12" t="s">
        <v>68</v>
      </c>
      <c r="N71" s="12">
        <f t="shared" si="16"/>
        <v>4649</v>
      </c>
      <c r="O71" s="12">
        <f t="shared" si="17"/>
        <v>0</v>
      </c>
      <c r="P71" s="12">
        <f>Table1[[#This Row],[Enrolment S.Y. 2025-2026 ]]*8</f>
        <v>5312</v>
      </c>
      <c r="Q71" s="12">
        <v>674</v>
      </c>
      <c r="R71" s="10"/>
      <c r="S71" s="12" t="s">
        <v>68</v>
      </c>
      <c r="T71" s="12">
        <f t="shared" si="18"/>
        <v>4638</v>
      </c>
      <c r="U71" s="12">
        <f t="shared" si="19"/>
        <v>0</v>
      </c>
      <c r="V71" s="12">
        <f>Table1[[#This Row],[Enrolment S.Y. 2025-2026 ]]*8</f>
        <v>5312</v>
      </c>
      <c r="W71" s="12"/>
      <c r="X71" s="10"/>
      <c r="Y71" s="12"/>
      <c r="Z71" s="12">
        <f t="shared" si="20"/>
        <v>5312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20</v>
      </c>
      <c r="C73" s="10">
        <v>669</v>
      </c>
      <c r="D73" s="12">
        <f>Table1[[#This Row],[Enrolment S.Y. 2025-2026 ]]*8</f>
        <v>5352</v>
      </c>
      <c r="E73" s="12">
        <v>665</v>
      </c>
      <c r="F73" s="10">
        <v>2025</v>
      </c>
      <c r="G73" s="12" t="s">
        <v>68</v>
      </c>
      <c r="H73" s="12">
        <f t="shared" si="2"/>
        <v>4687</v>
      </c>
      <c r="I73" s="12">
        <f t="shared" si="3"/>
        <v>0</v>
      </c>
      <c r="J73" s="12">
        <f>Table1[[#This Row],[Enrolment S.Y. 2025-2026 ]]*8</f>
        <v>5352</v>
      </c>
      <c r="K73" s="12">
        <v>667</v>
      </c>
      <c r="L73" s="10">
        <v>2025</v>
      </c>
      <c r="M73" s="12" t="s">
        <v>68</v>
      </c>
      <c r="N73" s="12">
        <f t="shared" si="16"/>
        <v>4685</v>
      </c>
      <c r="O73" s="12">
        <f t="shared" si="17"/>
        <v>0</v>
      </c>
      <c r="P73" s="12">
        <f>Table1[[#This Row],[Enrolment S.Y. 2025-2026 ]]*8</f>
        <v>5352</v>
      </c>
      <c r="Q73" s="12">
        <v>675</v>
      </c>
      <c r="R73" s="10"/>
      <c r="S73" s="12" t="s">
        <v>68</v>
      </c>
      <c r="T73" s="12">
        <f t="shared" si="18"/>
        <v>4677</v>
      </c>
      <c r="U73" s="12">
        <f t="shared" si="19"/>
        <v>0</v>
      </c>
      <c r="V73" s="12">
        <f>Table1[[#This Row],[Enrolment S.Y. 2025-2026 ]]*8</f>
        <v>5352</v>
      </c>
      <c r="W73" s="12"/>
      <c r="X73" s="10"/>
      <c r="Y73" s="12"/>
      <c r="Z73" s="12">
        <f t="shared" si="20"/>
        <v>5352</v>
      </c>
      <c r="AA73" s="12">
        <f t="shared" si="21"/>
        <v>0</v>
      </c>
    </row>
    <row r="74" spans="1:27" ht="19.5">
      <c r="A74" s="10">
        <v>8</v>
      </c>
      <c r="B74" s="11" t="s">
        <v>21</v>
      </c>
      <c r="C74" s="10">
        <v>669</v>
      </c>
      <c r="D74" s="12">
        <f>Table1[[#This Row],[Enrolment S.Y. 2025-2026 ]]*8</f>
        <v>5352</v>
      </c>
      <c r="E74" s="12">
        <v>665</v>
      </c>
      <c r="F74" s="10">
        <v>2025</v>
      </c>
      <c r="G74" s="12" t="s">
        <v>68</v>
      </c>
      <c r="H74" s="12">
        <f t="shared" si="2"/>
        <v>4687</v>
      </c>
      <c r="I74" s="12">
        <f t="shared" si="3"/>
        <v>0</v>
      </c>
      <c r="J74" s="12">
        <f>Table1[[#This Row],[Enrolment S.Y. 2025-2026 ]]*8</f>
        <v>5352</v>
      </c>
      <c r="K74" s="12">
        <v>667</v>
      </c>
      <c r="L74" s="10">
        <v>2025</v>
      </c>
      <c r="M74" s="12" t="s">
        <v>68</v>
      </c>
      <c r="N74" s="12">
        <f t="shared" si="16"/>
        <v>4685</v>
      </c>
      <c r="O74" s="12">
        <f t="shared" si="17"/>
        <v>0</v>
      </c>
      <c r="P74" s="12">
        <f>Table1[[#This Row],[Enrolment S.Y. 2025-2026 ]]*8</f>
        <v>5352</v>
      </c>
      <c r="Q74" s="12">
        <v>675</v>
      </c>
      <c r="R74" s="10"/>
      <c r="S74" s="12" t="s">
        <v>68</v>
      </c>
      <c r="T74" s="12">
        <f t="shared" si="18"/>
        <v>4677</v>
      </c>
      <c r="U74" s="12">
        <f t="shared" si="19"/>
        <v>0</v>
      </c>
      <c r="V74" s="12">
        <f>Table1[[#This Row],[Enrolment S.Y. 2025-2026 ]]*8</f>
        <v>5352</v>
      </c>
      <c r="W74" s="12"/>
      <c r="X74" s="10"/>
      <c r="Y74" s="12"/>
      <c r="Z74" s="12">
        <f t="shared" si="20"/>
        <v>5352</v>
      </c>
      <c r="AA74" s="12">
        <f t="shared" si="21"/>
        <v>0</v>
      </c>
    </row>
    <row r="75" spans="1:27" ht="19.5">
      <c r="A75" s="10">
        <v>8</v>
      </c>
      <c r="B75" s="11" t="s">
        <v>18</v>
      </c>
      <c r="C75" s="10">
        <v>669</v>
      </c>
      <c r="D75" s="12">
        <f>Table1[[#This Row],[Enrolment S.Y. 2025-2026 ]]*8</f>
        <v>5352</v>
      </c>
      <c r="E75" s="12">
        <v>665</v>
      </c>
      <c r="F75" s="10">
        <v>2025</v>
      </c>
      <c r="G75" s="12" t="s">
        <v>68</v>
      </c>
      <c r="H75" s="12">
        <f t="shared" si="2"/>
        <v>4687</v>
      </c>
      <c r="I75" s="12">
        <f t="shared" si="3"/>
        <v>0</v>
      </c>
      <c r="J75" s="12">
        <f>Table1[[#This Row],[Enrolment S.Y. 2025-2026 ]]*8</f>
        <v>5352</v>
      </c>
      <c r="K75" s="12">
        <v>667</v>
      </c>
      <c r="L75" s="10">
        <v>2025</v>
      </c>
      <c r="M75" s="12" t="s">
        <v>68</v>
      </c>
      <c r="N75" s="12">
        <f t="shared" si="16"/>
        <v>4685</v>
      </c>
      <c r="O75" s="12">
        <f t="shared" si="17"/>
        <v>0</v>
      </c>
      <c r="P75" s="12">
        <f>Table1[[#This Row],[Enrolment S.Y. 2025-2026 ]]*8</f>
        <v>5352</v>
      </c>
      <c r="Q75" s="12">
        <v>675</v>
      </c>
      <c r="R75" s="10"/>
      <c r="S75" s="12" t="s">
        <v>68</v>
      </c>
      <c r="T75" s="12">
        <f t="shared" si="18"/>
        <v>4677</v>
      </c>
      <c r="U75" s="12">
        <f t="shared" si="19"/>
        <v>0</v>
      </c>
      <c r="V75" s="12">
        <f>Table1[[#This Row],[Enrolment S.Y. 2025-2026 ]]*8</f>
        <v>5352</v>
      </c>
      <c r="W75" s="12"/>
      <c r="X75" s="10"/>
      <c r="Y75" s="12"/>
      <c r="Z75" s="12">
        <f t="shared" si="20"/>
        <v>5352</v>
      </c>
      <c r="AA75" s="12">
        <f t="shared" si="21"/>
        <v>0</v>
      </c>
    </row>
    <row r="76" spans="1:27" ht="19.5">
      <c r="A76" s="10">
        <v>8</v>
      </c>
      <c r="B76" s="11" t="s">
        <v>26</v>
      </c>
      <c r="C76" s="10">
        <v>669</v>
      </c>
      <c r="D76" s="12">
        <f>Table1[[#This Row],[Enrolment S.Y. 2025-2026 ]]*8</f>
        <v>5352</v>
      </c>
      <c r="E76" s="12">
        <v>665</v>
      </c>
      <c r="F76" s="10">
        <v>2025</v>
      </c>
      <c r="G76" s="12" t="s">
        <v>68</v>
      </c>
      <c r="H76" s="12">
        <f t="shared" si="2"/>
        <v>4687</v>
      </c>
      <c r="I76" s="12">
        <f t="shared" si="3"/>
        <v>0</v>
      </c>
      <c r="J76" s="12">
        <f>Table1[[#This Row],[Enrolment S.Y. 2025-2026 ]]*8</f>
        <v>5352</v>
      </c>
      <c r="K76" s="12">
        <v>667</v>
      </c>
      <c r="L76" s="10">
        <v>2025</v>
      </c>
      <c r="M76" s="12" t="s">
        <v>68</v>
      </c>
      <c r="N76" s="12">
        <f t="shared" si="16"/>
        <v>4685</v>
      </c>
      <c r="O76" s="12">
        <f t="shared" si="17"/>
        <v>0</v>
      </c>
      <c r="P76" s="12">
        <f>Table1[[#This Row],[Enrolment S.Y. 2025-2026 ]]*8</f>
        <v>5352</v>
      </c>
      <c r="Q76" s="12">
        <v>675</v>
      </c>
      <c r="R76" s="10"/>
      <c r="S76" s="12" t="s">
        <v>68</v>
      </c>
      <c r="T76" s="12">
        <f t="shared" si="18"/>
        <v>4677</v>
      </c>
      <c r="U76" s="12">
        <f t="shared" si="19"/>
        <v>0</v>
      </c>
      <c r="V76" s="12">
        <f>Table1[[#This Row],[Enrolment S.Y. 2025-2026 ]]*8</f>
        <v>5352</v>
      </c>
      <c r="W76" s="12"/>
      <c r="X76" s="10"/>
      <c r="Y76" s="12"/>
      <c r="Z76" s="12">
        <f t="shared" si="20"/>
        <v>5352</v>
      </c>
      <c r="AA76" s="12">
        <f t="shared" si="21"/>
        <v>0</v>
      </c>
    </row>
    <row r="77" spans="1:27" ht="19.5">
      <c r="A77" s="10">
        <v>8</v>
      </c>
      <c r="B77" s="11" t="s">
        <v>28</v>
      </c>
      <c r="C77" s="10">
        <v>669</v>
      </c>
      <c r="D77" s="12">
        <f>Table1[[#This Row],[Enrolment S.Y. 2025-2026 ]]*8</f>
        <v>5352</v>
      </c>
      <c r="E77" s="12">
        <v>665</v>
      </c>
      <c r="F77" s="10">
        <v>2025</v>
      </c>
      <c r="G77" s="12" t="s">
        <v>68</v>
      </c>
      <c r="H77" s="12">
        <f t="shared" si="2"/>
        <v>4687</v>
      </c>
      <c r="I77" s="12">
        <f t="shared" si="3"/>
        <v>0</v>
      </c>
      <c r="J77" s="12">
        <f>Table1[[#This Row],[Enrolment S.Y. 2025-2026 ]]*8</f>
        <v>5352</v>
      </c>
      <c r="K77" s="12">
        <v>667</v>
      </c>
      <c r="L77" s="10">
        <v>2025</v>
      </c>
      <c r="M77" s="12" t="s">
        <v>68</v>
      </c>
      <c r="N77" s="12">
        <f t="shared" si="16"/>
        <v>4685</v>
      </c>
      <c r="O77" s="12">
        <f t="shared" si="17"/>
        <v>0</v>
      </c>
      <c r="P77" s="12">
        <f>Table1[[#This Row],[Enrolment S.Y. 2025-2026 ]]*8</f>
        <v>5352</v>
      </c>
      <c r="Q77" s="12">
        <v>675</v>
      </c>
      <c r="R77" s="10"/>
      <c r="S77" s="12" t="s">
        <v>68</v>
      </c>
      <c r="T77" s="12">
        <f t="shared" si="18"/>
        <v>4677</v>
      </c>
      <c r="U77" s="12">
        <f t="shared" si="19"/>
        <v>0</v>
      </c>
      <c r="V77" s="12">
        <f>Table1[[#This Row],[Enrolment S.Y. 2025-2026 ]]*8</f>
        <v>5352</v>
      </c>
      <c r="W77" s="12"/>
      <c r="X77" s="10"/>
      <c r="Y77" s="12"/>
      <c r="Z77" s="12">
        <f t="shared" si="20"/>
        <v>5352</v>
      </c>
      <c r="AA77" s="12">
        <f t="shared" si="21"/>
        <v>0</v>
      </c>
    </row>
    <row r="78" spans="1:27" ht="19.5">
      <c r="A78" s="10">
        <v>8</v>
      </c>
      <c r="B78" s="11" t="s">
        <v>19</v>
      </c>
      <c r="C78" s="10">
        <v>669</v>
      </c>
      <c r="D78" s="12">
        <f>Table1[[#This Row],[Enrolment S.Y. 2025-2026 ]]*8</f>
        <v>5352</v>
      </c>
      <c r="E78" s="12">
        <v>665</v>
      </c>
      <c r="F78" s="10">
        <v>2025</v>
      </c>
      <c r="G78" s="12" t="s">
        <v>68</v>
      </c>
      <c r="H78" s="12">
        <f t="shared" ref="H78:H127" si="22">IF((D78-E78)&lt;0,0,(D78-E78))</f>
        <v>4687</v>
      </c>
      <c r="I78" s="12">
        <f t="shared" ref="I78:I127" si="23">IF((E78-D78)&lt;0,0,(E78-D78))</f>
        <v>0</v>
      </c>
      <c r="J78" s="12">
        <f>Table1[[#This Row],[Enrolment S.Y. 2025-2026 ]]*8</f>
        <v>5352</v>
      </c>
      <c r="K78" s="12">
        <v>667</v>
      </c>
      <c r="L78" s="10">
        <v>2025</v>
      </c>
      <c r="M78" s="12" t="s">
        <v>68</v>
      </c>
      <c r="N78" s="12">
        <f t="shared" si="16"/>
        <v>4685</v>
      </c>
      <c r="O78" s="12">
        <f t="shared" si="17"/>
        <v>0</v>
      </c>
      <c r="P78" s="12">
        <f>Table1[[#This Row],[Enrolment S.Y. 2025-2026 ]]*8</f>
        <v>5352</v>
      </c>
      <c r="Q78" s="12">
        <v>675</v>
      </c>
      <c r="R78" s="10"/>
      <c r="S78" s="12" t="s">
        <v>68</v>
      </c>
      <c r="T78" s="12">
        <f t="shared" si="18"/>
        <v>4677</v>
      </c>
      <c r="U78" s="12">
        <f t="shared" si="19"/>
        <v>0</v>
      </c>
      <c r="V78" s="12">
        <f>Table1[[#This Row],[Enrolment S.Y. 2025-2026 ]]*8</f>
        <v>5352</v>
      </c>
      <c r="W78" s="12"/>
      <c r="X78" s="10"/>
      <c r="Y78" s="12"/>
      <c r="Z78" s="12">
        <f t="shared" si="20"/>
        <v>5352</v>
      </c>
      <c r="AA78" s="12">
        <f t="shared" si="21"/>
        <v>0</v>
      </c>
    </row>
    <row r="79" spans="1:27" ht="19.5">
      <c r="A79" s="10">
        <v>8</v>
      </c>
      <c r="B79" s="11" t="s">
        <v>23</v>
      </c>
      <c r="C79" s="10">
        <v>669</v>
      </c>
      <c r="D79" s="12">
        <f>Table1[[#This Row],[Enrolment S.Y. 2025-2026 ]]*8</f>
        <v>5352</v>
      </c>
      <c r="E79" s="12">
        <v>665</v>
      </c>
      <c r="F79" s="10">
        <v>2025</v>
      </c>
      <c r="G79" s="12" t="s">
        <v>68</v>
      </c>
      <c r="H79" s="12">
        <f t="shared" si="22"/>
        <v>4687</v>
      </c>
      <c r="I79" s="12">
        <f t="shared" si="23"/>
        <v>0</v>
      </c>
      <c r="J79" s="12">
        <f>Table1[[#This Row],[Enrolment S.Y. 2025-2026 ]]*8</f>
        <v>5352</v>
      </c>
      <c r="K79" s="12">
        <v>667</v>
      </c>
      <c r="L79" s="10">
        <v>2025</v>
      </c>
      <c r="M79" s="12" t="s">
        <v>68</v>
      </c>
      <c r="N79" s="12">
        <f t="shared" si="16"/>
        <v>4685</v>
      </c>
      <c r="O79" s="12">
        <f t="shared" si="17"/>
        <v>0</v>
      </c>
      <c r="P79" s="12">
        <f>Table1[[#This Row],[Enrolment S.Y. 2025-2026 ]]*8</f>
        <v>5352</v>
      </c>
      <c r="Q79" s="12">
        <v>675</v>
      </c>
      <c r="R79" s="10"/>
      <c r="S79" s="12" t="s">
        <v>68</v>
      </c>
      <c r="T79" s="12">
        <f t="shared" si="18"/>
        <v>4677</v>
      </c>
      <c r="U79" s="12">
        <f t="shared" si="19"/>
        <v>0</v>
      </c>
      <c r="V79" s="12">
        <f>Table1[[#This Row],[Enrolment S.Y. 2025-2026 ]]*8</f>
        <v>5352</v>
      </c>
      <c r="W79" s="12"/>
      <c r="X79" s="10"/>
      <c r="Y79" s="12"/>
      <c r="Z79" s="12">
        <f t="shared" si="20"/>
        <v>5352</v>
      </c>
      <c r="AA79" s="12">
        <f t="shared" si="21"/>
        <v>0</v>
      </c>
    </row>
    <row r="80" spans="1:27" ht="19.5">
      <c r="A80" s="10">
        <v>8</v>
      </c>
      <c r="B80" s="11" t="s">
        <v>27</v>
      </c>
      <c r="C80" s="10">
        <v>669</v>
      </c>
      <c r="D80" s="12">
        <f>Table1[[#This Row],[Enrolment S.Y. 2025-2026 ]]*8</f>
        <v>5352</v>
      </c>
      <c r="E80" s="12">
        <v>665</v>
      </c>
      <c r="F80" s="10">
        <v>2025</v>
      </c>
      <c r="G80" s="12" t="s">
        <v>68</v>
      </c>
      <c r="H80" s="12">
        <f t="shared" si="22"/>
        <v>4687</v>
      </c>
      <c r="I80" s="12">
        <f t="shared" si="23"/>
        <v>0</v>
      </c>
      <c r="J80" s="12">
        <f>Table1[[#This Row],[Enrolment S.Y. 2025-2026 ]]*8</f>
        <v>5352</v>
      </c>
      <c r="K80" s="12">
        <v>667</v>
      </c>
      <c r="L80" s="10">
        <v>2025</v>
      </c>
      <c r="M80" s="12" t="s">
        <v>68</v>
      </c>
      <c r="N80" s="12">
        <f t="shared" si="16"/>
        <v>4685</v>
      </c>
      <c r="O80" s="12">
        <f t="shared" si="17"/>
        <v>0</v>
      </c>
      <c r="P80" s="12">
        <f>Table1[[#This Row],[Enrolment S.Y. 2025-2026 ]]*8</f>
        <v>5352</v>
      </c>
      <c r="Q80" s="12">
        <v>675</v>
      </c>
      <c r="R80" s="10"/>
      <c r="S80" s="12" t="s">
        <v>68</v>
      </c>
      <c r="T80" s="12">
        <f t="shared" si="18"/>
        <v>4677</v>
      </c>
      <c r="U80" s="12">
        <f t="shared" si="19"/>
        <v>0</v>
      </c>
      <c r="V80" s="12">
        <f>Table1[[#This Row],[Enrolment S.Y. 2025-2026 ]]*8</f>
        <v>5352</v>
      </c>
      <c r="W80" s="12"/>
      <c r="X80" s="10"/>
      <c r="Y80" s="12"/>
      <c r="Z80" s="12">
        <f t="shared" si="20"/>
        <v>5352</v>
      </c>
      <c r="AA80" s="12">
        <f t="shared" si="21"/>
        <v>0</v>
      </c>
    </row>
    <row r="81" spans="1:27" ht="19.5">
      <c r="A81" s="10">
        <v>8</v>
      </c>
      <c r="B81" s="11" t="s">
        <v>25</v>
      </c>
      <c r="C81" s="10">
        <v>669</v>
      </c>
      <c r="D81" s="12">
        <f>Table1[[#This Row],[Enrolment S.Y. 2025-2026 ]]*8</f>
        <v>5352</v>
      </c>
      <c r="E81" s="12">
        <v>665</v>
      </c>
      <c r="F81" s="10">
        <v>2025</v>
      </c>
      <c r="G81" s="12" t="s">
        <v>68</v>
      </c>
      <c r="H81" s="12">
        <f t="shared" si="22"/>
        <v>4687</v>
      </c>
      <c r="I81" s="12">
        <f t="shared" si="23"/>
        <v>0</v>
      </c>
      <c r="J81" s="12">
        <f>Table1[[#This Row],[Enrolment S.Y. 2025-2026 ]]*8</f>
        <v>5352</v>
      </c>
      <c r="K81" s="12">
        <v>667</v>
      </c>
      <c r="L81" s="10">
        <v>2025</v>
      </c>
      <c r="M81" s="12" t="s">
        <v>68</v>
      </c>
      <c r="N81" s="12">
        <f t="shared" si="16"/>
        <v>4685</v>
      </c>
      <c r="O81" s="12">
        <f t="shared" si="17"/>
        <v>0</v>
      </c>
      <c r="P81" s="12">
        <f>Table1[[#This Row],[Enrolment S.Y. 2025-2026 ]]*8</f>
        <v>5352</v>
      </c>
      <c r="Q81" s="12">
        <v>675</v>
      </c>
      <c r="R81" s="10"/>
      <c r="S81" s="12" t="s">
        <v>68</v>
      </c>
      <c r="T81" s="12">
        <f t="shared" si="18"/>
        <v>4677</v>
      </c>
      <c r="U81" s="12">
        <f t="shared" si="19"/>
        <v>0</v>
      </c>
      <c r="V81" s="12">
        <f>Table1[[#This Row],[Enrolment S.Y. 2025-2026 ]]*8</f>
        <v>5352</v>
      </c>
      <c r="W81" s="12"/>
      <c r="X81" s="10"/>
      <c r="Y81" s="12"/>
      <c r="Z81" s="12">
        <f t="shared" si="20"/>
        <v>5352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20</v>
      </c>
      <c r="C83" s="10">
        <v>516</v>
      </c>
      <c r="D83" s="12">
        <f>Table1[[#This Row],[Enrolment S.Y. 2025-2026 ]]*8</f>
        <v>4128</v>
      </c>
      <c r="E83" s="12">
        <v>505</v>
      </c>
      <c r="F83" s="10">
        <v>2025</v>
      </c>
      <c r="G83" s="12" t="s">
        <v>68</v>
      </c>
      <c r="H83" s="12">
        <f t="shared" si="22"/>
        <v>3623</v>
      </c>
      <c r="I83" s="12">
        <f t="shared" si="23"/>
        <v>0</v>
      </c>
      <c r="J83" s="12">
        <f>Table1[[#This Row],[Enrolment S.Y. 2025-2026 ]]*8</f>
        <v>4128</v>
      </c>
      <c r="K83" s="12">
        <v>516</v>
      </c>
      <c r="L83" s="10">
        <v>2025</v>
      </c>
      <c r="M83" s="12" t="s">
        <v>68</v>
      </c>
      <c r="N83" s="12">
        <f t="shared" si="16"/>
        <v>3612</v>
      </c>
      <c r="O83" s="12">
        <f t="shared" si="17"/>
        <v>0</v>
      </c>
      <c r="P83" s="12">
        <f>Table1[[#This Row],[Enrolment S.Y. 2025-2026 ]]*8</f>
        <v>4128</v>
      </c>
      <c r="Q83" s="12">
        <v>531</v>
      </c>
      <c r="R83" s="10"/>
      <c r="S83" s="12" t="s">
        <v>68</v>
      </c>
      <c r="T83" s="12">
        <f t="shared" si="18"/>
        <v>3597</v>
      </c>
      <c r="U83" s="12">
        <f t="shared" si="19"/>
        <v>0</v>
      </c>
      <c r="V83" s="12">
        <f>Table1[[#This Row],[Enrolment S.Y. 2025-2026 ]]*8</f>
        <v>4128</v>
      </c>
      <c r="W83" s="12"/>
      <c r="X83" s="10"/>
      <c r="Y83" s="12"/>
      <c r="Z83" s="12">
        <f t="shared" si="20"/>
        <v>4128</v>
      </c>
      <c r="AA83" s="12">
        <f t="shared" si="21"/>
        <v>0</v>
      </c>
    </row>
    <row r="84" spans="1:27" ht="19.5">
      <c r="A84" s="10">
        <v>9</v>
      </c>
      <c r="B84" s="11" t="s">
        <v>21</v>
      </c>
      <c r="C84" s="10">
        <v>516</v>
      </c>
      <c r="D84" s="12">
        <f>Table1[[#This Row],[Enrolment S.Y. 2025-2026 ]]*8</f>
        <v>4128</v>
      </c>
      <c r="E84" s="12">
        <v>505</v>
      </c>
      <c r="F84" s="10">
        <v>2025</v>
      </c>
      <c r="G84" s="12" t="s">
        <v>68</v>
      </c>
      <c r="H84" s="12">
        <f t="shared" si="22"/>
        <v>3623</v>
      </c>
      <c r="I84" s="12">
        <f t="shared" si="23"/>
        <v>0</v>
      </c>
      <c r="J84" s="12">
        <f>Table1[[#This Row],[Enrolment S.Y. 2025-2026 ]]*8</f>
        <v>4128</v>
      </c>
      <c r="K84" s="12">
        <v>516</v>
      </c>
      <c r="L84" s="10">
        <v>2025</v>
      </c>
      <c r="M84" s="12" t="s">
        <v>68</v>
      </c>
      <c r="N84" s="12">
        <f t="shared" si="16"/>
        <v>3612</v>
      </c>
      <c r="O84" s="12">
        <f t="shared" si="17"/>
        <v>0</v>
      </c>
      <c r="P84" s="12">
        <f>Table1[[#This Row],[Enrolment S.Y. 2025-2026 ]]*8</f>
        <v>4128</v>
      </c>
      <c r="Q84" s="12">
        <v>531</v>
      </c>
      <c r="R84" s="10"/>
      <c r="S84" s="12" t="s">
        <v>68</v>
      </c>
      <c r="T84" s="12">
        <f t="shared" si="18"/>
        <v>3597</v>
      </c>
      <c r="U84" s="12">
        <f t="shared" si="19"/>
        <v>0</v>
      </c>
      <c r="V84" s="12">
        <f>Table1[[#This Row],[Enrolment S.Y. 2025-2026 ]]*8</f>
        <v>4128</v>
      </c>
      <c r="W84" s="12"/>
      <c r="X84" s="10"/>
      <c r="Y84" s="12"/>
      <c r="Z84" s="12">
        <f t="shared" si="20"/>
        <v>4128</v>
      </c>
      <c r="AA84" s="12">
        <f t="shared" si="21"/>
        <v>0</v>
      </c>
    </row>
    <row r="85" spans="1:27" ht="19.5">
      <c r="A85" s="10">
        <v>9</v>
      </c>
      <c r="B85" s="11" t="s">
        <v>18</v>
      </c>
      <c r="C85" s="10">
        <v>516</v>
      </c>
      <c r="D85" s="12">
        <f>Table1[[#This Row],[Enrolment S.Y. 2025-2026 ]]*8</f>
        <v>4128</v>
      </c>
      <c r="E85" s="12">
        <v>505</v>
      </c>
      <c r="F85" s="10">
        <v>2025</v>
      </c>
      <c r="G85" s="12" t="s">
        <v>68</v>
      </c>
      <c r="H85" s="12">
        <f t="shared" si="22"/>
        <v>3623</v>
      </c>
      <c r="I85" s="12">
        <f t="shared" si="23"/>
        <v>0</v>
      </c>
      <c r="J85" s="12">
        <f>Table1[[#This Row],[Enrolment S.Y. 2025-2026 ]]*8</f>
        <v>4128</v>
      </c>
      <c r="K85" s="12">
        <v>516</v>
      </c>
      <c r="L85" s="10">
        <v>2025</v>
      </c>
      <c r="M85" s="12" t="s">
        <v>68</v>
      </c>
      <c r="N85" s="12">
        <f t="shared" si="16"/>
        <v>3612</v>
      </c>
      <c r="O85" s="12">
        <f t="shared" si="17"/>
        <v>0</v>
      </c>
      <c r="P85" s="12">
        <f>Table1[[#This Row],[Enrolment S.Y. 2025-2026 ]]*8</f>
        <v>4128</v>
      </c>
      <c r="Q85" s="12">
        <v>531</v>
      </c>
      <c r="R85" s="10"/>
      <c r="S85" s="12" t="s">
        <v>68</v>
      </c>
      <c r="T85" s="12">
        <f t="shared" si="18"/>
        <v>3597</v>
      </c>
      <c r="U85" s="12">
        <f t="shared" si="19"/>
        <v>0</v>
      </c>
      <c r="V85" s="12">
        <f>Table1[[#This Row],[Enrolment S.Y. 2025-2026 ]]*8</f>
        <v>4128</v>
      </c>
      <c r="W85" s="12"/>
      <c r="X85" s="10"/>
      <c r="Y85" s="12"/>
      <c r="Z85" s="12">
        <f t="shared" si="20"/>
        <v>4128</v>
      </c>
      <c r="AA85" s="12">
        <f t="shared" si="21"/>
        <v>0</v>
      </c>
    </row>
    <row r="86" spans="1:27" ht="19.5">
      <c r="A86" s="10">
        <v>9</v>
      </c>
      <c r="B86" s="11" t="s">
        <v>26</v>
      </c>
      <c r="C86" s="10">
        <v>516</v>
      </c>
      <c r="D86" s="12">
        <f>Table1[[#This Row],[Enrolment S.Y. 2025-2026 ]]*8</f>
        <v>4128</v>
      </c>
      <c r="E86" s="12">
        <v>505</v>
      </c>
      <c r="F86" s="10">
        <v>2025</v>
      </c>
      <c r="G86" s="12" t="s">
        <v>68</v>
      </c>
      <c r="H86" s="12">
        <f t="shared" si="22"/>
        <v>3623</v>
      </c>
      <c r="I86" s="12">
        <f t="shared" si="23"/>
        <v>0</v>
      </c>
      <c r="J86" s="12">
        <f>Table1[[#This Row],[Enrolment S.Y. 2025-2026 ]]*8</f>
        <v>4128</v>
      </c>
      <c r="K86" s="12">
        <v>516</v>
      </c>
      <c r="L86" s="10">
        <v>2025</v>
      </c>
      <c r="M86" s="12" t="s">
        <v>68</v>
      </c>
      <c r="N86" s="12">
        <f t="shared" si="16"/>
        <v>3612</v>
      </c>
      <c r="O86" s="12">
        <f t="shared" si="17"/>
        <v>0</v>
      </c>
      <c r="P86" s="12">
        <f>Table1[[#This Row],[Enrolment S.Y. 2025-2026 ]]*8</f>
        <v>4128</v>
      </c>
      <c r="Q86" s="12">
        <v>531</v>
      </c>
      <c r="R86" s="10"/>
      <c r="S86" s="12" t="s">
        <v>68</v>
      </c>
      <c r="T86" s="12">
        <f t="shared" si="18"/>
        <v>3597</v>
      </c>
      <c r="U86" s="12">
        <f t="shared" si="19"/>
        <v>0</v>
      </c>
      <c r="V86" s="12">
        <f>Table1[[#This Row],[Enrolment S.Y. 2025-2026 ]]*8</f>
        <v>4128</v>
      </c>
      <c r="W86" s="12"/>
      <c r="X86" s="10"/>
      <c r="Y86" s="12"/>
      <c r="Z86" s="12">
        <f t="shared" si="20"/>
        <v>4128</v>
      </c>
      <c r="AA86" s="12">
        <f t="shared" si="21"/>
        <v>0</v>
      </c>
    </row>
    <row r="87" spans="1:27" ht="19.5">
      <c r="A87" s="10">
        <v>9</v>
      </c>
      <c r="B87" s="11" t="s">
        <v>28</v>
      </c>
      <c r="C87" s="10">
        <v>516</v>
      </c>
      <c r="D87" s="12">
        <f>Table1[[#This Row],[Enrolment S.Y. 2025-2026 ]]*8</f>
        <v>4128</v>
      </c>
      <c r="E87" s="12">
        <v>505</v>
      </c>
      <c r="F87" s="10">
        <v>2025</v>
      </c>
      <c r="G87" s="12" t="s">
        <v>68</v>
      </c>
      <c r="H87" s="12">
        <f t="shared" si="22"/>
        <v>3623</v>
      </c>
      <c r="I87" s="12">
        <f t="shared" si="23"/>
        <v>0</v>
      </c>
      <c r="J87" s="12">
        <f>Table1[[#This Row],[Enrolment S.Y. 2025-2026 ]]*8</f>
        <v>4128</v>
      </c>
      <c r="K87" s="12">
        <v>516</v>
      </c>
      <c r="L87" s="10">
        <v>2025</v>
      </c>
      <c r="M87" s="12" t="s">
        <v>68</v>
      </c>
      <c r="N87" s="12">
        <f t="shared" si="16"/>
        <v>3612</v>
      </c>
      <c r="O87" s="12">
        <f t="shared" si="17"/>
        <v>0</v>
      </c>
      <c r="P87" s="12">
        <f>Table1[[#This Row],[Enrolment S.Y. 2025-2026 ]]*8</f>
        <v>4128</v>
      </c>
      <c r="Q87" s="12">
        <v>531</v>
      </c>
      <c r="R87" s="10"/>
      <c r="S87" s="12" t="s">
        <v>68</v>
      </c>
      <c r="T87" s="12">
        <f t="shared" si="18"/>
        <v>3597</v>
      </c>
      <c r="U87" s="12">
        <f t="shared" si="19"/>
        <v>0</v>
      </c>
      <c r="V87" s="12">
        <f>Table1[[#This Row],[Enrolment S.Y. 2025-2026 ]]*8</f>
        <v>4128</v>
      </c>
      <c r="W87" s="12"/>
      <c r="X87" s="10"/>
      <c r="Y87" s="12"/>
      <c r="Z87" s="12">
        <f t="shared" si="20"/>
        <v>4128</v>
      </c>
      <c r="AA87" s="12">
        <f t="shared" si="21"/>
        <v>0</v>
      </c>
    </row>
    <row r="88" spans="1:27" ht="19.5">
      <c r="A88" s="10">
        <v>9</v>
      </c>
      <c r="B88" s="11" t="s">
        <v>19</v>
      </c>
      <c r="C88" s="10">
        <v>516</v>
      </c>
      <c r="D88" s="12">
        <f>Table1[[#This Row],[Enrolment S.Y. 2025-2026 ]]*8</f>
        <v>4128</v>
      </c>
      <c r="E88" s="12">
        <v>505</v>
      </c>
      <c r="F88" s="10">
        <v>2025</v>
      </c>
      <c r="G88" s="12" t="s">
        <v>68</v>
      </c>
      <c r="H88" s="12">
        <f t="shared" si="22"/>
        <v>3623</v>
      </c>
      <c r="I88" s="12">
        <f t="shared" si="23"/>
        <v>0</v>
      </c>
      <c r="J88" s="12">
        <f>Table1[[#This Row],[Enrolment S.Y. 2025-2026 ]]*8</f>
        <v>4128</v>
      </c>
      <c r="K88" s="12">
        <v>516</v>
      </c>
      <c r="L88" s="10">
        <v>2025</v>
      </c>
      <c r="M88" s="12" t="s">
        <v>68</v>
      </c>
      <c r="N88" s="12">
        <f t="shared" si="16"/>
        <v>3612</v>
      </c>
      <c r="O88" s="12">
        <f t="shared" si="17"/>
        <v>0</v>
      </c>
      <c r="P88" s="12">
        <f>Table1[[#This Row],[Enrolment S.Y. 2025-2026 ]]*8</f>
        <v>4128</v>
      </c>
      <c r="Q88" s="12">
        <v>531</v>
      </c>
      <c r="R88" s="10"/>
      <c r="S88" s="12" t="s">
        <v>68</v>
      </c>
      <c r="T88" s="12">
        <f t="shared" si="18"/>
        <v>3597</v>
      </c>
      <c r="U88" s="12">
        <f t="shared" si="19"/>
        <v>0</v>
      </c>
      <c r="V88" s="12">
        <f>Table1[[#This Row],[Enrolment S.Y. 2025-2026 ]]*8</f>
        <v>4128</v>
      </c>
      <c r="W88" s="12"/>
      <c r="X88" s="10"/>
      <c r="Y88" s="12"/>
      <c r="Z88" s="12">
        <f t="shared" si="20"/>
        <v>4128</v>
      </c>
      <c r="AA88" s="12">
        <f t="shared" si="21"/>
        <v>0</v>
      </c>
    </row>
    <row r="89" spans="1:27" ht="19.5">
      <c r="A89" s="10">
        <v>9</v>
      </c>
      <c r="B89" s="11" t="s">
        <v>23</v>
      </c>
      <c r="C89" s="10">
        <v>516</v>
      </c>
      <c r="D89" s="12">
        <f>Table1[[#This Row],[Enrolment S.Y. 2025-2026 ]]*8</f>
        <v>4128</v>
      </c>
      <c r="E89" s="12">
        <v>505</v>
      </c>
      <c r="F89" s="10">
        <v>2025</v>
      </c>
      <c r="G89" s="12" t="s">
        <v>68</v>
      </c>
      <c r="H89" s="12">
        <f t="shared" si="22"/>
        <v>3623</v>
      </c>
      <c r="I89" s="12">
        <f t="shared" si="23"/>
        <v>0</v>
      </c>
      <c r="J89" s="12">
        <f>Table1[[#This Row],[Enrolment S.Y. 2025-2026 ]]*8</f>
        <v>4128</v>
      </c>
      <c r="K89" s="12">
        <v>516</v>
      </c>
      <c r="L89" s="10">
        <v>2025</v>
      </c>
      <c r="M89" s="12" t="s">
        <v>68</v>
      </c>
      <c r="N89" s="12">
        <f t="shared" si="16"/>
        <v>3612</v>
      </c>
      <c r="O89" s="12">
        <f t="shared" si="17"/>
        <v>0</v>
      </c>
      <c r="P89" s="12">
        <f>Table1[[#This Row],[Enrolment S.Y. 2025-2026 ]]*8</f>
        <v>4128</v>
      </c>
      <c r="Q89" s="12">
        <v>531</v>
      </c>
      <c r="R89" s="10"/>
      <c r="S89" s="12" t="s">
        <v>68</v>
      </c>
      <c r="T89" s="12">
        <f t="shared" si="18"/>
        <v>3597</v>
      </c>
      <c r="U89" s="12">
        <f t="shared" si="19"/>
        <v>0</v>
      </c>
      <c r="V89" s="12">
        <f>Table1[[#This Row],[Enrolment S.Y. 2025-2026 ]]*8</f>
        <v>4128</v>
      </c>
      <c r="W89" s="12"/>
      <c r="X89" s="10"/>
      <c r="Y89" s="12"/>
      <c r="Z89" s="12">
        <f t="shared" si="20"/>
        <v>4128</v>
      </c>
      <c r="AA89" s="12">
        <f t="shared" si="21"/>
        <v>0</v>
      </c>
    </row>
    <row r="90" spans="1:27" ht="19.5">
      <c r="A90" s="10">
        <v>9</v>
      </c>
      <c r="B90" s="11" t="s">
        <v>27</v>
      </c>
      <c r="C90" s="10">
        <v>516</v>
      </c>
      <c r="D90" s="12">
        <f>Table1[[#This Row],[Enrolment S.Y. 2025-2026 ]]*8</f>
        <v>4128</v>
      </c>
      <c r="E90" s="12">
        <v>505</v>
      </c>
      <c r="F90" s="10">
        <v>2025</v>
      </c>
      <c r="G90" s="12" t="s">
        <v>68</v>
      </c>
      <c r="H90" s="12">
        <f t="shared" si="22"/>
        <v>3623</v>
      </c>
      <c r="I90" s="12">
        <f t="shared" si="23"/>
        <v>0</v>
      </c>
      <c r="J90" s="12">
        <f>Table1[[#This Row],[Enrolment S.Y. 2025-2026 ]]*8</f>
        <v>4128</v>
      </c>
      <c r="K90" s="12">
        <v>516</v>
      </c>
      <c r="L90" s="10">
        <v>2025</v>
      </c>
      <c r="M90" s="12" t="s">
        <v>68</v>
      </c>
      <c r="N90" s="12">
        <f t="shared" si="16"/>
        <v>3612</v>
      </c>
      <c r="O90" s="12">
        <f t="shared" si="17"/>
        <v>0</v>
      </c>
      <c r="P90" s="12">
        <f>Table1[[#This Row],[Enrolment S.Y. 2025-2026 ]]*8</f>
        <v>4128</v>
      </c>
      <c r="Q90" s="12">
        <v>531</v>
      </c>
      <c r="R90" s="10"/>
      <c r="S90" s="12" t="s">
        <v>68</v>
      </c>
      <c r="T90" s="12">
        <f t="shared" si="18"/>
        <v>3597</v>
      </c>
      <c r="U90" s="12">
        <f t="shared" si="19"/>
        <v>0</v>
      </c>
      <c r="V90" s="12">
        <f>Table1[[#This Row],[Enrolment S.Y. 2025-2026 ]]*8</f>
        <v>4128</v>
      </c>
      <c r="W90" s="12"/>
      <c r="X90" s="10"/>
      <c r="Y90" s="12"/>
      <c r="Z90" s="12">
        <f t="shared" si="20"/>
        <v>4128</v>
      </c>
      <c r="AA90" s="12">
        <f t="shared" si="21"/>
        <v>0</v>
      </c>
    </row>
    <row r="91" spans="1:27" ht="19.5">
      <c r="A91" s="10">
        <v>9</v>
      </c>
      <c r="B91" s="11" t="s">
        <v>25</v>
      </c>
      <c r="C91" s="10">
        <v>516</v>
      </c>
      <c r="D91" s="12">
        <f>Table1[[#This Row],[Enrolment S.Y. 2025-2026 ]]*8</f>
        <v>4128</v>
      </c>
      <c r="E91" s="12">
        <v>505</v>
      </c>
      <c r="F91" s="10">
        <v>2025</v>
      </c>
      <c r="G91" s="12" t="s">
        <v>68</v>
      </c>
      <c r="H91" s="12">
        <f t="shared" si="22"/>
        <v>3623</v>
      </c>
      <c r="I91" s="12">
        <f t="shared" si="23"/>
        <v>0</v>
      </c>
      <c r="J91" s="12">
        <f>Table1[[#This Row],[Enrolment S.Y. 2025-2026 ]]*8</f>
        <v>4128</v>
      </c>
      <c r="K91" s="12">
        <v>516</v>
      </c>
      <c r="L91" s="10">
        <v>2025</v>
      </c>
      <c r="M91" s="12" t="s">
        <v>68</v>
      </c>
      <c r="N91" s="12">
        <f t="shared" si="16"/>
        <v>3612</v>
      </c>
      <c r="O91" s="12">
        <f t="shared" si="17"/>
        <v>0</v>
      </c>
      <c r="P91" s="12">
        <f>Table1[[#This Row],[Enrolment S.Y. 2025-2026 ]]*8</f>
        <v>4128</v>
      </c>
      <c r="Q91" s="12">
        <v>531</v>
      </c>
      <c r="R91" s="10"/>
      <c r="S91" s="12" t="s">
        <v>68</v>
      </c>
      <c r="T91" s="12">
        <f t="shared" si="18"/>
        <v>3597</v>
      </c>
      <c r="U91" s="12">
        <f t="shared" si="19"/>
        <v>0</v>
      </c>
      <c r="V91" s="12">
        <f>Table1[[#This Row],[Enrolment S.Y. 2025-2026 ]]*8</f>
        <v>4128</v>
      </c>
      <c r="W91" s="12"/>
      <c r="X91" s="10"/>
      <c r="Y91" s="12"/>
      <c r="Z91" s="12">
        <f t="shared" si="20"/>
        <v>4128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20</v>
      </c>
      <c r="C93" s="10">
        <v>519</v>
      </c>
      <c r="D93" s="12">
        <f>Table1[[#This Row],[Enrolment S.Y. 2025-2026 ]]*8</f>
        <v>4152</v>
      </c>
      <c r="E93" s="12">
        <v>503</v>
      </c>
      <c r="F93" s="10">
        <v>2025</v>
      </c>
      <c r="G93" s="12" t="s">
        <v>68</v>
      </c>
      <c r="H93" s="12">
        <f>IF((D93-E93)&lt;0,0,(D93-E93))</f>
        <v>3649</v>
      </c>
      <c r="I93" s="12">
        <f>IF((E93-D93)&lt;0,0,(E93-D93))</f>
        <v>0</v>
      </c>
      <c r="J93" s="12">
        <f>Table1[[#This Row],[Enrolment S.Y. 2025-2026 ]]*8</f>
        <v>4152</v>
      </c>
      <c r="K93" s="12">
        <v>510</v>
      </c>
      <c r="L93" s="10">
        <v>2025</v>
      </c>
      <c r="M93" s="12" t="s">
        <v>68</v>
      </c>
      <c r="N93" s="12">
        <f>IF((J93-K93)&lt;0,0,(J93-K93))</f>
        <v>3642</v>
      </c>
      <c r="O93" s="12">
        <f>IF((K93-J93)&lt;0,0,(K93-J93))</f>
        <v>0</v>
      </c>
      <c r="P93" s="12">
        <f>Table1[[#This Row],[Enrolment S.Y. 2025-2026 ]]*8</f>
        <v>4152</v>
      </c>
      <c r="Q93" s="12">
        <v>529</v>
      </c>
      <c r="R93" s="10"/>
      <c r="S93" s="12" t="s">
        <v>68</v>
      </c>
      <c r="T93" s="12">
        <f>IF((P93-Q93)&lt;0,0,(P93-Q93))</f>
        <v>3623</v>
      </c>
      <c r="U93" s="12">
        <f>IF((Q93-P93)&lt;0,0,(Q93-P93))</f>
        <v>0</v>
      </c>
      <c r="V93" s="12">
        <f>Table1[[#This Row],[Enrolment S.Y. 2025-2026 ]]*8</f>
        <v>4152</v>
      </c>
      <c r="W93" s="12"/>
      <c r="X93" s="10"/>
      <c r="Y93" s="12"/>
      <c r="Z93" s="12">
        <f>IF((V93-W93)&lt;0,0,(V93-W93))</f>
        <v>4152</v>
      </c>
      <c r="AA93" s="12">
        <f>IF((W93-V93)&lt;0,0,(W93-V93))</f>
        <v>0</v>
      </c>
    </row>
    <row r="94" spans="1:27" ht="19.5">
      <c r="A94" s="10">
        <v>10</v>
      </c>
      <c r="B94" s="11" t="s">
        <v>21</v>
      </c>
      <c r="C94" s="10">
        <v>519</v>
      </c>
      <c r="D94" s="12">
        <f>Table1[[#This Row],[Enrolment S.Y. 2025-2026 ]]*8</f>
        <v>4152</v>
      </c>
      <c r="E94" s="12">
        <v>503</v>
      </c>
      <c r="F94" s="10">
        <v>2025</v>
      </c>
      <c r="G94" s="12" t="s">
        <v>68</v>
      </c>
      <c r="H94" s="12">
        <f>IF((D94-E94)&lt;0,0,(D94-E94))</f>
        <v>3649</v>
      </c>
      <c r="I94" s="12">
        <f>IF((E94-D94)&lt;0,0,(E94-D94))</f>
        <v>0</v>
      </c>
      <c r="J94" s="12">
        <f>Table1[[#This Row],[Enrolment S.Y. 2025-2026 ]]*8</f>
        <v>4152</v>
      </c>
      <c r="K94" s="12">
        <v>510</v>
      </c>
      <c r="L94" s="10">
        <v>2025</v>
      </c>
      <c r="M94" s="12" t="s">
        <v>68</v>
      </c>
      <c r="N94" s="12">
        <f>IF((J94-K94)&lt;0,0,(J94-K94))</f>
        <v>3642</v>
      </c>
      <c r="O94" s="12">
        <f>IF((K94-J94)&lt;0,0,(K94-J94))</f>
        <v>0</v>
      </c>
      <c r="P94" s="12">
        <f>Table1[[#This Row],[Enrolment S.Y. 2025-2026 ]]*8</f>
        <v>4152</v>
      </c>
      <c r="Q94" s="12">
        <v>529</v>
      </c>
      <c r="R94" s="10"/>
      <c r="S94" s="12" t="s">
        <v>68</v>
      </c>
      <c r="T94" s="12">
        <f>IF((P94-Q94)&lt;0,0,(P94-Q94))</f>
        <v>3623</v>
      </c>
      <c r="U94" s="12">
        <f>IF((Q94-P94)&lt;0,0,(Q94-P94))</f>
        <v>0</v>
      </c>
      <c r="V94" s="12">
        <f>Table1[[#This Row],[Enrolment S.Y. 2025-2026 ]]*8</f>
        <v>4152</v>
      </c>
      <c r="W94" s="12"/>
      <c r="X94" s="10"/>
      <c r="Y94" s="12"/>
      <c r="Z94" s="12">
        <f>IF((V94-W94)&lt;0,0,(V94-W94))</f>
        <v>4152</v>
      </c>
      <c r="AA94" s="12">
        <f>IF((W94-V94)&lt;0,0,(W94-V94))</f>
        <v>0</v>
      </c>
    </row>
    <row r="95" spans="1:27" ht="19.5">
      <c r="A95" s="10">
        <v>10</v>
      </c>
      <c r="B95" s="11" t="s">
        <v>18</v>
      </c>
      <c r="C95" s="10">
        <v>519</v>
      </c>
      <c r="D95" s="12">
        <f>Table1[[#This Row],[Enrolment S.Y. 2025-2026 ]]*8</f>
        <v>4152</v>
      </c>
      <c r="E95" s="12">
        <v>503</v>
      </c>
      <c r="F95" s="10">
        <v>2025</v>
      </c>
      <c r="G95" s="12" t="s">
        <v>68</v>
      </c>
      <c r="H95" s="12">
        <f>IF((D95-E95)&lt;0,0,(D95-E95))</f>
        <v>3649</v>
      </c>
      <c r="I95" s="12">
        <f>IF((E95-D95)&lt;0,0,(E95-D95))</f>
        <v>0</v>
      </c>
      <c r="J95" s="12">
        <f>Table1[[#This Row],[Enrolment S.Y. 2025-2026 ]]*8</f>
        <v>4152</v>
      </c>
      <c r="K95" s="12">
        <v>510</v>
      </c>
      <c r="L95" s="10">
        <v>2025</v>
      </c>
      <c r="M95" s="12" t="s">
        <v>68</v>
      </c>
      <c r="N95" s="12">
        <f>IF((J95-K95)&lt;0,0,(J95-K95))</f>
        <v>3642</v>
      </c>
      <c r="O95" s="12">
        <f>IF((K95-J95)&lt;0,0,(K95-J95))</f>
        <v>0</v>
      </c>
      <c r="P95" s="12">
        <f>Table1[[#This Row],[Enrolment S.Y. 2025-2026 ]]*8</f>
        <v>4152</v>
      </c>
      <c r="Q95" s="12">
        <v>529</v>
      </c>
      <c r="R95" s="10"/>
      <c r="S95" s="12" t="s">
        <v>68</v>
      </c>
      <c r="T95" s="12">
        <f>IF((P95-Q95)&lt;0,0,(P95-Q95))</f>
        <v>3623</v>
      </c>
      <c r="U95" s="12">
        <f>IF((Q95-P95)&lt;0,0,(Q95-P95))</f>
        <v>0</v>
      </c>
      <c r="V95" s="12">
        <f>Table1[[#This Row],[Enrolment S.Y. 2025-2026 ]]*8</f>
        <v>4152</v>
      </c>
      <c r="W95" s="12"/>
      <c r="X95" s="10"/>
      <c r="Y95" s="12"/>
      <c r="Z95" s="12">
        <f>IF((V95-W95)&lt;0,0,(V95-W95))</f>
        <v>4152</v>
      </c>
      <c r="AA95" s="12">
        <f>IF((W95-V95)&lt;0,0,(W95-V95))</f>
        <v>0</v>
      </c>
    </row>
    <row r="96" spans="1:27" ht="19.5">
      <c r="A96" s="10">
        <v>10</v>
      </c>
      <c r="B96" s="11" t="s">
        <v>26</v>
      </c>
      <c r="C96" s="10">
        <v>519</v>
      </c>
      <c r="D96" s="12">
        <f>Table1[[#This Row],[Enrolment S.Y. 2025-2026 ]]*8</f>
        <v>4152</v>
      </c>
      <c r="E96" s="12">
        <v>503</v>
      </c>
      <c r="F96" s="10">
        <v>2025</v>
      </c>
      <c r="G96" s="12" t="s">
        <v>68</v>
      </c>
      <c r="H96" s="12">
        <f>IF((D96-E96)&lt;0,0,(D96-E96))</f>
        <v>3649</v>
      </c>
      <c r="I96" s="12">
        <f>IF((E96-D96)&lt;0,0,(E96-D96))</f>
        <v>0</v>
      </c>
      <c r="J96" s="12">
        <f>Table1[[#This Row],[Enrolment S.Y. 2025-2026 ]]*8</f>
        <v>4152</v>
      </c>
      <c r="K96" s="12">
        <v>510</v>
      </c>
      <c r="L96" s="10">
        <v>2025</v>
      </c>
      <c r="M96" s="12" t="s">
        <v>68</v>
      </c>
      <c r="N96" s="12">
        <f>IF((J96-K96)&lt;0,0,(J96-K96))</f>
        <v>3642</v>
      </c>
      <c r="O96" s="12">
        <f>IF((K96-J96)&lt;0,0,(K96-J96))</f>
        <v>0</v>
      </c>
      <c r="P96" s="12">
        <f>Table1[[#This Row],[Enrolment S.Y. 2025-2026 ]]*8</f>
        <v>4152</v>
      </c>
      <c r="Q96" s="12">
        <v>529</v>
      </c>
      <c r="R96" s="10"/>
      <c r="S96" s="12" t="s">
        <v>68</v>
      </c>
      <c r="T96" s="12">
        <f>IF((P96-Q96)&lt;0,0,(P96-Q96))</f>
        <v>3623</v>
      </c>
      <c r="U96" s="12">
        <f>IF((Q96-P96)&lt;0,0,(Q96-P96))</f>
        <v>0</v>
      </c>
      <c r="V96" s="12">
        <f>Table1[[#This Row],[Enrolment S.Y. 2025-2026 ]]*8</f>
        <v>4152</v>
      </c>
      <c r="W96" s="12"/>
      <c r="X96" s="10"/>
      <c r="Y96" s="12"/>
      <c r="Z96" s="12">
        <f>IF((V96-W96)&lt;0,0,(V96-W96))</f>
        <v>4152</v>
      </c>
      <c r="AA96" s="12">
        <f>IF((W96-V96)&lt;0,0,(W96-V96))</f>
        <v>0</v>
      </c>
    </row>
    <row r="97" spans="1:27" ht="19.5">
      <c r="A97" s="10">
        <v>10</v>
      </c>
      <c r="B97" s="11" t="s">
        <v>28</v>
      </c>
      <c r="C97" s="10">
        <v>519</v>
      </c>
      <c r="D97" s="12">
        <f>Table1[[#This Row],[Enrolment S.Y. 2025-2026 ]]*8</f>
        <v>4152</v>
      </c>
      <c r="E97" s="12">
        <v>503</v>
      </c>
      <c r="F97" s="10">
        <v>2025</v>
      </c>
      <c r="G97" s="12" t="s">
        <v>68</v>
      </c>
      <c r="H97" s="12">
        <f>IF((D97-E97)&lt;0,0,(D97-E97))</f>
        <v>3649</v>
      </c>
      <c r="I97" s="12">
        <f>IF((E97-D97)&lt;0,0,(E97-D97))</f>
        <v>0</v>
      </c>
      <c r="J97" s="12">
        <f>Table1[[#This Row],[Enrolment S.Y. 2025-2026 ]]*8</f>
        <v>4152</v>
      </c>
      <c r="K97" s="12">
        <v>510</v>
      </c>
      <c r="L97" s="10">
        <v>2025</v>
      </c>
      <c r="M97" s="12" t="s">
        <v>68</v>
      </c>
      <c r="N97" s="12">
        <f>IF((J97-K97)&lt;0,0,(J97-K97))</f>
        <v>3642</v>
      </c>
      <c r="O97" s="12">
        <f>IF((K97-J97)&lt;0,0,(K97-J97))</f>
        <v>0</v>
      </c>
      <c r="P97" s="12">
        <f>Table1[[#This Row],[Enrolment S.Y. 2025-2026 ]]*8</f>
        <v>4152</v>
      </c>
      <c r="Q97" s="12">
        <v>529</v>
      </c>
      <c r="R97" s="10"/>
      <c r="S97" s="12" t="s">
        <v>68</v>
      </c>
      <c r="T97" s="12">
        <f>IF((P97-Q97)&lt;0,0,(P97-Q97))</f>
        <v>3623</v>
      </c>
      <c r="U97" s="12">
        <f>IF((Q97-P97)&lt;0,0,(Q97-P97))</f>
        <v>0</v>
      </c>
      <c r="V97" s="12">
        <f>Table1[[#This Row],[Enrolment S.Y. 2025-2026 ]]*8</f>
        <v>4152</v>
      </c>
      <c r="W97" s="12"/>
      <c r="X97" s="10"/>
      <c r="Y97" s="12"/>
      <c r="Z97" s="12">
        <f>IF((V97-W97)&lt;0,0,(V97-W97))</f>
        <v>4152</v>
      </c>
      <c r="AA97" s="12">
        <f>IF((W97-V97)&lt;0,0,(W97-V97))</f>
        <v>0</v>
      </c>
    </row>
    <row r="98" spans="1:27" ht="19.5">
      <c r="A98" s="10">
        <v>10</v>
      </c>
      <c r="B98" s="11" t="s">
        <v>19</v>
      </c>
      <c r="C98" s="10">
        <v>519</v>
      </c>
      <c r="D98" s="12">
        <f>Table1[[#This Row],[Enrolment S.Y. 2025-2026 ]]*8</f>
        <v>4152</v>
      </c>
      <c r="E98" s="12">
        <v>503</v>
      </c>
      <c r="F98" s="10">
        <v>2025</v>
      </c>
      <c r="G98" s="12" t="s">
        <v>68</v>
      </c>
      <c r="H98" s="12">
        <f>IF((D98-E98)&lt;0,0,(D98-E98))</f>
        <v>3649</v>
      </c>
      <c r="I98" s="12">
        <f>IF((E98-D98)&lt;0,0,(E98-D98))</f>
        <v>0</v>
      </c>
      <c r="J98" s="12">
        <f>Table1[[#This Row],[Enrolment S.Y. 2025-2026 ]]*8</f>
        <v>4152</v>
      </c>
      <c r="K98" s="12">
        <v>510</v>
      </c>
      <c r="L98" s="10">
        <v>2025</v>
      </c>
      <c r="M98" s="12" t="s">
        <v>68</v>
      </c>
      <c r="N98" s="12">
        <f>IF((J98-K98)&lt;0,0,(J98-K98))</f>
        <v>3642</v>
      </c>
      <c r="O98" s="12">
        <f>IF((K98-J98)&lt;0,0,(K98-J98))</f>
        <v>0</v>
      </c>
      <c r="P98" s="12">
        <f>Table1[[#This Row],[Enrolment S.Y. 2025-2026 ]]*8</f>
        <v>4152</v>
      </c>
      <c r="Q98" s="12">
        <v>529</v>
      </c>
      <c r="R98" s="10"/>
      <c r="S98" s="12" t="s">
        <v>68</v>
      </c>
      <c r="T98" s="12">
        <f>IF((P98-Q98)&lt;0,0,(P98-Q98))</f>
        <v>3623</v>
      </c>
      <c r="U98" s="12">
        <f>IF((Q98-P98)&lt;0,0,(Q98-P98))</f>
        <v>0</v>
      </c>
      <c r="V98" s="12">
        <f>Table1[[#This Row],[Enrolment S.Y. 2025-2026 ]]*8</f>
        <v>4152</v>
      </c>
      <c r="W98" s="12"/>
      <c r="X98" s="10"/>
      <c r="Y98" s="12"/>
      <c r="Z98" s="12">
        <f>IF((V98-W98)&lt;0,0,(V98-W98))</f>
        <v>4152</v>
      </c>
      <c r="AA98" s="12">
        <f>IF((W98-V98)&lt;0,0,(W98-V98))</f>
        <v>0</v>
      </c>
    </row>
    <row r="99" spans="1:27" ht="19.5">
      <c r="A99" s="10">
        <v>10</v>
      </c>
      <c r="B99" s="11" t="s">
        <v>23</v>
      </c>
      <c r="C99" s="10">
        <v>519</v>
      </c>
      <c r="D99" s="12">
        <f>Table1[[#This Row],[Enrolment S.Y. 2025-2026 ]]*8</f>
        <v>4152</v>
      </c>
      <c r="E99" s="12">
        <v>503</v>
      </c>
      <c r="F99" s="10">
        <v>2025</v>
      </c>
      <c r="G99" s="12" t="s">
        <v>68</v>
      </c>
      <c r="H99" s="12">
        <f>IF((D99-E99)&lt;0,0,(D99-E99))</f>
        <v>3649</v>
      </c>
      <c r="I99" s="12">
        <f>IF((E99-D99)&lt;0,0,(E99-D99))</f>
        <v>0</v>
      </c>
      <c r="J99" s="12">
        <f>Table1[[#This Row],[Enrolment S.Y. 2025-2026 ]]*8</f>
        <v>4152</v>
      </c>
      <c r="K99" s="12">
        <v>510</v>
      </c>
      <c r="L99" s="10">
        <v>2025</v>
      </c>
      <c r="M99" s="12" t="s">
        <v>68</v>
      </c>
      <c r="N99" s="12">
        <f>IF((J99-K99)&lt;0,0,(J99-K99))</f>
        <v>3642</v>
      </c>
      <c r="O99" s="12">
        <f>IF((K99-J99)&lt;0,0,(K99-J99))</f>
        <v>0</v>
      </c>
      <c r="P99" s="12">
        <f>Table1[[#This Row],[Enrolment S.Y. 2025-2026 ]]*8</f>
        <v>4152</v>
      </c>
      <c r="Q99" s="12">
        <v>529</v>
      </c>
      <c r="R99" s="10"/>
      <c r="S99" s="12" t="s">
        <v>68</v>
      </c>
      <c r="T99" s="12">
        <f>IF((P99-Q99)&lt;0,0,(P99-Q99))</f>
        <v>3623</v>
      </c>
      <c r="U99" s="12">
        <f>IF((Q99-P99)&lt;0,0,(Q99-P99))</f>
        <v>0</v>
      </c>
      <c r="V99" s="12">
        <f>Table1[[#This Row],[Enrolment S.Y. 2025-2026 ]]*8</f>
        <v>4152</v>
      </c>
      <c r="W99" s="12"/>
      <c r="X99" s="10"/>
      <c r="Y99" s="12"/>
      <c r="Z99" s="12">
        <f>IF((V99-W99)&lt;0,0,(V99-W99))</f>
        <v>4152</v>
      </c>
      <c r="AA99" s="12">
        <f>IF((W99-V99)&lt;0,0,(W99-V99))</f>
        <v>0</v>
      </c>
    </row>
    <row r="100" spans="1:27" ht="19.5">
      <c r="A100" s="10">
        <v>10</v>
      </c>
      <c r="B100" s="11" t="s">
        <v>27</v>
      </c>
      <c r="C100" s="10">
        <v>519</v>
      </c>
      <c r="D100" s="12">
        <f>Table1[[#This Row],[Enrolment S.Y. 2025-2026 ]]*8</f>
        <v>4152</v>
      </c>
      <c r="E100" s="12">
        <v>503</v>
      </c>
      <c r="F100" s="10">
        <v>2025</v>
      </c>
      <c r="G100" s="12" t="s">
        <v>68</v>
      </c>
      <c r="H100" s="12">
        <f>IF((D100-E100)&lt;0,0,(D100-E100))</f>
        <v>3649</v>
      </c>
      <c r="I100" s="12">
        <f>IF((E100-D100)&lt;0,0,(E100-D100))</f>
        <v>0</v>
      </c>
      <c r="J100" s="12">
        <f>Table1[[#This Row],[Enrolment S.Y. 2025-2026 ]]*8</f>
        <v>4152</v>
      </c>
      <c r="K100" s="12">
        <v>510</v>
      </c>
      <c r="L100" s="10">
        <v>2025</v>
      </c>
      <c r="M100" s="12" t="s">
        <v>68</v>
      </c>
      <c r="N100" s="12">
        <f>IF((J100-K100)&lt;0,0,(J100-K100))</f>
        <v>3642</v>
      </c>
      <c r="O100" s="12">
        <f>IF((K100-J100)&lt;0,0,(K100-J100))</f>
        <v>0</v>
      </c>
      <c r="P100" s="12">
        <f>Table1[[#This Row],[Enrolment S.Y. 2025-2026 ]]*8</f>
        <v>4152</v>
      </c>
      <c r="Q100" s="12">
        <v>529</v>
      </c>
      <c r="R100" s="10"/>
      <c r="S100" s="12" t="s">
        <v>68</v>
      </c>
      <c r="T100" s="12">
        <f>IF((P100-Q100)&lt;0,0,(P100-Q100))</f>
        <v>3623</v>
      </c>
      <c r="U100" s="12">
        <f>IF((Q100-P100)&lt;0,0,(Q100-P100))</f>
        <v>0</v>
      </c>
      <c r="V100" s="12">
        <f>Table1[[#This Row],[Enrolment S.Y. 2025-2026 ]]*8</f>
        <v>4152</v>
      </c>
      <c r="W100" s="12"/>
      <c r="X100" s="10"/>
      <c r="Y100" s="12"/>
      <c r="Z100" s="12">
        <f>IF((V100-W100)&lt;0,0,(V100-W100))</f>
        <v>4152</v>
      </c>
      <c r="AA100" s="12">
        <f>IF((W100-V100)&lt;0,0,(W100-V100))</f>
        <v>0</v>
      </c>
    </row>
    <row r="101" spans="1:27" ht="19.5">
      <c r="A101" s="10">
        <v>10</v>
      </c>
      <c r="B101" s="11" t="s">
        <v>25</v>
      </c>
      <c r="C101" s="10">
        <v>519</v>
      </c>
      <c r="D101" s="12">
        <f>Table1[[#This Row],[Enrolment S.Y. 2025-2026 ]]*8</f>
        <v>4152</v>
      </c>
      <c r="E101" s="12">
        <v>503</v>
      </c>
      <c r="F101" s="10">
        <v>2025</v>
      </c>
      <c r="G101" s="12" t="s">
        <v>68</v>
      </c>
      <c r="H101" s="12">
        <f>IF((D101-E101)&lt;0,0,(D101-E101))</f>
        <v>3649</v>
      </c>
      <c r="I101" s="12">
        <f>IF((E101-D101)&lt;0,0,(E101-D101))</f>
        <v>0</v>
      </c>
      <c r="J101" s="12">
        <f>Table1[[#This Row],[Enrolment S.Y. 2025-2026 ]]*8</f>
        <v>4152</v>
      </c>
      <c r="K101" s="12">
        <v>510</v>
      </c>
      <c r="L101" s="10">
        <v>2025</v>
      </c>
      <c r="M101" s="12" t="s">
        <v>68</v>
      </c>
      <c r="N101" s="12">
        <f>IF((J101-K101)&lt;0,0,(J101-K101))</f>
        <v>3642</v>
      </c>
      <c r="O101" s="12">
        <f>IF((K101-J101)&lt;0,0,(K101-J101))</f>
        <v>0</v>
      </c>
      <c r="P101" s="12">
        <f>Table1[[#This Row],[Enrolment S.Y. 2025-2026 ]]*8</f>
        <v>4152</v>
      </c>
      <c r="Q101" s="12">
        <v>529</v>
      </c>
      <c r="R101" s="10"/>
      <c r="S101" s="12" t="s">
        <v>68</v>
      </c>
      <c r="T101" s="12">
        <f>IF((P101-Q101)&lt;0,0,(P101-Q101))</f>
        <v>3623</v>
      </c>
      <c r="U101" s="12">
        <f>IF((Q101-P101)&lt;0,0,(Q101-P101))</f>
        <v>0</v>
      </c>
      <c r="V101" s="12">
        <f>Table1[[#This Row],[Enrolment S.Y. 2025-2026 ]]*8</f>
        <v>4152</v>
      </c>
      <c r="W101" s="12"/>
      <c r="X101" s="10"/>
      <c r="Y101" s="12"/>
      <c r="Z101" s="12">
        <f>IF((V101-W101)&lt;0,0,(V101-W101))</f>
        <v>4152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29</v>
      </c>
      <c r="B103" s="9" t="s">
        <v>30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29</v>
      </c>
      <c r="B104" s="9" t="s">
        <v>31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29</v>
      </c>
      <c r="B105" s="9" t="s">
        <v>32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29</v>
      </c>
      <c r="B106" s="9" t="s">
        <v>33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29</v>
      </c>
      <c r="B107" s="9" t="s">
        <v>34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29</v>
      </c>
      <c r="B108" s="9" t="s">
        <v>35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29</v>
      </c>
      <c r="B109" s="9" t="s">
        <v>36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29</v>
      </c>
      <c r="B110" s="9" t="s">
        <v>37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W14:X21 W23:X31 H33:I41 W33:X41 H43:I51 W43:X51 H53:I61 W53:X61 H63:I71 W63:X71 H73:I81 W73:X81 H83:I91 W83:X91 H93:I101 W93:X101 H103:I110 W103:X110 H112:I127 N127:Q127 W112:X127 H14:I21 H23:I31 H6:I12 Q112:R112 P2:R2 V2:X3 N13:P126 T13:V127 J6:J127 T5:X12 N4:P4 T4:V4 J4 Z4:AA127 N3:R3 Y13 D5:F12 D14:F21 D23:F31 D33:F41 D43:F51 D53:F61 D63:F71 D73:F81 D83:F91 D93:F101 D103:F110 D112:F127 K6:L12 K14:L21 K23:L31 K33:L41 K43:L51 K53:L61 K63:L71 K73:L81 K83:L91 K93:L101 K103:L110 K112:L127 N5:R12 Q14:R21 Q23:R31 Q33:R41 Q43:R51 Q53:R61 Q63:R71 Q73:R81 Q83:R91 Q93:R101 Q103:R110 Q113:Q126 R113:R127" name="LAS"/>
    <protectedRange sqref="G2:I3 M2:O2 S2:U3 Y2:AA3 G112:G127 M112:M127 S112:S127 Y112:Y127 G5:G12 M5:M12 S4:S110 Y5:Y12 G14:G21 M14:M31 M3 Y14:Y110 G23:G31 G33:G41 G43:G51 G53:G61 G63:G71 G73:G81 G83:G91 G93:G101 G103:G110 M33:M41 M43:M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X103:X110 X83:X91 X93:X101 X14:X21 X5:X12 X112:X127" xr:uid="{4ECCD083-8EC4-42EE-B46C-B614411F330D}">
      <formula1>"2024,2025"</formula1>
    </dataValidation>
    <dataValidation type="list" allowBlank="1" showInputMessage="1" showErrorMessage="1" sqref="G103:G110 Y14:Y110 S4:S110 G5:G12 M5:M12 Y5:Y12 G14:G21 G23:G31 G33:G41 G43:G51 G53:G61 G63:G71 G73:G81 G83:G91 G93:G101 M14:M31 M33:M41 M43:M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" xr:uid="{6DCE7706-0DE0-4CF8-9E96-B1DD61D06731}">
      <formula1>"2024,2025,2026"</formula1>
    </dataValidation>
  </dataValidations>
  <pageMargins left="0.25" right="0.25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8" t="s">
        <v>38</v>
      </c>
      <c r="E1" s="48"/>
      <c r="F1" s="48"/>
      <c r="G1" s="48"/>
      <c r="H1" s="48"/>
      <c r="I1" s="48"/>
      <c r="J1" s="49" t="s">
        <v>39</v>
      </c>
      <c r="K1" s="49"/>
      <c r="L1" s="49"/>
      <c r="M1" s="49"/>
      <c r="N1" s="49"/>
      <c r="O1" s="49"/>
      <c r="P1" s="50" t="s">
        <v>40</v>
      </c>
      <c r="Q1" s="50"/>
      <c r="R1" s="50"/>
      <c r="S1" s="50"/>
      <c r="T1" s="50"/>
      <c r="U1" s="50"/>
      <c r="V1" s="51" t="s">
        <v>41</v>
      </c>
      <c r="W1" s="51"/>
      <c r="X1" s="51"/>
      <c r="Y1" s="51"/>
      <c r="Z1" s="51"/>
      <c r="AA1" s="51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69</v>
      </c>
      <c r="E2" s="20" t="s">
        <v>70</v>
      </c>
      <c r="F2" s="21" t="s">
        <v>71</v>
      </c>
      <c r="G2" s="24" t="s">
        <v>72</v>
      </c>
      <c r="H2" s="17" t="s">
        <v>73</v>
      </c>
      <c r="I2" s="24" t="s">
        <v>74</v>
      </c>
      <c r="J2" s="22" t="s">
        <v>75</v>
      </c>
      <c r="K2" s="22" t="s">
        <v>76</v>
      </c>
      <c r="L2" s="23" t="s">
        <v>77</v>
      </c>
      <c r="M2" s="46" t="s">
        <v>78</v>
      </c>
      <c r="N2" s="46" t="s">
        <v>79</v>
      </c>
      <c r="O2" s="22" t="s">
        <v>80</v>
      </c>
      <c r="P2" s="24" t="s">
        <v>81</v>
      </c>
      <c r="Q2" s="24" t="s">
        <v>82</v>
      </c>
      <c r="R2" s="25" t="s">
        <v>83</v>
      </c>
      <c r="S2" s="17" t="s">
        <v>84</v>
      </c>
      <c r="T2" s="17" t="s">
        <v>85</v>
      </c>
      <c r="U2" s="24" t="s">
        <v>86</v>
      </c>
      <c r="V2" s="26" t="s">
        <v>87</v>
      </c>
      <c r="W2" s="26" t="s">
        <v>88</v>
      </c>
      <c r="X2" s="27" t="s">
        <v>89</v>
      </c>
      <c r="Y2" s="47" t="s">
        <v>90</v>
      </c>
      <c r="Z2" s="47" t="s">
        <v>91</v>
      </c>
      <c r="AA2" s="26" t="s">
        <v>92</v>
      </c>
    </row>
    <row r="3" spans="1:27" ht="38.25">
      <c r="A3" s="1">
        <v>1</v>
      </c>
      <c r="B3" s="2" t="s">
        <v>14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15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16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17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18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20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21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67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14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15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16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17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18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21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20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67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14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15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16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19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17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18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20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21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67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20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21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18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16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22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19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93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94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24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95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96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20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21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18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16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22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19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93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94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24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95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96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20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21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18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16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22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19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93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94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24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95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96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20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21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18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26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22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19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93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94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27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95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96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20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21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18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26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28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19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93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94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27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95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96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20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21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18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26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28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19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93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94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27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95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96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20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21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18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26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28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19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93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94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27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95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96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29</v>
      </c>
      <c r="B115" s="9" t="s">
        <v>30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29</v>
      </c>
      <c r="B116" s="9" t="s">
        <v>31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29</v>
      </c>
      <c r="B117" s="9" t="s">
        <v>32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29</v>
      </c>
      <c r="B118" s="9" t="s">
        <v>33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29</v>
      </c>
      <c r="B119" s="9" t="s">
        <v>34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29</v>
      </c>
      <c r="B120" s="9" t="s">
        <v>35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29</v>
      </c>
      <c r="B121" s="9" t="s">
        <v>36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29</v>
      </c>
      <c r="B122" s="9" t="s">
        <v>37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" xr:uid="{D17A4C61-3F4B-4139-9249-B0373325F473}">
      <formula1>"2024,2025,2026"</formula1>
    </dataValidation>
    <dataValidation type="list" allowBlank="1" showInputMessage="1" showErrorMessage="1" sqref="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61577BFD-628C-4C89-9AA5-0A9FC417321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2026-02-23T05:53:20Z</dcterms:modified>
  <cp:category/>
  <cp:contentStatus/>
</cp:coreProperties>
</file>