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1" documentId="13_ncr:1_{BFB59F67-F0DC-4675-A682-EB0734A8026A}" xr6:coauthVersionLast="47" xr6:coauthVersionMax="47" xr10:uidLastSave="{3D29D6DF-C9CA-4A90-9BFD-ED760744366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H49" i="5"/>
  <c r="J49" i="5"/>
  <c r="U49" i="5"/>
  <c r="T49" i="5"/>
  <c r="V49" i="5"/>
  <c r="Z49" i="5" s="1"/>
  <c r="H46" i="5"/>
  <c r="J46" i="5"/>
  <c r="U46" i="5"/>
  <c r="V46" i="5"/>
  <c r="Z46" i="5" s="1"/>
  <c r="H25" i="5"/>
  <c r="J25" i="5"/>
  <c r="T25" i="5"/>
  <c r="V25" i="5"/>
  <c r="Z25" i="5" s="1"/>
  <c r="H37" i="5"/>
  <c r="J37" i="5"/>
  <c r="T37" i="5"/>
  <c r="V37" i="5"/>
  <c r="Z37" i="5" s="1"/>
  <c r="H34" i="5"/>
  <c r="J34" i="5"/>
  <c r="V34" i="5"/>
  <c r="Z34" i="5" s="1"/>
  <c r="H22" i="5"/>
  <c r="J22" i="5"/>
  <c r="T22" i="5"/>
  <c r="V22" i="5"/>
  <c r="Z22" i="5" s="1"/>
  <c r="H13" i="5"/>
  <c r="J13" i="5"/>
  <c r="T13" i="5"/>
  <c r="V13" i="5"/>
  <c r="Z13" i="5" s="1"/>
  <c r="H10" i="5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I50" i="5"/>
  <c r="V48" i="5"/>
  <c r="Z48" i="5" s="1"/>
  <c r="J48" i="5"/>
  <c r="I48" i="5"/>
  <c r="V47" i="5"/>
  <c r="AA47" i="5" s="1"/>
  <c r="J47" i="5"/>
  <c r="I47" i="5"/>
  <c r="V45" i="5"/>
  <c r="Z45" i="5" s="1"/>
  <c r="P45" i="5"/>
  <c r="J45" i="5"/>
  <c r="N45" i="5" s="1"/>
  <c r="I45" i="5"/>
  <c r="V44" i="5"/>
  <c r="AA44" i="5" s="1"/>
  <c r="P44" i="5"/>
  <c r="U44" i="5" s="1"/>
  <c r="J44" i="5"/>
  <c r="O44" i="5" s="1"/>
  <c r="I44" i="5"/>
  <c r="V43" i="5"/>
  <c r="Z43" i="5" s="1"/>
  <c r="P43" i="5"/>
  <c r="J43" i="5"/>
  <c r="N43" i="5" s="1"/>
  <c r="I43" i="5"/>
  <c r="V42" i="5"/>
  <c r="AA42" i="5" s="1"/>
  <c r="P42" i="5"/>
  <c r="U42" i="5" s="1"/>
  <c r="J42" i="5"/>
  <c r="O42" i="5" s="1"/>
  <c r="I42" i="5"/>
  <c r="V41" i="5"/>
  <c r="AA41" i="5" s="1"/>
  <c r="P41" i="5"/>
  <c r="J41" i="5"/>
  <c r="N41" i="5" s="1"/>
  <c r="I41" i="5"/>
  <c r="V40" i="5"/>
  <c r="AA40" i="5" s="1"/>
  <c r="P40" i="5"/>
  <c r="U40" i="5" s="1"/>
  <c r="J40" i="5"/>
  <c r="O40" i="5" s="1"/>
  <c r="I40" i="5"/>
  <c r="V38" i="5"/>
  <c r="AA38" i="5" s="1"/>
  <c r="J38" i="5"/>
  <c r="I38" i="5"/>
  <c r="V36" i="5"/>
  <c r="AA36" i="5" s="1"/>
  <c r="U36" i="5"/>
  <c r="J36" i="5"/>
  <c r="I36" i="5"/>
  <c r="V35" i="5"/>
  <c r="AA35" i="5" s="1"/>
  <c r="J35" i="5"/>
  <c r="I35" i="5"/>
  <c r="V33" i="5"/>
  <c r="AA33" i="5" s="1"/>
  <c r="P33" i="5"/>
  <c r="U33" i="5" s="1"/>
  <c r="J33" i="5"/>
  <c r="O33" i="5" s="1"/>
  <c r="I33" i="5"/>
  <c r="V32" i="5"/>
  <c r="AA32" i="5" s="1"/>
  <c r="P32" i="5"/>
  <c r="J32" i="5"/>
  <c r="N32" i="5" s="1"/>
  <c r="H32" i="5"/>
  <c r="V31" i="5"/>
  <c r="AA31" i="5" s="1"/>
  <c r="P31" i="5"/>
  <c r="U31" i="5" s="1"/>
  <c r="J31" i="5"/>
  <c r="O31" i="5" s="1"/>
  <c r="H31" i="5"/>
  <c r="V30" i="5"/>
  <c r="AA30" i="5" s="1"/>
  <c r="P30" i="5"/>
  <c r="J30" i="5"/>
  <c r="N30" i="5" s="1"/>
  <c r="I30" i="5"/>
  <c r="V29" i="5"/>
  <c r="AA29" i="5" s="1"/>
  <c r="P29" i="5"/>
  <c r="U29" i="5" s="1"/>
  <c r="J29" i="5"/>
  <c r="O29" i="5" s="1"/>
  <c r="I29" i="5"/>
  <c r="V28" i="5"/>
  <c r="AA28" i="5" s="1"/>
  <c r="P28" i="5"/>
  <c r="J28" i="5"/>
  <c r="N28" i="5" s="1"/>
  <c r="I28" i="5"/>
  <c r="V26" i="5"/>
  <c r="AA26" i="5" s="1"/>
  <c r="U26" i="5"/>
  <c r="J26" i="5"/>
  <c r="I26" i="5"/>
  <c r="V24" i="5"/>
  <c r="AA24" i="5" s="1"/>
  <c r="J24" i="5"/>
  <c r="I24" i="5"/>
  <c r="V23" i="5"/>
  <c r="AA23" i="5" s="1"/>
  <c r="U23" i="5"/>
  <c r="J23" i="5"/>
  <c r="I23" i="5"/>
  <c r="V21" i="5"/>
  <c r="AA21" i="5" s="1"/>
  <c r="J21" i="5"/>
  <c r="I21" i="5"/>
  <c r="V20" i="5"/>
  <c r="AA20" i="5" s="1"/>
  <c r="P20" i="5"/>
  <c r="U20" i="5" s="1"/>
  <c r="J20" i="5"/>
  <c r="O20" i="5" s="1"/>
  <c r="I20" i="5"/>
  <c r="V19" i="5"/>
  <c r="Z19" i="5" s="1"/>
  <c r="P19" i="5"/>
  <c r="J19" i="5"/>
  <c r="N19" i="5" s="1"/>
  <c r="I19" i="5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I16" i="5"/>
  <c r="V14" i="5"/>
  <c r="AA14" i="5" s="1"/>
  <c r="U14" i="5"/>
  <c r="J14" i="5"/>
  <c r="I14" i="5"/>
  <c r="V12" i="5"/>
  <c r="AA12" i="5" s="1"/>
  <c r="U12" i="5"/>
  <c r="J12" i="5"/>
  <c r="H12" i="5"/>
  <c r="V11" i="5"/>
  <c r="Z11" i="5" s="1"/>
  <c r="U11" i="5"/>
  <c r="J11" i="5"/>
  <c r="I11" i="5"/>
  <c r="V9" i="5"/>
  <c r="Z9" i="5" s="1"/>
  <c r="U9" i="5"/>
  <c r="J9" i="5"/>
  <c r="I9" i="5"/>
  <c r="V8" i="5"/>
  <c r="AA8" i="5" s="1"/>
  <c r="U8" i="5"/>
  <c r="J8" i="5"/>
  <c r="H8" i="5"/>
  <c r="V7" i="5"/>
  <c r="AA7" i="5" s="1"/>
  <c r="P7" i="5"/>
  <c r="U7" i="5" s="1"/>
  <c r="J7" i="5"/>
  <c r="H7" i="5"/>
  <c r="V6" i="5"/>
  <c r="AA6" i="5" s="1"/>
  <c r="P6" i="5"/>
  <c r="U6" i="5" s="1"/>
  <c r="J6" i="5"/>
  <c r="N6" i="5" s="1"/>
  <c r="I6" i="5"/>
  <c r="V5" i="5"/>
  <c r="AA5" i="5" s="1"/>
  <c r="P5" i="5"/>
  <c r="U5" i="5" s="1"/>
  <c r="J5" i="5"/>
  <c r="I5" i="5"/>
  <c r="V4" i="5"/>
  <c r="AA4" i="5" s="1"/>
  <c r="P4" i="5"/>
  <c r="U4" i="5" s="1"/>
  <c r="J4" i="5"/>
  <c r="N4" i="5" s="1"/>
  <c r="I4" i="5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6" i="4"/>
  <c r="H7" i="4"/>
  <c r="I10" i="4"/>
  <c r="I11" i="4"/>
  <c r="H12" i="4"/>
  <c r="H13" i="4"/>
  <c r="H14" i="4"/>
  <c r="H16" i="4"/>
  <c r="I19" i="4"/>
  <c r="I20" i="4"/>
  <c r="I21" i="4"/>
  <c r="I22" i="4"/>
  <c r="H23" i="4"/>
  <c r="H24" i="4"/>
  <c r="I28" i="4"/>
  <c r="I29" i="4"/>
  <c r="H30" i="4"/>
  <c r="H31" i="4"/>
  <c r="H32" i="4"/>
  <c r="H33" i="4"/>
  <c r="I34" i="4"/>
  <c r="I37" i="4"/>
  <c r="I38" i="4"/>
  <c r="I39" i="4"/>
  <c r="I40" i="4"/>
  <c r="I41" i="4"/>
  <c r="H42" i="4"/>
  <c r="I43" i="4"/>
  <c r="I44" i="4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<sst xmlns="http://schemas.openxmlformats.org/spreadsheetml/2006/main" count="279" uniqueCount="85">
  <si>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</si>
  <si>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</si>
  <si>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</si>
  <si>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</si>
  <si>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</si>
  <si>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</si>
  <si>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</si>
  <si>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</si>
  <si>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</si>
  <si>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</si>
  <si>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</si>
  <si>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</si>
  <si>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</si>
  <si>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</si>
  <si>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</si>
  <si>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</si>
  <si>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</si>
  <si>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</si>
  <si>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</si>
  <si>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</si>
  <si>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</si>
  <si>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</si>
  <si>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</si>
  <si>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</si>
  <si>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</si>
  <si>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</si>
  <si>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</si>
  <si>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</si>
  <si>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</si>
  <si>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</si>
  <si>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</si>
  <si>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</si>
  <si>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</si>
  <si>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</si>
  <si>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</si>
  <si>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</si>
  <si>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</si>
  <si>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</si>
  <si>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</si>
  <si>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</si>
  <si>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</si>
  <si>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</si>
  <si>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</si>
  <si>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</si>
  <si>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</si>
  <si>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</si>
  <si>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</si>
  <si>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</si>
  <si>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</si>
  <si>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</si>
  <si>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</si>
  <si>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</si>
  <si>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</si>
  <si>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</si>
  <si>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</si>
  <si>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</si>
  <si>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</si>
  <si>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</si>
  <si>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</si>
  <si>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</si>
  <si>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</si>
  <si>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</si>
  <si>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</si>
  <si>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</si>
  <si>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</si>
  <si>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</si>
  <si>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</si>
  <si>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</si>
  <si>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</si>
  <si>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</si>
  <si>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</si>
  <si>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</si>
  <si>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</si>
  <si>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</si>
  <si>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</si>
  <si>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</si>
  <si>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</si>
  <si>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</si>
  <si>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</si>
  <si>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</si>
  <si>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SDO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</si>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</sst>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7" sqref="L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56" sqref="AD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39.75" customHeight="1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v>1100</v>
      </c>
      <c r="E6" s="10">
        <v>1100</v>
      </c>
      <c r="F6" s="8">
        <v>2025</v>
      </c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v>1100</v>
      </c>
      <c r="E7" s="10">
        <v>1100</v>
      </c>
      <c r="F7" s="8">
        <v>2025</v>
      </c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v>1100</v>
      </c>
      <c r="E8" s="10">
        <v>1100</v>
      </c>
      <c r="F8" s="8">
        <v>2025</v>
      </c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v>1100</v>
      </c>
      <c r="E9" s="10">
        <v>1100</v>
      </c>
      <c r="F9" s="8">
        <v>2025</v>
      </c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v>1100</v>
      </c>
      <c r="E10" s="10">
        <v>1100</v>
      </c>
      <c r="F10" s="8">
        <v>2025</v>
      </c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v>1100</v>
      </c>
      <c r="E11" s="10">
        <v>1100</v>
      </c>
      <c r="F11" s="8">
        <v>2025</v>
      </c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v>1100</v>
      </c>
      <c r="E12" s="10">
        <v>1100</v>
      </c>
      <c r="F12" s="8">
        <v>2025</v>
      </c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v>1100</v>
      </c>
      <c r="E13" s="10">
        <v>1100</v>
      </c>
      <c r="F13" s="8">
        <v>2025</v>
      </c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v>1100</v>
      </c>
      <c r="E14" s="10">
        <v>1100</v>
      </c>
      <c r="F14" s="8">
        <v>2025</v>
      </c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v>890</v>
      </c>
      <c r="E16" s="10">
        <v>890</v>
      </c>
      <c r="F16" s="8">
        <v>2025</v>
      </c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v>890</v>
      </c>
      <c r="E17" s="10">
        <v>890</v>
      </c>
      <c r="F17" s="8">
        <v>2025</v>
      </c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v>890</v>
      </c>
      <c r="E18" s="10">
        <v>890</v>
      </c>
      <c r="F18" s="8">
        <v>2025</v>
      </c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v>890</v>
      </c>
      <c r="E19" s="10">
        <v>890</v>
      </c>
      <c r="F19" s="8">
        <v>2025</v>
      </c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v>890</v>
      </c>
      <c r="E20" s="10">
        <v>890</v>
      </c>
      <c r="F20" s="8">
        <v>2025</v>
      </c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v>890</v>
      </c>
      <c r="E21" s="10">
        <v>890</v>
      </c>
      <c r="F21" s="8">
        <v>2025</v>
      </c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v>890</v>
      </c>
      <c r="E22" s="10">
        <v>890</v>
      </c>
      <c r="F22" s="8">
        <v>2025</v>
      </c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v>890</v>
      </c>
      <c r="E23" s="10">
        <v>890</v>
      </c>
      <c r="F23" s="8">
        <v>2025</v>
      </c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v>890</v>
      </c>
      <c r="E24" s="10">
        <v>890</v>
      </c>
      <c r="F24" s="8">
        <v>2025</v>
      </c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v>770</v>
      </c>
      <c r="E26" s="10">
        <v>770</v>
      </c>
      <c r="F26" s="8">
        <v>2025</v>
      </c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v>770</v>
      </c>
      <c r="E27" s="10">
        <v>770</v>
      </c>
      <c r="F27" s="8">
        <v>2025</v>
      </c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v>770</v>
      </c>
      <c r="E28" s="10">
        <v>770</v>
      </c>
      <c r="F28" s="8">
        <v>2025</v>
      </c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v>770</v>
      </c>
      <c r="E29" s="10">
        <v>770</v>
      </c>
      <c r="F29" s="8">
        <v>2025</v>
      </c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v>770</v>
      </c>
      <c r="E30" s="10">
        <v>770</v>
      </c>
      <c r="F30" s="8">
        <v>2025</v>
      </c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v>770</v>
      </c>
      <c r="E31" s="10">
        <v>770</v>
      </c>
      <c r="F31" s="8">
        <v>2025</v>
      </c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v>770</v>
      </c>
      <c r="E32" s="10">
        <v>770</v>
      </c>
      <c r="F32" s="8">
        <v>2025</v>
      </c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v>770</v>
      </c>
      <c r="E33" s="10">
        <v>770</v>
      </c>
      <c r="F33" s="8">
        <v>2025</v>
      </c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v>770</v>
      </c>
      <c r="E34" s="10">
        <v>770</v>
      </c>
      <c r="F34" s="8">
        <v>2025</v>
      </c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8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v>710</v>
      </c>
      <c r="E36" s="10">
        <v>710</v>
      </c>
      <c r="F36" s="8">
        <v>2025</v>
      </c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v>710</v>
      </c>
      <c r="E37" s="10">
        <v>710</v>
      </c>
      <c r="F37" s="8">
        <v>2025</v>
      </c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v>710</v>
      </c>
      <c r="E38" s="10">
        <v>710</v>
      </c>
      <c r="F38" s="8">
        <v>2025</v>
      </c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v>710</v>
      </c>
      <c r="E39" s="10">
        <v>710</v>
      </c>
      <c r="F39" s="8">
        <v>2025</v>
      </c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v>710</v>
      </c>
      <c r="E40" s="10">
        <v>710</v>
      </c>
      <c r="F40" s="8">
        <v>2025</v>
      </c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v>710</v>
      </c>
      <c r="E41" s="10">
        <v>710</v>
      </c>
      <c r="F41" s="8">
        <v>2025</v>
      </c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v>710</v>
      </c>
      <c r="E42" s="10">
        <v>710</v>
      </c>
      <c r="F42" s="8">
        <v>2025</v>
      </c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v>710</v>
      </c>
      <c r="E43" s="10">
        <v>710</v>
      </c>
      <c r="F43" s="8">
        <v>2025</v>
      </c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v>710</v>
      </c>
      <c r="E44" s="10">
        <v>710</v>
      </c>
      <c r="F44" s="8">
        <v>2025</v>
      </c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35.25" customHeight="1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1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1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1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K6:L14 K16:L24 K26:L34 K36:L44 K46:L53 K55:L70 W6:X14 W16:X24 W26:X34 H6:I14 H16:I24 H26:I34 H36:I44 D46:F53 H46:I53 D55:F70 H55:I70 N70:Q70 W36:X44 W46:X53 W55:X70 Q55:R55 P2:R2 V2:X3 N4:P69 T4:V70 J4:J70 Z4:AA70 N3:R3 Q6:R14 D6:F14 D16:F24 D26:F28 D29:E34 F29:F35 D36:F44 Q16:R24 Q26:R34 Q36:R44 Q46:R53 Q56:Q69 R56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6:F14 F16:F24 F46:F53 F26:F44" xr:uid="{4ECCD083-8EC4-42EE-B46C-B614411F330D}">
      <formula1>"2024,2025"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L6:L14 L16:L24 L26:L34 L36:L44 L46:L53 L55:L70 R6:R14 R16:R24 R26:R34 R36:R44 R46:R53 R55:R70 X6:X14 X16:X24 X26:X34 X36:X44 X46:X53 X55:X70" xr:uid="{B54283C8-D9F7-4CA0-AC01-FCDE3BD45FA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B66" sqref="B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42578125" customWidth="1"/>
    <col min="6" max="6" width="24.85546875" bestFit="1" customWidth="1"/>
    <col min="7" max="7" width="19.285156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4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v>1014</v>
      </c>
      <c r="E4" s="10">
        <v>1014</v>
      </c>
      <c r="F4" s="8">
        <v>2025</v>
      </c>
      <c r="G4" s="10" t="s">
        <v>80</v>
      </c>
      <c r="H4" s="10">
        <v>0</v>
      </c>
      <c r="I4" s="10">
        <f t="shared" ref="I4:I20" si="0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1">IF((J4-K4)&lt;0,0,(J4-K4))</f>
        <v>0</v>
      </c>
      <c r="O4" s="10">
        <f t="shared" ref="O4:O7" si="2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3">IF((P4-Q4)&lt;0,0,(P4-Q4))</f>
        <v>0</v>
      </c>
      <c r="U4" s="10">
        <f t="shared" ref="U4:U9" si="4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5">IF((V4-W4)&lt;0,0,(V4-W4))</f>
        <v>0</v>
      </c>
      <c r="AA4" s="10">
        <f t="shared" ref="AA4:AA9" si="6">IF((W4-V4)&lt;0,0,(W4-V4))</f>
        <v>0</v>
      </c>
    </row>
    <row r="5" spans="1:27" ht="19.5">
      <c r="A5" s="8">
        <v>7</v>
      </c>
      <c r="B5" s="9" t="s">
        <v>9</v>
      </c>
      <c r="C5" s="8"/>
      <c r="D5" s="10">
        <v>1014</v>
      </c>
      <c r="E5" s="10">
        <v>1014</v>
      </c>
      <c r="F5" s="8">
        <v>2025</v>
      </c>
      <c r="G5" s="10" t="s">
        <v>80</v>
      </c>
      <c r="H5" s="10">
        <f>IF((D5-E5)&lt;0,0,(D5-E5))</f>
        <v>0</v>
      </c>
      <c r="I5" s="10">
        <f t="shared" si="0"/>
        <v>0</v>
      </c>
      <c r="J5" s="10">
        <f>Table14[[#This Row],[Enrolment S.Y. 2025-2026 ]]*8</f>
        <v>0</v>
      </c>
      <c r="K5" s="10"/>
      <c r="L5" s="8"/>
      <c r="M5" s="10"/>
      <c r="N5" s="10">
        <f t="shared" si="1"/>
        <v>0</v>
      </c>
      <c r="O5" s="10">
        <f t="shared" si="2"/>
        <v>0</v>
      </c>
      <c r="P5" s="10">
        <f>Table14[[#This Row],[Enrolment S.Y. 2025-2026 ]]*8</f>
        <v>0</v>
      </c>
      <c r="Q5" s="10"/>
      <c r="R5" s="8"/>
      <c r="S5" s="10"/>
      <c r="T5" s="10">
        <f t="shared" si="3"/>
        <v>0</v>
      </c>
      <c r="U5" s="10">
        <f t="shared" si="4"/>
        <v>0</v>
      </c>
      <c r="V5" s="10">
        <f>Table14[[#This Row],[Enrolment S.Y. 2025-2026 ]]*8</f>
        <v>0</v>
      </c>
      <c r="W5" s="10"/>
      <c r="X5" s="8"/>
      <c r="Y5" s="10"/>
      <c r="Z5" s="10">
        <f t="shared" si="5"/>
        <v>0</v>
      </c>
      <c r="AA5" s="10">
        <f t="shared" si="6"/>
        <v>0</v>
      </c>
    </row>
    <row r="6" spans="1:27" ht="19.5">
      <c r="A6" s="8">
        <v>7</v>
      </c>
      <c r="B6" s="9" t="s">
        <v>10</v>
      </c>
      <c r="C6" s="8"/>
      <c r="D6" s="10">
        <v>1014</v>
      </c>
      <c r="E6" s="10">
        <v>1014</v>
      </c>
      <c r="F6" s="8">
        <v>2025</v>
      </c>
      <c r="G6" s="10" t="s">
        <v>80</v>
      </c>
      <c r="H6" s="10">
        <f t="shared" ref="H6:H20" si="7">IF((D6-E6)&lt;0,0,(D6-E6))</f>
        <v>0</v>
      </c>
      <c r="I6" s="10">
        <f t="shared" si="0"/>
        <v>0</v>
      </c>
      <c r="J6" s="10">
        <f>Table14[[#This Row],[Enrolment S.Y. 2025-2026 ]]*8</f>
        <v>0</v>
      </c>
      <c r="K6" s="10"/>
      <c r="L6" s="8"/>
      <c r="M6" s="10"/>
      <c r="N6" s="10">
        <f t="shared" si="1"/>
        <v>0</v>
      </c>
      <c r="O6" s="10">
        <f t="shared" si="2"/>
        <v>0</v>
      </c>
      <c r="P6" s="10">
        <f>Table14[[#This Row],[Enrolment S.Y. 2025-2026 ]]*8</f>
        <v>0</v>
      </c>
      <c r="Q6" s="10"/>
      <c r="R6" s="8"/>
      <c r="S6" s="10"/>
      <c r="T6" s="10">
        <f t="shared" si="3"/>
        <v>0</v>
      </c>
      <c r="U6" s="10">
        <f t="shared" si="4"/>
        <v>0</v>
      </c>
      <c r="V6" s="10">
        <f>Table14[[#This Row],[Enrolment S.Y. 2025-2026 ]]*8</f>
        <v>0</v>
      </c>
      <c r="W6" s="10"/>
      <c r="X6" s="8"/>
      <c r="Y6" s="10"/>
      <c r="Z6" s="10">
        <f t="shared" si="5"/>
        <v>0</v>
      </c>
      <c r="AA6" s="10">
        <f t="shared" si="6"/>
        <v>0</v>
      </c>
    </row>
    <row r="7" spans="1:27" ht="19.5">
      <c r="A7" s="8">
        <v>7</v>
      </c>
      <c r="B7" s="9" t="s">
        <v>11</v>
      </c>
      <c r="C7" s="8"/>
      <c r="D7" s="10">
        <v>1014</v>
      </c>
      <c r="E7" s="10">
        <v>1014</v>
      </c>
      <c r="F7" s="8">
        <v>2025</v>
      </c>
      <c r="G7" s="10" t="s">
        <v>80</v>
      </c>
      <c r="H7" s="10">
        <f t="shared" si="7"/>
        <v>0</v>
      </c>
      <c r="I7" s="10">
        <f t="shared" si="0"/>
        <v>0</v>
      </c>
      <c r="J7" s="10">
        <f>Table14[[#This Row],[Enrolment S.Y. 2025-2026 ]]*8</f>
        <v>0</v>
      </c>
      <c r="K7" s="10"/>
      <c r="L7" s="8"/>
      <c r="M7" s="10"/>
      <c r="N7" s="10">
        <f t="shared" si="1"/>
        <v>0</v>
      </c>
      <c r="O7" s="10">
        <f t="shared" si="2"/>
        <v>0</v>
      </c>
      <c r="P7" s="10">
        <f>Table14[[#This Row],[Enrolment S.Y. 2025-2026 ]]*8</f>
        <v>0</v>
      </c>
      <c r="Q7" s="10"/>
      <c r="R7" s="8"/>
      <c r="S7" s="10"/>
      <c r="T7" s="10">
        <f t="shared" si="3"/>
        <v>0</v>
      </c>
      <c r="U7" s="10">
        <f t="shared" si="4"/>
        <v>0</v>
      </c>
      <c r="V7" s="10">
        <f>Table14[[#This Row],[Enrolment S.Y. 2025-2026 ]]*8</f>
        <v>0</v>
      </c>
      <c r="W7" s="10"/>
      <c r="X7" s="8"/>
      <c r="Y7" s="10"/>
      <c r="Z7" s="10">
        <f t="shared" si="5"/>
        <v>0</v>
      </c>
      <c r="AA7" s="10">
        <f t="shared" si="6"/>
        <v>0</v>
      </c>
    </row>
    <row r="8" spans="1:27" ht="38.25">
      <c r="A8" s="8">
        <v>7</v>
      </c>
      <c r="B8" s="9" t="s">
        <v>12</v>
      </c>
      <c r="C8" s="8"/>
      <c r="D8" s="10">
        <v>1014</v>
      </c>
      <c r="E8" s="10">
        <v>1014</v>
      </c>
      <c r="F8" s="8">
        <v>2025</v>
      </c>
      <c r="G8" s="10" t="s">
        <v>80</v>
      </c>
      <c r="H8" s="10">
        <f t="shared" si="7"/>
        <v>0</v>
      </c>
      <c r="I8" s="10">
        <f t="shared" si="0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3"/>
        <v>0</v>
      </c>
      <c r="U8" s="10">
        <f t="shared" si="4"/>
        <v>0</v>
      </c>
      <c r="V8" s="10">
        <f>Table14[[#This Row],[Enrolment S.Y. 2025-2026 ]]*8</f>
        <v>0</v>
      </c>
      <c r="W8" s="10"/>
      <c r="X8" s="8"/>
      <c r="Y8" s="10"/>
      <c r="Z8" s="10">
        <f t="shared" si="5"/>
        <v>0</v>
      </c>
      <c r="AA8" s="10">
        <f t="shared" si="6"/>
        <v>0</v>
      </c>
    </row>
    <row r="9" spans="1:27" ht="19.5">
      <c r="A9" s="8">
        <v>7</v>
      </c>
      <c r="B9" s="9" t="s">
        <v>13</v>
      </c>
      <c r="C9" s="8"/>
      <c r="D9" s="10">
        <v>1014</v>
      </c>
      <c r="E9" s="10">
        <v>1014</v>
      </c>
      <c r="F9" s="8">
        <v>2025</v>
      </c>
      <c r="G9" s="10" t="s">
        <v>80</v>
      </c>
      <c r="H9" s="10">
        <f t="shared" si="7"/>
        <v>0</v>
      </c>
      <c r="I9" s="10">
        <f t="shared" si="0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3"/>
        <v>0</v>
      </c>
      <c r="U9" s="10">
        <f t="shared" si="4"/>
        <v>0</v>
      </c>
      <c r="V9" s="10">
        <f>Table14[[#This Row],[Enrolment S.Y. 2025-2026 ]]*8</f>
        <v>0</v>
      </c>
      <c r="W9" s="10"/>
      <c r="X9" s="8"/>
      <c r="Y9" s="10"/>
      <c r="Z9" s="10">
        <f t="shared" si="5"/>
        <v>0</v>
      </c>
      <c r="AA9" s="10">
        <f t="shared" si="6"/>
        <v>0</v>
      </c>
    </row>
    <row r="10" spans="1:27" ht="19.5">
      <c r="A10" s="35">
        <v>7</v>
      </c>
      <c r="B10" s="9" t="s">
        <v>81</v>
      </c>
      <c r="C10" s="10"/>
      <c r="D10" s="10">
        <v>1014</v>
      </c>
      <c r="E10" s="10">
        <v>1014</v>
      </c>
      <c r="F10" s="8">
        <v>2025</v>
      </c>
      <c r="G10" s="10" t="s">
        <v>80</v>
      </c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/>
      <c r="D11" s="10">
        <v>1014</v>
      </c>
      <c r="E11" s="10">
        <v>1014</v>
      </c>
      <c r="F11" s="8">
        <v>2025</v>
      </c>
      <c r="G11" s="10" t="s">
        <v>80</v>
      </c>
      <c r="H11" s="10">
        <f t="shared" si="7"/>
        <v>0</v>
      </c>
      <c r="I11" s="10">
        <f t="shared" si="0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v>1014</v>
      </c>
      <c r="E12" s="10">
        <v>1014</v>
      </c>
      <c r="F12" s="8">
        <v>2025</v>
      </c>
      <c r="G12" s="10" t="s">
        <v>80</v>
      </c>
      <c r="H12" s="10">
        <f t="shared" si="7"/>
        <v>0</v>
      </c>
      <c r="I12" s="10">
        <f t="shared" si="0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10"/>
      <c r="D13" s="10">
        <v>1014</v>
      </c>
      <c r="E13" s="10">
        <v>1014</v>
      </c>
      <c r="F13" s="8">
        <v>2025</v>
      </c>
      <c r="G13" s="10" t="s">
        <v>80</v>
      </c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/>
      <c r="D14" s="10">
        <v>1014</v>
      </c>
      <c r="E14" s="10">
        <v>1014</v>
      </c>
      <c r="F14" s="8">
        <v>2025</v>
      </c>
      <c r="G14" s="10" t="s">
        <v>80</v>
      </c>
      <c r="H14" s="10">
        <f t="shared" si="7"/>
        <v>0</v>
      </c>
      <c r="I14" s="10">
        <f t="shared" si="0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v>881</v>
      </c>
      <c r="E16" s="10">
        <v>881</v>
      </c>
      <c r="F16" s="8">
        <v>2025</v>
      </c>
      <c r="G16" s="10" t="s">
        <v>80</v>
      </c>
      <c r="H16" s="10">
        <f t="shared" si="7"/>
        <v>0</v>
      </c>
      <c r="I16" s="10">
        <f t="shared" si="0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v>881</v>
      </c>
      <c r="E17" s="10">
        <v>881</v>
      </c>
      <c r="F17" s="8">
        <v>2025</v>
      </c>
      <c r="G17" s="10" t="s">
        <v>80</v>
      </c>
      <c r="H17" s="10">
        <f t="shared" si="7"/>
        <v>0</v>
      </c>
      <c r="I17" s="10">
        <f t="shared" si="0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v>881</v>
      </c>
      <c r="E18" s="10">
        <v>881</v>
      </c>
      <c r="F18" s="8">
        <v>2025</v>
      </c>
      <c r="G18" s="10" t="s">
        <v>80</v>
      </c>
      <c r="H18" s="10">
        <f t="shared" si="7"/>
        <v>0</v>
      </c>
      <c r="I18" s="10">
        <f t="shared" si="0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v>881</v>
      </c>
      <c r="E19" s="10">
        <v>881</v>
      </c>
      <c r="F19" s="8">
        <v>2025</v>
      </c>
      <c r="G19" s="10" t="s">
        <v>80</v>
      </c>
      <c r="H19" s="10">
        <f t="shared" si="7"/>
        <v>0</v>
      </c>
      <c r="I19" s="10">
        <f t="shared" si="0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v>881</v>
      </c>
      <c r="E20" s="10">
        <v>881</v>
      </c>
      <c r="F20" s="8">
        <v>2025</v>
      </c>
      <c r="G20" s="10" t="s">
        <v>80</v>
      </c>
      <c r="H20" s="10">
        <f t="shared" si="7"/>
        <v>0</v>
      </c>
      <c r="I20" s="10">
        <f t="shared" si="0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v>881</v>
      </c>
      <c r="E21" s="10">
        <v>881</v>
      </c>
      <c r="F21" s="8">
        <v>2025</v>
      </c>
      <c r="G21" s="10" t="s">
        <v>80</v>
      </c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10"/>
      <c r="D22" s="10">
        <v>881</v>
      </c>
      <c r="E22" s="10">
        <v>881</v>
      </c>
      <c r="F22" s="8">
        <v>2025</v>
      </c>
      <c r="G22" s="10" t="s">
        <v>80</v>
      </c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/>
      <c r="D23" s="10">
        <v>881</v>
      </c>
      <c r="E23" s="10">
        <v>881</v>
      </c>
      <c r="F23" s="8">
        <v>2025</v>
      </c>
      <c r="G23" s="10" t="s">
        <v>80</v>
      </c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v>881</v>
      </c>
      <c r="E24" s="10">
        <v>881</v>
      </c>
      <c r="F24" s="8">
        <v>2025</v>
      </c>
      <c r="G24" s="10" t="s">
        <v>80</v>
      </c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10"/>
      <c r="D25" s="10">
        <v>881</v>
      </c>
      <c r="E25" s="10">
        <v>881</v>
      </c>
      <c r="F25" s="8">
        <v>2025</v>
      </c>
      <c r="G25" s="10" t="s">
        <v>80</v>
      </c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/>
      <c r="D26" s="10">
        <v>881</v>
      </c>
      <c r="E26" s="10">
        <v>881</v>
      </c>
      <c r="F26" s="8">
        <v>2025</v>
      </c>
      <c r="G26" s="10" t="s">
        <v>80</v>
      </c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v>753</v>
      </c>
      <c r="E28" s="10">
        <v>753</v>
      </c>
      <c r="F28" s="8">
        <v>2025</v>
      </c>
      <c r="G28" s="10" t="s">
        <v>80</v>
      </c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v>753</v>
      </c>
      <c r="E29" s="10">
        <v>753</v>
      </c>
      <c r="F29" s="8">
        <v>2025</v>
      </c>
      <c r="G29" s="10" t="s">
        <v>80</v>
      </c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v>753</v>
      </c>
      <c r="E30" s="10">
        <v>753</v>
      </c>
      <c r="F30" s="8">
        <v>2025</v>
      </c>
      <c r="G30" s="10" t="s">
        <v>80</v>
      </c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v>753</v>
      </c>
      <c r="E31" s="10">
        <v>753</v>
      </c>
      <c r="F31" s="8">
        <v>2025</v>
      </c>
      <c r="G31" s="10" t="s">
        <v>80</v>
      </c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v>753</v>
      </c>
      <c r="E32" s="10">
        <v>753</v>
      </c>
      <c r="F32" s="8">
        <v>2025</v>
      </c>
      <c r="G32" s="10" t="s">
        <v>80</v>
      </c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v>753</v>
      </c>
      <c r="E33" s="10">
        <v>753</v>
      </c>
      <c r="F33" s="8">
        <v>2025</v>
      </c>
      <c r="G33" s="10" t="s">
        <v>80</v>
      </c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/>
      <c r="D34" s="10">
        <v>753</v>
      </c>
      <c r="E34" s="10">
        <v>753</v>
      </c>
      <c r="F34" s="8">
        <v>2025</v>
      </c>
      <c r="G34" s="10" t="s">
        <v>80</v>
      </c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/>
      <c r="D35" s="10">
        <v>753</v>
      </c>
      <c r="E35" s="10">
        <v>753</v>
      </c>
      <c r="F35" s="8">
        <v>2025</v>
      </c>
      <c r="G35" s="10" t="s">
        <v>80</v>
      </c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v>753</v>
      </c>
      <c r="E36" s="10">
        <v>753</v>
      </c>
      <c r="F36" s="8">
        <v>2025</v>
      </c>
      <c r="G36" s="10" t="s">
        <v>80</v>
      </c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/>
      <c r="D37" s="10">
        <v>753</v>
      </c>
      <c r="E37" s="10">
        <v>753</v>
      </c>
      <c r="F37" s="8">
        <v>2025</v>
      </c>
      <c r="G37" s="10" t="s">
        <v>80</v>
      </c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/>
      <c r="D38" s="10">
        <v>753</v>
      </c>
      <c r="E38" s="10">
        <v>753</v>
      </c>
      <c r="F38" s="8">
        <v>2025</v>
      </c>
      <c r="G38" s="10" t="s">
        <v>80</v>
      </c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v>704</v>
      </c>
      <c r="E40" s="10">
        <v>704</v>
      </c>
      <c r="F40" s="8">
        <v>2025</v>
      </c>
      <c r="G40" s="10" t="s">
        <v>80</v>
      </c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v>704</v>
      </c>
      <c r="E41" s="10">
        <v>704</v>
      </c>
      <c r="F41" s="8">
        <v>2025</v>
      </c>
      <c r="G41" s="10" t="s">
        <v>80</v>
      </c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v>704</v>
      </c>
      <c r="E42" s="10">
        <v>704</v>
      </c>
      <c r="F42" s="8">
        <v>2025</v>
      </c>
      <c r="G42" s="10" t="s">
        <v>80</v>
      </c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v>704</v>
      </c>
      <c r="E43" s="10">
        <v>704</v>
      </c>
      <c r="F43" s="8">
        <v>2025</v>
      </c>
      <c r="G43" s="10" t="s">
        <v>80</v>
      </c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v>704</v>
      </c>
      <c r="E44" s="10">
        <v>704</v>
      </c>
      <c r="F44" s="8">
        <v>2025</v>
      </c>
      <c r="G44" s="10" t="s">
        <v>80</v>
      </c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v>704</v>
      </c>
      <c r="E45" s="10">
        <v>704</v>
      </c>
      <c r="F45" s="8">
        <v>2025</v>
      </c>
      <c r="G45" s="10" t="s">
        <v>80</v>
      </c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/>
      <c r="D46" s="10">
        <v>704</v>
      </c>
      <c r="E46" s="10">
        <v>704</v>
      </c>
      <c r="F46" s="8">
        <v>2025</v>
      </c>
      <c r="G46" s="10" t="s">
        <v>80</v>
      </c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/>
      <c r="D47" s="10">
        <v>704</v>
      </c>
      <c r="E47" s="10">
        <v>704</v>
      </c>
      <c r="F47" s="8">
        <v>2025</v>
      </c>
      <c r="G47" s="10" t="s">
        <v>80</v>
      </c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v>704</v>
      </c>
      <c r="E48" s="10">
        <v>704</v>
      </c>
      <c r="F48" s="8">
        <v>2025</v>
      </c>
      <c r="G48" s="10" t="s">
        <v>80</v>
      </c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/>
      <c r="D49" s="10">
        <v>704</v>
      </c>
      <c r="E49" s="10">
        <v>704</v>
      </c>
      <c r="F49" s="8">
        <v>2025</v>
      </c>
      <c r="G49" s="10" t="s">
        <v>80</v>
      </c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/>
      <c r="D50" s="10">
        <v>704</v>
      </c>
      <c r="E50" s="10">
        <v>704</v>
      </c>
      <c r="F50" s="8">
        <v>2025</v>
      </c>
      <c r="G50" s="10" t="s">
        <v>80</v>
      </c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34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N28:R38 N40:R50 N52:R59 P2:R2 H4:L14 H16:L26 D52:F59 H28:L38 H40:L50 H52:L59 T52:X59 T4:X14 T16:X26 T28:X38 T40:X50 Z4:AA14 Z16:AA26 Z28:AA38 Z40:AA50 Z52:AA59 V2:X2 D4:F14 D16:F26 D28:F38 D40:F50 N4:R14 N16:R26 D2:F2" name="LAS"/>
    <protectedRange sqref="G2:I2 M2:O2 S2:U2 Y2:AA2 G4:G14 G16:G26 G28:G38 G40:G50 Y4:Y14 M4:M14 S4:S14 Y16:Y26 M16:M26 S16:S26 Y28:Y38 M28:M38 S28:S38 Y40:Y50 M40:M50 S40:S50 Y52:Y59 G52:G59 M52:M59 S52:S5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59 Y52:Y59 G52:G59 M4:M14 M52:M59 Y4:Y14 S4:S14 S16:S26 M16:M26 G4:G14 Y16:Y26 Y28:Y38 S28:S38 M28:M38 G16:G26 G28:G38 Y40:Y50 S40:S50 M40:M50 G40:G50" xr:uid="{CBD486C7-A5DB-48F1-B496-5027CC51E830}">
      <formula1>"CO,RO,SDO,LGU,SCHOOL"</formula1>
    </dataValidation>
    <dataValidation type="list" allowBlank="1" showInputMessage="1" showErrorMessage="1" sqref="F40:F50 F4:F14 F28:F38 F52:F59 F16:F26" xr:uid="{77F72D89-8371-4D0C-A323-BD25723C617C}">
      <formula1>"2024,2025"</formula1>
    </dataValidation>
    <dataValidation type="list" allowBlank="1" showInputMessage="1" showErrorMessage="1" sqref="L4:L14 L16:L26 L28:L38 L40:L50 L52:L59 R4:R14 R16:R26 R28:R38 R40:R50 R52:R59 X4:X14 X16:X26 X28:X38 X40:X50 X52:X59" xr:uid="{36E140AE-B81F-414C-A913-90DC918462F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2026-04-07T05:43:51Z</dcterms:modified>
  <cp:category/>
  <cp:contentStatus/>
</cp:coreProperties>
</file>