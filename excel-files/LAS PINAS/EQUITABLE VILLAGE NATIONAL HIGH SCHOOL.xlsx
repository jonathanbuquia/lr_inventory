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43" documentId="13_ncr:1_{BFB59F67-F0DC-4675-A682-EB0734A8026A}" xr6:coauthVersionLast="47" xr6:coauthVersionMax="47" xr10:uidLastSave="{1694E448-01E3-47FD-B569-25A18542F34F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Z7" i="4" s="1"/>
  <c r="V8" i="4"/>
  <c r="AA8" i="4" s="1"/>
  <c r="V9" i="4"/>
  <c r="Z9" i="4" s="1"/>
  <c r="V10" i="4"/>
  <c r="Z10" i="4" s="1"/>
  <c r="V11" i="4"/>
  <c r="Z11" i="4" s="1"/>
  <c r="V12" i="4"/>
  <c r="AA12" i="4" s="1"/>
  <c r="V13" i="4"/>
  <c r="Z13" i="4" s="1"/>
  <c r="V14" i="4"/>
  <c r="Z14" i="4" s="1"/>
  <c r="V16" i="4"/>
  <c r="Z16" i="4" s="1"/>
  <c r="V17" i="4"/>
  <c r="AA17" i="4" s="1"/>
  <c r="V18" i="4"/>
  <c r="Z18" i="4" s="1"/>
  <c r="V19" i="4"/>
  <c r="Z19" i="4" s="1"/>
  <c r="V20" i="4"/>
  <c r="Z20" i="4" s="1"/>
  <c r="V21" i="4"/>
  <c r="AA21" i="4" s="1"/>
  <c r="V22" i="4"/>
  <c r="Z22" i="4" s="1"/>
  <c r="V23" i="4"/>
  <c r="AA23" i="4" s="1"/>
  <c r="V24" i="4"/>
  <c r="Z24" i="4" s="1"/>
  <c r="V26" i="4"/>
  <c r="AA26" i="4" s="1"/>
  <c r="V27" i="4"/>
  <c r="Z27" i="4" s="1"/>
  <c r="V28" i="4"/>
  <c r="Z28" i="4" s="1"/>
  <c r="V29" i="4"/>
  <c r="Z29" i="4" s="1"/>
  <c r="V30" i="4"/>
  <c r="AA30" i="4" s="1"/>
  <c r="V31" i="4"/>
  <c r="Z31" i="4" s="1"/>
  <c r="V32" i="4"/>
  <c r="Z32" i="4" s="1"/>
  <c r="V33" i="4"/>
  <c r="Z33" i="4" s="1"/>
  <c r="V34" i="4"/>
  <c r="AA34" i="4" s="1"/>
  <c r="V36" i="4"/>
  <c r="V37" i="4"/>
  <c r="Z37" i="4" s="1"/>
  <c r="V38" i="4"/>
  <c r="Z38" i="4" s="1"/>
  <c r="V39" i="4"/>
  <c r="AA39" i="4" s="1"/>
  <c r="V40" i="4"/>
  <c r="Z40" i="4" s="1"/>
  <c r="V41" i="4"/>
  <c r="Z41" i="4" s="1"/>
  <c r="V42" i="4"/>
  <c r="Z42" i="4" s="1"/>
  <c r="V43" i="4"/>
  <c r="AA43" i="4" s="1"/>
  <c r="V44" i="4"/>
  <c r="V46" i="4"/>
  <c r="Z46" i="4" s="1"/>
  <c r="V47" i="4"/>
  <c r="Z47" i="4" s="1"/>
  <c r="V48" i="4"/>
  <c r="AA48" i="4" s="1"/>
  <c r="V49" i="4"/>
  <c r="Z49" i="4" s="1"/>
  <c r="V50" i="4"/>
  <c r="Z50" i="4" s="1"/>
  <c r="V51" i="4"/>
  <c r="Z51" i="4" s="1"/>
  <c r="V52" i="4"/>
  <c r="AA52" i="4" s="1"/>
  <c r="V53" i="4"/>
  <c r="V55" i="4"/>
  <c r="Z55" i="4" s="1"/>
  <c r="V56" i="4"/>
  <c r="Z56" i="4" s="1"/>
  <c r="V57" i="4"/>
  <c r="AA57" i="4" s="1"/>
  <c r="V58" i="4"/>
  <c r="Z58" i="4" s="1"/>
  <c r="V59" i="4"/>
  <c r="AA59" i="4" s="1"/>
  <c r="V60" i="4"/>
  <c r="Z60" i="4" s="1"/>
  <c r="V61" i="4"/>
  <c r="AA61" i="4" s="1"/>
  <c r="V62" i="4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T70" i="4"/>
  <c r="U70" i="4"/>
  <c r="V70" i="4"/>
  <c r="P6" i="4"/>
  <c r="P7" i="4"/>
  <c r="U7" i="4" s="1"/>
  <c r="P8" i="4"/>
  <c r="T8" i="4" s="1"/>
  <c r="P9" i="4"/>
  <c r="T9" i="4" s="1"/>
  <c r="P10" i="4"/>
  <c r="P11" i="4"/>
  <c r="T11" i="4" s="1"/>
  <c r="P12" i="4"/>
  <c r="T12" i="4" s="1"/>
  <c r="P13" i="4"/>
  <c r="T13" i="4" s="1"/>
  <c r="P14" i="4"/>
  <c r="P16" i="4"/>
  <c r="U16" i="4" s="1"/>
  <c r="P17" i="4"/>
  <c r="T17" i="4" s="1"/>
  <c r="P18" i="4"/>
  <c r="T18" i="4" s="1"/>
  <c r="P19" i="4"/>
  <c r="P20" i="4"/>
  <c r="T20" i="4" s="1"/>
  <c r="P21" i="4"/>
  <c r="T21" i="4" s="1"/>
  <c r="P22" i="4"/>
  <c r="T22" i="4" s="1"/>
  <c r="P23" i="4"/>
  <c r="P24" i="4"/>
  <c r="U24" i="4" s="1"/>
  <c r="P26" i="4"/>
  <c r="T26" i="4" s="1"/>
  <c r="P27" i="4"/>
  <c r="T27" i="4" s="1"/>
  <c r="P28" i="4"/>
  <c r="P29" i="4"/>
  <c r="T29" i="4" s="1"/>
  <c r="P30" i="4"/>
  <c r="T30" i="4" s="1"/>
  <c r="P31" i="4"/>
  <c r="T31" i="4" s="1"/>
  <c r="P32" i="4"/>
  <c r="P33" i="4"/>
  <c r="U33" i="4" s="1"/>
  <c r="P34" i="4"/>
  <c r="T34" i="4" s="1"/>
  <c r="P36" i="4"/>
  <c r="T36" i="4" s="1"/>
  <c r="P37" i="4"/>
  <c r="P38" i="4"/>
  <c r="T38" i="4" s="1"/>
  <c r="P39" i="4"/>
  <c r="T39" i="4" s="1"/>
  <c r="P40" i="4"/>
  <c r="T40" i="4" s="1"/>
  <c r="P41" i="4"/>
  <c r="P42" i="4"/>
  <c r="U42" i="4" s="1"/>
  <c r="P43" i="4"/>
  <c r="T43" i="4" s="1"/>
  <c r="P44" i="4"/>
  <c r="T44" i="4" s="1"/>
  <c r="P46" i="4"/>
  <c r="P47" i="4"/>
  <c r="U47" i="4" s="1"/>
  <c r="P48" i="4"/>
  <c r="T48" i="4" s="1"/>
  <c r="P49" i="4"/>
  <c r="T49" i="4" s="1"/>
  <c r="P50" i="4"/>
  <c r="P51" i="4"/>
  <c r="U51" i="4" s="1"/>
  <c r="P52" i="4"/>
  <c r="T52" i="4" s="1"/>
  <c r="P53" i="4"/>
  <c r="T53" i="4" s="1"/>
  <c r="P55" i="4"/>
  <c r="P56" i="4"/>
  <c r="T56" i="4" s="1"/>
  <c r="P57" i="4"/>
  <c r="T57" i="4" s="1"/>
  <c r="P58" i="4"/>
  <c r="T58" i="4" s="1"/>
  <c r="P59" i="4"/>
  <c r="P60" i="4"/>
  <c r="U60" i="4" s="1"/>
  <c r="P61" i="4"/>
  <c r="T61" i="4" s="1"/>
  <c r="P62" i="4"/>
  <c r="T62" i="4" s="1"/>
  <c r="P63" i="4"/>
  <c r="P64" i="4"/>
  <c r="T64" i="4" s="1"/>
  <c r="P65" i="4"/>
  <c r="T65" i="4" s="1"/>
  <c r="P66" i="4"/>
  <c r="T66" i="4" s="1"/>
  <c r="P67" i="4"/>
  <c r="P68" i="4"/>
  <c r="U68" i="4" s="1"/>
  <c r="P69" i="4"/>
  <c r="T69" i="4" s="1"/>
  <c r="J6" i="4"/>
  <c r="N6" i="4" s="1"/>
  <c r="J7" i="4"/>
  <c r="O7" i="4" s="1"/>
  <c r="J8" i="4"/>
  <c r="O8" i="4" s="1"/>
  <c r="J9" i="4"/>
  <c r="N9" i="4" s="1"/>
  <c r="J10" i="4"/>
  <c r="N10" i="4" s="1"/>
  <c r="J11" i="4"/>
  <c r="N11" i="4" s="1"/>
  <c r="J12" i="4"/>
  <c r="O12" i="4" s="1"/>
  <c r="J13" i="4"/>
  <c r="N13" i="4" s="1"/>
  <c r="J14" i="4"/>
  <c r="N14" i="4" s="1"/>
  <c r="J16" i="4"/>
  <c r="O16" i="4" s="1"/>
  <c r="J17" i="4"/>
  <c r="O17" i="4" s="1"/>
  <c r="J18" i="4"/>
  <c r="N18" i="4" s="1"/>
  <c r="J19" i="4"/>
  <c r="N19" i="4" s="1"/>
  <c r="J20" i="4"/>
  <c r="N20" i="4" s="1"/>
  <c r="J21" i="4"/>
  <c r="O21" i="4" s="1"/>
  <c r="J22" i="4"/>
  <c r="N22" i="4" s="1"/>
  <c r="J23" i="4"/>
  <c r="N23" i="4" s="1"/>
  <c r="J24" i="4"/>
  <c r="O24" i="4" s="1"/>
  <c r="J26" i="4"/>
  <c r="O26" i="4" s="1"/>
  <c r="J27" i="4"/>
  <c r="N27" i="4" s="1"/>
  <c r="J28" i="4"/>
  <c r="N28" i="4" s="1"/>
  <c r="J29" i="4"/>
  <c r="N29" i="4" s="1"/>
  <c r="J30" i="4"/>
  <c r="O30" i="4" s="1"/>
  <c r="J31" i="4"/>
  <c r="N31" i="4" s="1"/>
  <c r="J32" i="4"/>
  <c r="N32" i="4" s="1"/>
  <c r="J33" i="4"/>
  <c r="O33" i="4" s="1"/>
  <c r="J34" i="4"/>
  <c r="O34" i="4" s="1"/>
  <c r="J36" i="4"/>
  <c r="N36" i="4" s="1"/>
  <c r="J37" i="4"/>
  <c r="N37" i="4" s="1"/>
  <c r="J38" i="4"/>
  <c r="N38" i="4" s="1"/>
  <c r="J39" i="4"/>
  <c r="O39" i="4" s="1"/>
  <c r="J40" i="4"/>
  <c r="N40" i="4" s="1"/>
  <c r="J41" i="4"/>
  <c r="N41" i="4" s="1"/>
  <c r="J42" i="4"/>
  <c r="O42" i="4" s="1"/>
  <c r="J43" i="4"/>
  <c r="O43" i="4" s="1"/>
  <c r="J44" i="4"/>
  <c r="N44" i="4" s="1"/>
  <c r="J46" i="4"/>
  <c r="N46" i="4" s="1"/>
  <c r="J47" i="4"/>
  <c r="N47" i="4" s="1"/>
  <c r="J48" i="4"/>
  <c r="O48" i="4" s="1"/>
  <c r="J49" i="4"/>
  <c r="N49" i="4" s="1"/>
  <c r="J50" i="4"/>
  <c r="N50" i="4" s="1"/>
  <c r="J51" i="4"/>
  <c r="O51" i="4" s="1"/>
  <c r="J52" i="4"/>
  <c r="O52" i="4" s="1"/>
  <c r="J53" i="4"/>
  <c r="N53" i="4" s="1"/>
  <c r="J55" i="4"/>
  <c r="N55" i="4" s="1"/>
  <c r="J56" i="4"/>
  <c r="N56" i="4" s="1"/>
  <c r="J57" i="4"/>
  <c r="O57" i="4" s="1"/>
  <c r="J58" i="4"/>
  <c r="N58" i="4" s="1"/>
  <c r="J59" i="4"/>
  <c r="N59" i="4" s="1"/>
  <c r="J60" i="4"/>
  <c r="O60" i="4" s="1"/>
  <c r="J61" i="4"/>
  <c r="O61" i="4" s="1"/>
  <c r="J62" i="4"/>
  <c r="N62" i="4" s="1"/>
  <c r="J63" i="4"/>
  <c r="N63" i="4" s="1"/>
  <c r="J64" i="4"/>
  <c r="N64" i="4" s="1"/>
  <c r="J65" i="4"/>
  <c r="O65" i="4" s="1"/>
  <c r="J66" i="4"/>
  <c r="N66" i="4" s="1"/>
  <c r="J67" i="4"/>
  <c r="N67" i="4" s="1"/>
  <c r="J68" i="4"/>
  <c r="O68" i="4" s="1"/>
  <c r="J69" i="4"/>
  <c r="O69" i="4" s="1"/>
  <c r="J70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D6" i="4"/>
  <c r="H6" i="4" s="1"/>
  <c r="D7" i="4"/>
  <c r="H7" i="4" s="1"/>
  <c r="D8" i="4"/>
  <c r="D9" i="4"/>
  <c r="D10" i="4"/>
  <c r="I10" i="4" s="1"/>
  <c r="D11" i="4"/>
  <c r="I11" i="4" s="1"/>
  <c r="D12" i="4"/>
  <c r="H12" i="4" s="1"/>
  <c r="D13" i="4"/>
  <c r="H13" i="4" s="1"/>
  <c r="D14" i="4"/>
  <c r="H14" i="4" s="1"/>
  <c r="D16" i="4"/>
  <c r="H16" i="4" s="1"/>
  <c r="D17" i="4"/>
  <c r="D18" i="4"/>
  <c r="D19" i="4"/>
  <c r="I19" i="4" s="1"/>
  <c r="D20" i="4"/>
  <c r="I20" i="4" s="1"/>
  <c r="D21" i="4"/>
  <c r="I21" i="4" s="1"/>
  <c r="D22" i="4"/>
  <c r="I22" i="4" s="1"/>
  <c r="D23" i="4"/>
  <c r="H23" i="4" s="1"/>
  <c r="D24" i="4"/>
  <c r="H24" i="4" s="1"/>
  <c r="D26" i="4"/>
  <c r="D27" i="4"/>
  <c r="D28" i="4"/>
  <c r="I28" i="4" s="1"/>
  <c r="D29" i="4"/>
  <c r="I29" i="4" s="1"/>
  <c r="D30" i="4"/>
  <c r="H30" i="4" s="1"/>
  <c r="D31" i="4"/>
  <c r="H31" i="4" s="1"/>
  <c r="D32" i="4"/>
  <c r="H32" i="4" s="1"/>
  <c r="D33" i="4"/>
  <c r="H33" i="4" s="1"/>
  <c r="D34" i="4"/>
  <c r="I34" i="4" s="1"/>
  <c r="D36" i="4"/>
  <c r="D37" i="4"/>
  <c r="I37" i="4" s="1"/>
  <c r="D38" i="4"/>
  <c r="I38" i="4" s="1"/>
  <c r="D39" i="4"/>
  <c r="I39" i="4" s="1"/>
  <c r="D40" i="4"/>
  <c r="I40" i="4" s="1"/>
  <c r="D41" i="4"/>
  <c r="I41" i="4" s="1"/>
  <c r="D42" i="4"/>
  <c r="H42" i="4" s="1"/>
  <c r="D43" i="4"/>
  <c r="I43" i="4" s="1"/>
  <c r="D44" i="4"/>
  <c r="I44" i="4" s="1"/>
  <c r="D46" i="4"/>
  <c r="I46" i="4" s="1"/>
  <c r="D47" i="4"/>
  <c r="I47" i="4" s="1"/>
  <c r="D48" i="4"/>
  <c r="H48" i="4" s="1"/>
  <c r="D49" i="4"/>
  <c r="H49" i="4" s="1"/>
  <c r="D50" i="4"/>
  <c r="I50" i="4" s="1"/>
  <c r="D51" i="4"/>
  <c r="H51" i="4" s="1"/>
  <c r="D52" i="4"/>
  <c r="I52" i="4" s="1"/>
  <c r="D53" i="4"/>
  <c r="I53" i="4" s="1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T47" i="4"/>
  <c r="Z69" i="4"/>
  <c r="Z59" i="4"/>
  <c r="T24" i="4"/>
  <c r="U8" i="4"/>
  <c r="U57" i="4"/>
  <c r="O31" i="4"/>
  <c r="AA46" i="4"/>
  <c r="U3" i="4"/>
  <c r="Z23" i="4"/>
  <c r="AA10" i="4"/>
  <c r="O62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O49" i="4"/>
  <c r="O18" i="4"/>
  <c r="T51" i="4"/>
  <c r="U34" i="4"/>
  <c r="U29" i="4"/>
  <c r="U12" i="4"/>
  <c r="AA67" i="4"/>
  <c r="Z57" i="4"/>
  <c r="AA32" i="4"/>
  <c r="Z21" i="4"/>
  <c r="N68" i="4"/>
  <c r="N42" i="4"/>
  <c r="O36" i="4"/>
  <c r="U61" i="4"/>
  <c r="U56" i="4"/>
  <c r="U39" i="4"/>
  <c r="T7" i="4"/>
  <c r="AA55" i="4"/>
  <c r="Z43" i="4"/>
  <c r="AA19" i="4"/>
  <c r="Z8" i="4"/>
  <c r="N24" i="4"/>
  <c r="O66" i="4"/>
  <c r="N60" i="4"/>
  <c r="O53" i="4"/>
  <c r="N48" i="4"/>
  <c r="O22" i="4"/>
  <c r="U65" i="4"/>
  <c r="T33" i="4"/>
  <c r="U17" i="4"/>
  <c r="U11" i="4"/>
  <c r="Z65" i="4"/>
  <c r="AA41" i="4"/>
  <c r="Z30" i="4"/>
  <c r="AA6" i="4"/>
  <c r="Z34" i="4"/>
  <c r="N16" i="4"/>
  <c r="O9" i="4"/>
  <c r="T60" i="4"/>
  <c r="U43" i="4"/>
  <c r="U38" i="4"/>
  <c r="U21" i="4"/>
  <c r="AA63" i="4"/>
  <c r="Z52" i="4"/>
  <c r="AA28" i="4"/>
  <c r="Z17" i="4"/>
  <c r="O40" i="4"/>
  <c r="N33" i="4"/>
  <c r="O27" i="4"/>
  <c r="N21" i="4"/>
  <c r="U69" i="4"/>
  <c r="U64" i="4"/>
  <c r="U48" i="4"/>
  <c r="T16" i="4"/>
  <c r="AA50" i="4"/>
  <c r="Z39" i="4"/>
  <c r="AA14" i="4"/>
  <c r="I3" i="4"/>
  <c r="N69" i="4"/>
  <c r="O58" i="4"/>
  <c r="N51" i="4"/>
  <c r="T42" i="4"/>
  <c r="U26" i="4"/>
  <c r="U20" i="4"/>
  <c r="Z61" i="4"/>
  <c r="AA37" i="4"/>
  <c r="Z26" i="4"/>
  <c r="AA3" i="4"/>
  <c r="O44" i="4"/>
  <c r="O13" i="4"/>
  <c r="N7" i="4"/>
  <c r="T68" i="4"/>
  <c r="U52" i="4"/>
  <c r="U30" i="4"/>
  <c r="Z48" i="4"/>
  <c r="Z12" i="4"/>
  <c r="T14" i="4"/>
  <c r="U14" i="4"/>
  <c r="T55" i="4"/>
  <c r="U55" i="4"/>
  <c r="N39" i="4"/>
  <c r="N17" i="4"/>
  <c r="T6" i="4"/>
  <c r="U6" i="4"/>
  <c r="Z70" i="4"/>
  <c r="AA70" i="4"/>
  <c r="N65" i="4"/>
  <c r="N43" i="4"/>
  <c r="T32" i="4"/>
  <c r="U32" i="4"/>
  <c r="T10" i="4"/>
  <c r="U10" i="4"/>
  <c r="Z36" i="4"/>
  <c r="AA36" i="4"/>
  <c r="N26" i="4"/>
  <c r="N52" i="4"/>
  <c r="T41" i="4"/>
  <c r="U41" i="4"/>
  <c r="T19" i="4"/>
  <c r="U19" i="4"/>
  <c r="Z44" i="4"/>
  <c r="AA44" i="4"/>
  <c r="T59" i="4"/>
  <c r="U59" i="4"/>
  <c r="T37" i="4"/>
  <c r="U37" i="4"/>
  <c r="T63" i="4"/>
  <c r="U63" i="4"/>
  <c r="T67" i="4"/>
  <c r="U67" i="4"/>
  <c r="T46" i="4"/>
  <c r="U46" i="4"/>
  <c r="N30" i="4"/>
  <c r="N8" i="4"/>
  <c r="Z62" i="4"/>
  <c r="AA62" i="4"/>
  <c r="N57" i="4"/>
  <c r="N34" i="4"/>
  <c r="T23" i="4"/>
  <c r="U23" i="4"/>
  <c r="N61" i="4"/>
  <c r="T50" i="4"/>
  <c r="U50" i="4"/>
  <c r="T28" i="4"/>
  <c r="U28" i="4"/>
  <c r="N12" i="4"/>
  <c r="Z53" i="4"/>
  <c r="AA53" i="4"/>
  <c r="O67" i="4"/>
  <c r="O59" i="4"/>
  <c r="O50" i="4"/>
  <c r="O41" i="4"/>
  <c r="O32" i="4"/>
  <c r="O23" i="4"/>
  <c r="O14" i="4"/>
  <c r="O6" i="4"/>
  <c r="U66" i="4"/>
  <c r="U58" i="4"/>
  <c r="U49" i="4"/>
  <c r="U40" i="4"/>
  <c r="U31" i="4"/>
  <c r="U22" i="4"/>
  <c r="U13" i="4"/>
  <c r="AA66" i="4"/>
  <c r="AA58" i="4"/>
  <c r="AA49" i="4"/>
  <c r="AA40" i="4"/>
  <c r="AA31" i="4"/>
  <c r="AA27" i="4"/>
  <c r="AA22" i="4"/>
  <c r="AA18" i="4"/>
  <c r="AA13" i="4"/>
  <c r="AA9" i="4"/>
  <c r="O64" i="4"/>
  <c r="O56" i="4"/>
  <c r="O47" i="4"/>
  <c r="O38" i="4"/>
  <c r="O29" i="4"/>
  <c r="O20" i="4"/>
  <c r="O11" i="4"/>
  <c r="O63" i="4"/>
  <c r="O55" i="4"/>
  <c r="O46" i="4"/>
  <c r="O37" i="4"/>
  <c r="O28" i="4"/>
  <c r="O19" i="4"/>
  <c r="O10" i="4"/>
  <c r="U62" i="4"/>
  <c r="U53" i="4"/>
  <c r="U44" i="4"/>
  <c r="U36" i="4"/>
  <c r="U27" i="4"/>
  <c r="U18" i="4"/>
  <c r="U9" i="4"/>
  <c r="AA68" i="4"/>
  <c r="AA64" i="4"/>
  <c r="AA60" i="4"/>
  <c r="AA56" i="4"/>
  <c r="AA51" i="4"/>
  <c r="AA47" i="4"/>
  <c r="AA42" i="4"/>
  <c r="AA38" i="4"/>
  <c r="AA33" i="4"/>
  <c r="AA29" i="4"/>
  <c r="AA24" i="4"/>
  <c r="AA20" i="4"/>
  <c r="AA16" i="4"/>
  <c r="AA11" i="4"/>
  <c r="AA7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H40" i="4"/>
  <c r="I49" i="4"/>
  <c r="I42" i="4"/>
  <c r="I7" i="4"/>
  <c r="H39" i="4"/>
  <c r="I48" i="4"/>
  <c r="H22" i="4"/>
  <c r="I31" i="4"/>
  <c r="H29" i="4"/>
  <c r="H50" i="4"/>
  <c r="H11" i="4"/>
  <c r="I30" i="4"/>
  <c r="I24" i="4"/>
  <c r="I13" i="4"/>
  <c r="H41" i="4"/>
  <c r="I12" i="4"/>
  <c r="O70" i="4"/>
  <c r="N70" i="4"/>
  <c r="I27" i="4"/>
  <c r="H27" i="4"/>
  <c r="H10" i="4"/>
  <c r="I8" i="4"/>
  <c r="H8" i="4"/>
  <c r="H47" i="4"/>
  <c r="H38" i="4"/>
  <c r="H21" i="4"/>
  <c r="I23" i="4"/>
  <c r="I6" i="4"/>
  <c r="I36" i="4"/>
  <c r="H36" i="4"/>
  <c r="H28" i="4"/>
  <c r="H46" i="4"/>
  <c r="H37" i="4"/>
  <c r="H20" i="4"/>
  <c r="I9" i="4"/>
  <c r="H9" i="4"/>
  <c r="I26" i="4"/>
  <c r="H26" i="4"/>
  <c r="H53" i="4"/>
  <c r="H44" i="4"/>
  <c r="H34" i="4"/>
  <c r="H19" i="4"/>
  <c r="I17" i="4"/>
  <c r="H17" i="4"/>
  <c r="H52" i="4"/>
  <c r="H43" i="4"/>
  <c r="I51" i="4"/>
  <c r="I33" i="4"/>
  <c r="I16" i="4"/>
  <c r="I18" i="4"/>
  <c r="H18" i="4"/>
  <c r="I32" i="4"/>
  <c r="I14" i="4"/>
</calcChain>
</file>

<file path=xl/sharedStrings.xml><?xml version="1.0" encoding="utf-8"?>
<sst xmlns="http://schemas.openxmlformats.org/spreadsheetml/2006/main" count="300" uniqueCount="91">
  <si>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</si>
  <si>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</si>
  <si>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</si>
  <si>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</si>
  <si>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</si>
  <si>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</si>
  <si>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</si>
  <si>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</si>
  <si>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</si>
  <si>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</si>
  <si>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</si>
  <si>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</si>
  <si>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</si>
  <si>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</si>
  <si>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</si>
  <si>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</si>
  <si>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</si>
  <si>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</si>
  <si>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</si>
  <si>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</si>
  <si>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</si>
  <si>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</si>
  <si>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</si>
  <si>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</si>
  <si>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</si>
  <si>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</si>
  <si>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</si>
  <si>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</si>
  <si>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</si>
  <si>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</si>
  <si>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</si>
  <si>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</si>
  <si>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</si>
  <si>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</si>
  <si>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</si>
  <si>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</si>
  <si>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</si>
  <si>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</si>
  <si>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</si>
  <si>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</si>
  <si>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</si>
  <si>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</si>
  <si>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</si>
  <si>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</si>
  <si>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</si>
  <si>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</si>
  <si>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</si>
  <si>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</si>
  <si>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</si>
  <si>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</si>
  <si>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</si>
  <si>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</si>
  <si>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</si>
  <si>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</si>
  <si>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</si>
  <si>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</si>
  <si>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</si>
  <si>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</si>
  <si>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</si>
  <si>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</si>
  <si>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</si>
  <si>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</si>
  <si>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</si>
  <si>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</si>
  <si>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</si>
  <si>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</si>
  <si>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</si>
  <si>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</si>
  <si>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</si>
  <si>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</si>
  <si>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</si>
  <si>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</si>
  <si>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</si>
  <si>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</si>
  <si>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</si>
  <si>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</si>
  <si>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</si>
  <si>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</si>
  <si>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</si>
  <si>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</si>
  <si>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</si>
  <si>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Reading and Literacy</t>
  </si>
  <si>
    <t>Language</t>
  </si>
  <si>
    <t>GMRC</t>
  </si>
  <si>
    <t>Makabansa</t>
  </si>
  <si>
    <t>MAPEH</t>
  </si>
  <si>
    <t>PE</t>
  </si>
  <si>
    <t>Health</t>
  </si>
  <si>
    <t>E.P.P.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</si>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</sst>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70" totalsRowShown="0" dataDxfId="59" headerRowBorderDxfId="57" tableBorderDxfId="58">
  <autoFilter ref="A2:AA70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3" customFormat="1" ht="64.900000000000006" customHeight="1">
      <c r="A1" s="14" t="s">
        <v>0</v>
      </c>
      <c r="B1" s="14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7" t="s">
        <v>6</v>
      </c>
      <c r="H1" s="18" t="s">
        <v>7</v>
      </c>
    </row>
    <row r="2" spans="1:8" ht="42.75" customHeight="1">
      <c r="A2" s="6"/>
      <c r="B2" s="6"/>
      <c r="C2" s="7"/>
      <c r="D2" s="7"/>
      <c r="E2" s="7"/>
      <c r="F2" s="6"/>
      <c r="G2" s="6"/>
      <c r="H2" s="6"/>
    </row>
    <row r="3" spans="1:8" ht="29.25" customHeight="1">
      <c r="A3" s="9">
        <v>7</v>
      </c>
      <c r="B3" s="10" t="s">
        <v>8</v>
      </c>
      <c r="C3" s="9">
        <v>325</v>
      </c>
      <c r="D3" s="9">
        <v>365</v>
      </c>
      <c r="E3" s="9">
        <v>2025</v>
      </c>
      <c r="F3" s="11" t="s">
        <v>9</v>
      </c>
      <c r="G3" s="3">
        <f t="shared" ref="G3:G11" si="0">IF((C3-D3)&lt;0,0,C3-D3)</f>
        <v>0</v>
      </c>
      <c r="H3" s="4">
        <f t="shared" ref="H3:H11" si="1">IF((D3-C3)&lt;0,0,D3-C3)</f>
        <v>40</v>
      </c>
    </row>
    <row r="4" spans="1:8" ht="21" customHeight="1">
      <c r="A4" s="9">
        <v>7</v>
      </c>
      <c r="B4" s="10" t="s">
        <v>10</v>
      </c>
      <c r="C4" s="9">
        <v>325</v>
      </c>
      <c r="D4" s="9"/>
      <c r="E4" s="9"/>
      <c r="F4" s="11"/>
      <c r="G4" s="3">
        <f t="shared" si="0"/>
        <v>325</v>
      </c>
      <c r="H4" s="4">
        <f t="shared" si="1"/>
        <v>0</v>
      </c>
    </row>
    <row r="5" spans="1:8" ht="25.5" customHeight="1">
      <c r="A5" s="9">
        <v>7</v>
      </c>
      <c r="B5" s="10" t="s">
        <v>11</v>
      </c>
      <c r="C5" s="9">
        <v>325</v>
      </c>
      <c r="D5" s="9"/>
      <c r="E5" s="9"/>
      <c r="F5" s="11"/>
      <c r="G5" s="3">
        <f t="shared" si="0"/>
        <v>325</v>
      </c>
      <c r="H5" s="4">
        <f t="shared" si="1"/>
        <v>0</v>
      </c>
    </row>
    <row r="6" spans="1:8" ht="19.5">
      <c r="A6" s="9">
        <v>7</v>
      </c>
      <c r="B6" s="10" t="s">
        <v>12</v>
      </c>
      <c r="C6" s="9">
        <v>325</v>
      </c>
      <c r="D6" s="9"/>
      <c r="E6" s="9"/>
      <c r="F6" s="11"/>
      <c r="G6" s="3">
        <f t="shared" si="0"/>
        <v>325</v>
      </c>
      <c r="H6" s="4">
        <f t="shared" si="1"/>
        <v>0</v>
      </c>
    </row>
    <row r="7" spans="1:8" ht="38.25">
      <c r="A7" s="9">
        <v>7</v>
      </c>
      <c r="B7" s="10" t="s">
        <v>13</v>
      </c>
      <c r="C7" s="9">
        <v>325</v>
      </c>
      <c r="D7" s="9">
        <v>365</v>
      </c>
      <c r="E7" s="9">
        <v>2025</v>
      </c>
      <c r="F7" s="11" t="s">
        <v>9</v>
      </c>
      <c r="G7" s="3">
        <f t="shared" si="0"/>
        <v>0</v>
      </c>
      <c r="H7" s="4">
        <f t="shared" si="1"/>
        <v>40</v>
      </c>
    </row>
    <row r="8" spans="1:8" ht="39.75" customHeight="1">
      <c r="A8" s="9">
        <v>7</v>
      </c>
      <c r="B8" s="10" t="s">
        <v>14</v>
      </c>
      <c r="C8" s="9">
        <v>325</v>
      </c>
      <c r="D8" s="9"/>
      <c r="E8" s="9"/>
      <c r="F8" s="11"/>
      <c r="G8" s="3">
        <f t="shared" si="0"/>
        <v>325</v>
      </c>
      <c r="H8" s="4">
        <f t="shared" si="1"/>
        <v>0</v>
      </c>
    </row>
    <row r="9" spans="1:8" ht="29.25" customHeight="1">
      <c r="A9" s="9">
        <v>7</v>
      </c>
      <c r="B9" s="10" t="s">
        <v>15</v>
      </c>
      <c r="C9" s="9">
        <v>325</v>
      </c>
      <c r="D9" s="9">
        <v>365</v>
      </c>
      <c r="E9" s="9">
        <v>2025</v>
      </c>
      <c r="F9" s="11" t="s">
        <v>9</v>
      </c>
      <c r="G9" s="3">
        <f t="shared" si="0"/>
        <v>0</v>
      </c>
      <c r="H9" s="4">
        <f t="shared" si="1"/>
        <v>40</v>
      </c>
    </row>
    <row r="10" spans="1:8" ht="28.5" customHeight="1">
      <c r="A10" s="9">
        <v>7</v>
      </c>
      <c r="B10" s="10" t="s">
        <v>16</v>
      </c>
      <c r="C10" s="9">
        <v>325</v>
      </c>
      <c r="D10" s="9">
        <v>365</v>
      </c>
      <c r="E10" s="9">
        <v>2025</v>
      </c>
      <c r="F10" s="11" t="s">
        <v>9</v>
      </c>
      <c r="G10" s="3">
        <f t="shared" si="0"/>
        <v>0</v>
      </c>
      <c r="H10" s="4">
        <f t="shared" si="1"/>
        <v>40</v>
      </c>
    </row>
    <row r="11" spans="1:8" ht="24" customHeight="1">
      <c r="A11" s="9">
        <v>7</v>
      </c>
      <c r="B11" s="10" t="s">
        <v>17</v>
      </c>
      <c r="C11" s="9">
        <v>325</v>
      </c>
      <c r="D11" s="9">
        <v>365</v>
      </c>
      <c r="E11" s="9">
        <v>2025</v>
      </c>
      <c r="F11" s="11" t="s">
        <v>9</v>
      </c>
      <c r="G11" s="3">
        <f t="shared" si="0"/>
        <v>0</v>
      </c>
      <c r="H11" s="4">
        <f t="shared" si="1"/>
        <v>40</v>
      </c>
    </row>
    <row r="12" spans="1:8" ht="15">
      <c r="A12" s="6"/>
      <c r="B12" s="6"/>
      <c r="C12" s="7"/>
      <c r="D12" s="7"/>
      <c r="E12" s="7"/>
      <c r="F12" s="6"/>
      <c r="G12" s="6"/>
      <c r="H12" s="6"/>
    </row>
    <row r="13" spans="1:8" ht="19.5">
      <c r="A13" s="9">
        <v>8</v>
      </c>
      <c r="B13" s="10" t="s">
        <v>8</v>
      </c>
      <c r="C13" s="9">
        <v>297</v>
      </c>
      <c r="D13" s="9"/>
      <c r="E13" s="9"/>
      <c r="F13" s="11"/>
      <c r="G13" s="3">
        <f t="shared" ref="G13:G21" si="2">IF((C13-D13)&lt;0,0,C13-D13)</f>
        <v>297</v>
      </c>
      <c r="H13" s="4">
        <f t="shared" ref="H13:H21" si="3">IF((D13-C13)&lt;0,0,D13-C13)</f>
        <v>0</v>
      </c>
    </row>
    <row r="14" spans="1:8" ht="49.5" customHeight="1">
      <c r="A14" s="9">
        <v>8</v>
      </c>
      <c r="B14" s="10" t="s">
        <v>10</v>
      </c>
      <c r="C14" s="9">
        <v>297</v>
      </c>
      <c r="D14" s="9"/>
      <c r="E14" s="9"/>
      <c r="F14" s="11"/>
      <c r="G14" s="3">
        <f t="shared" si="2"/>
        <v>297</v>
      </c>
      <c r="H14" s="4">
        <f t="shared" si="3"/>
        <v>0</v>
      </c>
    </row>
    <row r="15" spans="1:8" ht="29.25" customHeight="1">
      <c r="A15" s="9">
        <v>8</v>
      </c>
      <c r="B15" s="10" t="s">
        <v>11</v>
      </c>
      <c r="C15" s="9">
        <v>297</v>
      </c>
      <c r="D15" s="9">
        <v>314</v>
      </c>
      <c r="E15" s="9">
        <v>2025</v>
      </c>
      <c r="F15" s="11" t="s">
        <v>9</v>
      </c>
      <c r="G15" s="3">
        <f t="shared" si="2"/>
        <v>0</v>
      </c>
      <c r="H15" s="4">
        <f t="shared" si="3"/>
        <v>17</v>
      </c>
    </row>
    <row r="16" spans="1:8" ht="27" customHeight="1">
      <c r="A16" s="9">
        <v>8</v>
      </c>
      <c r="B16" s="10" t="s">
        <v>12</v>
      </c>
      <c r="C16" s="9">
        <v>297</v>
      </c>
      <c r="D16" s="9">
        <v>314</v>
      </c>
      <c r="E16" s="9">
        <v>2025</v>
      </c>
      <c r="F16" s="11" t="s">
        <v>9</v>
      </c>
      <c r="G16" s="3">
        <f t="shared" si="2"/>
        <v>0</v>
      </c>
      <c r="H16" s="4">
        <f t="shared" si="3"/>
        <v>17</v>
      </c>
    </row>
    <row r="17" spans="1:8" ht="23.25" customHeight="1">
      <c r="A17" s="9">
        <v>8</v>
      </c>
      <c r="B17" s="10" t="s">
        <v>18</v>
      </c>
      <c r="C17" s="9">
        <v>297</v>
      </c>
      <c r="D17" s="9"/>
      <c r="E17" s="9"/>
      <c r="F17" s="11"/>
      <c r="G17" s="3">
        <f t="shared" si="2"/>
        <v>297</v>
      </c>
      <c r="H17" s="4">
        <f t="shared" si="3"/>
        <v>0</v>
      </c>
    </row>
    <row r="18" spans="1:8" ht="21" customHeight="1">
      <c r="A18" s="9">
        <v>8</v>
      </c>
      <c r="B18" s="10" t="s">
        <v>14</v>
      </c>
      <c r="C18" s="9">
        <v>297</v>
      </c>
      <c r="D18" s="9"/>
      <c r="E18" s="9"/>
      <c r="F18" s="11"/>
      <c r="G18" s="3">
        <f t="shared" si="2"/>
        <v>297</v>
      </c>
      <c r="H18" s="4">
        <f t="shared" si="3"/>
        <v>0</v>
      </c>
    </row>
    <row r="19" spans="1:8" ht="19.5">
      <c r="A19" s="9">
        <v>8</v>
      </c>
      <c r="B19" s="10" t="s">
        <v>15</v>
      </c>
      <c r="C19" s="9">
        <v>297</v>
      </c>
      <c r="D19" s="9"/>
      <c r="E19" s="9"/>
      <c r="F19" s="11"/>
      <c r="G19" s="3">
        <f t="shared" si="2"/>
        <v>297</v>
      </c>
      <c r="H19" s="4">
        <f t="shared" si="3"/>
        <v>0</v>
      </c>
    </row>
    <row r="20" spans="1:8" ht="19.5">
      <c r="A20" s="9">
        <v>8</v>
      </c>
      <c r="B20" s="10" t="s">
        <v>16</v>
      </c>
      <c r="C20" s="9">
        <v>297</v>
      </c>
      <c r="D20" s="9"/>
      <c r="E20" s="9"/>
      <c r="F20" s="11"/>
      <c r="G20" s="3">
        <f t="shared" si="2"/>
        <v>297</v>
      </c>
      <c r="H20" s="4">
        <f t="shared" si="3"/>
        <v>0</v>
      </c>
    </row>
    <row r="21" spans="1:8" ht="28.5" customHeight="1">
      <c r="A21" s="9">
        <v>8</v>
      </c>
      <c r="B21" s="10" t="s">
        <v>17</v>
      </c>
      <c r="C21" s="9">
        <v>297</v>
      </c>
      <c r="D21" s="9"/>
      <c r="E21" s="9"/>
      <c r="F21" s="11"/>
      <c r="G21" s="3">
        <f t="shared" si="2"/>
        <v>297</v>
      </c>
      <c r="H21" s="4">
        <f t="shared" si="3"/>
        <v>0</v>
      </c>
    </row>
    <row r="22" spans="1:8" ht="24" customHeight="1">
      <c r="A22" s="6"/>
      <c r="B22" s="6"/>
      <c r="C22" s="7"/>
      <c r="D22" s="7"/>
      <c r="E22" s="7"/>
      <c r="F22" s="6"/>
      <c r="G22" s="6"/>
      <c r="H22" s="6"/>
    </row>
    <row r="23" spans="1:8" ht="19.5">
      <c r="A23" s="9">
        <v>9</v>
      </c>
      <c r="B23" s="10" t="s">
        <v>8</v>
      </c>
      <c r="C23" s="9"/>
      <c r="D23" s="9"/>
      <c r="E23" s="9"/>
      <c r="F23" s="11"/>
      <c r="G23" s="3">
        <f t="shared" ref="G23:G31" si="4">IF((C23-D23)&lt;0,0,C23-D23)</f>
        <v>0</v>
      </c>
      <c r="H23" s="4">
        <f t="shared" ref="H23:H31" si="5">IF((D23-C23)&lt;0,0,D23-C23)</f>
        <v>0</v>
      </c>
    </row>
    <row r="24" spans="1:8" ht="27" customHeight="1">
      <c r="A24" s="9">
        <v>9</v>
      </c>
      <c r="B24" s="10" t="s">
        <v>10</v>
      </c>
      <c r="C24" s="9"/>
      <c r="D24" s="9"/>
      <c r="E24" s="9"/>
      <c r="F24" s="11"/>
      <c r="G24" s="3">
        <f t="shared" si="4"/>
        <v>0</v>
      </c>
      <c r="H24" s="4">
        <f t="shared" si="5"/>
        <v>0</v>
      </c>
    </row>
    <row r="25" spans="1:8" ht="33.75" customHeight="1">
      <c r="A25" s="9">
        <v>9</v>
      </c>
      <c r="B25" s="10" t="s">
        <v>11</v>
      </c>
      <c r="C25" s="9"/>
      <c r="D25" s="9"/>
      <c r="E25" s="9"/>
      <c r="F25" s="11"/>
      <c r="G25" s="3">
        <f t="shared" si="4"/>
        <v>0</v>
      </c>
      <c r="H25" s="4">
        <f t="shared" si="5"/>
        <v>0</v>
      </c>
    </row>
    <row r="26" spans="1:8" ht="33.75" customHeight="1">
      <c r="A26" s="9">
        <v>9</v>
      </c>
      <c r="B26" s="10" t="s">
        <v>12</v>
      </c>
      <c r="C26" s="9"/>
      <c r="D26" s="9"/>
      <c r="E26" s="9"/>
      <c r="F26" s="11"/>
      <c r="G26" s="3">
        <f t="shared" si="4"/>
        <v>0</v>
      </c>
      <c r="H26" s="4">
        <f t="shared" si="5"/>
        <v>0</v>
      </c>
    </row>
    <row r="27" spans="1:8" ht="33.75" customHeight="1">
      <c r="A27" s="9">
        <v>9</v>
      </c>
      <c r="B27" s="10" t="s">
        <v>18</v>
      </c>
      <c r="C27" s="9"/>
      <c r="D27" s="9"/>
      <c r="E27" s="9"/>
      <c r="F27" s="11"/>
      <c r="G27" s="3">
        <f t="shared" si="4"/>
        <v>0</v>
      </c>
      <c r="H27" s="4">
        <f t="shared" si="5"/>
        <v>0</v>
      </c>
    </row>
    <row r="28" spans="1:8" ht="27.75" customHeight="1">
      <c r="A28" s="9">
        <v>9</v>
      </c>
      <c r="B28" s="10" t="s">
        <v>14</v>
      </c>
      <c r="C28" s="9"/>
      <c r="D28" s="9"/>
      <c r="E28" s="9"/>
      <c r="F28" s="11"/>
      <c r="G28" s="3">
        <f t="shared" si="4"/>
        <v>0</v>
      </c>
      <c r="H28" s="4">
        <f t="shared" si="5"/>
        <v>0</v>
      </c>
    </row>
    <row r="29" spans="1:8" ht="27.75" customHeight="1">
      <c r="A29" s="9">
        <v>9</v>
      </c>
      <c r="B29" s="10" t="s">
        <v>15</v>
      </c>
      <c r="C29" s="9"/>
      <c r="D29" s="9"/>
      <c r="E29" s="9"/>
      <c r="F29" s="11"/>
      <c r="G29" s="3">
        <f t="shared" si="4"/>
        <v>0</v>
      </c>
      <c r="H29" s="4">
        <f t="shared" si="5"/>
        <v>0</v>
      </c>
    </row>
    <row r="30" spans="1:8" ht="27.75" customHeight="1">
      <c r="A30" s="9">
        <v>9</v>
      </c>
      <c r="B30" s="10" t="s">
        <v>16</v>
      </c>
      <c r="C30" s="9"/>
      <c r="D30" s="9"/>
      <c r="E30" s="9"/>
      <c r="F30" s="11"/>
      <c r="G30" s="3">
        <f t="shared" si="4"/>
        <v>0</v>
      </c>
      <c r="H30" s="4">
        <f t="shared" si="5"/>
        <v>0</v>
      </c>
    </row>
    <row r="31" spans="1:8" ht="27.75" customHeight="1">
      <c r="A31" s="9">
        <v>9</v>
      </c>
      <c r="B31" s="10" t="s">
        <v>17</v>
      </c>
      <c r="C31" s="9"/>
      <c r="D31" s="9"/>
      <c r="E31" s="9"/>
      <c r="F31" s="11"/>
      <c r="G31" s="3">
        <f t="shared" si="4"/>
        <v>0</v>
      </c>
      <c r="H31" s="4">
        <f t="shared" si="5"/>
        <v>0</v>
      </c>
    </row>
    <row r="32" spans="1:8" ht="27.75" customHeight="1">
      <c r="A32" s="6"/>
      <c r="B32" s="7"/>
      <c r="C32" s="7"/>
      <c r="D32" s="7"/>
      <c r="E32" s="7"/>
      <c r="F32" s="6"/>
      <c r="G32" s="6"/>
      <c r="H32" s="6"/>
    </row>
    <row r="33" spans="1:8" ht="27.75" customHeight="1">
      <c r="A33" s="9">
        <v>10</v>
      </c>
      <c r="B33" s="10" t="s">
        <v>8</v>
      </c>
      <c r="C33" s="9"/>
      <c r="D33" s="9"/>
      <c r="E33" s="9"/>
      <c r="F33" s="11"/>
      <c r="G33" s="3">
        <f t="shared" ref="G33:G41" si="6">IF((C33-D33)&lt;0,0,C33-D33)</f>
        <v>0</v>
      </c>
      <c r="H33" s="4">
        <f t="shared" ref="H33:H41" si="7">IF((D33-C33)&lt;0,0,D33-C33)</f>
        <v>0</v>
      </c>
    </row>
    <row r="34" spans="1:8" ht="27.75" customHeight="1">
      <c r="A34" s="9">
        <v>10</v>
      </c>
      <c r="B34" s="10" t="s">
        <v>10</v>
      </c>
      <c r="C34" s="9"/>
      <c r="D34" s="9"/>
      <c r="E34" s="9"/>
      <c r="F34" s="11"/>
      <c r="G34" s="3">
        <f t="shared" si="6"/>
        <v>0</v>
      </c>
      <c r="H34" s="4">
        <f t="shared" si="7"/>
        <v>0</v>
      </c>
    </row>
    <row r="35" spans="1:8" ht="39" customHeight="1">
      <c r="A35" s="9">
        <v>10</v>
      </c>
      <c r="B35" s="10" t="s">
        <v>11</v>
      </c>
      <c r="C35" s="9"/>
      <c r="D35" s="9"/>
      <c r="E35" s="9"/>
      <c r="F35" s="11"/>
      <c r="G35" s="3">
        <f t="shared" si="6"/>
        <v>0</v>
      </c>
      <c r="H35" s="4">
        <f t="shared" si="7"/>
        <v>0</v>
      </c>
    </row>
    <row r="36" spans="1:8" ht="27.75" customHeight="1">
      <c r="A36" s="9">
        <v>10</v>
      </c>
      <c r="B36" s="10" t="s">
        <v>12</v>
      </c>
      <c r="C36" s="9"/>
      <c r="D36" s="9"/>
      <c r="E36" s="9"/>
      <c r="F36" s="11"/>
      <c r="G36" s="3">
        <f t="shared" si="6"/>
        <v>0</v>
      </c>
      <c r="H36" s="4">
        <f t="shared" si="7"/>
        <v>0</v>
      </c>
    </row>
    <row r="37" spans="1:8" ht="27.75" customHeight="1">
      <c r="A37" s="9">
        <v>10</v>
      </c>
      <c r="B37" s="10" t="s">
        <v>18</v>
      </c>
      <c r="C37" s="9"/>
      <c r="D37" s="9"/>
      <c r="E37" s="9"/>
      <c r="F37" s="11"/>
      <c r="G37" s="3">
        <f t="shared" si="6"/>
        <v>0</v>
      </c>
      <c r="H37" s="4">
        <f t="shared" si="7"/>
        <v>0</v>
      </c>
    </row>
    <row r="38" spans="1:8" ht="27.75" customHeight="1">
      <c r="A38" s="9">
        <v>10</v>
      </c>
      <c r="B38" s="10" t="s">
        <v>14</v>
      </c>
      <c r="C38" s="9"/>
      <c r="D38" s="9"/>
      <c r="E38" s="9"/>
      <c r="F38" s="11"/>
      <c r="G38" s="3">
        <f t="shared" si="6"/>
        <v>0</v>
      </c>
      <c r="H38" s="4">
        <f t="shared" si="7"/>
        <v>0</v>
      </c>
    </row>
    <row r="39" spans="1:8" ht="27.75" customHeight="1">
      <c r="A39" s="9">
        <v>10</v>
      </c>
      <c r="B39" s="10" t="s">
        <v>15</v>
      </c>
      <c r="C39" s="9"/>
      <c r="D39" s="9"/>
      <c r="E39" s="9"/>
      <c r="F39" s="11"/>
      <c r="G39" s="3">
        <f t="shared" si="6"/>
        <v>0</v>
      </c>
      <c r="H39" s="4">
        <f t="shared" si="7"/>
        <v>0</v>
      </c>
    </row>
    <row r="40" spans="1:8" ht="27.75" customHeight="1">
      <c r="A40" s="9">
        <v>10</v>
      </c>
      <c r="B40" s="10" t="s">
        <v>16</v>
      </c>
      <c r="C40" s="9"/>
      <c r="D40" s="9"/>
      <c r="E40" s="9"/>
      <c r="F40" s="11"/>
      <c r="G40" s="3">
        <f t="shared" si="6"/>
        <v>0</v>
      </c>
      <c r="H40" s="4">
        <f t="shared" si="7"/>
        <v>0</v>
      </c>
    </row>
    <row r="41" spans="1:8" ht="27.75" customHeight="1">
      <c r="A41" s="9">
        <v>10</v>
      </c>
      <c r="B41" s="10" t="s">
        <v>17</v>
      </c>
      <c r="C41" s="9"/>
      <c r="D41" s="9"/>
      <c r="E41" s="9"/>
      <c r="F41" s="11"/>
      <c r="G41" s="3">
        <f t="shared" si="6"/>
        <v>0</v>
      </c>
      <c r="H41" s="4">
        <f t="shared" si="7"/>
        <v>0</v>
      </c>
    </row>
    <row r="42" spans="1:8" ht="27.75" customHeight="1">
      <c r="A42" s="6"/>
      <c r="B42" s="6"/>
      <c r="C42" s="7"/>
      <c r="D42" s="7"/>
      <c r="E42" s="7"/>
      <c r="F42" s="6"/>
      <c r="G42" s="6"/>
      <c r="H42" s="6"/>
    </row>
    <row r="43" spans="1:8" ht="27.75" customHeight="1">
      <c r="A43" s="1" t="s">
        <v>19</v>
      </c>
      <c r="B43" s="8" t="s">
        <v>20</v>
      </c>
      <c r="C43" s="1"/>
      <c r="D43" s="1"/>
      <c r="E43" s="1"/>
      <c r="F43" s="5"/>
      <c r="G43" s="3">
        <f t="shared" ref="G43:G50" si="8">IF((C43-D43)&lt;0,0,C43-D43)</f>
        <v>0</v>
      </c>
      <c r="H43" s="4">
        <f t="shared" ref="H43:H50" si="9">IF((D43-C43)&lt;0,0,D43-C43)</f>
        <v>0</v>
      </c>
    </row>
    <row r="44" spans="1:8" ht="27.75" customHeight="1">
      <c r="A44" s="1" t="s">
        <v>19</v>
      </c>
      <c r="B44" s="8" t="s">
        <v>21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 t="s">
        <v>19</v>
      </c>
      <c r="B45" s="8" t="s">
        <v>22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 t="s">
        <v>19</v>
      </c>
      <c r="B46" s="8" t="s">
        <v>23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 t="s">
        <v>19</v>
      </c>
      <c r="B47" s="8" t="s">
        <v>24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 t="s">
        <v>19</v>
      </c>
      <c r="B48" s="8" t="s">
        <v>25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 t="s">
        <v>19</v>
      </c>
      <c r="B49" s="8" t="s">
        <v>26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1" t="s">
        <v>19</v>
      </c>
      <c r="B50" s="8" t="s">
        <v>27</v>
      </c>
      <c r="C50" s="1"/>
      <c r="D50" s="1"/>
      <c r="E50" s="1"/>
      <c r="F50" s="5"/>
      <c r="G50" s="3">
        <f t="shared" si="8"/>
        <v>0</v>
      </c>
      <c r="H50" s="4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50" name="Textbooks"/>
    <protectedRange sqref="F1:F50" name="SOURCE"/>
  </protectedRanges>
  <phoneticPr fontId="8" type="noConversion"/>
  <dataValidations count="2">
    <dataValidation type="list" allowBlank="1" showInputMessage="1" showErrorMessage="1" sqref="E43:E50 E3:E11 E13:E21 E23:E31 E33:E41" xr:uid="{B46E7B13-721E-4D49-837E-C02BF9777D48}">
      <formula1>"2024,2025,2026"</formula1>
    </dataValidation>
    <dataValidation type="list" allowBlank="1" showInputMessage="1" showErrorMessage="1" sqref="F3:F11 F13:F21 F23:F31 F33:F41 F43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zoomScale="70" zoomScaleNormal="70" workbookViewId="0">
      <selection activeCell="A5" sqref="A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D1" s="41" t="s">
        <v>28</v>
      </c>
      <c r="E1" s="41"/>
      <c r="F1" s="41"/>
      <c r="G1" s="41"/>
      <c r="H1" s="41"/>
      <c r="I1" s="41"/>
      <c r="J1" s="42" t="s">
        <v>29</v>
      </c>
      <c r="K1" s="42"/>
      <c r="L1" s="42"/>
      <c r="M1" s="42"/>
      <c r="N1" s="42"/>
      <c r="O1" s="42"/>
      <c r="P1" s="43" t="s">
        <v>30</v>
      </c>
      <c r="Q1" s="43"/>
      <c r="R1" s="43"/>
      <c r="S1" s="43"/>
      <c r="T1" s="43"/>
      <c r="U1" s="43"/>
      <c r="V1" s="44" t="s">
        <v>31</v>
      </c>
      <c r="W1" s="44"/>
      <c r="X1" s="44"/>
      <c r="Y1" s="44"/>
      <c r="Z1" s="44"/>
      <c r="AA1" s="44"/>
    </row>
    <row r="2" spans="1:27" ht="69.599999999999994" customHeight="1">
      <c r="A2" s="14" t="s">
        <v>0</v>
      </c>
      <c r="B2" s="14" t="s">
        <v>1</v>
      </c>
      <c r="C2" s="15" t="s">
        <v>2</v>
      </c>
      <c r="D2" s="19" t="s">
        <v>32</v>
      </c>
      <c r="E2" s="19" t="s">
        <v>33</v>
      </c>
      <c r="F2" s="20" t="s">
        <v>34</v>
      </c>
      <c r="G2" s="23" t="s">
        <v>35</v>
      </c>
      <c r="H2" s="16" t="s">
        <v>36</v>
      </c>
      <c r="I2" s="23" t="s">
        <v>37</v>
      </c>
      <c r="J2" s="21" t="s">
        <v>38</v>
      </c>
      <c r="K2" s="21" t="s">
        <v>39</v>
      </c>
      <c r="L2" s="22" t="s">
        <v>40</v>
      </c>
      <c r="M2" s="39" t="s">
        <v>41</v>
      </c>
      <c r="N2" s="39" t="s">
        <v>42</v>
      </c>
      <c r="O2" s="21" t="s">
        <v>43</v>
      </c>
      <c r="P2" s="23" t="s">
        <v>44</v>
      </c>
      <c r="Q2" s="23" t="s">
        <v>45</v>
      </c>
      <c r="R2" s="24" t="s">
        <v>46</v>
      </c>
      <c r="S2" s="16" t="s">
        <v>47</v>
      </c>
      <c r="T2" s="16" t="s">
        <v>48</v>
      </c>
      <c r="U2" s="23" t="s">
        <v>49</v>
      </c>
      <c r="V2" s="25" t="s">
        <v>50</v>
      </c>
      <c r="W2" s="25" t="s">
        <v>51</v>
      </c>
      <c r="X2" s="26" t="s">
        <v>52</v>
      </c>
      <c r="Y2" s="40" t="s">
        <v>53</v>
      </c>
      <c r="Z2" s="40" t="s">
        <v>54</v>
      </c>
      <c r="AA2" s="25" t="s">
        <v>55</v>
      </c>
    </row>
    <row r="3" spans="1:27" ht="30.6" customHeight="1">
      <c r="A3" s="38" t="s">
        <v>56</v>
      </c>
      <c r="B3" s="32"/>
      <c r="C3" s="31"/>
      <c r="D3" s="33">
        <f>Table1[[#This Row],[Enrolment S.Y. 2025-2026 ]]*8</f>
        <v>0</v>
      </c>
      <c r="E3" s="33"/>
      <c r="F3" s="31"/>
      <c r="G3" s="33"/>
      <c r="H3" s="33">
        <f>IF((D3-E3)&lt;0,0,(D3-E3))</f>
        <v>0</v>
      </c>
      <c r="I3" s="33">
        <f>IF((E3-D3)&lt;0,0,(E3-D3))</f>
        <v>0</v>
      </c>
      <c r="J3" s="33">
        <f>Table1[[#This Row],[Enrolment S.Y. 2025-2026 ]]*8</f>
        <v>0</v>
      </c>
      <c r="K3" s="33"/>
      <c r="L3" s="31"/>
      <c r="M3" s="33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3"/>
      <c r="R3" s="31"/>
      <c r="S3" s="33"/>
      <c r="T3" s="33">
        <f>IF((P3-Q3)&lt;0,0,(P3-Q3))</f>
        <v>0</v>
      </c>
      <c r="U3" s="33">
        <f>IF((Q3-P3)&lt;0,0,(Q3-P3))</f>
        <v>0</v>
      </c>
      <c r="V3" s="33">
        <f>Table1[[#This Row],[Enrolment S.Y. 2025-2026 ]]*8</f>
        <v>0</v>
      </c>
      <c r="W3" s="33"/>
      <c r="X3" s="31"/>
      <c r="Y3" s="33"/>
      <c r="Z3" s="33">
        <f>IF((V3-W3)&lt;0,0,(V3-W3))</f>
        <v>0</v>
      </c>
      <c r="AA3" s="33">
        <f>IF((W3-V3)&lt;0,0,(W3-V3))</f>
        <v>0</v>
      </c>
    </row>
    <row r="4" spans="1:27" s="6" customFormat="1" ht="19.149999999999999">
      <c r="J4" s="12"/>
      <c r="N4" s="12"/>
      <c r="O4" s="12"/>
      <c r="P4" s="12"/>
      <c r="S4" s="5"/>
      <c r="T4" s="12"/>
      <c r="U4" s="12"/>
      <c r="V4" s="12"/>
      <c r="Z4" s="12"/>
      <c r="AA4" s="12"/>
    </row>
    <row r="5" spans="1:27" ht="19.5">
      <c r="A5" s="6"/>
      <c r="B5" s="6"/>
      <c r="C5" s="6"/>
      <c r="D5" s="6"/>
      <c r="E5" s="6"/>
      <c r="F5" s="6"/>
      <c r="G5" s="6"/>
      <c r="H5" s="6"/>
      <c r="I5" s="6"/>
      <c r="J5" s="12"/>
      <c r="K5" s="6"/>
      <c r="L5" s="6"/>
      <c r="M5" s="5"/>
      <c r="N5" s="12"/>
      <c r="O5" s="12"/>
      <c r="P5" s="12"/>
      <c r="Q5" s="6"/>
      <c r="R5" s="6"/>
      <c r="S5" s="5"/>
      <c r="T5" s="12"/>
      <c r="U5" s="12"/>
      <c r="V5" s="12"/>
      <c r="W5" s="6"/>
      <c r="X5" s="6"/>
      <c r="Y5" s="5"/>
      <c r="Z5" s="12"/>
      <c r="AA5" s="12"/>
    </row>
    <row r="6" spans="1:27" ht="19.5">
      <c r="A6" s="9">
        <v>7</v>
      </c>
      <c r="B6" s="10" t="s">
        <v>8</v>
      </c>
      <c r="C6" s="9">
        <v>325</v>
      </c>
      <c r="D6" s="11">
        <f>Table1[[#This Row],[Enrolment S.Y. 2025-2026 ]]*8</f>
        <v>2600</v>
      </c>
      <c r="E6" s="11">
        <v>332</v>
      </c>
      <c r="F6" s="9">
        <v>2025</v>
      </c>
      <c r="G6" s="11"/>
      <c r="H6" s="11">
        <f t="shared" ref="H6:H20" si="2">IF((D6-E6)&lt;0,0,(D6-E6))</f>
        <v>2268</v>
      </c>
      <c r="I6" s="11">
        <f t="shared" ref="I6:I20" si="3">IF((E6-D6)&lt;0,0,(E6-D6))</f>
        <v>0</v>
      </c>
      <c r="J6" s="11">
        <f>Table1[[#This Row],[Enrolment S.Y. 2025-2026 ]]*8</f>
        <v>2600</v>
      </c>
      <c r="K6" s="11"/>
      <c r="L6" s="9"/>
      <c r="M6" s="11"/>
      <c r="N6" s="11">
        <f t="shared" ref="N6:N12" si="4">IF((J6-K6)&lt;0,0,(J6-K6))</f>
        <v>2600</v>
      </c>
      <c r="O6" s="11">
        <f t="shared" ref="O6:O12" si="5">IF((K6-J6)&lt;0,0,(K6-J6))</f>
        <v>0</v>
      </c>
      <c r="P6" s="11">
        <f>Table1[[#This Row],[Enrolment S.Y. 2025-2026 ]]*8</f>
        <v>2600</v>
      </c>
      <c r="Q6" s="11"/>
      <c r="R6" s="9"/>
      <c r="S6" s="11"/>
      <c r="T6" s="11">
        <f t="shared" ref="T6:T12" si="6">IF((P6-Q6)&lt;0,0,(P6-Q6))</f>
        <v>2600</v>
      </c>
      <c r="U6" s="11">
        <f t="shared" ref="U6:U12" si="7">IF((Q6-P6)&lt;0,0,(Q6-P6))</f>
        <v>0</v>
      </c>
      <c r="V6" s="11">
        <f>Table1[[#This Row],[Enrolment S.Y. 2025-2026 ]]*8</f>
        <v>2600</v>
      </c>
      <c r="W6" s="11"/>
      <c r="X6" s="9"/>
      <c r="Y6" s="11"/>
      <c r="Z6" s="11">
        <f t="shared" ref="Z6:Z12" si="8">IF((V6-W6)&lt;0,0,(V6-W6))</f>
        <v>2600</v>
      </c>
      <c r="AA6" s="11">
        <f t="shared" ref="AA6:AA12" si="9">IF((W6-V6)&lt;0,0,(W6-V6))</f>
        <v>0</v>
      </c>
    </row>
    <row r="7" spans="1:27" ht="19.5">
      <c r="A7" s="9">
        <v>7</v>
      </c>
      <c r="B7" s="10" t="s">
        <v>10</v>
      </c>
      <c r="C7" s="9">
        <v>325</v>
      </c>
      <c r="D7" s="11">
        <f>Table1[[#This Row],[Enrolment S.Y. 2025-2026 ]]*8</f>
        <v>2600</v>
      </c>
      <c r="E7" s="11">
        <v>332</v>
      </c>
      <c r="F7" s="9">
        <v>2025</v>
      </c>
      <c r="G7" s="11"/>
      <c r="H7" s="11">
        <f t="shared" si="2"/>
        <v>2268</v>
      </c>
      <c r="I7" s="11">
        <f t="shared" si="3"/>
        <v>0</v>
      </c>
      <c r="J7" s="11">
        <f>Table1[[#This Row],[Enrolment S.Y. 2025-2026 ]]*8</f>
        <v>2600</v>
      </c>
      <c r="K7" s="11"/>
      <c r="L7" s="9"/>
      <c r="M7" s="11"/>
      <c r="N7" s="11">
        <f t="shared" si="4"/>
        <v>2600</v>
      </c>
      <c r="O7" s="11">
        <f t="shared" si="5"/>
        <v>0</v>
      </c>
      <c r="P7" s="11">
        <f>Table1[[#This Row],[Enrolment S.Y. 2025-2026 ]]*8</f>
        <v>2600</v>
      </c>
      <c r="Q7" s="11"/>
      <c r="R7" s="9"/>
      <c r="S7" s="11"/>
      <c r="T7" s="11">
        <f t="shared" si="6"/>
        <v>2600</v>
      </c>
      <c r="U7" s="11">
        <f t="shared" si="7"/>
        <v>0</v>
      </c>
      <c r="V7" s="11">
        <f>Table1[[#This Row],[Enrolment S.Y. 2025-2026 ]]*8</f>
        <v>2600</v>
      </c>
      <c r="W7" s="11"/>
      <c r="X7" s="9"/>
      <c r="Y7" s="11"/>
      <c r="Z7" s="11">
        <f t="shared" si="8"/>
        <v>2600</v>
      </c>
      <c r="AA7" s="11">
        <f t="shared" si="9"/>
        <v>0</v>
      </c>
    </row>
    <row r="8" spans="1:27" ht="19.5">
      <c r="A8" s="9">
        <v>7</v>
      </c>
      <c r="B8" s="10" t="s">
        <v>11</v>
      </c>
      <c r="C8" s="9">
        <v>325</v>
      </c>
      <c r="D8" s="11">
        <f>Table1[[#This Row],[Enrolment S.Y. 2025-2026 ]]*8</f>
        <v>2600</v>
      </c>
      <c r="E8" s="11">
        <v>332</v>
      </c>
      <c r="F8" s="9">
        <v>2025</v>
      </c>
      <c r="G8" s="11"/>
      <c r="H8" s="11">
        <f t="shared" si="2"/>
        <v>2268</v>
      </c>
      <c r="I8" s="11">
        <f t="shared" si="3"/>
        <v>0</v>
      </c>
      <c r="J8" s="11">
        <f>Table1[[#This Row],[Enrolment S.Y. 2025-2026 ]]*8</f>
        <v>2600</v>
      </c>
      <c r="K8" s="11"/>
      <c r="L8" s="9"/>
      <c r="M8" s="11"/>
      <c r="N8" s="11">
        <f t="shared" si="4"/>
        <v>2600</v>
      </c>
      <c r="O8" s="11">
        <f t="shared" si="5"/>
        <v>0</v>
      </c>
      <c r="P8" s="11">
        <f>Table1[[#This Row],[Enrolment S.Y. 2025-2026 ]]*8</f>
        <v>2600</v>
      </c>
      <c r="Q8" s="11"/>
      <c r="R8" s="9"/>
      <c r="S8" s="11"/>
      <c r="T8" s="11">
        <f t="shared" si="6"/>
        <v>2600</v>
      </c>
      <c r="U8" s="11">
        <f t="shared" si="7"/>
        <v>0</v>
      </c>
      <c r="V8" s="11">
        <f>Table1[[#This Row],[Enrolment S.Y. 2025-2026 ]]*8</f>
        <v>2600</v>
      </c>
      <c r="W8" s="11"/>
      <c r="X8" s="9"/>
      <c r="Y8" s="11"/>
      <c r="Z8" s="11">
        <f t="shared" si="8"/>
        <v>2600</v>
      </c>
      <c r="AA8" s="11">
        <f t="shared" si="9"/>
        <v>0</v>
      </c>
    </row>
    <row r="9" spans="1:27" ht="19.5">
      <c r="A9" s="9">
        <v>7</v>
      </c>
      <c r="B9" s="10" t="s">
        <v>12</v>
      </c>
      <c r="C9" s="9">
        <v>325</v>
      </c>
      <c r="D9" s="11">
        <f>Table1[[#This Row],[Enrolment S.Y. 2025-2026 ]]*8</f>
        <v>2600</v>
      </c>
      <c r="E9" s="11">
        <v>332</v>
      </c>
      <c r="F9" s="9">
        <v>2025</v>
      </c>
      <c r="G9" s="11"/>
      <c r="H9" s="11">
        <f t="shared" si="2"/>
        <v>2268</v>
      </c>
      <c r="I9" s="11">
        <f t="shared" si="3"/>
        <v>0</v>
      </c>
      <c r="J9" s="11">
        <f>Table1[[#This Row],[Enrolment S.Y. 2025-2026 ]]*8</f>
        <v>2600</v>
      </c>
      <c r="K9" s="11"/>
      <c r="L9" s="9"/>
      <c r="M9" s="11"/>
      <c r="N9" s="11">
        <f t="shared" si="4"/>
        <v>2600</v>
      </c>
      <c r="O9" s="11">
        <f t="shared" si="5"/>
        <v>0</v>
      </c>
      <c r="P9" s="11">
        <f>Table1[[#This Row],[Enrolment S.Y. 2025-2026 ]]*8</f>
        <v>2600</v>
      </c>
      <c r="Q9" s="11"/>
      <c r="R9" s="9"/>
      <c r="S9" s="11"/>
      <c r="T9" s="11">
        <f t="shared" si="6"/>
        <v>2600</v>
      </c>
      <c r="U9" s="11">
        <f t="shared" si="7"/>
        <v>0</v>
      </c>
      <c r="V9" s="11">
        <f>Table1[[#This Row],[Enrolment S.Y. 2025-2026 ]]*8</f>
        <v>2600</v>
      </c>
      <c r="W9" s="11"/>
      <c r="X9" s="9"/>
      <c r="Y9" s="11"/>
      <c r="Z9" s="11">
        <f t="shared" si="8"/>
        <v>2600</v>
      </c>
      <c r="AA9" s="11">
        <f t="shared" si="9"/>
        <v>0</v>
      </c>
    </row>
    <row r="10" spans="1:27" ht="38.25">
      <c r="A10" s="9">
        <v>7</v>
      </c>
      <c r="B10" s="10" t="s">
        <v>13</v>
      </c>
      <c r="C10" s="9">
        <v>325</v>
      </c>
      <c r="D10" s="11">
        <f>Table1[[#This Row],[Enrolment S.Y. 2025-2026 ]]*8</f>
        <v>2600</v>
      </c>
      <c r="E10" s="11">
        <v>332</v>
      </c>
      <c r="F10" s="9">
        <v>2025</v>
      </c>
      <c r="G10" s="11"/>
      <c r="H10" s="11">
        <f t="shared" si="2"/>
        <v>2268</v>
      </c>
      <c r="I10" s="11">
        <f t="shared" si="3"/>
        <v>0</v>
      </c>
      <c r="J10" s="11">
        <f>Table1[[#This Row],[Enrolment S.Y. 2025-2026 ]]*8</f>
        <v>2600</v>
      </c>
      <c r="K10" s="11"/>
      <c r="L10" s="9"/>
      <c r="M10" s="11"/>
      <c r="N10" s="11">
        <f t="shared" si="4"/>
        <v>2600</v>
      </c>
      <c r="O10" s="11">
        <f t="shared" si="5"/>
        <v>0</v>
      </c>
      <c r="P10" s="11">
        <f>Table1[[#This Row],[Enrolment S.Y. 2025-2026 ]]*8</f>
        <v>2600</v>
      </c>
      <c r="Q10" s="11"/>
      <c r="R10" s="9"/>
      <c r="S10" s="11"/>
      <c r="T10" s="11">
        <f t="shared" si="6"/>
        <v>2600</v>
      </c>
      <c r="U10" s="11">
        <f t="shared" si="7"/>
        <v>0</v>
      </c>
      <c r="V10" s="11">
        <f>Table1[[#This Row],[Enrolment S.Y. 2025-2026 ]]*8</f>
        <v>2600</v>
      </c>
      <c r="W10" s="11"/>
      <c r="X10" s="9"/>
      <c r="Y10" s="11"/>
      <c r="Z10" s="11">
        <f t="shared" si="8"/>
        <v>2600</v>
      </c>
      <c r="AA10" s="11">
        <f t="shared" si="9"/>
        <v>0</v>
      </c>
    </row>
    <row r="11" spans="1:27" ht="19.5">
      <c r="A11" s="9">
        <v>7</v>
      </c>
      <c r="B11" s="10" t="s">
        <v>14</v>
      </c>
      <c r="C11" s="9">
        <v>325</v>
      </c>
      <c r="D11" s="11">
        <f>Table1[[#This Row],[Enrolment S.Y. 2025-2026 ]]*8</f>
        <v>2600</v>
      </c>
      <c r="E11" s="11">
        <v>332</v>
      </c>
      <c r="F11" s="9">
        <v>2025</v>
      </c>
      <c r="G11" s="11"/>
      <c r="H11" s="11">
        <f t="shared" si="2"/>
        <v>2268</v>
      </c>
      <c r="I11" s="11">
        <f t="shared" si="3"/>
        <v>0</v>
      </c>
      <c r="J11" s="11">
        <f>Table1[[#This Row],[Enrolment S.Y. 2025-2026 ]]*8</f>
        <v>2600</v>
      </c>
      <c r="K11" s="11"/>
      <c r="L11" s="9"/>
      <c r="M11" s="11"/>
      <c r="N11" s="11">
        <f t="shared" si="4"/>
        <v>2600</v>
      </c>
      <c r="O11" s="11">
        <f t="shared" si="5"/>
        <v>0</v>
      </c>
      <c r="P11" s="11">
        <f>Table1[[#This Row],[Enrolment S.Y. 2025-2026 ]]*8</f>
        <v>2600</v>
      </c>
      <c r="Q11" s="11"/>
      <c r="R11" s="9"/>
      <c r="S11" s="11"/>
      <c r="T11" s="11">
        <f t="shared" si="6"/>
        <v>2600</v>
      </c>
      <c r="U11" s="11">
        <f t="shared" si="7"/>
        <v>0</v>
      </c>
      <c r="V11" s="11">
        <f>Table1[[#This Row],[Enrolment S.Y. 2025-2026 ]]*8</f>
        <v>2600</v>
      </c>
      <c r="W11" s="11"/>
      <c r="X11" s="9"/>
      <c r="Y11" s="11"/>
      <c r="Z11" s="11">
        <f t="shared" si="8"/>
        <v>2600</v>
      </c>
      <c r="AA11" s="11">
        <f t="shared" si="9"/>
        <v>0</v>
      </c>
    </row>
    <row r="12" spans="1:27" ht="19.5">
      <c r="A12" s="9">
        <v>7</v>
      </c>
      <c r="B12" s="10" t="s">
        <v>15</v>
      </c>
      <c r="C12" s="9">
        <v>325</v>
      </c>
      <c r="D12" s="11">
        <f>Table1[[#This Row],[Enrolment S.Y. 2025-2026 ]]*8</f>
        <v>2600</v>
      </c>
      <c r="E12" s="11">
        <v>332</v>
      </c>
      <c r="F12" s="9">
        <v>2025</v>
      </c>
      <c r="G12" s="11"/>
      <c r="H12" s="11">
        <f t="shared" si="2"/>
        <v>2268</v>
      </c>
      <c r="I12" s="11">
        <f t="shared" si="3"/>
        <v>0</v>
      </c>
      <c r="J12" s="11">
        <f>Table1[[#This Row],[Enrolment S.Y. 2025-2026 ]]*8</f>
        <v>2600</v>
      </c>
      <c r="K12" s="11"/>
      <c r="L12" s="9"/>
      <c r="M12" s="11"/>
      <c r="N12" s="11">
        <f t="shared" si="4"/>
        <v>2600</v>
      </c>
      <c r="O12" s="11">
        <f t="shared" si="5"/>
        <v>0</v>
      </c>
      <c r="P12" s="11">
        <f>Table1[[#This Row],[Enrolment S.Y. 2025-2026 ]]*8</f>
        <v>2600</v>
      </c>
      <c r="Q12" s="11"/>
      <c r="R12" s="9"/>
      <c r="S12" s="11"/>
      <c r="T12" s="11">
        <f t="shared" si="6"/>
        <v>2600</v>
      </c>
      <c r="U12" s="11">
        <f t="shared" si="7"/>
        <v>0</v>
      </c>
      <c r="V12" s="11">
        <f>Table1[[#This Row],[Enrolment S.Y. 2025-2026 ]]*8</f>
        <v>2600</v>
      </c>
      <c r="W12" s="11"/>
      <c r="X12" s="9"/>
      <c r="Y12" s="11"/>
      <c r="Z12" s="11">
        <f t="shared" si="8"/>
        <v>2600</v>
      </c>
      <c r="AA12" s="11">
        <f t="shared" si="9"/>
        <v>0</v>
      </c>
    </row>
    <row r="13" spans="1:27" s="6" customFormat="1" ht="19.5">
      <c r="A13" s="9">
        <v>7</v>
      </c>
      <c r="B13" s="10" t="s">
        <v>16</v>
      </c>
      <c r="C13" s="9">
        <v>325</v>
      </c>
      <c r="D13" s="11">
        <f>Table1[[#This Row],[Enrolment S.Y. 2025-2026 ]]*8</f>
        <v>2600</v>
      </c>
      <c r="E13" s="11">
        <v>332</v>
      </c>
      <c r="F13" s="9">
        <v>2025</v>
      </c>
      <c r="G13" s="11"/>
      <c r="H13" s="11">
        <f t="shared" si="2"/>
        <v>2268</v>
      </c>
      <c r="I13" s="11">
        <f t="shared" si="3"/>
        <v>0</v>
      </c>
      <c r="J13" s="11">
        <f>Table1[[#This Row],[Enrolment S.Y. 2025-2026 ]]*8</f>
        <v>2600</v>
      </c>
      <c r="K13" s="11"/>
      <c r="L13" s="9"/>
      <c r="M13" s="11"/>
      <c r="N13" s="11">
        <f t="shared" ref="N13:N69" si="10">IF((J13-K13)&lt;0,0,(J13-K13))</f>
        <v>2600</v>
      </c>
      <c r="O13" s="11">
        <f t="shared" ref="O13:O69" si="11">IF((K13-J13)&lt;0,0,(K13-J13))</f>
        <v>0</v>
      </c>
      <c r="P13" s="11">
        <f>Table1[[#This Row],[Enrolment S.Y. 2025-2026 ]]*8</f>
        <v>2600</v>
      </c>
      <c r="Q13" s="11"/>
      <c r="R13" s="9"/>
      <c r="S13" s="11"/>
      <c r="T13" s="11">
        <f t="shared" ref="T13:T70" si="12">IF((P13-Q13)&lt;0,0,(P13-Q13))</f>
        <v>2600</v>
      </c>
      <c r="U13" s="11">
        <f t="shared" ref="U13:U70" si="13">IF((Q13-P13)&lt;0,0,(Q13-P13))</f>
        <v>0</v>
      </c>
      <c r="V13" s="11">
        <f>Table1[[#This Row],[Enrolment S.Y. 2025-2026 ]]*8</f>
        <v>2600</v>
      </c>
      <c r="W13" s="11"/>
      <c r="X13" s="9"/>
      <c r="Y13" s="11"/>
      <c r="Z13" s="11">
        <f t="shared" ref="Z13:Z70" si="14">IF((V13-W13)&lt;0,0,(V13-W13))</f>
        <v>2600</v>
      </c>
      <c r="AA13" s="11">
        <f t="shared" ref="AA13:AA70" si="15">IF((W13-V13)&lt;0,0,(W13-V13))</f>
        <v>0</v>
      </c>
    </row>
    <row r="14" spans="1:27" ht="19.5">
      <c r="A14" s="9">
        <v>7</v>
      </c>
      <c r="B14" s="10" t="s">
        <v>17</v>
      </c>
      <c r="C14" s="9">
        <v>325</v>
      </c>
      <c r="D14" s="11">
        <f>Table1[[#This Row],[Enrolment S.Y. 2025-2026 ]]*8</f>
        <v>2600</v>
      </c>
      <c r="E14" s="11">
        <v>332</v>
      </c>
      <c r="F14" s="9">
        <v>2025</v>
      </c>
      <c r="G14" s="11"/>
      <c r="H14" s="11">
        <f t="shared" si="2"/>
        <v>2268</v>
      </c>
      <c r="I14" s="11">
        <f t="shared" si="3"/>
        <v>0</v>
      </c>
      <c r="J14" s="11">
        <f>Table1[[#This Row],[Enrolment S.Y. 2025-2026 ]]*8</f>
        <v>2600</v>
      </c>
      <c r="K14" s="11"/>
      <c r="L14" s="9"/>
      <c r="M14" s="11"/>
      <c r="N14" s="11">
        <f t="shared" si="10"/>
        <v>2600</v>
      </c>
      <c r="O14" s="11">
        <f t="shared" si="11"/>
        <v>0</v>
      </c>
      <c r="P14" s="11">
        <f>Table1[[#This Row],[Enrolment S.Y. 2025-2026 ]]*8</f>
        <v>2600</v>
      </c>
      <c r="Q14" s="11"/>
      <c r="R14" s="9"/>
      <c r="S14" s="11"/>
      <c r="T14" s="11">
        <f t="shared" si="12"/>
        <v>2600</v>
      </c>
      <c r="U14" s="11">
        <f t="shared" si="13"/>
        <v>0</v>
      </c>
      <c r="V14" s="11">
        <f>Table1[[#This Row],[Enrolment S.Y. 2025-2026 ]]*8</f>
        <v>2600</v>
      </c>
      <c r="W14" s="11"/>
      <c r="X14" s="9"/>
      <c r="Y14" s="11"/>
      <c r="Z14" s="11">
        <f t="shared" si="14"/>
        <v>2600</v>
      </c>
      <c r="AA14" s="11">
        <f t="shared" si="15"/>
        <v>0</v>
      </c>
    </row>
    <row r="15" spans="1:27" ht="19.5">
      <c r="A15" s="6"/>
      <c r="B15" s="6"/>
      <c r="C15" s="6"/>
      <c r="D15" s="6"/>
      <c r="E15" s="6"/>
      <c r="F15" s="6"/>
      <c r="G15" s="6"/>
      <c r="H15" s="6"/>
      <c r="I15" s="6"/>
      <c r="J15" s="12"/>
      <c r="K15" s="6"/>
      <c r="L15" s="6"/>
      <c r="M15" s="5"/>
      <c r="N15" s="12"/>
      <c r="O15" s="12"/>
      <c r="P15" s="12"/>
      <c r="Q15" s="6"/>
      <c r="R15" s="6"/>
      <c r="S15" s="5"/>
      <c r="T15" s="12"/>
      <c r="U15" s="12"/>
      <c r="V15" s="12"/>
      <c r="W15" s="6"/>
      <c r="X15" s="6"/>
      <c r="Y15" s="5"/>
      <c r="Z15" s="12"/>
      <c r="AA15" s="12"/>
    </row>
    <row r="16" spans="1:27" ht="19.5">
      <c r="A16" s="9">
        <v>8</v>
      </c>
      <c r="B16" s="10" t="s">
        <v>8</v>
      </c>
      <c r="C16" s="9">
        <v>297</v>
      </c>
      <c r="D16" s="11">
        <f>Table1[[#This Row],[Enrolment S.Y. 2025-2026 ]]*8</f>
        <v>2376</v>
      </c>
      <c r="E16" s="11">
        <v>311</v>
      </c>
      <c r="F16" s="9">
        <v>2025</v>
      </c>
      <c r="G16" s="11"/>
      <c r="H16" s="11">
        <f t="shared" si="2"/>
        <v>2065</v>
      </c>
      <c r="I16" s="11">
        <f t="shared" si="3"/>
        <v>0</v>
      </c>
      <c r="J16" s="11">
        <f>Table1[[#This Row],[Enrolment S.Y. 2025-2026 ]]*8</f>
        <v>2376</v>
      </c>
      <c r="K16" s="11"/>
      <c r="L16" s="9"/>
      <c r="M16" s="11"/>
      <c r="N16" s="11">
        <f t="shared" si="10"/>
        <v>2376</v>
      </c>
      <c r="O16" s="11">
        <f t="shared" si="11"/>
        <v>0</v>
      </c>
      <c r="P16" s="11">
        <f>Table1[[#This Row],[Enrolment S.Y. 2025-2026 ]]*8</f>
        <v>2376</v>
      </c>
      <c r="Q16" s="11"/>
      <c r="R16" s="9"/>
      <c r="S16" s="11"/>
      <c r="T16" s="11">
        <f t="shared" si="12"/>
        <v>2376</v>
      </c>
      <c r="U16" s="11">
        <f t="shared" si="13"/>
        <v>0</v>
      </c>
      <c r="V16" s="11">
        <f>Table1[[#This Row],[Enrolment S.Y. 2025-2026 ]]*8</f>
        <v>2376</v>
      </c>
      <c r="W16" s="11"/>
      <c r="X16" s="9"/>
      <c r="Y16" s="11"/>
      <c r="Z16" s="11">
        <f t="shared" si="14"/>
        <v>2376</v>
      </c>
      <c r="AA16" s="11">
        <f t="shared" si="15"/>
        <v>0</v>
      </c>
    </row>
    <row r="17" spans="1:27" ht="19.5">
      <c r="A17" s="9">
        <v>8</v>
      </c>
      <c r="B17" s="10" t="s">
        <v>10</v>
      </c>
      <c r="C17" s="9">
        <v>297</v>
      </c>
      <c r="D17" s="11">
        <f>Table1[[#This Row],[Enrolment S.Y. 2025-2026 ]]*8</f>
        <v>2376</v>
      </c>
      <c r="E17" s="11">
        <v>311</v>
      </c>
      <c r="F17" s="9">
        <v>2025</v>
      </c>
      <c r="G17" s="11"/>
      <c r="H17" s="11">
        <f t="shared" si="2"/>
        <v>2065</v>
      </c>
      <c r="I17" s="11">
        <f t="shared" si="3"/>
        <v>0</v>
      </c>
      <c r="J17" s="11">
        <f>Table1[[#This Row],[Enrolment S.Y. 2025-2026 ]]*8</f>
        <v>2376</v>
      </c>
      <c r="K17" s="11"/>
      <c r="L17" s="9"/>
      <c r="M17" s="11"/>
      <c r="N17" s="11">
        <f t="shared" si="10"/>
        <v>2376</v>
      </c>
      <c r="O17" s="11">
        <f t="shared" si="11"/>
        <v>0</v>
      </c>
      <c r="P17" s="11">
        <f>Table1[[#This Row],[Enrolment S.Y. 2025-2026 ]]*8</f>
        <v>2376</v>
      </c>
      <c r="Q17" s="11"/>
      <c r="R17" s="9"/>
      <c r="S17" s="11"/>
      <c r="T17" s="11">
        <f t="shared" si="12"/>
        <v>2376</v>
      </c>
      <c r="U17" s="11">
        <f t="shared" si="13"/>
        <v>0</v>
      </c>
      <c r="V17" s="11">
        <f>Table1[[#This Row],[Enrolment S.Y. 2025-2026 ]]*8</f>
        <v>2376</v>
      </c>
      <c r="W17" s="11"/>
      <c r="X17" s="9"/>
      <c r="Y17" s="11"/>
      <c r="Z17" s="11">
        <f t="shared" si="14"/>
        <v>2376</v>
      </c>
      <c r="AA17" s="11">
        <f t="shared" si="15"/>
        <v>0</v>
      </c>
    </row>
    <row r="18" spans="1:27" ht="19.5">
      <c r="A18" s="9">
        <v>8</v>
      </c>
      <c r="B18" s="10" t="s">
        <v>11</v>
      </c>
      <c r="C18" s="9">
        <v>297</v>
      </c>
      <c r="D18" s="11">
        <f>Table1[[#This Row],[Enrolment S.Y. 2025-2026 ]]*8</f>
        <v>2376</v>
      </c>
      <c r="E18" s="11">
        <v>311</v>
      </c>
      <c r="F18" s="9">
        <v>2025</v>
      </c>
      <c r="G18" s="11"/>
      <c r="H18" s="11">
        <f t="shared" si="2"/>
        <v>2065</v>
      </c>
      <c r="I18" s="11">
        <f t="shared" si="3"/>
        <v>0</v>
      </c>
      <c r="J18" s="11">
        <f>Table1[[#This Row],[Enrolment S.Y. 2025-2026 ]]*8</f>
        <v>2376</v>
      </c>
      <c r="K18" s="11"/>
      <c r="L18" s="9"/>
      <c r="M18" s="11"/>
      <c r="N18" s="11">
        <f t="shared" si="10"/>
        <v>2376</v>
      </c>
      <c r="O18" s="11">
        <f t="shared" si="11"/>
        <v>0</v>
      </c>
      <c r="P18" s="11">
        <f>Table1[[#This Row],[Enrolment S.Y. 2025-2026 ]]*8</f>
        <v>2376</v>
      </c>
      <c r="Q18" s="11"/>
      <c r="R18" s="9"/>
      <c r="S18" s="11"/>
      <c r="T18" s="11">
        <f t="shared" si="12"/>
        <v>2376</v>
      </c>
      <c r="U18" s="11">
        <f t="shared" si="13"/>
        <v>0</v>
      </c>
      <c r="V18" s="11">
        <f>Table1[[#This Row],[Enrolment S.Y. 2025-2026 ]]*8</f>
        <v>2376</v>
      </c>
      <c r="W18" s="11"/>
      <c r="X18" s="9"/>
      <c r="Y18" s="11"/>
      <c r="Z18" s="11">
        <f t="shared" si="14"/>
        <v>2376</v>
      </c>
      <c r="AA18" s="11">
        <f t="shared" si="15"/>
        <v>0</v>
      </c>
    </row>
    <row r="19" spans="1:27" ht="19.5">
      <c r="A19" s="9">
        <v>8</v>
      </c>
      <c r="B19" s="10" t="s">
        <v>12</v>
      </c>
      <c r="C19" s="9">
        <v>297</v>
      </c>
      <c r="D19" s="11">
        <f>Table1[[#This Row],[Enrolment S.Y. 2025-2026 ]]*8</f>
        <v>2376</v>
      </c>
      <c r="E19" s="11">
        <v>311</v>
      </c>
      <c r="F19" s="9">
        <v>2025</v>
      </c>
      <c r="G19" s="11"/>
      <c r="H19" s="11">
        <f t="shared" si="2"/>
        <v>2065</v>
      </c>
      <c r="I19" s="11">
        <f t="shared" si="3"/>
        <v>0</v>
      </c>
      <c r="J19" s="11">
        <f>Table1[[#This Row],[Enrolment S.Y. 2025-2026 ]]*8</f>
        <v>2376</v>
      </c>
      <c r="K19" s="11"/>
      <c r="L19" s="9"/>
      <c r="M19" s="11"/>
      <c r="N19" s="11">
        <f t="shared" si="10"/>
        <v>2376</v>
      </c>
      <c r="O19" s="11">
        <f t="shared" si="11"/>
        <v>0</v>
      </c>
      <c r="P19" s="11">
        <f>Table1[[#This Row],[Enrolment S.Y. 2025-2026 ]]*8</f>
        <v>2376</v>
      </c>
      <c r="Q19" s="11"/>
      <c r="R19" s="9"/>
      <c r="S19" s="11"/>
      <c r="T19" s="11">
        <f t="shared" si="12"/>
        <v>2376</v>
      </c>
      <c r="U19" s="11">
        <f t="shared" si="13"/>
        <v>0</v>
      </c>
      <c r="V19" s="11">
        <f>Table1[[#This Row],[Enrolment S.Y. 2025-2026 ]]*8</f>
        <v>2376</v>
      </c>
      <c r="W19" s="11"/>
      <c r="X19" s="9"/>
      <c r="Y19" s="11"/>
      <c r="Z19" s="11">
        <f t="shared" si="14"/>
        <v>2376</v>
      </c>
      <c r="AA19" s="11">
        <f t="shared" si="15"/>
        <v>0</v>
      </c>
    </row>
    <row r="20" spans="1:27" ht="19.5">
      <c r="A20" s="9">
        <v>8</v>
      </c>
      <c r="B20" s="10" t="s">
        <v>18</v>
      </c>
      <c r="C20" s="9">
        <v>297</v>
      </c>
      <c r="D20" s="11">
        <f>Table1[[#This Row],[Enrolment S.Y. 2025-2026 ]]*8</f>
        <v>2376</v>
      </c>
      <c r="E20" s="11">
        <v>311</v>
      </c>
      <c r="F20" s="9">
        <v>2025</v>
      </c>
      <c r="G20" s="11"/>
      <c r="H20" s="11">
        <f t="shared" si="2"/>
        <v>2065</v>
      </c>
      <c r="I20" s="11">
        <f t="shared" si="3"/>
        <v>0</v>
      </c>
      <c r="J20" s="11">
        <f>Table1[[#This Row],[Enrolment S.Y. 2025-2026 ]]*8</f>
        <v>2376</v>
      </c>
      <c r="K20" s="11"/>
      <c r="L20" s="9"/>
      <c r="M20" s="11"/>
      <c r="N20" s="11">
        <f t="shared" si="10"/>
        <v>2376</v>
      </c>
      <c r="O20" s="11">
        <f t="shared" si="11"/>
        <v>0</v>
      </c>
      <c r="P20" s="11">
        <f>Table1[[#This Row],[Enrolment S.Y. 2025-2026 ]]*8</f>
        <v>2376</v>
      </c>
      <c r="Q20" s="11"/>
      <c r="R20" s="9"/>
      <c r="S20" s="11"/>
      <c r="T20" s="11">
        <f t="shared" si="12"/>
        <v>2376</v>
      </c>
      <c r="U20" s="11">
        <f t="shared" si="13"/>
        <v>0</v>
      </c>
      <c r="V20" s="11">
        <f>Table1[[#This Row],[Enrolment S.Y. 2025-2026 ]]*8</f>
        <v>2376</v>
      </c>
      <c r="W20" s="11"/>
      <c r="X20" s="9"/>
      <c r="Y20" s="11"/>
      <c r="Z20" s="11">
        <f t="shared" si="14"/>
        <v>2376</v>
      </c>
      <c r="AA20" s="11">
        <f t="shared" si="15"/>
        <v>0</v>
      </c>
    </row>
    <row r="21" spans="1:27" ht="19.5">
      <c r="A21" s="9">
        <v>8</v>
      </c>
      <c r="B21" s="10" t="s">
        <v>14</v>
      </c>
      <c r="C21" s="9">
        <v>297</v>
      </c>
      <c r="D21" s="11">
        <f>Table1[[#This Row],[Enrolment S.Y. 2025-2026 ]]*8</f>
        <v>2376</v>
      </c>
      <c r="E21" s="11">
        <v>311</v>
      </c>
      <c r="F21" s="9">
        <v>2025</v>
      </c>
      <c r="G21" s="11"/>
      <c r="H21" s="11">
        <f t="shared" ref="H21:H70" si="16">IF((D21-E21)&lt;0,0,(D21-E21))</f>
        <v>2065</v>
      </c>
      <c r="I21" s="11">
        <f t="shared" ref="I21:I70" si="17">IF((E21-D21)&lt;0,0,(E21-D21))</f>
        <v>0</v>
      </c>
      <c r="J21" s="11">
        <f>Table1[[#This Row],[Enrolment S.Y. 2025-2026 ]]*8</f>
        <v>2376</v>
      </c>
      <c r="K21" s="11"/>
      <c r="L21" s="9"/>
      <c r="M21" s="11"/>
      <c r="N21" s="11">
        <f t="shared" si="10"/>
        <v>2376</v>
      </c>
      <c r="O21" s="11">
        <f t="shared" si="11"/>
        <v>0</v>
      </c>
      <c r="P21" s="11">
        <f>Table1[[#This Row],[Enrolment S.Y. 2025-2026 ]]*8</f>
        <v>2376</v>
      </c>
      <c r="Q21" s="11"/>
      <c r="R21" s="9"/>
      <c r="S21" s="11"/>
      <c r="T21" s="11">
        <f t="shared" si="12"/>
        <v>2376</v>
      </c>
      <c r="U21" s="11">
        <f t="shared" si="13"/>
        <v>0</v>
      </c>
      <c r="V21" s="11">
        <f>Table1[[#This Row],[Enrolment S.Y. 2025-2026 ]]*8</f>
        <v>2376</v>
      </c>
      <c r="W21" s="11"/>
      <c r="X21" s="9"/>
      <c r="Y21" s="11"/>
      <c r="Z21" s="11">
        <f t="shared" si="14"/>
        <v>2376</v>
      </c>
      <c r="AA21" s="11">
        <f t="shared" si="15"/>
        <v>0</v>
      </c>
    </row>
    <row r="22" spans="1:27" s="6" customFormat="1" ht="19.5">
      <c r="A22" s="9">
        <v>8</v>
      </c>
      <c r="B22" s="10" t="s">
        <v>15</v>
      </c>
      <c r="C22" s="9">
        <v>297</v>
      </c>
      <c r="D22" s="11">
        <f>Table1[[#This Row],[Enrolment S.Y. 2025-2026 ]]*8</f>
        <v>2376</v>
      </c>
      <c r="E22" s="11">
        <v>311</v>
      </c>
      <c r="F22" s="9">
        <v>2025</v>
      </c>
      <c r="G22" s="11"/>
      <c r="H22" s="11">
        <f t="shared" si="16"/>
        <v>2065</v>
      </c>
      <c r="I22" s="11">
        <f t="shared" si="17"/>
        <v>0</v>
      </c>
      <c r="J22" s="11">
        <f>Table1[[#This Row],[Enrolment S.Y. 2025-2026 ]]*8</f>
        <v>2376</v>
      </c>
      <c r="K22" s="11"/>
      <c r="L22" s="9"/>
      <c r="M22" s="11"/>
      <c r="N22" s="11">
        <f t="shared" si="10"/>
        <v>2376</v>
      </c>
      <c r="O22" s="11">
        <f t="shared" si="11"/>
        <v>0</v>
      </c>
      <c r="P22" s="11">
        <f>Table1[[#This Row],[Enrolment S.Y. 2025-2026 ]]*8</f>
        <v>2376</v>
      </c>
      <c r="Q22" s="11"/>
      <c r="R22" s="9"/>
      <c r="S22" s="11"/>
      <c r="T22" s="11">
        <f t="shared" si="12"/>
        <v>2376</v>
      </c>
      <c r="U22" s="11">
        <f t="shared" si="13"/>
        <v>0</v>
      </c>
      <c r="V22" s="11">
        <f>Table1[[#This Row],[Enrolment S.Y. 2025-2026 ]]*8</f>
        <v>2376</v>
      </c>
      <c r="W22" s="11"/>
      <c r="X22" s="9"/>
      <c r="Y22" s="11"/>
      <c r="Z22" s="11">
        <f t="shared" si="14"/>
        <v>2376</v>
      </c>
      <c r="AA22" s="11">
        <f t="shared" si="15"/>
        <v>0</v>
      </c>
    </row>
    <row r="23" spans="1:27" ht="19.5">
      <c r="A23" s="9">
        <v>8</v>
      </c>
      <c r="B23" s="10" t="s">
        <v>16</v>
      </c>
      <c r="C23" s="9">
        <v>297</v>
      </c>
      <c r="D23" s="11">
        <f>Table1[[#This Row],[Enrolment S.Y. 2025-2026 ]]*8</f>
        <v>2376</v>
      </c>
      <c r="E23" s="11">
        <v>311</v>
      </c>
      <c r="F23" s="9">
        <v>2025</v>
      </c>
      <c r="G23" s="11"/>
      <c r="H23" s="11">
        <f t="shared" si="16"/>
        <v>2065</v>
      </c>
      <c r="I23" s="11">
        <f t="shared" si="17"/>
        <v>0</v>
      </c>
      <c r="J23" s="11">
        <f>Table1[[#This Row],[Enrolment S.Y. 2025-2026 ]]*8</f>
        <v>2376</v>
      </c>
      <c r="K23" s="11"/>
      <c r="L23" s="9"/>
      <c r="M23" s="11"/>
      <c r="N23" s="11">
        <f t="shared" si="10"/>
        <v>2376</v>
      </c>
      <c r="O23" s="11">
        <f t="shared" si="11"/>
        <v>0</v>
      </c>
      <c r="P23" s="11">
        <f>Table1[[#This Row],[Enrolment S.Y. 2025-2026 ]]*8</f>
        <v>2376</v>
      </c>
      <c r="Q23" s="11"/>
      <c r="R23" s="9"/>
      <c r="S23" s="11"/>
      <c r="T23" s="11">
        <f t="shared" si="12"/>
        <v>2376</v>
      </c>
      <c r="U23" s="11">
        <f t="shared" si="13"/>
        <v>0</v>
      </c>
      <c r="V23" s="11">
        <f>Table1[[#This Row],[Enrolment S.Y. 2025-2026 ]]*8</f>
        <v>2376</v>
      </c>
      <c r="W23" s="11"/>
      <c r="X23" s="9"/>
      <c r="Y23" s="11"/>
      <c r="Z23" s="11">
        <f t="shared" si="14"/>
        <v>2376</v>
      </c>
      <c r="AA23" s="11">
        <f t="shared" si="15"/>
        <v>0</v>
      </c>
    </row>
    <row r="24" spans="1:27" ht="19.5">
      <c r="A24" s="9">
        <v>8</v>
      </c>
      <c r="B24" s="10" t="s">
        <v>17</v>
      </c>
      <c r="C24" s="9">
        <v>297</v>
      </c>
      <c r="D24" s="11">
        <f>Table1[[#This Row],[Enrolment S.Y. 2025-2026 ]]*8</f>
        <v>2376</v>
      </c>
      <c r="E24" s="11">
        <v>311</v>
      </c>
      <c r="F24" s="9">
        <v>2025</v>
      </c>
      <c r="G24" s="11"/>
      <c r="H24" s="11">
        <f t="shared" si="16"/>
        <v>2065</v>
      </c>
      <c r="I24" s="11">
        <f t="shared" si="17"/>
        <v>0</v>
      </c>
      <c r="J24" s="11">
        <f>Table1[[#This Row],[Enrolment S.Y. 2025-2026 ]]*8</f>
        <v>2376</v>
      </c>
      <c r="K24" s="11"/>
      <c r="L24" s="9"/>
      <c r="M24" s="11"/>
      <c r="N24" s="11">
        <f t="shared" si="10"/>
        <v>2376</v>
      </c>
      <c r="O24" s="11">
        <f t="shared" si="11"/>
        <v>0</v>
      </c>
      <c r="P24" s="11">
        <f>Table1[[#This Row],[Enrolment S.Y. 2025-2026 ]]*8</f>
        <v>2376</v>
      </c>
      <c r="Q24" s="11"/>
      <c r="R24" s="9"/>
      <c r="S24" s="11"/>
      <c r="T24" s="11">
        <f t="shared" si="12"/>
        <v>2376</v>
      </c>
      <c r="U24" s="11">
        <f t="shared" si="13"/>
        <v>0</v>
      </c>
      <c r="V24" s="11">
        <f>Table1[[#This Row],[Enrolment S.Y. 2025-2026 ]]*8</f>
        <v>2376</v>
      </c>
      <c r="W24" s="11"/>
      <c r="X24" s="9"/>
      <c r="Y24" s="11"/>
      <c r="Z24" s="11">
        <f t="shared" si="14"/>
        <v>2376</v>
      </c>
      <c r="AA24" s="11">
        <f t="shared" si="15"/>
        <v>0</v>
      </c>
    </row>
    <row r="25" spans="1:27" ht="19.5">
      <c r="A25" s="6"/>
      <c r="B25" s="6"/>
      <c r="C25" s="6"/>
      <c r="D25" s="6"/>
      <c r="E25" s="6"/>
      <c r="F25" s="6"/>
      <c r="G25" s="6"/>
      <c r="H25" s="6"/>
      <c r="I25" s="6"/>
      <c r="J25" s="12"/>
      <c r="K25" s="6"/>
      <c r="L25" s="6"/>
      <c r="M25" s="5"/>
      <c r="N25" s="12"/>
      <c r="O25" s="12"/>
      <c r="P25" s="12"/>
      <c r="Q25" s="6"/>
      <c r="R25" s="6"/>
      <c r="S25" s="5"/>
      <c r="T25" s="12"/>
      <c r="U25" s="12"/>
      <c r="V25" s="12"/>
      <c r="W25" s="6"/>
      <c r="X25" s="6"/>
      <c r="Y25" s="5"/>
      <c r="Z25" s="12"/>
      <c r="AA25" s="12"/>
    </row>
    <row r="26" spans="1:27" ht="19.5">
      <c r="A26" s="9">
        <v>9</v>
      </c>
      <c r="B26" s="10" t="s">
        <v>8</v>
      </c>
      <c r="C26" s="9">
        <v>250</v>
      </c>
      <c r="D26" s="11">
        <f>Table1[[#This Row],[Enrolment S.Y. 2025-2026 ]]*8</f>
        <v>2000</v>
      </c>
      <c r="E26" s="11">
        <v>262</v>
      </c>
      <c r="F26" s="9">
        <v>2025</v>
      </c>
      <c r="G26" s="11"/>
      <c r="H26" s="11">
        <f t="shared" si="16"/>
        <v>1738</v>
      </c>
      <c r="I26" s="11">
        <f t="shared" si="17"/>
        <v>0</v>
      </c>
      <c r="J26" s="11">
        <f>Table1[[#This Row],[Enrolment S.Y. 2025-2026 ]]*8</f>
        <v>2000</v>
      </c>
      <c r="K26" s="11"/>
      <c r="L26" s="9"/>
      <c r="M26" s="11"/>
      <c r="N26" s="11">
        <f t="shared" si="10"/>
        <v>2000</v>
      </c>
      <c r="O26" s="11">
        <f t="shared" si="11"/>
        <v>0</v>
      </c>
      <c r="P26" s="11">
        <f>Table1[[#This Row],[Enrolment S.Y. 2025-2026 ]]*8</f>
        <v>2000</v>
      </c>
      <c r="Q26" s="11"/>
      <c r="R26" s="9"/>
      <c r="S26" s="11"/>
      <c r="T26" s="11">
        <f t="shared" si="12"/>
        <v>2000</v>
      </c>
      <c r="U26" s="11">
        <f t="shared" si="13"/>
        <v>0</v>
      </c>
      <c r="V26" s="11">
        <f>Table1[[#This Row],[Enrolment S.Y. 2025-2026 ]]*8</f>
        <v>2000</v>
      </c>
      <c r="W26" s="11"/>
      <c r="X26" s="9"/>
      <c r="Y26" s="11"/>
      <c r="Z26" s="11">
        <f t="shared" si="14"/>
        <v>2000</v>
      </c>
      <c r="AA26" s="11">
        <f t="shared" si="15"/>
        <v>0</v>
      </c>
    </row>
    <row r="27" spans="1:27" ht="19.5">
      <c r="A27" s="9">
        <v>9</v>
      </c>
      <c r="B27" s="10" t="s">
        <v>10</v>
      </c>
      <c r="C27" s="9">
        <v>250</v>
      </c>
      <c r="D27" s="11">
        <f>Table1[[#This Row],[Enrolment S.Y. 2025-2026 ]]*8</f>
        <v>2000</v>
      </c>
      <c r="E27" s="11">
        <v>262</v>
      </c>
      <c r="F27" s="9">
        <v>2025</v>
      </c>
      <c r="G27" s="11"/>
      <c r="H27" s="11">
        <f t="shared" si="16"/>
        <v>1738</v>
      </c>
      <c r="I27" s="11">
        <f t="shared" si="17"/>
        <v>0</v>
      </c>
      <c r="J27" s="11">
        <f>Table1[[#This Row],[Enrolment S.Y. 2025-2026 ]]*8</f>
        <v>2000</v>
      </c>
      <c r="K27" s="11"/>
      <c r="L27" s="9"/>
      <c r="M27" s="11"/>
      <c r="N27" s="11">
        <f t="shared" si="10"/>
        <v>2000</v>
      </c>
      <c r="O27" s="11">
        <f t="shared" si="11"/>
        <v>0</v>
      </c>
      <c r="P27" s="11">
        <f>Table1[[#This Row],[Enrolment S.Y. 2025-2026 ]]*8</f>
        <v>2000</v>
      </c>
      <c r="Q27" s="11"/>
      <c r="R27" s="9"/>
      <c r="S27" s="11"/>
      <c r="T27" s="11">
        <f t="shared" si="12"/>
        <v>2000</v>
      </c>
      <c r="U27" s="11">
        <f t="shared" si="13"/>
        <v>0</v>
      </c>
      <c r="V27" s="11">
        <f>Table1[[#This Row],[Enrolment S.Y. 2025-2026 ]]*8</f>
        <v>2000</v>
      </c>
      <c r="W27" s="11"/>
      <c r="X27" s="9"/>
      <c r="Y27" s="11"/>
      <c r="Z27" s="11">
        <f t="shared" si="14"/>
        <v>2000</v>
      </c>
      <c r="AA27" s="11">
        <f t="shared" si="15"/>
        <v>0</v>
      </c>
    </row>
    <row r="28" spans="1:27" ht="19.5">
      <c r="A28" s="9">
        <v>9</v>
      </c>
      <c r="B28" s="10" t="s">
        <v>11</v>
      </c>
      <c r="C28" s="9">
        <v>250</v>
      </c>
      <c r="D28" s="11">
        <f>Table1[[#This Row],[Enrolment S.Y. 2025-2026 ]]*8</f>
        <v>2000</v>
      </c>
      <c r="E28" s="11">
        <v>262</v>
      </c>
      <c r="F28" s="9">
        <v>2025</v>
      </c>
      <c r="G28" s="11"/>
      <c r="H28" s="11">
        <f t="shared" si="16"/>
        <v>1738</v>
      </c>
      <c r="I28" s="11">
        <f t="shared" si="17"/>
        <v>0</v>
      </c>
      <c r="J28" s="11">
        <f>Table1[[#This Row],[Enrolment S.Y. 2025-2026 ]]*8</f>
        <v>2000</v>
      </c>
      <c r="K28" s="11"/>
      <c r="L28" s="9"/>
      <c r="M28" s="11"/>
      <c r="N28" s="11">
        <f t="shared" si="10"/>
        <v>2000</v>
      </c>
      <c r="O28" s="11">
        <f t="shared" si="11"/>
        <v>0</v>
      </c>
      <c r="P28" s="11">
        <f>Table1[[#This Row],[Enrolment S.Y. 2025-2026 ]]*8</f>
        <v>2000</v>
      </c>
      <c r="Q28" s="11"/>
      <c r="R28" s="9"/>
      <c r="S28" s="11"/>
      <c r="T28" s="11">
        <f t="shared" si="12"/>
        <v>2000</v>
      </c>
      <c r="U28" s="11">
        <f t="shared" si="13"/>
        <v>0</v>
      </c>
      <c r="V28" s="11">
        <f>Table1[[#This Row],[Enrolment S.Y. 2025-2026 ]]*8</f>
        <v>2000</v>
      </c>
      <c r="W28" s="11"/>
      <c r="X28" s="9"/>
      <c r="Y28" s="11"/>
      <c r="Z28" s="11">
        <f t="shared" si="14"/>
        <v>2000</v>
      </c>
      <c r="AA28" s="11">
        <f t="shared" si="15"/>
        <v>0</v>
      </c>
    </row>
    <row r="29" spans="1:27" ht="19.5">
      <c r="A29" s="9">
        <v>9</v>
      </c>
      <c r="B29" s="10" t="s">
        <v>12</v>
      </c>
      <c r="C29" s="9">
        <v>250</v>
      </c>
      <c r="D29" s="11">
        <f>Table1[[#This Row],[Enrolment S.Y. 2025-2026 ]]*8</f>
        <v>2000</v>
      </c>
      <c r="E29" s="11">
        <v>262</v>
      </c>
      <c r="F29" s="9">
        <v>2025</v>
      </c>
      <c r="G29" s="11"/>
      <c r="H29" s="11">
        <f t="shared" si="16"/>
        <v>1738</v>
      </c>
      <c r="I29" s="11">
        <f t="shared" si="17"/>
        <v>0</v>
      </c>
      <c r="J29" s="11">
        <f>Table1[[#This Row],[Enrolment S.Y. 2025-2026 ]]*8</f>
        <v>2000</v>
      </c>
      <c r="K29" s="11"/>
      <c r="L29" s="9"/>
      <c r="M29" s="11"/>
      <c r="N29" s="11">
        <f t="shared" si="10"/>
        <v>2000</v>
      </c>
      <c r="O29" s="11">
        <f t="shared" si="11"/>
        <v>0</v>
      </c>
      <c r="P29" s="11">
        <f>Table1[[#This Row],[Enrolment S.Y. 2025-2026 ]]*8</f>
        <v>2000</v>
      </c>
      <c r="Q29" s="11"/>
      <c r="R29" s="9"/>
      <c r="S29" s="11"/>
      <c r="T29" s="11">
        <f t="shared" si="12"/>
        <v>2000</v>
      </c>
      <c r="U29" s="11">
        <f t="shared" si="13"/>
        <v>0</v>
      </c>
      <c r="V29" s="11">
        <f>Table1[[#This Row],[Enrolment S.Y. 2025-2026 ]]*8</f>
        <v>2000</v>
      </c>
      <c r="W29" s="11"/>
      <c r="X29" s="9"/>
      <c r="Y29" s="11"/>
      <c r="Z29" s="11">
        <f t="shared" si="14"/>
        <v>2000</v>
      </c>
      <c r="AA29" s="11">
        <f t="shared" si="15"/>
        <v>0</v>
      </c>
    </row>
    <row r="30" spans="1:27" ht="19.5">
      <c r="A30" s="9">
        <v>9</v>
      </c>
      <c r="B30" s="10" t="s">
        <v>18</v>
      </c>
      <c r="C30" s="9">
        <v>250</v>
      </c>
      <c r="D30" s="11">
        <f>Table1[[#This Row],[Enrolment S.Y. 2025-2026 ]]*8</f>
        <v>2000</v>
      </c>
      <c r="E30" s="11">
        <v>262</v>
      </c>
      <c r="F30" s="9">
        <v>2025</v>
      </c>
      <c r="G30" s="11"/>
      <c r="H30" s="11">
        <f t="shared" si="16"/>
        <v>1738</v>
      </c>
      <c r="I30" s="11">
        <f t="shared" si="17"/>
        <v>0</v>
      </c>
      <c r="J30" s="11">
        <f>Table1[[#This Row],[Enrolment S.Y. 2025-2026 ]]*8</f>
        <v>2000</v>
      </c>
      <c r="K30" s="11"/>
      <c r="L30" s="9"/>
      <c r="M30" s="11"/>
      <c r="N30" s="11">
        <f t="shared" si="10"/>
        <v>2000</v>
      </c>
      <c r="O30" s="11">
        <f t="shared" si="11"/>
        <v>0</v>
      </c>
      <c r="P30" s="11">
        <f>Table1[[#This Row],[Enrolment S.Y. 2025-2026 ]]*8</f>
        <v>2000</v>
      </c>
      <c r="Q30" s="11"/>
      <c r="R30" s="9"/>
      <c r="S30" s="11"/>
      <c r="T30" s="11">
        <f t="shared" si="12"/>
        <v>2000</v>
      </c>
      <c r="U30" s="11">
        <f t="shared" si="13"/>
        <v>0</v>
      </c>
      <c r="V30" s="11">
        <f>Table1[[#This Row],[Enrolment S.Y. 2025-2026 ]]*8</f>
        <v>2000</v>
      </c>
      <c r="W30" s="11"/>
      <c r="X30" s="9"/>
      <c r="Y30" s="11"/>
      <c r="Z30" s="11">
        <f t="shared" si="14"/>
        <v>2000</v>
      </c>
      <c r="AA30" s="11">
        <f t="shared" si="15"/>
        <v>0</v>
      </c>
    </row>
    <row r="31" spans="1:27" ht="19.5">
      <c r="A31" s="9">
        <v>9</v>
      </c>
      <c r="B31" s="10" t="s">
        <v>14</v>
      </c>
      <c r="C31" s="9">
        <v>250</v>
      </c>
      <c r="D31" s="11">
        <f>Table1[[#This Row],[Enrolment S.Y. 2025-2026 ]]*8</f>
        <v>2000</v>
      </c>
      <c r="E31" s="11">
        <v>262</v>
      </c>
      <c r="F31" s="9">
        <v>2025</v>
      </c>
      <c r="G31" s="11"/>
      <c r="H31" s="11">
        <f t="shared" si="16"/>
        <v>1738</v>
      </c>
      <c r="I31" s="11">
        <f t="shared" si="17"/>
        <v>0</v>
      </c>
      <c r="J31" s="11">
        <f>Table1[[#This Row],[Enrolment S.Y. 2025-2026 ]]*8</f>
        <v>2000</v>
      </c>
      <c r="K31" s="11"/>
      <c r="L31" s="9"/>
      <c r="M31" s="11"/>
      <c r="N31" s="11">
        <f t="shared" si="10"/>
        <v>2000</v>
      </c>
      <c r="O31" s="11">
        <f t="shared" si="11"/>
        <v>0</v>
      </c>
      <c r="P31" s="11">
        <f>Table1[[#This Row],[Enrolment S.Y. 2025-2026 ]]*8</f>
        <v>2000</v>
      </c>
      <c r="Q31" s="11"/>
      <c r="R31" s="9"/>
      <c r="S31" s="11"/>
      <c r="T31" s="11">
        <f t="shared" si="12"/>
        <v>2000</v>
      </c>
      <c r="U31" s="11">
        <f t="shared" si="13"/>
        <v>0</v>
      </c>
      <c r="V31" s="11">
        <f>Table1[[#This Row],[Enrolment S.Y. 2025-2026 ]]*8</f>
        <v>2000</v>
      </c>
      <c r="W31" s="11"/>
      <c r="X31" s="9"/>
      <c r="Y31" s="11"/>
      <c r="Z31" s="11">
        <f t="shared" si="14"/>
        <v>2000</v>
      </c>
      <c r="AA31" s="11">
        <f t="shared" si="15"/>
        <v>0</v>
      </c>
    </row>
    <row r="32" spans="1:27" s="6" customFormat="1" ht="19.5">
      <c r="A32" s="9">
        <v>9</v>
      </c>
      <c r="B32" s="10" t="s">
        <v>15</v>
      </c>
      <c r="C32" s="9">
        <v>250</v>
      </c>
      <c r="D32" s="11">
        <f>Table1[[#This Row],[Enrolment S.Y. 2025-2026 ]]*8</f>
        <v>2000</v>
      </c>
      <c r="E32" s="11">
        <v>262</v>
      </c>
      <c r="F32" s="9">
        <v>2025</v>
      </c>
      <c r="G32" s="11"/>
      <c r="H32" s="11">
        <f t="shared" si="16"/>
        <v>1738</v>
      </c>
      <c r="I32" s="11">
        <f t="shared" si="17"/>
        <v>0</v>
      </c>
      <c r="J32" s="11">
        <f>Table1[[#This Row],[Enrolment S.Y. 2025-2026 ]]*8</f>
        <v>2000</v>
      </c>
      <c r="K32" s="11"/>
      <c r="L32" s="9"/>
      <c r="M32" s="11"/>
      <c r="N32" s="11">
        <f t="shared" si="10"/>
        <v>2000</v>
      </c>
      <c r="O32" s="11">
        <f t="shared" si="11"/>
        <v>0</v>
      </c>
      <c r="P32" s="11">
        <f>Table1[[#This Row],[Enrolment S.Y. 2025-2026 ]]*8</f>
        <v>2000</v>
      </c>
      <c r="Q32" s="11"/>
      <c r="R32" s="9"/>
      <c r="S32" s="11"/>
      <c r="T32" s="11">
        <f t="shared" si="12"/>
        <v>2000</v>
      </c>
      <c r="U32" s="11">
        <f t="shared" si="13"/>
        <v>0</v>
      </c>
      <c r="V32" s="11">
        <f>Table1[[#This Row],[Enrolment S.Y. 2025-2026 ]]*8</f>
        <v>2000</v>
      </c>
      <c r="W32" s="11"/>
      <c r="X32" s="9"/>
      <c r="Y32" s="11"/>
      <c r="Z32" s="11">
        <f t="shared" si="14"/>
        <v>2000</v>
      </c>
      <c r="AA32" s="11">
        <f t="shared" si="15"/>
        <v>0</v>
      </c>
    </row>
    <row r="33" spans="1:27" ht="19.5">
      <c r="A33" s="9">
        <v>9</v>
      </c>
      <c r="B33" s="10" t="s">
        <v>16</v>
      </c>
      <c r="C33" s="9">
        <v>250</v>
      </c>
      <c r="D33" s="11">
        <f>Table1[[#This Row],[Enrolment S.Y. 2025-2026 ]]*8</f>
        <v>2000</v>
      </c>
      <c r="E33" s="11">
        <v>262</v>
      </c>
      <c r="F33" s="9">
        <v>2025</v>
      </c>
      <c r="G33" s="11"/>
      <c r="H33" s="11">
        <f t="shared" si="16"/>
        <v>1738</v>
      </c>
      <c r="I33" s="11">
        <f t="shared" si="17"/>
        <v>0</v>
      </c>
      <c r="J33" s="11">
        <f>Table1[[#This Row],[Enrolment S.Y. 2025-2026 ]]*8</f>
        <v>2000</v>
      </c>
      <c r="K33" s="11"/>
      <c r="L33" s="9"/>
      <c r="M33" s="11"/>
      <c r="N33" s="11">
        <f t="shared" si="10"/>
        <v>2000</v>
      </c>
      <c r="O33" s="11">
        <f t="shared" si="11"/>
        <v>0</v>
      </c>
      <c r="P33" s="11">
        <f>Table1[[#This Row],[Enrolment S.Y. 2025-2026 ]]*8</f>
        <v>2000</v>
      </c>
      <c r="Q33" s="11"/>
      <c r="R33" s="9"/>
      <c r="S33" s="11"/>
      <c r="T33" s="11">
        <f t="shared" si="12"/>
        <v>2000</v>
      </c>
      <c r="U33" s="11">
        <f t="shared" si="13"/>
        <v>0</v>
      </c>
      <c r="V33" s="11">
        <f>Table1[[#This Row],[Enrolment S.Y. 2025-2026 ]]*8</f>
        <v>2000</v>
      </c>
      <c r="W33" s="11"/>
      <c r="X33" s="9"/>
      <c r="Y33" s="11"/>
      <c r="Z33" s="11">
        <f t="shared" si="14"/>
        <v>2000</v>
      </c>
      <c r="AA33" s="11">
        <f t="shared" si="15"/>
        <v>0</v>
      </c>
    </row>
    <row r="34" spans="1:27" ht="19.5">
      <c r="A34" s="9">
        <v>9</v>
      </c>
      <c r="B34" s="10" t="s">
        <v>17</v>
      </c>
      <c r="C34" s="9">
        <v>250</v>
      </c>
      <c r="D34" s="11">
        <f>Table1[[#This Row],[Enrolment S.Y. 2025-2026 ]]*8</f>
        <v>2000</v>
      </c>
      <c r="E34" s="11">
        <v>262</v>
      </c>
      <c r="F34" s="9">
        <v>2025</v>
      </c>
      <c r="G34" s="11"/>
      <c r="H34" s="11">
        <f t="shared" si="16"/>
        <v>1738</v>
      </c>
      <c r="I34" s="11">
        <f t="shared" si="17"/>
        <v>0</v>
      </c>
      <c r="J34" s="11">
        <f>Table1[[#This Row],[Enrolment S.Y. 2025-2026 ]]*8</f>
        <v>2000</v>
      </c>
      <c r="K34" s="11"/>
      <c r="L34" s="9"/>
      <c r="M34" s="11"/>
      <c r="N34" s="11">
        <f t="shared" si="10"/>
        <v>2000</v>
      </c>
      <c r="O34" s="11">
        <f t="shared" si="11"/>
        <v>0</v>
      </c>
      <c r="P34" s="11">
        <f>Table1[[#This Row],[Enrolment S.Y. 2025-2026 ]]*8</f>
        <v>2000</v>
      </c>
      <c r="Q34" s="11"/>
      <c r="R34" s="9"/>
      <c r="S34" s="11"/>
      <c r="T34" s="11">
        <f t="shared" si="12"/>
        <v>2000</v>
      </c>
      <c r="U34" s="11">
        <f t="shared" si="13"/>
        <v>0</v>
      </c>
      <c r="V34" s="11">
        <f>Table1[[#This Row],[Enrolment S.Y. 2025-2026 ]]*8</f>
        <v>2000</v>
      </c>
      <c r="W34" s="11"/>
      <c r="X34" s="9"/>
      <c r="Y34" s="11"/>
      <c r="Z34" s="11">
        <f t="shared" si="14"/>
        <v>2000</v>
      </c>
      <c r="AA34" s="11">
        <f t="shared" si="15"/>
        <v>0</v>
      </c>
    </row>
    <row r="35" spans="1:27" ht="19.5">
      <c r="A35" s="6"/>
      <c r="B35" s="6"/>
      <c r="C35" s="6"/>
      <c r="D35" s="6"/>
      <c r="E35" s="6"/>
      <c r="F35" s="6"/>
      <c r="G35" s="6"/>
      <c r="H35" s="6"/>
      <c r="I35" s="6"/>
      <c r="J35" s="12"/>
      <c r="K35" s="6"/>
      <c r="L35" s="6"/>
      <c r="M35" s="5"/>
      <c r="N35" s="12"/>
      <c r="O35" s="12"/>
      <c r="P35" s="12"/>
      <c r="Q35" s="6"/>
      <c r="R35" s="6"/>
      <c r="S35" s="5"/>
      <c r="T35" s="12"/>
      <c r="U35" s="12"/>
      <c r="V35" s="12"/>
      <c r="W35" s="6"/>
      <c r="X35" s="6"/>
      <c r="Y35" s="5"/>
      <c r="Z35" s="12"/>
      <c r="AA35" s="12"/>
    </row>
    <row r="36" spans="1:27" ht="19.5">
      <c r="A36" s="9">
        <v>10</v>
      </c>
      <c r="B36" s="10" t="s">
        <v>8</v>
      </c>
      <c r="C36" s="9">
        <v>295</v>
      </c>
      <c r="D36" s="11">
        <f>Table1[[#This Row],[Enrolment S.Y. 2025-2026 ]]*8</f>
        <v>2360</v>
      </c>
      <c r="E36" s="11">
        <v>300</v>
      </c>
      <c r="F36" s="9">
        <v>2025</v>
      </c>
      <c r="G36" s="11"/>
      <c r="H36" s="11">
        <f>IF((D36-E36)&lt;0,0,(D36-E36))</f>
        <v>2060</v>
      </c>
      <c r="I36" s="11">
        <f>IF((E36-D36)&lt;0,0,(E36-D36))</f>
        <v>0</v>
      </c>
      <c r="J36" s="11">
        <f>Table1[[#This Row],[Enrolment S.Y. 2025-2026 ]]*8</f>
        <v>2360</v>
      </c>
      <c r="K36" s="11"/>
      <c r="L36" s="9"/>
      <c r="M36" s="11"/>
      <c r="N36" s="11">
        <f>IF((J36-K36)&lt;0,0,(J36-K36))</f>
        <v>2360</v>
      </c>
      <c r="O36" s="11">
        <f>IF((K36-J36)&lt;0,0,(K36-J36))</f>
        <v>0</v>
      </c>
      <c r="P36" s="11">
        <f>Table1[[#This Row],[Enrolment S.Y. 2025-2026 ]]*8</f>
        <v>2360</v>
      </c>
      <c r="Q36" s="11"/>
      <c r="R36" s="9"/>
      <c r="S36" s="11"/>
      <c r="T36" s="11">
        <f>IF((P36-Q36)&lt;0,0,(P36-Q36))</f>
        <v>2360</v>
      </c>
      <c r="U36" s="11">
        <f>IF((Q36-P36)&lt;0,0,(Q36-P36))</f>
        <v>0</v>
      </c>
      <c r="V36" s="11">
        <f>Table1[[#This Row],[Enrolment S.Y. 2025-2026 ]]*8</f>
        <v>2360</v>
      </c>
      <c r="W36" s="11"/>
      <c r="X36" s="9"/>
      <c r="Y36" s="11"/>
      <c r="Z36" s="11">
        <f>IF((V36-W36)&lt;0,0,(V36-W36))</f>
        <v>2360</v>
      </c>
      <c r="AA36" s="11">
        <f>IF((W36-V36)&lt;0,0,(W36-V36))</f>
        <v>0</v>
      </c>
    </row>
    <row r="37" spans="1:27" ht="19.5">
      <c r="A37" s="9">
        <v>10</v>
      </c>
      <c r="B37" s="10" t="s">
        <v>10</v>
      </c>
      <c r="C37" s="9">
        <v>295</v>
      </c>
      <c r="D37" s="11">
        <f>Table1[[#This Row],[Enrolment S.Y. 2025-2026 ]]*8</f>
        <v>2360</v>
      </c>
      <c r="E37" s="11">
        <v>300</v>
      </c>
      <c r="F37" s="9">
        <v>2025</v>
      </c>
      <c r="G37" s="11"/>
      <c r="H37" s="11">
        <f>IF((D37-E37)&lt;0,0,(D37-E37))</f>
        <v>2060</v>
      </c>
      <c r="I37" s="11">
        <f>IF((E37-D37)&lt;0,0,(E37-D37))</f>
        <v>0</v>
      </c>
      <c r="J37" s="11">
        <f>Table1[[#This Row],[Enrolment S.Y. 2025-2026 ]]*8</f>
        <v>2360</v>
      </c>
      <c r="K37" s="11"/>
      <c r="L37" s="9"/>
      <c r="M37" s="11"/>
      <c r="N37" s="11">
        <f>IF((J37-K37)&lt;0,0,(J37-K37))</f>
        <v>2360</v>
      </c>
      <c r="O37" s="11">
        <f>IF((K37-J37)&lt;0,0,(K37-J37))</f>
        <v>0</v>
      </c>
      <c r="P37" s="11">
        <f>Table1[[#This Row],[Enrolment S.Y. 2025-2026 ]]*8</f>
        <v>2360</v>
      </c>
      <c r="Q37" s="11"/>
      <c r="R37" s="9"/>
      <c r="S37" s="11"/>
      <c r="T37" s="11">
        <f>IF((P37-Q37)&lt;0,0,(P37-Q37))</f>
        <v>2360</v>
      </c>
      <c r="U37" s="11">
        <f>IF((Q37-P37)&lt;0,0,(Q37-P37))</f>
        <v>0</v>
      </c>
      <c r="V37" s="11">
        <f>Table1[[#This Row],[Enrolment S.Y. 2025-2026 ]]*8</f>
        <v>2360</v>
      </c>
      <c r="W37" s="11"/>
      <c r="X37" s="9"/>
      <c r="Y37" s="11"/>
      <c r="Z37" s="11">
        <f>IF((V37-W37)&lt;0,0,(V37-W37))</f>
        <v>2360</v>
      </c>
      <c r="AA37" s="11">
        <f>IF((W37-V37)&lt;0,0,(W37-V37))</f>
        <v>0</v>
      </c>
    </row>
    <row r="38" spans="1:27" ht="19.5">
      <c r="A38" s="9">
        <v>10</v>
      </c>
      <c r="B38" s="10" t="s">
        <v>11</v>
      </c>
      <c r="C38" s="9">
        <v>295</v>
      </c>
      <c r="D38" s="11">
        <f>Table1[[#This Row],[Enrolment S.Y. 2025-2026 ]]*8</f>
        <v>2360</v>
      </c>
      <c r="E38" s="11">
        <v>300</v>
      </c>
      <c r="F38" s="9">
        <v>2025</v>
      </c>
      <c r="G38" s="11"/>
      <c r="H38" s="11">
        <f>IF((D38-E38)&lt;0,0,(D38-E38))</f>
        <v>2060</v>
      </c>
      <c r="I38" s="11">
        <f>IF((E38-D38)&lt;0,0,(E38-D38))</f>
        <v>0</v>
      </c>
      <c r="J38" s="11">
        <f>Table1[[#This Row],[Enrolment S.Y. 2025-2026 ]]*8</f>
        <v>2360</v>
      </c>
      <c r="K38" s="11"/>
      <c r="L38" s="9"/>
      <c r="M38" s="11"/>
      <c r="N38" s="11">
        <f>IF((J38-K38)&lt;0,0,(J38-K38))</f>
        <v>2360</v>
      </c>
      <c r="O38" s="11">
        <f>IF((K38-J38)&lt;0,0,(K38-J38))</f>
        <v>0</v>
      </c>
      <c r="P38" s="11">
        <f>Table1[[#This Row],[Enrolment S.Y. 2025-2026 ]]*8</f>
        <v>2360</v>
      </c>
      <c r="Q38" s="11"/>
      <c r="R38" s="9"/>
      <c r="S38" s="11"/>
      <c r="T38" s="11">
        <f>IF((P38-Q38)&lt;0,0,(P38-Q38))</f>
        <v>2360</v>
      </c>
      <c r="U38" s="11">
        <f>IF((Q38-P38)&lt;0,0,(Q38-P38))</f>
        <v>0</v>
      </c>
      <c r="V38" s="11">
        <f>Table1[[#This Row],[Enrolment S.Y. 2025-2026 ]]*8</f>
        <v>2360</v>
      </c>
      <c r="W38" s="11"/>
      <c r="X38" s="9"/>
      <c r="Y38" s="11"/>
      <c r="Z38" s="11">
        <f>IF((V38-W38)&lt;0,0,(V38-W38))</f>
        <v>2360</v>
      </c>
      <c r="AA38" s="11">
        <f>IF((W38-V38)&lt;0,0,(W38-V38))</f>
        <v>0</v>
      </c>
    </row>
    <row r="39" spans="1:27" ht="19.5">
      <c r="A39" s="9">
        <v>10</v>
      </c>
      <c r="B39" s="10" t="s">
        <v>12</v>
      </c>
      <c r="C39" s="9">
        <v>295</v>
      </c>
      <c r="D39" s="11">
        <f>Table1[[#This Row],[Enrolment S.Y. 2025-2026 ]]*8</f>
        <v>2360</v>
      </c>
      <c r="E39" s="11">
        <v>300</v>
      </c>
      <c r="F39" s="9">
        <v>2025</v>
      </c>
      <c r="G39" s="11"/>
      <c r="H39" s="11">
        <f>IF((D39-E39)&lt;0,0,(D39-E39))</f>
        <v>2060</v>
      </c>
      <c r="I39" s="11">
        <f>IF((E39-D39)&lt;0,0,(E39-D39))</f>
        <v>0</v>
      </c>
      <c r="J39" s="11">
        <f>Table1[[#This Row],[Enrolment S.Y. 2025-2026 ]]*8</f>
        <v>2360</v>
      </c>
      <c r="K39" s="11"/>
      <c r="L39" s="9"/>
      <c r="M39" s="11"/>
      <c r="N39" s="11">
        <f>IF((J39-K39)&lt;0,0,(J39-K39))</f>
        <v>2360</v>
      </c>
      <c r="O39" s="11">
        <f>IF((K39-J39)&lt;0,0,(K39-J39))</f>
        <v>0</v>
      </c>
      <c r="P39" s="11">
        <f>Table1[[#This Row],[Enrolment S.Y. 2025-2026 ]]*8</f>
        <v>2360</v>
      </c>
      <c r="Q39" s="11"/>
      <c r="R39" s="9"/>
      <c r="S39" s="11"/>
      <c r="T39" s="11">
        <f>IF((P39-Q39)&lt;0,0,(P39-Q39))</f>
        <v>2360</v>
      </c>
      <c r="U39" s="11">
        <f>IF((Q39-P39)&lt;0,0,(Q39-P39))</f>
        <v>0</v>
      </c>
      <c r="V39" s="11">
        <f>Table1[[#This Row],[Enrolment S.Y. 2025-2026 ]]*8</f>
        <v>2360</v>
      </c>
      <c r="W39" s="11"/>
      <c r="X39" s="9"/>
      <c r="Y39" s="11"/>
      <c r="Z39" s="11">
        <f>IF((V39-W39)&lt;0,0,(V39-W39))</f>
        <v>2360</v>
      </c>
      <c r="AA39" s="11">
        <f>IF((W39-V39)&lt;0,0,(W39-V39))</f>
        <v>0</v>
      </c>
    </row>
    <row r="40" spans="1:27" ht="19.5">
      <c r="A40" s="9">
        <v>10</v>
      </c>
      <c r="B40" s="10" t="s">
        <v>18</v>
      </c>
      <c r="C40" s="9">
        <v>295</v>
      </c>
      <c r="D40" s="11">
        <f>Table1[[#This Row],[Enrolment S.Y. 2025-2026 ]]*8</f>
        <v>2360</v>
      </c>
      <c r="E40" s="11">
        <v>300</v>
      </c>
      <c r="F40" s="9">
        <v>2025</v>
      </c>
      <c r="G40" s="11"/>
      <c r="H40" s="11">
        <f>IF((D40-E40)&lt;0,0,(D40-E40))</f>
        <v>2060</v>
      </c>
      <c r="I40" s="11">
        <f>IF((E40-D40)&lt;0,0,(E40-D40))</f>
        <v>0</v>
      </c>
      <c r="J40" s="11">
        <f>Table1[[#This Row],[Enrolment S.Y. 2025-2026 ]]*8</f>
        <v>2360</v>
      </c>
      <c r="K40" s="11"/>
      <c r="L40" s="9"/>
      <c r="M40" s="11"/>
      <c r="N40" s="11">
        <f>IF((J40-K40)&lt;0,0,(J40-K40))</f>
        <v>2360</v>
      </c>
      <c r="O40" s="11">
        <f>IF((K40-J40)&lt;0,0,(K40-J40))</f>
        <v>0</v>
      </c>
      <c r="P40" s="11">
        <f>Table1[[#This Row],[Enrolment S.Y. 2025-2026 ]]*8</f>
        <v>2360</v>
      </c>
      <c r="Q40" s="11"/>
      <c r="R40" s="9"/>
      <c r="S40" s="11"/>
      <c r="T40" s="11">
        <f>IF((P40-Q40)&lt;0,0,(P40-Q40))</f>
        <v>2360</v>
      </c>
      <c r="U40" s="11">
        <f>IF((Q40-P40)&lt;0,0,(Q40-P40))</f>
        <v>0</v>
      </c>
      <c r="V40" s="11">
        <f>Table1[[#This Row],[Enrolment S.Y. 2025-2026 ]]*8</f>
        <v>2360</v>
      </c>
      <c r="W40" s="11"/>
      <c r="X40" s="9"/>
      <c r="Y40" s="11"/>
      <c r="Z40" s="11">
        <f>IF((V40-W40)&lt;0,0,(V40-W40))</f>
        <v>2360</v>
      </c>
      <c r="AA40" s="11">
        <f>IF((W40-V40)&lt;0,0,(W40-V40))</f>
        <v>0</v>
      </c>
    </row>
    <row r="41" spans="1:27" ht="19.5">
      <c r="A41" s="9">
        <v>10</v>
      </c>
      <c r="B41" s="10" t="s">
        <v>14</v>
      </c>
      <c r="C41" s="9">
        <v>295</v>
      </c>
      <c r="D41" s="11">
        <f>Table1[[#This Row],[Enrolment S.Y. 2025-2026 ]]*8</f>
        <v>2360</v>
      </c>
      <c r="E41" s="11">
        <v>300</v>
      </c>
      <c r="F41" s="9">
        <v>2025</v>
      </c>
      <c r="G41" s="11"/>
      <c r="H41" s="11">
        <f>IF((D41-E41)&lt;0,0,(D41-E41))</f>
        <v>2060</v>
      </c>
      <c r="I41" s="11">
        <f>IF((E41-D41)&lt;0,0,(E41-D41))</f>
        <v>0</v>
      </c>
      <c r="J41" s="11">
        <f>Table1[[#This Row],[Enrolment S.Y. 2025-2026 ]]*8</f>
        <v>2360</v>
      </c>
      <c r="K41" s="11"/>
      <c r="L41" s="9"/>
      <c r="M41" s="11"/>
      <c r="N41" s="11">
        <f>IF((J41-K41)&lt;0,0,(J41-K41))</f>
        <v>2360</v>
      </c>
      <c r="O41" s="11">
        <f>IF((K41-J41)&lt;0,0,(K41-J41))</f>
        <v>0</v>
      </c>
      <c r="P41" s="11">
        <f>Table1[[#This Row],[Enrolment S.Y. 2025-2026 ]]*8</f>
        <v>2360</v>
      </c>
      <c r="Q41" s="11"/>
      <c r="R41" s="9"/>
      <c r="S41" s="11"/>
      <c r="T41" s="11">
        <f>IF((P41-Q41)&lt;0,0,(P41-Q41))</f>
        <v>2360</v>
      </c>
      <c r="U41" s="11">
        <f>IF((Q41-P41)&lt;0,0,(Q41-P41))</f>
        <v>0</v>
      </c>
      <c r="V41" s="11">
        <f>Table1[[#This Row],[Enrolment S.Y. 2025-2026 ]]*8</f>
        <v>2360</v>
      </c>
      <c r="W41" s="11"/>
      <c r="X41" s="9"/>
      <c r="Y41" s="11"/>
      <c r="Z41" s="11">
        <f>IF((V41-W41)&lt;0,0,(V41-W41))</f>
        <v>2360</v>
      </c>
      <c r="AA41" s="11">
        <f>IF((W41-V41)&lt;0,0,(W41-V41))</f>
        <v>0</v>
      </c>
    </row>
    <row r="42" spans="1:27" s="6" customFormat="1" ht="19.5">
      <c r="A42" s="9">
        <v>10</v>
      </c>
      <c r="B42" s="10" t="s">
        <v>15</v>
      </c>
      <c r="C42" s="9">
        <v>295</v>
      </c>
      <c r="D42" s="11">
        <f>Table1[[#This Row],[Enrolment S.Y. 2025-2026 ]]*8</f>
        <v>2360</v>
      </c>
      <c r="E42" s="11">
        <v>300</v>
      </c>
      <c r="F42" s="9">
        <v>2025</v>
      </c>
      <c r="G42" s="11"/>
      <c r="H42" s="11">
        <f>IF((D42-E42)&lt;0,0,(D42-E42))</f>
        <v>2060</v>
      </c>
      <c r="I42" s="11">
        <f>IF((E42-D42)&lt;0,0,(E42-D42))</f>
        <v>0</v>
      </c>
      <c r="J42" s="11">
        <f>Table1[[#This Row],[Enrolment S.Y. 2025-2026 ]]*8</f>
        <v>2360</v>
      </c>
      <c r="K42" s="11"/>
      <c r="L42" s="9"/>
      <c r="M42" s="11"/>
      <c r="N42" s="11">
        <f>IF((J42-K42)&lt;0,0,(J42-K42))</f>
        <v>2360</v>
      </c>
      <c r="O42" s="11">
        <f>IF((K42-J42)&lt;0,0,(K42-J42))</f>
        <v>0</v>
      </c>
      <c r="P42" s="11">
        <f>Table1[[#This Row],[Enrolment S.Y. 2025-2026 ]]*8</f>
        <v>2360</v>
      </c>
      <c r="Q42" s="11"/>
      <c r="R42" s="9"/>
      <c r="S42" s="11"/>
      <c r="T42" s="11">
        <f>IF((P42-Q42)&lt;0,0,(P42-Q42))</f>
        <v>2360</v>
      </c>
      <c r="U42" s="11">
        <f>IF((Q42-P42)&lt;0,0,(Q42-P42))</f>
        <v>0</v>
      </c>
      <c r="V42" s="11">
        <f>Table1[[#This Row],[Enrolment S.Y. 2025-2026 ]]*8</f>
        <v>2360</v>
      </c>
      <c r="W42" s="11"/>
      <c r="X42" s="9"/>
      <c r="Y42" s="11"/>
      <c r="Z42" s="11">
        <f>IF((V42-W42)&lt;0,0,(V42-W42))</f>
        <v>2360</v>
      </c>
      <c r="AA42" s="11">
        <f>IF((W42-V42)&lt;0,0,(W42-V42))</f>
        <v>0</v>
      </c>
    </row>
    <row r="43" spans="1:27" ht="19.5">
      <c r="A43" s="9">
        <v>10</v>
      </c>
      <c r="B43" s="10" t="s">
        <v>16</v>
      </c>
      <c r="C43" s="9">
        <v>295</v>
      </c>
      <c r="D43" s="11">
        <f>Table1[[#This Row],[Enrolment S.Y. 2025-2026 ]]*8</f>
        <v>2360</v>
      </c>
      <c r="E43" s="11">
        <v>300</v>
      </c>
      <c r="F43" s="9">
        <v>2025</v>
      </c>
      <c r="G43" s="11"/>
      <c r="H43" s="11">
        <f>IF((D43-E43)&lt;0,0,(D43-E43))</f>
        <v>2060</v>
      </c>
      <c r="I43" s="11">
        <f>IF((E43-D43)&lt;0,0,(E43-D43))</f>
        <v>0</v>
      </c>
      <c r="J43" s="11">
        <f>Table1[[#This Row],[Enrolment S.Y. 2025-2026 ]]*8</f>
        <v>2360</v>
      </c>
      <c r="K43" s="11"/>
      <c r="L43" s="9"/>
      <c r="M43" s="11"/>
      <c r="N43" s="11">
        <f>IF((J43-K43)&lt;0,0,(J43-K43))</f>
        <v>2360</v>
      </c>
      <c r="O43" s="11">
        <f>IF((K43-J43)&lt;0,0,(K43-J43))</f>
        <v>0</v>
      </c>
      <c r="P43" s="11">
        <f>Table1[[#This Row],[Enrolment S.Y. 2025-2026 ]]*8</f>
        <v>2360</v>
      </c>
      <c r="Q43" s="11"/>
      <c r="R43" s="9"/>
      <c r="S43" s="11"/>
      <c r="T43" s="11">
        <f>IF((P43-Q43)&lt;0,0,(P43-Q43))</f>
        <v>2360</v>
      </c>
      <c r="U43" s="11">
        <f>IF((Q43-P43)&lt;0,0,(Q43-P43))</f>
        <v>0</v>
      </c>
      <c r="V43" s="11">
        <f>Table1[[#This Row],[Enrolment S.Y. 2025-2026 ]]*8</f>
        <v>2360</v>
      </c>
      <c r="W43" s="11"/>
      <c r="X43" s="9"/>
      <c r="Y43" s="11"/>
      <c r="Z43" s="11">
        <f>IF((V43-W43)&lt;0,0,(V43-W43))</f>
        <v>2360</v>
      </c>
      <c r="AA43" s="11">
        <f>IF((W43-V43)&lt;0,0,(W43-V43))</f>
        <v>0</v>
      </c>
    </row>
    <row r="44" spans="1:27" ht="19.5">
      <c r="A44" s="9">
        <v>10</v>
      </c>
      <c r="B44" s="10" t="s">
        <v>17</v>
      </c>
      <c r="C44" s="9">
        <v>295</v>
      </c>
      <c r="D44" s="11">
        <f>Table1[[#This Row],[Enrolment S.Y. 2025-2026 ]]*8</f>
        <v>2360</v>
      </c>
      <c r="E44" s="11">
        <v>300</v>
      </c>
      <c r="F44" s="9">
        <v>2025</v>
      </c>
      <c r="G44" s="11"/>
      <c r="H44" s="11">
        <f>IF((D44-E44)&lt;0,0,(D44-E44))</f>
        <v>2060</v>
      </c>
      <c r="I44" s="11">
        <f>IF((E44-D44)&lt;0,0,(E44-D44))</f>
        <v>0</v>
      </c>
      <c r="J44" s="11">
        <f>Table1[[#This Row],[Enrolment S.Y. 2025-2026 ]]*8</f>
        <v>2360</v>
      </c>
      <c r="K44" s="11"/>
      <c r="L44" s="9"/>
      <c r="M44" s="11"/>
      <c r="N44" s="11">
        <f>IF((J44-K44)&lt;0,0,(J44-K44))</f>
        <v>2360</v>
      </c>
      <c r="O44" s="11">
        <f>IF((K44-J44)&lt;0,0,(K44-J44))</f>
        <v>0</v>
      </c>
      <c r="P44" s="11">
        <f>Table1[[#This Row],[Enrolment S.Y. 2025-2026 ]]*8</f>
        <v>2360</v>
      </c>
      <c r="Q44" s="11"/>
      <c r="R44" s="9"/>
      <c r="S44" s="11"/>
      <c r="T44" s="11">
        <f>IF((P44-Q44)&lt;0,0,(P44-Q44))</f>
        <v>2360</v>
      </c>
      <c r="U44" s="11">
        <f>IF((Q44-P44)&lt;0,0,(Q44-P44))</f>
        <v>0</v>
      </c>
      <c r="V44" s="11">
        <f>Table1[[#This Row],[Enrolment S.Y. 2025-2026 ]]*8</f>
        <v>2360</v>
      </c>
      <c r="W44" s="11"/>
      <c r="X44" s="9"/>
      <c r="Y44" s="11"/>
      <c r="Z44" s="11">
        <f>IF((V44-W44)&lt;0,0,(V44-W44))</f>
        <v>2360</v>
      </c>
      <c r="AA44" s="11">
        <f>IF((W44-V44)&lt;0,0,(W44-V44))</f>
        <v>0</v>
      </c>
    </row>
    <row r="45" spans="1:27" ht="19.5">
      <c r="A45" s="6"/>
      <c r="B45" s="6"/>
      <c r="C45" s="6"/>
      <c r="D45" s="6"/>
      <c r="E45" s="6"/>
      <c r="F45" s="6"/>
      <c r="G45" s="6"/>
      <c r="H45" s="6"/>
      <c r="I45" s="6"/>
      <c r="J45" s="12"/>
      <c r="K45" s="6"/>
      <c r="L45" s="6"/>
      <c r="M45" s="5"/>
      <c r="N45" s="12"/>
      <c r="O45" s="12"/>
      <c r="P45" s="12"/>
      <c r="Q45" s="6"/>
      <c r="R45" s="6"/>
      <c r="S45" s="5"/>
      <c r="T45" s="12"/>
      <c r="U45" s="12"/>
      <c r="V45" s="12"/>
      <c r="W45" s="6"/>
      <c r="X45" s="6"/>
      <c r="Y45" s="5"/>
      <c r="Z45" s="12"/>
      <c r="AA45" s="12"/>
    </row>
    <row r="46" spans="1:27" ht="38.25">
      <c r="A46" s="1" t="s">
        <v>19</v>
      </c>
      <c r="B46" s="8" t="s">
        <v>20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16"/>
        <v>0</v>
      </c>
      <c r="I46" s="5">
        <f t="shared" si="17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5">
      <c r="A47" s="1" t="s">
        <v>19</v>
      </c>
      <c r="B47" s="8" t="s">
        <v>21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16"/>
        <v>0</v>
      </c>
      <c r="I47" s="5">
        <f t="shared" si="17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 t="s">
        <v>19</v>
      </c>
      <c r="B48" s="8" t="s">
        <v>22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16"/>
        <v>0</v>
      </c>
      <c r="I48" s="5">
        <f t="shared" si="17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 t="s">
        <v>19</v>
      </c>
      <c r="B49" s="8" t="s">
        <v>23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16"/>
        <v>0</v>
      </c>
      <c r="I49" s="5">
        <f t="shared" si="17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38.25">
      <c r="A50" s="1" t="s">
        <v>19</v>
      </c>
      <c r="B50" s="8" t="s">
        <v>24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16"/>
        <v>0</v>
      </c>
      <c r="I50" s="5">
        <f t="shared" si="17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38.25">
      <c r="A51" s="1" t="s">
        <v>19</v>
      </c>
      <c r="B51" s="8" t="s">
        <v>25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16"/>
        <v>0</v>
      </c>
      <c r="I51" s="5">
        <f t="shared" si="17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6" customFormat="1" ht="57.75">
      <c r="A52" s="1" t="s">
        <v>19</v>
      </c>
      <c r="B52" s="8" t="s">
        <v>26</v>
      </c>
      <c r="C52" s="1"/>
      <c r="D52" s="5">
        <f>Table1[[#This Row],[Enrolment S.Y. 2025-2026 ]]*8</f>
        <v>0</v>
      </c>
      <c r="E52" s="5"/>
      <c r="F52" s="1"/>
      <c r="G52" s="5"/>
      <c r="H52" s="5">
        <f t="shared" si="16"/>
        <v>0</v>
      </c>
      <c r="I52" s="5">
        <f t="shared" si="17"/>
        <v>0</v>
      </c>
      <c r="J52" s="5">
        <f>Table1[[#This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Table1[[#This Row],[Enrolment S.Y. 2025-2026 ]]*8</f>
        <v>0</v>
      </c>
      <c r="Q52" s="5"/>
      <c r="R52" s="1"/>
      <c r="S52" s="5"/>
      <c r="T52" s="5">
        <f t="shared" si="12"/>
        <v>0</v>
      </c>
      <c r="U52" s="5">
        <f t="shared" si="13"/>
        <v>0</v>
      </c>
      <c r="V52" s="5">
        <f>Table1[[#This Row],[Enrolment S.Y. 2025-2026 ]]*8</f>
        <v>0</v>
      </c>
      <c r="W52" s="5"/>
      <c r="X52" s="1"/>
      <c r="Y52" s="5"/>
      <c r="Z52" s="5">
        <f t="shared" si="14"/>
        <v>0</v>
      </c>
      <c r="AA52" s="5">
        <f t="shared" si="15"/>
        <v>0</v>
      </c>
    </row>
    <row r="53" spans="1:27" ht="38.25">
      <c r="A53" s="1" t="s">
        <v>19</v>
      </c>
      <c r="B53" s="8" t="s">
        <v>27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16"/>
        <v>0</v>
      </c>
      <c r="I53" s="5">
        <f t="shared" si="17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6"/>
      <c r="B54" s="6"/>
      <c r="C54" s="6"/>
      <c r="D54" s="6"/>
      <c r="E54" s="6"/>
      <c r="F54" s="6"/>
      <c r="G54" s="6"/>
      <c r="H54" s="6"/>
      <c r="I54" s="6"/>
      <c r="J54" s="12"/>
      <c r="K54" s="6"/>
      <c r="L54" s="6"/>
      <c r="M54" s="6"/>
      <c r="N54" s="12"/>
      <c r="O54" s="12"/>
      <c r="P54" s="12"/>
      <c r="Q54" s="6"/>
      <c r="R54" s="6"/>
      <c r="S54" s="6"/>
      <c r="T54" s="12"/>
      <c r="U54" s="12"/>
      <c r="V54" s="12"/>
      <c r="W54" s="6"/>
      <c r="X54" s="6"/>
      <c r="Y54" s="6"/>
      <c r="Z54" s="12"/>
      <c r="AA54" s="12"/>
    </row>
    <row r="55" spans="1:27" ht="19.5">
      <c r="A55" s="1"/>
      <c r="B55" s="8"/>
      <c r="C55" s="1"/>
      <c r="D55" s="5"/>
      <c r="E55" s="5"/>
      <c r="F55" s="1"/>
      <c r="G55" s="5"/>
      <c r="H55" s="5">
        <f t="shared" si="16"/>
        <v>0</v>
      </c>
      <c r="I55" s="5">
        <f t="shared" si="17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/>
      <c r="B56" s="8"/>
      <c r="C56" s="1"/>
      <c r="D56" s="5"/>
      <c r="E56" s="5"/>
      <c r="F56" s="1"/>
      <c r="G56" s="5"/>
      <c r="H56" s="5">
        <f t="shared" si="16"/>
        <v>0</v>
      </c>
      <c r="I56" s="5">
        <f t="shared" si="17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5">
      <c r="A57" s="1"/>
      <c r="B57" s="8"/>
      <c r="C57" s="1"/>
      <c r="D57" s="5"/>
      <c r="E57" s="5"/>
      <c r="F57" s="1"/>
      <c r="G57" s="5"/>
      <c r="H57" s="5">
        <f t="shared" si="16"/>
        <v>0</v>
      </c>
      <c r="I57" s="5">
        <f t="shared" si="17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/>
      <c r="B58" s="8"/>
      <c r="C58" s="1"/>
      <c r="D58" s="5"/>
      <c r="E58" s="5"/>
      <c r="F58" s="1"/>
      <c r="G58" s="5"/>
      <c r="H58" s="5">
        <f t="shared" si="16"/>
        <v>0</v>
      </c>
      <c r="I58" s="5">
        <f t="shared" si="17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/>
      <c r="B59" s="8"/>
      <c r="C59" s="1"/>
      <c r="D59" s="5"/>
      <c r="E59" s="5"/>
      <c r="F59" s="1"/>
      <c r="G59" s="5"/>
      <c r="H59" s="5">
        <f t="shared" si="16"/>
        <v>0</v>
      </c>
      <c r="I59" s="5">
        <f t="shared" si="17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/>
      <c r="B60" s="8"/>
      <c r="C60" s="1"/>
      <c r="D60" s="5"/>
      <c r="E60" s="5"/>
      <c r="F60" s="1"/>
      <c r="G60" s="5"/>
      <c r="H60" s="5">
        <f t="shared" si="16"/>
        <v>0</v>
      </c>
      <c r="I60" s="5">
        <f t="shared" si="17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/>
      <c r="B61" s="8"/>
      <c r="C61" s="1"/>
      <c r="D61" s="5"/>
      <c r="E61" s="5"/>
      <c r="F61" s="1"/>
      <c r="G61" s="5"/>
      <c r="H61" s="5">
        <f t="shared" si="16"/>
        <v>0</v>
      </c>
      <c r="I61" s="5">
        <f t="shared" si="17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6" customFormat="1" ht="19.5">
      <c r="A62" s="1"/>
      <c r="B62" s="8"/>
      <c r="C62" s="1"/>
      <c r="D62" s="5"/>
      <c r="E62" s="5"/>
      <c r="F62" s="1"/>
      <c r="G62" s="5"/>
      <c r="H62" s="5">
        <f t="shared" si="16"/>
        <v>0</v>
      </c>
      <c r="I62" s="5">
        <f t="shared" si="17"/>
        <v>0</v>
      </c>
      <c r="J62" s="5">
        <f>Table1[[#This Row],[Enrolment S.Y. 2025-2026 ]]*8</f>
        <v>0</v>
      </c>
      <c r="K62" s="5"/>
      <c r="L62" s="1"/>
      <c r="M62" s="5"/>
      <c r="N62" s="5">
        <f t="shared" si="10"/>
        <v>0</v>
      </c>
      <c r="O62" s="5">
        <f t="shared" si="11"/>
        <v>0</v>
      </c>
      <c r="P62" s="5">
        <f>Table1[[#This Row],[Enrolment S.Y. 2025-2026 ]]*8</f>
        <v>0</v>
      </c>
      <c r="Q62" s="5"/>
      <c r="R62" s="1"/>
      <c r="S62" s="5"/>
      <c r="T62" s="5">
        <f t="shared" si="12"/>
        <v>0</v>
      </c>
      <c r="U62" s="5">
        <f t="shared" si="13"/>
        <v>0</v>
      </c>
      <c r="V62" s="5">
        <f>Table1[[#This Row],[Enrolment S.Y. 2025-2026 ]]*8</f>
        <v>0</v>
      </c>
      <c r="W62" s="5"/>
      <c r="X62" s="1"/>
      <c r="Y62" s="5"/>
      <c r="Z62" s="5">
        <f t="shared" si="14"/>
        <v>0</v>
      </c>
      <c r="AA62" s="5">
        <f t="shared" si="15"/>
        <v>0</v>
      </c>
    </row>
    <row r="63" spans="1:27" ht="19.5">
      <c r="A63" s="1"/>
      <c r="B63" s="8"/>
      <c r="C63" s="1"/>
      <c r="D63" s="5"/>
      <c r="E63" s="5"/>
      <c r="F63" s="1"/>
      <c r="G63" s="5"/>
      <c r="H63" s="5">
        <f t="shared" si="16"/>
        <v>0</v>
      </c>
      <c r="I63" s="5">
        <f t="shared" si="17"/>
        <v>0</v>
      </c>
      <c r="J63" s="5">
        <f>Table1[[#This Row],[Enrolment S.Y. 2025-2026 ]]*8</f>
        <v>0</v>
      </c>
      <c r="K63" s="5"/>
      <c r="L63" s="1"/>
      <c r="M63" s="5"/>
      <c r="N63" s="5">
        <f t="shared" si="10"/>
        <v>0</v>
      </c>
      <c r="O63" s="5">
        <f t="shared" si="11"/>
        <v>0</v>
      </c>
      <c r="P63" s="5">
        <f>Table1[[#This Row],[Enrolment S.Y. 2025-2026 ]]*8</f>
        <v>0</v>
      </c>
      <c r="Q63" s="5"/>
      <c r="R63" s="1"/>
      <c r="S63" s="5"/>
      <c r="T63" s="5">
        <f t="shared" si="12"/>
        <v>0</v>
      </c>
      <c r="U63" s="5">
        <f t="shared" si="13"/>
        <v>0</v>
      </c>
      <c r="V63" s="5">
        <f>Table1[[#This Row],[Enrolment S.Y. 2025-2026 ]]*8</f>
        <v>0</v>
      </c>
      <c r="W63" s="5"/>
      <c r="X63" s="1"/>
      <c r="Y63" s="5"/>
      <c r="Z63" s="5">
        <f t="shared" si="14"/>
        <v>0</v>
      </c>
      <c r="AA63" s="5">
        <f t="shared" si="15"/>
        <v>0</v>
      </c>
    </row>
    <row r="64" spans="1:27" ht="19.5">
      <c r="A64" s="1"/>
      <c r="B64" s="8"/>
      <c r="C64" s="1"/>
      <c r="D64" s="5"/>
      <c r="E64" s="5"/>
      <c r="F64" s="1"/>
      <c r="G64" s="5"/>
      <c r="H64" s="5">
        <f t="shared" si="16"/>
        <v>0</v>
      </c>
      <c r="I64" s="5">
        <f t="shared" si="17"/>
        <v>0</v>
      </c>
      <c r="J64" s="5">
        <f>Table1[[#This Row],[Enrolment S.Y. 2025-2026 ]]*8</f>
        <v>0</v>
      </c>
      <c r="K64" s="5"/>
      <c r="L64" s="1"/>
      <c r="M64" s="5"/>
      <c r="N64" s="5">
        <f t="shared" si="10"/>
        <v>0</v>
      </c>
      <c r="O64" s="5">
        <f t="shared" si="11"/>
        <v>0</v>
      </c>
      <c r="P64" s="5">
        <f>Table1[[#This Row],[Enrolment S.Y. 2025-2026 ]]*8</f>
        <v>0</v>
      </c>
      <c r="Q64" s="5"/>
      <c r="R64" s="1"/>
      <c r="S64" s="5"/>
      <c r="T64" s="5">
        <f t="shared" si="12"/>
        <v>0</v>
      </c>
      <c r="U64" s="5">
        <f t="shared" si="13"/>
        <v>0</v>
      </c>
      <c r="V64" s="5">
        <f>Table1[[#This Row],[Enrolment S.Y. 2025-2026 ]]*8</f>
        <v>0</v>
      </c>
      <c r="W64" s="5"/>
      <c r="X64" s="1"/>
      <c r="Y64" s="5"/>
      <c r="Z64" s="5">
        <f t="shared" si="14"/>
        <v>0</v>
      </c>
      <c r="AA64" s="5">
        <f t="shared" si="15"/>
        <v>0</v>
      </c>
    </row>
    <row r="65" spans="1:27" ht="19.5">
      <c r="A65" s="1"/>
      <c r="B65" s="8"/>
      <c r="C65" s="1"/>
      <c r="D65" s="5"/>
      <c r="E65" s="5"/>
      <c r="F65" s="1"/>
      <c r="G65" s="5"/>
      <c r="H65" s="5">
        <f t="shared" si="16"/>
        <v>0</v>
      </c>
      <c r="I65" s="5">
        <f t="shared" si="17"/>
        <v>0</v>
      </c>
      <c r="J65" s="5">
        <f>Table1[[#This Row],[Enrolment S.Y. 2025-2026 ]]*8</f>
        <v>0</v>
      </c>
      <c r="K65" s="5"/>
      <c r="L65" s="1"/>
      <c r="M65" s="5"/>
      <c r="N65" s="5">
        <f t="shared" si="10"/>
        <v>0</v>
      </c>
      <c r="O65" s="5">
        <f t="shared" si="11"/>
        <v>0</v>
      </c>
      <c r="P65" s="5">
        <f>Table1[[#This Row],[Enrolment S.Y. 2025-2026 ]]*8</f>
        <v>0</v>
      </c>
      <c r="Q65" s="5"/>
      <c r="R65" s="1"/>
      <c r="S65" s="5"/>
      <c r="T65" s="5">
        <f t="shared" si="12"/>
        <v>0</v>
      </c>
      <c r="U65" s="5">
        <f t="shared" si="13"/>
        <v>0</v>
      </c>
      <c r="V65" s="5">
        <f>Table1[[#This Row],[Enrolment S.Y. 2025-2026 ]]*8</f>
        <v>0</v>
      </c>
      <c r="W65" s="5"/>
      <c r="X65" s="1"/>
      <c r="Y65" s="5"/>
      <c r="Z65" s="5">
        <f t="shared" si="14"/>
        <v>0</v>
      </c>
      <c r="AA65" s="5">
        <f t="shared" si="15"/>
        <v>0</v>
      </c>
    </row>
    <row r="66" spans="1:27" ht="19.5">
      <c r="A66" s="1"/>
      <c r="B66" s="8"/>
      <c r="C66" s="1"/>
      <c r="D66" s="5"/>
      <c r="E66" s="5"/>
      <c r="F66" s="1"/>
      <c r="G66" s="5"/>
      <c r="H66" s="5">
        <f t="shared" si="16"/>
        <v>0</v>
      </c>
      <c r="I66" s="5">
        <f t="shared" si="17"/>
        <v>0</v>
      </c>
      <c r="J66" s="5">
        <f>Table1[[#This Row],[Enrolment S.Y. 2025-2026 ]]*8</f>
        <v>0</v>
      </c>
      <c r="K66" s="5"/>
      <c r="L66" s="1"/>
      <c r="M66" s="5"/>
      <c r="N66" s="5">
        <f t="shared" si="10"/>
        <v>0</v>
      </c>
      <c r="O66" s="5">
        <f t="shared" si="11"/>
        <v>0</v>
      </c>
      <c r="P66" s="5">
        <f>Table1[[#This Row],[Enrolment S.Y. 2025-2026 ]]*8</f>
        <v>0</v>
      </c>
      <c r="Q66" s="5"/>
      <c r="R66" s="1"/>
      <c r="S66" s="5"/>
      <c r="T66" s="5">
        <f t="shared" si="12"/>
        <v>0</v>
      </c>
      <c r="U66" s="5">
        <f t="shared" si="13"/>
        <v>0</v>
      </c>
      <c r="V66" s="5">
        <f>Table1[[#This Row],[Enrolment S.Y. 2025-2026 ]]*8</f>
        <v>0</v>
      </c>
      <c r="W66" s="5"/>
      <c r="X66" s="1"/>
      <c r="Y66" s="5"/>
      <c r="Z66" s="5">
        <f t="shared" si="14"/>
        <v>0</v>
      </c>
      <c r="AA66" s="5">
        <f t="shared" si="15"/>
        <v>0</v>
      </c>
    </row>
    <row r="67" spans="1:27" ht="19.5">
      <c r="A67" s="1"/>
      <c r="B67" s="8"/>
      <c r="C67" s="1"/>
      <c r="D67" s="5"/>
      <c r="E67" s="5"/>
      <c r="F67" s="1"/>
      <c r="G67" s="5"/>
      <c r="H67" s="5">
        <f t="shared" si="16"/>
        <v>0</v>
      </c>
      <c r="I67" s="5">
        <f t="shared" si="17"/>
        <v>0</v>
      </c>
      <c r="J67" s="5">
        <f>Table1[[#This Row],[Enrolment S.Y. 2025-2026 ]]*8</f>
        <v>0</v>
      </c>
      <c r="K67" s="5"/>
      <c r="L67" s="1"/>
      <c r="M67" s="5"/>
      <c r="N67" s="5">
        <f t="shared" si="10"/>
        <v>0</v>
      </c>
      <c r="O67" s="5">
        <f t="shared" si="11"/>
        <v>0</v>
      </c>
      <c r="P67" s="5">
        <f>Table1[[#This Row],[Enrolment S.Y. 2025-2026 ]]*8</f>
        <v>0</v>
      </c>
      <c r="Q67" s="5"/>
      <c r="R67" s="1"/>
      <c r="S67" s="5"/>
      <c r="T67" s="5">
        <f t="shared" si="12"/>
        <v>0</v>
      </c>
      <c r="U67" s="5">
        <f t="shared" si="13"/>
        <v>0</v>
      </c>
      <c r="V67" s="5">
        <f>Table1[[#This Row],[Enrolment S.Y. 2025-2026 ]]*8</f>
        <v>0</v>
      </c>
      <c r="W67" s="5"/>
      <c r="X67" s="1"/>
      <c r="Y67" s="5"/>
      <c r="Z67" s="5">
        <f t="shared" si="14"/>
        <v>0</v>
      </c>
      <c r="AA67" s="5">
        <f t="shared" si="15"/>
        <v>0</v>
      </c>
    </row>
    <row r="68" spans="1:27" ht="19.5">
      <c r="A68" s="1"/>
      <c r="B68" s="8"/>
      <c r="C68" s="1"/>
      <c r="D68" s="5"/>
      <c r="E68" s="5"/>
      <c r="F68" s="1"/>
      <c r="G68" s="5"/>
      <c r="H68" s="5">
        <f t="shared" si="16"/>
        <v>0</v>
      </c>
      <c r="I68" s="5">
        <f t="shared" si="17"/>
        <v>0</v>
      </c>
      <c r="J68" s="5">
        <f>Table1[[#This Row],[Enrolment S.Y. 2025-2026 ]]*8</f>
        <v>0</v>
      </c>
      <c r="K68" s="5"/>
      <c r="L68" s="1"/>
      <c r="M68" s="5"/>
      <c r="N68" s="5">
        <f t="shared" si="10"/>
        <v>0</v>
      </c>
      <c r="O68" s="5">
        <f t="shared" si="11"/>
        <v>0</v>
      </c>
      <c r="P68" s="5">
        <f>Table1[[#This Row],[Enrolment S.Y. 2025-2026 ]]*8</f>
        <v>0</v>
      </c>
      <c r="Q68" s="5"/>
      <c r="R68" s="1"/>
      <c r="S68" s="5"/>
      <c r="T68" s="5">
        <f t="shared" si="12"/>
        <v>0</v>
      </c>
      <c r="U68" s="5">
        <f t="shared" si="13"/>
        <v>0</v>
      </c>
      <c r="V68" s="5">
        <f>Table1[[#This Row],[Enrolment S.Y. 2025-2026 ]]*8</f>
        <v>0</v>
      </c>
      <c r="W68" s="5"/>
      <c r="X68" s="1"/>
      <c r="Y68" s="5"/>
      <c r="Z68" s="5">
        <f t="shared" si="14"/>
        <v>0</v>
      </c>
      <c r="AA68" s="5">
        <f t="shared" si="15"/>
        <v>0</v>
      </c>
    </row>
    <row r="69" spans="1:27" ht="19.5">
      <c r="A69" s="1"/>
      <c r="B69" s="8"/>
      <c r="C69" s="1"/>
      <c r="D69" s="5"/>
      <c r="E69" s="5"/>
      <c r="F69" s="1"/>
      <c r="G69" s="5"/>
      <c r="H69" s="5">
        <f t="shared" si="16"/>
        <v>0</v>
      </c>
      <c r="I69" s="5">
        <f t="shared" si="17"/>
        <v>0</v>
      </c>
      <c r="J69" s="5">
        <f>Table1[[#This Row],[Enrolment S.Y. 2025-2026 ]]*8</f>
        <v>0</v>
      </c>
      <c r="K69" s="5"/>
      <c r="L69" s="1"/>
      <c r="M69" s="5"/>
      <c r="N69" s="5">
        <f t="shared" si="10"/>
        <v>0</v>
      </c>
      <c r="O69" s="5">
        <f t="shared" si="11"/>
        <v>0</v>
      </c>
      <c r="P69" s="5">
        <f>Table1[[#This Row],[Enrolment S.Y. 2025-2026 ]]*8</f>
        <v>0</v>
      </c>
      <c r="Q69" s="5"/>
      <c r="R69" s="1"/>
      <c r="S69" s="5"/>
      <c r="T69" s="5">
        <f t="shared" si="12"/>
        <v>0</v>
      </c>
      <c r="U69" s="5">
        <f t="shared" si="13"/>
        <v>0</v>
      </c>
      <c r="V69" s="5">
        <f>Table1[[#This Row],[Enrolment S.Y. 2025-2026 ]]*8</f>
        <v>0</v>
      </c>
      <c r="W69" s="5"/>
      <c r="X69" s="1"/>
      <c r="Y69" s="5"/>
      <c r="Z69" s="5">
        <f t="shared" si="14"/>
        <v>0</v>
      </c>
      <c r="AA69" s="5">
        <f t="shared" si="15"/>
        <v>0</v>
      </c>
    </row>
    <row r="70" spans="1:27" ht="19.5">
      <c r="A70" s="28"/>
      <c r="B70" s="29"/>
      <c r="C70" s="28"/>
      <c r="D70" s="5"/>
      <c r="E70" s="30"/>
      <c r="F70" s="1"/>
      <c r="G70" s="30"/>
      <c r="H70" s="5">
        <f t="shared" si="16"/>
        <v>0</v>
      </c>
      <c r="I70" s="5">
        <f t="shared" si="17"/>
        <v>0</v>
      </c>
      <c r="J70" s="5">
        <f>Table1[[#This Row],[Enrolment S.Y. 2025-2026 ]]*8</f>
        <v>0</v>
      </c>
      <c r="K70" s="30"/>
      <c r="L70" s="1"/>
      <c r="M70" s="30"/>
      <c r="N70" s="5">
        <f t="shared" ref="N70" si="18">IF((J70-K70)&lt;0,0,(J70-K70))</f>
        <v>0</v>
      </c>
      <c r="O70" s="5">
        <f t="shared" ref="O70" si="19">IF((K70-J70)&lt;0,0,(K70-J70))</f>
        <v>0</v>
      </c>
      <c r="P70" s="5"/>
      <c r="Q70" s="30"/>
      <c r="R70" s="1"/>
      <c r="S70" s="30"/>
      <c r="T70" s="5">
        <f t="shared" si="12"/>
        <v>0</v>
      </c>
      <c r="U70" s="5">
        <f t="shared" si="13"/>
        <v>0</v>
      </c>
      <c r="V70" s="5">
        <f>Table1[[#This Row],[Enrolment S.Y. 2025-2026 ]]*8</f>
        <v>0</v>
      </c>
      <c r="W70" s="30"/>
      <c r="X70" s="1"/>
      <c r="Y70" s="30"/>
      <c r="Z70" s="5">
        <f t="shared" si="14"/>
        <v>0</v>
      </c>
      <c r="AA70" s="5">
        <f t="shared" si="15"/>
        <v>0</v>
      </c>
    </row>
    <row r="71" spans="1:27" ht="15">
      <c r="J71" t="e">
        <f>#REF!*8</f>
        <v>#REF!</v>
      </c>
    </row>
    <row r="72" spans="1:27" s="6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6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6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/>
    <row r="102" spans="1:27" s="6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6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55:C70 C36:C44 C6:C14 C16:C24 C26:C34 C46:C53" name="Textbooks"/>
    <protectedRange sqref="J2:L3 D2:F3 W26:X34 W36:X44 Q16:R24 Q26:R34 H6:I14 H16:I24 H26:I34 H36:I44 H46:I53 H55:I70 N70:Q70 Q36:R44 K16:L24 K26:L34 Q55:Q69 P2:R2 V2:X3 N4:P69 T4:V70 J4:J70 Z4:AA70 N3:R3 K36:L44 W16:X24 Q6:R14 Q46:R53 R55:R70 W6:X14 W46:X53 D6:F14 D16:F24 D26:F34 D36:F44 D46:F53 D55:F70 W55:X70 K6:L14 K46:L53 K55:L70" name="LAS"/>
    <protectedRange sqref="G2:I3 M2:O2 S2:U3 Y2:AA3 G55:G70 M55:M70 S55:S70 Y55:Y70 G46:G53 S4:S53 G26:G34 G36:G44 M5:M53 M3 Y5:Y53 G6:G14 G16:G24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5:S70 M55:M70 Y55:Y70 G55:G70" xr:uid="{8289B4A9-982E-4C7E-A8E2-4BF3404561DB}">
      <formula1>"CO,RO,SDO"</formula1>
    </dataValidation>
    <dataValidation type="list" allowBlank="1" showInputMessage="1" showErrorMessage="1" sqref="G6:G14 G16:G24 G26:G34 G36:G44 G46:G53 S4:S53 Y5:Y53 M5:M53" xr:uid="{5129D80C-83DF-45BE-B6AD-F21CA596CBA5}">
      <formula1>"CO,RO,SDO,LGU,SCHOOL"</formula1>
    </dataValidation>
    <dataValidation type="list" allowBlank="1" showInputMessage="1" showErrorMessage="1" sqref="F6:F14 F16:F24 F26:F34 F36:F44 F46:F53 F55:F70 L55:L70 L46:L53 L6:L14 L16:L24 L26:L34 L36:L44 R55:R70 R46:R53 R6:R14 R16:R24 R26:R34 R36:R44 X55:X70 X46:X53 X6:X14 X16:X24 X26:X34 X36:X44" xr:uid="{B3931F86-B852-41CE-B400-D187AB69615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selection activeCell="X102" sqref="X10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7" customFormat="1" ht="34.15" customHeight="1">
      <c r="B1" s="34"/>
      <c r="D1" s="41" t="s">
        <v>28</v>
      </c>
      <c r="E1" s="41"/>
      <c r="F1" s="41"/>
      <c r="G1" s="41"/>
      <c r="H1" s="41"/>
      <c r="I1" s="41"/>
      <c r="J1" s="42" t="s">
        <v>29</v>
      </c>
      <c r="K1" s="42"/>
      <c r="L1" s="42"/>
      <c r="M1" s="42"/>
      <c r="N1" s="42"/>
      <c r="O1" s="42"/>
      <c r="P1" s="43" t="s">
        <v>30</v>
      </c>
      <c r="Q1" s="43"/>
      <c r="R1" s="43"/>
      <c r="S1" s="43"/>
      <c r="T1" s="43"/>
      <c r="U1" s="43"/>
      <c r="V1" s="44" t="s">
        <v>31</v>
      </c>
      <c r="W1" s="44"/>
      <c r="X1" s="44"/>
      <c r="Y1" s="44"/>
      <c r="Z1" s="44"/>
      <c r="AA1" s="44"/>
    </row>
    <row r="2" spans="1:27" ht="69.599999999999994" customHeight="1">
      <c r="A2" s="14" t="s">
        <v>0</v>
      </c>
      <c r="B2" s="35" t="s">
        <v>1</v>
      </c>
      <c r="C2" s="15" t="s">
        <v>2</v>
      </c>
      <c r="D2" s="19" t="s">
        <v>57</v>
      </c>
      <c r="E2" s="19" t="s">
        <v>58</v>
      </c>
      <c r="F2" s="20" t="s">
        <v>59</v>
      </c>
      <c r="G2" s="23" t="s">
        <v>60</v>
      </c>
      <c r="H2" s="16" t="s">
        <v>61</v>
      </c>
      <c r="I2" s="23" t="s">
        <v>62</v>
      </c>
      <c r="J2" s="21" t="s">
        <v>63</v>
      </c>
      <c r="K2" s="21" t="s">
        <v>64</v>
      </c>
      <c r="L2" s="22" t="s">
        <v>65</v>
      </c>
      <c r="M2" s="39" t="s">
        <v>66</v>
      </c>
      <c r="N2" s="39" t="s">
        <v>67</v>
      </c>
      <c r="O2" s="21" t="s">
        <v>68</v>
      </c>
      <c r="P2" s="23" t="s">
        <v>69</v>
      </c>
      <c r="Q2" s="23" t="s">
        <v>70</v>
      </c>
      <c r="R2" s="24" t="s">
        <v>71</v>
      </c>
      <c r="S2" s="16" t="s">
        <v>72</v>
      </c>
      <c r="T2" s="16" t="s">
        <v>73</v>
      </c>
      <c r="U2" s="23" t="s">
        <v>74</v>
      </c>
      <c r="V2" s="25" t="s">
        <v>75</v>
      </c>
      <c r="W2" s="25" t="s">
        <v>76</v>
      </c>
      <c r="X2" s="26" t="s">
        <v>77</v>
      </c>
      <c r="Y2" s="40" t="s">
        <v>78</v>
      </c>
      <c r="Z2" s="40" t="s">
        <v>79</v>
      </c>
      <c r="AA2" s="25" t="s">
        <v>80</v>
      </c>
    </row>
    <row r="3" spans="1:27" ht="19.149999999999999" hidden="1">
      <c r="A3" s="1">
        <v>1</v>
      </c>
      <c r="B3" s="2" t="s">
        <v>81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82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83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84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11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8" t="s">
        <v>8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8" t="s">
        <v>10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8" t="s">
        <v>85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6" customFormat="1" hidden="1"/>
    <row r="12" spans="1:27" ht="19.149999999999999" hidden="1">
      <c r="A12" s="1">
        <v>2</v>
      </c>
      <c r="B12" s="2" t="s">
        <v>81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82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83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84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11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8" t="s">
        <v>10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8" t="s">
        <v>8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8" t="s">
        <v>85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6" customFormat="1" hidden="1"/>
    <row r="21" spans="1:27" ht="19.149999999999999" hidden="1">
      <c r="A21" s="1">
        <v>3</v>
      </c>
      <c r="B21" s="2" t="s">
        <v>81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82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83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84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11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8" t="s">
        <v>8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8" t="s">
        <v>10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8" t="s">
        <v>85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6" customFormat="1" hidden="1"/>
    <row r="31" spans="1:27" ht="19.149999999999999" hidden="1">
      <c r="A31" s="1">
        <v>4</v>
      </c>
      <c r="B31" s="8" t="s">
        <v>8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8" t="s">
        <v>10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8" t="s">
        <v>11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8" t="s">
        <v>83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8" t="s">
        <v>13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8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6">
        <v>4</v>
      </c>
      <c r="B37" s="8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8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8" t="s">
        <v>88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6">
        <v>4</v>
      </c>
      <c r="B40" s="8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8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6" customFormat="1" hidden="1"/>
    <row r="43" spans="1:27" ht="19.149999999999999" hidden="1">
      <c r="A43" s="1">
        <v>5</v>
      </c>
      <c r="B43" s="8" t="s">
        <v>8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8" t="s">
        <v>10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8" t="s">
        <v>11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8" t="s">
        <v>83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8" t="s">
        <v>13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8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6">
        <v>5</v>
      </c>
      <c r="B49" s="8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8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8" t="s">
        <v>88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6">
        <v>5</v>
      </c>
      <c r="B52" s="8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8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6" customFormat="1" hidden="1"/>
    <row r="55" spans="1:27" ht="19.149999999999999" hidden="1">
      <c r="A55" s="1">
        <v>6</v>
      </c>
      <c r="B55" s="8" t="s">
        <v>8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8" t="s">
        <v>10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8" t="s">
        <v>11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8" t="s">
        <v>83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8" t="s">
        <v>13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8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6">
        <v>6</v>
      </c>
      <c r="B61" s="8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8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8" t="s">
        <v>88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6">
        <v>6</v>
      </c>
      <c r="B64" s="8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8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6" customFormat="1" hidden="1"/>
    <row r="67" spans="1:27" ht="19.5">
      <c r="A67" s="9">
        <v>7</v>
      </c>
      <c r="B67" s="10" t="s">
        <v>8</v>
      </c>
      <c r="C67" s="9">
        <v>325</v>
      </c>
      <c r="D67" s="11">
        <f>Table14[[#This Row],[Enrolment S.Y. 2025-2026 ]]*8</f>
        <v>2600</v>
      </c>
      <c r="E67" s="11"/>
      <c r="F67" s="9"/>
      <c r="G67" s="11"/>
      <c r="H67" s="11">
        <f t="shared" si="0"/>
        <v>2600</v>
      </c>
      <c r="I67" s="11">
        <f t="shared" si="1"/>
        <v>0</v>
      </c>
      <c r="J67" s="11">
        <f>Table14[[#This Row],[Enrolment S.Y. 2025-2026 ]]*8</f>
        <v>2600</v>
      </c>
      <c r="K67" s="11"/>
      <c r="L67" s="9"/>
      <c r="M67" s="11"/>
      <c r="N67" s="11">
        <f t="shared" si="2"/>
        <v>2600</v>
      </c>
      <c r="O67" s="11">
        <f t="shared" si="3"/>
        <v>0</v>
      </c>
      <c r="P67" s="11">
        <f>Table14[[#This Row],[Enrolment S.Y. 2025-2026 ]]*8</f>
        <v>2600</v>
      </c>
      <c r="Q67" s="11"/>
      <c r="R67" s="9"/>
      <c r="S67" s="11"/>
      <c r="T67" s="11">
        <f t="shared" si="4"/>
        <v>2600</v>
      </c>
      <c r="U67" s="11">
        <f t="shared" si="5"/>
        <v>0</v>
      </c>
      <c r="V67" s="11">
        <f>Table14[[#This Row],[Enrolment S.Y. 2025-2026 ]]*8</f>
        <v>2600</v>
      </c>
      <c r="W67" s="11"/>
      <c r="X67" s="9"/>
      <c r="Y67" s="11"/>
      <c r="Z67" s="11">
        <f t="shared" si="6"/>
        <v>2600</v>
      </c>
      <c r="AA67" s="11">
        <f t="shared" si="7"/>
        <v>0</v>
      </c>
    </row>
    <row r="68" spans="1:27" ht="19.5">
      <c r="A68" s="9">
        <v>7</v>
      </c>
      <c r="B68" s="10" t="s">
        <v>10</v>
      </c>
      <c r="C68" s="9">
        <v>325</v>
      </c>
      <c r="D68" s="11">
        <f>Table14[[#This Row],[Enrolment S.Y. 2025-2026 ]]*8</f>
        <v>2600</v>
      </c>
      <c r="E68" s="11"/>
      <c r="F68" s="9"/>
      <c r="G68" s="11"/>
      <c r="H68" s="11">
        <f t="shared" si="0"/>
        <v>2600</v>
      </c>
      <c r="I68" s="11">
        <f t="shared" si="1"/>
        <v>0</v>
      </c>
      <c r="J68" s="11">
        <f>Table14[[#This Row],[Enrolment S.Y. 2025-2026 ]]*8</f>
        <v>2600</v>
      </c>
      <c r="K68" s="11"/>
      <c r="L68" s="9"/>
      <c r="M68" s="11"/>
      <c r="N68" s="11">
        <f t="shared" si="2"/>
        <v>2600</v>
      </c>
      <c r="O68" s="11">
        <f t="shared" si="3"/>
        <v>0</v>
      </c>
      <c r="P68" s="11">
        <f>Table14[[#This Row],[Enrolment S.Y. 2025-2026 ]]*8</f>
        <v>2600</v>
      </c>
      <c r="Q68" s="11"/>
      <c r="R68" s="9"/>
      <c r="S68" s="11"/>
      <c r="T68" s="11">
        <f t="shared" si="4"/>
        <v>2600</v>
      </c>
      <c r="U68" s="11">
        <f t="shared" si="5"/>
        <v>0</v>
      </c>
      <c r="V68" s="11">
        <f>Table14[[#This Row],[Enrolment S.Y. 2025-2026 ]]*8</f>
        <v>2600</v>
      </c>
      <c r="W68" s="11"/>
      <c r="X68" s="9"/>
      <c r="Y68" s="11"/>
      <c r="Z68" s="11">
        <f t="shared" si="6"/>
        <v>2600</v>
      </c>
      <c r="AA68" s="11">
        <f t="shared" si="7"/>
        <v>0</v>
      </c>
    </row>
    <row r="69" spans="1:27" ht="19.5">
      <c r="A69" s="9">
        <v>7</v>
      </c>
      <c r="B69" s="10" t="s">
        <v>11</v>
      </c>
      <c r="C69" s="9">
        <v>325</v>
      </c>
      <c r="D69" s="11">
        <f>Table14[[#This Row],[Enrolment S.Y. 2025-2026 ]]*8</f>
        <v>2600</v>
      </c>
      <c r="E69" s="11"/>
      <c r="F69" s="9"/>
      <c r="G69" s="11"/>
      <c r="H69" s="11">
        <f t="shared" si="0"/>
        <v>2600</v>
      </c>
      <c r="I69" s="11">
        <f t="shared" si="1"/>
        <v>0</v>
      </c>
      <c r="J69" s="11">
        <f>Table14[[#This Row],[Enrolment S.Y. 2025-2026 ]]*8</f>
        <v>2600</v>
      </c>
      <c r="K69" s="11"/>
      <c r="L69" s="9"/>
      <c r="M69" s="11"/>
      <c r="N69" s="11">
        <f t="shared" si="2"/>
        <v>2600</v>
      </c>
      <c r="O69" s="11">
        <f t="shared" si="3"/>
        <v>0</v>
      </c>
      <c r="P69" s="11">
        <f>Table14[[#This Row],[Enrolment S.Y. 2025-2026 ]]*8</f>
        <v>2600</v>
      </c>
      <c r="Q69" s="11"/>
      <c r="R69" s="9"/>
      <c r="S69" s="11"/>
      <c r="T69" s="11">
        <f t="shared" si="4"/>
        <v>2600</v>
      </c>
      <c r="U69" s="11">
        <f t="shared" si="5"/>
        <v>0</v>
      </c>
      <c r="V69" s="11">
        <f>Table14[[#This Row],[Enrolment S.Y. 2025-2026 ]]*8</f>
        <v>2600</v>
      </c>
      <c r="W69" s="11"/>
      <c r="X69" s="9"/>
      <c r="Y69" s="11"/>
      <c r="Z69" s="11">
        <f t="shared" si="6"/>
        <v>2600</v>
      </c>
      <c r="AA69" s="11">
        <f t="shared" si="7"/>
        <v>0</v>
      </c>
    </row>
    <row r="70" spans="1:27" ht="19.5">
      <c r="A70" s="9">
        <v>7</v>
      </c>
      <c r="B70" s="10" t="s">
        <v>12</v>
      </c>
      <c r="C70" s="9">
        <v>325</v>
      </c>
      <c r="D70" s="11">
        <f>Table14[[#This Row],[Enrolment S.Y. 2025-2026 ]]*8</f>
        <v>2600</v>
      </c>
      <c r="E70" s="11"/>
      <c r="F70" s="9"/>
      <c r="G70" s="11"/>
      <c r="H70" s="11">
        <f t="shared" si="0"/>
        <v>2600</v>
      </c>
      <c r="I70" s="11">
        <f t="shared" si="1"/>
        <v>0</v>
      </c>
      <c r="J70" s="11">
        <f>Table14[[#This Row],[Enrolment S.Y. 2025-2026 ]]*8</f>
        <v>2600</v>
      </c>
      <c r="K70" s="11"/>
      <c r="L70" s="9"/>
      <c r="M70" s="11"/>
      <c r="N70" s="11">
        <f t="shared" si="2"/>
        <v>2600</v>
      </c>
      <c r="O70" s="11">
        <f t="shared" si="3"/>
        <v>0</v>
      </c>
      <c r="P70" s="11">
        <f>Table14[[#This Row],[Enrolment S.Y. 2025-2026 ]]*8</f>
        <v>2600</v>
      </c>
      <c r="Q70" s="11"/>
      <c r="R70" s="9"/>
      <c r="S70" s="11"/>
      <c r="T70" s="11">
        <f t="shared" si="4"/>
        <v>2600</v>
      </c>
      <c r="U70" s="11">
        <f t="shared" si="5"/>
        <v>0</v>
      </c>
      <c r="V70" s="11">
        <f>Table14[[#This Row],[Enrolment S.Y. 2025-2026 ]]*8</f>
        <v>2600</v>
      </c>
      <c r="W70" s="11"/>
      <c r="X70" s="9"/>
      <c r="Y70" s="11"/>
      <c r="Z70" s="11">
        <f t="shared" si="6"/>
        <v>2600</v>
      </c>
      <c r="AA70" s="11">
        <f t="shared" si="7"/>
        <v>0</v>
      </c>
    </row>
    <row r="71" spans="1:27" ht="38.25">
      <c r="A71" s="9">
        <v>7</v>
      </c>
      <c r="B71" s="10" t="s">
        <v>13</v>
      </c>
      <c r="C71" s="9">
        <v>325</v>
      </c>
      <c r="D71" s="11">
        <f>Table14[[#This Row],[Enrolment S.Y. 2025-2026 ]]*8</f>
        <v>2600</v>
      </c>
      <c r="E71" s="11"/>
      <c r="F71" s="9"/>
      <c r="G71" s="11"/>
      <c r="H71" s="11">
        <f t="shared" si="0"/>
        <v>2600</v>
      </c>
      <c r="I71" s="11">
        <f t="shared" si="1"/>
        <v>0</v>
      </c>
      <c r="J71" s="11">
        <f>Table14[[#This Row],[Enrolment S.Y. 2025-2026 ]]*8</f>
        <v>2600</v>
      </c>
      <c r="K71" s="11"/>
      <c r="L71" s="9"/>
      <c r="M71" s="11"/>
      <c r="N71" s="11">
        <f t="shared" ref="N71:N77" si="14">IF((J71-K71)&lt;0,0,(J71-K71))</f>
        <v>2600</v>
      </c>
      <c r="O71" s="11">
        <f t="shared" ref="O71:O77" si="15">IF((K71-J71)&lt;0,0,(K71-J71))</f>
        <v>0</v>
      </c>
      <c r="P71" s="11">
        <f>Table14[[#This Row],[Enrolment S.Y. 2025-2026 ]]*8</f>
        <v>2600</v>
      </c>
      <c r="Q71" s="11"/>
      <c r="R71" s="9"/>
      <c r="S71" s="11"/>
      <c r="T71" s="11">
        <f t="shared" si="4"/>
        <v>2600</v>
      </c>
      <c r="U71" s="11">
        <f t="shared" si="5"/>
        <v>0</v>
      </c>
      <c r="V71" s="11">
        <f>Table14[[#This Row],[Enrolment S.Y. 2025-2026 ]]*8</f>
        <v>2600</v>
      </c>
      <c r="W71" s="11"/>
      <c r="X71" s="9"/>
      <c r="Y71" s="11"/>
      <c r="Z71" s="11">
        <f t="shared" si="6"/>
        <v>2600</v>
      </c>
      <c r="AA71" s="11">
        <f t="shared" si="7"/>
        <v>0</v>
      </c>
    </row>
    <row r="72" spans="1:27" ht="19.5">
      <c r="A72" s="9">
        <v>7</v>
      </c>
      <c r="B72" s="10" t="s">
        <v>14</v>
      </c>
      <c r="C72" s="9">
        <v>325</v>
      </c>
      <c r="D72" s="11">
        <f>Table14[[#This Row],[Enrolment S.Y. 2025-2026 ]]*8</f>
        <v>2600</v>
      </c>
      <c r="E72" s="11"/>
      <c r="F72" s="9"/>
      <c r="G72" s="11"/>
      <c r="H72" s="11">
        <f t="shared" si="0"/>
        <v>2600</v>
      </c>
      <c r="I72" s="11">
        <f t="shared" si="1"/>
        <v>0</v>
      </c>
      <c r="J72" s="11">
        <f>Table14[[#This Row],[Enrolment S.Y. 2025-2026 ]]*8</f>
        <v>2600</v>
      </c>
      <c r="K72" s="11"/>
      <c r="L72" s="9"/>
      <c r="M72" s="11"/>
      <c r="N72" s="11">
        <f t="shared" si="14"/>
        <v>2600</v>
      </c>
      <c r="O72" s="11">
        <f t="shared" si="15"/>
        <v>0</v>
      </c>
      <c r="P72" s="11">
        <f>Table14[[#This Row],[Enrolment S.Y. 2025-2026 ]]*8</f>
        <v>2600</v>
      </c>
      <c r="Q72" s="11"/>
      <c r="R72" s="9"/>
      <c r="S72" s="11"/>
      <c r="T72" s="11">
        <f t="shared" si="4"/>
        <v>2600</v>
      </c>
      <c r="U72" s="11">
        <f t="shared" si="5"/>
        <v>0</v>
      </c>
      <c r="V72" s="11">
        <f>Table14[[#This Row],[Enrolment S.Y. 2025-2026 ]]*8</f>
        <v>2600</v>
      </c>
      <c r="W72" s="11"/>
      <c r="X72" s="9"/>
      <c r="Y72" s="11"/>
      <c r="Z72" s="11">
        <f t="shared" si="6"/>
        <v>2600</v>
      </c>
      <c r="AA72" s="11">
        <f t="shared" si="7"/>
        <v>0</v>
      </c>
    </row>
    <row r="73" spans="1:27" ht="19.5">
      <c r="A73" s="37">
        <v>7</v>
      </c>
      <c r="B73" s="10" t="s">
        <v>86</v>
      </c>
      <c r="C73" s="9">
        <v>325</v>
      </c>
      <c r="D73" s="11">
        <f>Table14[[#This Row],[Enrolment S.Y. 2025-2026 ]]*8</f>
        <v>2600</v>
      </c>
      <c r="E73" s="11"/>
      <c r="F73" s="9"/>
      <c r="G73" s="11"/>
      <c r="H73" s="11">
        <f>IF((D73-E73)&lt;0,0,(D73-E73))</f>
        <v>2600</v>
      </c>
      <c r="I73" s="11">
        <f>IF((E73-D73)&lt;0,0,(E73-D73))</f>
        <v>0</v>
      </c>
      <c r="J73" s="11">
        <f>Table14[[#This Row],[Enrolment S.Y. 2025-2026 ]]*8</f>
        <v>2600</v>
      </c>
      <c r="K73" s="11"/>
      <c r="L73" s="9"/>
      <c r="M73" s="11"/>
      <c r="N73" s="11">
        <f t="shared" si="14"/>
        <v>2600</v>
      </c>
      <c r="O73" s="11">
        <f t="shared" si="15"/>
        <v>0</v>
      </c>
      <c r="P73" s="11">
        <f>Table14[[#This Row],[Enrolment S.Y. 2025-2026 ]]*8</f>
        <v>2600</v>
      </c>
      <c r="Q73" s="11"/>
      <c r="R73" s="9"/>
      <c r="S73" s="11"/>
      <c r="T73" s="11">
        <f>IF((P73-Q73)&lt;0,0,(P73-Q73))</f>
        <v>2600</v>
      </c>
      <c r="U73" s="11">
        <f>IF((Q73-P73)&lt;0,0,(Q73-P73))</f>
        <v>0</v>
      </c>
      <c r="V73" s="11">
        <f>Table14[[#This Row],[Enrolment S.Y. 2025-2026 ]]*8</f>
        <v>2600</v>
      </c>
      <c r="W73" s="11"/>
      <c r="X73" s="9"/>
      <c r="Y73" s="11"/>
      <c r="Z73" s="11">
        <f>IF((V73-W73)&lt;0,0,(V73-W73))</f>
        <v>2600</v>
      </c>
      <c r="AA73" s="11">
        <f>IF((W73-V73)&lt;0,0,(W73-V73))</f>
        <v>0</v>
      </c>
    </row>
    <row r="74" spans="1:27" ht="19.5">
      <c r="A74" s="9">
        <v>7</v>
      </c>
      <c r="B74" s="10" t="s">
        <v>87</v>
      </c>
      <c r="C74" s="9">
        <v>325</v>
      </c>
      <c r="D74" s="11">
        <f>Table14[[#This Row],[Enrolment S.Y. 2025-2026 ]]*8</f>
        <v>2600</v>
      </c>
      <c r="E74" s="11"/>
      <c r="F74" s="9"/>
      <c r="G74" s="11"/>
      <c r="H74" s="11">
        <f t="shared" si="0"/>
        <v>2600</v>
      </c>
      <c r="I74" s="11">
        <f t="shared" si="1"/>
        <v>0</v>
      </c>
      <c r="J74" s="11">
        <f>Table14[[#This Row],[Enrolment S.Y. 2025-2026 ]]*8</f>
        <v>2600</v>
      </c>
      <c r="K74" s="11"/>
      <c r="L74" s="9"/>
      <c r="M74" s="11"/>
      <c r="N74" s="11">
        <f t="shared" si="14"/>
        <v>2600</v>
      </c>
      <c r="O74" s="11">
        <f t="shared" si="15"/>
        <v>0</v>
      </c>
      <c r="P74" s="11">
        <f>Table14[[#This Row],[Enrolment S.Y. 2025-2026 ]]*8</f>
        <v>2600</v>
      </c>
      <c r="Q74" s="11"/>
      <c r="R74" s="9"/>
      <c r="S74" s="11"/>
      <c r="T74" s="11">
        <f t="shared" ref="T74:T122" si="16">IF((P74-Q74)&lt;0,0,(P74-Q74))</f>
        <v>2600</v>
      </c>
      <c r="U74" s="11">
        <f t="shared" ref="U74:U122" si="17">IF((Q74-P74)&lt;0,0,(Q74-P74))</f>
        <v>0</v>
      </c>
      <c r="V74" s="11">
        <f>Table14[[#This Row],[Enrolment S.Y. 2025-2026 ]]*8</f>
        <v>2600</v>
      </c>
      <c r="W74" s="11"/>
      <c r="X74" s="9"/>
      <c r="Y74" s="11"/>
      <c r="Z74" s="11">
        <f t="shared" ref="Z74:Z122" si="18">IF((V74-W74)&lt;0,0,(V74-W74))</f>
        <v>2600</v>
      </c>
      <c r="AA74" s="11">
        <f t="shared" ref="AA74:AA122" si="19">IF((W74-V74)&lt;0,0,(W74-V74))</f>
        <v>0</v>
      </c>
    </row>
    <row r="75" spans="1:27" ht="19.5">
      <c r="A75" s="9">
        <v>7</v>
      </c>
      <c r="B75" s="10" t="s">
        <v>16</v>
      </c>
      <c r="C75" s="9">
        <v>325</v>
      </c>
      <c r="D75" s="11">
        <f>Table14[[#This Row],[Enrolment S.Y. 2025-2026 ]]*8</f>
        <v>2600</v>
      </c>
      <c r="E75" s="11"/>
      <c r="F75" s="9"/>
      <c r="G75" s="11"/>
      <c r="H75" s="11">
        <f t="shared" si="0"/>
        <v>2600</v>
      </c>
      <c r="I75" s="11">
        <f t="shared" si="1"/>
        <v>0</v>
      </c>
      <c r="J75" s="11">
        <f>Table14[[#This Row],[Enrolment S.Y. 2025-2026 ]]*8</f>
        <v>2600</v>
      </c>
      <c r="K75" s="11"/>
      <c r="L75" s="9"/>
      <c r="M75" s="11"/>
      <c r="N75" s="11">
        <f t="shared" si="14"/>
        <v>2600</v>
      </c>
      <c r="O75" s="11">
        <f t="shared" si="15"/>
        <v>0</v>
      </c>
      <c r="P75" s="11">
        <f>Table14[[#This Row],[Enrolment S.Y. 2025-2026 ]]*8</f>
        <v>2600</v>
      </c>
      <c r="Q75" s="11"/>
      <c r="R75" s="9"/>
      <c r="S75" s="11"/>
      <c r="T75" s="11">
        <f t="shared" si="16"/>
        <v>2600</v>
      </c>
      <c r="U75" s="11">
        <f t="shared" si="17"/>
        <v>0</v>
      </c>
      <c r="V75" s="11">
        <f>Table14[[#This Row],[Enrolment S.Y. 2025-2026 ]]*8</f>
        <v>2600</v>
      </c>
      <c r="W75" s="11"/>
      <c r="X75" s="9"/>
      <c r="Y75" s="11"/>
      <c r="Z75" s="11">
        <f t="shared" si="18"/>
        <v>2600</v>
      </c>
      <c r="AA75" s="11">
        <f t="shared" si="19"/>
        <v>0</v>
      </c>
    </row>
    <row r="76" spans="1:27" ht="19.5">
      <c r="A76" s="37">
        <v>7</v>
      </c>
      <c r="B76" s="10" t="s">
        <v>89</v>
      </c>
      <c r="C76" s="9">
        <v>325</v>
      </c>
      <c r="D76" s="11">
        <f>Table14[[#This Row],[Enrolment S.Y. 2025-2026 ]]*8</f>
        <v>2600</v>
      </c>
      <c r="E76" s="11"/>
      <c r="F76" s="9"/>
      <c r="G76" s="11"/>
      <c r="H76" s="11">
        <f>IF((D76-E76)&lt;0,0,(D76-E76))</f>
        <v>2600</v>
      </c>
      <c r="I76" s="11">
        <f>IF((E76-D76)&lt;0,0,(E76-D76))</f>
        <v>0</v>
      </c>
      <c r="J76" s="11">
        <f>Table14[[#This Row],[Enrolment S.Y. 2025-2026 ]]*8</f>
        <v>2600</v>
      </c>
      <c r="K76" s="11"/>
      <c r="L76" s="9"/>
      <c r="M76" s="11"/>
      <c r="N76" s="11">
        <f t="shared" si="14"/>
        <v>2600</v>
      </c>
      <c r="O76" s="11">
        <f t="shared" si="15"/>
        <v>0</v>
      </c>
      <c r="P76" s="11">
        <f>Table14[[#This Row],[Enrolment S.Y. 2025-2026 ]]*8</f>
        <v>2600</v>
      </c>
      <c r="Q76" s="11"/>
      <c r="R76" s="9"/>
      <c r="S76" s="11"/>
      <c r="T76" s="11">
        <f>IF((P76-Q76)&lt;0,0,(P76-Q76))</f>
        <v>2600</v>
      </c>
      <c r="U76" s="11">
        <f>IF((Q76-P76)&lt;0,0,(Q76-P76))</f>
        <v>0</v>
      </c>
      <c r="V76" s="11">
        <f>Table14[[#This Row],[Enrolment S.Y. 2025-2026 ]]*8</f>
        <v>2600</v>
      </c>
      <c r="W76" s="11"/>
      <c r="X76" s="9"/>
      <c r="Y76" s="11"/>
      <c r="Z76" s="11">
        <f>IF((V76-W76)&lt;0,0,(V76-W76))</f>
        <v>2600</v>
      </c>
      <c r="AA76" s="11">
        <f>IF((W76-V76)&lt;0,0,(W76-V76))</f>
        <v>0</v>
      </c>
    </row>
    <row r="77" spans="1:27" ht="19.5">
      <c r="A77" s="9">
        <v>7</v>
      </c>
      <c r="B77" s="10" t="s">
        <v>90</v>
      </c>
      <c r="C77" s="9">
        <v>325</v>
      </c>
      <c r="D77" s="11">
        <f>Table14[[#This Row],[Enrolment S.Y. 2025-2026 ]]*8</f>
        <v>2600</v>
      </c>
      <c r="E77" s="11"/>
      <c r="F77" s="9"/>
      <c r="G77" s="11"/>
      <c r="H77" s="11">
        <f t="shared" si="0"/>
        <v>2600</v>
      </c>
      <c r="I77" s="11">
        <f t="shared" si="1"/>
        <v>0</v>
      </c>
      <c r="J77" s="11">
        <f>Table14[[#This Row],[Enrolment S.Y. 2025-2026 ]]*8</f>
        <v>2600</v>
      </c>
      <c r="K77" s="11"/>
      <c r="L77" s="9"/>
      <c r="M77" s="11"/>
      <c r="N77" s="11">
        <f t="shared" si="14"/>
        <v>2600</v>
      </c>
      <c r="O77" s="11">
        <f t="shared" si="15"/>
        <v>0</v>
      </c>
      <c r="P77" s="11">
        <f>Table14[[#This Row],[Enrolment S.Y. 2025-2026 ]]*8</f>
        <v>2600</v>
      </c>
      <c r="Q77" s="11"/>
      <c r="R77" s="9"/>
      <c r="S77" s="11"/>
      <c r="T77" s="11">
        <f t="shared" si="16"/>
        <v>2600</v>
      </c>
      <c r="U77" s="11">
        <f t="shared" si="17"/>
        <v>0</v>
      </c>
      <c r="V77" s="11">
        <f>Table14[[#This Row],[Enrolment S.Y. 2025-2026 ]]*8</f>
        <v>2600</v>
      </c>
      <c r="W77" s="11"/>
      <c r="X77" s="9"/>
      <c r="Y77" s="11"/>
      <c r="Z77" s="11">
        <f t="shared" si="18"/>
        <v>2600</v>
      </c>
      <c r="AA77" s="11">
        <f t="shared" si="19"/>
        <v>0</v>
      </c>
    </row>
    <row r="78" spans="1:27" s="6" customFormat="1" ht="15"/>
    <row r="79" spans="1:27" ht="19.5">
      <c r="A79" s="9">
        <v>8</v>
      </c>
      <c r="B79" s="10" t="s">
        <v>8</v>
      </c>
      <c r="C79" s="9">
        <v>297</v>
      </c>
      <c r="D79" s="11">
        <f>Table14[[#This Row],[Enrolment S.Y. 2025-2026 ]]*8</f>
        <v>2376</v>
      </c>
      <c r="E79" s="11"/>
      <c r="F79" s="9"/>
      <c r="G79" s="11"/>
      <c r="H79" s="11">
        <f t="shared" si="0"/>
        <v>2376</v>
      </c>
      <c r="I79" s="11">
        <f t="shared" si="1"/>
        <v>0</v>
      </c>
      <c r="J79" s="11">
        <f>Table14[[#This Row],[Enrolment S.Y. 2025-2026 ]]*8</f>
        <v>2376</v>
      </c>
      <c r="K79" s="11"/>
      <c r="L79" s="9"/>
      <c r="M79" s="11"/>
      <c r="N79" s="11">
        <f t="shared" ref="N74:N122" si="20">IF((J79-K79)&lt;0,0,(J79-K79))</f>
        <v>2376</v>
      </c>
      <c r="O79" s="11">
        <f t="shared" ref="O74:O122" si="21">IF((K79-J79)&lt;0,0,(K79-J79))</f>
        <v>0</v>
      </c>
      <c r="P79" s="11">
        <f>Table14[[#This Row],[Enrolment S.Y. 2025-2026 ]]*8</f>
        <v>2376</v>
      </c>
      <c r="Q79" s="11"/>
      <c r="R79" s="9"/>
      <c r="S79" s="11"/>
      <c r="T79" s="11">
        <f t="shared" si="16"/>
        <v>2376</v>
      </c>
      <c r="U79" s="11">
        <f t="shared" si="17"/>
        <v>0</v>
      </c>
      <c r="V79" s="11">
        <f>Table14[[#This Row],[Enrolment S.Y. 2025-2026 ]]*8</f>
        <v>2376</v>
      </c>
      <c r="W79" s="11"/>
      <c r="X79" s="9"/>
      <c r="Y79" s="11"/>
      <c r="Z79" s="11">
        <f t="shared" si="18"/>
        <v>2376</v>
      </c>
      <c r="AA79" s="11">
        <f t="shared" si="19"/>
        <v>0</v>
      </c>
    </row>
    <row r="80" spans="1:27" ht="19.5">
      <c r="A80" s="9">
        <v>8</v>
      </c>
      <c r="B80" s="10" t="s">
        <v>10</v>
      </c>
      <c r="C80" s="9">
        <v>297</v>
      </c>
      <c r="D80" s="11">
        <f>Table14[[#This Row],[Enrolment S.Y. 2025-2026 ]]*8</f>
        <v>2376</v>
      </c>
      <c r="E80" s="11"/>
      <c r="F80" s="9"/>
      <c r="G80" s="11"/>
      <c r="H80" s="11">
        <f t="shared" si="0"/>
        <v>2376</v>
      </c>
      <c r="I80" s="11">
        <f t="shared" si="1"/>
        <v>0</v>
      </c>
      <c r="J80" s="11">
        <f>Table14[[#This Row],[Enrolment S.Y. 2025-2026 ]]*8</f>
        <v>2376</v>
      </c>
      <c r="K80" s="11"/>
      <c r="L80" s="9"/>
      <c r="M80" s="11"/>
      <c r="N80" s="11">
        <f t="shared" si="20"/>
        <v>2376</v>
      </c>
      <c r="O80" s="11">
        <f t="shared" si="21"/>
        <v>0</v>
      </c>
      <c r="P80" s="11">
        <f>Table14[[#This Row],[Enrolment S.Y. 2025-2026 ]]*8</f>
        <v>2376</v>
      </c>
      <c r="Q80" s="11"/>
      <c r="R80" s="9"/>
      <c r="S80" s="11"/>
      <c r="T80" s="11">
        <f t="shared" si="16"/>
        <v>2376</v>
      </c>
      <c r="U80" s="11">
        <f t="shared" si="17"/>
        <v>0</v>
      </c>
      <c r="V80" s="11">
        <f>Table14[[#This Row],[Enrolment S.Y. 2025-2026 ]]*8</f>
        <v>2376</v>
      </c>
      <c r="W80" s="11"/>
      <c r="X80" s="9"/>
      <c r="Y80" s="11"/>
      <c r="Z80" s="11">
        <f t="shared" si="18"/>
        <v>2376</v>
      </c>
      <c r="AA80" s="11">
        <f t="shared" si="19"/>
        <v>0</v>
      </c>
    </row>
    <row r="81" spans="1:27" ht="19.5">
      <c r="A81" s="9">
        <v>8</v>
      </c>
      <c r="B81" s="10" t="s">
        <v>11</v>
      </c>
      <c r="C81" s="9">
        <v>297</v>
      </c>
      <c r="D81" s="11">
        <f>Table14[[#This Row],[Enrolment S.Y. 2025-2026 ]]*8</f>
        <v>2376</v>
      </c>
      <c r="E81" s="11"/>
      <c r="F81" s="9"/>
      <c r="G81" s="11"/>
      <c r="H81" s="11">
        <f t="shared" si="0"/>
        <v>2376</v>
      </c>
      <c r="I81" s="11">
        <f t="shared" si="1"/>
        <v>0</v>
      </c>
      <c r="J81" s="11">
        <f>Table14[[#This Row],[Enrolment S.Y. 2025-2026 ]]*8</f>
        <v>2376</v>
      </c>
      <c r="K81" s="11"/>
      <c r="L81" s="9"/>
      <c r="M81" s="11"/>
      <c r="N81" s="11">
        <f t="shared" si="20"/>
        <v>2376</v>
      </c>
      <c r="O81" s="11">
        <f t="shared" si="21"/>
        <v>0</v>
      </c>
      <c r="P81" s="11">
        <f>Table14[[#This Row],[Enrolment S.Y. 2025-2026 ]]*8</f>
        <v>2376</v>
      </c>
      <c r="Q81" s="11"/>
      <c r="R81" s="9"/>
      <c r="S81" s="11"/>
      <c r="T81" s="11">
        <f t="shared" si="16"/>
        <v>2376</v>
      </c>
      <c r="U81" s="11">
        <f t="shared" si="17"/>
        <v>0</v>
      </c>
      <c r="V81" s="11">
        <f>Table14[[#This Row],[Enrolment S.Y. 2025-2026 ]]*8</f>
        <v>2376</v>
      </c>
      <c r="W81" s="11"/>
      <c r="X81" s="9"/>
      <c r="Y81" s="11"/>
      <c r="Z81" s="11">
        <f t="shared" si="18"/>
        <v>2376</v>
      </c>
      <c r="AA81" s="11">
        <f t="shared" si="19"/>
        <v>0</v>
      </c>
    </row>
    <row r="82" spans="1:27" ht="19.5">
      <c r="A82" s="9">
        <v>8</v>
      </c>
      <c r="B82" s="10" t="s">
        <v>12</v>
      </c>
      <c r="C82" s="9">
        <v>297</v>
      </c>
      <c r="D82" s="11">
        <f>Table14[[#This Row],[Enrolment S.Y. 2025-2026 ]]*8</f>
        <v>2376</v>
      </c>
      <c r="E82" s="11"/>
      <c r="F82" s="9"/>
      <c r="G82" s="11"/>
      <c r="H82" s="11">
        <f t="shared" si="0"/>
        <v>2376</v>
      </c>
      <c r="I82" s="11">
        <f t="shared" si="1"/>
        <v>0</v>
      </c>
      <c r="J82" s="11">
        <f>Table14[[#This Row],[Enrolment S.Y. 2025-2026 ]]*8</f>
        <v>2376</v>
      </c>
      <c r="K82" s="11"/>
      <c r="L82" s="9"/>
      <c r="M82" s="11"/>
      <c r="N82" s="11">
        <f t="shared" si="20"/>
        <v>2376</v>
      </c>
      <c r="O82" s="11">
        <f t="shared" si="21"/>
        <v>0</v>
      </c>
      <c r="P82" s="11">
        <f>Table14[[#This Row],[Enrolment S.Y. 2025-2026 ]]*8</f>
        <v>2376</v>
      </c>
      <c r="Q82" s="11"/>
      <c r="R82" s="9"/>
      <c r="S82" s="11"/>
      <c r="T82" s="11">
        <f t="shared" si="16"/>
        <v>2376</v>
      </c>
      <c r="U82" s="11">
        <f t="shared" si="17"/>
        <v>0</v>
      </c>
      <c r="V82" s="11">
        <f>Table14[[#This Row],[Enrolment S.Y. 2025-2026 ]]*8</f>
        <v>2376</v>
      </c>
      <c r="W82" s="11"/>
      <c r="X82" s="9"/>
      <c r="Y82" s="11"/>
      <c r="Z82" s="11">
        <f t="shared" si="18"/>
        <v>2376</v>
      </c>
      <c r="AA82" s="11">
        <f t="shared" si="19"/>
        <v>0</v>
      </c>
    </row>
    <row r="83" spans="1:27" ht="19.5">
      <c r="A83" s="9">
        <v>8</v>
      </c>
      <c r="B83" s="10" t="s">
        <v>18</v>
      </c>
      <c r="C83" s="9">
        <v>297</v>
      </c>
      <c r="D83" s="11">
        <f>Table14[[#This Row],[Enrolment S.Y. 2025-2026 ]]*8</f>
        <v>2376</v>
      </c>
      <c r="E83" s="11"/>
      <c r="F83" s="9"/>
      <c r="G83" s="11"/>
      <c r="H83" s="11">
        <f t="shared" si="0"/>
        <v>2376</v>
      </c>
      <c r="I83" s="11">
        <f t="shared" si="1"/>
        <v>0</v>
      </c>
      <c r="J83" s="11">
        <f>Table14[[#This Row],[Enrolment S.Y. 2025-2026 ]]*8</f>
        <v>2376</v>
      </c>
      <c r="K83" s="11"/>
      <c r="L83" s="9"/>
      <c r="M83" s="11"/>
      <c r="N83" s="11">
        <f t="shared" si="20"/>
        <v>2376</v>
      </c>
      <c r="O83" s="11">
        <f t="shared" si="21"/>
        <v>0</v>
      </c>
      <c r="P83" s="11">
        <f>Table14[[#This Row],[Enrolment S.Y. 2025-2026 ]]*8</f>
        <v>2376</v>
      </c>
      <c r="Q83" s="11"/>
      <c r="R83" s="9"/>
      <c r="S83" s="11"/>
      <c r="T83" s="11">
        <f t="shared" si="16"/>
        <v>2376</v>
      </c>
      <c r="U83" s="11">
        <f t="shared" si="17"/>
        <v>0</v>
      </c>
      <c r="V83" s="11">
        <f>Table14[[#This Row],[Enrolment S.Y. 2025-2026 ]]*8</f>
        <v>2376</v>
      </c>
      <c r="W83" s="11"/>
      <c r="X83" s="9"/>
      <c r="Y83" s="11"/>
      <c r="Z83" s="11">
        <f t="shared" si="18"/>
        <v>2376</v>
      </c>
      <c r="AA83" s="11">
        <f t="shared" si="19"/>
        <v>0</v>
      </c>
    </row>
    <row r="84" spans="1:27" ht="19.5">
      <c r="A84" s="9">
        <v>8</v>
      </c>
      <c r="B84" s="10" t="s">
        <v>14</v>
      </c>
      <c r="C84" s="9">
        <v>297</v>
      </c>
      <c r="D84" s="11">
        <f>Table14[[#This Row],[Enrolment S.Y. 2025-2026 ]]*8</f>
        <v>2376</v>
      </c>
      <c r="E84" s="11"/>
      <c r="F84" s="9"/>
      <c r="G84" s="11"/>
      <c r="H84" s="11">
        <f t="shared" ref="H84:H122" si="22">IF((D84-E84)&lt;0,0,(D84-E84))</f>
        <v>2376</v>
      </c>
      <c r="I84" s="11">
        <f t="shared" ref="I84:I122" si="23">IF((E84-D84)&lt;0,0,(E84-D84))</f>
        <v>0</v>
      </c>
      <c r="J84" s="11">
        <f>Table14[[#This Row],[Enrolment S.Y. 2025-2026 ]]*8</f>
        <v>2376</v>
      </c>
      <c r="K84" s="11"/>
      <c r="L84" s="9"/>
      <c r="M84" s="11"/>
      <c r="N84" s="11">
        <f t="shared" ref="N84:N89" si="24">IF((J84-K84)&lt;0,0,(J84-K84))</f>
        <v>2376</v>
      </c>
      <c r="O84" s="11">
        <f t="shared" ref="O84:O89" si="25">IF((K84-J84)&lt;0,0,(K84-J84))</f>
        <v>0</v>
      </c>
      <c r="P84" s="11">
        <f>Table14[[#This Row],[Enrolment S.Y. 2025-2026 ]]*8</f>
        <v>2376</v>
      </c>
      <c r="Q84" s="11"/>
      <c r="R84" s="9"/>
      <c r="S84" s="11"/>
      <c r="T84" s="11">
        <f t="shared" si="16"/>
        <v>2376</v>
      </c>
      <c r="U84" s="11">
        <f t="shared" si="17"/>
        <v>0</v>
      </c>
      <c r="V84" s="11">
        <f>Table14[[#This Row],[Enrolment S.Y. 2025-2026 ]]*8</f>
        <v>2376</v>
      </c>
      <c r="W84" s="11"/>
      <c r="X84" s="9"/>
      <c r="Y84" s="11"/>
      <c r="Z84" s="11">
        <f t="shared" si="18"/>
        <v>2376</v>
      </c>
      <c r="AA84" s="11">
        <f t="shared" si="19"/>
        <v>0</v>
      </c>
    </row>
    <row r="85" spans="1:27" ht="19.5">
      <c r="A85" s="37">
        <v>8</v>
      </c>
      <c r="B85" s="10" t="s">
        <v>86</v>
      </c>
      <c r="C85" s="9">
        <v>297</v>
      </c>
      <c r="D85" s="11">
        <f>Table14[[#This Row],[Enrolment S.Y. 2025-2026 ]]*8</f>
        <v>2376</v>
      </c>
      <c r="E85" s="11"/>
      <c r="F85" s="9"/>
      <c r="G85" s="11"/>
      <c r="H85" s="11">
        <f>IF((D85-E85)&lt;0,0,(D85-E85))</f>
        <v>2376</v>
      </c>
      <c r="I85" s="11">
        <f>IF((E85-D85)&lt;0,0,(E85-D85))</f>
        <v>0</v>
      </c>
      <c r="J85" s="11">
        <f>Table14[[#This Row],[Enrolment S.Y. 2025-2026 ]]*8</f>
        <v>2376</v>
      </c>
      <c r="K85" s="11"/>
      <c r="L85" s="9"/>
      <c r="M85" s="11"/>
      <c r="N85" s="11">
        <f t="shared" si="24"/>
        <v>2376</v>
      </c>
      <c r="O85" s="11">
        <f t="shared" si="25"/>
        <v>0</v>
      </c>
      <c r="P85" s="11">
        <f>Table14[[#This Row],[Enrolment S.Y. 2025-2026 ]]*8</f>
        <v>2376</v>
      </c>
      <c r="Q85" s="11"/>
      <c r="R85" s="9"/>
      <c r="S85" s="11"/>
      <c r="T85" s="11">
        <f>IF((P85-Q85)&lt;0,0,(P85-Q85))</f>
        <v>2376</v>
      </c>
      <c r="U85" s="11">
        <f>IF((Q85-P85)&lt;0,0,(Q85-P85))</f>
        <v>0</v>
      </c>
      <c r="V85" s="11">
        <f>Table14[[#This Row],[Enrolment S.Y. 2025-2026 ]]*8</f>
        <v>2376</v>
      </c>
      <c r="W85" s="11"/>
      <c r="X85" s="9"/>
      <c r="Y85" s="11"/>
      <c r="Z85" s="11">
        <f>IF((V85-W85)&lt;0,0,(V85-W85))</f>
        <v>2376</v>
      </c>
      <c r="AA85" s="11">
        <f>IF((W85-V85)&lt;0,0,(W85-V85))</f>
        <v>0</v>
      </c>
    </row>
    <row r="86" spans="1:27" ht="19.5">
      <c r="A86" s="9">
        <v>8</v>
      </c>
      <c r="B86" s="10" t="s">
        <v>87</v>
      </c>
      <c r="C86" s="9">
        <v>297</v>
      </c>
      <c r="D86" s="11">
        <f>Table14[[#This Row],[Enrolment S.Y. 2025-2026 ]]*8</f>
        <v>2376</v>
      </c>
      <c r="E86" s="11"/>
      <c r="F86" s="9"/>
      <c r="G86" s="11"/>
      <c r="H86" s="11">
        <f t="shared" si="22"/>
        <v>2376</v>
      </c>
      <c r="I86" s="11">
        <f t="shared" si="23"/>
        <v>0</v>
      </c>
      <c r="J86" s="11">
        <f>Table14[[#This Row],[Enrolment S.Y. 2025-2026 ]]*8</f>
        <v>2376</v>
      </c>
      <c r="K86" s="11"/>
      <c r="L86" s="9"/>
      <c r="M86" s="11"/>
      <c r="N86" s="11">
        <f t="shared" si="24"/>
        <v>2376</v>
      </c>
      <c r="O86" s="11">
        <f t="shared" si="25"/>
        <v>0</v>
      </c>
      <c r="P86" s="11">
        <f>Table14[[#This Row],[Enrolment S.Y. 2025-2026 ]]*8</f>
        <v>2376</v>
      </c>
      <c r="Q86" s="11"/>
      <c r="R86" s="9"/>
      <c r="S86" s="11"/>
      <c r="T86" s="11">
        <f t="shared" si="16"/>
        <v>2376</v>
      </c>
      <c r="U86" s="11">
        <f t="shared" si="17"/>
        <v>0</v>
      </c>
      <c r="V86" s="11">
        <f>Table14[[#This Row],[Enrolment S.Y. 2025-2026 ]]*8</f>
        <v>2376</v>
      </c>
      <c r="W86" s="11"/>
      <c r="X86" s="9"/>
      <c r="Y86" s="11"/>
      <c r="Z86" s="11">
        <f t="shared" si="18"/>
        <v>2376</v>
      </c>
      <c r="AA86" s="11">
        <f t="shared" si="19"/>
        <v>0</v>
      </c>
    </row>
    <row r="87" spans="1:27" ht="19.5">
      <c r="A87" s="9">
        <v>8</v>
      </c>
      <c r="B87" s="10" t="s">
        <v>16</v>
      </c>
      <c r="C87" s="9">
        <v>297</v>
      </c>
      <c r="D87" s="11">
        <f>Table14[[#This Row],[Enrolment S.Y. 2025-2026 ]]*8</f>
        <v>2376</v>
      </c>
      <c r="E87" s="11"/>
      <c r="F87" s="9"/>
      <c r="G87" s="11"/>
      <c r="H87" s="11">
        <f t="shared" si="22"/>
        <v>2376</v>
      </c>
      <c r="I87" s="11">
        <f t="shared" si="23"/>
        <v>0</v>
      </c>
      <c r="J87" s="11">
        <f>Table14[[#This Row],[Enrolment S.Y. 2025-2026 ]]*8</f>
        <v>2376</v>
      </c>
      <c r="K87" s="11"/>
      <c r="L87" s="9"/>
      <c r="M87" s="11"/>
      <c r="N87" s="11">
        <f t="shared" si="24"/>
        <v>2376</v>
      </c>
      <c r="O87" s="11">
        <f t="shared" si="25"/>
        <v>0</v>
      </c>
      <c r="P87" s="11">
        <f>Table14[[#This Row],[Enrolment S.Y. 2025-2026 ]]*8</f>
        <v>2376</v>
      </c>
      <c r="Q87" s="11"/>
      <c r="R87" s="9"/>
      <c r="S87" s="11"/>
      <c r="T87" s="11">
        <f t="shared" si="16"/>
        <v>2376</v>
      </c>
      <c r="U87" s="11">
        <f t="shared" si="17"/>
        <v>0</v>
      </c>
      <c r="V87" s="11">
        <f>Table14[[#This Row],[Enrolment S.Y. 2025-2026 ]]*8</f>
        <v>2376</v>
      </c>
      <c r="W87" s="11"/>
      <c r="X87" s="9"/>
      <c r="Y87" s="11"/>
      <c r="Z87" s="11">
        <f t="shared" si="18"/>
        <v>2376</v>
      </c>
      <c r="AA87" s="11">
        <f t="shared" si="19"/>
        <v>0</v>
      </c>
    </row>
    <row r="88" spans="1:27" ht="19.5">
      <c r="A88" s="37">
        <v>8</v>
      </c>
      <c r="B88" s="10" t="s">
        <v>89</v>
      </c>
      <c r="C88" s="9">
        <v>297</v>
      </c>
      <c r="D88" s="11">
        <f>Table14[[#This Row],[Enrolment S.Y. 2025-2026 ]]*8</f>
        <v>2376</v>
      </c>
      <c r="E88" s="11"/>
      <c r="F88" s="9"/>
      <c r="G88" s="11"/>
      <c r="H88" s="11">
        <f>IF((D88-E88)&lt;0,0,(D88-E88))</f>
        <v>2376</v>
      </c>
      <c r="I88" s="11">
        <f>IF((E88-D88)&lt;0,0,(E88-D88))</f>
        <v>0</v>
      </c>
      <c r="J88" s="11">
        <f>Table14[[#This Row],[Enrolment S.Y. 2025-2026 ]]*8</f>
        <v>2376</v>
      </c>
      <c r="K88" s="11"/>
      <c r="L88" s="9"/>
      <c r="M88" s="11"/>
      <c r="N88" s="11">
        <f t="shared" si="24"/>
        <v>2376</v>
      </c>
      <c r="O88" s="11">
        <f t="shared" si="25"/>
        <v>0</v>
      </c>
      <c r="P88" s="11">
        <f>Table14[[#This Row],[Enrolment S.Y. 2025-2026 ]]*8</f>
        <v>2376</v>
      </c>
      <c r="Q88" s="11"/>
      <c r="R88" s="9"/>
      <c r="S88" s="11"/>
      <c r="T88" s="11">
        <f>IF((P88-Q88)&lt;0,0,(P88-Q88))</f>
        <v>2376</v>
      </c>
      <c r="U88" s="11">
        <f>IF((Q88-P88)&lt;0,0,(Q88-P88))</f>
        <v>0</v>
      </c>
      <c r="V88" s="11">
        <f>Table14[[#This Row],[Enrolment S.Y. 2025-2026 ]]*8</f>
        <v>2376</v>
      </c>
      <c r="W88" s="11"/>
      <c r="X88" s="9"/>
      <c r="Y88" s="11"/>
      <c r="Z88" s="11">
        <f>IF((V88-W88)&lt;0,0,(V88-W88))</f>
        <v>2376</v>
      </c>
      <c r="AA88" s="11">
        <f>IF((W88-V88)&lt;0,0,(W88-V88))</f>
        <v>0</v>
      </c>
    </row>
    <row r="89" spans="1:27" ht="19.5">
      <c r="A89" s="9">
        <v>8</v>
      </c>
      <c r="B89" s="10" t="s">
        <v>90</v>
      </c>
      <c r="C89" s="9">
        <v>297</v>
      </c>
      <c r="D89" s="11">
        <f>Table14[[#This Row],[Enrolment S.Y. 2025-2026 ]]*8</f>
        <v>2376</v>
      </c>
      <c r="E89" s="11"/>
      <c r="F89" s="9"/>
      <c r="G89" s="11"/>
      <c r="H89" s="11">
        <f t="shared" si="22"/>
        <v>2376</v>
      </c>
      <c r="I89" s="11">
        <f t="shared" si="23"/>
        <v>0</v>
      </c>
      <c r="J89" s="11">
        <f>Table14[[#This Row],[Enrolment S.Y. 2025-2026 ]]*8</f>
        <v>2376</v>
      </c>
      <c r="K89" s="11"/>
      <c r="L89" s="9"/>
      <c r="M89" s="11"/>
      <c r="N89" s="11">
        <f t="shared" si="24"/>
        <v>2376</v>
      </c>
      <c r="O89" s="11">
        <f t="shared" si="25"/>
        <v>0</v>
      </c>
      <c r="P89" s="11">
        <f>Table14[[#This Row],[Enrolment S.Y. 2025-2026 ]]*8</f>
        <v>2376</v>
      </c>
      <c r="Q89" s="11"/>
      <c r="R89" s="9"/>
      <c r="S89" s="11"/>
      <c r="T89" s="11">
        <f t="shared" si="16"/>
        <v>2376</v>
      </c>
      <c r="U89" s="11">
        <f t="shared" si="17"/>
        <v>0</v>
      </c>
      <c r="V89" s="11">
        <f>Table14[[#This Row],[Enrolment S.Y. 2025-2026 ]]*8</f>
        <v>2376</v>
      </c>
      <c r="W89" s="11"/>
      <c r="X89" s="9"/>
      <c r="Y89" s="11"/>
      <c r="Z89" s="11">
        <f t="shared" si="18"/>
        <v>2376</v>
      </c>
      <c r="AA89" s="11">
        <f t="shared" si="19"/>
        <v>0</v>
      </c>
    </row>
    <row r="90" spans="1:27" s="6" customFormat="1" ht="15"/>
    <row r="91" spans="1:27" ht="19.5">
      <c r="A91" s="9">
        <v>9</v>
      </c>
      <c r="B91" s="10" t="s">
        <v>8</v>
      </c>
      <c r="C91" s="9">
        <v>250</v>
      </c>
      <c r="D91" s="11">
        <f>Table14[[#This Row],[Enrolment S.Y. 2025-2026 ]]*8</f>
        <v>2000</v>
      </c>
      <c r="E91" s="11"/>
      <c r="F91" s="9"/>
      <c r="G91" s="11"/>
      <c r="H91" s="11">
        <f t="shared" si="22"/>
        <v>2000</v>
      </c>
      <c r="I91" s="11">
        <f t="shared" si="23"/>
        <v>0</v>
      </c>
      <c r="J91" s="11">
        <f>Table14[[#This Row],[Enrolment S.Y. 2025-2026 ]]*8</f>
        <v>2000</v>
      </c>
      <c r="K91" s="11">
        <v>270</v>
      </c>
      <c r="L91" s="9">
        <v>2025</v>
      </c>
      <c r="M91" s="11"/>
      <c r="N91" s="11">
        <f t="shared" si="20"/>
        <v>1730</v>
      </c>
      <c r="O91" s="11">
        <f t="shared" si="21"/>
        <v>0</v>
      </c>
      <c r="P91" s="11">
        <f>Table14[[#This Row],[Enrolment S.Y. 2025-2026 ]]*8</f>
        <v>2000</v>
      </c>
      <c r="Q91" s="11"/>
      <c r="R91" s="9"/>
      <c r="S91" s="11"/>
      <c r="T91" s="11">
        <f t="shared" si="16"/>
        <v>2000</v>
      </c>
      <c r="U91" s="11">
        <f t="shared" si="17"/>
        <v>0</v>
      </c>
      <c r="V91" s="11">
        <f>Table14[[#This Row],[Enrolment S.Y. 2025-2026 ]]*8</f>
        <v>2000</v>
      </c>
      <c r="W91" s="11"/>
      <c r="X91" s="9"/>
      <c r="Y91" s="11"/>
      <c r="Z91" s="11">
        <f t="shared" si="18"/>
        <v>2000</v>
      </c>
      <c r="AA91" s="11">
        <f t="shared" si="19"/>
        <v>0</v>
      </c>
    </row>
    <row r="92" spans="1:27" ht="19.5">
      <c r="A92" s="9">
        <v>9</v>
      </c>
      <c r="B92" s="10" t="s">
        <v>10</v>
      </c>
      <c r="C92" s="9">
        <v>250</v>
      </c>
      <c r="D92" s="11">
        <f>Table14[[#This Row],[Enrolment S.Y. 2025-2026 ]]*8</f>
        <v>2000</v>
      </c>
      <c r="E92" s="11">
        <v>258</v>
      </c>
      <c r="F92" s="9">
        <v>2025</v>
      </c>
      <c r="G92" s="11"/>
      <c r="H92" s="11">
        <f t="shared" si="22"/>
        <v>1742</v>
      </c>
      <c r="I92" s="11">
        <f t="shared" si="23"/>
        <v>0</v>
      </c>
      <c r="J92" s="11">
        <f>Table14[[#This Row],[Enrolment S.Y. 2025-2026 ]]*8</f>
        <v>2000</v>
      </c>
      <c r="K92" s="11">
        <v>432</v>
      </c>
      <c r="L92" s="9">
        <v>2025</v>
      </c>
      <c r="M92" s="11"/>
      <c r="N92" s="11">
        <f t="shared" si="20"/>
        <v>1568</v>
      </c>
      <c r="O92" s="11">
        <f t="shared" si="21"/>
        <v>0</v>
      </c>
      <c r="P92" s="11">
        <f>Table14[[#This Row],[Enrolment S.Y. 2025-2026 ]]*8</f>
        <v>2000</v>
      </c>
      <c r="Q92" s="11"/>
      <c r="R92" s="9"/>
      <c r="S92" s="11"/>
      <c r="T92" s="11">
        <f t="shared" si="16"/>
        <v>2000</v>
      </c>
      <c r="U92" s="11">
        <f t="shared" si="17"/>
        <v>0</v>
      </c>
      <c r="V92" s="11">
        <f>Table14[[#This Row],[Enrolment S.Y. 2025-2026 ]]*8</f>
        <v>2000</v>
      </c>
      <c r="W92" s="11"/>
      <c r="X92" s="9"/>
      <c r="Y92" s="11"/>
      <c r="Z92" s="11">
        <f t="shared" si="18"/>
        <v>2000</v>
      </c>
      <c r="AA92" s="11">
        <f t="shared" si="19"/>
        <v>0</v>
      </c>
    </row>
    <row r="93" spans="1:27" ht="19.5">
      <c r="A93" s="9">
        <v>9</v>
      </c>
      <c r="B93" s="10" t="s">
        <v>11</v>
      </c>
      <c r="C93" s="9">
        <v>250</v>
      </c>
      <c r="D93" s="11">
        <f>Table14[[#This Row],[Enrolment S.Y. 2025-2026 ]]*8</f>
        <v>2000</v>
      </c>
      <c r="E93" s="11">
        <v>989</v>
      </c>
      <c r="F93" s="9">
        <v>2025</v>
      </c>
      <c r="G93" s="11"/>
      <c r="H93" s="11">
        <f t="shared" si="22"/>
        <v>1011</v>
      </c>
      <c r="I93" s="11">
        <f t="shared" si="23"/>
        <v>0</v>
      </c>
      <c r="J93" s="11">
        <f>Table14[[#This Row],[Enrolment S.Y. 2025-2026 ]]*8</f>
        <v>2000</v>
      </c>
      <c r="K93" s="11">
        <v>270</v>
      </c>
      <c r="L93" s="9">
        <v>2025</v>
      </c>
      <c r="M93" s="11"/>
      <c r="N93" s="11">
        <f t="shared" si="20"/>
        <v>1730</v>
      </c>
      <c r="O93" s="11">
        <f t="shared" si="21"/>
        <v>0</v>
      </c>
      <c r="P93" s="11">
        <f>Table14[[#This Row],[Enrolment S.Y. 2025-2026 ]]*8</f>
        <v>2000</v>
      </c>
      <c r="Q93" s="11"/>
      <c r="R93" s="9"/>
      <c r="S93" s="11"/>
      <c r="T93" s="11">
        <f t="shared" si="16"/>
        <v>2000</v>
      </c>
      <c r="U93" s="11">
        <f t="shared" si="17"/>
        <v>0</v>
      </c>
      <c r="V93" s="11">
        <f>Table14[[#This Row],[Enrolment S.Y. 2025-2026 ]]*8</f>
        <v>2000</v>
      </c>
      <c r="W93" s="11"/>
      <c r="X93" s="9"/>
      <c r="Y93" s="11"/>
      <c r="Z93" s="11">
        <f t="shared" si="18"/>
        <v>2000</v>
      </c>
      <c r="AA93" s="11">
        <f t="shared" si="19"/>
        <v>0</v>
      </c>
    </row>
    <row r="94" spans="1:27" ht="19.5">
      <c r="A94" s="9">
        <v>9</v>
      </c>
      <c r="B94" s="10" t="s">
        <v>12</v>
      </c>
      <c r="C94" s="9">
        <v>250</v>
      </c>
      <c r="D94" s="11">
        <f>Table14[[#This Row],[Enrolment S.Y. 2025-2026 ]]*8</f>
        <v>2000</v>
      </c>
      <c r="E94" s="11"/>
      <c r="F94" s="9"/>
      <c r="G94" s="11"/>
      <c r="H94" s="11">
        <f t="shared" si="22"/>
        <v>2000</v>
      </c>
      <c r="I94" s="11">
        <f t="shared" si="23"/>
        <v>0</v>
      </c>
      <c r="J94" s="11">
        <f>Table14[[#This Row],[Enrolment S.Y. 2025-2026 ]]*8</f>
        <v>2000</v>
      </c>
      <c r="K94" s="11"/>
      <c r="L94" s="9"/>
      <c r="M94" s="11"/>
      <c r="N94" s="11">
        <f t="shared" si="20"/>
        <v>2000</v>
      </c>
      <c r="O94" s="11">
        <f t="shared" si="21"/>
        <v>0</v>
      </c>
      <c r="P94" s="11">
        <f>Table14[[#This Row],[Enrolment S.Y. 2025-2026 ]]*8</f>
        <v>2000</v>
      </c>
      <c r="Q94" s="11"/>
      <c r="R94" s="9"/>
      <c r="S94" s="11"/>
      <c r="T94" s="11">
        <f t="shared" si="16"/>
        <v>2000</v>
      </c>
      <c r="U94" s="11">
        <f t="shared" si="17"/>
        <v>0</v>
      </c>
      <c r="V94" s="11">
        <f>Table14[[#This Row],[Enrolment S.Y. 2025-2026 ]]*8</f>
        <v>2000</v>
      </c>
      <c r="W94" s="11"/>
      <c r="X94" s="9"/>
      <c r="Y94" s="11"/>
      <c r="Z94" s="11">
        <f t="shared" si="18"/>
        <v>2000</v>
      </c>
      <c r="AA94" s="11">
        <f t="shared" si="19"/>
        <v>0</v>
      </c>
    </row>
    <row r="95" spans="1:27" ht="19.5">
      <c r="A95" s="9">
        <v>9</v>
      </c>
      <c r="B95" s="10" t="s">
        <v>18</v>
      </c>
      <c r="C95" s="9">
        <v>250</v>
      </c>
      <c r="D95" s="11">
        <f>Table14[[#This Row],[Enrolment S.Y. 2025-2026 ]]*8</f>
        <v>2000</v>
      </c>
      <c r="E95" s="11"/>
      <c r="F95" s="9"/>
      <c r="G95" s="11"/>
      <c r="H95" s="11">
        <f t="shared" si="22"/>
        <v>2000</v>
      </c>
      <c r="I95" s="11">
        <f t="shared" si="23"/>
        <v>0</v>
      </c>
      <c r="J95" s="11">
        <f>Table14[[#This Row],[Enrolment S.Y. 2025-2026 ]]*8</f>
        <v>2000</v>
      </c>
      <c r="K95" s="11"/>
      <c r="L95" s="9"/>
      <c r="M95" s="11"/>
      <c r="N95" s="11">
        <f t="shared" si="20"/>
        <v>2000</v>
      </c>
      <c r="O95" s="11">
        <f t="shared" si="21"/>
        <v>0</v>
      </c>
      <c r="P95" s="11">
        <f>Table14[[#This Row],[Enrolment S.Y. 2025-2026 ]]*8</f>
        <v>2000</v>
      </c>
      <c r="Q95" s="11"/>
      <c r="R95" s="9"/>
      <c r="S95" s="11"/>
      <c r="T95" s="11">
        <f t="shared" si="16"/>
        <v>2000</v>
      </c>
      <c r="U95" s="11">
        <f t="shared" si="17"/>
        <v>0</v>
      </c>
      <c r="V95" s="11">
        <f>Table14[[#This Row],[Enrolment S.Y. 2025-2026 ]]*8</f>
        <v>2000</v>
      </c>
      <c r="W95" s="11"/>
      <c r="X95" s="9"/>
      <c r="Y95" s="11"/>
      <c r="Z95" s="11">
        <f t="shared" si="18"/>
        <v>2000</v>
      </c>
      <c r="AA95" s="11">
        <f t="shared" si="19"/>
        <v>0</v>
      </c>
    </row>
    <row r="96" spans="1:27" ht="19.5">
      <c r="A96" s="9">
        <v>9</v>
      </c>
      <c r="B96" s="10" t="s">
        <v>14</v>
      </c>
      <c r="C96" s="9">
        <v>250</v>
      </c>
      <c r="D96" s="11">
        <f>Table14[[#This Row],[Enrolment S.Y. 2025-2026 ]]*8</f>
        <v>2000</v>
      </c>
      <c r="E96" s="11"/>
      <c r="F96" s="9"/>
      <c r="G96" s="11"/>
      <c r="H96" s="11">
        <f t="shared" si="22"/>
        <v>2000</v>
      </c>
      <c r="I96" s="11">
        <f t="shared" si="23"/>
        <v>0</v>
      </c>
      <c r="J96" s="11">
        <f>Table14[[#This Row],[Enrolment S.Y. 2025-2026 ]]*8</f>
        <v>2000</v>
      </c>
      <c r="K96" s="11"/>
      <c r="L96" s="9"/>
      <c r="M96" s="11"/>
      <c r="N96" s="11">
        <f t="shared" si="20"/>
        <v>2000</v>
      </c>
      <c r="O96" s="11">
        <f t="shared" si="21"/>
        <v>0</v>
      </c>
      <c r="P96" s="11">
        <f>Table14[[#This Row],[Enrolment S.Y. 2025-2026 ]]*8</f>
        <v>2000</v>
      </c>
      <c r="Q96" s="11"/>
      <c r="R96" s="9"/>
      <c r="S96" s="11"/>
      <c r="T96" s="11">
        <f t="shared" si="16"/>
        <v>2000</v>
      </c>
      <c r="U96" s="11">
        <f t="shared" si="17"/>
        <v>0</v>
      </c>
      <c r="V96" s="11">
        <f>Table14[[#This Row],[Enrolment S.Y. 2025-2026 ]]*8</f>
        <v>2000</v>
      </c>
      <c r="W96" s="11"/>
      <c r="X96" s="9"/>
      <c r="Y96" s="11"/>
      <c r="Z96" s="11">
        <f t="shared" si="18"/>
        <v>2000</v>
      </c>
      <c r="AA96" s="11">
        <f t="shared" si="19"/>
        <v>0</v>
      </c>
    </row>
    <row r="97" spans="1:27" ht="19.5">
      <c r="A97" s="37">
        <v>9</v>
      </c>
      <c r="B97" s="10" t="s">
        <v>86</v>
      </c>
      <c r="C97" s="9">
        <v>250</v>
      </c>
      <c r="D97" s="11">
        <f>Table14[[#This Row],[Enrolment S.Y. 2025-2026 ]]*8</f>
        <v>2000</v>
      </c>
      <c r="E97" s="11"/>
      <c r="F97" s="9"/>
      <c r="G97" s="11"/>
      <c r="H97" s="11">
        <f>IF((D97-E97)&lt;0,0,(D97-E97))</f>
        <v>2000</v>
      </c>
      <c r="I97" s="11">
        <f>IF((E97-D97)&lt;0,0,(E97-D97))</f>
        <v>0</v>
      </c>
      <c r="J97" s="11">
        <f>Table14[[#This Row],[Enrolment S.Y. 2025-2026 ]]*8</f>
        <v>2000</v>
      </c>
      <c r="K97" s="11"/>
      <c r="L97" s="9"/>
      <c r="M97" s="11"/>
      <c r="N97" s="11">
        <f t="shared" ref="N97:N101" si="26">IF((J97-K97)&lt;0,0,(J97-K97))</f>
        <v>2000</v>
      </c>
      <c r="O97" s="11">
        <f t="shared" ref="O97:O101" si="27">IF((K97-J97)&lt;0,0,(K97-J97))</f>
        <v>0</v>
      </c>
      <c r="P97" s="11">
        <f>Table14[[#This Row],[Enrolment S.Y. 2025-2026 ]]*8</f>
        <v>2000</v>
      </c>
      <c r="Q97" s="11"/>
      <c r="R97" s="9"/>
      <c r="S97" s="11"/>
      <c r="T97" s="11">
        <f>IF((P97-Q97)&lt;0,0,(P97-Q97))</f>
        <v>2000</v>
      </c>
      <c r="U97" s="11">
        <f>IF((Q97-P97)&lt;0,0,(Q97-P97))</f>
        <v>0</v>
      </c>
      <c r="V97" s="11">
        <f>Table14[[#This Row],[Enrolment S.Y. 2025-2026 ]]*8</f>
        <v>2000</v>
      </c>
      <c r="W97" s="11"/>
      <c r="X97" s="9"/>
      <c r="Y97" s="11"/>
      <c r="Z97" s="11">
        <f>IF((V97-W97)&lt;0,0,(V97-W97))</f>
        <v>2000</v>
      </c>
      <c r="AA97" s="11">
        <f>IF((W97-V97)&lt;0,0,(W97-V97))</f>
        <v>0</v>
      </c>
    </row>
    <row r="98" spans="1:27" ht="19.5">
      <c r="A98" s="9">
        <v>9</v>
      </c>
      <c r="B98" s="10" t="s">
        <v>87</v>
      </c>
      <c r="C98" s="9">
        <v>250</v>
      </c>
      <c r="D98" s="11">
        <f>Table14[[#This Row],[Enrolment S.Y. 2025-2026 ]]*8</f>
        <v>2000</v>
      </c>
      <c r="E98" s="11"/>
      <c r="F98" s="9"/>
      <c r="G98" s="11"/>
      <c r="H98" s="11">
        <f t="shared" si="22"/>
        <v>2000</v>
      </c>
      <c r="I98" s="11">
        <f t="shared" si="23"/>
        <v>0</v>
      </c>
      <c r="J98" s="11">
        <f>Table14[[#This Row],[Enrolment S.Y. 2025-2026 ]]*8</f>
        <v>2000</v>
      </c>
      <c r="K98" s="11"/>
      <c r="L98" s="9"/>
      <c r="M98" s="11"/>
      <c r="N98" s="11">
        <f t="shared" si="26"/>
        <v>2000</v>
      </c>
      <c r="O98" s="11">
        <f t="shared" si="27"/>
        <v>0</v>
      </c>
      <c r="P98" s="11">
        <f>Table14[[#This Row],[Enrolment S.Y. 2025-2026 ]]*8</f>
        <v>2000</v>
      </c>
      <c r="Q98" s="11"/>
      <c r="R98" s="9"/>
      <c r="S98" s="11"/>
      <c r="T98" s="11">
        <f t="shared" si="16"/>
        <v>2000</v>
      </c>
      <c r="U98" s="11">
        <f t="shared" si="17"/>
        <v>0</v>
      </c>
      <c r="V98" s="11">
        <f>Table14[[#This Row],[Enrolment S.Y. 2025-2026 ]]*8</f>
        <v>2000</v>
      </c>
      <c r="W98" s="11"/>
      <c r="X98" s="9"/>
      <c r="Y98" s="11"/>
      <c r="Z98" s="11">
        <f t="shared" si="18"/>
        <v>2000</v>
      </c>
      <c r="AA98" s="11">
        <f t="shared" si="19"/>
        <v>0</v>
      </c>
    </row>
    <row r="99" spans="1:27" ht="19.5">
      <c r="A99" s="9">
        <v>9</v>
      </c>
      <c r="B99" s="10" t="s">
        <v>16</v>
      </c>
      <c r="C99" s="9">
        <v>250</v>
      </c>
      <c r="D99" s="11">
        <f>Table14[[#This Row],[Enrolment S.Y. 2025-2026 ]]*8</f>
        <v>2000</v>
      </c>
      <c r="E99" s="11"/>
      <c r="F99" s="9"/>
      <c r="G99" s="11"/>
      <c r="H99" s="11">
        <f t="shared" si="22"/>
        <v>2000</v>
      </c>
      <c r="I99" s="11">
        <f t="shared" si="23"/>
        <v>0</v>
      </c>
      <c r="J99" s="11">
        <f>Table14[[#This Row],[Enrolment S.Y. 2025-2026 ]]*8</f>
        <v>2000</v>
      </c>
      <c r="K99" s="11"/>
      <c r="L99" s="9"/>
      <c r="M99" s="11"/>
      <c r="N99" s="11">
        <f t="shared" si="26"/>
        <v>2000</v>
      </c>
      <c r="O99" s="11">
        <f t="shared" si="27"/>
        <v>0</v>
      </c>
      <c r="P99" s="11">
        <f>Table14[[#This Row],[Enrolment S.Y. 2025-2026 ]]*8</f>
        <v>2000</v>
      </c>
      <c r="Q99" s="11"/>
      <c r="R99" s="9"/>
      <c r="S99" s="11"/>
      <c r="T99" s="11">
        <f t="shared" si="16"/>
        <v>2000</v>
      </c>
      <c r="U99" s="11">
        <f t="shared" si="17"/>
        <v>0</v>
      </c>
      <c r="V99" s="11">
        <f>Table14[[#This Row],[Enrolment S.Y. 2025-2026 ]]*8</f>
        <v>2000</v>
      </c>
      <c r="W99" s="11"/>
      <c r="X99" s="9"/>
      <c r="Y99" s="11"/>
      <c r="Z99" s="11">
        <f t="shared" si="18"/>
        <v>2000</v>
      </c>
      <c r="AA99" s="11">
        <f t="shared" si="19"/>
        <v>0</v>
      </c>
    </row>
    <row r="100" spans="1:27" ht="19.5">
      <c r="A100" s="37">
        <v>9</v>
      </c>
      <c r="B100" s="10" t="s">
        <v>89</v>
      </c>
      <c r="C100" s="9">
        <v>250</v>
      </c>
      <c r="D100" s="11">
        <f>Table14[[#This Row],[Enrolment S.Y. 2025-2026 ]]*8</f>
        <v>2000</v>
      </c>
      <c r="E100" s="11"/>
      <c r="F100" s="9"/>
      <c r="G100" s="11"/>
      <c r="H100" s="11">
        <f>IF((D100-E100)&lt;0,0,(D100-E100))</f>
        <v>2000</v>
      </c>
      <c r="I100" s="11">
        <f>IF((E100-D100)&lt;0,0,(E100-D100))</f>
        <v>0</v>
      </c>
      <c r="J100" s="11">
        <f>Table14[[#This Row],[Enrolment S.Y. 2025-2026 ]]*8</f>
        <v>2000</v>
      </c>
      <c r="K100" s="11"/>
      <c r="L100" s="9"/>
      <c r="M100" s="11"/>
      <c r="N100" s="11">
        <f t="shared" si="26"/>
        <v>2000</v>
      </c>
      <c r="O100" s="11">
        <f t="shared" si="27"/>
        <v>0</v>
      </c>
      <c r="P100" s="11">
        <f>Table14[[#This Row],[Enrolment S.Y. 2025-2026 ]]*8</f>
        <v>2000</v>
      </c>
      <c r="Q100" s="11"/>
      <c r="R100" s="9"/>
      <c r="S100" s="11"/>
      <c r="T100" s="11">
        <f>IF((P100-Q100)&lt;0,0,(P100-Q100))</f>
        <v>2000</v>
      </c>
      <c r="U100" s="11">
        <f>IF((Q100-P100)&lt;0,0,(Q100-P100))</f>
        <v>0</v>
      </c>
      <c r="V100" s="11">
        <f>Table14[[#This Row],[Enrolment S.Y. 2025-2026 ]]*8</f>
        <v>2000</v>
      </c>
      <c r="W100" s="11"/>
      <c r="X100" s="9"/>
      <c r="Y100" s="11"/>
      <c r="Z100" s="11">
        <f>IF((V100-W100)&lt;0,0,(V100-W100))</f>
        <v>2000</v>
      </c>
      <c r="AA100" s="11">
        <f>IF((W100-V100)&lt;0,0,(W100-V100))</f>
        <v>0</v>
      </c>
    </row>
    <row r="101" spans="1:27" ht="19.5">
      <c r="A101" s="9">
        <v>9</v>
      </c>
      <c r="B101" s="10" t="s">
        <v>90</v>
      </c>
      <c r="C101" s="9">
        <v>250</v>
      </c>
      <c r="D101" s="11">
        <f>Table14[[#This Row],[Enrolment S.Y. 2025-2026 ]]*8</f>
        <v>2000</v>
      </c>
      <c r="E101" s="11"/>
      <c r="F101" s="9"/>
      <c r="G101" s="11"/>
      <c r="H101" s="11">
        <f t="shared" si="22"/>
        <v>2000</v>
      </c>
      <c r="I101" s="11">
        <f t="shared" si="23"/>
        <v>0</v>
      </c>
      <c r="J101" s="11">
        <f>Table14[[#This Row],[Enrolment S.Y. 2025-2026 ]]*8</f>
        <v>2000</v>
      </c>
      <c r="K101" s="11"/>
      <c r="L101" s="9"/>
      <c r="M101" s="11"/>
      <c r="N101" s="11">
        <f t="shared" si="26"/>
        <v>2000</v>
      </c>
      <c r="O101" s="11">
        <f t="shared" si="27"/>
        <v>0</v>
      </c>
      <c r="P101" s="11">
        <f>Table14[[#This Row],[Enrolment S.Y. 2025-2026 ]]*8</f>
        <v>2000</v>
      </c>
      <c r="Q101" s="11"/>
      <c r="R101" s="9"/>
      <c r="S101" s="11"/>
      <c r="T101" s="11">
        <f t="shared" si="16"/>
        <v>2000</v>
      </c>
      <c r="U101" s="11">
        <f t="shared" si="17"/>
        <v>0</v>
      </c>
      <c r="V101" s="11">
        <f>Table14[[#This Row],[Enrolment S.Y. 2025-2026 ]]*8</f>
        <v>2000</v>
      </c>
      <c r="W101" s="11"/>
      <c r="X101" s="9"/>
      <c r="Y101" s="11"/>
      <c r="Z101" s="11">
        <f t="shared" si="18"/>
        <v>2000</v>
      </c>
      <c r="AA101" s="11">
        <f t="shared" si="19"/>
        <v>0</v>
      </c>
    </row>
    <row r="102" spans="1:27" s="6" customFormat="1" ht="15"/>
    <row r="103" spans="1:27" ht="19.5">
      <c r="A103" s="9">
        <v>10</v>
      </c>
      <c r="B103" s="10" t="s">
        <v>8</v>
      </c>
      <c r="C103" s="9">
        <v>295</v>
      </c>
      <c r="D103" s="11">
        <f>Table14[[#This Row],[Enrolment S.Y. 2025-2026 ]]*8</f>
        <v>2360</v>
      </c>
      <c r="E103" s="11">
        <v>376</v>
      </c>
      <c r="F103" s="9">
        <v>2025</v>
      </c>
      <c r="G103" s="11"/>
      <c r="H103" s="11">
        <f t="shared" si="22"/>
        <v>1984</v>
      </c>
      <c r="I103" s="11">
        <f t="shared" si="23"/>
        <v>0</v>
      </c>
      <c r="J103" s="11">
        <f>Table14[[#This Row],[Enrolment S.Y. 2025-2026 ]]*8</f>
        <v>2360</v>
      </c>
      <c r="K103" s="11">
        <v>448</v>
      </c>
      <c r="L103" s="9">
        <v>2025</v>
      </c>
      <c r="M103" s="11"/>
      <c r="N103" s="11">
        <f t="shared" si="20"/>
        <v>1912</v>
      </c>
      <c r="O103" s="11">
        <f t="shared" si="21"/>
        <v>0</v>
      </c>
      <c r="P103" s="11">
        <f>Table14[[#This Row],[Enrolment S.Y. 2025-2026 ]]*8</f>
        <v>2360</v>
      </c>
      <c r="Q103" s="11"/>
      <c r="R103" s="9"/>
      <c r="S103" s="11"/>
      <c r="T103" s="11">
        <f t="shared" si="16"/>
        <v>2360</v>
      </c>
      <c r="U103" s="11">
        <f t="shared" si="17"/>
        <v>0</v>
      </c>
      <c r="V103" s="11">
        <f>Table14[[#This Row],[Enrolment S.Y. 2025-2026 ]]*8</f>
        <v>2360</v>
      </c>
      <c r="W103" s="11"/>
      <c r="X103" s="9"/>
      <c r="Y103" s="11"/>
      <c r="Z103" s="11">
        <f t="shared" si="18"/>
        <v>2360</v>
      </c>
      <c r="AA103" s="11">
        <f t="shared" si="19"/>
        <v>0</v>
      </c>
    </row>
    <row r="104" spans="1:27" ht="19.5">
      <c r="A104" s="9">
        <v>10</v>
      </c>
      <c r="B104" s="10" t="s">
        <v>10</v>
      </c>
      <c r="C104" s="9">
        <v>295</v>
      </c>
      <c r="D104" s="11">
        <f>Table14[[#This Row],[Enrolment S.Y. 2025-2026 ]]*8</f>
        <v>2360</v>
      </c>
      <c r="E104" s="11">
        <v>329</v>
      </c>
      <c r="F104" s="9">
        <v>2025</v>
      </c>
      <c r="G104" s="11"/>
      <c r="H104" s="11">
        <f t="shared" si="22"/>
        <v>2031</v>
      </c>
      <c r="I104" s="11">
        <f t="shared" si="23"/>
        <v>0</v>
      </c>
      <c r="J104" s="11">
        <f>Table14[[#This Row],[Enrolment S.Y. 2025-2026 ]]*8</f>
        <v>2360</v>
      </c>
      <c r="K104" s="11"/>
      <c r="L104" s="9"/>
      <c r="M104" s="11"/>
      <c r="N104" s="11">
        <f t="shared" si="20"/>
        <v>2360</v>
      </c>
      <c r="O104" s="11">
        <f t="shared" si="21"/>
        <v>0</v>
      </c>
      <c r="P104" s="11">
        <f>Table14[[#This Row],[Enrolment S.Y. 2025-2026 ]]*8</f>
        <v>2360</v>
      </c>
      <c r="Q104" s="11"/>
      <c r="R104" s="9"/>
      <c r="S104" s="11"/>
      <c r="T104" s="11">
        <f t="shared" si="16"/>
        <v>2360</v>
      </c>
      <c r="U104" s="11">
        <f t="shared" si="17"/>
        <v>0</v>
      </c>
      <c r="V104" s="11">
        <f>Table14[[#This Row],[Enrolment S.Y. 2025-2026 ]]*8</f>
        <v>2360</v>
      </c>
      <c r="W104" s="11"/>
      <c r="X104" s="9"/>
      <c r="Y104" s="11"/>
      <c r="Z104" s="11">
        <f t="shared" si="18"/>
        <v>2360</v>
      </c>
      <c r="AA104" s="11">
        <f t="shared" si="19"/>
        <v>0</v>
      </c>
    </row>
    <row r="105" spans="1:27" ht="19.5">
      <c r="A105" s="9">
        <v>10</v>
      </c>
      <c r="B105" s="10" t="s">
        <v>11</v>
      </c>
      <c r="C105" s="9">
        <v>295</v>
      </c>
      <c r="D105" s="11">
        <f>Table14[[#This Row],[Enrolment S.Y. 2025-2026 ]]*8</f>
        <v>2360</v>
      </c>
      <c r="E105" s="11">
        <v>470</v>
      </c>
      <c r="F105" s="9">
        <v>2025</v>
      </c>
      <c r="G105" s="11"/>
      <c r="H105" s="11">
        <f t="shared" si="22"/>
        <v>1890</v>
      </c>
      <c r="I105" s="11">
        <f t="shared" si="23"/>
        <v>0</v>
      </c>
      <c r="J105" s="11">
        <f>Table14[[#This Row],[Enrolment S.Y. 2025-2026 ]]*8</f>
        <v>2360</v>
      </c>
      <c r="K105" s="11">
        <v>280</v>
      </c>
      <c r="L105" s="9">
        <v>2025</v>
      </c>
      <c r="M105" s="11"/>
      <c r="N105" s="11">
        <f t="shared" si="20"/>
        <v>2080</v>
      </c>
      <c r="O105" s="11">
        <f t="shared" si="21"/>
        <v>0</v>
      </c>
      <c r="P105" s="11">
        <f>Table14[[#This Row],[Enrolment S.Y. 2025-2026 ]]*8</f>
        <v>2360</v>
      </c>
      <c r="Q105" s="11"/>
      <c r="R105" s="9"/>
      <c r="S105" s="11"/>
      <c r="T105" s="11">
        <f t="shared" si="16"/>
        <v>2360</v>
      </c>
      <c r="U105" s="11">
        <f t="shared" si="17"/>
        <v>0</v>
      </c>
      <c r="V105" s="11">
        <f>Table14[[#This Row],[Enrolment S.Y. 2025-2026 ]]*8</f>
        <v>2360</v>
      </c>
      <c r="W105" s="11"/>
      <c r="X105" s="9"/>
      <c r="Y105" s="11"/>
      <c r="Z105" s="11">
        <f t="shared" si="18"/>
        <v>2360</v>
      </c>
      <c r="AA105" s="11">
        <f t="shared" si="19"/>
        <v>0</v>
      </c>
    </row>
    <row r="106" spans="1:27" ht="19.5">
      <c r="A106" s="9">
        <v>10</v>
      </c>
      <c r="B106" s="10" t="s">
        <v>12</v>
      </c>
      <c r="C106" s="9">
        <v>295</v>
      </c>
      <c r="D106" s="11">
        <f>Table14[[#This Row],[Enrolment S.Y. 2025-2026 ]]*8</f>
        <v>2360</v>
      </c>
      <c r="E106" s="11"/>
      <c r="F106" s="9"/>
      <c r="G106" s="11"/>
      <c r="H106" s="11">
        <f t="shared" si="22"/>
        <v>2360</v>
      </c>
      <c r="I106" s="11">
        <f t="shared" si="23"/>
        <v>0</v>
      </c>
      <c r="J106" s="11">
        <f>Table14[[#This Row],[Enrolment S.Y. 2025-2026 ]]*8</f>
        <v>2360</v>
      </c>
      <c r="K106" s="11"/>
      <c r="L106" s="9"/>
      <c r="M106" s="11"/>
      <c r="N106" s="11">
        <f t="shared" si="20"/>
        <v>2360</v>
      </c>
      <c r="O106" s="11">
        <f t="shared" si="21"/>
        <v>0</v>
      </c>
      <c r="P106" s="11">
        <f>Table14[[#This Row],[Enrolment S.Y. 2025-2026 ]]*8</f>
        <v>2360</v>
      </c>
      <c r="Q106" s="11"/>
      <c r="R106" s="9"/>
      <c r="S106" s="11"/>
      <c r="T106" s="11">
        <f t="shared" si="16"/>
        <v>2360</v>
      </c>
      <c r="U106" s="11">
        <f t="shared" si="17"/>
        <v>0</v>
      </c>
      <c r="V106" s="11">
        <f>Table14[[#This Row],[Enrolment S.Y. 2025-2026 ]]*8</f>
        <v>2360</v>
      </c>
      <c r="W106" s="11"/>
      <c r="X106" s="9"/>
      <c r="Y106" s="11"/>
      <c r="Z106" s="11">
        <f t="shared" si="18"/>
        <v>2360</v>
      </c>
      <c r="AA106" s="11">
        <f t="shared" si="19"/>
        <v>0</v>
      </c>
    </row>
    <row r="107" spans="1:27" ht="19.5">
      <c r="A107" s="9">
        <v>10</v>
      </c>
      <c r="B107" s="10" t="s">
        <v>18</v>
      </c>
      <c r="C107" s="9">
        <v>295</v>
      </c>
      <c r="D107" s="11">
        <f>Table14[[#This Row],[Enrolment S.Y. 2025-2026 ]]*8</f>
        <v>2360</v>
      </c>
      <c r="E107" s="11"/>
      <c r="F107" s="9"/>
      <c r="G107" s="11"/>
      <c r="H107" s="11">
        <f t="shared" si="22"/>
        <v>2360</v>
      </c>
      <c r="I107" s="11">
        <f t="shared" si="23"/>
        <v>0</v>
      </c>
      <c r="J107" s="11">
        <f>Table14[[#This Row],[Enrolment S.Y. 2025-2026 ]]*8</f>
        <v>2360</v>
      </c>
      <c r="K107" s="11"/>
      <c r="L107" s="9"/>
      <c r="M107" s="11"/>
      <c r="N107" s="11">
        <f t="shared" si="20"/>
        <v>2360</v>
      </c>
      <c r="O107" s="11">
        <f t="shared" si="21"/>
        <v>0</v>
      </c>
      <c r="P107" s="11">
        <f>Table14[[#This Row],[Enrolment S.Y. 2025-2026 ]]*8</f>
        <v>2360</v>
      </c>
      <c r="Q107" s="11"/>
      <c r="R107" s="9"/>
      <c r="S107" s="11"/>
      <c r="T107" s="11">
        <f t="shared" si="16"/>
        <v>2360</v>
      </c>
      <c r="U107" s="11">
        <f t="shared" si="17"/>
        <v>0</v>
      </c>
      <c r="V107" s="11">
        <f>Table14[[#This Row],[Enrolment S.Y. 2025-2026 ]]*8</f>
        <v>2360</v>
      </c>
      <c r="W107" s="11"/>
      <c r="X107" s="9"/>
      <c r="Y107" s="11"/>
      <c r="Z107" s="11">
        <f t="shared" si="18"/>
        <v>2360</v>
      </c>
      <c r="AA107" s="11">
        <f t="shared" si="19"/>
        <v>0</v>
      </c>
    </row>
    <row r="108" spans="1:27" ht="19.5">
      <c r="A108" s="9">
        <v>10</v>
      </c>
      <c r="B108" s="10" t="s">
        <v>14</v>
      </c>
      <c r="C108" s="9">
        <v>295</v>
      </c>
      <c r="D108" s="11">
        <f>Table14[[#This Row],[Enrolment S.Y. 2025-2026 ]]*8</f>
        <v>2360</v>
      </c>
      <c r="E108" s="11"/>
      <c r="F108" s="9"/>
      <c r="G108" s="11"/>
      <c r="H108" s="11">
        <f t="shared" si="22"/>
        <v>2360</v>
      </c>
      <c r="I108" s="11">
        <f t="shared" si="23"/>
        <v>0</v>
      </c>
      <c r="J108" s="11">
        <f>Table14[[#This Row],[Enrolment S.Y. 2025-2026 ]]*8</f>
        <v>2360</v>
      </c>
      <c r="K108" s="11"/>
      <c r="L108" s="9"/>
      <c r="M108" s="11"/>
      <c r="N108" s="11">
        <f t="shared" si="20"/>
        <v>2360</v>
      </c>
      <c r="O108" s="11">
        <f t="shared" si="21"/>
        <v>0</v>
      </c>
      <c r="P108" s="11">
        <f>Table14[[#This Row],[Enrolment S.Y. 2025-2026 ]]*8</f>
        <v>2360</v>
      </c>
      <c r="Q108" s="11"/>
      <c r="R108" s="9"/>
      <c r="S108" s="11"/>
      <c r="T108" s="11">
        <f t="shared" si="16"/>
        <v>2360</v>
      </c>
      <c r="U108" s="11">
        <f t="shared" si="17"/>
        <v>0</v>
      </c>
      <c r="V108" s="11">
        <f>Table14[[#This Row],[Enrolment S.Y. 2025-2026 ]]*8</f>
        <v>2360</v>
      </c>
      <c r="W108" s="11"/>
      <c r="X108" s="9"/>
      <c r="Y108" s="11"/>
      <c r="Z108" s="11">
        <f t="shared" si="18"/>
        <v>2360</v>
      </c>
      <c r="AA108" s="11">
        <f t="shared" si="19"/>
        <v>0</v>
      </c>
    </row>
    <row r="109" spans="1:27" ht="19.5">
      <c r="A109" s="37">
        <v>10</v>
      </c>
      <c r="B109" s="10" t="s">
        <v>86</v>
      </c>
      <c r="C109" s="9">
        <v>295</v>
      </c>
      <c r="D109" s="11">
        <f>Table14[[#This Row],[Enrolment S.Y. 2025-2026 ]]*8</f>
        <v>2360</v>
      </c>
      <c r="E109" s="11"/>
      <c r="F109" s="9"/>
      <c r="G109" s="11"/>
      <c r="H109" s="11">
        <f>IF((D109-E109)&lt;0,0,(D109-E109))</f>
        <v>2360</v>
      </c>
      <c r="I109" s="11">
        <f>IF((E109-D109)&lt;0,0,(E109-D109))</f>
        <v>0</v>
      </c>
      <c r="J109" s="11">
        <f>Table14[[#This Row],[Enrolment S.Y. 2025-2026 ]]*8</f>
        <v>2360</v>
      </c>
      <c r="K109" s="11"/>
      <c r="L109" s="9"/>
      <c r="M109" s="11"/>
      <c r="N109" s="11">
        <f t="shared" ref="N109:N113" si="28">IF((J109-K109)&lt;0,0,(J109-K109))</f>
        <v>2360</v>
      </c>
      <c r="O109" s="11">
        <f t="shared" ref="O109:O113" si="29">IF((K109-J109)&lt;0,0,(K109-J109))</f>
        <v>0</v>
      </c>
      <c r="P109" s="11">
        <f>Table14[[#This Row],[Enrolment S.Y. 2025-2026 ]]*8</f>
        <v>2360</v>
      </c>
      <c r="Q109" s="11"/>
      <c r="R109" s="9"/>
      <c r="S109" s="11"/>
      <c r="T109" s="11">
        <f>IF((P109-Q109)&lt;0,0,(P109-Q109))</f>
        <v>2360</v>
      </c>
      <c r="U109" s="11">
        <f>IF((Q109-P109)&lt;0,0,(Q109-P109))</f>
        <v>0</v>
      </c>
      <c r="V109" s="11">
        <f>Table14[[#This Row],[Enrolment S.Y. 2025-2026 ]]*8</f>
        <v>2360</v>
      </c>
      <c r="W109" s="11"/>
      <c r="X109" s="9"/>
      <c r="Y109" s="11"/>
      <c r="Z109" s="11">
        <f>IF((V109-W109)&lt;0,0,(V109-W109))</f>
        <v>2360</v>
      </c>
      <c r="AA109" s="11">
        <f>IF((W109-V109)&lt;0,0,(W109-V109))</f>
        <v>0</v>
      </c>
    </row>
    <row r="110" spans="1:27" ht="19.5">
      <c r="A110" s="9">
        <v>10</v>
      </c>
      <c r="B110" s="10" t="s">
        <v>87</v>
      </c>
      <c r="C110" s="9">
        <v>295</v>
      </c>
      <c r="D110" s="11">
        <f>Table14[[#This Row],[Enrolment S.Y. 2025-2026 ]]*8</f>
        <v>2360</v>
      </c>
      <c r="E110" s="11"/>
      <c r="F110" s="9"/>
      <c r="G110" s="11"/>
      <c r="H110" s="11">
        <f t="shared" si="22"/>
        <v>2360</v>
      </c>
      <c r="I110" s="11">
        <f t="shared" si="23"/>
        <v>0</v>
      </c>
      <c r="J110" s="11">
        <f>Table14[[#This Row],[Enrolment S.Y. 2025-2026 ]]*8</f>
        <v>2360</v>
      </c>
      <c r="K110" s="11"/>
      <c r="L110" s="9"/>
      <c r="M110" s="11"/>
      <c r="N110" s="11">
        <f t="shared" si="28"/>
        <v>2360</v>
      </c>
      <c r="O110" s="11">
        <f t="shared" si="29"/>
        <v>0</v>
      </c>
      <c r="P110" s="11">
        <f>Table14[[#This Row],[Enrolment S.Y. 2025-2026 ]]*8</f>
        <v>2360</v>
      </c>
      <c r="Q110" s="11"/>
      <c r="R110" s="9"/>
      <c r="S110" s="11"/>
      <c r="T110" s="11">
        <f t="shared" si="16"/>
        <v>2360</v>
      </c>
      <c r="U110" s="11">
        <f t="shared" si="17"/>
        <v>0</v>
      </c>
      <c r="V110" s="11">
        <f>Table14[[#This Row],[Enrolment S.Y. 2025-2026 ]]*8</f>
        <v>2360</v>
      </c>
      <c r="W110" s="11"/>
      <c r="X110" s="9"/>
      <c r="Y110" s="11"/>
      <c r="Z110" s="11">
        <f t="shared" si="18"/>
        <v>2360</v>
      </c>
      <c r="AA110" s="11">
        <f t="shared" si="19"/>
        <v>0</v>
      </c>
    </row>
    <row r="111" spans="1:27" ht="19.5">
      <c r="A111" s="9">
        <v>10</v>
      </c>
      <c r="B111" s="10" t="s">
        <v>16</v>
      </c>
      <c r="C111" s="9">
        <v>295</v>
      </c>
      <c r="D111" s="11">
        <f>Table14[[#This Row],[Enrolment S.Y. 2025-2026 ]]*8</f>
        <v>2360</v>
      </c>
      <c r="E111" s="11"/>
      <c r="F111" s="9"/>
      <c r="G111" s="11"/>
      <c r="H111" s="11">
        <f t="shared" si="22"/>
        <v>2360</v>
      </c>
      <c r="I111" s="11">
        <f t="shared" si="23"/>
        <v>0</v>
      </c>
      <c r="J111" s="11">
        <f>Table14[[#This Row],[Enrolment S.Y. 2025-2026 ]]*8</f>
        <v>2360</v>
      </c>
      <c r="K111" s="11"/>
      <c r="L111" s="9"/>
      <c r="M111" s="11"/>
      <c r="N111" s="11">
        <f t="shared" si="28"/>
        <v>2360</v>
      </c>
      <c r="O111" s="11">
        <f t="shared" si="29"/>
        <v>0</v>
      </c>
      <c r="P111" s="11">
        <f>Table14[[#This Row],[Enrolment S.Y. 2025-2026 ]]*8</f>
        <v>2360</v>
      </c>
      <c r="Q111" s="11"/>
      <c r="R111" s="9"/>
      <c r="S111" s="11"/>
      <c r="T111" s="11">
        <f t="shared" si="16"/>
        <v>2360</v>
      </c>
      <c r="U111" s="11">
        <f t="shared" si="17"/>
        <v>0</v>
      </c>
      <c r="V111" s="11">
        <f>Table14[[#This Row],[Enrolment S.Y. 2025-2026 ]]*8</f>
        <v>2360</v>
      </c>
      <c r="W111" s="11"/>
      <c r="X111" s="9"/>
      <c r="Y111" s="11"/>
      <c r="Z111" s="11">
        <f t="shared" si="18"/>
        <v>2360</v>
      </c>
      <c r="AA111" s="11">
        <f t="shared" si="19"/>
        <v>0</v>
      </c>
    </row>
    <row r="112" spans="1:27" ht="19.5">
      <c r="A112" s="37">
        <v>10</v>
      </c>
      <c r="B112" s="10" t="s">
        <v>89</v>
      </c>
      <c r="C112" s="9">
        <v>295</v>
      </c>
      <c r="D112" s="11">
        <f>Table14[[#This Row],[Enrolment S.Y. 2025-2026 ]]*8</f>
        <v>2360</v>
      </c>
      <c r="E112" s="11"/>
      <c r="F112" s="9"/>
      <c r="G112" s="11"/>
      <c r="H112" s="11">
        <f>IF((D112-E112)&lt;0,0,(D112-E112))</f>
        <v>2360</v>
      </c>
      <c r="I112" s="11">
        <f>IF((E112-D112)&lt;0,0,(E112-D112))</f>
        <v>0</v>
      </c>
      <c r="J112" s="11">
        <f>Table14[[#This Row],[Enrolment S.Y. 2025-2026 ]]*8</f>
        <v>2360</v>
      </c>
      <c r="K112" s="11"/>
      <c r="L112" s="9"/>
      <c r="M112" s="11"/>
      <c r="N112" s="11">
        <f t="shared" si="28"/>
        <v>2360</v>
      </c>
      <c r="O112" s="11">
        <f t="shared" si="29"/>
        <v>0</v>
      </c>
      <c r="P112" s="11">
        <f>Table14[[#This Row],[Enrolment S.Y. 2025-2026 ]]*8</f>
        <v>2360</v>
      </c>
      <c r="Q112" s="11"/>
      <c r="R112" s="9"/>
      <c r="S112" s="11"/>
      <c r="T112" s="11">
        <f>IF((P112-Q112)&lt;0,0,(P112-Q112))</f>
        <v>2360</v>
      </c>
      <c r="U112" s="11">
        <f>IF((Q112-P112)&lt;0,0,(Q112-P112))</f>
        <v>0</v>
      </c>
      <c r="V112" s="11">
        <f>Table14[[#This Row],[Enrolment S.Y. 2025-2026 ]]*8</f>
        <v>2360</v>
      </c>
      <c r="W112" s="11"/>
      <c r="X112" s="9"/>
      <c r="Y112" s="11"/>
      <c r="Z112" s="11">
        <f>IF((V112-W112)&lt;0,0,(V112-W112))</f>
        <v>2360</v>
      </c>
      <c r="AA112" s="11">
        <f>IF((W112-V112)&lt;0,0,(W112-V112))</f>
        <v>0</v>
      </c>
    </row>
    <row r="113" spans="1:28" ht="19.5">
      <c r="A113" s="9">
        <v>10</v>
      </c>
      <c r="B113" s="10" t="s">
        <v>90</v>
      </c>
      <c r="C113" s="9">
        <v>295</v>
      </c>
      <c r="D113" s="11">
        <f>Table14[[#This Row],[Enrolment S.Y. 2025-2026 ]]*8</f>
        <v>2360</v>
      </c>
      <c r="E113" s="11"/>
      <c r="F113" s="9"/>
      <c r="G113" s="11"/>
      <c r="H113" s="11">
        <f t="shared" si="22"/>
        <v>2360</v>
      </c>
      <c r="I113" s="11">
        <f t="shared" si="23"/>
        <v>0</v>
      </c>
      <c r="J113" s="11">
        <f>Table14[[#This Row],[Enrolment S.Y. 2025-2026 ]]*8</f>
        <v>2360</v>
      </c>
      <c r="K113" s="11"/>
      <c r="L113" s="9"/>
      <c r="M113" s="11"/>
      <c r="N113" s="11">
        <f t="shared" si="28"/>
        <v>2360</v>
      </c>
      <c r="O113" s="11">
        <f t="shared" si="29"/>
        <v>0</v>
      </c>
      <c r="P113" s="11">
        <f>Table14[[#This Row],[Enrolment S.Y. 2025-2026 ]]*8</f>
        <v>2360</v>
      </c>
      <c r="Q113" s="11"/>
      <c r="R113" s="9"/>
      <c r="S113" s="11"/>
      <c r="T113" s="11">
        <f t="shared" si="16"/>
        <v>2360</v>
      </c>
      <c r="U113" s="11">
        <f t="shared" si="17"/>
        <v>0</v>
      </c>
      <c r="V113" s="11">
        <f>Table14[[#This Row],[Enrolment S.Y. 2025-2026 ]]*8</f>
        <v>2360</v>
      </c>
      <c r="W113" s="11"/>
      <c r="X113" s="9"/>
      <c r="Y113" s="11"/>
      <c r="Z113" s="11">
        <f t="shared" si="18"/>
        <v>2360</v>
      </c>
      <c r="AA113" s="11">
        <f t="shared" si="19"/>
        <v>0</v>
      </c>
    </row>
    <row r="114" spans="1:28" s="6" customFormat="1"/>
    <row r="115" spans="1:28" ht="38.450000000000003" hidden="1">
      <c r="A115" s="1" t="s">
        <v>19</v>
      </c>
      <c r="B115" s="8" t="s">
        <v>20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 hidden="1">
      <c r="A116" s="1" t="s">
        <v>19</v>
      </c>
      <c r="B116" s="8" t="s">
        <v>21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 hidden="1">
      <c r="A117" s="1" t="s">
        <v>19</v>
      </c>
      <c r="B117" s="8" t="s">
        <v>22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 hidden="1">
      <c r="A118" s="1" t="s">
        <v>19</v>
      </c>
      <c r="B118" s="8" t="s">
        <v>23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 hidden="1">
      <c r="A119" s="1" t="s">
        <v>19</v>
      </c>
      <c r="B119" s="8" t="s">
        <v>24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 hidden="1">
      <c r="A120" s="1" t="s">
        <v>19</v>
      </c>
      <c r="B120" s="8" t="s">
        <v>25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 hidden="1">
      <c r="A121" s="1" t="s">
        <v>19</v>
      </c>
      <c r="B121" s="8" t="s">
        <v>26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 hidden="1">
      <c r="A122" s="1" t="s">
        <v>19</v>
      </c>
      <c r="B122" s="8" t="s">
        <v>27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6" customFormat="1"/>
    <row r="124" spans="1:28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 spans="1:28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 spans="1:28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 spans="1:28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 spans="1: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 spans="1:28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 spans="1:28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 spans="1:28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 spans="1:28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 spans="1:28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 spans="1:28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 spans="1:28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 spans="1:28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 spans="1:28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 spans="1:2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 spans="1:28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 spans="1:28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115:C122 C67:C77 C79:C89 C91:C101 C103:C113" name="Textbooks"/>
    <protectedRange sqref="J2:L2 D2:F10 D12:F19 D21:F29 D31:F41 D43:F53 D55:F65 D115:F122 P2:R10 N3:O10 V2:X10 T3:U10 N12:R19 T12:X19 H3:L10 Z3:AA10 Z12:AA19 H12:L19 N21:R29 T21:X29 Z21:AA29 H21:L29 T31:X41 Z31:AA41 H31:L41 T43:X53 Z43:AA53 H43:L53 T55:X65 Z55:AA65 H55:L65 Z67:AA77 Z79:AA89 Z91:AA101 Z103:AA113 N115:R122 T115:X122 Z115:AA122 H115:L122 N31:R41 N43:R53 N55:R65 D67:F77 D79:F89 D91:F101 D103:F113 H67:L77 H79:L89 H91:L101 H103:L113 N67:R77 N103:R113 N79:R89 N91:R101 T67:X77 T79:X89 T91:X101 T103:X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F31:F41 F21:F29 X55:X65 R12:R19 R3:R10 X12:X19 X3:X10 L21:L29 L31:L41 L43:L53 F12:F19 X115:X122 L55:L65 F115:F122 F3:F10 L12:L19 L3:L10 R21:R29 R31:R41 R43:R53 F43:F53 R115:R122 R55:R65 L115:L122 F55:F65" xr:uid="{77F72D89-8371-4D0C-A323-BD25723C617C}">
      <formula1>"2024,2025"</formula1>
    </dataValidation>
    <dataValidation type="list" allowBlank="1" showInputMessage="1" showErrorMessage="1" sqref="F67:F77 F79:F89 F91:F101 F103:F113 L67:L77 L79:L89 L91:L101 L103:L113 R103:R113 R67:R77 R79:R89 R91:R101 X67:X77 X79:X89 X91:X101 X103:X113" xr:uid="{70CDD7E8-C51B-42E6-BEE5-DC227C10C4FD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2026-04-07T05:28:19Z</dcterms:modified>
  <cp:category/>
  <cp:contentStatus/>
</cp:coreProperties>
</file>