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42" documentId="13_ncr:1_{BFB59F67-F0DC-4675-A682-EB0734A8026A}" xr6:coauthVersionLast="47" xr6:coauthVersionMax="47" xr10:uidLastSave="{A220B16A-ADEF-43A5-A44C-AD94E1C0C6B6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<sst xmlns="http://schemas.openxmlformats.org/spreadsheetml/2006/main" count="241" uniqueCount="85">
  <si>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</si>
  <si>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</si>
  <si>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</si>
  <si>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</si>
  <si>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</si>
  <si>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</si>
  <si>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</si>
  <si>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</si>
  <si>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</si>
  <si>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</si>
  <si>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</si>
  <si>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</si>
  <si>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</si>
  <si>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</si>
  <si>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</si>
  <si>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</si>
  <si>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</si>
  <si>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</si>
  <si>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</si>
  <si>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</si>
  <si>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CO</t>
  </si>
  <si>
    <t>HOPE 1 and 2</t>
  </si>
  <si>
    <t>HOPE 3 and 4</t>
  </si>
  <si>
    <t>Physical Science</t>
  </si>
  <si>
    <t>Contemporary Philippine Arts</t>
  </si>
  <si>
    <t>General Mathematics</t>
  </si>
  <si>
    <t>RO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</si>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</sst>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K51" sqref="K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>
        <v>1170</v>
      </c>
      <c r="D42" s="1">
        <v>1522</v>
      </c>
      <c r="E42" s="1">
        <v>2024</v>
      </c>
      <c r="F42" s="4" t="s">
        <v>20</v>
      </c>
      <c r="G42" s="2">
        <f t="shared" ref="G42:G49" si="8">IF((C42-D42)&lt;0,0,C42-D42)</f>
        <v>0</v>
      </c>
      <c r="H42" s="3">
        <f t="shared" ref="H42:H49" si="9">IF((D42-C42)&lt;0,0,D42-C42)</f>
        <v>352</v>
      </c>
    </row>
    <row r="43" spans="1:8" ht="27.75" customHeight="1">
      <c r="A43" s="1" t="s">
        <v>18</v>
      </c>
      <c r="B43" s="7" t="s">
        <v>21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22</v>
      </c>
      <c r="C44" s="1">
        <v>1170</v>
      </c>
      <c r="D44" s="1">
        <v>1522</v>
      </c>
      <c r="E44" s="1">
        <v>2024</v>
      </c>
      <c r="F44" s="4" t="s">
        <v>20</v>
      </c>
      <c r="G44" s="2">
        <f t="shared" si="8"/>
        <v>0</v>
      </c>
      <c r="H44" s="3">
        <f t="shared" si="9"/>
        <v>352</v>
      </c>
    </row>
    <row r="45" spans="1:8" ht="36.75" customHeight="1">
      <c r="A45" s="1" t="s">
        <v>18</v>
      </c>
      <c r="B45" s="7" t="s">
        <v>23</v>
      </c>
      <c r="C45" s="1">
        <v>1170</v>
      </c>
      <c r="D45" s="1">
        <v>1522</v>
      </c>
      <c r="E45" s="1">
        <v>2024</v>
      </c>
      <c r="F45" s="4" t="s">
        <v>20</v>
      </c>
      <c r="G45" s="2">
        <f t="shared" si="8"/>
        <v>0</v>
      </c>
      <c r="H45" s="3">
        <f t="shared" si="9"/>
        <v>352</v>
      </c>
    </row>
    <row r="46" spans="1:8" ht="27.75" customHeight="1">
      <c r="A46" s="1" t="s">
        <v>18</v>
      </c>
      <c r="B46" s="7" t="s">
        <v>24</v>
      </c>
      <c r="C46" s="1">
        <v>1170</v>
      </c>
      <c r="D46" s="1">
        <v>1522</v>
      </c>
      <c r="E46" s="1">
        <v>2025</v>
      </c>
      <c r="F46" s="4" t="s">
        <v>20</v>
      </c>
      <c r="G46" s="2">
        <f t="shared" si="8"/>
        <v>0</v>
      </c>
      <c r="H46" s="3">
        <f t="shared" si="9"/>
        <v>352</v>
      </c>
    </row>
    <row r="47" spans="1:8" ht="27.75" customHeight="1">
      <c r="A47" s="1" t="s">
        <v>18</v>
      </c>
      <c r="B47" s="7" t="s">
        <v>25</v>
      </c>
      <c r="C47" s="1">
        <v>1170</v>
      </c>
      <c r="D47" s="1">
        <v>1522</v>
      </c>
      <c r="E47" s="1">
        <v>2024</v>
      </c>
      <c r="F47" s="4" t="s">
        <v>26</v>
      </c>
      <c r="G47" s="2">
        <f t="shared" si="8"/>
        <v>0</v>
      </c>
      <c r="H47" s="3">
        <f t="shared" si="9"/>
        <v>352</v>
      </c>
    </row>
    <row r="48" spans="1:8" ht="27.75" customHeight="1">
      <c r="A48" s="1" t="s">
        <v>18</v>
      </c>
      <c r="B48" s="7" t="s">
        <v>27</v>
      </c>
      <c r="C48" s="1">
        <v>1170</v>
      </c>
      <c r="D48" s="1">
        <v>1522</v>
      </c>
      <c r="E48" s="1">
        <v>2024</v>
      </c>
      <c r="F48" s="4" t="s">
        <v>26</v>
      </c>
      <c r="G48" s="2">
        <f t="shared" si="8"/>
        <v>0</v>
      </c>
      <c r="H48" s="3">
        <f t="shared" si="9"/>
        <v>352</v>
      </c>
    </row>
    <row r="49" spans="1:8" ht="27.75" customHeight="1">
      <c r="A49" s="1" t="s">
        <v>18</v>
      </c>
      <c r="B49" s="7" t="s">
        <v>28</v>
      </c>
      <c r="C49" s="1">
        <v>1170</v>
      </c>
      <c r="D49" s="1">
        <v>1522</v>
      </c>
      <c r="E49" s="1">
        <v>2025</v>
      </c>
      <c r="F49" s="4" t="s">
        <v>20</v>
      </c>
      <c r="G49" s="2">
        <f t="shared" si="8"/>
        <v>0</v>
      </c>
      <c r="H49" s="3">
        <f t="shared" si="9"/>
        <v>352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52.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10 E12:E20 E22:E30 E32:E40 E42:E49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C66" sqref="AC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28515625" customWidth="1"/>
    <col min="5" max="5" width="23.140625" customWidth="1"/>
    <col min="6" max="6" width="24.85546875" bestFit="1" customWidth="1"/>
    <col min="7" max="7" width="18.7109375" customWidth="1"/>
    <col min="8" max="9" width="20.85546875" customWidth="1"/>
    <col min="10" max="10" width="13.7109375" customWidth="1"/>
    <col min="11" max="11" width="35.8554687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5" t="s">
        <v>29</v>
      </c>
      <c r="E1" s="35"/>
      <c r="F1" s="35"/>
      <c r="G1" s="35"/>
      <c r="H1" s="35"/>
      <c r="I1" s="35"/>
      <c r="J1" s="36" t="s">
        <v>30</v>
      </c>
      <c r="K1" s="36"/>
      <c r="L1" s="36"/>
      <c r="M1" s="36"/>
      <c r="N1" s="36"/>
      <c r="O1" s="36"/>
      <c r="P1" s="37" t="s">
        <v>31</v>
      </c>
      <c r="Q1" s="37"/>
      <c r="R1" s="37"/>
      <c r="S1" s="37"/>
      <c r="T1" s="37"/>
      <c r="U1" s="37"/>
      <c r="V1" s="38" t="s">
        <v>32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33</v>
      </c>
      <c r="E2" s="18" t="s">
        <v>34</v>
      </c>
      <c r="F2" s="19" t="s">
        <v>35</v>
      </c>
      <c r="G2" s="22" t="s">
        <v>36</v>
      </c>
      <c r="H2" s="15" t="s">
        <v>37</v>
      </c>
      <c r="I2" s="22" t="s">
        <v>38</v>
      </c>
      <c r="J2" s="20" t="s">
        <v>39</v>
      </c>
      <c r="K2" s="20" t="s">
        <v>40</v>
      </c>
      <c r="L2" s="21" t="s">
        <v>41</v>
      </c>
      <c r="M2" s="33" t="s">
        <v>42</v>
      </c>
      <c r="N2" s="33" t="s">
        <v>43</v>
      </c>
      <c r="O2" s="20" t="s">
        <v>44</v>
      </c>
      <c r="P2" s="22" t="s">
        <v>45</v>
      </c>
      <c r="Q2" s="22" t="s">
        <v>46</v>
      </c>
      <c r="R2" s="23" t="s">
        <v>47</v>
      </c>
      <c r="S2" s="15" t="s">
        <v>48</v>
      </c>
      <c r="T2" s="15" t="s">
        <v>49</v>
      </c>
      <c r="U2" s="22" t="s">
        <v>50</v>
      </c>
      <c r="V2" s="24" t="s">
        <v>51</v>
      </c>
      <c r="W2" s="24" t="s">
        <v>52</v>
      </c>
      <c r="X2" s="25" t="s">
        <v>53</v>
      </c>
      <c r="Y2" s="34" t="s">
        <v>54</v>
      </c>
      <c r="Z2" s="34" t="s">
        <v>55</v>
      </c>
      <c r="AA2" s="24" t="s">
        <v>56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66" si="8">IF((J10-K10)&lt;0,0,(J10-K10))</f>
        <v>0</v>
      </c>
      <c r="O10" s="10">
        <f t="shared" ref="O10:O66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67" si="10">IF((P10-Q10)&lt;0,0,(P10-Q10))</f>
        <v>0</v>
      </c>
      <c r="U10" s="10">
        <f t="shared" ref="U10:U67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67" si="12">IF((V10-W10)&lt;0,0,(V10-W10))</f>
        <v>0</v>
      </c>
      <c r="AA10" s="10">
        <f t="shared" ref="AA10:AA67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67" si="14">IF((D18-E18)&lt;0,0,(D18-E18))</f>
        <v>0</v>
      </c>
      <c r="I18" s="10">
        <f t="shared" ref="I18:I67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F42"/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21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22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23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24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25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27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28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5"/>
      <c r="B51" s="5"/>
      <c r="C51" s="5"/>
      <c r="D51" s="5"/>
      <c r="E51" s="5"/>
      <c r="F51" s="5"/>
      <c r="G51" s="5"/>
      <c r="H51" s="5"/>
      <c r="I51" s="5"/>
      <c r="J51" s="11"/>
      <c r="K51" s="5"/>
      <c r="L51" s="5"/>
      <c r="M51" s="5"/>
      <c r="N51" s="11"/>
      <c r="O51" s="11"/>
      <c r="P51" s="11"/>
      <c r="Q51" s="5"/>
      <c r="R51" s="5"/>
      <c r="S51" s="5"/>
      <c r="T51" s="11"/>
      <c r="U51" s="11"/>
      <c r="V51" s="11"/>
      <c r="W51" s="5"/>
      <c r="X51" s="5"/>
      <c r="Y51" s="5"/>
      <c r="Z51" s="11"/>
      <c r="AA51" s="11"/>
    </row>
    <row r="52" spans="1:27" s="5" customFormat="1" ht="19.5">
      <c r="A52" s="1"/>
      <c r="B52" s="7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7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7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7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7"/>
      <c r="B67" s="28"/>
      <c r="C67" s="27"/>
      <c r="D67" s="4"/>
      <c r="E67" s="29"/>
      <c r="F67" s="1"/>
      <c r="G67" s="29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29"/>
      <c r="L67" s="1"/>
      <c r="M67" s="29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29"/>
      <c r="R67" s="1"/>
      <c r="S67" s="29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29"/>
      <c r="X67" s="1"/>
      <c r="Y67" s="29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22.5" customHeight="1"/>
    <row r="107" spans="1:27" ht="15"/>
    <row r="108" spans="1:27" ht="38.25" customHeight="1"/>
    <row r="109" spans="1:27" ht="57.75" customHeight="1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D52:F67 W33:X41 W23:X31 W13:X21 W52:X67 H3:I11 H13:I21 H23:I31 H33:I41 H43:I50 H52:I67 N67:Q67 Q43:R50 R52:R67 V2:X2 Q52:Q66 P2:R2 K3:L11 N3:P66 T3:V67 J3:J67 K33:L41 K23:L31 K13:L21 Z3:AA67 K43:L50 K52:L67 W43:X50 Q3:R11 Q33:R41 Q23:R31 Q13:R21 W3:X11 D2:F11 D33:F41 D23:F31 D13:F2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43:X50 X52:X67 F33:F41 F23:F31 F3:F11 F13:F21 F43:F50 F52:F67 L33:L41 L23:L31 L3:L11 L13:L21 L43:L50 L52:L67 R13:R21 R33:R41 R23:R31 R3:R11 R43:R50 R52:R67 X13:X21 X33:X41 X23:X3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E64" sqref="AE6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0"/>
      <c r="D1" s="35" t="s">
        <v>29</v>
      </c>
      <c r="E1" s="35"/>
      <c r="F1" s="35"/>
      <c r="G1" s="35"/>
      <c r="H1" s="35"/>
      <c r="I1" s="35"/>
      <c r="J1" s="36" t="s">
        <v>30</v>
      </c>
      <c r="K1" s="36"/>
      <c r="L1" s="36"/>
      <c r="M1" s="36"/>
      <c r="N1" s="36"/>
      <c r="O1" s="36"/>
      <c r="P1" s="37" t="s">
        <v>31</v>
      </c>
      <c r="Q1" s="37"/>
      <c r="R1" s="37"/>
      <c r="S1" s="37"/>
      <c r="T1" s="37"/>
      <c r="U1" s="37"/>
      <c r="V1" s="38" t="s">
        <v>32</v>
      </c>
      <c r="W1" s="38"/>
      <c r="X1" s="38"/>
      <c r="Y1" s="38"/>
      <c r="Z1" s="38"/>
      <c r="AA1" s="38"/>
    </row>
    <row r="2" spans="1:27" ht="69.599999999999994" customHeight="1">
      <c r="A2" s="13" t="s">
        <v>0</v>
      </c>
      <c r="B2" s="31" t="s">
        <v>1</v>
      </c>
      <c r="C2" s="14" t="s">
        <v>2</v>
      </c>
      <c r="D2" s="18" t="s">
        <v>57</v>
      </c>
      <c r="E2" s="18" t="s">
        <v>58</v>
      </c>
      <c r="F2" s="19" t="s">
        <v>59</v>
      </c>
      <c r="G2" s="22" t="s">
        <v>60</v>
      </c>
      <c r="H2" s="15" t="s">
        <v>61</v>
      </c>
      <c r="I2" s="22" t="s">
        <v>62</v>
      </c>
      <c r="J2" s="20" t="s">
        <v>63</v>
      </c>
      <c r="K2" s="20" t="s">
        <v>64</v>
      </c>
      <c r="L2" s="21" t="s">
        <v>65</v>
      </c>
      <c r="M2" s="33" t="s">
        <v>66</v>
      </c>
      <c r="N2" s="33" t="s">
        <v>67</v>
      </c>
      <c r="O2" s="20" t="s">
        <v>68</v>
      </c>
      <c r="P2" s="22" t="s">
        <v>69</v>
      </c>
      <c r="Q2" s="22" t="s">
        <v>70</v>
      </c>
      <c r="R2" s="23" t="s">
        <v>71</v>
      </c>
      <c r="S2" s="15" t="s">
        <v>72</v>
      </c>
      <c r="T2" s="15" t="s">
        <v>73</v>
      </c>
      <c r="U2" s="22" t="s">
        <v>74</v>
      </c>
      <c r="V2" s="24" t="s">
        <v>75</v>
      </c>
      <c r="W2" s="24" t="s">
        <v>76</v>
      </c>
      <c r="X2" s="25" t="s">
        <v>77</v>
      </c>
      <c r="Y2" s="34" t="s">
        <v>78</v>
      </c>
      <c r="Z2" s="34" t="s">
        <v>79</v>
      </c>
      <c r="AA2" s="24" t="s">
        <v>80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32">
        <v>7</v>
      </c>
      <c r="B9" s="9" t="s">
        <v>81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82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32">
        <v>7</v>
      </c>
      <c r="B12" s="9" t="s">
        <v>83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84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32">
        <v>8</v>
      </c>
      <c r="B21" s="9" t="s">
        <v>81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82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32">
        <v>8</v>
      </c>
      <c r="B24" s="9" t="s">
        <v>83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84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32">
        <v>9</v>
      </c>
      <c r="B33" s="9" t="s">
        <v>81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82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32">
        <v>9</v>
      </c>
      <c r="B36" s="9" t="s">
        <v>83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84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32">
        <v>10</v>
      </c>
      <c r="B45" s="9" t="s">
        <v>81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82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32">
        <v>10</v>
      </c>
      <c r="B48" s="9" t="s">
        <v>83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84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21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22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23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24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25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27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28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J77" t="e">
        <f>#REF!*8</f>
        <v>#REF!</v>
      </c>
    </row>
    <row r="78" spans="1:27" s="5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5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>
      <c r="J98" t="e">
        <f>#REF!*8</f>
        <v>#REF!</v>
      </c>
    </row>
    <row r="99" spans="1:27" ht="15">
      <c r="J99" t="e">
        <f>#REF!*8</f>
        <v>#REF!</v>
      </c>
    </row>
    <row r="100" spans="1:27" ht="15">
      <c r="J100" t="e">
        <f>#REF!*8</f>
        <v>#REF!</v>
      </c>
    </row>
    <row r="101" spans="1:27" ht="15">
      <c r="J101" t="e">
        <f>#REF!*8</f>
        <v>#REF!</v>
      </c>
    </row>
    <row r="102" spans="1:27" s="5" customFormat="1" ht="15">
      <c r="A102"/>
      <c r="B102"/>
      <c r="C102"/>
      <c r="D102"/>
      <c r="E102"/>
      <c r="F102"/>
      <c r="G102"/>
      <c r="H102"/>
      <c r="I102"/>
      <c r="J102" t="e">
        <f>#REF!*8</f>
        <v>#REF!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>
      <c r="J103" t="e">
        <f>#REF!*8</f>
        <v>#REF!</v>
      </c>
    </row>
    <row r="104" spans="1:27" ht="15">
      <c r="J104" t="e">
        <f>#REF!*8</f>
        <v>#REF!</v>
      </c>
    </row>
    <row r="105" spans="1:27" ht="15">
      <c r="J105" t="e">
        <f>#REF!*8</f>
        <v>#REF!</v>
      </c>
    </row>
    <row r="106" spans="1:27" ht="15">
      <c r="J106" t="e">
        <f>#REF!*8</f>
        <v>#REF!</v>
      </c>
    </row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15:L25 N39:R49 N27:R37 N15:R25 N51:R58 P2:R2 H51:L58 Z3:AA13 Z15:AA25 Z27:AA37 Z39:AA49 Z51:AA58 T51:X58 T3:X13 T39:X49 T27:X37 T15:X25 V2:X2 D2:F13 D39:F49 D27:F37 D15:F25 D51:F58 N3:R13 H3:L13 H39:L49 H27:L37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F39:F49 F27:F37 F3:F13 F15:F25 F51:F58 L15:L25 L39:L49 L27:L37 L3:L13 L51:L58 R39:R49 R27:R37 R3:R13 R15:R25 R51:R58 X15:X25 X39:X49 X27:X37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2026-04-07T05:56:34Z</dcterms:modified>
  <cp:category/>
  <cp:contentStatus/>
</cp:coreProperties>
</file>