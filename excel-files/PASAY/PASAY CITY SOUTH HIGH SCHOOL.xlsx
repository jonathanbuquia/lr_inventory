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1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417" documentId="13_ncr:1_{BFB59F67-F0DC-4675-A682-EB0734A8026A}" xr6:coauthVersionLast="47" xr6:coauthVersionMax="47" xr10:uidLastSave="{CFAA6B5F-6A98-4487-884B-E85E77E4F0EB}"/>
  <bookViews>
    <workbookView xWindow="-108" yWindow="-108" windowWidth="23256" windowHeight="12456" firstSheet="2" activeTab="1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97" i="1" l="1"/>
  <c r="H97" i="1"/>
  <c r="G106" i="1"/>
  <c r="H106" i="1"/>
  <c r="G107" i="1"/>
  <c r="H107" i="1"/>
  <c r="G101" i="1"/>
  <c r="H101" i="1"/>
  <c r="G102" i="1"/>
  <c r="H102" i="1"/>
  <c r="G103" i="1"/>
  <c r="H103" i="1"/>
  <c r="G104" i="1"/>
  <c r="H104" i="1"/>
  <c r="G105" i="1"/>
  <c r="H105" i="1"/>
  <c r="G91" i="1"/>
  <c r="H91" i="1"/>
  <c r="G80" i="1"/>
  <c r="H80" i="1"/>
  <c r="G108" i="1"/>
  <c r="H108" i="1"/>
  <c r="P109" i="5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G5" i="1"/>
  <c r="H5" i="1"/>
  <c r="G6" i="1"/>
  <c r="H6" i="1"/>
  <c r="G2" i="1"/>
  <c r="H100" i="1"/>
  <c r="G100" i="1"/>
  <c r="H99" i="1"/>
  <c r="G99" i="1"/>
  <c r="H98" i="1"/>
  <c r="G98" i="1"/>
  <c r="H96" i="1"/>
  <c r="G96" i="1"/>
  <c r="H95" i="1"/>
  <c r="G95" i="1"/>
  <c r="H94" i="1"/>
  <c r="G94" i="1"/>
  <c r="H93" i="1"/>
  <c r="G93" i="1"/>
  <c r="H90" i="1"/>
  <c r="G90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<sst xmlns="http://schemas.openxmlformats.org/spreadsheetml/2006/main" count="435" uniqueCount="105">
  <si>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</si>
  <si>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</si>
  <si>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</si>
  <si>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</si>
  <si>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</si>
  <si>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</si>
  <si>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</si>
  <si>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</si>
  <si>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Column1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</si>
  <si>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</si>
  <si>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</si>
  <si>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</si>
  <si>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</si>
  <si>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</si>
  <si>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</si>
  <si>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</si>
  <si>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</si>
  <si>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</si>
  <si>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</si>
  <si>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</si>
  <si>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</si>
  <si>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CO</t>
  </si>
  <si>
    <t>VE</t>
  </si>
  <si>
    <t>TLE</t>
  </si>
  <si>
    <t>AP</t>
  </si>
  <si>
    <t>* DELIVERED 2026</t>
  </si>
  <si>
    <t>Noli Me Tangere</t>
  </si>
  <si>
    <t>RO</t>
  </si>
  <si>
    <t>El Filibusterismo</t>
  </si>
  <si>
    <t>SHS</t>
  </si>
  <si>
    <t>Personal Development</t>
  </si>
  <si>
    <t>HOPE 1 and 2</t>
  </si>
  <si>
    <t>HOPE 3 and 4</t>
  </si>
  <si>
    <t>Physical Science</t>
  </si>
  <si>
    <t xml:space="preserve">Contemporary Arts From the Regions </t>
  </si>
  <si>
    <t>General Mathematics</t>
  </si>
  <si>
    <t>Media and Information Literacy</t>
  </si>
  <si>
    <t>Statistics and Probability</t>
  </si>
  <si>
    <t>Creative Writing</t>
  </si>
  <si>
    <t xml:space="preserve">Trends, Networks and Critical Thinking in the 21st Century </t>
  </si>
  <si>
    <t xml:space="preserve">Discipline and Ideas in the Applies Social Sciences </t>
  </si>
  <si>
    <t xml:space="preserve">Philippine Politics and Governance </t>
  </si>
  <si>
    <t xml:space="preserve">Business Finance </t>
  </si>
  <si>
    <t xml:space="preserve">Earth and Life Science </t>
  </si>
  <si>
    <t xml:space="preserve">Health Optimizing  PE 3 &amp; 4 TX </t>
  </si>
  <si>
    <t xml:space="preserve">SHS Heritage (Understanding Curture, Society &amp; Politics 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</si>
  <si>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</si>
  <si>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</si>
  <si>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</si>
  <si>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</si>
  <si>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</si>
  <si>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</si>
  <si>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</si>
  <si>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</si>
  <si>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</si>
  <si>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</si>
  <si>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</si>
  <si>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</si>
  <si>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</si>
  <si>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</si>
  <si>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</si>
  <si>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</si>
  <si>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</si>
  <si>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</si>
  <si>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</si>
  <si>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</si>
  <si>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</si>
  <si>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</si>
  <si>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</si>
  <si>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</si>
  <si>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</si>
  <si>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</si>
  <si>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</si>
  <si>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</si>
  <si>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</si>
  <si>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</si>
  <si>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>Contemporary Philippine Arts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</si>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</sst>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  <font>
      <sz val="14"/>
      <color theme="1"/>
      <name val="Bookman Old Style"/>
    </font>
    <font>
      <sz val="14"/>
      <color theme="1"/>
      <name val="Bookman Old Style"/>
      <family val="1"/>
    </font>
    <font>
      <sz val="12"/>
      <color theme="1"/>
      <name val="Bookman Old Style"/>
      <family val="1"/>
    </font>
    <font>
      <b/>
      <sz val="14"/>
      <color theme="1"/>
      <name val="Bookman Old Style"/>
    </font>
  </fonts>
  <fills count="14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 tint="0.79998168889431442"/>
        <bgColor indexed="64"/>
      </patternFill>
    </fill>
  </fills>
  <borders count="1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5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1" fillId="9" borderId="7" xfId="0" applyFont="1" applyFill="1" applyBorder="1" applyAlignment="1">
      <alignment horizontal="center" vertical="center" wrapText="1"/>
    </xf>
    <xf numFmtId="0" fontId="2" fillId="9" borderId="7" xfId="0" applyFont="1" applyFill="1" applyBorder="1" applyAlignment="1">
      <alignment vertical="center" wrapText="1"/>
    </xf>
    <xf numFmtId="0" fontId="1" fillId="9" borderId="8" xfId="0" applyFont="1" applyFill="1" applyBorder="1" applyAlignment="1">
      <alignment horizontal="center" vertical="center" wrapText="1"/>
    </xf>
    <xf numFmtId="0" fontId="1" fillId="7" borderId="4" xfId="0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vertical="center" wrapText="1"/>
    </xf>
    <xf numFmtId="0" fontId="17" fillId="7" borderId="1" xfId="0" applyFont="1" applyFill="1" applyBorder="1" applyAlignment="1">
      <alignment vertical="center" wrapText="1"/>
    </xf>
    <xf numFmtId="0" fontId="14" fillId="7" borderId="1" xfId="0" applyFont="1" applyFill="1" applyBorder="1" applyAlignment="1">
      <alignment vertical="center" wrapText="1"/>
    </xf>
    <xf numFmtId="0" fontId="18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6" fillId="5" borderId="10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I155" totalsRowShown="0" headerRowDxfId="62" headerRowBorderDxfId="60" tableBorderDxfId="61">
  <autoFilter ref="A1:I155" xr:uid="{DC451CB5-2E69-4EAA-94B0-458F89F93F29}"/>
  <tableColumns count="9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  <tableColumn id="9" xr3:uid="{B440FD6A-9C72-4302-A318-4545F0102DD6}" name="Column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09"/>
  <sheetViews>
    <sheetView zoomScale="85" zoomScaleNormal="85" workbookViewId="0">
      <pane xSplit="2" topLeftCell="C102" activePane="topRight" state="frozen"/>
      <selection pane="topRight" activeCell="I93" sqref="I93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  <col min="9" max="9" width="16.7109375" customWidth="1"/>
  </cols>
  <sheetData>
    <row r="1" spans="1:9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  <c r="I1" s="51" t="s">
        <v>8</v>
      </c>
    </row>
    <row r="2" spans="1:9" ht="42.75" customHeight="1">
      <c r="A2" s="1">
        <v>1</v>
      </c>
      <c r="B2" s="2" t="s">
        <v>9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9" ht="29.25" customHeight="1">
      <c r="A3" s="1">
        <v>1</v>
      </c>
      <c r="B3" s="2" t="s">
        <v>10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9" ht="21" customHeight="1">
      <c r="A4" s="1">
        <v>1</v>
      </c>
      <c r="B4" s="2" t="s">
        <v>11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9" ht="25.5" customHeight="1">
      <c r="A5" s="1">
        <v>1</v>
      </c>
      <c r="B5" s="2" t="s">
        <v>12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9" ht="19.5">
      <c r="A6" s="1">
        <v>1</v>
      </c>
      <c r="B6" s="2" t="s">
        <v>13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9">
      <c r="C7" s="6"/>
      <c r="D7" s="6"/>
      <c r="E7" s="6"/>
    </row>
    <row r="8" spans="1:9" ht="39.75" customHeight="1">
      <c r="A8" s="1">
        <v>2</v>
      </c>
      <c r="B8" s="2" t="s">
        <v>9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9" ht="29.25" customHeight="1">
      <c r="A9" s="1">
        <v>2</v>
      </c>
      <c r="B9" s="2" t="s">
        <v>10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9" ht="28.5" customHeight="1">
      <c r="A10" s="1">
        <v>2</v>
      </c>
      <c r="B10" s="2" t="s">
        <v>11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9" ht="24" customHeight="1">
      <c r="A11" s="1">
        <v>2</v>
      </c>
      <c r="B11" s="2" t="s">
        <v>12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9" ht="19.5">
      <c r="A12" s="1">
        <v>2</v>
      </c>
      <c r="B12" s="2" t="s">
        <v>13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9">
      <c r="C13" s="6"/>
      <c r="D13" s="6"/>
      <c r="E13" s="6"/>
    </row>
    <row r="14" spans="1:9" ht="49.5" customHeight="1">
      <c r="A14" s="1">
        <v>3</v>
      </c>
      <c r="B14" s="2" t="s">
        <v>9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9" ht="29.25" customHeight="1">
      <c r="A15" s="1">
        <v>3</v>
      </c>
      <c r="B15" s="2" t="s">
        <v>10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9" ht="27" customHeight="1">
      <c r="A16" s="1">
        <v>3</v>
      </c>
      <c r="B16" s="2" t="s">
        <v>11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16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5">
      <c r="A23" s="1">
        <v>4</v>
      </c>
      <c r="B23" s="9" t="s">
        <v>13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11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17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14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18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19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20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16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17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14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18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19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20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16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17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18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19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20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15</v>
      </c>
      <c r="C51" s="10"/>
      <c r="D51" s="10">
        <v>656</v>
      </c>
      <c r="E51" s="10">
        <v>2025</v>
      </c>
      <c r="F51" s="12" t="s">
        <v>21</v>
      </c>
      <c r="G51" s="3">
        <f t="shared" ref="G51:G59" si="10">IF((C51-D51)&lt;0,0,C51-D51)</f>
        <v>0</v>
      </c>
      <c r="H51" s="4">
        <f t="shared" ref="H51:H59" si="11">IF((D51-C51)&lt;0,0,D51-C51)</f>
        <v>656</v>
      </c>
    </row>
    <row r="52" spans="1:8" ht="27.75" customHeight="1">
      <c r="A52" s="10">
        <v>7</v>
      </c>
      <c r="B52" s="11" t="s">
        <v>16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13</v>
      </c>
      <c r="C53" s="10"/>
      <c r="D53" s="10">
        <v>656</v>
      </c>
      <c r="E53" s="10">
        <v>2024</v>
      </c>
      <c r="F53" s="12" t="s">
        <v>21</v>
      </c>
      <c r="G53" s="3">
        <f t="shared" si="10"/>
        <v>0</v>
      </c>
      <c r="H53" s="4">
        <f t="shared" si="11"/>
        <v>656</v>
      </c>
    </row>
    <row r="54" spans="1:8" ht="27.75" customHeight="1">
      <c r="A54" s="10">
        <v>7</v>
      </c>
      <c r="B54" s="11" t="s">
        <v>22</v>
      </c>
      <c r="C54" s="10"/>
      <c r="D54" s="10">
        <v>656</v>
      </c>
      <c r="E54" s="10">
        <v>2026</v>
      </c>
      <c r="F54" s="12" t="s">
        <v>21</v>
      </c>
      <c r="G54" s="3">
        <f t="shared" si="10"/>
        <v>0</v>
      </c>
      <c r="H54" s="4">
        <f t="shared" si="11"/>
        <v>656</v>
      </c>
    </row>
    <row r="55" spans="1:8" ht="39" customHeight="1">
      <c r="A55" s="10">
        <v>7</v>
      </c>
      <c r="B55" s="11" t="s">
        <v>17</v>
      </c>
      <c r="C55" s="10"/>
      <c r="D55" s="10">
        <v>656</v>
      </c>
      <c r="E55" s="10">
        <v>2025</v>
      </c>
      <c r="F55" s="12" t="s">
        <v>21</v>
      </c>
      <c r="G55" s="3">
        <f t="shared" si="10"/>
        <v>0</v>
      </c>
      <c r="H55" s="4">
        <f t="shared" si="11"/>
        <v>656</v>
      </c>
    </row>
    <row r="56" spans="1:8" ht="27.75" customHeight="1">
      <c r="A56" s="10">
        <v>7</v>
      </c>
      <c r="B56" s="11" t="s">
        <v>14</v>
      </c>
      <c r="C56" s="10"/>
      <c r="D56" s="10">
        <v>656</v>
      </c>
      <c r="E56" s="10">
        <v>2025</v>
      </c>
      <c r="F56" s="12" t="s">
        <v>21</v>
      </c>
      <c r="G56" s="3">
        <f t="shared" si="10"/>
        <v>0</v>
      </c>
      <c r="H56" s="4">
        <f t="shared" si="11"/>
        <v>656</v>
      </c>
    </row>
    <row r="57" spans="1:8" ht="27.75" customHeight="1">
      <c r="A57" s="10">
        <v>7</v>
      </c>
      <c r="B57" s="11" t="s">
        <v>18</v>
      </c>
      <c r="C57" s="10"/>
      <c r="D57" s="10">
        <v>656</v>
      </c>
      <c r="E57" s="10">
        <v>2025</v>
      </c>
      <c r="F57" s="12" t="s">
        <v>21</v>
      </c>
      <c r="G57" s="3">
        <f t="shared" si="10"/>
        <v>0</v>
      </c>
      <c r="H57" s="4">
        <f t="shared" si="11"/>
        <v>656</v>
      </c>
    </row>
    <row r="58" spans="1:8" ht="27.75" customHeight="1">
      <c r="A58" s="10">
        <v>7</v>
      </c>
      <c r="B58" s="11" t="s">
        <v>23</v>
      </c>
      <c r="C58" s="10"/>
      <c r="D58" s="10">
        <v>656</v>
      </c>
      <c r="E58" s="10">
        <v>2025</v>
      </c>
      <c r="F58" s="12" t="s">
        <v>21</v>
      </c>
      <c r="G58" s="3">
        <f t="shared" si="10"/>
        <v>0</v>
      </c>
      <c r="H58" s="4">
        <f t="shared" si="11"/>
        <v>656</v>
      </c>
    </row>
    <row r="59" spans="1:8" ht="27.75" customHeight="1">
      <c r="A59" s="10">
        <v>7</v>
      </c>
      <c r="B59" s="11" t="s">
        <v>20</v>
      </c>
      <c r="C59" s="10"/>
      <c r="D59" s="10">
        <v>656</v>
      </c>
      <c r="E59" s="10">
        <v>2025</v>
      </c>
      <c r="F59" s="12" t="s">
        <v>21</v>
      </c>
      <c r="G59" s="3">
        <f t="shared" si="10"/>
        <v>0</v>
      </c>
      <c r="H59" s="4">
        <f t="shared" si="11"/>
        <v>656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15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16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13</v>
      </c>
      <c r="C63" s="10"/>
      <c r="D63" s="10">
        <v>534</v>
      </c>
      <c r="E63" s="10">
        <v>2025</v>
      </c>
      <c r="F63" s="12" t="s">
        <v>21</v>
      </c>
      <c r="G63" s="3">
        <f t="shared" si="12"/>
        <v>0</v>
      </c>
      <c r="H63" s="4">
        <f t="shared" si="13"/>
        <v>534</v>
      </c>
    </row>
    <row r="64" spans="1:8" ht="27.75" customHeight="1">
      <c r="A64" s="10">
        <v>8</v>
      </c>
      <c r="B64" s="11" t="s">
        <v>22</v>
      </c>
      <c r="C64" s="10"/>
      <c r="D64" s="10">
        <v>534</v>
      </c>
      <c r="E64" s="10">
        <v>2025</v>
      </c>
      <c r="F64" s="12" t="s">
        <v>21</v>
      </c>
      <c r="G64" s="3">
        <f t="shared" si="12"/>
        <v>0</v>
      </c>
      <c r="H64" s="4">
        <f t="shared" si="13"/>
        <v>534</v>
      </c>
    </row>
    <row r="65" spans="1:9" ht="27.75" customHeight="1">
      <c r="A65" s="10">
        <v>8</v>
      </c>
      <c r="B65" s="11" t="s">
        <v>24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9" ht="27.75" customHeight="1">
      <c r="A66" s="10">
        <v>8</v>
      </c>
      <c r="B66" s="11" t="s">
        <v>14</v>
      </c>
      <c r="C66" s="10"/>
      <c r="D66" s="10">
        <v>534</v>
      </c>
      <c r="E66" s="10">
        <v>2026</v>
      </c>
      <c r="F66" s="12" t="s">
        <v>21</v>
      </c>
      <c r="G66" s="3">
        <f t="shared" si="12"/>
        <v>0</v>
      </c>
      <c r="H66" s="4">
        <f t="shared" si="13"/>
        <v>534</v>
      </c>
      <c r="I66" t="s">
        <v>25</v>
      </c>
    </row>
    <row r="67" spans="1:9" ht="27.75" customHeight="1">
      <c r="A67" s="10">
        <v>8</v>
      </c>
      <c r="B67" s="11" t="s">
        <v>18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9" ht="27.75" customHeight="1">
      <c r="A68" s="10">
        <v>8</v>
      </c>
      <c r="B68" s="11" t="s">
        <v>23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9" ht="27.75" customHeight="1">
      <c r="A69" s="10">
        <v>8</v>
      </c>
      <c r="B69" s="11" t="s">
        <v>20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9" ht="27.75" customHeight="1">
      <c r="A70" s="7"/>
      <c r="B70" s="7"/>
      <c r="C70" s="8"/>
      <c r="D70" s="8"/>
      <c r="E70" s="8"/>
      <c r="F70" s="7"/>
      <c r="G70" s="7"/>
      <c r="H70" s="7"/>
    </row>
    <row r="71" spans="1:9" ht="27.75" customHeight="1">
      <c r="A71" s="10">
        <v>9</v>
      </c>
      <c r="B71" s="11" t="s">
        <v>15</v>
      </c>
      <c r="C71" s="10"/>
      <c r="D71" s="10"/>
      <c r="E71" s="10"/>
      <c r="F71" s="12"/>
      <c r="G71" s="3">
        <f t="shared" ref="G71:I80" si="14">IF((C71-D71)&lt;0,0,C71-D71)</f>
        <v>0</v>
      </c>
      <c r="H71" s="4">
        <f t="shared" ref="H71:H80" si="15">IF((D71-C71)&lt;0,0,D71-C71)</f>
        <v>0</v>
      </c>
    </row>
    <row r="72" spans="1:9" ht="27.75" customHeight="1">
      <c r="A72" s="10">
        <v>9</v>
      </c>
      <c r="B72" s="11" t="s">
        <v>16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9" ht="27.75" customHeight="1">
      <c r="A73" s="10">
        <v>9</v>
      </c>
      <c r="B73" s="11" t="s">
        <v>13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9" ht="27.75" customHeight="1">
      <c r="A74" s="10">
        <v>9</v>
      </c>
      <c r="B74" s="11" t="s">
        <v>22</v>
      </c>
      <c r="C74" s="10"/>
      <c r="D74" s="10">
        <v>675</v>
      </c>
      <c r="E74" s="10"/>
      <c r="F74" s="12"/>
      <c r="G74" s="3">
        <f t="shared" si="14"/>
        <v>0</v>
      </c>
      <c r="H74" s="4">
        <f t="shared" si="15"/>
        <v>675</v>
      </c>
      <c r="I74">
        <v>2023</v>
      </c>
    </row>
    <row r="75" spans="1:9" ht="27.75" customHeight="1">
      <c r="A75" s="10">
        <v>9</v>
      </c>
      <c r="B75" s="11" t="s">
        <v>24</v>
      </c>
      <c r="C75" s="10"/>
      <c r="D75" s="10">
        <v>675</v>
      </c>
      <c r="E75" s="10"/>
      <c r="F75" s="12"/>
      <c r="G75" s="3">
        <f t="shared" si="14"/>
        <v>0</v>
      </c>
      <c r="H75" s="4">
        <f t="shared" si="15"/>
        <v>675</v>
      </c>
      <c r="I75">
        <v>2023</v>
      </c>
    </row>
    <row r="76" spans="1:9" ht="27.75" customHeight="1">
      <c r="A76" s="10">
        <v>9</v>
      </c>
      <c r="B76" s="11" t="s">
        <v>14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9" ht="27.75" customHeight="1">
      <c r="A77" s="10">
        <v>9</v>
      </c>
      <c r="B77" s="11" t="s">
        <v>18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9" ht="27.75" customHeight="1">
      <c r="A78" s="40">
        <v>9</v>
      </c>
      <c r="B78" s="41" t="s">
        <v>23</v>
      </c>
      <c r="C78" s="40"/>
      <c r="D78" s="40"/>
      <c r="E78" s="40"/>
      <c r="F78" s="42"/>
      <c r="G78" s="3">
        <f t="shared" si="14"/>
        <v>0</v>
      </c>
      <c r="H78" s="4">
        <f t="shared" si="15"/>
        <v>0</v>
      </c>
    </row>
    <row r="79" spans="1:9" ht="27.75" customHeight="1">
      <c r="A79" s="10">
        <v>9</v>
      </c>
      <c r="B79" s="11" t="s">
        <v>20</v>
      </c>
      <c r="C79" s="10"/>
      <c r="D79" s="10"/>
      <c r="E79" s="40"/>
      <c r="F79" s="10"/>
      <c r="G79" s="13">
        <f t="shared" si="14"/>
        <v>0</v>
      </c>
      <c r="H79" s="4">
        <f t="shared" si="15"/>
        <v>0</v>
      </c>
    </row>
    <row r="80" spans="1:9" ht="27.75" customHeight="1">
      <c r="A80" s="10">
        <v>9</v>
      </c>
      <c r="B80" s="11" t="s">
        <v>26</v>
      </c>
      <c r="C80" s="10"/>
      <c r="D80" s="10">
        <v>745</v>
      </c>
      <c r="E80" s="40">
        <v>2025</v>
      </c>
      <c r="F80" s="10" t="s">
        <v>27</v>
      </c>
      <c r="G80" s="13">
        <f t="shared" si="14"/>
        <v>0</v>
      </c>
      <c r="H80" s="4">
        <f t="shared" si="15"/>
        <v>745</v>
      </c>
    </row>
    <row r="81" spans="1:8" ht="27.75" customHeight="1">
      <c r="A81" s="7"/>
      <c r="B81" s="8"/>
      <c r="C81" s="8"/>
      <c r="D81" s="8"/>
      <c r="E81" s="8"/>
      <c r="F81" s="7"/>
      <c r="G81" s="7"/>
      <c r="H81" s="7"/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ref="G82:G90" si="16">IF((C82-D82)&lt;0,0,C82-D82)</f>
        <v>0</v>
      </c>
      <c r="H82" s="4">
        <f t="shared" ref="H82:H90" si="17">IF((D82-C82)&lt;0,0,D82-C82)</f>
        <v>0</v>
      </c>
    </row>
    <row r="83" spans="1:8" ht="27.75" customHeight="1">
      <c r="A83" s="10">
        <v>10</v>
      </c>
      <c r="B83" s="11" t="s">
        <v>16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13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22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24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14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18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23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40">
        <v>10</v>
      </c>
      <c r="B90" s="41" t="s">
        <v>20</v>
      </c>
      <c r="C90" s="40"/>
      <c r="D90" s="40"/>
      <c r="E90" s="10"/>
      <c r="F90" s="42"/>
      <c r="G90" s="3">
        <f t="shared" si="16"/>
        <v>0</v>
      </c>
      <c r="H90" s="4">
        <f t="shared" si="17"/>
        <v>0</v>
      </c>
    </row>
    <row r="91" spans="1:8" ht="27.75" customHeight="1">
      <c r="A91" s="10">
        <v>10</v>
      </c>
      <c r="B91" s="11" t="s">
        <v>28</v>
      </c>
      <c r="C91" s="10"/>
      <c r="D91" s="10">
        <v>753</v>
      </c>
      <c r="E91" s="10">
        <v>2024</v>
      </c>
      <c r="F91" s="10" t="s">
        <v>21</v>
      </c>
      <c r="G91" s="13">
        <f t="shared" ref="G91" si="18">IF((C91-D91)&lt;0,0,C91-D91)</f>
        <v>0</v>
      </c>
      <c r="H91" s="4">
        <f t="shared" ref="H91" si="19">IF((D91-C91)&lt;0,0,D91-C91)</f>
        <v>753</v>
      </c>
    </row>
    <row r="92" spans="1:8" ht="27.75" customHeight="1">
      <c r="A92" s="7"/>
      <c r="B92" s="7"/>
      <c r="C92" s="8"/>
      <c r="D92" s="8"/>
      <c r="E92" s="8"/>
      <c r="F92" s="7"/>
      <c r="G92" s="7"/>
      <c r="H92" s="7"/>
    </row>
    <row r="93" spans="1:8" ht="39.75" customHeight="1">
      <c r="A93" s="1" t="s">
        <v>29</v>
      </c>
      <c r="B93" s="9" t="s">
        <v>30</v>
      </c>
      <c r="C93" s="1"/>
      <c r="D93" s="1">
        <v>1375</v>
      </c>
      <c r="E93" s="1">
        <v>2024</v>
      </c>
      <c r="F93" s="5" t="s">
        <v>21</v>
      </c>
      <c r="G93" s="3">
        <f t="shared" ref="G93:G100" si="20">IF((C93-D93)&lt;0,0,C93-D93)</f>
        <v>0</v>
      </c>
      <c r="H93" s="4">
        <f t="shared" ref="H93:H100" si="21">IF((D93-C93)&lt;0,0,D93-C93)</f>
        <v>1375</v>
      </c>
    </row>
    <row r="94" spans="1:8" ht="27.75" customHeight="1">
      <c r="A94" s="1" t="s">
        <v>29</v>
      </c>
      <c r="B94" s="9" t="s">
        <v>31</v>
      </c>
      <c r="C94" s="1"/>
      <c r="D94" s="1"/>
      <c r="E94" s="1"/>
      <c r="F94" s="5"/>
      <c r="G94" s="3">
        <f t="shared" si="20"/>
        <v>0</v>
      </c>
      <c r="H94" s="4">
        <f t="shared" si="21"/>
        <v>0</v>
      </c>
    </row>
    <row r="95" spans="1:8" ht="27.75" customHeight="1">
      <c r="A95" s="1" t="s">
        <v>29</v>
      </c>
      <c r="B95" s="9" t="s">
        <v>32</v>
      </c>
      <c r="C95" s="1"/>
      <c r="D95" s="1"/>
      <c r="E95" s="1"/>
      <c r="F95" s="5"/>
      <c r="G95" s="3">
        <f t="shared" si="20"/>
        <v>0</v>
      </c>
      <c r="H95" s="4">
        <f t="shared" si="21"/>
        <v>0</v>
      </c>
    </row>
    <row r="96" spans="1:8" ht="27.75" customHeight="1">
      <c r="A96" s="1" t="s">
        <v>29</v>
      </c>
      <c r="B96" s="9" t="s">
        <v>33</v>
      </c>
      <c r="C96" s="1"/>
      <c r="D96" s="1">
        <v>1375</v>
      </c>
      <c r="E96" s="1">
        <v>2025</v>
      </c>
      <c r="F96" s="5" t="s">
        <v>21</v>
      </c>
      <c r="G96" s="3">
        <f t="shared" si="20"/>
        <v>0</v>
      </c>
      <c r="H96" s="4">
        <f t="shared" si="21"/>
        <v>1375</v>
      </c>
    </row>
    <row r="97" spans="1:8" ht="40.5" customHeight="1">
      <c r="A97" s="1" t="s">
        <v>29</v>
      </c>
      <c r="B97" s="9" t="s">
        <v>34</v>
      </c>
      <c r="C97" s="1"/>
      <c r="D97" s="1">
        <v>1375</v>
      </c>
      <c r="E97" s="1">
        <v>2025</v>
      </c>
      <c r="F97" s="5" t="s">
        <v>21</v>
      </c>
      <c r="G97" s="3">
        <f t="shared" ref="G97" si="22">IF((C97-D97)&lt;0,0,C97-D97)</f>
        <v>0</v>
      </c>
      <c r="H97" s="4">
        <f t="shared" ref="H97" si="23">IF((D97-C97)&lt;0,0,D97-C97)</f>
        <v>1375</v>
      </c>
    </row>
    <row r="98" spans="1:8" ht="38.25" customHeight="1">
      <c r="A98" s="1" t="s">
        <v>29</v>
      </c>
      <c r="B98" s="9" t="s">
        <v>35</v>
      </c>
      <c r="C98" s="1"/>
      <c r="D98" s="1">
        <v>1375</v>
      </c>
      <c r="E98" s="1">
        <v>2025</v>
      </c>
      <c r="F98" s="5" t="s">
        <v>21</v>
      </c>
      <c r="G98" s="3">
        <f t="shared" si="20"/>
        <v>0</v>
      </c>
      <c r="H98" s="4">
        <f t="shared" si="21"/>
        <v>1375</v>
      </c>
    </row>
    <row r="99" spans="1:8" ht="39" customHeight="1">
      <c r="A99" s="1" t="s">
        <v>29</v>
      </c>
      <c r="B99" s="44" t="s">
        <v>36</v>
      </c>
      <c r="C99" s="1"/>
      <c r="D99" s="1">
        <v>1375</v>
      </c>
      <c r="E99" s="1">
        <v>2025</v>
      </c>
      <c r="F99" s="5" t="s">
        <v>21</v>
      </c>
      <c r="G99" s="3">
        <f t="shared" si="20"/>
        <v>0</v>
      </c>
      <c r="H99" s="4">
        <f t="shared" si="21"/>
        <v>1375</v>
      </c>
    </row>
    <row r="100" spans="1:8" ht="42.75" customHeight="1">
      <c r="A100" s="29" t="s">
        <v>29</v>
      </c>
      <c r="B100" s="30" t="s">
        <v>37</v>
      </c>
      <c r="C100" s="29"/>
      <c r="D100" s="29">
        <v>1375</v>
      </c>
      <c r="E100" s="1">
        <v>2025</v>
      </c>
      <c r="F100" s="31" t="s">
        <v>21</v>
      </c>
      <c r="G100" s="3">
        <f t="shared" si="20"/>
        <v>0</v>
      </c>
      <c r="H100" s="4">
        <f t="shared" si="21"/>
        <v>1375</v>
      </c>
    </row>
    <row r="101" spans="1:8" ht="37.5" customHeight="1">
      <c r="A101" s="1" t="s">
        <v>29</v>
      </c>
      <c r="B101" s="9" t="s">
        <v>38</v>
      </c>
      <c r="C101" s="1"/>
      <c r="D101" s="1">
        <v>401</v>
      </c>
      <c r="E101" s="1">
        <v>2024</v>
      </c>
      <c r="F101" s="1" t="s">
        <v>21</v>
      </c>
      <c r="G101" s="3">
        <f t="shared" ref="G101:G105" si="24">IF((C101-D101)&lt;0,0,C101-D101)</f>
        <v>0</v>
      </c>
      <c r="H101" s="4">
        <f t="shared" ref="H101:H105" si="25">IF((D101-C101)&lt;0,0,D101-C101)</f>
        <v>401</v>
      </c>
    </row>
    <row r="102" spans="1:8" ht="47.25" customHeight="1">
      <c r="A102" s="1" t="s">
        <v>29</v>
      </c>
      <c r="B102" s="46" t="s">
        <v>39</v>
      </c>
      <c r="C102" s="1"/>
      <c r="D102" s="1">
        <v>401</v>
      </c>
      <c r="E102" s="1">
        <v>2024</v>
      </c>
      <c r="F102" s="1" t="s">
        <v>21</v>
      </c>
      <c r="G102" s="3">
        <f t="shared" si="24"/>
        <v>0</v>
      </c>
      <c r="H102" s="4">
        <f t="shared" si="25"/>
        <v>401</v>
      </c>
    </row>
    <row r="103" spans="1:8" ht="47.25" customHeight="1">
      <c r="A103" s="1" t="s">
        <v>29</v>
      </c>
      <c r="B103" s="45" t="s">
        <v>40</v>
      </c>
      <c r="C103" s="1"/>
      <c r="D103" s="1">
        <v>401</v>
      </c>
      <c r="E103" s="1">
        <v>2024</v>
      </c>
      <c r="F103" s="1" t="s">
        <v>21</v>
      </c>
      <c r="G103" s="3">
        <f t="shared" si="24"/>
        <v>0</v>
      </c>
      <c r="H103" s="4">
        <f t="shared" si="25"/>
        <v>401</v>
      </c>
    </row>
    <row r="104" spans="1:8" ht="47.25" customHeight="1">
      <c r="A104" s="1" t="s">
        <v>29</v>
      </c>
      <c r="B104" s="9" t="s">
        <v>41</v>
      </c>
      <c r="C104" s="1"/>
      <c r="D104" s="1">
        <v>401</v>
      </c>
      <c r="E104" s="1">
        <v>2024</v>
      </c>
      <c r="F104" s="1" t="s">
        <v>21</v>
      </c>
      <c r="G104" s="3">
        <f t="shared" si="24"/>
        <v>0</v>
      </c>
      <c r="H104" s="4">
        <f t="shared" si="25"/>
        <v>401</v>
      </c>
    </row>
    <row r="105" spans="1:8" ht="47.25" customHeight="1">
      <c r="A105" s="29" t="s">
        <v>29</v>
      </c>
      <c r="B105" s="30" t="s">
        <v>42</v>
      </c>
      <c r="C105" s="29"/>
      <c r="D105" s="29">
        <v>179</v>
      </c>
      <c r="E105" s="1">
        <v>2024</v>
      </c>
      <c r="F105" s="1" t="s">
        <v>21</v>
      </c>
      <c r="G105" s="3">
        <f t="shared" si="24"/>
        <v>0</v>
      </c>
      <c r="H105" s="4">
        <f t="shared" si="25"/>
        <v>179</v>
      </c>
    </row>
    <row r="106" spans="1:8" ht="47.25" customHeight="1">
      <c r="A106" s="29" t="s">
        <v>29</v>
      </c>
      <c r="B106" s="30" t="s">
        <v>43</v>
      </c>
      <c r="C106" s="29"/>
      <c r="D106" s="29">
        <v>1375</v>
      </c>
      <c r="E106" s="1">
        <v>2024</v>
      </c>
      <c r="F106" s="43" t="s">
        <v>21</v>
      </c>
      <c r="G106" s="3">
        <f t="shared" ref="G106" si="26">IF((C106-D106)&lt;0,0,C106-D106)</f>
        <v>0</v>
      </c>
      <c r="H106" s="4">
        <f t="shared" ref="H106" si="27">IF((D106-C106)&lt;0,0,D106-C106)</f>
        <v>1375</v>
      </c>
    </row>
    <row r="107" spans="1:8" ht="47.25" customHeight="1">
      <c r="A107" s="29" t="s">
        <v>29</v>
      </c>
      <c r="B107" s="30" t="s">
        <v>44</v>
      </c>
      <c r="C107" s="29"/>
      <c r="D107" s="29">
        <v>1375</v>
      </c>
      <c r="E107" s="1">
        <v>2024</v>
      </c>
      <c r="F107" s="43" t="s">
        <v>21</v>
      </c>
      <c r="G107" s="3">
        <f t="shared" ref="G107" si="28">IF((C107-D107)&lt;0,0,C107-D107)</f>
        <v>0</v>
      </c>
      <c r="H107" s="4">
        <f t="shared" ref="H107" si="29">IF((D107-C107)&lt;0,0,D107-C107)</f>
        <v>1375</v>
      </c>
    </row>
    <row r="108" spans="1:8" ht="75" customHeight="1">
      <c r="A108" s="47" t="s">
        <v>29</v>
      </c>
      <c r="B108" s="48" t="s">
        <v>45</v>
      </c>
      <c r="C108" s="1"/>
      <c r="D108" s="1">
        <v>1375</v>
      </c>
      <c r="E108" s="1">
        <v>2025</v>
      </c>
      <c r="F108" s="43" t="s">
        <v>21</v>
      </c>
      <c r="G108" s="3">
        <f>IF((C108-D108)&lt;0,0,C108-D108)</f>
        <v>0</v>
      </c>
      <c r="H108" s="4">
        <f t="shared" ref="H108" si="30">IF((D108-C108)&lt;0,0,D108-C108)</f>
        <v>1375</v>
      </c>
    </row>
    <row r="109" spans="1:8" ht="15"/>
  </sheetData>
  <protectedRanges>
    <protectedRange sqref="C1:E108" name="Textbooks"/>
    <protectedRange sqref="F1:F108" name="SOURCE"/>
  </protectedRanges>
  <phoneticPr fontId="8" type="noConversion"/>
  <dataValidations count="2">
    <dataValidation type="list" allowBlank="1" showInputMessage="1" showErrorMessage="1" sqref="E2:E6 E8:E12 E14:E19 E21:E29 E31:E39 E41:E49 E51:E59 E61:E69 E71:E80 E82:E91 E93:E108" xr:uid="{B46E7B13-721E-4D49-837E-C02BF9777D48}">
      <formula1>"2024,2025,2026"</formula1>
    </dataValidation>
    <dataValidation type="list" allowBlank="1" showInputMessage="1" showErrorMessage="1" sqref="F14:F19 F21:F29 F31:F39 F41:F49 F51:F59 F61:F69 F71:F80 F82:F91 F2:F6 F8:F12 F93:F10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abSelected="1" topLeftCell="J16" zoomScale="70" zoomScaleNormal="70" workbookViewId="0">
      <selection activeCell="N21" sqref="N21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52" t="s">
        <v>46</v>
      </c>
      <c r="E1" s="52"/>
      <c r="F1" s="52"/>
      <c r="G1" s="52"/>
      <c r="H1" s="52"/>
      <c r="I1" s="52"/>
      <c r="J1" s="53" t="s">
        <v>47</v>
      </c>
      <c r="K1" s="53"/>
      <c r="L1" s="53"/>
      <c r="M1" s="53"/>
      <c r="N1" s="53"/>
      <c r="O1" s="53"/>
      <c r="P1" s="54" t="s">
        <v>48</v>
      </c>
      <c r="Q1" s="54"/>
      <c r="R1" s="54"/>
      <c r="S1" s="54"/>
      <c r="T1" s="54"/>
      <c r="U1" s="54"/>
      <c r="V1" s="55" t="s">
        <v>49</v>
      </c>
      <c r="W1" s="55"/>
      <c r="X1" s="55"/>
      <c r="Y1" s="55"/>
      <c r="Z1" s="55"/>
      <c r="AA1" s="5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50</v>
      </c>
      <c r="E2" s="20" t="s">
        <v>51</v>
      </c>
      <c r="F2" s="21" t="s">
        <v>52</v>
      </c>
      <c r="G2" s="24" t="s">
        <v>53</v>
      </c>
      <c r="H2" s="17" t="s">
        <v>54</v>
      </c>
      <c r="I2" s="24" t="s">
        <v>55</v>
      </c>
      <c r="J2" s="22" t="s">
        <v>56</v>
      </c>
      <c r="K2" s="22" t="s">
        <v>57</v>
      </c>
      <c r="L2" s="23" t="s">
        <v>58</v>
      </c>
      <c r="M2" s="49" t="s">
        <v>59</v>
      </c>
      <c r="N2" s="49" t="s">
        <v>60</v>
      </c>
      <c r="O2" s="22" t="s">
        <v>61</v>
      </c>
      <c r="P2" s="24" t="s">
        <v>62</v>
      </c>
      <c r="Q2" s="24" t="s">
        <v>63</v>
      </c>
      <c r="R2" s="25" t="s">
        <v>64</v>
      </c>
      <c r="S2" s="17" t="s">
        <v>65</v>
      </c>
      <c r="T2" s="17" t="s">
        <v>66</v>
      </c>
      <c r="U2" s="24" t="s">
        <v>67</v>
      </c>
      <c r="V2" s="26" t="s">
        <v>68</v>
      </c>
      <c r="W2" s="26" t="s">
        <v>69</v>
      </c>
      <c r="X2" s="27" t="s">
        <v>70</v>
      </c>
      <c r="Y2" s="50" t="s">
        <v>71</v>
      </c>
      <c r="Z2" s="50" t="s">
        <v>72</v>
      </c>
      <c r="AA2" s="26" t="s">
        <v>73</v>
      </c>
    </row>
    <row r="3" spans="1:27" ht="30.6" customHeight="1">
      <c r="A3" s="39" t="s">
        <v>74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9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11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5">
      <c r="A11" s="1">
        <v>1</v>
      </c>
      <c r="B11" s="9" t="s">
        <v>16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5">
      <c r="A12" s="1">
        <v>1</v>
      </c>
      <c r="B12" s="9" t="s">
        <v>75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9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5">
      <c r="A19" s="1">
        <v>2</v>
      </c>
      <c r="B19" s="9" t="s">
        <v>16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5">
      <c r="A21" s="1">
        <v>2</v>
      </c>
      <c r="B21" s="9" t="s">
        <v>75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8.25">
      <c r="A23" s="1">
        <v>3</v>
      </c>
      <c r="B23" s="2" t="s">
        <v>9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5">
      <c r="A30" s="1">
        <v>3</v>
      </c>
      <c r="B30" s="9" t="s">
        <v>16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5">
      <c r="A31" s="1">
        <v>3</v>
      </c>
      <c r="B31" s="9" t="s">
        <v>75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15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5">
      <c r="A34" s="1">
        <v>4</v>
      </c>
      <c r="B34" s="9" t="s">
        <v>16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38.25">
      <c r="A37" s="1">
        <v>4</v>
      </c>
      <c r="B37" s="9" t="s">
        <v>17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5">
      <c r="A39" s="1">
        <v>4</v>
      </c>
      <c r="B39" s="9" t="s">
        <v>18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5">
      <c r="A40" s="1">
        <v>4</v>
      </c>
      <c r="B40" s="9" t="s">
        <v>19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5">
      <c r="A41" s="1">
        <v>4</v>
      </c>
      <c r="B41" s="9" t="s">
        <v>20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15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5">
      <c r="A44" s="1">
        <v>5</v>
      </c>
      <c r="B44" s="9" t="s">
        <v>16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38.25">
      <c r="A47" s="1">
        <v>5</v>
      </c>
      <c r="B47" s="9" t="s">
        <v>17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5">
      <c r="A49" s="1">
        <v>5</v>
      </c>
      <c r="B49" s="9" t="s">
        <v>18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5">
      <c r="A50" s="1">
        <v>5</v>
      </c>
      <c r="B50" s="9" t="s">
        <v>19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5">
      <c r="A51" s="1">
        <v>5</v>
      </c>
      <c r="B51" s="9" t="s">
        <v>20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15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5">
      <c r="A54" s="1">
        <v>6</v>
      </c>
      <c r="B54" s="9" t="s">
        <v>16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38.25">
      <c r="A57" s="1">
        <v>6</v>
      </c>
      <c r="B57" s="9" t="s">
        <v>17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5">
      <c r="A59" s="1">
        <v>6</v>
      </c>
      <c r="B59" s="9" t="s">
        <v>18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5">
      <c r="A60" s="1">
        <v>6</v>
      </c>
      <c r="B60" s="9" t="s">
        <v>19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5">
      <c r="A61" s="1">
        <v>6</v>
      </c>
      <c r="B61" s="9" t="s">
        <v>20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15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16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13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22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17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14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18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23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20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15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16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13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22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24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14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18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23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20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5">
      <c r="A83" s="10">
        <v>9</v>
      </c>
      <c r="B83" s="11" t="s">
        <v>15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16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13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22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24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14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18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5">
      <c r="A90" s="10">
        <v>9</v>
      </c>
      <c r="B90" s="11" t="s">
        <v>23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5">
      <c r="A91" s="10">
        <v>9</v>
      </c>
      <c r="B91" s="11" t="s">
        <v>20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15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5">
      <c r="A94" s="10">
        <v>10</v>
      </c>
      <c r="B94" s="11" t="s">
        <v>16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5">
      <c r="A95" s="10">
        <v>10</v>
      </c>
      <c r="B95" s="11" t="s">
        <v>13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5">
      <c r="A96" s="10">
        <v>10</v>
      </c>
      <c r="B96" s="11" t="s">
        <v>22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5">
      <c r="A97" s="10">
        <v>10</v>
      </c>
      <c r="B97" s="11" t="s">
        <v>24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5">
      <c r="A98" s="10">
        <v>10</v>
      </c>
      <c r="B98" s="11" t="s">
        <v>14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5">
      <c r="A99" s="10">
        <v>10</v>
      </c>
      <c r="B99" s="11" t="s">
        <v>18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5">
      <c r="A100" s="10">
        <v>10</v>
      </c>
      <c r="B100" s="11" t="s">
        <v>23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5">
      <c r="A101" s="10">
        <v>10</v>
      </c>
      <c r="B101" s="11" t="s">
        <v>20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29</v>
      </c>
      <c r="B103" s="9" t="s">
        <v>30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5">
      <c r="A104" s="1" t="s">
        <v>29</v>
      </c>
      <c r="B104" s="9" t="s">
        <v>31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5">
      <c r="A105" s="1" t="s">
        <v>29</v>
      </c>
      <c r="B105" s="9" t="s">
        <v>32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5">
      <c r="A106" s="1" t="s">
        <v>29</v>
      </c>
      <c r="B106" s="9" t="s">
        <v>33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25">
      <c r="A107" s="1" t="s">
        <v>29</v>
      </c>
      <c r="B107" s="9" t="s">
        <v>76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38.25">
      <c r="A108" s="1" t="s">
        <v>29</v>
      </c>
      <c r="B108" s="9" t="s">
        <v>35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57.75">
      <c r="A109" s="1" t="s">
        <v>29</v>
      </c>
      <c r="B109" s="9" t="s">
        <v>36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25">
      <c r="A110" s="1" t="s">
        <v>29</v>
      </c>
      <c r="B110" s="9" t="s">
        <v>37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5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5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5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5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5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5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5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5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5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5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5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5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5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5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5">
      <c r="A127" s="29"/>
      <c r="B127" s="30"/>
      <c r="C127" s="29"/>
      <c r="D127" s="5"/>
      <c r="E127" s="31"/>
      <c r="F127" s="1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</sheetData>
  <protectedRanges>
    <protectedRange sqref="C2:C3 C14:C21 C23:C31 C33:C41 C43:C51 C53:C61 C63:C71 C73:C81 C83:C91 C93:C101 C103:C110 C112:C127 C5:C12" name="Textbooks"/>
    <protectedRange sqref="J2:L3 D2:F3 H5:L5 Q14:R21 W14:X21 Q23:R31 W23:X31 H33:I41 Q33:R41 W33:X41 H43:I51 Q43:R51 W43:X51 H53:I61 Q53:R61 W53:X61 D63:F71 H63:I71 Q63:R71 W63:X71 D73:F81 H73:I81 Q73:R81 W73:X81 H83:I91 Q83:R91 W83:X91 H93:I101 Q93:R101 W93:X101 H103:I110 Q103:R110 W103:X110 H112:I127 N127:R127 W112:X127 H14:I21 H23:I31 H6:I12 K6:L12 K33:L41 K43:L51 K53:L61 K63:L71 K73:L81 K83:L91 K93:L101 K103:L110 K112:L127 K14:L21 K23:L31 Q112:R126 P2:R2 V2:X3 N13:P126 T13:V127 J6:J127 N5:R12 T5:X12 N4:P4 T4:V4 J4 Z4:AA127 N3:R3 Y13 D5:F12 D14:F21 D23:F31 D33:F41 D43:F51 D53:F61 D83:F91 D93:F101 D103:F110 D112:F127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6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112:X127 L112:L127 R5:R12 R14:R21 R23:R31 R33:R41 R43:R51 R53:R61 R63:R71 R73:R81 R83:R91 R93:R101 R103:R110 R112:R127 X5:X12 X14:X21 X23:X31 X33:X41 X43:X51 X53:X61 X63:X71 X73:X81 X83:X91 X93:X101 X103:X110" xr:uid="{4ECCD083-8EC4-42EE-B46C-B614411F330D}">
      <formula1>"2024,2025  ,2026"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  <dataValidation type="list" allowBlank="1" showInputMessage="1" showErrorMessage="1" sqref="F5:F12 F14:F21 F23:F31 F33:F41 F43:F51 F53:F61 F63:F71 F73:F81 F83:F91 F93:F101 F103:F110 F112:F127" xr:uid="{F12350F8-FEB3-48A7-8305-7F8EB7131329}">
      <formula1>"2024,2025,2026"</formula1>
    </dataValidation>
    <dataValidation type="list" allowBlank="1" showInputMessage="1" showErrorMessage="1" sqref="L103:L110 L14:L21 L23:L31 L33:L41 L43:L51 L53:L61 L63:L71 L73:L81 L83:L91 L93:L101" xr:uid="{8C48DCDE-8840-45A4-9BA5-BE075FE3168D}">
      <formula1>"2024,2025 ,2026"</formula1>
    </dataValidation>
    <dataValidation type="list" allowBlank="1" showInputMessage="1" showErrorMessage="1" sqref="L5:L12" xr:uid="{6FDBBCEA-BC2C-4ABF-9153-459861705D8D}">
      <formula1>"2024,2025 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opLeftCell="T1" zoomScale="55" zoomScaleNormal="55" workbookViewId="0">
      <selection activeCell="AD7" sqref="AD7"/>
    </sheetView>
  </sheetViews>
  <sheetFormatPr defaultRowHeight="13.9"/>
  <cols>
    <col min="1" max="1" width="9.42578125" customWidth="1"/>
    <col min="2" max="2" width="37.4257812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52" t="s">
        <v>46</v>
      </c>
      <c r="E1" s="52"/>
      <c r="F1" s="52"/>
      <c r="G1" s="52"/>
      <c r="H1" s="52"/>
      <c r="I1" s="52"/>
      <c r="J1" s="53" t="s">
        <v>47</v>
      </c>
      <c r="K1" s="53"/>
      <c r="L1" s="53"/>
      <c r="M1" s="53"/>
      <c r="N1" s="53"/>
      <c r="O1" s="53"/>
      <c r="P1" s="54" t="s">
        <v>48</v>
      </c>
      <c r="Q1" s="54"/>
      <c r="R1" s="54"/>
      <c r="S1" s="54"/>
      <c r="T1" s="54"/>
      <c r="U1" s="54"/>
      <c r="V1" s="55" t="s">
        <v>49</v>
      </c>
      <c r="W1" s="55"/>
      <c r="X1" s="55"/>
      <c r="Y1" s="55"/>
      <c r="Z1" s="55"/>
      <c r="AA1" s="5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77</v>
      </c>
      <c r="E2" s="20" t="s">
        <v>78</v>
      </c>
      <c r="F2" s="21" t="s">
        <v>79</v>
      </c>
      <c r="G2" s="24" t="s">
        <v>80</v>
      </c>
      <c r="H2" s="17" t="s">
        <v>81</v>
      </c>
      <c r="I2" s="24" t="s">
        <v>82</v>
      </c>
      <c r="J2" s="22" t="s">
        <v>83</v>
      </c>
      <c r="K2" s="22" t="s">
        <v>84</v>
      </c>
      <c r="L2" s="23" t="s">
        <v>85</v>
      </c>
      <c r="M2" s="49" t="s">
        <v>86</v>
      </c>
      <c r="N2" s="49" t="s">
        <v>87</v>
      </c>
      <c r="O2" s="22" t="s">
        <v>88</v>
      </c>
      <c r="P2" s="24" t="s">
        <v>89</v>
      </c>
      <c r="Q2" s="24" t="s">
        <v>90</v>
      </c>
      <c r="R2" s="25" t="s">
        <v>91</v>
      </c>
      <c r="S2" s="17" t="s">
        <v>92</v>
      </c>
      <c r="T2" s="17" t="s">
        <v>93</v>
      </c>
      <c r="U2" s="24" t="s">
        <v>94</v>
      </c>
      <c r="V2" s="26" t="s">
        <v>95</v>
      </c>
      <c r="W2" s="26" t="s">
        <v>96</v>
      </c>
      <c r="X2" s="27" t="s">
        <v>97</v>
      </c>
      <c r="Y2" s="50" t="s">
        <v>98</v>
      </c>
      <c r="Z2" s="50" t="s">
        <v>99</v>
      </c>
      <c r="AA2" s="26" t="s">
        <v>100</v>
      </c>
    </row>
    <row r="3" spans="1:27" ht="19.149999999999999">
      <c r="A3" s="1">
        <v>1</v>
      </c>
      <c r="B3" s="2" t="s">
        <v>9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10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5">
      <c r="A5" s="1">
        <v>1</v>
      </c>
      <c r="B5" s="2" t="s">
        <v>11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5">
      <c r="A6" s="1">
        <v>1</v>
      </c>
      <c r="B6" s="2" t="s">
        <v>12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5">
      <c r="A7" s="1">
        <v>1</v>
      </c>
      <c r="B7" s="2" t="s">
        <v>13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5">
      <c r="A8" s="1">
        <v>1</v>
      </c>
      <c r="B8" s="9" t="s">
        <v>15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5">
      <c r="A9" s="1">
        <v>1</v>
      </c>
      <c r="B9" s="9" t="s">
        <v>16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5">
      <c r="A10" s="1">
        <v>1</v>
      </c>
      <c r="B10" s="9" t="s">
        <v>75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9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5">
      <c r="A17" s="1">
        <v>2</v>
      </c>
      <c r="B17" s="9" t="s">
        <v>16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5">
      <c r="A19" s="1">
        <v>2</v>
      </c>
      <c r="B19" s="9" t="s">
        <v>75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9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5">
      <c r="A27" s="1">
        <v>3</v>
      </c>
      <c r="B27" s="9" t="s">
        <v>15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5">
      <c r="A28" s="1">
        <v>3</v>
      </c>
      <c r="B28" s="9" t="s">
        <v>16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5">
      <c r="A29" s="1">
        <v>3</v>
      </c>
      <c r="B29" s="9" t="s">
        <v>75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15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5">
      <c r="A32" s="1">
        <v>4</v>
      </c>
      <c r="B32" s="9" t="s">
        <v>16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5">
      <c r="A35" s="1">
        <v>4</v>
      </c>
      <c r="B35" s="9" t="s">
        <v>17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5">
      <c r="A37" s="37">
        <v>4</v>
      </c>
      <c r="B37" s="9" t="s">
        <v>101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5">
      <c r="A38" s="1">
        <v>4</v>
      </c>
      <c r="B38" s="9" t="s">
        <v>102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5">
      <c r="A39" s="1">
        <v>4</v>
      </c>
      <c r="B39" s="9" t="s">
        <v>19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5">
      <c r="A40" s="37">
        <v>4</v>
      </c>
      <c r="B40" s="9" t="s">
        <v>103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5">
      <c r="A41" s="1">
        <v>4</v>
      </c>
      <c r="B41" s="9" t="s">
        <v>104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15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5">
      <c r="A44" s="1">
        <v>5</v>
      </c>
      <c r="B44" s="9" t="s">
        <v>16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5">
      <c r="A47" s="1">
        <v>5</v>
      </c>
      <c r="B47" s="9" t="s">
        <v>17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5">
      <c r="A49" s="37">
        <v>5</v>
      </c>
      <c r="B49" s="9" t="s">
        <v>101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5">
      <c r="A50" s="1">
        <v>5</v>
      </c>
      <c r="B50" s="9" t="s">
        <v>102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5">
      <c r="A51" s="1">
        <v>5</v>
      </c>
      <c r="B51" s="9" t="s">
        <v>19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5">
      <c r="A52" s="37">
        <v>5</v>
      </c>
      <c r="B52" s="9" t="s">
        <v>103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5">
      <c r="A53" s="1">
        <v>5</v>
      </c>
      <c r="B53" s="9" t="s">
        <v>104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15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5">
      <c r="A56" s="1">
        <v>6</v>
      </c>
      <c r="B56" s="9" t="s">
        <v>16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5">
      <c r="A59" s="1">
        <v>6</v>
      </c>
      <c r="B59" s="9" t="s">
        <v>17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5">
      <c r="A61" s="37">
        <v>6</v>
      </c>
      <c r="B61" s="9" t="s">
        <v>101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5">
      <c r="A62" s="1">
        <v>6</v>
      </c>
      <c r="B62" s="9" t="s">
        <v>102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5">
      <c r="A63" s="1">
        <v>6</v>
      </c>
      <c r="B63" s="9" t="s">
        <v>19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5">
      <c r="A64" s="37">
        <v>6</v>
      </c>
      <c r="B64" s="9" t="s">
        <v>103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5">
      <c r="A65" s="1">
        <v>6</v>
      </c>
      <c r="B65" s="9" t="s">
        <v>104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15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5">
      <c r="A68" s="10">
        <v>7</v>
      </c>
      <c r="B68" s="11" t="s">
        <v>16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5">
      <c r="A69" s="10">
        <v>7</v>
      </c>
      <c r="B69" s="11" t="s">
        <v>13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5">
      <c r="A70" s="10">
        <v>7</v>
      </c>
      <c r="B70" s="11" t="s">
        <v>22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5">
      <c r="A71" s="10">
        <v>7</v>
      </c>
      <c r="B71" s="11" t="s">
        <v>17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5">
      <c r="A72" s="10">
        <v>7</v>
      </c>
      <c r="B72" s="11" t="s">
        <v>14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5">
      <c r="A73" s="38">
        <v>7</v>
      </c>
      <c r="B73" s="11" t="s">
        <v>101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5">
      <c r="A74" s="10">
        <v>7</v>
      </c>
      <c r="B74" s="11" t="s">
        <v>102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5">
      <c r="A75" s="10">
        <v>7</v>
      </c>
      <c r="B75" s="11" t="s">
        <v>23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5">
      <c r="A76" s="38">
        <v>7</v>
      </c>
      <c r="B76" s="11" t="s">
        <v>103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5">
      <c r="A77" s="10">
        <v>7</v>
      </c>
      <c r="B77" s="11" t="s">
        <v>104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15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5">
      <c r="A80" s="10">
        <v>8</v>
      </c>
      <c r="B80" s="11" t="s">
        <v>16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5">
      <c r="A81" s="10">
        <v>8</v>
      </c>
      <c r="B81" s="11" t="s">
        <v>13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5">
      <c r="A82" s="10">
        <v>8</v>
      </c>
      <c r="B82" s="11" t="s">
        <v>22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5">
      <c r="A83" s="10">
        <v>8</v>
      </c>
      <c r="B83" s="11" t="s">
        <v>24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5">
      <c r="A84" s="10">
        <v>8</v>
      </c>
      <c r="B84" s="11" t="s">
        <v>14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5">
      <c r="A85" s="38">
        <v>8</v>
      </c>
      <c r="B85" s="11" t="s">
        <v>101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5">
      <c r="A86" s="10">
        <v>8</v>
      </c>
      <c r="B86" s="11" t="s">
        <v>102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5">
      <c r="A87" s="10">
        <v>8</v>
      </c>
      <c r="B87" s="11" t="s">
        <v>23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5">
      <c r="A88" s="38">
        <v>8</v>
      </c>
      <c r="B88" s="11" t="s">
        <v>103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5">
      <c r="A89" s="10">
        <v>8</v>
      </c>
      <c r="B89" s="11" t="s">
        <v>104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15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5">
      <c r="A92" s="10">
        <v>9</v>
      </c>
      <c r="B92" s="11" t="s">
        <v>16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5">
      <c r="A93" s="10">
        <v>9</v>
      </c>
      <c r="B93" s="11" t="s">
        <v>13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5">
      <c r="A94" s="10">
        <v>9</v>
      </c>
      <c r="B94" s="11" t="s">
        <v>22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5">
      <c r="A95" s="10">
        <v>9</v>
      </c>
      <c r="B95" s="11" t="s">
        <v>24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5">
      <c r="A96" s="10">
        <v>9</v>
      </c>
      <c r="B96" s="11" t="s">
        <v>14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5">
      <c r="A97" s="38">
        <v>9</v>
      </c>
      <c r="B97" s="11" t="s">
        <v>101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5">
      <c r="A98" s="10">
        <v>9</v>
      </c>
      <c r="B98" s="11" t="s">
        <v>102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5">
      <c r="A99" s="10">
        <v>9</v>
      </c>
      <c r="B99" s="11" t="s">
        <v>23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5">
      <c r="A100" s="38">
        <v>9</v>
      </c>
      <c r="B100" s="11" t="s">
        <v>103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104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15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5">
      <c r="A104" s="10">
        <v>10</v>
      </c>
      <c r="B104" s="11" t="s">
        <v>16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5">
      <c r="A105" s="10">
        <v>10</v>
      </c>
      <c r="B105" s="11" t="s">
        <v>13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5">
      <c r="A106" s="10">
        <v>10</v>
      </c>
      <c r="B106" s="11" t="s">
        <v>22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5">
      <c r="A107" s="10">
        <v>10</v>
      </c>
      <c r="B107" s="11" t="s">
        <v>24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5">
      <c r="A108" s="10">
        <v>10</v>
      </c>
      <c r="B108" s="11" t="s">
        <v>14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5">
      <c r="A109" s="38">
        <v>10</v>
      </c>
      <c r="B109" s="11" t="s">
        <v>101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5">
      <c r="A110" s="10">
        <v>10</v>
      </c>
      <c r="B110" s="11" t="s">
        <v>102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5">
      <c r="A111" s="10">
        <v>10</v>
      </c>
      <c r="B111" s="11" t="s">
        <v>23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5">
      <c r="A112" s="38">
        <v>10</v>
      </c>
      <c r="B112" s="11" t="s">
        <v>103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5">
      <c r="A113" s="10">
        <v>10</v>
      </c>
      <c r="B113" s="11" t="s">
        <v>104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29</v>
      </c>
      <c r="B115" s="9" t="s">
        <v>30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5">
      <c r="A116" s="1" t="s">
        <v>29</v>
      </c>
      <c r="B116" s="9" t="s">
        <v>31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5">
      <c r="A117" s="1" t="s">
        <v>29</v>
      </c>
      <c r="B117" s="9" t="s">
        <v>32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5">
      <c r="A118" s="1" t="s">
        <v>29</v>
      </c>
      <c r="B118" s="9" t="s">
        <v>33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25">
      <c r="A119" s="1" t="s">
        <v>29</v>
      </c>
      <c r="B119" s="9" t="s">
        <v>76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5">
      <c r="A120" s="1" t="s">
        <v>29</v>
      </c>
      <c r="B120" s="9" t="s">
        <v>35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25">
      <c r="A121" s="1" t="s">
        <v>29</v>
      </c>
      <c r="B121" s="9" t="s">
        <v>36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19.5">
      <c r="A122" s="1" t="s">
        <v>29</v>
      </c>
      <c r="B122" s="9" t="s">
        <v>37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115:C122 C103:C113 C91:C101" name="Textbooks"/>
    <protectedRange sqref="J2:L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N31:R41 N43:R53 N55:R65 N67:R77 N79:R89 N91:R101 N103:R113 D2:F10 D12:F19 D21:F29 D31:F41 D43:F53 D55:F65 D67:F77 D79:F89 D91:F101 D103:F113 D115:F122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115:X122 L3:L10 L12:L19 L21:L29 L31:L41 L43:L53 L55:L65 L67:L77 L79:L89 L91:L101 L103:L113 L115:L122 R3:R10 R12:R19 R21:R29 R31:R41 R43:R53 R55:R65 R67:R77 R79:R89 R91:R101 R103:R113 R115:R122 X3:X10 X12:X19 X21:X29 X31:X41 X43:X53 X55:X65 X67:X77 X79:X89 X91:X101 X103:X113" xr:uid="{77F72D89-8371-4D0C-A323-BD25723C617C}">
      <formula1>"2024,2025  ,2026"</formula1>
    </dataValidation>
    <dataValidation type="list" allowBlank="1" showInputMessage="1" showErrorMessage="1" sqref="F3:F10 F12:F19 F21:F29 F31:F41 F43:F53 F55:F65 F67:F77 F79:F89 F91:F101 F103:F113 F115:F122" xr:uid="{2D15AC8C-3178-49C8-AB56-AE47E70BF4A1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2026-02-19T08:18:25Z</dcterms:modified>
  <cp:category/>
  <cp:contentStatus/>
</cp:coreProperties>
</file>