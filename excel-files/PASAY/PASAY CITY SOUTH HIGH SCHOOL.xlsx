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24" documentId="13_ncr:1_{BFB59F67-F0DC-4675-A682-EB0734A8026A}" xr6:coauthVersionLast="47" xr6:coauthVersionMax="47" xr10:uidLastSave="{C1CFB831-C65B-4D68-8469-AD9BD464D7A8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H48" i="1"/>
  <c r="G57" i="1"/>
  <c r="H57" i="1"/>
  <c r="G58" i="1"/>
  <c r="H58" i="1"/>
  <c r="G52" i="1"/>
  <c r="H52" i="1"/>
  <c r="G53" i="1"/>
  <c r="H53" i="1"/>
  <c r="G54" i="1"/>
  <c r="H54" i="1"/>
  <c r="G55" i="1"/>
  <c r="H55" i="1"/>
  <c r="G56" i="1"/>
  <c r="H56" i="1"/>
  <c r="G42" i="1"/>
  <c r="H42" i="1"/>
  <c r="G31" i="1"/>
  <c r="H31" i="1"/>
  <c r="G59" i="1"/>
  <c r="H59" i="1"/>
  <c r="P45" i="5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51" i="1"/>
  <c r="G51" i="1"/>
  <c r="H50" i="1"/>
  <c r="G50" i="1"/>
  <c r="H49" i="1"/>
  <c r="G49" i="1"/>
  <c r="H47" i="1"/>
  <c r="G47" i="1"/>
  <c r="H46" i="1"/>
  <c r="G46" i="1"/>
  <c r="H45" i="1"/>
  <c r="G45" i="1"/>
  <c r="H44" i="1"/>
  <c r="G44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<sst xmlns="http://schemas.openxmlformats.org/spreadsheetml/2006/main" count="281" uniqueCount="98">
  <si>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</si>
  <si>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</si>
  <si>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</si>
  <si>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</si>
  <si>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</si>
  <si>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</si>
  <si>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</si>
  <si>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</si>
  <si>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</si>
  <si>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</si>
  <si>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</si>
  <si>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</si>
  <si>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</si>
  <si>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</si>
  <si>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</si>
  <si>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</si>
  <si>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</si>
  <si>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</si>
  <si>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</si>
  <si>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</si>
  <si>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* DELIVERED 2026</t>
  </si>
  <si>
    <t>Noli Me Tangere</t>
  </si>
  <si>
    <t>RO</t>
  </si>
  <si>
    <t>El Filibusterismo</t>
  </si>
  <si>
    <t>SHS</t>
  </si>
  <si>
    <t>Personal Development</t>
  </si>
  <si>
    <t>HOPE 1 and 2</t>
  </si>
  <si>
    <t>HOPE 3 and 4</t>
  </si>
  <si>
    <t>Physical Science</t>
  </si>
  <si>
    <t xml:space="preserve">Contemporary Arts From the Regions </t>
  </si>
  <si>
    <t>General Mathematics</t>
  </si>
  <si>
    <t>Media and Information Literacy</t>
  </si>
  <si>
    <t>Statistics and Probability</t>
  </si>
  <si>
    <t>Creative Writing</t>
  </si>
  <si>
    <t xml:space="preserve">Trends, Networks and Critical Thinking in the 21st Century </t>
  </si>
  <si>
    <t xml:space="preserve">Discipline and Ideas in the Applies Social Sciences </t>
  </si>
  <si>
    <t xml:space="preserve">Philippine Politics and Governance </t>
  </si>
  <si>
    <t xml:space="preserve">Business Finance </t>
  </si>
  <si>
    <t xml:space="preserve">Earth and Life Science </t>
  </si>
  <si>
    <t xml:space="preserve">Health Optimizing  PE 3 &amp; 4 TX </t>
  </si>
  <si>
    <t xml:space="preserve">SHS Heritage (Understanding Curture, Society &amp; Politics 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</si>
  <si>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</si>
  <si>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</si>
  <si>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</si>
  <si>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</si>
  <si>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</si>
  <si>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</si>
  <si>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</si>
  <si>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</si>
  <si>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</si>
  <si>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</si>
  <si>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</si>
  <si>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</si>
  <si>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</si>
  <si>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</si>
  <si>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</si>
  <si>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</si>
  <si>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</si>
  <si>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</si>
  <si>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</si>
  <si>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</si>
  <si>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</si>
  <si>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</si>
  <si>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</si>
  <si>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</si>
  <si>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</si>
  <si>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</si>
  <si>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</si>
  <si>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</si>
  <si>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Contemporary Philippine Arts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</si>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</sst>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</font>
    <font>
      <sz val="14"/>
      <color theme="1"/>
      <name val="Bookman Old Style"/>
      <family val="1"/>
    </font>
    <font>
      <sz val="12"/>
      <color theme="1"/>
      <name val="Bookman Old Style"/>
      <family val="1"/>
    </font>
    <font>
      <b/>
      <sz val="14"/>
      <color theme="1"/>
      <name val="Bookman Old Style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6" fillId="13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59" totalsRowShown="0" headerRowDxfId="62" headerRowBorderDxfId="60" tableBorderDxfId="61">
  <autoFilter ref="A1:I59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B440FD6A-9C72-4302-A318-4545F0102DD6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zoomScale="85" zoomScaleNormal="85" workbookViewId="0">
      <pane xSplit="2" topLeftCell="C1" activePane="topRight" state="frozen"/>
      <selection pane="topRight" activeCell="B10" sqref="B1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9" max="9" width="16.7109375" customWidth="1"/>
  </cols>
  <sheetData>
    <row r="1" spans="1:9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  <c r="I1" s="44" t="s">
        <v>8</v>
      </c>
    </row>
    <row r="2" spans="1:9" ht="42.75" customHeight="1">
      <c r="A2" s="8">
        <v>7</v>
      </c>
      <c r="B2" s="9" t="s">
        <v>9</v>
      </c>
      <c r="C2" s="8"/>
      <c r="D2" s="8">
        <v>656</v>
      </c>
      <c r="E2" s="8">
        <v>2025</v>
      </c>
      <c r="F2" s="10" t="s">
        <v>10</v>
      </c>
      <c r="G2" s="2">
        <f t="shared" ref="G2:G10" si="0">IF((C2-D2)&lt;0,0,C2-D2)</f>
        <v>0</v>
      </c>
      <c r="H2" s="3">
        <f t="shared" ref="H2:H10" si="1">IF((D2-C2)&lt;0,0,D2-C2)</f>
        <v>656</v>
      </c>
    </row>
    <row r="3" spans="1:9" ht="29.25" customHeight="1">
      <c r="A3" s="8">
        <v>7</v>
      </c>
      <c r="B3" s="9" t="s">
        <v>11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9" ht="21" customHeight="1">
      <c r="A4" s="8">
        <v>7</v>
      </c>
      <c r="B4" s="9" t="s">
        <v>12</v>
      </c>
      <c r="C4" s="8"/>
      <c r="D4" s="8">
        <v>656</v>
      </c>
      <c r="E4" s="8">
        <v>2024</v>
      </c>
      <c r="F4" s="10" t="s">
        <v>10</v>
      </c>
      <c r="G4" s="2">
        <f t="shared" si="0"/>
        <v>0</v>
      </c>
      <c r="H4" s="3">
        <f t="shared" si="1"/>
        <v>656</v>
      </c>
    </row>
    <row r="5" spans="1:9" ht="25.5" customHeight="1">
      <c r="A5" s="8">
        <v>7</v>
      </c>
      <c r="B5" s="9" t="s">
        <v>13</v>
      </c>
      <c r="C5" s="8"/>
      <c r="D5" s="8">
        <v>656</v>
      </c>
      <c r="E5" s="8">
        <v>2026</v>
      </c>
      <c r="F5" s="10" t="s">
        <v>10</v>
      </c>
      <c r="G5" s="2">
        <f t="shared" si="0"/>
        <v>0</v>
      </c>
      <c r="H5" s="3">
        <f t="shared" si="1"/>
        <v>656</v>
      </c>
    </row>
    <row r="6" spans="1:9" ht="38.25">
      <c r="A6" s="8">
        <v>7</v>
      </c>
      <c r="B6" s="9" t="s">
        <v>14</v>
      </c>
      <c r="C6" s="8"/>
      <c r="D6" s="8">
        <v>656</v>
      </c>
      <c r="E6" s="8">
        <v>2025</v>
      </c>
      <c r="F6" s="10" t="s">
        <v>10</v>
      </c>
      <c r="G6" s="2">
        <f t="shared" si="0"/>
        <v>0</v>
      </c>
      <c r="H6" s="3">
        <f t="shared" si="1"/>
        <v>656</v>
      </c>
    </row>
    <row r="7" spans="1:9" ht="19.5">
      <c r="A7" s="8">
        <v>7</v>
      </c>
      <c r="B7" s="9" t="s">
        <v>15</v>
      </c>
      <c r="C7" s="8"/>
      <c r="D7" s="8">
        <v>656</v>
      </c>
      <c r="E7" s="8">
        <v>2025</v>
      </c>
      <c r="F7" s="10" t="s">
        <v>10</v>
      </c>
      <c r="G7" s="2">
        <f t="shared" si="0"/>
        <v>0</v>
      </c>
      <c r="H7" s="3">
        <f t="shared" si="1"/>
        <v>656</v>
      </c>
    </row>
    <row r="8" spans="1:9" ht="39.75" customHeight="1">
      <c r="A8" s="8">
        <v>7</v>
      </c>
      <c r="B8" s="9" t="s">
        <v>16</v>
      </c>
      <c r="C8" s="8"/>
      <c r="D8" s="8">
        <v>656</v>
      </c>
      <c r="E8" s="8">
        <v>2025</v>
      </c>
      <c r="F8" s="10" t="s">
        <v>10</v>
      </c>
      <c r="G8" s="2">
        <f t="shared" si="0"/>
        <v>0</v>
      </c>
      <c r="H8" s="3">
        <f t="shared" si="1"/>
        <v>656</v>
      </c>
    </row>
    <row r="9" spans="1:9" ht="29.25" customHeight="1">
      <c r="A9" s="8">
        <v>7</v>
      </c>
      <c r="B9" s="9" t="s">
        <v>17</v>
      </c>
      <c r="C9" s="8"/>
      <c r="D9" s="8">
        <v>656</v>
      </c>
      <c r="E9" s="8">
        <v>2025</v>
      </c>
      <c r="F9" s="10" t="s">
        <v>10</v>
      </c>
      <c r="G9" s="2">
        <f t="shared" si="0"/>
        <v>0</v>
      </c>
      <c r="H9" s="3">
        <f t="shared" si="1"/>
        <v>656</v>
      </c>
    </row>
    <row r="10" spans="1:9" ht="28.5" customHeight="1">
      <c r="A10" s="8">
        <v>7</v>
      </c>
      <c r="B10" s="9" t="s">
        <v>18</v>
      </c>
      <c r="C10" s="8"/>
      <c r="D10" s="8">
        <v>656</v>
      </c>
      <c r="E10" s="8">
        <v>2025</v>
      </c>
      <c r="F10" s="10" t="s">
        <v>10</v>
      </c>
      <c r="G10" s="2">
        <f t="shared" si="0"/>
        <v>0</v>
      </c>
      <c r="H10" s="3">
        <f t="shared" si="1"/>
        <v>656</v>
      </c>
    </row>
    <row r="11" spans="1:9" ht="24" customHeight="1">
      <c r="A11" s="5"/>
      <c r="B11" s="5"/>
      <c r="C11" s="6"/>
      <c r="D11" s="6"/>
      <c r="E11" s="6"/>
      <c r="F11" s="5"/>
      <c r="G11" s="5"/>
      <c r="H11" s="5"/>
    </row>
    <row r="12" spans="1:9" ht="19.5">
      <c r="A12" s="8">
        <v>8</v>
      </c>
      <c r="B12" s="9" t="s">
        <v>9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9" ht="19.5">
      <c r="A13" s="8">
        <v>8</v>
      </c>
      <c r="B13" s="9" t="s">
        <v>11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9" ht="49.5" customHeight="1">
      <c r="A14" s="8">
        <v>8</v>
      </c>
      <c r="B14" s="9" t="s">
        <v>12</v>
      </c>
      <c r="C14" s="8"/>
      <c r="D14" s="8">
        <v>534</v>
      </c>
      <c r="E14" s="8">
        <v>2025</v>
      </c>
      <c r="F14" s="10" t="s">
        <v>10</v>
      </c>
      <c r="G14" s="2">
        <f t="shared" si="2"/>
        <v>0</v>
      </c>
      <c r="H14" s="3">
        <f t="shared" si="3"/>
        <v>534</v>
      </c>
    </row>
    <row r="15" spans="1:9" ht="29.25" customHeight="1">
      <c r="A15" s="8">
        <v>8</v>
      </c>
      <c r="B15" s="9" t="s">
        <v>13</v>
      </c>
      <c r="C15" s="8"/>
      <c r="D15" s="8">
        <v>534</v>
      </c>
      <c r="E15" s="8">
        <v>2025</v>
      </c>
      <c r="F15" s="10" t="s">
        <v>10</v>
      </c>
      <c r="G15" s="2">
        <f t="shared" si="2"/>
        <v>0</v>
      </c>
      <c r="H15" s="3">
        <f t="shared" si="3"/>
        <v>534</v>
      </c>
    </row>
    <row r="16" spans="1:9" ht="27" customHeight="1">
      <c r="A16" s="8">
        <v>8</v>
      </c>
      <c r="B16" s="9" t="s">
        <v>19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9" ht="23.25" customHeight="1">
      <c r="A17" s="8">
        <v>8</v>
      </c>
      <c r="B17" s="9" t="s">
        <v>15</v>
      </c>
      <c r="C17" s="8"/>
      <c r="D17" s="8">
        <v>534</v>
      </c>
      <c r="E17" s="8">
        <v>2026</v>
      </c>
      <c r="F17" s="10" t="s">
        <v>10</v>
      </c>
      <c r="G17" s="2">
        <f t="shared" si="2"/>
        <v>0</v>
      </c>
      <c r="H17" s="3">
        <f t="shared" si="3"/>
        <v>534</v>
      </c>
      <c r="I17" t="s">
        <v>20</v>
      </c>
    </row>
    <row r="18" spans="1:9" ht="21" customHeight="1">
      <c r="A18" s="8">
        <v>8</v>
      </c>
      <c r="B18" s="9" t="s">
        <v>16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9" ht="19.5">
      <c r="A19" s="8">
        <v>8</v>
      </c>
      <c r="B19" s="9" t="s">
        <v>17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9" ht="19.5">
      <c r="A20" s="8">
        <v>8</v>
      </c>
      <c r="B20" s="9" t="s">
        <v>18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9" ht="28.5" customHeight="1">
      <c r="A21" s="5"/>
      <c r="B21" s="5"/>
      <c r="C21" s="6"/>
      <c r="D21" s="6"/>
      <c r="E21" s="6"/>
      <c r="F21" s="5"/>
      <c r="G21" s="5"/>
      <c r="H21" s="5"/>
    </row>
    <row r="22" spans="1:9" ht="24" customHeight="1">
      <c r="A22" s="8">
        <v>9</v>
      </c>
      <c r="B22" s="9" t="s">
        <v>9</v>
      </c>
      <c r="C22" s="8"/>
      <c r="D22" s="8"/>
      <c r="E22" s="8"/>
      <c r="F22" s="10"/>
      <c r="G22" s="2">
        <f t="shared" ref="G22:I31" si="4">IF((C22-D22)&lt;0,0,C22-D22)</f>
        <v>0</v>
      </c>
      <c r="H22" s="3">
        <f t="shared" ref="H22:H31" si="5">IF((D22-C22)&lt;0,0,D22-C22)</f>
        <v>0</v>
      </c>
    </row>
    <row r="23" spans="1:9" ht="19.5">
      <c r="A23" s="8">
        <v>9</v>
      </c>
      <c r="B23" s="9" t="s">
        <v>11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9" ht="27" customHeight="1">
      <c r="A24" s="8">
        <v>9</v>
      </c>
      <c r="B24" s="9" t="s">
        <v>12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9" ht="33.75" customHeight="1">
      <c r="A25" s="8">
        <v>9</v>
      </c>
      <c r="B25" s="9" t="s">
        <v>13</v>
      </c>
      <c r="C25" s="8"/>
      <c r="D25" s="8">
        <v>675</v>
      </c>
      <c r="E25" s="8"/>
      <c r="F25" s="10"/>
      <c r="G25" s="2">
        <f t="shared" si="4"/>
        <v>0</v>
      </c>
      <c r="H25" s="3">
        <f t="shared" si="5"/>
        <v>675</v>
      </c>
      <c r="I25">
        <v>2023</v>
      </c>
    </row>
    <row r="26" spans="1:9" ht="33.75" customHeight="1">
      <c r="A26" s="8">
        <v>9</v>
      </c>
      <c r="B26" s="9" t="s">
        <v>19</v>
      </c>
      <c r="C26" s="8"/>
      <c r="D26" s="8">
        <v>675</v>
      </c>
      <c r="E26" s="8"/>
      <c r="F26" s="10"/>
      <c r="G26" s="2">
        <f t="shared" si="4"/>
        <v>0</v>
      </c>
      <c r="H26" s="3">
        <f t="shared" si="5"/>
        <v>675</v>
      </c>
      <c r="I26">
        <v>2023</v>
      </c>
    </row>
    <row r="27" spans="1:9" ht="33.75" customHeight="1">
      <c r="A27" s="8">
        <v>9</v>
      </c>
      <c r="B27" s="9" t="s">
        <v>15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9" ht="27.75" customHeight="1">
      <c r="A28" s="8">
        <v>9</v>
      </c>
      <c r="B28" s="9" t="s">
        <v>16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9" ht="27.75" customHeight="1">
      <c r="A29" s="33">
        <v>9</v>
      </c>
      <c r="B29" s="34" t="s">
        <v>17</v>
      </c>
      <c r="C29" s="33"/>
      <c r="D29" s="33"/>
      <c r="E29" s="33"/>
      <c r="F29" s="35"/>
      <c r="G29" s="2">
        <f t="shared" si="4"/>
        <v>0</v>
      </c>
      <c r="H29" s="3">
        <f t="shared" si="5"/>
        <v>0</v>
      </c>
    </row>
    <row r="30" spans="1:9" ht="27.75" customHeight="1">
      <c r="A30" s="8">
        <v>9</v>
      </c>
      <c r="B30" s="9" t="s">
        <v>18</v>
      </c>
      <c r="C30" s="8"/>
      <c r="D30" s="8"/>
      <c r="E30" s="33"/>
      <c r="F30" s="8"/>
      <c r="G30" s="11">
        <f t="shared" si="4"/>
        <v>0</v>
      </c>
      <c r="H30" s="3">
        <f t="shared" si="5"/>
        <v>0</v>
      </c>
    </row>
    <row r="31" spans="1:9" ht="27.75" customHeight="1">
      <c r="A31" s="8">
        <v>9</v>
      </c>
      <c r="B31" s="9" t="s">
        <v>21</v>
      </c>
      <c r="C31" s="8"/>
      <c r="D31" s="8">
        <v>745</v>
      </c>
      <c r="E31" s="33">
        <v>2025</v>
      </c>
      <c r="F31" s="8" t="s">
        <v>22</v>
      </c>
      <c r="G31" s="11">
        <f t="shared" si="4"/>
        <v>0</v>
      </c>
      <c r="H31" s="3">
        <f t="shared" si="5"/>
        <v>745</v>
      </c>
    </row>
    <row r="32" spans="1:9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11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13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19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33">
        <v>10</v>
      </c>
      <c r="B41" s="34" t="s">
        <v>18</v>
      </c>
      <c r="C41" s="33"/>
      <c r="D41" s="33"/>
      <c r="E41" s="8"/>
      <c r="F41" s="35"/>
      <c r="G41" s="2">
        <f t="shared" si="6"/>
        <v>0</v>
      </c>
      <c r="H41" s="3">
        <f t="shared" si="7"/>
        <v>0</v>
      </c>
    </row>
    <row r="42" spans="1:8" ht="27.75" customHeight="1">
      <c r="A42" s="8">
        <v>10</v>
      </c>
      <c r="B42" s="9" t="s">
        <v>23</v>
      </c>
      <c r="C42" s="8"/>
      <c r="D42" s="8">
        <v>753</v>
      </c>
      <c r="E42" s="8">
        <v>2024</v>
      </c>
      <c r="F42" s="8" t="s">
        <v>10</v>
      </c>
      <c r="G42" s="11">
        <f t="shared" ref="G42" si="8">IF((C42-D42)&lt;0,0,C42-D42)</f>
        <v>0</v>
      </c>
      <c r="H42" s="3">
        <f t="shared" ref="H42" si="9">IF((D42-C42)&lt;0,0,D42-C42)</f>
        <v>753</v>
      </c>
    </row>
    <row r="43" spans="1:8" ht="27.75" customHeight="1">
      <c r="A43" s="5"/>
      <c r="B43" s="5"/>
      <c r="C43" s="6"/>
      <c r="D43" s="6"/>
      <c r="E43" s="6"/>
      <c r="F43" s="5"/>
      <c r="G43" s="5"/>
      <c r="H43" s="5"/>
    </row>
    <row r="44" spans="1:8" ht="27.75" customHeight="1">
      <c r="A44" s="1" t="s">
        <v>24</v>
      </c>
      <c r="B44" s="7" t="s">
        <v>25</v>
      </c>
      <c r="C44" s="1"/>
      <c r="D44" s="1">
        <v>1375</v>
      </c>
      <c r="E44" s="1">
        <v>2024</v>
      </c>
      <c r="F44" s="4" t="s">
        <v>10</v>
      </c>
      <c r="G44" s="2">
        <f t="shared" ref="G44:G51" si="10">IF((C44-D44)&lt;0,0,C44-D44)</f>
        <v>0</v>
      </c>
      <c r="H44" s="3">
        <f t="shared" ref="H44:H51" si="11">IF((D44-C44)&lt;0,0,D44-C44)</f>
        <v>1375</v>
      </c>
    </row>
    <row r="45" spans="1:8" ht="36.75" customHeight="1">
      <c r="A45" s="1" t="s">
        <v>24</v>
      </c>
      <c r="B45" s="7" t="s">
        <v>26</v>
      </c>
      <c r="C45" s="1"/>
      <c r="D45" s="1"/>
      <c r="E45" s="1"/>
      <c r="F45" s="4"/>
      <c r="G45" s="2">
        <f t="shared" si="10"/>
        <v>0</v>
      </c>
      <c r="H45" s="3">
        <f t="shared" si="11"/>
        <v>0</v>
      </c>
    </row>
    <row r="46" spans="1:8" ht="27.75" customHeight="1">
      <c r="A46" s="1" t="s">
        <v>24</v>
      </c>
      <c r="B46" s="7" t="s">
        <v>27</v>
      </c>
      <c r="C46" s="1"/>
      <c r="D46" s="1"/>
      <c r="E46" s="1"/>
      <c r="F46" s="4"/>
      <c r="G46" s="2">
        <f t="shared" si="10"/>
        <v>0</v>
      </c>
      <c r="H46" s="3">
        <f t="shared" si="11"/>
        <v>0</v>
      </c>
    </row>
    <row r="47" spans="1:8" ht="27.75" customHeight="1">
      <c r="A47" s="1" t="s">
        <v>24</v>
      </c>
      <c r="B47" s="7" t="s">
        <v>28</v>
      </c>
      <c r="C47" s="1"/>
      <c r="D47" s="1">
        <v>1375</v>
      </c>
      <c r="E47" s="1">
        <v>2025</v>
      </c>
      <c r="F47" s="4" t="s">
        <v>10</v>
      </c>
      <c r="G47" s="2">
        <f t="shared" si="10"/>
        <v>0</v>
      </c>
      <c r="H47" s="3">
        <f t="shared" si="11"/>
        <v>1375</v>
      </c>
    </row>
    <row r="48" spans="1:8" ht="27.75" customHeight="1">
      <c r="A48" s="1" t="s">
        <v>24</v>
      </c>
      <c r="B48" s="7" t="s">
        <v>29</v>
      </c>
      <c r="C48" s="1"/>
      <c r="D48" s="1">
        <v>1375</v>
      </c>
      <c r="E48" s="1">
        <v>2025</v>
      </c>
      <c r="F48" s="4" t="s">
        <v>10</v>
      </c>
      <c r="G48" s="2">
        <f t="shared" ref="G48" si="12">IF((C48-D48)&lt;0,0,C48-D48)</f>
        <v>0</v>
      </c>
      <c r="H48" s="3">
        <f t="shared" ref="H48" si="13">IF((D48-C48)&lt;0,0,D48-C48)</f>
        <v>1375</v>
      </c>
    </row>
    <row r="49" spans="1:8" ht="27.75" customHeight="1">
      <c r="A49" s="1" t="s">
        <v>24</v>
      </c>
      <c r="B49" s="7" t="s">
        <v>30</v>
      </c>
      <c r="C49" s="1"/>
      <c r="D49" s="1">
        <v>1375</v>
      </c>
      <c r="E49" s="1">
        <v>2025</v>
      </c>
      <c r="F49" s="4" t="s">
        <v>10</v>
      </c>
      <c r="G49" s="2">
        <f t="shared" si="10"/>
        <v>0</v>
      </c>
      <c r="H49" s="3">
        <f t="shared" si="11"/>
        <v>1375</v>
      </c>
    </row>
    <row r="50" spans="1:8" ht="27.75" customHeight="1">
      <c r="A50" s="1" t="s">
        <v>24</v>
      </c>
      <c r="B50" s="37" t="s">
        <v>31</v>
      </c>
      <c r="C50" s="1"/>
      <c r="D50" s="1">
        <v>1375</v>
      </c>
      <c r="E50" s="1">
        <v>2025</v>
      </c>
      <c r="F50" s="4" t="s">
        <v>10</v>
      </c>
      <c r="G50" s="2">
        <f t="shared" si="10"/>
        <v>0</v>
      </c>
      <c r="H50" s="3">
        <f t="shared" si="11"/>
        <v>1375</v>
      </c>
    </row>
    <row r="51" spans="1:8" ht="27.75" customHeight="1">
      <c r="A51" s="27" t="s">
        <v>24</v>
      </c>
      <c r="B51" s="28" t="s">
        <v>32</v>
      </c>
      <c r="C51" s="27"/>
      <c r="D51" s="27">
        <v>1375</v>
      </c>
      <c r="E51" s="1">
        <v>2025</v>
      </c>
      <c r="F51" s="29" t="s">
        <v>10</v>
      </c>
      <c r="G51" s="2">
        <f t="shared" si="10"/>
        <v>0</v>
      </c>
      <c r="H51" s="3">
        <f t="shared" si="11"/>
        <v>1375</v>
      </c>
    </row>
    <row r="52" spans="1:8" ht="27.75" customHeight="1">
      <c r="A52" s="1" t="s">
        <v>24</v>
      </c>
      <c r="B52" s="7" t="s">
        <v>33</v>
      </c>
      <c r="C52" s="1"/>
      <c r="D52" s="1">
        <v>401</v>
      </c>
      <c r="E52" s="1">
        <v>2024</v>
      </c>
      <c r="F52" s="1" t="s">
        <v>10</v>
      </c>
      <c r="G52" s="2">
        <f t="shared" ref="G52:G56" si="14">IF((C52-D52)&lt;0,0,C52-D52)</f>
        <v>0</v>
      </c>
      <c r="H52" s="3">
        <f t="shared" ref="H52:H56" si="15">IF((D52-C52)&lt;0,0,D52-C52)</f>
        <v>401</v>
      </c>
    </row>
    <row r="53" spans="1:8" ht="27.75" customHeight="1">
      <c r="A53" s="1" t="s">
        <v>24</v>
      </c>
      <c r="B53" s="39" t="s">
        <v>34</v>
      </c>
      <c r="C53" s="1"/>
      <c r="D53" s="1">
        <v>401</v>
      </c>
      <c r="E53" s="1">
        <v>2024</v>
      </c>
      <c r="F53" s="1" t="s">
        <v>10</v>
      </c>
      <c r="G53" s="2">
        <f t="shared" si="14"/>
        <v>0</v>
      </c>
      <c r="H53" s="3">
        <f t="shared" si="15"/>
        <v>401</v>
      </c>
    </row>
    <row r="54" spans="1:8" ht="27.75" customHeight="1">
      <c r="A54" s="1" t="s">
        <v>24</v>
      </c>
      <c r="B54" s="38" t="s">
        <v>35</v>
      </c>
      <c r="C54" s="1"/>
      <c r="D54" s="1">
        <v>401</v>
      </c>
      <c r="E54" s="1">
        <v>2024</v>
      </c>
      <c r="F54" s="1" t="s">
        <v>10</v>
      </c>
      <c r="G54" s="2">
        <f t="shared" si="14"/>
        <v>0</v>
      </c>
      <c r="H54" s="3">
        <f t="shared" si="15"/>
        <v>401</v>
      </c>
    </row>
    <row r="55" spans="1:8" ht="39" customHeight="1">
      <c r="A55" s="1" t="s">
        <v>24</v>
      </c>
      <c r="B55" s="7" t="s">
        <v>36</v>
      </c>
      <c r="C55" s="1"/>
      <c r="D55" s="1">
        <v>401</v>
      </c>
      <c r="E55" s="1">
        <v>2024</v>
      </c>
      <c r="F55" s="1" t="s">
        <v>10</v>
      </c>
      <c r="G55" s="2">
        <f t="shared" si="14"/>
        <v>0</v>
      </c>
      <c r="H55" s="3">
        <f t="shared" si="15"/>
        <v>401</v>
      </c>
    </row>
    <row r="56" spans="1:8" ht="27.75" customHeight="1">
      <c r="A56" s="27" t="s">
        <v>24</v>
      </c>
      <c r="B56" s="28" t="s">
        <v>37</v>
      </c>
      <c r="C56" s="27"/>
      <c r="D56" s="27">
        <v>179</v>
      </c>
      <c r="E56" s="1">
        <v>2024</v>
      </c>
      <c r="F56" s="1" t="s">
        <v>10</v>
      </c>
      <c r="G56" s="2">
        <f t="shared" si="14"/>
        <v>0</v>
      </c>
      <c r="H56" s="3">
        <f t="shared" si="15"/>
        <v>179</v>
      </c>
    </row>
    <row r="57" spans="1:8" ht="27.75" customHeight="1">
      <c r="A57" s="27" t="s">
        <v>24</v>
      </c>
      <c r="B57" s="28" t="s">
        <v>38</v>
      </c>
      <c r="C57" s="27"/>
      <c r="D57" s="27">
        <v>1375</v>
      </c>
      <c r="E57" s="1">
        <v>2024</v>
      </c>
      <c r="F57" s="36" t="s">
        <v>10</v>
      </c>
      <c r="G57" s="2">
        <f t="shared" ref="G57" si="16">IF((C57-D57)&lt;0,0,C57-D57)</f>
        <v>0</v>
      </c>
      <c r="H57" s="3">
        <f t="shared" ref="H57" si="17">IF((D57-C57)&lt;0,0,D57-C57)</f>
        <v>1375</v>
      </c>
    </row>
    <row r="58" spans="1:8" ht="27.75" customHeight="1">
      <c r="A58" s="27" t="s">
        <v>24</v>
      </c>
      <c r="B58" s="28" t="s">
        <v>39</v>
      </c>
      <c r="C58" s="27"/>
      <c r="D58" s="27">
        <v>1375</v>
      </c>
      <c r="E58" s="1">
        <v>2024</v>
      </c>
      <c r="F58" s="36" t="s">
        <v>10</v>
      </c>
      <c r="G58" s="2">
        <f t="shared" ref="G58" si="18">IF((C58-D58)&lt;0,0,C58-D58)</f>
        <v>0</v>
      </c>
      <c r="H58" s="3">
        <f t="shared" ref="H58" si="19">IF((D58-C58)&lt;0,0,D58-C58)</f>
        <v>1375</v>
      </c>
    </row>
    <row r="59" spans="1:8" ht="27.75" customHeight="1">
      <c r="A59" s="40" t="s">
        <v>24</v>
      </c>
      <c r="B59" s="41" t="s">
        <v>40</v>
      </c>
      <c r="C59" s="1"/>
      <c r="D59" s="1">
        <v>1375</v>
      </c>
      <c r="E59" s="1">
        <v>2025</v>
      </c>
      <c r="F59" s="36" t="s">
        <v>10</v>
      </c>
      <c r="G59" s="2">
        <f>IF((C59-D59)&lt;0,0,C59-D59)</f>
        <v>0</v>
      </c>
      <c r="H59" s="3">
        <f t="shared" ref="H59" si="20">IF((D59-C59)&lt;0,0,D59-C59)</f>
        <v>1375</v>
      </c>
    </row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27.75" customHeight="1"/>
    <row r="93" ht="39.75" customHeight="1"/>
    <row r="94" ht="27.75" customHeight="1"/>
    <row r="95" ht="27.75" customHeight="1"/>
    <row r="96" ht="27.75" customHeight="1"/>
    <row r="97" ht="40.5" customHeight="1"/>
    <row r="98" ht="38.25" customHeight="1"/>
    <row r="99" ht="39" customHeight="1"/>
    <row r="100" ht="42.75" customHeight="1"/>
    <row r="101" ht="37.5" customHeight="1"/>
    <row r="102" ht="47.25" customHeight="1"/>
    <row r="103" ht="47.25" customHeight="1"/>
    <row r="104" ht="47.25" customHeight="1"/>
    <row r="105" ht="47.25" customHeight="1"/>
    <row r="106" ht="47.25" customHeight="1"/>
    <row r="107" ht="47.25" customHeight="1"/>
    <row r="108" ht="75" customHeight="1"/>
    <row r="109" ht="15"/>
  </sheetData>
  <protectedRanges>
    <protectedRange sqref="C1:E59" name="Textbooks"/>
    <protectedRange sqref="F1:F59" name="SOURCE"/>
  </protectedRanges>
  <phoneticPr fontId="8" type="noConversion"/>
  <dataValidations count="2">
    <dataValidation type="list" allowBlank="1" showInputMessage="1" showErrorMessage="1" sqref="E2:E10 E12:E20 E22:E31 E33:E42 E44:E59" xr:uid="{B46E7B13-721E-4D49-837E-C02BF9777D48}">
      <formula1>"2024,2025,2026"</formula1>
    </dataValidation>
    <dataValidation type="list" allowBlank="1" showInputMessage="1" showErrorMessage="1" sqref="F2:F10 F12:F20 F22:F31 F33:F42 F44:F5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Z74" sqref="Z7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45" t="s">
        <v>41</v>
      </c>
      <c r="E1" s="45"/>
      <c r="F1" s="45"/>
      <c r="G1" s="45"/>
      <c r="H1" s="45"/>
      <c r="I1" s="45"/>
      <c r="J1" s="46" t="s">
        <v>42</v>
      </c>
      <c r="K1" s="46"/>
      <c r="L1" s="46"/>
      <c r="M1" s="46"/>
      <c r="N1" s="46"/>
      <c r="O1" s="46"/>
      <c r="P1" s="47" t="s">
        <v>43</v>
      </c>
      <c r="Q1" s="47"/>
      <c r="R1" s="47"/>
      <c r="S1" s="47"/>
      <c r="T1" s="47"/>
      <c r="U1" s="47"/>
      <c r="V1" s="48" t="s">
        <v>44</v>
      </c>
      <c r="W1" s="48"/>
      <c r="X1" s="48"/>
      <c r="Y1" s="48"/>
      <c r="Z1" s="48"/>
      <c r="AA1" s="4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45</v>
      </c>
      <c r="E2" s="18" t="s">
        <v>46</v>
      </c>
      <c r="F2" s="19" t="s">
        <v>47</v>
      </c>
      <c r="G2" s="22" t="s">
        <v>48</v>
      </c>
      <c r="H2" s="15" t="s">
        <v>49</v>
      </c>
      <c r="I2" s="22" t="s">
        <v>50</v>
      </c>
      <c r="J2" s="20" t="s">
        <v>51</v>
      </c>
      <c r="K2" s="20" t="s">
        <v>52</v>
      </c>
      <c r="L2" s="21" t="s">
        <v>53</v>
      </c>
      <c r="M2" s="42" t="s">
        <v>54</v>
      </c>
      <c r="N2" s="42" t="s">
        <v>55</v>
      </c>
      <c r="O2" s="20" t="s">
        <v>56</v>
      </c>
      <c r="P2" s="22" t="s">
        <v>57</v>
      </c>
      <c r="Q2" s="22" t="s">
        <v>58</v>
      </c>
      <c r="R2" s="23" t="s">
        <v>59</v>
      </c>
      <c r="S2" s="15" t="s">
        <v>60</v>
      </c>
      <c r="T2" s="15" t="s">
        <v>61</v>
      </c>
      <c r="U2" s="22" t="s">
        <v>62</v>
      </c>
      <c r="V2" s="24" t="s">
        <v>63</v>
      </c>
      <c r="W2" s="24" t="s">
        <v>64</v>
      </c>
      <c r="X2" s="25" t="s">
        <v>65</v>
      </c>
      <c r="Y2" s="43" t="s">
        <v>66</v>
      </c>
      <c r="Z2" s="43" t="s">
        <v>67</v>
      </c>
      <c r="AA2" s="24" t="s">
        <v>68</v>
      </c>
    </row>
    <row r="3" spans="1:27" ht="30.6" customHeight="1">
      <c r="A3" s="8">
        <v>7</v>
      </c>
      <c r="B3" s="9" t="s">
        <v>9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11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12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13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14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15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16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17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18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9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11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12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13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15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16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18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9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11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12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13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15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16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9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11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12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13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15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16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18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24</v>
      </c>
      <c r="B43" s="7" t="s">
        <v>25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24</v>
      </c>
      <c r="B44" s="7" t="s">
        <v>26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24</v>
      </c>
      <c r="B45" s="7" t="s">
        <v>27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24</v>
      </c>
      <c r="B46" s="7" t="s">
        <v>28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24</v>
      </c>
      <c r="B47" s="7" t="s">
        <v>69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24</v>
      </c>
      <c r="B48" s="7" t="s">
        <v>30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24</v>
      </c>
      <c r="B49" s="7" t="s">
        <v>31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24</v>
      </c>
      <c r="B50" s="7" t="s">
        <v>32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2:C11" name="Textbooks"/>
    <protectedRange sqref="J3:J50 Z3:AA50 W43:X50 D23:F31 D33:F41 K3:L11 K13:L21 K23:L31 K33:L41 K43:L50 J2:L2 D43:F50 V2:X2 N3:P50 P2:R2 D2:F11 H3:I11 Q3:R11 W3:X11 D13:F21 H13:I21 Q13:R21 W13:X21 H23:I31 Q23:R31 W23:X31 H33:I41 Q33:R41 W33:X41 H43:I50 Q43:R50 T3:V50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R3:R11 R13:R21 R23:R31 R33:R41 R43:R50 X3:X11 X13:X21 X23:X31 X33:X41 X43:X50" xr:uid="{4ECCD083-8EC4-42EE-B46C-B614411F330D}">
      <formula1>"2024,2025 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3:F11 F13:F21 F23:F31 F33:F41 F43:F50" xr:uid="{F12350F8-FEB3-48A7-8305-7F8EB7131329}">
      <formula1>"2024,2025,2026"</formula1>
    </dataValidation>
    <dataValidation type="list" allowBlank="1" showInputMessage="1" showErrorMessage="1" sqref="L43:L50 L3:L11 L13:L21 L23:L31 L33:L41" xr:uid="{8C48DCDE-8840-45A4-9BA5-BE075FE3168D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abSelected="1" topLeftCell="E74" zoomScale="55" zoomScaleNormal="55" workbookViewId="0">
      <selection activeCell="J59" sqref="J59:J88"/>
    </sheetView>
  </sheetViews>
  <sheetFormatPr defaultRowHeight="13.9"/>
  <cols>
    <col min="1" max="1" width="9.42578125" customWidth="1"/>
    <col min="2" max="2" width="37.4257812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45" t="s">
        <v>41</v>
      </c>
      <c r="E1" s="45"/>
      <c r="F1" s="45"/>
      <c r="G1" s="45"/>
      <c r="H1" s="45"/>
      <c r="I1" s="45"/>
      <c r="J1" s="46" t="s">
        <v>42</v>
      </c>
      <c r="K1" s="46"/>
      <c r="L1" s="46"/>
      <c r="M1" s="46"/>
      <c r="N1" s="46"/>
      <c r="O1" s="46"/>
      <c r="P1" s="47" t="s">
        <v>43</v>
      </c>
      <c r="Q1" s="47"/>
      <c r="R1" s="47"/>
      <c r="S1" s="47"/>
      <c r="T1" s="47"/>
      <c r="U1" s="47"/>
      <c r="V1" s="48" t="s">
        <v>44</v>
      </c>
      <c r="W1" s="48"/>
      <c r="X1" s="48"/>
      <c r="Y1" s="48"/>
      <c r="Z1" s="48"/>
      <c r="AA1" s="4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70</v>
      </c>
      <c r="E2" s="18" t="s">
        <v>71</v>
      </c>
      <c r="F2" s="19" t="s">
        <v>72</v>
      </c>
      <c r="G2" s="22" t="s">
        <v>73</v>
      </c>
      <c r="H2" s="15" t="s">
        <v>74</v>
      </c>
      <c r="I2" s="22" t="s">
        <v>75</v>
      </c>
      <c r="J2" s="20" t="s">
        <v>76</v>
      </c>
      <c r="K2" s="20" t="s">
        <v>77</v>
      </c>
      <c r="L2" s="21" t="s">
        <v>78</v>
      </c>
      <c r="M2" s="42" t="s">
        <v>79</v>
      </c>
      <c r="N2" s="42" t="s">
        <v>80</v>
      </c>
      <c r="O2" s="20" t="s">
        <v>81</v>
      </c>
      <c r="P2" s="22" t="s">
        <v>82</v>
      </c>
      <c r="Q2" s="22" t="s">
        <v>83</v>
      </c>
      <c r="R2" s="23" t="s">
        <v>84</v>
      </c>
      <c r="S2" s="15" t="s">
        <v>85</v>
      </c>
      <c r="T2" s="15" t="s">
        <v>86</v>
      </c>
      <c r="U2" s="22" t="s">
        <v>87</v>
      </c>
      <c r="V2" s="24" t="s">
        <v>88</v>
      </c>
      <c r="W2" s="24" t="s">
        <v>89</v>
      </c>
      <c r="X2" s="25" t="s">
        <v>90</v>
      </c>
      <c r="Y2" s="43" t="s">
        <v>91</v>
      </c>
      <c r="Z2" s="43" t="s">
        <v>92</v>
      </c>
      <c r="AA2" s="24" t="s">
        <v>93</v>
      </c>
    </row>
    <row r="3" spans="1:27" ht="19.5">
      <c r="A3" s="8">
        <v>7</v>
      </c>
      <c r="B3" s="9" t="s">
        <v>9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11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12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13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14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15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94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95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17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96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97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9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19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15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94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95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17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96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97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9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11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12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13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19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15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94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95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17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96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97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9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11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12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13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19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15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94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95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17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96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97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9.5">
      <c r="A51" s="1" t="s">
        <v>24</v>
      </c>
      <c r="B51" s="7" t="s">
        <v>25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24</v>
      </c>
      <c r="B52" s="7" t="s">
        <v>26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24</v>
      </c>
      <c r="B53" s="7" t="s">
        <v>27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24</v>
      </c>
      <c r="B54" s="7" t="s">
        <v>28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24</v>
      </c>
      <c r="B55" s="7" t="s">
        <v>69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 t="s">
        <v>24</v>
      </c>
      <c r="B56" s="7" t="s">
        <v>30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24</v>
      </c>
      <c r="B57" s="7" t="s">
        <v>31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 t="s">
        <v>24</v>
      </c>
      <c r="B58" s="7" t="s">
        <v>32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Z15:AA25 V2:X2 H15:L25 T27:X37 Z27:AA37 H27:L37 T39:X49 Z39:AA49 H39:L49 N51:R58 T51:X58 Z51:AA58 H51:L58 D27:F37 D39:F49 N3:R13 N15:R25 N27:R37 N39:R49 D51:F58 D2:F13 D15:F25 T3:X13 Z3:AA13 H3:L13 T15:X25 P2:R2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L3:L13 L15:L25 L27:L37 L39:L49 L51:L58 R3:R13 R15:R25 R27:R37 R39:R49 R51:R58 X3:X13 X15:X25 X27:X37 X39:X49" xr:uid="{77F72D89-8371-4D0C-A323-BD25723C617C}">
      <formula1>"2024,2025  ,2026"</formula1>
    </dataValidation>
    <dataValidation type="list" allowBlank="1" showInputMessage="1" showErrorMessage="1" sqref="F3:F13 F15:F25 F27:F37 F39:F49 F51:F58" xr:uid="{2D15AC8C-3178-49C8-AB56-AE47E70BF4A1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2026-04-14T02:37:17Z</dcterms:modified>
  <cp:category/>
  <cp:contentStatus/>
</cp:coreProperties>
</file>