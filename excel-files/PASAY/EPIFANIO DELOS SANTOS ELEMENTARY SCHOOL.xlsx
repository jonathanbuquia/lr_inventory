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7" documentId="13_ncr:1_{BFB59F67-F0DC-4675-A682-EB0734A8026A}" xr6:coauthVersionLast="47" xr6:coauthVersionMax="47" xr10:uidLastSave="{9A3109F0-F26A-4F23-B014-3CF858DA6A5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4" l="1"/>
  <c r="D25" i="4"/>
  <c r="D26" i="4"/>
  <c r="D27" i="4"/>
  <c r="D28" i="4"/>
  <c r="D29" i="4"/>
  <c r="D30" i="4"/>
  <c r="D31" i="4"/>
  <c r="D44" i="4"/>
  <c r="D45" i="4"/>
  <c r="D46" i="4"/>
  <c r="D47" i="4"/>
  <c r="D48" i="4"/>
  <c r="D49" i="4"/>
  <c r="D50" i="4"/>
  <c r="D51" i="4"/>
  <c r="D16" i="4"/>
  <c r="D17" i="4"/>
  <c r="D18" i="4"/>
  <c r="D19" i="4"/>
  <c r="D20" i="4"/>
  <c r="D2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D12" i="4"/>
  <c r="H12" i="4" s="1"/>
  <c r="H29" i="4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I18" i="4"/>
  <c r="D23" i="4"/>
  <c r="H23" i="4" s="1"/>
  <c r="H24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<sst xmlns="http://schemas.openxmlformats.org/spreadsheetml/2006/main" count="412" uniqueCount="92">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</sst>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149</v>
      </c>
      <c r="D31" s="1">
        <v>149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149</v>
      </c>
      <c r="D35" s="1">
        <v>149</v>
      </c>
      <c r="E35" s="1">
        <v>2025</v>
      </c>
      <c r="F35" s="5" t="s">
        <v>20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149</v>
      </c>
      <c r="D36" s="1">
        <v>149</v>
      </c>
      <c r="E36" s="1">
        <v>2025</v>
      </c>
      <c r="F36" s="5" t="s">
        <v>20</v>
      </c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149</v>
      </c>
      <c r="D37" s="1">
        <v>149</v>
      </c>
      <c r="E37" s="1">
        <v>2025</v>
      </c>
      <c r="F37" s="5" t="s">
        <v>20</v>
      </c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 E91:E98" xr:uid="{6385938C-077F-4DA6-B095-B32B1645017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" zoomScale="70" zoomScaleNormal="70" workbookViewId="0">
      <selection activeCell="X111" sqref="X1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1.75" customHeight="1">
      <c r="J13" s="13"/>
      <c r="N13" s="13"/>
      <c r="O13" s="13"/>
      <c r="P13" s="13"/>
      <c r="S13" s="5"/>
      <c r="T13" s="13"/>
      <c r="U13" s="13"/>
      <c r="V13" s="13"/>
      <c r="X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146</v>
      </c>
      <c r="D16" s="5">
        <f>Table1[[#This Row],[Enrolment S.Y. 2025-2026 ]]*8</f>
        <v>1168</v>
      </c>
      <c r="E16" s="5">
        <v>138</v>
      </c>
      <c r="F16" s="1">
        <v>2025</v>
      </c>
      <c r="G16" s="5" t="s">
        <v>63</v>
      </c>
      <c r="H16" s="5">
        <f t="shared" si="2"/>
        <v>1030</v>
      </c>
      <c r="I16" s="5">
        <f t="shared" si="3"/>
        <v>0</v>
      </c>
      <c r="J16" s="5">
        <f>Table1[[#This Row],[Enrolment S.Y. 2025-2026 ]]*8</f>
        <v>1168</v>
      </c>
      <c r="K16" s="5"/>
      <c r="L16" s="1"/>
      <c r="M16" s="5"/>
      <c r="N16" s="5">
        <f t="shared" si="10"/>
        <v>1168</v>
      </c>
      <c r="O16" s="5">
        <f t="shared" si="11"/>
        <v>0</v>
      </c>
      <c r="P16" s="5">
        <f>Table1[[#This Row],[Enrolment S.Y. 2025-2026 ]]*8</f>
        <v>1168</v>
      </c>
      <c r="Q16" s="5"/>
      <c r="R16" s="1"/>
      <c r="S16" s="5"/>
      <c r="T16" s="5">
        <f t="shared" si="12"/>
        <v>1168</v>
      </c>
      <c r="U16" s="5">
        <f t="shared" si="13"/>
        <v>0</v>
      </c>
      <c r="V16" s="5">
        <f>Table1[[#This Row],[Enrolment S.Y. 2025-2026 ]]*8</f>
        <v>1168</v>
      </c>
      <c r="W16" s="5"/>
      <c r="X16" s="1"/>
      <c r="Y16" s="5"/>
      <c r="Z16" s="5">
        <f t="shared" si="14"/>
        <v>1168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146</v>
      </c>
      <c r="D17" s="5">
        <f>Table1[[#This Row],[Enrolment S.Y. 2025-2026 ]]*8</f>
        <v>1168</v>
      </c>
      <c r="E17" s="5">
        <v>138</v>
      </c>
      <c r="F17" s="1">
        <v>2025</v>
      </c>
      <c r="G17" s="5" t="s">
        <v>63</v>
      </c>
      <c r="H17" s="5">
        <f t="shared" si="2"/>
        <v>1030</v>
      </c>
      <c r="I17" s="5">
        <f t="shared" si="3"/>
        <v>0</v>
      </c>
      <c r="J17" s="5">
        <f>Table1[[#This Row],[Enrolment S.Y. 2025-2026 ]]*8</f>
        <v>1168</v>
      </c>
      <c r="K17" s="5"/>
      <c r="L17" s="1"/>
      <c r="M17" s="5"/>
      <c r="N17" s="5">
        <f t="shared" si="10"/>
        <v>1168</v>
      </c>
      <c r="O17" s="5">
        <f t="shared" si="11"/>
        <v>0</v>
      </c>
      <c r="P17" s="5">
        <f>Table1[[#This Row],[Enrolment S.Y. 2025-2026 ]]*8</f>
        <v>1168</v>
      </c>
      <c r="Q17" s="5"/>
      <c r="R17" s="1"/>
      <c r="S17" s="5"/>
      <c r="T17" s="5">
        <f t="shared" si="12"/>
        <v>1168</v>
      </c>
      <c r="U17" s="5">
        <f t="shared" si="13"/>
        <v>0</v>
      </c>
      <c r="V17" s="5">
        <f>Table1[[#This Row],[Enrolment S.Y. 2025-2026 ]]*8</f>
        <v>1168</v>
      </c>
      <c r="W17" s="5"/>
      <c r="X17" s="1"/>
      <c r="Y17" s="5"/>
      <c r="Z17" s="5">
        <f t="shared" si="14"/>
        <v>1168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146</v>
      </c>
      <c r="D18" s="5">
        <f>Table1[[#This Row],[Enrolment S.Y. 2025-2026 ]]*8</f>
        <v>1168</v>
      </c>
      <c r="E18" s="5">
        <v>138</v>
      </c>
      <c r="F18" s="1">
        <v>2025</v>
      </c>
      <c r="G18" s="5" t="s">
        <v>63</v>
      </c>
      <c r="H18" s="5">
        <f t="shared" si="2"/>
        <v>1030</v>
      </c>
      <c r="I18" s="5">
        <f t="shared" si="3"/>
        <v>0</v>
      </c>
      <c r="J18" s="5">
        <f>Table1[[#This Row],[Enrolment S.Y. 2025-2026 ]]*8</f>
        <v>1168</v>
      </c>
      <c r="K18" s="5"/>
      <c r="L18" s="1"/>
      <c r="M18" s="5"/>
      <c r="N18" s="5">
        <f t="shared" si="10"/>
        <v>1168</v>
      </c>
      <c r="O18" s="5">
        <f t="shared" si="11"/>
        <v>0</v>
      </c>
      <c r="P18" s="5">
        <f>Table1[[#This Row],[Enrolment S.Y. 2025-2026 ]]*8</f>
        <v>1168</v>
      </c>
      <c r="Q18" s="5"/>
      <c r="R18" s="1"/>
      <c r="S18" s="5"/>
      <c r="T18" s="5">
        <f t="shared" si="12"/>
        <v>1168</v>
      </c>
      <c r="U18" s="5">
        <f t="shared" si="13"/>
        <v>0</v>
      </c>
      <c r="V18" s="5">
        <f>Table1[[#This Row],[Enrolment S.Y. 2025-2026 ]]*8</f>
        <v>1168</v>
      </c>
      <c r="W18" s="5"/>
      <c r="X18" s="1"/>
      <c r="Y18" s="5"/>
      <c r="Z18" s="5">
        <f t="shared" si="14"/>
        <v>1168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146</v>
      </c>
      <c r="D19" s="5">
        <f>Table1[[#This Row],[Enrolment S.Y. 2025-2026 ]]*8</f>
        <v>1168</v>
      </c>
      <c r="E19" s="5">
        <v>138</v>
      </c>
      <c r="F19" s="1">
        <v>2025</v>
      </c>
      <c r="G19" s="5" t="s">
        <v>63</v>
      </c>
      <c r="H19" s="5">
        <f>IF((D19-E19)&lt;0,0,(D19-E19))</f>
        <v>1030</v>
      </c>
      <c r="I19" s="5">
        <f>IF((E19-D19)&lt;0,0,(E19-D19))</f>
        <v>0</v>
      </c>
      <c r="J19" s="5">
        <f>Table1[[#This Row],[Enrolment S.Y. 2025-2026 ]]*8</f>
        <v>1168</v>
      </c>
      <c r="K19" s="5"/>
      <c r="L19" s="1"/>
      <c r="M19" s="5"/>
      <c r="N19" s="5">
        <f t="shared" si="10"/>
        <v>1168</v>
      </c>
      <c r="O19" s="5">
        <f t="shared" si="11"/>
        <v>0</v>
      </c>
      <c r="P19" s="5">
        <f>Table1[[#This Row],[Enrolment S.Y. 2025-2026 ]]*8</f>
        <v>1168</v>
      </c>
      <c r="Q19" s="5"/>
      <c r="R19" s="1"/>
      <c r="S19" s="5"/>
      <c r="T19" s="5">
        <f t="shared" si="12"/>
        <v>1168</v>
      </c>
      <c r="U19" s="5">
        <f t="shared" si="13"/>
        <v>0</v>
      </c>
      <c r="V19" s="5">
        <f>Table1[[#This Row],[Enrolment S.Y. 2025-2026 ]]*8</f>
        <v>1168</v>
      </c>
      <c r="W19" s="5"/>
      <c r="X19" s="1"/>
      <c r="Y19" s="5"/>
      <c r="Z19" s="5">
        <f t="shared" si="14"/>
        <v>1168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146</v>
      </c>
      <c r="D20" s="5">
        <f>Table1[[#This Row],[Enrolment S.Y. 2025-2026 ]]*8</f>
        <v>1168</v>
      </c>
      <c r="E20" s="5">
        <v>138</v>
      </c>
      <c r="F20" s="1">
        <v>2025</v>
      </c>
      <c r="G20" s="5" t="s">
        <v>63</v>
      </c>
      <c r="H20" s="5">
        <f>IF((D20-E20)&lt;0,0,(D20-E20))</f>
        <v>1030</v>
      </c>
      <c r="I20" s="5">
        <f>IF((E20-D20)&lt;0,0,(E20-D20))</f>
        <v>0</v>
      </c>
      <c r="J20" s="5">
        <f>Table1[[#This Row],[Enrolment S.Y. 2025-2026 ]]*8</f>
        <v>1168</v>
      </c>
      <c r="K20" s="5"/>
      <c r="L20" s="1"/>
      <c r="M20" s="5"/>
      <c r="N20" s="5">
        <f t="shared" si="10"/>
        <v>1168</v>
      </c>
      <c r="O20" s="5">
        <f t="shared" si="11"/>
        <v>0</v>
      </c>
      <c r="P20" s="5">
        <f>Table1[[#This Row],[Enrolment S.Y. 2025-2026 ]]*8</f>
        <v>1168</v>
      </c>
      <c r="Q20" s="5"/>
      <c r="R20" s="1"/>
      <c r="S20" s="5"/>
      <c r="T20" s="5">
        <f t="shared" si="12"/>
        <v>1168</v>
      </c>
      <c r="U20" s="5">
        <f t="shared" si="13"/>
        <v>0</v>
      </c>
      <c r="V20" s="5">
        <f>Table1[[#This Row],[Enrolment S.Y. 2025-2026 ]]*8</f>
        <v>1168</v>
      </c>
      <c r="W20" s="5"/>
      <c r="X20" s="1"/>
      <c r="Y20" s="5"/>
      <c r="Z20" s="5">
        <f t="shared" si="14"/>
        <v>1168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X22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137</v>
      </c>
      <c r="D25" s="5">
        <f>Table1[[#This Row],[Enrolment S.Y. 2025-2026 ]]*8</f>
        <v>1096</v>
      </c>
      <c r="E25" s="5">
        <v>82</v>
      </c>
      <c r="F25" s="1">
        <v>2025</v>
      </c>
      <c r="G25" s="5" t="s">
        <v>63</v>
      </c>
      <c r="H25" s="5">
        <f t="shared" si="2"/>
        <v>1014</v>
      </c>
      <c r="I25" s="5">
        <f t="shared" si="3"/>
        <v>0</v>
      </c>
      <c r="J25" s="5">
        <f>Table1[[#This Row],[Enrolment S.Y. 2025-2026 ]]*8</f>
        <v>1096</v>
      </c>
      <c r="K25" s="5"/>
      <c r="L25" s="1"/>
      <c r="M25" s="5"/>
      <c r="N25" s="5">
        <f t="shared" si="10"/>
        <v>1096</v>
      </c>
      <c r="O25" s="5">
        <f t="shared" si="11"/>
        <v>0</v>
      </c>
      <c r="P25" s="5">
        <f>Table1[[#This Row],[Enrolment S.Y. 2025-2026 ]]*8</f>
        <v>1096</v>
      </c>
      <c r="Q25" s="5"/>
      <c r="R25" s="1"/>
      <c r="S25" s="5"/>
      <c r="T25" s="5">
        <f t="shared" si="12"/>
        <v>1096</v>
      </c>
      <c r="U25" s="5">
        <f t="shared" si="13"/>
        <v>0</v>
      </c>
      <c r="V25" s="5">
        <f>Table1[[#This Row],[Enrolment S.Y. 2025-2026 ]]*8</f>
        <v>1096</v>
      </c>
      <c r="W25" s="5"/>
      <c r="X25" s="1"/>
      <c r="Y25" s="5"/>
      <c r="Z25" s="5">
        <f t="shared" si="14"/>
        <v>1096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137</v>
      </c>
      <c r="D26" s="5">
        <f>Table1[[#This Row],[Enrolment S.Y. 2025-2026 ]]*8</f>
        <v>1096</v>
      </c>
      <c r="E26" s="5">
        <v>305</v>
      </c>
      <c r="F26" s="1">
        <v>2025</v>
      </c>
      <c r="G26" s="5" t="s">
        <v>63</v>
      </c>
      <c r="H26" s="5">
        <f t="shared" si="2"/>
        <v>791</v>
      </c>
      <c r="I26" s="5">
        <f t="shared" si="3"/>
        <v>0</v>
      </c>
      <c r="J26" s="5">
        <f>Table1[[#This Row],[Enrolment S.Y. 2025-2026 ]]*8</f>
        <v>1096</v>
      </c>
      <c r="K26" s="5"/>
      <c r="L26" s="1"/>
      <c r="M26" s="5"/>
      <c r="N26" s="5">
        <f t="shared" si="10"/>
        <v>1096</v>
      </c>
      <c r="O26" s="5">
        <f t="shared" si="11"/>
        <v>0</v>
      </c>
      <c r="P26" s="5">
        <f>Table1[[#This Row],[Enrolment S.Y. 2025-2026 ]]*8</f>
        <v>1096</v>
      </c>
      <c r="Q26" s="5"/>
      <c r="R26" s="1"/>
      <c r="S26" s="5"/>
      <c r="T26" s="5">
        <f t="shared" si="12"/>
        <v>1096</v>
      </c>
      <c r="U26" s="5">
        <f t="shared" si="13"/>
        <v>0</v>
      </c>
      <c r="V26" s="5">
        <f>Table1[[#This Row],[Enrolment S.Y. 2025-2026 ]]*8</f>
        <v>1096</v>
      </c>
      <c r="W26" s="5"/>
      <c r="X26" s="1"/>
      <c r="Y26" s="5"/>
      <c r="Z26" s="5">
        <f t="shared" si="14"/>
        <v>1096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137</v>
      </c>
      <c r="D27" s="5">
        <f>Table1[[#This Row],[Enrolment S.Y. 2025-2026 ]]*8</f>
        <v>1096</v>
      </c>
      <c r="E27" s="5">
        <v>305</v>
      </c>
      <c r="F27" s="1">
        <v>2025</v>
      </c>
      <c r="G27" s="5" t="s">
        <v>63</v>
      </c>
      <c r="H27" s="5">
        <f t="shared" si="2"/>
        <v>791</v>
      </c>
      <c r="I27" s="5">
        <f t="shared" si="3"/>
        <v>0</v>
      </c>
      <c r="J27" s="5">
        <f>Table1[[#This Row],[Enrolment S.Y. 2025-2026 ]]*8</f>
        <v>1096</v>
      </c>
      <c r="K27" s="5"/>
      <c r="L27" s="1"/>
      <c r="M27" s="5"/>
      <c r="N27" s="5">
        <f t="shared" si="10"/>
        <v>1096</v>
      </c>
      <c r="O27" s="5">
        <f t="shared" si="11"/>
        <v>0</v>
      </c>
      <c r="P27" s="5">
        <f>Table1[[#This Row],[Enrolment S.Y. 2025-2026 ]]*8</f>
        <v>1096</v>
      </c>
      <c r="Q27" s="5"/>
      <c r="R27" s="1"/>
      <c r="S27" s="5"/>
      <c r="T27" s="5">
        <f t="shared" si="12"/>
        <v>1096</v>
      </c>
      <c r="U27" s="5">
        <f t="shared" si="13"/>
        <v>0</v>
      </c>
      <c r="V27" s="5">
        <f>Table1[[#This Row],[Enrolment S.Y. 2025-2026 ]]*8</f>
        <v>1096</v>
      </c>
      <c r="W27" s="5"/>
      <c r="X27" s="1"/>
      <c r="Y27" s="5"/>
      <c r="Z27" s="5">
        <f t="shared" si="14"/>
        <v>1096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137</v>
      </c>
      <c r="D28" s="5">
        <f>Table1[[#This Row],[Enrolment S.Y. 2025-2026 ]]*8</f>
        <v>1096</v>
      </c>
      <c r="E28" s="5">
        <v>305</v>
      </c>
      <c r="F28" s="1">
        <v>2025</v>
      </c>
      <c r="G28" s="5" t="s">
        <v>63</v>
      </c>
      <c r="H28" s="5">
        <f t="shared" si="2"/>
        <v>791</v>
      </c>
      <c r="I28" s="5">
        <f t="shared" si="3"/>
        <v>0</v>
      </c>
      <c r="J28" s="5">
        <f>Table1[[#This Row],[Enrolment S.Y. 2025-2026 ]]*8</f>
        <v>1096</v>
      </c>
      <c r="K28" s="5"/>
      <c r="L28" s="1"/>
      <c r="M28" s="5"/>
      <c r="N28" s="5">
        <f t="shared" si="10"/>
        <v>1096</v>
      </c>
      <c r="O28" s="5">
        <f t="shared" si="11"/>
        <v>0</v>
      </c>
      <c r="P28" s="5">
        <f>Table1[[#This Row],[Enrolment S.Y. 2025-2026 ]]*8</f>
        <v>1096</v>
      </c>
      <c r="Q28" s="5"/>
      <c r="R28" s="1"/>
      <c r="S28" s="5"/>
      <c r="T28" s="5">
        <f t="shared" si="12"/>
        <v>1096</v>
      </c>
      <c r="U28" s="5">
        <f t="shared" si="13"/>
        <v>0</v>
      </c>
      <c r="V28" s="5">
        <f>Table1[[#This Row],[Enrolment S.Y. 2025-2026 ]]*8</f>
        <v>1096</v>
      </c>
      <c r="W28" s="5"/>
      <c r="X28" s="1"/>
      <c r="Y28" s="5"/>
      <c r="Z28" s="5">
        <f t="shared" si="14"/>
        <v>1096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137</v>
      </c>
      <c r="D29" s="5">
        <f>Table1[[#This Row],[Enrolment S.Y. 2025-2026 ]]*8</f>
        <v>1096</v>
      </c>
      <c r="E29" s="5">
        <v>305</v>
      </c>
      <c r="F29" s="1">
        <v>2025</v>
      </c>
      <c r="G29" s="5" t="s">
        <v>63</v>
      </c>
      <c r="H29" s="5">
        <f>IF((D29-E29)&lt;0,0,(D29-E29))</f>
        <v>791</v>
      </c>
      <c r="I29" s="5">
        <f>IF((E29-D29)&lt;0,0,(E29-D29))</f>
        <v>0</v>
      </c>
      <c r="J29" s="5">
        <f>Table1[[#This Row],[Enrolment S.Y. 2025-2026 ]]*8</f>
        <v>1096</v>
      </c>
      <c r="K29" s="5"/>
      <c r="L29" s="1"/>
      <c r="M29" s="5"/>
      <c r="N29" s="5">
        <f t="shared" si="10"/>
        <v>1096</v>
      </c>
      <c r="O29" s="5">
        <f t="shared" si="11"/>
        <v>0</v>
      </c>
      <c r="P29" s="5">
        <f>Table1[[#This Row],[Enrolment S.Y. 2025-2026 ]]*8</f>
        <v>1096</v>
      </c>
      <c r="Q29" s="5"/>
      <c r="R29" s="1"/>
      <c r="S29" s="5"/>
      <c r="T29" s="5">
        <f t="shared" si="12"/>
        <v>1096</v>
      </c>
      <c r="U29" s="5">
        <f t="shared" si="13"/>
        <v>0</v>
      </c>
      <c r="V29" s="5">
        <f>Table1[[#This Row],[Enrolment S.Y. 2025-2026 ]]*8</f>
        <v>1096</v>
      </c>
      <c r="W29" s="5"/>
      <c r="X29" s="1"/>
      <c r="Y29" s="5"/>
      <c r="Z29" s="5">
        <f t="shared" si="14"/>
        <v>1096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137</v>
      </c>
      <c r="D30" s="5">
        <f>Table1[[#This Row],[Enrolment S.Y. 2025-2026 ]]*8</f>
        <v>1096</v>
      </c>
      <c r="E30" s="5">
        <v>106</v>
      </c>
      <c r="F30" s="1">
        <v>2025</v>
      </c>
      <c r="G30" s="5" t="s">
        <v>63</v>
      </c>
      <c r="H30" s="5">
        <f>IF((D30-E30)&lt;0,0,(D30-E30))</f>
        <v>990</v>
      </c>
      <c r="I30" s="5">
        <f>IF((E30-D30)&lt;0,0,(E30-D30))</f>
        <v>0</v>
      </c>
      <c r="J30" s="5">
        <f>Table1[[#This Row],[Enrolment S.Y. 2025-2026 ]]*8</f>
        <v>1096</v>
      </c>
      <c r="K30" s="5"/>
      <c r="L30" s="1"/>
      <c r="M30" s="5"/>
      <c r="N30" s="5">
        <f t="shared" si="10"/>
        <v>1096</v>
      </c>
      <c r="O30" s="5">
        <f t="shared" si="11"/>
        <v>0</v>
      </c>
      <c r="P30" s="5">
        <f>Table1[[#This Row],[Enrolment S.Y. 2025-2026 ]]*8</f>
        <v>1096</v>
      </c>
      <c r="Q30" s="5"/>
      <c r="R30" s="1"/>
      <c r="S30" s="5"/>
      <c r="T30" s="5">
        <f t="shared" si="12"/>
        <v>1096</v>
      </c>
      <c r="U30" s="5">
        <f t="shared" si="13"/>
        <v>0</v>
      </c>
      <c r="V30" s="5">
        <f>Table1[[#This Row],[Enrolment S.Y. 2025-2026 ]]*8</f>
        <v>1096</v>
      </c>
      <c r="W30" s="5"/>
      <c r="X30" s="1"/>
      <c r="Y30" s="5"/>
      <c r="Z30" s="5">
        <f t="shared" si="14"/>
        <v>1096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X32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X42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149</v>
      </c>
      <c r="D43" s="5">
        <f>Table1[[#This Row],[Enrolment S.Y. 2025-2026 ]]*8</f>
        <v>1192</v>
      </c>
      <c r="E43" s="5">
        <v>82</v>
      </c>
      <c r="F43" s="1">
        <v>2025</v>
      </c>
      <c r="G43" s="5" t="s">
        <v>63</v>
      </c>
      <c r="H43" s="5">
        <f t="shared" si="2"/>
        <v>1110</v>
      </c>
      <c r="I43" s="5">
        <f t="shared" si="3"/>
        <v>0</v>
      </c>
      <c r="J43" s="5">
        <f>Table1[[#This Row],[Enrolment S.Y. 2025-2026 ]]*8</f>
        <v>1192</v>
      </c>
      <c r="K43" s="5"/>
      <c r="L43" s="1"/>
      <c r="M43" s="5"/>
      <c r="N43" s="5">
        <f t="shared" si="10"/>
        <v>1192</v>
      </c>
      <c r="O43" s="5">
        <f t="shared" si="11"/>
        <v>0</v>
      </c>
      <c r="P43" s="5">
        <f>Table1[[#This Row],[Enrolment S.Y. 2025-2026 ]]*8</f>
        <v>1192</v>
      </c>
      <c r="Q43" s="5"/>
      <c r="R43" s="1"/>
      <c r="S43" s="5"/>
      <c r="T43" s="5">
        <f t="shared" si="12"/>
        <v>1192</v>
      </c>
      <c r="U43" s="5">
        <f t="shared" si="13"/>
        <v>0</v>
      </c>
      <c r="V43" s="5">
        <f>Table1[[#This Row],[Enrolment S.Y. 2025-2026 ]]*8</f>
        <v>1192</v>
      </c>
      <c r="W43" s="5"/>
      <c r="X43" s="1"/>
      <c r="Y43" s="5"/>
      <c r="Z43" s="5">
        <f t="shared" si="14"/>
        <v>1192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149</v>
      </c>
      <c r="D44" s="5">
        <f>Table1[[#This Row],[Enrolment S.Y. 2025-2026 ]]*8</f>
        <v>1192</v>
      </c>
      <c r="E44" s="5">
        <v>82</v>
      </c>
      <c r="F44" s="1">
        <v>2025</v>
      </c>
      <c r="G44" s="5" t="s">
        <v>63</v>
      </c>
      <c r="H44" s="5">
        <f t="shared" si="2"/>
        <v>1110</v>
      </c>
      <c r="I44" s="5">
        <f t="shared" si="3"/>
        <v>0</v>
      </c>
      <c r="J44" s="5">
        <f>Table1[[#This Row],[Enrolment S.Y. 2025-2026 ]]*8</f>
        <v>1192</v>
      </c>
      <c r="K44" s="5"/>
      <c r="L44" s="1"/>
      <c r="M44" s="5"/>
      <c r="N44" s="5">
        <f t="shared" si="10"/>
        <v>1192</v>
      </c>
      <c r="O44" s="5">
        <f t="shared" si="11"/>
        <v>0</v>
      </c>
      <c r="P44" s="5">
        <f>Table1[[#This Row],[Enrolment S.Y. 2025-2026 ]]*8</f>
        <v>1192</v>
      </c>
      <c r="Q44" s="5"/>
      <c r="R44" s="1"/>
      <c r="S44" s="5"/>
      <c r="T44" s="5">
        <f t="shared" si="12"/>
        <v>1192</v>
      </c>
      <c r="U44" s="5">
        <f t="shared" si="13"/>
        <v>0</v>
      </c>
      <c r="V44" s="5">
        <f>Table1[[#This Row],[Enrolment S.Y. 2025-2026 ]]*8</f>
        <v>1192</v>
      </c>
      <c r="W44" s="5"/>
      <c r="X44" s="1"/>
      <c r="Y44" s="5"/>
      <c r="Z44" s="5">
        <f t="shared" si="14"/>
        <v>1192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149</v>
      </c>
      <c r="D45" s="5">
        <f>Table1[[#This Row],[Enrolment S.Y. 2025-2026 ]]*8</f>
        <v>1192</v>
      </c>
      <c r="E45" s="5">
        <v>82</v>
      </c>
      <c r="F45" s="1">
        <v>2025</v>
      </c>
      <c r="G45" s="5" t="s">
        <v>63</v>
      </c>
      <c r="H45" s="5">
        <f t="shared" si="2"/>
        <v>1110</v>
      </c>
      <c r="I45" s="5">
        <f t="shared" si="3"/>
        <v>0</v>
      </c>
      <c r="J45" s="5">
        <f>Table1[[#This Row],[Enrolment S.Y. 2025-2026 ]]*8</f>
        <v>1192</v>
      </c>
      <c r="K45" s="5"/>
      <c r="L45" s="1"/>
      <c r="M45" s="5"/>
      <c r="N45" s="5">
        <f t="shared" si="10"/>
        <v>1192</v>
      </c>
      <c r="O45" s="5">
        <f t="shared" si="11"/>
        <v>0</v>
      </c>
      <c r="P45" s="5">
        <f>Table1[[#This Row],[Enrolment S.Y. 2025-2026 ]]*8</f>
        <v>1192</v>
      </c>
      <c r="Q45" s="5"/>
      <c r="R45" s="1"/>
      <c r="S45" s="5"/>
      <c r="T45" s="5">
        <f t="shared" si="12"/>
        <v>1192</v>
      </c>
      <c r="U45" s="5">
        <f t="shared" si="13"/>
        <v>0</v>
      </c>
      <c r="V45" s="5">
        <f>Table1[[#This Row],[Enrolment S.Y. 2025-2026 ]]*8</f>
        <v>1192</v>
      </c>
      <c r="W45" s="5"/>
      <c r="X45" s="1"/>
      <c r="Y45" s="5"/>
      <c r="Z45" s="5">
        <f t="shared" si="14"/>
        <v>1192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149</v>
      </c>
      <c r="D46" s="5">
        <f>Table1[[#This Row],[Enrolment S.Y. 2025-2026 ]]*8</f>
        <v>1192</v>
      </c>
      <c r="E46" s="5">
        <v>82</v>
      </c>
      <c r="F46" s="1">
        <v>2025</v>
      </c>
      <c r="G46" s="5" t="s">
        <v>63</v>
      </c>
      <c r="H46" s="5">
        <f t="shared" si="2"/>
        <v>1110</v>
      </c>
      <c r="I46" s="5">
        <f t="shared" si="3"/>
        <v>0</v>
      </c>
      <c r="J46" s="5">
        <f>Table1[[#This Row],[Enrolment S.Y. 2025-2026 ]]*8</f>
        <v>1192</v>
      </c>
      <c r="K46" s="5"/>
      <c r="L46" s="1"/>
      <c r="M46" s="5"/>
      <c r="N46" s="5">
        <f t="shared" si="10"/>
        <v>1192</v>
      </c>
      <c r="O46" s="5">
        <f t="shared" si="11"/>
        <v>0</v>
      </c>
      <c r="P46" s="5">
        <f>Table1[[#This Row],[Enrolment S.Y. 2025-2026 ]]*8</f>
        <v>1192</v>
      </c>
      <c r="Q46" s="5"/>
      <c r="R46" s="1"/>
      <c r="S46" s="5"/>
      <c r="T46" s="5">
        <f t="shared" si="12"/>
        <v>1192</v>
      </c>
      <c r="U46" s="5">
        <f t="shared" si="13"/>
        <v>0</v>
      </c>
      <c r="V46" s="5">
        <f>Table1[[#This Row],[Enrolment S.Y. 2025-2026 ]]*8</f>
        <v>1192</v>
      </c>
      <c r="W46" s="5"/>
      <c r="X46" s="1"/>
      <c r="Y46" s="5"/>
      <c r="Z46" s="5">
        <f t="shared" si="14"/>
        <v>1192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149</v>
      </c>
      <c r="D48" s="5">
        <f>Table1[[#This Row],[Enrolment S.Y. 2025-2026 ]]*8</f>
        <v>1192</v>
      </c>
      <c r="E48" s="5">
        <v>82</v>
      </c>
      <c r="F48" s="1">
        <v>2025</v>
      </c>
      <c r="G48" s="5" t="s">
        <v>63</v>
      </c>
      <c r="H48" s="5">
        <f t="shared" si="2"/>
        <v>1110</v>
      </c>
      <c r="I48" s="5">
        <f t="shared" si="3"/>
        <v>0</v>
      </c>
      <c r="J48" s="5">
        <f>Table1[[#This Row],[Enrolment S.Y. 2025-2026 ]]*8</f>
        <v>1192</v>
      </c>
      <c r="K48" s="5"/>
      <c r="L48" s="1"/>
      <c r="M48" s="5"/>
      <c r="N48" s="5">
        <f t="shared" si="10"/>
        <v>1192</v>
      </c>
      <c r="O48" s="5">
        <f t="shared" si="11"/>
        <v>0</v>
      </c>
      <c r="P48" s="5">
        <f>Table1[[#This Row],[Enrolment S.Y. 2025-2026 ]]*8</f>
        <v>1192</v>
      </c>
      <c r="Q48" s="5"/>
      <c r="R48" s="1"/>
      <c r="S48" s="5"/>
      <c r="T48" s="5">
        <f t="shared" si="12"/>
        <v>1192</v>
      </c>
      <c r="U48" s="5">
        <f t="shared" si="13"/>
        <v>0</v>
      </c>
      <c r="V48" s="5">
        <f>Table1[[#This Row],[Enrolment S.Y. 2025-2026 ]]*8</f>
        <v>1192</v>
      </c>
      <c r="W48" s="5"/>
      <c r="X48" s="1"/>
      <c r="Y48" s="5"/>
      <c r="Z48" s="5">
        <f t="shared" si="14"/>
        <v>1192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149</v>
      </c>
      <c r="D50" s="5">
        <f>Table1[[#This Row],[Enrolment S.Y. 2025-2026 ]]*8</f>
        <v>1192</v>
      </c>
      <c r="E50" s="5">
        <v>82</v>
      </c>
      <c r="F50" s="1">
        <v>2025</v>
      </c>
      <c r="G50" s="5" t="s">
        <v>63</v>
      </c>
      <c r="H50" s="5">
        <f t="shared" si="2"/>
        <v>1110</v>
      </c>
      <c r="I50" s="5">
        <f t="shared" si="3"/>
        <v>0</v>
      </c>
      <c r="J50" s="5">
        <f>Table1[[#This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Table1[[#This Row],[Enrolment S.Y. 2025-2026 ]]*8</f>
        <v>1192</v>
      </c>
      <c r="Q50" s="5"/>
      <c r="R50" s="1"/>
      <c r="S50" s="5"/>
      <c r="T50" s="5">
        <f t="shared" si="12"/>
        <v>1192</v>
      </c>
      <c r="U50" s="5">
        <f t="shared" si="13"/>
        <v>0</v>
      </c>
      <c r="V50" s="5">
        <f>Table1[[#This Row],[Enrolment S.Y. 2025-2026 ]]*8</f>
        <v>1192</v>
      </c>
      <c r="W50" s="5"/>
      <c r="X50" s="1"/>
      <c r="Y50" s="5"/>
      <c r="Z50" s="5">
        <f t="shared" si="14"/>
        <v>1192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X52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X72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X82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X92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X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H14:I21 H23:I31 H6:I12 Q112:Q126 P2:R2 V2:X3 N13:P126 T13:V127 J6:J127 N4:P4 T4:V4 J4 Z4:AA127 N3:R3 D43:F51 D5:F12 D14:F21 D23:F31 D33:F41 D53:F61 D63:F71 D73:F81 D83:F91 D93:F101 D103:F110 D112:F127 K6:L12 K63:L71 K103:L110 K112:L127 K14:L21 K23:L31 K33:L41 K43:L51 K53:L61 K73:L81 K83:L91 K93:L101 N5:R12 Q63:R71 Q103:R110 Q14:R21 R112:R127 Q23:R31 Q33:R41 Q43:R51 Q53:R61 Q73:R81 Q83:R91 Q93:R101 T5:X12 W63:X71 W103:X110 W112:X127 W14:X21 W23:X31 W33:X41 W43:X51 W53:X61 W73:X81 W83:X91 W93:X101 X13:Y13 X11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03:X110 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F6F5CDBF-CE81-4EC0-81E0-624019AF8AAE}">
      <formula1>"2024,2025,2026"</formula1>
    </dataValidation>
    <dataValidation type="list" allowBlank="1" showInputMessage="1" showErrorMessage="1" sqref="L112:L127 L53:L61 L103:L110 L5:L12 L14:L21 L23:L31 L33:L41 L43:L51 L63:L71 L73:L81 L83:L91 L93:L101 R112:R127 R53:R61 R5:R12 R103:R110 R14:R21 R23:R31 R33:R41 R43:R51 R63:R71 R73:R81 R83:R91 R93:R101 X53:X61 X5:X12 X14:X21 X23:X31 X33:X41 X43:X51 X63:X71 X73:X81 X83:X91 X93:X101" xr:uid="{7E3E9943-73B6-46EA-B6CA-FE4D160D9ED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T1" zoomScale="55" zoomScaleNormal="55" workbookViewId="0">
      <selection activeCell="X20" sqref="X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83.25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6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1" customHeight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3" customHeight="1"/>
    <row r="12" spans="1:27" ht="28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146</v>
      </c>
      <c r="D28" s="5">
        <f>Table14[[#This Row],[Enrolment S.Y. 2025-2026 ]]*8</f>
        <v>1168</v>
      </c>
      <c r="E28" s="5">
        <v>138</v>
      </c>
      <c r="F28" s="1">
        <v>2025</v>
      </c>
      <c r="G28" s="5" t="s">
        <v>63</v>
      </c>
      <c r="H28" s="5">
        <f>IF((D28-E28)&lt;0,0,(D28-E28))</f>
        <v>1030</v>
      </c>
      <c r="I28" s="5">
        <f>IF((E28-D28)&lt;0,0,(E28-D28))</f>
        <v>0</v>
      </c>
      <c r="J28" s="5">
        <f>Table14[[#This Row],[Enrolment S.Y. 2025-2026 ]]*8</f>
        <v>1168</v>
      </c>
      <c r="K28" s="5"/>
      <c r="L28" s="1"/>
      <c r="M28" s="5"/>
      <c r="N28" s="5">
        <f t="shared" si="2"/>
        <v>1168</v>
      </c>
      <c r="O28" s="5">
        <f t="shared" si="3"/>
        <v>0</v>
      </c>
      <c r="P28" s="5">
        <f>Table14[[#This Row],[Enrolment S.Y. 2025-2026 ]]*8</f>
        <v>1168</v>
      </c>
      <c r="Q28" s="5"/>
      <c r="R28" s="1"/>
      <c r="S28" s="5"/>
      <c r="T28" s="5">
        <f t="shared" si="4"/>
        <v>1168</v>
      </c>
      <c r="U28" s="5">
        <f t="shared" si="5"/>
        <v>0</v>
      </c>
      <c r="V28" s="5">
        <f>Table14[[#This Row],[Enrolment S.Y. 2025-2026 ]]*8</f>
        <v>1168</v>
      </c>
      <c r="W28" s="5"/>
      <c r="X28" s="1"/>
      <c r="Y28" s="5"/>
      <c r="Z28" s="5">
        <f t="shared" si="6"/>
        <v>1168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148</v>
      </c>
      <c r="D55" s="5">
        <f>Table14[[#This Row],[Enrolment S.Y. 2025-2026 ]]*8</f>
        <v>1184</v>
      </c>
      <c r="E55" s="5">
        <v>72</v>
      </c>
      <c r="F55" s="1">
        <v>2025</v>
      </c>
      <c r="G55" s="5" t="s">
        <v>63</v>
      </c>
      <c r="H55" s="5">
        <f t="shared" si="0"/>
        <v>1112</v>
      </c>
      <c r="I55" s="5">
        <f t="shared" si="1"/>
        <v>0</v>
      </c>
      <c r="J55" s="5">
        <f>Table14[[#This Row],[Enrolment S.Y. 2025-2026 ]]*8</f>
        <v>1184</v>
      </c>
      <c r="K55" s="5"/>
      <c r="L55" s="1"/>
      <c r="M55" s="5"/>
      <c r="N55" s="5">
        <f t="shared" si="2"/>
        <v>1184</v>
      </c>
      <c r="O55" s="5">
        <f t="shared" si="3"/>
        <v>0</v>
      </c>
      <c r="P55" s="5">
        <f>Table14[[#This Row],[Enrolment S.Y. 2025-2026 ]]*8</f>
        <v>1184</v>
      </c>
      <c r="Q55" s="5"/>
      <c r="R55" s="1"/>
      <c r="S55" s="5"/>
      <c r="T55" s="5">
        <f t="shared" si="4"/>
        <v>1184</v>
      </c>
      <c r="U55" s="5">
        <f t="shared" si="5"/>
        <v>0</v>
      </c>
      <c r="V55" s="5">
        <f>Table14[[#This Row],[Enrolment S.Y. 2025-2026 ]]*8</f>
        <v>1184</v>
      </c>
      <c r="W55" s="5"/>
      <c r="X55" s="1"/>
      <c r="Y55" s="5"/>
      <c r="Z55" s="5">
        <f t="shared" si="6"/>
        <v>1184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148</v>
      </c>
      <c r="D57" s="5">
        <f>Table14[[#This Row],[Enrolment S.Y. 2025-2026 ]]*8</f>
        <v>1184</v>
      </c>
      <c r="E57" s="5">
        <v>523</v>
      </c>
      <c r="F57" s="1">
        <v>2025</v>
      </c>
      <c r="G57" s="5" t="s">
        <v>63</v>
      </c>
      <c r="H57" s="5">
        <f t="shared" si="0"/>
        <v>661</v>
      </c>
      <c r="I57" s="5">
        <f t="shared" si="1"/>
        <v>0</v>
      </c>
      <c r="J57" s="5">
        <f>Table14[[#This Row],[Enrolment S.Y. 2025-2026 ]]*8</f>
        <v>1184</v>
      </c>
      <c r="K57" s="5"/>
      <c r="L57" s="1"/>
      <c r="M57" s="5"/>
      <c r="N57" s="5">
        <f t="shared" si="2"/>
        <v>1184</v>
      </c>
      <c r="O57" s="5">
        <f t="shared" si="3"/>
        <v>0</v>
      </c>
      <c r="P57" s="5">
        <f>Table14[[#This Row],[Enrolment S.Y. 2025-2026 ]]*8</f>
        <v>1184</v>
      </c>
      <c r="Q57" s="5"/>
      <c r="R57" s="1"/>
      <c r="S57" s="5"/>
      <c r="T57" s="5">
        <f t="shared" si="4"/>
        <v>1184</v>
      </c>
      <c r="U57" s="5">
        <f t="shared" si="5"/>
        <v>0</v>
      </c>
      <c r="V57" s="5">
        <f>Table14[[#This Row],[Enrolment S.Y. 2025-2026 ]]*8</f>
        <v>1184</v>
      </c>
      <c r="W57" s="5"/>
      <c r="X57" s="1"/>
      <c r="Y57" s="5"/>
      <c r="Z57" s="5">
        <f t="shared" si="6"/>
        <v>1184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N3:O10 T3:U10 Z3:AA10 Z12:AA19 Z21:AA29 Z31:AA41 Z43:AA53 Z55:AA65 Z67:AA77 Z79:AA89 Z91:AA101 Z103:AA113 Z115:AA122 D2:F10 D12:F19 D21:F29 D31:F41 D43:F53 D55:F65 D67:F77 D79:F89 D91:F101 D103:F113 D115:F122 H3:L10 H67:L77 H115:L122 H103:L113 H12:L19 H21:L29 H31:L41 H43:L53 H55:L65 H79:L89 H91:L101 P2:R10 N67:R77 N115:R122 N103:R113 N21:R29 N31:R41 N43:R53 N55:R65 N79:R89 N91:R101 N12:R19 V2:X10 T67:X77 T115:X122 T103:X113 T12:X19 T31:X41 T43:X53 T55:X65 T79:X89 T91:X101 T21:X2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29B9AC02-4FE2-4A95-BF08-E179F90B2652}">
      <formula1>"2024,2025,2026"</formula1>
    </dataValidation>
    <dataValidation type="list" allowBlank="1" showInputMessage="1" showErrorMessage="1" sqref="L103:L113 L115:L122 L55:L65 L3:L10 L12:L19 L21:L29 L31:L41 L43:L53 L67:L77 L79:L89 L91:L101 R103:R113 R115:R122 R55:R65 R91:R101 R21:R29 R31:R41 R43:R53 R67:R77 R79:R89 R3:R10 R12:R19 X103:X113 X55:X65 X3:X10 X91:X101 X31:X41 X43:X53 X67:X77 X79:X89 X12:X19 X21:X29" xr:uid="{838B779D-4979-471D-A3FB-A8FF0B8541C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2026-02-19T07:38:22Z</dcterms:modified>
  <cp:category/>
  <cp:contentStatus/>
</cp:coreProperties>
</file>