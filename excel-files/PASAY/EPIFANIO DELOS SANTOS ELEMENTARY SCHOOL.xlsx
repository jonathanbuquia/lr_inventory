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27" documentId="13_ncr:1_{BFB59F67-F0DC-4675-A682-EB0734A8026A}" xr6:coauthVersionLast="47" xr6:coauthVersionMax="47" xr10:uidLastSave="{7E1C680C-0576-4E40-97F1-574BC1D4E1B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G7" i="1"/>
  <c r="D24" i="4"/>
  <c r="D25" i="4"/>
  <c r="D26" i="4"/>
  <c r="D27" i="4"/>
  <c r="D28" i="4"/>
  <c r="D29" i="4"/>
  <c r="D30" i="4"/>
  <c r="D31" i="4"/>
  <c r="D44" i="4"/>
  <c r="D45" i="4"/>
  <c r="D46" i="4"/>
  <c r="D47" i="4"/>
  <c r="D48" i="4"/>
  <c r="D49" i="4"/>
  <c r="D50" i="4"/>
  <c r="D51" i="4"/>
  <c r="D16" i="4"/>
  <c r="D17" i="4"/>
  <c r="D18" i="4"/>
  <c r="D19" i="4"/>
  <c r="D20" i="4"/>
  <c r="D21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I56" i="5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H31" i="4"/>
  <c r="H21" i="4"/>
  <c r="D12" i="4"/>
  <c r="H12" i="4" s="1"/>
  <c r="H29" i="4"/>
  <c r="H30" i="4"/>
  <c r="H19" i="4"/>
  <c r="D10" i="4"/>
  <c r="H10" i="4" s="1"/>
  <c r="D11" i="4"/>
  <c r="H11" i="4" s="1"/>
  <c r="H20" i="4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I16" i="4"/>
  <c r="I17" i="4"/>
  <c r="I18" i="4"/>
  <c r="D23" i="4"/>
  <c r="H23" i="4" s="1"/>
  <c r="H24" i="4"/>
  <c r="I27" i="4"/>
  <c r="I28" i="4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H44" i="4"/>
  <c r="H45" i="4"/>
  <c r="I48" i="4"/>
  <c r="I49" i="4"/>
  <c r="H50" i="4"/>
  <c r="H51" i="4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G6" i="1"/>
  <c r="G2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3" i="1"/>
  <c r="G13" i="1"/>
  <c r="H12" i="1"/>
  <c r="G12" i="1"/>
  <c r="H11" i="1"/>
  <c r="G11" i="1"/>
  <c r="H10" i="1"/>
  <c r="G10" i="1"/>
  <c r="H9" i="1"/>
  <c r="G9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<sst xmlns="http://schemas.openxmlformats.org/spreadsheetml/2006/main" count="257" uniqueCount="81">
  <si>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</si>
  <si>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</si>
  <si>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</si>
  <si>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</si>
  <si>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</si>
  <si>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</si>
  <si>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</si>
  <si>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</si>
  <si>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</si>
  <si>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</si>
  <si>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</si>
  <si>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RO</t>
  </si>
  <si>
    <t>Makabansa</t>
  </si>
  <si>
    <t>Math</t>
  </si>
  <si>
    <t>Wika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</si>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</sst>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9"/>
  <sheetViews>
    <sheetView zoomScale="85" zoomScaleNormal="85" workbookViewId="0">
      <pane xSplit="2" topLeftCell="C46" activePane="topRight" state="frozen"/>
      <selection pane="topRight" activeCell="E151" sqref="E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149</v>
      </c>
      <c r="D4" s="1">
        <v>175</v>
      </c>
      <c r="E4" s="1">
        <v>2024</v>
      </c>
      <c r="F4" s="5" t="s">
        <v>11</v>
      </c>
      <c r="G4" s="3">
        <f>IF((C4-D4)&lt;0,0,C4-D4)</f>
        <v>0</v>
      </c>
      <c r="H4" s="4">
        <f>IF((D4-C4)&lt;0,0,D4-C4)</f>
        <v>26</v>
      </c>
    </row>
    <row r="5" spans="1:8" ht="25.5" customHeight="1">
      <c r="A5" s="1">
        <v>1</v>
      </c>
      <c r="B5" s="2" t="s">
        <v>12</v>
      </c>
      <c r="C5" s="1"/>
      <c r="D5" s="1"/>
      <c r="E5" s="1"/>
      <c r="F5" s="5"/>
      <c r="G5" s="3">
        <f t="shared" ref="G5:H7" si="0">IF((C5-D5)&lt;0,0,C5-D5)</f>
        <v>0</v>
      </c>
      <c r="H5" s="4">
        <f t="shared" ref="H5:H7" si="1">IF((D5-C5)&lt;0,0,D5-C5)</f>
        <v>0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9.5">
      <c r="A7" s="1">
        <v>1</v>
      </c>
      <c r="B7" s="2" t="s">
        <v>14</v>
      </c>
      <c r="C7" s="1">
        <v>119</v>
      </c>
      <c r="D7" s="1">
        <v>175</v>
      </c>
      <c r="E7" s="1">
        <v>2025</v>
      </c>
      <c r="F7" s="5" t="s">
        <v>11</v>
      </c>
      <c r="G7" s="3">
        <f t="shared" si="0"/>
        <v>0</v>
      </c>
      <c r="H7" s="4">
        <f t="shared" si="1"/>
        <v>56</v>
      </c>
    </row>
    <row r="8" spans="1:8">
      <c r="C8" s="6"/>
      <c r="D8" s="6"/>
      <c r="E8" s="6"/>
    </row>
    <row r="9" spans="1:8" ht="39.75" customHeight="1">
      <c r="A9" s="1">
        <v>2</v>
      </c>
      <c r="B9" s="2" t="s">
        <v>8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9.25" customHeight="1">
      <c r="A10" s="1">
        <v>2</v>
      </c>
      <c r="B10" s="2" t="s">
        <v>9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8.5" customHeight="1">
      <c r="A11" s="1">
        <v>2</v>
      </c>
      <c r="B11" s="2" t="s">
        <v>10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24" customHeight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9.5">
      <c r="A13" s="1">
        <v>2</v>
      </c>
      <c r="B13" s="2" t="s">
        <v>13</v>
      </c>
      <c r="C13" s="1"/>
      <c r="D13" s="1"/>
      <c r="E13" s="1"/>
      <c r="F13" s="5"/>
      <c r="G13" s="3">
        <f>IF((C13-D13)&lt;0,0,C13-D13)</f>
        <v>0</v>
      </c>
      <c r="H13" s="4">
        <f>IF((D13-C13)&lt;0,0,D13-C13)</f>
        <v>0</v>
      </c>
    </row>
    <row r="14" spans="1:8">
      <c r="C14" s="6"/>
      <c r="D14" s="6"/>
      <c r="E14" s="6"/>
    </row>
    <row r="15" spans="1:8" ht="49.5" customHeight="1">
      <c r="A15" s="1">
        <v>3</v>
      </c>
      <c r="B15" s="2" t="s">
        <v>8</v>
      </c>
      <c r="C15" s="1"/>
      <c r="D15" s="1"/>
      <c r="E15" s="1"/>
      <c r="F15" s="5"/>
      <c r="G15" s="3">
        <f t="shared" ref="G15:G20" si="2">IF((C15-D15)&lt;0,0,C15-D15)</f>
        <v>0</v>
      </c>
      <c r="H15" s="4">
        <f t="shared" ref="H15:H20" si="3">IF((D15-C15)&lt;0,0,D15-C15)</f>
        <v>0</v>
      </c>
    </row>
    <row r="16" spans="1:8" ht="29.25" customHeight="1">
      <c r="A16" s="1">
        <v>3</v>
      </c>
      <c r="B16" s="2" t="s">
        <v>9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7" customHeight="1">
      <c r="A17" s="1">
        <v>3</v>
      </c>
      <c r="B17" s="2" t="s">
        <v>10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3.25" customHeight="1">
      <c r="A18" s="1">
        <v>3</v>
      </c>
      <c r="B18" s="2" t="s">
        <v>15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1" customHeight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9.5">
      <c r="A20" s="1">
        <v>3</v>
      </c>
      <c r="B20" s="2" t="s">
        <v>13</v>
      </c>
      <c r="C20" s="1"/>
      <c r="D20" s="1"/>
      <c r="E20" s="1"/>
      <c r="F20" s="5"/>
      <c r="G20" s="3">
        <f t="shared" si="2"/>
        <v>0</v>
      </c>
      <c r="H20" s="4">
        <f t="shared" si="3"/>
        <v>0</v>
      </c>
    </row>
    <row r="21" spans="1:8">
      <c r="A21" s="7"/>
      <c r="B21" s="7"/>
      <c r="C21" s="8"/>
      <c r="D21" s="8"/>
      <c r="E21" s="8"/>
      <c r="F21" s="7"/>
      <c r="G21" s="7"/>
      <c r="H21" s="7"/>
    </row>
    <row r="22" spans="1:8" ht="28.5" customHeight="1">
      <c r="A22" s="1">
        <v>4</v>
      </c>
      <c r="B22" s="9" t="s">
        <v>16</v>
      </c>
      <c r="C22" s="1">
        <v>161</v>
      </c>
      <c r="D22" s="1">
        <v>161</v>
      </c>
      <c r="E22" s="1">
        <v>2024</v>
      </c>
      <c r="F22" s="5" t="s">
        <v>11</v>
      </c>
      <c r="G22" s="3">
        <f t="shared" ref="G22:G30" si="4">IF((C22-D22)&lt;0,0,C22-D22)</f>
        <v>0</v>
      </c>
      <c r="H22" s="4">
        <f t="shared" ref="H22:H30" si="5">IF((D22-C22)&lt;0,0,D22-C22)</f>
        <v>0</v>
      </c>
    </row>
    <row r="23" spans="1:8" ht="24" customHeight="1">
      <c r="A23" s="1">
        <v>4</v>
      </c>
      <c r="B23" s="9" t="s">
        <v>17</v>
      </c>
      <c r="C23" s="1">
        <v>161</v>
      </c>
      <c r="D23" s="1">
        <v>161</v>
      </c>
      <c r="E23" s="1">
        <v>2024</v>
      </c>
      <c r="F23" s="5" t="s">
        <v>11</v>
      </c>
      <c r="G23" s="3">
        <f t="shared" si="4"/>
        <v>0</v>
      </c>
      <c r="H23" s="4">
        <f t="shared" si="5"/>
        <v>0</v>
      </c>
    </row>
    <row r="24" spans="1:8" ht="19.5">
      <c r="A24" s="1">
        <v>4</v>
      </c>
      <c r="B24" s="9" t="s">
        <v>13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27" customHeight="1">
      <c r="A25" s="1">
        <v>4</v>
      </c>
      <c r="B25" s="9" t="s">
        <v>10</v>
      </c>
      <c r="C25" s="1">
        <v>162</v>
      </c>
      <c r="D25" s="1">
        <v>162</v>
      </c>
      <c r="E25" s="1">
        <v>2025</v>
      </c>
      <c r="F25" s="5" t="s">
        <v>11</v>
      </c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18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15</v>
      </c>
      <c r="C27" s="1">
        <v>161</v>
      </c>
      <c r="D27" s="1">
        <v>161</v>
      </c>
      <c r="E27" s="1">
        <v>2024</v>
      </c>
      <c r="F27" s="5" t="s">
        <v>11</v>
      </c>
      <c r="G27" s="3">
        <f t="shared" si="4"/>
        <v>0</v>
      </c>
      <c r="H27" s="4">
        <f t="shared" si="5"/>
        <v>0</v>
      </c>
    </row>
    <row r="28" spans="1:8" ht="33.75" customHeight="1">
      <c r="A28" s="1">
        <v>4</v>
      </c>
      <c r="B28" s="9" t="s">
        <v>19</v>
      </c>
      <c r="C28" s="1">
        <v>161</v>
      </c>
      <c r="D28" s="1">
        <v>161</v>
      </c>
      <c r="E28" s="1">
        <v>2024</v>
      </c>
      <c r="F28" s="5" t="s">
        <v>11</v>
      </c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1">
        <v>4</v>
      </c>
      <c r="B30" s="9" t="s">
        <v>21</v>
      </c>
      <c r="C30" s="1"/>
      <c r="D30" s="1"/>
      <c r="E30" s="1"/>
      <c r="F30" s="5"/>
      <c r="G30" s="3">
        <f t="shared" si="4"/>
        <v>0</v>
      </c>
      <c r="H30" s="4">
        <f t="shared" si="5"/>
        <v>0</v>
      </c>
    </row>
    <row r="31" spans="1:8" ht="27.75" customHeight="1">
      <c r="A31" s="7"/>
      <c r="B31" s="7"/>
      <c r="C31" s="8"/>
      <c r="D31" s="8"/>
      <c r="E31" s="8"/>
      <c r="F31" s="7"/>
      <c r="G31" s="7"/>
      <c r="H31" s="7"/>
    </row>
    <row r="32" spans="1:8" ht="27.75" customHeight="1">
      <c r="A32" s="1">
        <v>5</v>
      </c>
      <c r="B32" s="9" t="s">
        <v>16</v>
      </c>
      <c r="C32" s="1">
        <v>149</v>
      </c>
      <c r="D32" s="1">
        <v>149</v>
      </c>
      <c r="E32" s="1">
        <v>2025</v>
      </c>
      <c r="F32" s="5" t="s">
        <v>11</v>
      </c>
      <c r="G32" s="3">
        <f t="shared" ref="G32:G40" si="6">IF((C32-D32)&lt;0,0,C32-D32)</f>
        <v>0</v>
      </c>
      <c r="H32" s="4">
        <f t="shared" ref="H32:H40" si="7">IF((D32-C32)&lt;0,0,D32-C32)</f>
        <v>0</v>
      </c>
    </row>
    <row r="33" spans="1:8" ht="27.75" customHeight="1">
      <c r="A33" s="1">
        <v>5</v>
      </c>
      <c r="B33" s="9" t="s">
        <v>17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13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27.75" customHeight="1">
      <c r="A35" s="1">
        <v>5</v>
      </c>
      <c r="B35" s="9" t="s">
        <v>10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39" customHeight="1">
      <c r="A36" s="1">
        <v>5</v>
      </c>
      <c r="B36" s="9" t="s">
        <v>18</v>
      </c>
      <c r="C36" s="1">
        <v>149</v>
      </c>
      <c r="D36" s="1">
        <v>149</v>
      </c>
      <c r="E36" s="1">
        <v>2025</v>
      </c>
      <c r="F36" s="5" t="s">
        <v>11</v>
      </c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15</v>
      </c>
      <c r="C37" s="1">
        <v>153</v>
      </c>
      <c r="D37" s="1">
        <v>153</v>
      </c>
      <c r="E37" s="1">
        <v>2026</v>
      </c>
      <c r="F37" s="5" t="s">
        <v>11</v>
      </c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149</v>
      </c>
      <c r="D38" s="1">
        <v>149</v>
      </c>
      <c r="E38" s="1">
        <v>2025</v>
      </c>
      <c r="F38" s="5" t="s">
        <v>11</v>
      </c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153</v>
      </c>
      <c r="D39" s="1">
        <v>153</v>
      </c>
      <c r="E39" s="1">
        <v>2026</v>
      </c>
      <c r="F39" s="5" t="s">
        <v>11</v>
      </c>
      <c r="G39" s="3">
        <f t="shared" si="6"/>
        <v>0</v>
      </c>
      <c r="H39" s="4">
        <f t="shared" si="7"/>
        <v>0</v>
      </c>
    </row>
    <row r="40" spans="1:8" ht="27.75" customHeight="1">
      <c r="A40" s="1">
        <v>5</v>
      </c>
      <c r="B40" s="9" t="s">
        <v>21</v>
      </c>
      <c r="C40" s="1"/>
      <c r="D40" s="1"/>
      <c r="E40" s="1"/>
      <c r="F40" s="5"/>
      <c r="G40" s="3">
        <f t="shared" si="6"/>
        <v>0</v>
      </c>
      <c r="H40" s="4">
        <f t="shared" si="7"/>
        <v>0</v>
      </c>
    </row>
    <row r="41" spans="1:8" ht="27.75" customHeight="1">
      <c r="A41" s="7"/>
      <c r="B41" s="7"/>
      <c r="C41" s="8"/>
      <c r="D41" s="8"/>
      <c r="E41" s="8"/>
      <c r="F41" s="7"/>
      <c r="G41" s="7"/>
      <c r="H41" s="7"/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ref="G42:G50" si="8">IF((C42-D42)&lt;0,0,C42-D42)</f>
        <v>0</v>
      </c>
      <c r="H42" s="4">
        <f t="shared" ref="H42:H50" si="9">IF((D42-C42)&lt;0,0,D42-C42)</f>
        <v>0</v>
      </c>
    </row>
    <row r="43" spans="1:8" ht="27.75" customHeight="1">
      <c r="A43" s="1">
        <v>6</v>
      </c>
      <c r="B43" s="9" t="s">
        <v>17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13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27.75" customHeight="1">
      <c r="A45" s="1">
        <v>6</v>
      </c>
      <c r="B45" s="9" t="s">
        <v>10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36.75" customHeight="1">
      <c r="A46" s="1">
        <v>6</v>
      </c>
      <c r="B46" s="9" t="s">
        <v>18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15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1">
        <v>6</v>
      </c>
      <c r="B50" s="9" t="s">
        <v>21</v>
      </c>
      <c r="C50" s="1"/>
      <c r="D50" s="1"/>
      <c r="E50" s="1"/>
      <c r="F50" s="5"/>
      <c r="G50" s="3">
        <f t="shared" si="8"/>
        <v>0</v>
      </c>
      <c r="H50" s="4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27.75" customHeight="1"/>
    <row r="56" spans="1:8" ht="39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39.75" customHeight="1"/>
    <row r="93" ht="27.75" customHeight="1"/>
    <row r="94" ht="27.75" customHeight="1"/>
    <row r="95" ht="27.75" customHeight="1"/>
    <row r="96" ht="40.5" customHeight="1"/>
    <row r="97" ht="38.25" customHeight="1"/>
    <row r="98" ht="27.75" customHeight="1"/>
    <row r="99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F15:F20 F22:F30 F32:F40 F42:F50 F2:F7 F9:F13" xr:uid="{2F7388E0-D1A1-4571-8C10-96CB9A727EB3}">
      <formula1>"CO,RO,SDO"</formula1>
    </dataValidation>
    <dataValidation type="list" allowBlank="1" showInputMessage="1" showErrorMessage="1" sqref="E2:E7 E9:E13 E15:E20 E22:E30 E32:E40 E42:E50" xr:uid="{6385938C-077F-4DA6-B095-B32B1645017E}">
      <formula1>"2024,2025,2026"</formula1>
    </dataValidation>
  </dataValidation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5" zoomScale="70" zoomScaleNormal="70" workbookViewId="0">
      <selection activeCell="H84" sqref="H8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1.75" customHeight="1">
      <c r="J13" s="10"/>
      <c r="N13" s="10"/>
      <c r="O13" s="10"/>
      <c r="P13" s="10"/>
      <c r="S13" s="5"/>
      <c r="T13" s="10"/>
      <c r="U13" s="10"/>
      <c r="V13" s="10"/>
      <c r="X13" s="10"/>
      <c r="Y13" s="10"/>
      <c r="Z13" s="10"/>
      <c r="AA13" s="10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146</v>
      </c>
      <c r="D16" s="5">
        <f>Table1[[#This Row],[Enrolment S.Y. 2025-2026 ]]*8</f>
        <v>1168</v>
      </c>
      <c r="E16" s="5">
        <v>138</v>
      </c>
      <c r="F16" s="1">
        <v>2025</v>
      </c>
      <c r="G16" s="5" t="s">
        <v>52</v>
      </c>
      <c r="H16" s="5">
        <f t="shared" si="2"/>
        <v>1030</v>
      </c>
      <c r="I16" s="5">
        <f t="shared" si="3"/>
        <v>0</v>
      </c>
      <c r="J16" s="5">
        <f>Table1[[#This Row],[Enrolment S.Y. 2025-2026 ]]*8</f>
        <v>1168</v>
      </c>
      <c r="K16" s="5"/>
      <c r="L16" s="1"/>
      <c r="M16" s="5"/>
      <c r="N16" s="5">
        <f t="shared" si="10"/>
        <v>1168</v>
      </c>
      <c r="O16" s="5">
        <f t="shared" si="11"/>
        <v>0</v>
      </c>
      <c r="P16" s="5">
        <f>Table1[[#This Row],[Enrolment S.Y. 2025-2026 ]]*8</f>
        <v>1168</v>
      </c>
      <c r="Q16" s="5"/>
      <c r="R16" s="1"/>
      <c r="S16" s="5"/>
      <c r="T16" s="5">
        <f t="shared" si="12"/>
        <v>1168</v>
      </c>
      <c r="U16" s="5">
        <f t="shared" si="13"/>
        <v>0</v>
      </c>
      <c r="V16" s="5">
        <f>Table1[[#This Row],[Enrolment S.Y. 2025-2026 ]]*8</f>
        <v>1168</v>
      </c>
      <c r="W16" s="5"/>
      <c r="X16" s="1"/>
      <c r="Y16" s="5"/>
      <c r="Z16" s="5">
        <f t="shared" si="14"/>
        <v>1168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146</v>
      </c>
      <c r="D17" s="5">
        <f>Table1[[#This Row],[Enrolment S.Y. 2025-2026 ]]*8</f>
        <v>1168</v>
      </c>
      <c r="E17" s="5">
        <v>138</v>
      </c>
      <c r="F17" s="1">
        <v>2025</v>
      </c>
      <c r="G17" s="5" t="s">
        <v>52</v>
      </c>
      <c r="H17" s="5">
        <f t="shared" si="2"/>
        <v>1030</v>
      </c>
      <c r="I17" s="5">
        <f t="shared" si="3"/>
        <v>0</v>
      </c>
      <c r="J17" s="5">
        <f>Table1[[#This Row],[Enrolment S.Y. 2025-2026 ]]*8</f>
        <v>1168</v>
      </c>
      <c r="K17" s="5"/>
      <c r="L17" s="1"/>
      <c r="M17" s="5"/>
      <c r="N17" s="5">
        <f t="shared" si="10"/>
        <v>1168</v>
      </c>
      <c r="O17" s="5">
        <f t="shared" si="11"/>
        <v>0</v>
      </c>
      <c r="P17" s="5">
        <f>Table1[[#This Row],[Enrolment S.Y. 2025-2026 ]]*8</f>
        <v>1168</v>
      </c>
      <c r="Q17" s="5"/>
      <c r="R17" s="1"/>
      <c r="S17" s="5"/>
      <c r="T17" s="5">
        <f t="shared" si="12"/>
        <v>1168</v>
      </c>
      <c r="U17" s="5">
        <f t="shared" si="13"/>
        <v>0</v>
      </c>
      <c r="V17" s="5">
        <f>Table1[[#This Row],[Enrolment S.Y. 2025-2026 ]]*8</f>
        <v>1168</v>
      </c>
      <c r="W17" s="5"/>
      <c r="X17" s="1"/>
      <c r="Y17" s="5"/>
      <c r="Z17" s="5">
        <f t="shared" si="14"/>
        <v>1168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146</v>
      </c>
      <c r="D18" s="5">
        <f>Table1[[#This Row],[Enrolment S.Y. 2025-2026 ]]*8</f>
        <v>1168</v>
      </c>
      <c r="E18" s="5">
        <v>138</v>
      </c>
      <c r="F18" s="1">
        <v>2025</v>
      </c>
      <c r="G18" s="5" t="s">
        <v>52</v>
      </c>
      <c r="H18" s="5">
        <f t="shared" si="2"/>
        <v>1030</v>
      </c>
      <c r="I18" s="5">
        <f t="shared" si="3"/>
        <v>0</v>
      </c>
      <c r="J18" s="5">
        <f>Table1[[#This Row],[Enrolment S.Y. 2025-2026 ]]*8</f>
        <v>1168</v>
      </c>
      <c r="K18" s="5"/>
      <c r="L18" s="1"/>
      <c r="M18" s="5"/>
      <c r="N18" s="5">
        <f t="shared" si="10"/>
        <v>1168</v>
      </c>
      <c r="O18" s="5">
        <f t="shared" si="11"/>
        <v>0</v>
      </c>
      <c r="P18" s="5">
        <f>Table1[[#This Row],[Enrolment S.Y. 2025-2026 ]]*8</f>
        <v>1168</v>
      </c>
      <c r="Q18" s="5"/>
      <c r="R18" s="1"/>
      <c r="S18" s="5"/>
      <c r="T18" s="5">
        <f t="shared" si="12"/>
        <v>1168</v>
      </c>
      <c r="U18" s="5">
        <f t="shared" si="13"/>
        <v>0</v>
      </c>
      <c r="V18" s="5">
        <f>Table1[[#This Row],[Enrolment S.Y. 2025-2026 ]]*8</f>
        <v>1168</v>
      </c>
      <c r="W18" s="5"/>
      <c r="X18" s="1"/>
      <c r="Y18" s="5"/>
      <c r="Z18" s="5">
        <f t="shared" si="14"/>
        <v>1168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146</v>
      </c>
      <c r="D19" s="5">
        <f>Table1[[#This Row],[Enrolment S.Y. 2025-2026 ]]*8</f>
        <v>1168</v>
      </c>
      <c r="E19" s="5">
        <v>138</v>
      </c>
      <c r="F19" s="1">
        <v>2025</v>
      </c>
      <c r="G19" s="5" t="s">
        <v>52</v>
      </c>
      <c r="H19" s="5">
        <f>IF((D19-E19)&lt;0,0,(D19-E19))</f>
        <v>1030</v>
      </c>
      <c r="I19" s="5">
        <f>IF((E19-D19)&lt;0,0,(E19-D19))</f>
        <v>0</v>
      </c>
      <c r="J19" s="5">
        <f>Table1[[#This Row],[Enrolment S.Y. 2025-2026 ]]*8</f>
        <v>1168</v>
      </c>
      <c r="K19" s="5"/>
      <c r="L19" s="1"/>
      <c r="M19" s="5"/>
      <c r="N19" s="5">
        <f t="shared" si="10"/>
        <v>1168</v>
      </c>
      <c r="O19" s="5">
        <f t="shared" si="11"/>
        <v>0</v>
      </c>
      <c r="P19" s="5">
        <f>Table1[[#This Row],[Enrolment S.Y. 2025-2026 ]]*8</f>
        <v>1168</v>
      </c>
      <c r="Q19" s="5"/>
      <c r="R19" s="1"/>
      <c r="S19" s="5"/>
      <c r="T19" s="5">
        <f t="shared" si="12"/>
        <v>1168</v>
      </c>
      <c r="U19" s="5">
        <f t="shared" si="13"/>
        <v>0</v>
      </c>
      <c r="V19" s="5">
        <f>Table1[[#This Row],[Enrolment S.Y. 2025-2026 ]]*8</f>
        <v>1168</v>
      </c>
      <c r="W19" s="5"/>
      <c r="X19" s="1"/>
      <c r="Y19" s="5"/>
      <c r="Z19" s="5">
        <f t="shared" si="14"/>
        <v>1168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146</v>
      </c>
      <c r="D20" s="5">
        <f>Table1[[#This Row],[Enrolment S.Y. 2025-2026 ]]*8</f>
        <v>1168</v>
      </c>
      <c r="E20" s="5">
        <v>138</v>
      </c>
      <c r="F20" s="1">
        <v>2025</v>
      </c>
      <c r="G20" s="5" t="s">
        <v>52</v>
      </c>
      <c r="H20" s="5">
        <f>IF((D20-E20)&lt;0,0,(D20-E20))</f>
        <v>1030</v>
      </c>
      <c r="I20" s="5">
        <f>IF((E20-D20)&lt;0,0,(E20-D20))</f>
        <v>0</v>
      </c>
      <c r="J20" s="5">
        <f>Table1[[#This Row],[Enrolment S.Y. 2025-2026 ]]*8</f>
        <v>1168</v>
      </c>
      <c r="K20" s="5"/>
      <c r="L20" s="1"/>
      <c r="M20" s="5"/>
      <c r="N20" s="5">
        <f t="shared" si="10"/>
        <v>1168</v>
      </c>
      <c r="O20" s="5">
        <f t="shared" si="11"/>
        <v>0</v>
      </c>
      <c r="P20" s="5">
        <f>Table1[[#This Row],[Enrolment S.Y. 2025-2026 ]]*8</f>
        <v>1168</v>
      </c>
      <c r="Q20" s="5"/>
      <c r="R20" s="1"/>
      <c r="S20" s="5"/>
      <c r="T20" s="5">
        <f t="shared" si="12"/>
        <v>1168</v>
      </c>
      <c r="U20" s="5">
        <f t="shared" si="13"/>
        <v>0</v>
      </c>
      <c r="V20" s="5">
        <f>Table1[[#This Row],[Enrolment S.Y. 2025-2026 ]]*8</f>
        <v>1168</v>
      </c>
      <c r="W20" s="5"/>
      <c r="X20" s="1"/>
      <c r="Y20" s="5"/>
      <c r="Z20" s="5">
        <f t="shared" si="14"/>
        <v>1168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X22"/>
      <c r="Y22" s="5"/>
      <c r="Z22" s="10"/>
      <c r="AA22" s="10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137</v>
      </c>
      <c r="D25" s="5">
        <f>Table1[[#This Row],[Enrolment S.Y. 2025-2026 ]]*8</f>
        <v>1096</v>
      </c>
      <c r="E25" s="5">
        <v>82</v>
      </c>
      <c r="F25" s="1">
        <v>2025</v>
      </c>
      <c r="G25" s="5" t="s">
        <v>52</v>
      </c>
      <c r="H25" s="5">
        <f t="shared" si="2"/>
        <v>1014</v>
      </c>
      <c r="I25" s="5">
        <f t="shared" si="3"/>
        <v>0</v>
      </c>
      <c r="J25" s="5">
        <f>Table1[[#This Row],[Enrolment S.Y. 2025-2026 ]]*8</f>
        <v>1096</v>
      </c>
      <c r="K25" s="5"/>
      <c r="L25" s="1"/>
      <c r="M25" s="5"/>
      <c r="N25" s="5">
        <f t="shared" si="10"/>
        <v>1096</v>
      </c>
      <c r="O25" s="5">
        <f t="shared" si="11"/>
        <v>0</v>
      </c>
      <c r="P25" s="5">
        <f>Table1[[#This Row],[Enrolment S.Y. 2025-2026 ]]*8</f>
        <v>1096</v>
      </c>
      <c r="Q25" s="5"/>
      <c r="R25" s="1"/>
      <c r="S25" s="5"/>
      <c r="T25" s="5">
        <f t="shared" si="12"/>
        <v>1096</v>
      </c>
      <c r="U25" s="5">
        <f t="shared" si="13"/>
        <v>0</v>
      </c>
      <c r="V25" s="5">
        <f>Table1[[#This Row],[Enrolment S.Y. 2025-2026 ]]*8</f>
        <v>1096</v>
      </c>
      <c r="W25" s="5"/>
      <c r="X25" s="1"/>
      <c r="Y25" s="5"/>
      <c r="Z25" s="5">
        <f t="shared" si="14"/>
        <v>1096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137</v>
      </c>
      <c r="D26" s="5">
        <f>Table1[[#This Row],[Enrolment S.Y. 2025-2026 ]]*8</f>
        <v>1096</v>
      </c>
      <c r="E26" s="5">
        <v>305</v>
      </c>
      <c r="F26" s="1">
        <v>2025</v>
      </c>
      <c r="G26" s="5" t="s">
        <v>52</v>
      </c>
      <c r="H26" s="5">
        <f t="shared" si="2"/>
        <v>791</v>
      </c>
      <c r="I26" s="5">
        <f t="shared" si="3"/>
        <v>0</v>
      </c>
      <c r="J26" s="5">
        <f>Table1[[#This Row],[Enrolment S.Y. 2025-2026 ]]*8</f>
        <v>1096</v>
      </c>
      <c r="K26" s="5"/>
      <c r="L26" s="1"/>
      <c r="M26" s="5"/>
      <c r="N26" s="5">
        <f t="shared" si="10"/>
        <v>1096</v>
      </c>
      <c r="O26" s="5">
        <f t="shared" si="11"/>
        <v>0</v>
      </c>
      <c r="P26" s="5">
        <f>Table1[[#This Row],[Enrolment S.Y. 2025-2026 ]]*8</f>
        <v>1096</v>
      </c>
      <c r="Q26" s="5"/>
      <c r="R26" s="1"/>
      <c r="S26" s="5"/>
      <c r="T26" s="5">
        <f t="shared" si="12"/>
        <v>1096</v>
      </c>
      <c r="U26" s="5">
        <f t="shared" si="13"/>
        <v>0</v>
      </c>
      <c r="V26" s="5">
        <f>Table1[[#This Row],[Enrolment S.Y. 2025-2026 ]]*8</f>
        <v>1096</v>
      </c>
      <c r="W26" s="5"/>
      <c r="X26" s="1"/>
      <c r="Y26" s="5"/>
      <c r="Z26" s="5">
        <f t="shared" si="14"/>
        <v>1096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137</v>
      </c>
      <c r="D27" s="5">
        <f>Table1[[#This Row],[Enrolment S.Y. 2025-2026 ]]*8</f>
        <v>1096</v>
      </c>
      <c r="E27" s="5">
        <v>305</v>
      </c>
      <c r="F27" s="1">
        <v>2025</v>
      </c>
      <c r="G27" s="5" t="s">
        <v>52</v>
      </c>
      <c r="H27" s="5">
        <f t="shared" si="2"/>
        <v>791</v>
      </c>
      <c r="I27" s="5">
        <f t="shared" si="3"/>
        <v>0</v>
      </c>
      <c r="J27" s="5">
        <f>Table1[[#This Row],[Enrolment S.Y. 2025-2026 ]]*8</f>
        <v>1096</v>
      </c>
      <c r="K27" s="5"/>
      <c r="L27" s="1"/>
      <c r="M27" s="5"/>
      <c r="N27" s="5">
        <f t="shared" si="10"/>
        <v>1096</v>
      </c>
      <c r="O27" s="5">
        <f t="shared" si="11"/>
        <v>0</v>
      </c>
      <c r="P27" s="5">
        <f>Table1[[#This Row],[Enrolment S.Y. 2025-2026 ]]*8</f>
        <v>1096</v>
      </c>
      <c r="Q27" s="5"/>
      <c r="R27" s="1"/>
      <c r="S27" s="5"/>
      <c r="T27" s="5">
        <f t="shared" si="12"/>
        <v>1096</v>
      </c>
      <c r="U27" s="5">
        <f t="shared" si="13"/>
        <v>0</v>
      </c>
      <c r="V27" s="5">
        <f>Table1[[#This Row],[Enrolment S.Y. 2025-2026 ]]*8</f>
        <v>1096</v>
      </c>
      <c r="W27" s="5"/>
      <c r="X27" s="1"/>
      <c r="Y27" s="5"/>
      <c r="Z27" s="5">
        <f t="shared" si="14"/>
        <v>1096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137</v>
      </c>
      <c r="D28" s="5">
        <f>Table1[[#This Row],[Enrolment S.Y. 2025-2026 ]]*8</f>
        <v>1096</v>
      </c>
      <c r="E28" s="5">
        <v>305</v>
      </c>
      <c r="F28" s="1">
        <v>2025</v>
      </c>
      <c r="G28" s="5" t="s">
        <v>52</v>
      </c>
      <c r="H28" s="5">
        <f t="shared" si="2"/>
        <v>791</v>
      </c>
      <c r="I28" s="5">
        <f t="shared" si="3"/>
        <v>0</v>
      </c>
      <c r="J28" s="5">
        <f>Table1[[#This Row],[Enrolment S.Y. 2025-2026 ]]*8</f>
        <v>1096</v>
      </c>
      <c r="K28" s="5"/>
      <c r="L28" s="1"/>
      <c r="M28" s="5"/>
      <c r="N28" s="5">
        <f t="shared" si="10"/>
        <v>1096</v>
      </c>
      <c r="O28" s="5">
        <f t="shared" si="11"/>
        <v>0</v>
      </c>
      <c r="P28" s="5">
        <f>Table1[[#This Row],[Enrolment S.Y. 2025-2026 ]]*8</f>
        <v>1096</v>
      </c>
      <c r="Q28" s="5"/>
      <c r="R28" s="1"/>
      <c r="S28" s="5"/>
      <c r="T28" s="5">
        <f t="shared" si="12"/>
        <v>1096</v>
      </c>
      <c r="U28" s="5">
        <f t="shared" si="13"/>
        <v>0</v>
      </c>
      <c r="V28" s="5">
        <f>Table1[[#This Row],[Enrolment S.Y. 2025-2026 ]]*8</f>
        <v>1096</v>
      </c>
      <c r="W28" s="5"/>
      <c r="X28" s="1"/>
      <c r="Y28" s="5"/>
      <c r="Z28" s="5">
        <f t="shared" si="14"/>
        <v>1096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137</v>
      </c>
      <c r="D29" s="5">
        <f>Table1[[#This Row],[Enrolment S.Y. 2025-2026 ]]*8</f>
        <v>1096</v>
      </c>
      <c r="E29" s="5">
        <v>305</v>
      </c>
      <c r="F29" s="1">
        <v>2025</v>
      </c>
      <c r="G29" s="5" t="s">
        <v>52</v>
      </c>
      <c r="H29" s="5">
        <f>IF((D29-E29)&lt;0,0,(D29-E29))</f>
        <v>791</v>
      </c>
      <c r="I29" s="5">
        <f>IF((E29-D29)&lt;0,0,(E29-D29))</f>
        <v>0</v>
      </c>
      <c r="J29" s="5">
        <f>Table1[[#This Row],[Enrolment S.Y. 2025-2026 ]]*8</f>
        <v>1096</v>
      </c>
      <c r="K29" s="5"/>
      <c r="L29" s="1"/>
      <c r="M29" s="5"/>
      <c r="N29" s="5">
        <f t="shared" si="10"/>
        <v>1096</v>
      </c>
      <c r="O29" s="5">
        <f t="shared" si="11"/>
        <v>0</v>
      </c>
      <c r="P29" s="5">
        <f>Table1[[#This Row],[Enrolment S.Y. 2025-2026 ]]*8</f>
        <v>1096</v>
      </c>
      <c r="Q29" s="5"/>
      <c r="R29" s="1"/>
      <c r="S29" s="5"/>
      <c r="T29" s="5">
        <f t="shared" si="12"/>
        <v>1096</v>
      </c>
      <c r="U29" s="5">
        <f t="shared" si="13"/>
        <v>0</v>
      </c>
      <c r="V29" s="5">
        <f>Table1[[#This Row],[Enrolment S.Y. 2025-2026 ]]*8</f>
        <v>1096</v>
      </c>
      <c r="W29" s="5"/>
      <c r="X29" s="1"/>
      <c r="Y29" s="5"/>
      <c r="Z29" s="5">
        <f t="shared" si="14"/>
        <v>1096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137</v>
      </c>
      <c r="D30" s="5">
        <f>Table1[[#This Row],[Enrolment S.Y. 2025-2026 ]]*8</f>
        <v>1096</v>
      </c>
      <c r="E30" s="5">
        <v>106</v>
      </c>
      <c r="F30" s="1">
        <v>2025</v>
      </c>
      <c r="G30" s="5" t="s">
        <v>52</v>
      </c>
      <c r="H30" s="5">
        <f>IF((D30-E30)&lt;0,0,(D30-E30))</f>
        <v>990</v>
      </c>
      <c r="I30" s="5">
        <f>IF((E30-D30)&lt;0,0,(E30-D30))</f>
        <v>0</v>
      </c>
      <c r="J30" s="5">
        <f>Table1[[#This Row],[Enrolment S.Y. 2025-2026 ]]*8</f>
        <v>1096</v>
      </c>
      <c r="K30" s="5"/>
      <c r="L30" s="1"/>
      <c r="M30" s="5"/>
      <c r="N30" s="5">
        <f t="shared" si="10"/>
        <v>1096</v>
      </c>
      <c r="O30" s="5">
        <f t="shared" si="11"/>
        <v>0</v>
      </c>
      <c r="P30" s="5">
        <f>Table1[[#This Row],[Enrolment S.Y. 2025-2026 ]]*8</f>
        <v>1096</v>
      </c>
      <c r="Q30" s="5"/>
      <c r="R30" s="1"/>
      <c r="S30" s="5"/>
      <c r="T30" s="5">
        <f t="shared" si="12"/>
        <v>1096</v>
      </c>
      <c r="U30" s="5">
        <f t="shared" si="13"/>
        <v>0</v>
      </c>
      <c r="V30" s="5">
        <f>Table1[[#This Row],[Enrolment S.Y. 2025-2026 ]]*8</f>
        <v>1096</v>
      </c>
      <c r="W30" s="5"/>
      <c r="X30" s="1"/>
      <c r="Y30" s="5"/>
      <c r="Z30" s="5">
        <f t="shared" si="14"/>
        <v>1096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X32"/>
      <c r="Y32" s="5"/>
      <c r="Z32" s="10"/>
      <c r="AA32" s="10"/>
    </row>
    <row r="33" spans="1:27" ht="19.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X42"/>
      <c r="Y42" s="5"/>
      <c r="Z42" s="10"/>
      <c r="AA42" s="10"/>
    </row>
    <row r="43" spans="1:27" ht="19.5">
      <c r="A43" s="1">
        <v>5</v>
      </c>
      <c r="B43" s="9" t="s">
        <v>16</v>
      </c>
      <c r="C43" s="1">
        <v>149</v>
      </c>
      <c r="D43" s="5">
        <f>Table1[[#This Row],[Enrolment S.Y. 2025-2026 ]]*8</f>
        <v>1192</v>
      </c>
      <c r="E43" s="5">
        <v>82</v>
      </c>
      <c r="F43" s="1">
        <v>2025</v>
      </c>
      <c r="G43" s="5" t="s">
        <v>52</v>
      </c>
      <c r="H43" s="5">
        <f t="shared" si="2"/>
        <v>1110</v>
      </c>
      <c r="I43" s="5">
        <f t="shared" si="3"/>
        <v>0</v>
      </c>
      <c r="J43" s="5">
        <f>Table1[[#This Row],[Enrolment S.Y. 2025-2026 ]]*8</f>
        <v>1192</v>
      </c>
      <c r="K43" s="5"/>
      <c r="L43" s="1"/>
      <c r="M43" s="5"/>
      <c r="N43" s="5">
        <f t="shared" si="10"/>
        <v>1192</v>
      </c>
      <c r="O43" s="5">
        <f t="shared" si="11"/>
        <v>0</v>
      </c>
      <c r="P43" s="5">
        <f>Table1[[#This Row],[Enrolment S.Y. 2025-2026 ]]*8</f>
        <v>1192</v>
      </c>
      <c r="Q43" s="5"/>
      <c r="R43" s="1"/>
      <c r="S43" s="5"/>
      <c r="T43" s="5">
        <f t="shared" si="12"/>
        <v>1192</v>
      </c>
      <c r="U43" s="5">
        <f t="shared" si="13"/>
        <v>0</v>
      </c>
      <c r="V43" s="5">
        <f>Table1[[#This Row],[Enrolment S.Y. 2025-2026 ]]*8</f>
        <v>1192</v>
      </c>
      <c r="W43" s="5"/>
      <c r="X43" s="1"/>
      <c r="Y43" s="5"/>
      <c r="Z43" s="5">
        <f t="shared" si="14"/>
        <v>1192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149</v>
      </c>
      <c r="D44" s="5">
        <f>Table1[[#This Row],[Enrolment S.Y. 2025-2026 ]]*8</f>
        <v>1192</v>
      </c>
      <c r="E44" s="5">
        <v>82</v>
      </c>
      <c r="F44" s="1">
        <v>2025</v>
      </c>
      <c r="G44" s="5" t="s">
        <v>52</v>
      </c>
      <c r="H44" s="5">
        <f t="shared" si="2"/>
        <v>1110</v>
      </c>
      <c r="I44" s="5">
        <f t="shared" si="3"/>
        <v>0</v>
      </c>
      <c r="J44" s="5">
        <f>Table1[[#This Row],[Enrolment S.Y. 2025-2026 ]]*8</f>
        <v>1192</v>
      </c>
      <c r="K44" s="5"/>
      <c r="L44" s="1"/>
      <c r="M44" s="5"/>
      <c r="N44" s="5">
        <f t="shared" si="10"/>
        <v>1192</v>
      </c>
      <c r="O44" s="5">
        <f t="shared" si="11"/>
        <v>0</v>
      </c>
      <c r="P44" s="5">
        <f>Table1[[#This Row],[Enrolment S.Y. 2025-2026 ]]*8</f>
        <v>1192</v>
      </c>
      <c r="Q44" s="5"/>
      <c r="R44" s="1"/>
      <c r="S44" s="5"/>
      <c r="T44" s="5">
        <f t="shared" si="12"/>
        <v>1192</v>
      </c>
      <c r="U44" s="5">
        <f t="shared" si="13"/>
        <v>0</v>
      </c>
      <c r="V44" s="5">
        <f>Table1[[#This Row],[Enrolment S.Y. 2025-2026 ]]*8</f>
        <v>1192</v>
      </c>
      <c r="W44" s="5"/>
      <c r="X44" s="1"/>
      <c r="Y44" s="5"/>
      <c r="Z44" s="5">
        <f t="shared" si="14"/>
        <v>1192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149</v>
      </c>
      <c r="D45" s="5">
        <f>Table1[[#This Row],[Enrolment S.Y. 2025-2026 ]]*8</f>
        <v>1192</v>
      </c>
      <c r="E45" s="5">
        <v>82</v>
      </c>
      <c r="F45" s="1">
        <v>2025</v>
      </c>
      <c r="G45" s="5" t="s">
        <v>52</v>
      </c>
      <c r="H45" s="5">
        <f t="shared" si="2"/>
        <v>1110</v>
      </c>
      <c r="I45" s="5">
        <f t="shared" si="3"/>
        <v>0</v>
      </c>
      <c r="J45" s="5">
        <f>Table1[[#This Row],[Enrolment S.Y. 2025-2026 ]]*8</f>
        <v>1192</v>
      </c>
      <c r="K45" s="5"/>
      <c r="L45" s="1"/>
      <c r="M45" s="5"/>
      <c r="N45" s="5">
        <f t="shared" si="10"/>
        <v>1192</v>
      </c>
      <c r="O45" s="5">
        <f t="shared" si="11"/>
        <v>0</v>
      </c>
      <c r="P45" s="5">
        <f>Table1[[#This Row],[Enrolment S.Y. 2025-2026 ]]*8</f>
        <v>1192</v>
      </c>
      <c r="Q45" s="5"/>
      <c r="R45" s="1"/>
      <c r="S45" s="5"/>
      <c r="T45" s="5">
        <f t="shared" si="12"/>
        <v>1192</v>
      </c>
      <c r="U45" s="5">
        <f t="shared" si="13"/>
        <v>0</v>
      </c>
      <c r="V45" s="5">
        <f>Table1[[#This Row],[Enrolment S.Y. 2025-2026 ]]*8</f>
        <v>1192</v>
      </c>
      <c r="W45" s="5"/>
      <c r="X45" s="1"/>
      <c r="Y45" s="5"/>
      <c r="Z45" s="5">
        <f t="shared" si="14"/>
        <v>1192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149</v>
      </c>
      <c r="D46" s="5">
        <f>Table1[[#This Row],[Enrolment S.Y. 2025-2026 ]]*8</f>
        <v>1192</v>
      </c>
      <c r="E46" s="5">
        <v>82</v>
      </c>
      <c r="F46" s="1">
        <v>2025</v>
      </c>
      <c r="G46" s="5" t="s">
        <v>52</v>
      </c>
      <c r="H46" s="5">
        <f t="shared" si="2"/>
        <v>1110</v>
      </c>
      <c r="I46" s="5">
        <f t="shared" si="3"/>
        <v>0</v>
      </c>
      <c r="J46" s="5">
        <f>Table1[[#This Row],[Enrolment S.Y. 2025-2026 ]]*8</f>
        <v>1192</v>
      </c>
      <c r="K46" s="5"/>
      <c r="L46" s="1"/>
      <c r="M46" s="5"/>
      <c r="N46" s="5">
        <f t="shared" si="10"/>
        <v>1192</v>
      </c>
      <c r="O46" s="5">
        <f t="shared" si="11"/>
        <v>0</v>
      </c>
      <c r="P46" s="5">
        <f>Table1[[#This Row],[Enrolment S.Y. 2025-2026 ]]*8</f>
        <v>1192</v>
      </c>
      <c r="Q46" s="5"/>
      <c r="R46" s="1"/>
      <c r="S46" s="5"/>
      <c r="T46" s="5">
        <f t="shared" si="12"/>
        <v>1192</v>
      </c>
      <c r="U46" s="5">
        <f t="shared" si="13"/>
        <v>0</v>
      </c>
      <c r="V46" s="5">
        <f>Table1[[#This Row],[Enrolment S.Y. 2025-2026 ]]*8</f>
        <v>1192</v>
      </c>
      <c r="W46" s="5"/>
      <c r="X46" s="1"/>
      <c r="Y46" s="5"/>
      <c r="Z46" s="5">
        <f t="shared" si="14"/>
        <v>1192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149</v>
      </c>
      <c r="D48" s="5">
        <f>Table1[[#This Row],[Enrolment S.Y. 2025-2026 ]]*8</f>
        <v>1192</v>
      </c>
      <c r="E48" s="5">
        <v>82</v>
      </c>
      <c r="F48" s="1">
        <v>2025</v>
      </c>
      <c r="G48" s="5" t="s">
        <v>52</v>
      </c>
      <c r="H48" s="5">
        <f t="shared" si="2"/>
        <v>1110</v>
      </c>
      <c r="I48" s="5">
        <f t="shared" si="3"/>
        <v>0</v>
      </c>
      <c r="J48" s="5">
        <f>Table1[[#This Row],[Enrolment S.Y. 2025-2026 ]]*8</f>
        <v>1192</v>
      </c>
      <c r="K48" s="5"/>
      <c r="L48" s="1"/>
      <c r="M48" s="5"/>
      <c r="N48" s="5">
        <f t="shared" si="10"/>
        <v>1192</v>
      </c>
      <c r="O48" s="5">
        <f t="shared" si="11"/>
        <v>0</v>
      </c>
      <c r="P48" s="5">
        <f>Table1[[#This Row],[Enrolment S.Y. 2025-2026 ]]*8</f>
        <v>1192</v>
      </c>
      <c r="Q48" s="5"/>
      <c r="R48" s="1"/>
      <c r="S48" s="5"/>
      <c r="T48" s="5">
        <f t="shared" si="12"/>
        <v>1192</v>
      </c>
      <c r="U48" s="5">
        <f t="shared" si="13"/>
        <v>0</v>
      </c>
      <c r="V48" s="5">
        <f>Table1[[#This Row],[Enrolment S.Y. 2025-2026 ]]*8</f>
        <v>1192</v>
      </c>
      <c r="W48" s="5"/>
      <c r="X48" s="1"/>
      <c r="Y48" s="5"/>
      <c r="Z48" s="5">
        <f t="shared" si="14"/>
        <v>1192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149</v>
      </c>
      <c r="D50" s="5">
        <f>Table1[[#This Row],[Enrolment S.Y. 2025-2026 ]]*8</f>
        <v>1192</v>
      </c>
      <c r="E50" s="5">
        <v>82</v>
      </c>
      <c r="F50" s="1">
        <v>2025</v>
      </c>
      <c r="G50" s="5" t="s">
        <v>52</v>
      </c>
      <c r="H50" s="5">
        <f t="shared" si="2"/>
        <v>1110</v>
      </c>
      <c r="I50" s="5">
        <f t="shared" si="3"/>
        <v>0</v>
      </c>
      <c r="J50" s="5">
        <f>Table1[[#This Row],[Enrolment S.Y. 2025-2026 ]]*8</f>
        <v>1192</v>
      </c>
      <c r="K50" s="5"/>
      <c r="L50" s="1"/>
      <c r="M50" s="5"/>
      <c r="N50" s="5">
        <f t="shared" si="10"/>
        <v>1192</v>
      </c>
      <c r="O50" s="5">
        <f t="shared" si="11"/>
        <v>0</v>
      </c>
      <c r="P50" s="5">
        <f>Table1[[#This Row],[Enrolment S.Y. 2025-2026 ]]*8</f>
        <v>1192</v>
      </c>
      <c r="Q50" s="5"/>
      <c r="R50" s="1"/>
      <c r="S50" s="5"/>
      <c r="T50" s="5">
        <f t="shared" si="12"/>
        <v>1192</v>
      </c>
      <c r="U50" s="5">
        <f t="shared" si="13"/>
        <v>0</v>
      </c>
      <c r="V50" s="5">
        <f>Table1[[#This Row],[Enrolment S.Y. 2025-2026 ]]*8</f>
        <v>1192</v>
      </c>
      <c r="W50" s="5"/>
      <c r="X50" s="1"/>
      <c r="Y50" s="5"/>
      <c r="Z50" s="5">
        <f t="shared" si="14"/>
        <v>1192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X52"/>
      <c r="Y52" s="5"/>
      <c r="Z52" s="10"/>
      <c r="AA52" s="10"/>
    </row>
    <row r="53" spans="1:27" ht="19.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H33:I41 H43:I51 H53:I61 K23:L31 K33:L41 K43:L51 K53:L61 W23:X31 W33:X41 T5:X12 H14:I21 H23:I31 H6:I12 N13:P61 P2:R2 V2:X3 T13:V61 J6:J61 Z4:AA61 N4:P4 T4:V4 J4 N5:R12 N3:R3 D43:F51 D5:F12 D14:F21 D23:F31 D33:F41 D53:F61 W43:X51 W53:X61 Q14:R21 X13:Y13 Q23:R31 Q33:R41 K6:L12 Q43:R51 Q53:R61 W14:X21 K14:L21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L53:L61 L5:L12 L14:L21 L23:L31 L33:L41 L43:L51 R53:R61 R5:R12 R14:R21 R23:R31 R33:R41 R43:R51 X53:X61 X5:X12 X14:X21 X23:X31 X33:X41 X43:X51 F5:F12 F14:F21 F23:F31 F33:F41 F43:F51 F53:F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0" zoomScale="55" zoomScaleNormal="55" workbookViewId="0">
      <selection activeCell="AC146" sqref="AC1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83.25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36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1" customHeight="1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3" customHeight="1"/>
    <row r="12" spans="1:27" ht="28.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146</v>
      </c>
      <c r="D28" s="5">
        <f>Table14[[#This Row],[Enrolment S.Y. 2025-2026 ]]*8</f>
        <v>1168</v>
      </c>
      <c r="E28" s="5">
        <v>138</v>
      </c>
      <c r="F28" s="1">
        <v>2025</v>
      </c>
      <c r="G28" s="5" t="s">
        <v>52</v>
      </c>
      <c r="H28" s="5">
        <f>IF((D28-E28)&lt;0,0,(D28-E28))</f>
        <v>1030</v>
      </c>
      <c r="I28" s="5">
        <f>IF((E28-D28)&lt;0,0,(E28-D28))</f>
        <v>0</v>
      </c>
      <c r="J28" s="5">
        <f>Table14[[#This Row],[Enrolment S.Y. 2025-2026 ]]*8</f>
        <v>1168</v>
      </c>
      <c r="K28" s="5"/>
      <c r="L28" s="1"/>
      <c r="M28" s="5"/>
      <c r="N28" s="5">
        <f t="shared" si="2"/>
        <v>1168</v>
      </c>
      <c r="O28" s="5">
        <f t="shared" si="3"/>
        <v>0</v>
      </c>
      <c r="P28" s="5">
        <f>Table14[[#This Row],[Enrolment S.Y. 2025-2026 ]]*8</f>
        <v>1168</v>
      </c>
      <c r="Q28" s="5"/>
      <c r="R28" s="1"/>
      <c r="S28" s="5"/>
      <c r="T28" s="5">
        <f t="shared" si="4"/>
        <v>1168</v>
      </c>
      <c r="U28" s="5">
        <f t="shared" si="5"/>
        <v>0</v>
      </c>
      <c r="V28" s="5">
        <f>Table14[[#This Row],[Enrolment S.Y. 2025-2026 ]]*8</f>
        <v>1168</v>
      </c>
      <c r="W28" s="5"/>
      <c r="X28" s="1"/>
      <c r="Y28" s="5"/>
      <c r="Z28" s="5">
        <f t="shared" si="6"/>
        <v>1168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1">
        <v>4</v>
      </c>
      <c r="B37" s="9" t="s">
        <v>77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1">
        <v>4</v>
      </c>
      <c r="B40" s="9" t="s">
        <v>79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80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16</v>
      </c>
      <c r="C55" s="1">
        <v>148</v>
      </c>
      <c r="D55" s="5">
        <f>Table14[[#This Row],[Enrolment S.Y. 2025-2026 ]]*8</f>
        <v>1184</v>
      </c>
      <c r="E55" s="5">
        <v>72</v>
      </c>
      <c r="F55" s="1">
        <v>2025</v>
      </c>
      <c r="G55" s="5" t="s">
        <v>52</v>
      </c>
      <c r="H55" s="5">
        <f t="shared" si="0"/>
        <v>1112</v>
      </c>
      <c r="I55" s="5">
        <f t="shared" si="1"/>
        <v>0</v>
      </c>
      <c r="J55" s="5">
        <f>Table14[[#This Row],[Enrolment S.Y. 2025-2026 ]]*8</f>
        <v>1184</v>
      </c>
      <c r="K55" s="5"/>
      <c r="L55" s="1"/>
      <c r="M55" s="5"/>
      <c r="N55" s="5">
        <f t="shared" si="2"/>
        <v>1184</v>
      </c>
      <c r="O55" s="5">
        <f t="shared" si="3"/>
        <v>0</v>
      </c>
      <c r="P55" s="5">
        <f>Table14[[#This Row],[Enrolment S.Y. 2025-2026 ]]*8</f>
        <v>1184</v>
      </c>
      <c r="Q55" s="5"/>
      <c r="R55" s="1"/>
      <c r="S55" s="5"/>
      <c r="T55" s="5">
        <f t="shared" si="4"/>
        <v>1184</v>
      </c>
      <c r="U55" s="5">
        <f t="shared" si="5"/>
        <v>0</v>
      </c>
      <c r="V55" s="5">
        <f>Table14[[#This Row],[Enrolment S.Y. 2025-2026 ]]*8</f>
        <v>1184</v>
      </c>
      <c r="W55" s="5"/>
      <c r="X55" s="1"/>
      <c r="Y55" s="5"/>
      <c r="Z55" s="5">
        <f t="shared" si="6"/>
        <v>1184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148</v>
      </c>
      <c r="D57" s="5">
        <f>Table14[[#This Row],[Enrolment S.Y. 2025-2026 ]]*8</f>
        <v>1184</v>
      </c>
      <c r="E57" s="5">
        <v>523</v>
      </c>
      <c r="F57" s="1">
        <v>2025</v>
      </c>
      <c r="G57" s="5" t="s">
        <v>52</v>
      </c>
      <c r="H57" s="5">
        <f t="shared" si="0"/>
        <v>661</v>
      </c>
      <c r="I57" s="5">
        <f t="shared" si="1"/>
        <v>0</v>
      </c>
      <c r="J57" s="5">
        <f>Table14[[#This Row],[Enrolment S.Y. 2025-2026 ]]*8</f>
        <v>1184</v>
      </c>
      <c r="K57" s="5"/>
      <c r="L57" s="1"/>
      <c r="M57" s="5"/>
      <c r="N57" s="5">
        <f t="shared" si="2"/>
        <v>1184</v>
      </c>
      <c r="O57" s="5">
        <f t="shared" si="3"/>
        <v>0</v>
      </c>
      <c r="P57" s="5">
        <f>Table14[[#This Row],[Enrolment S.Y. 2025-2026 ]]*8</f>
        <v>1184</v>
      </c>
      <c r="Q57" s="5"/>
      <c r="R57" s="1"/>
      <c r="S57" s="5"/>
      <c r="T57" s="5">
        <f t="shared" si="4"/>
        <v>1184</v>
      </c>
      <c r="U57" s="5">
        <f t="shared" si="5"/>
        <v>0</v>
      </c>
      <c r="V57" s="5">
        <f>Table14[[#This Row],[Enrolment S.Y. 2025-2026 ]]*8</f>
        <v>1184</v>
      </c>
      <c r="W57" s="5"/>
      <c r="X57" s="1"/>
      <c r="Y57" s="5"/>
      <c r="Z57" s="5">
        <f t="shared" si="6"/>
        <v>1184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1">
        <v>6</v>
      </c>
      <c r="B61" s="9" t="s">
        <v>77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N3:O10 T3:U10 Z3:AA10 Z12:AA19 Z21:AA29 Z31:AA41 Z43:AA53 Z55:AA65 H55:L65 N12:R19 V2:X10 P2:R10 T43:X53 D2:F10 D12:F19 D21:F29 D31:F41 D43:F53 D55:F65 T55:X65 T21:X29 N21:R29 N31:R41 N43:R53 H3:L10 N55:R65 T12:X19 T31:X41 H12:L19 H21:L29 H31:L41 H43:L53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55:L65 L3:L10 L12:L19 L21:L29 L31:L41 L43:L53 R55:R65 R21:R29 R31:R41 R43:R53 R3:R10 R12:R19 X55:X65 X3:X10 X31:X41 X43:X53 X12:X19 X21:X29 F3:F10 F12:F19 F21:F29 F31:F41 F43:F53 F55:F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2026-04-14T02:10:08Z</dcterms:modified>
  <cp:category/>
  <cp:contentStatus/>
</cp:coreProperties>
</file>