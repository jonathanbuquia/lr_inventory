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2" documentId="13_ncr:1_{BFB59F67-F0DC-4675-A682-EB0734A8026A}" xr6:coauthVersionLast="47" xr6:coauthVersionMax="47" xr10:uidLastSave="{4B97C9F7-E904-4481-A6AF-39DC4CA39F8E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G13" i="1"/>
  <c r="H5" i="1"/>
  <c r="G5" i="1"/>
  <c r="H3" i="1"/>
  <c r="G3" i="1"/>
  <c r="H20" i="1"/>
  <c r="G20" i="1"/>
  <c r="H19" i="1"/>
  <c r="G19" i="1"/>
  <c r="H18" i="1"/>
  <c r="G18" i="1"/>
  <c r="H17" i="1"/>
  <c r="G17" i="1"/>
  <c r="H16" i="1"/>
  <c r="G16" i="1"/>
  <c r="H15" i="1"/>
  <c r="G15" i="1"/>
  <c r="G4" i="1"/>
  <c r="H4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O46" i="5" s="1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14" i="1"/>
  <c r="G14" i="1"/>
  <c r="H12" i="1"/>
  <c r="G12" i="1"/>
  <c r="H10" i="1"/>
  <c r="G10" i="1"/>
  <c r="H9" i="1"/>
  <c r="G9" i="1"/>
  <c r="H8" i="1"/>
  <c r="G8" i="1"/>
  <c r="H7" i="1"/>
  <c r="G7" i="1"/>
  <c r="H6" i="1"/>
  <c r="G6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<sst xmlns="http://schemas.openxmlformats.org/spreadsheetml/2006/main" count="308" uniqueCount="86">
  <si>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</si>
  <si>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</si>
  <si>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</si>
  <si>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</si>
  <si>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</si>
  <si>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</si>
  <si>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</si>
  <si>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</si>
  <si>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</si>
  <si>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</si>
  <si>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</si>
  <si>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</si>
  <si>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</si>
  <si>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</si>
  <si>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</si>
  <si>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</si>
  <si>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</si>
  <si>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</si>
  <si>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 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</si>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</sst>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CAEDFB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3" fillId="13" borderId="1" xfId="0" applyFont="1" applyFill="1" applyBorder="1" applyAlignment="1">
      <alignment wrapText="1"/>
    </xf>
    <xf numFmtId="0" fontId="13" fillId="14" borderId="3" xfId="0" applyFont="1" applyFill="1" applyBorder="1" applyAlignment="1">
      <alignment wrapText="1"/>
    </xf>
    <xf numFmtId="0" fontId="13" fillId="13" borderId="3" xfId="0" applyFont="1" applyFill="1" applyBorder="1" applyAlignment="1">
      <alignment wrapText="1"/>
    </xf>
    <xf numFmtId="0" fontId="13" fillId="14" borderId="1" xfId="0" applyFont="1" applyFill="1" applyBorder="1" applyAlignment="1">
      <alignment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3" fillId="13" borderId="3" xfId="0" applyFont="1" applyFill="1" applyBorder="1" applyAlignment="1">
      <alignment horizont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98" sqref="D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30">
        <v>1276</v>
      </c>
      <c r="D2" s="30">
        <v>1432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156</v>
      </c>
    </row>
    <row r="3" spans="1:8" ht="29.25" customHeight="1">
      <c r="A3" s="8">
        <v>7</v>
      </c>
      <c r="B3" s="9" t="s">
        <v>10</v>
      </c>
      <c r="C3" s="30">
        <v>1276</v>
      </c>
      <c r="D3" s="30">
        <v>1432</v>
      </c>
      <c r="E3" s="8">
        <v>2026</v>
      </c>
      <c r="F3" s="10" t="s">
        <v>9</v>
      </c>
      <c r="G3" s="2">
        <f t="shared" ref="G3" si="2">IF((C3-D3)&lt;0,0,C3-D3)</f>
        <v>0</v>
      </c>
      <c r="H3" s="2">
        <f t="shared" ref="H3" si="3">IF((D3-E3)&lt;0,0,D3-E3)</f>
        <v>0</v>
      </c>
    </row>
    <row r="4" spans="1:8" ht="21" customHeight="1">
      <c r="A4" s="8">
        <v>7</v>
      </c>
      <c r="B4" s="9" t="s">
        <v>11</v>
      </c>
      <c r="C4" s="30">
        <v>1276</v>
      </c>
      <c r="D4" s="30">
        <v>1432</v>
      </c>
      <c r="E4" s="30">
        <v>2024</v>
      </c>
      <c r="F4" s="10" t="s">
        <v>9</v>
      </c>
      <c r="G4" s="2">
        <f t="shared" si="0"/>
        <v>0</v>
      </c>
      <c r="H4" s="3">
        <f t="shared" si="1"/>
        <v>156</v>
      </c>
    </row>
    <row r="5" spans="1:8" ht="25.5" customHeight="1">
      <c r="A5" s="8">
        <v>7</v>
      </c>
      <c r="B5" s="9" t="s">
        <v>12</v>
      </c>
      <c r="C5" s="30">
        <v>1276</v>
      </c>
      <c r="D5" s="30">
        <v>1432</v>
      </c>
      <c r="E5" s="30">
        <v>2026</v>
      </c>
      <c r="F5" s="10" t="s">
        <v>9</v>
      </c>
      <c r="G5" s="2">
        <f t="shared" si="0"/>
        <v>0</v>
      </c>
      <c r="H5" s="2">
        <f t="shared" ref="H5" si="4">IF((D5-E5)&lt;0,0,D5-E5)</f>
        <v>0</v>
      </c>
    </row>
    <row r="6" spans="1:8" ht="38.25">
      <c r="A6" s="8">
        <v>7</v>
      </c>
      <c r="B6" s="9" t="s">
        <v>13</v>
      </c>
      <c r="C6" s="30">
        <v>1276</v>
      </c>
      <c r="D6" s="30">
        <v>1432</v>
      </c>
      <c r="E6" s="8">
        <v>2025</v>
      </c>
      <c r="F6" s="10" t="s">
        <v>9</v>
      </c>
      <c r="G6" s="2">
        <f t="shared" si="0"/>
        <v>0</v>
      </c>
      <c r="H6" s="3">
        <f t="shared" si="1"/>
        <v>156</v>
      </c>
    </row>
    <row r="7" spans="1:8" ht="19.5">
      <c r="A7" s="8">
        <v>7</v>
      </c>
      <c r="B7" s="9" t="s">
        <v>14</v>
      </c>
      <c r="C7" s="30">
        <v>1276</v>
      </c>
      <c r="D7" s="30">
        <v>1432</v>
      </c>
      <c r="E7" s="8">
        <v>2024</v>
      </c>
      <c r="F7" s="10" t="s">
        <v>9</v>
      </c>
      <c r="G7" s="2">
        <f t="shared" si="0"/>
        <v>0</v>
      </c>
      <c r="H7" s="3">
        <f t="shared" si="1"/>
        <v>156</v>
      </c>
    </row>
    <row r="8" spans="1:8" ht="39.75" customHeight="1">
      <c r="A8" s="8">
        <v>7</v>
      </c>
      <c r="B8" s="9" t="s">
        <v>15</v>
      </c>
      <c r="C8" s="30">
        <v>1276</v>
      </c>
      <c r="D8" s="30">
        <v>1432</v>
      </c>
      <c r="E8" s="8">
        <v>2025</v>
      </c>
      <c r="F8" s="10" t="s">
        <v>9</v>
      </c>
      <c r="G8" s="2">
        <f t="shared" si="0"/>
        <v>0</v>
      </c>
      <c r="H8" s="3">
        <f t="shared" si="1"/>
        <v>156</v>
      </c>
    </row>
    <row r="9" spans="1:8" ht="29.25" customHeight="1">
      <c r="A9" s="8">
        <v>7</v>
      </c>
      <c r="B9" s="9" t="s">
        <v>16</v>
      </c>
      <c r="C9" s="30">
        <v>1276</v>
      </c>
      <c r="D9" s="30">
        <v>1432</v>
      </c>
      <c r="E9" s="8">
        <v>2025</v>
      </c>
      <c r="F9" s="10" t="s">
        <v>9</v>
      </c>
      <c r="G9" s="2">
        <f t="shared" si="0"/>
        <v>0</v>
      </c>
      <c r="H9" s="3">
        <f t="shared" si="1"/>
        <v>156</v>
      </c>
    </row>
    <row r="10" spans="1:8" ht="28.5" customHeight="1">
      <c r="A10" s="8">
        <v>7</v>
      </c>
      <c r="B10" s="9" t="s">
        <v>17</v>
      </c>
      <c r="C10" s="30">
        <v>1276</v>
      </c>
      <c r="D10" s="30">
        <v>1432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156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30">
        <v>1126</v>
      </c>
      <c r="D12" s="30">
        <v>1432</v>
      </c>
      <c r="E12" s="8"/>
      <c r="F12" s="32" t="s">
        <v>18</v>
      </c>
      <c r="G12" s="2">
        <f t="shared" ref="G12:G20" si="5">IF((C12-D12)&lt;0,0,C12-D12)</f>
        <v>0</v>
      </c>
      <c r="H12" s="3">
        <f t="shared" ref="H12:H20" si="6">IF((D12-C12)&lt;0,0,D12-C12)</f>
        <v>306</v>
      </c>
    </row>
    <row r="13" spans="1:8" ht="19.5">
      <c r="A13" s="8">
        <v>8</v>
      </c>
      <c r="B13" s="9" t="s">
        <v>10</v>
      </c>
      <c r="C13" s="30"/>
      <c r="D13" s="30"/>
      <c r="E13" s="8"/>
      <c r="F13" s="32"/>
      <c r="G13" s="2">
        <f t="shared" si="5"/>
        <v>0</v>
      </c>
      <c r="H13" s="3">
        <f t="shared" si="6"/>
        <v>0</v>
      </c>
    </row>
    <row r="14" spans="1:8" ht="49.5" customHeight="1">
      <c r="A14" s="8">
        <v>8</v>
      </c>
      <c r="B14" s="9" t="s">
        <v>11</v>
      </c>
      <c r="C14" s="30">
        <v>1126</v>
      </c>
      <c r="D14" s="30">
        <v>1199</v>
      </c>
      <c r="E14" s="8">
        <v>2025</v>
      </c>
      <c r="F14" s="10" t="s">
        <v>9</v>
      </c>
      <c r="G14" s="2">
        <f t="shared" si="5"/>
        <v>0</v>
      </c>
      <c r="H14" s="3">
        <f t="shared" si="6"/>
        <v>73</v>
      </c>
    </row>
    <row r="15" spans="1:8" ht="29.25" customHeight="1">
      <c r="A15" s="8">
        <v>8</v>
      </c>
      <c r="B15" s="9" t="s">
        <v>12</v>
      </c>
      <c r="C15" s="30"/>
      <c r="D15" s="30"/>
      <c r="E15" s="8"/>
      <c r="F15" s="32" t="s">
        <v>18</v>
      </c>
      <c r="G15" s="2">
        <f t="shared" ref="G15:G20" si="7">IF((C15-D15)&lt;0,0,C15-D15)</f>
        <v>0</v>
      </c>
      <c r="H15" s="3">
        <f t="shared" ref="H15:H20" si="8">IF((D15-C15)&lt;0,0,D15-C15)</f>
        <v>0</v>
      </c>
    </row>
    <row r="16" spans="1:8" ht="27" customHeight="1">
      <c r="A16" s="8">
        <v>8</v>
      </c>
      <c r="B16" s="9" t="s">
        <v>19</v>
      </c>
      <c r="C16" s="30"/>
      <c r="D16" s="30"/>
      <c r="E16" s="8"/>
      <c r="F16" s="32"/>
      <c r="G16" s="2">
        <f t="shared" si="7"/>
        <v>0</v>
      </c>
      <c r="H16" s="3">
        <f t="shared" si="8"/>
        <v>0</v>
      </c>
    </row>
    <row r="17" spans="1:8" ht="23.25" customHeight="1">
      <c r="A17" s="8">
        <v>8</v>
      </c>
      <c r="B17" s="9" t="s">
        <v>14</v>
      </c>
      <c r="C17" s="30">
        <v>1126</v>
      </c>
      <c r="D17" s="30">
        <v>1199</v>
      </c>
      <c r="E17" s="8">
        <v>2026</v>
      </c>
      <c r="F17" s="36" t="s">
        <v>9</v>
      </c>
      <c r="G17" s="2">
        <f t="shared" si="7"/>
        <v>0</v>
      </c>
      <c r="H17" s="3">
        <f t="shared" si="8"/>
        <v>73</v>
      </c>
    </row>
    <row r="18" spans="1:8" ht="21" customHeight="1">
      <c r="A18" s="8">
        <v>8</v>
      </c>
      <c r="B18" s="9" t="s">
        <v>15</v>
      </c>
      <c r="C18" s="30"/>
      <c r="D18" s="30"/>
      <c r="E18" s="8"/>
      <c r="F18" s="32"/>
      <c r="G18" s="2">
        <f t="shared" si="7"/>
        <v>0</v>
      </c>
      <c r="H18" s="3">
        <f t="shared" si="8"/>
        <v>0</v>
      </c>
    </row>
    <row r="19" spans="1:8" ht="19.5">
      <c r="A19" s="8">
        <v>8</v>
      </c>
      <c r="B19" s="9" t="s">
        <v>16</v>
      </c>
      <c r="C19" s="30"/>
      <c r="D19" s="30"/>
      <c r="E19" s="8"/>
      <c r="F19" s="32"/>
      <c r="G19" s="2">
        <f t="shared" si="7"/>
        <v>0</v>
      </c>
      <c r="H19" s="3">
        <f t="shared" si="8"/>
        <v>0</v>
      </c>
    </row>
    <row r="20" spans="1:8" ht="19.5">
      <c r="A20" s="8">
        <v>8</v>
      </c>
      <c r="B20" s="9" t="s">
        <v>17</v>
      </c>
      <c r="C20" s="30"/>
      <c r="D20" s="30"/>
      <c r="E20" s="8"/>
      <c r="F20" s="32"/>
      <c r="G20" s="2">
        <f t="shared" si="7"/>
        <v>0</v>
      </c>
      <c r="H20" s="3">
        <f t="shared" si="8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30">
        <v>1068</v>
      </c>
      <c r="D22" s="8"/>
      <c r="E22" s="8"/>
      <c r="F22" s="10"/>
      <c r="G22" s="2">
        <f t="shared" ref="G22:G30" si="9">IF((C22-D22)&lt;0,0,C22-D22)</f>
        <v>1068</v>
      </c>
      <c r="H22" s="3">
        <f t="shared" ref="H22:H30" si="10">IF((D22-C22)&lt;0,0,D22-C22)</f>
        <v>0</v>
      </c>
    </row>
    <row r="23" spans="1:8" ht="19.5">
      <c r="A23" s="8">
        <v>9</v>
      </c>
      <c r="B23" s="9" t="s">
        <v>10</v>
      </c>
      <c r="C23" s="30">
        <v>1068</v>
      </c>
      <c r="D23" s="8"/>
      <c r="E23" s="8"/>
      <c r="F23" s="10"/>
      <c r="G23" s="2">
        <f t="shared" si="9"/>
        <v>1068</v>
      </c>
      <c r="H23" s="3">
        <f t="shared" si="10"/>
        <v>0</v>
      </c>
    </row>
    <row r="24" spans="1:8" ht="27" customHeight="1">
      <c r="A24" s="8">
        <v>9</v>
      </c>
      <c r="B24" s="9" t="s">
        <v>11</v>
      </c>
      <c r="C24" s="30">
        <v>1068</v>
      </c>
      <c r="D24" s="8"/>
      <c r="E24" s="8"/>
      <c r="F24" s="10"/>
      <c r="G24" s="2">
        <f t="shared" si="9"/>
        <v>1068</v>
      </c>
      <c r="H24" s="3">
        <f t="shared" si="10"/>
        <v>0</v>
      </c>
    </row>
    <row r="25" spans="1:8" ht="33.75" customHeight="1">
      <c r="A25" s="8">
        <v>9</v>
      </c>
      <c r="B25" s="9" t="s">
        <v>12</v>
      </c>
      <c r="C25" s="30">
        <v>1068</v>
      </c>
      <c r="D25" s="8"/>
      <c r="E25" s="8"/>
      <c r="F25" s="10"/>
      <c r="G25" s="2">
        <f t="shared" si="9"/>
        <v>1068</v>
      </c>
      <c r="H25" s="3">
        <f t="shared" si="10"/>
        <v>0</v>
      </c>
    </row>
    <row r="26" spans="1:8" ht="33.75" customHeight="1">
      <c r="A26" s="8">
        <v>9</v>
      </c>
      <c r="B26" s="9" t="s">
        <v>19</v>
      </c>
      <c r="C26" s="30">
        <v>1068</v>
      </c>
      <c r="D26" s="8"/>
      <c r="E26" s="8"/>
      <c r="F26" s="10"/>
      <c r="G26" s="2">
        <f t="shared" si="9"/>
        <v>1068</v>
      </c>
      <c r="H26" s="3">
        <f t="shared" si="10"/>
        <v>0</v>
      </c>
    </row>
    <row r="27" spans="1:8" ht="33.75" customHeight="1">
      <c r="A27" s="8">
        <v>9</v>
      </c>
      <c r="B27" s="9" t="s">
        <v>14</v>
      </c>
      <c r="C27" s="30">
        <v>1068</v>
      </c>
      <c r="D27" s="8"/>
      <c r="E27" s="8"/>
      <c r="F27" s="10"/>
      <c r="G27" s="2">
        <f t="shared" si="9"/>
        <v>1068</v>
      </c>
      <c r="H27" s="3">
        <f t="shared" si="10"/>
        <v>0</v>
      </c>
    </row>
    <row r="28" spans="1:8" ht="27.75" customHeight="1">
      <c r="A28" s="8">
        <v>9</v>
      </c>
      <c r="B28" s="9" t="s">
        <v>15</v>
      </c>
      <c r="C28" s="30">
        <v>1068</v>
      </c>
      <c r="D28" s="8"/>
      <c r="E28" s="8"/>
      <c r="F28" s="10"/>
      <c r="G28" s="2">
        <f t="shared" si="9"/>
        <v>1068</v>
      </c>
      <c r="H28" s="3">
        <f t="shared" si="10"/>
        <v>0</v>
      </c>
    </row>
    <row r="29" spans="1:8" ht="27.75" customHeight="1">
      <c r="A29" s="8">
        <v>9</v>
      </c>
      <c r="B29" s="9" t="s">
        <v>16</v>
      </c>
      <c r="C29" s="30">
        <v>1068</v>
      </c>
      <c r="D29" s="8"/>
      <c r="E29" s="8"/>
      <c r="F29" s="10"/>
      <c r="G29" s="2">
        <f t="shared" si="9"/>
        <v>1068</v>
      </c>
      <c r="H29" s="3">
        <f t="shared" si="10"/>
        <v>0</v>
      </c>
    </row>
    <row r="30" spans="1:8" ht="27.75" customHeight="1">
      <c r="A30" s="8">
        <v>9</v>
      </c>
      <c r="B30" s="9" t="s">
        <v>17</v>
      </c>
      <c r="C30" s="30">
        <v>1068</v>
      </c>
      <c r="D30" s="8"/>
      <c r="E30" s="8"/>
      <c r="F30" s="10"/>
      <c r="G30" s="2">
        <f t="shared" si="9"/>
        <v>1068</v>
      </c>
      <c r="H30" s="3">
        <f t="shared" si="10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1040</v>
      </c>
      <c r="D32" s="8"/>
      <c r="E32" s="8"/>
      <c r="F32" s="10"/>
      <c r="G32" s="2">
        <f t="shared" ref="G32:G40" si="11">IF((C32-D32)&lt;0,0,C32-D32)</f>
        <v>1040</v>
      </c>
      <c r="H32" s="3">
        <f t="shared" ref="H32:H40" si="12">IF((D32-C32)&lt;0,0,D32-C32)</f>
        <v>0</v>
      </c>
    </row>
    <row r="33" spans="1:8" ht="27.75" customHeight="1">
      <c r="A33" s="8">
        <v>10</v>
      </c>
      <c r="B33" s="9" t="s">
        <v>10</v>
      </c>
      <c r="C33" s="8">
        <v>1040</v>
      </c>
      <c r="D33" s="8"/>
      <c r="E33" s="8"/>
      <c r="F33" s="10"/>
      <c r="G33" s="2">
        <f t="shared" si="11"/>
        <v>1040</v>
      </c>
      <c r="H33" s="3">
        <f t="shared" si="12"/>
        <v>0</v>
      </c>
    </row>
    <row r="34" spans="1:8" ht="27.75" customHeight="1">
      <c r="A34" s="8">
        <v>10</v>
      </c>
      <c r="B34" s="9" t="s">
        <v>11</v>
      </c>
      <c r="C34" s="8">
        <v>1040</v>
      </c>
      <c r="D34" s="8"/>
      <c r="E34" s="8"/>
      <c r="F34" s="10"/>
      <c r="G34" s="2">
        <f t="shared" si="11"/>
        <v>1040</v>
      </c>
      <c r="H34" s="3">
        <f t="shared" si="12"/>
        <v>0</v>
      </c>
    </row>
    <row r="35" spans="1:8" ht="39" customHeight="1">
      <c r="A35" s="8">
        <v>10</v>
      </c>
      <c r="B35" s="9" t="s">
        <v>12</v>
      </c>
      <c r="C35" s="8">
        <v>1040</v>
      </c>
      <c r="D35" s="8"/>
      <c r="E35" s="8"/>
      <c r="F35" s="10"/>
      <c r="G35" s="2">
        <f t="shared" si="11"/>
        <v>1040</v>
      </c>
      <c r="H35" s="3">
        <f t="shared" si="12"/>
        <v>0</v>
      </c>
    </row>
    <row r="36" spans="1:8" ht="27.75" customHeight="1">
      <c r="A36" s="8">
        <v>10</v>
      </c>
      <c r="B36" s="9" t="s">
        <v>19</v>
      </c>
      <c r="C36" s="8">
        <v>1040</v>
      </c>
      <c r="D36" s="8"/>
      <c r="E36" s="8"/>
      <c r="F36" s="10"/>
      <c r="G36" s="2">
        <f t="shared" si="11"/>
        <v>1040</v>
      </c>
      <c r="H36" s="3">
        <f t="shared" si="12"/>
        <v>0</v>
      </c>
    </row>
    <row r="37" spans="1:8" ht="27.75" customHeight="1">
      <c r="A37" s="8">
        <v>10</v>
      </c>
      <c r="B37" s="9" t="s">
        <v>14</v>
      </c>
      <c r="C37" s="8">
        <v>1040</v>
      </c>
      <c r="D37" s="8"/>
      <c r="E37" s="8"/>
      <c r="F37" s="10"/>
      <c r="G37" s="2">
        <f t="shared" si="11"/>
        <v>1040</v>
      </c>
      <c r="H37" s="3">
        <f t="shared" si="12"/>
        <v>0</v>
      </c>
    </row>
    <row r="38" spans="1:8" ht="27.75" customHeight="1">
      <c r="A38" s="8">
        <v>10</v>
      </c>
      <c r="B38" s="9" t="s">
        <v>15</v>
      </c>
      <c r="C38" s="8">
        <v>1040</v>
      </c>
      <c r="D38" s="8"/>
      <c r="E38" s="8"/>
      <c r="F38" s="10"/>
      <c r="G38" s="2">
        <f t="shared" si="11"/>
        <v>1040</v>
      </c>
      <c r="H38" s="3">
        <f t="shared" si="12"/>
        <v>0</v>
      </c>
    </row>
    <row r="39" spans="1:8" ht="27.75" customHeight="1">
      <c r="A39" s="8">
        <v>10</v>
      </c>
      <c r="B39" s="9" t="s">
        <v>16</v>
      </c>
      <c r="C39" s="8">
        <v>1040</v>
      </c>
      <c r="D39" s="8"/>
      <c r="E39" s="8"/>
      <c r="F39" s="10"/>
      <c r="G39" s="2">
        <f t="shared" si="11"/>
        <v>1040</v>
      </c>
      <c r="H39" s="3">
        <f t="shared" si="12"/>
        <v>0</v>
      </c>
    </row>
    <row r="40" spans="1:8" ht="27.75" customHeight="1">
      <c r="A40" s="8">
        <v>10</v>
      </c>
      <c r="B40" s="9" t="s">
        <v>17</v>
      </c>
      <c r="C40" s="8">
        <v>1040</v>
      </c>
      <c r="D40" s="8"/>
      <c r="E40" s="8"/>
      <c r="F40" s="10"/>
      <c r="G40" s="2">
        <f t="shared" si="11"/>
        <v>1040</v>
      </c>
      <c r="H40" s="3">
        <f t="shared" si="12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20</v>
      </c>
      <c r="B42" s="7" t="s">
        <v>21</v>
      </c>
      <c r="C42" s="1"/>
      <c r="D42" s="33">
        <v>1734</v>
      </c>
      <c r="E42" s="33">
        <v>2024</v>
      </c>
      <c r="F42" s="31" t="s">
        <v>9</v>
      </c>
      <c r="G42" s="2">
        <f t="shared" ref="G42:G49" si="13">IF((C42-D42)&lt;0,0,C42-D42)</f>
        <v>0</v>
      </c>
      <c r="H42" s="3">
        <f t="shared" ref="H42:H49" si="14">IF((D42-C42)&lt;0,0,D42-C42)</f>
        <v>1734</v>
      </c>
    </row>
    <row r="43" spans="1:8" ht="27.75" customHeight="1">
      <c r="A43" s="1" t="s">
        <v>20</v>
      </c>
      <c r="B43" s="7" t="s">
        <v>22</v>
      </c>
      <c r="C43" s="1"/>
      <c r="D43" s="33">
        <v>1734</v>
      </c>
      <c r="E43" s="33">
        <v>2024</v>
      </c>
      <c r="F43" s="31" t="s">
        <v>9</v>
      </c>
      <c r="G43" s="2">
        <f t="shared" si="13"/>
        <v>0</v>
      </c>
      <c r="H43" s="3">
        <f t="shared" si="14"/>
        <v>1734</v>
      </c>
    </row>
    <row r="44" spans="1:8" ht="27.75" customHeight="1">
      <c r="A44" s="1" t="s">
        <v>20</v>
      </c>
      <c r="B44" s="7" t="s">
        <v>23</v>
      </c>
      <c r="C44" s="1"/>
      <c r="D44" s="33">
        <v>1734</v>
      </c>
      <c r="E44" s="33">
        <v>2024</v>
      </c>
      <c r="F44" s="31" t="s">
        <v>9</v>
      </c>
      <c r="G44" s="2">
        <f t="shared" si="13"/>
        <v>0</v>
      </c>
      <c r="H44" s="3">
        <f t="shared" si="14"/>
        <v>1734</v>
      </c>
    </row>
    <row r="45" spans="1:8" ht="36.75" customHeight="1">
      <c r="A45" s="1" t="s">
        <v>20</v>
      </c>
      <c r="B45" s="7" t="s">
        <v>24</v>
      </c>
      <c r="C45" s="1"/>
      <c r="D45" s="33">
        <v>1734</v>
      </c>
      <c r="E45" s="33">
        <v>2025</v>
      </c>
      <c r="F45" s="31" t="s">
        <v>9</v>
      </c>
      <c r="G45" s="2">
        <f t="shared" si="13"/>
        <v>0</v>
      </c>
      <c r="H45" s="3">
        <f t="shared" si="14"/>
        <v>1734</v>
      </c>
    </row>
    <row r="46" spans="1:8" ht="27.75" customHeight="1">
      <c r="A46" s="1" t="s">
        <v>20</v>
      </c>
      <c r="B46" s="7" t="s">
        <v>25</v>
      </c>
      <c r="C46" s="1"/>
      <c r="D46" s="33">
        <v>1734</v>
      </c>
      <c r="E46" s="33">
        <v>2025</v>
      </c>
      <c r="F46" s="31" t="s">
        <v>9</v>
      </c>
      <c r="G46" s="2">
        <f t="shared" si="13"/>
        <v>0</v>
      </c>
      <c r="H46" s="3">
        <f t="shared" si="14"/>
        <v>1734</v>
      </c>
    </row>
    <row r="47" spans="1:8" ht="27.75" customHeight="1">
      <c r="A47" s="1" t="s">
        <v>20</v>
      </c>
      <c r="B47" s="7" t="s">
        <v>26</v>
      </c>
      <c r="C47" s="1"/>
      <c r="D47" s="33">
        <v>1734</v>
      </c>
      <c r="E47" s="33">
        <v>2025</v>
      </c>
      <c r="F47" s="31" t="s">
        <v>9</v>
      </c>
      <c r="G47" s="2">
        <f t="shared" si="13"/>
        <v>0</v>
      </c>
      <c r="H47" s="3">
        <f t="shared" si="14"/>
        <v>1734</v>
      </c>
    </row>
    <row r="48" spans="1:8" ht="27.75" customHeight="1">
      <c r="A48" s="1" t="s">
        <v>20</v>
      </c>
      <c r="B48" s="7" t="s">
        <v>27</v>
      </c>
      <c r="C48" s="1"/>
      <c r="D48" s="33">
        <v>1734</v>
      </c>
      <c r="E48" s="33">
        <v>2025</v>
      </c>
      <c r="F48" s="31" t="s">
        <v>9</v>
      </c>
      <c r="G48" s="2">
        <f t="shared" si="13"/>
        <v>0</v>
      </c>
      <c r="H48" s="3">
        <f t="shared" si="14"/>
        <v>1734</v>
      </c>
    </row>
    <row r="49" spans="1:8" ht="27.75" customHeight="1">
      <c r="A49" s="1" t="s">
        <v>20</v>
      </c>
      <c r="B49" s="7" t="s">
        <v>28</v>
      </c>
      <c r="C49" s="1"/>
      <c r="D49" s="33">
        <v>1734</v>
      </c>
      <c r="E49" s="33">
        <v>2025</v>
      </c>
      <c r="F49" s="31" t="s">
        <v>9</v>
      </c>
      <c r="G49" s="2">
        <f t="shared" si="13"/>
        <v>0</v>
      </c>
      <c r="H49" s="3">
        <f t="shared" si="14"/>
        <v>1734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 F22:F30 F32:F40 F2:F10" xr:uid="{2F7388E0-D1A1-4571-8C10-96CB9A727EB3}">
      <formula1>"CO,RO,SDO"</formula1>
    </dataValidation>
    <dataValidation type="list" allowBlank="1" showInputMessage="1" showErrorMessage="1" sqref="E22:E30 E12:E20 E2:E3 E5:E10 E32:E40 E42:E49" xr:uid="{8552B6DE-51F2-451F-8D7D-4BF56427B9ED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41"/>
  <sheetViews>
    <sheetView zoomScale="70" zoomScaleNormal="70" workbookViewId="0">
      <selection activeCell="AE66" sqref="AE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7" t="s">
        <v>29</v>
      </c>
      <c r="E1" s="37"/>
      <c r="F1" s="37"/>
      <c r="G1" s="37"/>
      <c r="H1" s="37"/>
      <c r="I1" s="37"/>
      <c r="J1" s="38" t="s">
        <v>30</v>
      </c>
      <c r="K1" s="38"/>
      <c r="L1" s="38"/>
      <c r="M1" s="38"/>
      <c r="N1" s="38"/>
      <c r="O1" s="38"/>
      <c r="P1" s="39" t="s">
        <v>31</v>
      </c>
      <c r="Q1" s="39"/>
      <c r="R1" s="39"/>
      <c r="S1" s="39"/>
      <c r="T1" s="39"/>
      <c r="U1" s="39"/>
      <c r="V1" s="40" t="s">
        <v>32</v>
      </c>
      <c r="W1" s="40"/>
      <c r="X1" s="40"/>
      <c r="Y1" s="40"/>
      <c r="Z1" s="40"/>
      <c r="AA1" s="40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33</v>
      </c>
      <c r="E2" s="18" t="s">
        <v>34</v>
      </c>
      <c r="F2" s="19" t="s">
        <v>35</v>
      </c>
      <c r="G2" s="22" t="s">
        <v>36</v>
      </c>
      <c r="H2" s="15" t="s">
        <v>37</v>
      </c>
      <c r="I2" s="22" t="s">
        <v>38</v>
      </c>
      <c r="J2" s="20" t="s">
        <v>39</v>
      </c>
      <c r="K2" s="20" t="s">
        <v>40</v>
      </c>
      <c r="L2" s="21" t="s">
        <v>41</v>
      </c>
      <c r="M2" s="34" t="s">
        <v>42</v>
      </c>
      <c r="N2" s="34" t="s">
        <v>43</v>
      </c>
      <c r="O2" s="20" t="s">
        <v>44</v>
      </c>
      <c r="P2" s="22" t="s">
        <v>45</v>
      </c>
      <c r="Q2" s="22" t="s">
        <v>46</v>
      </c>
      <c r="R2" s="23" t="s">
        <v>47</v>
      </c>
      <c r="S2" s="15" t="s">
        <v>48</v>
      </c>
      <c r="T2" s="15" t="s">
        <v>49</v>
      </c>
      <c r="U2" s="22" t="s">
        <v>50</v>
      </c>
      <c r="V2" s="24" t="s">
        <v>51</v>
      </c>
      <c r="W2" s="24" t="s">
        <v>52</v>
      </c>
      <c r="X2" s="25" t="s">
        <v>53</v>
      </c>
      <c r="Y2" s="35" t="s">
        <v>54</v>
      </c>
      <c r="Z2" s="35" t="s">
        <v>55</v>
      </c>
      <c r="AA2" s="24" t="s">
        <v>56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1275</v>
      </c>
      <c r="D5" s="10">
        <f>Table1[[#This Row],[Enrolment S.Y. 2025-2026 ]]*8</f>
        <v>10200</v>
      </c>
      <c r="E5" s="10">
        <v>5476</v>
      </c>
      <c r="F5" s="8">
        <v>2025</v>
      </c>
      <c r="G5" s="10" t="s">
        <v>57</v>
      </c>
      <c r="H5" s="10">
        <f t="shared" si="0"/>
        <v>4724</v>
      </c>
      <c r="I5" s="10">
        <f t="shared" si="1"/>
        <v>0</v>
      </c>
      <c r="J5" s="10">
        <f>Table1[[#This Row],[Enrolment S.Y. 2025-2026 ]]*8</f>
        <v>10200</v>
      </c>
      <c r="K5" s="10"/>
      <c r="L5" s="8"/>
      <c r="M5" s="10"/>
      <c r="N5" s="10">
        <f t="shared" si="2"/>
        <v>10200</v>
      </c>
      <c r="O5" s="10">
        <f t="shared" si="3"/>
        <v>0</v>
      </c>
      <c r="P5" s="10">
        <f>Table1[[#This Row],[Enrolment S.Y. 2025-2026 ]]*8</f>
        <v>10200</v>
      </c>
      <c r="Q5" s="10"/>
      <c r="R5" s="8"/>
      <c r="S5" s="10"/>
      <c r="T5" s="10">
        <f t="shared" si="4"/>
        <v>10200</v>
      </c>
      <c r="U5" s="10">
        <f t="shared" si="5"/>
        <v>0</v>
      </c>
      <c r="V5" s="10">
        <f>Table1[[#This Row],[Enrolment S.Y. 2025-2026 ]]*8</f>
        <v>10200</v>
      </c>
      <c r="W5" s="10"/>
      <c r="X5" s="8"/>
      <c r="Y5" s="10"/>
      <c r="Z5" s="10">
        <f t="shared" si="6"/>
        <v>10200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19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19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19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20</v>
      </c>
      <c r="B43" s="7" t="s">
        <v>21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20</v>
      </c>
      <c r="B44" s="7" t="s">
        <v>22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20</v>
      </c>
      <c r="B45" s="7" t="s">
        <v>23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20</v>
      </c>
      <c r="B46" s="7" t="s">
        <v>24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20</v>
      </c>
      <c r="B47" s="7" t="s">
        <v>25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20</v>
      </c>
      <c r="B48" s="7" t="s">
        <v>26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20</v>
      </c>
      <c r="B49" s="7" t="s">
        <v>27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20</v>
      </c>
      <c r="B50" s="7" t="s">
        <v>28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41" ht="15"/>
  </sheetData>
  <protectedRanges>
    <protectedRange sqref="C43:C50 C13:C21 C23:C31 C33:C41 C2:C11" name="Textbooks"/>
    <protectedRange sqref="W33:X41 H43:I50 Q43:R50 W43:X50 D2:F11 D13:F21 D23:F31 Z3:AA50 V2:X2 N3:P50 P2:R2 D43:F50 T3:V50 J3:J50 K3:L11 K13:L21 K23:L31 K33:L41 K43:L50 D33:F41 H3:I11 Q3:R11 W3:X11 H13:I21 Q13:R21 W13:X21 H23:I31 Q23:R31 W23:X31 H33:I41 Q33:R4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11 F13:F21 F23:F31 F33:F41 F43:F50" xr:uid="{C9485989-5C65-414C-9994-2A63FDC41ED8}">
      <formula1>"2024,2025,2026"</formula1>
    </dataValidation>
    <dataValidation type="list" allowBlank="1" showInputMessage="1" showErrorMessage="1" sqref="L3:L11 L13:L21 L23:L31 L33:L41 L43:L50 R3:R11 R13:R21 R23:R31 R33:R41 R43:R50 X3:X11 X13:X21 X23:X31 X33:X41 X43:X50" xr:uid="{E03E7DE0-4956-4C02-B8E1-45A5F4A01C2A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topLeftCell="H69" zoomScale="55" zoomScaleNormal="55" workbookViewId="0">
      <selection activeCell="J59" sqref="J59:J8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7" t="s">
        <v>29</v>
      </c>
      <c r="E1" s="37"/>
      <c r="F1" s="37"/>
      <c r="G1" s="37"/>
      <c r="H1" s="37"/>
      <c r="I1" s="37"/>
      <c r="J1" s="38" t="s">
        <v>30</v>
      </c>
      <c r="K1" s="38"/>
      <c r="L1" s="38"/>
      <c r="M1" s="38"/>
      <c r="N1" s="38"/>
      <c r="O1" s="38"/>
      <c r="P1" s="39" t="s">
        <v>31</v>
      </c>
      <c r="Q1" s="39"/>
      <c r="R1" s="39"/>
      <c r="S1" s="39"/>
      <c r="T1" s="39"/>
      <c r="U1" s="39"/>
      <c r="V1" s="40" t="s">
        <v>32</v>
      </c>
      <c r="W1" s="40"/>
      <c r="X1" s="40"/>
      <c r="Y1" s="40"/>
      <c r="Z1" s="40"/>
      <c r="AA1" s="40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58</v>
      </c>
      <c r="E2" s="18" t="s">
        <v>59</v>
      </c>
      <c r="F2" s="19" t="s">
        <v>60</v>
      </c>
      <c r="G2" s="22" t="s">
        <v>61</v>
      </c>
      <c r="H2" s="15" t="s">
        <v>62</v>
      </c>
      <c r="I2" s="22" t="s">
        <v>63</v>
      </c>
      <c r="J2" s="20" t="s">
        <v>64</v>
      </c>
      <c r="K2" s="20" t="s">
        <v>65</v>
      </c>
      <c r="L2" s="21" t="s">
        <v>66</v>
      </c>
      <c r="M2" s="34" t="s">
        <v>67</v>
      </c>
      <c r="N2" s="34" t="s">
        <v>68</v>
      </c>
      <c r="O2" s="20" t="s">
        <v>69</v>
      </c>
      <c r="P2" s="22" t="s">
        <v>70</v>
      </c>
      <c r="Q2" s="22" t="s">
        <v>71</v>
      </c>
      <c r="R2" s="23" t="s">
        <v>72</v>
      </c>
      <c r="S2" s="15" t="s">
        <v>73</v>
      </c>
      <c r="T2" s="15" t="s">
        <v>74</v>
      </c>
      <c r="U2" s="22" t="s">
        <v>75</v>
      </c>
      <c r="V2" s="24" t="s">
        <v>76</v>
      </c>
      <c r="W2" s="24" t="s">
        <v>77</v>
      </c>
      <c r="X2" s="25" t="s">
        <v>78</v>
      </c>
      <c r="Y2" s="35" t="s">
        <v>79</v>
      </c>
      <c r="Z2" s="35" t="s">
        <v>80</v>
      </c>
      <c r="AA2" s="24" t="s">
        <v>81</v>
      </c>
    </row>
    <row r="3" spans="1:27" ht="19.5">
      <c r="A3" s="8">
        <v>7</v>
      </c>
      <c r="B3" s="9" t="s">
        <v>8</v>
      </c>
      <c r="C3" s="8">
        <v>1275</v>
      </c>
      <c r="D3" s="10">
        <f>Table14[[#This Row],[Enrolment S.Y. 2025-2026 ]]*8</f>
        <v>10200</v>
      </c>
      <c r="E3" s="10">
        <v>1024</v>
      </c>
      <c r="F3" s="8">
        <v>2025</v>
      </c>
      <c r="G3" s="10" t="s">
        <v>57</v>
      </c>
      <c r="H3" s="10">
        <f t="shared" ref="H3:H19" si="0">IF((D3-E3)&lt;0,0,(D3-E3))</f>
        <v>9176</v>
      </c>
      <c r="I3" s="10">
        <f t="shared" ref="I3:I19" si="1">IF((E3-D3)&lt;0,0,(E3-D3))</f>
        <v>0</v>
      </c>
      <c r="J3" s="10">
        <f>Table14[[#This Row],[Enrolment S.Y. 2025-2026 ]]*8</f>
        <v>10200</v>
      </c>
      <c r="K3" s="10">
        <v>2350</v>
      </c>
      <c r="L3" s="8">
        <v>2025</v>
      </c>
      <c r="M3" s="10" t="s">
        <v>57</v>
      </c>
      <c r="N3" s="10">
        <f t="shared" ref="N3:N6" si="2">IF((J3-K3)&lt;0,0,(J3-K3))</f>
        <v>7850</v>
      </c>
      <c r="O3" s="10">
        <f t="shared" ref="O3:O6" si="3">IF((K3-J3)&lt;0,0,(K3-J3))</f>
        <v>0</v>
      </c>
      <c r="P3" s="10">
        <f>Table14[[#This Row],[Enrolment S.Y. 2025-2026 ]]*8</f>
        <v>10200</v>
      </c>
      <c r="Q3" s="10">
        <v>294</v>
      </c>
      <c r="R3" s="8">
        <v>2025</v>
      </c>
      <c r="S3" s="10" t="s">
        <v>57</v>
      </c>
      <c r="T3" s="10">
        <f t="shared" ref="T3:T8" si="4">IF((P3-Q3)&lt;0,0,(P3-Q3))</f>
        <v>9906</v>
      </c>
      <c r="U3" s="10">
        <f t="shared" ref="U3:U8" si="5">IF((Q3-P3)&lt;0,0,(Q3-P3))</f>
        <v>0</v>
      </c>
      <c r="V3" s="10">
        <f>Table14[[#This Row],[Enrolment S.Y. 2025-2026 ]]*8</f>
        <v>10200</v>
      </c>
      <c r="W3" s="10"/>
      <c r="X3" s="8"/>
      <c r="Y3" s="10"/>
      <c r="Z3" s="10">
        <f t="shared" ref="Z3:Z8" si="6">IF((V3-W3)&lt;0,0,(V3-W3))</f>
        <v>10200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1275</v>
      </c>
      <c r="D4" s="10">
        <f>Table14[[#This Row],[Enrolment S.Y. 2025-2026 ]]*8</f>
        <v>10200</v>
      </c>
      <c r="E4" s="10">
        <v>1139</v>
      </c>
      <c r="F4" s="8">
        <v>2025</v>
      </c>
      <c r="G4" s="10" t="s">
        <v>57</v>
      </c>
      <c r="H4" s="10">
        <f t="shared" si="0"/>
        <v>9061</v>
      </c>
      <c r="I4" s="10">
        <f t="shared" si="1"/>
        <v>0</v>
      </c>
      <c r="J4" s="10">
        <f>Table14[[#This Row],[Enrolment S.Y. 2025-2026 ]]*8</f>
        <v>10200</v>
      </c>
      <c r="K4" s="10"/>
      <c r="L4" s="8"/>
      <c r="M4" s="10"/>
      <c r="N4" s="10">
        <f t="shared" si="2"/>
        <v>10200</v>
      </c>
      <c r="O4" s="10">
        <f t="shared" si="3"/>
        <v>0</v>
      </c>
      <c r="P4" s="10">
        <f>Table14[[#This Row],[Enrolment S.Y. 2025-2026 ]]*8</f>
        <v>10200</v>
      </c>
      <c r="Q4" s="10"/>
      <c r="R4" s="8"/>
      <c r="S4" s="10"/>
      <c r="T4" s="10">
        <f t="shared" si="4"/>
        <v>10200</v>
      </c>
      <c r="U4" s="10">
        <f t="shared" si="5"/>
        <v>0</v>
      </c>
      <c r="V4" s="10">
        <f>Table14[[#This Row],[Enrolment S.Y. 2025-2026 ]]*8</f>
        <v>10200</v>
      </c>
      <c r="W4" s="10"/>
      <c r="X4" s="8"/>
      <c r="Y4" s="10"/>
      <c r="Z4" s="10">
        <f t="shared" si="6"/>
        <v>10200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1275</v>
      </c>
      <c r="D5" s="10">
        <f>Table14[[#This Row],[Enrolment S.Y. 2025-2026 ]]*8</f>
        <v>10200</v>
      </c>
      <c r="E5" s="10">
        <v>2148</v>
      </c>
      <c r="F5" s="8">
        <v>2025</v>
      </c>
      <c r="G5" s="10" t="s">
        <v>57</v>
      </c>
      <c r="H5" s="10">
        <f t="shared" si="0"/>
        <v>8052</v>
      </c>
      <c r="I5" s="10">
        <f t="shared" si="1"/>
        <v>0</v>
      </c>
      <c r="J5" s="10">
        <f>Table14[[#This Row],[Enrolment S.Y. 2025-2026 ]]*8</f>
        <v>10200</v>
      </c>
      <c r="K5" s="10"/>
      <c r="L5" s="8"/>
      <c r="M5" s="10"/>
      <c r="N5" s="10">
        <f t="shared" si="2"/>
        <v>10200</v>
      </c>
      <c r="O5" s="10">
        <f t="shared" si="3"/>
        <v>0</v>
      </c>
      <c r="P5" s="10">
        <f>Table14[[#This Row],[Enrolment S.Y. 2025-2026 ]]*8</f>
        <v>10200</v>
      </c>
      <c r="Q5" s="10"/>
      <c r="R5" s="8"/>
      <c r="S5" s="10"/>
      <c r="T5" s="10">
        <f t="shared" si="4"/>
        <v>10200</v>
      </c>
      <c r="U5" s="10">
        <f t="shared" si="5"/>
        <v>0</v>
      </c>
      <c r="V5" s="10">
        <f>Table14[[#This Row],[Enrolment S.Y. 2025-2026 ]]*8</f>
        <v>10200</v>
      </c>
      <c r="W5" s="10"/>
      <c r="X5" s="8"/>
      <c r="Y5" s="10"/>
      <c r="Z5" s="10">
        <f t="shared" si="6"/>
        <v>10200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1275</v>
      </c>
      <c r="D8" s="10">
        <f>Table14[[#This Row],[Enrolment S.Y. 2025-2026 ]]*8</f>
        <v>10200</v>
      </c>
      <c r="E8" s="10">
        <v>147</v>
      </c>
      <c r="F8" s="8">
        <v>2025</v>
      </c>
      <c r="G8" s="10" t="s">
        <v>57</v>
      </c>
      <c r="H8" s="10">
        <f t="shared" si="0"/>
        <v>10053</v>
      </c>
      <c r="I8" s="10">
        <f t="shared" si="1"/>
        <v>0</v>
      </c>
      <c r="J8" s="10">
        <f>Table14[[#This Row],[Enrolment S.Y. 2025-2026 ]]*8</f>
        <v>10200</v>
      </c>
      <c r="K8" s="10"/>
      <c r="L8" s="8"/>
      <c r="M8" s="10"/>
      <c r="N8" s="10">
        <f t="shared" si="8"/>
        <v>10200</v>
      </c>
      <c r="O8" s="10">
        <f t="shared" si="9"/>
        <v>0</v>
      </c>
      <c r="P8" s="10">
        <f>Table14[[#This Row],[Enrolment S.Y. 2025-2026 ]]*8</f>
        <v>10200</v>
      </c>
      <c r="Q8" s="10"/>
      <c r="R8" s="8"/>
      <c r="S8" s="10"/>
      <c r="T8" s="10">
        <f t="shared" si="4"/>
        <v>10200</v>
      </c>
      <c r="U8" s="10">
        <f t="shared" si="5"/>
        <v>0</v>
      </c>
      <c r="V8" s="10">
        <f>Table14[[#This Row],[Enrolment S.Y. 2025-2026 ]]*8</f>
        <v>10200</v>
      </c>
      <c r="W8" s="10"/>
      <c r="X8" s="8"/>
      <c r="Y8" s="10"/>
      <c r="Z8" s="10">
        <f t="shared" si="6"/>
        <v>10200</v>
      </c>
      <c r="AA8" s="10">
        <f t="shared" si="7"/>
        <v>0</v>
      </c>
    </row>
    <row r="9" spans="1:27" ht="19.5">
      <c r="A9" s="29">
        <v>7</v>
      </c>
      <c r="B9" s="9" t="s">
        <v>82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83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84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85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1122</v>
      </c>
      <c r="D17" s="10">
        <f>Table14[[#This Row],[Enrolment S.Y. 2025-2026 ]]*8</f>
        <v>8976</v>
      </c>
      <c r="E17" s="10">
        <v>720</v>
      </c>
      <c r="F17" s="8">
        <v>2025</v>
      </c>
      <c r="G17" s="10" t="s">
        <v>57</v>
      </c>
      <c r="H17" s="10">
        <f t="shared" si="0"/>
        <v>8256</v>
      </c>
      <c r="I17" s="10">
        <f t="shared" si="1"/>
        <v>0</v>
      </c>
      <c r="J17" s="10">
        <f>Table14[[#This Row],[Enrolment S.Y. 2025-2026 ]]*8</f>
        <v>8976</v>
      </c>
      <c r="K17" s="10"/>
      <c r="L17" s="8"/>
      <c r="M17" s="10"/>
      <c r="N17" s="10">
        <f t="shared" si="14"/>
        <v>8976</v>
      </c>
      <c r="O17" s="10">
        <f t="shared" si="15"/>
        <v>0</v>
      </c>
      <c r="P17" s="10">
        <f>Table14[[#This Row],[Enrolment S.Y. 2025-2026 ]]*8</f>
        <v>8976</v>
      </c>
      <c r="Q17" s="10"/>
      <c r="R17" s="8"/>
      <c r="S17" s="10"/>
      <c r="T17" s="10">
        <f t="shared" si="10"/>
        <v>8976</v>
      </c>
      <c r="U17" s="10">
        <f t="shared" si="11"/>
        <v>0</v>
      </c>
      <c r="V17" s="10">
        <f>Table14[[#This Row],[Enrolment S.Y. 2025-2026 ]]*8</f>
        <v>8976</v>
      </c>
      <c r="W17" s="10"/>
      <c r="X17" s="8"/>
      <c r="Y17" s="10"/>
      <c r="Z17" s="10">
        <f t="shared" si="12"/>
        <v>8976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19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82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83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84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85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>
        <v>2042</v>
      </c>
      <c r="X27" s="8">
        <v>2025</v>
      </c>
      <c r="Y27" s="10" t="s">
        <v>57</v>
      </c>
      <c r="Z27" s="10">
        <f t="shared" si="12"/>
        <v>0</v>
      </c>
      <c r="AA27" s="10">
        <f t="shared" si="13"/>
        <v>2042</v>
      </c>
    </row>
    <row r="28" spans="1:27" ht="19.5">
      <c r="A28" s="8">
        <v>9</v>
      </c>
      <c r="B28" s="9" t="s">
        <v>10</v>
      </c>
      <c r="C28" s="8">
        <v>1068</v>
      </c>
      <c r="D28" s="10">
        <f>Table14[[#This Row],[Enrolment S.Y. 2025-2026 ]]*8</f>
        <v>8544</v>
      </c>
      <c r="E28" s="10">
        <v>50</v>
      </c>
      <c r="F28" s="8">
        <v>2025</v>
      </c>
      <c r="G28" s="10" t="s">
        <v>57</v>
      </c>
      <c r="H28" s="10">
        <f t="shared" si="16"/>
        <v>8494</v>
      </c>
      <c r="I28" s="10">
        <f t="shared" si="17"/>
        <v>0</v>
      </c>
      <c r="J28" s="10">
        <f>Table14[[#This Row],[Enrolment S.Y. 2025-2026 ]]*8</f>
        <v>8544</v>
      </c>
      <c r="K28" s="10">
        <v>1400</v>
      </c>
      <c r="L28" s="8">
        <v>2025</v>
      </c>
      <c r="M28" s="10" t="s">
        <v>57</v>
      </c>
      <c r="N28" s="10">
        <f t="shared" si="14"/>
        <v>7144</v>
      </c>
      <c r="O28" s="10">
        <f t="shared" si="15"/>
        <v>0</v>
      </c>
      <c r="P28" s="10">
        <f>Table14[[#This Row],[Enrolment S.Y. 2025-2026 ]]*8</f>
        <v>8544</v>
      </c>
      <c r="Q28" s="10">
        <v>1000</v>
      </c>
      <c r="R28" s="8">
        <v>2025</v>
      </c>
      <c r="S28" s="10" t="s">
        <v>57</v>
      </c>
      <c r="T28" s="10">
        <f t="shared" si="10"/>
        <v>7544</v>
      </c>
      <c r="U28" s="10">
        <f t="shared" si="11"/>
        <v>0</v>
      </c>
      <c r="V28" s="10">
        <f>Table14[[#This Row],[Enrolment S.Y. 2025-2026 ]]*8</f>
        <v>8544</v>
      </c>
      <c r="W28" s="10">
        <v>1400</v>
      </c>
      <c r="X28" s="8">
        <v>2025</v>
      </c>
      <c r="Y28" s="10" t="s">
        <v>57</v>
      </c>
      <c r="Z28" s="10">
        <f t="shared" si="12"/>
        <v>7144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1068</v>
      </c>
      <c r="D29" s="10">
        <f>Table14[[#This Row],[Enrolment S.Y. 2025-2026 ]]*8</f>
        <v>8544</v>
      </c>
      <c r="E29" s="10">
        <v>39</v>
      </c>
      <c r="F29" s="8">
        <v>2025</v>
      </c>
      <c r="G29" s="10" t="s">
        <v>57</v>
      </c>
      <c r="H29" s="10">
        <f t="shared" si="16"/>
        <v>8505</v>
      </c>
      <c r="I29" s="10">
        <f t="shared" si="17"/>
        <v>0</v>
      </c>
      <c r="J29" s="10">
        <f>Table14[[#This Row],[Enrolment S.Y. 2025-2026 ]]*8</f>
        <v>8544</v>
      </c>
      <c r="K29" s="10">
        <v>1878</v>
      </c>
      <c r="L29" s="8">
        <v>2025</v>
      </c>
      <c r="M29" s="10" t="s">
        <v>57</v>
      </c>
      <c r="N29" s="10">
        <f t="shared" si="14"/>
        <v>6666</v>
      </c>
      <c r="O29" s="10">
        <f t="shared" si="15"/>
        <v>0</v>
      </c>
      <c r="P29" s="10">
        <f>Table14[[#This Row],[Enrolment S.Y. 2025-2026 ]]*8</f>
        <v>8544</v>
      </c>
      <c r="Q29" s="10">
        <v>2749</v>
      </c>
      <c r="R29" s="8">
        <v>2025</v>
      </c>
      <c r="S29" s="10" t="s">
        <v>57</v>
      </c>
      <c r="T29" s="10">
        <f t="shared" si="10"/>
        <v>5795</v>
      </c>
      <c r="U29" s="10">
        <f t="shared" si="11"/>
        <v>0</v>
      </c>
      <c r="V29" s="10">
        <f>Table14[[#This Row],[Enrolment S.Y. 2025-2026 ]]*8</f>
        <v>8544</v>
      </c>
      <c r="W29" s="10">
        <v>1100</v>
      </c>
      <c r="X29" s="8">
        <v>2025</v>
      </c>
      <c r="Y29" s="10" t="s">
        <v>57</v>
      </c>
      <c r="Z29" s="10">
        <f t="shared" si="12"/>
        <v>7444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>
        <v>1000</v>
      </c>
      <c r="R30" s="8">
        <v>2025</v>
      </c>
      <c r="S30" s="10" t="s">
        <v>57</v>
      </c>
      <c r="T30" s="10">
        <f t="shared" si="10"/>
        <v>0</v>
      </c>
      <c r="U30" s="10">
        <f t="shared" si="11"/>
        <v>1000</v>
      </c>
      <c r="V30" s="10">
        <f>Table14[[#This Row],[Enrolment S.Y. 2025-2026 ]]*8</f>
        <v>0</v>
      </c>
      <c r="W30" s="10">
        <v>1200</v>
      </c>
      <c r="X30" s="8">
        <v>2025</v>
      </c>
      <c r="Y30" s="10" t="s">
        <v>57</v>
      </c>
      <c r="Z30" s="10">
        <f t="shared" si="12"/>
        <v>0</v>
      </c>
      <c r="AA30" s="10">
        <f t="shared" si="13"/>
        <v>1200</v>
      </c>
    </row>
    <row r="31" spans="1:27" ht="19.5">
      <c r="A31" s="8">
        <v>9</v>
      </c>
      <c r="B31" s="9" t="s">
        <v>19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>
        <v>1248</v>
      </c>
      <c r="R31" s="8">
        <v>2025</v>
      </c>
      <c r="S31" s="10" t="s">
        <v>57</v>
      </c>
      <c r="T31" s="10">
        <f t="shared" si="10"/>
        <v>0</v>
      </c>
      <c r="U31" s="10">
        <f t="shared" si="11"/>
        <v>1248</v>
      </c>
      <c r="V31" s="10">
        <f>Table14[[#This Row],[Enrolment S.Y. 2025-2026 ]]*8</f>
        <v>0</v>
      </c>
      <c r="W31" s="10">
        <v>850</v>
      </c>
      <c r="X31" s="8">
        <v>2025</v>
      </c>
      <c r="Y31" s="10" t="s">
        <v>57</v>
      </c>
      <c r="Z31" s="10">
        <f t="shared" si="12"/>
        <v>0</v>
      </c>
      <c r="AA31" s="10">
        <f t="shared" si="13"/>
        <v>850</v>
      </c>
    </row>
    <row r="32" spans="1:27" ht="19.5">
      <c r="A32" s="8">
        <v>9</v>
      </c>
      <c r="B32" s="9" t="s">
        <v>14</v>
      </c>
      <c r="C32" s="8">
        <v>1068</v>
      </c>
      <c r="D32" s="10">
        <f>Table14[[#This Row],[Enrolment S.Y. 2025-2026 ]]*8</f>
        <v>8544</v>
      </c>
      <c r="E32" s="10">
        <v>1800</v>
      </c>
      <c r="F32" s="8">
        <v>2025</v>
      </c>
      <c r="G32" s="10" t="s">
        <v>57</v>
      </c>
      <c r="H32" s="10">
        <f t="shared" si="16"/>
        <v>6744</v>
      </c>
      <c r="I32" s="10">
        <f t="shared" si="17"/>
        <v>0</v>
      </c>
      <c r="J32" s="10">
        <f>Table14[[#This Row],[Enrolment S.Y. 2025-2026 ]]*8</f>
        <v>8544</v>
      </c>
      <c r="K32" s="10"/>
      <c r="L32" s="8"/>
      <c r="M32" s="10"/>
      <c r="N32" s="10">
        <f t="shared" si="14"/>
        <v>8544</v>
      </c>
      <c r="O32" s="10">
        <f t="shared" si="15"/>
        <v>0</v>
      </c>
      <c r="P32" s="10">
        <f>Table14[[#This Row],[Enrolment S.Y. 2025-2026 ]]*8</f>
        <v>8544</v>
      </c>
      <c r="Q32" s="10">
        <v>1223</v>
      </c>
      <c r="R32" s="8">
        <v>2025</v>
      </c>
      <c r="S32" s="10" t="s">
        <v>57</v>
      </c>
      <c r="T32" s="10">
        <f t="shared" si="10"/>
        <v>7321</v>
      </c>
      <c r="U32" s="10">
        <f t="shared" si="11"/>
        <v>0</v>
      </c>
      <c r="V32" s="10">
        <f>Table14[[#This Row],[Enrolment S.Y. 2025-2026 ]]*8</f>
        <v>8544</v>
      </c>
      <c r="W32" s="10"/>
      <c r="X32" s="8"/>
      <c r="Y32" s="10"/>
      <c r="Z32" s="10">
        <f t="shared" si="12"/>
        <v>8544</v>
      </c>
      <c r="AA32" s="10">
        <f t="shared" si="13"/>
        <v>0</v>
      </c>
    </row>
    <row r="33" spans="1:27" ht="19.5">
      <c r="A33" s="29">
        <v>9</v>
      </c>
      <c r="B33" s="9" t="s">
        <v>82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>
        <v>1400</v>
      </c>
      <c r="X33" s="8">
        <v>2025</v>
      </c>
      <c r="Y33" s="10" t="s">
        <v>57</v>
      </c>
      <c r="Z33" s="10">
        <f>IF((V33-W33)&lt;0,0,(V33-W33))</f>
        <v>0</v>
      </c>
      <c r="AA33" s="10">
        <f>IF((W33-V33)&lt;0,0,(W33-V33))</f>
        <v>1400</v>
      </c>
    </row>
    <row r="34" spans="1:27" ht="19.5">
      <c r="A34" s="8">
        <v>9</v>
      </c>
      <c r="B34" s="9" t="s">
        <v>83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>
        <v>1200</v>
      </c>
      <c r="X34" s="8">
        <v>2025</v>
      </c>
      <c r="Y34" s="10" t="s">
        <v>57</v>
      </c>
      <c r="Z34" s="10">
        <f t="shared" si="12"/>
        <v>0</v>
      </c>
      <c r="AA34" s="10">
        <f t="shared" si="13"/>
        <v>1200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84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>
        <v>400</v>
      </c>
      <c r="R36" s="8">
        <v>2025</v>
      </c>
      <c r="S36" s="10" t="s">
        <v>57</v>
      </c>
      <c r="T36" s="10">
        <f>IF((P36-Q36)&lt;0,0,(P36-Q36))</f>
        <v>0</v>
      </c>
      <c r="U36" s="10">
        <f>IF((Q36-P36)&lt;0,0,(Q36-P36))</f>
        <v>400</v>
      </c>
      <c r="V36" s="10">
        <f>Table14[[#This Row],[Enrolment S.Y. 2025-2026 ]]*8</f>
        <v>0</v>
      </c>
      <c r="W36" s="10">
        <v>800</v>
      </c>
      <c r="X36" s="8">
        <v>2025</v>
      </c>
      <c r="Y36" s="10" t="s">
        <v>57</v>
      </c>
      <c r="Z36" s="10">
        <f>IF((V36-W36)&lt;0,0,(V36-W36))</f>
        <v>0</v>
      </c>
      <c r="AA36" s="10">
        <f>IF((W36-V36)&lt;0,0,(W36-V36))</f>
        <v>800</v>
      </c>
    </row>
    <row r="37" spans="1:27" ht="19.5">
      <c r="A37" s="8">
        <v>9</v>
      </c>
      <c r="B37" s="9" t="s">
        <v>85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>
        <v>1648</v>
      </c>
      <c r="R37" s="8">
        <v>2025</v>
      </c>
      <c r="S37" s="10" t="s">
        <v>57</v>
      </c>
      <c r="T37" s="10">
        <f t="shared" si="10"/>
        <v>0</v>
      </c>
      <c r="U37" s="10">
        <f t="shared" si="11"/>
        <v>1648</v>
      </c>
      <c r="V37" s="10">
        <f>Table14[[#This Row],[Enrolment S.Y. 2025-2026 ]]*8</f>
        <v>0</v>
      </c>
      <c r="W37" s="10">
        <v>600</v>
      </c>
      <c r="X37" s="8">
        <v>2025</v>
      </c>
      <c r="Y37" s="10" t="s">
        <v>57</v>
      </c>
      <c r="Z37" s="10">
        <f t="shared" si="12"/>
        <v>0</v>
      </c>
      <c r="AA37" s="10">
        <f t="shared" si="13"/>
        <v>600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>
        <v>1000</v>
      </c>
      <c r="R39" s="8">
        <v>2025</v>
      </c>
      <c r="S39" s="10" t="s">
        <v>57</v>
      </c>
      <c r="T39" s="10">
        <f t="shared" si="10"/>
        <v>0</v>
      </c>
      <c r="U39" s="10">
        <f t="shared" si="11"/>
        <v>1000</v>
      </c>
      <c r="V39" s="10">
        <f>Table14[[#This Row],[Enrolment S.Y. 2025-2026 ]]*8</f>
        <v>0</v>
      </c>
      <c r="W39" s="10">
        <v>600</v>
      </c>
      <c r="X39" s="8">
        <v>2025</v>
      </c>
      <c r="Y39" s="10" t="s">
        <v>57</v>
      </c>
      <c r="Z39" s="10">
        <f t="shared" si="12"/>
        <v>0</v>
      </c>
      <c r="AA39" s="10">
        <f t="shared" si="13"/>
        <v>600</v>
      </c>
    </row>
    <row r="40" spans="1:27" ht="19.5">
      <c r="A40" s="8">
        <v>10</v>
      </c>
      <c r="B40" s="9" t="s">
        <v>10</v>
      </c>
      <c r="C40" s="8">
        <v>1040</v>
      </c>
      <c r="D40" s="10">
        <f>Table14[[#This Row],[Enrolment S.Y. 2025-2026 ]]*8</f>
        <v>8320</v>
      </c>
      <c r="E40" s="10">
        <v>50</v>
      </c>
      <c r="F40" s="8">
        <v>2025</v>
      </c>
      <c r="G40" s="10" t="s">
        <v>57</v>
      </c>
      <c r="H40" s="10">
        <f t="shared" si="16"/>
        <v>8270</v>
      </c>
      <c r="I40" s="10">
        <f t="shared" si="17"/>
        <v>0</v>
      </c>
      <c r="J40" s="10">
        <f>Table14[[#This Row],[Enrolment S.Y. 2025-2026 ]]*8</f>
        <v>8320</v>
      </c>
      <c r="K40" s="10"/>
      <c r="L40" s="8"/>
      <c r="M40" s="10"/>
      <c r="N40" s="10">
        <f t="shared" si="14"/>
        <v>8320</v>
      </c>
      <c r="O40" s="10">
        <f t="shared" si="15"/>
        <v>0</v>
      </c>
      <c r="P40" s="10">
        <f>Table14[[#This Row],[Enrolment S.Y. 2025-2026 ]]*8</f>
        <v>8320</v>
      </c>
      <c r="Q40" s="10">
        <v>1400</v>
      </c>
      <c r="R40" s="8">
        <v>2025</v>
      </c>
      <c r="S40" s="10" t="s">
        <v>57</v>
      </c>
      <c r="T40" s="10">
        <f t="shared" si="10"/>
        <v>6920</v>
      </c>
      <c r="U40" s="10">
        <f t="shared" si="11"/>
        <v>0</v>
      </c>
      <c r="V40" s="10">
        <f>Table14[[#This Row],[Enrolment S.Y. 2025-2026 ]]*8</f>
        <v>8320</v>
      </c>
      <c r="W40" s="10">
        <v>1400</v>
      </c>
      <c r="X40" s="8">
        <v>2025</v>
      </c>
      <c r="Y40" s="10" t="s">
        <v>57</v>
      </c>
      <c r="Z40" s="10">
        <f t="shared" si="12"/>
        <v>6920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>
        <v>1800</v>
      </c>
      <c r="L41" s="8">
        <v>2025</v>
      </c>
      <c r="M41" s="10" t="s">
        <v>57</v>
      </c>
      <c r="N41" s="10">
        <f t="shared" si="14"/>
        <v>0</v>
      </c>
      <c r="O41" s="10">
        <f t="shared" si="15"/>
        <v>1800</v>
      </c>
      <c r="P41" s="10">
        <f>Table14[[#This Row],[Enrolment S.Y. 2025-2026 ]]*8</f>
        <v>0</v>
      </c>
      <c r="Q41" s="10">
        <v>1400</v>
      </c>
      <c r="R41" s="8">
        <v>2025</v>
      </c>
      <c r="S41" s="10" t="s">
        <v>57</v>
      </c>
      <c r="T41" s="10">
        <f t="shared" si="10"/>
        <v>0</v>
      </c>
      <c r="U41" s="10">
        <f t="shared" si="11"/>
        <v>1400</v>
      </c>
      <c r="V41" s="10">
        <f>Table14[[#This Row],[Enrolment S.Y. 2025-2026 ]]*8</f>
        <v>0</v>
      </c>
      <c r="W41" s="10">
        <v>800</v>
      </c>
      <c r="X41" s="8">
        <v>2025</v>
      </c>
      <c r="Y41" s="10" t="s">
        <v>57</v>
      </c>
      <c r="Z41" s="10">
        <f t="shared" si="12"/>
        <v>0</v>
      </c>
      <c r="AA41" s="10">
        <f t="shared" si="13"/>
        <v>800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>
        <v>1400</v>
      </c>
      <c r="R42" s="8">
        <v>2025</v>
      </c>
      <c r="S42" s="10" t="s">
        <v>57</v>
      </c>
      <c r="T42" s="10">
        <f t="shared" si="10"/>
        <v>0</v>
      </c>
      <c r="U42" s="10">
        <f t="shared" si="11"/>
        <v>1400</v>
      </c>
      <c r="V42" s="10">
        <f>Table14[[#This Row],[Enrolment S.Y. 2025-2026 ]]*8</f>
        <v>0</v>
      </c>
      <c r="W42" s="10">
        <v>800</v>
      </c>
      <c r="X42" s="8">
        <v>2025</v>
      </c>
      <c r="Y42" s="10" t="s">
        <v>57</v>
      </c>
      <c r="Z42" s="10">
        <f t="shared" si="12"/>
        <v>0</v>
      </c>
      <c r="AA42" s="10">
        <f t="shared" si="13"/>
        <v>800</v>
      </c>
    </row>
    <row r="43" spans="1:27" ht="19.5">
      <c r="A43" s="8">
        <v>10</v>
      </c>
      <c r="B43" s="9" t="s">
        <v>19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>
        <v>800</v>
      </c>
      <c r="R43" s="8">
        <v>2025</v>
      </c>
      <c r="S43" s="10" t="s">
        <v>57</v>
      </c>
      <c r="T43" s="10">
        <f t="shared" si="10"/>
        <v>0</v>
      </c>
      <c r="U43" s="10">
        <f t="shared" si="11"/>
        <v>800</v>
      </c>
      <c r="V43" s="10">
        <f>Table14[[#This Row],[Enrolment S.Y. 2025-2026 ]]*8</f>
        <v>0</v>
      </c>
      <c r="W43" s="10">
        <v>839</v>
      </c>
      <c r="X43" s="8">
        <v>2025</v>
      </c>
      <c r="Y43" s="10" t="s">
        <v>57</v>
      </c>
      <c r="Z43" s="10">
        <f t="shared" si="12"/>
        <v>0</v>
      </c>
      <c r="AA43" s="10">
        <f t="shared" si="13"/>
        <v>839</v>
      </c>
    </row>
    <row r="44" spans="1:27" ht="19.5">
      <c r="A44" s="8">
        <v>10</v>
      </c>
      <c r="B44" s="9" t="s">
        <v>14</v>
      </c>
      <c r="C44" s="8">
        <v>1040</v>
      </c>
      <c r="D44" s="10">
        <f>Table14[[#This Row],[Enrolment S.Y. 2025-2026 ]]*8</f>
        <v>8320</v>
      </c>
      <c r="E44" s="10">
        <v>1200</v>
      </c>
      <c r="F44" s="8">
        <v>2025</v>
      </c>
      <c r="G44" s="10" t="s">
        <v>57</v>
      </c>
      <c r="H44" s="10">
        <f t="shared" si="16"/>
        <v>7120</v>
      </c>
      <c r="I44" s="10">
        <f t="shared" si="17"/>
        <v>0</v>
      </c>
      <c r="J44" s="10">
        <f>Table14[[#This Row],[Enrolment S.Y. 2025-2026 ]]*8</f>
        <v>8320</v>
      </c>
      <c r="K44" s="10"/>
      <c r="L44" s="8"/>
      <c r="M44" s="10"/>
      <c r="N44" s="10">
        <f t="shared" si="14"/>
        <v>8320</v>
      </c>
      <c r="O44" s="10">
        <f t="shared" si="15"/>
        <v>0</v>
      </c>
      <c r="P44" s="10">
        <f>Table14[[#This Row],[Enrolment S.Y. 2025-2026 ]]*8</f>
        <v>8320</v>
      </c>
      <c r="Q44" s="10">
        <v>1400</v>
      </c>
      <c r="R44" s="8">
        <v>2025</v>
      </c>
      <c r="S44" s="10" t="s">
        <v>57</v>
      </c>
      <c r="T44" s="10">
        <f t="shared" si="10"/>
        <v>6920</v>
      </c>
      <c r="U44" s="10">
        <f t="shared" si="11"/>
        <v>0</v>
      </c>
      <c r="V44" s="10">
        <f>Table14[[#This Row],[Enrolment S.Y. 2025-2026 ]]*8</f>
        <v>8320</v>
      </c>
      <c r="W44" s="10"/>
      <c r="X44" s="8"/>
      <c r="Y44" s="10"/>
      <c r="Z44" s="10">
        <f t="shared" si="12"/>
        <v>8320</v>
      </c>
      <c r="AA44" s="10">
        <f t="shared" si="13"/>
        <v>0</v>
      </c>
    </row>
    <row r="45" spans="1:27" ht="19.5">
      <c r="A45" s="29">
        <v>10</v>
      </c>
      <c r="B45" s="9" t="s">
        <v>82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>
        <v>400</v>
      </c>
      <c r="R45" s="8">
        <v>2025</v>
      </c>
      <c r="S45" s="10" t="s">
        <v>57</v>
      </c>
      <c r="T45" s="10">
        <f>IF((P45-Q45)&lt;0,0,(P45-Q45))</f>
        <v>0</v>
      </c>
      <c r="U45" s="10">
        <f>IF((Q45-P45)&lt;0,0,(Q45-P45))</f>
        <v>400</v>
      </c>
      <c r="V45" s="10">
        <f>Table14[[#This Row],[Enrolment S.Y. 2025-2026 ]]*8</f>
        <v>0</v>
      </c>
      <c r="W45" s="10">
        <v>400</v>
      </c>
      <c r="X45" s="8">
        <v>2025</v>
      </c>
      <c r="Y45" s="10" t="s">
        <v>57</v>
      </c>
      <c r="Z45" s="10">
        <f>IF((V45-W45)&lt;0,0,(V45-W45))</f>
        <v>0</v>
      </c>
      <c r="AA45" s="10">
        <f>IF((W45-V45)&lt;0,0,(W45-V45))</f>
        <v>400</v>
      </c>
    </row>
    <row r="46" spans="1:27" ht="19.5">
      <c r="A46" s="8">
        <v>10</v>
      </c>
      <c r="B46" s="9" t="s">
        <v>83</v>
      </c>
      <c r="C46" s="8">
        <v>1040</v>
      </c>
      <c r="D46" s="10">
        <f>Table14[[#This Row],[Enrolment S.Y. 2025-2026 ]]*8</f>
        <v>8320</v>
      </c>
      <c r="E46" s="10">
        <v>200</v>
      </c>
      <c r="F46" s="8">
        <v>2025</v>
      </c>
      <c r="G46" s="10" t="s">
        <v>57</v>
      </c>
      <c r="H46" s="10">
        <f t="shared" si="16"/>
        <v>8120</v>
      </c>
      <c r="I46" s="10">
        <f t="shared" si="17"/>
        <v>0</v>
      </c>
      <c r="J46" s="10">
        <f>Table14[[#This Row],[Enrolment S.Y. 2025-2026 ]]*8</f>
        <v>8320</v>
      </c>
      <c r="K46" s="10">
        <v>300</v>
      </c>
      <c r="L46" s="8">
        <v>2025</v>
      </c>
      <c r="M46" s="10" t="s">
        <v>57</v>
      </c>
      <c r="N46" s="10">
        <f t="shared" si="22"/>
        <v>8020</v>
      </c>
      <c r="O46" s="10">
        <f t="shared" si="23"/>
        <v>0</v>
      </c>
      <c r="P46" s="10">
        <f>Table14[[#This Row],[Enrolment S.Y. 2025-2026 ]]*8</f>
        <v>8320</v>
      </c>
      <c r="Q46" s="10">
        <v>800</v>
      </c>
      <c r="R46" s="8">
        <v>2025</v>
      </c>
      <c r="S46" s="10" t="s">
        <v>57</v>
      </c>
      <c r="T46" s="10">
        <f t="shared" si="10"/>
        <v>7520</v>
      </c>
      <c r="U46" s="10">
        <f t="shared" si="11"/>
        <v>0</v>
      </c>
      <c r="V46" s="10">
        <f>Table14[[#This Row],[Enrolment S.Y. 2025-2026 ]]*8</f>
        <v>8320</v>
      </c>
      <c r="W46" s="10">
        <v>200</v>
      </c>
      <c r="X46" s="8">
        <v>2025</v>
      </c>
      <c r="Y46" s="10" t="s">
        <v>57</v>
      </c>
      <c r="Z46" s="10">
        <f t="shared" si="12"/>
        <v>8120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84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>
        <v>400</v>
      </c>
      <c r="R48" s="8">
        <v>2025</v>
      </c>
      <c r="S48" s="10" t="s">
        <v>57</v>
      </c>
      <c r="T48" s="10">
        <f>IF((P48-Q48)&lt;0,0,(P48-Q48))</f>
        <v>0</v>
      </c>
      <c r="U48" s="10">
        <f>IF((Q48-P48)&lt;0,0,(Q48-P48))</f>
        <v>400</v>
      </c>
      <c r="V48" s="10">
        <f>Table14[[#This Row],[Enrolment S.Y. 2025-2026 ]]*8</f>
        <v>0</v>
      </c>
      <c r="W48" s="10">
        <v>200</v>
      </c>
      <c r="X48" s="8">
        <v>2025</v>
      </c>
      <c r="Y48" s="10" t="s">
        <v>57</v>
      </c>
      <c r="Z48" s="10">
        <f>IF((V48-W48)&lt;0,0,(V48-W48))</f>
        <v>0</v>
      </c>
      <c r="AA48" s="10">
        <f>IF((W48-V48)&lt;0,0,(W48-V48))</f>
        <v>200</v>
      </c>
    </row>
    <row r="49" spans="1:27" ht="19.5">
      <c r="A49" s="8">
        <v>10</v>
      </c>
      <c r="B49" s="9" t="s">
        <v>85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>
        <v>600</v>
      </c>
      <c r="R49" s="8">
        <v>2025</v>
      </c>
      <c r="S49" s="10" t="s">
        <v>57</v>
      </c>
      <c r="T49" s="10">
        <f t="shared" si="10"/>
        <v>0</v>
      </c>
      <c r="U49" s="10">
        <f t="shared" si="11"/>
        <v>600</v>
      </c>
      <c r="V49" s="10">
        <f>Table14[[#This Row],[Enrolment S.Y. 2025-2026 ]]*8</f>
        <v>0</v>
      </c>
      <c r="W49" s="10">
        <v>600</v>
      </c>
      <c r="X49" s="8">
        <v>2025</v>
      </c>
      <c r="Y49" s="10" t="s">
        <v>57</v>
      </c>
      <c r="Z49" s="10">
        <f t="shared" si="12"/>
        <v>0</v>
      </c>
      <c r="AA49" s="10">
        <f t="shared" si="13"/>
        <v>600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20</v>
      </c>
      <c r="B51" s="7" t="s">
        <v>21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20</v>
      </c>
      <c r="B52" s="7" t="s">
        <v>22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20</v>
      </c>
      <c r="B53" s="7" t="s">
        <v>23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20</v>
      </c>
      <c r="B54" s="7" t="s">
        <v>24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20</v>
      </c>
      <c r="B55" s="7" t="s">
        <v>25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20</v>
      </c>
      <c r="B56" s="7" t="s">
        <v>26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20</v>
      </c>
      <c r="B57" s="7" t="s">
        <v>27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20</v>
      </c>
      <c r="B58" s="7" t="s">
        <v>28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15:C25 C51:C58 C39:C49 C2:C13" name="Textbooks"/>
    <protectedRange sqref="J2:L2 D15:F25 T3:X13 Z3:AA13 H3:L13 P2:R2 T15:X25 V2:X2 Z15:AA25 H15:L25 Z27:AA37 Z39:AA49 H39:L49 N51:R58 T51:X58 Z51:AA58 H51:L58 D27:F37 D39:F49 D51:F58 N3:R13 N15:R25 H27:L37 N39:R49 N27:R37 T27:X37 T39:X49 D2:F13" name="LAS"/>
    <protectedRange sqref="G2:I2 M2:O2 S2:U2 Y2:AA2 S39:S49 S27:S37 Y27:Y37 Y39:Y49 Y3:Y13 M3:M13 S3:S13 Y15:Y25 G15:G25 M15:M25 S15:S25 M39:M49 Y51:Y58 G51:G58 M51:M58 S51:S58 G3:G13 G27:G37 M27:M37 G39:G49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1:S58 Y51:Y58 G51:G58 M3:M13 Y27:Y37 Y3:Y13 S3:S13 S15:S25 M15:M25 G15:G25 Y15:Y25 M51:M58 S39:S49 G27:G37 G3:G13 M27:M37 S27:S37 G39:G49 M39:M49 Y39:Y49" xr:uid="{CBD486C7-A5DB-48F1-B496-5027CC51E830}">
      <formula1>"CO,RO,SDO,LGU,SCHOOL"</formula1>
    </dataValidation>
    <dataValidation type="list" allowBlank="1" showInputMessage="1" showErrorMessage="1" sqref="F3:F13 F15:F25 F27:F37 F39:F49 F51:F58" xr:uid="{FCCCE7F8-B615-414A-94A1-8A2C96EF4A55}">
      <formula1>"2024,2025,2026"</formula1>
    </dataValidation>
    <dataValidation type="list" allowBlank="1" showInputMessage="1" showErrorMessage="1" sqref="L3:L13 L15:L25 L27:L37 L39:L49 L51:L58 R3:R13 R15:R25 R27:R37 R39:R49 R51:R58 X3:X13 X15:X25 X27:X37 X39:X49 X51:X58" xr:uid="{2B3E046E-FCEE-44A7-BE60-05EBCAAE7561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2026-04-14T02:39:32Z</dcterms:modified>
  <cp:category/>
  <cp:contentStatus/>
</cp:coreProperties>
</file>