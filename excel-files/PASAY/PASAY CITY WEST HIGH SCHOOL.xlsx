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81" documentId="13_ncr:1_{BFB59F67-F0DC-4675-A682-EB0734A8026A}" xr6:coauthVersionLast="47" xr6:coauthVersionMax="47" xr10:uidLastSave="{2CEE76E0-2A88-4602-ADE9-990A20B14395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G62" i="1"/>
  <c r="H54" i="1"/>
  <c r="G54" i="1"/>
  <c r="H52" i="1"/>
  <c r="G52" i="1"/>
  <c r="H69" i="1"/>
  <c r="G69" i="1"/>
  <c r="H68" i="1"/>
  <c r="G68" i="1"/>
  <c r="H67" i="1"/>
  <c r="G67" i="1"/>
  <c r="H66" i="1"/>
  <c r="G66" i="1"/>
  <c r="H65" i="1"/>
  <c r="G65" i="1"/>
  <c r="H64" i="1"/>
  <c r="G64" i="1"/>
  <c r="G53" i="1"/>
  <c r="H53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O110" i="5" s="1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3" i="1"/>
  <c r="G63" i="1"/>
  <c r="H61" i="1"/>
  <c r="G61" i="1"/>
  <c r="H59" i="1"/>
  <c r="G59" i="1"/>
  <c r="H58" i="1"/>
  <c r="G58" i="1"/>
  <c r="H57" i="1"/>
  <c r="G57" i="1"/>
  <c r="H56" i="1"/>
  <c r="G56" i="1"/>
  <c r="H55" i="1"/>
  <c r="G55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<sst xmlns="http://schemas.openxmlformats.org/spreadsheetml/2006/main" count="462" uniqueCount="93">
  <si>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</si>
  <si>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</si>
  <si>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</si>
  <si>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</si>
  <si>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</si>
  <si>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</si>
  <si>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</si>
  <si>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</si>
  <si>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</si>
  <si>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</si>
  <si>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</si>
  <si>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</si>
  <si>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</si>
  <si>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</si>
  <si>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</si>
  <si>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</si>
  <si>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</si>
  <si>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</si>
  <si>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</si>
  <si>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</si>
  <si>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</si>
  <si>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</si>
  <si>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</si>
  <si>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 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</si>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</sst>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wrapText="1"/>
    </xf>
    <xf numFmtId="0" fontId="15" fillId="14" borderId="3" xfId="0" applyFont="1" applyFill="1" applyBorder="1" applyAlignment="1">
      <alignment wrapText="1"/>
    </xf>
    <xf numFmtId="0" fontId="15" fillId="13" borderId="3" xfId="0" applyFont="1" applyFill="1" applyBorder="1" applyAlignment="1">
      <alignment wrapText="1"/>
    </xf>
    <xf numFmtId="0" fontId="15" fillId="14" borderId="1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51" sqref="A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40">
        <v>1276</v>
      </c>
      <c r="D51" s="40">
        <v>1432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156</v>
      </c>
    </row>
    <row r="52" spans="1:8" ht="27.75" customHeight="1">
      <c r="A52" s="10">
        <v>7</v>
      </c>
      <c r="B52" s="11" t="s">
        <v>15</v>
      </c>
      <c r="C52" s="40">
        <v>1276</v>
      </c>
      <c r="D52" s="40">
        <v>1432</v>
      </c>
      <c r="E52" s="10">
        <v>2026</v>
      </c>
      <c r="F52" s="12" t="s">
        <v>20</v>
      </c>
      <c r="G52" s="3">
        <f t="shared" ref="G52" si="12">IF((C52-D52)&lt;0,0,C52-D52)</f>
        <v>0</v>
      </c>
      <c r="H52" s="3">
        <f t="shared" ref="H52" si="13">IF((D52-E52)&lt;0,0,D52-E52)</f>
        <v>0</v>
      </c>
    </row>
    <row r="53" spans="1:8" ht="27.75" customHeight="1">
      <c r="A53" s="10">
        <v>7</v>
      </c>
      <c r="B53" s="11" t="s">
        <v>12</v>
      </c>
      <c r="C53" s="40">
        <v>1276</v>
      </c>
      <c r="D53" s="40">
        <v>1432</v>
      </c>
      <c r="E53" s="40">
        <v>2024</v>
      </c>
      <c r="F53" s="12" t="s">
        <v>20</v>
      </c>
      <c r="G53" s="3">
        <f t="shared" si="10"/>
        <v>0</v>
      </c>
      <c r="H53" s="4">
        <f t="shared" si="11"/>
        <v>156</v>
      </c>
    </row>
    <row r="54" spans="1:8" ht="27.75" customHeight="1">
      <c r="A54" s="10">
        <v>7</v>
      </c>
      <c r="B54" s="11" t="s">
        <v>21</v>
      </c>
      <c r="C54" s="40">
        <v>1276</v>
      </c>
      <c r="D54" s="40">
        <v>1432</v>
      </c>
      <c r="E54" s="40">
        <v>2026</v>
      </c>
      <c r="F54" s="12" t="s">
        <v>20</v>
      </c>
      <c r="G54" s="3">
        <f t="shared" si="10"/>
        <v>0</v>
      </c>
      <c r="H54" s="3">
        <f t="shared" ref="H54" si="14">IF((D54-E54)&lt;0,0,D54-E54)</f>
        <v>0</v>
      </c>
    </row>
    <row r="55" spans="1:8" ht="39" customHeight="1">
      <c r="A55" s="10">
        <v>7</v>
      </c>
      <c r="B55" s="11" t="s">
        <v>16</v>
      </c>
      <c r="C55" s="40">
        <v>1276</v>
      </c>
      <c r="D55" s="40">
        <v>1432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156</v>
      </c>
    </row>
    <row r="56" spans="1:8" ht="27.75" customHeight="1">
      <c r="A56" s="10">
        <v>7</v>
      </c>
      <c r="B56" s="11" t="s">
        <v>13</v>
      </c>
      <c r="C56" s="40">
        <v>1276</v>
      </c>
      <c r="D56" s="40">
        <v>1432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156</v>
      </c>
    </row>
    <row r="57" spans="1:8" ht="27.75" customHeight="1">
      <c r="A57" s="10">
        <v>7</v>
      </c>
      <c r="B57" s="11" t="s">
        <v>17</v>
      </c>
      <c r="C57" s="40">
        <v>1276</v>
      </c>
      <c r="D57" s="40">
        <v>1432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156</v>
      </c>
    </row>
    <row r="58" spans="1:8" ht="27.75" customHeight="1">
      <c r="A58" s="10">
        <v>7</v>
      </c>
      <c r="B58" s="11" t="s">
        <v>22</v>
      </c>
      <c r="C58" s="40">
        <v>1276</v>
      </c>
      <c r="D58" s="40">
        <v>1432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156</v>
      </c>
    </row>
    <row r="59" spans="1:8" ht="27.75" customHeight="1">
      <c r="A59" s="10">
        <v>7</v>
      </c>
      <c r="B59" s="11" t="s">
        <v>19</v>
      </c>
      <c r="C59" s="40">
        <v>1276</v>
      </c>
      <c r="D59" s="40">
        <v>1432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156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40">
        <v>1126</v>
      </c>
      <c r="D61" s="40">
        <v>1432</v>
      </c>
      <c r="E61" s="10"/>
      <c r="F61" s="42" t="s">
        <v>23</v>
      </c>
      <c r="G61" s="3">
        <f t="shared" ref="G61:G69" si="15">IF((C61-D61)&lt;0,0,C61-D61)</f>
        <v>0</v>
      </c>
      <c r="H61" s="4">
        <f t="shared" ref="H61:H69" si="16">IF((D61-C61)&lt;0,0,D61-C61)</f>
        <v>306</v>
      </c>
    </row>
    <row r="62" spans="1:8" ht="27.75" customHeight="1">
      <c r="A62" s="10">
        <v>8</v>
      </c>
      <c r="B62" s="11" t="s">
        <v>15</v>
      </c>
      <c r="C62" s="40"/>
      <c r="D62" s="40"/>
      <c r="E62" s="10"/>
      <c r="F62" s="42"/>
      <c r="G62" s="3">
        <f t="shared" si="15"/>
        <v>0</v>
      </c>
      <c r="H62" s="4">
        <f t="shared" si="16"/>
        <v>0</v>
      </c>
    </row>
    <row r="63" spans="1:8" ht="27.75" customHeight="1">
      <c r="A63" s="10">
        <v>8</v>
      </c>
      <c r="B63" s="11" t="s">
        <v>12</v>
      </c>
      <c r="C63" s="40">
        <v>1126</v>
      </c>
      <c r="D63" s="40">
        <v>1199</v>
      </c>
      <c r="E63" s="10">
        <v>2025</v>
      </c>
      <c r="F63" s="12" t="s">
        <v>20</v>
      </c>
      <c r="G63" s="3">
        <f t="shared" si="15"/>
        <v>0</v>
      </c>
      <c r="H63" s="4">
        <f t="shared" si="16"/>
        <v>73</v>
      </c>
    </row>
    <row r="64" spans="1:8" ht="27.75" customHeight="1">
      <c r="A64" s="10">
        <v>8</v>
      </c>
      <c r="B64" s="11" t="s">
        <v>21</v>
      </c>
      <c r="C64" s="40"/>
      <c r="D64" s="40"/>
      <c r="E64" s="10"/>
      <c r="F64" s="42" t="s">
        <v>23</v>
      </c>
      <c r="G64" s="3">
        <f t="shared" ref="G64:G69" si="17">IF((C64-D64)&lt;0,0,C64-D64)</f>
        <v>0</v>
      </c>
      <c r="H64" s="4">
        <f t="shared" ref="H64:H69" si="18">IF((D64-C64)&lt;0,0,D64-C64)</f>
        <v>0</v>
      </c>
    </row>
    <row r="65" spans="1:8" ht="27.75" customHeight="1">
      <c r="A65" s="10">
        <v>8</v>
      </c>
      <c r="B65" s="11" t="s">
        <v>24</v>
      </c>
      <c r="C65" s="40"/>
      <c r="D65" s="40"/>
      <c r="E65" s="10"/>
      <c r="F65" s="42"/>
      <c r="G65" s="3">
        <f t="shared" si="17"/>
        <v>0</v>
      </c>
      <c r="H65" s="4">
        <f t="shared" si="18"/>
        <v>0</v>
      </c>
    </row>
    <row r="66" spans="1:8" ht="27.75" customHeight="1">
      <c r="A66" s="10">
        <v>8</v>
      </c>
      <c r="B66" s="11" t="s">
        <v>13</v>
      </c>
      <c r="C66" s="40">
        <v>1126</v>
      </c>
      <c r="D66" s="40">
        <v>1199</v>
      </c>
      <c r="E66" s="10">
        <v>2026</v>
      </c>
      <c r="F66" s="46" t="s">
        <v>20</v>
      </c>
      <c r="G66" s="3">
        <f t="shared" si="17"/>
        <v>0</v>
      </c>
      <c r="H66" s="4">
        <f t="shared" si="18"/>
        <v>73</v>
      </c>
    </row>
    <row r="67" spans="1:8" ht="27.75" customHeight="1">
      <c r="A67" s="10">
        <v>8</v>
      </c>
      <c r="B67" s="11" t="s">
        <v>17</v>
      </c>
      <c r="C67" s="40"/>
      <c r="D67" s="40"/>
      <c r="E67" s="10"/>
      <c r="F67" s="42"/>
      <c r="G67" s="3">
        <f t="shared" si="17"/>
        <v>0</v>
      </c>
      <c r="H67" s="4">
        <f t="shared" si="18"/>
        <v>0</v>
      </c>
    </row>
    <row r="68" spans="1:8" ht="27.75" customHeight="1">
      <c r="A68" s="10">
        <v>8</v>
      </c>
      <c r="B68" s="11" t="s">
        <v>22</v>
      </c>
      <c r="C68" s="40"/>
      <c r="D68" s="40"/>
      <c r="E68" s="10"/>
      <c r="F68" s="42"/>
      <c r="G68" s="3">
        <f t="shared" si="17"/>
        <v>0</v>
      </c>
      <c r="H68" s="4">
        <f t="shared" si="18"/>
        <v>0</v>
      </c>
    </row>
    <row r="69" spans="1:8" ht="27.75" customHeight="1">
      <c r="A69" s="10">
        <v>8</v>
      </c>
      <c r="B69" s="11" t="s">
        <v>19</v>
      </c>
      <c r="C69" s="40"/>
      <c r="D69" s="40"/>
      <c r="E69" s="10"/>
      <c r="F69" s="42"/>
      <c r="G69" s="3">
        <f t="shared" si="17"/>
        <v>0</v>
      </c>
      <c r="H69" s="4">
        <f t="shared" si="18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40">
        <v>1068</v>
      </c>
      <c r="D71" s="10"/>
      <c r="E71" s="10"/>
      <c r="F71" s="12"/>
      <c r="G71" s="3">
        <f t="shared" ref="G71:G79" si="19">IF((C71-D71)&lt;0,0,C71-D71)</f>
        <v>1068</v>
      </c>
      <c r="H71" s="4">
        <f t="shared" ref="H71:H79" si="20">IF((D71-C71)&lt;0,0,D71-C71)</f>
        <v>0</v>
      </c>
    </row>
    <row r="72" spans="1:8" ht="27.75" customHeight="1">
      <c r="A72" s="10">
        <v>9</v>
      </c>
      <c r="B72" s="11" t="s">
        <v>15</v>
      </c>
      <c r="C72" s="40">
        <v>1068</v>
      </c>
      <c r="D72" s="10"/>
      <c r="E72" s="10"/>
      <c r="F72" s="12"/>
      <c r="G72" s="3">
        <f t="shared" si="19"/>
        <v>1068</v>
      </c>
      <c r="H72" s="4">
        <f t="shared" si="20"/>
        <v>0</v>
      </c>
    </row>
    <row r="73" spans="1:8" ht="27.75" customHeight="1">
      <c r="A73" s="10">
        <v>9</v>
      </c>
      <c r="B73" s="11" t="s">
        <v>12</v>
      </c>
      <c r="C73" s="40">
        <v>1068</v>
      </c>
      <c r="D73" s="10"/>
      <c r="E73" s="10"/>
      <c r="F73" s="12"/>
      <c r="G73" s="3">
        <f t="shared" si="19"/>
        <v>1068</v>
      </c>
      <c r="H73" s="4">
        <f t="shared" si="20"/>
        <v>0</v>
      </c>
    </row>
    <row r="74" spans="1:8" ht="27.75" customHeight="1">
      <c r="A74" s="10">
        <v>9</v>
      </c>
      <c r="B74" s="11" t="s">
        <v>21</v>
      </c>
      <c r="C74" s="40">
        <v>1068</v>
      </c>
      <c r="D74" s="10"/>
      <c r="E74" s="10"/>
      <c r="F74" s="12"/>
      <c r="G74" s="3">
        <f t="shared" si="19"/>
        <v>1068</v>
      </c>
      <c r="H74" s="4">
        <f t="shared" si="20"/>
        <v>0</v>
      </c>
    </row>
    <row r="75" spans="1:8" ht="27.75" customHeight="1">
      <c r="A75" s="10">
        <v>9</v>
      </c>
      <c r="B75" s="11" t="s">
        <v>24</v>
      </c>
      <c r="C75" s="40">
        <v>1068</v>
      </c>
      <c r="D75" s="10"/>
      <c r="E75" s="10"/>
      <c r="F75" s="12"/>
      <c r="G75" s="3">
        <f t="shared" si="19"/>
        <v>1068</v>
      </c>
      <c r="H75" s="4">
        <f t="shared" si="20"/>
        <v>0</v>
      </c>
    </row>
    <row r="76" spans="1:8" ht="27.75" customHeight="1">
      <c r="A76" s="10">
        <v>9</v>
      </c>
      <c r="B76" s="11" t="s">
        <v>13</v>
      </c>
      <c r="C76" s="40">
        <v>1068</v>
      </c>
      <c r="D76" s="10"/>
      <c r="E76" s="10"/>
      <c r="F76" s="12"/>
      <c r="G76" s="3">
        <f t="shared" si="19"/>
        <v>1068</v>
      </c>
      <c r="H76" s="4">
        <f t="shared" si="20"/>
        <v>0</v>
      </c>
    </row>
    <row r="77" spans="1:8" ht="27.75" customHeight="1">
      <c r="A77" s="10">
        <v>9</v>
      </c>
      <c r="B77" s="11" t="s">
        <v>17</v>
      </c>
      <c r="C77" s="40">
        <v>1068</v>
      </c>
      <c r="D77" s="10"/>
      <c r="E77" s="10"/>
      <c r="F77" s="12"/>
      <c r="G77" s="3">
        <f t="shared" si="19"/>
        <v>1068</v>
      </c>
      <c r="H77" s="4">
        <f t="shared" si="20"/>
        <v>0</v>
      </c>
    </row>
    <row r="78" spans="1:8" ht="27.75" customHeight="1">
      <c r="A78" s="10">
        <v>9</v>
      </c>
      <c r="B78" s="11" t="s">
        <v>22</v>
      </c>
      <c r="C78" s="40">
        <v>1068</v>
      </c>
      <c r="D78" s="10"/>
      <c r="E78" s="10"/>
      <c r="F78" s="12"/>
      <c r="G78" s="3">
        <f t="shared" si="19"/>
        <v>1068</v>
      </c>
      <c r="H78" s="4">
        <f t="shared" si="20"/>
        <v>0</v>
      </c>
    </row>
    <row r="79" spans="1:8" ht="27.75" customHeight="1">
      <c r="A79" s="10">
        <v>9</v>
      </c>
      <c r="B79" s="11" t="s">
        <v>19</v>
      </c>
      <c r="C79" s="40">
        <v>1068</v>
      </c>
      <c r="D79" s="10"/>
      <c r="E79" s="10"/>
      <c r="F79" s="12"/>
      <c r="G79" s="3">
        <f t="shared" si="19"/>
        <v>1068</v>
      </c>
      <c r="H79" s="4">
        <f t="shared" si="20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1040</v>
      </c>
      <c r="D81" s="10"/>
      <c r="E81" s="10"/>
      <c r="F81" s="12"/>
      <c r="G81" s="3">
        <f t="shared" ref="G81:G89" si="21">IF((C81-D81)&lt;0,0,C81-D81)</f>
        <v>1040</v>
      </c>
      <c r="H81" s="4">
        <f t="shared" ref="H81:H89" si="22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1040</v>
      </c>
      <c r="D82" s="10"/>
      <c r="E82" s="10"/>
      <c r="F82" s="12"/>
      <c r="G82" s="3">
        <f t="shared" si="21"/>
        <v>1040</v>
      </c>
      <c r="H82" s="4">
        <f t="shared" si="22"/>
        <v>0</v>
      </c>
    </row>
    <row r="83" spans="1:8" ht="27.75" customHeight="1">
      <c r="A83" s="10">
        <v>10</v>
      </c>
      <c r="B83" s="11" t="s">
        <v>12</v>
      </c>
      <c r="C83" s="10">
        <v>1040</v>
      </c>
      <c r="D83" s="10"/>
      <c r="E83" s="10"/>
      <c r="F83" s="12"/>
      <c r="G83" s="3">
        <f t="shared" si="21"/>
        <v>1040</v>
      </c>
      <c r="H83" s="4">
        <f t="shared" si="22"/>
        <v>0</v>
      </c>
    </row>
    <row r="84" spans="1:8" ht="27.75" customHeight="1">
      <c r="A84" s="10">
        <v>10</v>
      </c>
      <c r="B84" s="11" t="s">
        <v>21</v>
      </c>
      <c r="C84" s="10">
        <v>1040</v>
      </c>
      <c r="D84" s="10"/>
      <c r="E84" s="10"/>
      <c r="F84" s="12"/>
      <c r="G84" s="3">
        <f t="shared" si="21"/>
        <v>1040</v>
      </c>
      <c r="H84" s="4">
        <f t="shared" si="22"/>
        <v>0</v>
      </c>
    </row>
    <row r="85" spans="1:8" ht="27.75" customHeight="1">
      <c r="A85" s="10">
        <v>10</v>
      </c>
      <c r="B85" s="11" t="s">
        <v>24</v>
      </c>
      <c r="C85" s="10">
        <v>1040</v>
      </c>
      <c r="D85" s="10"/>
      <c r="E85" s="10"/>
      <c r="F85" s="12"/>
      <c r="G85" s="3">
        <f t="shared" si="21"/>
        <v>1040</v>
      </c>
      <c r="H85" s="4">
        <f t="shared" si="22"/>
        <v>0</v>
      </c>
    </row>
    <row r="86" spans="1:8" ht="27.75" customHeight="1">
      <c r="A86" s="10">
        <v>10</v>
      </c>
      <c r="B86" s="11" t="s">
        <v>13</v>
      </c>
      <c r="C86" s="10">
        <v>1040</v>
      </c>
      <c r="D86" s="10"/>
      <c r="E86" s="10"/>
      <c r="F86" s="12"/>
      <c r="G86" s="3">
        <f t="shared" si="21"/>
        <v>1040</v>
      </c>
      <c r="H86" s="4">
        <f t="shared" si="22"/>
        <v>0</v>
      </c>
    </row>
    <row r="87" spans="1:8" ht="27.75" customHeight="1">
      <c r="A87" s="10">
        <v>10</v>
      </c>
      <c r="B87" s="11" t="s">
        <v>17</v>
      </c>
      <c r="C87" s="10">
        <v>1040</v>
      </c>
      <c r="D87" s="10"/>
      <c r="E87" s="10"/>
      <c r="F87" s="12"/>
      <c r="G87" s="3">
        <f t="shared" si="21"/>
        <v>1040</v>
      </c>
      <c r="H87" s="4">
        <f t="shared" si="22"/>
        <v>0</v>
      </c>
    </row>
    <row r="88" spans="1:8" ht="27.75" customHeight="1">
      <c r="A88" s="10">
        <v>10</v>
      </c>
      <c r="B88" s="11" t="s">
        <v>22</v>
      </c>
      <c r="C88" s="10">
        <v>1040</v>
      </c>
      <c r="D88" s="10"/>
      <c r="E88" s="10"/>
      <c r="F88" s="12"/>
      <c r="G88" s="3">
        <f t="shared" si="21"/>
        <v>1040</v>
      </c>
      <c r="H88" s="4">
        <f t="shared" si="22"/>
        <v>0</v>
      </c>
    </row>
    <row r="89" spans="1:8" ht="27.75" customHeight="1">
      <c r="A89" s="10">
        <v>10</v>
      </c>
      <c r="B89" s="11" t="s">
        <v>19</v>
      </c>
      <c r="C89" s="10">
        <v>1040</v>
      </c>
      <c r="D89" s="10"/>
      <c r="E89" s="10"/>
      <c r="F89" s="12"/>
      <c r="G89" s="3">
        <f t="shared" si="21"/>
        <v>1040</v>
      </c>
      <c r="H89" s="4">
        <f t="shared" si="22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43">
        <v>1734</v>
      </c>
      <c r="E91" s="43">
        <v>2024</v>
      </c>
      <c r="F91" s="41" t="s">
        <v>20</v>
      </c>
      <c r="G91" s="3">
        <f t="shared" ref="G91:G98" si="23">IF((C91-D91)&lt;0,0,C91-D91)</f>
        <v>0</v>
      </c>
      <c r="H91" s="4">
        <f t="shared" ref="H91:H98" si="24">IF((D91-C91)&lt;0,0,D91-C91)</f>
        <v>1734</v>
      </c>
    </row>
    <row r="92" spans="1:8" ht="27.75" customHeight="1">
      <c r="A92" s="1" t="s">
        <v>25</v>
      </c>
      <c r="B92" s="9" t="s">
        <v>27</v>
      </c>
      <c r="C92" s="1"/>
      <c r="D92" s="43">
        <v>1734</v>
      </c>
      <c r="E92" s="43">
        <v>2024</v>
      </c>
      <c r="F92" s="41" t="s">
        <v>20</v>
      </c>
      <c r="G92" s="3">
        <f t="shared" si="23"/>
        <v>0</v>
      </c>
      <c r="H92" s="4">
        <f t="shared" si="24"/>
        <v>1734</v>
      </c>
    </row>
    <row r="93" spans="1:8" ht="27.75" customHeight="1">
      <c r="A93" s="1" t="s">
        <v>25</v>
      </c>
      <c r="B93" s="9" t="s">
        <v>28</v>
      </c>
      <c r="C93" s="1"/>
      <c r="D93" s="43">
        <v>1734</v>
      </c>
      <c r="E93" s="43">
        <v>2024</v>
      </c>
      <c r="F93" s="41" t="s">
        <v>20</v>
      </c>
      <c r="G93" s="3">
        <f t="shared" si="23"/>
        <v>0</v>
      </c>
      <c r="H93" s="4">
        <f t="shared" si="24"/>
        <v>1734</v>
      </c>
    </row>
    <row r="94" spans="1:8" ht="27.75" customHeight="1">
      <c r="A94" s="1" t="s">
        <v>25</v>
      </c>
      <c r="B94" s="9" t="s">
        <v>29</v>
      </c>
      <c r="C94" s="1"/>
      <c r="D94" s="43">
        <v>1734</v>
      </c>
      <c r="E94" s="43">
        <v>2025</v>
      </c>
      <c r="F94" s="41" t="s">
        <v>20</v>
      </c>
      <c r="G94" s="3">
        <f t="shared" si="23"/>
        <v>0</v>
      </c>
      <c r="H94" s="4">
        <f t="shared" si="24"/>
        <v>1734</v>
      </c>
    </row>
    <row r="95" spans="1:8" ht="40.5" customHeight="1">
      <c r="A95" s="1" t="s">
        <v>25</v>
      </c>
      <c r="B95" s="9" t="s">
        <v>30</v>
      </c>
      <c r="C95" s="1"/>
      <c r="D95" s="43">
        <v>1734</v>
      </c>
      <c r="E95" s="43">
        <v>2025</v>
      </c>
      <c r="F95" s="41" t="s">
        <v>20</v>
      </c>
      <c r="G95" s="3">
        <f t="shared" si="23"/>
        <v>0</v>
      </c>
      <c r="H95" s="4">
        <f t="shared" si="24"/>
        <v>1734</v>
      </c>
    </row>
    <row r="96" spans="1:8" ht="38.25" customHeight="1">
      <c r="A96" s="1" t="s">
        <v>25</v>
      </c>
      <c r="B96" s="9" t="s">
        <v>31</v>
      </c>
      <c r="C96" s="1"/>
      <c r="D96" s="43">
        <v>1734</v>
      </c>
      <c r="E96" s="43">
        <v>2025</v>
      </c>
      <c r="F96" s="41" t="s">
        <v>20</v>
      </c>
      <c r="G96" s="3">
        <f t="shared" si="23"/>
        <v>0</v>
      </c>
      <c r="H96" s="4">
        <f t="shared" si="24"/>
        <v>1734</v>
      </c>
    </row>
    <row r="97" spans="1:8" ht="27.75" customHeight="1">
      <c r="A97" s="1" t="s">
        <v>25</v>
      </c>
      <c r="B97" s="9" t="s">
        <v>32</v>
      </c>
      <c r="C97" s="1"/>
      <c r="D97" s="43">
        <v>1734</v>
      </c>
      <c r="E97" s="43">
        <v>2025</v>
      </c>
      <c r="F97" s="41" t="s">
        <v>20</v>
      </c>
      <c r="G97" s="3">
        <f t="shared" si="23"/>
        <v>0</v>
      </c>
      <c r="H97" s="4">
        <f t="shared" si="24"/>
        <v>1734</v>
      </c>
    </row>
    <row r="98" spans="1:8" ht="47.25" customHeight="1">
      <c r="A98" s="1" t="s">
        <v>25</v>
      </c>
      <c r="B98" s="9" t="s">
        <v>33</v>
      </c>
      <c r="C98" s="1"/>
      <c r="D98" s="43">
        <v>1734</v>
      </c>
      <c r="E98" s="43">
        <v>2025</v>
      </c>
      <c r="F98" s="41" t="s">
        <v>20</v>
      </c>
      <c r="G98" s="3">
        <f t="shared" si="23"/>
        <v>0</v>
      </c>
      <c r="H98" s="4">
        <f t="shared" si="24"/>
        <v>1734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14:E19 E21:E29 E31:E39 E2:E6 E8:E12 E41:E49" xr:uid="{B46E7B13-721E-4D49-837E-C02BF9777D48}">
      <formula1>"2024,2025"</formula1>
    </dataValidation>
    <dataValidation type="list" allowBlank="1" showInputMessage="1" showErrorMessage="1" sqref="F14:F19 F21:F29 F31:F39 F41:F49 F63 F8:F12 F71:F79 F81:F89 F2:F6 F51:F59" xr:uid="{2F7388E0-D1A1-4571-8C10-96CB9A727EB3}">
      <formula1>"CO,RO,SDO"</formula1>
    </dataValidation>
    <dataValidation type="list" allowBlank="1" showInputMessage="1" showErrorMessage="1" sqref="E71:E79 E61:E69 E51:E52 E54:E59 E81:E89 E91:E98" xr:uid="{8552B6DE-51F2-451F-8D7D-4BF56427B9E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108" zoomScale="70" zoomScaleNormal="70" workbookViewId="0">
      <selection activeCell="D66" sqref="D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7" t="s">
        <v>34</v>
      </c>
      <c r="E1" s="47"/>
      <c r="F1" s="47"/>
      <c r="G1" s="47"/>
      <c r="H1" s="47"/>
      <c r="I1" s="47"/>
      <c r="J1" s="48" t="s">
        <v>35</v>
      </c>
      <c r="K1" s="48"/>
      <c r="L1" s="48"/>
      <c r="M1" s="48"/>
      <c r="N1" s="48"/>
      <c r="O1" s="48"/>
      <c r="P1" s="49" t="s">
        <v>36</v>
      </c>
      <c r="Q1" s="49"/>
      <c r="R1" s="49"/>
      <c r="S1" s="49"/>
      <c r="T1" s="49"/>
      <c r="U1" s="49"/>
      <c r="V1" s="50" t="s">
        <v>37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hidden="1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 hidden="1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 hidden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 hidden="1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 hidden="1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 hidden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 hidden="1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 hidden="1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 hidden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 hidden="1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 hidden="1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 hidden="1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 hidden="1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 hidden="1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 hidden="1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 hidden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 hidden="1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 hidden="1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 hidden="1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 hidden="1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 hidden="1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 hidden="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 hidden="1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 hidden="1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 hidden="1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 hidden="1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 hidden="1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 hidden="1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 hidden="1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 hidden="1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 hidden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 hidden="1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 hidden="1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 hidden="1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 hidden="1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1275</v>
      </c>
      <c r="D65" s="12">
        <f>Table1[[#This Row],[Enrolment S.Y. 2025-2026 ]]*8</f>
        <v>10200</v>
      </c>
      <c r="E65" s="12">
        <v>5476</v>
      </c>
      <c r="F65" s="10">
        <v>2025</v>
      </c>
      <c r="G65" s="12" t="s">
        <v>64</v>
      </c>
      <c r="H65" s="12">
        <f t="shared" si="2"/>
        <v>4724</v>
      </c>
      <c r="I65" s="12">
        <f t="shared" si="3"/>
        <v>0</v>
      </c>
      <c r="J65" s="12">
        <f>Table1[[#This Row],[Enrolment S.Y. 2025-2026 ]]*8</f>
        <v>10200</v>
      </c>
      <c r="K65" s="12"/>
      <c r="L65" s="10"/>
      <c r="M65" s="12"/>
      <c r="N65" s="12">
        <f t="shared" si="10"/>
        <v>10200</v>
      </c>
      <c r="O65" s="12">
        <f t="shared" si="11"/>
        <v>0</v>
      </c>
      <c r="P65" s="12">
        <f>Table1[[#This Row],[Enrolment S.Y. 2025-2026 ]]*8</f>
        <v>10200</v>
      </c>
      <c r="Q65" s="12"/>
      <c r="R65" s="10"/>
      <c r="S65" s="12"/>
      <c r="T65" s="12">
        <f t="shared" si="12"/>
        <v>10200</v>
      </c>
      <c r="U65" s="12">
        <f t="shared" si="13"/>
        <v>0</v>
      </c>
      <c r="V65" s="12">
        <f>Table1[[#This Row],[Enrolment S.Y. 2025-2026 ]]*8</f>
        <v>10200</v>
      </c>
      <c r="W65" s="12"/>
      <c r="X65" s="10"/>
      <c r="Y65" s="12"/>
      <c r="Z65" s="12">
        <f t="shared" si="14"/>
        <v>10200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D5:F12 N5:R12 T5:X12 N4:P4 T4:V4 J4 Z4:AA127 N3:R3 Y13 D63:F71 D73:F81 D83:F91 D93:F10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F23:F31 F14:F21 X53:X61 R43:R51 R53:R61 F33:F41 X14:X21 X5:X12 L23:L31 L33:L41 L43:L51 R14:R21 F43:F51 L53:L61 R5:R12 F5:F12 F53:F61 L14:L21 L5:L12 R23:R31 R33:R4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63:F71 F73:F81 F83:F91 F93:F101 F103:F110 F112:F127" xr:uid="{C9485989-5C65-414C-9994-2A63FDC41ED8}">
      <formula1>"2024,2025,2026"</formula1>
    </dataValidation>
    <dataValidation type="list" allowBlank="1" showInputMessage="1" showErrorMessage="1" sqref="L63:L71 L73:L81 L83:L91 L93:L101 L103:L110 L112:L127 R63:R71 R73:R81 R83:R91 R93:R101 R103:R110 R112:R127 X63:X71 X73:X81 X83:X91 X93:X101 X103:X110 X112:X127" xr:uid="{E03E7DE0-4956-4C02-B8E1-45A5F4A01C2A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D70" sqref="D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7" t="s">
        <v>34</v>
      </c>
      <c r="E1" s="47"/>
      <c r="F1" s="47"/>
      <c r="G1" s="47"/>
      <c r="H1" s="47"/>
      <c r="I1" s="47"/>
      <c r="J1" s="48" t="s">
        <v>35</v>
      </c>
      <c r="K1" s="48"/>
      <c r="L1" s="48"/>
      <c r="M1" s="48"/>
      <c r="N1" s="48"/>
      <c r="O1" s="48"/>
      <c r="P1" s="49" t="s">
        <v>36</v>
      </c>
      <c r="Q1" s="49"/>
      <c r="R1" s="49"/>
      <c r="S1" s="49"/>
      <c r="T1" s="49"/>
      <c r="U1" s="49"/>
      <c r="V1" s="50" t="s">
        <v>37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4" t="s">
        <v>74</v>
      </c>
      <c r="N2" s="44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5" t="s">
        <v>86</v>
      </c>
      <c r="Z2" s="45" t="s">
        <v>87</v>
      </c>
      <c r="AA2" s="26" t="s">
        <v>88</v>
      </c>
    </row>
    <row r="3" spans="1:27" ht="19.149999999999999" hidden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1275</v>
      </c>
      <c r="D67" s="12">
        <f>Table14[[#This Row],[Enrolment S.Y. 2025-2026 ]]*8</f>
        <v>10200</v>
      </c>
      <c r="E67" s="12">
        <v>1024</v>
      </c>
      <c r="F67" s="10">
        <v>2025</v>
      </c>
      <c r="G67" s="12" t="s">
        <v>64</v>
      </c>
      <c r="H67" s="12">
        <f t="shared" si="0"/>
        <v>9176</v>
      </c>
      <c r="I67" s="12">
        <f t="shared" si="1"/>
        <v>0</v>
      </c>
      <c r="J67" s="12">
        <f>Table14[[#This Row],[Enrolment S.Y. 2025-2026 ]]*8</f>
        <v>10200</v>
      </c>
      <c r="K67" s="12">
        <v>2350</v>
      </c>
      <c r="L67" s="10">
        <v>2025</v>
      </c>
      <c r="M67" s="12" t="s">
        <v>64</v>
      </c>
      <c r="N67" s="12">
        <f t="shared" si="2"/>
        <v>7850</v>
      </c>
      <c r="O67" s="12">
        <f t="shared" si="3"/>
        <v>0</v>
      </c>
      <c r="P67" s="12">
        <f>Table14[[#This Row],[Enrolment S.Y. 2025-2026 ]]*8</f>
        <v>10200</v>
      </c>
      <c r="Q67" s="12">
        <v>294</v>
      </c>
      <c r="R67" s="10">
        <v>2025</v>
      </c>
      <c r="S67" s="12" t="s">
        <v>64</v>
      </c>
      <c r="T67" s="12">
        <f t="shared" si="4"/>
        <v>9906</v>
      </c>
      <c r="U67" s="12">
        <f t="shared" si="5"/>
        <v>0</v>
      </c>
      <c r="V67" s="12">
        <f>Table14[[#This Row],[Enrolment S.Y. 2025-2026 ]]*8</f>
        <v>10200</v>
      </c>
      <c r="W67" s="12"/>
      <c r="X67" s="10"/>
      <c r="Y67" s="12"/>
      <c r="Z67" s="12">
        <f t="shared" si="6"/>
        <v>10200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1275</v>
      </c>
      <c r="D68" s="12">
        <f>Table14[[#This Row],[Enrolment S.Y. 2025-2026 ]]*8</f>
        <v>10200</v>
      </c>
      <c r="E68" s="12">
        <v>1139</v>
      </c>
      <c r="F68" s="10">
        <v>2025</v>
      </c>
      <c r="G68" s="12" t="s">
        <v>64</v>
      </c>
      <c r="H68" s="12">
        <f t="shared" si="0"/>
        <v>9061</v>
      </c>
      <c r="I68" s="12">
        <f t="shared" si="1"/>
        <v>0</v>
      </c>
      <c r="J68" s="12">
        <f>Table14[[#This Row],[Enrolment S.Y. 2025-2026 ]]*8</f>
        <v>10200</v>
      </c>
      <c r="K68" s="12"/>
      <c r="L68" s="10"/>
      <c r="M68" s="12"/>
      <c r="N68" s="12">
        <f t="shared" si="2"/>
        <v>10200</v>
      </c>
      <c r="O68" s="12">
        <f t="shared" si="3"/>
        <v>0</v>
      </c>
      <c r="P68" s="12">
        <f>Table14[[#This Row],[Enrolment S.Y. 2025-2026 ]]*8</f>
        <v>10200</v>
      </c>
      <c r="Q68" s="12"/>
      <c r="R68" s="10"/>
      <c r="S68" s="12"/>
      <c r="T68" s="12">
        <f t="shared" si="4"/>
        <v>10200</v>
      </c>
      <c r="U68" s="12">
        <f t="shared" si="5"/>
        <v>0</v>
      </c>
      <c r="V68" s="12">
        <f>Table14[[#This Row],[Enrolment S.Y. 2025-2026 ]]*8</f>
        <v>10200</v>
      </c>
      <c r="W68" s="12"/>
      <c r="X68" s="10"/>
      <c r="Y68" s="12"/>
      <c r="Z68" s="12">
        <f t="shared" si="6"/>
        <v>10200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1275</v>
      </c>
      <c r="D69" s="12">
        <f>Table14[[#This Row],[Enrolment S.Y. 2025-2026 ]]*8</f>
        <v>10200</v>
      </c>
      <c r="E69" s="12">
        <v>2148</v>
      </c>
      <c r="F69" s="10">
        <v>2025</v>
      </c>
      <c r="G69" s="12" t="s">
        <v>64</v>
      </c>
      <c r="H69" s="12">
        <f t="shared" si="0"/>
        <v>8052</v>
      </c>
      <c r="I69" s="12">
        <f t="shared" si="1"/>
        <v>0</v>
      </c>
      <c r="J69" s="12">
        <f>Table14[[#This Row],[Enrolment S.Y. 2025-2026 ]]*8</f>
        <v>10200</v>
      </c>
      <c r="K69" s="12"/>
      <c r="L69" s="10"/>
      <c r="M69" s="12"/>
      <c r="N69" s="12">
        <f t="shared" si="2"/>
        <v>10200</v>
      </c>
      <c r="O69" s="12">
        <f t="shared" si="3"/>
        <v>0</v>
      </c>
      <c r="P69" s="12">
        <f>Table14[[#This Row],[Enrolment S.Y. 2025-2026 ]]*8</f>
        <v>10200</v>
      </c>
      <c r="Q69" s="12"/>
      <c r="R69" s="10"/>
      <c r="S69" s="12"/>
      <c r="T69" s="12">
        <f t="shared" si="4"/>
        <v>10200</v>
      </c>
      <c r="U69" s="12">
        <f t="shared" si="5"/>
        <v>0</v>
      </c>
      <c r="V69" s="12">
        <f>Table14[[#This Row],[Enrolment S.Y. 2025-2026 ]]*8</f>
        <v>10200</v>
      </c>
      <c r="W69" s="12"/>
      <c r="X69" s="10"/>
      <c r="Y69" s="12"/>
      <c r="Z69" s="12">
        <f t="shared" si="6"/>
        <v>10200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1275</v>
      </c>
      <c r="D72" s="12">
        <f>Table14[[#This Row],[Enrolment S.Y. 2025-2026 ]]*8</f>
        <v>10200</v>
      </c>
      <c r="E72" s="12">
        <v>147</v>
      </c>
      <c r="F72" s="10">
        <v>2025</v>
      </c>
      <c r="G72" s="12" t="s">
        <v>64</v>
      </c>
      <c r="H72" s="12">
        <f t="shared" si="0"/>
        <v>10053</v>
      </c>
      <c r="I72" s="12">
        <f t="shared" si="1"/>
        <v>0</v>
      </c>
      <c r="J72" s="12">
        <f>Table14[[#This Row],[Enrolment S.Y. 2025-2026 ]]*8</f>
        <v>10200</v>
      </c>
      <c r="K72" s="12"/>
      <c r="L72" s="10"/>
      <c r="M72" s="12"/>
      <c r="N72" s="12">
        <f t="shared" si="14"/>
        <v>10200</v>
      </c>
      <c r="O72" s="12">
        <f t="shared" si="15"/>
        <v>0</v>
      </c>
      <c r="P72" s="12">
        <f>Table14[[#This Row],[Enrolment S.Y. 2025-2026 ]]*8</f>
        <v>10200</v>
      </c>
      <c r="Q72" s="12"/>
      <c r="R72" s="10"/>
      <c r="S72" s="12"/>
      <c r="T72" s="12">
        <f t="shared" si="4"/>
        <v>10200</v>
      </c>
      <c r="U72" s="12">
        <f t="shared" si="5"/>
        <v>0</v>
      </c>
      <c r="V72" s="12">
        <f>Table14[[#This Row],[Enrolment S.Y. 2025-2026 ]]*8</f>
        <v>10200</v>
      </c>
      <c r="W72" s="12"/>
      <c r="X72" s="10"/>
      <c r="Y72" s="12"/>
      <c r="Z72" s="12">
        <f t="shared" si="6"/>
        <v>10200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1122</v>
      </c>
      <c r="D81" s="12">
        <f>Table14[[#This Row],[Enrolment S.Y. 2025-2026 ]]*8</f>
        <v>8976</v>
      </c>
      <c r="E81" s="12">
        <v>720</v>
      </c>
      <c r="F81" s="10">
        <v>2025</v>
      </c>
      <c r="G81" s="12" t="s">
        <v>64</v>
      </c>
      <c r="H81" s="12">
        <f t="shared" si="0"/>
        <v>8256</v>
      </c>
      <c r="I81" s="12">
        <f t="shared" si="1"/>
        <v>0</v>
      </c>
      <c r="J81" s="12">
        <f>Table14[[#This Row],[Enrolment S.Y. 2025-2026 ]]*8</f>
        <v>8976</v>
      </c>
      <c r="K81" s="12"/>
      <c r="L81" s="10"/>
      <c r="M81" s="12"/>
      <c r="N81" s="12">
        <f t="shared" si="20"/>
        <v>8976</v>
      </c>
      <c r="O81" s="12">
        <f t="shared" si="21"/>
        <v>0</v>
      </c>
      <c r="P81" s="12">
        <f>Table14[[#This Row],[Enrolment S.Y. 2025-2026 ]]*8</f>
        <v>8976</v>
      </c>
      <c r="Q81" s="12"/>
      <c r="R81" s="10"/>
      <c r="S81" s="12"/>
      <c r="T81" s="12">
        <f t="shared" si="16"/>
        <v>8976</v>
      </c>
      <c r="U81" s="12">
        <f t="shared" si="17"/>
        <v>0</v>
      </c>
      <c r="V81" s="12">
        <f>Table14[[#This Row],[Enrolment S.Y. 2025-2026 ]]*8</f>
        <v>8976</v>
      </c>
      <c r="W81" s="12"/>
      <c r="X81" s="10"/>
      <c r="Y81" s="12"/>
      <c r="Z81" s="12">
        <f t="shared" si="18"/>
        <v>8976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2042</v>
      </c>
      <c r="X91" s="10">
        <v>2025</v>
      </c>
      <c r="Y91" s="12" t="s">
        <v>64</v>
      </c>
      <c r="Z91" s="12">
        <f t="shared" si="18"/>
        <v>0</v>
      </c>
      <c r="AA91" s="12">
        <f t="shared" si="19"/>
        <v>2042</v>
      </c>
    </row>
    <row r="92" spans="1:27" ht="19.5">
      <c r="A92" s="10">
        <v>9</v>
      </c>
      <c r="B92" s="11" t="s">
        <v>15</v>
      </c>
      <c r="C92" s="10">
        <v>1068</v>
      </c>
      <c r="D92" s="12">
        <f>Table14[[#This Row],[Enrolment S.Y. 2025-2026 ]]*8</f>
        <v>8544</v>
      </c>
      <c r="E92" s="12">
        <v>50</v>
      </c>
      <c r="F92" s="10">
        <v>2025</v>
      </c>
      <c r="G92" s="12" t="s">
        <v>64</v>
      </c>
      <c r="H92" s="12">
        <f t="shared" si="22"/>
        <v>8494</v>
      </c>
      <c r="I92" s="12">
        <f t="shared" si="23"/>
        <v>0</v>
      </c>
      <c r="J92" s="12">
        <f>Table14[[#This Row],[Enrolment S.Y. 2025-2026 ]]*8</f>
        <v>8544</v>
      </c>
      <c r="K92" s="12">
        <v>1400</v>
      </c>
      <c r="L92" s="10">
        <v>2025</v>
      </c>
      <c r="M92" s="12" t="s">
        <v>64</v>
      </c>
      <c r="N92" s="12">
        <f t="shared" si="20"/>
        <v>7144</v>
      </c>
      <c r="O92" s="12">
        <f t="shared" si="21"/>
        <v>0</v>
      </c>
      <c r="P92" s="12">
        <f>Table14[[#This Row],[Enrolment S.Y. 2025-2026 ]]*8</f>
        <v>8544</v>
      </c>
      <c r="Q92" s="12">
        <v>1000</v>
      </c>
      <c r="R92" s="10">
        <v>2025</v>
      </c>
      <c r="S92" s="12" t="s">
        <v>64</v>
      </c>
      <c r="T92" s="12">
        <f t="shared" si="16"/>
        <v>7544</v>
      </c>
      <c r="U92" s="12">
        <f t="shared" si="17"/>
        <v>0</v>
      </c>
      <c r="V92" s="12">
        <f>Table14[[#This Row],[Enrolment S.Y. 2025-2026 ]]*8</f>
        <v>8544</v>
      </c>
      <c r="W92" s="12">
        <v>1400</v>
      </c>
      <c r="X92" s="10">
        <v>2025</v>
      </c>
      <c r="Y92" s="12" t="s">
        <v>64</v>
      </c>
      <c r="Z92" s="12">
        <f t="shared" si="18"/>
        <v>7144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1068</v>
      </c>
      <c r="D93" s="12">
        <f>Table14[[#This Row],[Enrolment S.Y. 2025-2026 ]]*8</f>
        <v>8544</v>
      </c>
      <c r="E93" s="12">
        <v>39</v>
      </c>
      <c r="F93" s="10">
        <v>2025</v>
      </c>
      <c r="G93" s="12" t="s">
        <v>64</v>
      </c>
      <c r="H93" s="12">
        <f t="shared" si="22"/>
        <v>8505</v>
      </c>
      <c r="I93" s="12">
        <f t="shared" si="23"/>
        <v>0</v>
      </c>
      <c r="J93" s="12">
        <f>Table14[[#This Row],[Enrolment S.Y. 2025-2026 ]]*8</f>
        <v>8544</v>
      </c>
      <c r="K93" s="12">
        <v>1878</v>
      </c>
      <c r="L93" s="10">
        <v>2025</v>
      </c>
      <c r="M93" s="12" t="s">
        <v>64</v>
      </c>
      <c r="N93" s="12">
        <f t="shared" si="20"/>
        <v>6666</v>
      </c>
      <c r="O93" s="12">
        <f t="shared" si="21"/>
        <v>0</v>
      </c>
      <c r="P93" s="12">
        <f>Table14[[#This Row],[Enrolment S.Y. 2025-2026 ]]*8</f>
        <v>8544</v>
      </c>
      <c r="Q93" s="12">
        <v>2749</v>
      </c>
      <c r="R93" s="10">
        <v>2025</v>
      </c>
      <c r="S93" s="12" t="s">
        <v>64</v>
      </c>
      <c r="T93" s="12">
        <f t="shared" si="16"/>
        <v>5795</v>
      </c>
      <c r="U93" s="12">
        <f t="shared" si="17"/>
        <v>0</v>
      </c>
      <c r="V93" s="12">
        <f>Table14[[#This Row],[Enrolment S.Y. 2025-2026 ]]*8</f>
        <v>8544</v>
      </c>
      <c r="W93" s="12">
        <v>1100</v>
      </c>
      <c r="X93" s="10">
        <v>2025</v>
      </c>
      <c r="Y93" s="12" t="s">
        <v>64</v>
      </c>
      <c r="Z93" s="12">
        <f t="shared" si="18"/>
        <v>7444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v>1000</v>
      </c>
      <c r="R94" s="10">
        <v>2025</v>
      </c>
      <c r="S94" s="12" t="s">
        <v>64</v>
      </c>
      <c r="T94" s="12">
        <f t="shared" si="16"/>
        <v>0</v>
      </c>
      <c r="U94" s="12">
        <f t="shared" si="17"/>
        <v>1000</v>
      </c>
      <c r="V94" s="12">
        <f>Table14[[#This Row],[Enrolment S.Y. 2025-2026 ]]*8</f>
        <v>0</v>
      </c>
      <c r="W94" s="12">
        <v>1200</v>
      </c>
      <c r="X94" s="10">
        <v>2025</v>
      </c>
      <c r="Y94" s="12" t="s">
        <v>64</v>
      </c>
      <c r="Z94" s="12">
        <f t="shared" si="18"/>
        <v>0</v>
      </c>
      <c r="AA94" s="12">
        <f t="shared" si="19"/>
        <v>1200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v>1248</v>
      </c>
      <c r="R95" s="10">
        <v>2025</v>
      </c>
      <c r="S95" s="12" t="s">
        <v>64</v>
      </c>
      <c r="T95" s="12">
        <f t="shared" si="16"/>
        <v>0</v>
      </c>
      <c r="U95" s="12">
        <f t="shared" si="17"/>
        <v>1248</v>
      </c>
      <c r="V95" s="12">
        <f>Table14[[#This Row],[Enrolment S.Y. 2025-2026 ]]*8</f>
        <v>0</v>
      </c>
      <c r="W95" s="12">
        <v>850</v>
      </c>
      <c r="X95" s="10">
        <v>2025</v>
      </c>
      <c r="Y95" s="12" t="s">
        <v>64</v>
      </c>
      <c r="Z95" s="12">
        <f t="shared" si="18"/>
        <v>0</v>
      </c>
      <c r="AA95" s="12">
        <f t="shared" si="19"/>
        <v>850</v>
      </c>
    </row>
    <row r="96" spans="1:27" ht="19.5">
      <c r="A96" s="10">
        <v>9</v>
      </c>
      <c r="B96" s="11" t="s">
        <v>13</v>
      </c>
      <c r="C96" s="10">
        <v>1068</v>
      </c>
      <c r="D96" s="12">
        <f>Table14[[#This Row],[Enrolment S.Y. 2025-2026 ]]*8</f>
        <v>8544</v>
      </c>
      <c r="E96" s="12">
        <v>1800</v>
      </c>
      <c r="F96" s="10">
        <v>2025</v>
      </c>
      <c r="G96" s="12" t="s">
        <v>64</v>
      </c>
      <c r="H96" s="12">
        <f t="shared" si="22"/>
        <v>6744</v>
      </c>
      <c r="I96" s="12">
        <f t="shared" si="23"/>
        <v>0</v>
      </c>
      <c r="J96" s="12">
        <f>Table14[[#This Row],[Enrolment S.Y. 2025-2026 ]]*8</f>
        <v>8544</v>
      </c>
      <c r="K96" s="12"/>
      <c r="L96" s="10"/>
      <c r="M96" s="12"/>
      <c r="N96" s="12">
        <f t="shared" si="20"/>
        <v>8544</v>
      </c>
      <c r="O96" s="12">
        <f t="shared" si="21"/>
        <v>0</v>
      </c>
      <c r="P96" s="12">
        <f>Table14[[#This Row],[Enrolment S.Y. 2025-2026 ]]*8</f>
        <v>8544</v>
      </c>
      <c r="Q96" s="12">
        <v>1223</v>
      </c>
      <c r="R96" s="10">
        <v>2025</v>
      </c>
      <c r="S96" s="12" t="s">
        <v>64</v>
      </c>
      <c r="T96" s="12">
        <f t="shared" si="16"/>
        <v>7321</v>
      </c>
      <c r="U96" s="12">
        <f t="shared" si="17"/>
        <v>0</v>
      </c>
      <c r="V96" s="12">
        <f>Table14[[#This Row],[Enrolment S.Y. 2025-2026 ]]*8</f>
        <v>8544</v>
      </c>
      <c r="W96" s="12"/>
      <c r="X96" s="10"/>
      <c r="Y96" s="12"/>
      <c r="Z96" s="12">
        <f t="shared" si="18"/>
        <v>8544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1400</v>
      </c>
      <c r="X97" s="10">
        <v>2025</v>
      </c>
      <c r="Y97" s="12" t="s">
        <v>64</v>
      </c>
      <c r="Z97" s="12">
        <f>IF((V97-W97)&lt;0,0,(V97-W97))</f>
        <v>0</v>
      </c>
      <c r="AA97" s="12">
        <f>IF((W97-V97)&lt;0,0,(W97-V97))</f>
        <v>1400</v>
      </c>
    </row>
    <row r="98" spans="1:27" ht="19.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1200</v>
      </c>
      <c r="X98" s="10">
        <v>2025</v>
      </c>
      <c r="Y98" s="12" t="s">
        <v>64</v>
      </c>
      <c r="Z98" s="12">
        <f t="shared" si="18"/>
        <v>0</v>
      </c>
      <c r="AA98" s="12">
        <f t="shared" si="19"/>
        <v>1200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v>400</v>
      </c>
      <c r="R100" s="10">
        <v>2025</v>
      </c>
      <c r="S100" s="12" t="s">
        <v>64</v>
      </c>
      <c r="T100" s="12">
        <f>IF((P100-Q100)&lt;0,0,(P100-Q100))</f>
        <v>0</v>
      </c>
      <c r="U100" s="12">
        <f>IF((Q100-P100)&lt;0,0,(Q100-P100))</f>
        <v>400</v>
      </c>
      <c r="V100" s="12">
        <f>Table14[[#This Row],[Enrolment S.Y. 2025-2026 ]]*8</f>
        <v>0</v>
      </c>
      <c r="W100" s="12">
        <v>800</v>
      </c>
      <c r="X100" s="10">
        <v>2025</v>
      </c>
      <c r="Y100" s="12" t="s">
        <v>64</v>
      </c>
      <c r="Z100" s="12">
        <f>IF((V100-W100)&lt;0,0,(V100-W100))</f>
        <v>0</v>
      </c>
      <c r="AA100" s="12">
        <f>IF((W100-V100)&lt;0,0,(W100-V100))</f>
        <v>800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v>1648</v>
      </c>
      <c r="R101" s="10">
        <v>2025</v>
      </c>
      <c r="S101" s="12" t="s">
        <v>64</v>
      </c>
      <c r="T101" s="12">
        <f t="shared" si="16"/>
        <v>0</v>
      </c>
      <c r="U101" s="12">
        <f t="shared" si="17"/>
        <v>1648</v>
      </c>
      <c r="V101" s="12">
        <f>Table14[[#This Row],[Enrolment S.Y. 2025-2026 ]]*8</f>
        <v>0</v>
      </c>
      <c r="W101" s="12">
        <v>600</v>
      </c>
      <c r="X101" s="10">
        <v>2025</v>
      </c>
      <c r="Y101" s="12" t="s">
        <v>64</v>
      </c>
      <c r="Z101" s="12">
        <f t="shared" si="18"/>
        <v>0</v>
      </c>
      <c r="AA101" s="12">
        <f t="shared" si="19"/>
        <v>600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>
        <v>1000</v>
      </c>
      <c r="R103" s="10">
        <v>2025</v>
      </c>
      <c r="S103" s="12" t="s">
        <v>64</v>
      </c>
      <c r="T103" s="12">
        <f t="shared" si="16"/>
        <v>0</v>
      </c>
      <c r="U103" s="12">
        <f t="shared" si="17"/>
        <v>1000</v>
      </c>
      <c r="V103" s="12">
        <f>Table14[[#This Row],[Enrolment S.Y. 2025-2026 ]]*8</f>
        <v>0</v>
      </c>
      <c r="W103" s="12">
        <v>600</v>
      </c>
      <c r="X103" s="10">
        <v>2025</v>
      </c>
      <c r="Y103" s="12" t="s">
        <v>64</v>
      </c>
      <c r="Z103" s="12">
        <f t="shared" si="18"/>
        <v>0</v>
      </c>
      <c r="AA103" s="12">
        <f t="shared" si="19"/>
        <v>600</v>
      </c>
    </row>
    <row r="104" spans="1:27" ht="19.5">
      <c r="A104" s="10">
        <v>10</v>
      </c>
      <c r="B104" s="11" t="s">
        <v>15</v>
      </c>
      <c r="C104" s="10">
        <v>1040</v>
      </c>
      <c r="D104" s="12">
        <f>Table14[[#This Row],[Enrolment S.Y. 2025-2026 ]]*8</f>
        <v>8320</v>
      </c>
      <c r="E104" s="12">
        <v>50</v>
      </c>
      <c r="F104" s="10">
        <v>2025</v>
      </c>
      <c r="G104" s="12" t="s">
        <v>64</v>
      </c>
      <c r="H104" s="12">
        <f t="shared" si="22"/>
        <v>8270</v>
      </c>
      <c r="I104" s="12">
        <f t="shared" si="23"/>
        <v>0</v>
      </c>
      <c r="J104" s="12">
        <f>Table14[[#This Row],[Enrolment S.Y. 2025-2026 ]]*8</f>
        <v>8320</v>
      </c>
      <c r="K104" s="12"/>
      <c r="L104" s="10"/>
      <c r="M104" s="12"/>
      <c r="N104" s="12">
        <f t="shared" si="20"/>
        <v>8320</v>
      </c>
      <c r="O104" s="12">
        <f t="shared" si="21"/>
        <v>0</v>
      </c>
      <c r="P104" s="12">
        <f>Table14[[#This Row],[Enrolment S.Y. 2025-2026 ]]*8</f>
        <v>8320</v>
      </c>
      <c r="Q104" s="12">
        <v>1400</v>
      </c>
      <c r="R104" s="10">
        <v>2025</v>
      </c>
      <c r="S104" s="12" t="s">
        <v>64</v>
      </c>
      <c r="T104" s="12">
        <f t="shared" si="16"/>
        <v>6920</v>
      </c>
      <c r="U104" s="12">
        <f t="shared" si="17"/>
        <v>0</v>
      </c>
      <c r="V104" s="12">
        <f>Table14[[#This Row],[Enrolment S.Y. 2025-2026 ]]*8</f>
        <v>8320</v>
      </c>
      <c r="W104" s="12">
        <v>1400</v>
      </c>
      <c r="X104" s="10">
        <v>2025</v>
      </c>
      <c r="Y104" s="12" t="s">
        <v>64</v>
      </c>
      <c r="Z104" s="12">
        <f t="shared" si="18"/>
        <v>6920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>
        <v>1800</v>
      </c>
      <c r="L105" s="10">
        <v>2025</v>
      </c>
      <c r="M105" s="12" t="s">
        <v>64</v>
      </c>
      <c r="N105" s="12">
        <f t="shared" si="20"/>
        <v>0</v>
      </c>
      <c r="O105" s="12">
        <f t="shared" si="21"/>
        <v>1800</v>
      </c>
      <c r="P105" s="12">
        <f>Table14[[#This Row],[Enrolment S.Y. 2025-2026 ]]*8</f>
        <v>0</v>
      </c>
      <c r="Q105" s="12">
        <v>1400</v>
      </c>
      <c r="R105" s="10">
        <v>2025</v>
      </c>
      <c r="S105" s="12" t="s">
        <v>64</v>
      </c>
      <c r="T105" s="12">
        <f t="shared" si="16"/>
        <v>0</v>
      </c>
      <c r="U105" s="12">
        <f t="shared" si="17"/>
        <v>1400</v>
      </c>
      <c r="V105" s="12">
        <f>Table14[[#This Row],[Enrolment S.Y. 2025-2026 ]]*8</f>
        <v>0</v>
      </c>
      <c r="W105" s="12">
        <v>800</v>
      </c>
      <c r="X105" s="10">
        <v>2025</v>
      </c>
      <c r="Y105" s="12" t="s">
        <v>64</v>
      </c>
      <c r="Z105" s="12">
        <f t="shared" si="18"/>
        <v>0</v>
      </c>
      <c r="AA105" s="12">
        <f t="shared" si="19"/>
        <v>800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v>1400</v>
      </c>
      <c r="R106" s="10">
        <v>2025</v>
      </c>
      <c r="S106" s="12" t="s">
        <v>64</v>
      </c>
      <c r="T106" s="12">
        <f t="shared" si="16"/>
        <v>0</v>
      </c>
      <c r="U106" s="12">
        <f t="shared" si="17"/>
        <v>1400</v>
      </c>
      <c r="V106" s="12">
        <f>Table14[[#This Row],[Enrolment S.Y. 2025-2026 ]]*8</f>
        <v>0</v>
      </c>
      <c r="W106" s="12">
        <v>800</v>
      </c>
      <c r="X106" s="10">
        <v>2025</v>
      </c>
      <c r="Y106" s="12" t="s">
        <v>64</v>
      </c>
      <c r="Z106" s="12">
        <f t="shared" si="18"/>
        <v>0</v>
      </c>
      <c r="AA106" s="12">
        <f t="shared" si="19"/>
        <v>800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v>800</v>
      </c>
      <c r="R107" s="10">
        <v>2025</v>
      </c>
      <c r="S107" s="12" t="s">
        <v>64</v>
      </c>
      <c r="T107" s="12">
        <f t="shared" si="16"/>
        <v>0</v>
      </c>
      <c r="U107" s="12">
        <f t="shared" si="17"/>
        <v>800</v>
      </c>
      <c r="V107" s="12">
        <f>Table14[[#This Row],[Enrolment S.Y. 2025-2026 ]]*8</f>
        <v>0</v>
      </c>
      <c r="W107" s="12">
        <v>839</v>
      </c>
      <c r="X107" s="10">
        <v>2025</v>
      </c>
      <c r="Y107" s="12" t="s">
        <v>64</v>
      </c>
      <c r="Z107" s="12">
        <f t="shared" si="18"/>
        <v>0</v>
      </c>
      <c r="AA107" s="12">
        <f t="shared" si="19"/>
        <v>839</v>
      </c>
    </row>
    <row r="108" spans="1:27" ht="19.5">
      <c r="A108" s="10">
        <v>10</v>
      </c>
      <c r="B108" s="11" t="s">
        <v>13</v>
      </c>
      <c r="C108" s="10">
        <v>1040</v>
      </c>
      <c r="D108" s="12">
        <f>Table14[[#This Row],[Enrolment S.Y. 2025-2026 ]]*8</f>
        <v>8320</v>
      </c>
      <c r="E108" s="12">
        <v>1200</v>
      </c>
      <c r="F108" s="10">
        <v>2025</v>
      </c>
      <c r="G108" s="12" t="s">
        <v>64</v>
      </c>
      <c r="H108" s="12">
        <f t="shared" si="22"/>
        <v>7120</v>
      </c>
      <c r="I108" s="12">
        <f t="shared" si="23"/>
        <v>0</v>
      </c>
      <c r="J108" s="12">
        <f>Table14[[#This Row],[Enrolment S.Y. 2025-2026 ]]*8</f>
        <v>8320</v>
      </c>
      <c r="K108" s="12"/>
      <c r="L108" s="10"/>
      <c r="M108" s="12"/>
      <c r="N108" s="12">
        <f t="shared" si="20"/>
        <v>8320</v>
      </c>
      <c r="O108" s="12">
        <f t="shared" si="21"/>
        <v>0</v>
      </c>
      <c r="P108" s="12">
        <f>Table14[[#This Row],[Enrolment S.Y. 2025-2026 ]]*8</f>
        <v>8320</v>
      </c>
      <c r="Q108" s="12">
        <v>1400</v>
      </c>
      <c r="R108" s="10">
        <v>2025</v>
      </c>
      <c r="S108" s="12" t="s">
        <v>64</v>
      </c>
      <c r="T108" s="12">
        <f t="shared" si="16"/>
        <v>6920</v>
      </c>
      <c r="U108" s="12">
        <f t="shared" si="17"/>
        <v>0</v>
      </c>
      <c r="V108" s="12">
        <f>Table14[[#This Row],[Enrolment S.Y. 2025-2026 ]]*8</f>
        <v>8320</v>
      </c>
      <c r="W108" s="12"/>
      <c r="X108" s="10"/>
      <c r="Y108" s="12"/>
      <c r="Z108" s="12">
        <f t="shared" si="18"/>
        <v>8320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v>400</v>
      </c>
      <c r="R109" s="10">
        <v>2025</v>
      </c>
      <c r="S109" s="12" t="s">
        <v>64</v>
      </c>
      <c r="T109" s="12">
        <f>IF((P109-Q109)&lt;0,0,(P109-Q109))</f>
        <v>0</v>
      </c>
      <c r="U109" s="12">
        <f>IF((Q109-P109)&lt;0,0,(Q109-P109))</f>
        <v>400</v>
      </c>
      <c r="V109" s="12">
        <f>Table14[[#This Row],[Enrolment S.Y. 2025-2026 ]]*8</f>
        <v>0</v>
      </c>
      <c r="W109" s="12">
        <v>400</v>
      </c>
      <c r="X109" s="10">
        <v>2025</v>
      </c>
      <c r="Y109" s="12" t="s">
        <v>64</v>
      </c>
      <c r="Z109" s="12">
        <f>IF((V109-W109)&lt;0,0,(V109-W109))</f>
        <v>0</v>
      </c>
      <c r="AA109" s="12">
        <f>IF((W109-V109)&lt;0,0,(W109-V109))</f>
        <v>400</v>
      </c>
    </row>
    <row r="110" spans="1:27" ht="19.5">
      <c r="A110" s="10">
        <v>10</v>
      </c>
      <c r="B110" s="11" t="s">
        <v>90</v>
      </c>
      <c r="C110" s="10">
        <v>1040</v>
      </c>
      <c r="D110" s="12">
        <f>Table14[[#This Row],[Enrolment S.Y. 2025-2026 ]]*8</f>
        <v>8320</v>
      </c>
      <c r="E110" s="12">
        <v>200</v>
      </c>
      <c r="F110" s="10">
        <v>2025</v>
      </c>
      <c r="G110" s="12" t="s">
        <v>64</v>
      </c>
      <c r="H110" s="12">
        <f t="shared" si="22"/>
        <v>8120</v>
      </c>
      <c r="I110" s="12">
        <f t="shared" si="23"/>
        <v>0</v>
      </c>
      <c r="J110" s="12">
        <f>Table14[[#This Row],[Enrolment S.Y. 2025-2026 ]]*8</f>
        <v>8320</v>
      </c>
      <c r="K110" s="12">
        <v>300</v>
      </c>
      <c r="L110" s="10">
        <v>2025</v>
      </c>
      <c r="M110" s="12" t="s">
        <v>64</v>
      </c>
      <c r="N110" s="12">
        <f t="shared" si="28"/>
        <v>8020</v>
      </c>
      <c r="O110" s="12">
        <f t="shared" si="29"/>
        <v>0</v>
      </c>
      <c r="P110" s="12">
        <f>Table14[[#This Row],[Enrolment S.Y. 2025-2026 ]]*8</f>
        <v>8320</v>
      </c>
      <c r="Q110" s="12">
        <v>800</v>
      </c>
      <c r="R110" s="10">
        <v>2025</v>
      </c>
      <c r="S110" s="12" t="s">
        <v>64</v>
      </c>
      <c r="T110" s="12">
        <f t="shared" si="16"/>
        <v>7520</v>
      </c>
      <c r="U110" s="12">
        <f t="shared" si="17"/>
        <v>0</v>
      </c>
      <c r="V110" s="12">
        <f>Table14[[#This Row],[Enrolment S.Y. 2025-2026 ]]*8</f>
        <v>8320</v>
      </c>
      <c r="W110" s="12">
        <v>200</v>
      </c>
      <c r="X110" s="10">
        <v>2025</v>
      </c>
      <c r="Y110" s="12" t="s">
        <v>64</v>
      </c>
      <c r="Z110" s="12">
        <f t="shared" si="18"/>
        <v>8120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v>400</v>
      </c>
      <c r="R112" s="10">
        <v>2025</v>
      </c>
      <c r="S112" s="12" t="s">
        <v>64</v>
      </c>
      <c r="T112" s="12">
        <f>IF((P112-Q112)&lt;0,0,(P112-Q112))</f>
        <v>0</v>
      </c>
      <c r="U112" s="12">
        <f>IF((Q112-P112)&lt;0,0,(Q112-P112))</f>
        <v>400</v>
      </c>
      <c r="V112" s="12">
        <f>Table14[[#This Row],[Enrolment S.Y. 2025-2026 ]]*8</f>
        <v>0</v>
      </c>
      <c r="W112" s="12">
        <v>200</v>
      </c>
      <c r="X112" s="10">
        <v>2025</v>
      </c>
      <c r="Y112" s="12" t="s">
        <v>64</v>
      </c>
      <c r="Z112" s="12">
        <f>IF((V112-W112)&lt;0,0,(V112-W112))</f>
        <v>0</v>
      </c>
      <c r="AA112" s="12">
        <f>IF((W112-V112)&lt;0,0,(W112-V112))</f>
        <v>200</v>
      </c>
    </row>
    <row r="113" spans="1:28" ht="19.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v>600</v>
      </c>
      <c r="R113" s="10">
        <v>2025</v>
      </c>
      <c r="S113" s="12" t="s">
        <v>64</v>
      </c>
      <c r="T113" s="12">
        <f t="shared" si="16"/>
        <v>0</v>
      </c>
      <c r="U113" s="12">
        <f t="shared" si="17"/>
        <v>600</v>
      </c>
      <c r="V113" s="12">
        <f>Table14[[#This Row],[Enrolment S.Y. 2025-2026 ]]*8</f>
        <v>0</v>
      </c>
      <c r="W113" s="12">
        <v>600</v>
      </c>
      <c r="X113" s="10">
        <v>2025</v>
      </c>
      <c r="Y113" s="12" t="s">
        <v>64</v>
      </c>
      <c r="Z113" s="12">
        <f t="shared" si="18"/>
        <v>0</v>
      </c>
      <c r="AA113" s="12">
        <f t="shared" si="19"/>
        <v>600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79:C89 C115:C122 C103:C113 C67:C77 C91:C101" name="Textbooks"/>
    <protectedRange sqref="J2:L2 D2:F10 D12:F19 D21:F29 D31:F41 D43:F53 D55:F65 P2:R10 N3:O10 V2:X10 T3:U10 N12:R19 T12:X19 H3:L10 Z3:AA10 Z12:AA19 H12:L19 N21:R29 T21:X29 Z21:AA29 H21:L29 T31:X41 Z31:AA41 H31:L41 T43:X53 Z43:AA53 H43:L53 T55:X65 Z55:AA65 H55:L65 T67:X77 Z67:AA77 H67:L77 T79:X89 Z79:AA89 H79:L89 Z91:AA101 Z103:AA113 H103:L113 N115:R122 T115:X122 Z115:AA122 H115:L122 N31:R41 N43:R53 N55:R65 N67:R77 N79:R89 H91:L101 N103:R113 N91:R101 T91:X101 T103:X113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M67:M77 S67:S77 Y79:Y89 G79:G89 M79:M89 S79:S89 M103:M113 Y115:Y122 G115:G122 M115:M122 S115:S122 G67:G77 G91:G101 M91:M101 G103:G113 S103:S113 S91:S101 Y91:Y101 Y103:Y113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Y91:Y101 Y67:Y77 S67:S77 S79:S89 M79:M89 G79:G89 Y79:Y89 M115:M122 S103:S113 G91:G101 G67:G77 M91:M101 S91:S101 G103:G113 M103:M113 Y103:Y113" xr:uid="{CBD486C7-A5DB-48F1-B496-5027CC51E830}">
      <formula1>"CO,RO,SDO,LGU,SCHOOL"</formula1>
    </dataValidation>
    <dataValidation type="list" allowBlank="1" showInputMessage="1" showErrorMessage="1" sqref="X21:X29 X31:X41 X43:X53 R12:R19 F12:F19 X55:X65 F3:F10 F31:F41 X12:X19 X3:X10 L21:L29 L31:L41 L43:L53 F43:F53 R55:R65 L55:L65 R3:R10 F55:F65 L12:L19 L3:L10 R21:R29 R31:R41 R43:R53 F21:F29" xr:uid="{77F72D89-8371-4D0C-A323-BD25723C617C}">
      <formula1>"2024,2025"</formula1>
    </dataValidation>
    <dataValidation type="list" allowBlank="1" showInputMessage="1" showErrorMessage="1" sqref="F67:F77 F79:F89 F91:F101 F103:F113 F115:F122" xr:uid="{FCCCE7F8-B615-414A-94A1-8A2C96EF4A55}">
      <formula1>"2024,2025,2026"</formula1>
    </dataValidation>
    <dataValidation type="list" allowBlank="1" showInputMessage="1" showErrorMessage="1" sqref="L67:L77 L79:L89 L91:L101 L103:L113 L115:L122 R67:R77 R79:R89 R91:R101 R103:R113 R115:R122 X67:X77 X79:X89 X91:X101 X103:X113 X115:X122" xr:uid="{2B3E046E-FCEE-44A7-BE60-05EBCAAE756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Karluigi San Pedro</cp:lastModifiedBy>
  <cp:revision/>
  <dcterms:created xsi:type="dcterms:W3CDTF">2025-11-19T20:48:15Z</dcterms:created>
  <dcterms:modified xsi:type="dcterms:W3CDTF">2026-03-18T09:01:09Z</dcterms:modified>
  <cp:category/>
  <cp:contentStatus/>
</cp:coreProperties>
</file>