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85" documentId="13_ncr:1_{BFB59F67-F0DC-4675-A682-EB0734A8026A}" xr6:coauthVersionLast="47" xr6:coauthVersionMax="47" xr10:uidLastSave="{B077CC6D-474D-43A6-AEC4-1A08317A48EA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G4" i="1"/>
  <c r="H3" i="1"/>
  <c r="G3" i="1"/>
  <c r="D4" i="4"/>
  <c r="P5" i="4"/>
  <c r="D5" i="4"/>
  <c r="H5" i="4"/>
  <c r="I5" i="4"/>
  <c r="J5" i="4"/>
  <c r="V5" i="4"/>
  <c r="Z5" i="4"/>
  <c r="AA5" i="4"/>
  <c r="V4" i="4"/>
  <c r="P4" i="4"/>
  <c r="J4" i="4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I10" i="5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7" i="4"/>
  <c r="Z7" i="4" s="1"/>
  <c r="V8" i="4"/>
  <c r="AA8" i="4" s="1"/>
  <c r="V9" i="4"/>
  <c r="Z9" i="4" s="1"/>
  <c r="V10" i="4"/>
  <c r="AA10" i="4" s="1"/>
  <c r="V11" i="4"/>
  <c r="Z11" i="4" s="1"/>
  <c r="V12" i="4"/>
  <c r="AA12" i="4" s="1"/>
  <c r="V13" i="4"/>
  <c r="Z13" i="4" s="1"/>
  <c r="V15" i="4"/>
  <c r="Z15" i="4" s="1"/>
  <c r="V16" i="4"/>
  <c r="Z16" i="4" s="1"/>
  <c r="V17" i="4"/>
  <c r="AA17" i="4" s="1"/>
  <c r="V18" i="4"/>
  <c r="Z18" i="4" s="1"/>
  <c r="V19" i="4"/>
  <c r="Z19" i="4" s="1"/>
  <c r="V20" i="4"/>
  <c r="Z20" i="4" s="1"/>
  <c r="V21" i="4"/>
  <c r="AA21" i="4" s="1"/>
  <c r="V22" i="4"/>
  <c r="Z22" i="4" s="1"/>
  <c r="V24" i="4"/>
  <c r="Z24" i="4" s="1"/>
  <c r="V25" i="4"/>
  <c r="Z25" i="4" s="1"/>
  <c r="V26" i="4"/>
  <c r="AA26" i="4" s="1"/>
  <c r="V27" i="4"/>
  <c r="Z27" i="4" s="1"/>
  <c r="V28" i="4"/>
  <c r="Z28" i="4" s="1"/>
  <c r="V29" i="4"/>
  <c r="Z29" i="4" s="1"/>
  <c r="V30" i="4"/>
  <c r="AA30" i="4" s="1"/>
  <c r="V31" i="4"/>
  <c r="Z31" i="4" s="1"/>
  <c r="V32" i="4"/>
  <c r="Z32" i="4" s="1"/>
  <c r="V34" i="4"/>
  <c r="Z34" i="4" s="1"/>
  <c r="V35" i="4"/>
  <c r="AA35" i="4" s="1"/>
  <c r="V36" i="4"/>
  <c r="Z36" i="4" s="1"/>
  <c r="V37" i="4"/>
  <c r="Z37" i="4" s="1"/>
  <c r="V38" i="4"/>
  <c r="Z38" i="4" s="1"/>
  <c r="V39" i="4"/>
  <c r="AA39" i="4" s="1"/>
  <c r="V40" i="4"/>
  <c r="Z40" i="4" s="1"/>
  <c r="V41" i="4"/>
  <c r="Z41" i="4" s="1"/>
  <c r="V42" i="4"/>
  <c r="Z42" i="4" s="1"/>
  <c r="V44" i="4"/>
  <c r="AA44" i="4" s="1"/>
  <c r="V45" i="4"/>
  <c r="Z45" i="4" s="1"/>
  <c r="V46" i="4"/>
  <c r="AA46" i="4" s="1"/>
  <c r="V47" i="4"/>
  <c r="Z47" i="4" s="1"/>
  <c r="V48" i="4"/>
  <c r="AA48" i="4" s="1"/>
  <c r="V49" i="4"/>
  <c r="Z49" i="4" s="1"/>
  <c r="V50" i="4"/>
  <c r="Z50" i="4" s="1"/>
  <c r="V51" i="4"/>
  <c r="Z51" i="4" s="1"/>
  <c r="V52" i="4"/>
  <c r="AA52" i="4" s="1"/>
  <c r="V54" i="4"/>
  <c r="Z54" i="4" s="1"/>
  <c r="V55" i="4"/>
  <c r="Z55" i="4" s="1"/>
  <c r="V56" i="4"/>
  <c r="Z56" i="4" s="1"/>
  <c r="V57" i="4"/>
  <c r="AA57" i="4" s="1"/>
  <c r="V58" i="4"/>
  <c r="Z58" i="4" s="1"/>
  <c r="V59" i="4"/>
  <c r="Z59" i="4" s="1"/>
  <c r="V60" i="4"/>
  <c r="Z60" i="4" s="1"/>
  <c r="V61" i="4"/>
  <c r="AA61" i="4" s="1"/>
  <c r="V62" i="4"/>
  <c r="Z62" i="4" s="1"/>
  <c r="P7" i="4"/>
  <c r="T7" i="4" s="1"/>
  <c r="P8" i="4"/>
  <c r="T8" i="4" s="1"/>
  <c r="P9" i="4"/>
  <c r="T9" i="4" s="1"/>
  <c r="P10" i="4"/>
  <c r="T10" i="4" s="1"/>
  <c r="P11" i="4"/>
  <c r="U11" i="4" s="1"/>
  <c r="P12" i="4"/>
  <c r="T12" i="4" s="1"/>
  <c r="P13" i="4"/>
  <c r="T13" i="4" s="1"/>
  <c r="P15" i="4"/>
  <c r="P16" i="4"/>
  <c r="T16" i="4" s="1"/>
  <c r="P17" i="4"/>
  <c r="T17" i="4" s="1"/>
  <c r="P18" i="4"/>
  <c r="T18" i="4" s="1"/>
  <c r="P19" i="4"/>
  <c r="P20" i="4"/>
  <c r="U20" i="4" s="1"/>
  <c r="P21" i="4"/>
  <c r="T21" i="4" s="1"/>
  <c r="P22" i="4"/>
  <c r="T22" i="4" s="1"/>
  <c r="P24" i="4"/>
  <c r="P25" i="4"/>
  <c r="T25" i="4" s="1"/>
  <c r="P26" i="4"/>
  <c r="T26" i="4" s="1"/>
  <c r="P27" i="4"/>
  <c r="T27" i="4" s="1"/>
  <c r="P28" i="4"/>
  <c r="P29" i="4"/>
  <c r="U29" i="4" s="1"/>
  <c r="P30" i="4"/>
  <c r="T30" i="4" s="1"/>
  <c r="P31" i="4"/>
  <c r="T31" i="4" s="1"/>
  <c r="P32" i="4"/>
  <c r="P34" i="4"/>
  <c r="U34" i="4" s="1"/>
  <c r="P35" i="4"/>
  <c r="T35" i="4" s="1"/>
  <c r="P36" i="4"/>
  <c r="T36" i="4" s="1"/>
  <c r="P37" i="4"/>
  <c r="P38" i="4"/>
  <c r="U38" i="4" s="1"/>
  <c r="P39" i="4"/>
  <c r="T39" i="4" s="1"/>
  <c r="P40" i="4"/>
  <c r="T40" i="4" s="1"/>
  <c r="P41" i="4"/>
  <c r="P42" i="4"/>
  <c r="T42" i="4" s="1"/>
  <c r="P44" i="4"/>
  <c r="T44" i="4" s="1"/>
  <c r="P45" i="4"/>
  <c r="T45" i="4" s="1"/>
  <c r="P46" i="4"/>
  <c r="P47" i="4"/>
  <c r="U47" i="4" s="1"/>
  <c r="P48" i="4"/>
  <c r="T48" i="4" s="1"/>
  <c r="P49" i="4"/>
  <c r="T49" i="4" s="1"/>
  <c r="P50" i="4"/>
  <c r="P51" i="4"/>
  <c r="T51" i="4" s="1"/>
  <c r="P52" i="4"/>
  <c r="T52" i="4" s="1"/>
  <c r="P54" i="4"/>
  <c r="T54" i="4" s="1"/>
  <c r="P55" i="4"/>
  <c r="P56" i="4"/>
  <c r="U56" i="4" s="1"/>
  <c r="P57" i="4"/>
  <c r="T57" i="4" s="1"/>
  <c r="P58" i="4"/>
  <c r="T58" i="4" s="1"/>
  <c r="P59" i="4"/>
  <c r="P60" i="4"/>
  <c r="T60" i="4" s="1"/>
  <c r="P61" i="4"/>
  <c r="T61" i="4" s="1"/>
  <c r="P62" i="4"/>
  <c r="T62" i="4" s="1"/>
  <c r="J7" i="4"/>
  <c r="N7" i="4" s="1"/>
  <c r="J8" i="4"/>
  <c r="J9" i="4"/>
  <c r="N9" i="4" s="1"/>
  <c r="J10" i="4"/>
  <c r="N10" i="4" s="1"/>
  <c r="J11" i="4"/>
  <c r="O11" i="4" s="1"/>
  <c r="J12" i="4"/>
  <c r="O12" i="4" s="1"/>
  <c r="J13" i="4"/>
  <c r="N13" i="4" s="1"/>
  <c r="J15" i="4"/>
  <c r="N15" i="4" s="1"/>
  <c r="J16" i="4"/>
  <c r="N16" i="4" s="1"/>
  <c r="J17" i="4"/>
  <c r="O17" i="4" s="1"/>
  <c r="J18" i="4"/>
  <c r="N18" i="4" s="1"/>
  <c r="J19" i="4"/>
  <c r="N19" i="4" s="1"/>
  <c r="J20" i="4"/>
  <c r="O20" i="4" s="1"/>
  <c r="J21" i="4"/>
  <c r="O21" i="4" s="1"/>
  <c r="J22" i="4"/>
  <c r="N22" i="4" s="1"/>
  <c r="J24" i="4"/>
  <c r="N24" i="4" s="1"/>
  <c r="J25" i="4"/>
  <c r="N25" i="4" s="1"/>
  <c r="J26" i="4"/>
  <c r="O26" i="4" s="1"/>
  <c r="J27" i="4"/>
  <c r="N27" i="4" s="1"/>
  <c r="J28" i="4"/>
  <c r="N28" i="4" s="1"/>
  <c r="J29" i="4"/>
  <c r="O29" i="4" s="1"/>
  <c r="J30" i="4"/>
  <c r="O30" i="4" s="1"/>
  <c r="J31" i="4"/>
  <c r="N31" i="4" s="1"/>
  <c r="J32" i="4"/>
  <c r="N32" i="4" s="1"/>
  <c r="J34" i="4"/>
  <c r="N34" i="4" s="1"/>
  <c r="J35" i="4"/>
  <c r="O35" i="4" s="1"/>
  <c r="J36" i="4"/>
  <c r="N36" i="4" s="1"/>
  <c r="J37" i="4"/>
  <c r="N37" i="4" s="1"/>
  <c r="J38" i="4"/>
  <c r="O38" i="4" s="1"/>
  <c r="J39" i="4"/>
  <c r="O39" i="4" s="1"/>
  <c r="J40" i="4"/>
  <c r="N40" i="4" s="1"/>
  <c r="J41" i="4"/>
  <c r="N41" i="4" s="1"/>
  <c r="J42" i="4"/>
  <c r="N42" i="4" s="1"/>
  <c r="J44" i="4"/>
  <c r="O44" i="4" s="1"/>
  <c r="J45" i="4"/>
  <c r="N45" i="4" s="1"/>
  <c r="J46" i="4"/>
  <c r="N46" i="4" s="1"/>
  <c r="J47" i="4"/>
  <c r="O47" i="4" s="1"/>
  <c r="J48" i="4"/>
  <c r="O48" i="4" s="1"/>
  <c r="J49" i="4"/>
  <c r="N49" i="4" s="1"/>
  <c r="J50" i="4"/>
  <c r="N50" i="4" s="1"/>
  <c r="J51" i="4"/>
  <c r="N51" i="4" s="1"/>
  <c r="J52" i="4"/>
  <c r="O52" i="4" s="1"/>
  <c r="J54" i="4"/>
  <c r="N54" i="4" s="1"/>
  <c r="J55" i="4"/>
  <c r="N55" i="4" s="1"/>
  <c r="J56" i="4"/>
  <c r="O56" i="4" s="1"/>
  <c r="J57" i="4"/>
  <c r="O57" i="4" s="1"/>
  <c r="J58" i="4"/>
  <c r="N58" i="4" s="1"/>
  <c r="J59" i="4"/>
  <c r="N59" i="4" s="1"/>
  <c r="J60" i="4"/>
  <c r="N60" i="4" s="1"/>
  <c r="J61" i="4"/>
  <c r="O61" i="4" s="1"/>
  <c r="J62" i="4"/>
  <c r="N62" i="4" s="1"/>
  <c r="D32" i="4"/>
  <c r="H32" i="4" s="1"/>
  <c r="D22" i="4"/>
  <c r="H22" i="4" s="1"/>
  <c r="D13" i="4"/>
  <c r="H13" i="4" s="1"/>
  <c r="D30" i="4"/>
  <c r="H30" i="4" s="1"/>
  <c r="D31" i="4"/>
  <c r="H31" i="4" s="1"/>
  <c r="D20" i="4"/>
  <c r="H20" i="4" s="1"/>
  <c r="D11" i="4"/>
  <c r="H11" i="4" s="1"/>
  <c r="D12" i="4"/>
  <c r="H12" i="4" s="1"/>
  <c r="D21" i="4"/>
  <c r="H21" i="4" s="1"/>
  <c r="V6" i="4"/>
  <c r="AA6" i="4" s="1"/>
  <c r="P6" i="4"/>
  <c r="T6" i="4" s="1"/>
  <c r="J6" i="4"/>
  <c r="D7" i="4"/>
  <c r="I7" i="4" s="1"/>
  <c r="D8" i="4"/>
  <c r="I8" i="4" s="1"/>
  <c r="D9" i="4"/>
  <c r="I9" i="4" s="1"/>
  <c r="D10" i="4"/>
  <c r="I10" i="4" s="1"/>
  <c r="D15" i="4"/>
  <c r="D16" i="4"/>
  <c r="I16" i="4" s="1"/>
  <c r="D17" i="4"/>
  <c r="I17" i="4" s="1"/>
  <c r="D18" i="4"/>
  <c r="I18" i="4" s="1"/>
  <c r="D19" i="4"/>
  <c r="I19" i="4" s="1"/>
  <c r="D24" i="4"/>
  <c r="H24" i="4" s="1"/>
  <c r="D25" i="4"/>
  <c r="H25" i="4" s="1"/>
  <c r="D26" i="4"/>
  <c r="D27" i="4"/>
  <c r="D28" i="4"/>
  <c r="I28" i="4" s="1"/>
  <c r="D29" i="4"/>
  <c r="I29" i="4" s="1"/>
  <c r="D34" i="4"/>
  <c r="H34" i="4" s="1"/>
  <c r="D35" i="4"/>
  <c r="H35" i="4" s="1"/>
  <c r="D36" i="4"/>
  <c r="H36" i="4" s="1"/>
  <c r="D37" i="4"/>
  <c r="H37" i="4" s="1"/>
  <c r="D38" i="4"/>
  <c r="D39" i="4"/>
  <c r="D40" i="4"/>
  <c r="I40" i="4" s="1"/>
  <c r="D41" i="4"/>
  <c r="I41" i="4" s="1"/>
  <c r="D42" i="4"/>
  <c r="I42" i="4" s="1"/>
  <c r="D44" i="4"/>
  <c r="I44" i="4" s="1"/>
  <c r="D45" i="4"/>
  <c r="H45" i="4" s="1"/>
  <c r="D46" i="4"/>
  <c r="H46" i="4" s="1"/>
  <c r="D47" i="4"/>
  <c r="D48" i="4"/>
  <c r="D49" i="4"/>
  <c r="I49" i="4" s="1"/>
  <c r="D50" i="4"/>
  <c r="I50" i="4" s="1"/>
  <c r="D51" i="4"/>
  <c r="H51" i="4" s="1"/>
  <c r="D52" i="4"/>
  <c r="H52" i="4" s="1"/>
  <c r="D54" i="4"/>
  <c r="H54" i="4" s="1"/>
  <c r="D55" i="4"/>
  <c r="H55" i="4" s="1"/>
  <c r="D56" i="4"/>
  <c r="H56" i="4" s="1"/>
  <c r="D57" i="4"/>
  <c r="D58" i="4"/>
  <c r="D59" i="4"/>
  <c r="I59" i="4" s="1"/>
  <c r="D60" i="4"/>
  <c r="I60" i="4" s="1"/>
  <c r="D61" i="4"/>
  <c r="I61" i="4" s="1"/>
  <c r="D62" i="4"/>
  <c r="I62" i="4" s="1"/>
  <c r="D6" i="4"/>
  <c r="I6" i="4" s="1"/>
  <c r="G7" i="1"/>
  <c r="H7" i="1"/>
  <c r="G8" i="1"/>
  <c r="H8" i="1"/>
  <c r="G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1" i="1"/>
  <c r="G21" i="1"/>
  <c r="H20" i="1"/>
  <c r="G20" i="1"/>
  <c r="H19" i="1"/>
  <c r="G19" i="1"/>
  <c r="H18" i="1"/>
  <c r="G18" i="1"/>
  <c r="H17" i="1"/>
  <c r="G17" i="1"/>
  <c r="H16" i="1"/>
  <c r="G16" i="1"/>
  <c r="H14" i="1"/>
  <c r="G14" i="1"/>
  <c r="H13" i="1"/>
  <c r="G13" i="1"/>
  <c r="H12" i="1"/>
  <c r="G12" i="1"/>
  <c r="H11" i="1"/>
  <c r="G11" i="1"/>
  <c r="H10" i="1"/>
  <c r="G10" i="1"/>
  <c r="H6" i="1"/>
  <c r="G6" i="1"/>
  <c r="H5" i="1"/>
  <c r="G5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T5" i="4"/>
  <c r="U5" i="4"/>
  <c r="I4" i="4"/>
  <c r="H4" i="4"/>
  <c r="O4" i="4"/>
  <c r="N4" i="4"/>
  <c r="U4" i="4"/>
  <c r="T4" i="4"/>
  <c r="AA4" i="4"/>
  <c r="Z4" i="4"/>
  <c r="O3" i="4"/>
  <c r="N3" i="4"/>
  <c r="O13" i="4"/>
  <c r="Z10" i="4"/>
  <c r="T34" i="4"/>
  <c r="Z46" i="4"/>
  <c r="AA32" i="4"/>
  <c r="U3" i="4"/>
  <c r="O27" i="4"/>
  <c r="T11" i="4"/>
  <c r="U60" i="4"/>
  <c r="U44" i="4"/>
  <c r="Z57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1" i="4"/>
  <c r="N57" i="4"/>
  <c r="O45" i="4"/>
  <c r="N38" i="4"/>
  <c r="T38" i="4"/>
  <c r="U21" i="4"/>
  <c r="U16" i="4"/>
  <c r="AA55" i="4"/>
  <c r="Z44" i="4"/>
  <c r="AA19" i="4"/>
  <c r="Z8" i="4"/>
  <c r="O62" i="4"/>
  <c r="O31" i="4"/>
  <c r="U48" i="4"/>
  <c r="U42" i="4"/>
  <c r="U26" i="4"/>
  <c r="AA41" i="4"/>
  <c r="Z30" i="4"/>
  <c r="N56" i="4"/>
  <c r="O49" i="4"/>
  <c r="O18" i="4"/>
  <c r="N11" i="4"/>
  <c r="U52" i="4"/>
  <c r="T20" i="4"/>
  <c r="Z52" i="4"/>
  <c r="AA28" i="4"/>
  <c r="Z17" i="4"/>
  <c r="N20" i="4"/>
  <c r="I32" i="4"/>
  <c r="O36" i="4"/>
  <c r="T47" i="4"/>
  <c r="U30" i="4"/>
  <c r="U25" i="4"/>
  <c r="U8" i="4"/>
  <c r="AA50" i="4"/>
  <c r="Z39" i="4"/>
  <c r="AA15" i="4"/>
  <c r="N29" i="4"/>
  <c r="O22" i="4"/>
  <c r="U57" i="4"/>
  <c r="U51" i="4"/>
  <c r="U35" i="4"/>
  <c r="Z61" i="4"/>
  <c r="AA37" i="4"/>
  <c r="Z26" i="4"/>
  <c r="I3" i="4"/>
  <c r="O54" i="4"/>
  <c r="N47" i="4"/>
  <c r="O40" i="4"/>
  <c r="N35" i="4"/>
  <c r="O9" i="4"/>
  <c r="U61" i="4"/>
  <c r="T29" i="4"/>
  <c r="U12" i="4"/>
  <c r="U7" i="4"/>
  <c r="AA59" i="4"/>
  <c r="Z48" i="4"/>
  <c r="AA24" i="4"/>
  <c r="Z12" i="4"/>
  <c r="AA3" i="4"/>
  <c r="O58" i="4"/>
  <c r="T56" i="4"/>
  <c r="U39" i="4"/>
  <c r="U17" i="4"/>
  <c r="Z35" i="4"/>
  <c r="T41" i="4"/>
  <c r="U41" i="4"/>
  <c r="N26" i="4"/>
  <c r="N52" i="4"/>
  <c r="N30" i="4"/>
  <c r="T19" i="4"/>
  <c r="U19" i="4"/>
  <c r="N61" i="4"/>
  <c r="N39" i="4"/>
  <c r="T28" i="4"/>
  <c r="U28" i="4"/>
  <c r="T24" i="4"/>
  <c r="U24" i="4"/>
  <c r="T50" i="4"/>
  <c r="U50" i="4"/>
  <c r="N12" i="4"/>
  <c r="T55" i="4"/>
  <c r="U55" i="4"/>
  <c r="T32" i="4"/>
  <c r="U32" i="4"/>
  <c r="N17" i="4"/>
  <c r="T59" i="4"/>
  <c r="U59" i="4"/>
  <c r="N44" i="4"/>
  <c r="N21" i="4"/>
  <c r="T46" i="4"/>
  <c r="U46" i="4"/>
  <c r="O8" i="4"/>
  <c r="N8" i="4"/>
  <c r="N48" i="4"/>
  <c r="T37" i="4"/>
  <c r="U37" i="4"/>
  <c r="T15" i="4"/>
  <c r="U15" i="4"/>
  <c r="O55" i="4"/>
  <c r="O46" i="4"/>
  <c r="O37" i="4"/>
  <c r="O28" i="4"/>
  <c r="O19" i="4"/>
  <c r="O10" i="4"/>
  <c r="U62" i="4"/>
  <c r="U54" i="4"/>
  <c r="U45" i="4"/>
  <c r="U36" i="4"/>
  <c r="U27" i="4"/>
  <c r="U18" i="4"/>
  <c r="U9" i="4"/>
  <c r="AA62" i="4"/>
  <c r="AA58" i="4"/>
  <c r="AA54" i="4"/>
  <c r="AA49" i="4"/>
  <c r="AA45" i="4"/>
  <c r="AA40" i="4"/>
  <c r="AA36" i="4"/>
  <c r="AA31" i="4"/>
  <c r="AA27" i="4"/>
  <c r="AA22" i="4"/>
  <c r="AA18" i="4"/>
  <c r="AA13" i="4"/>
  <c r="AA9" i="4"/>
  <c r="O60" i="4"/>
  <c r="O51" i="4"/>
  <c r="O42" i="4"/>
  <c r="O34" i="4"/>
  <c r="O25" i="4"/>
  <c r="O16" i="4"/>
  <c r="O7" i="4"/>
  <c r="O59" i="4"/>
  <c r="O50" i="4"/>
  <c r="O41" i="4"/>
  <c r="O32" i="4"/>
  <c r="O24" i="4"/>
  <c r="O15" i="4"/>
  <c r="U58" i="4"/>
  <c r="U49" i="4"/>
  <c r="U40" i="4"/>
  <c r="U31" i="4"/>
  <c r="U22" i="4"/>
  <c r="U13" i="4"/>
  <c r="AA60" i="4"/>
  <c r="AA56" i="4"/>
  <c r="AA51" i="4"/>
  <c r="AA47" i="4"/>
  <c r="AA42" i="4"/>
  <c r="AA38" i="4"/>
  <c r="AA34" i="4"/>
  <c r="AA29" i="4"/>
  <c r="AA25" i="4"/>
  <c r="AA20" i="4"/>
  <c r="AA16" i="4"/>
  <c r="AA11" i="4"/>
  <c r="AA7" i="4"/>
  <c r="U10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2" i="4"/>
  <c r="I13" i="4"/>
  <c r="I30" i="4"/>
  <c r="I31" i="4"/>
  <c r="I20" i="4"/>
  <c r="I11" i="4"/>
  <c r="I12" i="4"/>
  <c r="I21" i="4"/>
  <c r="H10" i="4"/>
  <c r="H9" i="4"/>
  <c r="H8" i="4"/>
  <c r="I52" i="4"/>
  <c r="I51" i="4"/>
  <c r="I46" i="4"/>
  <c r="Z6" i="4"/>
  <c r="I35" i="4"/>
  <c r="H62" i="4"/>
  <c r="I34" i="4"/>
  <c r="U6" i="4"/>
  <c r="H44" i="4"/>
  <c r="I25" i="4"/>
  <c r="H19" i="4"/>
  <c r="H50" i="4"/>
  <c r="O6" i="4"/>
  <c r="N6" i="4"/>
  <c r="I15" i="4"/>
  <c r="H15" i="4"/>
  <c r="I47" i="4"/>
  <c r="H47" i="4"/>
  <c r="I38" i="4"/>
  <c r="H38" i="4"/>
  <c r="I26" i="4"/>
  <c r="H26" i="4"/>
  <c r="H7" i="4"/>
  <c r="H61" i="4"/>
  <c r="H42" i="4"/>
  <c r="H18" i="4"/>
  <c r="I45" i="4"/>
  <c r="I24" i="4"/>
  <c r="H29" i="4"/>
  <c r="I39" i="4"/>
  <c r="H39" i="4"/>
  <c r="H6" i="4"/>
  <c r="H60" i="4"/>
  <c r="H41" i="4"/>
  <c r="H17" i="4"/>
  <c r="H49" i="4"/>
  <c r="I48" i="4"/>
  <c r="H48" i="4"/>
  <c r="H59" i="4"/>
  <c r="H40" i="4"/>
  <c r="H16" i="4"/>
  <c r="H28" i="4"/>
  <c r="I27" i="4"/>
  <c r="H27" i="4"/>
  <c r="I56" i="4"/>
  <c r="I37" i="4"/>
  <c r="I58" i="4"/>
  <c r="H58" i="4"/>
  <c r="I57" i="4"/>
  <c r="H57" i="4"/>
  <c r="I54" i="4"/>
  <c r="I36" i="4"/>
  <c r="I55" i="4"/>
</calcChain>
</file>

<file path=xl/sharedStrings.xml><?xml version="1.0" encoding="utf-8"?>
<sst xmlns="http://schemas.openxmlformats.org/spreadsheetml/2006/main" count="234" uniqueCount="82">
  <si>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</si>
  <si>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</si>
  <si>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</si>
  <si>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</si>
  <si>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</si>
  <si>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</si>
  <si>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</si>
  <si>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</si>
  <si>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</si>
  <si>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</si>
  <si>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</si>
  <si>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</si>
  <si>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</si>
  <si>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</si>
  <si>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</si>
  <si>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</si>
  <si>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</si>
  <si>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</si>
  <si>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</si>
  <si>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</si>
  <si>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YEAR - 2026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</si>
  <si>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</si>
  <si>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</si>
  <si>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</si>
  <si>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</si>
  <si>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</si>
  <si>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</si>
  <si>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</si>
  <si>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</si>
  <si>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</si>
  <si>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</si>
  <si>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</si>
  <si>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</si>
  <si>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</si>
  <si>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</si>
  <si>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</si>
  <si>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</si>
  <si>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</si>
  <si>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</si>
  <si>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</si>
  <si>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</si>
  <si>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</si>
  <si>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</si>
  <si>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</si>
  <si>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</si>
  <si>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</si>
  <si>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</si>
  <si>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</si>
  <si>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</si>
  <si>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</si>
  <si>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Kindergarten Activity Sheets</t>
  </si>
  <si>
    <t>CO</t>
  </si>
  <si>
    <t>Kinder Activity Sheets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</si>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</sst>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5" fillId="12" borderId="5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3" fillId="12" borderId="0" xfId="0" applyFont="1" applyFill="1"/>
    <xf numFmtId="0" fontId="0" fillId="12" borderId="0" xfId="0" applyFill="1"/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4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F00"/>
        </patternFill>
      </fill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51" totalsRowShown="0" headerRowDxfId="63" headerRowBorderDxfId="61" tableBorderDxfId="62">
  <autoFilter ref="A1:H51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 dataDxfId="60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2" totalsRowShown="0" dataDxfId="59" headerRowBorderDxfId="57" tableBorderDxfId="58">
  <autoFilter ref="A2:AA62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"/>
  <sheetViews>
    <sheetView zoomScale="85" zoomScaleNormal="85" workbookViewId="0">
      <pane xSplit="2" topLeftCell="C45" activePane="topRight" state="frozen"/>
      <selection pane="topRight" activeCell="C52" sqref="C52"/>
    </sheetView>
  </sheetViews>
  <sheetFormatPr defaultRowHeight="13.9"/>
  <cols>
    <col min="1" max="1" width="10.140625" bestFit="1" customWidth="1"/>
    <col min="2" max="2" width="27.85546875" customWidth="1"/>
    <col min="3" max="3" width="24.85546875" style="38" bestFit="1" customWidth="1"/>
    <col min="4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35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36">
        <v>268</v>
      </c>
      <c r="D2" s="1">
        <v>267</v>
      </c>
      <c r="E2" s="1">
        <v>2024</v>
      </c>
      <c r="F2" s="5"/>
      <c r="G2" s="3">
        <f>IF((C2-D2)&lt;0,0,C2-D2)</f>
        <v>1</v>
      </c>
      <c r="H2" s="4">
        <f>IF((D2-C2)&lt;0,0,D2-C2)</f>
        <v>0</v>
      </c>
    </row>
    <row r="3" spans="1:8" ht="42.75" customHeight="1">
      <c r="A3" s="1">
        <v>1</v>
      </c>
      <c r="B3" s="2" t="s">
        <v>8</v>
      </c>
      <c r="C3" s="36">
        <v>268</v>
      </c>
      <c r="D3" s="1">
        <v>266</v>
      </c>
      <c r="E3" s="1">
        <v>2024</v>
      </c>
      <c r="F3" s="5"/>
      <c r="G3" s="3">
        <f t="shared" ref="G3:G4" si="0">IF((C3-D3)&lt;0,0,C3-D3)</f>
        <v>2</v>
      </c>
      <c r="H3" s="4">
        <f t="shared" ref="H3:H4" si="1">IF((D3-C3)&lt;0,0,D3-C3)</f>
        <v>0</v>
      </c>
    </row>
    <row r="4" spans="1:8" ht="42.75" customHeight="1">
      <c r="A4" s="1">
        <v>1</v>
      </c>
      <c r="B4" s="2" t="s">
        <v>8</v>
      </c>
      <c r="C4" s="36">
        <v>268</v>
      </c>
      <c r="D4" s="1">
        <v>328</v>
      </c>
      <c r="E4" s="1">
        <v>2024</v>
      </c>
      <c r="F4" s="5"/>
      <c r="G4" s="3">
        <f t="shared" si="0"/>
        <v>0</v>
      </c>
      <c r="H4" s="4">
        <f t="shared" si="1"/>
        <v>60</v>
      </c>
    </row>
    <row r="5" spans="1:8" ht="29.25" customHeight="1">
      <c r="A5" s="1">
        <v>1</v>
      </c>
      <c r="B5" s="2" t="s">
        <v>9</v>
      </c>
      <c r="C5" s="36">
        <v>268</v>
      </c>
      <c r="D5" s="1">
        <v>330</v>
      </c>
      <c r="E5" s="1">
        <v>2024</v>
      </c>
      <c r="F5" s="5"/>
      <c r="G5" s="3">
        <f>IF((C5-D5)&lt;0,0,C5-D5)</f>
        <v>0</v>
      </c>
      <c r="H5" s="4">
        <f>IF((D5-C5)&lt;0,0,D5-C5)</f>
        <v>62</v>
      </c>
    </row>
    <row r="6" spans="1:8" ht="21" customHeight="1">
      <c r="A6" s="1">
        <v>1</v>
      </c>
      <c r="B6" s="2" t="s">
        <v>10</v>
      </c>
      <c r="C6" s="36">
        <v>268</v>
      </c>
      <c r="D6" s="1">
        <v>330</v>
      </c>
      <c r="E6" s="1">
        <v>2024</v>
      </c>
      <c r="F6" s="5"/>
      <c r="G6" s="3">
        <f>IF((C6-D6)&lt;0,0,C6-D6)</f>
        <v>0</v>
      </c>
      <c r="H6" s="4">
        <f>IF((D6-C6)&lt;0,0,D6-C6)</f>
        <v>62</v>
      </c>
    </row>
    <row r="7" spans="1:8" ht="25.5" customHeight="1">
      <c r="A7" s="1">
        <v>1</v>
      </c>
      <c r="B7" s="2" t="s">
        <v>11</v>
      </c>
      <c r="C7" s="36">
        <v>268</v>
      </c>
      <c r="D7" s="1">
        <v>330</v>
      </c>
      <c r="E7" s="1">
        <v>2024</v>
      </c>
      <c r="F7" s="5"/>
      <c r="G7" s="3">
        <f t="shared" ref="G7:G8" si="2">IF((C7-D7)&lt;0,0,C7-D7)</f>
        <v>0</v>
      </c>
      <c r="H7" s="4">
        <f t="shared" ref="H7:H8" si="3">IF((D7-C7)&lt;0,0,D7-C7)</f>
        <v>62</v>
      </c>
    </row>
    <row r="8" spans="1:8" ht="19.5">
      <c r="A8" s="1">
        <v>1</v>
      </c>
      <c r="B8" s="2" t="s">
        <v>12</v>
      </c>
      <c r="C8" s="36"/>
      <c r="D8" s="1"/>
      <c r="E8" s="1"/>
      <c r="F8" s="5"/>
      <c r="G8" s="3">
        <f t="shared" si="2"/>
        <v>0</v>
      </c>
      <c r="H8" s="4">
        <f t="shared" si="3"/>
        <v>0</v>
      </c>
    </row>
    <row r="9" spans="1:8">
      <c r="C9" s="37"/>
      <c r="D9" s="6"/>
      <c r="E9" s="6"/>
    </row>
    <row r="10" spans="1:8" ht="39.75" customHeight="1">
      <c r="A10" s="1">
        <v>2</v>
      </c>
      <c r="B10" s="2" t="s">
        <v>8</v>
      </c>
      <c r="C10" s="36">
        <v>268</v>
      </c>
      <c r="D10" s="1"/>
      <c r="E10" s="1"/>
      <c r="F10" s="5"/>
      <c r="G10" s="3">
        <f>IF((C10-D10)&lt;0,0,C10-D10)</f>
        <v>268</v>
      </c>
      <c r="H10" s="4">
        <f>IF((D10-C10)&lt;0,0,D10-C10)</f>
        <v>0</v>
      </c>
    </row>
    <row r="11" spans="1:8" ht="29.25" customHeight="1">
      <c r="A11" s="1">
        <v>2</v>
      </c>
      <c r="B11" s="2" t="s">
        <v>9</v>
      </c>
      <c r="C11" s="36">
        <v>268</v>
      </c>
      <c r="D11" s="1"/>
      <c r="E11" s="1"/>
      <c r="F11" s="5"/>
      <c r="G11" s="3">
        <f>IF((C11-D11)&lt;0,0,C11-D11)</f>
        <v>268</v>
      </c>
      <c r="H11" s="4">
        <f>IF((D11-C11)&lt;0,0,D11-C11)</f>
        <v>0</v>
      </c>
    </row>
    <row r="12" spans="1:8" ht="28.5" customHeight="1">
      <c r="A12" s="1">
        <v>2</v>
      </c>
      <c r="B12" s="2" t="s">
        <v>10</v>
      </c>
      <c r="C12" s="36">
        <v>268</v>
      </c>
      <c r="D12" s="1"/>
      <c r="E12" s="1"/>
      <c r="F12" s="5"/>
      <c r="G12" s="3">
        <f>IF((C12-D12)&lt;0,0,C12-D12)</f>
        <v>268</v>
      </c>
      <c r="H12" s="4">
        <f>IF((D12-C12)&lt;0,0,D12-C12)</f>
        <v>0</v>
      </c>
    </row>
    <row r="13" spans="1:8" ht="24" customHeight="1">
      <c r="A13" s="1">
        <v>2</v>
      </c>
      <c r="B13" s="2" t="s">
        <v>11</v>
      </c>
      <c r="C13" s="36">
        <v>268</v>
      </c>
      <c r="D13" s="1"/>
      <c r="E13" s="1"/>
      <c r="F13" s="5"/>
      <c r="G13" s="3">
        <f>IF((C13-D13)&lt;0,0,C13-D13)</f>
        <v>268</v>
      </c>
      <c r="H13" s="4">
        <f>IF((D13-C13)&lt;0,0,D13-C13)</f>
        <v>0</v>
      </c>
    </row>
    <row r="14" spans="1:8" ht="19.5">
      <c r="A14" s="1">
        <v>2</v>
      </c>
      <c r="B14" s="2" t="s">
        <v>12</v>
      </c>
      <c r="C14" s="36">
        <v>268</v>
      </c>
      <c r="D14" s="1"/>
      <c r="E14" s="1"/>
      <c r="F14" s="5"/>
      <c r="G14" s="3">
        <f>IF((C14-D14)&lt;0,0,C14-D14)</f>
        <v>268</v>
      </c>
      <c r="H14" s="4">
        <f>IF((D14-C14)&lt;0,0,D14-C14)</f>
        <v>0</v>
      </c>
    </row>
    <row r="15" spans="1:8" ht="15">
      <c r="C15" s="37"/>
      <c r="D15" s="6"/>
    </row>
    <row r="16" spans="1:8" ht="49.5" customHeight="1">
      <c r="A16" s="1">
        <v>3</v>
      </c>
      <c r="B16" s="2" t="s">
        <v>8</v>
      </c>
      <c r="C16" s="36">
        <v>285</v>
      </c>
      <c r="D16" s="1"/>
      <c r="E16" s="1"/>
      <c r="F16" s="5"/>
      <c r="G16" s="3">
        <f t="shared" ref="G16:G21" si="4">IF((C16-D16)&lt;0,0,C16-D16)</f>
        <v>285</v>
      </c>
      <c r="H16" s="4">
        <f t="shared" ref="H16:H21" si="5">IF((D16-C16)&lt;0,0,D16-C16)</f>
        <v>0</v>
      </c>
    </row>
    <row r="17" spans="1:8" ht="29.25" customHeight="1">
      <c r="A17" s="1">
        <v>3</v>
      </c>
      <c r="B17" s="2" t="s">
        <v>9</v>
      </c>
      <c r="C17" s="36">
        <v>285</v>
      </c>
      <c r="D17" s="1"/>
      <c r="E17" s="1"/>
      <c r="F17" s="5"/>
      <c r="G17" s="3">
        <f t="shared" si="4"/>
        <v>285</v>
      </c>
      <c r="H17" s="4">
        <f t="shared" si="5"/>
        <v>0</v>
      </c>
    </row>
    <row r="18" spans="1:8" ht="27" customHeight="1">
      <c r="A18" s="1">
        <v>3</v>
      </c>
      <c r="B18" s="2" t="s">
        <v>10</v>
      </c>
      <c r="C18" s="36">
        <v>285</v>
      </c>
      <c r="D18" s="1"/>
      <c r="E18" s="1"/>
      <c r="F18" s="5"/>
      <c r="G18" s="3">
        <f t="shared" si="4"/>
        <v>285</v>
      </c>
      <c r="H18" s="4">
        <f t="shared" si="5"/>
        <v>0</v>
      </c>
    </row>
    <row r="19" spans="1:8" ht="23.25" customHeight="1">
      <c r="A19" s="1">
        <v>3</v>
      </c>
      <c r="B19" s="2" t="s">
        <v>13</v>
      </c>
      <c r="C19" s="36">
        <v>285</v>
      </c>
      <c r="D19" s="1"/>
      <c r="E19" s="1"/>
      <c r="F19" s="5"/>
      <c r="G19" s="3">
        <f t="shared" si="4"/>
        <v>285</v>
      </c>
      <c r="H19" s="4">
        <f t="shared" si="5"/>
        <v>0</v>
      </c>
    </row>
    <row r="20" spans="1:8" ht="21" customHeight="1">
      <c r="A20" s="1">
        <v>3</v>
      </c>
      <c r="B20" s="2" t="s">
        <v>11</v>
      </c>
      <c r="C20" s="36">
        <v>285</v>
      </c>
      <c r="D20" s="1"/>
      <c r="E20" s="1"/>
      <c r="F20" s="5"/>
      <c r="G20" s="3">
        <f t="shared" si="4"/>
        <v>285</v>
      </c>
      <c r="H20" s="4">
        <f t="shared" si="5"/>
        <v>0</v>
      </c>
    </row>
    <row r="21" spans="1:8" ht="19.5">
      <c r="A21" s="1">
        <v>3</v>
      </c>
      <c r="B21" s="2" t="s">
        <v>12</v>
      </c>
      <c r="C21" s="36">
        <v>285</v>
      </c>
      <c r="D21" s="1"/>
      <c r="E21" s="1"/>
      <c r="F21" s="5"/>
      <c r="G21" s="3">
        <f t="shared" si="4"/>
        <v>285</v>
      </c>
      <c r="H21" s="4">
        <f t="shared" si="5"/>
        <v>0</v>
      </c>
    </row>
    <row r="22" spans="1:8">
      <c r="A22" s="7"/>
      <c r="B22" s="7"/>
      <c r="C22" s="37"/>
      <c r="D22" s="8"/>
      <c r="E22" s="8"/>
      <c r="F22" s="7"/>
      <c r="G22" s="7"/>
      <c r="H22" s="7"/>
    </row>
    <row r="23" spans="1:8" ht="28.5" customHeight="1">
      <c r="A23" s="1">
        <v>4</v>
      </c>
      <c r="B23" s="9" t="s">
        <v>14</v>
      </c>
      <c r="C23" s="36">
        <v>312</v>
      </c>
      <c r="D23" s="1">
        <v>401</v>
      </c>
      <c r="E23" s="1">
        <v>2024</v>
      </c>
      <c r="F23" s="5"/>
      <c r="G23" s="3">
        <f t="shared" ref="G23:G30" si="6">IF((C23-D23)&lt;0,0,C23-D23)</f>
        <v>0</v>
      </c>
      <c r="H23" s="4">
        <f t="shared" ref="H23:H30" si="7">IF((D23-C23)&lt;0,0,D23-C23)</f>
        <v>89</v>
      </c>
    </row>
    <row r="24" spans="1:8" ht="24" customHeight="1">
      <c r="A24" s="1">
        <v>4</v>
      </c>
      <c r="B24" s="9" t="s">
        <v>15</v>
      </c>
      <c r="C24" s="36">
        <v>312</v>
      </c>
      <c r="D24" s="1">
        <v>401</v>
      </c>
      <c r="E24" s="1">
        <v>2024</v>
      </c>
      <c r="F24" s="5"/>
      <c r="G24" s="3">
        <f t="shared" si="6"/>
        <v>0</v>
      </c>
      <c r="H24" s="4">
        <f t="shared" si="7"/>
        <v>89</v>
      </c>
    </row>
    <row r="25" spans="1:8" ht="19.5">
      <c r="A25" s="1">
        <v>4</v>
      </c>
      <c r="B25" s="9" t="s">
        <v>12</v>
      </c>
      <c r="C25" s="36">
        <v>312</v>
      </c>
      <c r="D25" s="1">
        <v>401</v>
      </c>
      <c r="E25" s="1">
        <v>2025</v>
      </c>
      <c r="F25" s="5"/>
      <c r="G25" s="3">
        <f t="shared" si="6"/>
        <v>0</v>
      </c>
      <c r="H25" s="4">
        <f t="shared" si="7"/>
        <v>89</v>
      </c>
    </row>
    <row r="26" spans="1:8" ht="27" customHeight="1">
      <c r="A26" s="1">
        <v>4</v>
      </c>
      <c r="B26" s="9" t="s">
        <v>10</v>
      </c>
      <c r="C26" s="36">
        <v>312</v>
      </c>
      <c r="D26" s="1">
        <v>401</v>
      </c>
      <c r="E26" s="1">
        <v>2025</v>
      </c>
      <c r="F26" s="5"/>
      <c r="G26" s="3">
        <f t="shared" si="6"/>
        <v>0</v>
      </c>
      <c r="H26" s="4">
        <f t="shared" si="7"/>
        <v>89</v>
      </c>
    </row>
    <row r="27" spans="1:8" ht="33.75" customHeight="1">
      <c r="A27" s="1">
        <v>4</v>
      </c>
      <c r="B27" s="9" t="s">
        <v>16</v>
      </c>
      <c r="C27" s="36">
        <v>312</v>
      </c>
      <c r="D27" s="1">
        <v>401</v>
      </c>
      <c r="E27" s="1">
        <v>2024</v>
      </c>
      <c r="F27" s="5"/>
      <c r="G27" s="3">
        <f t="shared" si="6"/>
        <v>0</v>
      </c>
      <c r="H27" s="4">
        <f t="shared" si="7"/>
        <v>89</v>
      </c>
    </row>
    <row r="28" spans="1:8" ht="33.75" customHeight="1">
      <c r="A28" s="1">
        <v>4</v>
      </c>
      <c r="B28" s="9" t="s">
        <v>13</v>
      </c>
      <c r="C28" s="36">
        <v>312</v>
      </c>
      <c r="D28" s="1">
        <v>401</v>
      </c>
      <c r="E28" s="1">
        <v>2024</v>
      </c>
      <c r="F28" s="5"/>
      <c r="G28" s="3">
        <f t="shared" si="6"/>
        <v>0</v>
      </c>
      <c r="H28" s="4">
        <f t="shared" si="7"/>
        <v>89</v>
      </c>
    </row>
    <row r="29" spans="1:8" ht="33.75" customHeight="1">
      <c r="A29" s="1">
        <v>4</v>
      </c>
      <c r="B29" s="9" t="s">
        <v>17</v>
      </c>
      <c r="C29" s="36">
        <v>312</v>
      </c>
      <c r="D29" s="1">
        <v>423</v>
      </c>
      <c r="E29" s="1">
        <v>2024</v>
      </c>
      <c r="F29" s="5"/>
      <c r="G29" s="3">
        <f t="shared" si="6"/>
        <v>0</v>
      </c>
      <c r="H29" s="4">
        <f t="shared" si="7"/>
        <v>111</v>
      </c>
    </row>
    <row r="30" spans="1:8" ht="27.75" customHeight="1">
      <c r="A30" s="1">
        <v>4</v>
      </c>
      <c r="B30" s="9" t="s">
        <v>18</v>
      </c>
      <c r="C30" s="36">
        <v>312</v>
      </c>
      <c r="D30" s="1"/>
      <c r="G30" s="3">
        <f t="shared" si="6"/>
        <v>312</v>
      </c>
      <c r="H30" s="4">
        <f t="shared" si="7"/>
        <v>0</v>
      </c>
    </row>
    <row r="31" spans="1:8" ht="27.75" customHeight="1">
      <c r="A31" s="1">
        <v>4</v>
      </c>
      <c r="B31" s="9" t="s">
        <v>19</v>
      </c>
      <c r="C31" s="36">
        <v>312</v>
      </c>
      <c r="D31" s="1"/>
      <c r="E31" s="1"/>
      <c r="F31" s="5"/>
      <c r="G31" s="3" t="e">
        <f>IF((C31-#REF!)&lt;0,0,C31-#REF!)</f>
        <v>#REF!</v>
      </c>
      <c r="H31" s="4" t="e">
        <f>IF((#REF!-C31)&lt;0,0,#REF!-C31)</f>
        <v>#REF!</v>
      </c>
    </row>
    <row r="32" spans="1:8" ht="27.75" customHeight="1">
      <c r="A32" s="7"/>
      <c r="B32" s="7"/>
      <c r="C32" s="37"/>
      <c r="D32" s="8"/>
      <c r="E32" s="8"/>
      <c r="F32" s="7"/>
      <c r="G32" s="7"/>
      <c r="H32" s="7"/>
    </row>
    <row r="33" spans="1:10" ht="27.75" customHeight="1">
      <c r="A33" s="1">
        <v>5</v>
      </c>
      <c r="B33" s="9" t="s">
        <v>14</v>
      </c>
      <c r="C33" s="36">
        <v>288</v>
      </c>
      <c r="D33" s="1">
        <v>444</v>
      </c>
      <c r="E33" s="1">
        <v>2025</v>
      </c>
      <c r="F33" s="5"/>
      <c r="G33" s="3">
        <f t="shared" ref="G33:G41" si="8">IF((C33-D33)&lt;0,0,C33-D33)</f>
        <v>0</v>
      </c>
      <c r="H33" s="4">
        <f t="shared" ref="H33:H41" si="9">IF((D33-C33)&lt;0,0,D33-C33)</f>
        <v>156</v>
      </c>
    </row>
    <row r="34" spans="1:10" ht="27.75" customHeight="1">
      <c r="A34" s="1">
        <v>5</v>
      </c>
      <c r="B34" s="9" t="s">
        <v>15</v>
      </c>
      <c r="C34" s="36">
        <v>288</v>
      </c>
      <c r="D34" s="1"/>
      <c r="E34" s="1"/>
      <c r="F34" s="5"/>
      <c r="G34" s="3">
        <f t="shared" si="8"/>
        <v>288</v>
      </c>
      <c r="H34" s="4">
        <f t="shared" si="9"/>
        <v>0</v>
      </c>
    </row>
    <row r="35" spans="1:10" ht="27.75" customHeight="1">
      <c r="A35" s="1">
        <v>5</v>
      </c>
      <c r="B35" s="9" t="s">
        <v>12</v>
      </c>
      <c r="C35" s="36">
        <v>288</v>
      </c>
      <c r="D35" s="1"/>
      <c r="E35" s="1"/>
      <c r="F35" s="5"/>
      <c r="G35" s="3">
        <f t="shared" si="8"/>
        <v>288</v>
      </c>
      <c r="H35" s="4">
        <f t="shared" si="9"/>
        <v>0</v>
      </c>
    </row>
    <row r="36" spans="1:10" ht="27.75" customHeight="1">
      <c r="A36" s="1">
        <v>5</v>
      </c>
      <c r="B36" s="9" t="s">
        <v>10</v>
      </c>
      <c r="C36" s="36">
        <v>288</v>
      </c>
      <c r="D36" s="1"/>
      <c r="E36" s="1"/>
      <c r="F36" s="5"/>
      <c r="G36" s="3">
        <f t="shared" si="8"/>
        <v>288</v>
      </c>
      <c r="H36" s="4">
        <f t="shared" si="9"/>
        <v>0</v>
      </c>
    </row>
    <row r="37" spans="1:10" ht="39" customHeight="1">
      <c r="A37" s="1">
        <v>5</v>
      </c>
      <c r="B37" s="9" t="s">
        <v>16</v>
      </c>
      <c r="C37" s="36">
        <v>288</v>
      </c>
      <c r="D37" s="1">
        <v>444</v>
      </c>
      <c r="E37" s="1">
        <v>2025</v>
      </c>
      <c r="F37" s="5"/>
      <c r="G37" s="3">
        <f t="shared" si="8"/>
        <v>0</v>
      </c>
      <c r="H37" s="4">
        <f t="shared" si="9"/>
        <v>156</v>
      </c>
    </row>
    <row r="38" spans="1:10" ht="27.75" customHeight="1">
      <c r="A38" s="1">
        <v>5</v>
      </c>
      <c r="B38" s="9" t="s">
        <v>13</v>
      </c>
      <c r="C38" s="36">
        <v>288</v>
      </c>
      <c r="D38" s="1">
        <v>444</v>
      </c>
      <c r="E38" s="1"/>
      <c r="F38" s="5"/>
      <c r="G38" s="3">
        <f t="shared" si="8"/>
        <v>0</v>
      </c>
      <c r="H38" s="4">
        <f t="shared" si="9"/>
        <v>156</v>
      </c>
      <c r="J38" t="s">
        <v>20</v>
      </c>
    </row>
    <row r="39" spans="1:10" ht="27.75" customHeight="1">
      <c r="A39" s="1">
        <v>5</v>
      </c>
      <c r="B39" s="9" t="s">
        <v>17</v>
      </c>
      <c r="C39" s="36">
        <v>288</v>
      </c>
      <c r="D39" s="1">
        <v>444</v>
      </c>
      <c r="E39" s="1">
        <v>2025</v>
      </c>
      <c r="F39" s="5"/>
      <c r="G39" s="3">
        <f t="shared" si="8"/>
        <v>0</v>
      </c>
      <c r="H39" s="4">
        <f t="shared" si="9"/>
        <v>156</v>
      </c>
    </row>
    <row r="40" spans="1:10" ht="27.75" customHeight="1">
      <c r="A40" s="1">
        <v>5</v>
      </c>
      <c r="B40" s="9" t="s">
        <v>18</v>
      </c>
      <c r="C40" s="36">
        <v>288</v>
      </c>
      <c r="D40" s="1">
        <v>444</v>
      </c>
      <c r="E40" s="1"/>
      <c r="F40" s="5"/>
      <c r="G40" s="3">
        <f t="shared" si="8"/>
        <v>0</v>
      </c>
      <c r="H40" s="4">
        <f t="shared" si="9"/>
        <v>156</v>
      </c>
      <c r="J40" t="s">
        <v>20</v>
      </c>
    </row>
    <row r="41" spans="1:10" ht="27.75" customHeight="1">
      <c r="A41" s="1">
        <v>5</v>
      </c>
      <c r="B41" s="9" t="s">
        <v>19</v>
      </c>
      <c r="C41" s="36">
        <v>288</v>
      </c>
      <c r="D41" s="1"/>
      <c r="E41" s="1"/>
      <c r="F41" s="5"/>
      <c r="G41" s="3">
        <f t="shared" si="8"/>
        <v>288</v>
      </c>
      <c r="H41" s="4">
        <f t="shared" si="9"/>
        <v>0</v>
      </c>
    </row>
    <row r="42" spans="1:10" ht="27.75" customHeight="1">
      <c r="A42" s="7"/>
      <c r="B42" s="7"/>
      <c r="C42" s="37"/>
      <c r="D42" s="8"/>
      <c r="E42" s="8"/>
      <c r="F42" s="7"/>
      <c r="G42" s="7"/>
      <c r="H42" s="7"/>
    </row>
    <row r="43" spans="1:10" ht="27.75" customHeight="1">
      <c r="A43" s="1">
        <v>6</v>
      </c>
      <c r="B43" s="9" t="s">
        <v>14</v>
      </c>
      <c r="C43" s="36">
        <v>296</v>
      </c>
      <c r="D43" s="1"/>
      <c r="E43" s="1"/>
      <c r="F43" s="5"/>
      <c r="G43" s="3">
        <f t="shared" ref="G43:G51" si="10">IF((C43-D43)&lt;0,0,C43-D43)</f>
        <v>296</v>
      </c>
      <c r="H43" s="4">
        <f t="shared" ref="H43:H51" si="11">IF((D43-C43)&lt;0,0,D43-C43)</f>
        <v>0</v>
      </c>
    </row>
    <row r="44" spans="1:10" ht="27.75" customHeight="1">
      <c r="A44" s="1">
        <v>6</v>
      </c>
      <c r="B44" s="9" t="s">
        <v>15</v>
      </c>
      <c r="C44" s="36">
        <v>296</v>
      </c>
      <c r="D44" s="1"/>
      <c r="E44" s="1"/>
      <c r="F44" s="5"/>
      <c r="G44" s="3">
        <f t="shared" si="10"/>
        <v>296</v>
      </c>
      <c r="H44" s="4">
        <f t="shared" si="11"/>
        <v>0</v>
      </c>
    </row>
    <row r="45" spans="1:10" ht="27.75" customHeight="1">
      <c r="A45" s="1">
        <v>6</v>
      </c>
      <c r="B45" s="9" t="s">
        <v>12</v>
      </c>
      <c r="C45" s="36">
        <v>296</v>
      </c>
      <c r="D45" s="1"/>
      <c r="E45" s="1"/>
      <c r="F45" s="5"/>
      <c r="G45" s="3">
        <f t="shared" si="10"/>
        <v>296</v>
      </c>
      <c r="H45" s="4">
        <f t="shared" si="11"/>
        <v>0</v>
      </c>
    </row>
    <row r="46" spans="1:10" ht="27.75" customHeight="1">
      <c r="A46" s="1">
        <v>6</v>
      </c>
      <c r="B46" s="9" t="s">
        <v>10</v>
      </c>
      <c r="C46" s="36">
        <v>296</v>
      </c>
      <c r="D46" s="1"/>
      <c r="E46" s="1"/>
      <c r="F46" s="5"/>
      <c r="G46" s="3">
        <f t="shared" si="10"/>
        <v>296</v>
      </c>
      <c r="H46" s="4">
        <f t="shared" si="11"/>
        <v>0</v>
      </c>
    </row>
    <row r="47" spans="1:10" ht="36.75" customHeight="1">
      <c r="A47" s="1">
        <v>6</v>
      </c>
      <c r="B47" s="9" t="s">
        <v>16</v>
      </c>
      <c r="C47" s="36">
        <v>296</v>
      </c>
      <c r="D47" s="1"/>
      <c r="E47" s="1"/>
      <c r="F47" s="5"/>
      <c r="G47" s="3">
        <f t="shared" si="10"/>
        <v>296</v>
      </c>
      <c r="H47" s="4">
        <f t="shared" si="11"/>
        <v>0</v>
      </c>
    </row>
    <row r="48" spans="1:10" ht="27.75" customHeight="1">
      <c r="A48" s="1">
        <v>6</v>
      </c>
      <c r="B48" s="9" t="s">
        <v>13</v>
      </c>
      <c r="C48" s="36">
        <v>296</v>
      </c>
      <c r="D48" s="1"/>
      <c r="E48" s="1"/>
      <c r="F48" s="5"/>
      <c r="G48" s="3">
        <f t="shared" si="10"/>
        <v>296</v>
      </c>
      <c r="H48" s="4">
        <f t="shared" si="11"/>
        <v>0</v>
      </c>
    </row>
    <row r="49" spans="1:8" ht="27.75" customHeight="1">
      <c r="A49" s="1">
        <v>6</v>
      </c>
      <c r="B49" s="9" t="s">
        <v>17</v>
      </c>
      <c r="C49" s="36">
        <v>296</v>
      </c>
      <c r="D49" s="1"/>
      <c r="E49" s="1"/>
      <c r="F49" s="5"/>
      <c r="G49" s="3">
        <f t="shared" si="10"/>
        <v>296</v>
      </c>
      <c r="H49" s="4">
        <f t="shared" si="11"/>
        <v>0</v>
      </c>
    </row>
    <row r="50" spans="1:8" ht="27.75" customHeight="1">
      <c r="A50" s="1">
        <v>6</v>
      </c>
      <c r="B50" s="9" t="s">
        <v>18</v>
      </c>
      <c r="C50" s="36">
        <v>296</v>
      </c>
      <c r="D50" s="1"/>
      <c r="E50" s="1"/>
      <c r="F50" s="5"/>
      <c r="G50" s="3">
        <f t="shared" si="10"/>
        <v>296</v>
      </c>
      <c r="H50" s="4">
        <f t="shared" si="11"/>
        <v>0</v>
      </c>
    </row>
    <row r="51" spans="1:8" ht="27.75" customHeight="1">
      <c r="A51" s="1">
        <v>6</v>
      </c>
      <c r="B51" s="9" t="s">
        <v>19</v>
      </c>
      <c r="C51" s="36">
        <v>296</v>
      </c>
      <c r="D51" s="1"/>
      <c r="E51" s="1"/>
      <c r="F51" s="5"/>
      <c r="G51" s="3">
        <f t="shared" si="10"/>
        <v>296</v>
      </c>
      <c r="H51" s="4">
        <f t="shared" si="11"/>
        <v>0</v>
      </c>
    </row>
    <row r="52" spans="1:8" ht="27.75" customHeight="1"/>
    <row r="53" spans="1:8" ht="27.75" customHeight="1"/>
    <row r="54" spans="1:8" ht="27.75" customHeight="1"/>
    <row r="55" spans="1:8" ht="27.75" customHeight="1"/>
    <row r="56" spans="1:8" ht="27.75" customHeight="1"/>
    <row r="57" spans="1:8" ht="39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27.75" customHeight="1"/>
    <row r="92" ht="27.75" customHeight="1"/>
    <row r="93" ht="39.75" customHeight="1"/>
    <row r="94" ht="27.75" customHeight="1"/>
    <row r="95" ht="27.75" customHeight="1"/>
    <row r="96" ht="27.75" customHeight="1"/>
    <row r="97" ht="40.5" customHeight="1"/>
    <row r="98" ht="38.25" customHeight="1"/>
    <row r="99" ht="27.75" customHeight="1"/>
    <row r="100" ht="47.25" customHeight="1"/>
  </sheetData>
  <protectedRanges>
    <protectedRange sqref="C1:E14 C15:D15 D31:E51 D16:E29 C16:C51" name="Textbooks"/>
    <protectedRange sqref="E15 F1:F29 F31:F51" name="SOURCE"/>
  </protectedRanges>
  <phoneticPr fontId="8" type="noConversion"/>
  <dataValidations count="3">
    <dataValidation type="list" allowBlank="1" showInputMessage="1" showErrorMessage="1" sqref="D31 E25:E26" xr:uid="{B46E7B13-721E-4D49-837E-C02BF9777D48}">
      <formula1>"2024,2025"</formula1>
    </dataValidation>
    <dataValidation type="list" allowBlank="1" showInputMessage="1" showErrorMessage="1" sqref="F16:F21 F33:F41 F43:F51 F10:F14 F2:F8 F23:F29 F31" xr:uid="{2F7388E0-D1A1-4571-8C10-96CB9A727EB3}">
      <formula1>"CO,RO,SDO"</formula1>
    </dataValidation>
    <dataValidation type="list" allowBlank="1" showInputMessage="1" showErrorMessage="1" sqref="E2:E8 E10:E14 E16:E21 E23:E24 E27:E29 E31 E33:E41 E43:E51" xr:uid="{F527EBA7-CF37-494F-91F3-8725501F49B6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61"/>
  <sheetViews>
    <sheetView topLeftCell="A53" zoomScale="70" zoomScaleNormal="70" workbookViewId="0">
      <selection activeCell="B73" sqref="B73"/>
    </sheetView>
  </sheetViews>
  <sheetFormatPr defaultRowHeight="13.9"/>
  <cols>
    <col min="1" max="1" width="9.42578125" customWidth="1"/>
    <col min="2" max="2" width="32.14062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9" t="s">
        <v>21</v>
      </c>
      <c r="E1" s="39"/>
      <c r="F1" s="39"/>
      <c r="G1" s="39"/>
      <c r="H1" s="39"/>
      <c r="I1" s="39"/>
      <c r="J1" s="40" t="s">
        <v>22</v>
      </c>
      <c r="K1" s="40"/>
      <c r="L1" s="40"/>
      <c r="M1" s="40"/>
      <c r="N1" s="40"/>
      <c r="O1" s="40"/>
      <c r="P1" s="41" t="s">
        <v>23</v>
      </c>
      <c r="Q1" s="41"/>
      <c r="R1" s="41"/>
      <c r="S1" s="41"/>
      <c r="T1" s="41"/>
      <c r="U1" s="41"/>
      <c r="V1" s="42" t="s">
        <v>24</v>
      </c>
      <c r="W1" s="42"/>
      <c r="X1" s="42"/>
      <c r="Y1" s="42"/>
      <c r="Z1" s="42"/>
      <c r="AA1" s="42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3" t="s">
        <v>34</v>
      </c>
      <c r="N2" s="33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4" t="s">
        <v>46</v>
      </c>
      <c r="Z2" s="34" t="s">
        <v>47</v>
      </c>
      <c r="AA2" s="23" t="s">
        <v>48</v>
      </c>
    </row>
    <row r="3" spans="1:27" ht="40.5">
      <c r="A3" s="32" t="s">
        <v>49</v>
      </c>
      <c r="B3" s="27" t="s">
        <v>50</v>
      </c>
      <c r="C3" s="26"/>
      <c r="D3" s="28">
        <f>Table1[[#This Row],[Enrolment S.Y. 2025-2026 ]]*8</f>
        <v>0</v>
      </c>
      <c r="E3" s="28"/>
      <c r="F3" s="1"/>
      <c r="G3" s="5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>
        <v>258</v>
      </c>
      <c r="X3" s="1">
        <v>2024</v>
      </c>
      <c r="Y3" s="5" t="s">
        <v>51</v>
      </c>
      <c r="Z3" s="28">
        <f>IF((V3-W3)&lt;0,0,(V3-W3))</f>
        <v>0</v>
      </c>
      <c r="AA3" s="28">
        <f>IF((W3-V3)&lt;0,0,(W3-V3))</f>
        <v>258</v>
      </c>
    </row>
    <row r="4" spans="1:27" s="7" customFormat="1" ht="40.5">
      <c r="A4" s="32"/>
      <c r="B4" s="27" t="s">
        <v>50</v>
      </c>
      <c r="C4" s="26"/>
      <c r="D4" s="28">
        <f>Table1[[#This Row],[Enrolment S.Y. 2025-2026 ]]*8</f>
        <v>0</v>
      </c>
      <c r="E4" s="28">
        <v>338</v>
      </c>
      <c r="F4" s="1">
        <v>2025</v>
      </c>
      <c r="G4" s="5" t="s">
        <v>51</v>
      </c>
      <c r="H4" s="28">
        <f>IF((D4-E4)&lt;0,0,(D4-E4))</f>
        <v>0</v>
      </c>
      <c r="I4" s="28">
        <f>IF((E4-D4)&lt;0,0,(E4-D4))</f>
        <v>338</v>
      </c>
      <c r="J4" s="28">
        <f>Table1[[#This Row],[Enrolment S.Y. 2025-2026 ]]*8</f>
        <v>0</v>
      </c>
      <c r="K4" s="28"/>
      <c r="L4" s="26"/>
      <c r="M4" s="28"/>
      <c r="N4" s="5">
        <f t="shared" ref="N4" si="2">IF((J4-K4)&lt;0,0,(J4-K4))</f>
        <v>0</v>
      </c>
      <c r="O4" s="5">
        <f t="shared" ref="O4" si="3">IF((K4-J4)&lt;0,0,(K4-J4))</f>
        <v>0</v>
      </c>
      <c r="P4" s="5">
        <f>Table1[[#This Row],[Enrolment S.Y. 2025-2026 ]]*8</f>
        <v>0</v>
      </c>
      <c r="Q4" s="28"/>
      <c r="R4" s="26"/>
      <c r="S4" s="28"/>
      <c r="T4" s="28">
        <f>IF((P4-Q4)&lt;0,0,(P4-Q4))</f>
        <v>0</v>
      </c>
      <c r="U4" s="28">
        <f>IF((Q4-P4)&lt;0,0,(Q4-P4))</f>
        <v>0</v>
      </c>
      <c r="V4" s="28">
        <f>Table1[[#This Row],[Enrolment S.Y. 2025-2026 ]]*8</f>
        <v>0</v>
      </c>
      <c r="W4" s="28"/>
      <c r="X4" s="1"/>
      <c r="Y4" s="5"/>
      <c r="Z4" s="28">
        <f>IF((V4-W4)&lt;0,0,(V4-W4))</f>
        <v>0</v>
      </c>
      <c r="AA4" s="28">
        <f>IF((W4-V4)&lt;0,0,(W4-V4))</f>
        <v>0</v>
      </c>
    </row>
    <row r="5" spans="1:27" s="7" customFormat="1" ht="21">
      <c r="A5" s="32"/>
      <c r="B5" s="27" t="s">
        <v>52</v>
      </c>
      <c r="C5" s="26"/>
      <c r="D5" s="28">
        <f>Table1[[#This Row],[Enrolment S.Y. 2025-2026 ]]*8</f>
        <v>0</v>
      </c>
      <c r="E5" s="28">
        <v>253</v>
      </c>
      <c r="F5" s="1">
        <v>2025</v>
      </c>
      <c r="G5" s="5" t="s">
        <v>51</v>
      </c>
      <c r="H5" s="28">
        <f>IF((D5-E5)&lt;0,0,(D5-E5))</f>
        <v>0</v>
      </c>
      <c r="I5" s="28">
        <f>IF((E5-D5)&lt;0,0,(E5-D5))</f>
        <v>253</v>
      </c>
      <c r="J5" s="28">
        <f>Table1[[#This Row],[Enrolment S.Y. 2025-2026 ]]*8</f>
        <v>0</v>
      </c>
      <c r="K5" s="28"/>
      <c r="L5" s="26"/>
      <c r="M5" s="28"/>
      <c r="N5" s="28"/>
      <c r="O5" s="28"/>
      <c r="P5" s="5">
        <f>Table1[[#This Row],[Enrolment S.Y. 2025-2026 ]]*8</f>
        <v>0</v>
      </c>
      <c r="Q5" s="28"/>
      <c r="R5" s="26"/>
      <c r="S5" s="28"/>
      <c r="T5" s="28">
        <f>IF((P5-Q5)&lt;0,0,(P5-Q5))</f>
        <v>0</v>
      </c>
      <c r="U5" s="28">
        <f>IF((Q5-P5)&lt;0,0,(Q5-P5))</f>
        <v>0</v>
      </c>
      <c r="V5" s="28">
        <f>Table1[[#This Row],[Enrolment S.Y. 2025-2026 ]]*8</f>
        <v>0</v>
      </c>
      <c r="W5" s="28"/>
      <c r="X5" s="1"/>
      <c r="Y5" s="5"/>
      <c r="Z5" s="28">
        <f>IF((V5-W5)&lt;0,0,(V5-W5))</f>
        <v>0</v>
      </c>
      <c r="AA5" s="28">
        <f>IF((W5-V5)&lt;0,0,(W5-V5))</f>
        <v>0</v>
      </c>
    </row>
    <row r="6" spans="1:27" ht="19.5">
      <c r="A6" s="1">
        <v>1</v>
      </c>
      <c r="B6" s="2" t="s">
        <v>8</v>
      </c>
      <c r="C6" s="1"/>
      <c r="D6" s="5">
        <f>Table1[[#This Row],[Enrolment S.Y. 2025-2026 ]]*8</f>
        <v>0</v>
      </c>
      <c r="E6" s="5"/>
      <c r="F6" s="1"/>
      <c r="G6" s="5"/>
      <c r="H6" s="5">
        <f t="shared" ref="H6:H62" si="4">IF((D6-E6)&lt;0,0,(D6-E6))</f>
        <v>0</v>
      </c>
      <c r="I6" s="5">
        <f t="shared" ref="I6:I62" si="5">IF((E6-D6)&lt;0,0,(E6-D6))</f>
        <v>0</v>
      </c>
      <c r="J6" s="5">
        <f>Table1[[#This Row],[Enrolment S.Y. 2025-2026 ]]*8</f>
        <v>0</v>
      </c>
      <c r="K6" s="5"/>
      <c r="L6" s="26"/>
      <c r="M6" s="5"/>
      <c r="N6" s="5">
        <f t="shared" ref="N6" si="6">IF((J6-K6)&lt;0,0,(J6-K6))</f>
        <v>0</v>
      </c>
      <c r="O6" s="5">
        <f t="shared" ref="O6" si="7">IF((K6-J6)&lt;0,0,(K6-J6))</f>
        <v>0</v>
      </c>
      <c r="P6" s="5">
        <f>Table1[[#This Row],[Enrolment S.Y. 2025-2026 ]]*8</f>
        <v>0</v>
      </c>
      <c r="Q6" s="5"/>
      <c r="R6" s="26"/>
      <c r="S6" s="5"/>
      <c r="T6" s="5">
        <f t="shared" ref="T6" si="8">IF((P6-Q6)&lt;0,0,(P6-Q6))</f>
        <v>0</v>
      </c>
      <c r="U6" s="5">
        <f t="shared" ref="U6" si="9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" si="10">IF((V6-W6)&lt;0,0,(V6-W6))</f>
        <v>0</v>
      </c>
      <c r="AA6" s="5">
        <f t="shared" ref="AA6" si="11">IF((W6-V6)&lt;0,0,(W6-V6))</f>
        <v>0</v>
      </c>
    </row>
    <row r="7" spans="1:27" ht="19.5">
      <c r="A7" s="1">
        <v>1</v>
      </c>
      <c r="B7" s="2" t="s">
        <v>9</v>
      </c>
      <c r="C7" s="1"/>
      <c r="D7" s="5">
        <f>Table1[[#This Row],[Enrolment S.Y. 2025-2026 ]]*8</f>
        <v>0</v>
      </c>
      <c r="E7" s="5"/>
      <c r="F7" s="1"/>
      <c r="G7" s="5"/>
      <c r="H7" s="5">
        <f t="shared" si="4"/>
        <v>0</v>
      </c>
      <c r="I7" s="5">
        <f t="shared" si="5"/>
        <v>0</v>
      </c>
      <c r="J7" s="5">
        <f>Table1[[#This Row],[Enrolment S.Y. 2025-2026 ]]*8</f>
        <v>0</v>
      </c>
      <c r="K7" s="5"/>
      <c r="L7" s="26"/>
      <c r="M7" s="5"/>
      <c r="N7" s="5">
        <f t="shared" ref="N7:N62" si="12">IF((J7-K7)&lt;0,0,(J7-K7))</f>
        <v>0</v>
      </c>
      <c r="O7" s="5">
        <f t="shared" ref="O7:O62" si="13">IF((K7-J7)&lt;0,0,(K7-J7))</f>
        <v>0</v>
      </c>
      <c r="P7" s="5">
        <f>Table1[[#This Row],[Enrolment S.Y. 2025-2026 ]]*8</f>
        <v>0</v>
      </c>
      <c r="Q7" s="5"/>
      <c r="R7" s="26"/>
      <c r="S7" s="5"/>
      <c r="T7" s="5">
        <f t="shared" ref="T7:T62" si="14">IF((P7-Q7)&lt;0,0,(P7-Q7))</f>
        <v>0</v>
      </c>
      <c r="U7" s="5">
        <f t="shared" ref="U7:U62" si="15">IF((Q7-P7)&lt;0,0,(Q7-P7))</f>
        <v>0</v>
      </c>
      <c r="V7" s="5">
        <f>Table1[[#This Row],[Enrolment S.Y. 2025-2026 ]]*8</f>
        <v>0</v>
      </c>
      <c r="W7" s="5"/>
      <c r="X7" s="1"/>
      <c r="Y7" s="5"/>
      <c r="Z7" s="5">
        <f t="shared" ref="Z7:Z62" si="16">IF((V7-W7)&lt;0,0,(V7-W7))</f>
        <v>0</v>
      </c>
      <c r="AA7" s="5">
        <f t="shared" ref="AA7:AA62" si="17">IF((W7-V7)&lt;0,0,(W7-V7))</f>
        <v>0</v>
      </c>
    </row>
    <row r="8" spans="1:27" ht="19.5">
      <c r="A8" s="1">
        <v>1</v>
      </c>
      <c r="B8" s="2" t="s">
        <v>10</v>
      </c>
      <c r="C8" s="1"/>
      <c r="D8" s="5">
        <f>Table1[[#This Row],[Enrolment S.Y. 2025-2026 ]]*8</f>
        <v>0</v>
      </c>
      <c r="E8" s="5"/>
      <c r="F8" s="1"/>
      <c r="G8" s="5"/>
      <c r="H8" s="5">
        <f t="shared" si="4"/>
        <v>0</v>
      </c>
      <c r="I8" s="5">
        <f t="shared" si="5"/>
        <v>0</v>
      </c>
      <c r="J8" s="5">
        <f>Table1[[#This Row],[Enrolment S.Y. 2025-2026 ]]*8</f>
        <v>0</v>
      </c>
      <c r="K8" s="5"/>
      <c r="L8" s="26"/>
      <c r="M8" s="5"/>
      <c r="N8" s="5">
        <f t="shared" si="12"/>
        <v>0</v>
      </c>
      <c r="O8" s="5">
        <f t="shared" si="13"/>
        <v>0</v>
      </c>
      <c r="P8" s="5">
        <f>Table1[[#This Row],[Enrolment S.Y. 2025-2026 ]]*8</f>
        <v>0</v>
      </c>
      <c r="Q8" s="5"/>
      <c r="R8" s="26"/>
      <c r="S8" s="5"/>
      <c r="T8" s="5">
        <f t="shared" si="14"/>
        <v>0</v>
      </c>
      <c r="U8" s="5">
        <f t="shared" si="15"/>
        <v>0</v>
      </c>
      <c r="V8" s="5">
        <f>Table1[[#This Row],[Enrolment S.Y. 2025-2026 ]]*8</f>
        <v>0</v>
      </c>
      <c r="W8" s="5"/>
      <c r="X8" s="1"/>
      <c r="Y8" s="5"/>
      <c r="Z8" s="5">
        <f t="shared" si="16"/>
        <v>0</v>
      </c>
      <c r="AA8" s="5">
        <f t="shared" si="17"/>
        <v>0</v>
      </c>
    </row>
    <row r="9" spans="1:27" ht="19.5">
      <c r="A9" s="1">
        <v>1</v>
      </c>
      <c r="B9" s="2" t="s">
        <v>11</v>
      </c>
      <c r="C9" s="1"/>
      <c r="D9" s="5">
        <f>Table1[[#This Row],[Enrolment S.Y. 2025-2026 ]]*8</f>
        <v>0</v>
      </c>
      <c r="E9" s="5"/>
      <c r="F9" s="1"/>
      <c r="G9" s="5"/>
      <c r="H9" s="5">
        <f t="shared" si="4"/>
        <v>0</v>
      </c>
      <c r="I9" s="5">
        <f t="shared" si="5"/>
        <v>0</v>
      </c>
      <c r="J9" s="5">
        <f>Table1[[#This Row],[Enrolment S.Y. 2025-2026 ]]*8</f>
        <v>0</v>
      </c>
      <c r="K9" s="5"/>
      <c r="L9" s="26"/>
      <c r="M9" s="5"/>
      <c r="N9" s="5">
        <f t="shared" si="12"/>
        <v>0</v>
      </c>
      <c r="O9" s="5">
        <f t="shared" si="13"/>
        <v>0</v>
      </c>
      <c r="P9" s="5">
        <f>Table1[[#This Row],[Enrolment S.Y. 2025-2026 ]]*8</f>
        <v>0</v>
      </c>
      <c r="Q9" s="5"/>
      <c r="R9" s="26"/>
      <c r="S9" s="5"/>
      <c r="T9" s="5">
        <f t="shared" si="14"/>
        <v>0</v>
      </c>
      <c r="U9" s="5">
        <f t="shared" si="15"/>
        <v>0</v>
      </c>
      <c r="V9" s="5">
        <f>Table1[[#This Row],[Enrolment S.Y. 2025-2026 ]]*8</f>
        <v>0</v>
      </c>
      <c r="W9" s="5"/>
      <c r="X9" s="1"/>
      <c r="Y9" s="5"/>
      <c r="Z9" s="5">
        <f t="shared" si="16"/>
        <v>0</v>
      </c>
      <c r="AA9" s="5">
        <f t="shared" si="17"/>
        <v>0</v>
      </c>
    </row>
    <row r="10" spans="1:27" ht="19.5">
      <c r="A10" s="1">
        <v>1</v>
      </c>
      <c r="B10" s="2" t="s">
        <v>12</v>
      </c>
      <c r="C10" s="1"/>
      <c r="D10" s="5">
        <f>Table1[[#This Row],[Enrolment S.Y. 2025-2026 ]]*8</f>
        <v>0</v>
      </c>
      <c r="E10" s="5"/>
      <c r="F10" s="1"/>
      <c r="G10" s="5"/>
      <c r="H10" s="5">
        <f t="shared" si="4"/>
        <v>0</v>
      </c>
      <c r="I10" s="5">
        <f t="shared" si="5"/>
        <v>0</v>
      </c>
      <c r="J10" s="5">
        <f>Table1[[#This Row],[Enrolment S.Y. 2025-2026 ]]*8</f>
        <v>0</v>
      </c>
      <c r="K10" s="5"/>
      <c r="L10" s="26"/>
      <c r="M10" s="5"/>
      <c r="N10" s="5">
        <f t="shared" si="12"/>
        <v>0</v>
      </c>
      <c r="O10" s="5">
        <f t="shared" si="13"/>
        <v>0</v>
      </c>
      <c r="P10" s="5">
        <f>Table1[[#This Row],[Enrolment S.Y. 2025-2026 ]]*8</f>
        <v>0</v>
      </c>
      <c r="Q10" s="5"/>
      <c r="R10" s="26"/>
      <c r="S10" s="5"/>
      <c r="T10" s="5">
        <f t="shared" si="14"/>
        <v>0</v>
      </c>
      <c r="U10" s="5">
        <f t="shared" si="15"/>
        <v>0</v>
      </c>
      <c r="V10" s="5">
        <f>Table1[[#This Row],[Enrolment S.Y. 2025-2026 ]]*8</f>
        <v>0</v>
      </c>
      <c r="W10" s="5"/>
      <c r="X10" s="1"/>
      <c r="Y10" s="5"/>
      <c r="Z10" s="5">
        <f t="shared" si="16"/>
        <v>0</v>
      </c>
      <c r="AA10" s="5">
        <f t="shared" si="17"/>
        <v>0</v>
      </c>
    </row>
    <row r="11" spans="1:27" ht="19.5">
      <c r="A11" s="1">
        <v>1</v>
      </c>
      <c r="B11" s="9" t="s">
        <v>14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26"/>
      <c r="M11" s="5"/>
      <c r="N11" s="5">
        <f t="shared" si="12"/>
        <v>0</v>
      </c>
      <c r="O11" s="5">
        <f t="shared" si="13"/>
        <v>0</v>
      </c>
      <c r="P11" s="5">
        <f>Table1[[#This Row],[Enrolment S.Y. 2025-2026 ]]*8</f>
        <v>0</v>
      </c>
      <c r="Q11" s="5"/>
      <c r="R11" s="26"/>
      <c r="S11" s="5"/>
      <c r="T11" s="5">
        <f t="shared" si="14"/>
        <v>0</v>
      </c>
      <c r="U11" s="5">
        <f t="shared" si="15"/>
        <v>0</v>
      </c>
      <c r="V11" s="5">
        <f>Table1[[#This Row],[Enrolment S.Y. 2025-2026 ]]*8</f>
        <v>0</v>
      </c>
      <c r="W11" s="5"/>
      <c r="X11" s="1"/>
      <c r="Y11" s="5"/>
      <c r="Z11" s="5">
        <f t="shared" si="16"/>
        <v>0</v>
      </c>
      <c r="AA11" s="5">
        <f t="shared" si="17"/>
        <v>0</v>
      </c>
    </row>
    <row r="12" spans="1:27" ht="19.5">
      <c r="A12" s="1">
        <v>1</v>
      </c>
      <c r="B12" s="9" t="s">
        <v>15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26"/>
      <c r="M12" s="5"/>
      <c r="N12" s="5">
        <f t="shared" si="12"/>
        <v>0</v>
      </c>
      <c r="O12" s="5">
        <f t="shared" si="13"/>
        <v>0</v>
      </c>
      <c r="P12" s="5">
        <f>Table1[[#This Row],[Enrolment S.Y. 2025-2026 ]]*8</f>
        <v>0</v>
      </c>
      <c r="Q12" s="5"/>
      <c r="R12" s="26"/>
      <c r="S12" s="5"/>
      <c r="T12" s="5">
        <f t="shared" si="14"/>
        <v>0</v>
      </c>
      <c r="U12" s="5">
        <f t="shared" si="15"/>
        <v>0</v>
      </c>
      <c r="V12" s="5">
        <f>Table1[[#This Row],[Enrolment S.Y. 2025-2026 ]]*8</f>
        <v>0</v>
      </c>
      <c r="W12" s="5"/>
      <c r="X12" s="1"/>
      <c r="Y12" s="5"/>
      <c r="Z12" s="5">
        <f t="shared" si="16"/>
        <v>0</v>
      </c>
      <c r="AA12" s="5">
        <f t="shared" si="17"/>
        <v>0</v>
      </c>
    </row>
    <row r="13" spans="1:27" ht="19.5">
      <c r="A13" s="1">
        <v>1</v>
      </c>
      <c r="B13" s="9" t="s">
        <v>53</v>
      </c>
      <c r="C13" s="1"/>
      <c r="D13" s="5">
        <f>Table1[[#This Row],[Enrolment S.Y. 2025-2026 ]]*8</f>
        <v>0</v>
      </c>
      <c r="E13" s="5"/>
      <c r="F13" s="1"/>
      <c r="G13" s="5"/>
      <c r="H13" s="5">
        <f>IF((D13-E13)&lt;0,0,(D13-E13))</f>
        <v>0</v>
      </c>
      <c r="I13" s="5">
        <f>IF((E13-D13)&lt;0,0,(E13-D13))</f>
        <v>0</v>
      </c>
      <c r="J13" s="5">
        <f>Table1[[#This Row],[Enrolment S.Y. 2025-2026 ]]*8</f>
        <v>0</v>
      </c>
      <c r="K13" s="5"/>
      <c r="L13" s="26"/>
      <c r="M13" s="5"/>
      <c r="N13" s="5">
        <f t="shared" si="12"/>
        <v>0</v>
      </c>
      <c r="O13" s="5">
        <f t="shared" si="13"/>
        <v>0</v>
      </c>
      <c r="P13" s="5">
        <f>Table1[[#This Row],[Enrolment S.Y. 2025-2026 ]]*8</f>
        <v>0</v>
      </c>
      <c r="Q13" s="5"/>
      <c r="R13" s="26"/>
      <c r="S13" s="5"/>
      <c r="T13" s="5">
        <f t="shared" si="14"/>
        <v>0</v>
      </c>
      <c r="U13" s="5">
        <f t="shared" si="15"/>
        <v>0</v>
      </c>
      <c r="V13" s="5">
        <f>Table1[[#This Row],[Enrolment S.Y. 2025-2026 ]]*8</f>
        <v>0</v>
      </c>
      <c r="W13" s="5"/>
      <c r="X13" s="1"/>
      <c r="Y13" s="5"/>
      <c r="Z13" s="5">
        <f t="shared" si="16"/>
        <v>0</v>
      </c>
      <c r="AA13" s="5">
        <f t="shared" si="17"/>
        <v>0</v>
      </c>
    </row>
    <row r="14" spans="1:27" ht="19.5">
      <c r="A14" s="7"/>
      <c r="B14" s="7"/>
      <c r="C14" s="7"/>
      <c r="D14" s="7"/>
      <c r="E14" s="7"/>
      <c r="F14" s="7"/>
      <c r="G14" s="7"/>
      <c r="H14" s="7"/>
      <c r="I14" s="7"/>
      <c r="J14" s="10"/>
      <c r="K14" s="7"/>
      <c r="M14" s="7"/>
      <c r="N14" s="10"/>
      <c r="O14" s="10"/>
      <c r="P14" s="10"/>
      <c r="Q14" s="7"/>
      <c r="R14" s="7"/>
      <c r="S14" s="5"/>
      <c r="T14" s="10"/>
      <c r="U14" s="10"/>
      <c r="V14" s="10"/>
      <c r="W14" s="7"/>
      <c r="X14" s="7"/>
      <c r="Y14" s="10"/>
      <c r="Z14" s="10"/>
      <c r="AA14" s="10"/>
    </row>
    <row r="15" spans="1:27" ht="19.5">
      <c r="A15" s="1">
        <v>2</v>
      </c>
      <c r="B15" s="2" t="s">
        <v>8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4"/>
        <v>0</v>
      </c>
      <c r="I15" s="5">
        <f t="shared" si="5"/>
        <v>0</v>
      </c>
      <c r="J15" s="5">
        <f>Table1[[#This Row],[Enrolment S.Y. 2025-2026 ]]*8</f>
        <v>0</v>
      </c>
      <c r="K15" s="5"/>
      <c r="L15" s="26"/>
      <c r="M15" s="5"/>
      <c r="N15" s="5">
        <f t="shared" si="12"/>
        <v>0</v>
      </c>
      <c r="O15" s="5">
        <f t="shared" si="13"/>
        <v>0</v>
      </c>
      <c r="P15" s="5">
        <f>Table1[[#This Row],[Enrolment S.Y. 2025-2026 ]]*8</f>
        <v>0</v>
      </c>
      <c r="Q15" s="5"/>
      <c r="R15" s="26"/>
      <c r="S15" s="5"/>
      <c r="T15" s="5">
        <f t="shared" si="14"/>
        <v>0</v>
      </c>
      <c r="U15" s="5">
        <f t="shared" si="15"/>
        <v>0</v>
      </c>
      <c r="V15" s="5">
        <f>Table1[[#This Row],[Enrolment S.Y. 2025-2026 ]]*8</f>
        <v>0</v>
      </c>
      <c r="W15" s="5"/>
      <c r="X15" s="1"/>
      <c r="Y15" s="5"/>
      <c r="Z15" s="5">
        <f t="shared" si="16"/>
        <v>0</v>
      </c>
      <c r="AA15" s="5">
        <f t="shared" si="17"/>
        <v>0</v>
      </c>
    </row>
    <row r="16" spans="1:27" s="7" customFormat="1" ht="19.5">
      <c r="A16" s="1">
        <v>2</v>
      </c>
      <c r="B16" s="2" t="s">
        <v>9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4"/>
        <v>0</v>
      </c>
      <c r="I16" s="5">
        <f t="shared" si="5"/>
        <v>0</v>
      </c>
      <c r="J16" s="5">
        <f>Table1[[#This Row],[Enrolment S.Y. 2025-2026 ]]*8</f>
        <v>0</v>
      </c>
      <c r="K16" s="5"/>
      <c r="L16" s="26"/>
      <c r="M16" s="5"/>
      <c r="N16" s="5">
        <f t="shared" si="12"/>
        <v>0</v>
      </c>
      <c r="O16" s="5">
        <f t="shared" si="13"/>
        <v>0</v>
      </c>
      <c r="P16" s="5">
        <f>Table1[[#This Row],[Enrolment S.Y. 2025-2026 ]]*8</f>
        <v>0</v>
      </c>
      <c r="Q16" s="5"/>
      <c r="R16" s="26"/>
      <c r="S16" s="5"/>
      <c r="T16" s="5">
        <f t="shared" si="14"/>
        <v>0</v>
      </c>
      <c r="U16" s="5">
        <f t="shared" si="15"/>
        <v>0</v>
      </c>
      <c r="V16" s="5">
        <f>Table1[[#This Row],[Enrolment S.Y. 2025-2026 ]]*8</f>
        <v>0</v>
      </c>
      <c r="W16" s="5"/>
      <c r="X16" s="1"/>
      <c r="Y16" s="5"/>
      <c r="Z16" s="5">
        <f t="shared" si="16"/>
        <v>0</v>
      </c>
      <c r="AA16" s="5">
        <f t="shared" si="17"/>
        <v>0</v>
      </c>
    </row>
    <row r="17" spans="1:27" ht="19.5">
      <c r="A17" s="1">
        <v>2</v>
      </c>
      <c r="B17" s="2" t="s">
        <v>10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4"/>
        <v>0</v>
      </c>
      <c r="I17" s="5">
        <f t="shared" si="5"/>
        <v>0</v>
      </c>
      <c r="J17" s="5">
        <f>Table1[[#This Row],[Enrolment S.Y. 2025-2026 ]]*8</f>
        <v>0</v>
      </c>
      <c r="K17" s="5"/>
      <c r="L17" s="26"/>
      <c r="M17" s="5"/>
      <c r="N17" s="5">
        <f t="shared" si="12"/>
        <v>0</v>
      </c>
      <c r="O17" s="5">
        <f t="shared" si="13"/>
        <v>0</v>
      </c>
      <c r="P17" s="5">
        <f>Table1[[#This Row],[Enrolment S.Y. 2025-2026 ]]*8</f>
        <v>0</v>
      </c>
      <c r="Q17" s="5"/>
      <c r="R17" s="26"/>
      <c r="S17" s="5"/>
      <c r="T17" s="5">
        <f t="shared" si="14"/>
        <v>0</v>
      </c>
      <c r="U17" s="5">
        <f t="shared" si="15"/>
        <v>0</v>
      </c>
      <c r="V17" s="5">
        <f>Table1[[#This Row],[Enrolment S.Y. 2025-2026 ]]*8</f>
        <v>0</v>
      </c>
      <c r="W17" s="5"/>
      <c r="X17" s="1"/>
      <c r="Y17" s="5"/>
      <c r="Z17" s="5">
        <f t="shared" si="16"/>
        <v>0</v>
      </c>
      <c r="AA17" s="5">
        <f t="shared" si="17"/>
        <v>0</v>
      </c>
    </row>
    <row r="18" spans="1:27" ht="19.5">
      <c r="A18" s="1">
        <v>2</v>
      </c>
      <c r="B18" s="2" t="s">
        <v>11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4"/>
        <v>0</v>
      </c>
      <c r="I18" s="5">
        <f t="shared" si="5"/>
        <v>0</v>
      </c>
      <c r="J18" s="5">
        <f>Table1[[#This Row],[Enrolment S.Y. 2025-2026 ]]*8</f>
        <v>0</v>
      </c>
      <c r="K18" s="5"/>
      <c r="L18" s="26"/>
      <c r="M18" s="5"/>
      <c r="N18" s="5">
        <f t="shared" si="12"/>
        <v>0</v>
      </c>
      <c r="O18" s="5">
        <f t="shared" si="13"/>
        <v>0</v>
      </c>
      <c r="P18" s="5">
        <f>Table1[[#This Row],[Enrolment S.Y. 2025-2026 ]]*8</f>
        <v>0</v>
      </c>
      <c r="Q18" s="5"/>
      <c r="R18" s="26"/>
      <c r="S18" s="5"/>
      <c r="T18" s="5">
        <f t="shared" si="14"/>
        <v>0</v>
      </c>
      <c r="U18" s="5">
        <f t="shared" si="15"/>
        <v>0</v>
      </c>
      <c r="V18" s="5">
        <f>Table1[[#This Row],[Enrolment S.Y. 2025-2026 ]]*8</f>
        <v>0</v>
      </c>
      <c r="W18" s="5"/>
      <c r="X18" s="1"/>
      <c r="Y18" s="5"/>
      <c r="Z18" s="5">
        <f t="shared" si="16"/>
        <v>0</v>
      </c>
      <c r="AA18" s="5">
        <f t="shared" si="17"/>
        <v>0</v>
      </c>
    </row>
    <row r="19" spans="1:27" ht="19.5">
      <c r="A19" s="1">
        <v>2</v>
      </c>
      <c r="B19" s="2" t="s">
        <v>12</v>
      </c>
      <c r="C19" s="1"/>
      <c r="D19" s="5">
        <f>Table1[[#This Row],[Enrolment S.Y. 2025-2026 ]]*8</f>
        <v>0</v>
      </c>
      <c r="E19" s="5"/>
      <c r="F19" s="1"/>
      <c r="G19" s="5"/>
      <c r="H19" s="5">
        <f t="shared" si="4"/>
        <v>0</v>
      </c>
      <c r="I19" s="5">
        <f t="shared" si="5"/>
        <v>0</v>
      </c>
      <c r="J19" s="5">
        <f>Table1[[#This Row],[Enrolment S.Y. 2025-2026 ]]*8</f>
        <v>0</v>
      </c>
      <c r="K19" s="5"/>
      <c r="L19" s="26"/>
      <c r="M19" s="5"/>
      <c r="N19" s="5">
        <f t="shared" si="12"/>
        <v>0</v>
      </c>
      <c r="O19" s="5">
        <f t="shared" si="13"/>
        <v>0</v>
      </c>
      <c r="P19" s="5">
        <f>Table1[[#This Row],[Enrolment S.Y. 2025-2026 ]]*8</f>
        <v>0</v>
      </c>
      <c r="Q19" s="5"/>
      <c r="R19" s="26"/>
      <c r="S19" s="5"/>
      <c r="T19" s="5">
        <f t="shared" si="14"/>
        <v>0</v>
      </c>
      <c r="U19" s="5">
        <f t="shared" si="15"/>
        <v>0</v>
      </c>
      <c r="V19" s="5">
        <f>Table1[[#This Row],[Enrolment S.Y. 2025-2026 ]]*8</f>
        <v>0</v>
      </c>
      <c r="W19" s="5"/>
      <c r="X19" s="1"/>
      <c r="Y19" s="5"/>
      <c r="Z19" s="5">
        <f t="shared" si="16"/>
        <v>0</v>
      </c>
      <c r="AA19" s="5">
        <f t="shared" si="17"/>
        <v>0</v>
      </c>
    </row>
    <row r="20" spans="1:27" ht="19.5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26"/>
      <c r="M20" s="5"/>
      <c r="N20" s="5">
        <f t="shared" si="12"/>
        <v>0</v>
      </c>
      <c r="O20" s="5">
        <f t="shared" si="13"/>
        <v>0</v>
      </c>
      <c r="P20" s="5">
        <f>Table1[[#This Row],[Enrolment S.Y. 2025-2026 ]]*8</f>
        <v>0</v>
      </c>
      <c r="Q20" s="5"/>
      <c r="R20" s="26"/>
      <c r="S20" s="5"/>
      <c r="T20" s="5">
        <f t="shared" si="14"/>
        <v>0</v>
      </c>
      <c r="U20" s="5">
        <f t="shared" si="15"/>
        <v>0</v>
      </c>
      <c r="V20" s="5">
        <f>Table1[[#This Row],[Enrolment S.Y. 2025-2026 ]]*8</f>
        <v>0</v>
      </c>
      <c r="W20" s="5"/>
      <c r="X20" s="1"/>
      <c r="Y20" s="5"/>
      <c r="Z20" s="5">
        <f t="shared" si="16"/>
        <v>0</v>
      </c>
      <c r="AA20" s="5">
        <f t="shared" si="17"/>
        <v>0</v>
      </c>
    </row>
    <row r="21" spans="1:27" ht="19.5">
      <c r="A21" s="1">
        <v>2</v>
      </c>
      <c r="B21" s="9" t="s">
        <v>14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26"/>
      <c r="M21" s="5"/>
      <c r="N21" s="5">
        <f t="shared" si="12"/>
        <v>0</v>
      </c>
      <c r="O21" s="5">
        <f t="shared" si="13"/>
        <v>0</v>
      </c>
      <c r="P21" s="5">
        <f>Table1[[#This Row],[Enrolment S.Y. 2025-2026 ]]*8</f>
        <v>0</v>
      </c>
      <c r="Q21" s="5"/>
      <c r="R21" s="26"/>
      <c r="S21" s="5"/>
      <c r="T21" s="5">
        <f t="shared" si="14"/>
        <v>0</v>
      </c>
      <c r="U21" s="5">
        <f t="shared" si="15"/>
        <v>0</v>
      </c>
      <c r="V21" s="5">
        <f>Table1[[#This Row],[Enrolment S.Y. 2025-2026 ]]*8</f>
        <v>0</v>
      </c>
      <c r="W21" s="5"/>
      <c r="X21" s="1"/>
      <c r="Y21" s="5"/>
      <c r="Z21" s="5">
        <f t="shared" si="16"/>
        <v>0</v>
      </c>
      <c r="AA21" s="5">
        <f t="shared" si="17"/>
        <v>0</v>
      </c>
    </row>
    <row r="22" spans="1:27" ht="19.5">
      <c r="A22" s="1">
        <v>2</v>
      </c>
      <c r="B22" s="9" t="s">
        <v>53</v>
      </c>
      <c r="C22" s="1"/>
      <c r="D22" s="5">
        <f>Table1[[#This Row],[Enrolment S.Y. 2025-2026 ]]*8</f>
        <v>0</v>
      </c>
      <c r="E22" s="5"/>
      <c r="F22" s="1"/>
      <c r="G22" s="5"/>
      <c r="H22" s="5">
        <f>IF((D22-E22)&lt;0,0,(D22-E22))</f>
        <v>0</v>
      </c>
      <c r="I22" s="5">
        <f>IF((E22-D22)&lt;0,0,(E22-D22))</f>
        <v>0</v>
      </c>
      <c r="J22" s="5">
        <f>Table1[[#This Row],[Enrolment S.Y. 2025-2026 ]]*8</f>
        <v>0</v>
      </c>
      <c r="K22" s="5"/>
      <c r="L22" s="26"/>
      <c r="M22" s="5"/>
      <c r="N22" s="5">
        <f t="shared" si="12"/>
        <v>0</v>
      </c>
      <c r="O22" s="5">
        <f t="shared" si="13"/>
        <v>0</v>
      </c>
      <c r="P22" s="5">
        <f>Table1[[#This Row],[Enrolment S.Y. 2025-2026 ]]*8</f>
        <v>0</v>
      </c>
      <c r="Q22" s="5"/>
      <c r="R22" s="26"/>
      <c r="S22" s="5"/>
      <c r="T22" s="5">
        <f t="shared" si="14"/>
        <v>0</v>
      </c>
      <c r="U22" s="5">
        <f t="shared" si="15"/>
        <v>0</v>
      </c>
      <c r="V22" s="5">
        <f>Table1[[#This Row],[Enrolment S.Y. 2025-2026 ]]*8</f>
        <v>0</v>
      </c>
      <c r="W22" s="5"/>
      <c r="X22" s="1"/>
      <c r="Y22" s="5"/>
      <c r="Z22" s="5">
        <f t="shared" si="16"/>
        <v>0</v>
      </c>
      <c r="AA22" s="5">
        <f t="shared" si="17"/>
        <v>0</v>
      </c>
    </row>
    <row r="23" spans="1:27" ht="19.5">
      <c r="A23" s="7"/>
      <c r="B23" s="7"/>
      <c r="C23" s="7"/>
      <c r="D23" s="7"/>
      <c r="E23" s="7"/>
      <c r="F23" s="7"/>
      <c r="G23" s="7"/>
      <c r="H23" s="7"/>
      <c r="I23" s="7"/>
      <c r="J23" s="10"/>
      <c r="K23" s="7"/>
      <c r="L23" s="7"/>
      <c r="M23" s="5"/>
      <c r="N23" s="10"/>
      <c r="O23" s="10"/>
      <c r="P23" s="10"/>
      <c r="Q23" s="7"/>
      <c r="R23" s="7"/>
      <c r="S23" s="5"/>
      <c r="T23" s="10"/>
      <c r="U23" s="10"/>
      <c r="V23" s="10"/>
      <c r="W23" s="7"/>
      <c r="X23" s="7"/>
      <c r="Y23" s="5"/>
      <c r="Z23" s="10"/>
      <c r="AA23" s="10"/>
    </row>
    <row r="24" spans="1:27" ht="19.5">
      <c r="A24" s="1">
        <v>3</v>
      </c>
      <c r="B24" s="2" t="s">
        <v>8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4"/>
        <v>0</v>
      </c>
      <c r="I24" s="5">
        <f t="shared" si="5"/>
        <v>0</v>
      </c>
      <c r="J24" s="5">
        <f>Table1[[#This Row],[Enrolment S.Y. 2025-2026 ]]*8</f>
        <v>0</v>
      </c>
      <c r="K24" s="5"/>
      <c r="L24" s="26"/>
      <c r="M24" s="5"/>
      <c r="N24" s="5">
        <f t="shared" si="12"/>
        <v>0</v>
      </c>
      <c r="O24" s="5">
        <f t="shared" si="13"/>
        <v>0</v>
      </c>
      <c r="P24" s="5">
        <f>Table1[[#This Row],[Enrolment S.Y. 2025-2026 ]]*8</f>
        <v>0</v>
      </c>
      <c r="Q24" s="5"/>
      <c r="R24" s="26"/>
      <c r="S24" s="5"/>
      <c r="T24" s="5">
        <f t="shared" si="14"/>
        <v>0</v>
      </c>
      <c r="U24" s="5">
        <f t="shared" si="15"/>
        <v>0</v>
      </c>
      <c r="V24" s="5">
        <f>Table1[[#This Row],[Enrolment S.Y. 2025-2026 ]]*8</f>
        <v>0</v>
      </c>
      <c r="W24" s="5"/>
      <c r="X24" s="1"/>
      <c r="Y24" s="5"/>
      <c r="Z24" s="5">
        <f t="shared" si="16"/>
        <v>0</v>
      </c>
      <c r="AA24" s="5">
        <f t="shared" si="17"/>
        <v>0</v>
      </c>
    </row>
    <row r="25" spans="1:27" s="7" customFormat="1" ht="19.5">
      <c r="A25" s="1">
        <v>3</v>
      </c>
      <c r="B25" s="2" t="s">
        <v>9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4"/>
        <v>0</v>
      </c>
      <c r="I25" s="5">
        <f t="shared" si="5"/>
        <v>0</v>
      </c>
      <c r="J25" s="5">
        <f>Table1[[#This Row],[Enrolment S.Y. 2025-2026 ]]*8</f>
        <v>0</v>
      </c>
      <c r="K25" s="5"/>
      <c r="L25" s="26"/>
      <c r="M25" s="5"/>
      <c r="N25" s="5">
        <f t="shared" si="12"/>
        <v>0</v>
      </c>
      <c r="O25" s="5">
        <f t="shared" si="13"/>
        <v>0</v>
      </c>
      <c r="P25" s="5">
        <f>Table1[[#This Row],[Enrolment S.Y. 2025-2026 ]]*8</f>
        <v>0</v>
      </c>
      <c r="Q25" s="5"/>
      <c r="R25" s="26"/>
      <c r="S25" s="5"/>
      <c r="T25" s="5">
        <f t="shared" si="14"/>
        <v>0</v>
      </c>
      <c r="U25" s="5">
        <f t="shared" si="15"/>
        <v>0</v>
      </c>
      <c r="V25" s="5">
        <f>Table1[[#This Row],[Enrolment S.Y. 2025-2026 ]]*8</f>
        <v>0</v>
      </c>
      <c r="W25" s="5"/>
      <c r="X25" s="1"/>
      <c r="Y25" s="5"/>
      <c r="Z25" s="5">
        <f t="shared" si="16"/>
        <v>0</v>
      </c>
      <c r="AA25" s="5">
        <f t="shared" si="17"/>
        <v>0</v>
      </c>
    </row>
    <row r="26" spans="1:27" ht="19.5">
      <c r="A26" s="1">
        <v>3</v>
      </c>
      <c r="B26" s="2" t="s">
        <v>10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4"/>
        <v>0</v>
      </c>
      <c r="I26" s="5">
        <f t="shared" si="5"/>
        <v>0</v>
      </c>
      <c r="J26" s="5">
        <f>Table1[[#This Row],[Enrolment S.Y. 2025-2026 ]]*8</f>
        <v>0</v>
      </c>
      <c r="K26" s="5"/>
      <c r="L26" s="26"/>
      <c r="M26" s="5"/>
      <c r="N26" s="5">
        <f t="shared" si="12"/>
        <v>0</v>
      </c>
      <c r="O26" s="5">
        <f t="shared" si="13"/>
        <v>0</v>
      </c>
      <c r="P26" s="5">
        <f>Table1[[#This Row],[Enrolment S.Y. 2025-2026 ]]*8</f>
        <v>0</v>
      </c>
      <c r="Q26" s="5"/>
      <c r="R26" s="26"/>
      <c r="S26" s="5"/>
      <c r="T26" s="5">
        <f t="shared" si="14"/>
        <v>0</v>
      </c>
      <c r="U26" s="5">
        <f t="shared" si="15"/>
        <v>0</v>
      </c>
      <c r="V26" s="5">
        <f>Table1[[#This Row],[Enrolment S.Y. 2025-2026 ]]*8</f>
        <v>0</v>
      </c>
      <c r="W26" s="5"/>
      <c r="X26" s="1"/>
      <c r="Y26" s="5"/>
      <c r="Z26" s="5">
        <f t="shared" si="16"/>
        <v>0</v>
      </c>
      <c r="AA26" s="5">
        <f t="shared" si="17"/>
        <v>0</v>
      </c>
    </row>
    <row r="27" spans="1:27" ht="19.5">
      <c r="A27" s="1">
        <v>3</v>
      </c>
      <c r="B27" s="2" t="s">
        <v>13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4"/>
        <v>0</v>
      </c>
      <c r="I27" s="5">
        <f t="shared" si="5"/>
        <v>0</v>
      </c>
      <c r="J27" s="5">
        <f>Table1[[#This Row],[Enrolment S.Y. 2025-2026 ]]*8</f>
        <v>0</v>
      </c>
      <c r="K27" s="5"/>
      <c r="L27" s="26"/>
      <c r="M27" s="5"/>
      <c r="N27" s="5">
        <f t="shared" si="12"/>
        <v>0</v>
      </c>
      <c r="O27" s="5">
        <f t="shared" si="13"/>
        <v>0</v>
      </c>
      <c r="P27" s="5">
        <f>Table1[[#This Row],[Enrolment S.Y. 2025-2026 ]]*8</f>
        <v>0</v>
      </c>
      <c r="Q27" s="5"/>
      <c r="R27" s="26"/>
      <c r="S27" s="5"/>
      <c r="T27" s="5">
        <f t="shared" si="14"/>
        <v>0</v>
      </c>
      <c r="U27" s="5">
        <f t="shared" si="15"/>
        <v>0</v>
      </c>
      <c r="V27" s="5">
        <f>Table1[[#This Row],[Enrolment S.Y. 2025-2026 ]]*8</f>
        <v>0</v>
      </c>
      <c r="W27" s="5"/>
      <c r="X27" s="1"/>
      <c r="Y27" s="5"/>
      <c r="Z27" s="5">
        <f t="shared" si="16"/>
        <v>0</v>
      </c>
      <c r="AA27" s="5">
        <f t="shared" si="17"/>
        <v>0</v>
      </c>
    </row>
    <row r="28" spans="1:27" ht="19.5">
      <c r="A28" s="1">
        <v>3</v>
      </c>
      <c r="B28" s="2" t="s">
        <v>11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4"/>
        <v>0</v>
      </c>
      <c r="I28" s="5">
        <f t="shared" si="5"/>
        <v>0</v>
      </c>
      <c r="J28" s="5">
        <f>Table1[[#This Row],[Enrolment S.Y. 2025-2026 ]]*8</f>
        <v>0</v>
      </c>
      <c r="K28" s="5"/>
      <c r="L28" s="26"/>
      <c r="M28" s="5"/>
      <c r="N28" s="5">
        <f t="shared" si="12"/>
        <v>0</v>
      </c>
      <c r="O28" s="5">
        <f t="shared" si="13"/>
        <v>0</v>
      </c>
      <c r="P28" s="5">
        <f>Table1[[#This Row],[Enrolment S.Y. 2025-2026 ]]*8</f>
        <v>0</v>
      </c>
      <c r="Q28" s="5"/>
      <c r="R28" s="26"/>
      <c r="S28" s="5"/>
      <c r="T28" s="5">
        <f t="shared" si="14"/>
        <v>0</v>
      </c>
      <c r="U28" s="5">
        <f t="shared" si="15"/>
        <v>0</v>
      </c>
      <c r="V28" s="5">
        <f>Table1[[#This Row],[Enrolment S.Y. 2025-2026 ]]*8</f>
        <v>0</v>
      </c>
      <c r="W28" s="5"/>
      <c r="X28" s="1"/>
      <c r="Y28" s="5"/>
      <c r="Z28" s="5">
        <f t="shared" si="16"/>
        <v>0</v>
      </c>
      <c r="AA28" s="5">
        <f t="shared" si="17"/>
        <v>0</v>
      </c>
    </row>
    <row r="29" spans="1:27" ht="19.5">
      <c r="A29" s="1">
        <v>3</v>
      </c>
      <c r="B29" s="2" t="s">
        <v>12</v>
      </c>
      <c r="C29" s="1"/>
      <c r="D29" s="5">
        <f>Table1[[#This Row],[Enrolment S.Y. 2025-2026 ]]*8</f>
        <v>0</v>
      </c>
      <c r="E29" s="5"/>
      <c r="F29" s="1"/>
      <c r="G29" s="5"/>
      <c r="H29" s="5">
        <f t="shared" si="4"/>
        <v>0</v>
      </c>
      <c r="I29" s="5">
        <f t="shared" si="5"/>
        <v>0</v>
      </c>
      <c r="J29" s="5">
        <f>Table1[[#This Row],[Enrolment S.Y. 2025-2026 ]]*8</f>
        <v>0</v>
      </c>
      <c r="K29" s="5"/>
      <c r="L29" s="26"/>
      <c r="M29" s="5"/>
      <c r="N29" s="5">
        <f t="shared" si="12"/>
        <v>0</v>
      </c>
      <c r="O29" s="5">
        <f t="shared" si="13"/>
        <v>0</v>
      </c>
      <c r="P29" s="5">
        <f>Table1[[#This Row],[Enrolment S.Y. 2025-2026 ]]*8</f>
        <v>0</v>
      </c>
      <c r="Q29" s="5"/>
      <c r="R29" s="26"/>
      <c r="S29" s="5"/>
      <c r="T29" s="5">
        <f t="shared" si="14"/>
        <v>0</v>
      </c>
      <c r="U29" s="5">
        <f t="shared" si="15"/>
        <v>0</v>
      </c>
      <c r="V29" s="5">
        <f>Table1[[#This Row],[Enrolment S.Y. 2025-2026 ]]*8</f>
        <v>0</v>
      </c>
      <c r="W29" s="5"/>
      <c r="X29" s="1"/>
      <c r="Y29" s="5"/>
      <c r="Z29" s="5">
        <f t="shared" si="16"/>
        <v>0</v>
      </c>
      <c r="AA29" s="5">
        <f t="shared" si="17"/>
        <v>0</v>
      </c>
    </row>
    <row r="30" spans="1:27" ht="19.5">
      <c r="A30" s="1">
        <v>3</v>
      </c>
      <c r="B30" s="9" t="s">
        <v>14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26"/>
      <c r="M30" s="5"/>
      <c r="N30" s="5">
        <f t="shared" si="12"/>
        <v>0</v>
      </c>
      <c r="O30" s="5">
        <f t="shared" si="13"/>
        <v>0</v>
      </c>
      <c r="P30" s="5">
        <f>Table1[[#This Row],[Enrolment S.Y. 2025-2026 ]]*8</f>
        <v>0</v>
      </c>
      <c r="Q30" s="5"/>
      <c r="R30" s="26"/>
      <c r="S30" s="5"/>
      <c r="T30" s="5">
        <f t="shared" si="14"/>
        <v>0</v>
      </c>
      <c r="U30" s="5">
        <f t="shared" si="15"/>
        <v>0</v>
      </c>
      <c r="V30" s="5">
        <f>Table1[[#This Row],[Enrolment S.Y. 2025-2026 ]]*8</f>
        <v>0</v>
      </c>
      <c r="W30" s="5"/>
      <c r="X30" s="1"/>
      <c r="Y30" s="5"/>
      <c r="Z30" s="5">
        <f t="shared" si="16"/>
        <v>0</v>
      </c>
      <c r="AA30" s="5">
        <f t="shared" si="17"/>
        <v>0</v>
      </c>
    </row>
    <row r="31" spans="1:27" ht="19.5">
      <c r="A31" s="1">
        <v>3</v>
      </c>
      <c r="B31" s="9" t="s">
        <v>15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26"/>
      <c r="M31" s="5"/>
      <c r="N31" s="5">
        <f t="shared" si="12"/>
        <v>0</v>
      </c>
      <c r="O31" s="5">
        <f t="shared" si="13"/>
        <v>0</v>
      </c>
      <c r="P31" s="5">
        <f>Table1[[#This Row],[Enrolment S.Y. 2025-2026 ]]*8</f>
        <v>0</v>
      </c>
      <c r="Q31" s="5"/>
      <c r="R31" s="26"/>
      <c r="S31" s="5"/>
      <c r="T31" s="5">
        <f t="shared" si="14"/>
        <v>0</v>
      </c>
      <c r="U31" s="5">
        <f t="shared" si="15"/>
        <v>0</v>
      </c>
      <c r="V31" s="5">
        <f>Table1[[#This Row],[Enrolment S.Y. 2025-2026 ]]*8</f>
        <v>0</v>
      </c>
      <c r="W31" s="5"/>
      <c r="X31" s="1"/>
      <c r="Y31" s="5"/>
      <c r="Z31" s="5">
        <f t="shared" si="16"/>
        <v>0</v>
      </c>
      <c r="AA31" s="5">
        <f t="shared" si="17"/>
        <v>0</v>
      </c>
    </row>
    <row r="32" spans="1:27" ht="19.5">
      <c r="A32" s="1">
        <v>3</v>
      </c>
      <c r="B32" s="9" t="s">
        <v>53</v>
      </c>
      <c r="C32" s="1"/>
      <c r="D32" s="5">
        <f>Table1[[#This Row],[Enrolment S.Y. 2025-2026 ]]*8</f>
        <v>0</v>
      </c>
      <c r="E32" s="5"/>
      <c r="F32" s="1"/>
      <c r="G32" s="5"/>
      <c r="H32" s="5">
        <f>IF((D32-E32)&lt;0,0,(D32-E32))</f>
        <v>0</v>
      </c>
      <c r="I32" s="5">
        <f>IF((E32-D32)&lt;0,0,(E32-D32))</f>
        <v>0</v>
      </c>
      <c r="J32" s="5">
        <f>Table1[[#This Row],[Enrolment S.Y. 2025-2026 ]]*8</f>
        <v>0</v>
      </c>
      <c r="K32" s="5"/>
      <c r="L32" s="26"/>
      <c r="M32" s="5"/>
      <c r="N32" s="5">
        <f t="shared" si="12"/>
        <v>0</v>
      </c>
      <c r="O32" s="5">
        <f t="shared" si="13"/>
        <v>0</v>
      </c>
      <c r="P32" s="5">
        <f>Table1[[#This Row],[Enrolment S.Y. 2025-2026 ]]*8</f>
        <v>0</v>
      </c>
      <c r="Q32" s="5"/>
      <c r="R32" s="26"/>
      <c r="S32" s="5"/>
      <c r="T32" s="5">
        <f t="shared" si="14"/>
        <v>0</v>
      </c>
      <c r="U32" s="5">
        <f t="shared" si="15"/>
        <v>0</v>
      </c>
      <c r="V32" s="5">
        <f>Table1[[#This Row],[Enrolment S.Y. 2025-2026 ]]*8</f>
        <v>0</v>
      </c>
      <c r="W32" s="5"/>
      <c r="X32" s="1"/>
      <c r="Y32" s="5"/>
      <c r="Z32" s="5">
        <f t="shared" si="16"/>
        <v>0</v>
      </c>
      <c r="AA32" s="5">
        <f t="shared" si="17"/>
        <v>0</v>
      </c>
    </row>
    <row r="33" spans="1:27" ht="19.5">
      <c r="A33" s="7"/>
      <c r="B33" s="7"/>
      <c r="C33" s="7"/>
      <c r="D33" s="7"/>
      <c r="E33" s="7"/>
      <c r="F33" s="7"/>
      <c r="G33" s="7"/>
      <c r="H33" s="7"/>
      <c r="I33" s="7"/>
      <c r="J33" s="10"/>
      <c r="K33" s="7"/>
      <c r="L33" s="7"/>
      <c r="M33" s="5"/>
      <c r="N33" s="10"/>
      <c r="O33" s="10"/>
      <c r="P33" s="10"/>
      <c r="Q33" s="7"/>
      <c r="R33" s="7"/>
      <c r="S33" s="5"/>
      <c r="T33" s="10"/>
      <c r="U33" s="10"/>
      <c r="V33" s="10"/>
      <c r="W33" s="7"/>
      <c r="X33" s="7"/>
      <c r="Y33" s="5"/>
      <c r="Z33" s="10"/>
      <c r="AA33" s="10"/>
    </row>
    <row r="34" spans="1:27" ht="19.5">
      <c r="A34" s="1">
        <v>4</v>
      </c>
      <c r="B34" s="9" t="s">
        <v>14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4"/>
        <v>0</v>
      </c>
      <c r="I34" s="5">
        <f t="shared" si="5"/>
        <v>0</v>
      </c>
      <c r="J34" s="5">
        <f>Table1[[#This Row],[Enrolment S.Y. 2025-2026 ]]*8</f>
        <v>0</v>
      </c>
      <c r="K34" s="5"/>
      <c r="L34" s="26"/>
      <c r="M34" s="5"/>
      <c r="N34" s="5">
        <f t="shared" si="12"/>
        <v>0</v>
      </c>
      <c r="O34" s="5">
        <f t="shared" si="13"/>
        <v>0</v>
      </c>
      <c r="P34" s="5">
        <f>Table1[[#This Row],[Enrolment S.Y. 2025-2026 ]]*8</f>
        <v>0</v>
      </c>
      <c r="Q34" s="5"/>
      <c r="R34" s="26"/>
      <c r="S34" s="5"/>
      <c r="T34" s="5">
        <f t="shared" si="14"/>
        <v>0</v>
      </c>
      <c r="U34" s="5">
        <f t="shared" si="15"/>
        <v>0</v>
      </c>
      <c r="V34" s="5">
        <f>Table1[[#This Row],[Enrolment S.Y. 2025-2026 ]]*8</f>
        <v>0</v>
      </c>
      <c r="W34" s="5"/>
      <c r="X34" s="1"/>
      <c r="Y34" s="5"/>
      <c r="Z34" s="5">
        <f t="shared" si="16"/>
        <v>0</v>
      </c>
      <c r="AA34" s="5">
        <f t="shared" si="17"/>
        <v>0</v>
      </c>
    </row>
    <row r="35" spans="1:27" s="7" customFormat="1" ht="19.5">
      <c r="A35" s="1">
        <v>4</v>
      </c>
      <c r="B35" s="9" t="s">
        <v>15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4"/>
        <v>0</v>
      </c>
      <c r="I35" s="5">
        <f t="shared" si="5"/>
        <v>0</v>
      </c>
      <c r="J35" s="5">
        <f>Table1[[#This Row],[Enrolment S.Y. 2025-2026 ]]*8</f>
        <v>0</v>
      </c>
      <c r="K35" s="5"/>
      <c r="L35" s="26"/>
      <c r="M35" s="5"/>
      <c r="N35" s="5">
        <f t="shared" si="12"/>
        <v>0</v>
      </c>
      <c r="O35" s="5">
        <f t="shared" si="13"/>
        <v>0</v>
      </c>
      <c r="P35" s="5">
        <f>Table1[[#This Row],[Enrolment S.Y. 2025-2026 ]]*8</f>
        <v>0</v>
      </c>
      <c r="Q35" s="5"/>
      <c r="R35" s="26"/>
      <c r="S35" s="5"/>
      <c r="T35" s="5">
        <f t="shared" si="14"/>
        <v>0</v>
      </c>
      <c r="U35" s="5">
        <f t="shared" si="15"/>
        <v>0</v>
      </c>
      <c r="V35" s="5">
        <f>Table1[[#This Row],[Enrolment S.Y. 2025-2026 ]]*8</f>
        <v>0</v>
      </c>
      <c r="W35" s="5"/>
      <c r="X35" s="1"/>
      <c r="Y35" s="5"/>
      <c r="Z35" s="5">
        <f t="shared" si="16"/>
        <v>0</v>
      </c>
      <c r="AA35" s="5">
        <f t="shared" si="17"/>
        <v>0</v>
      </c>
    </row>
    <row r="36" spans="1:27" ht="19.5">
      <c r="A36" s="1">
        <v>4</v>
      </c>
      <c r="B36" s="9" t="s">
        <v>12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4"/>
        <v>0</v>
      </c>
      <c r="I36" s="5">
        <f t="shared" si="5"/>
        <v>0</v>
      </c>
      <c r="J36" s="5">
        <f>Table1[[#This Row],[Enrolment S.Y. 2025-2026 ]]*8</f>
        <v>0</v>
      </c>
      <c r="K36" s="5"/>
      <c r="L36" s="26"/>
      <c r="M36" s="5"/>
      <c r="N36" s="5">
        <f t="shared" si="12"/>
        <v>0</v>
      </c>
      <c r="O36" s="5">
        <f t="shared" si="13"/>
        <v>0</v>
      </c>
      <c r="P36" s="5">
        <f>Table1[[#This Row],[Enrolment S.Y. 2025-2026 ]]*8</f>
        <v>0</v>
      </c>
      <c r="Q36" s="5"/>
      <c r="R36" s="26"/>
      <c r="S36" s="5"/>
      <c r="T36" s="5">
        <f t="shared" si="14"/>
        <v>0</v>
      </c>
      <c r="U36" s="5">
        <f t="shared" si="15"/>
        <v>0</v>
      </c>
      <c r="V36" s="5">
        <f>Table1[[#This Row],[Enrolment S.Y. 2025-2026 ]]*8</f>
        <v>0</v>
      </c>
      <c r="W36" s="5"/>
      <c r="X36" s="1"/>
      <c r="Y36" s="5"/>
      <c r="Z36" s="5">
        <f t="shared" si="16"/>
        <v>0</v>
      </c>
      <c r="AA36" s="5">
        <f t="shared" si="17"/>
        <v>0</v>
      </c>
    </row>
    <row r="37" spans="1:27" ht="19.5">
      <c r="A37" s="1">
        <v>4</v>
      </c>
      <c r="B37" s="9" t="s">
        <v>10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4"/>
        <v>0</v>
      </c>
      <c r="I37" s="5">
        <f t="shared" si="5"/>
        <v>0</v>
      </c>
      <c r="J37" s="5">
        <f>Table1[[#This Row],[Enrolment S.Y. 2025-2026 ]]*8</f>
        <v>0</v>
      </c>
      <c r="K37" s="5"/>
      <c r="L37" s="26"/>
      <c r="M37" s="5"/>
      <c r="N37" s="5">
        <f t="shared" si="12"/>
        <v>0</v>
      </c>
      <c r="O37" s="5">
        <f t="shared" si="13"/>
        <v>0</v>
      </c>
      <c r="P37" s="5">
        <f>Table1[[#This Row],[Enrolment S.Y. 2025-2026 ]]*8</f>
        <v>0</v>
      </c>
      <c r="Q37" s="5"/>
      <c r="R37" s="26"/>
      <c r="S37" s="5"/>
      <c r="T37" s="5">
        <f t="shared" si="14"/>
        <v>0</v>
      </c>
      <c r="U37" s="5">
        <f t="shared" si="15"/>
        <v>0</v>
      </c>
      <c r="V37" s="5">
        <f>Table1[[#This Row],[Enrolment S.Y. 2025-2026 ]]*8</f>
        <v>0</v>
      </c>
      <c r="W37" s="5"/>
      <c r="X37" s="1"/>
      <c r="Y37" s="5"/>
      <c r="Z37" s="5">
        <f t="shared" si="16"/>
        <v>0</v>
      </c>
      <c r="AA37" s="5">
        <f t="shared" si="17"/>
        <v>0</v>
      </c>
    </row>
    <row r="38" spans="1:27" ht="19.5">
      <c r="A38" s="1">
        <v>4</v>
      </c>
      <c r="B38" s="9" t="s">
        <v>16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4"/>
        <v>0</v>
      </c>
      <c r="I38" s="5">
        <f t="shared" si="5"/>
        <v>0</v>
      </c>
      <c r="J38" s="5">
        <f>Table1[[#This Row],[Enrolment S.Y. 2025-2026 ]]*8</f>
        <v>0</v>
      </c>
      <c r="K38" s="5"/>
      <c r="L38" s="26"/>
      <c r="M38" s="5"/>
      <c r="N38" s="5">
        <f t="shared" si="12"/>
        <v>0</v>
      </c>
      <c r="O38" s="5">
        <f t="shared" si="13"/>
        <v>0</v>
      </c>
      <c r="P38" s="5">
        <f>Table1[[#This Row],[Enrolment S.Y. 2025-2026 ]]*8</f>
        <v>0</v>
      </c>
      <c r="Q38" s="5"/>
      <c r="R38" s="26"/>
      <c r="S38" s="5"/>
      <c r="T38" s="5">
        <f t="shared" si="14"/>
        <v>0</v>
      </c>
      <c r="U38" s="5">
        <f t="shared" si="15"/>
        <v>0</v>
      </c>
      <c r="V38" s="5">
        <f>Table1[[#This Row],[Enrolment S.Y. 2025-2026 ]]*8</f>
        <v>0</v>
      </c>
      <c r="W38" s="5"/>
      <c r="X38" s="1"/>
      <c r="Y38" s="5"/>
      <c r="Z38" s="5">
        <f t="shared" si="16"/>
        <v>0</v>
      </c>
      <c r="AA38" s="5">
        <f t="shared" si="17"/>
        <v>0</v>
      </c>
    </row>
    <row r="39" spans="1:27" ht="19.5">
      <c r="A39" s="1">
        <v>4</v>
      </c>
      <c r="B39" s="9" t="s">
        <v>13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4"/>
        <v>0</v>
      </c>
      <c r="I39" s="5">
        <f t="shared" si="5"/>
        <v>0</v>
      </c>
      <c r="J39" s="5">
        <f>Table1[[#This Row],[Enrolment S.Y. 2025-2026 ]]*8</f>
        <v>0</v>
      </c>
      <c r="K39" s="5"/>
      <c r="L39" s="26"/>
      <c r="M39" s="5"/>
      <c r="N39" s="5">
        <f t="shared" si="12"/>
        <v>0</v>
      </c>
      <c r="O39" s="5">
        <f t="shared" si="13"/>
        <v>0</v>
      </c>
      <c r="P39" s="5">
        <f>Table1[[#This Row],[Enrolment S.Y. 2025-2026 ]]*8</f>
        <v>0</v>
      </c>
      <c r="Q39" s="5"/>
      <c r="R39" s="26"/>
      <c r="S39" s="5"/>
      <c r="T39" s="5">
        <f t="shared" si="14"/>
        <v>0</v>
      </c>
      <c r="U39" s="5">
        <f t="shared" si="15"/>
        <v>0</v>
      </c>
      <c r="V39" s="5">
        <f>Table1[[#This Row],[Enrolment S.Y. 2025-2026 ]]*8</f>
        <v>0</v>
      </c>
      <c r="W39" s="5"/>
      <c r="X39" s="1"/>
      <c r="Y39" s="5"/>
      <c r="Z39" s="5">
        <f t="shared" si="16"/>
        <v>0</v>
      </c>
      <c r="AA39" s="5">
        <f t="shared" si="17"/>
        <v>0</v>
      </c>
    </row>
    <row r="40" spans="1:27" ht="19.5">
      <c r="A40" s="1">
        <v>4</v>
      </c>
      <c r="B40" s="9" t="s">
        <v>17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4"/>
        <v>0</v>
      </c>
      <c r="I40" s="5">
        <f t="shared" si="5"/>
        <v>0</v>
      </c>
      <c r="J40" s="5">
        <f>Table1[[#This Row],[Enrolment S.Y. 2025-2026 ]]*8</f>
        <v>0</v>
      </c>
      <c r="K40" s="5"/>
      <c r="L40" s="26"/>
      <c r="M40" s="5"/>
      <c r="N40" s="5">
        <f t="shared" si="12"/>
        <v>0</v>
      </c>
      <c r="O40" s="5">
        <f t="shared" si="13"/>
        <v>0</v>
      </c>
      <c r="P40" s="5">
        <f>Table1[[#This Row],[Enrolment S.Y. 2025-2026 ]]*8</f>
        <v>0</v>
      </c>
      <c r="Q40" s="5"/>
      <c r="R40" s="26"/>
      <c r="S40" s="5"/>
      <c r="T40" s="5">
        <f t="shared" si="14"/>
        <v>0</v>
      </c>
      <c r="U40" s="5">
        <f t="shared" si="15"/>
        <v>0</v>
      </c>
      <c r="V40" s="5">
        <f>Table1[[#This Row],[Enrolment S.Y. 2025-2026 ]]*8</f>
        <v>0</v>
      </c>
      <c r="W40" s="5"/>
      <c r="X40" s="1"/>
      <c r="Y40" s="5"/>
      <c r="Z40" s="5">
        <f t="shared" si="16"/>
        <v>0</v>
      </c>
      <c r="AA40" s="5">
        <f t="shared" si="17"/>
        <v>0</v>
      </c>
    </row>
    <row r="41" spans="1:27" ht="19.5">
      <c r="A41" s="1">
        <v>4</v>
      </c>
      <c r="B41" s="9" t="s">
        <v>18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4"/>
        <v>0</v>
      </c>
      <c r="I41" s="5">
        <f t="shared" si="5"/>
        <v>0</v>
      </c>
      <c r="J41" s="5">
        <f>Table1[[#This Row],[Enrolment S.Y. 2025-2026 ]]*8</f>
        <v>0</v>
      </c>
      <c r="K41" s="5"/>
      <c r="L41" s="26"/>
      <c r="M41" s="5"/>
      <c r="N41" s="5">
        <f t="shared" si="12"/>
        <v>0</v>
      </c>
      <c r="O41" s="5">
        <f t="shared" si="13"/>
        <v>0</v>
      </c>
      <c r="P41" s="5">
        <f>Table1[[#This Row],[Enrolment S.Y. 2025-2026 ]]*8</f>
        <v>0</v>
      </c>
      <c r="Q41" s="5"/>
      <c r="R41" s="26"/>
      <c r="S41" s="5"/>
      <c r="T41" s="5">
        <f t="shared" si="14"/>
        <v>0</v>
      </c>
      <c r="U41" s="5">
        <f t="shared" si="15"/>
        <v>0</v>
      </c>
      <c r="V41" s="5">
        <f>Table1[[#This Row],[Enrolment S.Y. 2025-2026 ]]*8</f>
        <v>0</v>
      </c>
      <c r="W41" s="5"/>
      <c r="X41" s="1"/>
      <c r="Y41" s="5"/>
      <c r="Z41" s="5">
        <f t="shared" si="16"/>
        <v>0</v>
      </c>
      <c r="AA41" s="5">
        <f t="shared" si="17"/>
        <v>0</v>
      </c>
    </row>
    <row r="42" spans="1:27" ht="19.5">
      <c r="A42" s="1">
        <v>4</v>
      </c>
      <c r="B42" s="9" t="s">
        <v>19</v>
      </c>
      <c r="C42" s="1"/>
      <c r="D42" s="5">
        <f>Table1[[#This Row],[Enrolment S.Y. 2025-2026 ]]*8</f>
        <v>0</v>
      </c>
      <c r="E42" s="5"/>
      <c r="F42" s="1"/>
      <c r="G42" s="5"/>
      <c r="H42" s="5">
        <f t="shared" si="4"/>
        <v>0</v>
      </c>
      <c r="I42" s="5">
        <f t="shared" si="5"/>
        <v>0</v>
      </c>
      <c r="J42" s="5">
        <f>Table1[[#This Row],[Enrolment S.Y. 2025-2026 ]]*8</f>
        <v>0</v>
      </c>
      <c r="K42" s="5"/>
      <c r="L42" s="26"/>
      <c r="M42" s="5"/>
      <c r="N42" s="5">
        <f t="shared" si="12"/>
        <v>0</v>
      </c>
      <c r="O42" s="5">
        <f t="shared" si="13"/>
        <v>0</v>
      </c>
      <c r="P42" s="5">
        <f>Table1[[#This Row],[Enrolment S.Y. 2025-2026 ]]*8</f>
        <v>0</v>
      </c>
      <c r="Q42" s="5"/>
      <c r="R42" s="26"/>
      <c r="S42" s="5"/>
      <c r="T42" s="5">
        <f t="shared" si="14"/>
        <v>0</v>
      </c>
      <c r="U42" s="5">
        <f t="shared" si="15"/>
        <v>0</v>
      </c>
      <c r="V42" s="5">
        <f>Table1[[#This Row],[Enrolment S.Y. 2025-2026 ]]*8</f>
        <v>0</v>
      </c>
      <c r="W42" s="5"/>
      <c r="X42" s="1"/>
      <c r="Y42" s="5"/>
      <c r="Z42" s="5">
        <f t="shared" si="16"/>
        <v>0</v>
      </c>
      <c r="AA42" s="5">
        <f t="shared" si="17"/>
        <v>0</v>
      </c>
    </row>
    <row r="43" spans="1:27" ht="19.5">
      <c r="A43" s="7"/>
      <c r="B43" s="7"/>
      <c r="C43" s="7"/>
      <c r="D43" s="7"/>
      <c r="E43" s="7"/>
      <c r="F43" s="7"/>
      <c r="G43" s="7"/>
      <c r="H43" s="7"/>
      <c r="I43" s="7"/>
      <c r="J43" s="10"/>
      <c r="K43" s="7"/>
      <c r="L43" s="7"/>
      <c r="M43" s="5"/>
      <c r="N43" s="10"/>
      <c r="O43" s="10"/>
      <c r="P43" s="10"/>
      <c r="Q43" s="7"/>
      <c r="R43" s="7"/>
      <c r="S43" s="5"/>
      <c r="T43" s="10"/>
      <c r="U43" s="10"/>
      <c r="V43" s="10"/>
      <c r="W43" s="7"/>
      <c r="X43" s="7"/>
      <c r="Y43" s="5"/>
      <c r="Z43" s="10"/>
      <c r="AA43" s="10"/>
    </row>
    <row r="44" spans="1:27" ht="19.5">
      <c r="A44" s="1">
        <v>5</v>
      </c>
      <c r="B44" s="9" t="s">
        <v>14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4"/>
        <v>0</v>
      </c>
      <c r="I44" s="5">
        <f t="shared" si="5"/>
        <v>0</v>
      </c>
      <c r="J44" s="5">
        <f>Table1[[#This Row],[Enrolment S.Y. 2025-2026 ]]*8</f>
        <v>0</v>
      </c>
      <c r="K44" s="5"/>
      <c r="L44" s="26"/>
      <c r="M44" s="5"/>
      <c r="N44" s="5">
        <f t="shared" si="12"/>
        <v>0</v>
      </c>
      <c r="O44" s="5">
        <f t="shared" si="13"/>
        <v>0</v>
      </c>
      <c r="P44" s="5">
        <f>Table1[[#This Row],[Enrolment S.Y. 2025-2026 ]]*8</f>
        <v>0</v>
      </c>
      <c r="Q44" s="5"/>
      <c r="R44" s="26"/>
      <c r="S44" s="5"/>
      <c r="T44" s="5">
        <f t="shared" si="14"/>
        <v>0</v>
      </c>
      <c r="U44" s="5">
        <f t="shared" si="15"/>
        <v>0</v>
      </c>
      <c r="V44" s="5">
        <f>Table1[[#This Row],[Enrolment S.Y. 2025-2026 ]]*8</f>
        <v>0</v>
      </c>
      <c r="W44" s="5"/>
      <c r="X44" s="1"/>
      <c r="Y44" s="5"/>
      <c r="Z44" s="5">
        <f t="shared" si="16"/>
        <v>0</v>
      </c>
      <c r="AA44" s="5">
        <f t="shared" si="17"/>
        <v>0</v>
      </c>
    </row>
    <row r="45" spans="1:27" s="7" customFormat="1" ht="19.5">
      <c r="A45" s="1">
        <v>5</v>
      </c>
      <c r="B45" s="9" t="s">
        <v>15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4"/>
        <v>0</v>
      </c>
      <c r="I45" s="5">
        <f t="shared" si="5"/>
        <v>0</v>
      </c>
      <c r="J45" s="5">
        <f>Table1[[#This Row],[Enrolment S.Y. 2025-2026 ]]*8</f>
        <v>0</v>
      </c>
      <c r="K45" s="5"/>
      <c r="L45" s="26"/>
      <c r="M45" s="5"/>
      <c r="N45" s="5">
        <f t="shared" si="12"/>
        <v>0</v>
      </c>
      <c r="O45" s="5">
        <f t="shared" si="13"/>
        <v>0</v>
      </c>
      <c r="P45" s="5">
        <f>Table1[[#This Row],[Enrolment S.Y. 2025-2026 ]]*8</f>
        <v>0</v>
      </c>
      <c r="Q45" s="5"/>
      <c r="R45" s="26"/>
      <c r="S45" s="5"/>
      <c r="T45" s="5">
        <f t="shared" si="14"/>
        <v>0</v>
      </c>
      <c r="U45" s="5">
        <f t="shared" si="15"/>
        <v>0</v>
      </c>
      <c r="V45" s="5">
        <f>Table1[[#This Row],[Enrolment S.Y. 2025-2026 ]]*8</f>
        <v>0</v>
      </c>
      <c r="W45" s="5"/>
      <c r="X45" s="1"/>
      <c r="Y45" s="5"/>
      <c r="Z45" s="5">
        <f t="shared" si="16"/>
        <v>0</v>
      </c>
      <c r="AA45" s="5">
        <f t="shared" si="17"/>
        <v>0</v>
      </c>
    </row>
    <row r="46" spans="1:27" ht="19.5">
      <c r="A46" s="1">
        <v>5</v>
      </c>
      <c r="B46" s="9" t="s">
        <v>12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4"/>
        <v>0</v>
      </c>
      <c r="I46" s="5">
        <f t="shared" si="5"/>
        <v>0</v>
      </c>
      <c r="J46" s="5">
        <f>Table1[[#This Row],[Enrolment S.Y. 2025-2026 ]]*8</f>
        <v>0</v>
      </c>
      <c r="K46" s="5"/>
      <c r="L46" s="26"/>
      <c r="M46" s="5"/>
      <c r="N46" s="5">
        <f t="shared" si="12"/>
        <v>0</v>
      </c>
      <c r="O46" s="5">
        <f t="shared" si="13"/>
        <v>0</v>
      </c>
      <c r="P46" s="5">
        <f>Table1[[#This Row],[Enrolment S.Y. 2025-2026 ]]*8</f>
        <v>0</v>
      </c>
      <c r="Q46" s="5"/>
      <c r="R46" s="26"/>
      <c r="S46" s="5"/>
      <c r="T46" s="5">
        <f t="shared" si="14"/>
        <v>0</v>
      </c>
      <c r="U46" s="5">
        <f t="shared" si="15"/>
        <v>0</v>
      </c>
      <c r="V46" s="5">
        <f>Table1[[#This Row],[Enrolment S.Y. 2025-2026 ]]*8</f>
        <v>0</v>
      </c>
      <c r="W46" s="5"/>
      <c r="X46" s="1"/>
      <c r="Y46" s="5"/>
      <c r="Z46" s="5">
        <f t="shared" si="16"/>
        <v>0</v>
      </c>
      <c r="AA46" s="5">
        <f t="shared" si="17"/>
        <v>0</v>
      </c>
    </row>
    <row r="47" spans="1:27" ht="19.5">
      <c r="A47" s="1">
        <v>5</v>
      </c>
      <c r="B47" s="9" t="s">
        <v>10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4"/>
        <v>0</v>
      </c>
      <c r="I47" s="5">
        <f t="shared" si="5"/>
        <v>0</v>
      </c>
      <c r="J47" s="5">
        <f>Table1[[#This Row],[Enrolment S.Y. 2025-2026 ]]*8</f>
        <v>0</v>
      </c>
      <c r="K47" s="5"/>
      <c r="L47" s="26"/>
      <c r="M47" s="5"/>
      <c r="N47" s="5">
        <f t="shared" si="12"/>
        <v>0</v>
      </c>
      <c r="O47" s="5">
        <f t="shared" si="13"/>
        <v>0</v>
      </c>
      <c r="P47" s="5">
        <f>Table1[[#This Row],[Enrolment S.Y. 2025-2026 ]]*8</f>
        <v>0</v>
      </c>
      <c r="Q47" s="5"/>
      <c r="R47" s="26"/>
      <c r="S47" s="5"/>
      <c r="T47" s="5">
        <f t="shared" si="14"/>
        <v>0</v>
      </c>
      <c r="U47" s="5">
        <f t="shared" si="15"/>
        <v>0</v>
      </c>
      <c r="V47" s="5">
        <f>Table1[[#This Row],[Enrolment S.Y. 2025-2026 ]]*8</f>
        <v>0</v>
      </c>
      <c r="W47" s="5"/>
      <c r="X47" s="1"/>
      <c r="Y47" s="5"/>
      <c r="Z47" s="5">
        <f t="shared" si="16"/>
        <v>0</v>
      </c>
      <c r="AA47" s="5">
        <f t="shared" si="17"/>
        <v>0</v>
      </c>
    </row>
    <row r="48" spans="1:27" ht="19.5">
      <c r="A48" s="1">
        <v>5</v>
      </c>
      <c r="B48" s="9" t="s">
        <v>16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4"/>
        <v>0</v>
      </c>
      <c r="I48" s="5">
        <f t="shared" si="5"/>
        <v>0</v>
      </c>
      <c r="J48" s="5">
        <f>Table1[[#This Row],[Enrolment S.Y. 2025-2026 ]]*8</f>
        <v>0</v>
      </c>
      <c r="K48" s="5"/>
      <c r="L48" s="26"/>
      <c r="M48" s="5"/>
      <c r="N48" s="5">
        <f t="shared" si="12"/>
        <v>0</v>
      </c>
      <c r="O48" s="5">
        <f t="shared" si="13"/>
        <v>0</v>
      </c>
      <c r="P48" s="5">
        <f>Table1[[#This Row],[Enrolment S.Y. 2025-2026 ]]*8</f>
        <v>0</v>
      </c>
      <c r="Q48" s="5"/>
      <c r="R48" s="26"/>
      <c r="S48" s="5"/>
      <c r="T48" s="5">
        <f t="shared" si="14"/>
        <v>0</v>
      </c>
      <c r="U48" s="5">
        <f t="shared" si="15"/>
        <v>0</v>
      </c>
      <c r="V48" s="5">
        <f>Table1[[#This Row],[Enrolment S.Y. 2025-2026 ]]*8</f>
        <v>0</v>
      </c>
      <c r="W48" s="5"/>
      <c r="X48" s="1"/>
      <c r="Y48" s="5"/>
      <c r="Z48" s="5">
        <f t="shared" si="16"/>
        <v>0</v>
      </c>
      <c r="AA48" s="5">
        <f t="shared" si="17"/>
        <v>0</v>
      </c>
    </row>
    <row r="49" spans="1:27" ht="19.5">
      <c r="A49" s="1">
        <v>5</v>
      </c>
      <c r="B49" s="9" t="s">
        <v>13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4"/>
        <v>0</v>
      </c>
      <c r="I49" s="5">
        <f t="shared" si="5"/>
        <v>0</v>
      </c>
      <c r="J49" s="5">
        <f>Table1[[#This Row],[Enrolment S.Y. 2025-2026 ]]*8</f>
        <v>0</v>
      </c>
      <c r="K49" s="5"/>
      <c r="L49" s="26"/>
      <c r="M49" s="5"/>
      <c r="N49" s="5">
        <f t="shared" si="12"/>
        <v>0</v>
      </c>
      <c r="O49" s="5">
        <f t="shared" si="13"/>
        <v>0</v>
      </c>
      <c r="P49" s="5">
        <f>Table1[[#This Row],[Enrolment S.Y. 2025-2026 ]]*8</f>
        <v>0</v>
      </c>
      <c r="Q49" s="5"/>
      <c r="R49" s="26"/>
      <c r="S49" s="5"/>
      <c r="T49" s="5">
        <f t="shared" si="14"/>
        <v>0</v>
      </c>
      <c r="U49" s="5">
        <f t="shared" si="15"/>
        <v>0</v>
      </c>
      <c r="V49" s="5">
        <f>Table1[[#This Row],[Enrolment S.Y. 2025-2026 ]]*8</f>
        <v>0</v>
      </c>
      <c r="W49" s="5"/>
      <c r="X49" s="1"/>
      <c r="Y49" s="5"/>
      <c r="Z49" s="5">
        <f t="shared" si="16"/>
        <v>0</v>
      </c>
      <c r="AA49" s="5">
        <f t="shared" si="17"/>
        <v>0</v>
      </c>
    </row>
    <row r="50" spans="1:27" ht="19.5">
      <c r="A50" s="1">
        <v>5</v>
      </c>
      <c r="B50" s="9" t="s">
        <v>17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4"/>
        <v>0</v>
      </c>
      <c r="I50" s="5">
        <f t="shared" si="5"/>
        <v>0</v>
      </c>
      <c r="J50" s="5">
        <f>Table1[[#This Row],[Enrolment S.Y. 2025-2026 ]]*8</f>
        <v>0</v>
      </c>
      <c r="K50" s="5"/>
      <c r="L50" s="26"/>
      <c r="M50" s="5"/>
      <c r="N50" s="5">
        <f t="shared" si="12"/>
        <v>0</v>
      </c>
      <c r="O50" s="5">
        <f t="shared" si="13"/>
        <v>0</v>
      </c>
      <c r="P50" s="5">
        <f>Table1[[#This Row],[Enrolment S.Y. 2025-2026 ]]*8</f>
        <v>0</v>
      </c>
      <c r="Q50" s="5"/>
      <c r="R50" s="26"/>
      <c r="S50" s="5"/>
      <c r="T50" s="5">
        <f t="shared" si="14"/>
        <v>0</v>
      </c>
      <c r="U50" s="5">
        <f t="shared" si="15"/>
        <v>0</v>
      </c>
      <c r="V50" s="5">
        <f>Table1[[#This Row],[Enrolment S.Y. 2025-2026 ]]*8</f>
        <v>0</v>
      </c>
      <c r="W50" s="5"/>
      <c r="X50" s="1"/>
      <c r="Y50" s="5"/>
      <c r="Z50" s="5">
        <f t="shared" si="16"/>
        <v>0</v>
      </c>
      <c r="AA50" s="5">
        <f t="shared" si="17"/>
        <v>0</v>
      </c>
    </row>
    <row r="51" spans="1:27" ht="19.5">
      <c r="A51" s="1">
        <v>5</v>
      </c>
      <c r="B51" s="9" t="s">
        <v>18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4"/>
        <v>0</v>
      </c>
      <c r="I51" s="5">
        <f t="shared" si="5"/>
        <v>0</v>
      </c>
      <c r="J51" s="5">
        <f>Table1[[#This Row],[Enrolment S.Y. 2025-2026 ]]*8</f>
        <v>0</v>
      </c>
      <c r="K51" s="5"/>
      <c r="L51" s="26"/>
      <c r="M51" s="5"/>
      <c r="N51" s="5">
        <f t="shared" si="12"/>
        <v>0</v>
      </c>
      <c r="O51" s="5">
        <f t="shared" si="13"/>
        <v>0</v>
      </c>
      <c r="P51" s="5">
        <f>Table1[[#This Row],[Enrolment S.Y. 2025-2026 ]]*8</f>
        <v>0</v>
      </c>
      <c r="Q51" s="5"/>
      <c r="R51" s="26"/>
      <c r="S51" s="5"/>
      <c r="T51" s="5">
        <f t="shared" si="14"/>
        <v>0</v>
      </c>
      <c r="U51" s="5">
        <f t="shared" si="15"/>
        <v>0</v>
      </c>
      <c r="V51" s="5">
        <f>Table1[[#This Row],[Enrolment S.Y. 2025-2026 ]]*8</f>
        <v>0</v>
      </c>
      <c r="W51" s="5"/>
      <c r="X51" s="1"/>
      <c r="Y51" s="5"/>
      <c r="Z51" s="5">
        <f t="shared" si="16"/>
        <v>0</v>
      </c>
      <c r="AA51" s="5">
        <f t="shared" si="17"/>
        <v>0</v>
      </c>
    </row>
    <row r="52" spans="1:27" ht="19.5">
      <c r="A52" s="1">
        <v>5</v>
      </c>
      <c r="B52" s="9" t="s">
        <v>19</v>
      </c>
      <c r="C52" s="1"/>
      <c r="D52" s="5">
        <f>Table1[[#This Row],[Enrolment S.Y. 2025-2026 ]]*8</f>
        <v>0</v>
      </c>
      <c r="E52" s="5"/>
      <c r="F52" s="1"/>
      <c r="G52" s="5"/>
      <c r="H52" s="5">
        <f t="shared" si="4"/>
        <v>0</v>
      </c>
      <c r="I52" s="5">
        <f t="shared" si="5"/>
        <v>0</v>
      </c>
      <c r="J52" s="5">
        <f>Table1[[#This Row],[Enrolment S.Y. 2025-2026 ]]*8</f>
        <v>0</v>
      </c>
      <c r="K52" s="5"/>
      <c r="L52" s="26"/>
      <c r="M52" s="5"/>
      <c r="N52" s="5">
        <f t="shared" si="12"/>
        <v>0</v>
      </c>
      <c r="O52" s="5">
        <f t="shared" si="13"/>
        <v>0</v>
      </c>
      <c r="P52" s="5">
        <f>Table1[[#This Row],[Enrolment S.Y. 2025-2026 ]]*8</f>
        <v>0</v>
      </c>
      <c r="Q52" s="5"/>
      <c r="R52" s="26"/>
      <c r="S52" s="5"/>
      <c r="T52" s="5">
        <f t="shared" si="14"/>
        <v>0</v>
      </c>
      <c r="U52" s="5">
        <f t="shared" si="15"/>
        <v>0</v>
      </c>
      <c r="V52" s="5">
        <f>Table1[[#This Row],[Enrolment S.Y. 2025-2026 ]]*8</f>
        <v>0</v>
      </c>
      <c r="W52" s="5"/>
      <c r="X52" s="1"/>
      <c r="Y52" s="5"/>
      <c r="Z52" s="5">
        <f t="shared" si="16"/>
        <v>0</v>
      </c>
      <c r="AA52" s="5">
        <f t="shared" si="17"/>
        <v>0</v>
      </c>
    </row>
    <row r="53" spans="1:27" ht="19.5">
      <c r="A53" s="7"/>
      <c r="B53" s="7"/>
      <c r="C53" s="7"/>
      <c r="D53" s="7"/>
      <c r="E53" s="7"/>
      <c r="F53" s="7"/>
      <c r="G53" s="7"/>
      <c r="H53" s="7"/>
      <c r="I53" s="7"/>
      <c r="J53" s="10"/>
      <c r="K53" s="7"/>
      <c r="L53" s="7"/>
      <c r="M53" s="5"/>
      <c r="N53" s="10"/>
      <c r="O53" s="10"/>
      <c r="P53" s="10"/>
      <c r="Q53" s="7"/>
      <c r="R53" s="7"/>
      <c r="S53" s="5"/>
      <c r="T53" s="10"/>
      <c r="U53" s="10"/>
      <c r="V53" s="10"/>
      <c r="W53" s="7"/>
      <c r="X53" s="7"/>
      <c r="Y53" s="5"/>
      <c r="Z53" s="10"/>
      <c r="AA53" s="10"/>
    </row>
    <row r="54" spans="1:27" ht="19.5">
      <c r="A54" s="1">
        <v>6</v>
      </c>
      <c r="B54" s="9" t="s">
        <v>14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4"/>
        <v>0</v>
      </c>
      <c r="I54" s="5">
        <f t="shared" si="5"/>
        <v>0</v>
      </c>
      <c r="J54" s="5">
        <f>Table1[[#This Row],[Enrolment S.Y. 2025-2026 ]]*8</f>
        <v>0</v>
      </c>
      <c r="K54" s="5"/>
      <c r="L54" s="26"/>
      <c r="M54" s="5"/>
      <c r="N54" s="5">
        <f t="shared" si="12"/>
        <v>0</v>
      </c>
      <c r="O54" s="5">
        <f t="shared" si="13"/>
        <v>0</v>
      </c>
      <c r="P54" s="5">
        <f>Table1[[#This Row],[Enrolment S.Y. 2025-2026 ]]*8</f>
        <v>0</v>
      </c>
      <c r="Q54" s="5"/>
      <c r="R54" s="26"/>
      <c r="S54" s="5"/>
      <c r="T54" s="5">
        <f t="shared" si="14"/>
        <v>0</v>
      </c>
      <c r="U54" s="5">
        <f t="shared" si="15"/>
        <v>0</v>
      </c>
      <c r="V54" s="5">
        <f>Table1[[#This Row],[Enrolment S.Y. 2025-2026 ]]*8</f>
        <v>0</v>
      </c>
      <c r="W54" s="5"/>
      <c r="X54" s="1"/>
      <c r="Y54" s="5"/>
      <c r="Z54" s="5">
        <f t="shared" si="16"/>
        <v>0</v>
      </c>
      <c r="AA54" s="5">
        <f t="shared" si="17"/>
        <v>0</v>
      </c>
    </row>
    <row r="55" spans="1:27" s="7" customFormat="1" ht="19.5">
      <c r="A55" s="1">
        <v>6</v>
      </c>
      <c r="B55" s="9" t="s">
        <v>15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4"/>
        <v>0</v>
      </c>
      <c r="I55" s="5">
        <f t="shared" si="5"/>
        <v>0</v>
      </c>
      <c r="J55" s="5">
        <f>Table1[[#This Row],[Enrolment S.Y. 2025-2026 ]]*8</f>
        <v>0</v>
      </c>
      <c r="K55" s="5"/>
      <c r="L55" s="26"/>
      <c r="M55" s="5"/>
      <c r="N55" s="5">
        <f t="shared" si="12"/>
        <v>0</v>
      </c>
      <c r="O55" s="5">
        <f t="shared" si="13"/>
        <v>0</v>
      </c>
      <c r="P55" s="5">
        <f>Table1[[#This Row],[Enrolment S.Y. 2025-2026 ]]*8</f>
        <v>0</v>
      </c>
      <c r="Q55" s="5"/>
      <c r="R55" s="26"/>
      <c r="S55" s="5"/>
      <c r="T55" s="5">
        <f t="shared" si="14"/>
        <v>0</v>
      </c>
      <c r="U55" s="5">
        <f t="shared" si="15"/>
        <v>0</v>
      </c>
      <c r="V55" s="5">
        <f>Table1[[#This Row],[Enrolment S.Y. 2025-2026 ]]*8</f>
        <v>0</v>
      </c>
      <c r="W55" s="5"/>
      <c r="X55" s="1"/>
      <c r="Y55" s="5"/>
      <c r="Z55" s="5">
        <f t="shared" si="16"/>
        <v>0</v>
      </c>
      <c r="AA55" s="5">
        <f t="shared" si="17"/>
        <v>0</v>
      </c>
    </row>
    <row r="56" spans="1:27" ht="19.5">
      <c r="A56" s="1">
        <v>6</v>
      </c>
      <c r="B56" s="9" t="s">
        <v>12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4"/>
        <v>0</v>
      </c>
      <c r="I56" s="5">
        <f t="shared" si="5"/>
        <v>0</v>
      </c>
      <c r="J56" s="5">
        <f>Table1[[#This Row],[Enrolment S.Y. 2025-2026 ]]*8</f>
        <v>0</v>
      </c>
      <c r="K56" s="5"/>
      <c r="L56" s="26"/>
      <c r="M56" s="5"/>
      <c r="N56" s="5">
        <f t="shared" si="12"/>
        <v>0</v>
      </c>
      <c r="O56" s="5">
        <f t="shared" si="13"/>
        <v>0</v>
      </c>
      <c r="P56" s="5">
        <f>Table1[[#This Row],[Enrolment S.Y. 2025-2026 ]]*8</f>
        <v>0</v>
      </c>
      <c r="Q56" s="5"/>
      <c r="R56" s="26"/>
      <c r="S56" s="5"/>
      <c r="T56" s="5">
        <f t="shared" si="14"/>
        <v>0</v>
      </c>
      <c r="U56" s="5">
        <f t="shared" si="15"/>
        <v>0</v>
      </c>
      <c r="V56" s="5">
        <f>Table1[[#This Row],[Enrolment S.Y. 2025-2026 ]]*8</f>
        <v>0</v>
      </c>
      <c r="W56" s="5"/>
      <c r="X56" s="1"/>
      <c r="Y56" s="5"/>
      <c r="Z56" s="5">
        <f t="shared" si="16"/>
        <v>0</v>
      </c>
      <c r="AA56" s="5">
        <f t="shared" si="17"/>
        <v>0</v>
      </c>
    </row>
    <row r="57" spans="1:27" ht="19.5">
      <c r="A57" s="1">
        <v>6</v>
      </c>
      <c r="B57" s="9" t="s">
        <v>10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4"/>
        <v>0</v>
      </c>
      <c r="I57" s="5">
        <f t="shared" si="5"/>
        <v>0</v>
      </c>
      <c r="J57" s="5">
        <f>Table1[[#This Row],[Enrolment S.Y. 2025-2026 ]]*8</f>
        <v>0</v>
      </c>
      <c r="K57" s="5"/>
      <c r="L57" s="26"/>
      <c r="M57" s="5"/>
      <c r="N57" s="5">
        <f t="shared" si="12"/>
        <v>0</v>
      </c>
      <c r="O57" s="5">
        <f t="shared" si="13"/>
        <v>0</v>
      </c>
      <c r="P57" s="5">
        <f>Table1[[#This Row],[Enrolment S.Y. 2025-2026 ]]*8</f>
        <v>0</v>
      </c>
      <c r="Q57" s="5"/>
      <c r="R57" s="26"/>
      <c r="S57" s="5"/>
      <c r="T57" s="5">
        <f t="shared" si="14"/>
        <v>0</v>
      </c>
      <c r="U57" s="5">
        <f t="shared" si="15"/>
        <v>0</v>
      </c>
      <c r="V57" s="5">
        <f>Table1[[#This Row],[Enrolment S.Y. 2025-2026 ]]*8</f>
        <v>0</v>
      </c>
      <c r="W57" s="5"/>
      <c r="X57" s="1"/>
      <c r="Y57" s="5"/>
      <c r="Z57" s="5">
        <f t="shared" si="16"/>
        <v>0</v>
      </c>
      <c r="AA57" s="5">
        <f t="shared" si="17"/>
        <v>0</v>
      </c>
    </row>
    <row r="58" spans="1:27" ht="19.5">
      <c r="A58" s="1">
        <v>6</v>
      </c>
      <c r="B58" s="9" t="s">
        <v>16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4"/>
        <v>0</v>
      </c>
      <c r="I58" s="5">
        <f t="shared" si="5"/>
        <v>0</v>
      </c>
      <c r="J58" s="5">
        <f>Table1[[#This Row],[Enrolment S.Y. 2025-2026 ]]*8</f>
        <v>0</v>
      </c>
      <c r="K58" s="5"/>
      <c r="L58" s="26"/>
      <c r="M58" s="5"/>
      <c r="N58" s="5">
        <f t="shared" si="12"/>
        <v>0</v>
      </c>
      <c r="O58" s="5">
        <f t="shared" si="13"/>
        <v>0</v>
      </c>
      <c r="P58" s="5">
        <f>Table1[[#This Row],[Enrolment S.Y. 2025-2026 ]]*8</f>
        <v>0</v>
      </c>
      <c r="Q58" s="5"/>
      <c r="R58" s="26"/>
      <c r="S58" s="5"/>
      <c r="T58" s="5">
        <f t="shared" si="14"/>
        <v>0</v>
      </c>
      <c r="U58" s="5">
        <f t="shared" si="15"/>
        <v>0</v>
      </c>
      <c r="V58" s="5">
        <f>Table1[[#This Row],[Enrolment S.Y. 2025-2026 ]]*8</f>
        <v>0</v>
      </c>
      <c r="W58" s="5"/>
      <c r="X58" s="1"/>
      <c r="Y58" s="5"/>
      <c r="Z58" s="5">
        <f t="shared" si="16"/>
        <v>0</v>
      </c>
      <c r="AA58" s="5">
        <f t="shared" si="17"/>
        <v>0</v>
      </c>
    </row>
    <row r="59" spans="1:27" ht="19.5">
      <c r="A59" s="1">
        <v>6</v>
      </c>
      <c r="B59" s="9" t="s">
        <v>13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4"/>
        <v>0</v>
      </c>
      <c r="I59" s="5">
        <f t="shared" si="5"/>
        <v>0</v>
      </c>
      <c r="J59" s="5">
        <f>Table1[[#This Row],[Enrolment S.Y. 2025-2026 ]]*8</f>
        <v>0</v>
      </c>
      <c r="K59" s="5"/>
      <c r="L59" s="26"/>
      <c r="M59" s="5"/>
      <c r="N59" s="5">
        <f t="shared" si="12"/>
        <v>0</v>
      </c>
      <c r="O59" s="5">
        <f t="shared" si="13"/>
        <v>0</v>
      </c>
      <c r="P59" s="5">
        <f>Table1[[#This Row],[Enrolment S.Y. 2025-2026 ]]*8</f>
        <v>0</v>
      </c>
      <c r="Q59" s="5"/>
      <c r="R59" s="26"/>
      <c r="S59" s="5"/>
      <c r="T59" s="5">
        <f t="shared" si="14"/>
        <v>0</v>
      </c>
      <c r="U59" s="5">
        <f t="shared" si="15"/>
        <v>0</v>
      </c>
      <c r="V59" s="5">
        <f>Table1[[#This Row],[Enrolment S.Y. 2025-2026 ]]*8</f>
        <v>0</v>
      </c>
      <c r="W59" s="5"/>
      <c r="X59" s="1"/>
      <c r="Y59" s="5"/>
      <c r="Z59" s="5">
        <f t="shared" si="16"/>
        <v>0</v>
      </c>
      <c r="AA59" s="5">
        <f t="shared" si="17"/>
        <v>0</v>
      </c>
    </row>
    <row r="60" spans="1:27" ht="19.5">
      <c r="A60" s="1">
        <v>6</v>
      </c>
      <c r="B60" s="9" t="s">
        <v>17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4"/>
        <v>0</v>
      </c>
      <c r="I60" s="5">
        <f t="shared" si="5"/>
        <v>0</v>
      </c>
      <c r="J60" s="5">
        <f>Table1[[#This Row],[Enrolment S.Y. 2025-2026 ]]*8</f>
        <v>0</v>
      </c>
      <c r="K60" s="5"/>
      <c r="L60" s="26"/>
      <c r="M60" s="5"/>
      <c r="N60" s="5">
        <f t="shared" si="12"/>
        <v>0</v>
      </c>
      <c r="O60" s="5">
        <f t="shared" si="13"/>
        <v>0</v>
      </c>
      <c r="P60" s="5">
        <f>Table1[[#This Row],[Enrolment S.Y. 2025-2026 ]]*8</f>
        <v>0</v>
      </c>
      <c r="Q60" s="5"/>
      <c r="R60" s="26"/>
      <c r="S60" s="5"/>
      <c r="T60" s="5">
        <f t="shared" si="14"/>
        <v>0</v>
      </c>
      <c r="U60" s="5">
        <f t="shared" si="15"/>
        <v>0</v>
      </c>
      <c r="V60" s="5">
        <f>Table1[[#This Row],[Enrolment S.Y. 2025-2026 ]]*8</f>
        <v>0</v>
      </c>
      <c r="W60" s="5"/>
      <c r="X60" s="1"/>
      <c r="Y60" s="5"/>
      <c r="Z60" s="5">
        <f t="shared" si="16"/>
        <v>0</v>
      </c>
      <c r="AA60" s="5">
        <f t="shared" si="17"/>
        <v>0</v>
      </c>
    </row>
    <row r="61" spans="1:27" ht="19.5">
      <c r="A61" s="1">
        <v>6</v>
      </c>
      <c r="B61" s="9" t="s">
        <v>18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4"/>
        <v>0</v>
      </c>
      <c r="I61" s="5">
        <f t="shared" si="5"/>
        <v>0</v>
      </c>
      <c r="J61" s="5">
        <f>Table1[[#This Row],[Enrolment S.Y. 2025-2026 ]]*8</f>
        <v>0</v>
      </c>
      <c r="K61" s="5"/>
      <c r="L61" s="26"/>
      <c r="M61" s="5"/>
      <c r="N61" s="5">
        <f t="shared" si="12"/>
        <v>0</v>
      </c>
      <c r="O61" s="5">
        <f t="shared" si="13"/>
        <v>0</v>
      </c>
      <c r="P61" s="5">
        <f>Table1[[#This Row],[Enrolment S.Y. 2025-2026 ]]*8</f>
        <v>0</v>
      </c>
      <c r="Q61" s="5"/>
      <c r="R61" s="26"/>
      <c r="S61" s="5"/>
      <c r="T61" s="5">
        <f t="shared" si="14"/>
        <v>0</v>
      </c>
      <c r="U61" s="5">
        <f t="shared" si="15"/>
        <v>0</v>
      </c>
      <c r="V61" s="5">
        <f>Table1[[#This Row],[Enrolment S.Y. 2025-2026 ]]*8</f>
        <v>0</v>
      </c>
      <c r="W61" s="5"/>
      <c r="X61" s="1"/>
      <c r="Y61" s="5"/>
      <c r="Z61" s="5">
        <f t="shared" si="16"/>
        <v>0</v>
      </c>
      <c r="AA61" s="5">
        <f t="shared" si="17"/>
        <v>0</v>
      </c>
    </row>
    <row r="62" spans="1:27" ht="19.5">
      <c r="A62" s="1">
        <v>6</v>
      </c>
      <c r="B62" s="9" t="s">
        <v>19</v>
      </c>
      <c r="C62" s="1"/>
      <c r="D62" s="5">
        <f>Table1[[#This Row],[Enrolment S.Y. 2025-2026 ]]*8</f>
        <v>0</v>
      </c>
      <c r="E62" s="5"/>
      <c r="F62" s="1"/>
      <c r="G62" s="5"/>
      <c r="H62" s="5">
        <f t="shared" si="4"/>
        <v>0</v>
      </c>
      <c r="I62" s="5">
        <f t="shared" si="5"/>
        <v>0</v>
      </c>
      <c r="J62" s="5">
        <f>Table1[[#This Row],[Enrolment S.Y. 2025-2026 ]]*8</f>
        <v>0</v>
      </c>
      <c r="K62" s="5"/>
      <c r="L62" s="26"/>
      <c r="M62" s="5"/>
      <c r="N62" s="5">
        <f t="shared" si="12"/>
        <v>0</v>
      </c>
      <c r="O62" s="5">
        <f t="shared" si="13"/>
        <v>0</v>
      </c>
      <c r="P62" s="5">
        <f>Table1[[#This Row],[Enrolment S.Y. 2025-2026 ]]*8</f>
        <v>0</v>
      </c>
      <c r="Q62" s="5"/>
      <c r="R62" s="26"/>
      <c r="S62" s="5"/>
      <c r="T62" s="5">
        <f t="shared" si="14"/>
        <v>0</v>
      </c>
      <c r="U62" s="5">
        <f t="shared" si="15"/>
        <v>0</v>
      </c>
      <c r="V62" s="5">
        <f>Table1[[#This Row],[Enrolment S.Y. 2025-2026 ]]*8</f>
        <v>0</v>
      </c>
      <c r="W62" s="5"/>
      <c r="X62" s="1"/>
      <c r="Y62" s="5"/>
      <c r="Z62" s="5">
        <f t="shared" si="16"/>
        <v>0</v>
      </c>
      <c r="AA62" s="5">
        <f t="shared" si="17"/>
        <v>0</v>
      </c>
    </row>
    <row r="63" spans="1:27" ht="15"/>
    <row r="64" spans="1:27" ht="15"/>
    <row r="65" spans="1:27" s="7" customFormat="1" ht="1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</row>
    <row r="66" spans="1:27" ht="15"/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s="7" customFormat="1" ht="1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</row>
    <row r="76" spans="1:27" ht="15"/>
    <row r="77" spans="1:27" ht="15"/>
    <row r="78" spans="1:27" ht="15"/>
    <row r="79" spans="1:27" ht="15"/>
    <row r="80" spans="1:27" ht="15"/>
    <row r="81" spans="1:27" ht="15"/>
    <row r="82" spans="1:27" ht="15"/>
    <row r="83" spans="1:27" ht="15"/>
    <row r="84" spans="1:27" ht="15"/>
    <row r="85" spans="1:27" s="7" customFormat="1" ht="1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</row>
    <row r="86" spans="1:27" ht="15"/>
    <row r="87" spans="1:27" ht="15"/>
    <row r="88" spans="1:27" ht="15"/>
    <row r="89" spans="1:27" ht="15"/>
    <row r="90" spans="1:27" ht="15"/>
    <row r="91" spans="1:27" ht="15"/>
    <row r="92" spans="1:27" ht="15"/>
    <row r="93" spans="1:27" ht="15"/>
    <row r="94" spans="1:27" ht="15"/>
    <row r="95" spans="1:27" s="7" customFormat="1" ht="1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</row>
    <row r="96" spans="1:27" ht="15"/>
    <row r="97" spans="1:27" ht="15"/>
    <row r="98" spans="1:27" ht="15"/>
    <row r="99" spans="1:27" ht="15"/>
    <row r="100" spans="1:27" ht="15"/>
    <row r="101" spans="1:27" ht="15"/>
    <row r="102" spans="1:27" ht="15"/>
    <row r="103" spans="1:27" ht="15"/>
    <row r="104" spans="1:27" ht="15"/>
    <row r="105" spans="1:27" s="7" customFormat="1" ht="1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</row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7" ht="15"/>
    <row r="114" spans="1:27" s="7" customFormat="1" ht="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7" ht="15"/>
    <row r="116" spans="1:27" ht="15"/>
    <row r="117" spans="1:27" ht="15"/>
    <row r="118" spans="1:27" ht="15"/>
    <row r="119" spans="1:27" ht="15"/>
    <row r="120" spans="1:27" ht="15"/>
    <row r="121" spans="1:27" ht="15"/>
    <row r="122" spans="1:27" ht="15"/>
    <row r="123" spans="1:27" ht="15"/>
    <row r="124" spans="1:27" ht="15"/>
    <row r="125" spans="1:27" ht="15"/>
    <row r="126" spans="1:27" ht="15"/>
    <row r="127" spans="1:27" ht="15"/>
    <row r="128" spans="1:27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</sheetData>
  <protectedRanges>
    <protectedRange sqref="C15:C22 C24:C32 C34:C42 C44:C52 C54:C62 C2:C13" name="Textbooks"/>
    <protectedRange sqref="H34:I42 H44:I52 H54:I62 W34:X42 K34:L42 K44:L52 K54:L62 W44:X52 W54:X62 V5:W5 H15:I22 H24:I32 H7:I13 K7:K13 N14:P62 P2:R2 T14:V62 J7:J62 Z6:AA62 T6:W13 Y14 J2:L3 V2:X4 N3:R13 H6:K6 D2:F13 D15:F22 D24:F32 D34:F42 D44:F52 D54:F62 X5:X13 W15:X22 W24:X32 Q15:R22 Q24:R32 Q34:R42 J4:K5 L4:L13 Q44:R52 Q54:R62 K15:L22 K24:L32" name="LAS"/>
    <protectedRange sqref="M2:O2 G6:G13 S6:S62 S2:U5 M15:M62 G15:G22 Y2:AA5 Y15:Y62 G24:G32 G34:G42 G44:G52 G54:G62 G2:I5 M3:M13 Y6:Y13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L54:L62 L3:L13 L15:L22 L24:L32 L34:L42 L44:L52 R54:R62 R3:R13 R15:R22 R24:R32 R34:R42 R44:R52 X15:X22 X24:X32 X34:X42 X44:X52 X54:X62 X3:X13 F3:F13 F15:F22 F24:F32 F44:F52 F34:F42 F54:F62" xr:uid="{4ECCD083-8EC4-42EE-B46C-B614411F330D}">
      <formula1>"2024,2025,2026"</formula1>
    </dataValidation>
    <dataValidation type="list" allowBlank="1" showInputMessage="1" showErrorMessage="1" sqref="M15:M62 M6:M13 G15:G22 G24:G32 G34:G42 G44:G52 G54:G62 G3:G13 Y3:Y13 S6:S62 Y15:Y62" xr:uid="{5129D80C-83DF-45BE-B6AD-F21CA596CBA5}">
      <formula1>"CO,RO,SDO,LGU,SCHOOL"</formula1>
    </dataValidation>
  </dataValidations>
  <pageMargins left="0.7" right="0.7" top="0.75" bottom="0.75" header="0.3" footer="0.3"/>
  <ignoredErrors>
    <ignoredError sqref="J6 P7 V6 P6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56" zoomScale="55" zoomScaleNormal="55" workbookViewId="0">
      <selection activeCell="H99" sqref="H9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9" t="s">
        <v>21</v>
      </c>
      <c r="E1" s="39"/>
      <c r="F1" s="39"/>
      <c r="G1" s="39"/>
      <c r="H1" s="39"/>
      <c r="I1" s="39"/>
      <c r="J1" s="40" t="s">
        <v>22</v>
      </c>
      <c r="K1" s="40"/>
      <c r="L1" s="40"/>
      <c r="M1" s="40"/>
      <c r="N1" s="40"/>
      <c r="O1" s="40"/>
      <c r="P1" s="41" t="s">
        <v>23</v>
      </c>
      <c r="Q1" s="41"/>
      <c r="R1" s="41"/>
      <c r="S1" s="41"/>
      <c r="T1" s="41"/>
      <c r="U1" s="41"/>
      <c r="V1" s="42" t="s">
        <v>24</v>
      </c>
      <c r="W1" s="42"/>
      <c r="X1" s="42"/>
      <c r="Y1" s="42"/>
      <c r="Z1" s="42"/>
      <c r="AA1" s="42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54</v>
      </c>
      <c r="E2" s="17" t="s">
        <v>55</v>
      </c>
      <c r="F2" s="18" t="s">
        <v>56</v>
      </c>
      <c r="G2" s="21" t="s">
        <v>57</v>
      </c>
      <c r="H2" s="14" t="s">
        <v>58</v>
      </c>
      <c r="I2" s="21" t="s">
        <v>59</v>
      </c>
      <c r="J2" s="19" t="s">
        <v>60</v>
      </c>
      <c r="K2" s="19" t="s">
        <v>61</v>
      </c>
      <c r="L2" s="20" t="s">
        <v>62</v>
      </c>
      <c r="M2" s="33" t="s">
        <v>63</v>
      </c>
      <c r="N2" s="33" t="s">
        <v>64</v>
      </c>
      <c r="O2" s="19" t="s">
        <v>65</v>
      </c>
      <c r="P2" s="21" t="s">
        <v>66</v>
      </c>
      <c r="Q2" s="21" t="s">
        <v>67</v>
      </c>
      <c r="R2" s="22" t="s">
        <v>68</v>
      </c>
      <c r="S2" s="14" t="s">
        <v>69</v>
      </c>
      <c r="T2" s="14" t="s">
        <v>70</v>
      </c>
      <c r="U2" s="21" t="s">
        <v>71</v>
      </c>
      <c r="V2" s="23" t="s">
        <v>72</v>
      </c>
      <c r="W2" s="23" t="s">
        <v>73</v>
      </c>
      <c r="X2" s="24" t="s">
        <v>74</v>
      </c>
      <c r="Y2" s="34" t="s">
        <v>75</v>
      </c>
      <c r="Z2" s="34" t="s">
        <v>76</v>
      </c>
      <c r="AA2" s="23" t="s">
        <v>77</v>
      </c>
    </row>
    <row r="3" spans="1:27" ht="29.25" customHeight="1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53</v>
      </c>
      <c r="C10" s="1"/>
      <c r="D10" s="5"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 ht="15"/>
    <row r="12" spans="1:27" ht="38.2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9" t="s">
        <v>53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 ht="15"/>
    <row r="21" spans="1:27" ht="38.2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9" t="s">
        <v>53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 ht="15"/>
    <row r="31" spans="1:27" ht="19.5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1">
        <v>4</v>
      </c>
      <c r="B37" s="9" t="s">
        <v>78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79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1">
        <v>4</v>
      </c>
      <c r="B40" s="9" t="s">
        <v>80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81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 ht="15"/>
    <row r="43" spans="1:27" ht="19.5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1">
        <v>5</v>
      </c>
      <c r="B49" s="9" t="s">
        <v>78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79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1">
        <v>5</v>
      </c>
      <c r="B52" s="9" t="s">
        <v>80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81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 ht="15"/>
    <row r="55" spans="1:27" ht="19.5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1">
        <v>6</v>
      </c>
      <c r="B61" s="9" t="s">
        <v>78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79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1">
        <v>6</v>
      </c>
      <c r="B64" s="9" t="s">
        <v>80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81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N3:O10 T3:U10 Z3:AA10 Z12:AA19 Z21:AA29 Z31:AA41 Z43:AA53 Z55:AA65 H55:L65 T21:X29 V2:X10 P2:R10 T31:X41 D2:F10 D12:F19 D21:F29 D31:F41 D43:F53 D55:F65 T43:X53 T55:X65 N12:R19 N21:R29 N31:R41 H3:L10 N43:R53 N55:R65 T12:X19 H12:L19 H21:L29 H31:L41 H43:L53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L55:L65 L3:L10 L12:L19 L21:L29 L31:L41 L43:L53 R55:R65 R3:R10 R12:R19 R21:R29 R31:R41 R43:R53 X55:X65 X3:X10 X12:X19 X21:X29 X31:X41 X43:X53 F3:F10 F12:F19 F21:F29 F31:F41 F43:F53 F55:F65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2026-04-14T02:13:12Z</dcterms:modified>
  <cp:category/>
  <cp:contentStatus/>
</cp:coreProperties>
</file>