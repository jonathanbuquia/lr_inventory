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3" documentId="13_ncr:1_{BFB59F67-F0DC-4675-A682-EB0734A8026A}" xr6:coauthVersionLast="47" xr6:coauthVersionMax="47" xr10:uidLastSave="{14A8CF2D-2BB1-4085-B3C8-BDCAD7FFB7AC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1" l="1"/>
  <c r="H99" i="1"/>
  <c r="G100" i="1"/>
  <c r="H100" i="1"/>
  <c r="D5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<sst xmlns="http://schemas.openxmlformats.org/spreadsheetml/2006/main" count="413" uniqueCount="93">
  <si>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</si>
  <si>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</si>
  <si>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</si>
  <si>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</si>
  <si>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</si>
  <si>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</si>
  <si>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</si>
  <si>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</si>
  <si>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</si>
  <si>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</si>
  <si>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</si>
  <si>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</si>
  <si>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</si>
  <si>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</si>
  <si>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</si>
  <si>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</si>
  <si>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</si>
  <si>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</si>
  <si>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</si>
  <si>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</si>
  <si>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</si>
  <si>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</si>
  <si>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</si>
  <si>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</si>
  <si>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</si>
  <si>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</si>
  <si>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</si>
  <si>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</si>
  <si>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</si>
  <si>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</si>
  <si>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</si>
  <si>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</si>
  <si>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</si>
  <si>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Philippine Politics and Governance</t>
  </si>
  <si>
    <t>Heritage (Understanding Culture, Society &amp; Politics)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</si>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</sst>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vertical="center" wrapText="1"/>
    </xf>
    <xf numFmtId="0" fontId="14" fillId="7" borderId="0" xfId="0" applyFont="1" applyFill="1" applyAlignment="1">
      <alignment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7" totalsRowShown="0" headerRowDxfId="62" headerRowBorderDxfId="60" tableBorderDxfId="61">
  <autoFilter ref="A1:H14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xSplit="2" topLeftCell="D1" activePane="topRight" state="frozen"/>
      <selection pane="topRight" activeCell="G54" sqref="G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1150</v>
      </c>
      <c r="D51" s="10">
        <v>1344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194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1150</v>
      </c>
      <c r="D53" s="10">
        <v>1344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194</v>
      </c>
    </row>
    <row r="54" spans="1:8" ht="27.75" customHeight="1">
      <c r="A54" s="10">
        <v>7</v>
      </c>
      <c r="B54" s="11" t="s">
        <v>21</v>
      </c>
      <c r="C54" s="10">
        <v>1150</v>
      </c>
      <c r="D54" s="10">
        <v>1344</v>
      </c>
      <c r="E54" s="10">
        <v>2026</v>
      </c>
      <c r="F54" s="12" t="s">
        <v>20</v>
      </c>
      <c r="G54" s="3">
        <f t="shared" si="10"/>
        <v>0</v>
      </c>
      <c r="H54" s="4">
        <f t="shared" si="11"/>
        <v>194</v>
      </c>
    </row>
    <row r="55" spans="1:8" ht="39" customHeight="1">
      <c r="A55" s="10">
        <v>7</v>
      </c>
      <c r="B55" s="11" t="s">
        <v>16</v>
      </c>
      <c r="C55" s="10">
        <v>1150</v>
      </c>
      <c r="D55" s="10">
        <v>1344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194</v>
      </c>
    </row>
    <row r="56" spans="1:8" ht="27.75" customHeight="1">
      <c r="A56" s="10">
        <v>7</v>
      </c>
      <c r="B56" s="11" t="s">
        <v>13</v>
      </c>
      <c r="C56" s="10">
        <v>1150</v>
      </c>
      <c r="D56" s="10">
        <v>1344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194</v>
      </c>
    </row>
    <row r="57" spans="1:8" ht="27.75" customHeight="1">
      <c r="A57" s="10">
        <v>7</v>
      </c>
      <c r="B57" s="11" t="s">
        <v>17</v>
      </c>
      <c r="C57" s="10">
        <v>1150</v>
      </c>
      <c r="D57" s="10">
        <v>1344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194</v>
      </c>
    </row>
    <row r="58" spans="1:8" ht="27.75" customHeight="1">
      <c r="A58" s="10">
        <v>7</v>
      </c>
      <c r="B58" s="11" t="s">
        <v>22</v>
      </c>
      <c r="C58" s="10">
        <v>1150</v>
      </c>
      <c r="D58" s="10">
        <v>1344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194</v>
      </c>
    </row>
    <row r="59" spans="1:8" ht="27.75" customHeight="1">
      <c r="A59" s="10">
        <v>7</v>
      </c>
      <c r="B59" s="11" t="s">
        <v>19</v>
      </c>
      <c r="C59" s="10">
        <v>1150</v>
      </c>
      <c r="D59" s="10">
        <v>1344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194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1103</v>
      </c>
      <c r="D63" s="10">
        <v>1074</v>
      </c>
      <c r="E63" s="10">
        <v>2025</v>
      </c>
      <c r="F63" s="12" t="s">
        <v>20</v>
      </c>
      <c r="G63" s="3">
        <f t="shared" si="12"/>
        <v>29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1103</v>
      </c>
      <c r="D64" s="10">
        <v>1074</v>
      </c>
      <c r="E64" s="10">
        <v>2025</v>
      </c>
      <c r="F64" s="12" t="s">
        <v>20</v>
      </c>
      <c r="G64" s="3">
        <f t="shared" si="12"/>
        <v>29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1103</v>
      </c>
      <c r="D66" s="10">
        <v>1074</v>
      </c>
      <c r="E66" s="10">
        <v>2026</v>
      </c>
      <c r="F66" s="12" t="s">
        <v>20</v>
      </c>
      <c r="G66" s="3">
        <f t="shared" si="12"/>
        <v>29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933</v>
      </c>
      <c r="D82" s="10">
        <v>1183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250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>
        <v>797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797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>
        <v>797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797</v>
      </c>
    </row>
    <row r="94" spans="1:8" ht="27.75" customHeight="1">
      <c r="A94" s="1" t="s">
        <v>24</v>
      </c>
      <c r="B94" s="9" t="s">
        <v>28</v>
      </c>
      <c r="C94" s="1"/>
      <c r="D94" s="1">
        <v>797</v>
      </c>
      <c r="E94" s="1">
        <v>2024</v>
      </c>
      <c r="F94" s="5" t="s">
        <v>20</v>
      </c>
      <c r="G94" s="3">
        <f t="shared" si="18"/>
        <v>0</v>
      </c>
      <c r="H94" s="4">
        <f t="shared" si="19"/>
        <v>797</v>
      </c>
    </row>
    <row r="95" spans="1:8" ht="40.5" customHeight="1">
      <c r="A95" s="1" t="s">
        <v>24</v>
      </c>
      <c r="B95" s="9" t="s">
        <v>29</v>
      </c>
      <c r="C95" s="1"/>
      <c r="D95" s="1">
        <v>797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797</v>
      </c>
    </row>
    <row r="96" spans="1:8" ht="38.25" customHeight="1">
      <c r="A96" s="1" t="s">
        <v>24</v>
      </c>
      <c r="B96" s="9" t="s">
        <v>30</v>
      </c>
      <c r="C96" s="1"/>
      <c r="D96" s="1">
        <v>797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797</v>
      </c>
    </row>
    <row r="97" spans="1:8" ht="27.75" customHeight="1">
      <c r="A97" s="1" t="s">
        <v>24</v>
      </c>
      <c r="B97" s="9" t="s">
        <v>31</v>
      </c>
      <c r="C97" s="1"/>
      <c r="D97" s="1">
        <v>797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797</v>
      </c>
    </row>
    <row r="98" spans="1:8" ht="47.25" customHeight="1">
      <c r="A98" s="1" t="s">
        <v>24</v>
      </c>
      <c r="B98" s="9" t="s">
        <v>32</v>
      </c>
      <c r="C98" s="29"/>
      <c r="D98" s="29">
        <v>797</v>
      </c>
      <c r="E98" s="1">
        <v>2025</v>
      </c>
      <c r="F98" s="31" t="s">
        <v>20</v>
      </c>
      <c r="G98" s="44">
        <f t="shared" si="18"/>
        <v>0</v>
      </c>
      <c r="H98" s="45">
        <f t="shared" si="19"/>
        <v>797</v>
      </c>
    </row>
    <row r="99" spans="1:8" ht="47.25" customHeight="1">
      <c r="A99" s="1" t="s">
        <v>24</v>
      </c>
      <c r="B99" s="42" t="s">
        <v>33</v>
      </c>
      <c r="C99" s="29"/>
      <c r="D99" s="29">
        <v>82</v>
      </c>
      <c r="E99" s="29">
        <v>2024</v>
      </c>
      <c r="F99" s="31" t="s">
        <v>20</v>
      </c>
      <c r="G99" s="44">
        <f t="shared" ref="G99" si="20">IF((C99-D99)&lt;0,0,C99-D99)</f>
        <v>0</v>
      </c>
      <c r="H99" s="45">
        <f t="shared" ref="H99" si="21">IF((D99-C99)&lt;0,0,D99-C99)</f>
        <v>82</v>
      </c>
    </row>
    <row r="100" spans="1:8" ht="47.25" customHeight="1">
      <c r="A100" s="1" t="s">
        <v>24</v>
      </c>
      <c r="B100" s="43" t="s">
        <v>34</v>
      </c>
      <c r="C100" s="1"/>
      <c r="D100" s="1">
        <v>797</v>
      </c>
      <c r="E100" s="1">
        <v>2025</v>
      </c>
      <c r="F100" s="1" t="s">
        <v>20</v>
      </c>
      <c r="G100" s="44">
        <f t="shared" ref="G100" si="22">IF((C100-D100)&lt;0,0,C100-D100)</f>
        <v>0</v>
      </c>
      <c r="H100" s="45">
        <f t="shared" ref="H100" si="23">IF((D100-C100)&lt;0,0,D100-C100)</f>
        <v>797</v>
      </c>
    </row>
  </sheetData>
  <protectedRanges>
    <protectedRange sqref="C1:E100" name="Textbooks"/>
    <protectedRange sqref="F1:F100" name="SOURCE"/>
  </protectedRanges>
  <phoneticPr fontId="8" type="noConversion"/>
  <dataValidations count="2">
    <dataValidation type="list" allowBlank="1" showInputMessage="1" showErrorMessage="1" sqref="E2:E6 E8:E12 E14:E19 E21:E29 E31:E39 E41:E49 E51:E59 E61:E69 E71:E79 E81:E89 E91:E100" xr:uid="{B46E7B13-721E-4D49-837E-C02BF9777D48}">
      <formula1>"2024,2025,2026"</formula1>
    </dataValidation>
    <dataValidation type="list" allowBlank="1" showInputMessage="1" showErrorMessage="1" sqref="F14:F19 F21:F29 F31:F39 F41:F49 F91:F100 F61:F69 F71:F79 F81:F89 F2:F6 F8:F12 F51:F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S112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6" t="s">
        <v>35</v>
      </c>
      <c r="E1" s="46"/>
      <c r="F1" s="46"/>
      <c r="G1" s="46"/>
      <c r="H1" s="46"/>
      <c r="I1" s="46"/>
      <c r="J1" s="47" t="s">
        <v>36</v>
      </c>
      <c r="K1" s="47"/>
      <c r="L1" s="47"/>
      <c r="M1" s="47"/>
      <c r="N1" s="47"/>
      <c r="O1" s="47"/>
      <c r="P1" s="48" t="s">
        <v>37</v>
      </c>
      <c r="Q1" s="48"/>
      <c r="R1" s="48"/>
      <c r="S1" s="48"/>
      <c r="T1" s="48"/>
      <c r="U1" s="48"/>
      <c r="V1" s="49" t="s">
        <v>38</v>
      </c>
      <c r="W1" s="49"/>
      <c r="X1" s="49"/>
      <c r="Y1" s="49"/>
      <c r="Z1" s="49"/>
      <c r="AA1" s="49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 D63:F71 D73:F81 D83:F91 D93:F101 D103:F110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" xr:uid="{58AA1D04-C203-4108-925A-DCE4709DDCD8}">
      <formula1>"2024,2025,2026"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 X112:X127" xr:uid="{EDC9E96D-86E3-4DFE-847E-20650D797801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20" zoomScale="55" zoomScaleNormal="55" workbookViewId="0">
      <selection activeCell="F115" sqref="F115: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6" t="s">
        <v>35</v>
      </c>
      <c r="E1" s="46"/>
      <c r="F1" s="46"/>
      <c r="G1" s="46"/>
      <c r="H1" s="46"/>
      <c r="I1" s="46"/>
      <c r="J1" s="47" t="s">
        <v>36</v>
      </c>
      <c r="K1" s="47"/>
      <c r="L1" s="47"/>
      <c r="M1" s="47"/>
      <c r="N1" s="47"/>
      <c r="O1" s="47"/>
      <c r="P1" s="48" t="s">
        <v>37</v>
      </c>
      <c r="Q1" s="48"/>
      <c r="R1" s="48"/>
      <c r="S1" s="48"/>
      <c r="T1" s="48"/>
      <c r="U1" s="48"/>
      <c r="V1" s="49" t="s">
        <v>38</v>
      </c>
      <c r="W1" s="49"/>
      <c r="X1" s="49"/>
      <c r="Y1" s="49"/>
      <c r="Z1" s="49"/>
      <c r="AA1" s="49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2:F10 D12:F19 D21:F29 D31:F41 D43:F53 D55:F65 D67:F77 D79:F89 D91:F101 D103:F113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R115:R122 X115:X122 L115:L122" xr:uid="{77F72D89-8371-4D0C-A323-BD25723C617C}">
      <formula1>"2024,2025"</formula1>
    </dataValidation>
    <dataValidation type="list" allowBlank="1" showInputMessage="1" showErrorMessage="1" sqref="F3:F10 F12:F19 F21:F29 F31:F41 F43:F53 F55:F65 F67:F77 F79:F89 F91:F101 F103:F113 F115:F122" xr:uid="{B64824F5-D7A3-42BB-9931-69C847BE2A3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2026-02-19T08:49:26Z</dcterms:modified>
  <cp:category/>
  <cp:contentStatus/>
</cp:coreProperties>
</file>