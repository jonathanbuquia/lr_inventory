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9" documentId="13_ncr:1_{BFB59F67-F0DC-4675-A682-EB0734A8026A}" xr6:coauthVersionLast="47" xr6:coauthVersionMax="47" xr10:uidLastSave="{5A634114-F11F-4B4D-AEC0-611D52BBC301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H50" i="1"/>
  <c r="G51" i="1"/>
  <c r="H51" i="1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<sst xmlns="http://schemas.openxmlformats.org/spreadsheetml/2006/main" count="259" uniqueCount="86">
  <si>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</si>
  <si>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</si>
  <si>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</si>
  <si>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</si>
  <si>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</si>
  <si>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</si>
  <si>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</si>
  <si>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</si>
  <si>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</si>
  <si>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</si>
  <si>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</si>
  <si>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</si>
  <si>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</si>
  <si>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</si>
  <si>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</si>
  <si>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</si>
  <si>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</si>
  <si>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</si>
  <si>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</si>
  <si>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</si>
  <si>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</si>
  <si>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</si>
  <si>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</si>
  <si>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</si>
  <si>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</si>
  <si>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</si>
  <si>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</si>
  <si>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</si>
  <si>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Philippine Politics and Governance</t>
  </si>
  <si>
    <t>Heritage (Understanding Culture, Society &amp; Politics)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</si>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</sst>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1" totalsRowShown="0" headerRowDxfId="62" headerRowBorderDxfId="60" tableBorderDxfId="61">
  <autoFilter ref="A1:H51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zoomScale="85" zoomScaleNormal="85" workbookViewId="0">
      <pane xSplit="2" topLeftCell="C1" activePane="topRight" state="frozen"/>
      <selection pane="topRight" activeCell="E101" sqref="E10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1150</v>
      </c>
      <c r="D2" s="8">
        <v>1344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194</v>
      </c>
    </row>
    <row r="3" spans="1:8" ht="29.25" customHeight="1">
      <c r="A3" s="8">
        <v>7</v>
      </c>
      <c r="B3" s="9" t="s">
        <v>10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1150</v>
      </c>
      <c r="D4" s="8">
        <v>1344</v>
      </c>
      <c r="E4" s="8">
        <v>2024</v>
      </c>
      <c r="F4" s="10" t="s">
        <v>9</v>
      </c>
      <c r="G4" s="2">
        <f t="shared" si="0"/>
        <v>0</v>
      </c>
      <c r="H4" s="3">
        <f t="shared" si="1"/>
        <v>194</v>
      </c>
    </row>
    <row r="5" spans="1:8" ht="25.5" customHeight="1">
      <c r="A5" s="8">
        <v>7</v>
      </c>
      <c r="B5" s="9" t="s">
        <v>12</v>
      </c>
      <c r="C5" s="8">
        <v>1150</v>
      </c>
      <c r="D5" s="8">
        <v>1344</v>
      </c>
      <c r="E5" s="8">
        <v>2026</v>
      </c>
      <c r="F5" s="10" t="s">
        <v>9</v>
      </c>
      <c r="G5" s="2">
        <f t="shared" si="0"/>
        <v>0</v>
      </c>
      <c r="H5" s="3">
        <f t="shared" si="1"/>
        <v>194</v>
      </c>
    </row>
    <row r="6" spans="1:8" ht="38.25">
      <c r="A6" s="8">
        <v>7</v>
      </c>
      <c r="B6" s="9" t="s">
        <v>13</v>
      </c>
      <c r="C6" s="8">
        <v>1150</v>
      </c>
      <c r="D6" s="8">
        <v>1344</v>
      </c>
      <c r="E6" s="8">
        <v>2025</v>
      </c>
      <c r="F6" s="10" t="s">
        <v>9</v>
      </c>
      <c r="G6" s="2">
        <f t="shared" si="0"/>
        <v>0</v>
      </c>
      <c r="H6" s="3">
        <f t="shared" si="1"/>
        <v>194</v>
      </c>
    </row>
    <row r="7" spans="1:8" ht="19.5">
      <c r="A7" s="8">
        <v>7</v>
      </c>
      <c r="B7" s="9" t="s">
        <v>14</v>
      </c>
      <c r="C7" s="8">
        <v>1150</v>
      </c>
      <c r="D7" s="8">
        <v>1344</v>
      </c>
      <c r="E7" s="8">
        <v>2024</v>
      </c>
      <c r="F7" s="10" t="s">
        <v>9</v>
      </c>
      <c r="G7" s="2">
        <f t="shared" si="0"/>
        <v>0</v>
      </c>
      <c r="H7" s="3">
        <f t="shared" si="1"/>
        <v>194</v>
      </c>
    </row>
    <row r="8" spans="1:8" ht="39.75" customHeight="1">
      <c r="A8" s="8">
        <v>7</v>
      </c>
      <c r="B8" s="9" t="s">
        <v>15</v>
      </c>
      <c r="C8" s="8">
        <v>1150</v>
      </c>
      <c r="D8" s="8">
        <v>1344</v>
      </c>
      <c r="E8" s="8">
        <v>2025</v>
      </c>
      <c r="F8" s="10" t="s">
        <v>9</v>
      </c>
      <c r="G8" s="2">
        <f t="shared" si="0"/>
        <v>0</v>
      </c>
      <c r="H8" s="3">
        <f t="shared" si="1"/>
        <v>194</v>
      </c>
    </row>
    <row r="9" spans="1:8" ht="29.25" customHeight="1">
      <c r="A9" s="8">
        <v>7</v>
      </c>
      <c r="B9" s="9" t="s">
        <v>16</v>
      </c>
      <c r="C9" s="8">
        <v>1150</v>
      </c>
      <c r="D9" s="8">
        <v>1344</v>
      </c>
      <c r="E9" s="8">
        <v>2025</v>
      </c>
      <c r="F9" s="10" t="s">
        <v>9</v>
      </c>
      <c r="G9" s="2">
        <f t="shared" si="0"/>
        <v>0</v>
      </c>
      <c r="H9" s="3">
        <f t="shared" si="1"/>
        <v>194</v>
      </c>
    </row>
    <row r="10" spans="1:8" ht="28.5" customHeight="1">
      <c r="A10" s="8">
        <v>7</v>
      </c>
      <c r="B10" s="9" t="s">
        <v>17</v>
      </c>
      <c r="C10" s="8">
        <v>1150</v>
      </c>
      <c r="D10" s="8">
        <v>1344</v>
      </c>
      <c r="E10" s="8">
        <v>2025</v>
      </c>
      <c r="F10" s="10" t="s">
        <v>9</v>
      </c>
      <c r="G10" s="2">
        <f t="shared" si="0"/>
        <v>0</v>
      </c>
      <c r="H10" s="3">
        <f t="shared" si="1"/>
        <v>194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1103</v>
      </c>
      <c r="D14" s="8">
        <v>1074</v>
      </c>
      <c r="E14" s="8">
        <v>2025</v>
      </c>
      <c r="F14" s="10" t="s">
        <v>9</v>
      </c>
      <c r="G14" s="2">
        <f t="shared" si="2"/>
        <v>29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>
        <v>1103</v>
      </c>
      <c r="D15" s="8">
        <v>1074</v>
      </c>
      <c r="E15" s="8">
        <v>2025</v>
      </c>
      <c r="F15" s="10" t="s">
        <v>9</v>
      </c>
      <c r="G15" s="2">
        <f t="shared" si="2"/>
        <v>29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1103</v>
      </c>
      <c r="D17" s="8">
        <v>1074</v>
      </c>
      <c r="E17" s="8">
        <v>2026</v>
      </c>
      <c r="F17" s="10" t="s">
        <v>9</v>
      </c>
      <c r="G17" s="2">
        <f t="shared" si="2"/>
        <v>29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933</v>
      </c>
      <c r="D33" s="8">
        <v>1183</v>
      </c>
      <c r="E33" s="8">
        <v>2024</v>
      </c>
      <c r="F33" s="10" t="s">
        <v>9</v>
      </c>
      <c r="G33" s="2">
        <f t="shared" si="6"/>
        <v>0</v>
      </c>
      <c r="H33" s="3">
        <f t="shared" si="7"/>
        <v>250</v>
      </c>
    </row>
    <row r="34" spans="1:8" ht="27.75" customHeight="1">
      <c r="A34" s="8">
        <v>10</v>
      </c>
      <c r="B34" s="9" t="s">
        <v>11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>
        <v>797</v>
      </c>
      <c r="E42" s="1">
        <v>2024</v>
      </c>
      <c r="F42" s="4" t="s">
        <v>9</v>
      </c>
      <c r="G42" s="2">
        <f t="shared" ref="G42:G49" si="8">IF((C42-D42)&lt;0,0,C42-D42)</f>
        <v>0</v>
      </c>
      <c r="H42" s="3">
        <f t="shared" ref="H42:H49" si="9">IF((D42-C42)&lt;0,0,D42-C42)</f>
        <v>797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/>
      <c r="D44" s="1">
        <v>797</v>
      </c>
      <c r="E44" s="1">
        <v>2024</v>
      </c>
      <c r="F44" s="4" t="s">
        <v>9</v>
      </c>
      <c r="G44" s="2">
        <f t="shared" si="8"/>
        <v>0</v>
      </c>
      <c r="H44" s="3">
        <f t="shared" si="9"/>
        <v>797</v>
      </c>
    </row>
    <row r="45" spans="1:8" ht="36.75" customHeight="1">
      <c r="A45" s="1" t="s">
        <v>19</v>
      </c>
      <c r="B45" s="7" t="s">
        <v>23</v>
      </c>
      <c r="C45" s="1"/>
      <c r="D45" s="1">
        <v>797</v>
      </c>
      <c r="E45" s="1">
        <v>2024</v>
      </c>
      <c r="F45" s="4" t="s">
        <v>9</v>
      </c>
      <c r="G45" s="2">
        <f t="shared" si="8"/>
        <v>0</v>
      </c>
      <c r="H45" s="3">
        <f t="shared" si="9"/>
        <v>797</v>
      </c>
    </row>
    <row r="46" spans="1:8" ht="27.75" customHeight="1">
      <c r="A46" s="1" t="s">
        <v>19</v>
      </c>
      <c r="B46" s="7" t="s">
        <v>24</v>
      </c>
      <c r="C46" s="1"/>
      <c r="D46" s="1">
        <v>797</v>
      </c>
      <c r="E46" s="1">
        <v>2025</v>
      </c>
      <c r="F46" s="4" t="s">
        <v>9</v>
      </c>
      <c r="G46" s="2">
        <f t="shared" si="8"/>
        <v>0</v>
      </c>
      <c r="H46" s="3">
        <f t="shared" si="9"/>
        <v>797</v>
      </c>
    </row>
    <row r="47" spans="1:8" ht="27.75" customHeight="1">
      <c r="A47" s="1" t="s">
        <v>19</v>
      </c>
      <c r="B47" s="7" t="s">
        <v>25</v>
      </c>
      <c r="C47" s="1"/>
      <c r="D47" s="1">
        <v>797</v>
      </c>
      <c r="E47" s="1">
        <v>2025</v>
      </c>
      <c r="F47" s="4" t="s">
        <v>9</v>
      </c>
      <c r="G47" s="2">
        <f t="shared" si="8"/>
        <v>0</v>
      </c>
      <c r="H47" s="3">
        <f t="shared" si="9"/>
        <v>797</v>
      </c>
    </row>
    <row r="48" spans="1:8" ht="27.75" customHeight="1">
      <c r="A48" s="1" t="s">
        <v>19</v>
      </c>
      <c r="B48" s="7" t="s">
        <v>26</v>
      </c>
      <c r="C48" s="1"/>
      <c r="D48" s="1">
        <v>797</v>
      </c>
      <c r="E48" s="1">
        <v>2025</v>
      </c>
      <c r="F48" s="4" t="s">
        <v>9</v>
      </c>
      <c r="G48" s="2">
        <f t="shared" si="8"/>
        <v>0</v>
      </c>
      <c r="H48" s="3">
        <f t="shared" si="9"/>
        <v>797</v>
      </c>
    </row>
    <row r="49" spans="1:8" ht="27.75" customHeight="1">
      <c r="A49" s="1" t="s">
        <v>19</v>
      </c>
      <c r="B49" s="7" t="s">
        <v>27</v>
      </c>
      <c r="C49" s="27"/>
      <c r="D49" s="27">
        <v>797</v>
      </c>
      <c r="E49" s="1">
        <v>2025</v>
      </c>
      <c r="F49" s="28" t="s">
        <v>9</v>
      </c>
      <c r="G49" s="36">
        <f t="shared" si="8"/>
        <v>0</v>
      </c>
      <c r="H49" s="37">
        <f t="shared" si="9"/>
        <v>797</v>
      </c>
    </row>
    <row r="50" spans="1:8" ht="27.75" customHeight="1">
      <c r="A50" s="1" t="s">
        <v>19</v>
      </c>
      <c r="B50" s="34" t="s">
        <v>28</v>
      </c>
      <c r="C50" s="27"/>
      <c r="D50" s="27">
        <v>82</v>
      </c>
      <c r="E50" s="27">
        <v>2024</v>
      </c>
      <c r="F50" s="28" t="s">
        <v>9</v>
      </c>
      <c r="G50" s="36">
        <f t="shared" ref="G50" si="10">IF((C50-D50)&lt;0,0,C50-D50)</f>
        <v>0</v>
      </c>
      <c r="H50" s="37">
        <f t="shared" ref="H50" si="11">IF((D50-C50)&lt;0,0,D50-C50)</f>
        <v>82</v>
      </c>
    </row>
    <row r="51" spans="1:8" ht="27.75" customHeight="1">
      <c r="A51" s="1" t="s">
        <v>19</v>
      </c>
      <c r="B51" s="35" t="s">
        <v>29</v>
      </c>
      <c r="C51" s="1"/>
      <c r="D51" s="1">
        <v>797</v>
      </c>
      <c r="E51" s="1">
        <v>2025</v>
      </c>
      <c r="F51" s="1" t="s">
        <v>9</v>
      </c>
      <c r="G51" s="36">
        <f t="shared" ref="G51" si="12">IF((C51-D51)&lt;0,0,C51-D51)</f>
        <v>0</v>
      </c>
      <c r="H51" s="37">
        <f t="shared" ref="H51" si="13">IF((D51-C51)&lt;0,0,D51-C51)</f>
        <v>797</v>
      </c>
    </row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  <row r="99" ht="47.25" customHeight="1"/>
    <row r="100" ht="47.25" customHeight="1"/>
  </sheetData>
  <protectedRanges>
    <protectedRange sqref="C1:E51" name="Textbooks"/>
    <protectedRange sqref="F1:F51" name="SOURCE"/>
  </protectedRanges>
  <phoneticPr fontId="8" type="noConversion"/>
  <dataValidations count="2">
    <dataValidation type="list" allowBlank="1" showInputMessage="1" showErrorMessage="1" sqref="E2:E10 E12:E20 E22:E30 E32:E40 E42:E51" xr:uid="{B46E7B13-721E-4D49-837E-C02BF9777D48}">
      <formula1>"2024,2025,2026"</formula1>
    </dataValidation>
    <dataValidation type="list" allowBlank="1" showInputMessage="1" showErrorMessage="1" sqref="F42:F51 F12:F20 F22:F30 F32:F40 F2:F1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D66" sqref="AD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8" t="s">
        <v>30</v>
      </c>
      <c r="E1" s="38"/>
      <c r="F1" s="38"/>
      <c r="G1" s="38"/>
      <c r="H1" s="38"/>
      <c r="I1" s="38"/>
      <c r="J1" s="39" t="s">
        <v>31</v>
      </c>
      <c r="K1" s="39"/>
      <c r="L1" s="39"/>
      <c r="M1" s="39"/>
      <c r="N1" s="39"/>
      <c r="O1" s="39"/>
      <c r="P1" s="40" t="s">
        <v>32</v>
      </c>
      <c r="Q1" s="40"/>
      <c r="R1" s="40"/>
      <c r="S1" s="40"/>
      <c r="T1" s="40"/>
      <c r="U1" s="40"/>
      <c r="V1" s="41" t="s">
        <v>33</v>
      </c>
      <c r="W1" s="41"/>
      <c r="X1" s="41"/>
      <c r="Y1" s="41"/>
      <c r="Z1" s="41"/>
      <c r="AA1" s="41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34</v>
      </c>
      <c r="E2" s="18" t="s">
        <v>35</v>
      </c>
      <c r="F2" s="19" t="s">
        <v>36</v>
      </c>
      <c r="G2" s="22" t="s">
        <v>37</v>
      </c>
      <c r="H2" s="15" t="s">
        <v>38</v>
      </c>
      <c r="I2" s="22" t="s">
        <v>39</v>
      </c>
      <c r="J2" s="20" t="s">
        <v>40</v>
      </c>
      <c r="K2" s="20" t="s">
        <v>41</v>
      </c>
      <c r="L2" s="21" t="s">
        <v>42</v>
      </c>
      <c r="M2" s="32" t="s">
        <v>43</v>
      </c>
      <c r="N2" s="32" t="s">
        <v>44</v>
      </c>
      <c r="O2" s="20" t="s">
        <v>45</v>
      </c>
      <c r="P2" s="22" t="s">
        <v>46</v>
      </c>
      <c r="Q2" s="22" t="s">
        <v>47</v>
      </c>
      <c r="R2" s="23" t="s">
        <v>48</v>
      </c>
      <c r="S2" s="15" t="s">
        <v>49</v>
      </c>
      <c r="T2" s="15" t="s">
        <v>50</v>
      </c>
      <c r="U2" s="22" t="s">
        <v>51</v>
      </c>
      <c r="V2" s="24" t="s">
        <v>52</v>
      </c>
      <c r="W2" s="24" t="s">
        <v>53</v>
      </c>
      <c r="X2" s="25" t="s">
        <v>54</v>
      </c>
      <c r="Y2" s="33" t="s">
        <v>55</v>
      </c>
      <c r="Z2" s="33" t="s">
        <v>56</v>
      </c>
      <c r="AA2" s="24" t="s">
        <v>57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13:C21 C23:C31 C33:C41 C2:C11" name="Textbooks"/>
    <protectedRange sqref="D2:F11 D13:F21 D23:F31 Z3:AA50 V2:X2 N3:P50 P2:R2 D43:F50 T3:V50 J3:J50 K3:L11 K13:L21 K23:L31 K33:L41 K43:L50 H3:I11 Q3:R11 W3:X11 H13:I21 Q13:R21 W13:X21 H23:I31 Q23:R31 W23:X31 H33:I41 Q33:R41 W33:X41 H43:I50 Q43:R50 W43:X50 D33:F41 J2:L2" name="LAS"/>
    <protectedRange sqref="S2:U2 M2:O2 Y2:AA2 G3:G11 G13:G21 G23:G31 G33:G41 G43:G50 Y3:Y50 M3:M50 S3:S50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  <dataValidation type="list" allowBlank="1" showInputMessage="1" showErrorMessage="1" sqref="F3:F11 F13:F21 F23:F31 F33:F41 F43:F50" xr:uid="{58AA1D04-C203-4108-925A-DCE4709DDCD8}">
      <formula1>"2024,2025,2026"</formula1>
    </dataValidation>
    <dataValidation type="list" allowBlank="1" showInputMessage="1" showErrorMessage="1" sqref="L3:L11 L13:L21 L23:L31 L33:L41 L43:L50 R3:R11 R13:R21 R23:R31 R33:R41 R43:R50 X3:X11 X13:X21 X23:X31 X33:X41 X43:X50" xr:uid="{EDC9E96D-86E3-4DFE-847E-20650D797801}">
      <formula1>"2024,2025  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53"/>
  <sheetViews>
    <sheetView tabSelected="1" zoomScale="55" zoomScaleNormal="55" workbookViewId="0">
      <selection activeCell="AA80" sqref="AA8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9"/>
      <c r="D1" s="38" t="s">
        <v>30</v>
      </c>
      <c r="E1" s="38"/>
      <c r="F1" s="38"/>
      <c r="G1" s="38"/>
      <c r="H1" s="38"/>
      <c r="I1" s="38"/>
      <c r="J1" s="39" t="s">
        <v>31</v>
      </c>
      <c r="K1" s="39"/>
      <c r="L1" s="39"/>
      <c r="M1" s="39"/>
      <c r="N1" s="39"/>
      <c r="O1" s="39"/>
      <c r="P1" s="40" t="s">
        <v>32</v>
      </c>
      <c r="Q1" s="40"/>
      <c r="R1" s="40"/>
      <c r="S1" s="40"/>
      <c r="T1" s="40"/>
      <c r="U1" s="40"/>
      <c r="V1" s="41" t="s">
        <v>33</v>
      </c>
      <c r="W1" s="41"/>
      <c r="X1" s="41"/>
      <c r="Y1" s="41"/>
      <c r="Z1" s="41"/>
      <c r="AA1" s="41"/>
    </row>
    <row r="2" spans="1:27" ht="69.599999999999994" customHeight="1">
      <c r="A2" s="13" t="s">
        <v>0</v>
      </c>
      <c r="B2" s="30" t="s">
        <v>1</v>
      </c>
      <c r="C2" s="14" t="s">
        <v>2</v>
      </c>
      <c r="D2" s="18" t="s">
        <v>58</v>
      </c>
      <c r="E2" s="18" t="s">
        <v>59</v>
      </c>
      <c r="F2" s="19" t="s">
        <v>60</v>
      </c>
      <c r="G2" s="22" t="s">
        <v>61</v>
      </c>
      <c r="H2" s="15" t="s">
        <v>62</v>
      </c>
      <c r="I2" s="22" t="s">
        <v>63</v>
      </c>
      <c r="J2" s="20" t="s">
        <v>64</v>
      </c>
      <c r="K2" s="20" t="s">
        <v>65</v>
      </c>
      <c r="L2" s="21" t="s">
        <v>66</v>
      </c>
      <c r="M2" s="32" t="s">
        <v>67</v>
      </c>
      <c r="N2" s="32" t="s">
        <v>68</v>
      </c>
      <c r="O2" s="20" t="s">
        <v>69</v>
      </c>
      <c r="P2" s="22" t="s">
        <v>70</v>
      </c>
      <c r="Q2" s="22" t="s">
        <v>71</v>
      </c>
      <c r="R2" s="23" t="s">
        <v>72</v>
      </c>
      <c r="S2" s="15" t="s">
        <v>73</v>
      </c>
      <c r="T2" s="15" t="s">
        <v>74</v>
      </c>
      <c r="U2" s="22" t="s">
        <v>75</v>
      </c>
      <c r="V2" s="24" t="s">
        <v>76</v>
      </c>
      <c r="W2" s="24" t="s">
        <v>77</v>
      </c>
      <c r="X2" s="25" t="s">
        <v>78</v>
      </c>
      <c r="Y2" s="33" t="s">
        <v>79</v>
      </c>
      <c r="Z2" s="33" t="s">
        <v>80</v>
      </c>
      <c r="AA2" s="24" t="s">
        <v>81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1">
        <v>7</v>
      </c>
      <c r="B9" s="9" t="s">
        <v>82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83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1">
        <v>7</v>
      </c>
      <c r="B12" s="9" t="s">
        <v>84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85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1">
        <v>8</v>
      </c>
      <c r="B21" s="9" t="s">
        <v>82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83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1">
        <v>8</v>
      </c>
      <c r="B24" s="9" t="s">
        <v>84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85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1">
        <v>9</v>
      </c>
      <c r="B33" s="9" t="s">
        <v>82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83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1">
        <v>9</v>
      </c>
      <c r="B36" s="9" t="s">
        <v>84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85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1">
        <v>10</v>
      </c>
      <c r="B45" s="9" t="s">
        <v>82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83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1">
        <v>10</v>
      </c>
      <c r="B48" s="9" t="s">
        <v>84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85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J59" t="e">
        <f>#REF!*8</f>
        <v>#REF!</v>
      </c>
    </row>
    <row r="60" spans="1:27" ht="15">
      <c r="J60" t="e">
        <f>#REF!*8</f>
        <v>#REF!</v>
      </c>
    </row>
    <row r="61" spans="1:27" ht="15">
      <c r="J61" t="e">
        <f>#REF!*8</f>
        <v>#REF!</v>
      </c>
    </row>
    <row r="62" spans="1:27" ht="15">
      <c r="J62" t="e">
        <f>#REF!*8</f>
        <v>#REF!</v>
      </c>
    </row>
    <row r="63" spans="1:27" ht="15">
      <c r="J63" t="e">
        <f>#REF!*8</f>
        <v>#REF!</v>
      </c>
    </row>
    <row r="64" spans="1:27" ht="15">
      <c r="J64" t="e">
        <f>#REF!*8</f>
        <v>#REF!</v>
      </c>
    </row>
    <row r="65" spans="1:27" ht="15">
      <c r="J65" t="e">
        <f>#REF!*8</f>
        <v>#REF!</v>
      </c>
    </row>
    <row r="66" spans="1:27" s="5" customFormat="1" ht="15">
      <c r="A66"/>
      <c r="B66"/>
      <c r="C66"/>
      <c r="D66"/>
      <c r="E66"/>
      <c r="F66"/>
      <c r="G66"/>
      <c r="H66"/>
      <c r="I66"/>
      <c r="J66" t="e">
        <f>#REF!*8</f>
        <v>#REF!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>
      <c r="J67" t="e">
        <f>#REF!*8</f>
        <v>#REF!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ht="15">
      <c r="J72" t="e">
        <f>#REF!*8</f>
        <v>#REF!</v>
      </c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>
      <c r="AB140" s="5"/>
    </row>
    <row r="141" spans="28:28" ht="15"/>
    <row r="142" spans="28:28" ht="15"/>
    <row r="143" spans="28:28" ht="15"/>
    <row r="144" spans="28:28" ht="15"/>
    <row r="145" ht="15"/>
    <row r="146" ht="15"/>
    <row r="147" ht="15"/>
    <row r="148" ht="15"/>
    <row r="149" ht="15"/>
    <row r="150" ht="15"/>
    <row r="151" ht="15"/>
    <row r="152" ht="15"/>
    <row r="153" ht="15"/>
  </sheetData>
  <protectedRanges>
    <protectedRange sqref="C27:C37 C15:C25 C51:C58 C39:C49 C2:C13" name="Textbooks"/>
    <protectedRange sqref="J2:L2 Z15:AA25 V2:X2 H15:L25 T27:X37 Z27:AA37 H27:L37 T39:X49 Z39:AA49 H39:L49 N51:R58 T51:X58 Z51:AA58 H51:L58 D27:F37 D39:F49 N3:R13 N15:R25 N27:R37 N39:R49 D51:F58 D2:F13 D15:F25 T3:X13 Z3:AA13 H3:L13 T15:X25 P2:R2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3:X13 X15:X25 X27:X37 X39:X49 L3:L13 L15:L25 L27:L37 L39:L49 R3:R13 R15:R25 R27:R37 R39:R49 R51:R58 X51:X58 L51:L58" xr:uid="{77F72D89-8371-4D0C-A323-BD25723C617C}">
      <formula1>"2024,2025"</formula1>
    </dataValidation>
    <dataValidation type="list" allowBlank="1" showInputMessage="1" showErrorMessage="1" sqref="F3:F13 F15:F25 F27:F37 F39:F49 F51:F58" xr:uid="{B64824F5-D7A3-42BB-9931-69C847BE2A3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2026-04-14T02:29:52Z</dcterms:modified>
  <cp:category/>
  <cp:contentStatus/>
</cp:coreProperties>
</file>