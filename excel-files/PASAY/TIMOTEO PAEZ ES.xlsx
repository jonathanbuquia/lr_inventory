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2" documentId="13_ncr:1_{BFB59F67-F0DC-4675-A682-EB0734A8026A}" xr6:coauthVersionLast="47" xr6:coauthVersionMax="47" xr10:uidLastSave="{639B5209-FAA7-4F8E-8A91-E70B6153316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<sst xmlns="http://schemas.openxmlformats.org/spreadsheetml/2006/main" count="402" uniqueCount="92">
  <si>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</si>
  <si>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</si>
  <si>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</si>
  <si>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</si>
  <si>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</si>
  <si>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</si>
  <si>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</si>
  <si>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</si>
  <si>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</si>
  <si>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</si>
  <si>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</si>
  <si>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</si>
  <si>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</si>
  <si>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</si>
  <si>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</si>
  <si>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</si>
  <si>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</si>
  <si>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</si>
  <si>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</si>
  <si>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</si>
  <si>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</si>
  <si>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Year of Delivery: 2026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</si>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</sst>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0" borderId="0" xfId="0" applyFont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98" activePane="topRight" state="frozen"/>
      <selection pane="topRight" activeCell="B120" sqref="B119:B120"/>
    </sheetView>
  </sheetViews>
  <sheetFormatPr defaultRowHeight="13.9"/>
  <cols>
    <col min="1" max="1" width="10.140625" bestFit="1" customWidth="1"/>
    <col min="2" max="2" width="33.285156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27.28515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466</v>
      </c>
      <c r="D2" s="1">
        <v>690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224</v>
      </c>
    </row>
    <row r="3" spans="1:8" ht="29.25" customHeight="1">
      <c r="A3" s="1">
        <v>1</v>
      </c>
      <c r="B3" s="2" t="s">
        <v>10</v>
      </c>
      <c r="C3" s="1">
        <v>466</v>
      </c>
      <c r="D3" s="1">
        <v>690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224</v>
      </c>
    </row>
    <row r="4" spans="1:8" ht="21" customHeight="1">
      <c r="A4" s="1">
        <v>1</v>
      </c>
      <c r="B4" s="2" t="s">
        <v>11</v>
      </c>
      <c r="C4" s="1">
        <v>466</v>
      </c>
      <c r="D4" s="1">
        <v>690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224</v>
      </c>
    </row>
    <row r="5" spans="1:8" ht="25.5" customHeight="1">
      <c r="A5" s="1">
        <v>1</v>
      </c>
      <c r="B5" s="2" t="s">
        <v>12</v>
      </c>
      <c r="C5" s="1">
        <v>466</v>
      </c>
      <c r="D5" s="1">
        <v>690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224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615</v>
      </c>
      <c r="D21" s="1">
        <v>748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133</v>
      </c>
    </row>
    <row r="22" spans="1:8" ht="24" customHeight="1">
      <c r="A22" s="1">
        <v>4</v>
      </c>
      <c r="B22" s="9" t="s">
        <v>16</v>
      </c>
      <c r="C22" s="1">
        <v>615</v>
      </c>
      <c r="D22" s="1">
        <v>748</v>
      </c>
      <c r="E22" s="1">
        <v>2024</v>
      </c>
      <c r="F22" s="5" t="s">
        <v>9</v>
      </c>
      <c r="G22" s="3">
        <f t="shared" si="4"/>
        <v>0</v>
      </c>
      <c r="H22" s="4">
        <f t="shared" si="5"/>
        <v>133</v>
      </c>
    </row>
    <row r="23" spans="1:8" ht="19.5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615</v>
      </c>
      <c r="D24" s="1">
        <v>748</v>
      </c>
      <c r="E24" s="1">
        <v>2025</v>
      </c>
      <c r="F24" s="5" t="s">
        <v>9</v>
      </c>
      <c r="G24" s="3">
        <f t="shared" si="4"/>
        <v>0</v>
      </c>
      <c r="H24" s="4">
        <f t="shared" si="5"/>
        <v>133</v>
      </c>
    </row>
    <row r="25" spans="1:8" ht="33.75" customHeight="1">
      <c r="A25" s="1">
        <v>4</v>
      </c>
      <c r="B25" s="9" t="s">
        <v>17</v>
      </c>
      <c r="C25" s="1">
        <v>615</v>
      </c>
      <c r="D25" s="1">
        <v>703</v>
      </c>
      <c r="E25" s="1">
        <v>2024</v>
      </c>
      <c r="F25" s="5" t="s">
        <v>9</v>
      </c>
      <c r="G25" s="3">
        <f t="shared" si="4"/>
        <v>0</v>
      </c>
      <c r="H25" s="4">
        <f t="shared" si="5"/>
        <v>88</v>
      </c>
    </row>
    <row r="26" spans="1:8" ht="33.75" customHeight="1">
      <c r="A26" s="1">
        <v>4</v>
      </c>
      <c r="B26" s="9" t="s">
        <v>14</v>
      </c>
      <c r="C26" s="1">
        <v>615</v>
      </c>
      <c r="D26" s="1">
        <v>703</v>
      </c>
      <c r="E26" s="1">
        <v>2024</v>
      </c>
      <c r="F26" s="5" t="s">
        <v>9</v>
      </c>
      <c r="G26" s="3">
        <f t="shared" si="4"/>
        <v>0</v>
      </c>
      <c r="H26" s="4">
        <f t="shared" si="5"/>
        <v>88</v>
      </c>
    </row>
    <row r="27" spans="1:8" ht="33.75" customHeight="1">
      <c r="A27" s="1">
        <v>4</v>
      </c>
      <c r="B27" s="9" t="s">
        <v>18</v>
      </c>
      <c r="C27" s="1">
        <v>615</v>
      </c>
      <c r="D27" s="1">
        <v>748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133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7"/>
      <c r="E30" s="7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9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9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9" ht="39" customHeight="1">
      <c r="A35" s="1">
        <v>5</v>
      </c>
      <c r="B35" s="9" t="s">
        <v>17</v>
      </c>
      <c r="C35" s="1">
        <v>584</v>
      </c>
      <c r="D35" s="1">
        <v>896</v>
      </c>
      <c r="E35" s="1">
        <v>2025</v>
      </c>
      <c r="F35" s="5" t="s">
        <v>9</v>
      </c>
      <c r="G35" s="3">
        <f t="shared" si="6"/>
        <v>0</v>
      </c>
      <c r="H35" s="4">
        <f t="shared" si="7"/>
        <v>312</v>
      </c>
    </row>
    <row r="36" spans="1:9" ht="27.75" customHeight="1">
      <c r="A36" s="1">
        <v>5</v>
      </c>
      <c r="B36" s="9" t="s">
        <v>14</v>
      </c>
      <c r="C36" s="1">
        <v>584</v>
      </c>
      <c r="D36" s="1">
        <v>707</v>
      </c>
      <c r="E36" s="1"/>
      <c r="F36" s="5" t="s">
        <v>9</v>
      </c>
      <c r="G36" s="3">
        <f t="shared" si="6"/>
        <v>0</v>
      </c>
      <c r="H36" s="4">
        <f t="shared" si="7"/>
        <v>123</v>
      </c>
      <c r="I36" s="42" t="s">
        <v>21</v>
      </c>
    </row>
    <row r="37" spans="1:9" ht="27.75" customHeight="1">
      <c r="A37" s="1">
        <v>5</v>
      </c>
      <c r="B37" s="9" t="s">
        <v>18</v>
      </c>
      <c r="C37" s="1">
        <v>584</v>
      </c>
      <c r="D37" s="1">
        <v>707</v>
      </c>
      <c r="E37" s="1">
        <v>2025</v>
      </c>
      <c r="F37" s="5" t="s">
        <v>9</v>
      </c>
      <c r="G37" s="3">
        <f t="shared" si="6"/>
        <v>0</v>
      </c>
      <c r="H37" s="4">
        <f t="shared" si="7"/>
        <v>123</v>
      </c>
    </row>
    <row r="38" spans="1:9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9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9" ht="27.75" customHeight="1">
      <c r="A40" s="7"/>
      <c r="B40" s="7"/>
      <c r="C40" s="8"/>
      <c r="D40" s="8"/>
      <c r="E40" s="8"/>
      <c r="F40" s="7"/>
      <c r="G40" s="7"/>
      <c r="H40" s="7"/>
    </row>
    <row r="41" spans="1:9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9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9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9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9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9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9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9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C98 D1:E29 D31:E98" name="Textbooks"/>
    <protectedRange sqref="F1:F98 D30:E30" name="SOURCE"/>
  </protectedRanges>
  <phoneticPr fontId="8" type="noConversion"/>
  <dataValidations count="3">
    <dataValidation type="list" allowBlank="1" showInputMessage="1" showErrorMessage="1" sqref="E91:E98 E2:E4 E14:E19 E6 E8:E12 E21:E29 E31:E39 E41:E49 E81:E89 E71:E79 E51:E59 E61:E6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5" xr:uid="{17D66FC1-A6CF-4949-B2A5-0D4823BCAD76}">
      <formula1>"2024,2025v"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T123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529</v>
      </c>
      <c r="D16" s="5">
        <f>Table1[[#This Row],[Enrolment S.Y. 2025-2026 ]]*8</f>
        <v>4232</v>
      </c>
      <c r="E16" s="5">
        <v>492</v>
      </c>
      <c r="F16" s="1">
        <v>2025</v>
      </c>
      <c r="G16" s="5"/>
      <c r="H16" s="5">
        <f t="shared" si="2"/>
        <v>3740</v>
      </c>
      <c r="I16" s="5">
        <f t="shared" si="3"/>
        <v>0</v>
      </c>
      <c r="J16" s="5">
        <f>Table1[[#This Row],[Enrolment S.Y. 2025-2026 ]]*8</f>
        <v>4232</v>
      </c>
      <c r="K16" s="5">
        <v>0</v>
      </c>
      <c r="L16" s="1"/>
      <c r="M16" s="5"/>
      <c r="N16" s="5">
        <f t="shared" si="10"/>
        <v>4232</v>
      </c>
      <c r="O16" s="5">
        <f t="shared" si="11"/>
        <v>0</v>
      </c>
      <c r="P16" s="5">
        <f>Table1[[#This Row],[Enrolment S.Y. 2025-2026 ]]*8</f>
        <v>4232</v>
      </c>
      <c r="Q16" s="5">
        <v>0</v>
      </c>
      <c r="R16" s="1"/>
      <c r="S16" s="5"/>
      <c r="T16" s="5">
        <f t="shared" si="12"/>
        <v>4232</v>
      </c>
      <c r="U16" s="5">
        <f t="shared" si="13"/>
        <v>0</v>
      </c>
      <c r="V16" s="5">
        <f>Table1[[#This Row],[Enrolment S.Y. 2025-2026 ]]*8</f>
        <v>4232</v>
      </c>
      <c r="W16" s="5"/>
      <c r="X16" s="1"/>
      <c r="Y16" s="5"/>
      <c r="Z16" s="5">
        <f t="shared" si="14"/>
        <v>4232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529</v>
      </c>
      <c r="D17" s="5">
        <f>Table1[[#This Row],[Enrolment S.Y. 2025-2026 ]]*8</f>
        <v>4232</v>
      </c>
      <c r="E17" s="5">
        <v>492</v>
      </c>
      <c r="F17" s="1">
        <v>2025</v>
      </c>
      <c r="G17" s="5"/>
      <c r="H17" s="5">
        <f t="shared" si="2"/>
        <v>3740</v>
      </c>
      <c r="I17" s="5">
        <f t="shared" si="3"/>
        <v>0</v>
      </c>
      <c r="J17" s="5">
        <f>Table1[[#This Row],[Enrolment S.Y. 2025-2026 ]]*8</f>
        <v>4232</v>
      </c>
      <c r="K17" s="5">
        <v>0</v>
      </c>
      <c r="L17" s="1"/>
      <c r="M17" s="5"/>
      <c r="N17" s="5">
        <f t="shared" si="10"/>
        <v>4232</v>
      </c>
      <c r="O17" s="5">
        <f t="shared" si="11"/>
        <v>0</v>
      </c>
      <c r="P17" s="5">
        <f>Table1[[#This Row],[Enrolment S.Y. 2025-2026 ]]*8</f>
        <v>4232</v>
      </c>
      <c r="Q17" s="5">
        <v>0</v>
      </c>
      <c r="R17" s="1"/>
      <c r="S17" s="5"/>
      <c r="T17" s="5">
        <f t="shared" si="12"/>
        <v>4232</v>
      </c>
      <c r="U17" s="5">
        <f t="shared" si="13"/>
        <v>0</v>
      </c>
      <c r="V17" s="5">
        <f>Table1[[#This Row],[Enrolment S.Y. 2025-2026 ]]*8</f>
        <v>4232</v>
      </c>
      <c r="W17" s="5"/>
      <c r="X17" s="1"/>
      <c r="Y17" s="5"/>
      <c r="Z17" s="5">
        <f t="shared" si="14"/>
        <v>4232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529</v>
      </c>
      <c r="D18" s="5">
        <f>Table1[[#This Row],[Enrolment S.Y. 2025-2026 ]]*8</f>
        <v>4232</v>
      </c>
      <c r="E18" s="5">
        <v>492</v>
      </c>
      <c r="F18" s="1">
        <v>2025</v>
      </c>
      <c r="G18" s="5"/>
      <c r="H18" s="5">
        <f t="shared" si="2"/>
        <v>3740</v>
      </c>
      <c r="I18" s="5">
        <f t="shared" si="3"/>
        <v>0</v>
      </c>
      <c r="J18" s="5">
        <f>Table1[[#This Row],[Enrolment S.Y. 2025-2026 ]]*8</f>
        <v>4232</v>
      </c>
      <c r="K18" s="5">
        <v>0</v>
      </c>
      <c r="L18" s="1"/>
      <c r="M18" s="5"/>
      <c r="N18" s="5">
        <f t="shared" si="10"/>
        <v>4232</v>
      </c>
      <c r="O18" s="5">
        <f t="shared" si="11"/>
        <v>0</v>
      </c>
      <c r="P18" s="5">
        <f>Table1[[#This Row],[Enrolment S.Y. 2025-2026 ]]*8</f>
        <v>4232</v>
      </c>
      <c r="Q18" s="5">
        <v>0</v>
      </c>
      <c r="R18" s="1"/>
      <c r="S18" s="5"/>
      <c r="T18" s="5">
        <f t="shared" si="12"/>
        <v>4232</v>
      </c>
      <c r="U18" s="5">
        <f t="shared" si="13"/>
        <v>0</v>
      </c>
      <c r="V18" s="5">
        <f>Table1[[#This Row],[Enrolment S.Y. 2025-2026 ]]*8</f>
        <v>4232</v>
      </c>
      <c r="W18" s="5"/>
      <c r="X18" s="1"/>
      <c r="Y18" s="5"/>
      <c r="Z18" s="5">
        <f t="shared" si="14"/>
        <v>4232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529</v>
      </c>
      <c r="D19" s="5">
        <f>Table1[[#This Row],[Enrolment S.Y. 2025-2026 ]]*8</f>
        <v>4232</v>
      </c>
      <c r="E19" s="5">
        <v>492</v>
      </c>
      <c r="F19" s="1">
        <v>2025</v>
      </c>
      <c r="G19" s="5"/>
      <c r="H19" s="5">
        <f>IF((D19-E19)&lt;0,0,(D19-E19))</f>
        <v>3740</v>
      </c>
      <c r="I19" s="5">
        <f>IF((E19-D19)&lt;0,0,(E19-D19))</f>
        <v>0</v>
      </c>
      <c r="J19" s="5">
        <f>Table1[[#This Row],[Enrolment S.Y. 2025-2026 ]]*8</f>
        <v>4232</v>
      </c>
      <c r="K19" s="5">
        <v>0</v>
      </c>
      <c r="L19" s="1"/>
      <c r="M19" s="5"/>
      <c r="N19" s="5">
        <f t="shared" si="10"/>
        <v>4232</v>
      </c>
      <c r="O19" s="5">
        <f t="shared" si="11"/>
        <v>0</v>
      </c>
      <c r="P19" s="5">
        <f>Table1[[#This Row],[Enrolment S.Y. 2025-2026 ]]*8</f>
        <v>4232</v>
      </c>
      <c r="Q19" s="5">
        <v>0</v>
      </c>
      <c r="R19" s="1"/>
      <c r="S19" s="5"/>
      <c r="T19" s="5">
        <f t="shared" si="12"/>
        <v>4232</v>
      </c>
      <c r="U19" s="5">
        <f t="shared" si="13"/>
        <v>0</v>
      </c>
      <c r="V19" s="5">
        <f>Table1[[#This Row],[Enrolment S.Y. 2025-2026 ]]*8</f>
        <v>4232</v>
      </c>
      <c r="W19" s="5"/>
      <c r="X19" s="1"/>
      <c r="Y19" s="5"/>
      <c r="Z19" s="5">
        <f t="shared" si="14"/>
        <v>4232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529</v>
      </c>
      <c r="D20" s="5">
        <f>Table1[[#This Row],[Enrolment S.Y. 2025-2026 ]]*8</f>
        <v>4232</v>
      </c>
      <c r="E20" s="5">
        <v>492</v>
      </c>
      <c r="F20" s="1">
        <v>2025</v>
      </c>
      <c r="G20" s="5"/>
      <c r="H20" s="5">
        <f>IF((D20-E20)&lt;0,0,(D20-E20))</f>
        <v>3740</v>
      </c>
      <c r="I20" s="5">
        <f>IF((E20-D20)&lt;0,0,(E20-D20))</f>
        <v>0</v>
      </c>
      <c r="J20" s="5">
        <f>Table1[[#This Row],[Enrolment S.Y. 2025-2026 ]]*8</f>
        <v>4232</v>
      </c>
      <c r="K20" s="5">
        <v>0</v>
      </c>
      <c r="L20" s="1"/>
      <c r="M20" s="5"/>
      <c r="N20" s="5">
        <f t="shared" si="10"/>
        <v>4232</v>
      </c>
      <c r="O20" s="5">
        <f t="shared" si="11"/>
        <v>0</v>
      </c>
      <c r="P20" s="5">
        <f>Table1[[#This Row],[Enrolment S.Y. 2025-2026 ]]*8</f>
        <v>4232</v>
      </c>
      <c r="Q20" s="5">
        <v>0</v>
      </c>
      <c r="R20" s="1"/>
      <c r="S20" s="5"/>
      <c r="T20" s="5">
        <f t="shared" si="12"/>
        <v>4232</v>
      </c>
      <c r="U20" s="5">
        <f t="shared" si="13"/>
        <v>0</v>
      </c>
      <c r="V20" s="5">
        <f>Table1[[#This Row],[Enrolment S.Y. 2025-2026 ]]*8</f>
        <v>4232</v>
      </c>
      <c r="W20" s="5"/>
      <c r="X20" s="1"/>
      <c r="Y20" s="5"/>
      <c r="Z20" s="5">
        <f t="shared" si="14"/>
        <v>4232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564</v>
      </c>
      <c r="D25" s="5">
        <f>Table1[[#This Row],[Enrolment S.Y. 2025-2026 ]]*8</f>
        <v>4512</v>
      </c>
      <c r="E25" s="5">
        <v>550</v>
      </c>
      <c r="F25" s="1">
        <v>2025</v>
      </c>
      <c r="G25" s="5"/>
      <c r="H25" s="5">
        <f t="shared" si="2"/>
        <v>3962</v>
      </c>
      <c r="I25" s="5">
        <f t="shared" si="3"/>
        <v>0</v>
      </c>
      <c r="J25" s="5">
        <f>Table1[[#This Row],[Enrolment S.Y. 2025-2026 ]]*8</f>
        <v>4512</v>
      </c>
      <c r="K25" s="5">
        <v>0</v>
      </c>
      <c r="L25" s="1"/>
      <c r="M25" s="5"/>
      <c r="N25" s="5">
        <f t="shared" si="10"/>
        <v>4512</v>
      </c>
      <c r="O25" s="5">
        <f t="shared" si="11"/>
        <v>0</v>
      </c>
      <c r="P25" s="5">
        <f>Table1[[#This Row],[Enrolment S.Y. 2025-2026 ]]*8</f>
        <v>4512</v>
      </c>
      <c r="Q25" s="5">
        <v>0</v>
      </c>
      <c r="R25" s="1"/>
      <c r="S25" s="5"/>
      <c r="T25" s="5">
        <f t="shared" si="12"/>
        <v>4512</v>
      </c>
      <c r="U25" s="5">
        <f t="shared" si="13"/>
        <v>0</v>
      </c>
      <c r="V25" s="5">
        <f>Table1[[#This Row],[Enrolment S.Y. 2025-2026 ]]*8</f>
        <v>4512</v>
      </c>
      <c r="W25" s="5"/>
      <c r="X25" s="1"/>
      <c r="Y25" s="5"/>
      <c r="Z25" s="5">
        <f t="shared" si="14"/>
        <v>4512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564</v>
      </c>
      <c r="D30" s="5">
        <f>Table1[[#This Row],[Enrolment S.Y. 2025-2026 ]]*8</f>
        <v>4512</v>
      </c>
      <c r="E30" s="5">
        <v>550</v>
      </c>
      <c r="F30" s="1">
        <v>2025</v>
      </c>
      <c r="G30" s="5"/>
      <c r="H30" s="5">
        <f>IF((D30-E30)&lt;0,0,(D30-E30))</f>
        <v>3962</v>
      </c>
      <c r="I30" s="5">
        <f>IF((E30-D30)&lt;0,0,(E30-D30))</f>
        <v>0</v>
      </c>
      <c r="J30" s="5">
        <f>Table1[[#This Row],[Enrolment S.Y. 2025-2026 ]]*8</f>
        <v>4512</v>
      </c>
      <c r="K30" s="5">
        <v>0</v>
      </c>
      <c r="L30" s="1"/>
      <c r="M30" s="5"/>
      <c r="N30" s="5">
        <f t="shared" si="10"/>
        <v>4512</v>
      </c>
      <c r="O30" s="5">
        <f t="shared" si="11"/>
        <v>0</v>
      </c>
      <c r="P30" s="5">
        <f>Table1[[#This Row],[Enrolment S.Y. 2025-2026 ]]*8</f>
        <v>4512</v>
      </c>
      <c r="Q30" s="5">
        <v>0</v>
      </c>
      <c r="R30" s="1"/>
      <c r="S30" s="5"/>
      <c r="T30" s="5">
        <f t="shared" si="12"/>
        <v>4512</v>
      </c>
      <c r="U30" s="5">
        <f t="shared" si="13"/>
        <v>0</v>
      </c>
      <c r="V30" s="5">
        <f>Table1[[#This Row],[Enrolment S.Y. 2025-2026 ]]*8</f>
        <v>4512</v>
      </c>
      <c r="W30" s="5"/>
      <c r="X30" s="1"/>
      <c r="Y30" s="5"/>
      <c r="Z30" s="5">
        <f t="shared" si="14"/>
        <v>4512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103</v>
      </c>
      <c r="F43" s="1">
        <v>2025</v>
      </c>
      <c r="G43" s="5"/>
      <c r="H43" s="5">
        <f t="shared" si="2"/>
        <v>0</v>
      </c>
      <c r="I43" s="5">
        <f t="shared" si="3"/>
        <v>103</v>
      </c>
      <c r="J43" s="5">
        <f>Table1[[#This Row],[Enrolment S.Y. 2025-2026 ]]*8</f>
        <v>0</v>
      </c>
      <c r="K43" s="5">
        <v>0</v>
      </c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>
        <v>0</v>
      </c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>
        <v>103</v>
      </c>
      <c r="F44" s="1">
        <v>2025</v>
      </c>
      <c r="G44" s="5"/>
      <c r="H44" s="5">
        <f t="shared" si="2"/>
        <v>0</v>
      </c>
      <c r="I44" s="5">
        <f t="shared" si="3"/>
        <v>103</v>
      </c>
      <c r="J44" s="5">
        <f>Table1[[#This Row],[Enrolment S.Y. 2025-2026 ]]*8</f>
        <v>0</v>
      </c>
      <c r="K44" s="5">
        <v>0</v>
      </c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>
        <v>0</v>
      </c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103</v>
      </c>
      <c r="F45" s="1">
        <v>2025</v>
      </c>
      <c r="G45" s="5"/>
      <c r="H45" s="5">
        <f t="shared" si="2"/>
        <v>0</v>
      </c>
      <c r="I45" s="5">
        <f t="shared" si="3"/>
        <v>103</v>
      </c>
      <c r="J45" s="5">
        <f>Table1[[#This Row],[Enrolment S.Y. 2025-2026 ]]*8</f>
        <v>0</v>
      </c>
      <c r="K45" s="5">
        <v>0</v>
      </c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>
        <v>0</v>
      </c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>
        <v>103</v>
      </c>
      <c r="F46" s="1">
        <v>2025</v>
      </c>
      <c r="G46" s="5"/>
      <c r="H46" s="5">
        <f t="shared" si="2"/>
        <v>0</v>
      </c>
      <c r="I46" s="5">
        <f t="shared" si="3"/>
        <v>103</v>
      </c>
      <c r="J46" s="5">
        <f>Table1[[#This Row],[Enrolment S.Y. 2025-2026 ]]*8</f>
        <v>0</v>
      </c>
      <c r="K46" s="5">
        <v>0</v>
      </c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>
        <v>0</v>
      </c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103</v>
      </c>
      <c r="F48" s="1">
        <v>2025</v>
      </c>
      <c r="G48" s="5"/>
      <c r="H48" s="5">
        <f t="shared" si="2"/>
        <v>0</v>
      </c>
      <c r="I48" s="5">
        <f t="shared" si="3"/>
        <v>103</v>
      </c>
      <c r="J48" s="5">
        <f>Table1[[#This Row],[Enrolment S.Y. 2025-2026 ]]*8</f>
        <v>0</v>
      </c>
      <c r="K48" s="5">
        <v>0</v>
      </c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>
        <v>0</v>
      </c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>
        <v>103</v>
      </c>
      <c r="F50" s="1">
        <v>2025</v>
      </c>
      <c r="G50" s="5"/>
      <c r="H50" s="5">
        <f t="shared" si="2"/>
        <v>0</v>
      </c>
      <c r="I50" s="5">
        <f t="shared" si="3"/>
        <v>103</v>
      </c>
      <c r="J50" s="5">
        <f>Table1[[#This Row],[Enrolment S.Y. 2025-2026 ]]*8</f>
        <v>0</v>
      </c>
      <c r="K50" s="5">
        <v>0</v>
      </c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>
        <v>0</v>
      </c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93:F101 D83:F91 D73:F8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5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 F16:F21 F23:F31 F33:F41 F43:F51 F53:F61 F93:F101 F83:F91 F63:F71 F73:F81 F103:F110 F112:F127" xr:uid="{72FFF6EC-2147-447C-9FCE-0ACD8AAA4E4F}">
      <formula1>"2024,2025,2026"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 X112:X127" xr:uid="{20C8F4D0-C8A4-4D64-A337-5D912395F169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115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55:F65 D43:F53 D31:F41 D21:F29 D12:F19 D67:F77 D103:F113 D91:F101 D79:F89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55:F65 F43:F53 F31:F41 F21:F29 F3:F10 F12:F19 F103:F113 F91:F101 F67:F77 F79:F89 F115:F122" xr:uid="{5805F0E9-55B6-43D0-802B-9C72C1A89849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A366E188-1384-433E-BBD3-53EDE8DEAAB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2026-02-19T06:01:02Z</dcterms:modified>
  <cp:category/>
  <cp:contentStatus/>
</cp:coreProperties>
</file>