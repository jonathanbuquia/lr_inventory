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0" documentId="13_ncr:1_{BFB59F67-F0DC-4675-A682-EB0734A8026A}" xr6:coauthVersionLast="47" xr6:coauthVersionMax="47" xr10:uidLastSave="{5B112DDB-946B-49BB-A23A-A49BA846B87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5" i="4" l="1"/>
  <c r="W53" i="4"/>
  <c r="E53" i="4"/>
  <c r="E55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<sst xmlns="http://schemas.openxmlformats.org/spreadsheetml/2006/main" count="388" uniqueCount="90">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</sst>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4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7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7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7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59 C61:E69 C60:D60 C71:E79 C70:D70 C80:D80 C81:E98" name="Textbooks"/>
    <protectedRange sqref="F1:F98 E60 E70 E80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 E91:E98" xr:uid="{953B0880-3D1A-4B76-96AA-4FEB4E9A453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446</v>
      </c>
      <c r="D3" s="34">
        <f>Table1[[#This Row],[Enrolment S.Y. 2025-2026 ]]*8</f>
        <v>3568</v>
      </c>
      <c r="E3" s="34"/>
      <c r="F3" s="32"/>
      <c r="G3" s="34"/>
      <c r="H3" s="34">
        <f>IF((D3-E3)&lt;0,0,(D3-E3))</f>
        <v>3568</v>
      </c>
      <c r="I3" s="34">
        <f>IF((E3-D3)&lt;0,0,(E3-D3))</f>
        <v>0</v>
      </c>
      <c r="J3" s="34">
        <f>Table1[[#This Row],[Enrolment S.Y. 2025-2026 ]]*8</f>
        <v>3568</v>
      </c>
      <c r="K3" s="34"/>
      <c r="L3" s="32"/>
      <c r="M3" s="34"/>
      <c r="N3" s="5">
        <f t="shared" ref="N3" si="0">IF((J3-K3)&lt;0,0,(J3-K3))</f>
        <v>3568</v>
      </c>
      <c r="O3" s="5">
        <f t="shared" ref="O3" si="1">IF((K3-J3)&lt;0,0,(K3-J3))</f>
        <v>0</v>
      </c>
      <c r="P3" s="5">
        <f>Table1[[#This Row],[Enrolment S.Y. 2025-2026 ]]*8</f>
        <v>3568</v>
      </c>
      <c r="Q3" s="34"/>
      <c r="R3" s="32"/>
      <c r="S3" s="34"/>
      <c r="T3" s="34">
        <f>IF((P3-Q3)&lt;0,0,(P3-Q3))</f>
        <v>3568</v>
      </c>
      <c r="U3" s="34">
        <f>IF((Q3-P3)&lt;0,0,(Q3-P3))</f>
        <v>0</v>
      </c>
      <c r="V3" s="34">
        <f>Table1[[#This Row],[Enrolment S.Y. 2025-2026 ]]*8</f>
        <v>3568</v>
      </c>
      <c r="W3" s="34"/>
      <c r="X3" s="32"/>
      <c r="Y3" s="34"/>
      <c r="Z3" s="34">
        <f>IF((V3-W3)&lt;0,0,(V3-W3))</f>
        <v>3568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436</v>
      </c>
      <c r="D5" s="5">
        <f>Table1[[#This Row],[Enrolment S.Y. 2025-2026 ]]*8</f>
        <v>3488</v>
      </c>
      <c r="E5" s="5"/>
      <c r="F5" s="1"/>
      <c r="G5" s="5"/>
      <c r="H5" s="5">
        <f t="shared" ref="H5:H77" si="2">IF((D5-E5)&lt;0,0,(D5-E5))</f>
        <v>3488</v>
      </c>
      <c r="I5" s="5">
        <f t="shared" ref="I5:I77" si="3">IF((E5-D5)&lt;0,0,(E5-D5))</f>
        <v>0</v>
      </c>
      <c r="J5" s="5">
        <f>Table1[[#This Row],[Enrolment S.Y. 2025-2026 ]]*8</f>
        <v>3488</v>
      </c>
      <c r="K5" s="5"/>
      <c r="L5" s="1"/>
      <c r="M5" s="5"/>
      <c r="N5" s="5">
        <f t="shared" ref="N5" si="4">IF((J5-K5)&lt;0,0,(J5-K5))</f>
        <v>3488</v>
      </c>
      <c r="O5" s="5">
        <f t="shared" ref="O5" si="5">IF((K5-J5)&lt;0,0,(K5-J5))</f>
        <v>0</v>
      </c>
      <c r="P5" s="5">
        <f>Table1[[#This Row],[Enrolment S.Y. 2025-2026 ]]*8</f>
        <v>3488</v>
      </c>
      <c r="Q5" s="5"/>
      <c r="R5" s="1"/>
      <c r="S5" s="5"/>
      <c r="T5" s="5">
        <f t="shared" ref="T5" si="6">IF((P5-Q5)&lt;0,0,(P5-Q5))</f>
        <v>3488</v>
      </c>
      <c r="U5" s="5">
        <f t="shared" ref="U5" si="7">IF((Q5-P5)&lt;0,0,(Q5-P5))</f>
        <v>0</v>
      </c>
      <c r="V5" s="5">
        <f>Table1[[#This Row],[Enrolment S.Y. 2025-2026 ]]*8</f>
        <v>3488</v>
      </c>
      <c r="W5" s="5"/>
      <c r="X5" s="1"/>
      <c r="Y5" s="5"/>
      <c r="Z5" s="5">
        <f t="shared" ref="Z5" si="8">IF((V5-W5)&lt;0,0,(V5-W5))</f>
        <v>3488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436</v>
      </c>
      <c r="D6" s="5">
        <f>Table1[[#This Row],[Enrolment S.Y. 2025-2026 ]]*8</f>
        <v>3488</v>
      </c>
      <c r="E6" s="5"/>
      <c r="F6" s="1"/>
      <c r="G6" s="5"/>
      <c r="H6" s="5">
        <f t="shared" si="2"/>
        <v>3488</v>
      </c>
      <c r="I6" s="5">
        <f t="shared" si="3"/>
        <v>0</v>
      </c>
      <c r="J6" s="5">
        <f>Table1[[#This Row],[Enrolment S.Y. 2025-2026 ]]*8</f>
        <v>3488</v>
      </c>
      <c r="K6" s="5"/>
      <c r="L6" s="1"/>
      <c r="M6" s="5"/>
      <c r="N6" s="5">
        <f t="shared" ref="N6:N69" si="10">IF((J6-K6)&lt;0,0,(J6-K6))</f>
        <v>3488</v>
      </c>
      <c r="O6" s="5">
        <f t="shared" ref="O6:O69" si="11">IF((K6-J6)&lt;0,0,(K6-J6))</f>
        <v>0</v>
      </c>
      <c r="P6" s="5">
        <f>Table1[[#This Row],[Enrolment S.Y. 2025-2026 ]]*8</f>
        <v>3488</v>
      </c>
      <c r="Q6" s="5"/>
      <c r="R6" s="1"/>
      <c r="S6" s="5"/>
      <c r="T6" s="5">
        <f t="shared" ref="T6:T69" si="12">IF((P6-Q6)&lt;0,0,(P6-Q6))</f>
        <v>3488</v>
      </c>
      <c r="U6" s="5">
        <f t="shared" ref="U6:U69" si="13">IF((Q6-P6)&lt;0,0,(Q6-P6))</f>
        <v>0</v>
      </c>
      <c r="V6" s="5">
        <f>Table1[[#This Row],[Enrolment S.Y. 2025-2026 ]]*8</f>
        <v>3488</v>
      </c>
      <c r="W6" s="5"/>
      <c r="X6" s="1"/>
      <c r="Y6" s="5"/>
      <c r="Z6" s="5">
        <f t="shared" ref="Z6:Z69" si="14">IF((V6-W6)&lt;0,0,(V6-W6))</f>
        <v>3488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436</v>
      </c>
      <c r="D7" s="5">
        <f>Table1[[#This Row],[Enrolment S.Y. 2025-2026 ]]*8</f>
        <v>3488</v>
      </c>
      <c r="E7" s="5"/>
      <c r="F7" s="1"/>
      <c r="G7" s="5"/>
      <c r="H7" s="5">
        <f t="shared" si="2"/>
        <v>3488</v>
      </c>
      <c r="I7" s="5">
        <f t="shared" si="3"/>
        <v>0</v>
      </c>
      <c r="J7" s="5">
        <f>Table1[[#This Row],[Enrolment S.Y. 2025-2026 ]]*8</f>
        <v>3488</v>
      </c>
      <c r="K7" s="5"/>
      <c r="L7" s="1"/>
      <c r="M7" s="5"/>
      <c r="N7" s="5">
        <f t="shared" si="10"/>
        <v>3488</v>
      </c>
      <c r="O7" s="5">
        <f t="shared" si="11"/>
        <v>0</v>
      </c>
      <c r="P7" s="5">
        <f>Table1[[#This Row],[Enrolment S.Y. 2025-2026 ]]*8</f>
        <v>3488</v>
      </c>
      <c r="Q7" s="5"/>
      <c r="R7" s="1"/>
      <c r="S7" s="5"/>
      <c r="T7" s="5">
        <f t="shared" si="12"/>
        <v>3488</v>
      </c>
      <c r="U7" s="5">
        <f t="shared" si="13"/>
        <v>0</v>
      </c>
      <c r="V7" s="5">
        <f>Table1[[#This Row],[Enrolment S.Y. 2025-2026 ]]*8</f>
        <v>3488</v>
      </c>
      <c r="W7" s="5"/>
      <c r="X7" s="1"/>
      <c r="Y7" s="5"/>
      <c r="Z7" s="5">
        <f t="shared" si="14"/>
        <v>3488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436</v>
      </c>
      <c r="D8" s="5">
        <f>Table1[[#This Row],[Enrolment S.Y. 2025-2026 ]]*8</f>
        <v>3488</v>
      </c>
      <c r="E8" s="5"/>
      <c r="F8" s="1"/>
      <c r="G8" s="5"/>
      <c r="H8" s="5">
        <f t="shared" si="2"/>
        <v>3488</v>
      </c>
      <c r="I8" s="5">
        <f t="shared" si="3"/>
        <v>0</v>
      </c>
      <c r="J8" s="5">
        <f>Table1[[#This Row],[Enrolment S.Y. 2025-2026 ]]*8</f>
        <v>3488</v>
      </c>
      <c r="K8" s="5"/>
      <c r="L8" s="1"/>
      <c r="M8" s="5"/>
      <c r="N8" s="5">
        <f t="shared" si="10"/>
        <v>3488</v>
      </c>
      <c r="O8" s="5">
        <f t="shared" si="11"/>
        <v>0</v>
      </c>
      <c r="P8" s="5">
        <f>Table1[[#This Row],[Enrolment S.Y. 2025-2026 ]]*8</f>
        <v>3488</v>
      </c>
      <c r="Q8" s="5"/>
      <c r="R8" s="1"/>
      <c r="S8" s="5"/>
      <c r="T8" s="5">
        <f t="shared" si="12"/>
        <v>3488</v>
      </c>
      <c r="U8" s="5">
        <f t="shared" si="13"/>
        <v>0</v>
      </c>
      <c r="V8" s="5">
        <f>Table1[[#This Row],[Enrolment S.Y. 2025-2026 ]]*8</f>
        <v>3488</v>
      </c>
      <c r="W8" s="5"/>
      <c r="X8" s="1"/>
      <c r="Y8" s="5"/>
      <c r="Z8" s="5">
        <f t="shared" si="14"/>
        <v>3488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436</v>
      </c>
      <c r="D9" s="5">
        <f>Table1[[#This Row],[Enrolment S.Y. 2025-2026 ]]*8</f>
        <v>3488</v>
      </c>
      <c r="E9" s="5"/>
      <c r="F9" s="1"/>
      <c r="G9" s="5"/>
      <c r="H9" s="5">
        <f t="shared" si="2"/>
        <v>3488</v>
      </c>
      <c r="I9" s="5">
        <f t="shared" si="3"/>
        <v>0</v>
      </c>
      <c r="J9" s="5">
        <f>Table1[[#This Row],[Enrolment S.Y. 2025-2026 ]]*8</f>
        <v>3488</v>
      </c>
      <c r="K9" s="5"/>
      <c r="L9" s="1"/>
      <c r="M9" s="5"/>
      <c r="N9" s="5">
        <f t="shared" si="10"/>
        <v>3488</v>
      </c>
      <c r="O9" s="5">
        <f t="shared" si="11"/>
        <v>0</v>
      </c>
      <c r="P9" s="5">
        <f>Table1[[#This Row],[Enrolment S.Y. 2025-2026 ]]*8</f>
        <v>3488</v>
      </c>
      <c r="Q9" s="5"/>
      <c r="R9" s="1"/>
      <c r="S9" s="5"/>
      <c r="T9" s="5">
        <f t="shared" si="12"/>
        <v>3488</v>
      </c>
      <c r="U9" s="5">
        <f t="shared" si="13"/>
        <v>0</v>
      </c>
      <c r="V9" s="5">
        <f>Table1[[#This Row],[Enrolment S.Y. 2025-2026 ]]*8</f>
        <v>3488</v>
      </c>
      <c r="W9" s="5"/>
      <c r="X9" s="1"/>
      <c r="Y9" s="5"/>
      <c r="Z9" s="5">
        <f t="shared" si="14"/>
        <v>3488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436</v>
      </c>
      <c r="D10" s="5">
        <f>Table1[[#This Row],[Enrolment S.Y. 2025-2026 ]]*8</f>
        <v>3488</v>
      </c>
      <c r="E10" s="5"/>
      <c r="F10" s="1"/>
      <c r="G10" s="5"/>
      <c r="H10" s="5">
        <f>IF((D10-E10)&lt;0,0,(D10-E10))</f>
        <v>3488</v>
      </c>
      <c r="I10" s="5">
        <f>IF((E10-D10)&lt;0,0,(E10-D10))</f>
        <v>0</v>
      </c>
      <c r="J10" s="5">
        <f>Table1[[#This Row],[Enrolment S.Y. 2025-2026 ]]*8</f>
        <v>3488</v>
      </c>
      <c r="K10" s="5"/>
      <c r="L10" s="1"/>
      <c r="M10" s="5"/>
      <c r="N10" s="5">
        <f t="shared" si="10"/>
        <v>3488</v>
      </c>
      <c r="O10" s="5">
        <f t="shared" si="11"/>
        <v>0</v>
      </c>
      <c r="P10" s="5">
        <f>Table1[[#This Row],[Enrolment S.Y. 2025-2026 ]]*8</f>
        <v>3488</v>
      </c>
      <c r="Q10" s="5"/>
      <c r="R10" s="1"/>
      <c r="S10" s="5"/>
      <c r="T10" s="5">
        <f t="shared" si="12"/>
        <v>3488</v>
      </c>
      <c r="U10" s="5">
        <f t="shared" si="13"/>
        <v>0</v>
      </c>
      <c r="V10" s="5">
        <f>Table1[[#This Row],[Enrolment S.Y. 2025-2026 ]]*8</f>
        <v>3488</v>
      </c>
      <c r="W10" s="5"/>
      <c r="X10" s="1"/>
      <c r="Y10" s="5"/>
      <c r="Z10" s="5">
        <f t="shared" si="14"/>
        <v>3488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436</v>
      </c>
      <c r="D11" s="5">
        <f>Table1[[#This Row],[Enrolment S.Y. 2025-2026 ]]*8</f>
        <v>3488</v>
      </c>
      <c r="E11" s="5"/>
      <c r="F11" s="1"/>
      <c r="G11" s="5"/>
      <c r="H11" s="5">
        <f>IF((D11-E11)&lt;0,0,(D11-E11))</f>
        <v>3488</v>
      </c>
      <c r="I11" s="5">
        <f>IF((E11-D11)&lt;0,0,(E11-D11))</f>
        <v>0</v>
      </c>
      <c r="J11" s="5">
        <f>Table1[[#This Row],[Enrolment S.Y. 2025-2026 ]]*8</f>
        <v>3488</v>
      </c>
      <c r="K11" s="5"/>
      <c r="L11" s="1"/>
      <c r="M11" s="5"/>
      <c r="N11" s="5">
        <f t="shared" si="10"/>
        <v>3488</v>
      </c>
      <c r="O11" s="5">
        <f t="shared" si="11"/>
        <v>0</v>
      </c>
      <c r="P11" s="5">
        <f>Table1[[#This Row],[Enrolment S.Y. 2025-2026 ]]*8</f>
        <v>3488</v>
      </c>
      <c r="Q11" s="5"/>
      <c r="R11" s="1"/>
      <c r="S11" s="5"/>
      <c r="T11" s="5">
        <f t="shared" si="12"/>
        <v>3488</v>
      </c>
      <c r="U11" s="5">
        <f t="shared" si="13"/>
        <v>0</v>
      </c>
      <c r="V11" s="5">
        <f>Table1[[#This Row],[Enrolment S.Y. 2025-2026 ]]*8</f>
        <v>3488</v>
      </c>
      <c r="W11" s="5"/>
      <c r="X11" s="1"/>
      <c r="Y11" s="5"/>
      <c r="Z11" s="5">
        <f t="shared" si="14"/>
        <v>3488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436</v>
      </c>
      <c r="D12" s="5">
        <f>Table1[[#This Row],[Enrolment S.Y. 2025-2026 ]]*8</f>
        <v>3488</v>
      </c>
      <c r="E12" s="5"/>
      <c r="F12" s="1"/>
      <c r="G12" s="5"/>
      <c r="H12" s="5">
        <f>IF((D12-E12)&lt;0,0,(D12-E12))</f>
        <v>3488</v>
      </c>
      <c r="I12" s="5">
        <f>IF((E12-D12)&lt;0,0,(E12-D12))</f>
        <v>0</v>
      </c>
      <c r="J12" s="5">
        <f>Table1[[#This Row],[Enrolment S.Y. 2025-2026 ]]*8</f>
        <v>3488</v>
      </c>
      <c r="K12" s="5"/>
      <c r="L12" s="1"/>
      <c r="M12" s="5"/>
      <c r="N12" s="5">
        <f t="shared" si="10"/>
        <v>3488</v>
      </c>
      <c r="O12" s="5">
        <f t="shared" si="11"/>
        <v>0</v>
      </c>
      <c r="P12" s="5">
        <f>Table1[[#This Row],[Enrolment S.Y. 2025-2026 ]]*8</f>
        <v>3488</v>
      </c>
      <c r="Q12" s="5"/>
      <c r="R12" s="1"/>
      <c r="S12" s="5"/>
      <c r="T12" s="5">
        <f t="shared" si="12"/>
        <v>3488</v>
      </c>
      <c r="U12" s="5">
        <f t="shared" si="13"/>
        <v>0</v>
      </c>
      <c r="V12" s="5">
        <f>Table1[[#This Row],[Enrolment S.Y. 2025-2026 ]]*8</f>
        <v>3488</v>
      </c>
      <c r="W12" s="5"/>
      <c r="X12" s="1"/>
      <c r="Y12" s="5"/>
      <c r="Z12" s="5">
        <f t="shared" si="14"/>
        <v>3488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523</v>
      </c>
      <c r="D14" s="5">
        <f>Table1[[#This Row],[Enrolment S.Y. 2025-2026 ]]*8</f>
        <v>4184</v>
      </c>
      <c r="E14" s="5"/>
      <c r="F14" s="1"/>
      <c r="G14" s="5"/>
      <c r="H14" s="5">
        <f>IF((D14-E14)&lt;0,0,(D14-E14))</f>
        <v>4184</v>
      </c>
      <c r="I14" s="5">
        <f>IF((E14-D14)&lt;0,0,(E14-D14))</f>
        <v>0</v>
      </c>
      <c r="J14" s="5">
        <f>Table1[[#This Row],[Enrolment S.Y. 2025-2026 ]]*8</f>
        <v>4184</v>
      </c>
      <c r="K14" s="5"/>
      <c r="L14" s="1"/>
      <c r="M14" s="5"/>
      <c r="N14" s="5">
        <f t="shared" si="10"/>
        <v>4184</v>
      </c>
      <c r="O14" s="5">
        <f t="shared" si="11"/>
        <v>0</v>
      </c>
      <c r="P14" s="5">
        <f>Table1[[#This Row],[Enrolment S.Y. 2025-2026 ]]*8</f>
        <v>4184</v>
      </c>
      <c r="Q14" s="5"/>
      <c r="R14" s="1"/>
      <c r="S14" s="5"/>
      <c r="T14" s="5">
        <f t="shared" si="12"/>
        <v>4184</v>
      </c>
      <c r="U14" s="5">
        <f t="shared" si="13"/>
        <v>0</v>
      </c>
      <c r="V14" s="5">
        <f>Table1[[#This Row],[Enrolment S.Y. 2025-2026 ]]*8</f>
        <v>4184</v>
      </c>
      <c r="W14" s="5"/>
      <c r="X14" s="1"/>
      <c r="Y14" s="5"/>
      <c r="Z14" s="5">
        <f t="shared" si="14"/>
        <v>4184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523</v>
      </c>
      <c r="D15" s="5">
        <f>Table1[[#This Row],[Enrolment S.Y. 2025-2026 ]]*8</f>
        <v>4184</v>
      </c>
      <c r="E15" s="5"/>
      <c r="F15" s="1"/>
      <c r="G15" s="5"/>
      <c r="H15" s="5">
        <f t="shared" si="2"/>
        <v>4184</v>
      </c>
      <c r="I15" s="5">
        <f t="shared" si="3"/>
        <v>0</v>
      </c>
      <c r="J15" s="5">
        <f>Table1[[#This Row],[Enrolment S.Y. 2025-2026 ]]*8</f>
        <v>4184</v>
      </c>
      <c r="K15" s="5"/>
      <c r="L15" s="1"/>
      <c r="M15" s="5"/>
      <c r="N15" s="5">
        <f t="shared" si="10"/>
        <v>4184</v>
      </c>
      <c r="O15" s="5">
        <f t="shared" si="11"/>
        <v>0</v>
      </c>
      <c r="P15" s="5">
        <f>Table1[[#This Row],[Enrolment S.Y. 2025-2026 ]]*8</f>
        <v>4184</v>
      </c>
      <c r="Q15" s="5"/>
      <c r="R15" s="1"/>
      <c r="S15" s="5"/>
      <c r="T15" s="5">
        <f t="shared" si="12"/>
        <v>4184</v>
      </c>
      <c r="U15" s="5">
        <f t="shared" si="13"/>
        <v>0</v>
      </c>
      <c r="V15" s="5">
        <f>Table1[[#This Row],[Enrolment S.Y. 2025-2026 ]]*8</f>
        <v>4184</v>
      </c>
      <c r="W15" s="5"/>
      <c r="X15" s="1"/>
      <c r="Y15" s="5"/>
      <c r="Z15" s="5">
        <f t="shared" si="14"/>
        <v>4184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523</v>
      </c>
      <c r="D16" s="5">
        <f>Table1[[#This Row],[Enrolment S.Y. 2025-2026 ]]*8</f>
        <v>4184</v>
      </c>
      <c r="E16" s="5">
        <v>382</v>
      </c>
      <c r="F16" s="1"/>
      <c r="G16" s="5"/>
      <c r="H16" s="5">
        <f>IF((D16-E16)&lt;0,0,(D16-E16))</f>
        <v>3802</v>
      </c>
      <c r="I16" s="5">
        <f>IF((E16-D16)&lt;0,0,(E16-D16))</f>
        <v>0</v>
      </c>
      <c r="J16" s="5">
        <f>Table1[[#This Row],[Enrolment S.Y. 2025-2026 ]]*8</f>
        <v>4184</v>
      </c>
      <c r="K16" s="5"/>
      <c r="L16" s="1"/>
      <c r="M16" s="5"/>
      <c r="N16" s="5">
        <f t="shared" si="10"/>
        <v>4184</v>
      </c>
      <c r="O16" s="5">
        <f t="shared" si="11"/>
        <v>0</v>
      </c>
      <c r="P16" s="5">
        <f>Table1[[#This Row],[Enrolment S.Y. 2025-2026 ]]*8</f>
        <v>4184</v>
      </c>
      <c r="Q16" s="5"/>
      <c r="R16" s="1"/>
      <c r="S16" s="5"/>
      <c r="T16" s="5">
        <f t="shared" si="12"/>
        <v>4184</v>
      </c>
      <c r="U16" s="5">
        <f t="shared" si="13"/>
        <v>0</v>
      </c>
      <c r="V16" s="5">
        <f>Table1[[#This Row],[Enrolment S.Y. 2025-2026 ]]*8</f>
        <v>4184</v>
      </c>
      <c r="W16" s="5">
        <v>382</v>
      </c>
      <c r="X16" s="1"/>
      <c r="Y16" s="5"/>
      <c r="Z16" s="5">
        <f t="shared" si="14"/>
        <v>3802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523</v>
      </c>
      <c r="D17" s="5">
        <f>Table1[[#This Row],[Enrolment S.Y. 2025-2026 ]]*8</f>
        <v>4184</v>
      </c>
      <c r="E17" s="5">
        <v>382</v>
      </c>
      <c r="F17" s="1"/>
      <c r="G17" s="5"/>
      <c r="H17" s="5">
        <f t="shared" si="2"/>
        <v>3802</v>
      </c>
      <c r="I17" s="5">
        <f t="shared" si="3"/>
        <v>0</v>
      </c>
      <c r="J17" s="5">
        <f>Table1[[#This Row],[Enrolment S.Y. 2025-2026 ]]*8</f>
        <v>4184</v>
      </c>
      <c r="K17" s="5"/>
      <c r="L17" s="1"/>
      <c r="M17" s="5"/>
      <c r="N17" s="5">
        <f t="shared" si="10"/>
        <v>4184</v>
      </c>
      <c r="O17" s="5">
        <f t="shared" si="11"/>
        <v>0</v>
      </c>
      <c r="P17" s="5">
        <f>Table1[[#This Row],[Enrolment S.Y. 2025-2026 ]]*8</f>
        <v>4184</v>
      </c>
      <c r="Q17" s="5"/>
      <c r="R17" s="1"/>
      <c r="S17" s="5"/>
      <c r="T17" s="5">
        <f t="shared" si="12"/>
        <v>4184</v>
      </c>
      <c r="U17" s="5">
        <f t="shared" si="13"/>
        <v>0</v>
      </c>
      <c r="V17" s="5">
        <f>Table1[[#This Row],[Enrolment S.Y. 2025-2026 ]]*8</f>
        <v>4184</v>
      </c>
      <c r="W17" s="5">
        <v>382</v>
      </c>
      <c r="X17" s="1"/>
      <c r="Y17" s="5"/>
      <c r="Z17" s="5">
        <f t="shared" si="14"/>
        <v>3802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523</v>
      </c>
      <c r="D18" s="5">
        <f>Table1[[#This Row],[Enrolment S.Y. 2025-2026 ]]*8</f>
        <v>4184</v>
      </c>
      <c r="E18" s="5">
        <v>382</v>
      </c>
      <c r="F18" s="1"/>
      <c r="G18" s="5"/>
      <c r="H18" s="5">
        <f t="shared" si="2"/>
        <v>3802</v>
      </c>
      <c r="I18" s="5">
        <f t="shared" si="3"/>
        <v>0</v>
      </c>
      <c r="J18" s="5">
        <f>Table1[[#This Row],[Enrolment S.Y. 2025-2026 ]]*8</f>
        <v>4184</v>
      </c>
      <c r="K18" s="5"/>
      <c r="L18" s="1"/>
      <c r="M18" s="5"/>
      <c r="N18" s="5">
        <f t="shared" si="10"/>
        <v>4184</v>
      </c>
      <c r="O18" s="5">
        <f t="shared" si="11"/>
        <v>0</v>
      </c>
      <c r="P18" s="5">
        <f>Table1[[#This Row],[Enrolment S.Y. 2025-2026 ]]*8</f>
        <v>4184</v>
      </c>
      <c r="Q18" s="5"/>
      <c r="R18" s="1"/>
      <c r="S18" s="5"/>
      <c r="T18" s="5">
        <f t="shared" si="12"/>
        <v>4184</v>
      </c>
      <c r="U18" s="5">
        <f t="shared" si="13"/>
        <v>0</v>
      </c>
      <c r="V18" s="5">
        <f>Table1[[#This Row],[Enrolment S.Y. 2025-2026 ]]*8</f>
        <v>4184</v>
      </c>
      <c r="W18" s="5">
        <v>382</v>
      </c>
      <c r="X18" s="1"/>
      <c r="Y18" s="5"/>
      <c r="Z18" s="5">
        <f t="shared" si="14"/>
        <v>3802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523</v>
      </c>
      <c r="D19" s="5">
        <f>Table1[[#This Row],[Enrolment S.Y. 2025-2026 ]]*8</f>
        <v>4184</v>
      </c>
      <c r="E19" s="5">
        <v>382</v>
      </c>
      <c r="F19" s="1"/>
      <c r="G19" s="5"/>
      <c r="H19" s="5">
        <f>IF((D19-E19)&lt;0,0,(D19-E19))</f>
        <v>3802</v>
      </c>
      <c r="I19" s="5">
        <f>IF((E19-D19)&lt;0,0,(E19-D19))</f>
        <v>0</v>
      </c>
      <c r="J19" s="5">
        <f>Table1[[#This Row],[Enrolment S.Y. 2025-2026 ]]*8</f>
        <v>4184</v>
      </c>
      <c r="K19" s="5"/>
      <c r="L19" s="1"/>
      <c r="M19" s="5"/>
      <c r="N19" s="5">
        <f t="shared" si="10"/>
        <v>4184</v>
      </c>
      <c r="O19" s="5">
        <f t="shared" si="11"/>
        <v>0</v>
      </c>
      <c r="P19" s="5">
        <f>Table1[[#This Row],[Enrolment S.Y. 2025-2026 ]]*8</f>
        <v>4184</v>
      </c>
      <c r="Q19" s="5"/>
      <c r="R19" s="1"/>
      <c r="S19" s="5"/>
      <c r="T19" s="5">
        <f t="shared" si="12"/>
        <v>4184</v>
      </c>
      <c r="U19" s="5">
        <f t="shared" si="13"/>
        <v>0</v>
      </c>
      <c r="V19" s="5">
        <f>Table1[[#This Row],[Enrolment S.Y. 2025-2026 ]]*8</f>
        <v>4184</v>
      </c>
      <c r="W19" s="5">
        <v>382</v>
      </c>
      <c r="X19" s="1"/>
      <c r="Y19" s="5"/>
      <c r="Z19" s="5">
        <f t="shared" si="14"/>
        <v>3802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523</v>
      </c>
      <c r="D20" s="5">
        <f>Table1[[#This Row],[Enrolment S.Y. 2025-2026 ]]*8</f>
        <v>4184</v>
      </c>
      <c r="E20" s="5">
        <v>382</v>
      </c>
      <c r="F20" s="1"/>
      <c r="G20" s="5"/>
      <c r="H20" s="5">
        <f>IF((D20-E20)&lt;0,0,(D20-E20))</f>
        <v>3802</v>
      </c>
      <c r="I20" s="5">
        <f>IF((E20-D20)&lt;0,0,(E20-D20))</f>
        <v>0</v>
      </c>
      <c r="J20" s="5">
        <f>Table1[[#This Row],[Enrolment S.Y. 2025-2026 ]]*8</f>
        <v>4184</v>
      </c>
      <c r="K20" s="5"/>
      <c r="L20" s="1"/>
      <c r="M20" s="5"/>
      <c r="N20" s="5">
        <f t="shared" si="10"/>
        <v>4184</v>
      </c>
      <c r="O20" s="5">
        <f t="shared" si="11"/>
        <v>0</v>
      </c>
      <c r="P20" s="5">
        <f>Table1[[#This Row],[Enrolment S.Y. 2025-2026 ]]*8</f>
        <v>4184</v>
      </c>
      <c r="Q20" s="5"/>
      <c r="R20" s="1"/>
      <c r="S20" s="5"/>
      <c r="T20" s="5">
        <f t="shared" si="12"/>
        <v>4184</v>
      </c>
      <c r="U20" s="5">
        <f t="shared" si="13"/>
        <v>0</v>
      </c>
      <c r="V20" s="5">
        <f>Table1[[#This Row],[Enrolment S.Y. 2025-2026 ]]*8</f>
        <v>4184</v>
      </c>
      <c r="W20" s="5">
        <v>382</v>
      </c>
      <c r="X20" s="1"/>
      <c r="Y20" s="5"/>
      <c r="Z20" s="5">
        <f t="shared" si="14"/>
        <v>3802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523</v>
      </c>
      <c r="D21" s="5">
        <f>Table1[[#This Row],[Enrolment S.Y. 2025-2026 ]]*8</f>
        <v>4184</v>
      </c>
      <c r="E21" s="5"/>
      <c r="F21" s="1"/>
      <c r="G21" s="5"/>
      <c r="H21" s="5">
        <f>IF((D21-E21)&lt;0,0,(D21-E21))</f>
        <v>4184</v>
      </c>
      <c r="I21" s="5">
        <f>IF((E21-D21)&lt;0,0,(E21-D21))</f>
        <v>0</v>
      </c>
      <c r="J21" s="5">
        <f>Table1[[#This Row],[Enrolment S.Y. 2025-2026 ]]*8</f>
        <v>4184</v>
      </c>
      <c r="K21" s="5"/>
      <c r="L21" s="1"/>
      <c r="M21" s="5"/>
      <c r="N21" s="5">
        <f t="shared" si="10"/>
        <v>4184</v>
      </c>
      <c r="O21" s="5">
        <f t="shared" si="11"/>
        <v>0</v>
      </c>
      <c r="P21" s="5">
        <f>Table1[[#This Row],[Enrolment S.Y. 2025-2026 ]]*8</f>
        <v>4184</v>
      </c>
      <c r="Q21" s="5"/>
      <c r="R21" s="1"/>
      <c r="S21" s="5"/>
      <c r="T21" s="5">
        <f t="shared" si="12"/>
        <v>4184</v>
      </c>
      <c r="U21" s="5">
        <f t="shared" si="13"/>
        <v>0</v>
      </c>
      <c r="V21" s="5">
        <f>Table1[[#This Row],[Enrolment S.Y. 2025-2026 ]]*8</f>
        <v>4184</v>
      </c>
      <c r="W21" s="5"/>
      <c r="X21" s="1"/>
      <c r="Y21" s="5"/>
      <c r="Z21" s="5">
        <f t="shared" si="14"/>
        <v>4184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494</v>
      </c>
      <c r="D23" s="5">
        <f>Table1[[#This Row],[Enrolment S.Y. 2025-2026 ]]*8</f>
        <v>3952</v>
      </c>
      <c r="E23" s="5">
        <v>382</v>
      </c>
      <c r="F23" s="1"/>
      <c r="G23" s="5"/>
      <c r="H23" s="5">
        <f t="shared" si="2"/>
        <v>3570</v>
      </c>
      <c r="I23" s="5">
        <f t="shared" si="3"/>
        <v>0</v>
      </c>
      <c r="J23" s="5">
        <f>Table1[[#This Row],[Enrolment S.Y. 2025-2026 ]]*8</f>
        <v>3952</v>
      </c>
      <c r="K23" s="5"/>
      <c r="L23" s="1"/>
      <c r="M23" s="5"/>
      <c r="N23" s="5">
        <f t="shared" si="10"/>
        <v>3952</v>
      </c>
      <c r="O23" s="5">
        <f t="shared" si="11"/>
        <v>0</v>
      </c>
      <c r="P23" s="5">
        <f>Table1[[#This Row],[Enrolment S.Y. 2025-2026 ]]*8</f>
        <v>3952</v>
      </c>
      <c r="Q23" s="5"/>
      <c r="R23" s="1"/>
      <c r="S23" s="5"/>
      <c r="T23" s="5">
        <f t="shared" si="12"/>
        <v>3952</v>
      </c>
      <c r="U23" s="5">
        <f t="shared" si="13"/>
        <v>0</v>
      </c>
      <c r="V23" s="5">
        <f>Table1[[#This Row],[Enrolment S.Y. 2025-2026 ]]*8</f>
        <v>3952</v>
      </c>
      <c r="W23" s="5">
        <v>382</v>
      </c>
      <c r="X23" s="1"/>
      <c r="Y23" s="5"/>
      <c r="Z23" s="5">
        <f t="shared" si="14"/>
        <v>3570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494</v>
      </c>
      <c r="D24" s="5">
        <f>Table1[[#This Row],[Enrolment S.Y. 2025-2026 ]]*8</f>
        <v>3952</v>
      </c>
      <c r="E24" s="5"/>
      <c r="F24" s="1"/>
      <c r="G24" s="5"/>
      <c r="H24" s="5">
        <f t="shared" si="2"/>
        <v>3952</v>
      </c>
      <c r="I24" s="5">
        <f t="shared" si="3"/>
        <v>0</v>
      </c>
      <c r="J24" s="5">
        <f>Table1[[#This Row],[Enrolment S.Y. 2025-2026 ]]*8</f>
        <v>3952</v>
      </c>
      <c r="K24" s="5"/>
      <c r="L24" s="1"/>
      <c r="M24" s="5"/>
      <c r="N24" s="5">
        <f t="shared" si="10"/>
        <v>3952</v>
      </c>
      <c r="O24" s="5">
        <f t="shared" si="11"/>
        <v>0</v>
      </c>
      <c r="P24" s="5">
        <f>Table1[[#This Row],[Enrolment S.Y. 2025-2026 ]]*8</f>
        <v>3952</v>
      </c>
      <c r="Q24" s="5"/>
      <c r="R24" s="1"/>
      <c r="S24" s="5"/>
      <c r="T24" s="5">
        <f t="shared" si="12"/>
        <v>3952</v>
      </c>
      <c r="U24" s="5">
        <f t="shared" si="13"/>
        <v>0</v>
      </c>
      <c r="V24" s="5">
        <f>Table1[[#This Row],[Enrolment S.Y. 2025-2026 ]]*8</f>
        <v>3952</v>
      </c>
      <c r="W24" s="5"/>
      <c r="X24" s="1"/>
      <c r="Y24" s="5"/>
      <c r="Z24" s="5">
        <f t="shared" si="14"/>
        <v>3952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494</v>
      </c>
      <c r="D25" s="5">
        <f>Table1[[#This Row],[Enrolment S.Y. 2025-2026 ]]*8</f>
        <v>3952</v>
      </c>
      <c r="E25" s="5">
        <v>382</v>
      </c>
      <c r="F25" s="1"/>
      <c r="G25" s="5"/>
      <c r="H25" s="5">
        <f t="shared" si="2"/>
        <v>3570</v>
      </c>
      <c r="I25" s="5">
        <f t="shared" si="3"/>
        <v>0</v>
      </c>
      <c r="J25" s="5">
        <f>Table1[[#This Row],[Enrolment S.Y. 2025-2026 ]]*8</f>
        <v>3952</v>
      </c>
      <c r="K25" s="5"/>
      <c r="L25" s="1"/>
      <c r="M25" s="5"/>
      <c r="N25" s="5">
        <f t="shared" si="10"/>
        <v>3952</v>
      </c>
      <c r="O25" s="5">
        <f t="shared" si="11"/>
        <v>0</v>
      </c>
      <c r="P25" s="5">
        <f>Table1[[#This Row],[Enrolment S.Y. 2025-2026 ]]*8</f>
        <v>3952</v>
      </c>
      <c r="Q25" s="5"/>
      <c r="R25" s="1"/>
      <c r="S25" s="5"/>
      <c r="T25" s="5">
        <f t="shared" si="12"/>
        <v>3952</v>
      </c>
      <c r="U25" s="5">
        <f t="shared" si="13"/>
        <v>0</v>
      </c>
      <c r="V25" s="5">
        <f>Table1[[#This Row],[Enrolment S.Y. 2025-2026 ]]*8</f>
        <v>3952</v>
      </c>
      <c r="W25" s="5">
        <v>382</v>
      </c>
      <c r="X25" s="1"/>
      <c r="Y25" s="5"/>
      <c r="Z25" s="5">
        <f t="shared" si="14"/>
        <v>3570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494</v>
      </c>
      <c r="D26" s="5">
        <f>Table1[[#This Row],[Enrolment S.Y. 2025-2026 ]]*8</f>
        <v>3952</v>
      </c>
      <c r="E26" s="5">
        <v>382</v>
      </c>
      <c r="F26" s="1"/>
      <c r="G26" s="5"/>
      <c r="H26" s="5">
        <f t="shared" si="2"/>
        <v>3570</v>
      </c>
      <c r="I26" s="5">
        <f t="shared" si="3"/>
        <v>0</v>
      </c>
      <c r="J26" s="5">
        <f>Table1[[#This Row],[Enrolment S.Y. 2025-2026 ]]*8</f>
        <v>3952</v>
      </c>
      <c r="K26" s="5"/>
      <c r="L26" s="1"/>
      <c r="M26" s="5"/>
      <c r="N26" s="5">
        <f t="shared" si="10"/>
        <v>3952</v>
      </c>
      <c r="O26" s="5">
        <f t="shared" si="11"/>
        <v>0</v>
      </c>
      <c r="P26" s="5">
        <f>Table1[[#This Row],[Enrolment S.Y. 2025-2026 ]]*8</f>
        <v>3952</v>
      </c>
      <c r="Q26" s="5"/>
      <c r="R26" s="1"/>
      <c r="S26" s="5"/>
      <c r="T26" s="5">
        <f t="shared" si="12"/>
        <v>3952</v>
      </c>
      <c r="U26" s="5">
        <f t="shared" si="13"/>
        <v>0</v>
      </c>
      <c r="V26" s="5">
        <f>Table1[[#This Row],[Enrolment S.Y. 2025-2026 ]]*8</f>
        <v>3952</v>
      </c>
      <c r="W26" s="5">
        <v>382</v>
      </c>
      <c r="X26" s="1"/>
      <c r="Y26" s="5"/>
      <c r="Z26" s="5">
        <f t="shared" si="14"/>
        <v>3570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494</v>
      </c>
      <c r="D27" s="5">
        <f>Table1[[#This Row],[Enrolment S.Y. 2025-2026 ]]*8</f>
        <v>3952</v>
      </c>
      <c r="E27" s="5">
        <v>382</v>
      </c>
      <c r="F27" s="1"/>
      <c r="G27" s="5"/>
      <c r="H27" s="5">
        <f t="shared" si="2"/>
        <v>3570</v>
      </c>
      <c r="I27" s="5">
        <f t="shared" si="3"/>
        <v>0</v>
      </c>
      <c r="J27" s="5">
        <f>Table1[[#This Row],[Enrolment S.Y. 2025-2026 ]]*8</f>
        <v>3952</v>
      </c>
      <c r="K27" s="5"/>
      <c r="L27" s="1"/>
      <c r="M27" s="5"/>
      <c r="N27" s="5">
        <f t="shared" si="10"/>
        <v>3952</v>
      </c>
      <c r="O27" s="5">
        <f t="shared" si="11"/>
        <v>0</v>
      </c>
      <c r="P27" s="5">
        <f>Table1[[#This Row],[Enrolment S.Y. 2025-2026 ]]*8</f>
        <v>3952</v>
      </c>
      <c r="Q27" s="5"/>
      <c r="R27" s="1"/>
      <c r="S27" s="5"/>
      <c r="T27" s="5">
        <f t="shared" si="12"/>
        <v>3952</v>
      </c>
      <c r="U27" s="5">
        <f t="shared" si="13"/>
        <v>0</v>
      </c>
      <c r="V27" s="5">
        <f>Table1[[#This Row],[Enrolment S.Y. 2025-2026 ]]*8</f>
        <v>3952</v>
      </c>
      <c r="W27" s="5">
        <v>382</v>
      </c>
      <c r="X27" s="1"/>
      <c r="Y27" s="5"/>
      <c r="Z27" s="5">
        <f t="shared" si="14"/>
        <v>3570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494</v>
      </c>
      <c r="D28" s="5">
        <f>Table1[[#This Row],[Enrolment S.Y. 2025-2026 ]]*8</f>
        <v>3952</v>
      </c>
      <c r="E28" s="5">
        <v>382</v>
      </c>
      <c r="F28" s="1"/>
      <c r="G28" s="5"/>
      <c r="H28" s="5">
        <f t="shared" si="2"/>
        <v>3570</v>
      </c>
      <c r="I28" s="5">
        <f t="shared" si="3"/>
        <v>0</v>
      </c>
      <c r="J28" s="5">
        <f>Table1[[#This Row],[Enrolment S.Y. 2025-2026 ]]*8</f>
        <v>3952</v>
      </c>
      <c r="K28" s="5"/>
      <c r="L28" s="1"/>
      <c r="M28" s="5"/>
      <c r="N28" s="5">
        <f t="shared" si="10"/>
        <v>3952</v>
      </c>
      <c r="O28" s="5">
        <f t="shared" si="11"/>
        <v>0</v>
      </c>
      <c r="P28" s="5">
        <f>Table1[[#This Row],[Enrolment S.Y. 2025-2026 ]]*8</f>
        <v>3952</v>
      </c>
      <c r="Q28" s="5"/>
      <c r="R28" s="1"/>
      <c r="S28" s="5"/>
      <c r="T28" s="5">
        <f t="shared" si="12"/>
        <v>3952</v>
      </c>
      <c r="U28" s="5">
        <f t="shared" si="13"/>
        <v>0</v>
      </c>
      <c r="V28" s="5">
        <f>Table1[[#This Row],[Enrolment S.Y. 2025-2026 ]]*8</f>
        <v>3952</v>
      </c>
      <c r="W28" s="5">
        <v>382</v>
      </c>
      <c r="X28" s="1"/>
      <c r="Y28" s="5"/>
      <c r="Z28" s="5">
        <f t="shared" si="14"/>
        <v>3570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494</v>
      </c>
      <c r="D29" s="5">
        <f>Table1[[#This Row],[Enrolment S.Y. 2025-2026 ]]*8</f>
        <v>3952</v>
      </c>
      <c r="E29" s="5"/>
      <c r="F29" s="1"/>
      <c r="G29" s="5"/>
      <c r="H29" s="5">
        <f>IF((D29-E29)&lt;0,0,(D29-E29))</f>
        <v>3952</v>
      </c>
      <c r="I29" s="5">
        <f>IF((E29-D29)&lt;0,0,(E29-D29))</f>
        <v>0</v>
      </c>
      <c r="J29" s="5">
        <f>Table1[[#This Row],[Enrolment S.Y. 2025-2026 ]]*8</f>
        <v>3952</v>
      </c>
      <c r="K29" s="5"/>
      <c r="L29" s="1"/>
      <c r="M29" s="5"/>
      <c r="N29" s="5">
        <f t="shared" si="10"/>
        <v>3952</v>
      </c>
      <c r="O29" s="5">
        <f t="shared" si="11"/>
        <v>0</v>
      </c>
      <c r="P29" s="5">
        <f>Table1[[#This Row],[Enrolment S.Y. 2025-2026 ]]*8</f>
        <v>3952</v>
      </c>
      <c r="Q29" s="5"/>
      <c r="R29" s="1"/>
      <c r="S29" s="5"/>
      <c r="T29" s="5">
        <f t="shared" si="12"/>
        <v>3952</v>
      </c>
      <c r="U29" s="5">
        <f t="shared" si="13"/>
        <v>0</v>
      </c>
      <c r="V29" s="5">
        <f>Table1[[#This Row],[Enrolment S.Y. 2025-2026 ]]*8</f>
        <v>3952</v>
      </c>
      <c r="W29" s="5"/>
      <c r="X29" s="1"/>
      <c r="Y29" s="5"/>
      <c r="Z29" s="5">
        <f t="shared" si="14"/>
        <v>3952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494</v>
      </c>
      <c r="D30" s="5">
        <f>Table1[[#This Row],[Enrolment S.Y. 2025-2026 ]]*8</f>
        <v>3952</v>
      </c>
      <c r="E30" s="5">
        <v>382</v>
      </c>
      <c r="F30" s="1"/>
      <c r="G30" s="5"/>
      <c r="H30" s="5">
        <f>IF((D30-E30)&lt;0,0,(D30-E30))</f>
        <v>3570</v>
      </c>
      <c r="I30" s="5">
        <f>IF((E30-D30)&lt;0,0,(E30-D30))</f>
        <v>0</v>
      </c>
      <c r="J30" s="5">
        <f>Table1[[#This Row],[Enrolment S.Y. 2025-2026 ]]*8</f>
        <v>3952</v>
      </c>
      <c r="K30" s="5"/>
      <c r="L30" s="1"/>
      <c r="M30" s="5"/>
      <c r="N30" s="5">
        <f t="shared" si="10"/>
        <v>3952</v>
      </c>
      <c r="O30" s="5">
        <f t="shared" si="11"/>
        <v>0</v>
      </c>
      <c r="P30" s="5">
        <f>Table1[[#This Row],[Enrolment S.Y. 2025-2026 ]]*8</f>
        <v>3952</v>
      </c>
      <c r="Q30" s="5"/>
      <c r="R30" s="1"/>
      <c r="S30" s="5"/>
      <c r="T30" s="5">
        <f t="shared" si="12"/>
        <v>3952</v>
      </c>
      <c r="U30" s="5">
        <f t="shared" si="13"/>
        <v>0</v>
      </c>
      <c r="V30" s="5">
        <f>Table1[[#This Row],[Enrolment S.Y. 2025-2026 ]]*8</f>
        <v>3952</v>
      </c>
      <c r="W30" s="5">
        <v>382</v>
      </c>
      <c r="X30" s="1"/>
      <c r="Y30" s="5"/>
      <c r="Z30" s="5">
        <f t="shared" si="14"/>
        <v>3570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494</v>
      </c>
      <c r="D31" s="5">
        <f>Table1[[#This Row],[Enrolment S.Y. 2025-2026 ]]*8</f>
        <v>3952</v>
      </c>
      <c r="E31" s="5"/>
      <c r="F31" s="1"/>
      <c r="G31" s="5"/>
      <c r="H31" s="5">
        <f>IF((D31-E31)&lt;0,0,(D31-E31))</f>
        <v>3952</v>
      </c>
      <c r="I31" s="5">
        <f>IF((E31-D31)&lt;0,0,(E31-D31))</f>
        <v>0</v>
      </c>
      <c r="J31" s="5">
        <f>Table1[[#This Row],[Enrolment S.Y. 2025-2026 ]]*8</f>
        <v>3952</v>
      </c>
      <c r="K31" s="5"/>
      <c r="L31" s="1"/>
      <c r="M31" s="5"/>
      <c r="N31" s="5">
        <f t="shared" si="10"/>
        <v>3952</v>
      </c>
      <c r="O31" s="5">
        <f t="shared" si="11"/>
        <v>0</v>
      </c>
      <c r="P31" s="5">
        <f>Table1[[#This Row],[Enrolment S.Y. 2025-2026 ]]*8</f>
        <v>3952</v>
      </c>
      <c r="Q31" s="5"/>
      <c r="R31" s="1"/>
      <c r="S31" s="5"/>
      <c r="T31" s="5">
        <f t="shared" si="12"/>
        <v>3952</v>
      </c>
      <c r="U31" s="5">
        <f t="shared" si="13"/>
        <v>0</v>
      </c>
      <c r="V31" s="5">
        <f>Table1[[#This Row],[Enrolment S.Y. 2025-2026 ]]*8</f>
        <v>3952</v>
      </c>
      <c r="W31" s="5"/>
      <c r="X31" s="1"/>
      <c r="Y31" s="5"/>
      <c r="Z31" s="5">
        <f t="shared" si="14"/>
        <v>3952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481</v>
      </c>
      <c r="D33" s="5">
        <f>Table1[[#This Row],[Enrolment S.Y. 2025-2026 ]]*8</f>
        <v>3848</v>
      </c>
      <c r="E33" s="5"/>
      <c r="F33" s="1"/>
      <c r="G33" s="5"/>
      <c r="H33" s="5">
        <f t="shared" si="2"/>
        <v>3848</v>
      </c>
      <c r="I33" s="5">
        <f t="shared" si="3"/>
        <v>0</v>
      </c>
      <c r="J33" s="5">
        <f>Table1[[#This Row],[Enrolment S.Y. 2025-2026 ]]*8</f>
        <v>3848</v>
      </c>
      <c r="K33" s="5"/>
      <c r="L33" s="1"/>
      <c r="M33" s="5"/>
      <c r="N33" s="5">
        <f t="shared" si="10"/>
        <v>3848</v>
      </c>
      <c r="O33" s="5">
        <f t="shared" si="11"/>
        <v>0</v>
      </c>
      <c r="P33" s="5">
        <f>Table1[[#This Row],[Enrolment S.Y. 2025-2026 ]]*8</f>
        <v>3848</v>
      </c>
      <c r="Q33" s="5"/>
      <c r="R33" s="1"/>
      <c r="S33" s="5"/>
      <c r="T33" s="5">
        <f t="shared" si="12"/>
        <v>3848</v>
      </c>
      <c r="U33" s="5">
        <f t="shared" si="13"/>
        <v>0</v>
      </c>
      <c r="V33" s="5">
        <f>Table1[[#This Row],[Enrolment S.Y. 2025-2026 ]]*8</f>
        <v>3848</v>
      </c>
      <c r="W33" s="5"/>
      <c r="X33" s="1"/>
      <c r="Y33" s="5"/>
      <c r="Z33" s="5">
        <f t="shared" si="14"/>
        <v>3848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481</v>
      </c>
      <c r="D34" s="5">
        <f>Table1[[#This Row],[Enrolment S.Y. 2025-2026 ]]*8</f>
        <v>3848</v>
      </c>
      <c r="E34" s="5"/>
      <c r="F34" s="1"/>
      <c r="G34" s="5"/>
      <c r="H34" s="5">
        <f t="shared" si="2"/>
        <v>3848</v>
      </c>
      <c r="I34" s="5">
        <f t="shared" si="3"/>
        <v>0</v>
      </c>
      <c r="J34" s="5">
        <f>Table1[[#This Row],[Enrolment S.Y. 2025-2026 ]]*8</f>
        <v>3848</v>
      </c>
      <c r="K34" s="5"/>
      <c r="L34" s="1"/>
      <c r="M34" s="5"/>
      <c r="N34" s="5">
        <f t="shared" si="10"/>
        <v>3848</v>
      </c>
      <c r="O34" s="5">
        <f t="shared" si="11"/>
        <v>0</v>
      </c>
      <c r="P34" s="5">
        <f>Table1[[#This Row],[Enrolment S.Y. 2025-2026 ]]*8</f>
        <v>3848</v>
      </c>
      <c r="Q34" s="5"/>
      <c r="R34" s="1"/>
      <c r="S34" s="5"/>
      <c r="T34" s="5">
        <f t="shared" si="12"/>
        <v>3848</v>
      </c>
      <c r="U34" s="5">
        <f t="shared" si="13"/>
        <v>0</v>
      </c>
      <c r="V34" s="5">
        <f>Table1[[#This Row],[Enrolment S.Y. 2025-2026 ]]*8</f>
        <v>3848</v>
      </c>
      <c r="W34" s="5"/>
      <c r="X34" s="1"/>
      <c r="Y34" s="5"/>
      <c r="Z34" s="5">
        <f t="shared" si="14"/>
        <v>3848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481</v>
      </c>
      <c r="D35" s="5">
        <f>Table1[[#This Row],[Enrolment S.Y. 2025-2026 ]]*8</f>
        <v>3848</v>
      </c>
      <c r="E35" s="5"/>
      <c r="F35" s="1"/>
      <c r="G35" s="5"/>
      <c r="H35" s="5">
        <f t="shared" si="2"/>
        <v>3848</v>
      </c>
      <c r="I35" s="5">
        <f t="shared" si="3"/>
        <v>0</v>
      </c>
      <c r="J35" s="5">
        <f>Table1[[#This Row],[Enrolment S.Y. 2025-2026 ]]*8</f>
        <v>3848</v>
      </c>
      <c r="K35" s="5"/>
      <c r="L35" s="1"/>
      <c r="M35" s="5"/>
      <c r="N35" s="5">
        <f t="shared" si="10"/>
        <v>3848</v>
      </c>
      <c r="O35" s="5">
        <f t="shared" si="11"/>
        <v>0</v>
      </c>
      <c r="P35" s="5">
        <f>Table1[[#This Row],[Enrolment S.Y. 2025-2026 ]]*8</f>
        <v>3848</v>
      </c>
      <c r="Q35" s="5"/>
      <c r="R35" s="1"/>
      <c r="S35" s="5"/>
      <c r="T35" s="5">
        <f t="shared" si="12"/>
        <v>3848</v>
      </c>
      <c r="U35" s="5">
        <f t="shared" si="13"/>
        <v>0</v>
      </c>
      <c r="V35" s="5">
        <f>Table1[[#This Row],[Enrolment S.Y. 2025-2026 ]]*8</f>
        <v>3848</v>
      </c>
      <c r="W35" s="5"/>
      <c r="X35" s="1"/>
      <c r="Y35" s="5"/>
      <c r="Z35" s="5">
        <f t="shared" si="14"/>
        <v>3848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481</v>
      </c>
      <c r="D36" s="5">
        <f>Table1[[#This Row],[Enrolment S.Y. 2025-2026 ]]*8</f>
        <v>3848</v>
      </c>
      <c r="E36" s="5"/>
      <c r="F36" s="1"/>
      <c r="G36" s="5"/>
      <c r="H36" s="5">
        <f t="shared" si="2"/>
        <v>3848</v>
      </c>
      <c r="I36" s="5">
        <f t="shared" si="3"/>
        <v>0</v>
      </c>
      <c r="J36" s="5">
        <f>Table1[[#This Row],[Enrolment S.Y. 2025-2026 ]]*8</f>
        <v>3848</v>
      </c>
      <c r="K36" s="5"/>
      <c r="L36" s="1"/>
      <c r="M36" s="5"/>
      <c r="N36" s="5">
        <f t="shared" si="10"/>
        <v>3848</v>
      </c>
      <c r="O36" s="5">
        <f t="shared" si="11"/>
        <v>0</v>
      </c>
      <c r="P36" s="5">
        <f>Table1[[#This Row],[Enrolment S.Y. 2025-2026 ]]*8</f>
        <v>3848</v>
      </c>
      <c r="Q36" s="5"/>
      <c r="R36" s="1"/>
      <c r="S36" s="5"/>
      <c r="T36" s="5">
        <f t="shared" si="12"/>
        <v>3848</v>
      </c>
      <c r="U36" s="5">
        <f t="shared" si="13"/>
        <v>0</v>
      </c>
      <c r="V36" s="5">
        <f>Table1[[#This Row],[Enrolment S.Y. 2025-2026 ]]*8</f>
        <v>3848</v>
      </c>
      <c r="W36" s="5"/>
      <c r="X36" s="1"/>
      <c r="Y36" s="5"/>
      <c r="Z36" s="5">
        <f t="shared" si="14"/>
        <v>3848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481</v>
      </c>
      <c r="D37" s="5">
        <f>Table1[[#This Row],[Enrolment S.Y. 2025-2026 ]]*8</f>
        <v>3848</v>
      </c>
      <c r="E37" s="5"/>
      <c r="F37" s="1"/>
      <c r="G37" s="5"/>
      <c r="H37" s="5">
        <f t="shared" si="2"/>
        <v>3848</v>
      </c>
      <c r="I37" s="5">
        <f t="shared" si="3"/>
        <v>0</v>
      </c>
      <c r="J37" s="5">
        <f>Table1[[#This Row],[Enrolment S.Y. 2025-2026 ]]*8</f>
        <v>3848</v>
      </c>
      <c r="K37" s="5"/>
      <c r="L37" s="1"/>
      <c r="M37" s="5"/>
      <c r="N37" s="5">
        <f t="shared" si="10"/>
        <v>3848</v>
      </c>
      <c r="O37" s="5">
        <f t="shared" si="11"/>
        <v>0</v>
      </c>
      <c r="P37" s="5">
        <f>Table1[[#This Row],[Enrolment S.Y. 2025-2026 ]]*8</f>
        <v>3848</v>
      </c>
      <c r="Q37" s="5"/>
      <c r="R37" s="1"/>
      <c r="S37" s="5"/>
      <c r="T37" s="5">
        <f t="shared" si="12"/>
        <v>3848</v>
      </c>
      <c r="U37" s="5">
        <f t="shared" si="13"/>
        <v>0</v>
      </c>
      <c r="V37" s="5">
        <f>Table1[[#This Row],[Enrolment S.Y. 2025-2026 ]]*8</f>
        <v>3848</v>
      </c>
      <c r="W37" s="5"/>
      <c r="X37" s="1"/>
      <c r="Y37" s="5"/>
      <c r="Z37" s="5">
        <f t="shared" si="14"/>
        <v>3848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481</v>
      </c>
      <c r="D38" s="5">
        <f>Table1[[#This Row],[Enrolment S.Y. 2025-2026 ]]*8</f>
        <v>3848</v>
      </c>
      <c r="E38" s="5"/>
      <c r="F38" s="1"/>
      <c r="G38" s="5"/>
      <c r="H38" s="5">
        <f t="shared" si="2"/>
        <v>3848</v>
      </c>
      <c r="I38" s="5">
        <f t="shared" si="3"/>
        <v>0</v>
      </c>
      <c r="J38" s="5">
        <f>Table1[[#This Row],[Enrolment S.Y. 2025-2026 ]]*8</f>
        <v>3848</v>
      </c>
      <c r="K38" s="5"/>
      <c r="L38" s="1"/>
      <c r="M38" s="5"/>
      <c r="N38" s="5">
        <f t="shared" si="10"/>
        <v>3848</v>
      </c>
      <c r="O38" s="5">
        <f t="shared" si="11"/>
        <v>0</v>
      </c>
      <c r="P38" s="5">
        <f>Table1[[#This Row],[Enrolment S.Y. 2025-2026 ]]*8</f>
        <v>3848</v>
      </c>
      <c r="Q38" s="5"/>
      <c r="R38" s="1"/>
      <c r="S38" s="5"/>
      <c r="T38" s="5">
        <f t="shared" si="12"/>
        <v>3848</v>
      </c>
      <c r="U38" s="5">
        <f t="shared" si="13"/>
        <v>0</v>
      </c>
      <c r="V38" s="5">
        <f>Table1[[#This Row],[Enrolment S.Y. 2025-2026 ]]*8</f>
        <v>3848</v>
      </c>
      <c r="W38" s="5"/>
      <c r="X38" s="1"/>
      <c r="Y38" s="5"/>
      <c r="Z38" s="5">
        <f t="shared" si="14"/>
        <v>3848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481</v>
      </c>
      <c r="D39" s="5">
        <f>Table1[[#This Row],[Enrolment S.Y. 2025-2026 ]]*8</f>
        <v>3848</v>
      </c>
      <c r="E39" s="5"/>
      <c r="F39" s="1"/>
      <c r="G39" s="5"/>
      <c r="H39" s="5">
        <f t="shared" si="2"/>
        <v>3848</v>
      </c>
      <c r="I39" s="5">
        <f t="shared" si="3"/>
        <v>0</v>
      </c>
      <c r="J39" s="5">
        <f>Table1[[#This Row],[Enrolment S.Y. 2025-2026 ]]*8</f>
        <v>3848</v>
      </c>
      <c r="K39" s="5"/>
      <c r="L39" s="1"/>
      <c r="M39" s="5"/>
      <c r="N39" s="5">
        <f t="shared" si="10"/>
        <v>3848</v>
      </c>
      <c r="O39" s="5">
        <f t="shared" si="11"/>
        <v>0</v>
      </c>
      <c r="P39" s="5">
        <f>Table1[[#This Row],[Enrolment S.Y. 2025-2026 ]]*8</f>
        <v>3848</v>
      </c>
      <c r="Q39" s="5"/>
      <c r="R39" s="1"/>
      <c r="S39" s="5"/>
      <c r="T39" s="5">
        <f t="shared" si="12"/>
        <v>3848</v>
      </c>
      <c r="U39" s="5">
        <f t="shared" si="13"/>
        <v>0</v>
      </c>
      <c r="V39" s="5">
        <f>Table1[[#This Row],[Enrolment S.Y. 2025-2026 ]]*8</f>
        <v>3848</v>
      </c>
      <c r="W39" s="5"/>
      <c r="X39" s="1"/>
      <c r="Y39" s="5"/>
      <c r="Z39" s="5">
        <f t="shared" si="14"/>
        <v>3848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481</v>
      </c>
      <c r="D40" s="5">
        <f>Table1[[#This Row],[Enrolment S.Y. 2025-2026 ]]*8</f>
        <v>3848</v>
      </c>
      <c r="E40" s="5"/>
      <c r="F40" s="1"/>
      <c r="G40" s="5"/>
      <c r="H40" s="5">
        <f t="shared" si="2"/>
        <v>3848</v>
      </c>
      <c r="I40" s="5">
        <f t="shared" si="3"/>
        <v>0</v>
      </c>
      <c r="J40" s="5">
        <f>Table1[[#This Row],[Enrolment S.Y. 2025-2026 ]]*8</f>
        <v>3848</v>
      </c>
      <c r="K40" s="5"/>
      <c r="L40" s="1"/>
      <c r="M40" s="5"/>
      <c r="N40" s="5">
        <f t="shared" si="10"/>
        <v>3848</v>
      </c>
      <c r="O40" s="5">
        <f t="shared" si="11"/>
        <v>0</v>
      </c>
      <c r="P40" s="5">
        <f>Table1[[#This Row],[Enrolment S.Y. 2025-2026 ]]*8</f>
        <v>3848</v>
      </c>
      <c r="Q40" s="5"/>
      <c r="R40" s="1"/>
      <c r="S40" s="5"/>
      <c r="T40" s="5">
        <f t="shared" si="12"/>
        <v>3848</v>
      </c>
      <c r="U40" s="5">
        <f t="shared" si="13"/>
        <v>0</v>
      </c>
      <c r="V40" s="5">
        <f>Table1[[#This Row],[Enrolment S.Y. 2025-2026 ]]*8</f>
        <v>3848</v>
      </c>
      <c r="W40" s="5"/>
      <c r="X40" s="1"/>
      <c r="Y40" s="5"/>
      <c r="Z40" s="5">
        <f t="shared" si="14"/>
        <v>3848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481</v>
      </c>
      <c r="D41" s="5">
        <f>Table1[[#This Row],[Enrolment S.Y. 2025-2026 ]]*8</f>
        <v>3848</v>
      </c>
      <c r="E41" s="5"/>
      <c r="F41" s="1"/>
      <c r="G41" s="5"/>
      <c r="H41" s="5">
        <f t="shared" si="2"/>
        <v>3848</v>
      </c>
      <c r="I41" s="5">
        <f t="shared" si="3"/>
        <v>0</v>
      </c>
      <c r="J41" s="5">
        <f>Table1[[#This Row],[Enrolment S.Y. 2025-2026 ]]*8</f>
        <v>3848</v>
      </c>
      <c r="K41" s="5"/>
      <c r="L41" s="1"/>
      <c r="M41" s="5"/>
      <c r="N41" s="5">
        <f t="shared" si="10"/>
        <v>3848</v>
      </c>
      <c r="O41" s="5">
        <f t="shared" si="11"/>
        <v>0</v>
      </c>
      <c r="P41" s="5">
        <f>Table1[[#This Row],[Enrolment S.Y. 2025-2026 ]]*8</f>
        <v>3848</v>
      </c>
      <c r="Q41" s="5"/>
      <c r="R41" s="1"/>
      <c r="S41" s="5"/>
      <c r="T41" s="5">
        <f t="shared" si="12"/>
        <v>3848</v>
      </c>
      <c r="U41" s="5">
        <f t="shared" si="13"/>
        <v>0</v>
      </c>
      <c r="V41" s="5">
        <f>Table1[[#This Row],[Enrolment S.Y. 2025-2026 ]]*8</f>
        <v>3848</v>
      </c>
      <c r="W41" s="5"/>
      <c r="X41" s="1"/>
      <c r="Y41" s="5"/>
      <c r="Z41" s="5">
        <f t="shared" si="14"/>
        <v>3848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506</v>
      </c>
      <c r="D43" s="5">
        <f>Table1[[#This Row],[Enrolment S.Y. 2025-2026 ]]*8</f>
        <v>4048</v>
      </c>
      <c r="E43" s="5">
        <v>112</v>
      </c>
      <c r="F43" s="1"/>
      <c r="G43" s="5"/>
      <c r="H43" s="5">
        <f t="shared" si="2"/>
        <v>3936</v>
      </c>
      <c r="I43" s="5">
        <f t="shared" si="3"/>
        <v>0</v>
      </c>
      <c r="J43" s="5">
        <f>Table1[[#This Row],[Enrolment S.Y. 2025-2026 ]]*8</f>
        <v>4048</v>
      </c>
      <c r="K43" s="5"/>
      <c r="L43" s="1"/>
      <c r="M43" s="5"/>
      <c r="N43" s="5">
        <f t="shared" si="10"/>
        <v>4048</v>
      </c>
      <c r="O43" s="5">
        <f t="shared" si="11"/>
        <v>0</v>
      </c>
      <c r="P43" s="5">
        <f>Table1[[#This Row],[Enrolment S.Y. 2025-2026 ]]*8</f>
        <v>4048</v>
      </c>
      <c r="Q43" s="5"/>
      <c r="R43" s="1"/>
      <c r="S43" s="5"/>
      <c r="T43" s="5">
        <f t="shared" si="12"/>
        <v>4048</v>
      </c>
      <c r="U43" s="5">
        <f t="shared" si="13"/>
        <v>0</v>
      </c>
      <c r="V43" s="5">
        <f>Table1[[#This Row],[Enrolment S.Y. 2025-2026 ]]*8</f>
        <v>4048</v>
      </c>
      <c r="W43" s="5">
        <v>112</v>
      </c>
      <c r="X43" s="1"/>
      <c r="Y43" s="5"/>
      <c r="Z43" s="5">
        <f t="shared" si="14"/>
        <v>3936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506</v>
      </c>
      <c r="D44" s="5">
        <f>Table1[[#This Row],[Enrolment S.Y. 2025-2026 ]]*8</f>
        <v>4048</v>
      </c>
      <c r="E44" s="5">
        <v>112</v>
      </c>
      <c r="F44" s="1"/>
      <c r="G44" s="5"/>
      <c r="H44" s="5">
        <f t="shared" si="2"/>
        <v>3936</v>
      </c>
      <c r="I44" s="5">
        <f t="shared" si="3"/>
        <v>0</v>
      </c>
      <c r="J44" s="5">
        <f>Table1[[#This Row],[Enrolment S.Y. 2025-2026 ]]*8</f>
        <v>4048</v>
      </c>
      <c r="K44" s="5"/>
      <c r="L44" s="1"/>
      <c r="M44" s="5"/>
      <c r="N44" s="5">
        <f t="shared" si="10"/>
        <v>4048</v>
      </c>
      <c r="O44" s="5">
        <f t="shared" si="11"/>
        <v>0</v>
      </c>
      <c r="P44" s="5">
        <f>Table1[[#This Row],[Enrolment S.Y. 2025-2026 ]]*8</f>
        <v>4048</v>
      </c>
      <c r="Q44" s="5"/>
      <c r="R44" s="1"/>
      <c r="S44" s="5"/>
      <c r="T44" s="5">
        <f t="shared" si="12"/>
        <v>4048</v>
      </c>
      <c r="U44" s="5">
        <f t="shared" si="13"/>
        <v>0</v>
      </c>
      <c r="V44" s="5">
        <f>Table1[[#This Row],[Enrolment S.Y. 2025-2026 ]]*8</f>
        <v>4048</v>
      </c>
      <c r="W44" s="5">
        <v>112</v>
      </c>
      <c r="X44" s="1"/>
      <c r="Y44" s="5"/>
      <c r="Z44" s="5">
        <f t="shared" si="14"/>
        <v>3936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506</v>
      </c>
      <c r="D45" s="5">
        <f>Table1[[#This Row],[Enrolment S.Y. 2025-2026 ]]*8</f>
        <v>4048</v>
      </c>
      <c r="E45" s="5">
        <v>112</v>
      </c>
      <c r="F45" s="1"/>
      <c r="G45" s="5"/>
      <c r="H45" s="5">
        <f t="shared" si="2"/>
        <v>3936</v>
      </c>
      <c r="I45" s="5">
        <f t="shared" si="3"/>
        <v>0</v>
      </c>
      <c r="J45" s="5">
        <f>Table1[[#This Row],[Enrolment S.Y. 2025-2026 ]]*8</f>
        <v>4048</v>
      </c>
      <c r="K45" s="5"/>
      <c r="L45" s="1"/>
      <c r="M45" s="5"/>
      <c r="N45" s="5">
        <f t="shared" si="10"/>
        <v>4048</v>
      </c>
      <c r="O45" s="5">
        <f t="shared" si="11"/>
        <v>0</v>
      </c>
      <c r="P45" s="5">
        <f>Table1[[#This Row],[Enrolment S.Y. 2025-2026 ]]*8</f>
        <v>4048</v>
      </c>
      <c r="Q45" s="5"/>
      <c r="R45" s="1"/>
      <c r="S45" s="5"/>
      <c r="T45" s="5">
        <f t="shared" si="12"/>
        <v>4048</v>
      </c>
      <c r="U45" s="5">
        <f t="shared" si="13"/>
        <v>0</v>
      </c>
      <c r="V45" s="5">
        <f>Table1[[#This Row],[Enrolment S.Y. 2025-2026 ]]*8</f>
        <v>4048</v>
      </c>
      <c r="W45" s="5">
        <v>112</v>
      </c>
      <c r="X45" s="1"/>
      <c r="Y45" s="5"/>
      <c r="Z45" s="5">
        <f t="shared" si="14"/>
        <v>3936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506</v>
      </c>
      <c r="D46" s="5">
        <f>Table1[[#This Row],[Enrolment S.Y. 2025-2026 ]]*8</f>
        <v>4048</v>
      </c>
      <c r="E46" s="5">
        <v>112</v>
      </c>
      <c r="F46" s="1"/>
      <c r="G46" s="5"/>
      <c r="H46" s="5">
        <f t="shared" si="2"/>
        <v>3936</v>
      </c>
      <c r="I46" s="5">
        <f t="shared" si="3"/>
        <v>0</v>
      </c>
      <c r="J46" s="5">
        <f>Table1[[#This Row],[Enrolment S.Y. 2025-2026 ]]*8</f>
        <v>4048</v>
      </c>
      <c r="K46" s="5"/>
      <c r="L46" s="1"/>
      <c r="M46" s="5"/>
      <c r="N46" s="5">
        <f t="shared" si="10"/>
        <v>4048</v>
      </c>
      <c r="O46" s="5">
        <f t="shared" si="11"/>
        <v>0</v>
      </c>
      <c r="P46" s="5">
        <f>Table1[[#This Row],[Enrolment S.Y. 2025-2026 ]]*8</f>
        <v>4048</v>
      </c>
      <c r="Q46" s="5"/>
      <c r="R46" s="1"/>
      <c r="S46" s="5"/>
      <c r="T46" s="5">
        <f t="shared" si="12"/>
        <v>4048</v>
      </c>
      <c r="U46" s="5">
        <f t="shared" si="13"/>
        <v>0</v>
      </c>
      <c r="V46" s="5">
        <f>Table1[[#This Row],[Enrolment S.Y. 2025-2026 ]]*8</f>
        <v>4048</v>
      </c>
      <c r="W46" s="5">
        <v>112</v>
      </c>
      <c r="X46" s="1"/>
      <c r="Y46" s="5"/>
      <c r="Z46" s="5">
        <f t="shared" si="14"/>
        <v>3936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506</v>
      </c>
      <c r="D47" s="5">
        <f>Table1[[#This Row],[Enrolment S.Y. 2025-2026 ]]*8</f>
        <v>4048</v>
      </c>
      <c r="E47" s="5">
        <v>112</v>
      </c>
      <c r="F47" s="1"/>
      <c r="G47" s="5"/>
      <c r="H47" s="5">
        <f t="shared" si="2"/>
        <v>3936</v>
      </c>
      <c r="I47" s="5">
        <f t="shared" si="3"/>
        <v>0</v>
      </c>
      <c r="J47" s="5">
        <f>Table1[[#This Row],[Enrolment S.Y. 2025-2026 ]]*8</f>
        <v>4048</v>
      </c>
      <c r="K47" s="5"/>
      <c r="L47" s="1"/>
      <c r="M47" s="5"/>
      <c r="N47" s="5">
        <f t="shared" si="10"/>
        <v>4048</v>
      </c>
      <c r="O47" s="5">
        <f t="shared" si="11"/>
        <v>0</v>
      </c>
      <c r="P47" s="5">
        <f>Table1[[#This Row],[Enrolment S.Y. 2025-2026 ]]*8</f>
        <v>4048</v>
      </c>
      <c r="Q47" s="5"/>
      <c r="R47" s="1"/>
      <c r="S47" s="5"/>
      <c r="T47" s="5">
        <f t="shared" si="12"/>
        <v>4048</v>
      </c>
      <c r="U47" s="5">
        <f t="shared" si="13"/>
        <v>0</v>
      </c>
      <c r="V47" s="5">
        <f>Table1[[#This Row],[Enrolment S.Y. 2025-2026 ]]*8</f>
        <v>4048</v>
      </c>
      <c r="W47" s="5">
        <v>112</v>
      </c>
      <c r="X47" s="1"/>
      <c r="Y47" s="5"/>
      <c r="Z47" s="5">
        <f t="shared" si="14"/>
        <v>3936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506</v>
      </c>
      <c r="D48" s="5">
        <f>Table1[[#This Row],[Enrolment S.Y. 2025-2026 ]]*8</f>
        <v>4048</v>
      </c>
      <c r="E48" s="5">
        <v>112</v>
      </c>
      <c r="F48" s="1"/>
      <c r="G48" s="5"/>
      <c r="H48" s="5">
        <f t="shared" si="2"/>
        <v>3936</v>
      </c>
      <c r="I48" s="5">
        <f t="shared" si="3"/>
        <v>0</v>
      </c>
      <c r="J48" s="5">
        <f>Table1[[#This Row],[Enrolment S.Y. 2025-2026 ]]*8</f>
        <v>4048</v>
      </c>
      <c r="K48" s="5"/>
      <c r="L48" s="1"/>
      <c r="M48" s="5"/>
      <c r="N48" s="5">
        <f t="shared" si="10"/>
        <v>4048</v>
      </c>
      <c r="O48" s="5">
        <f t="shared" si="11"/>
        <v>0</v>
      </c>
      <c r="P48" s="5">
        <f>Table1[[#This Row],[Enrolment S.Y. 2025-2026 ]]*8</f>
        <v>4048</v>
      </c>
      <c r="Q48" s="5"/>
      <c r="R48" s="1"/>
      <c r="S48" s="5"/>
      <c r="T48" s="5">
        <f t="shared" si="12"/>
        <v>4048</v>
      </c>
      <c r="U48" s="5">
        <f t="shared" si="13"/>
        <v>0</v>
      </c>
      <c r="V48" s="5">
        <f>Table1[[#This Row],[Enrolment S.Y. 2025-2026 ]]*8</f>
        <v>4048</v>
      </c>
      <c r="W48" s="5">
        <v>112</v>
      </c>
      <c r="X48" s="1"/>
      <c r="Y48" s="5"/>
      <c r="Z48" s="5">
        <f t="shared" si="14"/>
        <v>3936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506</v>
      </c>
      <c r="D49" s="5">
        <f>Table1[[#This Row],[Enrolment S.Y. 2025-2026 ]]*8</f>
        <v>4048</v>
      </c>
      <c r="E49" s="5">
        <v>112</v>
      </c>
      <c r="F49" s="1"/>
      <c r="G49" s="5"/>
      <c r="H49" s="5">
        <f t="shared" si="2"/>
        <v>3936</v>
      </c>
      <c r="I49" s="5">
        <f t="shared" si="3"/>
        <v>0</v>
      </c>
      <c r="J49" s="5">
        <f>Table1[[#This Row],[Enrolment S.Y. 2025-2026 ]]*8</f>
        <v>4048</v>
      </c>
      <c r="K49" s="5"/>
      <c r="L49" s="1"/>
      <c r="M49" s="5"/>
      <c r="N49" s="5">
        <f t="shared" si="10"/>
        <v>4048</v>
      </c>
      <c r="O49" s="5">
        <f t="shared" si="11"/>
        <v>0</v>
      </c>
      <c r="P49" s="5">
        <f>Table1[[#This Row],[Enrolment S.Y. 2025-2026 ]]*8</f>
        <v>4048</v>
      </c>
      <c r="Q49" s="5"/>
      <c r="R49" s="1"/>
      <c r="S49" s="5"/>
      <c r="T49" s="5">
        <f t="shared" si="12"/>
        <v>4048</v>
      </c>
      <c r="U49" s="5">
        <f t="shared" si="13"/>
        <v>0</v>
      </c>
      <c r="V49" s="5">
        <f>Table1[[#This Row],[Enrolment S.Y. 2025-2026 ]]*8</f>
        <v>4048</v>
      </c>
      <c r="W49" s="5">
        <v>112</v>
      </c>
      <c r="X49" s="1"/>
      <c r="Y49" s="5"/>
      <c r="Z49" s="5">
        <f t="shared" si="14"/>
        <v>3936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506</v>
      </c>
      <c r="D50" s="5">
        <f>Table1[[#This Row],[Enrolment S.Y. 2025-2026 ]]*8</f>
        <v>4048</v>
      </c>
      <c r="E50" s="5">
        <v>112</v>
      </c>
      <c r="F50" s="1"/>
      <c r="G50" s="5"/>
      <c r="H50" s="5">
        <f t="shared" si="2"/>
        <v>3936</v>
      </c>
      <c r="I50" s="5">
        <f t="shared" si="3"/>
        <v>0</v>
      </c>
      <c r="J50" s="5">
        <f>Table1[[#This Row],[Enrolment S.Y. 2025-2026 ]]*8</f>
        <v>4048</v>
      </c>
      <c r="K50" s="5"/>
      <c r="L50" s="1"/>
      <c r="M50" s="5"/>
      <c r="N50" s="5">
        <f t="shared" si="10"/>
        <v>4048</v>
      </c>
      <c r="O50" s="5">
        <f t="shared" si="11"/>
        <v>0</v>
      </c>
      <c r="P50" s="5">
        <f>Table1[[#This Row],[Enrolment S.Y. 2025-2026 ]]*8</f>
        <v>4048</v>
      </c>
      <c r="Q50" s="5"/>
      <c r="R50" s="1"/>
      <c r="S50" s="5"/>
      <c r="T50" s="5">
        <f t="shared" si="12"/>
        <v>4048</v>
      </c>
      <c r="U50" s="5">
        <f t="shared" si="13"/>
        <v>0</v>
      </c>
      <c r="V50" s="5">
        <f>Table1[[#This Row],[Enrolment S.Y. 2025-2026 ]]*8</f>
        <v>4048</v>
      </c>
      <c r="W50" s="5">
        <v>112</v>
      </c>
      <c r="X50" s="1"/>
      <c r="Y50" s="5"/>
      <c r="Z50" s="5">
        <f t="shared" si="14"/>
        <v>3936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506</v>
      </c>
      <c r="D51" s="5">
        <f>Table1[[#This Row],[Enrolment S.Y. 2025-2026 ]]*8</f>
        <v>4048</v>
      </c>
      <c r="E51" s="5">
        <v>112</v>
      </c>
      <c r="F51" s="1"/>
      <c r="G51" s="5"/>
      <c r="H51" s="5">
        <f t="shared" si="2"/>
        <v>3936</v>
      </c>
      <c r="I51" s="5">
        <f t="shared" si="3"/>
        <v>0</v>
      </c>
      <c r="J51" s="5">
        <f>Table1[[#This Row],[Enrolment S.Y. 2025-2026 ]]*8</f>
        <v>4048</v>
      </c>
      <c r="K51" s="5"/>
      <c r="L51" s="1"/>
      <c r="M51" s="5"/>
      <c r="N51" s="5">
        <f t="shared" si="10"/>
        <v>4048</v>
      </c>
      <c r="O51" s="5">
        <f t="shared" si="11"/>
        <v>0</v>
      </c>
      <c r="P51" s="5">
        <f>Table1[[#This Row],[Enrolment S.Y. 2025-2026 ]]*8</f>
        <v>4048</v>
      </c>
      <c r="Q51" s="5"/>
      <c r="R51" s="1"/>
      <c r="S51" s="5"/>
      <c r="T51" s="5">
        <f t="shared" si="12"/>
        <v>4048</v>
      </c>
      <c r="U51" s="5">
        <f t="shared" si="13"/>
        <v>0</v>
      </c>
      <c r="V51" s="5">
        <f>Table1[[#This Row],[Enrolment S.Y. 2025-2026 ]]*8</f>
        <v>4048</v>
      </c>
      <c r="W51" s="5">
        <v>112</v>
      </c>
      <c r="X51" s="1"/>
      <c r="Y51" s="5"/>
      <c r="Z51" s="5">
        <f t="shared" si="14"/>
        <v>3936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473</v>
      </c>
      <c r="D53" s="5">
        <f>Table1[[#This Row],[Enrolment S.Y. 2025-2026 ]]*8</f>
        <v>3784</v>
      </c>
      <c r="E53" s="5">
        <f>79*3</f>
        <v>237</v>
      </c>
      <c r="F53" s="1"/>
      <c r="G53" s="5"/>
      <c r="H53" s="5">
        <f t="shared" si="2"/>
        <v>3547</v>
      </c>
      <c r="I53" s="5">
        <f t="shared" si="3"/>
        <v>0</v>
      </c>
      <c r="J53" s="5">
        <f>Table1[[#This Row],[Enrolment S.Y. 2025-2026 ]]*8</f>
        <v>3784</v>
      </c>
      <c r="K53" s="5">
        <v>300</v>
      </c>
      <c r="L53" s="1"/>
      <c r="M53" s="5"/>
      <c r="N53" s="5">
        <f t="shared" si="10"/>
        <v>3484</v>
      </c>
      <c r="O53" s="5">
        <f t="shared" si="11"/>
        <v>0</v>
      </c>
      <c r="P53" s="5">
        <f>Table1[[#This Row],[Enrolment S.Y. 2025-2026 ]]*8</f>
        <v>3784</v>
      </c>
      <c r="Q53" s="5"/>
      <c r="R53" s="1"/>
      <c r="S53" s="5"/>
      <c r="T53" s="5">
        <f t="shared" si="12"/>
        <v>3784</v>
      </c>
      <c r="U53" s="5">
        <f t="shared" si="13"/>
        <v>0</v>
      </c>
      <c r="V53" s="5">
        <f>Table1[[#This Row],[Enrolment S.Y. 2025-2026 ]]*8</f>
        <v>3784</v>
      </c>
      <c r="W53" s="5">
        <f>79*3</f>
        <v>237</v>
      </c>
      <c r="X53" s="1"/>
      <c r="Y53" s="5"/>
      <c r="Z53" s="5">
        <f t="shared" si="14"/>
        <v>3547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473</v>
      </c>
      <c r="D54" s="5">
        <f>Table1[[#This Row],[Enrolment S.Y. 2025-2026 ]]*8</f>
        <v>3784</v>
      </c>
      <c r="E54" s="5">
        <v>869</v>
      </c>
      <c r="F54" s="1"/>
      <c r="G54" s="5"/>
      <c r="H54" s="5">
        <f t="shared" si="2"/>
        <v>2915</v>
      </c>
      <c r="I54" s="5">
        <f t="shared" si="3"/>
        <v>0</v>
      </c>
      <c r="J54" s="5">
        <f>Table1[[#This Row],[Enrolment S.Y. 2025-2026 ]]*8</f>
        <v>3784</v>
      </c>
      <c r="K54" s="5">
        <v>1400</v>
      </c>
      <c r="L54" s="1"/>
      <c r="M54" s="5"/>
      <c r="N54" s="5">
        <f t="shared" si="10"/>
        <v>2384</v>
      </c>
      <c r="O54" s="5">
        <f t="shared" si="11"/>
        <v>0</v>
      </c>
      <c r="P54" s="5">
        <f>Table1[[#This Row],[Enrolment S.Y. 2025-2026 ]]*8</f>
        <v>3784</v>
      </c>
      <c r="Q54" s="5"/>
      <c r="R54" s="1"/>
      <c r="S54" s="5"/>
      <c r="T54" s="5">
        <f t="shared" si="12"/>
        <v>3784</v>
      </c>
      <c r="U54" s="5">
        <f t="shared" si="13"/>
        <v>0</v>
      </c>
      <c r="V54" s="5">
        <f>Table1[[#This Row],[Enrolment S.Y. 2025-2026 ]]*8</f>
        <v>3784</v>
      </c>
      <c r="W54" s="5">
        <v>869</v>
      </c>
      <c r="X54" s="1"/>
      <c r="Y54" s="5"/>
      <c r="Z54" s="5">
        <f t="shared" si="14"/>
        <v>2915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473</v>
      </c>
      <c r="D55" s="5">
        <f>Table1[[#This Row],[Enrolment S.Y. 2025-2026 ]]*8</f>
        <v>3784</v>
      </c>
      <c r="E55" s="5">
        <f>79*11</f>
        <v>869</v>
      </c>
      <c r="F55" s="1"/>
      <c r="G55" s="5"/>
      <c r="H55" s="5">
        <f t="shared" si="2"/>
        <v>2915</v>
      </c>
      <c r="I55" s="5">
        <f t="shared" si="3"/>
        <v>0</v>
      </c>
      <c r="J55" s="5">
        <f>Table1[[#This Row],[Enrolment S.Y. 2025-2026 ]]*8</f>
        <v>3784</v>
      </c>
      <c r="K55" s="5">
        <v>1400</v>
      </c>
      <c r="L55" s="1"/>
      <c r="M55" s="5"/>
      <c r="N55" s="5">
        <f t="shared" si="10"/>
        <v>2384</v>
      </c>
      <c r="O55" s="5">
        <f t="shared" si="11"/>
        <v>0</v>
      </c>
      <c r="P55" s="5">
        <f>Table1[[#This Row],[Enrolment S.Y. 2025-2026 ]]*8</f>
        <v>3784</v>
      </c>
      <c r="Q55" s="5"/>
      <c r="R55" s="1"/>
      <c r="S55" s="5"/>
      <c r="T55" s="5">
        <f t="shared" si="12"/>
        <v>3784</v>
      </c>
      <c r="U55" s="5">
        <f t="shared" si="13"/>
        <v>0</v>
      </c>
      <c r="V55" s="5">
        <f>Table1[[#This Row],[Enrolment S.Y. 2025-2026 ]]*8</f>
        <v>3784</v>
      </c>
      <c r="W55" s="5">
        <f>79*11</f>
        <v>869</v>
      </c>
      <c r="X55" s="1"/>
      <c r="Y55" s="5"/>
      <c r="Z55" s="5">
        <f t="shared" si="14"/>
        <v>2915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473</v>
      </c>
      <c r="D56" s="5">
        <f>Table1[[#This Row],[Enrolment S.Y. 2025-2026 ]]*8</f>
        <v>3784</v>
      </c>
      <c r="E56" s="5"/>
      <c r="F56" s="1"/>
      <c r="G56" s="5"/>
      <c r="H56" s="5">
        <f t="shared" si="2"/>
        <v>3784</v>
      </c>
      <c r="I56" s="5">
        <f t="shared" si="3"/>
        <v>0</v>
      </c>
      <c r="J56" s="5">
        <f>Table1[[#This Row],[Enrolment S.Y. 2025-2026 ]]*8</f>
        <v>3784</v>
      </c>
      <c r="K56" s="5"/>
      <c r="L56" s="1"/>
      <c r="M56" s="5"/>
      <c r="N56" s="5">
        <f t="shared" si="10"/>
        <v>3784</v>
      </c>
      <c r="O56" s="5">
        <f t="shared" si="11"/>
        <v>0</v>
      </c>
      <c r="P56" s="5">
        <f>Table1[[#This Row],[Enrolment S.Y. 2025-2026 ]]*8</f>
        <v>3784</v>
      </c>
      <c r="Q56" s="5"/>
      <c r="R56" s="1"/>
      <c r="S56" s="5"/>
      <c r="T56" s="5">
        <f t="shared" si="12"/>
        <v>3784</v>
      </c>
      <c r="U56" s="5">
        <f t="shared" si="13"/>
        <v>0</v>
      </c>
      <c r="V56" s="5">
        <f>Table1[[#This Row],[Enrolment S.Y. 2025-2026 ]]*8</f>
        <v>3784</v>
      </c>
      <c r="W56" s="5"/>
      <c r="X56" s="1"/>
      <c r="Y56" s="5"/>
      <c r="Z56" s="5">
        <f t="shared" si="14"/>
        <v>3784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473</v>
      </c>
      <c r="D57" s="5">
        <f>Table1[[#This Row],[Enrolment S.Y. 2025-2026 ]]*8</f>
        <v>3784</v>
      </c>
      <c r="E57" s="5"/>
      <c r="F57" s="1"/>
      <c r="G57" s="5"/>
      <c r="H57" s="5">
        <f t="shared" si="2"/>
        <v>3784</v>
      </c>
      <c r="I57" s="5">
        <f t="shared" si="3"/>
        <v>0</v>
      </c>
      <c r="J57" s="5">
        <f>Table1[[#This Row],[Enrolment S.Y. 2025-2026 ]]*8</f>
        <v>3784</v>
      </c>
      <c r="K57" s="5"/>
      <c r="L57" s="1"/>
      <c r="M57" s="5"/>
      <c r="N57" s="5">
        <f t="shared" si="10"/>
        <v>3784</v>
      </c>
      <c r="O57" s="5">
        <f t="shared" si="11"/>
        <v>0</v>
      </c>
      <c r="P57" s="5">
        <f>Table1[[#This Row],[Enrolment S.Y. 2025-2026 ]]*8</f>
        <v>3784</v>
      </c>
      <c r="Q57" s="5"/>
      <c r="R57" s="1"/>
      <c r="S57" s="5"/>
      <c r="T57" s="5">
        <f t="shared" si="12"/>
        <v>3784</v>
      </c>
      <c r="U57" s="5">
        <f t="shared" si="13"/>
        <v>0</v>
      </c>
      <c r="V57" s="5">
        <f>Table1[[#This Row],[Enrolment S.Y. 2025-2026 ]]*8</f>
        <v>3784</v>
      </c>
      <c r="W57" s="5"/>
      <c r="X57" s="1"/>
      <c r="Y57" s="5"/>
      <c r="Z57" s="5">
        <f t="shared" si="14"/>
        <v>3784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473</v>
      </c>
      <c r="D58" s="5">
        <f>Table1[[#This Row],[Enrolment S.Y. 2025-2026 ]]*8</f>
        <v>3784</v>
      </c>
      <c r="E58" s="5"/>
      <c r="F58" s="1"/>
      <c r="G58" s="5"/>
      <c r="H58" s="5">
        <f t="shared" si="2"/>
        <v>3784</v>
      </c>
      <c r="I58" s="5">
        <f t="shared" si="3"/>
        <v>0</v>
      </c>
      <c r="J58" s="5">
        <f>Table1[[#This Row],[Enrolment S.Y. 2025-2026 ]]*8</f>
        <v>3784</v>
      </c>
      <c r="K58" s="5"/>
      <c r="L58" s="1"/>
      <c r="M58" s="5"/>
      <c r="N58" s="5">
        <f t="shared" si="10"/>
        <v>3784</v>
      </c>
      <c r="O58" s="5">
        <f t="shared" si="11"/>
        <v>0</v>
      </c>
      <c r="P58" s="5">
        <f>Table1[[#This Row],[Enrolment S.Y. 2025-2026 ]]*8</f>
        <v>3784</v>
      </c>
      <c r="Q58" s="5"/>
      <c r="R58" s="1"/>
      <c r="S58" s="5"/>
      <c r="T58" s="5">
        <f t="shared" si="12"/>
        <v>3784</v>
      </c>
      <c r="U58" s="5">
        <f t="shared" si="13"/>
        <v>0</v>
      </c>
      <c r="V58" s="5">
        <f>Table1[[#This Row],[Enrolment S.Y. 2025-2026 ]]*8</f>
        <v>3784</v>
      </c>
      <c r="W58" s="5"/>
      <c r="X58" s="1"/>
      <c r="Y58" s="5"/>
      <c r="Z58" s="5">
        <f t="shared" si="14"/>
        <v>3784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473</v>
      </c>
      <c r="D59" s="5">
        <f>Table1[[#This Row],[Enrolment S.Y. 2025-2026 ]]*8</f>
        <v>3784</v>
      </c>
      <c r="E59" s="5"/>
      <c r="F59" s="1"/>
      <c r="G59" s="5"/>
      <c r="H59" s="5">
        <f t="shared" si="2"/>
        <v>3784</v>
      </c>
      <c r="I59" s="5">
        <f t="shared" si="3"/>
        <v>0</v>
      </c>
      <c r="J59" s="5">
        <f>Table1[[#This Row],[Enrolment S.Y. 2025-2026 ]]*8</f>
        <v>3784</v>
      </c>
      <c r="K59" s="5"/>
      <c r="L59" s="1"/>
      <c r="M59" s="5"/>
      <c r="N59" s="5">
        <f t="shared" si="10"/>
        <v>3784</v>
      </c>
      <c r="O59" s="5">
        <f t="shared" si="11"/>
        <v>0</v>
      </c>
      <c r="P59" s="5">
        <f>Table1[[#This Row],[Enrolment S.Y. 2025-2026 ]]*8</f>
        <v>3784</v>
      </c>
      <c r="Q59" s="5"/>
      <c r="R59" s="1"/>
      <c r="S59" s="5"/>
      <c r="T59" s="5">
        <f t="shared" si="12"/>
        <v>3784</v>
      </c>
      <c r="U59" s="5">
        <f t="shared" si="13"/>
        <v>0</v>
      </c>
      <c r="V59" s="5">
        <f>Table1[[#This Row],[Enrolment S.Y. 2025-2026 ]]*8</f>
        <v>3784</v>
      </c>
      <c r="W59" s="5"/>
      <c r="X59" s="1"/>
      <c r="Y59" s="5"/>
      <c r="Z59" s="5">
        <f t="shared" si="14"/>
        <v>3784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473</v>
      </c>
      <c r="D60" s="5">
        <f>Table1[[#This Row],[Enrolment S.Y. 2025-2026 ]]*8</f>
        <v>3784</v>
      </c>
      <c r="E60" s="5"/>
      <c r="F60" s="1"/>
      <c r="G60" s="5"/>
      <c r="H60" s="5">
        <f t="shared" si="2"/>
        <v>3784</v>
      </c>
      <c r="I60" s="5">
        <f t="shared" si="3"/>
        <v>0</v>
      </c>
      <c r="J60" s="5">
        <f>Table1[[#This Row],[Enrolment S.Y. 2025-2026 ]]*8</f>
        <v>3784</v>
      </c>
      <c r="K60" s="5"/>
      <c r="L60" s="1"/>
      <c r="M60" s="5"/>
      <c r="N60" s="5">
        <f t="shared" si="10"/>
        <v>3784</v>
      </c>
      <c r="O60" s="5">
        <f t="shared" si="11"/>
        <v>0</v>
      </c>
      <c r="P60" s="5">
        <f>Table1[[#This Row],[Enrolment S.Y. 2025-2026 ]]*8</f>
        <v>3784</v>
      </c>
      <c r="Q60" s="5"/>
      <c r="R60" s="1"/>
      <c r="S60" s="5"/>
      <c r="T60" s="5">
        <f t="shared" si="12"/>
        <v>3784</v>
      </c>
      <c r="U60" s="5">
        <f t="shared" si="13"/>
        <v>0</v>
      </c>
      <c r="V60" s="5">
        <f>Table1[[#This Row],[Enrolment S.Y. 2025-2026 ]]*8</f>
        <v>3784</v>
      </c>
      <c r="W60" s="5"/>
      <c r="X60" s="1"/>
      <c r="Y60" s="5"/>
      <c r="Z60" s="5">
        <f t="shared" si="14"/>
        <v>3784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473</v>
      </c>
      <c r="D61" s="5">
        <f>Table1[[#This Row],[Enrolment S.Y. 2025-2026 ]]*8</f>
        <v>3784</v>
      </c>
      <c r="E61" s="5"/>
      <c r="F61" s="1"/>
      <c r="G61" s="5"/>
      <c r="H61" s="5">
        <f t="shared" si="2"/>
        <v>3784</v>
      </c>
      <c r="I61" s="5">
        <f t="shared" si="3"/>
        <v>0</v>
      </c>
      <c r="J61" s="5">
        <f>Table1[[#This Row],[Enrolment S.Y. 2025-2026 ]]*8</f>
        <v>3784</v>
      </c>
      <c r="K61" s="5"/>
      <c r="L61" s="1"/>
      <c r="M61" s="5"/>
      <c r="N61" s="5">
        <f t="shared" si="10"/>
        <v>3784</v>
      </c>
      <c r="O61" s="5">
        <f t="shared" si="11"/>
        <v>0</v>
      </c>
      <c r="P61" s="5">
        <f>Table1[[#This Row],[Enrolment S.Y. 2025-2026 ]]*8</f>
        <v>3784</v>
      </c>
      <c r="Q61" s="5"/>
      <c r="R61" s="1"/>
      <c r="S61" s="5"/>
      <c r="T61" s="5">
        <f t="shared" si="12"/>
        <v>3784</v>
      </c>
      <c r="U61" s="5">
        <f t="shared" si="13"/>
        <v>0</v>
      </c>
      <c r="V61" s="5">
        <f>Table1[[#This Row],[Enrolment S.Y. 2025-2026 ]]*8</f>
        <v>3784</v>
      </c>
      <c r="W61" s="5"/>
      <c r="X61" s="1"/>
      <c r="Y61" s="5"/>
      <c r="Z61" s="5">
        <f t="shared" si="14"/>
        <v>3784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1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H33:I41 H43:I51 H53:I61 H63:I71 H73:I81 H83:I91 H93:I101 H103:I110 H112:I127 N127:Q127 H14:I21 H23:I31 H6:I12 Q112:R112 P2:R2 N13:P126 T13:V127 J6:J127 N4:P4 T4:V4 J4 Z4:AA127 N3:R3 Y13 V2:X3 D5:F12 D14:F21 D23:F31 D33:F41 D43:F51 D53:F61 D63:F71 D73:F81 D83:F91 D93:F101 D103:F110 D112:F127 K6:L12 K63:L71 K103:L110 K112:L127 K14:L21 K23:L31 K33:L41 K43:L51 K53:L61 K73:L81 K83:L91 K93:L101 N5:R12 Q14:R21 Q23:R31 Q33:R41 Q43:R51 Q53:R61 Q63:R71 Q73:R81 Q83:R91 Q93:R101 Q103:R110 Q113:Q126 R113:R127 T5:X12 W14:X21 W23:X31 W33:X41 W43:X51 W53:X61 W63:X71 W73:X81 W83:X91 W93:X101 W103:X110 W112:X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93:F10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33:F41 F5:F12 F14:F21 F23:F31 F43:F51 F53:F61 F63:F71 F73:F81 F83:F91 F103:F110 F112:F127" xr:uid="{67470B20-4F44-4F25-9A63-1125348E2485}">
      <formula1>"2024,2025,2026"</formula1>
    </dataValidation>
    <dataValidation type="list" allowBlank="1" showInputMessage="1" showErrorMessage="1" sqref="L112:L127 L53:L61 L103:L110 L5:L12 L14:L21 L23:L31 L33:L41 L43:L51 L63:L71 L73:L81 L83:L91 L93:L101 R5:R12 R14:R21 R23:R31 R33:R41 R43:R51 R53:R61 R63:R71 R73:R81 R83:R91 R93:R101 R103:R110 R112:R127 X5:X12 X14:X21 X23:X31 X33:X41 X43:X51 X53:X61 X63:X71 X73:X81 X83:X91 X93:X101 X103:X110 X112:X127" xr:uid="{F794C645-3AAB-41BD-8AAE-AFDC7ED9097B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S112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35.1406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2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N3:O10 T3:U10 Z3:AA10 Z12:AA19 Z21:AA29 Z31:AA41 Z43:AA53 Z55:AA65 Z67:AA77 Z79:AA89 Z91:AA101 Z103:AA113 Z115:AA122 D12:F19 D21:F29 D31:F41 D43:F53 D55:F65 D67:F77 D79:F89 D91:F101 D103:F113 D115:F122 D2:F10 H3:L10 H12:L19 H21:L29 H31:L41 H43:L53 H55:L65 H67:L77 H79:L89 H91:L101 H103:L113 H115:L122 P2:R10 N12:R19 N21:R29 N31:R41 N43:R53 N55:R65 N67:R77 N79:R89 N91:R101 N103:R113 N115:R122 V2:X10 T12:X19 T21:X29 T31:X41 T43:X53 T55:X65 T67:X77 T79:X89 T91:X101 T103:X113 T115:X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115:F122 F12:F19 F21:F29 F31:F41 F43:F53 F55:F65 F67:F77 F79:F89 F91:F101 F103:F113" xr:uid="{77472307-BCC8-4D0D-A7F1-DBB4D8703E71}">
      <formula1>"2024,2025,2026"</formula1>
    </dataValidation>
    <dataValidation type="list" allowBlank="1" showInputMessage="1" showErrorMessage="1" sqref="F3:F10 L3:L10 L12:L19 L21:L29 L31:L41 L43:L53 L55:L65 L67:L77 L79:L89 L91:L101 L103:L113 L115:L122 R3:R10 R12:R19 R21:R29 R31:R41 R43:R53 R55:R65 R67:R77 R79:R89 R91:R101 R103:R113 R115:R122 X3:X10 X12:X19 X21:X29 X31:X41 X43:X53 X55:X65 X67:X77 X79:X89 X91:X101 X103:X113" xr:uid="{275422F0-BC90-4889-A3DD-F671A1195F9A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2026-02-19T08:00:23Z</dcterms:modified>
  <cp:category/>
  <cp:contentStatus/>
</cp:coreProperties>
</file>