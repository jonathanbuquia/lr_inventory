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0" documentId="13_ncr:1_{BFB59F67-F0DC-4675-A682-EB0734A8026A}" xr6:coauthVersionLast="47" xr6:coauthVersionMax="47" xr10:uidLastSave="{88D7EBFA-977C-4DF2-A9E3-A917C3C9DB9A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" i="1" l="1"/>
  <c r="H50" i="1"/>
  <c r="G51" i="1"/>
  <c r="H51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<sst xmlns="http://schemas.openxmlformats.org/spreadsheetml/2006/main" count="272" uniqueCount="90">
  <si>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</si>
  <si>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</si>
  <si>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</si>
  <si>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</si>
  <si>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</si>
  <si>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</si>
  <si>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</si>
  <si>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</si>
  <si>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Column1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</si>
  <si>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</si>
  <si>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</si>
  <si>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</si>
  <si>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</si>
  <si>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</si>
  <si>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</si>
  <si>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</si>
  <si>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</si>
  <si>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</si>
  <si>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</si>
  <si>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</si>
  <si>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 - 11</t>
  </si>
  <si>
    <t>Personal Development</t>
  </si>
  <si>
    <t>HOPE 1 and 2</t>
  </si>
  <si>
    <t>SHS - 12</t>
  </si>
  <si>
    <t>HOPE 3 and 4</t>
  </si>
  <si>
    <t>SHS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</si>
  <si>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</si>
  <si>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</si>
  <si>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</si>
  <si>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</si>
  <si>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</si>
  <si>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and Life Science</t>
  </si>
  <si>
    <t>Heritage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</si>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</sst>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6" fillId="5" borderId="8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I51" totalsRowShown="0" headerRowDxfId="62" headerRowBorderDxfId="60" tableBorderDxfId="61">
  <autoFilter ref="A1:I51" xr:uid="{DC451CB5-2E69-4EAA-94B0-458F89F93F29}"/>
  <tableColumns count="9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  <tableColumn id="9" xr3:uid="{1D4741E2-5614-4786-B942-E487F88DF741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"/>
  <sheetViews>
    <sheetView zoomScale="85" zoomScaleNormal="85" workbookViewId="0">
      <pane xSplit="2" topLeftCell="C1" activePane="topRight" state="frozen"/>
      <selection pane="topRight" activeCell="D101" sqref="D10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  <c r="I1" s="32" t="s">
        <v>8</v>
      </c>
    </row>
    <row r="2" spans="1:9" ht="42.75" customHeight="1">
      <c r="A2" s="8">
        <v>7</v>
      </c>
      <c r="B2" s="9" t="s">
        <v>9</v>
      </c>
      <c r="C2" s="8">
        <v>94</v>
      </c>
      <c r="D2" s="8">
        <v>176</v>
      </c>
      <c r="E2" s="8">
        <v>2025</v>
      </c>
      <c r="F2" s="10" t="s">
        <v>10</v>
      </c>
      <c r="G2" s="2">
        <f t="shared" ref="G2:G10" si="0">IF((C2-D2)&lt;0,0,C2-D2)</f>
        <v>0</v>
      </c>
      <c r="H2" s="3">
        <f t="shared" ref="H2:H10" si="1">IF((D2-C2)&lt;0,0,D2-C2)</f>
        <v>82</v>
      </c>
    </row>
    <row r="3" spans="1:9" ht="29.25" customHeight="1">
      <c r="A3" s="8">
        <v>7</v>
      </c>
      <c r="B3" s="9" t="s">
        <v>11</v>
      </c>
      <c r="C3" s="8">
        <v>94</v>
      </c>
      <c r="D3" s="8">
        <v>176</v>
      </c>
      <c r="E3" s="8">
        <v>2026</v>
      </c>
      <c r="F3" s="10" t="s">
        <v>10</v>
      </c>
      <c r="G3" s="2">
        <f t="shared" si="0"/>
        <v>0</v>
      </c>
      <c r="H3" s="3">
        <f t="shared" si="1"/>
        <v>82</v>
      </c>
    </row>
    <row r="4" spans="1:9" ht="21" customHeight="1">
      <c r="A4" s="8">
        <v>7</v>
      </c>
      <c r="B4" s="9" t="s">
        <v>12</v>
      </c>
      <c r="C4" s="8">
        <v>94</v>
      </c>
      <c r="D4" s="8">
        <v>176</v>
      </c>
      <c r="E4" s="8">
        <v>2024</v>
      </c>
      <c r="F4" s="10" t="s">
        <v>10</v>
      </c>
      <c r="G4" s="2">
        <f t="shared" si="0"/>
        <v>0</v>
      </c>
      <c r="H4" s="3">
        <f t="shared" si="1"/>
        <v>82</v>
      </c>
    </row>
    <row r="5" spans="1:9" ht="25.5" customHeight="1">
      <c r="A5" s="8">
        <v>7</v>
      </c>
      <c r="B5" s="9" t="s">
        <v>13</v>
      </c>
      <c r="C5" s="8">
        <v>94</v>
      </c>
      <c r="D5" s="8">
        <v>176</v>
      </c>
      <c r="E5" s="8">
        <v>2026</v>
      </c>
      <c r="F5" s="10" t="s">
        <v>10</v>
      </c>
      <c r="G5" s="2">
        <f t="shared" si="0"/>
        <v>0</v>
      </c>
      <c r="H5" s="3">
        <f t="shared" si="1"/>
        <v>82</v>
      </c>
    </row>
    <row r="6" spans="1:9" ht="38.25">
      <c r="A6" s="8">
        <v>7</v>
      </c>
      <c r="B6" s="9" t="s">
        <v>14</v>
      </c>
      <c r="C6" s="8">
        <v>94</v>
      </c>
      <c r="D6" s="8">
        <v>176</v>
      </c>
      <c r="E6" s="8">
        <v>2025</v>
      </c>
      <c r="F6" s="10" t="s">
        <v>10</v>
      </c>
      <c r="G6" s="2">
        <f t="shared" si="0"/>
        <v>0</v>
      </c>
      <c r="H6" s="3">
        <f t="shared" si="1"/>
        <v>82</v>
      </c>
    </row>
    <row r="7" spans="1:9" ht="19.5">
      <c r="A7" s="8">
        <v>7</v>
      </c>
      <c r="B7" s="9" t="s">
        <v>15</v>
      </c>
      <c r="C7" s="8">
        <v>94</v>
      </c>
      <c r="D7" s="8">
        <v>176</v>
      </c>
      <c r="E7" s="8">
        <v>2024</v>
      </c>
      <c r="F7" s="10" t="s">
        <v>10</v>
      </c>
      <c r="G7" s="2">
        <f t="shared" si="0"/>
        <v>0</v>
      </c>
      <c r="H7" s="3">
        <f t="shared" si="1"/>
        <v>82</v>
      </c>
    </row>
    <row r="8" spans="1:9" ht="39.75" customHeight="1">
      <c r="A8" s="8">
        <v>7</v>
      </c>
      <c r="B8" s="9" t="s">
        <v>16</v>
      </c>
      <c r="C8" s="8">
        <v>94</v>
      </c>
      <c r="D8" s="8">
        <v>176</v>
      </c>
      <c r="E8" s="8">
        <v>2025</v>
      </c>
      <c r="F8" s="10" t="s">
        <v>10</v>
      </c>
      <c r="G8" s="2">
        <f t="shared" si="0"/>
        <v>0</v>
      </c>
      <c r="H8" s="3">
        <f t="shared" si="1"/>
        <v>82</v>
      </c>
    </row>
    <row r="9" spans="1:9" ht="29.25" customHeight="1">
      <c r="A9" s="8">
        <v>7</v>
      </c>
      <c r="B9" s="9" t="s">
        <v>17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9" ht="28.5" customHeight="1">
      <c r="A10" s="8">
        <v>7</v>
      </c>
      <c r="B10" s="9" t="s">
        <v>18</v>
      </c>
      <c r="C10" s="8">
        <v>94</v>
      </c>
      <c r="D10" s="8">
        <v>176</v>
      </c>
      <c r="E10" s="8"/>
      <c r="F10" s="10" t="s">
        <v>10</v>
      </c>
      <c r="G10" s="2">
        <f t="shared" si="0"/>
        <v>0</v>
      </c>
      <c r="H10" s="3">
        <f t="shared" si="1"/>
        <v>82</v>
      </c>
    </row>
    <row r="11" spans="1:9" ht="24" customHeight="1">
      <c r="A11" s="5"/>
      <c r="B11" s="5"/>
      <c r="C11" s="6"/>
      <c r="D11" s="6"/>
      <c r="E11" s="6"/>
      <c r="F11" s="5"/>
      <c r="G11" s="5"/>
      <c r="H11" s="5"/>
    </row>
    <row r="12" spans="1:9" ht="19.5">
      <c r="A12" s="8">
        <v>8</v>
      </c>
      <c r="B12" s="9" t="s">
        <v>9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9" ht="19.5">
      <c r="A13" s="8">
        <v>8</v>
      </c>
      <c r="B13" s="9" t="s">
        <v>11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9" ht="49.5" customHeight="1">
      <c r="A14" s="8">
        <v>8</v>
      </c>
      <c r="B14" s="9" t="s">
        <v>12</v>
      </c>
      <c r="C14" s="8">
        <v>56</v>
      </c>
      <c r="D14" s="8">
        <v>166</v>
      </c>
      <c r="E14" s="8">
        <v>2025</v>
      </c>
      <c r="F14" s="10" t="s">
        <v>10</v>
      </c>
      <c r="G14" s="2">
        <f t="shared" si="2"/>
        <v>0</v>
      </c>
      <c r="H14" s="3">
        <f t="shared" si="3"/>
        <v>110</v>
      </c>
    </row>
    <row r="15" spans="1:9" ht="29.25" customHeight="1">
      <c r="A15" s="8">
        <v>8</v>
      </c>
      <c r="B15" s="9" t="s">
        <v>13</v>
      </c>
      <c r="C15" s="8">
        <v>56</v>
      </c>
      <c r="D15" s="8">
        <v>166</v>
      </c>
      <c r="E15" s="8">
        <v>2025</v>
      </c>
      <c r="F15" s="10" t="s">
        <v>10</v>
      </c>
      <c r="G15" s="2">
        <f t="shared" si="2"/>
        <v>0</v>
      </c>
      <c r="H15" s="3">
        <f t="shared" si="3"/>
        <v>110</v>
      </c>
    </row>
    <row r="16" spans="1:9" ht="27" customHeight="1">
      <c r="A16" s="8">
        <v>8</v>
      </c>
      <c r="B16" s="9" t="s">
        <v>19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15</v>
      </c>
      <c r="C17" s="8">
        <v>56</v>
      </c>
      <c r="D17" s="8">
        <v>166</v>
      </c>
      <c r="E17" s="8">
        <v>2026</v>
      </c>
      <c r="F17" s="10" t="s">
        <v>10</v>
      </c>
      <c r="G17" s="2">
        <v>0</v>
      </c>
      <c r="H17" s="3">
        <f t="shared" si="3"/>
        <v>110</v>
      </c>
    </row>
    <row r="18" spans="1:8" ht="21" customHeight="1">
      <c r="A18" s="8">
        <v>8</v>
      </c>
      <c r="B18" s="9" t="s">
        <v>16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17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18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9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11</v>
      </c>
      <c r="C23" s="8">
        <v>137</v>
      </c>
      <c r="D23" s="8">
        <v>148</v>
      </c>
      <c r="E23" s="8">
        <v>2024</v>
      </c>
      <c r="F23" s="10" t="s">
        <v>10</v>
      </c>
      <c r="G23" s="2">
        <f t="shared" si="4"/>
        <v>0</v>
      </c>
      <c r="H23" s="3">
        <f t="shared" si="5"/>
        <v>11</v>
      </c>
    </row>
    <row r="24" spans="1:8" ht="27" customHeight="1">
      <c r="A24" s="8">
        <v>9</v>
      </c>
      <c r="B24" s="9" t="s">
        <v>12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13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19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15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16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17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18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9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11</v>
      </c>
      <c r="C33" s="8">
        <v>146</v>
      </c>
      <c r="D33" s="8">
        <v>132</v>
      </c>
      <c r="E33" s="8">
        <v>2024</v>
      </c>
      <c r="F33" s="10" t="s">
        <v>10</v>
      </c>
      <c r="G33" s="2">
        <f t="shared" si="6"/>
        <v>14</v>
      </c>
      <c r="H33" s="3">
        <f t="shared" si="7"/>
        <v>0</v>
      </c>
    </row>
    <row r="34" spans="1:8" ht="27.75" customHeight="1">
      <c r="A34" s="8">
        <v>10</v>
      </c>
      <c r="B34" s="9" t="s">
        <v>12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13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19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15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16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17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18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20</v>
      </c>
      <c r="B42" s="7" t="s">
        <v>21</v>
      </c>
      <c r="C42" s="1">
        <v>136</v>
      </c>
      <c r="D42" s="1">
        <v>144</v>
      </c>
      <c r="E42" s="1">
        <v>2024</v>
      </c>
      <c r="F42" s="4" t="s">
        <v>10</v>
      </c>
      <c r="G42" s="2">
        <f t="shared" ref="G42:G49" si="8">IF((C42-D42)&lt;0,0,C42-D42)</f>
        <v>0</v>
      </c>
      <c r="H42" s="3">
        <f t="shared" ref="H42:H49" si="9">IF((D42-C42)&lt;0,0,D42-C42)</f>
        <v>8</v>
      </c>
    </row>
    <row r="43" spans="1:8" ht="27.75" customHeight="1">
      <c r="A43" s="1" t="s">
        <v>20</v>
      </c>
      <c r="B43" s="7" t="s">
        <v>22</v>
      </c>
      <c r="C43" s="1">
        <v>136</v>
      </c>
      <c r="D43" s="1"/>
      <c r="E43" s="1"/>
      <c r="F43" s="4"/>
      <c r="G43" s="2">
        <f t="shared" si="8"/>
        <v>136</v>
      </c>
      <c r="H43" s="3">
        <f t="shared" si="9"/>
        <v>0</v>
      </c>
    </row>
    <row r="44" spans="1:8" ht="27.75" customHeight="1">
      <c r="A44" s="1" t="s">
        <v>23</v>
      </c>
      <c r="B44" s="7" t="s">
        <v>24</v>
      </c>
      <c r="C44" s="1">
        <v>129</v>
      </c>
      <c r="D44" s="1">
        <v>144</v>
      </c>
      <c r="E44" s="1">
        <v>2024</v>
      </c>
      <c r="F44" s="4" t="s">
        <v>10</v>
      </c>
      <c r="G44" s="2">
        <f t="shared" si="8"/>
        <v>0</v>
      </c>
      <c r="H44" s="3">
        <f t="shared" si="9"/>
        <v>15</v>
      </c>
    </row>
    <row r="45" spans="1:8" ht="36.75" customHeight="1">
      <c r="A45" s="1" t="s">
        <v>25</v>
      </c>
      <c r="B45" s="7" t="s">
        <v>26</v>
      </c>
      <c r="C45" s="1">
        <v>265</v>
      </c>
      <c r="D45" s="1">
        <v>144</v>
      </c>
      <c r="E45" s="1">
        <v>2025</v>
      </c>
      <c r="F45" s="4" t="s">
        <v>10</v>
      </c>
      <c r="G45" s="2">
        <f t="shared" si="8"/>
        <v>121</v>
      </c>
      <c r="H45" s="3">
        <f t="shared" si="9"/>
        <v>0</v>
      </c>
    </row>
    <row r="46" spans="1:8" ht="27.75" customHeight="1">
      <c r="A46" s="1" t="s">
        <v>23</v>
      </c>
      <c r="B46" s="7" t="s">
        <v>27</v>
      </c>
      <c r="C46" s="1">
        <v>129</v>
      </c>
      <c r="D46" s="1">
        <v>144</v>
      </c>
      <c r="E46" s="1">
        <v>2025</v>
      </c>
      <c r="F46" s="4" t="s">
        <v>10</v>
      </c>
      <c r="G46" s="2">
        <f>IF((C46-D46)&lt;0,0,C46-D46)</f>
        <v>0</v>
      </c>
      <c r="H46" s="3">
        <f>IF((D46-C46)&lt;0,0,D46-C46)</f>
        <v>15</v>
      </c>
    </row>
    <row r="47" spans="1:8" ht="27.75" customHeight="1">
      <c r="A47" s="1" t="s">
        <v>20</v>
      </c>
      <c r="B47" s="7" t="s">
        <v>28</v>
      </c>
      <c r="C47" s="1">
        <v>136</v>
      </c>
      <c r="D47" s="1">
        <v>144</v>
      </c>
      <c r="E47" s="1">
        <v>2025</v>
      </c>
      <c r="F47" s="4" t="s">
        <v>10</v>
      </c>
      <c r="G47" s="2">
        <f>IF((C47-D47)&lt;0,0,C47-D47)</f>
        <v>0</v>
      </c>
      <c r="H47" s="3">
        <f>IF((D47-C47)&lt;0,0,D47-C47)</f>
        <v>8</v>
      </c>
    </row>
    <row r="48" spans="1:8" ht="27.75" customHeight="1">
      <c r="A48" s="1" t="s">
        <v>23</v>
      </c>
      <c r="B48" s="7" t="s">
        <v>29</v>
      </c>
      <c r="C48" s="1">
        <v>129</v>
      </c>
      <c r="D48" s="1">
        <v>144</v>
      </c>
      <c r="E48" s="1">
        <v>2025</v>
      </c>
      <c r="F48" s="4" t="s">
        <v>10</v>
      </c>
      <c r="G48" s="2">
        <f t="shared" si="8"/>
        <v>0</v>
      </c>
      <c r="H48" s="3">
        <f t="shared" si="9"/>
        <v>15</v>
      </c>
    </row>
    <row r="49" spans="1:8" ht="27.75" customHeight="1">
      <c r="A49" s="1" t="s">
        <v>20</v>
      </c>
      <c r="B49" s="7" t="s">
        <v>30</v>
      </c>
      <c r="C49" s="1">
        <v>136</v>
      </c>
      <c r="D49" s="1">
        <v>144</v>
      </c>
      <c r="E49" s="1">
        <v>2025</v>
      </c>
      <c r="F49" s="4" t="s">
        <v>10</v>
      </c>
      <c r="G49" s="2">
        <f t="shared" si="8"/>
        <v>0</v>
      </c>
      <c r="H49" s="3">
        <f t="shared" si="9"/>
        <v>8</v>
      </c>
    </row>
    <row r="50" spans="1:8" ht="27.75" customHeight="1">
      <c r="A50" s="1" t="s">
        <v>20</v>
      </c>
      <c r="B50" s="7" t="s">
        <v>31</v>
      </c>
      <c r="C50" s="1">
        <v>136</v>
      </c>
      <c r="D50" s="1">
        <v>144</v>
      </c>
      <c r="E50" s="1">
        <v>2024</v>
      </c>
      <c r="F50" s="4" t="s">
        <v>10</v>
      </c>
      <c r="G50" s="2">
        <f t="shared" ref="G50:G51" si="10">IF((C50-D50)&lt;0,0,C50-D50)</f>
        <v>0</v>
      </c>
      <c r="H50" s="3">
        <f t="shared" ref="H50:H51" si="11">IF((D50-C50)&lt;0,0,D50-C50)</f>
        <v>8</v>
      </c>
    </row>
    <row r="51" spans="1:8" ht="27.75" customHeight="1">
      <c r="A51" s="1" t="s">
        <v>23</v>
      </c>
      <c r="B51" s="7" t="s">
        <v>32</v>
      </c>
      <c r="C51" s="1">
        <v>129</v>
      </c>
      <c r="D51" s="1">
        <v>144</v>
      </c>
      <c r="E51" s="1">
        <v>2025</v>
      </c>
      <c r="F51" s="4" t="s">
        <v>10</v>
      </c>
      <c r="G51" s="2">
        <f t="shared" si="10"/>
        <v>0</v>
      </c>
      <c r="H51" s="3">
        <f t="shared" si="11"/>
        <v>15</v>
      </c>
    </row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  <row r="99" ht="15"/>
    <row r="100" ht="15"/>
  </sheetData>
  <protectedRanges>
    <protectedRange sqref="C1:E51" name="Textbooks"/>
    <protectedRange sqref="F1:F51" name="SOURCE"/>
  </protectedRanges>
  <phoneticPr fontId="8" type="noConversion"/>
  <dataValidations count="2">
    <dataValidation type="list" allowBlank="1" showInputMessage="1" showErrorMessage="1" sqref="E2:E10 E12:E20 E22:E30 E32:E40 E42:E51" xr:uid="{B46E7B13-721E-4D49-837E-C02BF9777D48}">
      <formula1>"2024,2025,2026"</formula1>
    </dataValidation>
    <dataValidation type="list" allowBlank="1" showInputMessage="1" showErrorMessage="1" sqref="F2:F10 F12:F20 F22:F30 F32:F40 F42:F51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zoomScale="70" zoomScaleNormal="70" workbookViewId="0">
      <selection activeCell="X76" sqref="X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3" t="s">
        <v>33</v>
      </c>
      <c r="E1" s="33"/>
      <c r="F1" s="33"/>
      <c r="G1" s="33"/>
      <c r="H1" s="33"/>
      <c r="I1" s="33"/>
      <c r="J1" s="34" t="s">
        <v>34</v>
      </c>
      <c r="K1" s="34"/>
      <c r="L1" s="34"/>
      <c r="M1" s="34"/>
      <c r="N1" s="34"/>
      <c r="O1" s="34"/>
      <c r="P1" s="35" t="s">
        <v>35</v>
      </c>
      <c r="Q1" s="35"/>
      <c r="R1" s="35"/>
      <c r="S1" s="35"/>
      <c r="T1" s="35"/>
      <c r="U1" s="35"/>
      <c r="V1" s="36" t="s">
        <v>36</v>
      </c>
      <c r="W1" s="36"/>
      <c r="X1" s="36"/>
      <c r="Y1" s="36"/>
      <c r="Z1" s="36"/>
      <c r="AA1" s="36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37</v>
      </c>
      <c r="E2" s="18" t="s">
        <v>38</v>
      </c>
      <c r="F2" s="19" t="s">
        <v>39</v>
      </c>
      <c r="G2" s="22" t="s">
        <v>40</v>
      </c>
      <c r="H2" s="15" t="s">
        <v>41</v>
      </c>
      <c r="I2" s="22" t="s">
        <v>42</v>
      </c>
      <c r="J2" s="20" t="s">
        <v>43</v>
      </c>
      <c r="K2" s="20" t="s">
        <v>44</v>
      </c>
      <c r="L2" s="21" t="s">
        <v>45</v>
      </c>
      <c r="M2" s="30" t="s">
        <v>46</v>
      </c>
      <c r="N2" s="30" t="s">
        <v>47</v>
      </c>
      <c r="O2" s="20" t="s">
        <v>48</v>
      </c>
      <c r="P2" s="22" t="s">
        <v>49</v>
      </c>
      <c r="Q2" s="22" t="s">
        <v>50</v>
      </c>
      <c r="R2" s="23" t="s">
        <v>51</v>
      </c>
      <c r="S2" s="15" t="s">
        <v>52</v>
      </c>
      <c r="T2" s="15" t="s">
        <v>53</v>
      </c>
      <c r="U2" s="22" t="s">
        <v>54</v>
      </c>
      <c r="V2" s="24" t="s">
        <v>55</v>
      </c>
      <c r="W2" s="24" t="s">
        <v>56</v>
      </c>
      <c r="X2" s="25" t="s">
        <v>57</v>
      </c>
      <c r="Y2" s="31" t="s">
        <v>58</v>
      </c>
      <c r="Z2" s="31" t="s">
        <v>59</v>
      </c>
      <c r="AA2" s="24" t="s">
        <v>60</v>
      </c>
    </row>
    <row r="3" spans="1:27" ht="30.6" customHeight="1">
      <c r="A3" s="8">
        <v>7</v>
      </c>
      <c r="B3" s="9" t="s">
        <v>9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11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12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13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14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15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16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17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18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9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11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12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13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19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15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16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17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18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9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11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12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13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19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15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16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17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9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11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12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13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19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15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16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17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18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25</v>
      </c>
      <c r="B43" s="7" t="s">
        <v>21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25</v>
      </c>
      <c r="B44" s="7" t="s">
        <v>22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25</v>
      </c>
      <c r="B45" s="7" t="s">
        <v>24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25</v>
      </c>
      <c r="B46" s="7" t="s">
        <v>26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25</v>
      </c>
      <c r="B47" s="7" t="s">
        <v>27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25</v>
      </c>
      <c r="B48" s="7" t="s">
        <v>28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25</v>
      </c>
      <c r="B49" s="7" t="s">
        <v>29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25</v>
      </c>
      <c r="B50" s="7" t="s">
        <v>30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D23:F31 D33:F41 J2:L2 D2:F11 K3:L11 K13:L21 K23:L31 K33:L41 K43:L50 N3:P50 D13:F21 V2:X2 Z3:AA50 P2:R2 T3:V50 H3:I11 Q3:R11 W3:X11 H13:I21 Q13:R21 W13:X21 H23:I31 Q23:R31 W23:X31 H33:I41 Q33:R41 W33:X41 D43:F50 H43:I50 Q43:R50 W43:X50 J3:J50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R3:R11 R13:R21 R23:R31 R33:R41 R43:R50 L3:L11 L13:L21 L23:L31 L33:L41 L43:L50 X3:X11 X13:X21 X23:X31 X33:X41 X43:X50" xr:uid="{4ECCD083-8EC4-42EE-B46C-B614411F330D}">
      <formula1>"2024,2025 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11 F13:F21 F23:F31 F33:F41 F43:F50" xr:uid="{163DF6B3-B3B7-4BAF-9A98-E3014DF6DAA3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opLeftCell="B1" zoomScale="55" zoomScaleNormal="55" workbookViewId="0">
      <selection activeCell="K82" sqref="K8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3" t="s">
        <v>33</v>
      </c>
      <c r="E1" s="33"/>
      <c r="F1" s="33"/>
      <c r="G1" s="33"/>
      <c r="H1" s="33"/>
      <c r="I1" s="33"/>
      <c r="J1" s="34" t="s">
        <v>34</v>
      </c>
      <c r="K1" s="34"/>
      <c r="L1" s="34"/>
      <c r="M1" s="34"/>
      <c r="N1" s="34"/>
      <c r="O1" s="34"/>
      <c r="P1" s="35" t="s">
        <v>35</v>
      </c>
      <c r="Q1" s="35"/>
      <c r="R1" s="35"/>
      <c r="S1" s="35"/>
      <c r="T1" s="35"/>
      <c r="U1" s="35"/>
      <c r="V1" s="36" t="s">
        <v>36</v>
      </c>
      <c r="W1" s="36"/>
      <c r="X1" s="36"/>
      <c r="Y1" s="36"/>
      <c r="Z1" s="36"/>
      <c r="AA1" s="36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61</v>
      </c>
      <c r="E2" s="18" t="s">
        <v>62</v>
      </c>
      <c r="F2" s="19" t="s">
        <v>63</v>
      </c>
      <c r="G2" s="22" t="s">
        <v>64</v>
      </c>
      <c r="H2" s="15" t="s">
        <v>65</v>
      </c>
      <c r="I2" s="22" t="s">
        <v>66</v>
      </c>
      <c r="J2" s="20" t="s">
        <v>67</v>
      </c>
      <c r="K2" s="20" t="s">
        <v>68</v>
      </c>
      <c r="L2" s="21" t="s">
        <v>69</v>
      </c>
      <c r="M2" s="30" t="s">
        <v>70</v>
      </c>
      <c r="N2" s="30" t="s">
        <v>71</v>
      </c>
      <c r="O2" s="20" t="s">
        <v>72</v>
      </c>
      <c r="P2" s="22" t="s">
        <v>73</v>
      </c>
      <c r="Q2" s="22" t="s">
        <v>74</v>
      </c>
      <c r="R2" s="23" t="s">
        <v>75</v>
      </c>
      <c r="S2" s="15" t="s">
        <v>76</v>
      </c>
      <c r="T2" s="15" t="s">
        <v>77</v>
      </c>
      <c r="U2" s="22" t="s">
        <v>78</v>
      </c>
      <c r="V2" s="24" t="s">
        <v>79</v>
      </c>
      <c r="W2" s="24" t="s">
        <v>80</v>
      </c>
      <c r="X2" s="25" t="s">
        <v>81</v>
      </c>
      <c r="Y2" s="31" t="s">
        <v>82</v>
      </c>
      <c r="Z2" s="31" t="s">
        <v>83</v>
      </c>
      <c r="AA2" s="24" t="s">
        <v>84</v>
      </c>
    </row>
    <row r="3" spans="1:27" ht="19.5">
      <c r="A3" s="8">
        <v>7</v>
      </c>
      <c r="B3" s="9" t="s">
        <v>9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11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12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13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14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15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85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86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17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87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88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9</v>
      </c>
      <c r="C15" s="8">
        <v>56</v>
      </c>
      <c r="D15" s="10">
        <f>Table14[[#This Row],[Enrolment S.Y. 2025-2026 ]]*8</f>
        <v>448</v>
      </c>
      <c r="E15" s="10">
        <v>51</v>
      </c>
      <c r="F15" s="8">
        <v>2025</v>
      </c>
      <c r="G15" s="10" t="s">
        <v>89</v>
      </c>
      <c r="H15" s="10">
        <f t="shared" si="0"/>
        <v>397</v>
      </c>
      <c r="I15" s="10">
        <f t="shared" si="1"/>
        <v>0</v>
      </c>
      <c r="J15" s="10">
        <f>Table14[[#This Row],[Enrolment S.Y. 2025-2026 ]]*8</f>
        <v>448</v>
      </c>
      <c r="K15" s="10"/>
      <c r="L15" s="8"/>
      <c r="M15" s="10"/>
      <c r="N15" s="10">
        <f t="shared" ref="N10:N58" si="14">IF((J15-K15)&lt;0,0,(J15-K15))</f>
        <v>448</v>
      </c>
      <c r="O15" s="10">
        <f t="shared" ref="O10:O58" si="15">IF((K15-J15)&lt;0,0,(K15-J15))</f>
        <v>0</v>
      </c>
      <c r="P15" s="10">
        <f>Table14[[#This Row],[Enrolment S.Y. 2025-2026 ]]*8</f>
        <v>448</v>
      </c>
      <c r="Q15" s="10"/>
      <c r="R15" s="8"/>
      <c r="S15" s="10"/>
      <c r="T15" s="10">
        <f t="shared" si="10"/>
        <v>448</v>
      </c>
      <c r="U15" s="10">
        <f t="shared" si="11"/>
        <v>0</v>
      </c>
      <c r="V15" s="10">
        <f>Table14[[#This Row],[Enrolment S.Y. 2025-2026 ]]*8</f>
        <v>448</v>
      </c>
      <c r="W15" s="10"/>
      <c r="X15" s="8"/>
      <c r="Y15" s="10"/>
      <c r="Z15" s="10">
        <f t="shared" si="12"/>
        <v>448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>
        <v>56</v>
      </c>
      <c r="D16" s="10">
        <f>Table14[[#This Row],[Enrolment S.Y. 2025-2026 ]]*8</f>
        <v>448</v>
      </c>
      <c r="E16" s="10">
        <v>51</v>
      </c>
      <c r="F16" s="8">
        <v>2025</v>
      </c>
      <c r="G16" s="10" t="s">
        <v>89</v>
      </c>
      <c r="H16" s="10">
        <f t="shared" si="0"/>
        <v>397</v>
      </c>
      <c r="I16" s="10">
        <f t="shared" si="1"/>
        <v>0</v>
      </c>
      <c r="J16" s="10">
        <f>Table14[[#This Row],[Enrolment S.Y. 2025-2026 ]]*8</f>
        <v>448</v>
      </c>
      <c r="K16" s="10"/>
      <c r="L16" s="8"/>
      <c r="M16" s="10"/>
      <c r="N16" s="10">
        <f t="shared" si="14"/>
        <v>448</v>
      </c>
      <c r="O16" s="10">
        <f t="shared" si="15"/>
        <v>0</v>
      </c>
      <c r="P16" s="10">
        <f>Table14[[#This Row],[Enrolment S.Y. 2025-2026 ]]*8</f>
        <v>448</v>
      </c>
      <c r="Q16" s="10"/>
      <c r="R16" s="8"/>
      <c r="S16" s="10"/>
      <c r="T16" s="10">
        <f t="shared" si="10"/>
        <v>448</v>
      </c>
      <c r="U16" s="10">
        <f t="shared" si="11"/>
        <v>0</v>
      </c>
      <c r="V16" s="10">
        <f>Table14[[#This Row],[Enrolment S.Y. 2025-2026 ]]*8</f>
        <v>448</v>
      </c>
      <c r="W16" s="10"/>
      <c r="X16" s="8"/>
      <c r="Y16" s="10"/>
      <c r="Z16" s="10">
        <f t="shared" si="12"/>
        <v>448</v>
      </c>
      <c r="AA16" s="10">
        <f t="shared" si="13"/>
        <v>0</v>
      </c>
    </row>
    <row r="17" spans="1:27" ht="19.5">
      <c r="A17" s="8">
        <v>8</v>
      </c>
      <c r="B17" s="9" t="s">
        <v>12</v>
      </c>
      <c r="C17" s="8">
        <v>56</v>
      </c>
      <c r="D17" s="10">
        <f>Table14[[#This Row],[Enrolment S.Y. 2025-2026 ]]*8</f>
        <v>448</v>
      </c>
      <c r="E17" s="10">
        <v>51</v>
      </c>
      <c r="F17" s="8">
        <v>2025</v>
      </c>
      <c r="G17" s="10" t="s">
        <v>89</v>
      </c>
      <c r="H17" s="10">
        <f t="shared" si="0"/>
        <v>397</v>
      </c>
      <c r="I17" s="10">
        <f t="shared" si="1"/>
        <v>0</v>
      </c>
      <c r="J17" s="10">
        <f>Table14[[#This Row],[Enrolment S.Y. 2025-2026 ]]*8</f>
        <v>448</v>
      </c>
      <c r="K17" s="10"/>
      <c r="L17" s="8"/>
      <c r="M17" s="10"/>
      <c r="N17" s="10">
        <f t="shared" si="14"/>
        <v>448</v>
      </c>
      <c r="O17" s="10">
        <f t="shared" si="15"/>
        <v>0</v>
      </c>
      <c r="P17" s="10">
        <f>Table14[[#This Row],[Enrolment S.Y. 2025-2026 ]]*8</f>
        <v>448</v>
      </c>
      <c r="Q17" s="10"/>
      <c r="R17" s="8"/>
      <c r="S17" s="10"/>
      <c r="T17" s="10">
        <f t="shared" si="10"/>
        <v>448</v>
      </c>
      <c r="U17" s="10">
        <f t="shared" si="11"/>
        <v>0</v>
      </c>
      <c r="V17" s="10">
        <f>Table14[[#This Row],[Enrolment S.Y. 2025-2026 ]]*8</f>
        <v>448</v>
      </c>
      <c r="W17" s="10"/>
      <c r="X17" s="8"/>
      <c r="Y17" s="10"/>
      <c r="Z17" s="10">
        <f t="shared" si="12"/>
        <v>448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>
        <v>56</v>
      </c>
      <c r="D18" s="10">
        <f>Table14[[#This Row],[Enrolment S.Y. 2025-2026 ]]*8</f>
        <v>448</v>
      </c>
      <c r="E18" s="10">
        <v>51</v>
      </c>
      <c r="F18" s="8">
        <v>2025</v>
      </c>
      <c r="G18" s="10" t="s">
        <v>89</v>
      </c>
      <c r="H18" s="10">
        <f t="shared" si="0"/>
        <v>397</v>
      </c>
      <c r="I18" s="10">
        <f t="shared" si="1"/>
        <v>0</v>
      </c>
      <c r="J18" s="10">
        <f>Table14[[#This Row],[Enrolment S.Y. 2025-2026 ]]*8</f>
        <v>448</v>
      </c>
      <c r="K18" s="10"/>
      <c r="L18" s="8"/>
      <c r="M18" s="10"/>
      <c r="N18" s="10">
        <f t="shared" si="14"/>
        <v>448</v>
      </c>
      <c r="O18" s="10">
        <f t="shared" si="15"/>
        <v>0</v>
      </c>
      <c r="P18" s="10">
        <f>Table14[[#This Row],[Enrolment S.Y. 2025-2026 ]]*8</f>
        <v>448</v>
      </c>
      <c r="Q18" s="10"/>
      <c r="R18" s="8"/>
      <c r="S18" s="10"/>
      <c r="T18" s="10">
        <f t="shared" si="10"/>
        <v>448</v>
      </c>
      <c r="U18" s="10">
        <f t="shared" si="11"/>
        <v>0</v>
      </c>
      <c r="V18" s="10">
        <f>Table14[[#This Row],[Enrolment S.Y. 2025-2026 ]]*8</f>
        <v>448</v>
      </c>
      <c r="W18" s="10"/>
      <c r="X18" s="8"/>
      <c r="Y18" s="10"/>
      <c r="Z18" s="10">
        <f t="shared" si="12"/>
        <v>448</v>
      </c>
      <c r="AA18" s="10">
        <f t="shared" si="13"/>
        <v>0</v>
      </c>
    </row>
    <row r="19" spans="1:27" ht="19.5">
      <c r="A19" s="8">
        <v>8</v>
      </c>
      <c r="B19" s="9" t="s">
        <v>19</v>
      </c>
      <c r="C19" s="8">
        <v>56</v>
      </c>
      <c r="D19" s="10">
        <f>Table14[[#This Row],[Enrolment S.Y. 2025-2026 ]]*8</f>
        <v>448</v>
      </c>
      <c r="E19" s="10">
        <v>51</v>
      </c>
      <c r="F19" s="8">
        <v>2025</v>
      </c>
      <c r="G19" s="10" t="s">
        <v>89</v>
      </c>
      <c r="H19" s="10">
        <f t="shared" si="0"/>
        <v>397</v>
      </c>
      <c r="I19" s="10">
        <f t="shared" si="1"/>
        <v>0</v>
      </c>
      <c r="J19" s="10">
        <f>Table14[[#This Row],[Enrolment S.Y. 2025-2026 ]]*8</f>
        <v>448</v>
      </c>
      <c r="K19" s="10"/>
      <c r="L19" s="8"/>
      <c r="M19" s="10"/>
      <c r="N19" s="10">
        <f t="shared" si="14"/>
        <v>448</v>
      </c>
      <c r="O19" s="10">
        <f t="shared" si="15"/>
        <v>0</v>
      </c>
      <c r="P19" s="10">
        <f>Table14[[#This Row],[Enrolment S.Y. 2025-2026 ]]*8</f>
        <v>448</v>
      </c>
      <c r="Q19" s="10"/>
      <c r="R19" s="8"/>
      <c r="S19" s="10"/>
      <c r="T19" s="10">
        <f t="shared" si="10"/>
        <v>448</v>
      </c>
      <c r="U19" s="10">
        <f t="shared" si="11"/>
        <v>0</v>
      </c>
      <c r="V19" s="10">
        <f>Table14[[#This Row],[Enrolment S.Y. 2025-2026 ]]*8</f>
        <v>448</v>
      </c>
      <c r="W19" s="10"/>
      <c r="X19" s="8"/>
      <c r="Y19" s="10"/>
      <c r="Z19" s="10">
        <f t="shared" si="12"/>
        <v>448</v>
      </c>
      <c r="AA19" s="10">
        <f t="shared" si="13"/>
        <v>0</v>
      </c>
    </row>
    <row r="20" spans="1:27" s="5" customFormat="1" ht="19.5">
      <c r="A20" s="8">
        <v>8</v>
      </c>
      <c r="B20" s="9" t="s">
        <v>15</v>
      </c>
      <c r="C20" s="8">
        <v>56</v>
      </c>
      <c r="D20" s="10">
        <f>Table14[[#This Row],[Enrolment S.Y. 2025-2026 ]]*8</f>
        <v>448</v>
      </c>
      <c r="E20" s="10">
        <v>51</v>
      </c>
      <c r="F20" s="8">
        <v>2025</v>
      </c>
      <c r="G20" s="10" t="s">
        <v>89</v>
      </c>
      <c r="H20" s="10">
        <f t="shared" ref="H20:H58" si="16">IF((D20-E20)&lt;0,0,(D20-E20))</f>
        <v>397</v>
      </c>
      <c r="I20" s="10">
        <f t="shared" ref="I20:I58" si="17">IF((E20-D20)&lt;0,0,(E20-D20))</f>
        <v>0</v>
      </c>
      <c r="J20" s="10">
        <f>Table14[[#This Row],[Enrolment S.Y. 2025-2026 ]]*8</f>
        <v>448</v>
      </c>
      <c r="K20" s="10"/>
      <c r="L20" s="8"/>
      <c r="M20" s="10"/>
      <c r="N20" s="10">
        <f t="shared" ref="N20:N25" si="18">IF((J20-K20)&lt;0,0,(J20-K20))</f>
        <v>448</v>
      </c>
      <c r="O20" s="10">
        <f t="shared" ref="O20:O25" si="19">IF((K20-J20)&lt;0,0,(K20-J20))</f>
        <v>0</v>
      </c>
      <c r="P20" s="10">
        <f>Table14[[#This Row],[Enrolment S.Y. 2025-2026 ]]*8</f>
        <v>448</v>
      </c>
      <c r="Q20" s="10"/>
      <c r="R20" s="8"/>
      <c r="S20" s="10"/>
      <c r="T20" s="10">
        <f t="shared" si="10"/>
        <v>448</v>
      </c>
      <c r="U20" s="10">
        <f t="shared" si="11"/>
        <v>0</v>
      </c>
      <c r="V20" s="10">
        <f>Table14[[#This Row],[Enrolment S.Y. 2025-2026 ]]*8</f>
        <v>448</v>
      </c>
      <c r="W20" s="10"/>
      <c r="X20" s="8"/>
      <c r="Y20" s="10"/>
      <c r="Z20" s="10">
        <f t="shared" si="12"/>
        <v>448</v>
      </c>
      <c r="AA20" s="10">
        <f t="shared" si="13"/>
        <v>0</v>
      </c>
    </row>
    <row r="21" spans="1:27" ht="19.5">
      <c r="A21" s="29">
        <v>8</v>
      </c>
      <c r="B21" s="9" t="s">
        <v>85</v>
      </c>
      <c r="C21" s="8">
        <v>56</v>
      </c>
      <c r="D21" s="10">
        <f>Table14[[#This Row],[Enrolment S.Y. 2025-2026 ]]*8</f>
        <v>448</v>
      </c>
      <c r="E21" s="10">
        <v>51</v>
      </c>
      <c r="F21" s="8">
        <v>2025</v>
      </c>
      <c r="G21" s="10" t="s">
        <v>89</v>
      </c>
      <c r="H21" s="10">
        <f>IF((D21-E21)&lt;0,0,(D21-E21))</f>
        <v>397</v>
      </c>
      <c r="I21" s="10">
        <f>IF((E21-D21)&lt;0,0,(E21-D21))</f>
        <v>0</v>
      </c>
      <c r="J21" s="10">
        <f>Table14[[#This Row],[Enrolment S.Y. 2025-2026 ]]*8</f>
        <v>448</v>
      </c>
      <c r="K21" s="10"/>
      <c r="L21" s="8"/>
      <c r="M21" s="10"/>
      <c r="N21" s="10">
        <f t="shared" si="18"/>
        <v>448</v>
      </c>
      <c r="O21" s="10">
        <f t="shared" si="19"/>
        <v>0</v>
      </c>
      <c r="P21" s="10">
        <f>Table14[[#This Row],[Enrolment S.Y. 2025-2026 ]]*8</f>
        <v>448</v>
      </c>
      <c r="Q21" s="10"/>
      <c r="R21" s="8"/>
      <c r="S21" s="10"/>
      <c r="T21" s="10">
        <f>IF((P21-Q21)&lt;0,0,(P21-Q21))</f>
        <v>448</v>
      </c>
      <c r="U21" s="10">
        <f>IF((Q21-P21)&lt;0,0,(Q21-P21))</f>
        <v>0</v>
      </c>
      <c r="V21" s="10">
        <f>Table14[[#This Row],[Enrolment S.Y. 2025-2026 ]]*8</f>
        <v>448</v>
      </c>
      <c r="W21" s="10"/>
      <c r="X21" s="8"/>
      <c r="Y21" s="10"/>
      <c r="Z21" s="10">
        <f>IF((V21-W21)&lt;0,0,(V21-W21))</f>
        <v>448</v>
      </c>
      <c r="AA21" s="10">
        <f>IF((W21-V21)&lt;0,0,(W21-V21))</f>
        <v>0</v>
      </c>
    </row>
    <row r="22" spans="1:27" ht="19.5">
      <c r="A22" s="8">
        <v>8</v>
      </c>
      <c r="B22" s="9" t="s">
        <v>86</v>
      </c>
      <c r="C22" s="8">
        <v>56</v>
      </c>
      <c r="D22" s="10">
        <f>Table14[[#This Row],[Enrolment S.Y. 2025-2026 ]]*8</f>
        <v>448</v>
      </c>
      <c r="E22" s="10">
        <v>51</v>
      </c>
      <c r="F22" s="8">
        <v>2025</v>
      </c>
      <c r="G22" s="10" t="s">
        <v>89</v>
      </c>
      <c r="H22" s="10">
        <f t="shared" si="16"/>
        <v>397</v>
      </c>
      <c r="I22" s="10">
        <f t="shared" si="17"/>
        <v>0</v>
      </c>
      <c r="J22" s="10">
        <f>Table14[[#This Row],[Enrolment S.Y. 2025-2026 ]]*8</f>
        <v>448</v>
      </c>
      <c r="K22" s="10"/>
      <c r="L22" s="8"/>
      <c r="M22" s="10"/>
      <c r="N22" s="10">
        <f t="shared" si="18"/>
        <v>448</v>
      </c>
      <c r="O22" s="10">
        <f t="shared" si="19"/>
        <v>0</v>
      </c>
      <c r="P22" s="10">
        <f>Table14[[#This Row],[Enrolment S.Y. 2025-2026 ]]*8</f>
        <v>448</v>
      </c>
      <c r="Q22" s="10"/>
      <c r="R22" s="8"/>
      <c r="S22" s="10"/>
      <c r="T22" s="10">
        <f t="shared" si="10"/>
        <v>448</v>
      </c>
      <c r="U22" s="10">
        <f t="shared" si="11"/>
        <v>0</v>
      </c>
      <c r="V22" s="10">
        <f>Table14[[#This Row],[Enrolment S.Y. 2025-2026 ]]*8</f>
        <v>448</v>
      </c>
      <c r="W22" s="10"/>
      <c r="X22" s="8"/>
      <c r="Y22" s="10"/>
      <c r="Z22" s="10">
        <f t="shared" si="12"/>
        <v>448</v>
      </c>
      <c r="AA22" s="10">
        <f t="shared" si="13"/>
        <v>0</v>
      </c>
    </row>
    <row r="23" spans="1:27" ht="19.5">
      <c r="A23" s="8">
        <v>8</v>
      </c>
      <c r="B23" s="9" t="s">
        <v>17</v>
      </c>
      <c r="C23" s="8">
        <v>56</v>
      </c>
      <c r="D23" s="10">
        <f>Table14[[#This Row],[Enrolment S.Y. 2025-2026 ]]*8</f>
        <v>448</v>
      </c>
      <c r="E23" s="10">
        <v>51</v>
      </c>
      <c r="F23" s="8">
        <v>2025</v>
      </c>
      <c r="G23" s="10" t="s">
        <v>89</v>
      </c>
      <c r="H23" s="10">
        <f t="shared" si="16"/>
        <v>397</v>
      </c>
      <c r="I23" s="10">
        <f t="shared" si="17"/>
        <v>0</v>
      </c>
      <c r="J23" s="10">
        <f>Table14[[#This Row],[Enrolment S.Y. 2025-2026 ]]*8</f>
        <v>448</v>
      </c>
      <c r="K23" s="10"/>
      <c r="L23" s="8"/>
      <c r="M23" s="10"/>
      <c r="N23" s="10">
        <f t="shared" si="18"/>
        <v>448</v>
      </c>
      <c r="O23" s="10">
        <f t="shared" si="19"/>
        <v>0</v>
      </c>
      <c r="P23" s="10">
        <f>Table14[[#This Row],[Enrolment S.Y. 2025-2026 ]]*8</f>
        <v>448</v>
      </c>
      <c r="Q23" s="10"/>
      <c r="R23" s="8"/>
      <c r="S23" s="10"/>
      <c r="T23" s="10">
        <f t="shared" si="10"/>
        <v>448</v>
      </c>
      <c r="U23" s="10">
        <f t="shared" si="11"/>
        <v>0</v>
      </c>
      <c r="V23" s="10">
        <f>Table14[[#This Row],[Enrolment S.Y. 2025-2026 ]]*8</f>
        <v>448</v>
      </c>
      <c r="W23" s="10"/>
      <c r="X23" s="8"/>
      <c r="Y23" s="10"/>
      <c r="Z23" s="10">
        <f t="shared" si="12"/>
        <v>448</v>
      </c>
      <c r="AA23" s="10">
        <f t="shared" si="13"/>
        <v>0</v>
      </c>
    </row>
    <row r="24" spans="1:27" ht="19.5">
      <c r="A24" s="29">
        <v>8</v>
      </c>
      <c r="B24" s="9" t="s">
        <v>87</v>
      </c>
      <c r="C24" s="8">
        <v>56</v>
      </c>
      <c r="D24" s="10">
        <f>Table14[[#This Row],[Enrolment S.Y. 2025-2026 ]]*8</f>
        <v>448</v>
      </c>
      <c r="E24" s="10">
        <v>51</v>
      </c>
      <c r="F24" s="8">
        <v>2025</v>
      </c>
      <c r="G24" s="10" t="s">
        <v>89</v>
      </c>
      <c r="H24" s="10">
        <f>IF((D24-E24)&lt;0,0,(D24-E24))</f>
        <v>397</v>
      </c>
      <c r="I24" s="10">
        <f>IF((E24-D24)&lt;0,0,(E24-D24))</f>
        <v>0</v>
      </c>
      <c r="J24" s="10">
        <f>Table14[[#This Row],[Enrolment S.Y. 2025-2026 ]]*8</f>
        <v>448</v>
      </c>
      <c r="K24" s="10"/>
      <c r="L24" s="8"/>
      <c r="M24" s="10"/>
      <c r="N24" s="10">
        <f t="shared" si="18"/>
        <v>448</v>
      </c>
      <c r="O24" s="10">
        <f t="shared" si="19"/>
        <v>0</v>
      </c>
      <c r="P24" s="10">
        <f>Table14[[#This Row],[Enrolment S.Y. 2025-2026 ]]*8</f>
        <v>448</v>
      </c>
      <c r="Q24" s="10"/>
      <c r="R24" s="8"/>
      <c r="S24" s="10"/>
      <c r="T24" s="10">
        <f>IF((P24-Q24)&lt;0,0,(P24-Q24))</f>
        <v>448</v>
      </c>
      <c r="U24" s="10">
        <f>IF((Q24-P24)&lt;0,0,(Q24-P24))</f>
        <v>0</v>
      </c>
      <c r="V24" s="10">
        <f>Table14[[#This Row],[Enrolment S.Y. 2025-2026 ]]*8</f>
        <v>448</v>
      </c>
      <c r="W24" s="10"/>
      <c r="X24" s="8"/>
      <c r="Y24" s="10"/>
      <c r="Z24" s="10">
        <f>IF((V24-W24)&lt;0,0,(V24-W24))</f>
        <v>448</v>
      </c>
      <c r="AA24" s="10">
        <f>IF((W24-V24)&lt;0,0,(W24-V24))</f>
        <v>0</v>
      </c>
    </row>
    <row r="25" spans="1:27" ht="19.5">
      <c r="A25" s="8">
        <v>8</v>
      </c>
      <c r="B25" s="9" t="s">
        <v>88</v>
      </c>
      <c r="C25" s="8">
        <v>56</v>
      </c>
      <c r="D25" s="10">
        <f>Table14[[#This Row],[Enrolment S.Y. 2025-2026 ]]*8</f>
        <v>448</v>
      </c>
      <c r="E25" s="10">
        <v>51</v>
      </c>
      <c r="F25" s="8">
        <v>2025</v>
      </c>
      <c r="G25" s="10" t="s">
        <v>89</v>
      </c>
      <c r="H25" s="10">
        <f t="shared" si="16"/>
        <v>397</v>
      </c>
      <c r="I25" s="10">
        <f t="shared" si="17"/>
        <v>0</v>
      </c>
      <c r="J25" s="10">
        <f>Table14[[#This Row],[Enrolment S.Y. 2025-2026 ]]*8</f>
        <v>448</v>
      </c>
      <c r="K25" s="10"/>
      <c r="L25" s="8"/>
      <c r="M25" s="10"/>
      <c r="N25" s="10">
        <f t="shared" si="18"/>
        <v>448</v>
      </c>
      <c r="O25" s="10">
        <f t="shared" si="19"/>
        <v>0</v>
      </c>
      <c r="P25" s="10">
        <f>Table14[[#This Row],[Enrolment S.Y. 2025-2026 ]]*8</f>
        <v>448</v>
      </c>
      <c r="Q25" s="10"/>
      <c r="R25" s="8"/>
      <c r="S25" s="10"/>
      <c r="T25" s="10">
        <f t="shared" si="10"/>
        <v>448</v>
      </c>
      <c r="U25" s="10">
        <f t="shared" si="11"/>
        <v>0</v>
      </c>
      <c r="V25" s="10">
        <f>Table14[[#This Row],[Enrolment S.Y. 2025-2026 ]]*8</f>
        <v>448</v>
      </c>
      <c r="W25" s="10"/>
      <c r="X25" s="8"/>
      <c r="Y25" s="10"/>
      <c r="Z25" s="10">
        <f t="shared" si="12"/>
        <v>448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9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11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12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13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19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15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85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86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17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87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88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9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11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12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13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19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15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85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86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17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87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88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25</v>
      </c>
      <c r="B51" s="7" t="s">
        <v>21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25</v>
      </c>
      <c r="B52" s="7" t="s">
        <v>22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25</v>
      </c>
      <c r="B53" s="7" t="s">
        <v>24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25</v>
      </c>
      <c r="B54" s="7" t="s">
        <v>26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25</v>
      </c>
      <c r="B55" s="7" t="s">
        <v>27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25</v>
      </c>
      <c r="B56" s="7" t="s">
        <v>28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25</v>
      </c>
      <c r="B57" s="7" t="s">
        <v>29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25</v>
      </c>
      <c r="B58" s="7" t="s">
        <v>30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15:C25 C51:C58 C39:C49 C27:C37 C2:C13" name="Textbooks"/>
    <protectedRange sqref="J2:L2 Z15:AA25 V2:X2 H15:L25 T27:X37 Z27:AA37 H27:L37 T39:X49 Z39:AA49 H39:L49 N51:R58 T51:X58 Z51:AA58 H51:L58 D27:F37 D39:F49 N3:R13 N15:R25 N27:R37 N39:R49 D51:F58 D2:F13 D15:F25 T3:X13 Z3:AA13 H3:L13 T15:X25 P2:R2" name="LAS"/>
    <protectedRange sqref="G2:I2 M2:O2 S2:U2 Y2:AA2 G51:G58 M51:M58 S51:S58 G15:G25 Y3:Y13 G3:G13 M3:M13 S3:S13 Y15:Y25 M15:M25 S15:S25 Y27:Y37 G27:G37 M27:M37 S27:S37 Y39:Y49 G39:G49 M39:M49 S39:S49 Y51:Y58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1:S58 Y51:Y58 G51:G58 M3:M13 G3:G13 Y3:Y13 S3:S13 S15:S25 M15:M25 M51:M58 Y15:Y25 Y27:Y37 S27:S37 M27:M37 G27:G37 G39:G49 Y39:Y49 S39:S49 M39:M49 G15:G25" xr:uid="{CBD486C7-A5DB-48F1-B496-5027CC51E830}">
      <formula1>"CO,RO,SDO,LGU,SCHOOL"</formula1>
    </dataValidation>
    <dataValidation type="list" allowBlank="1" showInputMessage="1" showErrorMessage="1" sqref="X51:X58 L3:L13 L15:L25 L27:L37 L39:L49 L51:L58 R3:R13 R15:R25 R27:R37 R39:R49 R51:R58 X3:X13 X15:X25 X27:X37 X39:X49" xr:uid="{77F72D89-8371-4D0C-A323-BD25723C617C}">
      <formula1>"2024,2025  ,2026"</formula1>
    </dataValidation>
    <dataValidation type="list" allowBlank="1" showInputMessage="1" showErrorMessage="1" sqref="F3:F13 F15:F25 F27:F37 F39:F49 F51:F58" xr:uid="{8E16755C-E367-46EB-BB09-BC61F4B48894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2026-04-14T02:37:11Z</dcterms:modified>
  <cp:category/>
  <cp:contentStatus/>
</cp:coreProperties>
</file>