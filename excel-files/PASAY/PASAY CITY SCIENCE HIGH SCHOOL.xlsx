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9" documentId="13_ncr:1_{BFB59F67-F0DC-4675-A682-EB0734A8026A}" xr6:coauthVersionLast="47" xr6:coauthVersionMax="47" xr10:uidLastSave="{64D66BB1-5004-4171-BBEE-173FF5FD421E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H99" i="1"/>
  <c r="G100" i="1"/>
  <c r="H10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<sst xmlns="http://schemas.openxmlformats.org/spreadsheetml/2006/main" count="426" uniqueCount="97">
  <si>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</si>
  <si>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</si>
  <si>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</si>
  <si>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</si>
  <si>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</si>
  <si>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</si>
  <si>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</si>
  <si>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</si>
  <si>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</si>
  <si>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</si>
  <si>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</si>
  <si>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</si>
  <si>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</si>
  <si>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</si>
  <si>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</si>
  <si>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</si>
  <si>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</si>
  <si>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</si>
  <si>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</si>
  <si>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</si>
  <si>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</si>
  <si>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</si>
  <si>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</si>
  <si>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</si>
  <si>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</si>
  <si>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 - 11</t>
  </si>
  <si>
    <t>Personal Development</t>
  </si>
  <si>
    <t>HOPE 1 and 2</t>
  </si>
  <si>
    <t>SHS - 12</t>
  </si>
  <si>
    <t>HOPE 3 and 4</t>
  </si>
  <si>
    <t>SHS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</si>
  <si>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</si>
  <si>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</si>
  <si>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</si>
  <si>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</si>
  <si>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</si>
  <si>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and Life Science</t>
  </si>
  <si>
    <t>Heritage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</si>
  <si>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</si>
  <si>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</si>
  <si>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</si>
  <si>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</si>
  <si>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</si>
  <si>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</si>
  <si>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</si>
  <si>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</si>
  <si>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</si>
  <si>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</si>
  <si>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</si>
  <si>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</si>
  <si>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</si>
  <si>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</si>
  <si>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</si>
  <si>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</si>
  <si>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</si>
  <si>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</si>
  <si>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</si>
  <si>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</si>
  <si>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</si>
  <si>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</si>
  <si>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</si>
  <si>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</si>
  <si>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</si>
  <si>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</si>
  <si>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</si>
  <si>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</si>
  <si>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</si>
  <si>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</si>
  <si>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</si>
  <si>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</si>
  <si>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</si>
  <si>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</si>
  <si>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</si>
  <si>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</si>
  <si>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</si>
  <si>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</si>
  <si>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</si>
  <si>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</si>
  <si>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</si>
  <si>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</si>
  <si>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</si>
  <si>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</si>
  <si>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</si>
  <si>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</si>
  <si>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</si>
  <si>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</si>
  <si>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</si>
  <si>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</si>
  <si>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</si>
  <si>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</si>
  <si>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</si>
  <si>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</si>
  <si>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</si>
  <si>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</si>
  <si>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</si>
  <si>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</si>
  <si>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SDO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</si>
</sst>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145" totalsRowShown="0" headerRowDxfId="62" headerRowBorderDxfId="60" tableBorderDxfId="61">
  <autoFilter ref="A1:I145" xr:uid="{DC451CB5-2E69-4EAA-94B0-458F89F93F29}"/>
  <tableColumns count="9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  <tableColumn id="9" xr3:uid="{1D4741E2-5614-4786-B942-E487F88DF741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zoomScale="85" zoomScaleNormal="85" workbookViewId="0">
      <pane xSplit="2" topLeftCell="C1" activePane="topRight" state="frozen"/>
      <selection pane="topRight" activeCell="I66" sqref="I66:J6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42" t="s">
        <v>8</v>
      </c>
    </row>
    <row r="2" spans="1:9" ht="42.75" customHeight="1">
      <c r="A2" s="1">
        <v>1</v>
      </c>
      <c r="B2" s="2" t="s">
        <v>9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9" ht="29.25" customHeight="1">
      <c r="A3" s="1">
        <v>1</v>
      </c>
      <c r="B3" s="2" t="s">
        <v>10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9" ht="21" customHeight="1">
      <c r="A4" s="1">
        <v>1</v>
      </c>
      <c r="B4" s="2" t="s">
        <v>11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9" ht="25.5" customHeight="1">
      <c r="A5" s="1">
        <v>1</v>
      </c>
      <c r="B5" s="2" t="s">
        <v>12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9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9">
      <c r="C7" s="6"/>
      <c r="D7" s="6"/>
      <c r="E7" s="6"/>
    </row>
    <row r="8" spans="1:9" ht="39.75" customHeight="1">
      <c r="A8" s="1">
        <v>2</v>
      </c>
      <c r="B8" s="2" t="s">
        <v>9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9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9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9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9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9">
      <c r="C13" s="6"/>
      <c r="D13" s="6"/>
      <c r="E13" s="6"/>
    </row>
    <row r="14" spans="1:9" ht="49.5" customHeight="1">
      <c r="A14" s="1">
        <v>3</v>
      </c>
      <c r="B14" s="2" t="s">
        <v>9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9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9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94</v>
      </c>
      <c r="D51" s="10">
        <v>176</v>
      </c>
      <c r="E51" s="10">
        <v>2025</v>
      </c>
      <c r="F51" s="12" t="s">
        <v>21</v>
      </c>
      <c r="G51" s="3">
        <f t="shared" ref="G51:G59" si="10">IF((C51-D51)&lt;0,0,C51-D51)</f>
        <v>0</v>
      </c>
      <c r="H51" s="4">
        <f t="shared" ref="H51:H59" si="11">IF((D51-C51)&lt;0,0,D51-C51)</f>
        <v>82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 t="s">
        <v>21</v>
      </c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94</v>
      </c>
      <c r="D53" s="10">
        <v>176</v>
      </c>
      <c r="E53" s="10">
        <v>2024</v>
      </c>
      <c r="F53" s="12" t="s">
        <v>21</v>
      </c>
      <c r="G53" s="3">
        <f t="shared" si="10"/>
        <v>0</v>
      </c>
      <c r="H53" s="4">
        <f t="shared" si="11"/>
        <v>82</v>
      </c>
    </row>
    <row r="54" spans="1:8" ht="27.75" customHeight="1">
      <c r="A54" s="10">
        <v>7</v>
      </c>
      <c r="B54" s="11" t="s">
        <v>22</v>
      </c>
      <c r="C54" s="10">
        <v>94</v>
      </c>
      <c r="D54" s="10">
        <v>176</v>
      </c>
      <c r="E54" s="10">
        <v>2026</v>
      </c>
      <c r="F54" s="12" t="s">
        <v>21</v>
      </c>
      <c r="G54" s="3">
        <f t="shared" si="10"/>
        <v>0</v>
      </c>
      <c r="H54" s="4">
        <f t="shared" si="11"/>
        <v>82</v>
      </c>
    </row>
    <row r="55" spans="1:8" ht="39" customHeight="1">
      <c r="A55" s="10">
        <v>7</v>
      </c>
      <c r="B55" s="11" t="s">
        <v>17</v>
      </c>
      <c r="C55" s="10">
        <v>94</v>
      </c>
      <c r="D55" s="10">
        <v>176</v>
      </c>
      <c r="E55" s="10">
        <v>2025</v>
      </c>
      <c r="F55" s="12" t="s">
        <v>21</v>
      </c>
      <c r="G55" s="3">
        <f t="shared" si="10"/>
        <v>0</v>
      </c>
      <c r="H55" s="4">
        <f t="shared" si="11"/>
        <v>82</v>
      </c>
    </row>
    <row r="56" spans="1:8" ht="27.75" customHeight="1">
      <c r="A56" s="10">
        <v>7</v>
      </c>
      <c r="B56" s="11" t="s">
        <v>14</v>
      </c>
      <c r="C56" s="10">
        <v>94</v>
      </c>
      <c r="D56" s="10">
        <v>176</v>
      </c>
      <c r="E56" s="10">
        <v>2024</v>
      </c>
      <c r="F56" s="12" t="s">
        <v>21</v>
      </c>
      <c r="G56" s="3">
        <f t="shared" si="10"/>
        <v>0</v>
      </c>
      <c r="H56" s="4">
        <f t="shared" si="11"/>
        <v>82</v>
      </c>
    </row>
    <row r="57" spans="1:8" ht="27.75" customHeight="1">
      <c r="A57" s="10">
        <v>7</v>
      </c>
      <c r="B57" s="11" t="s">
        <v>18</v>
      </c>
      <c r="C57" s="10">
        <v>94</v>
      </c>
      <c r="D57" s="10">
        <v>176</v>
      </c>
      <c r="E57" s="10">
        <v>2025</v>
      </c>
      <c r="F57" s="12" t="s">
        <v>21</v>
      </c>
      <c r="G57" s="3">
        <f t="shared" si="10"/>
        <v>0</v>
      </c>
      <c r="H57" s="4">
        <f t="shared" si="11"/>
        <v>82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94</v>
      </c>
      <c r="D59" s="10">
        <v>176</v>
      </c>
      <c r="E59" s="10"/>
      <c r="F59" s="12" t="s">
        <v>21</v>
      </c>
      <c r="G59" s="3">
        <f t="shared" si="10"/>
        <v>0</v>
      </c>
      <c r="H59" s="4">
        <f t="shared" si="11"/>
        <v>82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56</v>
      </c>
      <c r="D63" s="10">
        <v>166</v>
      </c>
      <c r="E63" s="10">
        <v>2025</v>
      </c>
      <c r="F63" s="12" t="s">
        <v>21</v>
      </c>
      <c r="G63" s="3">
        <f t="shared" si="12"/>
        <v>0</v>
      </c>
      <c r="H63" s="4">
        <f t="shared" si="13"/>
        <v>110</v>
      </c>
    </row>
    <row r="64" spans="1:8" ht="27.75" customHeight="1">
      <c r="A64" s="10">
        <v>8</v>
      </c>
      <c r="B64" s="11" t="s">
        <v>22</v>
      </c>
      <c r="C64" s="10">
        <v>56</v>
      </c>
      <c r="D64" s="10">
        <v>166</v>
      </c>
      <c r="E64" s="10">
        <v>2025</v>
      </c>
      <c r="F64" s="12" t="s">
        <v>21</v>
      </c>
      <c r="G64" s="3">
        <f t="shared" si="12"/>
        <v>0</v>
      </c>
      <c r="H64" s="4">
        <f t="shared" si="13"/>
        <v>110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56</v>
      </c>
      <c r="D66" s="10">
        <v>166</v>
      </c>
      <c r="E66" s="10">
        <v>2026</v>
      </c>
      <c r="F66" s="12" t="s">
        <v>21</v>
      </c>
      <c r="G66" s="3">
        <v>0</v>
      </c>
      <c r="H66" s="4">
        <f t="shared" si="13"/>
        <v>110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137</v>
      </c>
      <c r="D72" s="10">
        <v>148</v>
      </c>
      <c r="E72" s="10">
        <v>2024</v>
      </c>
      <c r="F72" s="12" t="s">
        <v>21</v>
      </c>
      <c r="G72" s="3">
        <f t="shared" si="14"/>
        <v>0</v>
      </c>
      <c r="H72" s="4">
        <f t="shared" si="15"/>
        <v>11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146</v>
      </c>
      <c r="D82" s="10">
        <v>132</v>
      </c>
      <c r="E82" s="10">
        <v>2024</v>
      </c>
      <c r="F82" s="12" t="s">
        <v>21</v>
      </c>
      <c r="G82" s="3">
        <f t="shared" si="16"/>
        <v>14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>
        <v>136</v>
      </c>
      <c r="D91" s="1">
        <v>144</v>
      </c>
      <c r="E91" s="1">
        <v>2024</v>
      </c>
      <c r="F91" s="5" t="s">
        <v>21</v>
      </c>
      <c r="G91" s="3">
        <f t="shared" ref="G91:G98" si="18">IF((C91-D91)&lt;0,0,C91-D91)</f>
        <v>0</v>
      </c>
      <c r="H91" s="4">
        <f t="shared" ref="H91:H98" si="19">IF((D91-C91)&lt;0,0,D91-C91)</f>
        <v>8</v>
      </c>
    </row>
    <row r="92" spans="1:8" ht="27.75" customHeight="1">
      <c r="A92" s="1" t="s">
        <v>25</v>
      </c>
      <c r="B92" s="9" t="s">
        <v>27</v>
      </c>
      <c r="C92" s="1">
        <v>136</v>
      </c>
      <c r="D92" s="1"/>
      <c r="E92" s="1"/>
      <c r="F92" s="5"/>
      <c r="G92" s="3">
        <f t="shared" si="18"/>
        <v>136</v>
      </c>
      <c r="H92" s="4">
        <f t="shared" si="19"/>
        <v>0</v>
      </c>
    </row>
    <row r="93" spans="1:8" ht="27.75" customHeight="1">
      <c r="A93" s="1" t="s">
        <v>28</v>
      </c>
      <c r="B93" s="9" t="s">
        <v>29</v>
      </c>
      <c r="C93" s="1">
        <v>129</v>
      </c>
      <c r="D93" s="1">
        <v>144</v>
      </c>
      <c r="E93" s="1">
        <v>2024</v>
      </c>
      <c r="F93" s="5" t="s">
        <v>21</v>
      </c>
      <c r="G93" s="3">
        <f t="shared" si="18"/>
        <v>0</v>
      </c>
      <c r="H93" s="4">
        <f t="shared" si="19"/>
        <v>15</v>
      </c>
    </row>
    <row r="94" spans="1:8" ht="27.75" customHeight="1">
      <c r="A94" s="1" t="s">
        <v>30</v>
      </c>
      <c r="B94" s="9" t="s">
        <v>31</v>
      </c>
      <c r="C94" s="1">
        <v>265</v>
      </c>
      <c r="D94" s="1">
        <v>144</v>
      </c>
      <c r="E94" s="1">
        <v>2025</v>
      </c>
      <c r="F94" s="5" t="s">
        <v>21</v>
      </c>
      <c r="G94" s="3">
        <f t="shared" si="18"/>
        <v>121</v>
      </c>
      <c r="H94" s="4">
        <f t="shared" si="19"/>
        <v>0</v>
      </c>
    </row>
    <row r="95" spans="1:8" ht="40.5" customHeight="1">
      <c r="A95" s="1" t="s">
        <v>28</v>
      </c>
      <c r="B95" s="9" t="s">
        <v>32</v>
      </c>
      <c r="C95" s="1">
        <v>129</v>
      </c>
      <c r="D95" s="1">
        <v>144</v>
      </c>
      <c r="E95" s="1">
        <v>2025</v>
      </c>
      <c r="F95" s="5" t="s">
        <v>21</v>
      </c>
      <c r="G95" s="3">
        <f>IF((C95-D95)&lt;0,0,C95-D95)</f>
        <v>0</v>
      </c>
      <c r="H95" s="4">
        <f>IF((D95-C95)&lt;0,0,D95-C95)</f>
        <v>15</v>
      </c>
    </row>
    <row r="96" spans="1:8" ht="38.25" customHeight="1">
      <c r="A96" s="1" t="s">
        <v>25</v>
      </c>
      <c r="B96" s="9" t="s">
        <v>33</v>
      </c>
      <c r="C96" s="1">
        <v>136</v>
      </c>
      <c r="D96" s="1">
        <v>144</v>
      </c>
      <c r="E96" s="1">
        <v>2025</v>
      </c>
      <c r="F96" s="5" t="s">
        <v>21</v>
      </c>
      <c r="G96" s="3">
        <f>IF((C96-D96)&lt;0,0,C96-D96)</f>
        <v>0</v>
      </c>
      <c r="H96" s="4">
        <f>IF((D96-C96)&lt;0,0,D96-C96)</f>
        <v>8</v>
      </c>
    </row>
    <row r="97" spans="1:8" ht="27.75" customHeight="1">
      <c r="A97" s="1" t="s">
        <v>28</v>
      </c>
      <c r="B97" s="9" t="s">
        <v>34</v>
      </c>
      <c r="C97" s="1">
        <v>129</v>
      </c>
      <c r="D97" s="1">
        <v>144</v>
      </c>
      <c r="E97" s="1">
        <v>2025</v>
      </c>
      <c r="F97" s="5" t="s">
        <v>21</v>
      </c>
      <c r="G97" s="3">
        <f t="shared" si="18"/>
        <v>0</v>
      </c>
      <c r="H97" s="4">
        <f t="shared" si="19"/>
        <v>15</v>
      </c>
    </row>
    <row r="98" spans="1:8" ht="47.25" customHeight="1">
      <c r="A98" s="1" t="s">
        <v>25</v>
      </c>
      <c r="B98" s="9" t="s">
        <v>35</v>
      </c>
      <c r="C98" s="1">
        <v>136</v>
      </c>
      <c r="D98" s="1">
        <v>144</v>
      </c>
      <c r="E98" s="1">
        <v>2025</v>
      </c>
      <c r="F98" s="5" t="s">
        <v>21</v>
      </c>
      <c r="G98" s="3">
        <f t="shared" si="18"/>
        <v>0</v>
      </c>
      <c r="H98" s="4">
        <f t="shared" si="19"/>
        <v>8</v>
      </c>
    </row>
    <row r="99" spans="1:8" ht="38.25">
      <c r="A99" s="1" t="s">
        <v>25</v>
      </c>
      <c r="B99" s="9" t="s">
        <v>36</v>
      </c>
      <c r="C99" s="1">
        <v>136</v>
      </c>
      <c r="D99" s="1">
        <v>144</v>
      </c>
      <c r="E99" s="1">
        <v>2024</v>
      </c>
      <c r="F99" s="5" t="s">
        <v>21</v>
      </c>
      <c r="G99" s="3">
        <f t="shared" ref="G99:G100" si="20">IF((C99-D99)&lt;0,0,C99-D99)</f>
        <v>0</v>
      </c>
      <c r="H99" s="4">
        <f t="shared" ref="H99:H100" si="21">IF((D99-C99)&lt;0,0,D99-C99)</f>
        <v>8</v>
      </c>
    </row>
    <row r="100" spans="1:8" ht="38.25">
      <c r="A100" s="1" t="s">
        <v>28</v>
      </c>
      <c r="B100" s="9" t="s">
        <v>37</v>
      </c>
      <c r="C100" s="1">
        <v>129</v>
      </c>
      <c r="D100" s="1">
        <v>144</v>
      </c>
      <c r="E100" s="1">
        <v>2025</v>
      </c>
      <c r="F100" s="5" t="s">
        <v>21</v>
      </c>
      <c r="G100" s="3">
        <f t="shared" si="20"/>
        <v>0</v>
      </c>
      <c r="H100" s="4">
        <f t="shared" si="21"/>
        <v>15</v>
      </c>
    </row>
  </sheetData>
  <protectedRanges>
    <protectedRange sqref="C1:E100" name="Textbooks"/>
    <protectedRange sqref="F1:F100" name="SOURCE"/>
  </protectedRanges>
  <phoneticPr fontId="8" type="noConversion"/>
  <dataValidations count="2">
    <dataValidation type="list" allowBlank="1" showInputMessage="1" showErrorMessage="1" sqref="E2:E6 E8:E12 E14:E19 E21:E29 E31:E39 E41:E49 E51:E59 E61:E69 E71:E79 E81:E89 E91:E100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10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T3" zoomScale="70" zoomScaleNormal="70" workbookViewId="0">
      <selection activeCell="X5" sqref="X5:X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38</v>
      </c>
      <c r="E1" s="43"/>
      <c r="F1" s="43"/>
      <c r="G1" s="43"/>
      <c r="H1" s="43"/>
      <c r="I1" s="43"/>
      <c r="J1" s="44" t="s">
        <v>39</v>
      </c>
      <c r="K1" s="44"/>
      <c r="L1" s="44"/>
      <c r="M1" s="44"/>
      <c r="N1" s="44"/>
      <c r="O1" s="44"/>
      <c r="P1" s="45" t="s">
        <v>40</v>
      </c>
      <c r="Q1" s="45"/>
      <c r="R1" s="45"/>
      <c r="S1" s="45"/>
      <c r="T1" s="45"/>
      <c r="U1" s="45"/>
      <c r="V1" s="46" t="s">
        <v>41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42</v>
      </c>
      <c r="E2" s="20" t="s">
        <v>43</v>
      </c>
      <c r="F2" s="21" t="s">
        <v>44</v>
      </c>
      <c r="G2" s="24" t="s">
        <v>45</v>
      </c>
      <c r="H2" s="17" t="s">
        <v>46</v>
      </c>
      <c r="I2" s="24" t="s">
        <v>47</v>
      </c>
      <c r="J2" s="22" t="s">
        <v>48</v>
      </c>
      <c r="K2" s="22" t="s">
        <v>49</v>
      </c>
      <c r="L2" s="23" t="s">
        <v>50</v>
      </c>
      <c r="M2" s="40" t="s">
        <v>51</v>
      </c>
      <c r="N2" s="40" t="s">
        <v>52</v>
      </c>
      <c r="O2" s="22" t="s">
        <v>53</v>
      </c>
      <c r="P2" s="24" t="s">
        <v>54</v>
      </c>
      <c r="Q2" s="24" t="s">
        <v>55</v>
      </c>
      <c r="R2" s="25" t="s">
        <v>56</v>
      </c>
      <c r="S2" s="17" t="s">
        <v>57</v>
      </c>
      <c r="T2" s="17" t="s">
        <v>58</v>
      </c>
      <c r="U2" s="24" t="s">
        <v>59</v>
      </c>
      <c r="V2" s="26" t="s">
        <v>60</v>
      </c>
      <c r="W2" s="26" t="s">
        <v>61</v>
      </c>
      <c r="X2" s="27" t="s">
        <v>62</v>
      </c>
      <c r="Y2" s="41" t="s">
        <v>63</v>
      </c>
      <c r="Z2" s="41" t="s">
        <v>64</v>
      </c>
      <c r="AA2" s="26" t="s">
        <v>65</v>
      </c>
    </row>
    <row r="3" spans="1:27" ht="30.6" customHeight="1">
      <c r="A3" s="39" t="s">
        <v>66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9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67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9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67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9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67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30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30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30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30</v>
      </c>
      <c r="B106" s="9" t="s">
        <v>31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30</v>
      </c>
      <c r="B107" s="9" t="s">
        <v>32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30</v>
      </c>
      <c r="B108" s="9" t="s">
        <v>33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30</v>
      </c>
      <c r="B109" s="9" t="s">
        <v>34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30</v>
      </c>
      <c r="B110" s="9" t="s">
        <v>35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D103:F110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112:R127 X5:X12" xr:uid="{4ECCD083-8EC4-42EE-B46C-B614411F330D}">
      <formula1>"2024,2025 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163DF6B3-B3B7-4BAF-9A98-E3014DF6DAA3}">
      <formula1>"2024,2025,2026"</formula1>
    </dataValidation>
    <dataValidation type="list" allowBlank="1" showInputMessage="1" showErrorMessage="1" sqref="L5:L12 L14:L21 L23:L31 L33:L41 L43:L51 L53:L61 L63:L71 L73:L81 L83:L91 L93:L101 L103:L110 L112:L127 X112:X127 X14:X21 X23:X31 X33:X41 X43:X51 X53:X61 X63:X71 X73:X81 X83:X91 X93:X101 X103:X110" xr:uid="{D01D2865-6BC7-414D-8ADD-08BC3FC716E4}">
      <formula1>"2024,2025  ,2026"</formula1>
    </dataValidation>
    <dataValidation type="list" allowBlank="1" showInputMessage="1" showErrorMessage="1" sqref="R5:R12 R14:R21 R23:R31 R33:R41 R43:R51 R53:R61 R63:R71 R73:R81 R83:R91 R93:R101 R103:R110" xr:uid="{85E159C2-08D1-4071-93C6-0615633F2230}">
      <formula1>"2024,2025 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T113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38</v>
      </c>
      <c r="E1" s="43"/>
      <c r="F1" s="43"/>
      <c r="G1" s="43"/>
      <c r="H1" s="43"/>
      <c r="I1" s="43"/>
      <c r="J1" s="44" t="s">
        <v>39</v>
      </c>
      <c r="K1" s="44"/>
      <c r="L1" s="44"/>
      <c r="M1" s="44"/>
      <c r="N1" s="44"/>
      <c r="O1" s="44"/>
      <c r="P1" s="45" t="s">
        <v>40</v>
      </c>
      <c r="Q1" s="45"/>
      <c r="R1" s="45"/>
      <c r="S1" s="45"/>
      <c r="T1" s="45"/>
      <c r="U1" s="45"/>
      <c r="V1" s="46" t="s">
        <v>41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68</v>
      </c>
      <c r="E2" s="20" t="s">
        <v>69</v>
      </c>
      <c r="F2" s="21" t="s">
        <v>70</v>
      </c>
      <c r="G2" s="24" t="s">
        <v>71</v>
      </c>
      <c r="H2" s="17" t="s">
        <v>72</v>
      </c>
      <c r="I2" s="24" t="s">
        <v>73</v>
      </c>
      <c r="J2" s="22" t="s">
        <v>74</v>
      </c>
      <c r="K2" s="22" t="s">
        <v>75</v>
      </c>
      <c r="L2" s="23" t="s">
        <v>76</v>
      </c>
      <c r="M2" s="40" t="s">
        <v>77</v>
      </c>
      <c r="N2" s="40" t="s">
        <v>78</v>
      </c>
      <c r="O2" s="22" t="s">
        <v>79</v>
      </c>
      <c r="P2" s="24" t="s">
        <v>80</v>
      </c>
      <c r="Q2" s="24" t="s">
        <v>81</v>
      </c>
      <c r="R2" s="25" t="s">
        <v>82</v>
      </c>
      <c r="S2" s="17" t="s">
        <v>83</v>
      </c>
      <c r="T2" s="17" t="s">
        <v>84</v>
      </c>
      <c r="U2" s="24" t="s">
        <v>85</v>
      </c>
      <c r="V2" s="26" t="s">
        <v>86</v>
      </c>
      <c r="W2" s="26" t="s">
        <v>87</v>
      </c>
      <c r="X2" s="27" t="s">
        <v>88</v>
      </c>
      <c r="Y2" s="41" t="s">
        <v>89</v>
      </c>
      <c r="Z2" s="41" t="s">
        <v>90</v>
      </c>
      <c r="AA2" s="26" t="s">
        <v>91</v>
      </c>
    </row>
    <row r="3" spans="1:27" ht="19.149999999999999">
      <c r="A3" s="1">
        <v>1</v>
      </c>
      <c r="B3" s="2" t="s">
        <v>9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67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9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67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9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67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92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93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94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95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92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93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94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95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92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93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94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95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92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93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94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95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56</v>
      </c>
      <c r="D79" s="12">
        <f>Table14[[#This Row],[Enrolment S.Y. 2025-2026 ]]*8</f>
        <v>448</v>
      </c>
      <c r="E79" s="12">
        <v>51</v>
      </c>
      <c r="F79" s="10">
        <v>2025</v>
      </c>
      <c r="G79" s="12" t="s">
        <v>96</v>
      </c>
      <c r="H79" s="12">
        <f t="shared" si="0"/>
        <v>397</v>
      </c>
      <c r="I79" s="12">
        <f t="shared" si="1"/>
        <v>0</v>
      </c>
      <c r="J79" s="12">
        <f>Table14[[#This Row],[Enrolment S.Y. 2025-2026 ]]*8</f>
        <v>448</v>
      </c>
      <c r="K79" s="12"/>
      <c r="L79" s="10"/>
      <c r="M79" s="12"/>
      <c r="N79" s="12">
        <f t="shared" ref="N74:N122" si="20">IF((J79-K79)&lt;0,0,(J79-K79))</f>
        <v>448</v>
      </c>
      <c r="O79" s="12">
        <f t="shared" ref="O74:O122" si="21">IF((K79-J79)&lt;0,0,(K79-J79))</f>
        <v>0</v>
      </c>
      <c r="P79" s="12">
        <f>Table14[[#This Row],[Enrolment S.Y. 2025-2026 ]]*8</f>
        <v>448</v>
      </c>
      <c r="Q79" s="12"/>
      <c r="R79" s="10"/>
      <c r="S79" s="12"/>
      <c r="T79" s="12">
        <f t="shared" si="16"/>
        <v>448</v>
      </c>
      <c r="U79" s="12">
        <f t="shared" si="17"/>
        <v>0</v>
      </c>
      <c r="V79" s="12">
        <f>Table14[[#This Row],[Enrolment S.Y. 2025-2026 ]]*8</f>
        <v>448</v>
      </c>
      <c r="W79" s="12"/>
      <c r="X79" s="10"/>
      <c r="Y79" s="12"/>
      <c r="Z79" s="12">
        <f t="shared" si="18"/>
        <v>448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56</v>
      </c>
      <c r="D80" s="12">
        <f>Table14[[#This Row],[Enrolment S.Y. 2025-2026 ]]*8</f>
        <v>448</v>
      </c>
      <c r="E80" s="12">
        <v>51</v>
      </c>
      <c r="F80" s="10">
        <v>2025</v>
      </c>
      <c r="G80" s="12" t="s">
        <v>96</v>
      </c>
      <c r="H80" s="12">
        <f t="shared" si="0"/>
        <v>397</v>
      </c>
      <c r="I80" s="12">
        <f t="shared" si="1"/>
        <v>0</v>
      </c>
      <c r="J80" s="12">
        <f>Table14[[#This Row],[Enrolment S.Y. 2025-2026 ]]*8</f>
        <v>448</v>
      </c>
      <c r="K80" s="12"/>
      <c r="L80" s="10"/>
      <c r="M80" s="12"/>
      <c r="N80" s="12">
        <f t="shared" si="20"/>
        <v>448</v>
      </c>
      <c r="O80" s="12">
        <f t="shared" si="21"/>
        <v>0</v>
      </c>
      <c r="P80" s="12">
        <f>Table14[[#This Row],[Enrolment S.Y. 2025-2026 ]]*8</f>
        <v>448</v>
      </c>
      <c r="Q80" s="12"/>
      <c r="R80" s="10"/>
      <c r="S80" s="12"/>
      <c r="T80" s="12">
        <f t="shared" si="16"/>
        <v>448</v>
      </c>
      <c r="U80" s="12">
        <f t="shared" si="17"/>
        <v>0</v>
      </c>
      <c r="V80" s="12">
        <f>Table14[[#This Row],[Enrolment S.Y. 2025-2026 ]]*8</f>
        <v>448</v>
      </c>
      <c r="W80" s="12"/>
      <c r="X80" s="10"/>
      <c r="Y80" s="12"/>
      <c r="Z80" s="12">
        <f t="shared" si="18"/>
        <v>448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56</v>
      </c>
      <c r="D81" s="12">
        <f>Table14[[#This Row],[Enrolment S.Y. 2025-2026 ]]*8</f>
        <v>448</v>
      </c>
      <c r="E81" s="12">
        <v>51</v>
      </c>
      <c r="F81" s="10">
        <v>2025</v>
      </c>
      <c r="G81" s="12" t="s">
        <v>96</v>
      </c>
      <c r="H81" s="12">
        <f t="shared" si="0"/>
        <v>397</v>
      </c>
      <c r="I81" s="12">
        <f t="shared" si="1"/>
        <v>0</v>
      </c>
      <c r="J81" s="12">
        <f>Table14[[#This Row],[Enrolment S.Y. 2025-2026 ]]*8</f>
        <v>448</v>
      </c>
      <c r="K81" s="12"/>
      <c r="L81" s="10"/>
      <c r="M81" s="12"/>
      <c r="N81" s="12">
        <f t="shared" si="20"/>
        <v>448</v>
      </c>
      <c r="O81" s="12">
        <f t="shared" si="21"/>
        <v>0</v>
      </c>
      <c r="P81" s="12">
        <f>Table14[[#This Row],[Enrolment S.Y. 2025-2026 ]]*8</f>
        <v>448</v>
      </c>
      <c r="Q81" s="12"/>
      <c r="R81" s="10"/>
      <c r="S81" s="12"/>
      <c r="T81" s="12">
        <f t="shared" si="16"/>
        <v>448</v>
      </c>
      <c r="U81" s="12">
        <f t="shared" si="17"/>
        <v>0</v>
      </c>
      <c r="V81" s="12">
        <f>Table14[[#This Row],[Enrolment S.Y. 2025-2026 ]]*8</f>
        <v>448</v>
      </c>
      <c r="W81" s="12"/>
      <c r="X81" s="10"/>
      <c r="Y81" s="12"/>
      <c r="Z81" s="12">
        <f t="shared" si="18"/>
        <v>448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>
        <v>56</v>
      </c>
      <c r="D82" s="12">
        <f>Table14[[#This Row],[Enrolment S.Y. 2025-2026 ]]*8</f>
        <v>448</v>
      </c>
      <c r="E82" s="12">
        <v>51</v>
      </c>
      <c r="F82" s="10">
        <v>2025</v>
      </c>
      <c r="G82" s="12" t="s">
        <v>96</v>
      </c>
      <c r="H82" s="12">
        <f t="shared" si="0"/>
        <v>397</v>
      </c>
      <c r="I82" s="12">
        <f t="shared" si="1"/>
        <v>0</v>
      </c>
      <c r="J82" s="12">
        <f>Table14[[#This Row],[Enrolment S.Y. 2025-2026 ]]*8</f>
        <v>448</v>
      </c>
      <c r="K82" s="12"/>
      <c r="L82" s="10"/>
      <c r="M82" s="12"/>
      <c r="N82" s="12">
        <f t="shared" si="20"/>
        <v>448</v>
      </c>
      <c r="O82" s="12">
        <f t="shared" si="21"/>
        <v>0</v>
      </c>
      <c r="P82" s="12">
        <f>Table14[[#This Row],[Enrolment S.Y. 2025-2026 ]]*8</f>
        <v>448</v>
      </c>
      <c r="Q82" s="12"/>
      <c r="R82" s="10"/>
      <c r="S82" s="12"/>
      <c r="T82" s="12">
        <f t="shared" si="16"/>
        <v>448</v>
      </c>
      <c r="U82" s="12">
        <f t="shared" si="17"/>
        <v>0</v>
      </c>
      <c r="V82" s="12">
        <f>Table14[[#This Row],[Enrolment S.Y. 2025-2026 ]]*8</f>
        <v>448</v>
      </c>
      <c r="W82" s="12"/>
      <c r="X82" s="10"/>
      <c r="Y82" s="12"/>
      <c r="Z82" s="12">
        <f t="shared" si="18"/>
        <v>448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>
        <v>56</v>
      </c>
      <c r="D83" s="12">
        <f>Table14[[#This Row],[Enrolment S.Y. 2025-2026 ]]*8</f>
        <v>448</v>
      </c>
      <c r="E83" s="12">
        <v>51</v>
      </c>
      <c r="F83" s="10">
        <v>2025</v>
      </c>
      <c r="G83" s="12" t="s">
        <v>96</v>
      </c>
      <c r="H83" s="12">
        <f t="shared" si="0"/>
        <v>397</v>
      </c>
      <c r="I83" s="12">
        <f t="shared" si="1"/>
        <v>0</v>
      </c>
      <c r="J83" s="12">
        <f>Table14[[#This Row],[Enrolment S.Y. 2025-2026 ]]*8</f>
        <v>448</v>
      </c>
      <c r="K83" s="12"/>
      <c r="L83" s="10"/>
      <c r="M83" s="12"/>
      <c r="N83" s="12">
        <f t="shared" si="20"/>
        <v>448</v>
      </c>
      <c r="O83" s="12">
        <f t="shared" si="21"/>
        <v>0</v>
      </c>
      <c r="P83" s="12">
        <f>Table14[[#This Row],[Enrolment S.Y. 2025-2026 ]]*8</f>
        <v>448</v>
      </c>
      <c r="Q83" s="12"/>
      <c r="R83" s="10"/>
      <c r="S83" s="12"/>
      <c r="T83" s="12">
        <f t="shared" si="16"/>
        <v>448</v>
      </c>
      <c r="U83" s="12">
        <f t="shared" si="17"/>
        <v>0</v>
      </c>
      <c r="V83" s="12">
        <f>Table14[[#This Row],[Enrolment S.Y. 2025-2026 ]]*8</f>
        <v>448</v>
      </c>
      <c r="W83" s="12"/>
      <c r="X83" s="10"/>
      <c r="Y83" s="12"/>
      <c r="Z83" s="12">
        <f t="shared" si="18"/>
        <v>448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56</v>
      </c>
      <c r="D84" s="12">
        <f>Table14[[#This Row],[Enrolment S.Y. 2025-2026 ]]*8</f>
        <v>448</v>
      </c>
      <c r="E84" s="12">
        <v>51</v>
      </c>
      <c r="F84" s="10">
        <v>2025</v>
      </c>
      <c r="G84" s="12" t="s">
        <v>96</v>
      </c>
      <c r="H84" s="12">
        <f t="shared" ref="H84:H122" si="22">IF((D84-E84)&lt;0,0,(D84-E84))</f>
        <v>397</v>
      </c>
      <c r="I84" s="12">
        <f t="shared" ref="I84:I122" si="23">IF((E84-D84)&lt;0,0,(E84-D84))</f>
        <v>0</v>
      </c>
      <c r="J84" s="12">
        <f>Table14[[#This Row],[Enrolment S.Y. 2025-2026 ]]*8</f>
        <v>448</v>
      </c>
      <c r="K84" s="12"/>
      <c r="L84" s="10"/>
      <c r="M84" s="12"/>
      <c r="N84" s="12">
        <f t="shared" ref="N84:N89" si="24">IF((J84-K84)&lt;0,0,(J84-K84))</f>
        <v>448</v>
      </c>
      <c r="O84" s="12">
        <f t="shared" ref="O84:O89" si="25">IF((K84-J84)&lt;0,0,(K84-J84))</f>
        <v>0</v>
      </c>
      <c r="P84" s="12">
        <f>Table14[[#This Row],[Enrolment S.Y. 2025-2026 ]]*8</f>
        <v>448</v>
      </c>
      <c r="Q84" s="12"/>
      <c r="R84" s="10"/>
      <c r="S84" s="12"/>
      <c r="T84" s="12">
        <f t="shared" si="16"/>
        <v>448</v>
      </c>
      <c r="U84" s="12">
        <f t="shared" si="17"/>
        <v>0</v>
      </c>
      <c r="V84" s="12">
        <f>Table14[[#This Row],[Enrolment S.Y. 2025-2026 ]]*8</f>
        <v>448</v>
      </c>
      <c r="W84" s="12"/>
      <c r="X84" s="10"/>
      <c r="Y84" s="12"/>
      <c r="Z84" s="12">
        <f t="shared" si="18"/>
        <v>448</v>
      </c>
      <c r="AA84" s="12">
        <f t="shared" si="19"/>
        <v>0</v>
      </c>
    </row>
    <row r="85" spans="1:27" ht="19.5">
      <c r="A85" s="38">
        <v>8</v>
      </c>
      <c r="B85" s="11" t="s">
        <v>92</v>
      </c>
      <c r="C85" s="10">
        <v>56</v>
      </c>
      <c r="D85" s="12">
        <f>Table14[[#This Row],[Enrolment S.Y. 2025-2026 ]]*8</f>
        <v>448</v>
      </c>
      <c r="E85" s="12">
        <v>51</v>
      </c>
      <c r="F85" s="10">
        <v>2025</v>
      </c>
      <c r="G85" s="12" t="s">
        <v>96</v>
      </c>
      <c r="H85" s="12">
        <f>IF((D85-E85)&lt;0,0,(D85-E85))</f>
        <v>397</v>
      </c>
      <c r="I85" s="12">
        <f>IF((E85-D85)&lt;0,0,(E85-D85))</f>
        <v>0</v>
      </c>
      <c r="J85" s="12">
        <f>Table14[[#This Row],[Enrolment S.Y. 2025-2026 ]]*8</f>
        <v>448</v>
      </c>
      <c r="K85" s="12"/>
      <c r="L85" s="10"/>
      <c r="M85" s="12"/>
      <c r="N85" s="12">
        <f t="shared" si="24"/>
        <v>448</v>
      </c>
      <c r="O85" s="12">
        <f t="shared" si="25"/>
        <v>0</v>
      </c>
      <c r="P85" s="12">
        <f>Table14[[#This Row],[Enrolment S.Y. 2025-2026 ]]*8</f>
        <v>448</v>
      </c>
      <c r="Q85" s="12"/>
      <c r="R85" s="10"/>
      <c r="S85" s="12"/>
      <c r="T85" s="12">
        <f>IF((P85-Q85)&lt;0,0,(P85-Q85))</f>
        <v>448</v>
      </c>
      <c r="U85" s="12">
        <f>IF((Q85-P85)&lt;0,0,(Q85-P85))</f>
        <v>0</v>
      </c>
      <c r="V85" s="12">
        <f>Table14[[#This Row],[Enrolment S.Y. 2025-2026 ]]*8</f>
        <v>448</v>
      </c>
      <c r="W85" s="12"/>
      <c r="X85" s="10"/>
      <c r="Y85" s="12"/>
      <c r="Z85" s="12">
        <f>IF((V85-W85)&lt;0,0,(V85-W85))</f>
        <v>448</v>
      </c>
      <c r="AA85" s="12">
        <f>IF((W85-V85)&lt;0,0,(W85-V85))</f>
        <v>0</v>
      </c>
    </row>
    <row r="86" spans="1:27" ht="19.5">
      <c r="A86" s="10">
        <v>8</v>
      </c>
      <c r="B86" s="11" t="s">
        <v>93</v>
      </c>
      <c r="C86" s="10">
        <v>56</v>
      </c>
      <c r="D86" s="12">
        <f>Table14[[#This Row],[Enrolment S.Y. 2025-2026 ]]*8</f>
        <v>448</v>
      </c>
      <c r="E86" s="12">
        <v>51</v>
      </c>
      <c r="F86" s="10">
        <v>2025</v>
      </c>
      <c r="G86" s="12" t="s">
        <v>96</v>
      </c>
      <c r="H86" s="12">
        <f t="shared" si="22"/>
        <v>397</v>
      </c>
      <c r="I86" s="12">
        <f t="shared" si="23"/>
        <v>0</v>
      </c>
      <c r="J86" s="12">
        <f>Table14[[#This Row],[Enrolment S.Y. 2025-2026 ]]*8</f>
        <v>448</v>
      </c>
      <c r="K86" s="12"/>
      <c r="L86" s="10"/>
      <c r="M86" s="12"/>
      <c r="N86" s="12">
        <f t="shared" si="24"/>
        <v>448</v>
      </c>
      <c r="O86" s="12">
        <f t="shared" si="25"/>
        <v>0</v>
      </c>
      <c r="P86" s="12">
        <f>Table14[[#This Row],[Enrolment S.Y. 2025-2026 ]]*8</f>
        <v>448</v>
      </c>
      <c r="Q86" s="12"/>
      <c r="R86" s="10"/>
      <c r="S86" s="12"/>
      <c r="T86" s="12">
        <f t="shared" si="16"/>
        <v>448</v>
      </c>
      <c r="U86" s="12">
        <f t="shared" si="17"/>
        <v>0</v>
      </c>
      <c r="V86" s="12">
        <f>Table14[[#This Row],[Enrolment S.Y. 2025-2026 ]]*8</f>
        <v>448</v>
      </c>
      <c r="W86" s="12"/>
      <c r="X86" s="10"/>
      <c r="Y86" s="12"/>
      <c r="Z86" s="12">
        <f t="shared" si="18"/>
        <v>448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>
        <v>56</v>
      </c>
      <c r="D87" s="12">
        <f>Table14[[#This Row],[Enrolment S.Y. 2025-2026 ]]*8</f>
        <v>448</v>
      </c>
      <c r="E87" s="12">
        <v>51</v>
      </c>
      <c r="F87" s="10">
        <v>2025</v>
      </c>
      <c r="G87" s="12" t="s">
        <v>96</v>
      </c>
      <c r="H87" s="12">
        <f t="shared" si="22"/>
        <v>397</v>
      </c>
      <c r="I87" s="12">
        <f t="shared" si="23"/>
        <v>0</v>
      </c>
      <c r="J87" s="12">
        <f>Table14[[#This Row],[Enrolment S.Y. 2025-2026 ]]*8</f>
        <v>448</v>
      </c>
      <c r="K87" s="12"/>
      <c r="L87" s="10"/>
      <c r="M87" s="12"/>
      <c r="N87" s="12">
        <f t="shared" si="24"/>
        <v>448</v>
      </c>
      <c r="O87" s="12">
        <f t="shared" si="25"/>
        <v>0</v>
      </c>
      <c r="P87" s="12">
        <f>Table14[[#This Row],[Enrolment S.Y. 2025-2026 ]]*8</f>
        <v>448</v>
      </c>
      <c r="Q87" s="12"/>
      <c r="R87" s="10"/>
      <c r="S87" s="12"/>
      <c r="T87" s="12">
        <f t="shared" si="16"/>
        <v>448</v>
      </c>
      <c r="U87" s="12">
        <f t="shared" si="17"/>
        <v>0</v>
      </c>
      <c r="V87" s="12">
        <f>Table14[[#This Row],[Enrolment S.Y. 2025-2026 ]]*8</f>
        <v>448</v>
      </c>
      <c r="W87" s="12"/>
      <c r="X87" s="10"/>
      <c r="Y87" s="12"/>
      <c r="Z87" s="12">
        <f t="shared" si="18"/>
        <v>448</v>
      </c>
      <c r="AA87" s="12">
        <f t="shared" si="19"/>
        <v>0</v>
      </c>
    </row>
    <row r="88" spans="1:27" ht="19.5">
      <c r="A88" s="38">
        <v>8</v>
      </c>
      <c r="B88" s="11" t="s">
        <v>94</v>
      </c>
      <c r="C88" s="10">
        <v>56</v>
      </c>
      <c r="D88" s="12">
        <f>Table14[[#This Row],[Enrolment S.Y. 2025-2026 ]]*8</f>
        <v>448</v>
      </c>
      <c r="E88" s="12">
        <v>51</v>
      </c>
      <c r="F88" s="10">
        <v>2025</v>
      </c>
      <c r="G88" s="12" t="s">
        <v>96</v>
      </c>
      <c r="H88" s="12">
        <f>IF((D88-E88)&lt;0,0,(D88-E88))</f>
        <v>397</v>
      </c>
      <c r="I88" s="12">
        <f>IF((E88-D88)&lt;0,0,(E88-D88))</f>
        <v>0</v>
      </c>
      <c r="J88" s="12">
        <f>Table14[[#This Row],[Enrolment S.Y. 2025-2026 ]]*8</f>
        <v>448</v>
      </c>
      <c r="K88" s="12"/>
      <c r="L88" s="10"/>
      <c r="M88" s="12"/>
      <c r="N88" s="12">
        <f t="shared" si="24"/>
        <v>448</v>
      </c>
      <c r="O88" s="12">
        <f t="shared" si="25"/>
        <v>0</v>
      </c>
      <c r="P88" s="12">
        <f>Table14[[#This Row],[Enrolment S.Y. 2025-2026 ]]*8</f>
        <v>448</v>
      </c>
      <c r="Q88" s="12"/>
      <c r="R88" s="10"/>
      <c r="S88" s="12"/>
      <c r="T88" s="12">
        <f>IF((P88-Q88)&lt;0,0,(P88-Q88))</f>
        <v>448</v>
      </c>
      <c r="U88" s="12">
        <f>IF((Q88-P88)&lt;0,0,(Q88-P88))</f>
        <v>0</v>
      </c>
      <c r="V88" s="12">
        <f>Table14[[#This Row],[Enrolment S.Y. 2025-2026 ]]*8</f>
        <v>448</v>
      </c>
      <c r="W88" s="12"/>
      <c r="X88" s="10"/>
      <c r="Y88" s="12"/>
      <c r="Z88" s="12">
        <f>IF((V88-W88)&lt;0,0,(V88-W88))</f>
        <v>448</v>
      </c>
      <c r="AA88" s="12">
        <f>IF((W88-V88)&lt;0,0,(W88-V88))</f>
        <v>0</v>
      </c>
    </row>
    <row r="89" spans="1:27" ht="19.5">
      <c r="A89" s="10">
        <v>8</v>
      </c>
      <c r="B89" s="11" t="s">
        <v>95</v>
      </c>
      <c r="C89" s="10">
        <v>56</v>
      </c>
      <c r="D89" s="12">
        <f>Table14[[#This Row],[Enrolment S.Y. 2025-2026 ]]*8</f>
        <v>448</v>
      </c>
      <c r="E89" s="12">
        <v>51</v>
      </c>
      <c r="F89" s="10">
        <v>2025</v>
      </c>
      <c r="G89" s="12" t="s">
        <v>96</v>
      </c>
      <c r="H89" s="12">
        <f t="shared" si="22"/>
        <v>397</v>
      </c>
      <c r="I89" s="12">
        <f t="shared" si="23"/>
        <v>0</v>
      </c>
      <c r="J89" s="12">
        <f>Table14[[#This Row],[Enrolment S.Y. 2025-2026 ]]*8</f>
        <v>448</v>
      </c>
      <c r="K89" s="12"/>
      <c r="L89" s="10"/>
      <c r="M89" s="12"/>
      <c r="N89" s="12">
        <f t="shared" si="24"/>
        <v>448</v>
      </c>
      <c r="O89" s="12">
        <f t="shared" si="25"/>
        <v>0</v>
      </c>
      <c r="P89" s="12">
        <f>Table14[[#This Row],[Enrolment S.Y. 2025-2026 ]]*8</f>
        <v>448</v>
      </c>
      <c r="Q89" s="12"/>
      <c r="R89" s="10"/>
      <c r="S89" s="12"/>
      <c r="T89" s="12">
        <f t="shared" si="16"/>
        <v>448</v>
      </c>
      <c r="U89" s="12">
        <f t="shared" si="17"/>
        <v>0</v>
      </c>
      <c r="V89" s="12">
        <f>Table14[[#This Row],[Enrolment S.Y. 2025-2026 ]]*8</f>
        <v>448</v>
      </c>
      <c r="W89" s="12"/>
      <c r="X89" s="10"/>
      <c r="Y89" s="12"/>
      <c r="Z89" s="12">
        <f t="shared" si="18"/>
        <v>448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92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93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94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95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92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93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94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95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30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30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30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30</v>
      </c>
      <c r="B118" s="9" t="s">
        <v>31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30</v>
      </c>
      <c r="B119" s="9" t="s">
        <v>32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30</v>
      </c>
      <c r="B120" s="9" t="s">
        <v>33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30</v>
      </c>
      <c r="B121" s="9" t="s">
        <v>34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30</v>
      </c>
      <c r="B122" s="9" t="s">
        <v>35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115:C122 C103:C113 C91:C101 C79:C89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M79:M89 S79:S89 Y91:Y101 G91:G101 M91:M101 S91:S101 Y103:Y113 G103:G113 M103:M113 S103:S113 Y115:Y122 G115:G122 M115:M122 S115:S122 G79:G89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M115:M122 Y79:Y89 Y91:Y101 S91:S101 M91:M101 G91:G101 G103:G113 Y103:Y113 S103:S113 M103:M113 G79:G89" xr:uid="{CBD486C7-A5DB-48F1-B496-5027CC51E830}">
      <formula1>"CO,RO,SDO,LGU,SCHOOL"</formula1>
    </dataValidation>
    <dataValidation type="list" allowBlank="1" showInputMessage="1" showErrorMessage="1" sqref="X115:X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  ,2026"</formula1>
    </dataValidation>
    <dataValidation type="list" allowBlank="1" showInputMessage="1" showErrorMessage="1" sqref="F3:F10 F12:F19 F21:F29 F31:F41 F43:F53 F55:F65 F67:F77 F79:F89 F91:F101 F103:F113 F115:F122" xr:uid="{8E16755C-E367-46EB-BB09-BC61F4B4889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2026-02-19T08:31:23Z</dcterms:modified>
  <cp:category/>
  <cp:contentStatus/>
</cp:coreProperties>
</file>