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7" documentId="13_ncr:1_{BFB59F67-F0DC-4675-A682-EB0734A8026A}" xr6:coauthVersionLast="47" xr6:coauthVersionMax="47" xr10:uidLastSave="{B77A6C0C-BECE-4045-B1E7-48203EA6A0D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H3" i="5"/>
  <c r="I3" i="5"/>
  <c r="J3" i="5"/>
  <c r="P3" i="5"/>
  <c r="T3" i="5"/>
  <c r="U3" i="5"/>
  <c r="V3" i="5"/>
  <c r="Z3" i="5"/>
  <c r="AA3" i="5"/>
  <c r="P110" i="5"/>
  <c r="T110" i="5" s="1"/>
  <c r="P111" i="5"/>
  <c r="U111" i="5" s="1"/>
  <c r="P112" i="5"/>
  <c r="P113" i="5"/>
  <c r="P114" i="5"/>
  <c r="P98" i="5"/>
  <c r="T98" i="5" s="1"/>
  <c r="P99" i="5"/>
  <c r="P100" i="5"/>
  <c r="P101" i="5"/>
  <c r="P102" i="5"/>
  <c r="P85" i="5"/>
  <c r="P86" i="5"/>
  <c r="P87" i="5"/>
  <c r="P88" i="5"/>
  <c r="P89" i="5"/>
  <c r="P90" i="5"/>
  <c r="P72" i="5"/>
  <c r="P73" i="5"/>
  <c r="P74" i="5"/>
  <c r="P75" i="5"/>
  <c r="P76" i="5"/>
  <c r="P77" i="5"/>
  <c r="P78" i="5"/>
  <c r="P62" i="5"/>
  <c r="T62" i="5" s="1"/>
  <c r="P63" i="5"/>
  <c r="P64" i="5"/>
  <c r="P65" i="5"/>
  <c r="P66" i="5"/>
  <c r="P49" i="5"/>
  <c r="P50" i="5"/>
  <c r="U50" i="5" s="1"/>
  <c r="P51" i="5"/>
  <c r="P52" i="5"/>
  <c r="P53" i="5"/>
  <c r="U53" i="5" s="1"/>
  <c r="P54" i="5"/>
  <c r="P37" i="5"/>
  <c r="P38" i="5"/>
  <c r="P39" i="5"/>
  <c r="P40" i="5"/>
  <c r="P41" i="5"/>
  <c r="P42" i="5"/>
  <c r="D113" i="5"/>
  <c r="H113" i="5" s="1"/>
  <c r="J113" i="5"/>
  <c r="U113" i="5"/>
  <c r="T113" i="5"/>
  <c r="V113" i="5"/>
  <c r="Z113" i="5" s="1"/>
  <c r="D110" i="5"/>
  <c r="H110" i="5" s="1"/>
  <c r="J110" i="5"/>
  <c r="U110" i="5"/>
  <c r="V110" i="5"/>
  <c r="Z110" i="5" s="1"/>
  <c r="D89" i="5"/>
  <c r="H89" i="5" s="1"/>
  <c r="J89" i="5"/>
  <c r="T89" i="5"/>
  <c r="V89" i="5"/>
  <c r="Z89" i="5" s="1"/>
  <c r="D101" i="5"/>
  <c r="H101" i="5" s="1"/>
  <c r="J101" i="5"/>
  <c r="T101" i="5"/>
  <c r="V101" i="5"/>
  <c r="Z101" i="5" s="1"/>
  <c r="D98" i="5"/>
  <c r="H98" i="5" s="1"/>
  <c r="J98" i="5"/>
  <c r="V98" i="5"/>
  <c r="Z98" i="5" s="1"/>
  <c r="D86" i="5"/>
  <c r="H86" i="5" s="1"/>
  <c r="J86" i="5"/>
  <c r="T86" i="5"/>
  <c r="V86" i="5"/>
  <c r="Z86" i="5" s="1"/>
  <c r="D77" i="5"/>
  <c r="H77" i="5" s="1"/>
  <c r="J77" i="5"/>
  <c r="T77" i="5"/>
  <c r="V77" i="5"/>
  <c r="Z77" i="5" s="1"/>
  <c r="D74" i="5"/>
  <c r="H74" i="5" s="1"/>
  <c r="J74" i="5"/>
  <c r="T74" i="5"/>
  <c r="V74" i="5"/>
  <c r="Z74" i="5" s="1"/>
  <c r="D65" i="5"/>
  <c r="H65" i="5" s="1"/>
  <c r="J65" i="5"/>
  <c r="T65" i="5"/>
  <c r="V65" i="5"/>
  <c r="Z65" i="5" s="1"/>
  <c r="D62" i="5"/>
  <c r="H62" i="5" s="1"/>
  <c r="J62" i="5"/>
  <c r="V62" i="5"/>
  <c r="Z62" i="5" s="1"/>
  <c r="D53" i="5"/>
  <c r="H53" i="5" s="1"/>
  <c r="J53" i="5"/>
  <c r="V53" i="5"/>
  <c r="Z53" i="5" s="1"/>
  <c r="D50" i="5"/>
  <c r="H50" i="5" s="1"/>
  <c r="J50" i="5"/>
  <c r="V50" i="5"/>
  <c r="Z50" i="5" s="1"/>
  <c r="D41" i="5"/>
  <c r="H41" i="5" s="1"/>
  <c r="J41" i="5"/>
  <c r="U41" i="5"/>
  <c r="V41" i="5"/>
  <c r="Z41" i="5" s="1"/>
  <c r="D38" i="5"/>
  <c r="H38" i="5" s="1"/>
  <c r="J38" i="5"/>
  <c r="U38" i="5"/>
  <c r="V38" i="5"/>
  <c r="Z38" i="5" s="1"/>
  <c r="P3" i="4"/>
  <c r="T3" i="4" s="1"/>
  <c r="D3" i="4"/>
  <c r="H3" i="4" s="1"/>
  <c r="J3" i="4"/>
  <c r="V3" i="4"/>
  <c r="Z3" i="4" s="1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V123" i="5"/>
  <c r="AA123" i="5" s="1"/>
  <c r="P123" i="5"/>
  <c r="T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Z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8" i="5"/>
  <c r="Z118" i="5" s="1"/>
  <c r="P118" i="5"/>
  <c r="J118" i="5"/>
  <c r="N118" i="5" s="1"/>
  <c r="D118" i="5"/>
  <c r="I118" i="5" s="1"/>
  <c r="V117" i="5"/>
  <c r="AA117" i="5" s="1"/>
  <c r="P117" i="5"/>
  <c r="U117" i="5" s="1"/>
  <c r="J117" i="5"/>
  <c r="O117" i="5" s="1"/>
  <c r="D117" i="5"/>
  <c r="I117" i="5" s="1"/>
  <c r="V116" i="5"/>
  <c r="Z116" i="5" s="1"/>
  <c r="P116" i="5"/>
  <c r="J116" i="5"/>
  <c r="N116" i="5" s="1"/>
  <c r="D116" i="5"/>
  <c r="I116" i="5" s="1"/>
  <c r="V114" i="5"/>
  <c r="AA114" i="5" s="1"/>
  <c r="U114" i="5"/>
  <c r="J114" i="5"/>
  <c r="D114" i="5"/>
  <c r="I114" i="5" s="1"/>
  <c r="V112" i="5"/>
  <c r="Z112" i="5" s="1"/>
  <c r="J112" i="5"/>
  <c r="D112" i="5"/>
  <c r="I112" i="5" s="1"/>
  <c r="V111" i="5"/>
  <c r="AA111" i="5" s="1"/>
  <c r="J111" i="5"/>
  <c r="D111" i="5"/>
  <c r="I111" i="5" s="1"/>
  <c r="V109" i="5"/>
  <c r="Z109" i="5" s="1"/>
  <c r="P109" i="5"/>
  <c r="J109" i="5"/>
  <c r="N109" i="5" s="1"/>
  <c r="D109" i="5"/>
  <c r="I109" i="5" s="1"/>
  <c r="V108" i="5"/>
  <c r="AA108" i="5" s="1"/>
  <c r="P108" i="5"/>
  <c r="U108" i="5" s="1"/>
  <c r="J108" i="5"/>
  <c r="O108" i="5" s="1"/>
  <c r="D108" i="5"/>
  <c r="I108" i="5" s="1"/>
  <c r="V107" i="5"/>
  <c r="Z107" i="5" s="1"/>
  <c r="P107" i="5"/>
  <c r="J107" i="5"/>
  <c r="N107" i="5" s="1"/>
  <c r="D107" i="5"/>
  <c r="I107" i="5" s="1"/>
  <c r="V106" i="5"/>
  <c r="AA106" i="5" s="1"/>
  <c r="P106" i="5"/>
  <c r="U106" i="5" s="1"/>
  <c r="J106" i="5"/>
  <c r="O106" i="5" s="1"/>
  <c r="D106" i="5"/>
  <c r="I106" i="5" s="1"/>
  <c r="V105" i="5"/>
  <c r="AA105" i="5" s="1"/>
  <c r="P105" i="5"/>
  <c r="J105" i="5"/>
  <c r="N105" i="5" s="1"/>
  <c r="D105" i="5"/>
  <c r="I105" i="5" s="1"/>
  <c r="V104" i="5"/>
  <c r="AA104" i="5" s="1"/>
  <c r="P104" i="5"/>
  <c r="U104" i="5" s="1"/>
  <c r="J104" i="5"/>
  <c r="O104" i="5" s="1"/>
  <c r="D104" i="5"/>
  <c r="I104" i="5" s="1"/>
  <c r="V102" i="5"/>
  <c r="AA102" i="5" s="1"/>
  <c r="J102" i="5"/>
  <c r="D102" i="5"/>
  <c r="I102" i="5" s="1"/>
  <c r="V100" i="5"/>
  <c r="AA100" i="5" s="1"/>
  <c r="U100" i="5"/>
  <c r="J100" i="5"/>
  <c r="D100" i="5"/>
  <c r="I100" i="5" s="1"/>
  <c r="V99" i="5"/>
  <c r="AA99" i="5" s="1"/>
  <c r="J99" i="5"/>
  <c r="D99" i="5"/>
  <c r="I99" i="5" s="1"/>
  <c r="V97" i="5"/>
  <c r="AA97" i="5" s="1"/>
  <c r="P97" i="5"/>
  <c r="U97" i="5" s="1"/>
  <c r="J97" i="5"/>
  <c r="O97" i="5" s="1"/>
  <c r="D97" i="5"/>
  <c r="I97" i="5" s="1"/>
  <c r="V96" i="5"/>
  <c r="AA96" i="5" s="1"/>
  <c r="P96" i="5"/>
  <c r="J96" i="5"/>
  <c r="N96" i="5" s="1"/>
  <c r="D96" i="5"/>
  <c r="H96" i="5" s="1"/>
  <c r="V95" i="5"/>
  <c r="AA95" i="5" s="1"/>
  <c r="P95" i="5"/>
  <c r="U95" i="5" s="1"/>
  <c r="J95" i="5"/>
  <c r="O95" i="5" s="1"/>
  <c r="D95" i="5"/>
  <c r="H95" i="5" s="1"/>
  <c r="V94" i="5"/>
  <c r="AA94" i="5" s="1"/>
  <c r="P94" i="5"/>
  <c r="J94" i="5"/>
  <c r="N94" i="5" s="1"/>
  <c r="D94" i="5"/>
  <c r="I94" i="5" s="1"/>
  <c r="V93" i="5"/>
  <c r="AA93" i="5" s="1"/>
  <c r="P93" i="5"/>
  <c r="U93" i="5" s="1"/>
  <c r="J93" i="5"/>
  <c r="O93" i="5" s="1"/>
  <c r="D93" i="5"/>
  <c r="I93" i="5" s="1"/>
  <c r="V92" i="5"/>
  <c r="AA92" i="5" s="1"/>
  <c r="P92" i="5"/>
  <c r="J92" i="5"/>
  <c r="N92" i="5" s="1"/>
  <c r="D92" i="5"/>
  <c r="I92" i="5" s="1"/>
  <c r="V90" i="5"/>
  <c r="AA90" i="5" s="1"/>
  <c r="U90" i="5"/>
  <c r="J90" i="5"/>
  <c r="D90" i="5"/>
  <c r="I90" i="5" s="1"/>
  <c r="V88" i="5"/>
  <c r="AA88" i="5" s="1"/>
  <c r="J88" i="5"/>
  <c r="D88" i="5"/>
  <c r="I88" i="5" s="1"/>
  <c r="V87" i="5"/>
  <c r="AA87" i="5" s="1"/>
  <c r="U87" i="5"/>
  <c r="J87" i="5"/>
  <c r="D87" i="5"/>
  <c r="I87" i="5" s="1"/>
  <c r="V85" i="5"/>
  <c r="AA85" i="5" s="1"/>
  <c r="J85" i="5"/>
  <c r="D85" i="5"/>
  <c r="I85" i="5" s="1"/>
  <c r="V84" i="5"/>
  <c r="AA84" i="5" s="1"/>
  <c r="P84" i="5"/>
  <c r="U84" i="5" s="1"/>
  <c r="J84" i="5"/>
  <c r="O84" i="5" s="1"/>
  <c r="D84" i="5"/>
  <c r="I84" i="5" s="1"/>
  <c r="V83" i="5"/>
  <c r="Z83" i="5" s="1"/>
  <c r="P83" i="5"/>
  <c r="J83" i="5"/>
  <c r="N83" i="5" s="1"/>
  <c r="D83" i="5"/>
  <c r="I83" i="5" s="1"/>
  <c r="V82" i="5"/>
  <c r="AA82" i="5" s="1"/>
  <c r="P82" i="5"/>
  <c r="U82" i="5" s="1"/>
  <c r="J82" i="5"/>
  <c r="O82" i="5" s="1"/>
  <c r="D82" i="5"/>
  <c r="I82" i="5" s="1"/>
  <c r="V81" i="5"/>
  <c r="AA81" i="5" s="1"/>
  <c r="P81" i="5"/>
  <c r="U81" i="5" s="1"/>
  <c r="J81" i="5"/>
  <c r="N81" i="5" s="1"/>
  <c r="D81" i="5"/>
  <c r="I81" i="5" s="1"/>
  <c r="V80" i="5"/>
  <c r="AA80" i="5" s="1"/>
  <c r="P80" i="5"/>
  <c r="U80" i="5" s="1"/>
  <c r="J80" i="5"/>
  <c r="D80" i="5"/>
  <c r="I80" i="5" s="1"/>
  <c r="V78" i="5"/>
  <c r="AA78" i="5" s="1"/>
  <c r="U78" i="5"/>
  <c r="J78" i="5"/>
  <c r="D78" i="5"/>
  <c r="I78" i="5" s="1"/>
  <c r="V76" i="5"/>
  <c r="AA76" i="5" s="1"/>
  <c r="U76" i="5"/>
  <c r="J76" i="5"/>
  <c r="D76" i="5"/>
  <c r="H76" i="5" s="1"/>
  <c r="V75" i="5"/>
  <c r="Z75" i="5" s="1"/>
  <c r="U75" i="5"/>
  <c r="J75" i="5"/>
  <c r="D75" i="5"/>
  <c r="I75" i="5" s="1"/>
  <c r="V73" i="5"/>
  <c r="Z73" i="5" s="1"/>
  <c r="U73" i="5"/>
  <c r="J73" i="5"/>
  <c r="D73" i="5"/>
  <c r="I73" i="5" s="1"/>
  <c r="V72" i="5"/>
  <c r="AA72" i="5" s="1"/>
  <c r="U72" i="5"/>
  <c r="J72" i="5"/>
  <c r="D72" i="5"/>
  <c r="H72" i="5" s="1"/>
  <c r="V71" i="5"/>
  <c r="AA71" i="5" s="1"/>
  <c r="P71" i="5"/>
  <c r="U71" i="5" s="1"/>
  <c r="J71" i="5"/>
  <c r="D71" i="5"/>
  <c r="H71" i="5" s="1"/>
  <c r="V70" i="5"/>
  <c r="AA70" i="5" s="1"/>
  <c r="P70" i="5"/>
  <c r="U70" i="5" s="1"/>
  <c r="J70" i="5"/>
  <c r="N70" i="5" s="1"/>
  <c r="D70" i="5"/>
  <c r="I70" i="5" s="1"/>
  <c r="V69" i="5"/>
  <c r="AA69" i="5" s="1"/>
  <c r="P69" i="5"/>
  <c r="U69" i="5" s="1"/>
  <c r="J69" i="5"/>
  <c r="D69" i="5"/>
  <c r="I69" i="5" s="1"/>
  <c r="V68" i="5"/>
  <c r="AA68" i="5" s="1"/>
  <c r="P68" i="5"/>
  <c r="U68" i="5" s="1"/>
  <c r="J68" i="5"/>
  <c r="N68" i="5" s="1"/>
  <c r="D68" i="5"/>
  <c r="I68" i="5" s="1"/>
  <c r="V66" i="5"/>
  <c r="Z66" i="5" s="1"/>
  <c r="U66" i="5"/>
  <c r="J66" i="5"/>
  <c r="D66" i="5"/>
  <c r="I66" i="5" s="1"/>
  <c r="V64" i="5"/>
  <c r="AA64" i="5" s="1"/>
  <c r="U64" i="5"/>
  <c r="J64" i="5"/>
  <c r="D64" i="5"/>
  <c r="I64" i="5" s="1"/>
  <c r="V63" i="5"/>
  <c r="AA63" i="5" s="1"/>
  <c r="U63" i="5"/>
  <c r="J63" i="5"/>
  <c r="D63" i="5"/>
  <c r="I63" i="5" s="1"/>
  <c r="V61" i="5"/>
  <c r="AA61" i="5" s="1"/>
  <c r="P61" i="5"/>
  <c r="U61" i="5" s="1"/>
  <c r="J61" i="5"/>
  <c r="N61" i="5" s="1"/>
  <c r="D61" i="5"/>
  <c r="I61" i="5" s="1"/>
  <c r="V60" i="5"/>
  <c r="AA60" i="5" s="1"/>
  <c r="P60" i="5"/>
  <c r="U60" i="5" s="1"/>
  <c r="J60" i="5"/>
  <c r="D60" i="5"/>
  <c r="I60" i="5" s="1"/>
  <c r="V59" i="5"/>
  <c r="AA59" i="5" s="1"/>
  <c r="P59" i="5"/>
  <c r="U59" i="5" s="1"/>
  <c r="J59" i="5"/>
  <c r="N59" i="5" s="1"/>
  <c r="D59" i="5"/>
  <c r="I59" i="5" s="1"/>
  <c r="V58" i="5"/>
  <c r="AA58" i="5" s="1"/>
  <c r="P58" i="5"/>
  <c r="U58" i="5" s="1"/>
  <c r="J58" i="5"/>
  <c r="D58" i="5"/>
  <c r="H58" i="5" s="1"/>
  <c r="V57" i="5"/>
  <c r="AA57" i="5" s="1"/>
  <c r="P57" i="5"/>
  <c r="U57" i="5" s="1"/>
  <c r="J57" i="5"/>
  <c r="N57" i="5" s="1"/>
  <c r="D57" i="5"/>
  <c r="I57" i="5" s="1"/>
  <c r="V56" i="5"/>
  <c r="AA56" i="5" s="1"/>
  <c r="P56" i="5"/>
  <c r="U56" i="5" s="1"/>
  <c r="J56" i="5"/>
  <c r="D56" i="5"/>
  <c r="I56" i="5" s="1"/>
  <c r="V54" i="5"/>
  <c r="AA54" i="5" s="1"/>
  <c r="U54" i="5"/>
  <c r="J54" i="5"/>
  <c r="D54" i="5"/>
  <c r="I54" i="5" s="1"/>
  <c r="V52" i="5"/>
  <c r="AA52" i="5" s="1"/>
  <c r="U52" i="5"/>
  <c r="J52" i="5"/>
  <c r="D52" i="5"/>
  <c r="I52" i="5" s="1"/>
  <c r="V51" i="5"/>
  <c r="AA51" i="5" s="1"/>
  <c r="U51" i="5"/>
  <c r="J51" i="5"/>
  <c r="D51" i="5"/>
  <c r="I51" i="5" s="1"/>
  <c r="V49" i="5"/>
  <c r="AA49" i="5" s="1"/>
  <c r="U49" i="5"/>
  <c r="J49" i="5"/>
  <c r="D49" i="5"/>
  <c r="I49" i="5" s="1"/>
  <c r="V48" i="5"/>
  <c r="AA48" i="5" s="1"/>
  <c r="P48" i="5"/>
  <c r="U48" i="5" s="1"/>
  <c r="J48" i="5"/>
  <c r="N48" i="5" s="1"/>
  <c r="D48" i="5"/>
  <c r="I48" i="5" s="1"/>
  <c r="V47" i="5"/>
  <c r="AA47" i="5" s="1"/>
  <c r="P47" i="5"/>
  <c r="U47" i="5" s="1"/>
  <c r="J47" i="5"/>
  <c r="D47" i="5"/>
  <c r="I47" i="5" s="1"/>
  <c r="V46" i="5"/>
  <c r="AA46" i="5" s="1"/>
  <c r="P46" i="5"/>
  <c r="U46" i="5" s="1"/>
  <c r="J46" i="5"/>
  <c r="N46" i="5" s="1"/>
  <c r="D46" i="5"/>
  <c r="H46" i="5" s="1"/>
  <c r="V45" i="5"/>
  <c r="AA45" i="5" s="1"/>
  <c r="P45" i="5"/>
  <c r="U45" i="5" s="1"/>
  <c r="J45" i="5"/>
  <c r="D45" i="5"/>
  <c r="H45" i="5" s="1"/>
  <c r="V44" i="5"/>
  <c r="AA44" i="5" s="1"/>
  <c r="P44" i="5"/>
  <c r="U44" i="5" s="1"/>
  <c r="J44" i="5"/>
  <c r="N44" i="5" s="1"/>
  <c r="D44" i="5"/>
  <c r="H44" i="5" s="1"/>
  <c r="V42" i="5"/>
  <c r="AA42" i="5" s="1"/>
  <c r="U42" i="5"/>
  <c r="J42" i="5"/>
  <c r="D42" i="5"/>
  <c r="I42" i="5" s="1"/>
  <c r="V40" i="5"/>
  <c r="AA40" i="5" s="1"/>
  <c r="U40" i="5"/>
  <c r="J40" i="5"/>
  <c r="D40" i="5"/>
  <c r="H40" i="5" s="1"/>
  <c r="V39" i="5"/>
  <c r="AA39" i="5" s="1"/>
  <c r="U39" i="5"/>
  <c r="J39" i="5"/>
  <c r="D39" i="5"/>
  <c r="I39" i="5" s="1"/>
  <c r="V37" i="5"/>
  <c r="Z37" i="5" s="1"/>
  <c r="U37" i="5"/>
  <c r="J37" i="5"/>
  <c r="D37" i="5"/>
  <c r="H37" i="5" s="1"/>
  <c r="V36" i="5"/>
  <c r="AA36" i="5" s="1"/>
  <c r="P36" i="5"/>
  <c r="U36" i="5" s="1"/>
  <c r="J36" i="5"/>
  <c r="D36" i="5"/>
  <c r="I36" i="5" s="1"/>
  <c r="V35" i="5"/>
  <c r="Z35" i="5" s="1"/>
  <c r="P35" i="5"/>
  <c r="U35" i="5" s="1"/>
  <c r="J35" i="5"/>
  <c r="N35" i="5" s="1"/>
  <c r="D35" i="5"/>
  <c r="H35" i="5" s="1"/>
  <c r="V34" i="5"/>
  <c r="Z34" i="5" s="1"/>
  <c r="P34" i="5"/>
  <c r="U34" i="5" s="1"/>
  <c r="J34" i="5"/>
  <c r="D34" i="5"/>
  <c r="I34" i="5" s="1"/>
  <c r="V33" i="5"/>
  <c r="Z33" i="5" s="1"/>
  <c r="P33" i="5"/>
  <c r="U33" i="5" s="1"/>
  <c r="J33" i="5"/>
  <c r="N33" i="5" s="1"/>
  <c r="D33" i="5"/>
  <c r="H33" i="5" s="1"/>
  <c r="V32" i="5"/>
  <c r="AA32" i="5" s="1"/>
  <c r="P32" i="5"/>
  <c r="U32" i="5" s="1"/>
  <c r="J32" i="5"/>
  <c r="D32" i="5"/>
  <c r="I32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U29" i="5" s="1"/>
  <c r="J29" i="5"/>
  <c r="D29" i="5"/>
  <c r="I29" i="5" s="1"/>
  <c r="V28" i="5"/>
  <c r="Z28" i="5" s="1"/>
  <c r="P28" i="5"/>
  <c r="U28" i="5" s="1"/>
  <c r="J28" i="5"/>
  <c r="O28" i="5" s="1"/>
  <c r="D28" i="5"/>
  <c r="I28" i="5" s="1"/>
  <c r="V27" i="5"/>
  <c r="AA27" i="5" s="1"/>
  <c r="P27" i="5"/>
  <c r="U27" i="5" s="1"/>
  <c r="J27" i="5"/>
  <c r="N27" i="5" s="1"/>
  <c r="D27" i="5"/>
  <c r="I27" i="5" s="1"/>
  <c r="V26" i="5"/>
  <c r="AA26" i="5" s="1"/>
  <c r="P26" i="5"/>
  <c r="U26" i="5" s="1"/>
  <c r="J26" i="5"/>
  <c r="O26" i="5" s="1"/>
  <c r="D26" i="5"/>
  <c r="I26" i="5" s="1"/>
  <c r="V25" i="5"/>
  <c r="AA25" i="5" s="1"/>
  <c r="P25" i="5"/>
  <c r="U25" i="5" s="1"/>
  <c r="J25" i="5"/>
  <c r="N25" i="5" s="1"/>
  <c r="D25" i="5"/>
  <c r="I25" i="5" s="1"/>
  <c r="V24" i="5"/>
  <c r="AA24" i="5" s="1"/>
  <c r="P24" i="5"/>
  <c r="U24" i="5" s="1"/>
  <c r="J24" i="5"/>
  <c r="O24" i="5" s="1"/>
  <c r="D24" i="5"/>
  <c r="I24" i="5" s="1"/>
  <c r="V23" i="5"/>
  <c r="AA23" i="5" s="1"/>
  <c r="P23" i="5"/>
  <c r="U23" i="5" s="1"/>
  <c r="J23" i="5"/>
  <c r="N23" i="5" s="1"/>
  <c r="D23" i="5"/>
  <c r="I23" i="5" s="1"/>
  <c r="V22" i="5"/>
  <c r="AA22" i="5" s="1"/>
  <c r="P22" i="5"/>
  <c r="U22" i="5" s="1"/>
  <c r="J22" i="5"/>
  <c r="O22" i="5" s="1"/>
  <c r="D22" i="5"/>
  <c r="I22" i="5" s="1"/>
  <c r="V20" i="5"/>
  <c r="AA20" i="5" s="1"/>
  <c r="P20" i="5"/>
  <c r="T20" i="5" s="1"/>
  <c r="J20" i="5"/>
  <c r="N20" i="5" s="1"/>
  <c r="D20" i="5"/>
  <c r="I20" i="5" s="1"/>
  <c r="V19" i="5"/>
  <c r="AA19" i="5" s="1"/>
  <c r="P19" i="5"/>
  <c r="U19" i="5" s="1"/>
  <c r="J19" i="5"/>
  <c r="O19" i="5" s="1"/>
  <c r="D19" i="5"/>
  <c r="I19" i="5" s="1"/>
  <c r="V18" i="5"/>
  <c r="AA18" i="5" s="1"/>
  <c r="P18" i="5"/>
  <c r="U18" i="5" s="1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O15" i="5" s="1"/>
  <c r="D15" i="5"/>
  <c r="H15" i="5" s="1"/>
  <c r="V14" i="5"/>
  <c r="AA14" i="5" s="1"/>
  <c r="P14" i="5"/>
  <c r="U14" i="5" s="1"/>
  <c r="J14" i="5"/>
  <c r="N14" i="5" s="1"/>
  <c r="D14" i="5"/>
  <c r="I14" i="5" s="1"/>
  <c r="V13" i="5"/>
  <c r="AA13" i="5" s="1"/>
  <c r="P13" i="5"/>
  <c r="U13" i="5" s="1"/>
  <c r="J13" i="5"/>
  <c r="O13" i="5" s="1"/>
  <c r="D13" i="5"/>
  <c r="I13" i="5" s="1"/>
  <c r="V11" i="5"/>
  <c r="AA11" i="5" s="1"/>
  <c r="P11" i="5"/>
  <c r="U11" i="5" s="1"/>
  <c r="J11" i="5"/>
  <c r="N11" i="5" s="1"/>
  <c r="D11" i="5"/>
  <c r="I11" i="5" s="1"/>
  <c r="V10" i="5"/>
  <c r="AA10" i="5" s="1"/>
  <c r="P10" i="5"/>
  <c r="U10" i="5" s="1"/>
  <c r="J10" i="5"/>
  <c r="O10" i="5" s="1"/>
  <c r="D10" i="5"/>
  <c r="I10" i="5" s="1"/>
  <c r="V9" i="5"/>
  <c r="AA9" i="5" s="1"/>
  <c r="P9" i="5"/>
  <c r="U9" i="5" s="1"/>
  <c r="J9" i="5"/>
  <c r="N9" i="5" s="1"/>
  <c r="D9" i="5"/>
  <c r="I9" i="5" s="1"/>
  <c r="V8" i="5"/>
  <c r="AA8" i="5" s="1"/>
  <c r="P8" i="5"/>
  <c r="U8" i="5" s="1"/>
  <c r="J8" i="5"/>
  <c r="O8" i="5" s="1"/>
  <c r="D8" i="5"/>
  <c r="I8" i="5" s="1"/>
  <c r="V7" i="5"/>
  <c r="AA7" i="5" s="1"/>
  <c r="P7" i="5"/>
  <c r="U7" i="5" s="1"/>
  <c r="J7" i="5"/>
  <c r="N7" i="5" s="1"/>
  <c r="D7" i="5"/>
  <c r="I7" i="5" s="1"/>
  <c r="V6" i="5"/>
  <c r="AA6" i="5" s="1"/>
  <c r="P6" i="5"/>
  <c r="U6" i="5" s="1"/>
  <c r="J6" i="5"/>
  <c r="O6" i="5" s="1"/>
  <c r="D6" i="5"/>
  <c r="I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O4" i="5" s="1"/>
  <c r="D4" i="5"/>
  <c r="I4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7" i="5"/>
  <c r="O37" i="5"/>
  <c r="N39" i="5"/>
  <c r="O39" i="5"/>
  <c r="N40" i="5"/>
  <c r="O40" i="5"/>
  <c r="N42" i="5"/>
  <c r="O42" i="5"/>
  <c r="N49" i="5"/>
  <c r="O49" i="5"/>
  <c r="N51" i="5"/>
  <c r="O51" i="5"/>
  <c r="N52" i="5"/>
  <c r="O52" i="5"/>
  <c r="N54" i="5"/>
  <c r="O54" i="5"/>
  <c r="N63" i="5"/>
  <c r="O63" i="5"/>
  <c r="N64" i="5"/>
  <c r="O64" i="5"/>
  <c r="N66" i="5"/>
  <c r="O66" i="5"/>
  <c r="N72" i="5"/>
  <c r="O72" i="5"/>
  <c r="N73" i="5"/>
  <c r="O73" i="5"/>
  <c r="N75" i="5"/>
  <c r="O75" i="5"/>
  <c r="N76" i="5"/>
  <c r="O76" i="5"/>
  <c r="N78" i="5"/>
  <c r="O78" i="5"/>
  <c r="N85" i="5"/>
  <c r="O85" i="5"/>
  <c r="N87" i="5"/>
  <c r="O87" i="5"/>
  <c r="N88" i="5"/>
  <c r="O88" i="5"/>
  <c r="N90" i="5"/>
  <c r="O90" i="5"/>
  <c r="N99" i="5"/>
  <c r="O99" i="5"/>
  <c r="N100" i="5"/>
  <c r="O100" i="5"/>
  <c r="N102" i="5"/>
  <c r="O102" i="5"/>
  <c r="N111" i="5"/>
  <c r="O111" i="5"/>
  <c r="N112" i="5"/>
  <c r="O112" i="5"/>
  <c r="N114" i="5"/>
  <c r="O114" i="5"/>
  <c r="N38" i="5"/>
  <c r="O38" i="5"/>
  <c r="N41" i="5"/>
  <c r="O41" i="5"/>
  <c r="N50" i="5"/>
  <c r="O50" i="5"/>
  <c r="N53" i="5"/>
  <c r="O53" i="5"/>
  <c r="N62" i="5"/>
  <c r="O62" i="5"/>
  <c r="N65" i="5"/>
  <c r="O65" i="5"/>
  <c r="N74" i="5"/>
  <c r="O74" i="5"/>
  <c r="N77" i="5"/>
  <c r="O77" i="5"/>
  <c r="N86" i="5"/>
  <c r="O86" i="5"/>
  <c r="N98" i="5"/>
  <c r="O98" i="5"/>
  <c r="N101" i="5"/>
  <c r="O101" i="5"/>
  <c r="N89" i="5"/>
  <c r="O89" i="5"/>
  <c r="N110" i="5"/>
  <c r="O110" i="5"/>
  <c r="N113" i="5"/>
  <c r="O113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9" i="5"/>
  <c r="I113" i="5"/>
  <c r="AA113" i="5"/>
  <c r="U98" i="5"/>
  <c r="U86" i="5"/>
  <c r="I110" i="5"/>
  <c r="AA110" i="5"/>
  <c r="U101" i="5"/>
  <c r="I89" i="5"/>
  <c r="AA89" i="5"/>
  <c r="I101" i="5"/>
  <c r="AA101" i="5"/>
  <c r="U77" i="5"/>
  <c r="I98" i="5"/>
  <c r="AA98" i="5"/>
  <c r="U62" i="5"/>
  <c r="I86" i="5"/>
  <c r="AA86" i="5"/>
  <c r="U74" i="5"/>
  <c r="I77" i="5"/>
  <c r="AA77" i="5"/>
  <c r="U65" i="5"/>
  <c r="I74" i="5"/>
  <c r="T53" i="5"/>
  <c r="AA74" i="5"/>
  <c r="I62" i="5"/>
  <c r="I65" i="5"/>
  <c r="AA65" i="5"/>
  <c r="T50" i="5"/>
  <c r="AA62" i="5"/>
  <c r="T41" i="5"/>
  <c r="I53" i="5"/>
  <c r="AA53" i="5"/>
  <c r="T38" i="5"/>
  <c r="I50" i="5"/>
  <c r="AA50" i="5"/>
  <c r="I41" i="5"/>
  <c r="AA41" i="5"/>
  <c r="AA118" i="5"/>
  <c r="I38" i="5"/>
  <c r="AA38" i="5"/>
  <c r="H104" i="5"/>
  <c r="AA112" i="5"/>
  <c r="I76" i="5"/>
  <c r="T93" i="5"/>
  <c r="Z72" i="5"/>
  <c r="AA75" i="5"/>
  <c r="H61" i="5"/>
  <c r="H80" i="5"/>
  <c r="T75" i="5"/>
  <c r="H84" i="5"/>
  <c r="T71" i="5"/>
  <c r="H78" i="5"/>
  <c r="I45" i="5"/>
  <c r="N28" i="5"/>
  <c r="Z61" i="5"/>
  <c r="O70" i="5"/>
  <c r="H63" i="5"/>
  <c r="Z78" i="5"/>
  <c r="O14" i="5"/>
  <c r="AA37" i="5"/>
  <c r="T40" i="5"/>
  <c r="O44" i="5"/>
  <c r="N10" i="5"/>
  <c r="H13" i="5"/>
  <c r="U20" i="5"/>
  <c r="AA35" i="5"/>
  <c r="H47" i="5"/>
  <c r="Z70" i="5"/>
  <c r="I72" i="5"/>
  <c r="H73" i="5"/>
  <c r="Z81" i="5"/>
  <c r="Z88" i="5"/>
  <c r="H102" i="5"/>
  <c r="AA120" i="5"/>
  <c r="T23" i="5"/>
  <c r="O33" i="5"/>
  <c r="AA34" i="5"/>
  <c r="Z48" i="5"/>
  <c r="T54" i="5"/>
  <c r="I71" i="5"/>
  <c r="H121" i="5"/>
  <c r="H22" i="5"/>
  <c r="Z30" i="5"/>
  <c r="I46" i="5"/>
  <c r="T72" i="5"/>
  <c r="H82" i="5"/>
  <c r="AA83" i="5"/>
  <c r="H88" i="5"/>
  <c r="H97" i="5"/>
  <c r="T29" i="5"/>
  <c r="AA33" i="5"/>
  <c r="O35" i="5"/>
  <c r="Z47" i="5"/>
  <c r="U123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5" i="5"/>
  <c r="N6" i="5"/>
  <c r="Z7" i="5"/>
  <c r="T9" i="5"/>
  <c r="Z18" i="5"/>
  <c r="H24" i="5"/>
  <c r="O25" i="5"/>
  <c r="I37" i="5"/>
  <c r="T39" i="5"/>
  <c r="Z40" i="5"/>
  <c r="H51" i="5"/>
  <c r="Z54" i="5"/>
  <c r="Z56" i="5"/>
  <c r="Z57" i="5"/>
  <c r="Z64" i="5"/>
  <c r="AA66" i="5"/>
  <c r="Z68" i="5"/>
  <c r="AA73" i="5"/>
  <c r="H92" i="5"/>
  <c r="I95" i="5"/>
  <c r="O96" i="5"/>
  <c r="O105" i="5"/>
  <c r="T108" i="5"/>
  <c r="AA109" i="5"/>
  <c r="H4" i="5"/>
  <c r="T5" i="5"/>
  <c r="T11" i="5"/>
  <c r="N13" i="5"/>
  <c r="O23" i="5"/>
  <c r="AA28" i="5"/>
  <c r="N30" i="5"/>
  <c r="H32" i="5"/>
  <c r="H49" i="5"/>
  <c r="I58" i="5"/>
  <c r="H68" i="5"/>
  <c r="H69" i="5"/>
  <c r="T78" i="5"/>
  <c r="Z87" i="5"/>
  <c r="O92" i="5"/>
  <c r="T104" i="5"/>
  <c r="I15" i="5"/>
  <c r="Z16" i="5"/>
  <c r="O18" i="5"/>
  <c r="N19" i="5"/>
  <c r="N24" i="5"/>
  <c r="Z25" i="5"/>
  <c r="T27" i="5"/>
  <c r="T36" i="5"/>
  <c r="I40" i="5"/>
  <c r="H42" i="5"/>
  <c r="T44" i="5"/>
  <c r="O48" i="5"/>
  <c r="H56" i="5"/>
  <c r="H57" i="5"/>
  <c r="H66" i="5"/>
  <c r="O83" i="5"/>
  <c r="Z85" i="5"/>
  <c r="T95" i="5"/>
  <c r="Z96" i="5"/>
  <c r="H99" i="5"/>
  <c r="T100" i="5"/>
  <c r="Z105" i="5"/>
  <c r="AA116" i="5"/>
  <c r="H6" i="5"/>
  <c r="O7" i="5"/>
  <c r="Z11" i="5"/>
  <c r="H17" i="5"/>
  <c r="T18" i="5"/>
  <c r="T30" i="5"/>
  <c r="Z36" i="5"/>
  <c r="T47" i="5"/>
  <c r="T48" i="5"/>
  <c r="T51" i="5"/>
  <c r="O68" i="5"/>
  <c r="T69" i="5"/>
  <c r="T90" i="5"/>
  <c r="Z92" i="5"/>
  <c r="Z100" i="5"/>
  <c r="Z102" i="5"/>
  <c r="Z104" i="5"/>
  <c r="O109" i="5"/>
  <c r="T114" i="5"/>
  <c r="H117" i="5"/>
  <c r="T121" i="5"/>
  <c r="O81" i="5"/>
  <c r="H87" i="5"/>
  <c r="I96" i="5"/>
  <c r="T7" i="5"/>
  <c r="N8" i="5"/>
  <c r="Z14" i="5"/>
  <c r="H19" i="5"/>
  <c r="O20" i="5"/>
  <c r="T25" i="5"/>
  <c r="N26" i="5"/>
  <c r="T33" i="5"/>
  <c r="Z44" i="5"/>
  <c r="Z45" i="5"/>
  <c r="Z46" i="5"/>
  <c r="H52" i="5"/>
  <c r="H54" i="5"/>
  <c r="H59" i="5"/>
  <c r="H60" i="5"/>
  <c r="H70" i="5"/>
  <c r="Z71" i="5"/>
  <c r="T73" i="5"/>
  <c r="H81" i="5"/>
  <c r="H83" i="5"/>
  <c r="H85" i="5"/>
  <c r="Z93" i="5"/>
  <c r="Z94" i="5"/>
  <c r="T97" i="5"/>
  <c r="H105" i="5"/>
  <c r="Z106" i="5"/>
  <c r="AA107" i="5"/>
  <c r="Z111" i="5"/>
  <c r="H114" i="5"/>
  <c r="O118" i="5"/>
  <c r="AA122" i="5"/>
  <c r="H106" i="5"/>
  <c r="Z108" i="5"/>
  <c r="H111" i="5"/>
  <c r="O116" i="5"/>
  <c r="T119" i="5"/>
  <c r="N4" i="5"/>
  <c r="Z9" i="5"/>
  <c r="O16" i="5"/>
  <c r="N22" i="5"/>
  <c r="Z27" i="5"/>
  <c r="Z29" i="5"/>
  <c r="I44" i="5"/>
  <c r="T49" i="5"/>
  <c r="T63" i="5"/>
  <c r="T66" i="5"/>
  <c r="T76" i="5"/>
  <c r="H90" i="5"/>
  <c r="H93" i="5"/>
  <c r="H94" i="5"/>
  <c r="Z99" i="5"/>
  <c r="H107" i="5"/>
  <c r="H108" i="5"/>
  <c r="T117" i="5"/>
  <c r="Z121" i="5"/>
  <c r="H123" i="5"/>
  <c r="Z5" i="5"/>
  <c r="H10" i="5"/>
  <c r="O11" i="5"/>
  <c r="T16" i="5"/>
  <c r="N17" i="5"/>
  <c r="Z23" i="5"/>
  <c r="H28" i="5"/>
  <c r="I30" i="5"/>
  <c r="I33" i="5"/>
  <c r="H48" i="5"/>
  <c r="Z49" i="5"/>
  <c r="Z76" i="5"/>
  <c r="H8" i="5"/>
  <c r="O9" i="5"/>
  <c r="T14" i="5"/>
  <c r="N15" i="5"/>
  <c r="Z20" i="5"/>
  <c r="H26" i="5"/>
  <c r="O27" i="5"/>
  <c r="H34" i="5"/>
  <c r="I35" i="5"/>
  <c r="H36" i="5"/>
  <c r="H39" i="5"/>
  <c r="O46" i="5"/>
  <c r="Z51" i="5"/>
  <c r="Z52" i="5"/>
  <c r="T57" i="5"/>
  <c r="Z59" i="5"/>
  <c r="H64" i="5"/>
  <c r="Z69" i="5"/>
  <c r="T70" i="5"/>
  <c r="H75" i="5"/>
  <c r="T80" i="5"/>
  <c r="T82" i="5"/>
  <c r="T84" i="5"/>
  <c r="T87" i="5"/>
  <c r="O94" i="5"/>
  <c r="H100" i="5"/>
  <c r="T106" i="5"/>
  <c r="O107" i="5"/>
  <c r="T111" i="5"/>
  <c r="Z117" i="5"/>
  <c r="H119" i="5"/>
  <c r="O122" i="5"/>
  <c r="O120" i="5"/>
  <c r="U94" i="5"/>
  <c r="T94" i="5"/>
  <c r="U105" i="5"/>
  <c r="T105" i="5"/>
  <c r="U112" i="5"/>
  <c r="T112" i="5"/>
  <c r="H5" i="5"/>
  <c r="H7" i="5"/>
  <c r="H9" i="5"/>
  <c r="H11" i="5"/>
  <c r="H14" i="5"/>
  <c r="H16" i="5"/>
  <c r="H18" i="5"/>
  <c r="H20" i="5"/>
  <c r="H23" i="5"/>
  <c r="H25" i="5"/>
  <c r="H27" i="5"/>
  <c r="H29" i="5"/>
  <c r="T32" i="5"/>
  <c r="O34" i="5"/>
  <c r="N34" i="5"/>
  <c r="Z39" i="5"/>
  <c r="T42" i="5"/>
  <c r="O45" i="5"/>
  <c r="N45" i="5"/>
  <c r="T58" i="5"/>
  <c r="O59" i="5"/>
  <c r="Z63" i="5"/>
  <c r="T64" i="5"/>
  <c r="Z90" i="5"/>
  <c r="U109" i="5"/>
  <c r="T109" i="5"/>
  <c r="Z119" i="5"/>
  <c r="U107" i="5"/>
  <c r="T107" i="5"/>
  <c r="T4" i="5"/>
  <c r="T6" i="5"/>
  <c r="T8" i="5"/>
  <c r="T10" i="5"/>
  <c r="T13" i="5"/>
  <c r="T15" i="5"/>
  <c r="T17" i="5"/>
  <c r="T19" i="5"/>
  <c r="T22" i="5"/>
  <c r="T24" i="5"/>
  <c r="T26" i="5"/>
  <c r="T28" i="5"/>
  <c r="O29" i="5"/>
  <c r="N29" i="5"/>
  <c r="Z32" i="5"/>
  <c r="T34" i="5"/>
  <c r="O36" i="5"/>
  <c r="N36" i="5"/>
  <c r="Z42" i="5"/>
  <c r="T45" i="5"/>
  <c r="O47" i="5"/>
  <c r="N47" i="5"/>
  <c r="T52" i="5"/>
  <c r="Z58" i="5"/>
  <c r="T59" i="5"/>
  <c r="O69" i="5"/>
  <c r="N69" i="5"/>
  <c r="Z80" i="5"/>
  <c r="T81" i="5"/>
  <c r="Z114" i="5"/>
  <c r="O60" i="5"/>
  <c r="N60" i="5"/>
  <c r="U96" i="5"/>
  <c r="T96" i="5"/>
  <c r="T35" i="5"/>
  <c r="T46" i="5"/>
  <c r="O56" i="5"/>
  <c r="N56" i="5"/>
  <c r="T60" i="5"/>
  <c r="O61" i="5"/>
  <c r="T68" i="5"/>
  <c r="U83" i="5"/>
  <c r="T83" i="5"/>
  <c r="Z95" i="5"/>
  <c r="U99" i="5"/>
  <c r="T99" i="5"/>
  <c r="U122" i="5"/>
  <c r="T122" i="5"/>
  <c r="U85" i="5"/>
  <c r="T85" i="5"/>
  <c r="U120" i="5"/>
  <c r="T120" i="5"/>
  <c r="Z4" i="5"/>
  <c r="Z6" i="5"/>
  <c r="Z8" i="5"/>
  <c r="Z10" i="5"/>
  <c r="Z13" i="5"/>
  <c r="Z15" i="5"/>
  <c r="Z17" i="5"/>
  <c r="Z19" i="5"/>
  <c r="Z22" i="5"/>
  <c r="Z24" i="5"/>
  <c r="Z26" i="5"/>
  <c r="T37" i="5"/>
  <c r="T56" i="5"/>
  <c r="O57" i="5"/>
  <c r="Z60" i="5"/>
  <c r="T61" i="5"/>
  <c r="O71" i="5"/>
  <c r="N71" i="5"/>
  <c r="Z82" i="5"/>
  <c r="U88" i="5"/>
  <c r="T88" i="5"/>
  <c r="Z97" i="5"/>
  <c r="U102" i="5"/>
  <c r="T102" i="5"/>
  <c r="U118" i="5"/>
  <c r="T118" i="5"/>
  <c r="O32" i="5"/>
  <c r="N32" i="5"/>
  <c r="O58" i="5"/>
  <c r="N58" i="5"/>
  <c r="O80" i="5"/>
  <c r="N80" i="5"/>
  <c r="Z84" i="5"/>
  <c r="U92" i="5"/>
  <c r="T92" i="5"/>
  <c r="U116" i="5"/>
  <c r="T116" i="5"/>
  <c r="Z123" i="5"/>
  <c r="N82" i="5"/>
  <c r="N84" i="5"/>
  <c r="N93" i="5"/>
  <c r="N95" i="5"/>
  <c r="N97" i="5"/>
  <c r="N104" i="5"/>
  <c r="N106" i="5"/>
  <c r="N108" i="5"/>
  <c r="N117" i="5"/>
  <c r="N119" i="5"/>
  <c r="N121" i="5"/>
  <c r="N123" i="5"/>
  <c r="H109" i="5"/>
  <c r="H112" i="5"/>
  <c r="H116" i="5"/>
  <c r="H118" i="5"/>
  <c r="H120" i="5"/>
  <c r="H122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<sst xmlns="http://schemas.openxmlformats.org/spreadsheetml/2006/main" count="389" uniqueCount="91">
  <si>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</si>
  <si>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</si>
  <si>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</si>
  <si>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</si>
  <si>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</si>
  <si>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</si>
  <si>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</si>
  <si>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</si>
  <si>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</si>
  <si>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</si>
  <si>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</si>
  <si>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</si>
  <si>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</si>
  <si>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</si>
  <si>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</si>
  <si>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</si>
  <si>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</si>
  <si>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</si>
  <si>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</si>
  <si>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</si>
  <si>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</si>
  <si>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</si>
  <si>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</si>
  <si>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</si>
  <si>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</si>
  <si>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</si>
  <si>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</si>
  <si>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</si>
  <si>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</si>
  <si>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</si>
  <si>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</si>
  <si>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</si>
  <si>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</si>
  <si>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</si>
  <si>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</si>
  <si>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</si>
  <si>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</si>
  <si>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</si>
  <si>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</si>
  <si>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</si>
  <si>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</si>
  <si>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</si>
  <si>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</si>
  <si>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</si>
  <si>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</si>
  <si>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</si>
  <si>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</si>
  <si>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</si>
  <si>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</si>
  <si>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</si>
  <si>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</si>
  <si>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</si>
  <si>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</si>
  <si>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</si>
  <si>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</si>
  <si>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</si>
  <si>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</si>
  <si>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</si>
  <si>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</si>
  <si>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</si>
  <si>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</si>
  <si>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</si>
  <si>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</si>
  <si>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</si>
  <si>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</si>
  <si>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</si>
  <si>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</si>
  <si>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</si>
  <si>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</si>
  <si>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</si>
  <si>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</si>
  <si>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</si>
  <si>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</si>
  <si>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</si>
  <si>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</si>
  <si>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</si>
  <si>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</si>
  <si>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</si>
  <si>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</si>
  <si>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</si>
  <si>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</si>
  <si>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</si>
  <si>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</si>
  <si>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</si>
  <si>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</si>
  <si>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</si>
  <si>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Kinder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</si>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</sst>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1" totalsRowShown="0" dataDxfId="29" headerRowBorderDxfId="27" tableBorderDxfId="28">
  <autoFilter ref="A2:AA141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1" activePane="topRight" state="frozen"/>
      <selection pane="topRight" activeCell="E91" sqref="E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139</v>
      </c>
      <c r="D2" s="1"/>
      <c r="E2" s="1"/>
      <c r="F2" s="5"/>
      <c r="G2" s="3">
        <f>IF((C2-D2)&lt;0,0,C2-D2)</f>
        <v>139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139</v>
      </c>
      <c r="D3" s="1"/>
      <c r="E3" s="1"/>
      <c r="F3" s="5"/>
      <c r="G3" s="3">
        <f>IF((C3-D3)&lt;0,0,C3-D3)</f>
        <v>139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139</v>
      </c>
      <c r="D4" s="1"/>
      <c r="E4" s="1"/>
      <c r="F4" s="5"/>
      <c r="G4" s="3">
        <f>IF((C4-D4)&lt;0,0,C4-D4)</f>
        <v>139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139</v>
      </c>
      <c r="D5" s="1"/>
      <c r="E5" s="1"/>
      <c r="F5" s="5"/>
      <c r="G5" s="3">
        <f t="shared" ref="G5:G6" si="0">IF((C5-D5)&lt;0,0,C5-D5)</f>
        <v>139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139</v>
      </c>
      <c r="D6" s="1"/>
      <c r="E6" s="1"/>
      <c r="F6" s="5"/>
      <c r="G6" s="3">
        <f t="shared" si="0"/>
        <v>139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149</v>
      </c>
      <c r="D8" s="1"/>
      <c r="E8" s="1"/>
      <c r="F8" s="5"/>
      <c r="G8" s="3">
        <f>IF((C8-D8)&lt;0,0,C8-D8)</f>
        <v>149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149</v>
      </c>
      <c r="D9" s="1"/>
      <c r="E9" s="1"/>
      <c r="F9" s="5"/>
      <c r="G9" s="3">
        <f>IF((C9-D9)&lt;0,0,C9-D9)</f>
        <v>149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149</v>
      </c>
      <c r="D10" s="1"/>
      <c r="E10" s="1"/>
      <c r="F10" s="5"/>
      <c r="G10" s="3">
        <f>IF((C10-D10)&lt;0,0,C10-D10)</f>
        <v>149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149</v>
      </c>
      <c r="D11" s="1"/>
      <c r="E11" s="1"/>
      <c r="F11" s="5"/>
      <c r="G11" s="3">
        <f>IF((C11-D11)&lt;0,0,C11-D11)</f>
        <v>149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149</v>
      </c>
      <c r="D12" s="1"/>
      <c r="E12" s="1"/>
      <c r="F12" s="5"/>
      <c r="G12" s="3">
        <f>IF((C12-D12)&lt;0,0,C12-D12)</f>
        <v>149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159</v>
      </c>
      <c r="D14" s="1"/>
      <c r="E14" s="1"/>
      <c r="F14" s="5"/>
      <c r="G14" s="3">
        <f t="shared" ref="G14:G19" si="2">IF((C14-D14)&lt;0,0,C14-D14)</f>
        <v>159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159</v>
      </c>
      <c r="D15" s="1"/>
      <c r="E15" s="1"/>
      <c r="F15" s="5"/>
      <c r="G15" s="3">
        <f t="shared" si="2"/>
        <v>159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159</v>
      </c>
      <c r="D16" s="1"/>
      <c r="E16" s="1"/>
      <c r="F16" s="5"/>
      <c r="G16" s="3">
        <f t="shared" si="2"/>
        <v>159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159</v>
      </c>
      <c r="D17" s="1"/>
      <c r="E17" s="1"/>
      <c r="F17" s="5"/>
      <c r="G17" s="3">
        <f t="shared" si="2"/>
        <v>159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159</v>
      </c>
      <c r="D18" s="1"/>
      <c r="E18" s="1"/>
      <c r="F18" s="5"/>
      <c r="G18" s="3">
        <f t="shared" si="2"/>
        <v>159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159</v>
      </c>
      <c r="D19" s="1"/>
      <c r="E19" s="1"/>
      <c r="F19" s="5"/>
      <c r="G19" s="3">
        <f t="shared" si="2"/>
        <v>159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162</v>
      </c>
      <c r="D21" s="1"/>
      <c r="E21" s="1"/>
      <c r="F21" s="5"/>
      <c r="G21" s="3">
        <f t="shared" ref="G21:G29" si="4">IF((C21-D21)&lt;0,0,C21-D21)</f>
        <v>162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162</v>
      </c>
      <c r="D22" s="1"/>
      <c r="E22" s="1"/>
      <c r="F22" s="5"/>
      <c r="G22" s="3">
        <f t="shared" si="4"/>
        <v>162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162</v>
      </c>
      <c r="D23" s="1"/>
      <c r="E23" s="1"/>
      <c r="F23" s="5"/>
      <c r="G23" s="3">
        <f t="shared" si="4"/>
        <v>162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162</v>
      </c>
      <c r="D24" s="1"/>
      <c r="E24" s="1"/>
      <c r="F24" s="5"/>
      <c r="G24" s="3">
        <f t="shared" si="4"/>
        <v>162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162</v>
      </c>
      <c r="D25" s="1"/>
      <c r="E25" s="1"/>
      <c r="F25" s="5"/>
      <c r="G25" s="3">
        <f t="shared" si="4"/>
        <v>162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162</v>
      </c>
      <c r="D26" s="1"/>
      <c r="E26" s="1"/>
      <c r="F26" s="5"/>
      <c r="G26" s="3">
        <f t="shared" si="4"/>
        <v>162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162</v>
      </c>
      <c r="D27" s="1"/>
      <c r="E27" s="1"/>
      <c r="F27" s="5"/>
      <c r="G27" s="3">
        <f t="shared" si="4"/>
        <v>162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162</v>
      </c>
      <c r="D28" s="1"/>
      <c r="E28" s="1"/>
      <c r="F28" s="5"/>
      <c r="G28" s="3">
        <f t="shared" si="4"/>
        <v>162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162</v>
      </c>
      <c r="D29" s="1"/>
      <c r="E29" s="1"/>
      <c r="F29" s="5"/>
      <c r="G29" s="3">
        <f t="shared" si="4"/>
        <v>162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130</v>
      </c>
      <c r="D31" s="1"/>
      <c r="E31" s="1"/>
      <c r="F31" s="5"/>
      <c r="G31" s="3">
        <f t="shared" ref="G31:G39" si="6">IF((C31-D31)&lt;0,0,C31-D31)</f>
        <v>130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130</v>
      </c>
      <c r="D32" s="1"/>
      <c r="E32" s="1"/>
      <c r="F32" s="5"/>
      <c r="G32" s="3">
        <f t="shared" si="6"/>
        <v>130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130</v>
      </c>
      <c r="D33" s="1"/>
      <c r="E33" s="1"/>
      <c r="F33" s="5"/>
      <c r="G33" s="3">
        <f t="shared" si="6"/>
        <v>130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130</v>
      </c>
      <c r="D34" s="1"/>
      <c r="E34" s="1"/>
      <c r="F34" s="5"/>
      <c r="G34" s="3">
        <f t="shared" si="6"/>
        <v>130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130</v>
      </c>
      <c r="D35" s="1"/>
      <c r="E35" s="1"/>
      <c r="F35" s="5"/>
      <c r="G35" s="3">
        <f t="shared" si="6"/>
        <v>130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130</v>
      </c>
      <c r="D36" s="1"/>
      <c r="E36" s="1"/>
      <c r="F36" s="5"/>
      <c r="G36" s="3">
        <f t="shared" si="6"/>
        <v>130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130</v>
      </c>
      <c r="D37" s="1"/>
      <c r="E37" s="1"/>
      <c r="F37" s="5"/>
      <c r="G37" s="3">
        <f t="shared" si="6"/>
        <v>130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130</v>
      </c>
      <c r="D38" s="1"/>
      <c r="E38" s="1"/>
      <c r="F38" s="5"/>
      <c r="G38" s="3">
        <f t="shared" si="6"/>
        <v>130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130</v>
      </c>
      <c r="D39" s="1"/>
      <c r="E39" s="1"/>
      <c r="F39" s="5"/>
      <c r="G39" s="3">
        <f t="shared" si="6"/>
        <v>130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104</v>
      </c>
      <c r="D41" s="1"/>
      <c r="E41" s="1"/>
      <c r="F41" s="5"/>
      <c r="G41" s="3">
        <f t="shared" ref="G41:G49" si="8">IF((C41-D41)&lt;0,0,C41-D41)</f>
        <v>104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104</v>
      </c>
      <c r="D42" s="1"/>
      <c r="E42" s="1"/>
      <c r="F42" s="5"/>
      <c r="G42" s="3">
        <f t="shared" si="8"/>
        <v>104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104</v>
      </c>
      <c r="D43" s="1"/>
      <c r="E43" s="1"/>
      <c r="F43" s="5"/>
      <c r="G43" s="3">
        <f t="shared" si="8"/>
        <v>104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104</v>
      </c>
      <c r="D44" s="1"/>
      <c r="E44" s="1"/>
      <c r="F44" s="5"/>
      <c r="G44" s="3">
        <f t="shared" si="8"/>
        <v>104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104</v>
      </c>
      <c r="D45" s="1"/>
      <c r="E45" s="1"/>
      <c r="F45" s="5"/>
      <c r="G45" s="3">
        <f t="shared" si="8"/>
        <v>104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104</v>
      </c>
      <c r="D46" s="1"/>
      <c r="E46" s="1"/>
      <c r="F46" s="5"/>
      <c r="G46" s="3">
        <f t="shared" si="8"/>
        <v>104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104</v>
      </c>
      <c r="D47" s="1"/>
      <c r="E47" s="1"/>
      <c r="F47" s="5"/>
      <c r="G47" s="3">
        <f t="shared" si="8"/>
        <v>104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104</v>
      </c>
      <c r="D48" s="1"/>
      <c r="E48" s="1"/>
      <c r="F48" s="5"/>
      <c r="G48" s="3">
        <f t="shared" si="8"/>
        <v>104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104</v>
      </c>
      <c r="D49" s="1"/>
      <c r="E49" s="1"/>
      <c r="F49" s="5"/>
      <c r="G49" s="3">
        <f t="shared" si="8"/>
        <v>104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7:E7 D2:E6 C13:E13 D8:E12 C20:E20 D14:E19 C30:E30 D21:E29 C40:E40 D31:E39 D41:E49 C50:E98" name="Textbooks"/>
    <protectedRange sqref="F1:F98" name="SOURCE"/>
    <protectedRange sqref="C2:C6" name="Textbooks_2_1"/>
    <protectedRange sqref="C8:C12" name="Textbooks_3"/>
    <protectedRange sqref="C14:C19" name="Textbooks_4"/>
    <protectedRange sqref="C21:C29" name="Textbooks_5"/>
    <protectedRange sqref="C31:C39" name="Textbooks_6"/>
    <protectedRange sqref="C41:C49" name="Textbooks_7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81:E89 E51:E59 E61:E69 E71:E79 E92:E98 E91" xr:uid="{63116B64-CA8D-43AA-ACFC-209772955E1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T1" zoomScale="70" zoomScaleNormal="70" workbookViewId="0">
      <selection activeCell="X13" sqref="X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1" t="s">
        <v>45</v>
      </c>
      <c r="N2" s="41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2" t="s">
        <v>57</v>
      </c>
      <c r="Z2" s="42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152</v>
      </c>
      <c r="D3" s="34">
        <f>Table1[[#This Row],[Enrolment S.Y. 2025-2026 ]]*8</f>
        <v>1216</v>
      </c>
      <c r="E3" s="34"/>
      <c r="F3" s="32"/>
      <c r="G3" s="34"/>
      <c r="H3" s="34">
        <f>IF((D3-E3)&lt;0,0,(D3-E3))</f>
        <v>1216</v>
      </c>
      <c r="I3" s="34">
        <f>IF((E3-D3)&lt;0,0,(E3-D3))</f>
        <v>0</v>
      </c>
      <c r="J3" s="34">
        <f>Table1[[#This Row],[Enrolment S.Y. 2025-2026 ]]*8</f>
        <v>1216</v>
      </c>
      <c r="K3" s="34"/>
      <c r="L3" s="32"/>
      <c r="M3" s="34"/>
      <c r="N3" s="5">
        <f t="shared" ref="N3" si="0">IF((J3-K3)&lt;0,0,(J3-K3))</f>
        <v>1216</v>
      </c>
      <c r="O3" s="5">
        <f t="shared" ref="O3" si="1">IF((K3-J3)&lt;0,0,(K3-J3))</f>
        <v>0</v>
      </c>
      <c r="P3" s="5">
        <f>Table1[[#This Row],[Enrolment S.Y. 2025-2026 ]]*8</f>
        <v>1216</v>
      </c>
      <c r="Q3" s="34"/>
      <c r="R3" s="32"/>
      <c r="S3" s="34"/>
      <c r="T3" s="34">
        <f>IF((P3-Q3)&lt;0,0,(P3-Q3))</f>
        <v>1216</v>
      </c>
      <c r="U3" s="34">
        <f>IF((Q3-P3)&lt;0,0,(Q3-P3))</f>
        <v>0</v>
      </c>
      <c r="V3" s="34">
        <f>Table1[[#This Row],[Enrolment S.Y. 2025-2026 ]]*8</f>
        <v>1216</v>
      </c>
      <c r="W3" s="34"/>
      <c r="X3" s="32"/>
      <c r="Y3" s="34"/>
      <c r="Z3" s="34">
        <f>IF((V3-W3)&lt;0,0,(V3-W3))</f>
        <v>1216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139</v>
      </c>
      <c r="D5" s="5">
        <f>Table1[[#This Row],[Enrolment S.Y. 2025-2026 ]]*8</f>
        <v>1112</v>
      </c>
      <c r="E5" s="5"/>
      <c r="F5" s="1"/>
      <c r="G5" s="5"/>
      <c r="H5" s="5">
        <f t="shared" ref="H5:H77" si="2">IF((D5-E5)&lt;0,0,(D5-E5))</f>
        <v>1112</v>
      </c>
      <c r="I5" s="5">
        <f t="shared" ref="I5:I77" si="3">IF((E5-D5)&lt;0,0,(E5-D5))</f>
        <v>0</v>
      </c>
      <c r="J5" s="5">
        <f>Table1[[#This Row],[Enrolment S.Y. 2025-2026 ]]*8</f>
        <v>1112</v>
      </c>
      <c r="K5" s="5"/>
      <c r="L5" s="1"/>
      <c r="M5" s="5"/>
      <c r="N5" s="5">
        <f t="shared" ref="N5" si="4">IF((J5-K5)&lt;0,0,(J5-K5))</f>
        <v>1112</v>
      </c>
      <c r="O5" s="5">
        <f t="shared" ref="O5" si="5">IF((K5-J5)&lt;0,0,(K5-J5))</f>
        <v>0</v>
      </c>
      <c r="P5" s="5">
        <f>Table1[[#This Row],[Enrolment S.Y. 2025-2026 ]]*8</f>
        <v>1112</v>
      </c>
      <c r="Q5" s="5"/>
      <c r="R5" s="1"/>
      <c r="S5" s="5"/>
      <c r="T5" s="5">
        <f t="shared" ref="T5" si="6">IF((P5-Q5)&lt;0,0,(P5-Q5))</f>
        <v>1112</v>
      </c>
      <c r="U5" s="5">
        <f t="shared" ref="U5" si="7">IF((Q5-P5)&lt;0,0,(Q5-P5))</f>
        <v>0</v>
      </c>
      <c r="V5" s="5">
        <f>Table1[[#This Row],[Enrolment S.Y. 2025-2026 ]]*8</f>
        <v>1112</v>
      </c>
      <c r="W5" s="5"/>
      <c r="X5" s="1"/>
      <c r="Y5" s="5"/>
      <c r="Z5" s="5">
        <f t="shared" ref="Z5" si="8">IF((V5-W5)&lt;0,0,(V5-W5))</f>
        <v>1112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139</v>
      </c>
      <c r="D6" s="5">
        <f>Table1[[#This Row],[Enrolment S.Y. 2025-2026 ]]*8</f>
        <v>1112</v>
      </c>
      <c r="E6" s="5"/>
      <c r="F6" s="1"/>
      <c r="G6" s="5"/>
      <c r="H6" s="5">
        <f t="shared" si="2"/>
        <v>1112</v>
      </c>
      <c r="I6" s="5">
        <f t="shared" si="3"/>
        <v>0</v>
      </c>
      <c r="J6" s="5">
        <f>Table1[[#This Row],[Enrolment S.Y. 2025-2026 ]]*8</f>
        <v>1112</v>
      </c>
      <c r="K6" s="5"/>
      <c r="L6" s="1"/>
      <c r="M6" s="5"/>
      <c r="N6" s="5">
        <f t="shared" ref="N6:N69" si="10">IF((J6-K6)&lt;0,0,(J6-K6))</f>
        <v>1112</v>
      </c>
      <c r="O6" s="5">
        <f t="shared" ref="O6:O69" si="11">IF((K6-J6)&lt;0,0,(K6-J6))</f>
        <v>0</v>
      </c>
      <c r="P6" s="5">
        <f>Table1[[#This Row],[Enrolment S.Y. 2025-2026 ]]*8</f>
        <v>1112</v>
      </c>
      <c r="Q6" s="5"/>
      <c r="R6" s="1"/>
      <c r="S6" s="5"/>
      <c r="T6" s="5">
        <f t="shared" ref="T6:T69" si="12">IF((P6-Q6)&lt;0,0,(P6-Q6))</f>
        <v>1112</v>
      </c>
      <c r="U6" s="5">
        <f t="shared" ref="U6:U69" si="13">IF((Q6-P6)&lt;0,0,(Q6-P6))</f>
        <v>0</v>
      </c>
      <c r="V6" s="5">
        <f>Table1[[#This Row],[Enrolment S.Y. 2025-2026 ]]*8</f>
        <v>1112</v>
      </c>
      <c r="W6" s="5"/>
      <c r="X6" s="1"/>
      <c r="Y6" s="5"/>
      <c r="Z6" s="5">
        <f t="shared" ref="Z6:Z69" si="14">IF((V6-W6)&lt;0,0,(V6-W6))</f>
        <v>1112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139</v>
      </c>
      <c r="D7" s="5">
        <f>Table1[[#This Row],[Enrolment S.Y. 2025-2026 ]]*8</f>
        <v>1112</v>
      </c>
      <c r="E7" s="5"/>
      <c r="F7" s="1"/>
      <c r="G7" s="5"/>
      <c r="H7" s="5">
        <f t="shared" si="2"/>
        <v>1112</v>
      </c>
      <c r="I7" s="5">
        <f t="shared" si="3"/>
        <v>0</v>
      </c>
      <c r="J7" s="5">
        <f>Table1[[#This Row],[Enrolment S.Y. 2025-2026 ]]*8</f>
        <v>1112</v>
      </c>
      <c r="K7" s="5"/>
      <c r="L7" s="1"/>
      <c r="M7" s="5"/>
      <c r="N7" s="5">
        <f t="shared" si="10"/>
        <v>1112</v>
      </c>
      <c r="O7" s="5">
        <f t="shared" si="11"/>
        <v>0</v>
      </c>
      <c r="P7" s="5">
        <f>Table1[[#This Row],[Enrolment S.Y. 2025-2026 ]]*8</f>
        <v>1112</v>
      </c>
      <c r="Q7" s="5"/>
      <c r="R7" s="1"/>
      <c r="S7" s="5"/>
      <c r="T7" s="5">
        <f t="shared" si="12"/>
        <v>1112</v>
      </c>
      <c r="U7" s="5">
        <f t="shared" si="13"/>
        <v>0</v>
      </c>
      <c r="V7" s="5">
        <f>Table1[[#This Row],[Enrolment S.Y. 2025-2026 ]]*8</f>
        <v>1112</v>
      </c>
      <c r="W7" s="5"/>
      <c r="X7" s="1"/>
      <c r="Y7" s="5"/>
      <c r="Z7" s="5">
        <f t="shared" si="14"/>
        <v>1112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139</v>
      </c>
      <c r="D8" s="5">
        <f>Table1[[#This Row],[Enrolment S.Y. 2025-2026 ]]*8</f>
        <v>1112</v>
      </c>
      <c r="E8" s="5"/>
      <c r="F8" s="1"/>
      <c r="G8" s="5"/>
      <c r="H8" s="5">
        <f t="shared" si="2"/>
        <v>1112</v>
      </c>
      <c r="I8" s="5">
        <f t="shared" si="3"/>
        <v>0</v>
      </c>
      <c r="J8" s="5">
        <f>Table1[[#This Row],[Enrolment S.Y. 2025-2026 ]]*8</f>
        <v>1112</v>
      </c>
      <c r="K8" s="5"/>
      <c r="L8" s="1"/>
      <c r="M8" s="5"/>
      <c r="N8" s="5">
        <f t="shared" si="10"/>
        <v>1112</v>
      </c>
      <c r="O8" s="5">
        <f t="shared" si="11"/>
        <v>0</v>
      </c>
      <c r="P8" s="5">
        <f>Table1[[#This Row],[Enrolment S.Y. 2025-2026 ]]*8</f>
        <v>1112</v>
      </c>
      <c r="Q8" s="5"/>
      <c r="R8" s="1"/>
      <c r="S8" s="5"/>
      <c r="T8" s="5">
        <f t="shared" si="12"/>
        <v>1112</v>
      </c>
      <c r="U8" s="5">
        <f t="shared" si="13"/>
        <v>0</v>
      </c>
      <c r="V8" s="5">
        <f>Table1[[#This Row],[Enrolment S.Y. 2025-2026 ]]*8</f>
        <v>1112</v>
      </c>
      <c r="W8" s="5"/>
      <c r="X8" s="1"/>
      <c r="Y8" s="5"/>
      <c r="Z8" s="5">
        <f t="shared" si="14"/>
        <v>1112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139</v>
      </c>
      <c r="D9" s="5">
        <f>Table1[[#This Row],[Enrolment S.Y. 2025-2026 ]]*8</f>
        <v>1112</v>
      </c>
      <c r="E9" s="5"/>
      <c r="F9" s="1"/>
      <c r="G9" s="5"/>
      <c r="H9" s="5">
        <f t="shared" si="2"/>
        <v>1112</v>
      </c>
      <c r="I9" s="5">
        <f t="shared" si="3"/>
        <v>0</v>
      </c>
      <c r="J9" s="5">
        <f>Table1[[#This Row],[Enrolment S.Y. 2025-2026 ]]*8</f>
        <v>1112</v>
      </c>
      <c r="K9" s="5"/>
      <c r="L9" s="1"/>
      <c r="M9" s="5"/>
      <c r="N9" s="5">
        <f t="shared" si="10"/>
        <v>1112</v>
      </c>
      <c r="O9" s="5">
        <f t="shared" si="11"/>
        <v>0</v>
      </c>
      <c r="P9" s="5">
        <f>Table1[[#This Row],[Enrolment S.Y. 2025-2026 ]]*8</f>
        <v>1112</v>
      </c>
      <c r="Q9" s="5"/>
      <c r="R9" s="1"/>
      <c r="S9" s="5"/>
      <c r="T9" s="5">
        <f t="shared" si="12"/>
        <v>1112</v>
      </c>
      <c r="U9" s="5">
        <f t="shared" si="13"/>
        <v>0</v>
      </c>
      <c r="V9" s="5">
        <f>Table1[[#This Row],[Enrolment S.Y. 2025-2026 ]]*8</f>
        <v>1112</v>
      </c>
      <c r="W9" s="5"/>
      <c r="X9" s="1"/>
      <c r="Y9" s="5"/>
      <c r="Z9" s="5">
        <f t="shared" si="14"/>
        <v>1112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139</v>
      </c>
      <c r="D10" s="5">
        <f>Table1[[#This Row],[Enrolment S.Y. 2025-2026 ]]*8</f>
        <v>1112</v>
      </c>
      <c r="E10" s="5"/>
      <c r="F10" s="1"/>
      <c r="G10" s="5"/>
      <c r="H10" s="5">
        <f>IF((D10-E10)&lt;0,0,(D10-E10))</f>
        <v>1112</v>
      </c>
      <c r="I10" s="5">
        <f>IF((E10-D10)&lt;0,0,(E10-D10))</f>
        <v>0</v>
      </c>
      <c r="J10" s="5">
        <f>Table1[[#This Row],[Enrolment S.Y. 2025-2026 ]]*8</f>
        <v>1112</v>
      </c>
      <c r="K10" s="5"/>
      <c r="L10" s="1"/>
      <c r="M10" s="5"/>
      <c r="N10" s="5">
        <f t="shared" si="10"/>
        <v>1112</v>
      </c>
      <c r="O10" s="5">
        <f t="shared" si="11"/>
        <v>0</v>
      </c>
      <c r="P10" s="5">
        <f>Table1[[#This Row],[Enrolment S.Y. 2025-2026 ]]*8</f>
        <v>1112</v>
      </c>
      <c r="Q10" s="5"/>
      <c r="R10" s="1"/>
      <c r="S10" s="5"/>
      <c r="T10" s="5">
        <f t="shared" si="12"/>
        <v>1112</v>
      </c>
      <c r="U10" s="5">
        <f t="shared" si="13"/>
        <v>0</v>
      </c>
      <c r="V10" s="5">
        <f>Table1[[#This Row],[Enrolment S.Y. 2025-2026 ]]*8</f>
        <v>1112</v>
      </c>
      <c r="W10" s="5"/>
      <c r="X10" s="1"/>
      <c r="Y10" s="5"/>
      <c r="Z10" s="5">
        <f t="shared" si="14"/>
        <v>1112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139</v>
      </c>
      <c r="D11" s="5">
        <f>Table1[[#This Row],[Enrolment S.Y. 2025-2026 ]]*8</f>
        <v>1112</v>
      </c>
      <c r="E11" s="5"/>
      <c r="F11" s="1"/>
      <c r="G11" s="5"/>
      <c r="H11" s="5">
        <f>IF((D11-E11)&lt;0,0,(D11-E11))</f>
        <v>1112</v>
      </c>
      <c r="I11" s="5">
        <f>IF((E11-D11)&lt;0,0,(E11-D11))</f>
        <v>0</v>
      </c>
      <c r="J11" s="5">
        <f>Table1[[#This Row],[Enrolment S.Y. 2025-2026 ]]*8</f>
        <v>1112</v>
      </c>
      <c r="K11" s="5"/>
      <c r="L11" s="1"/>
      <c r="M11" s="5"/>
      <c r="N11" s="5">
        <f t="shared" si="10"/>
        <v>1112</v>
      </c>
      <c r="O11" s="5">
        <f t="shared" si="11"/>
        <v>0</v>
      </c>
      <c r="P11" s="5">
        <f>Table1[[#This Row],[Enrolment S.Y. 2025-2026 ]]*8</f>
        <v>1112</v>
      </c>
      <c r="Q11" s="5"/>
      <c r="R11" s="1"/>
      <c r="S11" s="5"/>
      <c r="T11" s="5">
        <f t="shared" si="12"/>
        <v>1112</v>
      </c>
      <c r="U11" s="5">
        <f t="shared" si="13"/>
        <v>0</v>
      </c>
      <c r="V11" s="5">
        <f>Table1[[#This Row],[Enrolment S.Y. 2025-2026 ]]*8</f>
        <v>1112</v>
      </c>
      <c r="W11" s="5"/>
      <c r="X11" s="1"/>
      <c r="Y11" s="5"/>
      <c r="Z11" s="5">
        <f t="shared" si="14"/>
        <v>1112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139</v>
      </c>
      <c r="D12" s="5">
        <f>Table1[[#This Row],[Enrolment S.Y. 2025-2026 ]]*8</f>
        <v>1112</v>
      </c>
      <c r="E12" s="5"/>
      <c r="F12" s="1"/>
      <c r="G12" s="5"/>
      <c r="H12" s="5">
        <f>IF((D12-E12)&lt;0,0,(D12-E12))</f>
        <v>1112</v>
      </c>
      <c r="I12" s="5">
        <f>IF((E12-D12)&lt;0,0,(E12-D12))</f>
        <v>0</v>
      </c>
      <c r="J12" s="5">
        <f>Table1[[#This Row],[Enrolment S.Y. 2025-2026 ]]*8</f>
        <v>1112</v>
      </c>
      <c r="K12" s="5"/>
      <c r="L12" s="1"/>
      <c r="M12" s="5"/>
      <c r="N12" s="5">
        <f t="shared" si="10"/>
        <v>1112</v>
      </c>
      <c r="O12" s="5">
        <f t="shared" si="11"/>
        <v>0</v>
      </c>
      <c r="P12" s="5">
        <f>Table1[[#This Row],[Enrolment S.Y. 2025-2026 ]]*8</f>
        <v>1112</v>
      </c>
      <c r="Q12" s="5"/>
      <c r="R12" s="1"/>
      <c r="S12" s="5"/>
      <c r="T12" s="5">
        <f t="shared" si="12"/>
        <v>1112</v>
      </c>
      <c r="U12" s="5">
        <f t="shared" si="13"/>
        <v>0</v>
      </c>
      <c r="V12" s="5">
        <f>Table1[[#This Row],[Enrolment S.Y. 2025-2026 ]]*8</f>
        <v>1112</v>
      </c>
      <c r="W12" s="5"/>
      <c r="X12" s="1"/>
      <c r="Y12" s="5"/>
      <c r="Z12" s="5">
        <f t="shared" si="14"/>
        <v>1112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149</v>
      </c>
      <c r="D14" s="5">
        <f>Table1[[#This Row],[Enrolment S.Y. 2025-2026 ]]*8</f>
        <v>1192</v>
      </c>
      <c r="E14" s="5"/>
      <c r="F14" s="1"/>
      <c r="G14" s="5"/>
      <c r="H14" s="5">
        <f t="shared" si="2"/>
        <v>1192</v>
      </c>
      <c r="I14" s="5">
        <f t="shared" si="3"/>
        <v>0</v>
      </c>
      <c r="J14" s="5">
        <f>Table1[[#This Row],[Enrolment S.Y. 2025-2026 ]]*8</f>
        <v>1192</v>
      </c>
      <c r="K14" s="5"/>
      <c r="L14" s="1"/>
      <c r="M14" s="5"/>
      <c r="N14" s="5">
        <f t="shared" si="10"/>
        <v>1192</v>
      </c>
      <c r="O14" s="5">
        <f t="shared" si="11"/>
        <v>0</v>
      </c>
      <c r="P14" s="5">
        <f>Table1[[#This Row],[Enrolment S.Y. 2025-2026 ]]*8</f>
        <v>1192</v>
      </c>
      <c r="Q14" s="5"/>
      <c r="R14" s="1"/>
      <c r="S14" s="5"/>
      <c r="T14" s="5">
        <f t="shared" si="12"/>
        <v>1192</v>
      </c>
      <c r="U14" s="5">
        <f t="shared" si="13"/>
        <v>0</v>
      </c>
      <c r="V14" s="5">
        <f>Table1[[#This Row],[Enrolment S.Y. 2025-2026 ]]*8</f>
        <v>1192</v>
      </c>
      <c r="W14" s="5"/>
      <c r="X14" s="1"/>
      <c r="Y14" s="5"/>
      <c r="Z14" s="5">
        <f t="shared" si="14"/>
        <v>1192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149</v>
      </c>
      <c r="D15" s="5">
        <f>Table1[[#This Row],[Enrolment S.Y. 2025-2026 ]]*8</f>
        <v>1192</v>
      </c>
      <c r="E15" s="5"/>
      <c r="F15" s="1"/>
      <c r="G15" s="5"/>
      <c r="H15" s="5">
        <f t="shared" si="2"/>
        <v>1192</v>
      </c>
      <c r="I15" s="5">
        <f t="shared" si="3"/>
        <v>0</v>
      </c>
      <c r="J15" s="5">
        <f>Table1[[#This Row],[Enrolment S.Y. 2025-2026 ]]*8</f>
        <v>1192</v>
      </c>
      <c r="K15" s="5"/>
      <c r="L15" s="1"/>
      <c r="M15" s="5"/>
      <c r="N15" s="5">
        <f t="shared" si="10"/>
        <v>1192</v>
      </c>
      <c r="O15" s="5">
        <f t="shared" si="11"/>
        <v>0</v>
      </c>
      <c r="P15" s="5">
        <f>Table1[[#This Row],[Enrolment S.Y. 2025-2026 ]]*8</f>
        <v>1192</v>
      </c>
      <c r="Q15" s="5"/>
      <c r="R15" s="1"/>
      <c r="S15" s="5"/>
      <c r="T15" s="5">
        <f t="shared" si="12"/>
        <v>1192</v>
      </c>
      <c r="U15" s="5">
        <f t="shared" si="13"/>
        <v>0</v>
      </c>
      <c r="V15" s="5">
        <f>Table1[[#This Row],[Enrolment S.Y. 2025-2026 ]]*8</f>
        <v>1192</v>
      </c>
      <c r="W15" s="5"/>
      <c r="X15" s="1"/>
      <c r="Y15" s="5"/>
      <c r="Z15" s="5">
        <f t="shared" si="14"/>
        <v>1192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149</v>
      </c>
      <c r="D16" s="5">
        <f>Table1[[#This Row],[Enrolment S.Y. 2025-2026 ]]*8</f>
        <v>1192</v>
      </c>
      <c r="E16" s="5"/>
      <c r="F16" s="1"/>
      <c r="G16" s="5"/>
      <c r="H16" s="5">
        <f t="shared" si="2"/>
        <v>1192</v>
      </c>
      <c r="I16" s="5">
        <f t="shared" si="3"/>
        <v>0</v>
      </c>
      <c r="J16" s="5">
        <f>Table1[[#This Row],[Enrolment S.Y. 2025-2026 ]]*8</f>
        <v>1192</v>
      </c>
      <c r="K16" s="5"/>
      <c r="L16" s="1"/>
      <c r="M16" s="5"/>
      <c r="N16" s="5">
        <f t="shared" si="10"/>
        <v>1192</v>
      </c>
      <c r="O16" s="5">
        <f t="shared" si="11"/>
        <v>0</v>
      </c>
      <c r="P16" s="5">
        <f>Table1[[#This Row],[Enrolment S.Y. 2025-2026 ]]*8</f>
        <v>1192</v>
      </c>
      <c r="Q16" s="5"/>
      <c r="R16" s="1"/>
      <c r="S16" s="5"/>
      <c r="T16" s="5">
        <f t="shared" si="12"/>
        <v>1192</v>
      </c>
      <c r="U16" s="5">
        <f t="shared" si="13"/>
        <v>0</v>
      </c>
      <c r="V16" s="5">
        <f>Table1[[#This Row],[Enrolment S.Y. 2025-2026 ]]*8</f>
        <v>1192</v>
      </c>
      <c r="W16" s="5"/>
      <c r="X16" s="1"/>
      <c r="Y16" s="5"/>
      <c r="Z16" s="5">
        <f t="shared" si="14"/>
        <v>1192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149</v>
      </c>
      <c r="D17" s="5">
        <f>Table1[[#This Row],[Enrolment S.Y. 2025-2026 ]]*8</f>
        <v>1192</v>
      </c>
      <c r="E17" s="5"/>
      <c r="F17" s="1"/>
      <c r="G17" s="5"/>
      <c r="H17" s="5">
        <f t="shared" si="2"/>
        <v>1192</v>
      </c>
      <c r="I17" s="5">
        <f t="shared" si="3"/>
        <v>0</v>
      </c>
      <c r="J17" s="5">
        <f>Table1[[#This Row],[Enrolment S.Y. 2025-2026 ]]*8</f>
        <v>1192</v>
      </c>
      <c r="K17" s="5"/>
      <c r="L17" s="1"/>
      <c r="M17" s="5"/>
      <c r="N17" s="5">
        <f t="shared" si="10"/>
        <v>1192</v>
      </c>
      <c r="O17" s="5">
        <f t="shared" si="11"/>
        <v>0</v>
      </c>
      <c r="P17" s="5">
        <f>Table1[[#This Row],[Enrolment S.Y. 2025-2026 ]]*8</f>
        <v>1192</v>
      </c>
      <c r="Q17" s="5"/>
      <c r="R17" s="1"/>
      <c r="S17" s="5"/>
      <c r="T17" s="5">
        <f t="shared" si="12"/>
        <v>1192</v>
      </c>
      <c r="U17" s="5">
        <f t="shared" si="13"/>
        <v>0</v>
      </c>
      <c r="V17" s="5">
        <f>Table1[[#This Row],[Enrolment S.Y. 2025-2026 ]]*8</f>
        <v>1192</v>
      </c>
      <c r="W17" s="5"/>
      <c r="X17" s="1"/>
      <c r="Y17" s="5"/>
      <c r="Z17" s="5">
        <f t="shared" si="14"/>
        <v>1192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149</v>
      </c>
      <c r="D18" s="5">
        <f>Table1[[#This Row],[Enrolment S.Y. 2025-2026 ]]*8</f>
        <v>1192</v>
      </c>
      <c r="E18" s="5"/>
      <c r="F18" s="1"/>
      <c r="G18" s="5"/>
      <c r="H18" s="5">
        <f t="shared" si="2"/>
        <v>1192</v>
      </c>
      <c r="I18" s="5">
        <f t="shared" si="3"/>
        <v>0</v>
      </c>
      <c r="J18" s="5">
        <f>Table1[[#This Row],[Enrolment S.Y. 2025-2026 ]]*8</f>
        <v>1192</v>
      </c>
      <c r="K18" s="5"/>
      <c r="L18" s="1"/>
      <c r="M18" s="5"/>
      <c r="N18" s="5">
        <f t="shared" si="10"/>
        <v>1192</v>
      </c>
      <c r="O18" s="5">
        <f t="shared" si="11"/>
        <v>0</v>
      </c>
      <c r="P18" s="5">
        <f>Table1[[#This Row],[Enrolment S.Y. 2025-2026 ]]*8</f>
        <v>1192</v>
      </c>
      <c r="Q18" s="5"/>
      <c r="R18" s="1"/>
      <c r="S18" s="5"/>
      <c r="T18" s="5">
        <f t="shared" si="12"/>
        <v>1192</v>
      </c>
      <c r="U18" s="5">
        <f t="shared" si="13"/>
        <v>0</v>
      </c>
      <c r="V18" s="5">
        <f>Table1[[#This Row],[Enrolment S.Y. 2025-2026 ]]*8</f>
        <v>1192</v>
      </c>
      <c r="W18" s="5"/>
      <c r="X18" s="1"/>
      <c r="Y18" s="5"/>
      <c r="Z18" s="5">
        <f t="shared" si="14"/>
        <v>1192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149</v>
      </c>
      <c r="D19" s="5">
        <f>Table1[[#This Row],[Enrolment S.Y. 2025-2026 ]]*8</f>
        <v>1192</v>
      </c>
      <c r="E19" s="5"/>
      <c r="F19" s="1"/>
      <c r="G19" s="5"/>
      <c r="H19" s="5">
        <f>IF((D19-E19)&lt;0,0,(D19-E19))</f>
        <v>1192</v>
      </c>
      <c r="I19" s="5">
        <f>IF((E19-D19)&lt;0,0,(E19-D19))</f>
        <v>0</v>
      </c>
      <c r="J19" s="5">
        <f>Table1[[#This Row],[Enrolment S.Y. 2025-2026 ]]*8</f>
        <v>1192</v>
      </c>
      <c r="K19" s="5"/>
      <c r="L19" s="1"/>
      <c r="M19" s="5"/>
      <c r="N19" s="5">
        <f t="shared" si="10"/>
        <v>1192</v>
      </c>
      <c r="O19" s="5">
        <f t="shared" si="11"/>
        <v>0</v>
      </c>
      <c r="P19" s="5">
        <f>Table1[[#This Row],[Enrolment S.Y. 2025-2026 ]]*8</f>
        <v>1192</v>
      </c>
      <c r="Q19" s="5"/>
      <c r="R19" s="1"/>
      <c r="S19" s="5"/>
      <c r="T19" s="5">
        <f t="shared" si="12"/>
        <v>1192</v>
      </c>
      <c r="U19" s="5">
        <f t="shared" si="13"/>
        <v>0</v>
      </c>
      <c r="V19" s="5">
        <f>Table1[[#This Row],[Enrolment S.Y. 2025-2026 ]]*8</f>
        <v>1192</v>
      </c>
      <c r="W19" s="5"/>
      <c r="X19" s="1"/>
      <c r="Y19" s="5"/>
      <c r="Z19" s="5">
        <f t="shared" si="14"/>
        <v>1192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149</v>
      </c>
      <c r="D20" s="5">
        <f>Table1[[#This Row],[Enrolment S.Y. 2025-2026 ]]*8</f>
        <v>1192</v>
      </c>
      <c r="E20" s="5"/>
      <c r="F20" s="1"/>
      <c r="G20" s="5"/>
      <c r="H20" s="5">
        <f>IF((D20-E20)&lt;0,0,(D20-E20))</f>
        <v>1192</v>
      </c>
      <c r="I20" s="5">
        <f>IF((E20-D20)&lt;0,0,(E20-D20))</f>
        <v>0</v>
      </c>
      <c r="J20" s="5">
        <f>Table1[[#This Row],[Enrolment S.Y. 2025-2026 ]]*8</f>
        <v>1192</v>
      </c>
      <c r="K20" s="5"/>
      <c r="L20" s="1"/>
      <c r="M20" s="5"/>
      <c r="N20" s="5">
        <f t="shared" si="10"/>
        <v>1192</v>
      </c>
      <c r="O20" s="5">
        <f t="shared" si="11"/>
        <v>0</v>
      </c>
      <c r="P20" s="5">
        <f>Table1[[#This Row],[Enrolment S.Y. 2025-2026 ]]*8</f>
        <v>1192</v>
      </c>
      <c r="Q20" s="5"/>
      <c r="R20" s="1"/>
      <c r="S20" s="5"/>
      <c r="T20" s="5">
        <f t="shared" si="12"/>
        <v>1192</v>
      </c>
      <c r="U20" s="5">
        <f t="shared" si="13"/>
        <v>0</v>
      </c>
      <c r="V20" s="5">
        <f>Table1[[#This Row],[Enrolment S.Y. 2025-2026 ]]*8</f>
        <v>1192</v>
      </c>
      <c r="W20" s="5"/>
      <c r="X20" s="1"/>
      <c r="Y20" s="5"/>
      <c r="Z20" s="5">
        <f t="shared" si="14"/>
        <v>1192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149</v>
      </c>
      <c r="D21" s="5">
        <f>Table1[[#This Row],[Enrolment S.Y. 2025-2026 ]]*8</f>
        <v>1192</v>
      </c>
      <c r="E21" s="5"/>
      <c r="F21" s="1"/>
      <c r="G21" s="5"/>
      <c r="H21" s="5">
        <f>IF((D21-E21)&lt;0,0,(D21-E21))</f>
        <v>1192</v>
      </c>
      <c r="I21" s="5">
        <f>IF((E21-D21)&lt;0,0,(E21-D21))</f>
        <v>0</v>
      </c>
      <c r="J21" s="5">
        <f>Table1[[#This Row],[Enrolment S.Y. 2025-2026 ]]*8</f>
        <v>1192</v>
      </c>
      <c r="K21" s="5"/>
      <c r="L21" s="1"/>
      <c r="M21" s="5"/>
      <c r="N21" s="5">
        <f t="shared" si="10"/>
        <v>1192</v>
      </c>
      <c r="O21" s="5">
        <f t="shared" si="11"/>
        <v>0</v>
      </c>
      <c r="P21" s="5">
        <f>Table1[[#This Row],[Enrolment S.Y. 2025-2026 ]]*8</f>
        <v>1192</v>
      </c>
      <c r="Q21" s="5"/>
      <c r="R21" s="1"/>
      <c r="S21" s="5"/>
      <c r="T21" s="5">
        <f t="shared" si="12"/>
        <v>1192</v>
      </c>
      <c r="U21" s="5">
        <f t="shared" si="13"/>
        <v>0</v>
      </c>
      <c r="V21" s="5">
        <f>Table1[[#This Row],[Enrolment S.Y. 2025-2026 ]]*8</f>
        <v>1192</v>
      </c>
      <c r="W21" s="5"/>
      <c r="X21" s="1"/>
      <c r="Y21" s="5"/>
      <c r="Z21" s="5">
        <f t="shared" si="14"/>
        <v>1192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159</v>
      </c>
      <c r="D23" s="5">
        <f>Table1[[#This Row],[Enrolment S.Y. 2025-2026 ]]*8</f>
        <v>1272</v>
      </c>
      <c r="E23" s="5"/>
      <c r="F23" s="1"/>
      <c r="G23" s="5"/>
      <c r="H23" s="5">
        <f t="shared" si="2"/>
        <v>1272</v>
      </c>
      <c r="I23" s="5">
        <f t="shared" si="3"/>
        <v>0</v>
      </c>
      <c r="J23" s="5">
        <f>Table1[[#This Row],[Enrolment S.Y. 2025-2026 ]]*8</f>
        <v>1272</v>
      </c>
      <c r="K23" s="5"/>
      <c r="L23" s="1"/>
      <c r="M23" s="5"/>
      <c r="N23" s="5">
        <f t="shared" si="10"/>
        <v>1272</v>
      </c>
      <c r="O23" s="5">
        <f t="shared" si="11"/>
        <v>0</v>
      </c>
      <c r="P23" s="5">
        <f>Table1[[#This Row],[Enrolment S.Y. 2025-2026 ]]*8</f>
        <v>1272</v>
      </c>
      <c r="Q23" s="5"/>
      <c r="R23" s="1"/>
      <c r="S23" s="5"/>
      <c r="T23" s="5">
        <f t="shared" si="12"/>
        <v>1272</v>
      </c>
      <c r="U23" s="5">
        <f t="shared" si="13"/>
        <v>0</v>
      </c>
      <c r="V23" s="5">
        <f>Table1[[#This Row],[Enrolment S.Y. 2025-2026 ]]*8</f>
        <v>1272</v>
      </c>
      <c r="W23" s="5"/>
      <c r="X23" s="1"/>
      <c r="Y23" s="5"/>
      <c r="Z23" s="5">
        <f t="shared" si="14"/>
        <v>1272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159</v>
      </c>
      <c r="D24" s="5">
        <f>Table1[[#This Row],[Enrolment S.Y. 2025-2026 ]]*8</f>
        <v>1272</v>
      </c>
      <c r="E24" s="5"/>
      <c r="F24" s="1"/>
      <c r="G24" s="5"/>
      <c r="H24" s="5">
        <f t="shared" si="2"/>
        <v>1272</v>
      </c>
      <c r="I24" s="5">
        <f t="shared" si="3"/>
        <v>0</v>
      </c>
      <c r="J24" s="5">
        <f>Table1[[#This Row],[Enrolment S.Y. 2025-2026 ]]*8</f>
        <v>1272</v>
      </c>
      <c r="K24" s="5"/>
      <c r="L24" s="1"/>
      <c r="M24" s="5"/>
      <c r="N24" s="5">
        <f t="shared" si="10"/>
        <v>1272</v>
      </c>
      <c r="O24" s="5">
        <f t="shared" si="11"/>
        <v>0</v>
      </c>
      <c r="P24" s="5">
        <f>Table1[[#This Row],[Enrolment S.Y. 2025-2026 ]]*8</f>
        <v>1272</v>
      </c>
      <c r="Q24" s="5"/>
      <c r="R24" s="1"/>
      <c r="S24" s="5"/>
      <c r="T24" s="5">
        <f t="shared" si="12"/>
        <v>1272</v>
      </c>
      <c r="U24" s="5">
        <f t="shared" si="13"/>
        <v>0</v>
      </c>
      <c r="V24" s="5">
        <f>Table1[[#This Row],[Enrolment S.Y. 2025-2026 ]]*8</f>
        <v>1272</v>
      </c>
      <c r="W24" s="5"/>
      <c r="X24" s="1"/>
      <c r="Y24" s="5"/>
      <c r="Z24" s="5">
        <f t="shared" si="14"/>
        <v>1272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159</v>
      </c>
      <c r="D25" s="5">
        <f>Table1[[#This Row],[Enrolment S.Y. 2025-2026 ]]*8</f>
        <v>1272</v>
      </c>
      <c r="E25" s="5"/>
      <c r="F25" s="1"/>
      <c r="G25" s="5"/>
      <c r="H25" s="5">
        <f t="shared" si="2"/>
        <v>1272</v>
      </c>
      <c r="I25" s="5">
        <f t="shared" si="3"/>
        <v>0</v>
      </c>
      <c r="J25" s="5">
        <f>Table1[[#This Row],[Enrolment S.Y. 2025-2026 ]]*8</f>
        <v>1272</v>
      </c>
      <c r="K25" s="5"/>
      <c r="L25" s="1"/>
      <c r="M25" s="5"/>
      <c r="N25" s="5">
        <f t="shared" si="10"/>
        <v>1272</v>
      </c>
      <c r="O25" s="5">
        <f t="shared" si="11"/>
        <v>0</v>
      </c>
      <c r="P25" s="5">
        <f>Table1[[#This Row],[Enrolment S.Y. 2025-2026 ]]*8</f>
        <v>1272</v>
      </c>
      <c r="Q25" s="5"/>
      <c r="R25" s="1"/>
      <c r="S25" s="5"/>
      <c r="T25" s="5">
        <f t="shared" si="12"/>
        <v>1272</v>
      </c>
      <c r="U25" s="5">
        <f t="shared" si="13"/>
        <v>0</v>
      </c>
      <c r="V25" s="5">
        <f>Table1[[#This Row],[Enrolment S.Y. 2025-2026 ]]*8</f>
        <v>1272</v>
      </c>
      <c r="W25" s="5"/>
      <c r="X25" s="1"/>
      <c r="Y25" s="5"/>
      <c r="Z25" s="5">
        <f t="shared" si="14"/>
        <v>1272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159</v>
      </c>
      <c r="D26" s="5">
        <f>Table1[[#This Row],[Enrolment S.Y. 2025-2026 ]]*8</f>
        <v>1272</v>
      </c>
      <c r="E26" s="5"/>
      <c r="F26" s="1"/>
      <c r="G26" s="5"/>
      <c r="H26" s="5">
        <f t="shared" si="2"/>
        <v>1272</v>
      </c>
      <c r="I26" s="5">
        <f t="shared" si="3"/>
        <v>0</v>
      </c>
      <c r="J26" s="5">
        <f>Table1[[#This Row],[Enrolment S.Y. 2025-2026 ]]*8</f>
        <v>1272</v>
      </c>
      <c r="K26" s="5"/>
      <c r="L26" s="1"/>
      <c r="M26" s="5"/>
      <c r="N26" s="5">
        <f t="shared" si="10"/>
        <v>1272</v>
      </c>
      <c r="O26" s="5">
        <f t="shared" si="11"/>
        <v>0</v>
      </c>
      <c r="P26" s="5">
        <f>Table1[[#This Row],[Enrolment S.Y. 2025-2026 ]]*8</f>
        <v>1272</v>
      </c>
      <c r="Q26" s="5"/>
      <c r="R26" s="1"/>
      <c r="S26" s="5"/>
      <c r="T26" s="5">
        <f t="shared" si="12"/>
        <v>1272</v>
      </c>
      <c r="U26" s="5">
        <f t="shared" si="13"/>
        <v>0</v>
      </c>
      <c r="V26" s="5">
        <f>Table1[[#This Row],[Enrolment S.Y. 2025-2026 ]]*8</f>
        <v>1272</v>
      </c>
      <c r="W26" s="5"/>
      <c r="X26" s="1"/>
      <c r="Y26" s="5"/>
      <c r="Z26" s="5">
        <f t="shared" si="14"/>
        <v>1272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159</v>
      </c>
      <c r="D27" s="5">
        <f>Table1[[#This Row],[Enrolment S.Y. 2025-2026 ]]*8</f>
        <v>1272</v>
      </c>
      <c r="E27" s="5"/>
      <c r="F27" s="1"/>
      <c r="G27" s="5"/>
      <c r="H27" s="5">
        <f t="shared" si="2"/>
        <v>1272</v>
      </c>
      <c r="I27" s="5">
        <f t="shared" si="3"/>
        <v>0</v>
      </c>
      <c r="J27" s="5">
        <f>Table1[[#This Row],[Enrolment S.Y. 2025-2026 ]]*8</f>
        <v>1272</v>
      </c>
      <c r="K27" s="5"/>
      <c r="L27" s="1"/>
      <c r="M27" s="5"/>
      <c r="N27" s="5">
        <f t="shared" si="10"/>
        <v>1272</v>
      </c>
      <c r="O27" s="5">
        <f t="shared" si="11"/>
        <v>0</v>
      </c>
      <c r="P27" s="5">
        <f>Table1[[#This Row],[Enrolment S.Y. 2025-2026 ]]*8</f>
        <v>1272</v>
      </c>
      <c r="Q27" s="5"/>
      <c r="R27" s="1"/>
      <c r="S27" s="5"/>
      <c r="T27" s="5">
        <f t="shared" si="12"/>
        <v>1272</v>
      </c>
      <c r="U27" s="5">
        <f t="shared" si="13"/>
        <v>0</v>
      </c>
      <c r="V27" s="5">
        <f>Table1[[#This Row],[Enrolment S.Y. 2025-2026 ]]*8</f>
        <v>1272</v>
      </c>
      <c r="W27" s="5"/>
      <c r="X27" s="1"/>
      <c r="Y27" s="5"/>
      <c r="Z27" s="5">
        <f t="shared" si="14"/>
        <v>1272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159</v>
      </c>
      <c r="D28" s="5">
        <f>Table1[[#This Row],[Enrolment S.Y. 2025-2026 ]]*8</f>
        <v>1272</v>
      </c>
      <c r="E28" s="5"/>
      <c r="F28" s="1"/>
      <c r="G28" s="5"/>
      <c r="H28" s="5">
        <f t="shared" si="2"/>
        <v>1272</v>
      </c>
      <c r="I28" s="5">
        <f t="shared" si="3"/>
        <v>0</v>
      </c>
      <c r="J28" s="5">
        <f>Table1[[#This Row],[Enrolment S.Y. 2025-2026 ]]*8</f>
        <v>1272</v>
      </c>
      <c r="K28" s="5"/>
      <c r="L28" s="1"/>
      <c r="M28" s="5"/>
      <c r="N28" s="5">
        <f t="shared" si="10"/>
        <v>1272</v>
      </c>
      <c r="O28" s="5">
        <f t="shared" si="11"/>
        <v>0</v>
      </c>
      <c r="P28" s="5">
        <f>Table1[[#This Row],[Enrolment S.Y. 2025-2026 ]]*8</f>
        <v>1272</v>
      </c>
      <c r="Q28" s="5"/>
      <c r="R28" s="1"/>
      <c r="S28" s="5"/>
      <c r="T28" s="5">
        <f t="shared" si="12"/>
        <v>1272</v>
      </c>
      <c r="U28" s="5">
        <f t="shared" si="13"/>
        <v>0</v>
      </c>
      <c r="V28" s="5">
        <f>Table1[[#This Row],[Enrolment S.Y. 2025-2026 ]]*8</f>
        <v>1272</v>
      </c>
      <c r="W28" s="5"/>
      <c r="X28" s="1"/>
      <c r="Y28" s="5"/>
      <c r="Z28" s="5">
        <f t="shared" si="14"/>
        <v>1272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159</v>
      </c>
      <c r="D29" s="5">
        <f>Table1[[#This Row],[Enrolment S.Y. 2025-2026 ]]*8</f>
        <v>1272</v>
      </c>
      <c r="E29" s="5"/>
      <c r="F29" s="1"/>
      <c r="G29" s="5"/>
      <c r="H29" s="5">
        <f>IF((D29-E29)&lt;0,0,(D29-E29))</f>
        <v>1272</v>
      </c>
      <c r="I29" s="5">
        <f>IF((E29-D29)&lt;0,0,(E29-D29))</f>
        <v>0</v>
      </c>
      <c r="J29" s="5">
        <f>Table1[[#This Row],[Enrolment S.Y. 2025-2026 ]]*8</f>
        <v>1272</v>
      </c>
      <c r="K29" s="5"/>
      <c r="L29" s="1"/>
      <c r="M29" s="5"/>
      <c r="N29" s="5">
        <f t="shared" si="10"/>
        <v>1272</v>
      </c>
      <c r="O29" s="5">
        <f t="shared" si="11"/>
        <v>0</v>
      </c>
      <c r="P29" s="5">
        <f>Table1[[#This Row],[Enrolment S.Y. 2025-2026 ]]*8</f>
        <v>1272</v>
      </c>
      <c r="Q29" s="5"/>
      <c r="R29" s="1"/>
      <c r="S29" s="5"/>
      <c r="T29" s="5">
        <f t="shared" si="12"/>
        <v>1272</v>
      </c>
      <c r="U29" s="5">
        <f t="shared" si="13"/>
        <v>0</v>
      </c>
      <c r="V29" s="5">
        <f>Table1[[#This Row],[Enrolment S.Y. 2025-2026 ]]*8</f>
        <v>1272</v>
      </c>
      <c r="W29" s="5"/>
      <c r="X29" s="1"/>
      <c r="Y29" s="5"/>
      <c r="Z29" s="5">
        <f t="shared" si="14"/>
        <v>1272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159</v>
      </c>
      <c r="D30" s="5">
        <f>Table1[[#This Row],[Enrolment S.Y. 2025-2026 ]]*8</f>
        <v>1272</v>
      </c>
      <c r="E30" s="5"/>
      <c r="F30" s="1"/>
      <c r="G30" s="5"/>
      <c r="H30" s="5">
        <f>IF((D30-E30)&lt;0,0,(D30-E30))</f>
        <v>1272</v>
      </c>
      <c r="I30" s="5">
        <f>IF((E30-D30)&lt;0,0,(E30-D30))</f>
        <v>0</v>
      </c>
      <c r="J30" s="5">
        <f>Table1[[#This Row],[Enrolment S.Y. 2025-2026 ]]*8</f>
        <v>1272</v>
      </c>
      <c r="K30" s="5"/>
      <c r="L30" s="1"/>
      <c r="M30" s="5"/>
      <c r="N30" s="5">
        <f t="shared" si="10"/>
        <v>1272</v>
      </c>
      <c r="O30" s="5">
        <f t="shared" si="11"/>
        <v>0</v>
      </c>
      <c r="P30" s="5">
        <f>Table1[[#This Row],[Enrolment S.Y. 2025-2026 ]]*8</f>
        <v>1272</v>
      </c>
      <c r="Q30" s="5"/>
      <c r="R30" s="1"/>
      <c r="S30" s="5"/>
      <c r="T30" s="5">
        <f t="shared" si="12"/>
        <v>1272</v>
      </c>
      <c r="U30" s="5">
        <f t="shared" si="13"/>
        <v>0</v>
      </c>
      <c r="V30" s="5">
        <f>Table1[[#This Row],[Enrolment S.Y. 2025-2026 ]]*8</f>
        <v>1272</v>
      </c>
      <c r="W30" s="5"/>
      <c r="X30" s="1"/>
      <c r="Y30" s="5"/>
      <c r="Z30" s="5">
        <f t="shared" si="14"/>
        <v>1272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159</v>
      </c>
      <c r="D31" s="5">
        <f>Table1[[#This Row],[Enrolment S.Y. 2025-2026 ]]*8</f>
        <v>1272</v>
      </c>
      <c r="E31" s="5"/>
      <c r="F31" s="1"/>
      <c r="G31" s="5"/>
      <c r="H31" s="5">
        <f>IF((D31-E31)&lt;0,0,(D31-E31))</f>
        <v>1272</v>
      </c>
      <c r="I31" s="5">
        <f>IF((E31-D31)&lt;0,0,(E31-D31))</f>
        <v>0</v>
      </c>
      <c r="J31" s="5">
        <f>Table1[[#This Row],[Enrolment S.Y. 2025-2026 ]]*8</f>
        <v>1272</v>
      </c>
      <c r="K31" s="5"/>
      <c r="L31" s="1"/>
      <c r="M31" s="5"/>
      <c r="N31" s="5">
        <f t="shared" si="10"/>
        <v>1272</v>
      </c>
      <c r="O31" s="5">
        <f t="shared" si="11"/>
        <v>0</v>
      </c>
      <c r="P31" s="5">
        <f>Table1[[#This Row],[Enrolment S.Y. 2025-2026 ]]*8</f>
        <v>1272</v>
      </c>
      <c r="Q31" s="5"/>
      <c r="R31" s="1"/>
      <c r="S31" s="5"/>
      <c r="T31" s="5">
        <f t="shared" si="12"/>
        <v>1272</v>
      </c>
      <c r="U31" s="5">
        <f t="shared" si="13"/>
        <v>0</v>
      </c>
      <c r="V31" s="5">
        <f>Table1[[#This Row],[Enrolment S.Y. 2025-2026 ]]*8</f>
        <v>1272</v>
      </c>
      <c r="W31" s="5"/>
      <c r="X31" s="1"/>
      <c r="Y31" s="5"/>
      <c r="Z31" s="5">
        <f t="shared" si="14"/>
        <v>1272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162</v>
      </c>
      <c r="D33" s="5">
        <f>Table1[[#This Row],[Enrolment S.Y. 2025-2026 ]]*8</f>
        <v>1296</v>
      </c>
      <c r="E33" s="5"/>
      <c r="F33" s="1"/>
      <c r="G33" s="5"/>
      <c r="H33" s="5">
        <f t="shared" si="2"/>
        <v>1296</v>
      </c>
      <c r="I33" s="5">
        <f t="shared" si="3"/>
        <v>0</v>
      </c>
      <c r="J33" s="5">
        <f>Table1[[#This Row],[Enrolment S.Y. 2025-2026 ]]*8</f>
        <v>1296</v>
      </c>
      <c r="K33" s="5"/>
      <c r="L33" s="1"/>
      <c r="M33" s="5"/>
      <c r="N33" s="5">
        <f t="shared" si="10"/>
        <v>1296</v>
      </c>
      <c r="O33" s="5">
        <f t="shared" si="11"/>
        <v>0</v>
      </c>
      <c r="P33" s="5">
        <f>Table1[[#This Row],[Enrolment S.Y. 2025-2026 ]]*8</f>
        <v>1296</v>
      </c>
      <c r="Q33" s="5"/>
      <c r="R33" s="1"/>
      <c r="S33" s="5"/>
      <c r="T33" s="5">
        <f t="shared" si="12"/>
        <v>1296</v>
      </c>
      <c r="U33" s="5">
        <f t="shared" si="13"/>
        <v>0</v>
      </c>
      <c r="V33" s="5">
        <f>Table1[[#This Row],[Enrolment S.Y. 2025-2026 ]]*8</f>
        <v>1296</v>
      </c>
      <c r="W33" s="5"/>
      <c r="X33" s="1"/>
      <c r="Y33" s="5"/>
      <c r="Z33" s="5">
        <f t="shared" si="14"/>
        <v>1296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162</v>
      </c>
      <c r="D34" s="5">
        <f>Table1[[#This Row],[Enrolment S.Y. 2025-2026 ]]*8</f>
        <v>1296</v>
      </c>
      <c r="E34" s="5"/>
      <c r="F34" s="1"/>
      <c r="G34" s="5"/>
      <c r="H34" s="5">
        <f t="shared" si="2"/>
        <v>1296</v>
      </c>
      <c r="I34" s="5">
        <f t="shared" si="3"/>
        <v>0</v>
      </c>
      <c r="J34" s="5">
        <f>Table1[[#This Row],[Enrolment S.Y. 2025-2026 ]]*8</f>
        <v>1296</v>
      </c>
      <c r="K34" s="5"/>
      <c r="L34" s="1"/>
      <c r="M34" s="5"/>
      <c r="N34" s="5">
        <f t="shared" si="10"/>
        <v>1296</v>
      </c>
      <c r="O34" s="5">
        <f t="shared" si="11"/>
        <v>0</v>
      </c>
      <c r="P34" s="5">
        <f>Table1[[#This Row],[Enrolment S.Y. 2025-2026 ]]*8</f>
        <v>1296</v>
      </c>
      <c r="Q34" s="5"/>
      <c r="R34" s="1"/>
      <c r="S34" s="5"/>
      <c r="T34" s="5">
        <f t="shared" si="12"/>
        <v>1296</v>
      </c>
      <c r="U34" s="5">
        <f t="shared" si="13"/>
        <v>0</v>
      </c>
      <c r="V34" s="5">
        <f>Table1[[#This Row],[Enrolment S.Y. 2025-2026 ]]*8</f>
        <v>1296</v>
      </c>
      <c r="W34" s="5"/>
      <c r="X34" s="1"/>
      <c r="Y34" s="5"/>
      <c r="Z34" s="5">
        <f t="shared" si="14"/>
        <v>1296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162</v>
      </c>
      <c r="D35" s="5">
        <f>Table1[[#This Row],[Enrolment S.Y. 2025-2026 ]]*8</f>
        <v>1296</v>
      </c>
      <c r="E35" s="5"/>
      <c r="F35" s="1"/>
      <c r="G35" s="5"/>
      <c r="H35" s="5">
        <f t="shared" si="2"/>
        <v>1296</v>
      </c>
      <c r="I35" s="5">
        <f t="shared" si="3"/>
        <v>0</v>
      </c>
      <c r="J35" s="5">
        <f>Table1[[#This Row],[Enrolment S.Y. 2025-2026 ]]*8</f>
        <v>1296</v>
      </c>
      <c r="K35" s="5"/>
      <c r="L35" s="1"/>
      <c r="M35" s="5"/>
      <c r="N35" s="5">
        <f t="shared" si="10"/>
        <v>1296</v>
      </c>
      <c r="O35" s="5">
        <f t="shared" si="11"/>
        <v>0</v>
      </c>
      <c r="P35" s="5">
        <f>Table1[[#This Row],[Enrolment S.Y. 2025-2026 ]]*8</f>
        <v>1296</v>
      </c>
      <c r="Q35" s="5"/>
      <c r="R35" s="1"/>
      <c r="S35" s="5"/>
      <c r="T35" s="5">
        <f t="shared" si="12"/>
        <v>1296</v>
      </c>
      <c r="U35" s="5">
        <f t="shared" si="13"/>
        <v>0</v>
      </c>
      <c r="V35" s="5">
        <f>Table1[[#This Row],[Enrolment S.Y. 2025-2026 ]]*8</f>
        <v>1296</v>
      </c>
      <c r="W35" s="5"/>
      <c r="X35" s="1"/>
      <c r="Y35" s="5"/>
      <c r="Z35" s="5">
        <f t="shared" si="14"/>
        <v>1296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162</v>
      </c>
      <c r="D36" s="5">
        <f>Table1[[#This Row],[Enrolment S.Y. 2025-2026 ]]*8</f>
        <v>1296</v>
      </c>
      <c r="E36" s="5"/>
      <c r="F36" s="1"/>
      <c r="G36" s="5"/>
      <c r="H36" s="5">
        <f t="shared" si="2"/>
        <v>1296</v>
      </c>
      <c r="I36" s="5">
        <f t="shared" si="3"/>
        <v>0</v>
      </c>
      <c r="J36" s="5">
        <f>Table1[[#This Row],[Enrolment S.Y. 2025-2026 ]]*8</f>
        <v>1296</v>
      </c>
      <c r="K36" s="5"/>
      <c r="L36" s="1"/>
      <c r="M36" s="5"/>
      <c r="N36" s="5">
        <f t="shared" si="10"/>
        <v>1296</v>
      </c>
      <c r="O36" s="5">
        <f t="shared" si="11"/>
        <v>0</v>
      </c>
      <c r="P36" s="5">
        <f>Table1[[#This Row],[Enrolment S.Y. 2025-2026 ]]*8</f>
        <v>1296</v>
      </c>
      <c r="Q36" s="5"/>
      <c r="R36" s="1"/>
      <c r="S36" s="5"/>
      <c r="T36" s="5">
        <f t="shared" si="12"/>
        <v>1296</v>
      </c>
      <c r="U36" s="5">
        <f t="shared" si="13"/>
        <v>0</v>
      </c>
      <c r="V36" s="5">
        <f>Table1[[#This Row],[Enrolment S.Y. 2025-2026 ]]*8</f>
        <v>1296</v>
      </c>
      <c r="W36" s="5"/>
      <c r="X36" s="1"/>
      <c r="Y36" s="5"/>
      <c r="Z36" s="5">
        <f t="shared" si="14"/>
        <v>1296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162</v>
      </c>
      <c r="D37" s="5">
        <f>Table1[[#This Row],[Enrolment S.Y. 2025-2026 ]]*8</f>
        <v>1296</v>
      </c>
      <c r="E37" s="5"/>
      <c r="F37" s="1"/>
      <c r="G37" s="5"/>
      <c r="H37" s="5">
        <f t="shared" si="2"/>
        <v>1296</v>
      </c>
      <c r="I37" s="5">
        <f t="shared" si="3"/>
        <v>0</v>
      </c>
      <c r="J37" s="5">
        <f>Table1[[#This Row],[Enrolment S.Y. 2025-2026 ]]*8</f>
        <v>1296</v>
      </c>
      <c r="K37" s="5"/>
      <c r="L37" s="1"/>
      <c r="M37" s="5"/>
      <c r="N37" s="5">
        <f t="shared" si="10"/>
        <v>1296</v>
      </c>
      <c r="O37" s="5">
        <f t="shared" si="11"/>
        <v>0</v>
      </c>
      <c r="P37" s="5">
        <f>Table1[[#This Row],[Enrolment S.Y. 2025-2026 ]]*8</f>
        <v>1296</v>
      </c>
      <c r="Q37" s="5"/>
      <c r="R37" s="1"/>
      <c r="S37" s="5"/>
      <c r="T37" s="5">
        <f t="shared" si="12"/>
        <v>1296</v>
      </c>
      <c r="U37" s="5">
        <f t="shared" si="13"/>
        <v>0</v>
      </c>
      <c r="V37" s="5">
        <f>Table1[[#This Row],[Enrolment S.Y. 2025-2026 ]]*8</f>
        <v>1296</v>
      </c>
      <c r="W37" s="5"/>
      <c r="X37" s="1"/>
      <c r="Y37" s="5"/>
      <c r="Z37" s="5">
        <f t="shared" si="14"/>
        <v>1296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162</v>
      </c>
      <c r="D38" s="5">
        <f>Table1[[#This Row],[Enrolment S.Y. 2025-2026 ]]*8</f>
        <v>1296</v>
      </c>
      <c r="E38" s="5"/>
      <c r="F38" s="1"/>
      <c r="G38" s="5"/>
      <c r="H38" s="5">
        <f t="shared" si="2"/>
        <v>1296</v>
      </c>
      <c r="I38" s="5">
        <f t="shared" si="3"/>
        <v>0</v>
      </c>
      <c r="J38" s="5">
        <f>Table1[[#This Row],[Enrolment S.Y. 2025-2026 ]]*8</f>
        <v>1296</v>
      </c>
      <c r="K38" s="5"/>
      <c r="L38" s="1"/>
      <c r="M38" s="5"/>
      <c r="N38" s="5">
        <f t="shared" si="10"/>
        <v>1296</v>
      </c>
      <c r="O38" s="5">
        <f t="shared" si="11"/>
        <v>0</v>
      </c>
      <c r="P38" s="5">
        <f>Table1[[#This Row],[Enrolment S.Y. 2025-2026 ]]*8</f>
        <v>1296</v>
      </c>
      <c r="Q38" s="5"/>
      <c r="R38" s="1"/>
      <c r="S38" s="5"/>
      <c r="T38" s="5">
        <f t="shared" si="12"/>
        <v>1296</v>
      </c>
      <c r="U38" s="5">
        <f t="shared" si="13"/>
        <v>0</v>
      </c>
      <c r="V38" s="5">
        <f>Table1[[#This Row],[Enrolment S.Y. 2025-2026 ]]*8</f>
        <v>1296</v>
      </c>
      <c r="W38" s="5"/>
      <c r="X38" s="1"/>
      <c r="Y38" s="5"/>
      <c r="Z38" s="5">
        <f t="shared" si="14"/>
        <v>1296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162</v>
      </c>
      <c r="D39" s="5">
        <f>Table1[[#This Row],[Enrolment S.Y. 2025-2026 ]]*8</f>
        <v>1296</v>
      </c>
      <c r="E39" s="5"/>
      <c r="F39" s="1"/>
      <c r="G39" s="5"/>
      <c r="H39" s="5">
        <f t="shared" si="2"/>
        <v>1296</v>
      </c>
      <c r="I39" s="5">
        <f t="shared" si="3"/>
        <v>0</v>
      </c>
      <c r="J39" s="5">
        <f>Table1[[#This Row],[Enrolment S.Y. 2025-2026 ]]*8</f>
        <v>1296</v>
      </c>
      <c r="K39" s="5"/>
      <c r="L39" s="1"/>
      <c r="M39" s="5"/>
      <c r="N39" s="5">
        <f t="shared" si="10"/>
        <v>1296</v>
      </c>
      <c r="O39" s="5">
        <f t="shared" si="11"/>
        <v>0</v>
      </c>
      <c r="P39" s="5">
        <f>Table1[[#This Row],[Enrolment S.Y. 2025-2026 ]]*8</f>
        <v>1296</v>
      </c>
      <c r="Q39" s="5"/>
      <c r="R39" s="1"/>
      <c r="S39" s="5"/>
      <c r="T39" s="5">
        <f t="shared" si="12"/>
        <v>1296</v>
      </c>
      <c r="U39" s="5">
        <f t="shared" si="13"/>
        <v>0</v>
      </c>
      <c r="V39" s="5">
        <f>Table1[[#This Row],[Enrolment S.Y. 2025-2026 ]]*8</f>
        <v>1296</v>
      </c>
      <c r="W39" s="5"/>
      <c r="X39" s="1"/>
      <c r="Y39" s="5"/>
      <c r="Z39" s="5">
        <f t="shared" si="14"/>
        <v>1296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162</v>
      </c>
      <c r="D40" s="5">
        <f>Table1[[#This Row],[Enrolment S.Y. 2025-2026 ]]*8</f>
        <v>1296</v>
      </c>
      <c r="E40" s="5"/>
      <c r="F40" s="1"/>
      <c r="G40" s="5"/>
      <c r="H40" s="5">
        <f t="shared" si="2"/>
        <v>1296</v>
      </c>
      <c r="I40" s="5">
        <f t="shared" si="3"/>
        <v>0</v>
      </c>
      <c r="J40" s="5">
        <f>Table1[[#This Row],[Enrolment S.Y. 2025-2026 ]]*8</f>
        <v>1296</v>
      </c>
      <c r="K40" s="5"/>
      <c r="L40" s="1"/>
      <c r="M40" s="5"/>
      <c r="N40" s="5">
        <f t="shared" si="10"/>
        <v>1296</v>
      </c>
      <c r="O40" s="5">
        <f t="shared" si="11"/>
        <v>0</v>
      </c>
      <c r="P40" s="5">
        <f>Table1[[#This Row],[Enrolment S.Y. 2025-2026 ]]*8</f>
        <v>1296</v>
      </c>
      <c r="Q40" s="5"/>
      <c r="R40" s="1"/>
      <c r="S40" s="5"/>
      <c r="T40" s="5">
        <f t="shared" si="12"/>
        <v>1296</v>
      </c>
      <c r="U40" s="5">
        <f t="shared" si="13"/>
        <v>0</v>
      </c>
      <c r="V40" s="5">
        <f>Table1[[#This Row],[Enrolment S.Y. 2025-2026 ]]*8</f>
        <v>1296</v>
      </c>
      <c r="W40" s="5"/>
      <c r="X40" s="1"/>
      <c r="Y40" s="5"/>
      <c r="Z40" s="5">
        <f t="shared" si="14"/>
        <v>1296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162</v>
      </c>
      <c r="D41" s="5">
        <f>Table1[[#This Row],[Enrolment S.Y. 2025-2026 ]]*8</f>
        <v>1296</v>
      </c>
      <c r="E41" s="5"/>
      <c r="F41" s="1"/>
      <c r="G41" s="5"/>
      <c r="H41" s="5">
        <f t="shared" si="2"/>
        <v>1296</v>
      </c>
      <c r="I41" s="5">
        <f t="shared" si="3"/>
        <v>0</v>
      </c>
      <c r="J41" s="5">
        <f>Table1[[#This Row],[Enrolment S.Y. 2025-2026 ]]*8</f>
        <v>1296</v>
      </c>
      <c r="K41" s="5"/>
      <c r="L41" s="1"/>
      <c r="M41" s="5"/>
      <c r="N41" s="5">
        <f t="shared" si="10"/>
        <v>1296</v>
      </c>
      <c r="O41" s="5">
        <f t="shared" si="11"/>
        <v>0</v>
      </c>
      <c r="P41" s="5">
        <f>Table1[[#This Row],[Enrolment S.Y. 2025-2026 ]]*8</f>
        <v>1296</v>
      </c>
      <c r="Q41" s="5"/>
      <c r="R41" s="1"/>
      <c r="S41" s="5"/>
      <c r="T41" s="5">
        <f t="shared" si="12"/>
        <v>1296</v>
      </c>
      <c r="U41" s="5">
        <f t="shared" si="13"/>
        <v>0</v>
      </c>
      <c r="V41" s="5">
        <f>Table1[[#This Row],[Enrolment S.Y. 2025-2026 ]]*8</f>
        <v>1296</v>
      </c>
      <c r="W41" s="5"/>
      <c r="X41" s="1"/>
      <c r="Y41" s="5"/>
      <c r="Z41" s="5">
        <f t="shared" si="14"/>
        <v>1296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130</v>
      </c>
      <c r="D43" s="5">
        <f>Table1[[#This Row],[Enrolment S.Y. 2025-2026 ]]*8</f>
        <v>1040</v>
      </c>
      <c r="E43" s="5"/>
      <c r="F43" s="1"/>
      <c r="G43" s="5"/>
      <c r="H43" s="5">
        <f t="shared" si="2"/>
        <v>1040</v>
      </c>
      <c r="I43" s="5">
        <f t="shared" si="3"/>
        <v>0</v>
      </c>
      <c r="J43" s="5">
        <f>Table1[[#This Row],[Enrolment S.Y. 2025-2026 ]]*8</f>
        <v>1040</v>
      </c>
      <c r="K43" s="5"/>
      <c r="L43" s="1"/>
      <c r="M43" s="5"/>
      <c r="N43" s="5">
        <f t="shared" si="10"/>
        <v>1040</v>
      </c>
      <c r="O43" s="5">
        <f t="shared" si="11"/>
        <v>0</v>
      </c>
      <c r="P43" s="5">
        <f>Table1[[#This Row],[Enrolment S.Y. 2025-2026 ]]*8</f>
        <v>1040</v>
      </c>
      <c r="Q43" s="5"/>
      <c r="R43" s="1"/>
      <c r="S43" s="5"/>
      <c r="T43" s="5">
        <f t="shared" si="12"/>
        <v>1040</v>
      </c>
      <c r="U43" s="5">
        <f t="shared" si="13"/>
        <v>0</v>
      </c>
      <c r="V43" s="5">
        <f>Table1[[#This Row],[Enrolment S.Y. 2025-2026 ]]*8</f>
        <v>1040</v>
      </c>
      <c r="W43" s="5"/>
      <c r="X43" s="1"/>
      <c r="Y43" s="5"/>
      <c r="Z43" s="5">
        <f t="shared" si="14"/>
        <v>1040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130</v>
      </c>
      <c r="D44" s="5">
        <f>Table1[[#This Row],[Enrolment S.Y. 2025-2026 ]]*8</f>
        <v>1040</v>
      </c>
      <c r="E44" s="5"/>
      <c r="F44" s="1"/>
      <c r="G44" s="5"/>
      <c r="H44" s="5">
        <f t="shared" si="2"/>
        <v>1040</v>
      </c>
      <c r="I44" s="5">
        <f t="shared" si="3"/>
        <v>0</v>
      </c>
      <c r="J44" s="5">
        <f>Table1[[#This Row],[Enrolment S.Y. 2025-2026 ]]*8</f>
        <v>1040</v>
      </c>
      <c r="K44" s="5"/>
      <c r="L44" s="1"/>
      <c r="M44" s="5"/>
      <c r="N44" s="5">
        <f t="shared" si="10"/>
        <v>1040</v>
      </c>
      <c r="O44" s="5">
        <f t="shared" si="11"/>
        <v>0</v>
      </c>
      <c r="P44" s="5">
        <f>Table1[[#This Row],[Enrolment S.Y. 2025-2026 ]]*8</f>
        <v>1040</v>
      </c>
      <c r="Q44" s="5"/>
      <c r="R44" s="1"/>
      <c r="S44" s="5"/>
      <c r="T44" s="5">
        <f t="shared" si="12"/>
        <v>1040</v>
      </c>
      <c r="U44" s="5">
        <f t="shared" si="13"/>
        <v>0</v>
      </c>
      <c r="V44" s="5">
        <f>Table1[[#This Row],[Enrolment S.Y. 2025-2026 ]]*8</f>
        <v>1040</v>
      </c>
      <c r="W44" s="5"/>
      <c r="X44" s="1"/>
      <c r="Y44" s="5"/>
      <c r="Z44" s="5">
        <f t="shared" si="14"/>
        <v>1040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130</v>
      </c>
      <c r="D45" s="5">
        <f>Table1[[#This Row],[Enrolment S.Y. 2025-2026 ]]*8</f>
        <v>1040</v>
      </c>
      <c r="E45" s="5"/>
      <c r="F45" s="1"/>
      <c r="G45" s="5"/>
      <c r="H45" s="5">
        <f t="shared" si="2"/>
        <v>1040</v>
      </c>
      <c r="I45" s="5">
        <f t="shared" si="3"/>
        <v>0</v>
      </c>
      <c r="J45" s="5">
        <f>Table1[[#This Row],[Enrolment S.Y. 2025-2026 ]]*8</f>
        <v>1040</v>
      </c>
      <c r="K45" s="5"/>
      <c r="L45" s="1"/>
      <c r="M45" s="5"/>
      <c r="N45" s="5">
        <f t="shared" si="10"/>
        <v>1040</v>
      </c>
      <c r="O45" s="5">
        <f t="shared" si="11"/>
        <v>0</v>
      </c>
      <c r="P45" s="5">
        <f>Table1[[#This Row],[Enrolment S.Y. 2025-2026 ]]*8</f>
        <v>1040</v>
      </c>
      <c r="Q45" s="5"/>
      <c r="R45" s="1"/>
      <c r="S45" s="5"/>
      <c r="T45" s="5">
        <f t="shared" si="12"/>
        <v>1040</v>
      </c>
      <c r="U45" s="5">
        <f t="shared" si="13"/>
        <v>0</v>
      </c>
      <c r="V45" s="5">
        <f>Table1[[#This Row],[Enrolment S.Y. 2025-2026 ]]*8</f>
        <v>1040</v>
      </c>
      <c r="W45" s="5"/>
      <c r="X45" s="1"/>
      <c r="Y45" s="5"/>
      <c r="Z45" s="5">
        <f t="shared" si="14"/>
        <v>1040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130</v>
      </c>
      <c r="D46" s="5">
        <f>Table1[[#This Row],[Enrolment S.Y. 2025-2026 ]]*8</f>
        <v>1040</v>
      </c>
      <c r="E46" s="5"/>
      <c r="F46" s="1"/>
      <c r="G46" s="5"/>
      <c r="H46" s="5">
        <f t="shared" si="2"/>
        <v>1040</v>
      </c>
      <c r="I46" s="5">
        <f t="shared" si="3"/>
        <v>0</v>
      </c>
      <c r="J46" s="5">
        <f>Table1[[#This Row],[Enrolment S.Y. 2025-2026 ]]*8</f>
        <v>1040</v>
      </c>
      <c r="K46" s="5"/>
      <c r="L46" s="1"/>
      <c r="M46" s="5"/>
      <c r="N46" s="5">
        <f t="shared" si="10"/>
        <v>1040</v>
      </c>
      <c r="O46" s="5">
        <f t="shared" si="11"/>
        <v>0</v>
      </c>
      <c r="P46" s="5">
        <f>Table1[[#This Row],[Enrolment S.Y. 2025-2026 ]]*8</f>
        <v>1040</v>
      </c>
      <c r="Q46" s="5"/>
      <c r="R46" s="1"/>
      <c r="S46" s="5"/>
      <c r="T46" s="5">
        <f t="shared" si="12"/>
        <v>1040</v>
      </c>
      <c r="U46" s="5">
        <f t="shared" si="13"/>
        <v>0</v>
      </c>
      <c r="V46" s="5">
        <f>Table1[[#This Row],[Enrolment S.Y. 2025-2026 ]]*8</f>
        <v>1040</v>
      </c>
      <c r="W46" s="5"/>
      <c r="X46" s="1"/>
      <c r="Y46" s="5"/>
      <c r="Z46" s="5">
        <f t="shared" si="14"/>
        <v>1040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130</v>
      </c>
      <c r="D47" s="5">
        <f>Table1[[#This Row],[Enrolment S.Y. 2025-2026 ]]*8</f>
        <v>1040</v>
      </c>
      <c r="E47" s="5"/>
      <c r="F47" s="1"/>
      <c r="G47" s="5"/>
      <c r="H47" s="5">
        <f t="shared" si="2"/>
        <v>1040</v>
      </c>
      <c r="I47" s="5">
        <f t="shared" si="3"/>
        <v>0</v>
      </c>
      <c r="J47" s="5">
        <f>Table1[[#This Row],[Enrolment S.Y. 2025-2026 ]]*8</f>
        <v>1040</v>
      </c>
      <c r="K47" s="5"/>
      <c r="L47" s="1"/>
      <c r="M47" s="5"/>
      <c r="N47" s="5">
        <f t="shared" si="10"/>
        <v>1040</v>
      </c>
      <c r="O47" s="5">
        <f t="shared" si="11"/>
        <v>0</v>
      </c>
      <c r="P47" s="5">
        <f>Table1[[#This Row],[Enrolment S.Y. 2025-2026 ]]*8</f>
        <v>1040</v>
      </c>
      <c r="Q47" s="5"/>
      <c r="R47" s="1"/>
      <c r="S47" s="5"/>
      <c r="T47" s="5">
        <f t="shared" si="12"/>
        <v>1040</v>
      </c>
      <c r="U47" s="5">
        <f t="shared" si="13"/>
        <v>0</v>
      </c>
      <c r="V47" s="5">
        <f>Table1[[#This Row],[Enrolment S.Y. 2025-2026 ]]*8</f>
        <v>1040</v>
      </c>
      <c r="W47" s="5"/>
      <c r="X47" s="1"/>
      <c r="Y47" s="5"/>
      <c r="Z47" s="5">
        <f t="shared" si="14"/>
        <v>1040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130</v>
      </c>
      <c r="D48" s="5">
        <f>Table1[[#This Row],[Enrolment S.Y. 2025-2026 ]]*8</f>
        <v>1040</v>
      </c>
      <c r="E48" s="5"/>
      <c r="F48" s="1"/>
      <c r="G48" s="5"/>
      <c r="H48" s="5">
        <f t="shared" si="2"/>
        <v>1040</v>
      </c>
      <c r="I48" s="5">
        <f t="shared" si="3"/>
        <v>0</v>
      </c>
      <c r="J48" s="5">
        <f>Table1[[#This Row],[Enrolment S.Y. 2025-2026 ]]*8</f>
        <v>1040</v>
      </c>
      <c r="K48" s="5"/>
      <c r="L48" s="1"/>
      <c r="M48" s="5"/>
      <c r="N48" s="5">
        <f t="shared" si="10"/>
        <v>1040</v>
      </c>
      <c r="O48" s="5">
        <f t="shared" si="11"/>
        <v>0</v>
      </c>
      <c r="P48" s="5">
        <f>Table1[[#This Row],[Enrolment S.Y. 2025-2026 ]]*8</f>
        <v>1040</v>
      </c>
      <c r="Q48" s="5"/>
      <c r="R48" s="1"/>
      <c r="S48" s="5"/>
      <c r="T48" s="5">
        <f t="shared" si="12"/>
        <v>1040</v>
      </c>
      <c r="U48" s="5">
        <f t="shared" si="13"/>
        <v>0</v>
      </c>
      <c r="V48" s="5">
        <f>Table1[[#This Row],[Enrolment S.Y. 2025-2026 ]]*8</f>
        <v>1040</v>
      </c>
      <c r="W48" s="5"/>
      <c r="X48" s="1"/>
      <c r="Y48" s="5"/>
      <c r="Z48" s="5">
        <f t="shared" si="14"/>
        <v>1040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130</v>
      </c>
      <c r="D49" s="5">
        <f>Table1[[#This Row],[Enrolment S.Y. 2025-2026 ]]*8</f>
        <v>1040</v>
      </c>
      <c r="E49" s="5"/>
      <c r="F49" s="1"/>
      <c r="G49" s="5"/>
      <c r="H49" s="5">
        <f t="shared" si="2"/>
        <v>1040</v>
      </c>
      <c r="I49" s="5">
        <f t="shared" si="3"/>
        <v>0</v>
      </c>
      <c r="J49" s="5">
        <f>Table1[[#This Row],[Enrolment S.Y. 2025-2026 ]]*8</f>
        <v>1040</v>
      </c>
      <c r="K49" s="5"/>
      <c r="L49" s="1"/>
      <c r="M49" s="5"/>
      <c r="N49" s="5">
        <f t="shared" si="10"/>
        <v>1040</v>
      </c>
      <c r="O49" s="5">
        <f t="shared" si="11"/>
        <v>0</v>
      </c>
      <c r="P49" s="5">
        <f>Table1[[#This Row],[Enrolment S.Y. 2025-2026 ]]*8</f>
        <v>1040</v>
      </c>
      <c r="Q49" s="5"/>
      <c r="R49" s="1"/>
      <c r="S49" s="5"/>
      <c r="T49" s="5">
        <f t="shared" si="12"/>
        <v>1040</v>
      </c>
      <c r="U49" s="5">
        <f t="shared" si="13"/>
        <v>0</v>
      </c>
      <c r="V49" s="5">
        <f>Table1[[#This Row],[Enrolment S.Y. 2025-2026 ]]*8</f>
        <v>1040</v>
      </c>
      <c r="W49" s="5"/>
      <c r="X49" s="1"/>
      <c r="Y49" s="5"/>
      <c r="Z49" s="5">
        <f t="shared" si="14"/>
        <v>1040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130</v>
      </c>
      <c r="D50" s="5">
        <f>Table1[[#This Row],[Enrolment S.Y. 2025-2026 ]]*8</f>
        <v>1040</v>
      </c>
      <c r="E50" s="5"/>
      <c r="F50" s="1"/>
      <c r="G50" s="5"/>
      <c r="H50" s="5">
        <f t="shared" si="2"/>
        <v>1040</v>
      </c>
      <c r="I50" s="5">
        <f t="shared" si="3"/>
        <v>0</v>
      </c>
      <c r="J50" s="5">
        <f>Table1[[#This Row],[Enrolment S.Y. 2025-2026 ]]*8</f>
        <v>1040</v>
      </c>
      <c r="K50" s="5"/>
      <c r="L50" s="1"/>
      <c r="M50" s="5"/>
      <c r="N50" s="5">
        <f t="shared" si="10"/>
        <v>1040</v>
      </c>
      <c r="O50" s="5">
        <f t="shared" si="11"/>
        <v>0</v>
      </c>
      <c r="P50" s="5">
        <f>Table1[[#This Row],[Enrolment S.Y. 2025-2026 ]]*8</f>
        <v>1040</v>
      </c>
      <c r="Q50" s="5"/>
      <c r="R50" s="1"/>
      <c r="S50" s="5"/>
      <c r="T50" s="5">
        <f t="shared" si="12"/>
        <v>1040</v>
      </c>
      <c r="U50" s="5">
        <f t="shared" si="13"/>
        <v>0</v>
      </c>
      <c r="V50" s="5">
        <f>Table1[[#This Row],[Enrolment S.Y. 2025-2026 ]]*8</f>
        <v>1040</v>
      </c>
      <c r="W50" s="5"/>
      <c r="X50" s="1"/>
      <c r="Y50" s="5"/>
      <c r="Z50" s="5">
        <f t="shared" si="14"/>
        <v>1040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130</v>
      </c>
      <c r="D51" s="5">
        <f>Table1[[#This Row],[Enrolment S.Y. 2025-2026 ]]*8</f>
        <v>1040</v>
      </c>
      <c r="E51" s="5"/>
      <c r="F51" s="1"/>
      <c r="G51" s="5"/>
      <c r="H51" s="5">
        <f t="shared" si="2"/>
        <v>1040</v>
      </c>
      <c r="I51" s="5">
        <f t="shared" si="3"/>
        <v>0</v>
      </c>
      <c r="J51" s="5">
        <f>Table1[[#This Row],[Enrolment S.Y. 2025-2026 ]]*8</f>
        <v>1040</v>
      </c>
      <c r="K51" s="5"/>
      <c r="L51" s="1"/>
      <c r="M51" s="5"/>
      <c r="N51" s="5">
        <f t="shared" si="10"/>
        <v>1040</v>
      </c>
      <c r="O51" s="5">
        <f t="shared" si="11"/>
        <v>0</v>
      </c>
      <c r="P51" s="5">
        <f>Table1[[#This Row],[Enrolment S.Y. 2025-2026 ]]*8</f>
        <v>1040</v>
      </c>
      <c r="Q51" s="5"/>
      <c r="R51" s="1"/>
      <c r="S51" s="5"/>
      <c r="T51" s="5">
        <f t="shared" si="12"/>
        <v>1040</v>
      </c>
      <c r="U51" s="5">
        <f t="shared" si="13"/>
        <v>0</v>
      </c>
      <c r="V51" s="5">
        <f>Table1[[#This Row],[Enrolment S.Y. 2025-2026 ]]*8</f>
        <v>1040</v>
      </c>
      <c r="W51" s="5"/>
      <c r="X51" s="1"/>
      <c r="Y51" s="5"/>
      <c r="Z51" s="5">
        <f t="shared" si="14"/>
        <v>1040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104</v>
      </c>
      <c r="D53" s="5">
        <f>Table1[[#This Row],[Enrolment S.Y. 2025-2026 ]]*8</f>
        <v>832</v>
      </c>
      <c r="E53" s="5"/>
      <c r="F53" s="1"/>
      <c r="G53" s="5"/>
      <c r="H53" s="5">
        <f t="shared" si="2"/>
        <v>832</v>
      </c>
      <c r="I53" s="5">
        <f t="shared" si="3"/>
        <v>0</v>
      </c>
      <c r="J53" s="5">
        <f>Table1[[#This Row],[Enrolment S.Y. 2025-2026 ]]*8</f>
        <v>832</v>
      </c>
      <c r="K53" s="5"/>
      <c r="L53" s="1"/>
      <c r="M53" s="5"/>
      <c r="N53" s="5">
        <f t="shared" si="10"/>
        <v>832</v>
      </c>
      <c r="O53" s="5">
        <f t="shared" si="11"/>
        <v>0</v>
      </c>
      <c r="P53" s="5">
        <f>Table1[[#This Row],[Enrolment S.Y. 2025-2026 ]]*8</f>
        <v>832</v>
      </c>
      <c r="Q53" s="5"/>
      <c r="R53" s="1"/>
      <c r="S53" s="5"/>
      <c r="T53" s="5">
        <f t="shared" si="12"/>
        <v>832</v>
      </c>
      <c r="U53" s="5">
        <f t="shared" si="13"/>
        <v>0</v>
      </c>
      <c r="V53" s="5">
        <f>Table1[[#This Row],[Enrolment S.Y. 2025-2026 ]]*8</f>
        <v>832</v>
      </c>
      <c r="W53" s="5"/>
      <c r="X53" s="1"/>
      <c r="Y53" s="5"/>
      <c r="Z53" s="5">
        <f t="shared" si="14"/>
        <v>832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104</v>
      </c>
      <c r="D54" s="5">
        <f>Table1[[#This Row],[Enrolment S.Y. 2025-2026 ]]*8</f>
        <v>832</v>
      </c>
      <c r="E54" s="5"/>
      <c r="F54" s="1"/>
      <c r="G54" s="5"/>
      <c r="H54" s="5">
        <f t="shared" si="2"/>
        <v>832</v>
      </c>
      <c r="I54" s="5">
        <f t="shared" si="3"/>
        <v>0</v>
      </c>
      <c r="J54" s="5">
        <f>Table1[[#This Row],[Enrolment S.Y. 2025-2026 ]]*8</f>
        <v>832</v>
      </c>
      <c r="K54" s="5"/>
      <c r="L54" s="1"/>
      <c r="M54" s="5"/>
      <c r="N54" s="5">
        <f t="shared" si="10"/>
        <v>832</v>
      </c>
      <c r="O54" s="5">
        <f t="shared" si="11"/>
        <v>0</v>
      </c>
      <c r="P54" s="5">
        <f>Table1[[#This Row],[Enrolment S.Y. 2025-2026 ]]*8</f>
        <v>832</v>
      </c>
      <c r="Q54" s="5"/>
      <c r="R54" s="1"/>
      <c r="S54" s="5"/>
      <c r="T54" s="5">
        <f t="shared" si="12"/>
        <v>832</v>
      </c>
      <c r="U54" s="5">
        <f t="shared" si="13"/>
        <v>0</v>
      </c>
      <c r="V54" s="5">
        <f>Table1[[#This Row],[Enrolment S.Y. 2025-2026 ]]*8</f>
        <v>832</v>
      </c>
      <c r="W54" s="5"/>
      <c r="X54" s="1"/>
      <c r="Y54" s="5"/>
      <c r="Z54" s="5">
        <f t="shared" si="14"/>
        <v>832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104</v>
      </c>
      <c r="D55" s="5">
        <f>Table1[[#This Row],[Enrolment S.Y. 2025-2026 ]]*8</f>
        <v>832</v>
      </c>
      <c r="E55" s="5"/>
      <c r="F55" s="1"/>
      <c r="G55" s="5"/>
      <c r="H55" s="5">
        <f t="shared" si="2"/>
        <v>832</v>
      </c>
      <c r="I55" s="5">
        <f t="shared" si="3"/>
        <v>0</v>
      </c>
      <c r="J55" s="5">
        <f>Table1[[#This Row],[Enrolment S.Y. 2025-2026 ]]*8</f>
        <v>832</v>
      </c>
      <c r="K55" s="5"/>
      <c r="L55" s="1"/>
      <c r="M55" s="5"/>
      <c r="N55" s="5">
        <f t="shared" si="10"/>
        <v>832</v>
      </c>
      <c r="O55" s="5">
        <f t="shared" si="11"/>
        <v>0</v>
      </c>
      <c r="P55" s="5">
        <f>Table1[[#This Row],[Enrolment S.Y. 2025-2026 ]]*8</f>
        <v>832</v>
      </c>
      <c r="Q55" s="5"/>
      <c r="R55" s="1"/>
      <c r="S55" s="5"/>
      <c r="T55" s="5">
        <f t="shared" si="12"/>
        <v>832</v>
      </c>
      <c r="U55" s="5">
        <f t="shared" si="13"/>
        <v>0</v>
      </c>
      <c r="V55" s="5">
        <f>Table1[[#This Row],[Enrolment S.Y. 2025-2026 ]]*8</f>
        <v>832</v>
      </c>
      <c r="W55" s="5"/>
      <c r="X55" s="1"/>
      <c r="Y55" s="5"/>
      <c r="Z55" s="5">
        <f t="shared" si="14"/>
        <v>832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104</v>
      </c>
      <c r="D56" s="5">
        <f>Table1[[#This Row],[Enrolment S.Y. 2025-2026 ]]*8</f>
        <v>832</v>
      </c>
      <c r="E56" s="5"/>
      <c r="F56" s="1"/>
      <c r="G56" s="5"/>
      <c r="H56" s="5">
        <f t="shared" si="2"/>
        <v>832</v>
      </c>
      <c r="I56" s="5">
        <f t="shared" si="3"/>
        <v>0</v>
      </c>
      <c r="J56" s="5">
        <f>Table1[[#This Row],[Enrolment S.Y. 2025-2026 ]]*8</f>
        <v>832</v>
      </c>
      <c r="K56" s="5"/>
      <c r="L56" s="1"/>
      <c r="M56" s="5"/>
      <c r="N56" s="5">
        <f t="shared" si="10"/>
        <v>832</v>
      </c>
      <c r="O56" s="5">
        <f t="shared" si="11"/>
        <v>0</v>
      </c>
      <c r="P56" s="5">
        <f>Table1[[#This Row],[Enrolment S.Y. 2025-2026 ]]*8</f>
        <v>832</v>
      </c>
      <c r="Q56" s="5"/>
      <c r="R56" s="1"/>
      <c r="S56" s="5"/>
      <c r="T56" s="5">
        <f t="shared" si="12"/>
        <v>832</v>
      </c>
      <c r="U56" s="5">
        <f t="shared" si="13"/>
        <v>0</v>
      </c>
      <c r="V56" s="5">
        <f>Table1[[#This Row],[Enrolment S.Y. 2025-2026 ]]*8</f>
        <v>832</v>
      </c>
      <c r="W56" s="5"/>
      <c r="X56" s="1"/>
      <c r="Y56" s="5"/>
      <c r="Z56" s="5">
        <f t="shared" si="14"/>
        <v>832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104</v>
      </c>
      <c r="D57" s="5">
        <f>Table1[[#This Row],[Enrolment S.Y. 2025-2026 ]]*8</f>
        <v>832</v>
      </c>
      <c r="E57" s="5"/>
      <c r="F57" s="1"/>
      <c r="G57" s="5"/>
      <c r="H57" s="5">
        <f t="shared" si="2"/>
        <v>832</v>
      </c>
      <c r="I57" s="5">
        <f t="shared" si="3"/>
        <v>0</v>
      </c>
      <c r="J57" s="5">
        <f>Table1[[#This Row],[Enrolment S.Y. 2025-2026 ]]*8</f>
        <v>832</v>
      </c>
      <c r="K57" s="5"/>
      <c r="L57" s="1"/>
      <c r="M57" s="5"/>
      <c r="N57" s="5">
        <f t="shared" si="10"/>
        <v>832</v>
      </c>
      <c r="O57" s="5">
        <f t="shared" si="11"/>
        <v>0</v>
      </c>
      <c r="P57" s="5">
        <f>Table1[[#This Row],[Enrolment S.Y. 2025-2026 ]]*8</f>
        <v>832</v>
      </c>
      <c r="Q57" s="5"/>
      <c r="R57" s="1"/>
      <c r="S57" s="5"/>
      <c r="T57" s="5">
        <f t="shared" si="12"/>
        <v>832</v>
      </c>
      <c r="U57" s="5">
        <f t="shared" si="13"/>
        <v>0</v>
      </c>
      <c r="V57" s="5">
        <f>Table1[[#This Row],[Enrolment S.Y. 2025-2026 ]]*8</f>
        <v>832</v>
      </c>
      <c r="W57" s="5"/>
      <c r="X57" s="1"/>
      <c r="Y57" s="5"/>
      <c r="Z57" s="5">
        <f t="shared" si="14"/>
        <v>832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104</v>
      </c>
      <c r="D58" s="5">
        <f>Table1[[#This Row],[Enrolment S.Y. 2025-2026 ]]*8</f>
        <v>832</v>
      </c>
      <c r="E58" s="5"/>
      <c r="F58" s="1"/>
      <c r="G58" s="5"/>
      <c r="H58" s="5">
        <f t="shared" si="2"/>
        <v>832</v>
      </c>
      <c r="I58" s="5">
        <f t="shared" si="3"/>
        <v>0</v>
      </c>
      <c r="J58" s="5">
        <f>Table1[[#This Row],[Enrolment S.Y. 2025-2026 ]]*8</f>
        <v>832</v>
      </c>
      <c r="K58" s="5"/>
      <c r="L58" s="1"/>
      <c r="M58" s="5"/>
      <c r="N58" s="5">
        <f t="shared" si="10"/>
        <v>832</v>
      </c>
      <c r="O58" s="5">
        <f t="shared" si="11"/>
        <v>0</v>
      </c>
      <c r="P58" s="5">
        <f>Table1[[#This Row],[Enrolment S.Y. 2025-2026 ]]*8</f>
        <v>832</v>
      </c>
      <c r="Q58" s="5"/>
      <c r="R58" s="1"/>
      <c r="S58" s="5"/>
      <c r="T58" s="5">
        <f t="shared" si="12"/>
        <v>832</v>
      </c>
      <c r="U58" s="5">
        <f t="shared" si="13"/>
        <v>0</v>
      </c>
      <c r="V58" s="5">
        <f>Table1[[#This Row],[Enrolment S.Y. 2025-2026 ]]*8</f>
        <v>832</v>
      </c>
      <c r="W58" s="5"/>
      <c r="X58" s="1"/>
      <c r="Y58" s="5"/>
      <c r="Z58" s="5">
        <f t="shared" si="14"/>
        <v>832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104</v>
      </c>
      <c r="D59" s="5">
        <f>Table1[[#This Row],[Enrolment S.Y. 2025-2026 ]]*8</f>
        <v>832</v>
      </c>
      <c r="E59" s="5"/>
      <c r="F59" s="1"/>
      <c r="G59" s="5"/>
      <c r="H59" s="5">
        <f t="shared" si="2"/>
        <v>832</v>
      </c>
      <c r="I59" s="5">
        <f t="shared" si="3"/>
        <v>0</v>
      </c>
      <c r="J59" s="5">
        <f>Table1[[#This Row],[Enrolment S.Y. 2025-2026 ]]*8</f>
        <v>832</v>
      </c>
      <c r="K59" s="5"/>
      <c r="L59" s="1"/>
      <c r="M59" s="5"/>
      <c r="N59" s="5">
        <f t="shared" si="10"/>
        <v>832</v>
      </c>
      <c r="O59" s="5">
        <f t="shared" si="11"/>
        <v>0</v>
      </c>
      <c r="P59" s="5">
        <f>Table1[[#This Row],[Enrolment S.Y. 2025-2026 ]]*8</f>
        <v>832</v>
      </c>
      <c r="Q59" s="5"/>
      <c r="R59" s="1"/>
      <c r="S59" s="5"/>
      <c r="T59" s="5">
        <f t="shared" si="12"/>
        <v>832</v>
      </c>
      <c r="U59" s="5">
        <f t="shared" si="13"/>
        <v>0</v>
      </c>
      <c r="V59" s="5">
        <f>Table1[[#This Row],[Enrolment S.Y. 2025-2026 ]]*8</f>
        <v>832</v>
      </c>
      <c r="W59" s="5"/>
      <c r="X59" s="1"/>
      <c r="Y59" s="5"/>
      <c r="Z59" s="5">
        <f t="shared" si="14"/>
        <v>832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104</v>
      </c>
      <c r="D60" s="5">
        <f>Table1[[#This Row],[Enrolment S.Y. 2025-2026 ]]*8</f>
        <v>832</v>
      </c>
      <c r="E60" s="5"/>
      <c r="F60" s="1"/>
      <c r="G60" s="5"/>
      <c r="H60" s="5">
        <f t="shared" si="2"/>
        <v>832</v>
      </c>
      <c r="I60" s="5">
        <f t="shared" si="3"/>
        <v>0</v>
      </c>
      <c r="J60" s="5">
        <f>Table1[[#This Row],[Enrolment S.Y. 2025-2026 ]]*8</f>
        <v>832</v>
      </c>
      <c r="K60" s="5"/>
      <c r="L60" s="1"/>
      <c r="M60" s="5"/>
      <c r="N60" s="5">
        <f t="shared" si="10"/>
        <v>832</v>
      </c>
      <c r="O60" s="5">
        <f t="shared" si="11"/>
        <v>0</v>
      </c>
      <c r="P60" s="5">
        <f>Table1[[#This Row],[Enrolment S.Y. 2025-2026 ]]*8</f>
        <v>832</v>
      </c>
      <c r="Q60" s="5"/>
      <c r="R60" s="1"/>
      <c r="S60" s="5"/>
      <c r="T60" s="5">
        <f t="shared" si="12"/>
        <v>832</v>
      </c>
      <c r="U60" s="5">
        <f t="shared" si="13"/>
        <v>0</v>
      </c>
      <c r="V60" s="5">
        <f>Table1[[#This Row],[Enrolment S.Y. 2025-2026 ]]*8</f>
        <v>832</v>
      </c>
      <c r="W60" s="5"/>
      <c r="X60" s="1"/>
      <c r="Y60" s="5"/>
      <c r="Z60" s="5">
        <f t="shared" si="14"/>
        <v>832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104</v>
      </c>
      <c r="D61" s="5">
        <f>Table1[[#This Row],[Enrolment S.Y. 2025-2026 ]]*8</f>
        <v>832</v>
      </c>
      <c r="E61" s="5"/>
      <c r="F61" s="1"/>
      <c r="G61" s="5"/>
      <c r="H61" s="5">
        <f t="shared" si="2"/>
        <v>832</v>
      </c>
      <c r="I61" s="5">
        <f t="shared" si="3"/>
        <v>0</v>
      </c>
      <c r="J61" s="5">
        <f>Table1[[#This Row],[Enrolment S.Y. 2025-2026 ]]*8</f>
        <v>832</v>
      </c>
      <c r="K61" s="5"/>
      <c r="L61" s="1"/>
      <c r="M61" s="5"/>
      <c r="N61" s="5">
        <f t="shared" si="10"/>
        <v>832</v>
      </c>
      <c r="O61" s="5">
        <f t="shared" si="11"/>
        <v>0</v>
      </c>
      <c r="P61" s="5">
        <f>Table1[[#This Row],[Enrolment S.Y. 2025-2026 ]]*8</f>
        <v>832</v>
      </c>
      <c r="Q61" s="5"/>
      <c r="R61" s="1"/>
      <c r="S61" s="5"/>
      <c r="T61" s="5">
        <f t="shared" si="12"/>
        <v>832</v>
      </c>
      <c r="U61" s="5">
        <f t="shared" si="13"/>
        <v>0</v>
      </c>
      <c r="V61" s="5">
        <f>Table1[[#This Row],[Enrolment S.Y. 2025-2026 ]]*8</f>
        <v>832</v>
      </c>
      <c r="W61" s="5"/>
      <c r="X61" s="1"/>
      <c r="Y61" s="5"/>
      <c r="Z61" s="5">
        <f t="shared" si="14"/>
        <v>832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H33:I41 H43:I51 H53:I61 H63:I71 Q63:R71 W63:X71 H73:I81 Q73:R81 W73:X81 H83:I91 Q83:R91 W83:X91 H93:I101 Q93:R101 W93:X101 H103:I110 Q103:R110 W103:X110 H112:I127 N127:R127 W112:X127 H14:I21 H23:I31 H6:I12 Q112:R126 P2:R2 V2:X3 N13:P126 T13:V127 J6:J127 N4:P4 T4:V4 J4 Z4:AA127 N3:R3 Y13 D5:F12 D14:F21 D23:F31 D33:F41 D43:F51 D53:F61 D63:F71 D73:F81 D83:F91 D93:F101 D103:F110 D112:F127 K6:L12 K53:L61 K43:L51 K33:L41 K23:L31 K14:L21 K63:L71 K93:L101 K83:L91 K73:L81 K103:L110 K112:L127 N5:R12 Q53:R61 Q43:R51 Q33:R41 Q23:R31 Q14:R21 T5:X12 W53:X61 W43:X51 W33:X41 W23:X31 W14:X2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2"/>
    <protectedRange sqref="C14:C21" name="Textbooks_3"/>
    <protectedRange sqref="C23:C31" name="Textbooks_4"/>
    <protectedRange sqref="C33:C41" name="Textbooks_5"/>
    <protectedRange sqref="C43:C51" name="Textbooks_6"/>
    <protectedRange sqref="C53:C61" name="Textbooks_7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63:R71 R73:R81 X112:X127 X63:X71 X73:X81 R103:R110 R83:R91 X83:X91 X93:X101 R93:R101 R112:R127 X103:X110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4CABEA68-81CE-4176-9949-C26E1AE32617}">
      <formula1>"2024,2025,2026"</formula1>
    </dataValidation>
    <dataValidation type="list" allowBlank="1" showInputMessage="1" showErrorMessage="1" sqref="L53:L61 L43:L51 L33:L41 L23:L31 L5:L12 L14:L21 L93:L101 L83:L91 L63:L71 L73:L81 L103:L110 L112:L127 R53:R61 R43:R51 R33:R41 R23:R31 R5:R12 R14:R21 X53:X61 X43:X51 X33:X41 X23:X31 X5:X12 X14:X21" xr:uid="{7DBCDAC8-DFCF-43B7-B45A-959E132C0A8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tabSelected="1" topLeftCell="U1" zoomScale="55" zoomScaleNormal="55" workbookViewId="0">
      <selection activeCell="Y80" sqref="Y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1" t="s">
        <v>71</v>
      </c>
      <c r="N2" s="41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2" t="s">
        <v>83</v>
      </c>
      <c r="Z2" s="42" t="s">
        <v>84</v>
      </c>
      <c r="AA2" s="26" t="s">
        <v>85</v>
      </c>
    </row>
    <row r="3" spans="1:27" ht="33.75" customHeight="1">
      <c r="A3" s="40" t="s">
        <v>86</v>
      </c>
      <c r="B3" s="33"/>
      <c r="C3" s="34">
        <v>152</v>
      </c>
      <c r="D3" s="34">
        <f>Table14[[#This Row],[Enrolment S.Y. 2025-2026 ]]*8</f>
        <v>1216</v>
      </c>
      <c r="E3" s="34"/>
      <c r="F3" s="32"/>
      <c r="G3" s="34"/>
      <c r="H3" s="34">
        <f>IF((D3-E3)&lt;0,0,(D3-E3))</f>
        <v>1216</v>
      </c>
      <c r="I3" s="34">
        <f>IF((E3-D3)&lt;0,0,(E3-D3))</f>
        <v>0</v>
      </c>
      <c r="J3" s="34">
        <f>Table14[[#This Row],[Enrolment S.Y. 2025-2026 ]]*8</f>
        <v>1216</v>
      </c>
      <c r="K3" s="34"/>
      <c r="L3" s="32"/>
      <c r="M3" s="34"/>
      <c r="N3" s="34"/>
      <c r="O3" s="34"/>
      <c r="P3" s="34" t="e">
        <f>#REF!*8</f>
        <v>#REF!</v>
      </c>
      <c r="Q3" s="34"/>
      <c r="R3" s="32"/>
      <c r="S3" s="34"/>
      <c r="T3" s="34" t="e">
        <f>IF((P3-Q3)&lt;0,0,(P3-Q3))</f>
        <v>#REF!</v>
      </c>
      <c r="U3" s="34" t="e">
        <f>IF((Q3-P3)&lt;0,0,(Q3-P3))</f>
        <v>#REF!</v>
      </c>
      <c r="V3" s="34">
        <f>Table14[[#This Row],[Enrolment S.Y. 2025-2026 ]]*8</f>
        <v>1216</v>
      </c>
      <c r="W3" s="34"/>
      <c r="X3" s="32"/>
      <c r="Y3" s="34"/>
      <c r="Z3" s="34">
        <f>IF((V3-W3)&lt;0,0,(V3-W3))</f>
        <v>1216</v>
      </c>
      <c r="AA3" s="34">
        <f>IF((W3-V3)&lt;0,0,(W3-V3))</f>
        <v>0</v>
      </c>
    </row>
    <row r="4" spans="1:27" ht="31.5" customHeight="1">
      <c r="A4" s="1">
        <v>1</v>
      </c>
      <c r="B4" s="2" t="s">
        <v>8</v>
      </c>
      <c r="C4" s="1">
        <v>139</v>
      </c>
      <c r="D4" s="5">
        <f>Table14[[#This Row],[Enrolment S.Y. 2025-2026 ]]*8</f>
        <v>1112</v>
      </c>
      <c r="E4" s="5"/>
      <c r="F4" s="1"/>
      <c r="G4" s="5"/>
      <c r="H4" s="5">
        <f t="shared" ref="H4:H84" si="0">IF((D4-E4)&lt;0,0,(D4-E4))</f>
        <v>1112</v>
      </c>
      <c r="I4" s="5">
        <f t="shared" ref="I4:I84" si="1">IF((E4-D4)&lt;0,0,(E4-D4))</f>
        <v>0</v>
      </c>
      <c r="J4" s="5">
        <f>Table14[[#This Row],[Enrolment S.Y. 2025-2026 ]]*8</f>
        <v>1112</v>
      </c>
      <c r="K4" s="5"/>
      <c r="L4" s="32"/>
      <c r="M4" s="5"/>
      <c r="N4" s="5">
        <f t="shared" ref="N4:N73" si="2">IF((J4-K4)&lt;0,0,(J4-K4))</f>
        <v>1112</v>
      </c>
      <c r="O4" s="5">
        <f t="shared" ref="O4:O73" si="3">IF((K4-J4)&lt;0,0,(K4-J4))</f>
        <v>0</v>
      </c>
      <c r="P4" s="5">
        <f>Table14[[#This Row],[Enrolment S.Y. 2025-2026 ]]*8</f>
        <v>1112</v>
      </c>
      <c r="Q4" s="5"/>
      <c r="R4" s="32"/>
      <c r="S4" s="5"/>
      <c r="T4" s="5">
        <f t="shared" ref="T4:T73" si="4">IF((P4-Q4)&lt;0,0,(P4-Q4))</f>
        <v>1112</v>
      </c>
      <c r="U4" s="5">
        <f t="shared" ref="U4:U73" si="5">IF((Q4-P4)&lt;0,0,(Q4-P4))</f>
        <v>0</v>
      </c>
      <c r="V4" s="5">
        <f>Table14[[#This Row],[Enrolment S.Y. 2025-2026 ]]*8</f>
        <v>1112</v>
      </c>
      <c r="W4" s="5"/>
      <c r="X4" s="32"/>
      <c r="Y4" s="5"/>
      <c r="Z4" s="5">
        <f t="shared" ref="Z4:Z73" si="6">IF((V4-W4)&lt;0,0,(V4-W4))</f>
        <v>1112</v>
      </c>
      <c r="AA4" s="5">
        <f t="shared" ref="AA4:AA73" si="7">IF((W4-V4)&lt;0,0,(W4-V4))</f>
        <v>0</v>
      </c>
    </row>
    <row r="5" spans="1:27" ht="19.5">
      <c r="A5" s="1">
        <v>1</v>
      </c>
      <c r="B5" s="2" t="s">
        <v>9</v>
      </c>
      <c r="C5" s="1">
        <v>139</v>
      </c>
      <c r="D5" s="5">
        <f>Table14[[#This Row],[Enrolment S.Y. 2025-2026 ]]*8</f>
        <v>1112</v>
      </c>
      <c r="E5" s="5"/>
      <c r="F5" s="1"/>
      <c r="G5" s="5"/>
      <c r="H5" s="5">
        <f t="shared" si="0"/>
        <v>1112</v>
      </c>
      <c r="I5" s="5">
        <f t="shared" si="1"/>
        <v>0</v>
      </c>
      <c r="J5" s="5">
        <f>Table14[[#This Row],[Enrolment S.Y. 2025-2026 ]]*8</f>
        <v>1112</v>
      </c>
      <c r="K5" s="5"/>
      <c r="L5" s="32"/>
      <c r="M5" s="5"/>
      <c r="N5" s="5">
        <f t="shared" si="2"/>
        <v>1112</v>
      </c>
      <c r="O5" s="5">
        <f t="shared" si="3"/>
        <v>0</v>
      </c>
      <c r="P5" s="5">
        <f>Table14[[#This Row],[Enrolment S.Y. 2025-2026 ]]*8</f>
        <v>1112</v>
      </c>
      <c r="Q5" s="5"/>
      <c r="R5" s="32"/>
      <c r="S5" s="5"/>
      <c r="T5" s="5">
        <f t="shared" si="4"/>
        <v>1112</v>
      </c>
      <c r="U5" s="5">
        <f t="shared" si="5"/>
        <v>0</v>
      </c>
      <c r="V5" s="5">
        <f>Table14[[#This Row],[Enrolment S.Y. 2025-2026 ]]*8</f>
        <v>1112</v>
      </c>
      <c r="W5" s="5"/>
      <c r="X5" s="32"/>
      <c r="Y5" s="5"/>
      <c r="Z5" s="5">
        <f t="shared" si="6"/>
        <v>1112</v>
      </c>
      <c r="AA5" s="5">
        <f t="shared" si="7"/>
        <v>0</v>
      </c>
    </row>
    <row r="6" spans="1:27" ht="19.5">
      <c r="A6" s="1">
        <v>1</v>
      </c>
      <c r="B6" s="2" t="s">
        <v>10</v>
      </c>
      <c r="C6" s="1">
        <v>139</v>
      </c>
      <c r="D6" s="5">
        <f>Table14[[#This Row],[Enrolment S.Y. 2025-2026 ]]*8</f>
        <v>1112</v>
      </c>
      <c r="E6" s="5"/>
      <c r="F6" s="1"/>
      <c r="G6" s="5"/>
      <c r="H6" s="5">
        <f t="shared" si="0"/>
        <v>1112</v>
      </c>
      <c r="I6" s="5">
        <f t="shared" si="1"/>
        <v>0</v>
      </c>
      <c r="J6" s="5">
        <f>Table14[[#This Row],[Enrolment S.Y. 2025-2026 ]]*8</f>
        <v>1112</v>
      </c>
      <c r="K6" s="5"/>
      <c r="L6" s="32"/>
      <c r="M6" s="5"/>
      <c r="N6" s="5">
        <f t="shared" si="2"/>
        <v>1112</v>
      </c>
      <c r="O6" s="5">
        <f t="shared" si="3"/>
        <v>0</v>
      </c>
      <c r="P6" s="5">
        <f>Table14[[#This Row],[Enrolment S.Y. 2025-2026 ]]*8</f>
        <v>1112</v>
      </c>
      <c r="Q6" s="5"/>
      <c r="R6" s="32"/>
      <c r="S6" s="5"/>
      <c r="T6" s="5">
        <f t="shared" si="4"/>
        <v>1112</v>
      </c>
      <c r="U6" s="5">
        <f t="shared" si="5"/>
        <v>0</v>
      </c>
      <c r="V6" s="5">
        <f>Table14[[#This Row],[Enrolment S.Y. 2025-2026 ]]*8</f>
        <v>1112</v>
      </c>
      <c r="W6" s="5"/>
      <c r="X6" s="32"/>
      <c r="Y6" s="5"/>
      <c r="Z6" s="5">
        <f t="shared" si="6"/>
        <v>1112</v>
      </c>
      <c r="AA6" s="5">
        <f t="shared" si="7"/>
        <v>0</v>
      </c>
    </row>
    <row r="7" spans="1:27" ht="19.5">
      <c r="A7" s="1">
        <v>1</v>
      </c>
      <c r="B7" s="2" t="s">
        <v>11</v>
      </c>
      <c r="C7" s="1">
        <v>139</v>
      </c>
      <c r="D7" s="5">
        <f>Table14[[#This Row],[Enrolment S.Y. 2025-2026 ]]*8</f>
        <v>1112</v>
      </c>
      <c r="E7" s="5"/>
      <c r="F7" s="1"/>
      <c r="G7" s="5"/>
      <c r="H7" s="5">
        <f t="shared" si="0"/>
        <v>1112</v>
      </c>
      <c r="I7" s="5">
        <f t="shared" si="1"/>
        <v>0</v>
      </c>
      <c r="J7" s="5">
        <f>Table14[[#This Row],[Enrolment S.Y. 2025-2026 ]]*8</f>
        <v>1112</v>
      </c>
      <c r="K7" s="5"/>
      <c r="L7" s="32"/>
      <c r="M7" s="5"/>
      <c r="N7" s="5">
        <f t="shared" si="2"/>
        <v>1112</v>
      </c>
      <c r="O7" s="5">
        <f t="shared" si="3"/>
        <v>0</v>
      </c>
      <c r="P7" s="5">
        <f>Table14[[#This Row],[Enrolment S.Y. 2025-2026 ]]*8</f>
        <v>1112</v>
      </c>
      <c r="Q7" s="5"/>
      <c r="R7" s="32"/>
      <c r="S7" s="5"/>
      <c r="T7" s="5">
        <f t="shared" si="4"/>
        <v>1112</v>
      </c>
      <c r="U7" s="5">
        <f t="shared" si="5"/>
        <v>0</v>
      </c>
      <c r="V7" s="5">
        <f>Table14[[#This Row],[Enrolment S.Y. 2025-2026 ]]*8</f>
        <v>1112</v>
      </c>
      <c r="W7" s="5"/>
      <c r="X7" s="32"/>
      <c r="Y7" s="5"/>
      <c r="Z7" s="5">
        <f t="shared" si="6"/>
        <v>1112</v>
      </c>
      <c r="AA7" s="5">
        <f t="shared" si="7"/>
        <v>0</v>
      </c>
    </row>
    <row r="8" spans="1:27" ht="19.5">
      <c r="A8" s="1">
        <v>1</v>
      </c>
      <c r="B8" s="2" t="s">
        <v>12</v>
      </c>
      <c r="C8" s="1">
        <v>139</v>
      </c>
      <c r="D8" s="5">
        <f>Table14[[#This Row],[Enrolment S.Y. 2025-2026 ]]*8</f>
        <v>1112</v>
      </c>
      <c r="E8" s="5"/>
      <c r="F8" s="1"/>
      <c r="G8" s="5"/>
      <c r="H8" s="5">
        <f t="shared" si="0"/>
        <v>1112</v>
      </c>
      <c r="I8" s="5">
        <f t="shared" si="1"/>
        <v>0</v>
      </c>
      <c r="J8" s="5">
        <f>Table14[[#This Row],[Enrolment S.Y. 2025-2026 ]]*8</f>
        <v>1112</v>
      </c>
      <c r="K8" s="5"/>
      <c r="L8" s="32"/>
      <c r="M8" s="5"/>
      <c r="N8" s="5">
        <f t="shared" si="2"/>
        <v>1112</v>
      </c>
      <c r="O8" s="5">
        <f t="shared" si="3"/>
        <v>0</v>
      </c>
      <c r="P8" s="5">
        <f>Table14[[#This Row],[Enrolment S.Y. 2025-2026 ]]*8</f>
        <v>1112</v>
      </c>
      <c r="Q8" s="5"/>
      <c r="R8" s="32"/>
      <c r="S8" s="5"/>
      <c r="T8" s="5">
        <f t="shared" si="4"/>
        <v>1112</v>
      </c>
      <c r="U8" s="5">
        <f t="shared" si="5"/>
        <v>0</v>
      </c>
      <c r="V8" s="5">
        <f>Table14[[#This Row],[Enrolment S.Y. 2025-2026 ]]*8</f>
        <v>1112</v>
      </c>
      <c r="W8" s="5"/>
      <c r="X8" s="32"/>
      <c r="Y8" s="5"/>
      <c r="Z8" s="5">
        <f t="shared" si="6"/>
        <v>1112</v>
      </c>
      <c r="AA8" s="5">
        <f t="shared" si="7"/>
        <v>0</v>
      </c>
    </row>
    <row r="9" spans="1:27" ht="19.5">
      <c r="A9" s="1">
        <v>1</v>
      </c>
      <c r="B9" s="9" t="s">
        <v>14</v>
      </c>
      <c r="C9" s="1">
        <v>139</v>
      </c>
      <c r="D9" s="5">
        <f>Table14[[#This Row],[Enrolment S.Y. 2025-2026 ]]*8</f>
        <v>1112</v>
      </c>
      <c r="E9" s="5"/>
      <c r="F9" s="1"/>
      <c r="G9" s="5"/>
      <c r="H9" s="5">
        <f>IF((D9-E9)&lt;0,0,(D9-E9))</f>
        <v>1112</v>
      </c>
      <c r="I9" s="5">
        <f>IF((E9-D9)&lt;0,0,(E9-D9))</f>
        <v>0</v>
      </c>
      <c r="J9" s="5">
        <f>Table14[[#This Row],[Enrolment S.Y. 2025-2026 ]]*8</f>
        <v>1112</v>
      </c>
      <c r="K9" s="5"/>
      <c r="L9" s="32"/>
      <c r="M9" s="5"/>
      <c r="N9" s="5">
        <f t="shared" si="2"/>
        <v>1112</v>
      </c>
      <c r="O9" s="5">
        <f t="shared" si="3"/>
        <v>0</v>
      </c>
      <c r="P9" s="5">
        <f>Table14[[#This Row],[Enrolment S.Y. 2025-2026 ]]*8</f>
        <v>1112</v>
      </c>
      <c r="Q9" s="5"/>
      <c r="R9" s="32"/>
      <c r="S9" s="5"/>
      <c r="T9" s="5">
        <f t="shared" si="4"/>
        <v>1112</v>
      </c>
      <c r="U9" s="5">
        <f t="shared" si="5"/>
        <v>0</v>
      </c>
      <c r="V9" s="5">
        <f>Table14[[#This Row],[Enrolment S.Y. 2025-2026 ]]*8</f>
        <v>1112</v>
      </c>
      <c r="W9" s="5"/>
      <c r="X9" s="32"/>
      <c r="Y9" s="5"/>
      <c r="Z9" s="5">
        <f t="shared" si="6"/>
        <v>1112</v>
      </c>
      <c r="AA9" s="5">
        <f t="shared" si="7"/>
        <v>0</v>
      </c>
    </row>
    <row r="10" spans="1:27" ht="19.5">
      <c r="A10" s="1">
        <v>1</v>
      </c>
      <c r="B10" s="9" t="s">
        <v>15</v>
      </c>
      <c r="C10" s="1">
        <v>139</v>
      </c>
      <c r="D10" s="5">
        <f>Table14[[#This Row],[Enrolment S.Y. 2025-2026 ]]*8</f>
        <v>1112</v>
      </c>
      <c r="E10" s="5"/>
      <c r="F10" s="1"/>
      <c r="G10" s="5"/>
      <c r="H10" s="5">
        <f>IF((D10-E10)&lt;0,0,(D10-E10))</f>
        <v>1112</v>
      </c>
      <c r="I10" s="5">
        <f>IF((E10-D10)&lt;0,0,(E10-D10))</f>
        <v>0</v>
      </c>
      <c r="J10" s="5">
        <f>Table14[[#This Row],[Enrolment S.Y. 2025-2026 ]]*8</f>
        <v>1112</v>
      </c>
      <c r="K10" s="5"/>
      <c r="L10" s="32"/>
      <c r="M10" s="5"/>
      <c r="N10" s="5">
        <f t="shared" si="2"/>
        <v>1112</v>
      </c>
      <c r="O10" s="5">
        <f t="shared" si="3"/>
        <v>0</v>
      </c>
      <c r="P10" s="5">
        <f>Table14[[#This Row],[Enrolment S.Y. 2025-2026 ]]*8</f>
        <v>1112</v>
      </c>
      <c r="Q10" s="5"/>
      <c r="R10" s="32"/>
      <c r="S10" s="5"/>
      <c r="T10" s="5">
        <f t="shared" si="4"/>
        <v>1112</v>
      </c>
      <c r="U10" s="5">
        <f t="shared" si="5"/>
        <v>0</v>
      </c>
      <c r="V10" s="5">
        <f>Table14[[#This Row],[Enrolment S.Y. 2025-2026 ]]*8</f>
        <v>1112</v>
      </c>
      <c r="W10" s="5"/>
      <c r="X10" s="32"/>
      <c r="Y10" s="5"/>
      <c r="Z10" s="5">
        <f t="shared" si="6"/>
        <v>1112</v>
      </c>
      <c r="AA10" s="5">
        <f t="shared" si="7"/>
        <v>0</v>
      </c>
    </row>
    <row r="11" spans="1:27" ht="19.5">
      <c r="A11" s="1">
        <v>1</v>
      </c>
      <c r="B11" s="9" t="s">
        <v>61</v>
      </c>
      <c r="C11" s="1">
        <v>139</v>
      </c>
      <c r="D11" s="5">
        <f>Table14[[#This Row],[Enrolment S.Y. 2025-2026 ]]*8</f>
        <v>1112</v>
      </c>
      <c r="E11" s="5"/>
      <c r="F11" s="1"/>
      <c r="G11" s="5"/>
      <c r="H11" s="5">
        <f>IF((D11-E11)&lt;0,0,(D11-E11))</f>
        <v>1112</v>
      </c>
      <c r="I11" s="5">
        <f>IF((E11-D11)&lt;0,0,(E11-D11))</f>
        <v>0</v>
      </c>
      <c r="J11" s="5">
        <f>Table14[[#This Row],[Enrolment S.Y. 2025-2026 ]]*8</f>
        <v>1112</v>
      </c>
      <c r="K11" s="5"/>
      <c r="L11" s="32"/>
      <c r="M11" s="5"/>
      <c r="N11" s="5">
        <f t="shared" si="2"/>
        <v>1112</v>
      </c>
      <c r="O11" s="5">
        <f t="shared" si="3"/>
        <v>0</v>
      </c>
      <c r="P11" s="5">
        <f>Table14[[#This Row],[Enrolment S.Y. 2025-2026 ]]*8</f>
        <v>1112</v>
      </c>
      <c r="Q11" s="5"/>
      <c r="R11" s="32"/>
      <c r="S11" s="5"/>
      <c r="T11" s="5">
        <f t="shared" si="4"/>
        <v>1112</v>
      </c>
      <c r="U11" s="5">
        <f t="shared" si="5"/>
        <v>0</v>
      </c>
      <c r="V11" s="5">
        <f>Table14[[#This Row],[Enrolment S.Y. 2025-2026 ]]*8</f>
        <v>1112</v>
      </c>
      <c r="W11" s="5"/>
      <c r="X11" s="32"/>
      <c r="Y11" s="5"/>
      <c r="Z11" s="5">
        <f t="shared" si="6"/>
        <v>1112</v>
      </c>
      <c r="AA11" s="5">
        <f t="shared" si="7"/>
        <v>0</v>
      </c>
    </row>
    <row r="12" spans="1:27" s="7" customFormat="1" ht="15"/>
    <row r="13" spans="1:27" ht="35.25" customHeight="1">
      <c r="A13" s="1">
        <v>2</v>
      </c>
      <c r="B13" s="2" t="s">
        <v>8</v>
      </c>
      <c r="C13" s="1">
        <v>149</v>
      </c>
      <c r="D13" s="5">
        <f>Table14[[#This Row],[Enrolment S.Y. 2025-2026 ]]*8</f>
        <v>1192</v>
      </c>
      <c r="E13" s="5"/>
      <c r="F13" s="1"/>
      <c r="G13" s="5"/>
      <c r="H13" s="5">
        <f t="shared" si="0"/>
        <v>1192</v>
      </c>
      <c r="I13" s="5">
        <f t="shared" si="1"/>
        <v>0</v>
      </c>
      <c r="J13" s="5">
        <f>Table14[[#This Row],[Enrolment S.Y. 2025-2026 ]]*8</f>
        <v>1192</v>
      </c>
      <c r="K13" s="5"/>
      <c r="L13" s="32"/>
      <c r="M13" s="5"/>
      <c r="N13" s="5">
        <f t="shared" si="2"/>
        <v>1192</v>
      </c>
      <c r="O13" s="5">
        <f t="shared" si="3"/>
        <v>0</v>
      </c>
      <c r="P13" s="5">
        <f>Table14[[#This Row],[Enrolment S.Y. 2025-2026 ]]*8</f>
        <v>1192</v>
      </c>
      <c r="Q13" s="5"/>
      <c r="R13" s="32"/>
      <c r="S13" s="5"/>
      <c r="T13" s="5">
        <f t="shared" si="4"/>
        <v>1192</v>
      </c>
      <c r="U13" s="5">
        <f t="shared" si="5"/>
        <v>0</v>
      </c>
      <c r="V13" s="5">
        <f>Table14[[#This Row],[Enrolment S.Y. 2025-2026 ]]*8</f>
        <v>1192</v>
      </c>
      <c r="W13" s="5"/>
      <c r="X13" s="32"/>
      <c r="Y13" s="5"/>
      <c r="Z13" s="5">
        <f t="shared" si="6"/>
        <v>1192</v>
      </c>
      <c r="AA13" s="5">
        <f t="shared" si="7"/>
        <v>0</v>
      </c>
    </row>
    <row r="14" spans="1:27" ht="19.5">
      <c r="A14" s="1">
        <v>2</v>
      </c>
      <c r="B14" s="2" t="s">
        <v>9</v>
      </c>
      <c r="C14" s="1">
        <v>149</v>
      </c>
      <c r="D14" s="5">
        <f>Table14[[#This Row],[Enrolment S.Y. 2025-2026 ]]*8</f>
        <v>1192</v>
      </c>
      <c r="E14" s="5"/>
      <c r="F14" s="1"/>
      <c r="G14" s="5"/>
      <c r="H14" s="5">
        <f t="shared" si="0"/>
        <v>1192</v>
      </c>
      <c r="I14" s="5">
        <f t="shared" si="1"/>
        <v>0</v>
      </c>
      <c r="J14" s="5">
        <f>Table14[[#This Row],[Enrolment S.Y. 2025-2026 ]]*8</f>
        <v>1192</v>
      </c>
      <c r="K14" s="5"/>
      <c r="L14" s="32"/>
      <c r="M14" s="5"/>
      <c r="N14" s="5">
        <f t="shared" si="2"/>
        <v>1192</v>
      </c>
      <c r="O14" s="5">
        <f t="shared" si="3"/>
        <v>0</v>
      </c>
      <c r="P14" s="5">
        <f>Table14[[#This Row],[Enrolment S.Y. 2025-2026 ]]*8</f>
        <v>1192</v>
      </c>
      <c r="Q14" s="5"/>
      <c r="R14" s="32"/>
      <c r="S14" s="5"/>
      <c r="T14" s="5">
        <f t="shared" si="4"/>
        <v>1192</v>
      </c>
      <c r="U14" s="5">
        <f t="shared" si="5"/>
        <v>0</v>
      </c>
      <c r="V14" s="5">
        <f>Table14[[#This Row],[Enrolment S.Y. 2025-2026 ]]*8</f>
        <v>1192</v>
      </c>
      <c r="W14" s="5"/>
      <c r="X14" s="32"/>
      <c r="Y14" s="5"/>
      <c r="Z14" s="5">
        <f t="shared" si="6"/>
        <v>1192</v>
      </c>
      <c r="AA14" s="5">
        <f t="shared" si="7"/>
        <v>0</v>
      </c>
    </row>
    <row r="15" spans="1:27" ht="19.5">
      <c r="A15" s="1">
        <v>2</v>
      </c>
      <c r="B15" s="2" t="s">
        <v>10</v>
      </c>
      <c r="C15" s="1">
        <v>149</v>
      </c>
      <c r="D15" s="5">
        <f>Table14[[#This Row],[Enrolment S.Y. 2025-2026 ]]*8</f>
        <v>1192</v>
      </c>
      <c r="E15" s="5">
        <v>173</v>
      </c>
      <c r="F15" s="1"/>
      <c r="G15" s="5"/>
      <c r="H15" s="5">
        <f t="shared" si="0"/>
        <v>1019</v>
      </c>
      <c r="I15" s="5">
        <f t="shared" si="1"/>
        <v>0</v>
      </c>
      <c r="J15" s="5">
        <f>Table14[[#This Row],[Enrolment S.Y. 2025-2026 ]]*8</f>
        <v>1192</v>
      </c>
      <c r="K15" s="5"/>
      <c r="L15" s="32"/>
      <c r="M15" s="5"/>
      <c r="N15" s="5">
        <f t="shared" si="2"/>
        <v>1192</v>
      </c>
      <c r="O15" s="5">
        <f t="shared" si="3"/>
        <v>0</v>
      </c>
      <c r="P15" s="5">
        <f>Table14[[#This Row],[Enrolment S.Y. 2025-2026 ]]*8</f>
        <v>1192</v>
      </c>
      <c r="Q15" s="5"/>
      <c r="R15" s="32"/>
      <c r="S15" s="5"/>
      <c r="T15" s="5">
        <f t="shared" si="4"/>
        <v>1192</v>
      </c>
      <c r="U15" s="5">
        <f t="shared" si="5"/>
        <v>0</v>
      </c>
      <c r="V15" s="5">
        <f>Table14[[#This Row],[Enrolment S.Y. 2025-2026 ]]*8</f>
        <v>1192</v>
      </c>
      <c r="W15" s="5"/>
      <c r="X15" s="32"/>
      <c r="Y15" s="5"/>
      <c r="Z15" s="5">
        <f t="shared" si="6"/>
        <v>1192</v>
      </c>
      <c r="AA15" s="5">
        <f t="shared" si="7"/>
        <v>0</v>
      </c>
    </row>
    <row r="16" spans="1:27" ht="19.5">
      <c r="A16" s="1">
        <v>2</v>
      </c>
      <c r="B16" s="2" t="s">
        <v>11</v>
      </c>
      <c r="C16" s="1">
        <v>149</v>
      </c>
      <c r="D16" s="5">
        <f>Table14[[#This Row],[Enrolment S.Y. 2025-2026 ]]*8</f>
        <v>1192</v>
      </c>
      <c r="E16" s="5">
        <v>173</v>
      </c>
      <c r="F16" s="1"/>
      <c r="G16" s="5"/>
      <c r="H16" s="5">
        <f t="shared" si="0"/>
        <v>1019</v>
      </c>
      <c r="I16" s="5">
        <f t="shared" si="1"/>
        <v>0</v>
      </c>
      <c r="J16" s="5">
        <f>Table14[[#This Row],[Enrolment S.Y. 2025-2026 ]]*8</f>
        <v>1192</v>
      </c>
      <c r="K16" s="5"/>
      <c r="L16" s="32"/>
      <c r="M16" s="5"/>
      <c r="N16" s="5">
        <f t="shared" si="2"/>
        <v>1192</v>
      </c>
      <c r="O16" s="5">
        <f t="shared" si="3"/>
        <v>0</v>
      </c>
      <c r="P16" s="5">
        <f>Table14[[#This Row],[Enrolment S.Y. 2025-2026 ]]*8</f>
        <v>1192</v>
      </c>
      <c r="Q16" s="5"/>
      <c r="R16" s="32"/>
      <c r="S16" s="5"/>
      <c r="T16" s="5">
        <f t="shared" si="4"/>
        <v>1192</v>
      </c>
      <c r="U16" s="5">
        <f t="shared" si="5"/>
        <v>0</v>
      </c>
      <c r="V16" s="5">
        <f>Table14[[#This Row],[Enrolment S.Y. 2025-2026 ]]*8</f>
        <v>1192</v>
      </c>
      <c r="W16" s="5"/>
      <c r="X16" s="32"/>
      <c r="Y16" s="5"/>
      <c r="Z16" s="5">
        <f t="shared" si="6"/>
        <v>1192</v>
      </c>
      <c r="AA16" s="5">
        <f t="shared" si="7"/>
        <v>0</v>
      </c>
    </row>
    <row r="17" spans="1:27" ht="19.5">
      <c r="A17" s="1">
        <v>2</v>
      </c>
      <c r="B17" s="2" t="s">
        <v>12</v>
      </c>
      <c r="C17" s="1">
        <v>149</v>
      </c>
      <c r="D17" s="5">
        <f>Table14[[#This Row],[Enrolment S.Y. 2025-2026 ]]*8</f>
        <v>1192</v>
      </c>
      <c r="E17" s="5"/>
      <c r="F17" s="1"/>
      <c r="G17" s="5"/>
      <c r="H17" s="5">
        <f t="shared" si="0"/>
        <v>1192</v>
      </c>
      <c r="I17" s="5">
        <f t="shared" si="1"/>
        <v>0</v>
      </c>
      <c r="J17" s="5">
        <f>Table14[[#This Row],[Enrolment S.Y. 2025-2026 ]]*8</f>
        <v>1192</v>
      </c>
      <c r="K17" s="5"/>
      <c r="L17" s="32"/>
      <c r="M17" s="5"/>
      <c r="N17" s="5">
        <f t="shared" si="2"/>
        <v>1192</v>
      </c>
      <c r="O17" s="5">
        <f t="shared" si="3"/>
        <v>0</v>
      </c>
      <c r="P17" s="5">
        <f>Table14[[#This Row],[Enrolment S.Y. 2025-2026 ]]*8</f>
        <v>1192</v>
      </c>
      <c r="Q17" s="5"/>
      <c r="R17" s="32"/>
      <c r="S17" s="5"/>
      <c r="T17" s="5">
        <f t="shared" si="4"/>
        <v>1192</v>
      </c>
      <c r="U17" s="5">
        <f t="shared" si="5"/>
        <v>0</v>
      </c>
      <c r="V17" s="5">
        <f>Table14[[#This Row],[Enrolment S.Y. 2025-2026 ]]*8</f>
        <v>1192</v>
      </c>
      <c r="W17" s="5"/>
      <c r="X17" s="32"/>
      <c r="Y17" s="5"/>
      <c r="Z17" s="5">
        <f t="shared" si="6"/>
        <v>1192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149</v>
      </c>
      <c r="D18" s="5">
        <f>Table14[[#This Row],[Enrolment S.Y. 2025-2026 ]]*8</f>
        <v>1192</v>
      </c>
      <c r="E18" s="5">
        <v>173</v>
      </c>
      <c r="F18" s="1"/>
      <c r="G18" s="5"/>
      <c r="H18" s="5">
        <f>IF((D18-E18)&lt;0,0,(D18-E18))</f>
        <v>1019</v>
      </c>
      <c r="I18" s="5">
        <f>IF((E18-D18)&lt;0,0,(E18-D18))</f>
        <v>0</v>
      </c>
      <c r="J18" s="5">
        <f>Table14[[#This Row],[Enrolment S.Y. 2025-2026 ]]*8</f>
        <v>1192</v>
      </c>
      <c r="K18" s="5"/>
      <c r="L18" s="32"/>
      <c r="M18" s="5"/>
      <c r="N18" s="5">
        <f t="shared" si="2"/>
        <v>1192</v>
      </c>
      <c r="O18" s="5">
        <f t="shared" si="3"/>
        <v>0</v>
      </c>
      <c r="P18" s="5">
        <f>Table14[[#This Row],[Enrolment S.Y. 2025-2026 ]]*8</f>
        <v>1192</v>
      </c>
      <c r="Q18" s="5"/>
      <c r="R18" s="32"/>
      <c r="S18" s="5"/>
      <c r="T18" s="5">
        <f t="shared" si="4"/>
        <v>1192</v>
      </c>
      <c r="U18" s="5">
        <f t="shared" si="5"/>
        <v>0</v>
      </c>
      <c r="V18" s="5">
        <f>Table14[[#This Row],[Enrolment S.Y. 2025-2026 ]]*8</f>
        <v>1192</v>
      </c>
      <c r="W18" s="5"/>
      <c r="X18" s="32"/>
      <c r="Y18" s="5"/>
      <c r="Z18" s="5">
        <f t="shared" si="6"/>
        <v>1192</v>
      </c>
      <c r="AA18" s="5">
        <f t="shared" si="7"/>
        <v>0</v>
      </c>
    </row>
    <row r="19" spans="1:27" ht="19.5">
      <c r="A19" s="1">
        <v>2</v>
      </c>
      <c r="B19" s="9" t="s">
        <v>14</v>
      </c>
      <c r="C19" s="1">
        <v>149</v>
      </c>
      <c r="D19" s="5">
        <f>Table14[[#This Row],[Enrolment S.Y. 2025-2026 ]]*8</f>
        <v>1192</v>
      </c>
      <c r="E19" s="5">
        <v>173</v>
      </c>
      <c r="F19" s="1"/>
      <c r="G19" s="5"/>
      <c r="H19" s="5">
        <f>IF((D19-E19)&lt;0,0,(D19-E19))</f>
        <v>1019</v>
      </c>
      <c r="I19" s="5">
        <f>IF((E19-D19)&lt;0,0,(E19-D19))</f>
        <v>0</v>
      </c>
      <c r="J19" s="5">
        <f>Table14[[#This Row],[Enrolment S.Y. 2025-2026 ]]*8</f>
        <v>1192</v>
      </c>
      <c r="K19" s="5"/>
      <c r="L19" s="32"/>
      <c r="M19" s="5"/>
      <c r="N19" s="5">
        <f t="shared" si="2"/>
        <v>1192</v>
      </c>
      <c r="O19" s="5">
        <f t="shared" si="3"/>
        <v>0</v>
      </c>
      <c r="P19" s="5">
        <f>Table14[[#This Row],[Enrolment S.Y. 2025-2026 ]]*8</f>
        <v>1192</v>
      </c>
      <c r="Q19" s="5"/>
      <c r="R19" s="32"/>
      <c r="S19" s="5"/>
      <c r="T19" s="5">
        <f t="shared" si="4"/>
        <v>1192</v>
      </c>
      <c r="U19" s="5">
        <f t="shared" si="5"/>
        <v>0</v>
      </c>
      <c r="V19" s="5">
        <f>Table14[[#This Row],[Enrolment S.Y. 2025-2026 ]]*8</f>
        <v>1192</v>
      </c>
      <c r="W19" s="5"/>
      <c r="X19" s="32"/>
      <c r="Y19" s="5"/>
      <c r="Z19" s="5">
        <f t="shared" si="6"/>
        <v>1192</v>
      </c>
      <c r="AA19" s="5">
        <f t="shared" si="7"/>
        <v>0</v>
      </c>
    </row>
    <row r="20" spans="1:27" ht="19.5">
      <c r="A20" s="1">
        <v>2</v>
      </c>
      <c r="B20" s="9" t="s">
        <v>61</v>
      </c>
      <c r="C20" s="1">
        <v>149</v>
      </c>
      <c r="D20" s="5">
        <f>Table14[[#This Row],[Enrolment S.Y. 2025-2026 ]]*8</f>
        <v>1192</v>
      </c>
      <c r="E20" s="5"/>
      <c r="F20" s="1"/>
      <c r="G20" s="5"/>
      <c r="H20" s="5">
        <f>IF((D20-E20)&lt;0,0,(D20-E20))</f>
        <v>1192</v>
      </c>
      <c r="I20" s="5">
        <f>IF((E20-D20)&lt;0,0,(E20-D20))</f>
        <v>0</v>
      </c>
      <c r="J20" s="5">
        <f>Table14[[#This Row],[Enrolment S.Y. 2025-2026 ]]*8</f>
        <v>1192</v>
      </c>
      <c r="K20" s="5"/>
      <c r="L20" s="32"/>
      <c r="M20" s="5"/>
      <c r="N20" s="5">
        <f t="shared" si="2"/>
        <v>1192</v>
      </c>
      <c r="O20" s="5">
        <f t="shared" si="3"/>
        <v>0</v>
      </c>
      <c r="P20" s="5">
        <f>Table14[[#This Row],[Enrolment S.Y. 2025-2026 ]]*8</f>
        <v>1192</v>
      </c>
      <c r="Q20" s="5"/>
      <c r="R20" s="32"/>
      <c r="S20" s="5"/>
      <c r="T20" s="5">
        <f t="shared" si="4"/>
        <v>1192</v>
      </c>
      <c r="U20" s="5">
        <f t="shared" si="5"/>
        <v>0</v>
      </c>
      <c r="V20" s="5">
        <f>Table14[[#This Row],[Enrolment S.Y. 2025-2026 ]]*8</f>
        <v>1192</v>
      </c>
      <c r="W20" s="5"/>
      <c r="X20" s="32"/>
      <c r="Y20" s="5"/>
      <c r="Z20" s="5">
        <f t="shared" si="6"/>
        <v>1192</v>
      </c>
      <c r="AA20" s="5">
        <f t="shared" si="7"/>
        <v>0</v>
      </c>
    </row>
    <row r="21" spans="1:27" s="7" customFormat="1" ht="15"/>
    <row r="22" spans="1:27" ht="33.75" customHeight="1">
      <c r="A22" s="1">
        <v>3</v>
      </c>
      <c r="B22" s="2" t="s">
        <v>8</v>
      </c>
      <c r="C22" s="1">
        <v>159</v>
      </c>
      <c r="D22" s="5">
        <f>Table14[[#This Row],[Enrolment S.Y. 2025-2026 ]]*8</f>
        <v>1272</v>
      </c>
      <c r="E22" s="5"/>
      <c r="F22" s="1"/>
      <c r="G22" s="5"/>
      <c r="H22" s="5">
        <f t="shared" si="0"/>
        <v>1272</v>
      </c>
      <c r="I22" s="5">
        <f t="shared" si="1"/>
        <v>0</v>
      </c>
      <c r="J22" s="5">
        <f>Table14[[#This Row],[Enrolment S.Y. 2025-2026 ]]*8</f>
        <v>1272</v>
      </c>
      <c r="K22" s="5"/>
      <c r="L22" s="32"/>
      <c r="M22" s="5"/>
      <c r="N22" s="5">
        <f t="shared" si="2"/>
        <v>1272</v>
      </c>
      <c r="O22" s="5">
        <f t="shared" si="3"/>
        <v>0</v>
      </c>
      <c r="P22" s="5">
        <f>Table14[[#This Row],[Enrolment S.Y. 2025-2026 ]]*8</f>
        <v>1272</v>
      </c>
      <c r="Q22" s="5"/>
      <c r="R22" s="32"/>
      <c r="S22" s="5"/>
      <c r="T22" s="5">
        <f t="shared" si="4"/>
        <v>1272</v>
      </c>
      <c r="U22" s="5">
        <f t="shared" si="5"/>
        <v>0</v>
      </c>
      <c r="V22" s="5">
        <f>Table14[[#This Row],[Enrolment S.Y. 2025-2026 ]]*8</f>
        <v>1272</v>
      </c>
      <c r="W22" s="5"/>
      <c r="X22" s="32"/>
      <c r="Y22" s="5"/>
      <c r="Z22" s="5">
        <f t="shared" si="6"/>
        <v>1272</v>
      </c>
      <c r="AA22" s="5">
        <f t="shared" si="7"/>
        <v>0</v>
      </c>
    </row>
    <row r="23" spans="1:27" ht="19.5">
      <c r="A23" s="1">
        <v>3</v>
      </c>
      <c r="B23" s="2" t="s">
        <v>9</v>
      </c>
      <c r="C23" s="1">
        <v>159</v>
      </c>
      <c r="D23" s="5">
        <f>Table14[[#This Row],[Enrolment S.Y. 2025-2026 ]]*8</f>
        <v>1272</v>
      </c>
      <c r="E23" s="5"/>
      <c r="F23" s="1"/>
      <c r="G23" s="5"/>
      <c r="H23" s="5">
        <f t="shared" si="0"/>
        <v>1272</v>
      </c>
      <c r="I23" s="5">
        <f t="shared" si="1"/>
        <v>0</v>
      </c>
      <c r="J23" s="5">
        <f>Table14[[#This Row],[Enrolment S.Y. 2025-2026 ]]*8</f>
        <v>1272</v>
      </c>
      <c r="K23" s="5"/>
      <c r="L23" s="32"/>
      <c r="M23" s="5"/>
      <c r="N23" s="5">
        <f t="shared" si="2"/>
        <v>1272</v>
      </c>
      <c r="O23" s="5">
        <f t="shared" si="3"/>
        <v>0</v>
      </c>
      <c r="P23" s="5">
        <f>Table14[[#This Row],[Enrolment S.Y. 2025-2026 ]]*8</f>
        <v>1272</v>
      </c>
      <c r="Q23" s="5"/>
      <c r="R23" s="32"/>
      <c r="S23" s="5"/>
      <c r="T23" s="5">
        <f t="shared" si="4"/>
        <v>1272</v>
      </c>
      <c r="U23" s="5">
        <f t="shared" si="5"/>
        <v>0</v>
      </c>
      <c r="V23" s="5">
        <f>Table14[[#This Row],[Enrolment S.Y. 2025-2026 ]]*8</f>
        <v>1272</v>
      </c>
      <c r="W23" s="5"/>
      <c r="X23" s="32"/>
      <c r="Y23" s="5"/>
      <c r="Z23" s="5">
        <f t="shared" si="6"/>
        <v>1272</v>
      </c>
      <c r="AA23" s="5">
        <f t="shared" si="7"/>
        <v>0</v>
      </c>
    </row>
    <row r="24" spans="1:27" ht="19.5">
      <c r="A24" s="1">
        <v>3</v>
      </c>
      <c r="B24" s="2" t="s">
        <v>10</v>
      </c>
      <c r="C24" s="1">
        <v>159</v>
      </c>
      <c r="D24" s="5">
        <f>Table14[[#This Row],[Enrolment S.Y. 2025-2026 ]]*8</f>
        <v>1272</v>
      </c>
      <c r="E24" s="5">
        <v>117</v>
      </c>
      <c r="F24" s="1">
        <v>2025</v>
      </c>
      <c r="G24" s="5"/>
      <c r="H24" s="5">
        <f t="shared" si="0"/>
        <v>1155</v>
      </c>
      <c r="I24" s="5">
        <f t="shared" si="1"/>
        <v>0</v>
      </c>
      <c r="J24" s="5">
        <f>Table14[[#This Row],[Enrolment S.Y. 2025-2026 ]]*8</f>
        <v>1272</v>
      </c>
      <c r="K24" s="5"/>
      <c r="L24" s="32"/>
      <c r="M24" s="5"/>
      <c r="N24" s="5">
        <f t="shared" si="2"/>
        <v>1272</v>
      </c>
      <c r="O24" s="5">
        <f t="shared" si="3"/>
        <v>0</v>
      </c>
      <c r="P24" s="5">
        <f>Table14[[#This Row],[Enrolment S.Y. 2025-2026 ]]*8</f>
        <v>1272</v>
      </c>
      <c r="Q24" s="5"/>
      <c r="R24" s="32"/>
      <c r="S24" s="5"/>
      <c r="T24" s="5">
        <f t="shared" si="4"/>
        <v>1272</v>
      </c>
      <c r="U24" s="5">
        <f t="shared" si="5"/>
        <v>0</v>
      </c>
      <c r="V24" s="5">
        <f>Table14[[#This Row],[Enrolment S.Y. 2025-2026 ]]*8</f>
        <v>1272</v>
      </c>
      <c r="W24" s="5"/>
      <c r="X24" s="32"/>
      <c r="Y24" s="5"/>
      <c r="Z24" s="5">
        <f t="shared" si="6"/>
        <v>1272</v>
      </c>
      <c r="AA24" s="5">
        <f t="shared" si="7"/>
        <v>0</v>
      </c>
    </row>
    <row r="25" spans="1:27" ht="19.5">
      <c r="A25" s="1">
        <v>3</v>
      </c>
      <c r="B25" s="2" t="s">
        <v>13</v>
      </c>
      <c r="C25" s="1">
        <v>159</v>
      </c>
      <c r="D25" s="5">
        <f>Table14[[#This Row],[Enrolment S.Y. 2025-2026 ]]*8</f>
        <v>1272</v>
      </c>
      <c r="E25" s="5">
        <v>117</v>
      </c>
      <c r="F25" s="1">
        <v>2025</v>
      </c>
      <c r="G25" s="5"/>
      <c r="H25" s="5">
        <f t="shared" si="0"/>
        <v>1155</v>
      </c>
      <c r="I25" s="5">
        <f t="shared" si="1"/>
        <v>0</v>
      </c>
      <c r="J25" s="5">
        <f>Table14[[#This Row],[Enrolment S.Y. 2025-2026 ]]*8</f>
        <v>1272</v>
      </c>
      <c r="K25" s="5"/>
      <c r="L25" s="32"/>
      <c r="M25" s="5"/>
      <c r="N25" s="5">
        <f t="shared" si="2"/>
        <v>1272</v>
      </c>
      <c r="O25" s="5">
        <f t="shared" si="3"/>
        <v>0</v>
      </c>
      <c r="P25" s="5">
        <f>Table14[[#This Row],[Enrolment S.Y. 2025-2026 ]]*8</f>
        <v>1272</v>
      </c>
      <c r="Q25" s="5"/>
      <c r="R25" s="32"/>
      <c r="S25" s="5"/>
      <c r="T25" s="5">
        <f t="shared" si="4"/>
        <v>1272</v>
      </c>
      <c r="U25" s="5">
        <f t="shared" si="5"/>
        <v>0</v>
      </c>
      <c r="V25" s="5">
        <f>Table14[[#This Row],[Enrolment S.Y. 2025-2026 ]]*8</f>
        <v>1272</v>
      </c>
      <c r="W25" s="5"/>
      <c r="X25" s="32"/>
      <c r="Y25" s="5"/>
      <c r="Z25" s="5">
        <f t="shared" si="6"/>
        <v>1272</v>
      </c>
      <c r="AA25" s="5">
        <f t="shared" si="7"/>
        <v>0</v>
      </c>
    </row>
    <row r="26" spans="1:27" ht="19.5">
      <c r="A26" s="1">
        <v>3</v>
      </c>
      <c r="B26" s="2" t="s">
        <v>11</v>
      </c>
      <c r="C26" s="1">
        <v>159</v>
      </c>
      <c r="D26" s="5">
        <f>Table14[[#This Row],[Enrolment S.Y. 2025-2026 ]]*8</f>
        <v>1272</v>
      </c>
      <c r="E26" s="5">
        <v>117</v>
      </c>
      <c r="F26" s="1">
        <v>2025</v>
      </c>
      <c r="G26" s="5"/>
      <c r="H26" s="5">
        <f t="shared" si="0"/>
        <v>1155</v>
      </c>
      <c r="I26" s="5">
        <f t="shared" si="1"/>
        <v>0</v>
      </c>
      <c r="J26" s="5">
        <f>Table14[[#This Row],[Enrolment S.Y. 2025-2026 ]]*8</f>
        <v>1272</v>
      </c>
      <c r="K26" s="5"/>
      <c r="L26" s="32"/>
      <c r="M26" s="5"/>
      <c r="N26" s="5">
        <f t="shared" si="2"/>
        <v>1272</v>
      </c>
      <c r="O26" s="5">
        <f t="shared" si="3"/>
        <v>0</v>
      </c>
      <c r="P26" s="5">
        <f>Table14[[#This Row],[Enrolment S.Y. 2025-2026 ]]*8</f>
        <v>1272</v>
      </c>
      <c r="Q26" s="5"/>
      <c r="R26" s="32"/>
      <c r="S26" s="5"/>
      <c r="T26" s="5">
        <f t="shared" si="4"/>
        <v>1272</v>
      </c>
      <c r="U26" s="5">
        <f t="shared" si="5"/>
        <v>0</v>
      </c>
      <c r="V26" s="5">
        <f>Table14[[#This Row],[Enrolment S.Y. 2025-2026 ]]*8</f>
        <v>1272</v>
      </c>
      <c r="W26" s="5"/>
      <c r="X26" s="32"/>
      <c r="Y26" s="5"/>
      <c r="Z26" s="5">
        <f t="shared" si="6"/>
        <v>1272</v>
      </c>
      <c r="AA26" s="5">
        <f t="shared" si="7"/>
        <v>0</v>
      </c>
    </row>
    <row r="27" spans="1:27" ht="19.5">
      <c r="A27" s="1">
        <v>3</v>
      </c>
      <c r="B27" s="2" t="s">
        <v>12</v>
      </c>
      <c r="C27" s="1">
        <v>159</v>
      </c>
      <c r="D27" s="5">
        <f>Table14[[#This Row],[Enrolment S.Y. 2025-2026 ]]*8</f>
        <v>1272</v>
      </c>
      <c r="E27" s="5">
        <v>117</v>
      </c>
      <c r="F27" s="1">
        <v>2025</v>
      </c>
      <c r="G27" s="5"/>
      <c r="H27" s="5">
        <f t="shared" si="0"/>
        <v>1155</v>
      </c>
      <c r="I27" s="5">
        <f t="shared" si="1"/>
        <v>0</v>
      </c>
      <c r="J27" s="5">
        <f>Table14[[#This Row],[Enrolment S.Y. 2025-2026 ]]*8</f>
        <v>1272</v>
      </c>
      <c r="K27" s="5"/>
      <c r="L27" s="32"/>
      <c r="M27" s="5"/>
      <c r="N27" s="5">
        <f t="shared" si="2"/>
        <v>1272</v>
      </c>
      <c r="O27" s="5">
        <f t="shared" si="3"/>
        <v>0</v>
      </c>
      <c r="P27" s="5">
        <f>Table14[[#This Row],[Enrolment S.Y. 2025-2026 ]]*8</f>
        <v>1272</v>
      </c>
      <c r="Q27" s="5"/>
      <c r="R27" s="32"/>
      <c r="S27" s="5"/>
      <c r="T27" s="5">
        <f t="shared" si="4"/>
        <v>1272</v>
      </c>
      <c r="U27" s="5">
        <f t="shared" si="5"/>
        <v>0</v>
      </c>
      <c r="V27" s="5">
        <f>Table14[[#This Row],[Enrolment S.Y. 2025-2026 ]]*8</f>
        <v>1272</v>
      </c>
      <c r="W27" s="5"/>
      <c r="X27" s="32"/>
      <c r="Y27" s="5"/>
      <c r="Z27" s="5">
        <f t="shared" si="6"/>
        <v>1272</v>
      </c>
      <c r="AA27" s="5">
        <f t="shared" si="7"/>
        <v>0</v>
      </c>
    </row>
    <row r="28" spans="1:27" ht="19.5">
      <c r="A28" s="1">
        <v>3</v>
      </c>
      <c r="B28" s="9" t="s">
        <v>14</v>
      </c>
      <c r="C28" s="1">
        <v>159</v>
      </c>
      <c r="D28" s="5">
        <f>Table14[[#This Row],[Enrolment S.Y. 2025-2026 ]]*8</f>
        <v>1272</v>
      </c>
      <c r="E28" s="5">
        <v>117</v>
      </c>
      <c r="F28" s="1">
        <v>2025</v>
      </c>
      <c r="G28" s="5"/>
      <c r="H28" s="5">
        <f>IF((D28-E28)&lt;0,0,(D28-E28))</f>
        <v>1155</v>
      </c>
      <c r="I28" s="5">
        <f>IF((E28-D28)&lt;0,0,(E28-D28))</f>
        <v>0</v>
      </c>
      <c r="J28" s="5">
        <f>Table14[[#This Row],[Enrolment S.Y. 2025-2026 ]]*8</f>
        <v>1272</v>
      </c>
      <c r="K28" s="5"/>
      <c r="L28" s="32"/>
      <c r="M28" s="5"/>
      <c r="N28" s="5">
        <f t="shared" si="2"/>
        <v>1272</v>
      </c>
      <c r="O28" s="5">
        <f t="shared" si="3"/>
        <v>0</v>
      </c>
      <c r="P28" s="5">
        <f>Table14[[#This Row],[Enrolment S.Y. 2025-2026 ]]*8</f>
        <v>1272</v>
      </c>
      <c r="Q28" s="5"/>
      <c r="R28" s="32"/>
      <c r="S28" s="5"/>
      <c r="T28" s="5">
        <f t="shared" si="4"/>
        <v>1272</v>
      </c>
      <c r="U28" s="5">
        <f t="shared" si="5"/>
        <v>0</v>
      </c>
      <c r="V28" s="5">
        <f>Table14[[#This Row],[Enrolment S.Y. 2025-2026 ]]*8</f>
        <v>1272</v>
      </c>
      <c r="W28" s="5"/>
      <c r="X28" s="32"/>
      <c r="Y28" s="5"/>
      <c r="Z28" s="5">
        <f t="shared" si="6"/>
        <v>1272</v>
      </c>
      <c r="AA28" s="5">
        <f t="shared" si="7"/>
        <v>0</v>
      </c>
    </row>
    <row r="29" spans="1:27" ht="19.5">
      <c r="A29" s="1">
        <v>3</v>
      </c>
      <c r="B29" s="9" t="s">
        <v>15</v>
      </c>
      <c r="C29" s="1">
        <v>159</v>
      </c>
      <c r="D29" s="5">
        <f>Table14[[#This Row],[Enrolment S.Y. 2025-2026 ]]*8</f>
        <v>1272</v>
      </c>
      <c r="E29" s="5">
        <v>117</v>
      </c>
      <c r="F29" s="1">
        <v>2025</v>
      </c>
      <c r="G29" s="5"/>
      <c r="H29" s="5">
        <f>IF((D29-E29)&lt;0,0,(D29-E29))</f>
        <v>1155</v>
      </c>
      <c r="I29" s="5">
        <f>IF((E29-D29)&lt;0,0,(E29-D29))</f>
        <v>0</v>
      </c>
      <c r="J29" s="5">
        <f>Table14[[#This Row],[Enrolment S.Y. 2025-2026 ]]*8</f>
        <v>1272</v>
      </c>
      <c r="K29" s="5"/>
      <c r="L29" s="32"/>
      <c r="M29" s="5"/>
      <c r="N29" s="5">
        <f t="shared" si="2"/>
        <v>1272</v>
      </c>
      <c r="O29" s="5">
        <f t="shared" si="3"/>
        <v>0</v>
      </c>
      <c r="P29" s="5">
        <f>Table14[[#This Row],[Enrolment S.Y. 2025-2026 ]]*8</f>
        <v>1272</v>
      </c>
      <c r="Q29" s="5"/>
      <c r="R29" s="32"/>
      <c r="S29" s="5"/>
      <c r="T29" s="5">
        <f t="shared" si="4"/>
        <v>1272</v>
      </c>
      <c r="U29" s="5">
        <f t="shared" si="5"/>
        <v>0</v>
      </c>
      <c r="V29" s="5">
        <f>Table14[[#This Row],[Enrolment S.Y. 2025-2026 ]]*8</f>
        <v>1272</v>
      </c>
      <c r="W29" s="5"/>
      <c r="X29" s="32"/>
      <c r="Y29" s="5"/>
      <c r="Z29" s="5">
        <f t="shared" si="6"/>
        <v>1272</v>
      </c>
      <c r="AA29" s="5">
        <f t="shared" si="7"/>
        <v>0</v>
      </c>
    </row>
    <row r="30" spans="1:27" ht="19.5">
      <c r="A30" s="1">
        <v>3</v>
      </c>
      <c r="B30" s="9" t="s">
        <v>61</v>
      </c>
      <c r="C30" s="1">
        <v>159</v>
      </c>
      <c r="D30" s="5">
        <f>Table14[[#This Row],[Enrolment S.Y. 2025-2026 ]]*8</f>
        <v>1272</v>
      </c>
      <c r="E30" s="5"/>
      <c r="F30" s="1"/>
      <c r="G30" s="5"/>
      <c r="H30" s="5">
        <f>IF((D30-E30)&lt;0,0,(D30-E30))</f>
        <v>1272</v>
      </c>
      <c r="I30" s="5">
        <f>IF((E30-D30)&lt;0,0,(E30-D30))</f>
        <v>0</v>
      </c>
      <c r="J30" s="5">
        <f>Table14[[#This Row],[Enrolment S.Y. 2025-2026 ]]*8</f>
        <v>1272</v>
      </c>
      <c r="K30" s="5"/>
      <c r="L30" s="32"/>
      <c r="M30" s="5"/>
      <c r="N30" s="5">
        <f t="shared" si="2"/>
        <v>1272</v>
      </c>
      <c r="O30" s="5">
        <f t="shared" si="3"/>
        <v>0</v>
      </c>
      <c r="P30" s="5">
        <f>Table14[[#This Row],[Enrolment S.Y. 2025-2026 ]]*8</f>
        <v>1272</v>
      </c>
      <c r="Q30" s="5"/>
      <c r="R30" s="32"/>
      <c r="S30" s="5"/>
      <c r="T30" s="5">
        <f t="shared" si="4"/>
        <v>1272</v>
      </c>
      <c r="U30" s="5">
        <f t="shared" si="5"/>
        <v>0</v>
      </c>
      <c r="V30" s="5">
        <f>Table14[[#This Row],[Enrolment S.Y. 2025-2026 ]]*8</f>
        <v>1272</v>
      </c>
      <c r="W30" s="5"/>
      <c r="X30" s="32"/>
      <c r="Y30" s="5"/>
      <c r="Z30" s="5">
        <f t="shared" si="6"/>
        <v>1272</v>
      </c>
      <c r="AA30" s="5">
        <f t="shared" si="7"/>
        <v>0</v>
      </c>
    </row>
    <row r="31" spans="1:27" s="7" customFormat="1" ht="15"/>
    <row r="32" spans="1:27" ht="19.5">
      <c r="A32" s="1">
        <v>4</v>
      </c>
      <c r="B32" s="9" t="s">
        <v>14</v>
      </c>
      <c r="C32" s="1">
        <v>162</v>
      </c>
      <c r="D32" s="5">
        <f>Table14[[#This Row],[Enrolment S.Y. 2025-2026 ]]*8</f>
        <v>1296</v>
      </c>
      <c r="E32" s="5"/>
      <c r="F32" s="1"/>
      <c r="G32" s="5"/>
      <c r="H32" s="5">
        <f t="shared" si="0"/>
        <v>1296</v>
      </c>
      <c r="I32" s="5">
        <f t="shared" si="1"/>
        <v>0</v>
      </c>
      <c r="J32" s="5">
        <f>Table14[[#This Row],[Enrolment S.Y. 2025-2026 ]]*8</f>
        <v>1296</v>
      </c>
      <c r="K32" s="5"/>
      <c r="L32" s="32"/>
      <c r="M32" s="5"/>
      <c r="N32" s="5">
        <f t="shared" si="2"/>
        <v>1296</v>
      </c>
      <c r="O32" s="5">
        <f t="shared" si="3"/>
        <v>0</v>
      </c>
      <c r="P32" s="5">
        <f>Table14[[#This Row],[Enrolment S.Y. 2025-2026 ]]*8</f>
        <v>1296</v>
      </c>
      <c r="Q32" s="5"/>
      <c r="R32" s="32"/>
      <c r="S32" s="5"/>
      <c r="T32" s="5">
        <f t="shared" si="4"/>
        <v>1296</v>
      </c>
      <c r="U32" s="5">
        <f t="shared" si="5"/>
        <v>0</v>
      </c>
      <c r="V32" s="5">
        <f>Table14[[#This Row],[Enrolment S.Y. 2025-2026 ]]*8</f>
        <v>1296</v>
      </c>
      <c r="W32" s="5"/>
      <c r="X32" s="32"/>
      <c r="Y32" s="5"/>
      <c r="Z32" s="5">
        <f t="shared" si="6"/>
        <v>1296</v>
      </c>
      <c r="AA32" s="5">
        <f t="shared" si="7"/>
        <v>0</v>
      </c>
    </row>
    <row r="33" spans="1:27" ht="19.5">
      <c r="A33" s="1">
        <v>4</v>
      </c>
      <c r="B33" s="9" t="s">
        <v>15</v>
      </c>
      <c r="C33" s="1">
        <v>162</v>
      </c>
      <c r="D33" s="5">
        <f>Table14[[#This Row],[Enrolment S.Y. 2025-2026 ]]*8</f>
        <v>1296</v>
      </c>
      <c r="E33" s="5"/>
      <c r="F33" s="1"/>
      <c r="G33" s="5"/>
      <c r="H33" s="5">
        <f t="shared" si="0"/>
        <v>1296</v>
      </c>
      <c r="I33" s="5">
        <f t="shared" si="1"/>
        <v>0</v>
      </c>
      <c r="J33" s="5">
        <f>Table14[[#This Row],[Enrolment S.Y. 2025-2026 ]]*8</f>
        <v>1296</v>
      </c>
      <c r="K33" s="5"/>
      <c r="L33" s="32"/>
      <c r="M33" s="32"/>
      <c r="N33" s="5">
        <f t="shared" si="2"/>
        <v>1296</v>
      </c>
      <c r="O33" s="5">
        <f t="shared" si="3"/>
        <v>0</v>
      </c>
      <c r="P33" s="5">
        <f>Table14[[#This Row],[Enrolment S.Y. 2025-2026 ]]*8</f>
        <v>1296</v>
      </c>
      <c r="Q33" s="5"/>
      <c r="R33" s="32"/>
      <c r="S33" s="5"/>
      <c r="T33" s="5">
        <f t="shared" si="4"/>
        <v>1296</v>
      </c>
      <c r="U33" s="5">
        <f t="shared" si="5"/>
        <v>0</v>
      </c>
      <c r="V33" s="5">
        <f>Table14[[#This Row],[Enrolment S.Y. 2025-2026 ]]*8</f>
        <v>1296</v>
      </c>
      <c r="W33" s="5"/>
      <c r="X33" s="32"/>
      <c r="Y33" s="5"/>
      <c r="Z33" s="5">
        <f t="shared" si="6"/>
        <v>1296</v>
      </c>
      <c r="AA33" s="5">
        <f t="shared" si="7"/>
        <v>0</v>
      </c>
    </row>
    <row r="34" spans="1:27" ht="19.5">
      <c r="A34" s="1">
        <v>4</v>
      </c>
      <c r="B34" s="9" t="s">
        <v>12</v>
      </c>
      <c r="C34" s="1">
        <v>162</v>
      </c>
      <c r="D34" s="5">
        <f>Table14[[#This Row],[Enrolment S.Y. 2025-2026 ]]*8</f>
        <v>1296</v>
      </c>
      <c r="E34" s="5"/>
      <c r="F34" s="1"/>
      <c r="G34" s="5"/>
      <c r="H34" s="5">
        <f t="shared" si="0"/>
        <v>1296</v>
      </c>
      <c r="I34" s="5">
        <f t="shared" si="1"/>
        <v>0</v>
      </c>
      <c r="J34" s="5">
        <f>Table14[[#This Row],[Enrolment S.Y. 2025-2026 ]]*8</f>
        <v>1296</v>
      </c>
      <c r="K34" s="5"/>
      <c r="L34" s="32"/>
      <c r="M34" s="5"/>
      <c r="N34" s="5">
        <f t="shared" si="2"/>
        <v>1296</v>
      </c>
      <c r="O34" s="5">
        <f t="shared" si="3"/>
        <v>0</v>
      </c>
      <c r="P34" s="5">
        <f>Table14[[#This Row],[Enrolment S.Y. 2025-2026 ]]*8</f>
        <v>1296</v>
      </c>
      <c r="Q34" s="5"/>
      <c r="R34" s="32"/>
      <c r="S34" s="5"/>
      <c r="T34" s="5">
        <f t="shared" si="4"/>
        <v>1296</v>
      </c>
      <c r="U34" s="5">
        <f t="shared" si="5"/>
        <v>0</v>
      </c>
      <c r="V34" s="5">
        <f>Table14[[#This Row],[Enrolment S.Y. 2025-2026 ]]*8</f>
        <v>1296</v>
      </c>
      <c r="W34" s="5"/>
      <c r="X34" s="32"/>
      <c r="Y34" s="5"/>
      <c r="Z34" s="5">
        <f t="shared" si="6"/>
        <v>1296</v>
      </c>
      <c r="AA34" s="5">
        <f t="shared" si="7"/>
        <v>0</v>
      </c>
    </row>
    <row r="35" spans="1:27" ht="19.5">
      <c r="A35" s="1">
        <v>4</v>
      </c>
      <c r="B35" s="9" t="s">
        <v>10</v>
      </c>
      <c r="C35" s="1">
        <v>162</v>
      </c>
      <c r="D35" s="5">
        <f>Table14[[#This Row],[Enrolment S.Y. 2025-2026 ]]*8</f>
        <v>1296</v>
      </c>
      <c r="E35" s="5"/>
      <c r="F35" s="1"/>
      <c r="G35" s="5"/>
      <c r="H35" s="5">
        <f t="shared" si="0"/>
        <v>1296</v>
      </c>
      <c r="I35" s="5">
        <f t="shared" si="1"/>
        <v>0</v>
      </c>
      <c r="J35" s="5">
        <f>Table14[[#This Row],[Enrolment S.Y. 2025-2026 ]]*8</f>
        <v>1296</v>
      </c>
      <c r="K35" s="5"/>
      <c r="L35" s="32"/>
      <c r="M35" s="5"/>
      <c r="N35" s="5">
        <f t="shared" si="2"/>
        <v>1296</v>
      </c>
      <c r="O35" s="5">
        <f t="shared" si="3"/>
        <v>0</v>
      </c>
      <c r="P35" s="5">
        <f>Table14[[#This Row],[Enrolment S.Y. 2025-2026 ]]*8</f>
        <v>1296</v>
      </c>
      <c r="Q35" s="5"/>
      <c r="R35" s="32"/>
      <c r="S35" s="5"/>
      <c r="T35" s="5">
        <f t="shared" si="4"/>
        <v>1296</v>
      </c>
      <c r="U35" s="5">
        <f t="shared" si="5"/>
        <v>0</v>
      </c>
      <c r="V35" s="5">
        <f>Table14[[#This Row],[Enrolment S.Y. 2025-2026 ]]*8</f>
        <v>1296</v>
      </c>
      <c r="W35" s="5"/>
      <c r="X35" s="32"/>
      <c r="Y35" s="5"/>
      <c r="Z35" s="5">
        <f t="shared" si="6"/>
        <v>1296</v>
      </c>
      <c r="AA35" s="5">
        <f t="shared" si="7"/>
        <v>0</v>
      </c>
    </row>
    <row r="36" spans="1:27" ht="32.25" customHeight="1">
      <c r="A36" s="1">
        <v>4</v>
      </c>
      <c r="B36" s="9" t="s">
        <v>16</v>
      </c>
      <c r="C36" s="1">
        <v>162</v>
      </c>
      <c r="D36" s="5">
        <f>Table14[[#This Row],[Enrolment S.Y. 2025-2026 ]]*8</f>
        <v>1296</v>
      </c>
      <c r="E36" s="5"/>
      <c r="F36" s="1"/>
      <c r="G36" s="5"/>
      <c r="H36" s="5">
        <f t="shared" si="0"/>
        <v>1296</v>
      </c>
      <c r="I36" s="5">
        <f t="shared" si="1"/>
        <v>0</v>
      </c>
      <c r="J36" s="5">
        <f>Table14[[#This Row],[Enrolment S.Y. 2025-2026 ]]*8</f>
        <v>1296</v>
      </c>
      <c r="K36" s="5"/>
      <c r="L36" s="32"/>
      <c r="M36" s="5"/>
      <c r="N36" s="5">
        <f t="shared" si="2"/>
        <v>1296</v>
      </c>
      <c r="O36" s="5">
        <f t="shared" si="3"/>
        <v>0</v>
      </c>
      <c r="P36" s="5">
        <f>Table14[[#This Row],[Enrolment S.Y. 2025-2026 ]]*8</f>
        <v>1296</v>
      </c>
      <c r="Q36" s="5"/>
      <c r="R36" s="32"/>
      <c r="S36" s="5"/>
      <c r="T36" s="5">
        <f t="shared" si="4"/>
        <v>1296</v>
      </c>
      <c r="U36" s="5">
        <f t="shared" si="5"/>
        <v>0</v>
      </c>
      <c r="V36" s="5">
        <f>Table14[[#This Row],[Enrolment S.Y. 2025-2026 ]]*8</f>
        <v>1296</v>
      </c>
      <c r="W36" s="5"/>
      <c r="X36" s="32"/>
      <c r="Y36" s="5"/>
      <c r="Z36" s="5">
        <f t="shared" si="6"/>
        <v>1296</v>
      </c>
      <c r="AA36" s="5">
        <f t="shared" si="7"/>
        <v>0</v>
      </c>
    </row>
    <row r="37" spans="1:27" ht="19.5">
      <c r="A37" s="1">
        <v>4</v>
      </c>
      <c r="B37" s="9" t="s">
        <v>13</v>
      </c>
      <c r="C37" s="1">
        <v>162</v>
      </c>
      <c r="D37" s="5">
        <f>Table14[[#This Row],[Enrolment S.Y. 2025-2026 ]]*8</f>
        <v>1296</v>
      </c>
      <c r="E37" s="5"/>
      <c r="F37" s="1"/>
      <c r="G37" s="5"/>
      <c r="H37" s="5">
        <f t="shared" si="0"/>
        <v>1296</v>
      </c>
      <c r="I37" s="5">
        <f t="shared" si="1"/>
        <v>0</v>
      </c>
      <c r="J37" s="5">
        <f>Table14[[#This Row],[Enrolment S.Y. 2025-2026 ]]*8</f>
        <v>1296</v>
      </c>
      <c r="K37" s="5"/>
      <c r="L37" s="32"/>
      <c r="M37" s="5"/>
      <c r="N37" s="5">
        <f t="shared" ref="N37:N42" si="8">IF((J37-K37)&lt;0,0,(J37-K37))</f>
        <v>1296</v>
      </c>
      <c r="O37" s="5">
        <f t="shared" ref="O37:O42" si="9">IF((K37-J37)&lt;0,0,(K37-J37))</f>
        <v>0</v>
      </c>
      <c r="P37" s="5">
        <f>Table14[[#This Row],[Enrolment S.Y. 2025-2026 ]]*8</f>
        <v>1296</v>
      </c>
      <c r="Q37" s="5"/>
      <c r="R37" s="32"/>
      <c r="S37" s="5"/>
      <c r="T37" s="5">
        <f t="shared" si="4"/>
        <v>1296</v>
      </c>
      <c r="U37" s="5">
        <f t="shared" si="5"/>
        <v>0</v>
      </c>
      <c r="V37" s="5">
        <f>Table14[[#This Row],[Enrolment S.Y. 2025-2026 ]]*8</f>
        <v>1296</v>
      </c>
      <c r="W37" s="5"/>
      <c r="X37" s="32"/>
      <c r="Y37" s="5"/>
      <c r="Z37" s="5">
        <f t="shared" si="6"/>
        <v>1296</v>
      </c>
      <c r="AA37" s="5">
        <f t="shared" si="7"/>
        <v>0</v>
      </c>
    </row>
    <row r="38" spans="1:27" ht="19.5">
      <c r="A38" s="37">
        <v>4</v>
      </c>
      <c r="B38" s="9" t="s">
        <v>87</v>
      </c>
      <c r="C38" s="1">
        <v>162</v>
      </c>
      <c r="D38" s="5">
        <f>Table14[[#This Row],[Enrolment S.Y. 2025-2026 ]]*8</f>
        <v>1296</v>
      </c>
      <c r="E38" s="5"/>
      <c r="F38" s="1"/>
      <c r="G38" s="5"/>
      <c r="H38" s="5">
        <f>IF((D38-E38)&lt;0,0,(D38-E38))</f>
        <v>1296</v>
      </c>
      <c r="I38" s="5">
        <f>IF((E38-D38)&lt;0,0,(E38-D38))</f>
        <v>0</v>
      </c>
      <c r="J38" s="5">
        <f>Table14[[#This Row],[Enrolment S.Y. 2025-2026 ]]*8</f>
        <v>1296</v>
      </c>
      <c r="K38" s="5"/>
      <c r="L38" s="32"/>
      <c r="M38" s="5"/>
      <c r="N38" s="5">
        <f t="shared" si="8"/>
        <v>1296</v>
      </c>
      <c r="O38" s="5">
        <f t="shared" si="9"/>
        <v>0</v>
      </c>
      <c r="P38" s="5">
        <f>Table14[[#This Row],[Enrolment S.Y. 2025-2026 ]]*8</f>
        <v>1296</v>
      </c>
      <c r="Q38" s="5"/>
      <c r="R38" s="32"/>
      <c r="S38" s="5"/>
      <c r="T38" s="5">
        <f>IF((P38-Q38)&lt;0,0,(P38-Q38))</f>
        <v>1296</v>
      </c>
      <c r="U38" s="5">
        <f>IF((Q38-P38)&lt;0,0,(Q38-P38))</f>
        <v>0</v>
      </c>
      <c r="V38" s="5">
        <f>Table14[[#This Row],[Enrolment S.Y. 2025-2026 ]]*8</f>
        <v>1296</v>
      </c>
      <c r="W38" s="5"/>
      <c r="X38" s="32"/>
      <c r="Y38" s="5"/>
      <c r="Z38" s="5">
        <f>IF((V38-W38)&lt;0,0,(V38-W38))</f>
        <v>1296</v>
      </c>
      <c r="AA38" s="5">
        <f>IF((W38-V38)&lt;0,0,(W38-V38))</f>
        <v>0</v>
      </c>
    </row>
    <row r="39" spans="1:27" ht="19.5">
      <c r="A39" s="1">
        <v>4</v>
      </c>
      <c r="B39" s="9" t="s">
        <v>88</v>
      </c>
      <c r="C39" s="1">
        <v>162</v>
      </c>
      <c r="D39" s="5">
        <f>Table14[[#This Row],[Enrolment S.Y. 2025-2026 ]]*8</f>
        <v>1296</v>
      </c>
      <c r="E39" s="5"/>
      <c r="F39" s="1"/>
      <c r="G39" s="5"/>
      <c r="H39" s="5">
        <f t="shared" si="0"/>
        <v>1296</v>
      </c>
      <c r="I39" s="5">
        <f t="shared" si="1"/>
        <v>0</v>
      </c>
      <c r="J39" s="5">
        <f>Table14[[#This Row],[Enrolment S.Y. 2025-2026 ]]*8</f>
        <v>1296</v>
      </c>
      <c r="K39" s="5"/>
      <c r="L39" s="32"/>
      <c r="M39" s="5"/>
      <c r="N39" s="5">
        <f t="shared" si="8"/>
        <v>1296</v>
      </c>
      <c r="O39" s="5">
        <f t="shared" si="9"/>
        <v>0</v>
      </c>
      <c r="P39" s="5">
        <f>Table14[[#This Row],[Enrolment S.Y. 2025-2026 ]]*8</f>
        <v>1296</v>
      </c>
      <c r="Q39" s="5"/>
      <c r="R39" s="32"/>
      <c r="S39" s="5"/>
      <c r="T39" s="5">
        <f t="shared" si="4"/>
        <v>1296</v>
      </c>
      <c r="U39" s="5">
        <f t="shared" si="5"/>
        <v>0</v>
      </c>
      <c r="V39" s="5">
        <f>Table14[[#This Row],[Enrolment S.Y. 2025-2026 ]]*8</f>
        <v>1296</v>
      </c>
      <c r="W39" s="5"/>
      <c r="X39" s="32"/>
      <c r="Y39" s="5"/>
      <c r="Z39" s="5">
        <f t="shared" si="6"/>
        <v>1296</v>
      </c>
      <c r="AA39" s="5">
        <f t="shared" si="7"/>
        <v>0</v>
      </c>
    </row>
    <row r="40" spans="1:27" ht="19.5">
      <c r="A40" s="1">
        <v>4</v>
      </c>
      <c r="B40" s="9" t="s">
        <v>18</v>
      </c>
      <c r="C40" s="1">
        <v>162</v>
      </c>
      <c r="D40" s="5">
        <f>Table14[[#This Row],[Enrolment S.Y. 2025-2026 ]]*8</f>
        <v>1296</v>
      </c>
      <c r="E40" s="5"/>
      <c r="F40" s="1"/>
      <c r="G40" s="5"/>
      <c r="H40" s="5">
        <f t="shared" si="0"/>
        <v>1296</v>
      </c>
      <c r="I40" s="5">
        <f t="shared" si="1"/>
        <v>0</v>
      </c>
      <c r="J40" s="5">
        <f>Table14[[#This Row],[Enrolment S.Y. 2025-2026 ]]*8</f>
        <v>1296</v>
      </c>
      <c r="K40" s="5"/>
      <c r="L40" s="32"/>
      <c r="M40" s="5"/>
      <c r="N40" s="5">
        <f t="shared" si="8"/>
        <v>1296</v>
      </c>
      <c r="O40" s="5">
        <f t="shared" si="9"/>
        <v>0</v>
      </c>
      <c r="P40" s="5">
        <f>Table14[[#This Row],[Enrolment S.Y. 2025-2026 ]]*8</f>
        <v>1296</v>
      </c>
      <c r="Q40" s="5"/>
      <c r="R40" s="32"/>
      <c r="S40" s="5"/>
      <c r="T40" s="5">
        <f t="shared" si="4"/>
        <v>1296</v>
      </c>
      <c r="U40" s="5">
        <f t="shared" si="5"/>
        <v>0</v>
      </c>
      <c r="V40" s="5">
        <f>Table14[[#This Row],[Enrolment S.Y. 2025-2026 ]]*8</f>
        <v>1296</v>
      </c>
      <c r="W40" s="5"/>
      <c r="X40" s="32"/>
      <c r="Y40" s="5"/>
      <c r="Z40" s="5">
        <f t="shared" si="6"/>
        <v>1296</v>
      </c>
      <c r="AA40" s="5">
        <f t="shared" si="7"/>
        <v>0</v>
      </c>
    </row>
    <row r="41" spans="1:27" ht="19.5">
      <c r="A41" s="37">
        <v>4</v>
      </c>
      <c r="B41" s="9" t="s">
        <v>89</v>
      </c>
      <c r="C41" s="1">
        <v>162</v>
      </c>
      <c r="D41" s="5">
        <f>Table14[[#This Row],[Enrolment S.Y. 2025-2026 ]]*8</f>
        <v>1296</v>
      </c>
      <c r="E41" s="5"/>
      <c r="F41" s="1"/>
      <c r="G41" s="5"/>
      <c r="H41" s="5">
        <f>IF((D41-E41)&lt;0,0,(D41-E41))</f>
        <v>1296</v>
      </c>
      <c r="I41" s="5">
        <f>IF((E41-D41)&lt;0,0,(E41-D41))</f>
        <v>0</v>
      </c>
      <c r="J41" s="5">
        <f>Table14[[#This Row],[Enrolment S.Y. 2025-2026 ]]*8</f>
        <v>1296</v>
      </c>
      <c r="K41" s="5"/>
      <c r="L41" s="32"/>
      <c r="M41" s="5"/>
      <c r="N41" s="5">
        <f t="shared" si="8"/>
        <v>1296</v>
      </c>
      <c r="O41" s="5">
        <f t="shared" si="9"/>
        <v>0</v>
      </c>
      <c r="P41" s="5">
        <f>Table14[[#This Row],[Enrolment S.Y. 2025-2026 ]]*8</f>
        <v>1296</v>
      </c>
      <c r="Q41" s="5"/>
      <c r="R41" s="32"/>
      <c r="S41" s="5"/>
      <c r="T41" s="5">
        <f>IF((P41-Q41)&lt;0,0,(P41-Q41))</f>
        <v>1296</v>
      </c>
      <c r="U41" s="5">
        <f>IF((Q41-P41)&lt;0,0,(Q41-P41))</f>
        <v>0</v>
      </c>
      <c r="V41" s="5">
        <f>Table14[[#This Row],[Enrolment S.Y. 2025-2026 ]]*8</f>
        <v>1296</v>
      </c>
      <c r="W41" s="5"/>
      <c r="X41" s="32"/>
      <c r="Y41" s="5"/>
      <c r="Z41" s="5">
        <f>IF((V41-W41)&lt;0,0,(V41-W41))</f>
        <v>1296</v>
      </c>
      <c r="AA41" s="5">
        <f>IF((W41-V41)&lt;0,0,(W41-V41))</f>
        <v>0</v>
      </c>
    </row>
    <row r="42" spans="1:27" ht="19.5">
      <c r="A42" s="1">
        <v>4</v>
      </c>
      <c r="B42" s="9" t="s">
        <v>90</v>
      </c>
      <c r="C42" s="1">
        <v>162</v>
      </c>
      <c r="D42" s="5">
        <f>Table14[[#This Row],[Enrolment S.Y. 2025-2026 ]]*8</f>
        <v>1296</v>
      </c>
      <c r="E42" s="5"/>
      <c r="F42" s="1"/>
      <c r="G42" s="5"/>
      <c r="H42" s="5">
        <f t="shared" si="0"/>
        <v>1296</v>
      </c>
      <c r="I42" s="5">
        <f t="shared" si="1"/>
        <v>0</v>
      </c>
      <c r="J42" s="5">
        <f>Table14[[#This Row],[Enrolment S.Y. 2025-2026 ]]*8</f>
        <v>1296</v>
      </c>
      <c r="K42" s="5"/>
      <c r="L42" s="32"/>
      <c r="M42" s="5"/>
      <c r="N42" s="5">
        <f t="shared" si="8"/>
        <v>1296</v>
      </c>
      <c r="O42" s="5">
        <f t="shared" si="9"/>
        <v>0</v>
      </c>
      <c r="P42" s="5">
        <f>Table14[[#This Row],[Enrolment S.Y. 2025-2026 ]]*8</f>
        <v>1296</v>
      </c>
      <c r="Q42" s="5"/>
      <c r="R42" s="32"/>
      <c r="S42" s="5"/>
      <c r="T42" s="5">
        <f t="shared" si="4"/>
        <v>1296</v>
      </c>
      <c r="U42" s="5">
        <f t="shared" si="5"/>
        <v>0</v>
      </c>
      <c r="V42" s="5">
        <f>Table14[[#This Row],[Enrolment S.Y. 2025-2026 ]]*8</f>
        <v>1296</v>
      </c>
      <c r="W42" s="5"/>
      <c r="X42" s="32"/>
      <c r="Y42" s="5"/>
      <c r="Z42" s="5">
        <f t="shared" si="6"/>
        <v>1296</v>
      </c>
      <c r="AA42" s="5">
        <f t="shared" si="7"/>
        <v>0</v>
      </c>
    </row>
    <row r="43" spans="1:27" s="7" customFormat="1" ht="15"/>
    <row r="44" spans="1:27" ht="19.5">
      <c r="A44" s="1">
        <v>5</v>
      </c>
      <c r="B44" s="9" t="s">
        <v>14</v>
      </c>
      <c r="C44" s="1">
        <v>130</v>
      </c>
      <c r="D44" s="5">
        <f>Table14[[#This Row],[Enrolment S.Y. 2025-2026 ]]*8</f>
        <v>1040</v>
      </c>
      <c r="E44" s="5">
        <v>66</v>
      </c>
      <c r="F44" s="1">
        <v>2025</v>
      </c>
      <c r="G44" s="5"/>
      <c r="H44" s="5">
        <f t="shared" si="0"/>
        <v>974</v>
      </c>
      <c r="I44" s="5">
        <f t="shared" si="1"/>
        <v>0</v>
      </c>
      <c r="J44" s="5">
        <f>Table14[[#This Row],[Enrolment S.Y. 2025-2026 ]]*8</f>
        <v>1040</v>
      </c>
      <c r="K44" s="5"/>
      <c r="L44" s="32"/>
      <c r="M44" s="5"/>
      <c r="N44" s="5">
        <f t="shared" si="2"/>
        <v>1040</v>
      </c>
      <c r="O44" s="5">
        <f t="shared" si="3"/>
        <v>0</v>
      </c>
      <c r="P44" s="5">
        <f>Table14[[#This Row],[Enrolment S.Y. 2025-2026 ]]*8</f>
        <v>1040</v>
      </c>
      <c r="Q44" s="5"/>
      <c r="R44" s="32"/>
      <c r="S44" s="5"/>
      <c r="T44" s="5">
        <f t="shared" si="4"/>
        <v>1040</v>
      </c>
      <c r="U44" s="5">
        <f t="shared" si="5"/>
        <v>0</v>
      </c>
      <c r="V44" s="5">
        <f>Table14[[#This Row],[Enrolment S.Y. 2025-2026 ]]*8</f>
        <v>1040</v>
      </c>
      <c r="W44" s="5"/>
      <c r="X44" s="32"/>
      <c r="Y44" s="5"/>
      <c r="Z44" s="5">
        <f t="shared" si="6"/>
        <v>1040</v>
      </c>
      <c r="AA44" s="5">
        <f t="shared" si="7"/>
        <v>0</v>
      </c>
    </row>
    <row r="45" spans="1:27" ht="19.5">
      <c r="A45" s="1">
        <v>5</v>
      </c>
      <c r="B45" s="9" t="s">
        <v>15</v>
      </c>
      <c r="C45" s="1">
        <v>130</v>
      </c>
      <c r="D45" s="5">
        <f>Table14[[#This Row],[Enrolment S.Y. 2025-2026 ]]*8</f>
        <v>1040</v>
      </c>
      <c r="E45" s="5">
        <v>66</v>
      </c>
      <c r="F45" s="1">
        <v>2025</v>
      </c>
      <c r="G45" s="5"/>
      <c r="H45" s="5">
        <f t="shared" si="0"/>
        <v>974</v>
      </c>
      <c r="I45" s="5">
        <f t="shared" si="1"/>
        <v>0</v>
      </c>
      <c r="J45" s="5">
        <f>Table14[[#This Row],[Enrolment S.Y. 2025-2026 ]]*8</f>
        <v>1040</v>
      </c>
      <c r="K45" s="5"/>
      <c r="L45" s="32"/>
      <c r="M45" s="5"/>
      <c r="N45" s="5">
        <f t="shared" si="2"/>
        <v>1040</v>
      </c>
      <c r="O45" s="5">
        <f t="shared" si="3"/>
        <v>0</v>
      </c>
      <c r="P45" s="5">
        <f>Table14[[#This Row],[Enrolment S.Y. 2025-2026 ]]*8</f>
        <v>1040</v>
      </c>
      <c r="Q45" s="5"/>
      <c r="R45" s="32"/>
      <c r="S45" s="5"/>
      <c r="T45" s="5">
        <f t="shared" si="4"/>
        <v>1040</v>
      </c>
      <c r="U45" s="5">
        <f t="shared" si="5"/>
        <v>0</v>
      </c>
      <c r="V45" s="5">
        <f>Table14[[#This Row],[Enrolment S.Y. 2025-2026 ]]*8</f>
        <v>1040</v>
      </c>
      <c r="W45" s="5"/>
      <c r="X45" s="32"/>
      <c r="Y45" s="5"/>
      <c r="Z45" s="5">
        <f t="shared" si="6"/>
        <v>1040</v>
      </c>
      <c r="AA45" s="5">
        <f t="shared" si="7"/>
        <v>0</v>
      </c>
    </row>
    <row r="46" spans="1:27" ht="19.5">
      <c r="A46" s="1">
        <v>5</v>
      </c>
      <c r="B46" s="9" t="s">
        <v>12</v>
      </c>
      <c r="C46" s="1">
        <v>130</v>
      </c>
      <c r="D46" s="5">
        <f>Table14[[#This Row],[Enrolment S.Y. 2025-2026 ]]*8</f>
        <v>1040</v>
      </c>
      <c r="E46" s="5">
        <v>66</v>
      </c>
      <c r="F46" s="1">
        <v>2025</v>
      </c>
      <c r="G46" s="5"/>
      <c r="H46" s="5">
        <f t="shared" si="0"/>
        <v>974</v>
      </c>
      <c r="I46" s="5">
        <f t="shared" si="1"/>
        <v>0</v>
      </c>
      <c r="J46" s="5">
        <f>Table14[[#This Row],[Enrolment S.Y. 2025-2026 ]]*8</f>
        <v>1040</v>
      </c>
      <c r="K46" s="5"/>
      <c r="L46" s="32"/>
      <c r="M46" s="5"/>
      <c r="N46" s="5">
        <f t="shared" si="2"/>
        <v>1040</v>
      </c>
      <c r="O46" s="5">
        <f t="shared" si="3"/>
        <v>0</v>
      </c>
      <c r="P46" s="5">
        <f>Table14[[#This Row],[Enrolment S.Y. 2025-2026 ]]*8</f>
        <v>1040</v>
      </c>
      <c r="Q46" s="5"/>
      <c r="R46" s="32"/>
      <c r="S46" s="5"/>
      <c r="T46" s="5">
        <f t="shared" si="4"/>
        <v>1040</v>
      </c>
      <c r="U46" s="5">
        <f t="shared" si="5"/>
        <v>0</v>
      </c>
      <c r="V46" s="5">
        <f>Table14[[#This Row],[Enrolment S.Y. 2025-2026 ]]*8</f>
        <v>1040</v>
      </c>
      <c r="W46" s="5"/>
      <c r="X46" s="32"/>
      <c r="Y46" s="5"/>
      <c r="Z46" s="5">
        <f t="shared" si="6"/>
        <v>1040</v>
      </c>
      <c r="AA46" s="5">
        <f t="shared" si="7"/>
        <v>0</v>
      </c>
    </row>
    <row r="47" spans="1:27" ht="19.5">
      <c r="A47" s="1">
        <v>5</v>
      </c>
      <c r="B47" s="9" t="s">
        <v>10</v>
      </c>
      <c r="C47" s="1">
        <v>130</v>
      </c>
      <c r="D47" s="5">
        <f>Table14[[#This Row],[Enrolment S.Y. 2025-2026 ]]*8</f>
        <v>1040</v>
      </c>
      <c r="E47" s="5">
        <v>66</v>
      </c>
      <c r="F47" s="1">
        <v>2025</v>
      </c>
      <c r="G47" s="5"/>
      <c r="H47" s="5">
        <f t="shared" si="0"/>
        <v>974</v>
      </c>
      <c r="I47" s="5">
        <f t="shared" si="1"/>
        <v>0</v>
      </c>
      <c r="J47" s="5">
        <f>Table14[[#This Row],[Enrolment S.Y. 2025-2026 ]]*8</f>
        <v>1040</v>
      </c>
      <c r="K47" s="5"/>
      <c r="L47" s="32"/>
      <c r="M47" s="5"/>
      <c r="N47" s="5">
        <f t="shared" si="2"/>
        <v>1040</v>
      </c>
      <c r="O47" s="5">
        <f t="shared" si="3"/>
        <v>0</v>
      </c>
      <c r="P47" s="5">
        <f>Table14[[#This Row],[Enrolment S.Y. 2025-2026 ]]*8</f>
        <v>1040</v>
      </c>
      <c r="Q47" s="5"/>
      <c r="R47" s="32"/>
      <c r="S47" s="5"/>
      <c r="T47" s="5">
        <f t="shared" si="4"/>
        <v>1040</v>
      </c>
      <c r="U47" s="5">
        <f t="shared" si="5"/>
        <v>0</v>
      </c>
      <c r="V47" s="5">
        <f>Table14[[#This Row],[Enrolment S.Y. 2025-2026 ]]*8</f>
        <v>1040</v>
      </c>
      <c r="W47" s="5"/>
      <c r="X47" s="32"/>
      <c r="Y47" s="5"/>
      <c r="Z47" s="5">
        <f t="shared" si="6"/>
        <v>1040</v>
      </c>
      <c r="AA47" s="5">
        <f t="shared" si="7"/>
        <v>0</v>
      </c>
    </row>
    <row r="48" spans="1:27" ht="38.25">
      <c r="A48" s="1">
        <v>5</v>
      </c>
      <c r="B48" s="9" t="s">
        <v>16</v>
      </c>
      <c r="C48" s="1">
        <v>130</v>
      </c>
      <c r="D48" s="5">
        <f>Table14[[#This Row],[Enrolment S.Y. 2025-2026 ]]*8</f>
        <v>1040</v>
      </c>
      <c r="E48" s="5">
        <v>66</v>
      </c>
      <c r="F48" s="1">
        <v>2025</v>
      </c>
      <c r="G48" s="5"/>
      <c r="H48" s="5">
        <f t="shared" si="0"/>
        <v>974</v>
      </c>
      <c r="I48" s="5">
        <f t="shared" si="1"/>
        <v>0</v>
      </c>
      <c r="J48" s="5">
        <f>Table14[[#This Row],[Enrolment S.Y. 2025-2026 ]]*8</f>
        <v>1040</v>
      </c>
      <c r="K48" s="5"/>
      <c r="L48" s="32"/>
      <c r="M48" s="5"/>
      <c r="N48" s="5">
        <f t="shared" si="2"/>
        <v>1040</v>
      </c>
      <c r="O48" s="5">
        <f t="shared" si="3"/>
        <v>0</v>
      </c>
      <c r="P48" s="5">
        <f>Table14[[#This Row],[Enrolment S.Y. 2025-2026 ]]*8</f>
        <v>1040</v>
      </c>
      <c r="Q48" s="5"/>
      <c r="R48" s="32"/>
      <c r="S48" s="5"/>
      <c r="T48" s="5">
        <f t="shared" si="4"/>
        <v>1040</v>
      </c>
      <c r="U48" s="5">
        <f t="shared" si="5"/>
        <v>0</v>
      </c>
      <c r="V48" s="5">
        <f>Table14[[#This Row],[Enrolment S.Y. 2025-2026 ]]*8</f>
        <v>1040</v>
      </c>
      <c r="W48" s="5"/>
      <c r="X48" s="32"/>
      <c r="Y48" s="5"/>
      <c r="Z48" s="5">
        <f t="shared" si="6"/>
        <v>1040</v>
      </c>
      <c r="AA48" s="5">
        <f t="shared" si="7"/>
        <v>0</v>
      </c>
    </row>
    <row r="49" spans="1:27" ht="19.5">
      <c r="A49" s="1">
        <v>5</v>
      </c>
      <c r="B49" s="9" t="s">
        <v>13</v>
      </c>
      <c r="C49" s="1">
        <v>130</v>
      </c>
      <c r="D49" s="5">
        <f>Table14[[#This Row],[Enrolment S.Y. 2025-2026 ]]*8</f>
        <v>1040</v>
      </c>
      <c r="E49" s="5">
        <v>66</v>
      </c>
      <c r="F49" s="1">
        <v>2025</v>
      </c>
      <c r="G49" s="5"/>
      <c r="H49" s="5">
        <f t="shared" si="0"/>
        <v>974</v>
      </c>
      <c r="I49" s="5">
        <f t="shared" si="1"/>
        <v>0</v>
      </c>
      <c r="J49" s="5">
        <f>Table14[[#This Row],[Enrolment S.Y. 2025-2026 ]]*8</f>
        <v>1040</v>
      </c>
      <c r="K49" s="5"/>
      <c r="L49" s="32"/>
      <c r="M49" s="5"/>
      <c r="N49" s="5">
        <f t="shared" ref="N49:N54" si="10">IF((J49-K49)&lt;0,0,(J49-K49))</f>
        <v>1040</v>
      </c>
      <c r="O49" s="5">
        <f t="shared" ref="O49:O54" si="11">IF((K49-J49)&lt;0,0,(K49-J49))</f>
        <v>0</v>
      </c>
      <c r="P49" s="5">
        <f>Table14[[#This Row],[Enrolment S.Y. 2025-2026 ]]*8</f>
        <v>1040</v>
      </c>
      <c r="Q49" s="5"/>
      <c r="R49" s="32"/>
      <c r="S49" s="5"/>
      <c r="T49" s="5">
        <f t="shared" si="4"/>
        <v>1040</v>
      </c>
      <c r="U49" s="5">
        <f t="shared" si="5"/>
        <v>0</v>
      </c>
      <c r="V49" s="5">
        <f>Table14[[#This Row],[Enrolment S.Y. 2025-2026 ]]*8</f>
        <v>1040</v>
      </c>
      <c r="W49" s="5"/>
      <c r="X49" s="32"/>
      <c r="Y49" s="5"/>
      <c r="Z49" s="5">
        <f t="shared" si="6"/>
        <v>1040</v>
      </c>
      <c r="AA49" s="5">
        <f t="shared" si="7"/>
        <v>0</v>
      </c>
    </row>
    <row r="50" spans="1:27" ht="19.5">
      <c r="A50" s="37">
        <v>5</v>
      </c>
      <c r="B50" s="9" t="s">
        <v>87</v>
      </c>
      <c r="C50" s="1">
        <v>130</v>
      </c>
      <c r="D50" s="5">
        <f>Table14[[#This Row],[Enrolment S.Y. 2025-2026 ]]*8</f>
        <v>1040</v>
      </c>
      <c r="E50" s="5">
        <v>66</v>
      </c>
      <c r="F50" s="1">
        <v>2025</v>
      </c>
      <c r="G50" s="5"/>
      <c r="H50" s="5">
        <f>IF((D50-E50)&lt;0,0,(D50-E50))</f>
        <v>974</v>
      </c>
      <c r="I50" s="5">
        <f>IF((E50-D50)&lt;0,0,(E50-D50))</f>
        <v>0</v>
      </c>
      <c r="J50" s="5">
        <f>Table14[[#This Row],[Enrolment S.Y. 2025-2026 ]]*8</f>
        <v>1040</v>
      </c>
      <c r="K50" s="5"/>
      <c r="L50" s="32"/>
      <c r="M50" s="5"/>
      <c r="N50" s="5">
        <f t="shared" si="10"/>
        <v>1040</v>
      </c>
      <c r="O50" s="5">
        <f t="shared" si="11"/>
        <v>0</v>
      </c>
      <c r="P50" s="5">
        <f>Table14[[#This Row],[Enrolment S.Y. 2025-2026 ]]*8</f>
        <v>1040</v>
      </c>
      <c r="Q50" s="5"/>
      <c r="R50" s="32"/>
      <c r="S50" s="5"/>
      <c r="T50" s="5">
        <f>IF((P50-Q50)&lt;0,0,(P50-Q50))</f>
        <v>1040</v>
      </c>
      <c r="U50" s="5">
        <f>IF((Q50-P50)&lt;0,0,(Q50-P50))</f>
        <v>0</v>
      </c>
      <c r="V50" s="5">
        <f>Table14[[#This Row],[Enrolment S.Y. 2025-2026 ]]*8</f>
        <v>1040</v>
      </c>
      <c r="W50" s="5"/>
      <c r="X50" s="32"/>
      <c r="Y50" s="5"/>
      <c r="Z50" s="5">
        <f>IF((V50-W50)&lt;0,0,(V50-W50))</f>
        <v>1040</v>
      </c>
      <c r="AA50" s="5">
        <f>IF((W50-V50)&lt;0,0,(W50-V50))</f>
        <v>0</v>
      </c>
    </row>
    <row r="51" spans="1:27" ht="19.5">
      <c r="A51" s="1">
        <v>5</v>
      </c>
      <c r="B51" s="9" t="s">
        <v>88</v>
      </c>
      <c r="C51" s="1">
        <v>130</v>
      </c>
      <c r="D51" s="5">
        <f>Table14[[#This Row],[Enrolment S.Y. 2025-2026 ]]*8</f>
        <v>1040</v>
      </c>
      <c r="E51" s="5">
        <v>66</v>
      </c>
      <c r="F51" s="1">
        <v>2025</v>
      </c>
      <c r="G51" s="5"/>
      <c r="H51" s="5">
        <f t="shared" si="0"/>
        <v>974</v>
      </c>
      <c r="I51" s="5">
        <f t="shared" si="1"/>
        <v>0</v>
      </c>
      <c r="J51" s="5">
        <f>Table14[[#This Row],[Enrolment S.Y. 2025-2026 ]]*8</f>
        <v>1040</v>
      </c>
      <c r="K51" s="5"/>
      <c r="L51" s="32"/>
      <c r="M51" s="5"/>
      <c r="N51" s="5">
        <f t="shared" si="10"/>
        <v>1040</v>
      </c>
      <c r="O51" s="5">
        <f t="shared" si="11"/>
        <v>0</v>
      </c>
      <c r="P51" s="5">
        <f>Table14[[#This Row],[Enrolment S.Y. 2025-2026 ]]*8</f>
        <v>1040</v>
      </c>
      <c r="Q51" s="5"/>
      <c r="R51" s="32"/>
      <c r="S51" s="5"/>
      <c r="T51" s="5">
        <f t="shared" si="4"/>
        <v>1040</v>
      </c>
      <c r="U51" s="5">
        <f t="shared" si="5"/>
        <v>0</v>
      </c>
      <c r="V51" s="5">
        <f>Table14[[#This Row],[Enrolment S.Y. 2025-2026 ]]*8</f>
        <v>1040</v>
      </c>
      <c r="W51" s="5"/>
      <c r="X51" s="32"/>
      <c r="Y51" s="5"/>
      <c r="Z51" s="5">
        <f t="shared" si="6"/>
        <v>1040</v>
      </c>
      <c r="AA51" s="5">
        <f t="shared" si="7"/>
        <v>0</v>
      </c>
    </row>
    <row r="52" spans="1:27" ht="19.5">
      <c r="A52" s="1">
        <v>5</v>
      </c>
      <c r="B52" s="9" t="s">
        <v>18</v>
      </c>
      <c r="C52" s="1">
        <v>130</v>
      </c>
      <c r="D52" s="5">
        <f>Table14[[#This Row],[Enrolment S.Y. 2025-2026 ]]*8</f>
        <v>1040</v>
      </c>
      <c r="E52" s="5">
        <v>66</v>
      </c>
      <c r="F52" s="1">
        <v>2025</v>
      </c>
      <c r="G52" s="5"/>
      <c r="H52" s="5">
        <f t="shared" si="0"/>
        <v>974</v>
      </c>
      <c r="I52" s="5">
        <f t="shared" si="1"/>
        <v>0</v>
      </c>
      <c r="J52" s="5">
        <f>Table14[[#This Row],[Enrolment S.Y. 2025-2026 ]]*8</f>
        <v>1040</v>
      </c>
      <c r="K52" s="5"/>
      <c r="L52" s="32"/>
      <c r="M52" s="5"/>
      <c r="N52" s="5">
        <f t="shared" si="10"/>
        <v>1040</v>
      </c>
      <c r="O52" s="5">
        <f t="shared" si="11"/>
        <v>0</v>
      </c>
      <c r="P52" s="5">
        <f>Table14[[#This Row],[Enrolment S.Y. 2025-2026 ]]*8</f>
        <v>1040</v>
      </c>
      <c r="Q52" s="5"/>
      <c r="R52" s="32"/>
      <c r="S52" s="5"/>
      <c r="T52" s="5">
        <f t="shared" si="4"/>
        <v>1040</v>
      </c>
      <c r="U52" s="5">
        <f t="shared" si="5"/>
        <v>0</v>
      </c>
      <c r="V52" s="5">
        <f>Table14[[#This Row],[Enrolment S.Y. 2025-2026 ]]*8</f>
        <v>1040</v>
      </c>
      <c r="W52" s="5"/>
      <c r="X52" s="32"/>
      <c r="Y52" s="5"/>
      <c r="Z52" s="5">
        <f t="shared" si="6"/>
        <v>1040</v>
      </c>
      <c r="AA52" s="5">
        <f t="shared" si="7"/>
        <v>0</v>
      </c>
    </row>
    <row r="53" spans="1:27" ht="19.5">
      <c r="A53" s="37">
        <v>5</v>
      </c>
      <c r="B53" s="9" t="s">
        <v>89</v>
      </c>
      <c r="C53" s="1">
        <v>130</v>
      </c>
      <c r="D53" s="5">
        <f>Table14[[#This Row],[Enrolment S.Y. 2025-2026 ]]*8</f>
        <v>1040</v>
      </c>
      <c r="E53" s="5">
        <v>66</v>
      </c>
      <c r="F53" s="1">
        <v>2025</v>
      </c>
      <c r="G53" s="5"/>
      <c r="H53" s="5">
        <f>IF((D53-E53)&lt;0,0,(D53-E53))</f>
        <v>974</v>
      </c>
      <c r="I53" s="5">
        <f>IF((E53-D53)&lt;0,0,(E53-D53))</f>
        <v>0</v>
      </c>
      <c r="J53" s="5">
        <f>Table14[[#This Row],[Enrolment S.Y. 2025-2026 ]]*8</f>
        <v>1040</v>
      </c>
      <c r="K53" s="5"/>
      <c r="L53" s="32"/>
      <c r="M53" s="5"/>
      <c r="N53" s="5">
        <f t="shared" si="10"/>
        <v>1040</v>
      </c>
      <c r="O53" s="5">
        <f t="shared" si="11"/>
        <v>0</v>
      </c>
      <c r="P53" s="5">
        <f>Table14[[#This Row],[Enrolment S.Y. 2025-2026 ]]*8</f>
        <v>1040</v>
      </c>
      <c r="Q53" s="5"/>
      <c r="R53" s="32"/>
      <c r="S53" s="5"/>
      <c r="T53" s="5">
        <f>IF((P53-Q53)&lt;0,0,(P53-Q53))</f>
        <v>1040</v>
      </c>
      <c r="U53" s="5">
        <f>IF((Q53-P53)&lt;0,0,(Q53-P53))</f>
        <v>0</v>
      </c>
      <c r="V53" s="5">
        <f>Table14[[#This Row],[Enrolment S.Y. 2025-2026 ]]*8</f>
        <v>1040</v>
      </c>
      <c r="W53" s="5"/>
      <c r="X53" s="32"/>
      <c r="Y53" s="5"/>
      <c r="Z53" s="5">
        <f>IF((V53-W53)&lt;0,0,(V53-W53))</f>
        <v>1040</v>
      </c>
      <c r="AA53" s="5">
        <f>IF((W53-V53)&lt;0,0,(W53-V53))</f>
        <v>0</v>
      </c>
    </row>
    <row r="54" spans="1:27" ht="19.5">
      <c r="A54" s="1">
        <v>5</v>
      </c>
      <c r="B54" s="9" t="s">
        <v>90</v>
      </c>
      <c r="C54" s="1">
        <v>130</v>
      </c>
      <c r="D54" s="5">
        <f>Table14[[#This Row],[Enrolment S.Y. 2025-2026 ]]*8</f>
        <v>1040</v>
      </c>
      <c r="E54" s="5">
        <v>66</v>
      </c>
      <c r="F54" s="1">
        <v>2025</v>
      </c>
      <c r="G54" s="5"/>
      <c r="H54" s="5">
        <f t="shared" si="0"/>
        <v>974</v>
      </c>
      <c r="I54" s="5">
        <f t="shared" si="1"/>
        <v>0</v>
      </c>
      <c r="J54" s="5">
        <f>Table14[[#This Row],[Enrolment S.Y. 2025-2026 ]]*8</f>
        <v>1040</v>
      </c>
      <c r="K54" s="5"/>
      <c r="L54" s="32"/>
      <c r="M54" s="5"/>
      <c r="N54" s="5">
        <f t="shared" si="10"/>
        <v>1040</v>
      </c>
      <c r="O54" s="5">
        <f t="shared" si="11"/>
        <v>0</v>
      </c>
      <c r="P54" s="5">
        <f>Table14[[#This Row],[Enrolment S.Y. 2025-2026 ]]*8</f>
        <v>1040</v>
      </c>
      <c r="Q54" s="5"/>
      <c r="R54" s="32"/>
      <c r="S54" s="5"/>
      <c r="T54" s="5">
        <f t="shared" si="4"/>
        <v>1040</v>
      </c>
      <c r="U54" s="5">
        <f t="shared" si="5"/>
        <v>0</v>
      </c>
      <c r="V54" s="5">
        <f>Table14[[#This Row],[Enrolment S.Y. 2025-2026 ]]*8</f>
        <v>1040</v>
      </c>
      <c r="W54" s="5"/>
      <c r="X54" s="32"/>
      <c r="Y54" s="5"/>
      <c r="Z54" s="5">
        <f t="shared" si="6"/>
        <v>1040</v>
      </c>
      <c r="AA54" s="5">
        <f t="shared" si="7"/>
        <v>0</v>
      </c>
    </row>
    <row r="55" spans="1:27" s="7" customFormat="1" ht="15"/>
    <row r="56" spans="1:27" ht="19.5">
      <c r="A56" s="1">
        <v>6</v>
      </c>
      <c r="B56" s="9" t="s">
        <v>14</v>
      </c>
      <c r="C56" s="1">
        <v>104</v>
      </c>
      <c r="D56" s="5">
        <f>Table14[[#This Row],[Enrolment S.Y. 2025-2026 ]]*8</f>
        <v>832</v>
      </c>
      <c r="E56" s="5"/>
      <c r="F56" s="1"/>
      <c r="G56" s="5"/>
      <c r="H56" s="5">
        <f t="shared" si="0"/>
        <v>832</v>
      </c>
      <c r="I56" s="5">
        <f t="shared" si="1"/>
        <v>0</v>
      </c>
      <c r="J56" s="5">
        <f>Table14[[#This Row],[Enrolment S.Y. 2025-2026 ]]*8</f>
        <v>832</v>
      </c>
      <c r="K56" s="5"/>
      <c r="L56" s="32"/>
      <c r="M56" s="5"/>
      <c r="N56" s="5">
        <f t="shared" si="2"/>
        <v>832</v>
      </c>
      <c r="O56" s="5">
        <f t="shared" si="3"/>
        <v>0</v>
      </c>
      <c r="P56" s="5">
        <f>Table14[[#This Row],[Enrolment S.Y. 2025-2026 ]]*8</f>
        <v>832</v>
      </c>
      <c r="Q56" s="34"/>
      <c r="R56" s="32"/>
      <c r="S56" s="5"/>
      <c r="T56" s="5">
        <f>IF((P56-Q55)&lt;0,0,(P56-Q55))</f>
        <v>832</v>
      </c>
      <c r="U56" s="5">
        <f>IF((Q55-P56)&lt;0,0,(Q55-P56))</f>
        <v>0</v>
      </c>
      <c r="V56" s="5">
        <f>Table14[[#This Row],[Enrolment S.Y. 2025-2026 ]]*8</f>
        <v>832</v>
      </c>
      <c r="W56" s="5"/>
      <c r="X56" s="32"/>
      <c r="Y56" s="5"/>
      <c r="Z56" s="5">
        <f t="shared" si="6"/>
        <v>832</v>
      </c>
      <c r="AA56" s="5">
        <f t="shared" si="7"/>
        <v>0</v>
      </c>
    </row>
    <row r="57" spans="1:27" ht="19.5">
      <c r="A57" s="1">
        <v>6</v>
      </c>
      <c r="B57" s="9" t="s">
        <v>15</v>
      </c>
      <c r="C57" s="1">
        <v>104</v>
      </c>
      <c r="D57" s="5">
        <f>Table14[[#This Row],[Enrolment S.Y. 2025-2026 ]]*8</f>
        <v>832</v>
      </c>
      <c r="E57" s="5"/>
      <c r="F57" s="1"/>
      <c r="G57" s="5"/>
      <c r="H57" s="5">
        <f t="shared" si="0"/>
        <v>832</v>
      </c>
      <c r="I57" s="5">
        <f t="shared" si="1"/>
        <v>0</v>
      </c>
      <c r="J57" s="5">
        <f>Table14[[#This Row],[Enrolment S.Y. 2025-2026 ]]*8</f>
        <v>832</v>
      </c>
      <c r="K57" s="5"/>
      <c r="L57" s="32"/>
      <c r="M57" s="5"/>
      <c r="N57" s="5">
        <f t="shared" si="2"/>
        <v>832</v>
      </c>
      <c r="O57" s="5">
        <f t="shared" si="3"/>
        <v>0</v>
      </c>
      <c r="P57" s="5">
        <f>Table14[[#This Row],[Enrolment S.Y. 2025-2026 ]]*8</f>
        <v>832</v>
      </c>
      <c r="Q57" s="5"/>
      <c r="R57" s="32"/>
      <c r="S57" s="5"/>
      <c r="T57" s="5">
        <f t="shared" si="4"/>
        <v>832</v>
      </c>
      <c r="U57" s="5">
        <f t="shared" si="5"/>
        <v>0</v>
      </c>
      <c r="V57" s="5">
        <f>Table14[[#This Row],[Enrolment S.Y. 2025-2026 ]]*8</f>
        <v>832</v>
      </c>
      <c r="W57" s="5"/>
      <c r="X57" s="32"/>
      <c r="Y57" s="5"/>
      <c r="Z57" s="5">
        <f t="shared" si="6"/>
        <v>832</v>
      </c>
      <c r="AA57" s="5">
        <f t="shared" si="7"/>
        <v>0</v>
      </c>
    </row>
    <row r="58" spans="1:27" ht="19.5">
      <c r="A58" s="1">
        <v>6</v>
      </c>
      <c r="B58" s="9" t="s">
        <v>12</v>
      </c>
      <c r="C58" s="1">
        <v>104</v>
      </c>
      <c r="D58" s="5">
        <f>Table14[[#This Row],[Enrolment S.Y. 2025-2026 ]]*8</f>
        <v>832</v>
      </c>
      <c r="E58" s="5"/>
      <c r="F58" s="1"/>
      <c r="G58" s="5"/>
      <c r="H58" s="5">
        <f t="shared" si="0"/>
        <v>832</v>
      </c>
      <c r="I58" s="5">
        <f t="shared" si="1"/>
        <v>0</v>
      </c>
      <c r="J58" s="5">
        <f>Table14[[#This Row],[Enrolment S.Y. 2025-2026 ]]*8</f>
        <v>832</v>
      </c>
      <c r="K58" s="5"/>
      <c r="L58" s="32"/>
      <c r="M58" s="5"/>
      <c r="N58" s="5">
        <f t="shared" si="2"/>
        <v>832</v>
      </c>
      <c r="O58" s="5">
        <f t="shared" si="3"/>
        <v>0</v>
      </c>
      <c r="P58" s="5">
        <f>Table14[[#This Row],[Enrolment S.Y. 2025-2026 ]]*8</f>
        <v>832</v>
      </c>
      <c r="Q58" s="5"/>
      <c r="R58" s="32"/>
      <c r="S58" s="5"/>
      <c r="T58" s="5">
        <f t="shared" si="4"/>
        <v>832</v>
      </c>
      <c r="U58" s="5">
        <f t="shared" si="5"/>
        <v>0</v>
      </c>
      <c r="V58" s="5">
        <f>Table14[[#This Row],[Enrolment S.Y. 2025-2026 ]]*8</f>
        <v>832</v>
      </c>
      <c r="W58" s="5"/>
      <c r="X58" s="32"/>
      <c r="Y58" s="5"/>
      <c r="Z58" s="5">
        <f t="shared" si="6"/>
        <v>832</v>
      </c>
      <c r="AA58" s="5">
        <f t="shared" si="7"/>
        <v>0</v>
      </c>
    </row>
    <row r="59" spans="1:27" ht="19.5">
      <c r="A59" s="1">
        <v>6</v>
      </c>
      <c r="B59" s="9" t="s">
        <v>10</v>
      </c>
      <c r="C59" s="1">
        <v>104</v>
      </c>
      <c r="D59" s="5">
        <f>Table14[[#This Row],[Enrolment S.Y. 2025-2026 ]]*8</f>
        <v>832</v>
      </c>
      <c r="E59" s="5"/>
      <c r="F59" s="1"/>
      <c r="G59" s="5"/>
      <c r="H59" s="5">
        <f t="shared" si="0"/>
        <v>832</v>
      </c>
      <c r="I59" s="5">
        <f t="shared" si="1"/>
        <v>0</v>
      </c>
      <c r="J59" s="5">
        <f>Table14[[#This Row],[Enrolment S.Y. 2025-2026 ]]*8</f>
        <v>832</v>
      </c>
      <c r="K59" s="5"/>
      <c r="L59" s="32"/>
      <c r="M59" s="5"/>
      <c r="N59" s="5">
        <f t="shared" si="2"/>
        <v>832</v>
      </c>
      <c r="O59" s="5">
        <f t="shared" si="3"/>
        <v>0</v>
      </c>
      <c r="P59" s="5">
        <f>Table14[[#This Row],[Enrolment S.Y. 2025-2026 ]]*8</f>
        <v>832</v>
      </c>
      <c r="Q59" s="5"/>
      <c r="R59" s="32"/>
      <c r="S59" s="5"/>
      <c r="T59" s="5">
        <f t="shared" si="4"/>
        <v>832</v>
      </c>
      <c r="U59" s="5">
        <f t="shared" si="5"/>
        <v>0</v>
      </c>
      <c r="V59" s="5">
        <f>Table14[[#This Row],[Enrolment S.Y. 2025-2026 ]]*8</f>
        <v>832</v>
      </c>
      <c r="W59" s="5"/>
      <c r="X59" s="32"/>
      <c r="Y59" s="5"/>
      <c r="Z59" s="5">
        <f t="shared" si="6"/>
        <v>832</v>
      </c>
      <c r="AA59" s="5">
        <f t="shared" si="7"/>
        <v>0</v>
      </c>
    </row>
    <row r="60" spans="1:27" ht="38.25">
      <c r="A60" s="1">
        <v>6</v>
      </c>
      <c r="B60" s="9" t="s">
        <v>16</v>
      </c>
      <c r="C60" s="1">
        <v>104</v>
      </c>
      <c r="D60" s="5">
        <f>Table14[[#This Row],[Enrolment S.Y. 2025-2026 ]]*8</f>
        <v>832</v>
      </c>
      <c r="E60" s="5"/>
      <c r="F60" s="1"/>
      <c r="G60" s="5"/>
      <c r="H60" s="5">
        <f t="shared" si="0"/>
        <v>832</v>
      </c>
      <c r="I60" s="5">
        <f t="shared" si="1"/>
        <v>0</v>
      </c>
      <c r="J60" s="5">
        <f>Table14[[#This Row],[Enrolment S.Y. 2025-2026 ]]*8</f>
        <v>832</v>
      </c>
      <c r="K60" s="5"/>
      <c r="L60" s="32"/>
      <c r="M60" s="5"/>
      <c r="N60" s="5">
        <f t="shared" si="2"/>
        <v>832</v>
      </c>
      <c r="O60" s="5">
        <f t="shared" si="3"/>
        <v>0</v>
      </c>
      <c r="P60" s="5">
        <f>Table14[[#This Row],[Enrolment S.Y. 2025-2026 ]]*8</f>
        <v>832</v>
      </c>
      <c r="Q60" s="5"/>
      <c r="R60" s="32"/>
      <c r="S60" s="5"/>
      <c r="T60" s="5">
        <f t="shared" si="4"/>
        <v>832</v>
      </c>
      <c r="U60" s="5">
        <f t="shared" si="5"/>
        <v>0</v>
      </c>
      <c r="V60" s="5">
        <f>Table14[[#This Row],[Enrolment S.Y. 2025-2026 ]]*8</f>
        <v>832</v>
      </c>
      <c r="W60" s="5"/>
      <c r="X60" s="32"/>
      <c r="Y60" s="5"/>
      <c r="Z60" s="5">
        <f t="shared" si="6"/>
        <v>832</v>
      </c>
      <c r="AA60" s="5">
        <f t="shared" si="7"/>
        <v>0</v>
      </c>
    </row>
    <row r="61" spans="1:27" ht="19.5">
      <c r="A61" s="1">
        <v>6</v>
      </c>
      <c r="B61" s="9" t="s">
        <v>13</v>
      </c>
      <c r="C61" s="1">
        <v>104</v>
      </c>
      <c r="D61" s="5">
        <f>Table14[[#This Row],[Enrolment S.Y. 2025-2026 ]]*8</f>
        <v>832</v>
      </c>
      <c r="E61" s="5"/>
      <c r="F61" s="1"/>
      <c r="G61" s="5"/>
      <c r="H61" s="5">
        <f t="shared" si="0"/>
        <v>832</v>
      </c>
      <c r="I61" s="5">
        <f t="shared" si="1"/>
        <v>0</v>
      </c>
      <c r="J61" s="5">
        <f>Table14[[#This Row],[Enrolment S.Y. 2025-2026 ]]*8</f>
        <v>832</v>
      </c>
      <c r="K61" s="5"/>
      <c r="L61" s="32"/>
      <c r="M61" s="5"/>
      <c r="N61" s="5">
        <f t="shared" si="2"/>
        <v>832</v>
      </c>
      <c r="O61" s="5">
        <f t="shared" si="3"/>
        <v>0</v>
      </c>
      <c r="P61" s="5">
        <f>Table14[[#This Row],[Enrolment S.Y. 2025-2026 ]]*8</f>
        <v>832</v>
      </c>
      <c r="Q61" s="5"/>
      <c r="R61" s="32"/>
      <c r="S61" s="5"/>
      <c r="T61" s="5">
        <f t="shared" si="4"/>
        <v>832</v>
      </c>
      <c r="U61" s="5">
        <f t="shared" si="5"/>
        <v>0</v>
      </c>
      <c r="V61" s="5">
        <f>Table14[[#This Row],[Enrolment S.Y. 2025-2026 ]]*8</f>
        <v>832</v>
      </c>
      <c r="W61" s="5"/>
      <c r="X61" s="32"/>
      <c r="Y61" s="5"/>
      <c r="Z61" s="5">
        <f t="shared" si="6"/>
        <v>832</v>
      </c>
      <c r="AA61" s="5">
        <f t="shared" si="7"/>
        <v>0</v>
      </c>
    </row>
    <row r="62" spans="1:27" ht="19.5">
      <c r="A62" s="37">
        <v>6</v>
      </c>
      <c r="B62" s="9" t="s">
        <v>87</v>
      </c>
      <c r="C62" s="1">
        <v>104</v>
      </c>
      <c r="D62" s="5">
        <f>Table14[[#This Row],[Enrolment S.Y. 2025-2026 ]]*8</f>
        <v>832</v>
      </c>
      <c r="E62" s="5"/>
      <c r="F62" s="1"/>
      <c r="G62" s="5"/>
      <c r="H62" s="5">
        <f>IF((D62-E62)&lt;0,0,(D62-E62))</f>
        <v>832</v>
      </c>
      <c r="I62" s="5">
        <f>IF((E62-D62)&lt;0,0,(E62-D62))</f>
        <v>0</v>
      </c>
      <c r="J62" s="5">
        <f>Table14[[#This Row],[Enrolment S.Y. 2025-2026 ]]*8</f>
        <v>832</v>
      </c>
      <c r="K62" s="5"/>
      <c r="L62" s="32"/>
      <c r="M62" s="5"/>
      <c r="N62" s="5">
        <f t="shared" ref="N62:N66" si="12">IF((J62-K62)&lt;0,0,(J62-K62))</f>
        <v>832</v>
      </c>
      <c r="O62" s="5">
        <f t="shared" ref="O62:O66" si="13">IF((K62-J62)&lt;0,0,(K62-J62))</f>
        <v>0</v>
      </c>
      <c r="P62" s="5">
        <f>Table14[[#This Row],[Enrolment S.Y. 2025-2026 ]]*8</f>
        <v>832</v>
      </c>
      <c r="Q62" s="5"/>
      <c r="R62" s="32"/>
      <c r="S62" s="5"/>
      <c r="T62" s="5">
        <f>IF((P62-Q62)&lt;0,0,(P62-Q62))</f>
        <v>832</v>
      </c>
      <c r="U62" s="5">
        <f>IF((Q62-P62)&lt;0,0,(Q62-P62))</f>
        <v>0</v>
      </c>
      <c r="V62" s="5">
        <f>Table14[[#This Row],[Enrolment S.Y. 2025-2026 ]]*8</f>
        <v>832</v>
      </c>
      <c r="W62" s="5"/>
      <c r="X62" s="32"/>
      <c r="Y62" s="5"/>
      <c r="Z62" s="5">
        <f>IF((V62-W62)&lt;0,0,(V62-W62))</f>
        <v>832</v>
      </c>
      <c r="AA62" s="5">
        <f>IF((W62-V62)&lt;0,0,(W62-V62))</f>
        <v>0</v>
      </c>
    </row>
    <row r="63" spans="1:27" ht="19.5">
      <c r="A63" s="1">
        <v>6</v>
      </c>
      <c r="B63" s="9" t="s">
        <v>88</v>
      </c>
      <c r="C63" s="1">
        <v>104</v>
      </c>
      <c r="D63" s="5">
        <f>Table14[[#This Row],[Enrolment S.Y. 2025-2026 ]]*8</f>
        <v>832</v>
      </c>
      <c r="E63" s="5"/>
      <c r="F63" s="1"/>
      <c r="G63" s="5"/>
      <c r="H63" s="5">
        <f t="shared" si="0"/>
        <v>832</v>
      </c>
      <c r="I63" s="5">
        <f t="shared" si="1"/>
        <v>0</v>
      </c>
      <c r="J63" s="5">
        <f>Table14[[#This Row],[Enrolment S.Y. 2025-2026 ]]*8</f>
        <v>832</v>
      </c>
      <c r="K63" s="5"/>
      <c r="L63" s="32"/>
      <c r="M63" s="5"/>
      <c r="N63" s="5">
        <f t="shared" si="12"/>
        <v>832</v>
      </c>
      <c r="O63" s="5">
        <f t="shared" si="13"/>
        <v>0</v>
      </c>
      <c r="P63" s="5">
        <f>Table14[[#This Row],[Enrolment S.Y. 2025-2026 ]]*8</f>
        <v>832</v>
      </c>
      <c r="Q63" s="5"/>
      <c r="R63" s="32"/>
      <c r="S63" s="5"/>
      <c r="T63" s="5">
        <f t="shared" si="4"/>
        <v>832</v>
      </c>
      <c r="U63" s="5">
        <f t="shared" si="5"/>
        <v>0</v>
      </c>
      <c r="V63" s="5">
        <f>Table14[[#This Row],[Enrolment S.Y. 2025-2026 ]]*8</f>
        <v>832</v>
      </c>
      <c r="W63" s="5"/>
      <c r="X63" s="32"/>
      <c r="Y63" s="5"/>
      <c r="Z63" s="5">
        <f t="shared" si="6"/>
        <v>832</v>
      </c>
      <c r="AA63" s="5">
        <f t="shared" si="7"/>
        <v>0</v>
      </c>
    </row>
    <row r="64" spans="1:27" ht="19.5">
      <c r="A64" s="1">
        <v>6</v>
      </c>
      <c r="B64" s="9" t="s">
        <v>18</v>
      </c>
      <c r="C64" s="1">
        <v>104</v>
      </c>
      <c r="D64" s="5">
        <f>Table14[[#This Row],[Enrolment S.Y. 2025-2026 ]]*8</f>
        <v>832</v>
      </c>
      <c r="E64" s="5"/>
      <c r="F64" s="1"/>
      <c r="G64" s="5"/>
      <c r="H64" s="5">
        <f t="shared" si="0"/>
        <v>832</v>
      </c>
      <c r="I64" s="5">
        <f t="shared" si="1"/>
        <v>0</v>
      </c>
      <c r="J64" s="5">
        <f>Table14[[#This Row],[Enrolment S.Y. 2025-2026 ]]*8</f>
        <v>832</v>
      </c>
      <c r="K64" s="5"/>
      <c r="L64" s="32"/>
      <c r="M64" s="5"/>
      <c r="N64" s="5">
        <f t="shared" si="12"/>
        <v>832</v>
      </c>
      <c r="O64" s="5">
        <f t="shared" si="13"/>
        <v>0</v>
      </c>
      <c r="P64" s="5">
        <f>Table14[[#This Row],[Enrolment S.Y. 2025-2026 ]]*8</f>
        <v>832</v>
      </c>
      <c r="Q64" s="5"/>
      <c r="R64" s="32"/>
      <c r="S64" s="5"/>
      <c r="T64" s="5">
        <f t="shared" si="4"/>
        <v>832</v>
      </c>
      <c r="U64" s="5">
        <f t="shared" si="5"/>
        <v>0</v>
      </c>
      <c r="V64" s="5">
        <f>Table14[[#This Row],[Enrolment S.Y. 2025-2026 ]]*8</f>
        <v>832</v>
      </c>
      <c r="W64" s="5"/>
      <c r="X64" s="32"/>
      <c r="Y64" s="5"/>
      <c r="Z64" s="5">
        <f t="shared" si="6"/>
        <v>832</v>
      </c>
      <c r="AA64" s="5">
        <f t="shared" si="7"/>
        <v>0</v>
      </c>
    </row>
    <row r="65" spans="1:27" ht="19.5">
      <c r="A65" s="37">
        <v>6</v>
      </c>
      <c r="B65" s="9" t="s">
        <v>89</v>
      </c>
      <c r="C65" s="1">
        <v>104</v>
      </c>
      <c r="D65" s="5">
        <f>Table14[[#This Row],[Enrolment S.Y. 2025-2026 ]]*8</f>
        <v>832</v>
      </c>
      <c r="E65" s="5"/>
      <c r="F65" s="1"/>
      <c r="G65" s="5"/>
      <c r="H65" s="5">
        <f>IF((D65-E65)&lt;0,0,(D65-E65))</f>
        <v>832</v>
      </c>
      <c r="I65" s="5">
        <f>IF((E65-D65)&lt;0,0,(E65-D65))</f>
        <v>0</v>
      </c>
      <c r="J65" s="5">
        <f>Table14[[#This Row],[Enrolment S.Y. 2025-2026 ]]*8</f>
        <v>832</v>
      </c>
      <c r="K65" s="5"/>
      <c r="L65" s="32"/>
      <c r="M65" s="5"/>
      <c r="N65" s="5">
        <f t="shared" si="12"/>
        <v>832</v>
      </c>
      <c r="O65" s="5">
        <f t="shared" si="13"/>
        <v>0</v>
      </c>
      <c r="P65" s="5">
        <f>Table14[[#This Row],[Enrolment S.Y. 2025-2026 ]]*8</f>
        <v>832</v>
      </c>
      <c r="Q65" s="5"/>
      <c r="R65" s="32"/>
      <c r="S65" s="5"/>
      <c r="T65" s="5">
        <f>IF((P65-Q65)&lt;0,0,(P65-Q65))</f>
        <v>832</v>
      </c>
      <c r="U65" s="5">
        <f>IF((Q65-P65)&lt;0,0,(Q65-P65))</f>
        <v>0</v>
      </c>
      <c r="V65" s="5">
        <f>Table14[[#This Row],[Enrolment S.Y. 2025-2026 ]]*8</f>
        <v>832</v>
      </c>
      <c r="W65" s="5"/>
      <c r="X65" s="32"/>
      <c r="Y65" s="5"/>
      <c r="Z65" s="5">
        <f>IF((V65-W65)&lt;0,0,(V65-W65))</f>
        <v>832</v>
      </c>
      <c r="AA65" s="5">
        <f>IF((W65-V65)&lt;0,0,(W65-V65))</f>
        <v>0</v>
      </c>
    </row>
    <row r="66" spans="1:27" ht="19.5">
      <c r="A66" s="1">
        <v>6</v>
      </c>
      <c r="B66" s="9" t="s">
        <v>90</v>
      </c>
      <c r="C66" s="1">
        <v>104</v>
      </c>
      <c r="D66" s="5">
        <f>Table14[[#This Row],[Enrolment S.Y. 2025-2026 ]]*8</f>
        <v>832</v>
      </c>
      <c r="E66" s="5"/>
      <c r="F66" s="1"/>
      <c r="G66" s="5"/>
      <c r="H66" s="5">
        <f t="shared" si="0"/>
        <v>832</v>
      </c>
      <c r="I66" s="5">
        <f t="shared" si="1"/>
        <v>0</v>
      </c>
      <c r="J66" s="5">
        <f>Table14[[#This Row],[Enrolment S.Y. 2025-2026 ]]*8</f>
        <v>832</v>
      </c>
      <c r="K66" s="5"/>
      <c r="L66" s="32"/>
      <c r="M66" s="5"/>
      <c r="N66" s="5">
        <f t="shared" si="12"/>
        <v>832</v>
      </c>
      <c r="O66" s="5">
        <f t="shared" si="13"/>
        <v>0</v>
      </c>
      <c r="P66" s="5">
        <f>Table14[[#This Row],[Enrolment S.Y. 2025-2026 ]]*8</f>
        <v>832</v>
      </c>
      <c r="Q66" s="5"/>
      <c r="R66" s="32"/>
      <c r="S66" s="5"/>
      <c r="T66" s="5">
        <f t="shared" si="4"/>
        <v>832</v>
      </c>
      <c r="U66" s="5">
        <f t="shared" si="5"/>
        <v>0</v>
      </c>
      <c r="V66" s="5">
        <f>Table14[[#This Row],[Enrolment S.Y. 2025-2026 ]]*8</f>
        <v>832</v>
      </c>
      <c r="W66" s="5"/>
      <c r="X66" s="32"/>
      <c r="Y66" s="5"/>
      <c r="Z66" s="5">
        <f t="shared" si="6"/>
        <v>832</v>
      </c>
      <c r="AA66" s="5">
        <f t="shared" si="7"/>
        <v>0</v>
      </c>
    </row>
    <row r="67" spans="1:27" s="7" customFormat="1" ht="15"/>
    <row r="68" spans="1:27" ht="19.5">
      <c r="A68" s="10">
        <v>7</v>
      </c>
      <c r="B68" s="11" t="s">
        <v>14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15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12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5">
      <c r="A71" s="10">
        <v>7</v>
      </c>
      <c r="B71" s="11" t="s">
        <v>20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si="2"/>
        <v>0</v>
      </c>
      <c r="O71" s="12">
        <f t="shared" si="3"/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38.25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ref="N72:N78" si="14">IF((J72-K72)&lt;0,0,(J72-K72))</f>
        <v>0</v>
      </c>
      <c r="O72" s="12">
        <f t="shared" ref="O72:O78" si="15">IF((K72-J72)&lt;0,0,(K72-J72))</f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10">
        <v>7</v>
      </c>
      <c r="B73" s="11" t="s">
        <v>13</v>
      </c>
      <c r="C73" s="10"/>
      <c r="D73" s="12">
        <f>Table14[[#This Row],[Enrolment S.Y. 2025-2026 ]]*8</f>
        <v>0</v>
      </c>
      <c r="E73" s="12"/>
      <c r="F73" s="10"/>
      <c r="G73" s="12"/>
      <c r="H73" s="12">
        <f t="shared" si="0"/>
        <v>0</v>
      </c>
      <c r="I73" s="12">
        <f t="shared" si="1"/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 t="shared" si="4"/>
        <v>0</v>
      </c>
      <c r="U73" s="12">
        <f t="shared" si="5"/>
        <v>0</v>
      </c>
      <c r="V73" s="12">
        <f>Table14[[#This Row],[Enrolment S.Y. 2025-2026 ]]*8</f>
        <v>0</v>
      </c>
      <c r="W73" s="12"/>
      <c r="X73" s="10"/>
      <c r="Y73" s="12"/>
      <c r="Z73" s="12">
        <f t="shared" si="6"/>
        <v>0</v>
      </c>
      <c r="AA73" s="12">
        <f t="shared" si="7"/>
        <v>0</v>
      </c>
    </row>
    <row r="74" spans="1:27" ht="19.5">
      <c r="A74" s="38">
        <v>7</v>
      </c>
      <c r="B74" s="11" t="s">
        <v>87</v>
      </c>
      <c r="C74" s="12"/>
      <c r="D74" s="12">
        <f>Table14[[#This Row],[Enrolment S.Y. 2025-2026 ]]*8</f>
        <v>0</v>
      </c>
      <c r="E74" s="12"/>
      <c r="F74" s="10"/>
      <c r="G74" s="12"/>
      <c r="H74" s="12">
        <f>IF((D74-E74)&lt;0,0,(D74-E74))</f>
        <v>0</v>
      </c>
      <c r="I74" s="12">
        <f>IF((E74-D74)&lt;0,0,(E74-D74))</f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>IF((P74-Q74)&lt;0,0,(P74-Q74))</f>
        <v>0</v>
      </c>
      <c r="U74" s="12">
        <f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>IF((V74-W74)&lt;0,0,(V74-W74))</f>
        <v>0</v>
      </c>
      <c r="AA74" s="12">
        <f>IF((W74-V74)&lt;0,0,(W74-V74))</f>
        <v>0</v>
      </c>
    </row>
    <row r="75" spans="1:27" ht="19.5">
      <c r="A75" s="10">
        <v>7</v>
      </c>
      <c r="B75" s="11" t="s">
        <v>88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ref="T75:T123" si="16">IF((P75-Q75)&lt;0,0,(P75-Q75))</f>
        <v>0</v>
      </c>
      <c r="U75" s="12">
        <f t="shared" ref="U75:U123" si="17">IF((Q75-P75)&lt;0,0,(Q75-P75))</f>
        <v>0</v>
      </c>
      <c r="V75" s="12">
        <f>Table14[[#This Row],[Enrolment S.Y. 2025-2026 ]]*8</f>
        <v>0</v>
      </c>
      <c r="W75" s="12"/>
      <c r="X75" s="10"/>
      <c r="Y75" s="12"/>
      <c r="Z75" s="12">
        <f t="shared" ref="Z75:Z123" si="18">IF((V75-W75)&lt;0,0,(V75-W75))</f>
        <v>0</v>
      </c>
      <c r="AA75" s="12">
        <f t="shared" ref="AA75:AA123" si="19">IF((W75-V75)&lt;0,0,(W75-V75))</f>
        <v>0</v>
      </c>
    </row>
    <row r="76" spans="1:27" ht="19.5">
      <c r="A76" s="10">
        <v>7</v>
      </c>
      <c r="B76" s="11" t="s">
        <v>21</v>
      </c>
      <c r="C76" s="10"/>
      <c r="D76" s="12">
        <f>Table14[[#This Row],[Enrolment S.Y. 2025-2026 ]]*8</f>
        <v>0</v>
      </c>
      <c r="E76" s="12"/>
      <c r="F76" s="10"/>
      <c r="G76" s="12"/>
      <c r="H76" s="12">
        <f t="shared" si="0"/>
        <v>0</v>
      </c>
      <c r="I76" s="12">
        <f t="shared" si="1"/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 t="shared" si="16"/>
        <v>0</v>
      </c>
      <c r="U76" s="12">
        <f t="shared" si="17"/>
        <v>0</v>
      </c>
      <c r="V76" s="12">
        <f>Table14[[#This Row],[Enrolment S.Y. 2025-2026 ]]*8</f>
        <v>0</v>
      </c>
      <c r="W76" s="12"/>
      <c r="X76" s="10"/>
      <c r="Y76" s="12"/>
      <c r="Z76" s="12">
        <f t="shared" si="18"/>
        <v>0</v>
      </c>
      <c r="AA76" s="12">
        <f t="shared" si="19"/>
        <v>0</v>
      </c>
    </row>
    <row r="77" spans="1:27" ht="19.5">
      <c r="A77" s="38">
        <v>7</v>
      </c>
      <c r="B77" s="11" t="s">
        <v>89</v>
      </c>
      <c r="C77" s="12"/>
      <c r="D77" s="12">
        <f>Table14[[#This Row],[Enrolment S.Y. 2025-2026 ]]*8</f>
        <v>0</v>
      </c>
      <c r="E77" s="12"/>
      <c r="F77" s="10"/>
      <c r="G77" s="12"/>
      <c r="H77" s="12">
        <f>IF((D77-E77)&lt;0,0,(D77-E77))</f>
        <v>0</v>
      </c>
      <c r="I77" s="12">
        <f>IF((E77-D77)&lt;0,0,(E77-D77))</f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>IF((P77-Q77)&lt;0,0,(P77-Q77))</f>
        <v>0</v>
      </c>
      <c r="U77" s="12">
        <f>IF((Q77-P77)&lt;0,0,(Q77-P77))</f>
        <v>0</v>
      </c>
      <c r="V77" s="12">
        <f>Table14[[#This Row],[Enrolment S.Y. 2025-2026 ]]*8</f>
        <v>0</v>
      </c>
      <c r="W77" s="12"/>
      <c r="X77" s="10"/>
      <c r="Y77" s="12"/>
      <c r="Z77" s="12">
        <f>IF((V77-W77)&lt;0,0,(V77-W77))</f>
        <v>0</v>
      </c>
      <c r="AA77" s="12">
        <f>IF((W77-V77)&lt;0,0,(W77-V77))</f>
        <v>0</v>
      </c>
    </row>
    <row r="78" spans="1:27" ht="19.5">
      <c r="A78" s="10">
        <v>7</v>
      </c>
      <c r="B78" s="11" t="s">
        <v>90</v>
      </c>
      <c r="C78" s="10"/>
      <c r="D78" s="12">
        <f>Table14[[#This Row],[Enrolment S.Y. 2025-2026 ]]*8</f>
        <v>0</v>
      </c>
      <c r="E78" s="12"/>
      <c r="F78" s="10"/>
      <c r="G78" s="12"/>
      <c r="H78" s="12">
        <f t="shared" si="0"/>
        <v>0</v>
      </c>
      <c r="I78" s="12">
        <f t="shared" si="1"/>
        <v>0</v>
      </c>
      <c r="J78" s="12">
        <f>Table14[[#This Row],[Enrolment S.Y. 2025-2026 ]]*8</f>
        <v>0</v>
      </c>
      <c r="K78" s="12"/>
      <c r="L78" s="10"/>
      <c r="M78" s="12"/>
      <c r="N78" s="12">
        <f t="shared" si="14"/>
        <v>0</v>
      </c>
      <c r="O78" s="12">
        <f t="shared" si="15"/>
        <v>0</v>
      </c>
      <c r="P78" s="12">
        <f>Table14[[#This Row],[Enrolment S.Y. 2025-2026 ]]*8</f>
        <v>0</v>
      </c>
      <c r="Q78" s="12"/>
      <c r="R78" s="10"/>
      <c r="S78" s="12"/>
      <c r="T78" s="12">
        <f t="shared" si="16"/>
        <v>0</v>
      </c>
      <c r="U78" s="12">
        <f t="shared" si="17"/>
        <v>0</v>
      </c>
      <c r="V78" s="12">
        <f>Table14[[#This Row],[Enrolment S.Y. 2025-2026 ]]*8</f>
        <v>0</v>
      </c>
      <c r="W78" s="12"/>
      <c r="X78" s="10"/>
      <c r="Y78" s="12"/>
      <c r="Z78" s="12">
        <f t="shared" si="18"/>
        <v>0</v>
      </c>
      <c r="AA78" s="12">
        <f t="shared" si="19"/>
        <v>0</v>
      </c>
    </row>
    <row r="79" spans="1:27" s="7" customFormat="1" ht="15"/>
    <row r="80" spans="1:27" ht="19.5">
      <c r="A80" s="10">
        <v>8</v>
      </c>
      <c r="B80" s="11" t="s">
        <v>14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ref="N75:N123" si="20">IF((J80-K80)&lt;0,0,(J80-K80))</f>
        <v>0</v>
      </c>
      <c r="O80" s="12">
        <f t="shared" ref="O75:O123" si="21">IF((K80-J80)&lt;0,0,(K80-J80))</f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15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12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20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22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si="0"/>
        <v>0</v>
      </c>
      <c r="I84" s="12">
        <f t="shared" si="1"/>
        <v>0</v>
      </c>
      <c r="J84" s="12">
        <f>Table14[[#This Row],[Enrolment S.Y. 2025-2026 ]]*8</f>
        <v>0</v>
      </c>
      <c r="K84" s="12"/>
      <c r="L84" s="10"/>
      <c r="M84" s="12"/>
      <c r="N84" s="12">
        <f t="shared" si="20"/>
        <v>0</v>
      </c>
      <c r="O84" s="12">
        <f t="shared" si="21"/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10">
        <v>8</v>
      </c>
      <c r="B85" s="11" t="s">
        <v>13</v>
      </c>
      <c r="C85" s="10"/>
      <c r="D85" s="12">
        <f>Table14[[#This Row],[Enrolment S.Y. 2025-2026 ]]*8</f>
        <v>0</v>
      </c>
      <c r="E85" s="12"/>
      <c r="F85" s="10"/>
      <c r="G85" s="12"/>
      <c r="H85" s="12">
        <f t="shared" ref="H85:H123" si="22">IF((D85-E85)&lt;0,0,(D85-E85))</f>
        <v>0</v>
      </c>
      <c r="I85" s="12">
        <f t="shared" ref="I85:I123" si="23"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ref="N85:N90" si="24">IF((J85-K85)&lt;0,0,(J85-K85))</f>
        <v>0</v>
      </c>
      <c r="O85" s="12">
        <f t="shared" ref="O85:O90" si="25">IF((K85-J85)&lt;0,0,(K85-J85))</f>
        <v>0</v>
      </c>
      <c r="P85" s="12">
        <f>Table14[[#This Row],[Enrolment S.Y. 2025-2026 ]]*8</f>
        <v>0</v>
      </c>
      <c r="Q85" s="12"/>
      <c r="R85" s="10"/>
      <c r="S85" s="12"/>
      <c r="T85" s="12">
        <f t="shared" si="16"/>
        <v>0</v>
      </c>
      <c r="U85" s="12">
        <f t="shared" si="17"/>
        <v>0</v>
      </c>
      <c r="V85" s="12">
        <f>Table14[[#This Row],[Enrolment S.Y. 2025-2026 ]]*8</f>
        <v>0</v>
      </c>
      <c r="W85" s="12"/>
      <c r="X85" s="10"/>
      <c r="Y85" s="12"/>
      <c r="Z85" s="12">
        <f t="shared" si="18"/>
        <v>0</v>
      </c>
      <c r="AA85" s="12">
        <f t="shared" si="19"/>
        <v>0</v>
      </c>
    </row>
    <row r="86" spans="1:27" ht="19.5">
      <c r="A86" s="38">
        <v>8</v>
      </c>
      <c r="B86" s="11" t="s">
        <v>87</v>
      </c>
      <c r="C86" s="12"/>
      <c r="D86" s="12">
        <f>Table14[[#This Row],[Enrolment S.Y. 2025-2026 ]]*8</f>
        <v>0</v>
      </c>
      <c r="E86" s="12"/>
      <c r="F86" s="10"/>
      <c r="G86" s="12"/>
      <c r="H86" s="12">
        <f>IF((D86-E86)&lt;0,0,(D86-E86))</f>
        <v>0</v>
      </c>
      <c r="I86" s="12">
        <f>IF((E86-D86)&lt;0,0,(E86-D86))</f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>IF((P86-Q86)&lt;0,0,(P86-Q86))</f>
        <v>0</v>
      </c>
      <c r="U86" s="12">
        <f>IF((Q86-P86)&lt;0,0,(Q86-P86))</f>
        <v>0</v>
      </c>
      <c r="V86" s="12">
        <f>Table14[[#This Row],[Enrolment S.Y. 2025-2026 ]]*8</f>
        <v>0</v>
      </c>
      <c r="W86" s="12"/>
      <c r="X86" s="10"/>
      <c r="Y86" s="12"/>
      <c r="Z86" s="12">
        <f>IF((V86-W86)&lt;0,0,(V86-W86))</f>
        <v>0</v>
      </c>
      <c r="AA86" s="12">
        <f>IF((W86-V86)&lt;0,0,(W86-V86))</f>
        <v>0</v>
      </c>
    </row>
    <row r="87" spans="1:27" ht="19.5">
      <c r="A87" s="10">
        <v>8</v>
      </c>
      <c r="B87" s="11" t="s">
        <v>88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10">
        <v>8</v>
      </c>
      <c r="B88" s="11" t="s">
        <v>21</v>
      </c>
      <c r="C88" s="10"/>
      <c r="D88" s="12">
        <f>Table14[[#This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 t="shared" si="16"/>
        <v>0</v>
      </c>
      <c r="U88" s="12">
        <f t="shared" si="17"/>
        <v>0</v>
      </c>
      <c r="V88" s="12">
        <f>Table14[[#This Row],[Enrolment S.Y. 2025-2026 ]]*8</f>
        <v>0</v>
      </c>
      <c r="W88" s="12"/>
      <c r="X88" s="10"/>
      <c r="Y88" s="12"/>
      <c r="Z88" s="12">
        <f t="shared" si="18"/>
        <v>0</v>
      </c>
      <c r="AA88" s="12">
        <f t="shared" si="19"/>
        <v>0</v>
      </c>
    </row>
    <row r="89" spans="1:27" ht="19.5">
      <c r="A89" s="38">
        <v>8</v>
      </c>
      <c r="B89" s="11" t="s">
        <v>89</v>
      </c>
      <c r="C89" s="12"/>
      <c r="D89" s="12">
        <f>Table14[[#This Row],[Enrolment S.Y. 2025-2026 ]]*8</f>
        <v>0</v>
      </c>
      <c r="E89" s="12"/>
      <c r="F89" s="10"/>
      <c r="G89" s="12"/>
      <c r="H89" s="12">
        <f>IF((D89-E89)&lt;0,0,(D89-E89))</f>
        <v>0</v>
      </c>
      <c r="I89" s="12">
        <f>IF((E89-D89)&lt;0,0,(E89-D89))</f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>IF((P89-Q89)&lt;0,0,(P89-Q89))</f>
        <v>0</v>
      </c>
      <c r="U89" s="12">
        <f>IF((Q89-P89)&lt;0,0,(Q89-P89))</f>
        <v>0</v>
      </c>
      <c r="V89" s="12">
        <f>Table14[[#This Row],[Enrolment S.Y. 2025-2026 ]]*8</f>
        <v>0</v>
      </c>
      <c r="W89" s="12"/>
      <c r="X89" s="10"/>
      <c r="Y89" s="12"/>
      <c r="Z89" s="12">
        <f>IF((V89-W89)&lt;0,0,(V89-W89))</f>
        <v>0</v>
      </c>
      <c r="AA89" s="12">
        <f>IF((W89-V89)&lt;0,0,(W89-V89))</f>
        <v>0</v>
      </c>
    </row>
    <row r="90" spans="1:27" ht="19.5">
      <c r="A90" s="10">
        <v>8</v>
      </c>
      <c r="B90" s="11" t="s">
        <v>90</v>
      </c>
      <c r="C90" s="10"/>
      <c r="D90" s="12">
        <f>Table14[[#This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Table14[[#This Row],[Enrolment S.Y. 2025-2026 ]]*8</f>
        <v>0</v>
      </c>
      <c r="K90" s="12"/>
      <c r="L90" s="10"/>
      <c r="M90" s="12"/>
      <c r="N90" s="12">
        <f t="shared" si="24"/>
        <v>0</v>
      </c>
      <c r="O90" s="12">
        <f t="shared" si="25"/>
        <v>0</v>
      </c>
      <c r="P90" s="12">
        <f>Table14[[#This Row],[Enrolment S.Y. 2025-2026 ]]*8</f>
        <v>0</v>
      </c>
      <c r="Q90" s="12"/>
      <c r="R90" s="10"/>
      <c r="S90" s="12"/>
      <c r="T90" s="12">
        <f t="shared" si="16"/>
        <v>0</v>
      </c>
      <c r="U90" s="12">
        <f t="shared" si="17"/>
        <v>0</v>
      </c>
      <c r="V90" s="12">
        <f>Table14[[#This Row],[Enrolment S.Y. 2025-2026 ]]*8</f>
        <v>0</v>
      </c>
      <c r="W90" s="12"/>
      <c r="X90" s="10"/>
      <c r="Y90" s="12"/>
      <c r="Z90" s="12">
        <f t="shared" si="18"/>
        <v>0</v>
      </c>
      <c r="AA90" s="12">
        <f t="shared" si="19"/>
        <v>0</v>
      </c>
    </row>
    <row r="91" spans="1:27" s="7" customFormat="1" ht="15"/>
    <row r="92" spans="1:27" ht="19.5">
      <c r="A92" s="10">
        <v>9</v>
      </c>
      <c r="B92" s="11" t="s">
        <v>14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15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12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20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22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10">
        <v>9</v>
      </c>
      <c r="B97" s="11" t="s">
        <v>13</v>
      </c>
      <c r="C97" s="10"/>
      <c r="D97" s="12">
        <f>Table14[[#This Row],[Enrolment S.Y. 2025-2026 ]]*8</f>
        <v>0</v>
      </c>
      <c r="E97" s="12"/>
      <c r="F97" s="10"/>
      <c r="G97" s="12"/>
      <c r="H97" s="12">
        <f t="shared" si="22"/>
        <v>0</v>
      </c>
      <c r="I97" s="12">
        <f t="shared" si="23"/>
        <v>0</v>
      </c>
      <c r="J97" s="12">
        <f>Table14[[#This Row],[Enrolment S.Y. 2025-2026 ]]*8</f>
        <v>0</v>
      </c>
      <c r="K97" s="12"/>
      <c r="L97" s="10"/>
      <c r="M97" s="12"/>
      <c r="N97" s="12">
        <f t="shared" si="20"/>
        <v>0</v>
      </c>
      <c r="O97" s="12">
        <f t="shared" si="21"/>
        <v>0</v>
      </c>
      <c r="P97" s="12">
        <f>Table14[[#This Row],[Enrolment S.Y. 2025-2026 ]]*8</f>
        <v>0</v>
      </c>
      <c r="Q97" s="12"/>
      <c r="R97" s="10"/>
      <c r="S97" s="12"/>
      <c r="T97" s="12">
        <f t="shared" si="16"/>
        <v>0</v>
      </c>
      <c r="U97" s="12">
        <f t="shared" si="17"/>
        <v>0</v>
      </c>
      <c r="V97" s="12">
        <f>Table14[[#This Row],[Enrolment S.Y. 2025-2026 ]]*8</f>
        <v>0</v>
      </c>
      <c r="W97" s="12"/>
      <c r="X97" s="10"/>
      <c r="Y97" s="12"/>
      <c r="Z97" s="12">
        <f t="shared" si="18"/>
        <v>0</v>
      </c>
      <c r="AA97" s="12">
        <f t="shared" si="19"/>
        <v>0</v>
      </c>
    </row>
    <row r="98" spans="1:27" ht="19.5">
      <c r="A98" s="38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Table14[[#This Row],[Enrolment S.Y. 2025-2026 ]]*8</f>
        <v>0</v>
      </c>
      <c r="K98" s="12"/>
      <c r="L98" s="10"/>
      <c r="M98" s="12"/>
      <c r="N98" s="12">
        <f t="shared" ref="N98:N102" si="26">IF((J98-K98)&lt;0,0,(J98-K98))</f>
        <v>0</v>
      </c>
      <c r="O98" s="12">
        <f t="shared" ref="O98:O102" si="27">IF((K98-J98)&lt;0,0,(K98-J98))</f>
        <v>0</v>
      </c>
      <c r="P98" s="12">
        <f>Table14[[#This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Table14[[#This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9</v>
      </c>
      <c r="B99" s="11" t="s">
        <v>88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10">
        <v>9</v>
      </c>
      <c r="B100" s="11" t="s">
        <v>21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 t="shared" si="22"/>
        <v>0</v>
      </c>
      <c r="I100" s="12">
        <f t="shared" si="23"/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 t="shared" si="16"/>
        <v>0</v>
      </c>
      <c r="U100" s="12">
        <f t="shared" si="17"/>
        <v>0</v>
      </c>
      <c r="V100" s="12">
        <f>Table14[[#This Row],[Enrolment S.Y. 2025-2026 ]]*8</f>
        <v>0</v>
      </c>
      <c r="W100" s="12"/>
      <c r="X100" s="10"/>
      <c r="Y100" s="12"/>
      <c r="Z100" s="12">
        <f t="shared" si="18"/>
        <v>0</v>
      </c>
      <c r="AA100" s="12">
        <f t="shared" si="19"/>
        <v>0</v>
      </c>
    </row>
    <row r="101" spans="1:27" ht="19.5">
      <c r="A101" s="38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Table14[[#This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ht="19.5">
      <c r="A102" s="10">
        <v>9</v>
      </c>
      <c r="B102" s="11" t="s">
        <v>90</v>
      </c>
      <c r="C102" s="10"/>
      <c r="D102" s="12">
        <f>Table14[[#This Row],[Enrolment S.Y. 2025-2026 ]]*8</f>
        <v>0</v>
      </c>
      <c r="E102" s="12"/>
      <c r="F102" s="10"/>
      <c r="G102" s="12"/>
      <c r="H102" s="12">
        <f t="shared" si="22"/>
        <v>0</v>
      </c>
      <c r="I102" s="12">
        <f t="shared" si="23"/>
        <v>0</v>
      </c>
      <c r="J102" s="12">
        <f>Table14[[#This Row],[Enrolment S.Y. 2025-2026 ]]*8</f>
        <v>0</v>
      </c>
      <c r="K102" s="12"/>
      <c r="L102" s="10"/>
      <c r="M102" s="12"/>
      <c r="N102" s="12">
        <f t="shared" si="26"/>
        <v>0</v>
      </c>
      <c r="O102" s="12">
        <f t="shared" si="27"/>
        <v>0</v>
      </c>
      <c r="P102" s="12">
        <f>Table14[[#This Row],[Enrolment S.Y. 2025-2026 ]]*8</f>
        <v>0</v>
      </c>
      <c r="Q102" s="12"/>
      <c r="R102" s="10"/>
      <c r="S102" s="12"/>
      <c r="T102" s="12">
        <f t="shared" si="16"/>
        <v>0</v>
      </c>
      <c r="U102" s="12">
        <f t="shared" si="17"/>
        <v>0</v>
      </c>
      <c r="V102" s="12">
        <f>Table14[[#This Row],[Enrolment S.Y. 2025-2026 ]]*8</f>
        <v>0</v>
      </c>
      <c r="W102" s="12"/>
      <c r="X102" s="10"/>
      <c r="Y102" s="12"/>
      <c r="Z102" s="12">
        <f t="shared" si="18"/>
        <v>0</v>
      </c>
      <c r="AA102" s="12">
        <f t="shared" si="19"/>
        <v>0</v>
      </c>
    </row>
    <row r="103" spans="1:27" s="7" customFormat="1" ht="15"/>
    <row r="104" spans="1:27" ht="19.5">
      <c r="A104" s="10">
        <v>10</v>
      </c>
      <c r="B104" s="11" t="s">
        <v>14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15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12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20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22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10">
        <v>10</v>
      </c>
      <c r="B109" s="11" t="s">
        <v>13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 t="shared" si="22"/>
        <v>0</v>
      </c>
      <c r="I109" s="12">
        <f t="shared" si="23"/>
        <v>0</v>
      </c>
      <c r="J109" s="12">
        <f>Table14[[#This Row],[Enrolment S.Y. 2025-2026 ]]*8</f>
        <v>0</v>
      </c>
      <c r="K109" s="12"/>
      <c r="L109" s="10"/>
      <c r="M109" s="12"/>
      <c r="N109" s="12">
        <f t="shared" si="20"/>
        <v>0</v>
      </c>
      <c r="O109" s="12">
        <f t="shared" si="21"/>
        <v>0</v>
      </c>
      <c r="P109" s="12">
        <f>Table14[[#This Row],[Enrolment S.Y. 2025-2026 ]]*8</f>
        <v>0</v>
      </c>
      <c r="Q109" s="12"/>
      <c r="R109" s="10"/>
      <c r="S109" s="12"/>
      <c r="T109" s="12">
        <f t="shared" si="16"/>
        <v>0</v>
      </c>
      <c r="U109" s="12">
        <f t="shared" si="17"/>
        <v>0</v>
      </c>
      <c r="V109" s="12">
        <f>Table14[[#This Row],[Enrolment S.Y. 2025-2026 ]]*8</f>
        <v>0</v>
      </c>
      <c r="W109" s="12"/>
      <c r="X109" s="10"/>
      <c r="Y109" s="12"/>
      <c r="Z109" s="12">
        <f t="shared" si="18"/>
        <v>0</v>
      </c>
      <c r="AA109" s="12">
        <f t="shared" si="19"/>
        <v>0</v>
      </c>
    </row>
    <row r="110" spans="1:27" ht="19.5">
      <c r="A110" s="38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>IF((D110-E110)&lt;0,0,(D110-E110))</f>
        <v>0</v>
      </c>
      <c r="I110" s="12">
        <f>IF((E110-D110)&lt;0,0,(E110-D110))</f>
        <v>0</v>
      </c>
      <c r="J110" s="12">
        <f>Table14[[#This Row],[Enrolment S.Y. 2025-2026 ]]*8</f>
        <v>0</v>
      </c>
      <c r="K110" s="12"/>
      <c r="L110" s="10"/>
      <c r="M110" s="12"/>
      <c r="N110" s="12">
        <f t="shared" ref="N110:N114" si="28">IF((J110-K110)&lt;0,0,(J110-K110))</f>
        <v>0</v>
      </c>
      <c r="O110" s="12">
        <f t="shared" ref="O110:O114" si="29">IF((K110-J110)&lt;0,0,(K110-J110))</f>
        <v>0</v>
      </c>
      <c r="P110" s="12">
        <f>Table14[[#This Row],[Enrolment S.Y. 2025-2026 ]]*8</f>
        <v>0</v>
      </c>
      <c r="Q110" s="12"/>
      <c r="R110" s="10"/>
      <c r="S110" s="12"/>
      <c r="T110" s="12">
        <f>IF((P110-Q110)&lt;0,0,(P110-Q110))</f>
        <v>0</v>
      </c>
      <c r="U110" s="12">
        <f>IF((Q110-P110)&lt;0,0,(Q110-P110))</f>
        <v>0</v>
      </c>
      <c r="V110" s="12">
        <f>Table14[[#This Row],[Enrolment S.Y. 2025-2026 ]]*8</f>
        <v>0</v>
      </c>
      <c r="W110" s="12"/>
      <c r="X110" s="10"/>
      <c r="Y110" s="12"/>
      <c r="Z110" s="12">
        <f>IF((V110-W110)&lt;0,0,(V110-W110))</f>
        <v>0</v>
      </c>
      <c r="AA110" s="12">
        <f>IF((W110-V110)&lt;0,0,(W110-V110))</f>
        <v>0</v>
      </c>
    </row>
    <row r="111" spans="1:27" ht="19.5">
      <c r="A111" s="10">
        <v>10</v>
      </c>
      <c r="B111" s="11" t="s">
        <v>88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10">
        <v>10</v>
      </c>
      <c r="B112" s="11" t="s">
        <v>21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 t="shared" si="22"/>
        <v>0</v>
      </c>
      <c r="I112" s="12">
        <f t="shared" si="23"/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 t="shared" si="16"/>
        <v>0</v>
      </c>
      <c r="U112" s="12">
        <f t="shared" si="17"/>
        <v>0</v>
      </c>
      <c r="V112" s="12">
        <f>Table14[[#This Row],[Enrolment S.Y. 2025-2026 ]]*8</f>
        <v>0</v>
      </c>
      <c r="W112" s="12"/>
      <c r="X112" s="10"/>
      <c r="Y112" s="12"/>
      <c r="Z112" s="12">
        <f t="shared" si="18"/>
        <v>0</v>
      </c>
      <c r="AA112" s="12">
        <f t="shared" si="19"/>
        <v>0</v>
      </c>
    </row>
    <row r="113" spans="1:28" ht="19.5">
      <c r="A113" s="38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>IF((D113-E113)&lt;0,0,(D113-E113))</f>
        <v>0</v>
      </c>
      <c r="I113" s="12">
        <f>IF((E113-D113)&lt;0,0,(E113-D113))</f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>IF((P113-Q113)&lt;0,0,(P113-Q113))</f>
        <v>0</v>
      </c>
      <c r="U113" s="12">
        <f>IF((Q113-P113)&lt;0,0,(Q113-P113))</f>
        <v>0</v>
      </c>
      <c r="V113" s="12">
        <f>Table14[[#This Row],[Enrolment S.Y. 2025-2026 ]]*8</f>
        <v>0</v>
      </c>
      <c r="W113" s="12"/>
      <c r="X113" s="10"/>
      <c r="Y113" s="12"/>
      <c r="Z113" s="12">
        <f>IF((V113-W113)&lt;0,0,(V113-W113))</f>
        <v>0</v>
      </c>
      <c r="AA113" s="12">
        <f>IF((W113-V113)&lt;0,0,(W113-V113))</f>
        <v>0</v>
      </c>
    </row>
    <row r="114" spans="1:28" ht="19.5">
      <c r="A114" s="10">
        <v>10</v>
      </c>
      <c r="B114" s="11" t="s">
        <v>90</v>
      </c>
      <c r="C114" s="10"/>
      <c r="D114" s="12">
        <f>Table14[[#This Row],[Enrolment S.Y. 2025-2026 ]]*8</f>
        <v>0</v>
      </c>
      <c r="E114" s="12"/>
      <c r="F114" s="10"/>
      <c r="G114" s="12"/>
      <c r="H114" s="12">
        <f t="shared" si="22"/>
        <v>0</v>
      </c>
      <c r="I114" s="12">
        <f t="shared" si="23"/>
        <v>0</v>
      </c>
      <c r="J114" s="12">
        <f>Table14[[#This Row],[Enrolment S.Y. 2025-2026 ]]*8</f>
        <v>0</v>
      </c>
      <c r="K114" s="12"/>
      <c r="L114" s="10"/>
      <c r="M114" s="12"/>
      <c r="N114" s="12">
        <f t="shared" si="28"/>
        <v>0</v>
      </c>
      <c r="O114" s="12">
        <f t="shared" si="29"/>
        <v>0</v>
      </c>
      <c r="P114" s="12">
        <f>Table14[[#This Row],[Enrolment S.Y. 2025-2026 ]]*8</f>
        <v>0</v>
      </c>
      <c r="Q114" s="12"/>
      <c r="R114" s="10"/>
      <c r="S114" s="12"/>
      <c r="T114" s="12">
        <f t="shared" si="16"/>
        <v>0</v>
      </c>
      <c r="U114" s="12">
        <f t="shared" si="17"/>
        <v>0</v>
      </c>
      <c r="V114" s="12">
        <f>Table14[[#This Row],[Enrolment S.Y. 2025-2026 ]]*8</f>
        <v>0</v>
      </c>
      <c r="W114" s="12"/>
      <c r="X114" s="10"/>
      <c r="Y114" s="12"/>
      <c r="Z114" s="12">
        <f t="shared" si="18"/>
        <v>0</v>
      </c>
      <c r="AA114" s="12">
        <f t="shared" si="19"/>
        <v>0</v>
      </c>
    </row>
    <row r="115" spans="1:28" s="7" customFormat="1"/>
    <row r="116" spans="1:28" ht="38.450000000000003">
      <c r="A116" s="1" t="s">
        <v>23</v>
      </c>
      <c r="B116" s="9" t="s">
        <v>24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25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26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19.5">
      <c r="A119" s="1" t="s">
        <v>23</v>
      </c>
      <c r="B119" s="9" t="s">
        <v>27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28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25">
      <c r="A121" s="1" t="s">
        <v>23</v>
      </c>
      <c r="B121" s="9" t="s">
        <v>29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57.75">
      <c r="A122" s="1" t="s">
        <v>23</v>
      </c>
      <c r="B122" s="9" t="s">
        <v>30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ht="38.25">
      <c r="A123" s="1" t="s">
        <v>23</v>
      </c>
      <c r="B123" s="9" t="s">
        <v>31</v>
      </c>
      <c r="C123" s="1"/>
      <c r="D123" s="5">
        <f>Table14[[#This Row],[Enrolment S.Y. 2025-2026 ]]*8</f>
        <v>0</v>
      </c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Table14[[#This Row],[Enrolment S.Y. 2025-2026 ]]*8</f>
        <v>0</v>
      </c>
      <c r="K123" s="5"/>
      <c r="L123" s="1"/>
      <c r="M123" s="5"/>
      <c r="N123" s="5">
        <f t="shared" si="20"/>
        <v>0</v>
      </c>
      <c r="O123" s="5">
        <f t="shared" si="21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16"/>
        <v>0</v>
      </c>
      <c r="U123" s="5">
        <f t="shared" si="17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18"/>
        <v>0</v>
      </c>
      <c r="AA123" s="5">
        <f t="shared" si="19"/>
        <v>0</v>
      </c>
    </row>
    <row r="124" spans="1:28" s="7" customFormat="1"/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>
      <c r="J171" t="e">
        <f>#REF!*8</f>
        <v>#REF!</v>
      </c>
    </row>
  </sheetData>
  <protectedRanges>
    <protectedRange sqref="C68:C78 C80:C90 C116:C123 C104:C114 C92:C102 C2:C11 C13:C20 C22:C30 C32:C42 C44:C54 C56:C66" name="Textbooks"/>
    <protectedRange sqref="D22:F30 D32:F42 D44:F54 D56:F66 D68:F78 D80:F90 D92:F102 P2:R3 V2:X3 Z4:AA11 Z13:AA20 Z22:AA30 Z32:AA42 Z44:AA54 Z56:AA66 Z68:AA78 Z80:AA90 Z92:AA102 Z104:AA114 Z116:AA123 D104:F114 D2:F11 D13:F20 D116:F123 J2:L3 M33 H68:L78 H4:L11 H13:L20 H22:L30 H32:K42 H44:L54 H56:L66 H80:L90 H104:L114 H92:L102 H116:L123 N4:R11 N56:P66 Q57:Q66 N13:R20 N22:R30 N32:R42 N44:R54 R56:R66 N68:R78 N80:R90 N92:R102 N104:R114 N116:R123 T4:X11 T68:X78 T116:X123 T13:X20 T22:X30 T32:X42 T44:X54 T56:X66 T104:X114 T80:X90 T92:X102" name="LAS"/>
    <protectedRange sqref="G2:I3 M2:O3 S2:U3 Y2:AA3 G4:G11 M4:M11 S4:S11 Y4:Y11 Y13:Y20 G13:G20 M13:M20 S13:S20 Y22:Y30 G22:G30 M22:M30 S22:S30 Y32:Y42 G32:G42 S116:S123 S32:S42 Y44:Y54 G44:G54 M44:M54 S44:S54 Y56:Y66 G56:G66 M56:M66 S56:S66 Y68:Y78 G68:G78 M68:M78 S68:S78 Y80:Y90 G80:G90 M80:M90 S80:S90 Y92:Y102 G92:G102 M92:M102 S92:S102 Y104:Y114 G104:G114 M104:M114 S104:S114 Y116:Y123 G116:G123 M116:M123 M32 M34:M4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6:S123 Y116:Y123 G116:G123 Y4:Y11 S4:S11 M4:M11 G4:G11 G13:G20 Y13:Y20 S13:S20 M13:M20 M22:M30 G22:G30 Y22:Y30 S22:S30 S32:S42 M32:M42 G32:G42 Y32:Y42 Y44:Y54 S44:S54 M44:M54 G44:G54 G56:G66 Y56:Y66 S56:S66 M56:M66 M68:M78 G68:G78 Y68:Y78 S68:S78 S80:S90 M80:M90 G80:G90 Y80:Y90 Y92:Y102 S92:S102 M92:M102 G92:G102 G104:G114 Y104:Y114 S104:S114 M104:M114 M116:M123" xr:uid="{CBD486C7-A5DB-48F1-B496-5027CC51E830}">
      <formula1>"CO,RO,SDO,LGU,SCHOOL"</formula1>
    </dataValidation>
    <dataValidation type="list" allowBlank="1" showInputMessage="1" showErrorMessage="1" sqref="X116:X123" xr:uid="{77F72D89-8371-4D0C-A323-BD25723C617C}">
      <formula1>"2024,2025,2026"</formula1>
    </dataValidation>
    <dataValidation type="list" allowBlank="1" showInputMessage="1" showErrorMessage="1" sqref="F13:F20 F22:F30 F32:F42 F44:F54 F56:F66 F68:F78 F92:F102 F104:F112 F114 F116:F123 F80:F90 F4:F11" xr:uid="{E0FD17A0-A859-42DD-974D-2DA649377F77}">
      <formula1>"2024,2025,2026"</formula1>
    </dataValidation>
    <dataValidation type="list" allowBlank="1" showInputMessage="1" showErrorMessage="1" sqref="F113" xr:uid="{0D1CEEC2-15E7-43E3-B192-718BB51673B7}">
      <formula1>"2024,2025,,2026"</formula1>
    </dataValidation>
    <dataValidation type="list" allowBlank="1" showInputMessage="1" showErrorMessage="1" sqref="L68:L78 L3:L11 L13:L20 L22:L30 L32:L42 L44:L54 L56:L66 L104:L114 L80:L90 L92:L102 L116:L123 R3:R11 R13:R20 R22:R30 R32:R42 R44:R54 R56:R66 R68:R78 R80:R90 R92:R102 R104:R114 R116:R123 X56:X66 X3:X11 X13:X20 X22:X30 X32:X42 X44:X54 X104:X114 X68:X78 X80:X90 X92:X102" xr:uid="{354F38A7-02AC-4095-9DA3-C1E9DDD46D7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2026-02-19T06:38:40Z</dcterms:modified>
  <cp:category/>
  <cp:contentStatus/>
</cp:coreProperties>
</file>