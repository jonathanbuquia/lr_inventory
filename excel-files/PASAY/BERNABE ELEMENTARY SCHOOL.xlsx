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52" documentId="13_ncr:1_{BFB59F67-F0DC-4675-A682-EB0734A8026A}" xr6:coauthVersionLast="47" xr6:coauthVersionMax="47" xr10:uidLastSave="{DC3CD106-472A-4186-A101-1CE9FC9C7B33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H3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6" i="4"/>
  <c r="D7" i="4"/>
  <c r="I7" i="4" s="1"/>
  <c r="D8" i="4"/>
  <c r="I8" i="4" s="1"/>
  <c r="D9" i="4"/>
  <c r="I9" i="4" s="1"/>
  <c r="D14" i="4"/>
  <c r="I15" i="4"/>
  <c r="D16" i="4"/>
  <c r="I16" i="4" s="1"/>
  <c r="D17" i="4"/>
  <c r="I17" i="4" s="1"/>
  <c r="D18" i="4"/>
  <c r="I18" i="4" s="1"/>
  <c r="D23" i="4"/>
  <c r="H23" i="4" s="1"/>
  <c r="H24" i="4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<sst xmlns="http://schemas.openxmlformats.org/spreadsheetml/2006/main" count="224" uniqueCount="78">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</sst>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D150" sqref="D1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58</v>
      </c>
      <c r="D2" s="1">
        <v>92</v>
      </c>
      <c r="E2" s="1">
        <v>2025</v>
      </c>
      <c r="F2" s="5"/>
      <c r="G2" s="3">
        <f>IF((C2-D2)&lt;0,0,C2-D2)</f>
        <v>0</v>
      </c>
      <c r="H2" s="4">
        <f>IF((D2-C2)&lt;0,0,D2-C2)</f>
        <v>34</v>
      </c>
    </row>
    <row r="3" spans="1:8" ht="29.25" customHeight="1">
      <c r="A3" s="1">
        <v>1</v>
      </c>
      <c r="B3" s="2" t="s">
        <v>9</v>
      </c>
      <c r="C3" s="1">
        <v>58</v>
      </c>
      <c r="D3" s="1">
        <v>94</v>
      </c>
      <c r="E3" s="1">
        <v>2025</v>
      </c>
      <c r="F3" s="5"/>
      <c r="G3" s="3">
        <f>IF((C3-D3)&lt;0,0,C3-D3)</f>
        <v>0</v>
      </c>
      <c r="H3" s="4">
        <f>IF((D3-C3)&lt;0,0,D3-C3)</f>
        <v>36</v>
      </c>
    </row>
    <row r="4" spans="1:8" ht="21" customHeight="1">
      <c r="A4" s="1">
        <v>1</v>
      </c>
      <c r="B4" s="2" t="s">
        <v>10</v>
      </c>
      <c r="C4" s="1">
        <v>58</v>
      </c>
      <c r="D4" s="1">
        <v>94</v>
      </c>
      <c r="E4" s="1">
        <v>2025</v>
      </c>
      <c r="F4" s="5"/>
      <c r="G4" s="3">
        <f>IF((C4-D4)&lt;0,0,C4-D4)</f>
        <v>0</v>
      </c>
      <c r="H4" s="4">
        <f>IF((D4-C4)&lt;0,0,D4-C4)</f>
        <v>36</v>
      </c>
    </row>
    <row r="5" spans="1:8" ht="25.5" customHeight="1">
      <c r="A5" s="1">
        <v>1</v>
      </c>
      <c r="B5" s="2" t="s">
        <v>11</v>
      </c>
      <c r="C5" s="1">
        <v>58</v>
      </c>
      <c r="D5" s="1">
        <v>94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36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15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69</v>
      </c>
      <c r="D21" s="1">
        <v>67</v>
      </c>
      <c r="E21" s="1">
        <v>2024</v>
      </c>
      <c r="F21" s="5"/>
      <c r="G21" s="3">
        <f t="shared" ref="G21:G29" si="4">IF((C21-D21)&lt;0,0,C21-D21)</f>
        <v>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69</v>
      </c>
      <c r="D22" s="1">
        <v>66</v>
      </c>
      <c r="E22" s="1">
        <v>2024</v>
      </c>
      <c r="F22" s="5"/>
      <c r="G22" s="3">
        <f t="shared" si="4"/>
        <v>3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69</v>
      </c>
      <c r="D23" s="1">
        <v>68</v>
      </c>
      <c r="E23" s="1">
        <v>2024</v>
      </c>
      <c r="F23" s="5"/>
      <c r="G23" s="3">
        <f t="shared" si="4"/>
        <v>1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69</v>
      </c>
      <c r="D24" s="1">
        <v>68</v>
      </c>
      <c r="E24" s="1">
        <v>2024</v>
      </c>
      <c r="F24" s="5"/>
      <c r="G24" s="3">
        <f t="shared" si="4"/>
        <v>1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69</v>
      </c>
      <c r="D25" s="1">
        <v>62</v>
      </c>
      <c r="E25" s="1">
        <v>2024</v>
      </c>
      <c r="F25" s="5"/>
      <c r="G25" s="3">
        <f t="shared" si="4"/>
        <v>7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69</v>
      </c>
      <c r="D26" s="1">
        <v>62</v>
      </c>
      <c r="E26" s="1">
        <v>2024</v>
      </c>
      <c r="F26" s="5"/>
      <c r="G26" s="3">
        <f t="shared" si="4"/>
        <v>7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69</v>
      </c>
      <c r="D27" s="1">
        <v>64</v>
      </c>
      <c r="E27" s="1">
        <v>2024</v>
      </c>
      <c r="F27" s="5"/>
      <c r="G27" s="3">
        <f t="shared" si="4"/>
        <v>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67</v>
      </c>
      <c r="D31" s="1">
        <v>76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67</v>
      </c>
      <c r="D35" s="1">
        <v>76</v>
      </c>
      <c r="E35" s="1">
        <v>2025</v>
      </c>
      <c r="F35" s="5"/>
      <c r="G35" s="3">
        <f t="shared" si="6"/>
        <v>0</v>
      </c>
      <c r="H35" s="4">
        <f t="shared" si="7"/>
        <v>9</v>
      </c>
    </row>
    <row r="36" spans="1:8" ht="27.75" customHeight="1">
      <c r="A36" s="1">
        <v>5</v>
      </c>
      <c r="B36" s="9" t="s">
        <v>13</v>
      </c>
      <c r="C36" s="1">
        <v>67</v>
      </c>
      <c r="D36" s="1">
        <v>70</v>
      </c>
      <c r="E36" s="1">
        <v>2025</v>
      </c>
      <c r="F36" s="5"/>
      <c r="G36" s="3">
        <f t="shared" si="6"/>
        <v>0</v>
      </c>
      <c r="H36" s="4">
        <f t="shared" si="7"/>
        <v>3</v>
      </c>
    </row>
    <row r="37" spans="1:8" ht="27.75" customHeight="1">
      <c r="A37" s="1">
        <v>5</v>
      </c>
      <c r="B37" s="9" t="s">
        <v>17</v>
      </c>
      <c r="C37" s="1">
        <v>67</v>
      </c>
      <c r="D37" s="1">
        <v>76</v>
      </c>
      <c r="E37" s="1">
        <v>2024</v>
      </c>
      <c r="F37" s="5"/>
      <c r="G37" s="3">
        <f t="shared" si="6"/>
        <v>0</v>
      </c>
      <c r="H37" s="4">
        <f t="shared" si="7"/>
        <v>9</v>
      </c>
    </row>
    <row r="38" spans="1:8" ht="27.75" customHeight="1">
      <c r="A38" s="1">
        <v>5</v>
      </c>
      <c r="B38" s="9" t="s">
        <v>18</v>
      </c>
      <c r="C38" s="1">
        <v>67</v>
      </c>
      <c r="D38" s="1">
        <v>76</v>
      </c>
      <c r="E38" s="1">
        <v>2026</v>
      </c>
      <c r="F38" s="5"/>
      <c r="G38" s="3">
        <f t="shared" si="6"/>
        <v>0</v>
      </c>
      <c r="H38" s="4">
        <f t="shared" si="7"/>
        <v>9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59</v>
      </c>
      <c r="D41" s="1">
        <v>64</v>
      </c>
      <c r="E41" s="1">
        <v>2025</v>
      </c>
      <c r="F41" s="5"/>
      <c r="G41" s="3">
        <f t="shared" ref="G41:G49" si="8">IF((C41-D41)&lt;0,0,C41-D41)</f>
        <v>0</v>
      </c>
      <c r="H41" s="4">
        <f t="shared" ref="H41:H49" si="9">IF((D41-C41)&lt;0,0,D41-C41)</f>
        <v>5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1" zoomScale="70" zoomScaleNormal="70" workbookViewId="0">
      <selection activeCell="AC136" sqref="AC1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7.5" customHeight="1">
      <c r="A5" s="1">
        <v>1</v>
      </c>
      <c r="B5" s="2" t="s">
        <v>8</v>
      </c>
      <c r="C5" s="1">
        <v>58</v>
      </c>
      <c r="D5" s="5">
        <f>Table1[[#This Row],[Enrolment S.Y. 2025-2026 ]]*8</f>
        <v>464</v>
      </c>
      <c r="E5" s="5">
        <v>116</v>
      </c>
      <c r="F5" s="1">
        <v>2025</v>
      </c>
      <c r="G5" s="5"/>
      <c r="H5" s="5">
        <f t="shared" ref="H5:H61" si="2">IF((D5-E5)&lt;0,0,(D5-E5))</f>
        <v>348</v>
      </c>
      <c r="I5" s="5">
        <f t="shared" ref="I5:I61" si="3">IF((E5-D5)&lt;0,0,(E5-D5))</f>
        <v>0</v>
      </c>
      <c r="J5" s="5">
        <f>Table1[[#This Row],[Enrolment S.Y. 2025-2026 ]]*8</f>
        <v>464</v>
      </c>
      <c r="K5" s="5"/>
      <c r="L5" s="1"/>
      <c r="M5" s="5"/>
      <c r="N5" s="5">
        <f t="shared" ref="N5" si="4">IF((J5-K5)&lt;0,0,(J5-K5))</f>
        <v>464</v>
      </c>
      <c r="O5" s="5">
        <f t="shared" ref="O5" si="5">IF((K5-J5)&lt;0,0,(K5-J5))</f>
        <v>0</v>
      </c>
      <c r="P5" s="5">
        <f>Table1[[#This Row],[Enrolment S.Y. 2025-2026 ]]*8</f>
        <v>464</v>
      </c>
      <c r="Q5" s="5"/>
      <c r="R5" s="1"/>
      <c r="S5" s="5"/>
      <c r="T5" s="5">
        <f t="shared" ref="T5" si="6">IF((P5-Q5)&lt;0,0,(P5-Q5))</f>
        <v>464</v>
      </c>
      <c r="U5" s="5">
        <f t="shared" ref="U5" si="7">IF((Q5-P5)&lt;0,0,(Q5-P5))</f>
        <v>0</v>
      </c>
      <c r="V5" s="5">
        <f>Table1[[#This Row],[Enrolment S.Y. 2025-2026 ]]*8</f>
        <v>464</v>
      </c>
      <c r="W5" s="5"/>
      <c r="X5" s="1"/>
      <c r="Y5" s="5"/>
      <c r="Z5" s="5">
        <f t="shared" ref="Z5" si="8">IF((V5-W5)&lt;0,0,(V5-W5))</f>
        <v>464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58</v>
      </c>
      <c r="D6" s="5">
        <v>63</v>
      </c>
      <c r="E6" s="5">
        <v>63</v>
      </c>
      <c r="F6" s="1">
        <v>2025</v>
      </c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464</v>
      </c>
      <c r="K6" s="5"/>
      <c r="L6" s="1"/>
      <c r="M6" s="5"/>
      <c r="N6" s="5">
        <f t="shared" ref="N6:N61" si="10">IF((J6-K6)&lt;0,0,(J6-K6))</f>
        <v>464</v>
      </c>
      <c r="O6" s="5">
        <f t="shared" ref="O6:O61" si="11">IF((K6-J6)&lt;0,0,(K6-J6))</f>
        <v>0</v>
      </c>
      <c r="P6" s="5">
        <f>Table1[[#This Row],[Enrolment S.Y. 2025-2026 ]]*8</f>
        <v>464</v>
      </c>
      <c r="Q6" s="5"/>
      <c r="R6" s="1"/>
      <c r="S6" s="5"/>
      <c r="T6" s="5">
        <f t="shared" ref="T6:T61" si="12">IF((P6-Q6)&lt;0,0,(P6-Q6))</f>
        <v>464</v>
      </c>
      <c r="U6" s="5">
        <f t="shared" ref="U6:U61" si="13">IF((Q6-P6)&lt;0,0,(Q6-P6))</f>
        <v>0</v>
      </c>
      <c r="V6" s="5">
        <f>Table1[[#This Row],[Enrolment S.Y. 2025-2026 ]]*8</f>
        <v>464</v>
      </c>
      <c r="W6" s="5"/>
      <c r="X6" s="1"/>
      <c r="Y6" s="5"/>
      <c r="Z6" s="5">
        <f t="shared" ref="Z6:Z61" si="14">IF((V6-W6)&lt;0,0,(V6-W6))</f>
        <v>464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6.7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48</v>
      </c>
      <c r="D15" s="5">
        <v>50</v>
      </c>
      <c r="E15" s="5">
        <v>50</v>
      </c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384</v>
      </c>
      <c r="K15" s="5"/>
      <c r="L15" s="1"/>
      <c r="M15" s="5"/>
      <c r="N15" s="5">
        <f t="shared" si="10"/>
        <v>384</v>
      </c>
      <c r="O15" s="5">
        <f t="shared" si="11"/>
        <v>0</v>
      </c>
      <c r="P15" s="5">
        <f>Table1[[#This Row],[Enrolment S.Y. 2025-2026 ]]*8</f>
        <v>384</v>
      </c>
      <c r="Q15" s="5"/>
      <c r="R15" s="1"/>
      <c r="S15" s="5"/>
      <c r="T15" s="5">
        <f t="shared" si="12"/>
        <v>384</v>
      </c>
      <c r="U15" s="5">
        <f t="shared" si="13"/>
        <v>0</v>
      </c>
      <c r="V15" s="5">
        <f>Table1[[#This Row],[Enrolment S.Y. 2025-2026 ]]*8</f>
        <v>384</v>
      </c>
      <c r="W15" s="5"/>
      <c r="X15" s="1"/>
      <c r="Y15" s="5"/>
      <c r="Z15" s="5">
        <f t="shared" si="14"/>
        <v>384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48</v>
      </c>
      <c r="D17" s="5">
        <f>Table1[[#This Row],[Enrolment S.Y. 2025-2026 ]]*8</f>
        <v>384</v>
      </c>
      <c r="E17" s="5">
        <v>77</v>
      </c>
      <c r="F17" s="1">
        <v>2025</v>
      </c>
      <c r="G17" s="5"/>
      <c r="H17" s="5">
        <f t="shared" si="2"/>
        <v>307</v>
      </c>
      <c r="I17" s="5">
        <f t="shared" si="3"/>
        <v>0</v>
      </c>
      <c r="J17" s="5">
        <f>Table1[[#This Row],[Enrolment S.Y. 2025-2026 ]]*8</f>
        <v>384</v>
      </c>
      <c r="K17" s="5"/>
      <c r="L17" s="1"/>
      <c r="M17" s="5"/>
      <c r="N17" s="5">
        <f t="shared" si="10"/>
        <v>384</v>
      </c>
      <c r="O17" s="5">
        <f t="shared" si="11"/>
        <v>0</v>
      </c>
      <c r="P17" s="5">
        <f>Table1[[#This Row],[Enrolment S.Y. 2025-2026 ]]*8</f>
        <v>384</v>
      </c>
      <c r="Q17" s="5"/>
      <c r="R17" s="1"/>
      <c r="S17" s="5"/>
      <c r="T17" s="5">
        <f t="shared" si="12"/>
        <v>384</v>
      </c>
      <c r="U17" s="5">
        <f t="shared" si="13"/>
        <v>0</v>
      </c>
      <c r="V17" s="5">
        <f>Table1[[#This Row],[Enrolment S.Y. 2025-2026 ]]*8</f>
        <v>384</v>
      </c>
      <c r="W17" s="5"/>
      <c r="X17" s="1"/>
      <c r="Y17" s="5"/>
      <c r="Z17" s="5">
        <f t="shared" si="14"/>
        <v>384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48</v>
      </c>
      <c r="D18" s="5">
        <f>Table1[[#This Row],[Enrolment S.Y. 2025-2026 ]]*8</f>
        <v>384</v>
      </c>
      <c r="E18" s="5">
        <v>77</v>
      </c>
      <c r="F18" s="1">
        <v>2025</v>
      </c>
      <c r="G18" s="5"/>
      <c r="H18" s="5">
        <f t="shared" si="2"/>
        <v>307</v>
      </c>
      <c r="I18" s="5">
        <f t="shared" si="3"/>
        <v>0</v>
      </c>
      <c r="J18" s="5">
        <f>Table1[[#This Row],[Enrolment S.Y. 2025-2026 ]]*8</f>
        <v>384</v>
      </c>
      <c r="K18" s="5"/>
      <c r="L18" s="1"/>
      <c r="M18" s="5"/>
      <c r="N18" s="5">
        <f t="shared" si="10"/>
        <v>384</v>
      </c>
      <c r="O18" s="5">
        <f t="shared" si="11"/>
        <v>0</v>
      </c>
      <c r="P18" s="5">
        <f>Table1[[#This Row],[Enrolment S.Y. 2025-2026 ]]*8</f>
        <v>384</v>
      </c>
      <c r="Q18" s="5"/>
      <c r="R18" s="1"/>
      <c r="S18" s="5"/>
      <c r="T18" s="5">
        <f t="shared" si="12"/>
        <v>384</v>
      </c>
      <c r="U18" s="5">
        <f t="shared" si="13"/>
        <v>0</v>
      </c>
      <c r="V18" s="5">
        <f>Table1[[#This Row],[Enrolment S.Y. 2025-2026 ]]*8</f>
        <v>384</v>
      </c>
      <c r="W18" s="5"/>
      <c r="X18" s="1"/>
      <c r="Y18" s="5"/>
      <c r="Z18" s="5">
        <f t="shared" si="14"/>
        <v>384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48</v>
      </c>
      <c r="D19" s="5">
        <f>Table1[[#This Row],[Enrolment S.Y. 2025-2026 ]]*8</f>
        <v>384</v>
      </c>
      <c r="E19" s="5">
        <v>77</v>
      </c>
      <c r="F19" s="1">
        <v>2025</v>
      </c>
      <c r="G19" s="5"/>
      <c r="H19" s="5">
        <f>IF((D19-E19)&lt;0,0,(D19-E19))</f>
        <v>307</v>
      </c>
      <c r="I19" s="5">
        <f>IF((E19-D19)&lt;0,0,(E19-D19))</f>
        <v>0</v>
      </c>
      <c r="J19" s="5">
        <f>Table1[[#This Row],[Enrolment S.Y. 2025-2026 ]]*8</f>
        <v>384</v>
      </c>
      <c r="K19" s="5"/>
      <c r="L19" s="1"/>
      <c r="M19" s="5"/>
      <c r="N19" s="5">
        <f t="shared" si="10"/>
        <v>384</v>
      </c>
      <c r="O19" s="5">
        <f t="shared" si="11"/>
        <v>0</v>
      </c>
      <c r="P19" s="5">
        <f>Table1[[#This Row],[Enrolment S.Y. 2025-2026 ]]*8</f>
        <v>384</v>
      </c>
      <c r="Q19" s="5"/>
      <c r="R19" s="1"/>
      <c r="S19" s="5"/>
      <c r="T19" s="5">
        <f t="shared" si="12"/>
        <v>384</v>
      </c>
      <c r="U19" s="5">
        <f t="shared" si="13"/>
        <v>0</v>
      </c>
      <c r="V19" s="5">
        <f>Table1[[#This Row],[Enrolment S.Y. 2025-2026 ]]*8</f>
        <v>384</v>
      </c>
      <c r="W19" s="5"/>
      <c r="X19" s="1"/>
      <c r="Y19" s="5"/>
      <c r="Z19" s="5">
        <f t="shared" si="14"/>
        <v>384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48</v>
      </c>
      <c r="D20" s="5">
        <f>Table1[[#This Row],[Enrolment S.Y. 2025-2026 ]]*8</f>
        <v>384</v>
      </c>
      <c r="E20" s="5">
        <v>77</v>
      </c>
      <c r="F20" s="1">
        <v>2025</v>
      </c>
      <c r="G20" s="5"/>
      <c r="H20" s="5">
        <f>IF((D20-E20)&lt;0,0,(D20-E20))</f>
        <v>307</v>
      </c>
      <c r="I20" s="5">
        <f>IF((E20-D20)&lt;0,0,(E20-D20))</f>
        <v>0</v>
      </c>
      <c r="J20" s="5">
        <f>Table1[[#This Row],[Enrolment S.Y. 2025-2026 ]]*8</f>
        <v>384</v>
      </c>
      <c r="K20" s="5"/>
      <c r="L20" s="1"/>
      <c r="M20" s="5"/>
      <c r="N20" s="5">
        <f t="shared" si="10"/>
        <v>384</v>
      </c>
      <c r="O20" s="5">
        <f t="shared" si="11"/>
        <v>0</v>
      </c>
      <c r="P20" s="5">
        <f>Table1[[#This Row],[Enrolment S.Y. 2025-2026 ]]*8</f>
        <v>384</v>
      </c>
      <c r="Q20" s="5"/>
      <c r="R20" s="1"/>
      <c r="S20" s="5"/>
      <c r="T20" s="5">
        <f t="shared" si="12"/>
        <v>384</v>
      </c>
      <c r="U20" s="5">
        <f t="shared" si="13"/>
        <v>0</v>
      </c>
      <c r="V20" s="5">
        <f>Table1[[#This Row],[Enrolment S.Y. 2025-2026 ]]*8</f>
        <v>384</v>
      </c>
      <c r="W20" s="5"/>
      <c r="X20" s="1"/>
      <c r="Y20" s="5"/>
      <c r="Z20" s="5">
        <f t="shared" si="14"/>
        <v>384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6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73</v>
      </c>
      <c r="D24" s="5">
        <v>75</v>
      </c>
      <c r="E24" s="5">
        <v>75</v>
      </c>
      <c r="F24" s="1">
        <v>2025</v>
      </c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584</v>
      </c>
      <c r="K24" s="5"/>
      <c r="L24" s="1"/>
      <c r="M24" s="5"/>
      <c r="N24" s="5">
        <f t="shared" si="10"/>
        <v>584</v>
      </c>
      <c r="O24" s="5">
        <f t="shared" si="11"/>
        <v>0</v>
      </c>
      <c r="P24" s="5">
        <f>Table1[[#This Row],[Enrolment S.Y. 2025-2026 ]]*8</f>
        <v>584</v>
      </c>
      <c r="Q24" s="5"/>
      <c r="R24" s="1"/>
      <c r="S24" s="5"/>
      <c r="T24" s="5">
        <f t="shared" si="12"/>
        <v>584</v>
      </c>
      <c r="U24" s="5">
        <f t="shared" si="13"/>
        <v>0</v>
      </c>
      <c r="V24" s="5">
        <f>Table1[[#This Row],[Enrolment S.Y. 2025-2026 ]]*8</f>
        <v>584</v>
      </c>
      <c r="W24" s="5"/>
      <c r="X24" s="1"/>
      <c r="Y24" s="5"/>
      <c r="Z24" s="5">
        <f t="shared" si="14"/>
        <v>584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73</v>
      </c>
      <c r="D25" s="5">
        <f>Table1[[#This Row],[Enrolment S.Y. 2025-2026 ]]*8</f>
        <v>584</v>
      </c>
      <c r="E25" s="5">
        <v>70</v>
      </c>
      <c r="F25" s="1">
        <v>2025</v>
      </c>
      <c r="G25" s="5"/>
      <c r="H25" s="5">
        <f t="shared" si="2"/>
        <v>514</v>
      </c>
      <c r="I25" s="5">
        <f t="shared" si="3"/>
        <v>0</v>
      </c>
      <c r="J25" s="5">
        <f>Table1[[#This Row],[Enrolment S.Y. 2025-2026 ]]*8</f>
        <v>584</v>
      </c>
      <c r="K25" s="5"/>
      <c r="L25" s="1"/>
      <c r="M25" s="5"/>
      <c r="N25" s="5">
        <f t="shared" si="10"/>
        <v>584</v>
      </c>
      <c r="O25" s="5">
        <f t="shared" si="11"/>
        <v>0</v>
      </c>
      <c r="P25" s="5">
        <f>Table1[[#This Row],[Enrolment S.Y. 2025-2026 ]]*8</f>
        <v>584</v>
      </c>
      <c r="Q25" s="5"/>
      <c r="R25" s="1"/>
      <c r="S25" s="5"/>
      <c r="T25" s="5">
        <f t="shared" si="12"/>
        <v>584</v>
      </c>
      <c r="U25" s="5">
        <f t="shared" si="13"/>
        <v>0</v>
      </c>
      <c r="V25" s="5">
        <f>Table1[[#This Row],[Enrolment S.Y. 2025-2026 ]]*8</f>
        <v>584</v>
      </c>
      <c r="W25" s="5"/>
      <c r="X25" s="1"/>
      <c r="Y25" s="5"/>
      <c r="Z25" s="5">
        <f t="shared" si="14"/>
        <v>584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73</v>
      </c>
      <c r="D26" s="5">
        <f>Table1[[#This Row],[Enrolment S.Y. 2025-2026 ]]*8</f>
        <v>584</v>
      </c>
      <c r="E26" s="5">
        <v>70</v>
      </c>
      <c r="F26" s="1">
        <v>2025</v>
      </c>
      <c r="G26" s="5"/>
      <c r="H26" s="5">
        <f t="shared" si="2"/>
        <v>514</v>
      </c>
      <c r="I26" s="5">
        <f t="shared" si="3"/>
        <v>0</v>
      </c>
      <c r="J26" s="5">
        <f>Table1[[#This Row],[Enrolment S.Y. 2025-2026 ]]*8</f>
        <v>584</v>
      </c>
      <c r="K26" s="5"/>
      <c r="L26" s="1"/>
      <c r="M26" s="5"/>
      <c r="N26" s="5">
        <f t="shared" si="10"/>
        <v>584</v>
      </c>
      <c r="O26" s="5">
        <f t="shared" si="11"/>
        <v>0</v>
      </c>
      <c r="P26" s="5">
        <f>Table1[[#This Row],[Enrolment S.Y. 2025-2026 ]]*8</f>
        <v>584</v>
      </c>
      <c r="Q26" s="5"/>
      <c r="R26" s="1"/>
      <c r="S26" s="5"/>
      <c r="T26" s="5">
        <f t="shared" si="12"/>
        <v>584</v>
      </c>
      <c r="U26" s="5">
        <f t="shared" si="13"/>
        <v>0</v>
      </c>
      <c r="V26" s="5">
        <f>Table1[[#This Row],[Enrolment S.Y. 2025-2026 ]]*8</f>
        <v>584</v>
      </c>
      <c r="W26" s="5"/>
      <c r="X26" s="1"/>
      <c r="Y26" s="5"/>
      <c r="Z26" s="5">
        <f t="shared" si="14"/>
        <v>584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73</v>
      </c>
      <c r="D27" s="5">
        <f>Table1[[#This Row],[Enrolment S.Y. 2025-2026 ]]*8</f>
        <v>584</v>
      </c>
      <c r="E27" s="5">
        <v>70</v>
      </c>
      <c r="F27" s="1">
        <v>2025</v>
      </c>
      <c r="G27" s="5"/>
      <c r="H27" s="5">
        <f t="shared" si="2"/>
        <v>514</v>
      </c>
      <c r="I27" s="5">
        <f t="shared" si="3"/>
        <v>0</v>
      </c>
      <c r="J27" s="5">
        <f>Table1[[#This Row],[Enrolment S.Y. 2025-2026 ]]*8</f>
        <v>584</v>
      </c>
      <c r="K27" s="5"/>
      <c r="L27" s="1"/>
      <c r="M27" s="5"/>
      <c r="N27" s="5">
        <f t="shared" si="10"/>
        <v>584</v>
      </c>
      <c r="O27" s="5">
        <f t="shared" si="11"/>
        <v>0</v>
      </c>
      <c r="P27" s="5">
        <f>Table1[[#This Row],[Enrolment S.Y. 2025-2026 ]]*8</f>
        <v>584</v>
      </c>
      <c r="Q27" s="5"/>
      <c r="R27" s="1"/>
      <c r="S27" s="5"/>
      <c r="T27" s="5">
        <f t="shared" si="12"/>
        <v>584</v>
      </c>
      <c r="U27" s="5">
        <f t="shared" si="13"/>
        <v>0</v>
      </c>
      <c r="V27" s="5">
        <f>Table1[[#This Row],[Enrolment S.Y. 2025-2026 ]]*8</f>
        <v>584</v>
      </c>
      <c r="W27" s="5"/>
      <c r="X27" s="1"/>
      <c r="Y27" s="5"/>
      <c r="Z27" s="5">
        <f t="shared" si="14"/>
        <v>584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73</v>
      </c>
      <c r="D28" s="5">
        <f>Table1[[#This Row],[Enrolment S.Y. 2025-2026 ]]*8</f>
        <v>584</v>
      </c>
      <c r="E28" s="5">
        <v>70</v>
      </c>
      <c r="F28" s="1">
        <v>2025</v>
      </c>
      <c r="G28" s="5"/>
      <c r="H28" s="5">
        <f t="shared" si="2"/>
        <v>514</v>
      </c>
      <c r="I28" s="5">
        <f t="shared" si="3"/>
        <v>0</v>
      </c>
      <c r="J28" s="5">
        <f>Table1[[#This Row],[Enrolment S.Y. 2025-2026 ]]*8</f>
        <v>584</v>
      </c>
      <c r="K28" s="5"/>
      <c r="L28" s="1"/>
      <c r="M28" s="5"/>
      <c r="N28" s="5">
        <f t="shared" si="10"/>
        <v>584</v>
      </c>
      <c r="O28" s="5">
        <f t="shared" si="11"/>
        <v>0</v>
      </c>
      <c r="P28" s="5">
        <f>Table1[[#This Row],[Enrolment S.Y. 2025-2026 ]]*8</f>
        <v>584</v>
      </c>
      <c r="Q28" s="5"/>
      <c r="R28" s="1"/>
      <c r="S28" s="5"/>
      <c r="T28" s="5">
        <f t="shared" si="12"/>
        <v>584</v>
      </c>
      <c r="U28" s="5">
        <f t="shared" si="13"/>
        <v>0</v>
      </c>
      <c r="V28" s="5">
        <f>Table1[[#This Row],[Enrolment S.Y. 2025-2026 ]]*8</f>
        <v>584</v>
      </c>
      <c r="W28" s="5"/>
      <c r="X28" s="1"/>
      <c r="Y28" s="5"/>
      <c r="Z28" s="5">
        <f t="shared" si="14"/>
        <v>584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73</v>
      </c>
      <c r="D29" s="5">
        <f>Table1[[#This Row],[Enrolment S.Y. 2025-2026 ]]*8</f>
        <v>584</v>
      </c>
      <c r="E29" s="5">
        <v>70</v>
      </c>
      <c r="F29" s="1">
        <v>2025</v>
      </c>
      <c r="G29" s="5"/>
      <c r="H29" s="5">
        <f>IF((D29-E29)&lt;0,0,(D29-E29))</f>
        <v>514</v>
      </c>
      <c r="I29" s="5">
        <f>IF((E29-D29)&lt;0,0,(E29-D29))</f>
        <v>0</v>
      </c>
      <c r="J29" s="5">
        <f>Table1[[#This Row],[Enrolment S.Y. 2025-2026 ]]*8</f>
        <v>584</v>
      </c>
      <c r="K29" s="5"/>
      <c r="L29" s="1"/>
      <c r="M29" s="5"/>
      <c r="N29" s="5">
        <f t="shared" si="10"/>
        <v>584</v>
      </c>
      <c r="O29" s="5">
        <f t="shared" si="11"/>
        <v>0</v>
      </c>
      <c r="P29" s="5">
        <f>Table1[[#This Row],[Enrolment S.Y. 2025-2026 ]]*8</f>
        <v>584</v>
      </c>
      <c r="Q29" s="5"/>
      <c r="R29" s="1"/>
      <c r="S29" s="5"/>
      <c r="T29" s="5">
        <f t="shared" si="12"/>
        <v>584</v>
      </c>
      <c r="U29" s="5">
        <f t="shared" si="13"/>
        <v>0</v>
      </c>
      <c r="V29" s="5">
        <f>Table1[[#This Row],[Enrolment S.Y. 2025-2026 ]]*8</f>
        <v>584</v>
      </c>
      <c r="W29" s="5"/>
      <c r="X29" s="1"/>
      <c r="Y29" s="5"/>
      <c r="Z29" s="5">
        <f t="shared" si="14"/>
        <v>584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73</v>
      </c>
      <c r="D30" s="5">
        <f>Table1[[#This Row],[Enrolment S.Y. 2025-2026 ]]*8</f>
        <v>584</v>
      </c>
      <c r="E30" s="5">
        <v>70</v>
      </c>
      <c r="F30" s="1">
        <v>2025</v>
      </c>
      <c r="G30" s="5"/>
      <c r="H30" s="5">
        <f>IF((D30-E30)&lt;0,0,(D30-E30))</f>
        <v>514</v>
      </c>
      <c r="I30" s="5">
        <f>IF((E30-D30)&lt;0,0,(E30-D30))</f>
        <v>0</v>
      </c>
      <c r="J30" s="5">
        <f>Table1[[#This Row],[Enrolment S.Y. 2025-2026 ]]*8</f>
        <v>584</v>
      </c>
      <c r="K30" s="5"/>
      <c r="L30" s="1"/>
      <c r="M30" s="5"/>
      <c r="N30" s="5">
        <f t="shared" si="10"/>
        <v>584</v>
      </c>
      <c r="O30" s="5">
        <f t="shared" si="11"/>
        <v>0</v>
      </c>
      <c r="P30" s="5">
        <f>Table1[[#This Row],[Enrolment S.Y. 2025-2026 ]]*8</f>
        <v>584</v>
      </c>
      <c r="Q30" s="5"/>
      <c r="R30" s="1"/>
      <c r="S30" s="5"/>
      <c r="T30" s="5">
        <f t="shared" si="12"/>
        <v>584</v>
      </c>
      <c r="U30" s="5">
        <f t="shared" si="13"/>
        <v>0</v>
      </c>
      <c r="V30" s="5">
        <f>Table1[[#This Row],[Enrolment S.Y. 2025-2026 ]]*8</f>
        <v>584</v>
      </c>
      <c r="W30" s="5"/>
      <c r="X30" s="1"/>
      <c r="Y30" s="5"/>
      <c r="Z30" s="5">
        <f t="shared" si="14"/>
        <v>584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69</v>
      </c>
      <c r="D33" s="5">
        <f>Table1[[#This Row],[Enrolment S.Y. 2025-2026 ]]*8</f>
        <v>552</v>
      </c>
      <c r="E33" s="5">
        <v>71</v>
      </c>
      <c r="F33" s="1"/>
      <c r="G33" s="5"/>
      <c r="H33" s="5">
        <f t="shared" si="2"/>
        <v>481</v>
      </c>
      <c r="I33" s="5">
        <f t="shared" si="3"/>
        <v>0</v>
      </c>
      <c r="J33" s="5">
        <f>Table1[[#This Row],[Enrolment S.Y. 2025-2026 ]]*8</f>
        <v>552</v>
      </c>
      <c r="K33" s="5"/>
      <c r="L33" s="1"/>
      <c r="M33" s="5"/>
      <c r="N33" s="5">
        <f t="shared" si="10"/>
        <v>552</v>
      </c>
      <c r="O33" s="5">
        <f t="shared" si="11"/>
        <v>0</v>
      </c>
      <c r="P33" s="5">
        <f>Table1[[#This Row],[Enrolment S.Y. 2025-2026 ]]*8</f>
        <v>552</v>
      </c>
      <c r="Q33" s="5"/>
      <c r="R33" s="1"/>
      <c r="S33" s="5"/>
      <c r="T33" s="5">
        <f t="shared" si="12"/>
        <v>552</v>
      </c>
      <c r="U33" s="5">
        <f t="shared" si="13"/>
        <v>0</v>
      </c>
      <c r="V33" s="5">
        <f>Table1[[#This Row],[Enrolment S.Y. 2025-2026 ]]*8</f>
        <v>552</v>
      </c>
      <c r="W33" s="5"/>
      <c r="X33" s="1"/>
      <c r="Y33" s="5"/>
      <c r="Z33" s="5">
        <f t="shared" si="14"/>
        <v>552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45.75" customHeight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67</v>
      </c>
      <c r="D43" s="5">
        <f>Table1[[#This Row],[Enrolment S.Y. 2025-2026 ]]*8</f>
        <v>536</v>
      </c>
      <c r="E43" s="5">
        <v>67</v>
      </c>
      <c r="F43" s="1"/>
      <c r="G43" s="5"/>
      <c r="H43" s="5">
        <f t="shared" si="2"/>
        <v>469</v>
      </c>
      <c r="I43" s="5">
        <f t="shared" si="3"/>
        <v>0</v>
      </c>
      <c r="J43" s="5">
        <f>Table1[[#This Row],[Enrolment S.Y. 2025-2026 ]]*8</f>
        <v>536</v>
      </c>
      <c r="K43" s="5"/>
      <c r="L43" s="1"/>
      <c r="M43" s="5"/>
      <c r="N43" s="5">
        <f t="shared" si="10"/>
        <v>536</v>
      </c>
      <c r="O43" s="5">
        <f t="shared" si="11"/>
        <v>0</v>
      </c>
      <c r="P43" s="5">
        <f>Table1[[#This Row],[Enrolment S.Y. 2025-2026 ]]*8</f>
        <v>536</v>
      </c>
      <c r="Q43" s="5"/>
      <c r="R43" s="1"/>
      <c r="S43" s="5"/>
      <c r="T43" s="5">
        <f t="shared" si="12"/>
        <v>536</v>
      </c>
      <c r="U43" s="5">
        <f t="shared" si="13"/>
        <v>0</v>
      </c>
      <c r="V43" s="5">
        <f>Table1[[#This Row],[Enrolment S.Y. 2025-2026 ]]*8</f>
        <v>536</v>
      </c>
      <c r="W43" s="5"/>
      <c r="X43" s="1"/>
      <c r="Y43" s="5"/>
      <c r="Z43" s="5">
        <f t="shared" si="14"/>
        <v>536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67</v>
      </c>
      <c r="D45" s="5">
        <f>Table1[[#This Row],[Enrolment S.Y. 2025-2026 ]]*8</f>
        <v>536</v>
      </c>
      <c r="E45" s="5">
        <v>59</v>
      </c>
      <c r="F45" s="1">
        <v>2025</v>
      </c>
      <c r="G45" s="5"/>
      <c r="H45" s="5">
        <f t="shared" si="2"/>
        <v>477</v>
      </c>
      <c r="I45" s="5">
        <f t="shared" si="3"/>
        <v>0</v>
      </c>
      <c r="J45" s="5">
        <f>Table1[[#This Row],[Enrolment S.Y. 2025-2026 ]]*8</f>
        <v>536</v>
      </c>
      <c r="K45" s="5"/>
      <c r="L45" s="1"/>
      <c r="M45" s="5"/>
      <c r="N45" s="5">
        <f t="shared" si="10"/>
        <v>536</v>
      </c>
      <c r="O45" s="5">
        <f t="shared" si="11"/>
        <v>0</v>
      </c>
      <c r="P45" s="5">
        <f>Table1[[#This Row],[Enrolment S.Y. 2025-2026 ]]*8</f>
        <v>536</v>
      </c>
      <c r="Q45" s="5"/>
      <c r="R45" s="1"/>
      <c r="S45" s="5"/>
      <c r="T45" s="5">
        <f t="shared" si="12"/>
        <v>536</v>
      </c>
      <c r="U45" s="5">
        <f t="shared" si="13"/>
        <v>0</v>
      </c>
      <c r="V45" s="5">
        <f>Table1[[#This Row],[Enrolment S.Y. 2025-2026 ]]*8</f>
        <v>536</v>
      </c>
      <c r="W45" s="5"/>
      <c r="X45" s="1"/>
      <c r="Y45" s="5"/>
      <c r="Z45" s="5">
        <f t="shared" si="14"/>
        <v>536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67</v>
      </c>
      <c r="D46" s="5">
        <f>Table1[[#This Row],[Enrolment S.Y. 2025-2026 ]]*8</f>
        <v>536</v>
      </c>
      <c r="E46" s="5">
        <v>59</v>
      </c>
      <c r="F46" s="1">
        <v>2025</v>
      </c>
      <c r="G46" s="5"/>
      <c r="H46" s="5">
        <f t="shared" si="2"/>
        <v>477</v>
      </c>
      <c r="I46" s="5">
        <f t="shared" si="3"/>
        <v>0</v>
      </c>
      <c r="J46" s="5">
        <f>Table1[[#This Row],[Enrolment S.Y. 2025-2026 ]]*8</f>
        <v>536</v>
      </c>
      <c r="K46" s="5"/>
      <c r="L46" s="1"/>
      <c r="M46" s="5"/>
      <c r="N46" s="5">
        <f t="shared" si="10"/>
        <v>536</v>
      </c>
      <c r="O46" s="5">
        <f t="shared" si="11"/>
        <v>0</v>
      </c>
      <c r="P46" s="5">
        <f>Table1[[#This Row],[Enrolment S.Y. 2025-2026 ]]*8</f>
        <v>536</v>
      </c>
      <c r="Q46" s="5"/>
      <c r="R46" s="1"/>
      <c r="S46" s="5"/>
      <c r="T46" s="5">
        <f t="shared" si="12"/>
        <v>536</v>
      </c>
      <c r="U46" s="5">
        <f t="shared" si="13"/>
        <v>0</v>
      </c>
      <c r="V46" s="5">
        <f>Table1[[#This Row],[Enrolment S.Y. 2025-2026 ]]*8</f>
        <v>536</v>
      </c>
      <c r="W46" s="5"/>
      <c r="X46" s="1"/>
      <c r="Y46" s="5"/>
      <c r="Z46" s="5">
        <f t="shared" si="14"/>
        <v>536</v>
      </c>
      <c r="AA46" s="5">
        <f t="shared" si="15"/>
        <v>0</v>
      </c>
    </row>
    <row r="47" spans="1:27" ht="34.5" customHeight="1">
      <c r="A47" s="1">
        <v>5</v>
      </c>
      <c r="B47" s="9" t="s">
        <v>16</v>
      </c>
      <c r="C47" s="1">
        <v>67</v>
      </c>
      <c r="D47" s="5">
        <f>Table1[[#This Row],[Enrolment S.Y. 2025-2026 ]]*8</f>
        <v>536</v>
      </c>
      <c r="E47" s="5">
        <v>59</v>
      </c>
      <c r="F47" s="1">
        <v>2025</v>
      </c>
      <c r="G47" s="5"/>
      <c r="H47" s="5">
        <f t="shared" si="2"/>
        <v>477</v>
      </c>
      <c r="I47" s="5">
        <f t="shared" si="3"/>
        <v>0</v>
      </c>
      <c r="J47" s="5">
        <f>Table1[[#This Row],[Enrolment S.Y. 2025-2026 ]]*8</f>
        <v>536</v>
      </c>
      <c r="K47" s="5"/>
      <c r="L47" s="1"/>
      <c r="M47" s="5"/>
      <c r="N47" s="5">
        <f t="shared" si="10"/>
        <v>536</v>
      </c>
      <c r="O47" s="5">
        <f t="shared" si="11"/>
        <v>0</v>
      </c>
      <c r="P47" s="5">
        <f>Table1[[#This Row],[Enrolment S.Y. 2025-2026 ]]*8</f>
        <v>536</v>
      </c>
      <c r="Q47" s="5"/>
      <c r="R47" s="1"/>
      <c r="S47" s="5"/>
      <c r="T47" s="5">
        <f t="shared" si="12"/>
        <v>536</v>
      </c>
      <c r="U47" s="5">
        <f t="shared" si="13"/>
        <v>0</v>
      </c>
      <c r="V47" s="5">
        <f>Table1[[#This Row],[Enrolment S.Y. 2025-2026 ]]*8</f>
        <v>536</v>
      </c>
      <c r="W47" s="5"/>
      <c r="X47" s="1"/>
      <c r="Y47" s="5"/>
      <c r="Z47" s="5">
        <f t="shared" si="14"/>
        <v>536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67</v>
      </c>
      <c r="D49" s="5">
        <f>Table1[[#This Row],[Enrolment S.Y. 2025-2026 ]]*8</f>
        <v>536</v>
      </c>
      <c r="E49" s="5">
        <v>59</v>
      </c>
      <c r="F49" s="1">
        <v>2025</v>
      </c>
      <c r="G49" s="5"/>
      <c r="H49" s="5">
        <f t="shared" si="2"/>
        <v>477</v>
      </c>
      <c r="I49" s="5">
        <f t="shared" si="3"/>
        <v>0</v>
      </c>
      <c r="J49" s="5">
        <f>Table1[[#This Row],[Enrolment S.Y. 2025-2026 ]]*8</f>
        <v>536</v>
      </c>
      <c r="K49" s="5"/>
      <c r="L49" s="1"/>
      <c r="M49" s="5"/>
      <c r="N49" s="5">
        <f t="shared" si="10"/>
        <v>536</v>
      </c>
      <c r="O49" s="5">
        <f t="shared" si="11"/>
        <v>0</v>
      </c>
      <c r="P49" s="5">
        <f>Table1[[#This Row],[Enrolment S.Y. 2025-2026 ]]*8</f>
        <v>536</v>
      </c>
      <c r="Q49" s="5"/>
      <c r="R49" s="1"/>
      <c r="S49" s="5"/>
      <c r="T49" s="5">
        <f t="shared" si="12"/>
        <v>536</v>
      </c>
      <c r="U49" s="5">
        <f t="shared" si="13"/>
        <v>0</v>
      </c>
      <c r="V49" s="5">
        <f>Table1[[#This Row],[Enrolment S.Y. 2025-2026 ]]*8</f>
        <v>536</v>
      </c>
      <c r="W49" s="5"/>
      <c r="X49" s="1"/>
      <c r="Y49" s="5"/>
      <c r="Z49" s="5">
        <f t="shared" si="14"/>
        <v>536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67</v>
      </c>
      <c r="D51" s="5">
        <f>Table1[[#This Row],[Enrolment S.Y. 2025-2026 ]]*8</f>
        <v>536</v>
      </c>
      <c r="E51" s="5">
        <v>59</v>
      </c>
      <c r="F51" s="1">
        <v>2025</v>
      </c>
      <c r="G51" s="5"/>
      <c r="H51" s="5">
        <f t="shared" si="2"/>
        <v>477</v>
      </c>
      <c r="I51" s="5">
        <f t="shared" si="3"/>
        <v>0</v>
      </c>
      <c r="J51" s="5">
        <f>Table1[[#This Row],[Enrolment S.Y. 2025-2026 ]]*8</f>
        <v>536</v>
      </c>
      <c r="K51" s="5"/>
      <c r="L51" s="1"/>
      <c r="M51" s="5"/>
      <c r="N51" s="5">
        <f t="shared" si="10"/>
        <v>536</v>
      </c>
      <c r="O51" s="5">
        <f t="shared" si="11"/>
        <v>0</v>
      </c>
      <c r="P51" s="5">
        <f>Table1[[#This Row],[Enrolment S.Y. 2025-2026 ]]*8</f>
        <v>536</v>
      </c>
      <c r="Q51" s="5"/>
      <c r="R51" s="1"/>
      <c r="S51" s="5"/>
      <c r="T51" s="5">
        <f t="shared" si="12"/>
        <v>536</v>
      </c>
      <c r="U51" s="5">
        <f t="shared" si="13"/>
        <v>0</v>
      </c>
      <c r="V51" s="5">
        <f>Table1[[#This Row],[Enrolment S.Y. 2025-2026 ]]*8</f>
        <v>536</v>
      </c>
      <c r="W51" s="5"/>
      <c r="X51" s="1"/>
      <c r="Y51" s="5"/>
      <c r="Z51" s="5">
        <f t="shared" si="14"/>
        <v>536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59</v>
      </c>
      <c r="D53" s="5">
        <f>Table1[[#This Row],[Enrolment S.Y. 2025-2026 ]]*8</f>
        <v>472</v>
      </c>
      <c r="E53" s="5">
        <v>55</v>
      </c>
      <c r="F53" s="1"/>
      <c r="G53" s="5"/>
      <c r="H53" s="5">
        <f t="shared" si="2"/>
        <v>417</v>
      </c>
      <c r="I53" s="5">
        <f t="shared" si="3"/>
        <v>0</v>
      </c>
      <c r="J53" s="5">
        <f>Table1[[#This Row],[Enrolment S.Y. 2025-2026 ]]*8</f>
        <v>472</v>
      </c>
      <c r="K53" s="5"/>
      <c r="L53" s="1"/>
      <c r="M53" s="5"/>
      <c r="N53" s="5">
        <f t="shared" si="10"/>
        <v>472</v>
      </c>
      <c r="O53" s="5">
        <f t="shared" si="11"/>
        <v>0</v>
      </c>
      <c r="P53" s="5">
        <f>Table1[[#This Row],[Enrolment S.Y. 2025-2026 ]]*8</f>
        <v>472</v>
      </c>
      <c r="Q53" s="5"/>
      <c r="R53" s="1"/>
      <c r="S53" s="5"/>
      <c r="T53" s="5">
        <f t="shared" si="12"/>
        <v>472</v>
      </c>
      <c r="U53" s="5">
        <f t="shared" si="13"/>
        <v>0</v>
      </c>
      <c r="V53" s="5">
        <f>Table1[[#This Row],[Enrolment S.Y. 2025-2026 ]]*8</f>
        <v>472</v>
      </c>
      <c r="W53" s="5"/>
      <c r="X53" s="1"/>
      <c r="Y53" s="5"/>
      <c r="Z53" s="5">
        <f t="shared" si="14"/>
        <v>472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6" customHeight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  <row r="136" ht="15"/>
    <row r="137" ht="15"/>
    <row r="138" ht="15"/>
    <row r="139" ht="15"/>
    <row r="140" ht="15"/>
    <row r="141" ht="15"/>
    <row r="142" ht="15"/>
    <row r="143" ht="15"/>
    <row r="144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</sheetData>
  <protectedRanges>
    <protectedRange sqref="C2:C3 C14:C21 C23:C31 C33:C41 C43:C51 C53:C61 C5:C12" name="Textbooks"/>
    <protectedRange sqref="J2:L3 D2:F3 H5:L5 D14:F21 D23:F31 D33:F41 H33:I41 D43:F51 H43:I51 D53:F61 H53:I61 K23:L31 K14:L21 T5:X12 W53:X61 W43:X51 W33:X41 W23:X31 W14:X21 N5:R12 Q53:R61 H14:I21 H23:I31 H6:I12 N13:P61 P2:R2 V2:X3 T13:V61 J6:J61 Z4:AA61 D5:F12 N4:P4 T4:V4 J4 Q43:R51 N3:R3 Y13 Q33:R41 Q23:R31 Q14:R21 K6:L12 K53:L61 K43:L51 K33:L41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3:L61 L43:L51 L33:L41 L23:L31 L5:L12 L14:L21 R53:R61 R43:R51 R33:R41 R23:R31 R5:R12 R14:R21 X53:X61 X43:X51 X33:X41 X23:X31 X5:X12 X14:X21 F5:F12 F14:F21 F23:F31 F33:F41 F53:F61 F43:F5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3" zoomScale="55" zoomScaleNormal="55" workbookViewId="0">
      <selection activeCell="AD149" sqref="AD14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3.7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3" customHeight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N43:R53 N55:R65 N31:R41 P2:R10 N3:O10 V2:X10 T3:U10 N12:R19 T12:X19 H3:L10 Z3:AA10 Z12:AA19 H12:L19 N21:R29 T21:X29 Z21:AA29 H21:L29 T31:X41 Z31:AA41 H31:L41 T43:X53 Z43:AA53 H43:L53 T55:X65 Z55:AA65 H55:L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" xr:uid="{77F72D89-8371-4D0C-A323-BD25723C617C}">
      <formula1>"2024,2025"</formula1>
    </dataValidation>
    <dataValidation type="list" allowBlank="1" showInputMessage="1" showErrorMessage="1" sqref="F3:F10 F12:F19 F21:F29 F31:F41 F43:F53 F55:F65" xr:uid="{66218604-A364-4BC8-9482-B4D3D6B8BB9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2026-04-14T02:05:58Z</dcterms:modified>
  <cp:category/>
  <cp:contentStatus/>
</cp:coreProperties>
</file>