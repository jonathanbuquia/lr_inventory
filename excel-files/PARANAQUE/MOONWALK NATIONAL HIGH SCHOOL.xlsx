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0" documentId="13_ncr:1_{BFB59F67-F0DC-4675-A682-EB0734A8026A}" xr6:coauthVersionLast="47" xr6:coauthVersionMax="47" xr10:uidLastSave="{D134B01D-6D93-4DC7-8F1F-172D0B150F68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126" i="4"/>
  <c r="Z116" i="4"/>
  <c r="Z9" i="4"/>
  <c r="T33" i="4"/>
  <c r="Z45" i="4"/>
  <c r="U114" i="4"/>
  <c r="AA31" i="4"/>
  <c r="U3" i="4"/>
  <c r="O26" i="4"/>
  <c r="T10" i="4"/>
  <c r="U59" i="4"/>
  <c r="U43" i="4"/>
  <c r="O119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124" i="4"/>
  <c r="Z114" i="4"/>
  <c r="AA54" i="4"/>
  <c r="Z43" i="4"/>
  <c r="AA18" i="4"/>
  <c r="Z7" i="4"/>
  <c r="N125" i="4"/>
  <c r="O61" i="4"/>
  <c r="O30" i="4"/>
  <c r="U118" i="4"/>
  <c r="U113" i="4"/>
  <c r="U47" i="4"/>
  <c r="U41" i="4"/>
  <c r="U25" i="4"/>
  <c r="AA112" i="4"/>
  <c r="AA40" i="4"/>
  <c r="Z29" i="4"/>
  <c r="O123" i="4"/>
  <c r="N117" i="4"/>
  <c r="N55" i="4"/>
  <c r="O48" i="4"/>
  <c r="O17" i="4"/>
  <c r="N10" i="4"/>
  <c r="U122" i="4"/>
  <c r="U51" i="4"/>
  <c r="T19" i="4"/>
  <c r="Z122" i="4"/>
  <c r="Z51" i="4"/>
  <c r="AA27" i="4"/>
  <c r="Z16" i="4"/>
  <c r="N19" i="4"/>
  <c r="I31" i="4"/>
  <c r="O35" i="4"/>
  <c r="T117" i="4"/>
  <c r="T46" i="4"/>
  <c r="U29" i="4"/>
  <c r="U24" i="4"/>
  <c r="U7" i="4"/>
  <c r="AA120" i="4"/>
  <c r="AA49" i="4"/>
  <c r="Z38" i="4"/>
  <c r="AA14" i="4"/>
  <c r="N28" i="4"/>
  <c r="O21" i="4"/>
  <c r="U126" i="4"/>
  <c r="U121" i="4"/>
  <c r="U56" i="4"/>
  <c r="U50" i="4"/>
  <c r="U34" i="4"/>
  <c r="Z60" i="4"/>
  <c r="AA36" i="4"/>
  <c r="Z25" i="4"/>
  <c r="I3" i="4"/>
  <c r="N126" i="4"/>
  <c r="O115" i="4"/>
  <c r="O53" i="4"/>
  <c r="N46" i="4"/>
  <c r="O39" i="4"/>
  <c r="N34" i="4"/>
  <c r="O8" i="4"/>
  <c r="U60" i="4"/>
  <c r="T28" i="4"/>
  <c r="U11" i="4"/>
  <c r="U6" i="4"/>
  <c r="Z118" i="4"/>
  <c r="AA58" i="4"/>
  <c r="Z47" i="4"/>
  <c r="AA23" i="4"/>
  <c r="Z11" i="4"/>
  <c r="AA3" i="4"/>
  <c r="O57" i="4"/>
  <c r="T125" i="4"/>
  <c r="T55" i="4"/>
  <c r="U38" i="4"/>
  <c r="U16" i="4"/>
  <c r="Z34" i="4"/>
  <c r="T112" i="4"/>
  <c r="U112" i="4"/>
  <c r="T40" i="4"/>
  <c r="U40" i="4"/>
  <c r="N25" i="4"/>
  <c r="Z127" i="4"/>
  <c r="AA127" i="4"/>
  <c r="N122" i="4"/>
  <c r="N51" i="4"/>
  <c r="N29" i="4"/>
  <c r="T18" i="4"/>
  <c r="U18" i="4"/>
  <c r="N60" i="4"/>
  <c r="N38" i="4"/>
  <c r="T27" i="4"/>
  <c r="U27" i="4"/>
  <c r="T116" i="4"/>
  <c r="U116" i="4"/>
  <c r="T23" i="4"/>
  <c r="U23" i="4"/>
  <c r="T120" i="4"/>
  <c r="U120" i="4"/>
  <c r="T49" i="4"/>
  <c r="U49" i="4"/>
  <c r="N11" i="4"/>
  <c r="T124" i="4"/>
  <c r="U124" i="4"/>
  <c r="T54" i="4"/>
  <c r="U54" i="4"/>
  <c r="T31" i="4"/>
  <c r="U31" i="4"/>
  <c r="N16" i="4"/>
  <c r="Z119" i="4"/>
  <c r="AA119" i="4"/>
  <c r="N114" i="4"/>
  <c r="T58" i="4"/>
  <c r="U58" i="4"/>
  <c r="N43" i="4"/>
  <c r="N20" i="4"/>
  <c r="T45" i="4"/>
  <c r="U45" i="4"/>
  <c r="O7" i="4"/>
  <c r="N7" i="4"/>
  <c r="N118" i="4"/>
  <c r="N47" i="4"/>
  <c r="T36" i="4"/>
  <c r="U36" i="4"/>
  <c r="T14" i="4"/>
  <c r="U14" i="4"/>
  <c r="O124" i="4"/>
  <c r="O116" i="4"/>
  <c r="O54" i="4"/>
  <c r="O45" i="4"/>
  <c r="O36" i="4"/>
  <c r="O27" i="4"/>
  <c r="O18" i="4"/>
  <c r="O9" i="4"/>
  <c r="U123" i="4"/>
  <c r="U115" i="4"/>
  <c r="U61" i="4"/>
  <c r="U53" i="4"/>
  <c r="U44" i="4"/>
  <c r="U35" i="4"/>
  <c r="U26" i="4"/>
  <c r="U17" i="4"/>
  <c r="U8" i="4"/>
  <c r="AA123" i="4"/>
  <c r="AA115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59" i="4"/>
  <c r="O50" i="4"/>
  <c r="O41" i="4"/>
  <c r="O33" i="4"/>
  <c r="O24" i="4"/>
  <c r="O15" i="4"/>
  <c r="O6" i="4"/>
  <c r="O120" i="4"/>
  <c r="O112" i="4"/>
  <c r="O58" i="4"/>
  <c r="O49" i="4"/>
  <c r="O40" i="4"/>
  <c r="O31" i="4"/>
  <c r="O23" i="4"/>
  <c r="O14" i="4"/>
  <c r="U119" i="4"/>
  <c r="U57" i="4"/>
  <c r="U48" i="4"/>
  <c r="U39" i="4"/>
  <c r="U30" i="4"/>
  <c r="U21" i="4"/>
  <c r="U12" i="4"/>
  <c r="AA125" i="4"/>
  <c r="AA121" i="4"/>
  <c r="AA117" i="4"/>
  <c r="AA113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O127" i="4"/>
  <c r="N127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<sst xmlns="http://schemas.openxmlformats.org/spreadsheetml/2006/main" count="1590" uniqueCount="93">
  <si>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</si>
  <si>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</si>
  <si>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</si>
  <si>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</si>
  <si>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</si>
  <si>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</si>
  <si>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</si>
  <si>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</si>
  <si>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</si>
  <si>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</si>
  <si>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</si>
  <si>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</si>
  <si>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</si>
  <si>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</si>
  <si>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</si>
  <si>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</si>
  <si>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</si>
  <si>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</si>
  <si>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</si>
  <si>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</si>
  <si>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RO</t>
  </si>
  <si>
    <t> </t>
  </si>
  <si>
    <t>VE</t>
  </si>
  <si>
    <t>TLE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</si>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</sst>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</font>
    <font>
      <b/>
      <sz val="11"/>
      <color rgb="FF000000"/>
      <name val="Aptos Narrow"/>
    </font>
    <font>
      <sz val="11"/>
      <color rgb="FF000000"/>
      <name val="Aptos Narrow"/>
    </font>
    <font>
      <sz val="15"/>
      <color rgb="FF000000"/>
      <name val="Bookman Old Style"/>
    </font>
    <font>
      <b/>
      <sz val="12"/>
      <color rgb="FF000000"/>
      <name val="Bookman Old Style"/>
    </font>
    <font>
      <sz val="12"/>
      <color rgb="FF000000"/>
      <name val="Bookman Old Style"/>
    </font>
    <font>
      <b/>
      <sz val="13"/>
      <color rgb="FF000000"/>
      <name val="Bookman Old Style"/>
    </font>
    <font>
      <sz val="13"/>
      <color rgb="FF000000"/>
      <name val="Bookman Old Style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wrapText="1"/>
    </xf>
    <xf numFmtId="0" fontId="15" fillId="13" borderId="3" xfId="0" applyFont="1" applyFill="1" applyBorder="1" applyAlignment="1">
      <alignment wrapText="1"/>
    </xf>
    <xf numFmtId="0" fontId="15" fillId="14" borderId="1" xfId="0" applyFont="1" applyFill="1" applyBorder="1" applyAlignment="1">
      <alignment wrapText="1"/>
    </xf>
    <xf numFmtId="0" fontId="15" fillId="14" borderId="2" xfId="0" applyFont="1" applyFill="1" applyBorder="1" applyAlignment="1">
      <alignment wrapText="1"/>
    </xf>
    <xf numFmtId="0" fontId="16" fillId="14" borderId="0" xfId="0" applyFont="1" applyFill="1"/>
    <xf numFmtId="0" fontId="17" fillId="14" borderId="0" xfId="0" applyFont="1" applyFill="1"/>
    <xf numFmtId="0" fontId="15" fillId="15" borderId="1" xfId="0" applyFont="1" applyFill="1" applyBorder="1" applyAlignment="1">
      <alignment wrapText="1"/>
    </xf>
    <xf numFmtId="0" fontId="15" fillId="1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7" fillId="0" borderId="0" xfId="0" applyFont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15" fillId="13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 wrapText="1"/>
    </xf>
    <xf numFmtId="0" fontId="15" fillId="15" borderId="3" xfId="0" applyFont="1" applyFill="1" applyBorder="1" applyAlignment="1">
      <alignment horizontal="center" wrapText="1"/>
    </xf>
    <xf numFmtId="0" fontId="15" fillId="13" borderId="3" xfId="0" applyFont="1" applyFill="1" applyBorder="1" applyAlignment="1">
      <alignment horizontal="center" wrapText="1"/>
    </xf>
    <xf numFmtId="0" fontId="19" fillId="15" borderId="1" xfId="0" applyFont="1" applyFill="1" applyBorder="1" applyAlignment="1">
      <alignment horizontal="center" wrapText="1"/>
    </xf>
    <xf numFmtId="0" fontId="20" fillId="15" borderId="1" xfId="0" applyFont="1" applyFill="1" applyBorder="1" applyAlignment="1">
      <alignment horizontal="center" wrapText="1"/>
    </xf>
    <xf numFmtId="0" fontId="15" fillId="15" borderId="1" xfId="0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2" fillId="7" borderId="1" xfId="0" applyFont="1" applyFill="1" applyBorder="1" applyAlignment="1">
      <alignment horizontal="center" vertical="center" wrapText="1"/>
    </xf>
    <xf numFmtId="0" fontId="17" fillId="14" borderId="0" xfId="0" applyFont="1" applyFill="1" applyAlignment="1">
      <alignment horizontal="center"/>
    </xf>
    <xf numFmtId="0" fontId="15" fillId="15" borderId="8" xfId="0" applyFont="1" applyFill="1" applyBorder="1" applyAlignment="1">
      <alignment horizontal="center" wrapText="1"/>
    </xf>
    <xf numFmtId="0" fontId="19" fillId="15" borderId="9" xfId="0" applyFont="1" applyFill="1" applyBorder="1" applyAlignment="1">
      <alignment horizontal="center" wrapText="1"/>
    </xf>
    <xf numFmtId="0" fontId="15" fillId="15" borderId="0" xfId="0" applyFont="1" applyFill="1" applyAlignment="1">
      <alignment horizontal="center" wrapText="1"/>
    </xf>
    <xf numFmtId="0" fontId="15" fillId="15" borderId="4" xfId="0" applyFont="1" applyFill="1" applyBorder="1" applyAlignment="1">
      <alignment horizontal="center" wrapText="1"/>
    </xf>
    <xf numFmtId="0" fontId="21" fillId="15" borderId="1" xfId="0" applyFont="1" applyFill="1" applyBorder="1" applyAlignment="1">
      <alignment horizontal="center" wrapText="1"/>
    </xf>
    <xf numFmtId="0" fontId="22" fillId="15" borderId="1" xfId="0" applyFont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alignment horizontal="center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3" headerRowBorderDxfId="61" tableBorderDxfId="62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headerRowDxfId="6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32" totalsRowShown="0" dataDxfId="29" headerRowBorderDxfId="27" tableBorderDxfId="28">
  <autoFilter ref="A2:AA132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8" activePane="topRight" state="frozen"/>
      <selection pane="topRight" activeCell="R85" sqref="R8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3" customFormat="1" ht="64.900000000000006" customHeight="1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7" t="s">
        <v>6</v>
      </c>
      <c r="H1" s="18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36">
        <v>685</v>
      </c>
      <c r="D51" s="36">
        <v>855</v>
      </c>
      <c r="E51" s="36">
        <v>2025</v>
      </c>
      <c r="F51" s="37" t="s">
        <v>20</v>
      </c>
      <c r="G51" s="38">
        <v>0</v>
      </c>
      <c r="H51" s="39">
        <v>170</v>
      </c>
    </row>
    <row r="52" spans="1:8" ht="27.75" customHeight="1">
      <c r="A52" s="10">
        <v>7</v>
      </c>
      <c r="B52" s="11" t="s">
        <v>15</v>
      </c>
      <c r="C52" s="36">
        <v>685</v>
      </c>
      <c r="D52" s="36" t="s">
        <v>21</v>
      </c>
      <c r="E52" s="36">
        <v>2025</v>
      </c>
      <c r="F52" s="37" t="s">
        <v>20</v>
      </c>
      <c r="G52" s="38">
        <v>685</v>
      </c>
      <c r="H52" s="39">
        <v>0</v>
      </c>
    </row>
    <row r="53" spans="1:8" ht="27.75" customHeight="1">
      <c r="A53" s="10">
        <v>7</v>
      </c>
      <c r="B53" s="11" t="s">
        <v>12</v>
      </c>
      <c r="C53" s="36">
        <v>685</v>
      </c>
      <c r="D53" s="36">
        <v>855</v>
      </c>
      <c r="E53" s="36">
        <v>2024</v>
      </c>
      <c r="F53" s="37" t="s">
        <v>20</v>
      </c>
      <c r="G53" s="38">
        <v>0</v>
      </c>
      <c r="H53" s="39">
        <v>170</v>
      </c>
    </row>
    <row r="54" spans="1:8" ht="27.75" customHeight="1">
      <c r="A54" s="10">
        <v>7</v>
      </c>
      <c r="B54" s="11" t="s">
        <v>22</v>
      </c>
      <c r="C54" s="36">
        <v>685</v>
      </c>
      <c r="D54" s="36" t="s">
        <v>21</v>
      </c>
      <c r="E54" s="36">
        <v>2025</v>
      </c>
      <c r="F54" s="37" t="s">
        <v>20</v>
      </c>
      <c r="G54" s="38">
        <v>685</v>
      </c>
      <c r="H54" s="39">
        <v>0</v>
      </c>
    </row>
    <row r="55" spans="1:8" ht="39" customHeight="1">
      <c r="A55" s="10">
        <v>7</v>
      </c>
      <c r="B55" s="11" t="s">
        <v>16</v>
      </c>
      <c r="C55" s="36">
        <v>685</v>
      </c>
      <c r="D55" s="36">
        <v>855</v>
      </c>
      <c r="E55" s="36">
        <v>2025</v>
      </c>
      <c r="F55" s="37" t="s">
        <v>20</v>
      </c>
      <c r="G55" s="38">
        <v>0</v>
      </c>
      <c r="H55" s="39">
        <v>170</v>
      </c>
    </row>
    <row r="56" spans="1:8" ht="27.75" customHeight="1">
      <c r="A56" s="10">
        <v>7</v>
      </c>
      <c r="B56" s="11" t="s">
        <v>13</v>
      </c>
      <c r="C56" s="36">
        <v>685</v>
      </c>
      <c r="D56" s="36">
        <v>855</v>
      </c>
      <c r="E56" s="36">
        <v>2024</v>
      </c>
      <c r="F56" s="37" t="s">
        <v>20</v>
      </c>
      <c r="G56" s="38">
        <v>0</v>
      </c>
      <c r="H56" s="39">
        <v>170</v>
      </c>
    </row>
    <row r="57" spans="1:8" ht="27.75" customHeight="1">
      <c r="A57" s="10">
        <v>7</v>
      </c>
      <c r="B57" s="11" t="s">
        <v>17</v>
      </c>
      <c r="C57" s="36">
        <v>685</v>
      </c>
      <c r="D57" s="36">
        <v>855</v>
      </c>
      <c r="E57" s="36">
        <v>2025</v>
      </c>
      <c r="F57" s="37" t="s">
        <v>20</v>
      </c>
      <c r="G57" s="38">
        <v>0</v>
      </c>
      <c r="H57" s="39">
        <v>170</v>
      </c>
    </row>
    <row r="58" spans="1:8" ht="27.75" customHeight="1">
      <c r="A58" s="10">
        <v>7</v>
      </c>
      <c r="B58" s="11" t="s">
        <v>23</v>
      </c>
      <c r="C58" s="36">
        <v>685</v>
      </c>
      <c r="D58" s="36">
        <v>855</v>
      </c>
      <c r="E58" s="36">
        <v>2025</v>
      </c>
      <c r="F58" s="37" t="s">
        <v>20</v>
      </c>
      <c r="G58" s="38">
        <v>0</v>
      </c>
      <c r="H58" s="39">
        <v>170</v>
      </c>
    </row>
    <row r="59" spans="1:8" ht="27.75" customHeight="1">
      <c r="A59" s="10">
        <v>7</v>
      </c>
      <c r="B59" s="11" t="s">
        <v>19</v>
      </c>
      <c r="C59" s="36">
        <v>685</v>
      </c>
      <c r="D59" s="36">
        <v>855</v>
      </c>
      <c r="E59" s="36">
        <v>2025</v>
      </c>
      <c r="F59" s="37" t="s">
        <v>20</v>
      </c>
      <c r="G59" s="38">
        <v>0</v>
      </c>
      <c r="H59" s="39">
        <v>170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36">
        <v>782</v>
      </c>
      <c r="D61" s="36" t="s">
        <v>21</v>
      </c>
      <c r="E61" s="36" t="s">
        <v>21</v>
      </c>
      <c r="F61" s="37" t="s">
        <v>21</v>
      </c>
      <c r="G61" s="38">
        <v>782</v>
      </c>
      <c r="H61" s="39">
        <v>0</v>
      </c>
    </row>
    <row r="62" spans="1:8" ht="27.75" customHeight="1">
      <c r="A62" s="10">
        <v>8</v>
      </c>
      <c r="B62" s="11" t="s">
        <v>15</v>
      </c>
      <c r="C62" s="36">
        <v>782</v>
      </c>
      <c r="D62" s="36" t="s">
        <v>21</v>
      </c>
      <c r="E62" s="36" t="s">
        <v>21</v>
      </c>
      <c r="F62" s="37" t="s">
        <v>21</v>
      </c>
      <c r="G62" s="38">
        <v>782</v>
      </c>
      <c r="H62" s="39">
        <v>0</v>
      </c>
    </row>
    <row r="63" spans="1:8" ht="27.75" customHeight="1">
      <c r="A63" s="10">
        <v>8</v>
      </c>
      <c r="B63" s="11" t="s">
        <v>12</v>
      </c>
      <c r="C63" s="36">
        <v>782</v>
      </c>
      <c r="D63" s="36">
        <v>689</v>
      </c>
      <c r="E63" s="36">
        <v>2025</v>
      </c>
      <c r="F63" s="37" t="s">
        <v>20</v>
      </c>
      <c r="G63" s="38">
        <v>93</v>
      </c>
      <c r="H63" s="39">
        <v>0</v>
      </c>
    </row>
    <row r="64" spans="1:8" ht="27.75" customHeight="1">
      <c r="A64" s="10">
        <v>8</v>
      </c>
      <c r="B64" s="11" t="s">
        <v>22</v>
      </c>
      <c r="C64" s="36">
        <v>782</v>
      </c>
      <c r="D64" s="36">
        <v>689</v>
      </c>
      <c r="E64" s="36">
        <v>2025</v>
      </c>
      <c r="F64" s="37" t="s">
        <v>20</v>
      </c>
      <c r="G64" s="38">
        <v>93</v>
      </c>
      <c r="H64" s="39">
        <v>0</v>
      </c>
    </row>
    <row r="65" spans="1:8" ht="27.75" customHeight="1">
      <c r="A65" s="10">
        <v>8</v>
      </c>
      <c r="B65" s="11" t="s">
        <v>24</v>
      </c>
      <c r="C65" s="36">
        <v>782</v>
      </c>
      <c r="D65" s="36" t="s">
        <v>21</v>
      </c>
      <c r="E65" s="36" t="s">
        <v>21</v>
      </c>
      <c r="F65" s="37" t="s">
        <v>21</v>
      </c>
      <c r="G65" s="38">
        <v>782</v>
      </c>
      <c r="H65" s="39">
        <v>0</v>
      </c>
    </row>
    <row r="66" spans="1:8" ht="27.75" customHeight="1">
      <c r="A66" s="10">
        <v>8</v>
      </c>
      <c r="B66" s="11" t="s">
        <v>13</v>
      </c>
      <c r="C66" s="36">
        <v>782</v>
      </c>
      <c r="D66" s="36" t="s">
        <v>21</v>
      </c>
      <c r="E66" s="36" t="s">
        <v>21</v>
      </c>
      <c r="F66" s="37" t="s">
        <v>21</v>
      </c>
      <c r="G66" s="38">
        <v>782</v>
      </c>
      <c r="H66" s="39">
        <v>0</v>
      </c>
    </row>
    <row r="67" spans="1:8" ht="27.75" customHeight="1">
      <c r="A67" s="10">
        <v>8</v>
      </c>
      <c r="B67" s="11" t="s">
        <v>17</v>
      </c>
      <c r="C67" s="36">
        <v>782</v>
      </c>
      <c r="D67" s="36" t="s">
        <v>21</v>
      </c>
      <c r="E67" s="36" t="s">
        <v>21</v>
      </c>
      <c r="F67" s="37" t="s">
        <v>21</v>
      </c>
      <c r="G67" s="38">
        <v>782</v>
      </c>
      <c r="H67" s="39">
        <v>0</v>
      </c>
    </row>
    <row r="68" spans="1:8" ht="27.75" customHeight="1">
      <c r="A68" s="10">
        <v>8</v>
      </c>
      <c r="B68" s="11" t="s">
        <v>23</v>
      </c>
      <c r="C68" s="36">
        <v>782</v>
      </c>
      <c r="D68" s="36" t="s">
        <v>21</v>
      </c>
      <c r="E68" s="36" t="s">
        <v>21</v>
      </c>
      <c r="F68" s="37" t="s">
        <v>21</v>
      </c>
      <c r="G68" s="38">
        <v>782</v>
      </c>
      <c r="H68" s="39">
        <v>0</v>
      </c>
    </row>
    <row r="69" spans="1:8" ht="27.75" customHeight="1">
      <c r="A69" s="10">
        <v>8</v>
      </c>
      <c r="B69" s="11" t="s">
        <v>19</v>
      </c>
      <c r="C69" s="36">
        <v>782</v>
      </c>
      <c r="D69" s="36" t="s">
        <v>21</v>
      </c>
      <c r="E69" s="36" t="s">
        <v>21</v>
      </c>
      <c r="F69" s="37" t="s">
        <v>21</v>
      </c>
      <c r="G69" s="38">
        <v>782</v>
      </c>
      <c r="H69" s="39">
        <v>0</v>
      </c>
    </row>
    <row r="70" spans="1:8" ht="27.75" customHeight="1">
      <c r="A70" s="7"/>
      <c r="B70" s="7"/>
      <c r="C70" s="40" t="s">
        <v>21</v>
      </c>
      <c r="D70" s="40" t="s">
        <v>21</v>
      </c>
      <c r="E70" s="40" t="s">
        <v>21</v>
      </c>
      <c r="F70" s="41" t="s">
        <v>21</v>
      </c>
      <c r="G70" s="41" t="s">
        <v>21</v>
      </c>
      <c r="H70" s="41" t="s">
        <v>21</v>
      </c>
    </row>
    <row r="71" spans="1:8" ht="27.75" customHeight="1">
      <c r="A71" s="10">
        <v>9</v>
      </c>
      <c r="B71" s="11" t="s">
        <v>14</v>
      </c>
      <c r="C71" s="36">
        <v>535</v>
      </c>
      <c r="D71" s="36" t="s">
        <v>21</v>
      </c>
      <c r="E71" s="36" t="s">
        <v>21</v>
      </c>
      <c r="F71" s="37" t="s">
        <v>21</v>
      </c>
      <c r="G71" s="38">
        <v>535</v>
      </c>
      <c r="H71" s="39">
        <v>0</v>
      </c>
    </row>
    <row r="72" spans="1:8" ht="27.75" customHeight="1">
      <c r="A72" s="10">
        <v>9</v>
      </c>
      <c r="B72" s="11" t="s">
        <v>15</v>
      </c>
      <c r="C72" s="36">
        <v>535</v>
      </c>
      <c r="D72" s="36" t="s">
        <v>21</v>
      </c>
      <c r="E72" s="36" t="s">
        <v>21</v>
      </c>
      <c r="F72" s="37" t="s">
        <v>21</v>
      </c>
      <c r="G72" s="38">
        <v>535</v>
      </c>
      <c r="H72" s="39">
        <v>0</v>
      </c>
    </row>
    <row r="73" spans="1:8" ht="27.75" customHeight="1">
      <c r="A73" s="10">
        <v>9</v>
      </c>
      <c r="B73" s="11" t="s">
        <v>12</v>
      </c>
      <c r="C73" s="36">
        <v>535</v>
      </c>
      <c r="D73" s="36" t="s">
        <v>21</v>
      </c>
      <c r="E73" s="36" t="s">
        <v>21</v>
      </c>
      <c r="F73" s="37" t="s">
        <v>21</v>
      </c>
      <c r="G73" s="38">
        <v>535</v>
      </c>
      <c r="H73" s="39">
        <v>0</v>
      </c>
    </row>
    <row r="74" spans="1:8" ht="27.75" customHeight="1">
      <c r="A74" s="10">
        <v>9</v>
      </c>
      <c r="B74" s="11" t="s">
        <v>22</v>
      </c>
      <c r="C74" s="36">
        <v>535</v>
      </c>
      <c r="D74" s="36" t="s">
        <v>21</v>
      </c>
      <c r="E74" s="36" t="s">
        <v>21</v>
      </c>
      <c r="F74" s="37" t="s">
        <v>21</v>
      </c>
      <c r="G74" s="38">
        <v>535</v>
      </c>
      <c r="H74" s="39">
        <v>0</v>
      </c>
    </row>
    <row r="75" spans="1:8" ht="27.75" customHeight="1">
      <c r="A75" s="10">
        <v>9</v>
      </c>
      <c r="B75" s="11" t="s">
        <v>24</v>
      </c>
      <c r="C75" s="36">
        <v>535</v>
      </c>
      <c r="D75" s="36" t="s">
        <v>21</v>
      </c>
      <c r="E75" s="36" t="s">
        <v>21</v>
      </c>
      <c r="F75" s="37" t="s">
        <v>21</v>
      </c>
      <c r="G75" s="38">
        <v>535</v>
      </c>
      <c r="H75" s="39">
        <v>0</v>
      </c>
    </row>
    <row r="76" spans="1:8" ht="27.75" customHeight="1">
      <c r="A76" s="10">
        <v>9</v>
      </c>
      <c r="B76" s="11" t="s">
        <v>13</v>
      </c>
      <c r="C76" s="36">
        <v>535</v>
      </c>
      <c r="D76" s="36" t="s">
        <v>21</v>
      </c>
      <c r="E76" s="36" t="s">
        <v>21</v>
      </c>
      <c r="F76" s="37" t="s">
        <v>21</v>
      </c>
      <c r="G76" s="38">
        <v>535</v>
      </c>
      <c r="H76" s="39">
        <v>0</v>
      </c>
    </row>
    <row r="77" spans="1:8" ht="27.75" customHeight="1">
      <c r="A77" s="10">
        <v>9</v>
      </c>
      <c r="B77" s="11" t="s">
        <v>17</v>
      </c>
      <c r="C77" s="36">
        <v>535</v>
      </c>
      <c r="D77" s="36" t="s">
        <v>21</v>
      </c>
      <c r="E77" s="36" t="s">
        <v>21</v>
      </c>
      <c r="F77" s="37" t="s">
        <v>21</v>
      </c>
      <c r="G77" s="38">
        <v>535</v>
      </c>
      <c r="H77" s="39">
        <v>0</v>
      </c>
    </row>
    <row r="78" spans="1:8" ht="27.75" customHeight="1">
      <c r="A78" s="10">
        <v>9</v>
      </c>
      <c r="B78" s="11" t="s">
        <v>23</v>
      </c>
      <c r="C78" s="36">
        <v>535</v>
      </c>
      <c r="D78" s="36" t="s">
        <v>21</v>
      </c>
      <c r="E78" s="36" t="s">
        <v>21</v>
      </c>
      <c r="F78" s="37" t="s">
        <v>21</v>
      </c>
      <c r="G78" s="38">
        <v>535</v>
      </c>
      <c r="H78" s="39">
        <v>0</v>
      </c>
    </row>
    <row r="79" spans="1:8" ht="27.75" customHeight="1">
      <c r="A79" s="10">
        <v>9</v>
      </c>
      <c r="B79" s="11" t="s">
        <v>19</v>
      </c>
      <c r="C79" s="36">
        <v>535</v>
      </c>
      <c r="D79" s="36" t="s">
        <v>21</v>
      </c>
      <c r="E79" s="36" t="s">
        <v>21</v>
      </c>
      <c r="F79" s="37" t="s">
        <v>21</v>
      </c>
      <c r="G79" s="38">
        <v>535</v>
      </c>
      <c r="H79" s="39">
        <v>0</v>
      </c>
    </row>
    <row r="80" spans="1:8" ht="27.75" customHeight="1">
      <c r="A80" s="7"/>
      <c r="B80" s="8"/>
      <c r="C80" s="40" t="s">
        <v>21</v>
      </c>
      <c r="D80" s="40" t="s">
        <v>21</v>
      </c>
      <c r="E80" s="40" t="s">
        <v>21</v>
      </c>
      <c r="F80" s="41" t="s">
        <v>21</v>
      </c>
      <c r="G80" s="41" t="s">
        <v>21</v>
      </c>
      <c r="H80" s="41" t="s">
        <v>21</v>
      </c>
    </row>
    <row r="81" spans="1:8" ht="27.75" customHeight="1">
      <c r="A81" s="10">
        <v>10</v>
      </c>
      <c r="B81" s="11" t="s">
        <v>14</v>
      </c>
      <c r="C81" s="36">
        <v>543</v>
      </c>
      <c r="D81" s="36" t="s">
        <v>21</v>
      </c>
      <c r="E81" s="36" t="s">
        <v>21</v>
      </c>
      <c r="F81" s="37" t="s">
        <v>21</v>
      </c>
      <c r="G81" s="38">
        <v>543</v>
      </c>
      <c r="H81" s="39">
        <v>0</v>
      </c>
    </row>
    <row r="82" spans="1:8" ht="27.75" customHeight="1">
      <c r="A82" s="10">
        <v>10</v>
      </c>
      <c r="B82" s="11" t="s">
        <v>15</v>
      </c>
      <c r="C82" s="36">
        <v>543</v>
      </c>
      <c r="D82" s="36" t="s">
        <v>21</v>
      </c>
      <c r="E82" s="36" t="s">
        <v>21</v>
      </c>
      <c r="F82" s="37" t="s">
        <v>21</v>
      </c>
      <c r="G82" s="38">
        <v>543</v>
      </c>
      <c r="H82" s="39">
        <v>0</v>
      </c>
    </row>
    <row r="83" spans="1:8" ht="27.75" customHeight="1">
      <c r="A83" s="10">
        <v>10</v>
      </c>
      <c r="B83" s="11" t="s">
        <v>12</v>
      </c>
      <c r="C83" s="36">
        <v>543</v>
      </c>
      <c r="D83" s="36" t="s">
        <v>21</v>
      </c>
      <c r="E83" s="36" t="s">
        <v>21</v>
      </c>
      <c r="F83" s="37" t="s">
        <v>21</v>
      </c>
      <c r="G83" s="38">
        <v>543</v>
      </c>
      <c r="H83" s="39">
        <v>0</v>
      </c>
    </row>
    <row r="84" spans="1:8" ht="27.75" customHeight="1">
      <c r="A84" s="10">
        <v>10</v>
      </c>
      <c r="B84" s="11" t="s">
        <v>22</v>
      </c>
      <c r="C84" s="36">
        <v>543</v>
      </c>
      <c r="D84" s="36" t="s">
        <v>21</v>
      </c>
      <c r="E84" s="36" t="s">
        <v>21</v>
      </c>
      <c r="F84" s="37" t="s">
        <v>21</v>
      </c>
      <c r="G84" s="38">
        <v>543</v>
      </c>
      <c r="H84" s="39">
        <v>0</v>
      </c>
    </row>
    <row r="85" spans="1:8" ht="27.75" customHeight="1">
      <c r="A85" s="10">
        <v>10</v>
      </c>
      <c r="B85" s="11" t="s">
        <v>24</v>
      </c>
      <c r="C85" s="36">
        <v>543</v>
      </c>
      <c r="D85" s="36" t="s">
        <v>21</v>
      </c>
      <c r="E85" s="36" t="s">
        <v>21</v>
      </c>
      <c r="F85" s="37" t="s">
        <v>21</v>
      </c>
      <c r="G85" s="38">
        <v>543</v>
      </c>
      <c r="H85" s="39">
        <v>0</v>
      </c>
    </row>
    <row r="86" spans="1:8" ht="27.75" customHeight="1">
      <c r="A86" s="10">
        <v>10</v>
      </c>
      <c r="B86" s="11" t="s">
        <v>13</v>
      </c>
      <c r="C86" s="36">
        <v>543</v>
      </c>
      <c r="D86" s="36" t="s">
        <v>21</v>
      </c>
      <c r="E86" s="36" t="s">
        <v>21</v>
      </c>
      <c r="F86" s="37" t="s">
        <v>21</v>
      </c>
      <c r="G86" s="38">
        <v>543</v>
      </c>
      <c r="H86" s="39">
        <v>0</v>
      </c>
    </row>
    <row r="87" spans="1:8" ht="27.75" customHeight="1">
      <c r="A87" s="10">
        <v>10</v>
      </c>
      <c r="B87" s="11" t="s">
        <v>17</v>
      </c>
      <c r="C87" s="36">
        <v>543</v>
      </c>
      <c r="D87" s="36" t="s">
        <v>21</v>
      </c>
      <c r="E87" s="36" t="s">
        <v>21</v>
      </c>
      <c r="F87" s="37" t="s">
        <v>21</v>
      </c>
      <c r="G87" s="38">
        <v>543</v>
      </c>
      <c r="H87" s="39">
        <v>0</v>
      </c>
    </row>
    <row r="88" spans="1:8" ht="27.75" customHeight="1">
      <c r="A88" s="10">
        <v>10</v>
      </c>
      <c r="B88" s="11" t="s">
        <v>23</v>
      </c>
      <c r="C88" s="36">
        <v>543</v>
      </c>
      <c r="D88" s="36" t="s">
        <v>21</v>
      </c>
      <c r="E88" s="36" t="s">
        <v>21</v>
      </c>
      <c r="F88" s="37" t="s">
        <v>21</v>
      </c>
      <c r="G88" s="38">
        <v>543</v>
      </c>
      <c r="H88" s="39">
        <v>0</v>
      </c>
    </row>
    <row r="89" spans="1:8" ht="27.75" customHeight="1">
      <c r="A89" s="10">
        <v>10</v>
      </c>
      <c r="B89" s="11" t="s">
        <v>19</v>
      </c>
      <c r="C89" s="36">
        <v>543</v>
      </c>
      <c r="D89" s="36" t="s">
        <v>21</v>
      </c>
      <c r="E89" s="36" t="s">
        <v>21</v>
      </c>
      <c r="F89" s="37" t="s">
        <v>21</v>
      </c>
      <c r="G89" s="38">
        <v>543</v>
      </c>
      <c r="H89" s="39"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42">
        <v>571</v>
      </c>
      <c r="D91" s="42">
        <v>887</v>
      </c>
      <c r="E91" s="42">
        <v>2024</v>
      </c>
      <c r="F91" s="43" t="s">
        <v>27</v>
      </c>
      <c r="G91" s="38">
        <v>0</v>
      </c>
      <c r="H91" s="39">
        <v>316</v>
      </c>
    </row>
    <row r="92" spans="1:8" ht="27.75" customHeight="1">
      <c r="A92" s="1" t="s">
        <v>25</v>
      </c>
      <c r="B92" s="9" t="s">
        <v>28</v>
      </c>
      <c r="C92" s="42">
        <v>515</v>
      </c>
      <c r="D92" s="42" t="s">
        <v>21</v>
      </c>
      <c r="E92" s="42" t="s">
        <v>21</v>
      </c>
      <c r="F92" s="43" t="s">
        <v>21</v>
      </c>
      <c r="G92" s="38">
        <v>515</v>
      </c>
      <c r="H92" s="39">
        <v>0</v>
      </c>
    </row>
    <row r="93" spans="1:8" ht="27.75" customHeight="1">
      <c r="A93" s="1" t="s">
        <v>25</v>
      </c>
      <c r="B93" s="9" t="s">
        <v>29</v>
      </c>
      <c r="C93" s="42">
        <v>571</v>
      </c>
      <c r="D93" s="42">
        <v>887</v>
      </c>
      <c r="E93" s="42">
        <v>2025</v>
      </c>
      <c r="F93" s="43" t="s">
        <v>27</v>
      </c>
      <c r="G93" s="38">
        <v>0</v>
      </c>
      <c r="H93" s="39">
        <v>316</v>
      </c>
    </row>
    <row r="94" spans="1:8" ht="27.75" customHeight="1">
      <c r="A94" s="1" t="s">
        <v>25</v>
      </c>
      <c r="B94" s="9" t="s">
        <v>30</v>
      </c>
      <c r="C94" s="42">
        <v>515</v>
      </c>
      <c r="D94" s="42">
        <v>887</v>
      </c>
      <c r="E94" s="42">
        <v>2025</v>
      </c>
      <c r="F94" s="43" t="s">
        <v>27</v>
      </c>
      <c r="G94" s="38">
        <v>0</v>
      </c>
      <c r="H94" s="39">
        <v>372</v>
      </c>
    </row>
    <row r="95" spans="1:8" ht="40.5" customHeight="1">
      <c r="A95" s="1" t="s">
        <v>25</v>
      </c>
      <c r="B95" s="9" t="s">
        <v>31</v>
      </c>
      <c r="C95" s="42">
        <v>571</v>
      </c>
      <c r="D95" s="42">
        <v>887</v>
      </c>
      <c r="E95" s="42">
        <v>2025</v>
      </c>
      <c r="F95" s="43" t="s">
        <v>27</v>
      </c>
      <c r="G95" s="38">
        <v>0</v>
      </c>
      <c r="H95" s="39">
        <v>316</v>
      </c>
    </row>
    <row r="96" spans="1:8" ht="38.25" customHeight="1">
      <c r="A96" s="1" t="s">
        <v>25</v>
      </c>
      <c r="B96" s="9" t="s">
        <v>32</v>
      </c>
      <c r="C96" s="42">
        <v>515</v>
      </c>
      <c r="D96" s="42">
        <v>887</v>
      </c>
      <c r="E96" s="42">
        <v>2025</v>
      </c>
      <c r="F96" s="43" t="s">
        <v>27</v>
      </c>
      <c r="G96" s="38">
        <v>0</v>
      </c>
      <c r="H96" s="39">
        <v>372</v>
      </c>
    </row>
    <row r="97" spans="1:8" ht="27.75" customHeight="1">
      <c r="A97" s="1" t="s">
        <v>25</v>
      </c>
      <c r="B97" s="9" t="s">
        <v>33</v>
      </c>
      <c r="C97" s="42">
        <v>571</v>
      </c>
      <c r="D97" s="42">
        <v>887</v>
      </c>
      <c r="E97" s="42">
        <v>2025</v>
      </c>
      <c r="F97" s="43" t="s">
        <v>27</v>
      </c>
      <c r="G97" s="38">
        <v>0</v>
      </c>
      <c r="H97" s="39">
        <v>316</v>
      </c>
    </row>
    <row r="98" spans="1:8" ht="47.25" customHeight="1">
      <c r="A98" s="1" t="s">
        <v>25</v>
      </c>
      <c r="B98" s="9" t="s">
        <v>34</v>
      </c>
      <c r="C98" s="42">
        <v>515</v>
      </c>
      <c r="D98" s="42">
        <v>887</v>
      </c>
      <c r="E98" s="42">
        <v>2025</v>
      </c>
      <c r="F98" s="43" t="s">
        <v>27</v>
      </c>
      <c r="G98" s="38">
        <v>0</v>
      </c>
      <c r="H98" s="39">
        <v>372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F14:F19 F21:F29 F31:F39 F41:F49 F8:F12 F2:F6" xr:uid="{2F7388E0-D1A1-4571-8C10-96CB9A727EB3}">
      <formula1>"CO,RO,SDO"</formula1>
    </dataValidation>
    <dataValidation type="list" allowBlank="1" showInputMessage="1" showErrorMessage="1" sqref="E91:E99 E81:E89 E71:E79 E61:E69 E51:E59 E41:E49 E31:E39 E21:E29 E14:E19 E8:E12 E2:E6" xr:uid="{C826D42F-1D7F-4F66-AF4A-777BFD07D620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selection activeCell="M8" sqref="M8"/>
    </sheetView>
  </sheetViews>
  <sheetFormatPr defaultRowHeight="13.9"/>
  <cols>
    <col min="1" max="1" width="9.42578125" style="61" customWidth="1"/>
    <col min="2" max="2" width="27.85546875" style="61" customWidth="1"/>
    <col min="3" max="3" width="17.140625" style="61" customWidth="1"/>
    <col min="4" max="4" width="26.140625" style="61" customWidth="1"/>
    <col min="5" max="5" width="23.140625" style="61" customWidth="1"/>
    <col min="6" max="6" width="24.85546875" style="61" bestFit="1" customWidth="1"/>
    <col min="7" max="7" width="18.5703125" style="61" customWidth="1"/>
    <col min="8" max="9" width="20.85546875" style="61" customWidth="1"/>
    <col min="10" max="10" width="13.7109375" style="61" customWidth="1"/>
    <col min="11" max="11" width="35.5703125" style="61" customWidth="1"/>
    <col min="12" max="12" width="24.85546875" style="61" bestFit="1" customWidth="1"/>
    <col min="13" max="13" width="31.5703125" style="61" customWidth="1"/>
    <col min="14" max="15" width="20.85546875" style="61" customWidth="1"/>
    <col min="16" max="16" width="21.5703125" style="61" customWidth="1"/>
    <col min="17" max="17" width="33.42578125" style="61" customWidth="1"/>
    <col min="18" max="18" width="25.85546875" style="61" customWidth="1"/>
    <col min="19" max="19" width="32.85546875" style="61" customWidth="1"/>
    <col min="20" max="21" width="20.85546875" style="61" customWidth="1"/>
    <col min="22" max="22" width="16.140625" style="61" customWidth="1"/>
    <col min="23" max="23" width="25" style="61" customWidth="1"/>
    <col min="24" max="24" width="15.28515625" style="61" customWidth="1"/>
    <col min="25" max="25" width="20.85546875" style="61" customWidth="1"/>
    <col min="26" max="26" width="14.85546875" style="61" customWidth="1"/>
    <col min="27" max="27" width="15.140625" style="61" customWidth="1"/>
    <col min="28" max="16384" width="9.140625" style="61"/>
  </cols>
  <sheetData>
    <row r="1" spans="1:27" s="60" customFormat="1" ht="34.15" customHeight="1">
      <c r="D1" s="47" t="s">
        <v>35</v>
      </c>
      <c r="E1" s="47"/>
      <c r="F1" s="47"/>
      <c r="G1" s="47"/>
      <c r="H1" s="47"/>
      <c r="I1" s="47"/>
      <c r="J1" s="48" t="s">
        <v>36</v>
      </c>
      <c r="K1" s="48"/>
      <c r="L1" s="48"/>
      <c r="M1" s="48"/>
      <c r="N1" s="48"/>
      <c r="O1" s="48"/>
      <c r="P1" s="49" t="s">
        <v>37</v>
      </c>
      <c r="Q1" s="49"/>
      <c r="R1" s="49"/>
      <c r="S1" s="49"/>
      <c r="T1" s="49"/>
      <c r="U1" s="49"/>
      <c r="V1" s="50" t="s">
        <v>38</v>
      </c>
      <c r="W1" s="50"/>
      <c r="X1" s="50"/>
      <c r="Y1" s="50"/>
      <c r="Z1" s="50"/>
      <c r="AA1" s="50"/>
    </row>
    <row r="2" spans="1:27" ht="69.599999999999994" customHeight="1">
      <c r="A2" s="14" t="s">
        <v>0</v>
      </c>
      <c r="B2" s="14" t="s">
        <v>1</v>
      </c>
      <c r="C2" s="15" t="s">
        <v>2</v>
      </c>
      <c r="D2" s="19" t="s">
        <v>39</v>
      </c>
      <c r="E2" s="19" t="s">
        <v>40</v>
      </c>
      <c r="F2" s="20" t="s">
        <v>41</v>
      </c>
      <c r="G2" s="23" t="s">
        <v>42</v>
      </c>
      <c r="H2" s="16" t="s">
        <v>43</v>
      </c>
      <c r="I2" s="23" t="s">
        <v>44</v>
      </c>
      <c r="J2" s="21" t="s">
        <v>45</v>
      </c>
      <c r="K2" s="21" t="s">
        <v>46</v>
      </c>
      <c r="L2" s="22" t="s">
        <v>47</v>
      </c>
      <c r="M2" s="44" t="s">
        <v>48</v>
      </c>
      <c r="N2" s="44" t="s">
        <v>49</v>
      </c>
      <c r="O2" s="21" t="s">
        <v>50</v>
      </c>
      <c r="P2" s="23" t="s">
        <v>51</v>
      </c>
      <c r="Q2" s="23" t="s">
        <v>52</v>
      </c>
      <c r="R2" s="24" t="s">
        <v>53</v>
      </c>
      <c r="S2" s="16" t="s">
        <v>54</v>
      </c>
      <c r="T2" s="16" t="s">
        <v>55</v>
      </c>
      <c r="U2" s="23" t="s">
        <v>56</v>
      </c>
      <c r="V2" s="25" t="s">
        <v>57</v>
      </c>
      <c r="W2" s="25" t="s">
        <v>58</v>
      </c>
      <c r="X2" s="26" t="s">
        <v>59</v>
      </c>
      <c r="Y2" s="45" t="s">
        <v>60</v>
      </c>
      <c r="Z2" s="45" t="s">
        <v>61</v>
      </c>
      <c r="AA2" s="25" t="s">
        <v>62</v>
      </c>
    </row>
    <row r="3" spans="1:27" ht="30.6" customHeight="1">
      <c r="A3" s="35" t="s">
        <v>63</v>
      </c>
      <c r="B3" s="62"/>
      <c r="C3" s="30"/>
      <c r="D3" s="31">
        <f>Table1[[#This Row],[Enrolment S.Y. 2025-2026 ]]*8</f>
        <v>0</v>
      </c>
      <c r="E3" s="31"/>
      <c r="F3" s="30"/>
      <c r="G3" s="31"/>
      <c r="H3" s="31">
        <f>IF((D3-E3)&lt;0,0,(D3-E3))</f>
        <v>0</v>
      </c>
      <c r="I3" s="31">
        <f>IF((E3-D3)&lt;0,0,(E3-D3))</f>
        <v>0</v>
      </c>
      <c r="J3" s="31">
        <f>Table1[[#This Row],[Enrolment S.Y. 2025-2026 ]]*8</f>
        <v>0</v>
      </c>
      <c r="K3" s="31"/>
      <c r="L3" s="30"/>
      <c r="M3" s="31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1"/>
      <c r="R3" s="30"/>
      <c r="S3" s="31"/>
      <c r="T3" s="31">
        <f>IF((P3-Q3)&lt;0,0,(P3-Q3))</f>
        <v>0</v>
      </c>
      <c r="U3" s="31">
        <f>IF((Q3-P3)&lt;0,0,(Q3-P3))</f>
        <v>0</v>
      </c>
      <c r="V3" s="31">
        <f>Table1[[#This Row],[Enrolment S.Y. 2025-2026 ]]*8</f>
        <v>0</v>
      </c>
      <c r="W3" s="31"/>
      <c r="X3" s="30"/>
      <c r="Y3" s="31"/>
      <c r="Z3" s="31">
        <f>IF((V3-W3)&lt;0,0,(V3-W3))</f>
        <v>0</v>
      </c>
      <c r="AA3" s="31">
        <f>IF((W3-V3)&lt;0,0,(W3-V3))</f>
        <v>0</v>
      </c>
    </row>
    <row r="4" spans="1:27" s="52" customFormat="1" ht="19.5">
      <c r="J4" s="12"/>
      <c r="N4" s="12"/>
      <c r="O4" s="12"/>
      <c r="P4" s="12"/>
      <c r="S4" s="5"/>
      <c r="T4" s="12"/>
      <c r="U4" s="12"/>
      <c r="V4" s="12"/>
      <c r="Z4" s="12"/>
      <c r="AA4" s="12"/>
    </row>
    <row r="5" spans="1:27" ht="38.25">
      <c r="A5" s="1">
        <v>1</v>
      </c>
      <c r="B5" s="51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51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51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51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51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51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51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51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52" customFormat="1" ht="19.5">
      <c r="J13" s="12"/>
      <c r="N13" s="12"/>
      <c r="O13" s="12"/>
      <c r="P13" s="12"/>
      <c r="S13" s="5"/>
      <c r="T13" s="12"/>
      <c r="U13" s="12"/>
      <c r="V13" s="12"/>
      <c r="Y13" s="12"/>
      <c r="Z13" s="12"/>
      <c r="AA13" s="12"/>
    </row>
    <row r="14" spans="1:27" ht="38.25">
      <c r="A14" s="1">
        <v>2</v>
      </c>
      <c r="B14" s="51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51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51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51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51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51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51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51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52" customFormat="1" ht="19.5">
      <c r="J22" s="12"/>
      <c r="M22" s="5"/>
      <c r="N22" s="12"/>
      <c r="O22" s="12"/>
      <c r="P22" s="12"/>
      <c r="S22" s="5"/>
      <c r="T22" s="12"/>
      <c r="U22" s="12"/>
      <c r="V22" s="12"/>
      <c r="Y22" s="5"/>
      <c r="Z22" s="12"/>
      <c r="AA22" s="12"/>
    </row>
    <row r="23" spans="1:27" ht="38.25">
      <c r="A23" s="1">
        <v>3</v>
      </c>
      <c r="B23" s="51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51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51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51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51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51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51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51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51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52" customFormat="1" ht="19.5">
      <c r="J32" s="12"/>
      <c r="M32" s="5"/>
      <c r="N32" s="12"/>
      <c r="O32" s="12"/>
      <c r="P32" s="12"/>
      <c r="S32" s="5"/>
      <c r="T32" s="12"/>
      <c r="U32" s="12"/>
      <c r="V32" s="12"/>
      <c r="Y32" s="5"/>
      <c r="Z32" s="12"/>
      <c r="AA32" s="12"/>
    </row>
    <row r="33" spans="1:27" ht="19.5">
      <c r="A33" s="1">
        <v>4</v>
      </c>
      <c r="B33" s="51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51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51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51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51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51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51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51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51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52" customFormat="1" ht="19.5">
      <c r="J42" s="12"/>
      <c r="M42" s="5"/>
      <c r="N42" s="12"/>
      <c r="O42" s="12"/>
      <c r="P42" s="12"/>
      <c r="S42" s="5"/>
      <c r="T42" s="12"/>
      <c r="U42" s="12"/>
      <c r="V42" s="12"/>
      <c r="Y42" s="5"/>
      <c r="Z42" s="12"/>
      <c r="AA42" s="12"/>
    </row>
    <row r="43" spans="1:27" ht="19.5">
      <c r="A43" s="1">
        <v>5</v>
      </c>
      <c r="B43" s="51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51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51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51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51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51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51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51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51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52" customFormat="1" ht="19.5">
      <c r="J52" s="12"/>
      <c r="M52" s="5"/>
      <c r="N52" s="12"/>
      <c r="O52" s="12"/>
      <c r="P52" s="12"/>
      <c r="S52" s="5"/>
      <c r="T52" s="12"/>
      <c r="U52" s="12"/>
      <c r="V52" s="12"/>
      <c r="Y52" s="5"/>
      <c r="Z52" s="12"/>
      <c r="AA52" s="12"/>
    </row>
    <row r="53" spans="1:27" ht="19.5">
      <c r="A53" s="1">
        <v>6</v>
      </c>
      <c r="B53" s="51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51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51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51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51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51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51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51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51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52" customFormat="1" ht="19.5">
      <c r="J62" s="12"/>
      <c r="M62" s="5"/>
      <c r="N62" s="12"/>
      <c r="O62" s="12"/>
      <c r="P62" s="12"/>
      <c r="S62" s="5"/>
      <c r="T62" s="12"/>
      <c r="U62" s="12"/>
      <c r="V62" s="12"/>
      <c r="Y62" s="5"/>
      <c r="Z62" s="12"/>
      <c r="AA62" s="12"/>
    </row>
    <row r="63" spans="1:27" ht="19.5">
      <c r="A63" s="53">
        <v>7</v>
      </c>
      <c r="B63" s="54" t="s">
        <v>14</v>
      </c>
      <c r="C63" s="53">
        <v>685</v>
      </c>
      <c r="D63" s="55">
        <v>5480</v>
      </c>
      <c r="E63" s="56" t="s">
        <v>21</v>
      </c>
      <c r="F63" s="53" t="s">
        <v>21</v>
      </c>
      <c r="G63" s="55" t="s">
        <v>21</v>
      </c>
      <c r="H63" s="55">
        <v>5480</v>
      </c>
      <c r="I63" s="55">
        <v>0</v>
      </c>
      <c r="J63" s="55">
        <v>5480</v>
      </c>
      <c r="K63" s="56" t="s">
        <v>21</v>
      </c>
      <c r="L63" s="53" t="s">
        <v>21</v>
      </c>
      <c r="M63" s="55" t="s">
        <v>21</v>
      </c>
      <c r="N63" s="55">
        <v>5480</v>
      </c>
      <c r="O63" s="55">
        <v>0</v>
      </c>
      <c r="P63" s="55">
        <v>5480</v>
      </c>
      <c r="Q63" s="56" t="s">
        <v>21</v>
      </c>
      <c r="R63" s="53" t="s">
        <v>21</v>
      </c>
      <c r="S63" s="55" t="s">
        <v>21</v>
      </c>
      <c r="T63" s="55">
        <v>5480</v>
      </c>
      <c r="U63" s="55">
        <v>0</v>
      </c>
      <c r="V63" s="55">
        <v>5480</v>
      </c>
      <c r="W63" s="56" t="s">
        <v>21</v>
      </c>
      <c r="X63" s="53" t="s">
        <v>21</v>
      </c>
      <c r="Y63" s="55" t="s">
        <v>21</v>
      </c>
      <c r="Z63" s="55">
        <v>5480</v>
      </c>
      <c r="AA63" s="55">
        <v>0</v>
      </c>
    </row>
    <row r="64" spans="1:27" ht="19.5">
      <c r="A64" s="53">
        <v>7</v>
      </c>
      <c r="B64" s="54" t="s">
        <v>15</v>
      </c>
      <c r="C64" s="53">
        <v>685</v>
      </c>
      <c r="D64" s="55">
        <v>5480</v>
      </c>
      <c r="E64" s="56" t="s">
        <v>21</v>
      </c>
      <c r="F64" s="53" t="s">
        <v>21</v>
      </c>
      <c r="G64" s="55" t="s">
        <v>21</v>
      </c>
      <c r="H64" s="55">
        <v>5480</v>
      </c>
      <c r="I64" s="55">
        <v>0</v>
      </c>
      <c r="J64" s="55">
        <v>5480</v>
      </c>
      <c r="K64" s="56" t="s">
        <v>21</v>
      </c>
      <c r="L64" s="53" t="s">
        <v>21</v>
      </c>
      <c r="M64" s="55" t="s">
        <v>21</v>
      </c>
      <c r="N64" s="55">
        <v>5480</v>
      </c>
      <c r="O64" s="55">
        <v>0</v>
      </c>
      <c r="P64" s="55">
        <v>5480</v>
      </c>
      <c r="Q64" s="56" t="s">
        <v>21</v>
      </c>
      <c r="R64" s="53" t="s">
        <v>21</v>
      </c>
      <c r="S64" s="55" t="s">
        <v>21</v>
      </c>
      <c r="T64" s="55">
        <v>5480</v>
      </c>
      <c r="U64" s="55">
        <v>0</v>
      </c>
      <c r="V64" s="55">
        <v>5480</v>
      </c>
      <c r="W64" s="56" t="s">
        <v>21</v>
      </c>
      <c r="X64" s="53" t="s">
        <v>21</v>
      </c>
      <c r="Y64" s="55" t="s">
        <v>21</v>
      </c>
      <c r="Z64" s="55">
        <v>5480</v>
      </c>
      <c r="AA64" s="55">
        <v>0</v>
      </c>
    </row>
    <row r="65" spans="1:27" ht="19.5">
      <c r="A65" s="53">
        <v>7</v>
      </c>
      <c r="B65" s="54" t="s">
        <v>12</v>
      </c>
      <c r="C65" s="53">
        <v>685</v>
      </c>
      <c r="D65" s="55">
        <v>5480</v>
      </c>
      <c r="E65" s="56" t="s">
        <v>21</v>
      </c>
      <c r="F65" s="53" t="s">
        <v>21</v>
      </c>
      <c r="G65" s="55" t="s">
        <v>21</v>
      </c>
      <c r="H65" s="55">
        <v>5480</v>
      </c>
      <c r="I65" s="55">
        <v>0</v>
      </c>
      <c r="J65" s="55">
        <v>5480</v>
      </c>
      <c r="K65" s="56" t="s">
        <v>21</v>
      </c>
      <c r="L65" s="53" t="s">
        <v>21</v>
      </c>
      <c r="M65" s="55" t="s">
        <v>21</v>
      </c>
      <c r="N65" s="55">
        <v>5480</v>
      </c>
      <c r="O65" s="55">
        <v>0</v>
      </c>
      <c r="P65" s="55">
        <v>5480</v>
      </c>
      <c r="Q65" s="56">
        <v>800</v>
      </c>
      <c r="R65" s="53">
        <v>2025</v>
      </c>
      <c r="S65" s="55" t="s">
        <v>20</v>
      </c>
      <c r="T65" s="55">
        <v>4680</v>
      </c>
      <c r="U65" s="55">
        <v>0</v>
      </c>
      <c r="V65" s="55">
        <v>5480</v>
      </c>
      <c r="W65" s="56" t="s">
        <v>21</v>
      </c>
      <c r="X65" s="53" t="s">
        <v>21</v>
      </c>
      <c r="Y65" s="55" t="s">
        <v>21</v>
      </c>
      <c r="Z65" s="55">
        <v>5480</v>
      </c>
      <c r="AA65" s="55">
        <v>0</v>
      </c>
    </row>
    <row r="66" spans="1:27" ht="19.5">
      <c r="A66" s="53">
        <v>7</v>
      </c>
      <c r="B66" s="54" t="s">
        <v>22</v>
      </c>
      <c r="C66" s="53">
        <v>685</v>
      </c>
      <c r="D66" s="55">
        <v>5480</v>
      </c>
      <c r="E66" s="56" t="s">
        <v>21</v>
      </c>
      <c r="F66" s="53" t="s">
        <v>21</v>
      </c>
      <c r="G66" s="55" t="s">
        <v>21</v>
      </c>
      <c r="H66" s="55">
        <v>5480</v>
      </c>
      <c r="I66" s="55">
        <v>0</v>
      </c>
      <c r="J66" s="55">
        <v>5480</v>
      </c>
      <c r="K66" s="56" t="s">
        <v>21</v>
      </c>
      <c r="L66" s="53" t="s">
        <v>21</v>
      </c>
      <c r="M66" s="55" t="s">
        <v>21</v>
      </c>
      <c r="N66" s="55">
        <v>5480</v>
      </c>
      <c r="O66" s="55">
        <v>0</v>
      </c>
      <c r="P66" s="55">
        <v>5480</v>
      </c>
      <c r="Q66" s="56" t="s">
        <v>21</v>
      </c>
      <c r="R66" s="53" t="s">
        <v>21</v>
      </c>
      <c r="S66" s="55" t="s">
        <v>21</v>
      </c>
      <c r="T66" s="55">
        <v>5480</v>
      </c>
      <c r="U66" s="55">
        <v>0</v>
      </c>
      <c r="V66" s="55">
        <v>5480</v>
      </c>
      <c r="W66" s="56" t="s">
        <v>21</v>
      </c>
      <c r="X66" s="53" t="s">
        <v>21</v>
      </c>
      <c r="Y66" s="55" t="s">
        <v>21</v>
      </c>
      <c r="Z66" s="55">
        <v>5480</v>
      </c>
      <c r="AA66" s="55">
        <v>0</v>
      </c>
    </row>
    <row r="67" spans="1:27" ht="38.25">
      <c r="A67" s="53">
        <v>7</v>
      </c>
      <c r="B67" s="54" t="s">
        <v>16</v>
      </c>
      <c r="C67" s="53">
        <v>685</v>
      </c>
      <c r="D67" s="55">
        <v>5480</v>
      </c>
      <c r="E67" s="56" t="s">
        <v>21</v>
      </c>
      <c r="F67" s="53" t="s">
        <v>21</v>
      </c>
      <c r="G67" s="55" t="s">
        <v>21</v>
      </c>
      <c r="H67" s="55">
        <v>5480</v>
      </c>
      <c r="I67" s="55">
        <v>0</v>
      </c>
      <c r="J67" s="55">
        <v>5480</v>
      </c>
      <c r="K67" s="56" t="s">
        <v>21</v>
      </c>
      <c r="L67" s="53" t="s">
        <v>21</v>
      </c>
      <c r="M67" s="55" t="s">
        <v>21</v>
      </c>
      <c r="N67" s="55">
        <v>5480</v>
      </c>
      <c r="O67" s="55">
        <v>0</v>
      </c>
      <c r="P67" s="55">
        <v>5480</v>
      </c>
      <c r="Q67" s="56" t="s">
        <v>21</v>
      </c>
      <c r="R67" s="53" t="s">
        <v>21</v>
      </c>
      <c r="S67" s="55" t="s">
        <v>21</v>
      </c>
      <c r="T67" s="55">
        <v>5480</v>
      </c>
      <c r="U67" s="55">
        <v>0</v>
      </c>
      <c r="V67" s="55">
        <v>5480</v>
      </c>
      <c r="W67" s="56" t="s">
        <v>21</v>
      </c>
      <c r="X67" s="53" t="s">
        <v>21</v>
      </c>
      <c r="Y67" s="55" t="s">
        <v>21</v>
      </c>
      <c r="Z67" s="55">
        <v>5480</v>
      </c>
      <c r="AA67" s="55">
        <v>0</v>
      </c>
    </row>
    <row r="68" spans="1:27" ht="19.5">
      <c r="A68" s="53">
        <v>7</v>
      </c>
      <c r="B68" s="54" t="s">
        <v>13</v>
      </c>
      <c r="C68" s="53">
        <v>685</v>
      </c>
      <c r="D68" s="55">
        <v>5480</v>
      </c>
      <c r="E68" s="56" t="s">
        <v>21</v>
      </c>
      <c r="F68" s="53" t="s">
        <v>21</v>
      </c>
      <c r="G68" s="55" t="s">
        <v>21</v>
      </c>
      <c r="H68" s="55">
        <v>5480</v>
      </c>
      <c r="I68" s="55">
        <v>0</v>
      </c>
      <c r="J68" s="55">
        <v>5480</v>
      </c>
      <c r="K68" s="56" t="s">
        <v>21</v>
      </c>
      <c r="L68" s="53" t="s">
        <v>21</v>
      </c>
      <c r="M68" s="55" t="s">
        <v>21</v>
      </c>
      <c r="N68" s="55">
        <v>5480</v>
      </c>
      <c r="O68" s="55">
        <v>0</v>
      </c>
      <c r="P68" s="55">
        <v>5480</v>
      </c>
      <c r="Q68" s="56" t="s">
        <v>21</v>
      </c>
      <c r="R68" s="53" t="s">
        <v>21</v>
      </c>
      <c r="S68" s="55" t="s">
        <v>21</v>
      </c>
      <c r="T68" s="55">
        <v>5480</v>
      </c>
      <c r="U68" s="55">
        <v>0</v>
      </c>
      <c r="V68" s="55">
        <v>5480</v>
      </c>
      <c r="W68" s="56" t="s">
        <v>21</v>
      </c>
      <c r="X68" s="53" t="s">
        <v>21</v>
      </c>
      <c r="Y68" s="55" t="s">
        <v>21</v>
      </c>
      <c r="Z68" s="55">
        <v>5480</v>
      </c>
      <c r="AA68" s="55">
        <v>0</v>
      </c>
    </row>
    <row r="69" spans="1:27" ht="19.5">
      <c r="A69" s="53">
        <v>7</v>
      </c>
      <c r="B69" s="54" t="s">
        <v>17</v>
      </c>
      <c r="C69" s="53">
        <v>685</v>
      </c>
      <c r="D69" s="55">
        <v>5480</v>
      </c>
      <c r="E69" s="56" t="s">
        <v>21</v>
      </c>
      <c r="F69" s="53" t="s">
        <v>21</v>
      </c>
      <c r="G69" s="55" t="s">
        <v>21</v>
      </c>
      <c r="H69" s="55">
        <v>5480</v>
      </c>
      <c r="I69" s="55">
        <v>0</v>
      </c>
      <c r="J69" s="55">
        <v>5480</v>
      </c>
      <c r="K69" s="56" t="s">
        <v>21</v>
      </c>
      <c r="L69" s="53" t="s">
        <v>21</v>
      </c>
      <c r="M69" s="55" t="s">
        <v>21</v>
      </c>
      <c r="N69" s="55">
        <v>5480</v>
      </c>
      <c r="O69" s="55">
        <v>0</v>
      </c>
      <c r="P69" s="55">
        <v>5480</v>
      </c>
      <c r="Q69" s="56" t="s">
        <v>21</v>
      </c>
      <c r="R69" s="53" t="s">
        <v>21</v>
      </c>
      <c r="S69" s="55" t="s">
        <v>21</v>
      </c>
      <c r="T69" s="55">
        <v>5480</v>
      </c>
      <c r="U69" s="55">
        <v>0</v>
      </c>
      <c r="V69" s="55">
        <v>5480</v>
      </c>
      <c r="W69" s="56" t="s">
        <v>21</v>
      </c>
      <c r="X69" s="53" t="s">
        <v>21</v>
      </c>
      <c r="Y69" s="55" t="s">
        <v>21</v>
      </c>
      <c r="Z69" s="55">
        <v>5480</v>
      </c>
      <c r="AA69" s="55">
        <v>0</v>
      </c>
    </row>
    <row r="70" spans="1:27" ht="19.5">
      <c r="A70" s="53">
        <v>7</v>
      </c>
      <c r="B70" s="54" t="s">
        <v>23</v>
      </c>
      <c r="C70" s="53">
        <v>685</v>
      </c>
      <c r="D70" s="55">
        <v>5480</v>
      </c>
      <c r="E70" s="56" t="s">
        <v>21</v>
      </c>
      <c r="F70" s="53" t="s">
        <v>21</v>
      </c>
      <c r="G70" s="55" t="s">
        <v>21</v>
      </c>
      <c r="H70" s="55">
        <v>5480</v>
      </c>
      <c r="I70" s="55">
        <v>0</v>
      </c>
      <c r="J70" s="55">
        <v>5480</v>
      </c>
      <c r="K70" s="56" t="s">
        <v>21</v>
      </c>
      <c r="L70" s="53" t="s">
        <v>21</v>
      </c>
      <c r="M70" s="55" t="s">
        <v>21</v>
      </c>
      <c r="N70" s="55">
        <v>5480</v>
      </c>
      <c r="O70" s="55">
        <v>0</v>
      </c>
      <c r="P70" s="55">
        <v>5480</v>
      </c>
      <c r="Q70" s="56" t="s">
        <v>21</v>
      </c>
      <c r="R70" s="53" t="s">
        <v>21</v>
      </c>
      <c r="S70" s="55" t="s">
        <v>21</v>
      </c>
      <c r="T70" s="55">
        <v>5480</v>
      </c>
      <c r="U70" s="55">
        <v>0</v>
      </c>
      <c r="V70" s="55">
        <v>5480</v>
      </c>
      <c r="W70" s="56" t="s">
        <v>21</v>
      </c>
      <c r="X70" s="53" t="s">
        <v>21</v>
      </c>
      <c r="Y70" s="55" t="s">
        <v>21</v>
      </c>
      <c r="Z70" s="55">
        <v>5480</v>
      </c>
      <c r="AA70" s="55">
        <v>0</v>
      </c>
    </row>
    <row r="71" spans="1:27" ht="19.5">
      <c r="A71" s="53">
        <v>7</v>
      </c>
      <c r="B71" s="54" t="s">
        <v>19</v>
      </c>
      <c r="C71" s="53">
        <v>685</v>
      </c>
      <c r="D71" s="55">
        <v>5480</v>
      </c>
      <c r="E71" s="56" t="s">
        <v>21</v>
      </c>
      <c r="F71" s="53" t="s">
        <v>21</v>
      </c>
      <c r="G71" s="55" t="s">
        <v>21</v>
      </c>
      <c r="H71" s="55">
        <v>5480</v>
      </c>
      <c r="I71" s="55">
        <v>0</v>
      </c>
      <c r="J71" s="55">
        <v>5480</v>
      </c>
      <c r="K71" s="56" t="s">
        <v>21</v>
      </c>
      <c r="L71" s="53" t="s">
        <v>21</v>
      </c>
      <c r="M71" s="55" t="s">
        <v>21</v>
      </c>
      <c r="N71" s="55">
        <v>5480</v>
      </c>
      <c r="O71" s="55">
        <v>0</v>
      </c>
      <c r="P71" s="55">
        <v>5480</v>
      </c>
      <c r="Q71" s="56" t="s">
        <v>21</v>
      </c>
      <c r="R71" s="53" t="s">
        <v>21</v>
      </c>
      <c r="S71" s="55" t="s">
        <v>21</v>
      </c>
      <c r="T71" s="55">
        <v>5480</v>
      </c>
      <c r="U71" s="55">
        <v>0</v>
      </c>
      <c r="V71" s="55">
        <v>5480</v>
      </c>
      <c r="W71" s="56" t="s">
        <v>21</v>
      </c>
      <c r="X71" s="53" t="s">
        <v>21</v>
      </c>
      <c r="Y71" s="55" t="s">
        <v>21</v>
      </c>
      <c r="Z71" s="55">
        <v>5480</v>
      </c>
      <c r="AA71" s="55">
        <v>0</v>
      </c>
    </row>
    <row r="72" spans="1:27" s="52" customFormat="1" ht="15">
      <c r="A72" s="63" t="s">
        <v>21</v>
      </c>
      <c r="B72" s="63" t="s">
        <v>21</v>
      </c>
      <c r="C72" s="63" t="s">
        <v>21</v>
      </c>
      <c r="D72" s="63" t="s">
        <v>21</v>
      </c>
      <c r="E72" s="63" t="s">
        <v>21</v>
      </c>
      <c r="F72" s="63" t="s">
        <v>21</v>
      </c>
      <c r="G72" s="63" t="s">
        <v>21</v>
      </c>
      <c r="H72" s="63" t="s">
        <v>21</v>
      </c>
      <c r="I72" s="63" t="s">
        <v>21</v>
      </c>
      <c r="J72" s="63" t="s">
        <v>21</v>
      </c>
      <c r="K72" s="63" t="s">
        <v>21</v>
      </c>
      <c r="L72" s="63" t="s">
        <v>21</v>
      </c>
      <c r="M72" s="63" t="s">
        <v>21</v>
      </c>
      <c r="N72" s="63" t="s">
        <v>21</v>
      </c>
      <c r="O72" s="63" t="s">
        <v>21</v>
      </c>
      <c r="P72" s="63" t="s">
        <v>21</v>
      </c>
      <c r="Q72" s="63" t="s">
        <v>21</v>
      </c>
      <c r="R72" s="63" t="s">
        <v>21</v>
      </c>
      <c r="S72" s="63" t="s">
        <v>21</v>
      </c>
      <c r="T72" s="63" t="s">
        <v>21</v>
      </c>
      <c r="U72" s="63" t="s">
        <v>21</v>
      </c>
      <c r="V72" s="63" t="s">
        <v>21</v>
      </c>
      <c r="W72" s="63" t="s">
        <v>21</v>
      </c>
      <c r="X72" s="63" t="s">
        <v>21</v>
      </c>
      <c r="Y72" s="63" t="s">
        <v>21</v>
      </c>
      <c r="Z72" s="63" t="s">
        <v>21</v>
      </c>
      <c r="AA72" s="63" t="s">
        <v>21</v>
      </c>
    </row>
    <row r="73" spans="1:27" ht="19.5">
      <c r="A73" s="53">
        <v>8</v>
      </c>
      <c r="B73" s="54" t="s">
        <v>14</v>
      </c>
      <c r="C73" s="53">
        <v>782</v>
      </c>
      <c r="D73" s="55">
        <v>6256</v>
      </c>
      <c r="E73" s="56">
        <v>97</v>
      </c>
      <c r="F73" s="53">
        <v>2025</v>
      </c>
      <c r="G73" s="55" t="s">
        <v>20</v>
      </c>
      <c r="H73" s="55">
        <v>6159</v>
      </c>
      <c r="I73" s="55">
        <v>0</v>
      </c>
      <c r="J73" s="55">
        <v>6256</v>
      </c>
      <c r="K73" s="56" t="s">
        <v>21</v>
      </c>
      <c r="L73" s="53" t="s">
        <v>21</v>
      </c>
      <c r="M73" s="55" t="s">
        <v>21</v>
      </c>
      <c r="N73" s="55">
        <v>6256</v>
      </c>
      <c r="O73" s="55">
        <v>0</v>
      </c>
      <c r="P73" s="55">
        <v>6256</v>
      </c>
      <c r="Q73" s="56" t="s">
        <v>21</v>
      </c>
      <c r="R73" s="53" t="s">
        <v>21</v>
      </c>
      <c r="S73" s="55" t="s">
        <v>21</v>
      </c>
      <c r="T73" s="55">
        <v>6256</v>
      </c>
      <c r="U73" s="55">
        <v>0</v>
      </c>
      <c r="V73" s="55">
        <v>6256</v>
      </c>
      <c r="W73" s="56" t="s">
        <v>21</v>
      </c>
      <c r="X73" s="53" t="s">
        <v>21</v>
      </c>
      <c r="Y73" s="55" t="s">
        <v>21</v>
      </c>
      <c r="Z73" s="55">
        <v>6256</v>
      </c>
      <c r="AA73" s="55">
        <v>0</v>
      </c>
    </row>
    <row r="74" spans="1:27" ht="19.5">
      <c r="A74" s="53">
        <v>8</v>
      </c>
      <c r="B74" s="54" t="s">
        <v>15</v>
      </c>
      <c r="C74" s="53">
        <v>782</v>
      </c>
      <c r="D74" s="55">
        <v>6256</v>
      </c>
      <c r="E74" s="56">
        <v>97</v>
      </c>
      <c r="F74" s="53">
        <v>2025</v>
      </c>
      <c r="G74" s="55" t="s">
        <v>20</v>
      </c>
      <c r="H74" s="55">
        <v>6159</v>
      </c>
      <c r="I74" s="55">
        <v>0</v>
      </c>
      <c r="J74" s="55">
        <v>6256</v>
      </c>
      <c r="K74" s="56" t="s">
        <v>21</v>
      </c>
      <c r="L74" s="53" t="s">
        <v>21</v>
      </c>
      <c r="M74" s="55" t="s">
        <v>21</v>
      </c>
      <c r="N74" s="55">
        <v>6256</v>
      </c>
      <c r="O74" s="55">
        <v>0</v>
      </c>
      <c r="P74" s="55">
        <v>6256</v>
      </c>
      <c r="Q74" s="56" t="s">
        <v>21</v>
      </c>
      <c r="R74" s="53" t="s">
        <v>21</v>
      </c>
      <c r="S74" s="55" t="s">
        <v>21</v>
      </c>
      <c r="T74" s="55">
        <v>6256</v>
      </c>
      <c r="U74" s="55">
        <v>0</v>
      </c>
      <c r="V74" s="55">
        <v>6256</v>
      </c>
      <c r="W74" s="56" t="s">
        <v>21</v>
      </c>
      <c r="X74" s="53" t="s">
        <v>21</v>
      </c>
      <c r="Y74" s="55" t="s">
        <v>21</v>
      </c>
      <c r="Z74" s="55">
        <v>6256</v>
      </c>
      <c r="AA74" s="55">
        <v>0</v>
      </c>
    </row>
    <row r="75" spans="1:27" ht="19.5">
      <c r="A75" s="53">
        <v>8</v>
      </c>
      <c r="B75" s="54" t="s">
        <v>12</v>
      </c>
      <c r="C75" s="53">
        <v>782</v>
      </c>
      <c r="D75" s="55">
        <v>6256</v>
      </c>
      <c r="E75" s="56">
        <v>97</v>
      </c>
      <c r="F75" s="53">
        <v>2025</v>
      </c>
      <c r="G75" s="55" t="s">
        <v>20</v>
      </c>
      <c r="H75" s="55">
        <v>6159</v>
      </c>
      <c r="I75" s="55">
        <v>0</v>
      </c>
      <c r="J75" s="55">
        <v>6256</v>
      </c>
      <c r="K75" s="56" t="s">
        <v>21</v>
      </c>
      <c r="L75" s="53" t="s">
        <v>21</v>
      </c>
      <c r="M75" s="55" t="s">
        <v>21</v>
      </c>
      <c r="N75" s="55">
        <v>6256</v>
      </c>
      <c r="O75" s="55">
        <v>0</v>
      </c>
      <c r="P75" s="55">
        <v>6256</v>
      </c>
      <c r="Q75" s="56" t="s">
        <v>21</v>
      </c>
      <c r="R75" s="53" t="s">
        <v>21</v>
      </c>
      <c r="S75" s="55" t="s">
        <v>21</v>
      </c>
      <c r="T75" s="55">
        <v>6256</v>
      </c>
      <c r="U75" s="55">
        <v>0</v>
      </c>
      <c r="V75" s="55">
        <v>6256</v>
      </c>
      <c r="W75" s="56" t="s">
        <v>21</v>
      </c>
      <c r="X75" s="53" t="s">
        <v>21</v>
      </c>
      <c r="Y75" s="55" t="s">
        <v>21</v>
      </c>
      <c r="Z75" s="55">
        <v>6256</v>
      </c>
      <c r="AA75" s="55">
        <v>0</v>
      </c>
    </row>
    <row r="76" spans="1:27" ht="19.5">
      <c r="A76" s="53">
        <v>8</v>
      </c>
      <c r="B76" s="54" t="s">
        <v>22</v>
      </c>
      <c r="C76" s="53">
        <v>782</v>
      </c>
      <c r="D76" s="55">
        <v>6256</v>
      </c>
      <c r="E76" s="56">
        <v>97</v>
      </c>
      <c r="F76" s="53">
        <v>2025</v>
      </c>
      <c r="G76" s="55" t="s">
        <v>20</v>
      </c>
      <c r="H76" s="55">
        <v>6159</v>
      </c>
      <c r="I76" s="55">
        <v>0</v>
      </c>
      <c r="J76" s="55">
        <v>6256</v>
      </c>
      <c r="K76" s="56" t="s">
        <v>21</v>
      </c>
      <c r="L76" s="53" t="s">
        <v>21</v>
      </c>
      <c r="M76" s="55" t="s">
        <v>21</v>
      </c>
      <c r="N76" s="55">
        <v>6256</v>
      </c>
      <c r="O76" s="55">
        <v>0</v>
      </c>
      <c r="P76" s="55">
        <v>6256</v>
      </c>
      <c r="Q76" s="56" t="s">
        <v>21</v>
      </c>
      <c r="R76" s="53" t="s">
        <v>21</v>
      </c>
      <c r="S76" s="55" t="s">
        <v>21</v>
      </c>
      <c r="T76" s="55">
        <v>6256</v>
      </c>
      <c r="U76" s="55">
        <v>0</v>
      </c>
      <c r="V76" s="55">
        <v>6256</v>
      </c>
      <c r="W76" s="56" t="s">
        <v>21</v>
      </c>
      <c r="X76" s="53" t="s">
        <v>21</v>
      </c>
      <c r="Y76" s="55" t="s">
        <v>21</v>
      </c>
      <c r="Z76" s="55">
        <v>6256</v>
      </c>
      <c r="AA76" s="55">
        <v>0</v>
      </c>
    </row>
    <row r="77" spans="1:27" ht="19.5">
      <c r="A77" s="53">
        <v>8</v>
      </c>
      <c r="B77" s="54" t="s">
        <v>24</v>
      </c>
      <c r="C77" s="53">
        <v>782</v>
      </c>
      <c r="D77" s="55">
        <v>6256</v>
      </c>
      <c r="E77" s="56">
        <v>97</v>
      </c>
      <c r="F77" s="53">
        <v>2025</v>
      </c>
      <c r="G77" s="55" t="s">
        <v>20</v>
      </c>
      <c r="H77" s="55">
        <v>6159</v>
      </c>
      <c r="I77" s="55">
        <v>0</v>
      </c>
      <c r="J77" s="55">
        <v>6256</v>
      </c>
      <c r="K77" s="56" t="s">
        <v>21</v>
      </c>
      <c r="L77" s="53" t="s">
        <v>21</v>
      </c>
      <c r="M77" s="55" t="s">
        <v>21</v>
      </c>
      <c r="N77" s="55">
        <v>6256</v>
      </c>
      <c r="O77" s="55">
        <v>0</v>
      </c>
      <c r="P77" s="55">
        <v>6256</v>
      </c>
      <c r="Q77" s="56" t="s">
        <v>21</v>
      </c>
      <c r="R77" s="53" t="s">
        <v>21</v>
      </c>
      <c r="S77" s="55" t="s">
        <v>21</v>
      </c>
      <c r="T77" s="55">
        <v>6256</v>
      </c>
      <c r="U77" s="55">
        <v>0</v>
      </c>
      <c r="V77" s="55">
        <v>6256</v>
      </c>
      <c r="W77" s="56" t="s">
        <v>21</v>
      </c>
      <c r="X77" s="53" t="s">
        <v>21</v>
      </c>
      <c r="Y77" s="55" t="s">
        <v>21</v>
      </c>
      <c r="Z77" s="55">
        <v>6256</v>
      </c>
      <c r="AA77" s="55">
        <v>0</v>
      </c>
    </row>
    <row r="78" spans="1:27" ht="19.5">
      <c r="A78" s="53">
        <v>8</v>
      </c>
      <c r="B78" s="54" t="s">
        <v>13</v>
      </c>
      <c r="C78" s="53">
        <v>782</v>
      </c>
      <c r="D78" s="55">
        <v>6256</v>
      </c>
      <c r="E78" s="56">
        <v>97</v>
      </c>
      <c r="F78" s="53">
        <v>2025</v>
      </c>
      <c r="G78" s="55" t="s">
        <v>20</v>
      </c>
      <c r="H78" s="55">
        <v>6159</v>
      </c>
      <c r="I78" s="55">
        <v>0</v>
      </c>
      <c r="J78" s="55">
        <v>6256</v>
      </c>
      <c r="K78" s="56" t="s">
        <v>21</v>
      </c>
      <c r="L78" s="53" t="s">
        <v>21</v>
      </c>
      <c r="M78" s="55" t="s">
        <v>21</v>
      </c>
      <c r="N78" s="55">
        <v>6256</v>
      </c>
      <c r="O78" s="55">
        <v>0</v>
      </c>
      <c r="P78" s="55">
        <v>6256</v>
      </c>
      <c r="Q78" s="56" t="s">
        <v>21</v>
      </c>
      <c r="R78" s="53" t="s">
        <v>21</v>
      </c>
      <c r="S78" s="55" t="s">
        <v>21</v>
      </c>
      <c r="T78" s="55">
        <v>6256</v>
      </c>
      <c r="U78" s="55">
        <v>0</v>
      </c>
      <c r="V78" s="55">
        <v>6256</v>
      </c>
      <c r="W78" s="56" t="s">
        <v>21</v>
      </c>
      <c r="X78" s="53" t="s">
        <v>21</v>
      </c>
      <c r="Y78" s="55" t="s">
        <v>21</v>
      </c>
      <c r="Z78" s="55">
        <v>6256</v>
      </c>
      <c r="AA78" s="55">
        <v>0</v>
      </c>
    </row>
    <row r="79" spans="1:27" ht="19.5">
      <c r="A79" s="53">
        <v>8</v>
      </c>
      <c r="B79" s="54" t="s">
        <v>17</v>
      </c>
      <c r="C79" s="53">
        <v>782</v>
      </c>
      <c r="D79" s="55">
        <v>6256</v>
      </c>
      <c r="E79" s="56">
        <v>97</v>
      </c>
      <c r="F79" s="53">
        <v>2025</v>
      </c>
      <c r="G79" s="55" t="s">
        <v>20</v>
      </c>
      <c r="H79" s="55">
        <v>6159</v>
      </c>
      <c r="I79" s="55">
        <v>0</v>
      </c>
      <c r="J79" s="55">
        <v>6256</v>
      </c>
      <c r="K79" s="56" t="s">
        <v>21</v>
      </c>
      <c r="L79" s="53" t="s">
        <v>21</v>
      </c>
      <c r="M79" s="55" t="s">
        <v>21</v>
      </c>
      <c r="N79" s="55">
        <v>6256</v>
      </c>
      <c r="O79" s="55">
        <v>0</v>
      </c>
      <c r="P79" s="55">
        <v>6256</v>
      </c>
      <c r="Q79" s="56" t="s">
        <v>21</v>
      </c>
      <c r="R79" s="53" t="s">
        <v>21</v>
      </c>
      <c r="S79" s="55" t="s">
        <v>21</v>
      </c>
      <c r="T79" s="55">
        <v>6256</v>
      </c>
      <c r="U79" s="55">
        <v>0</v>
      </c>
      <c r="V79" s="55">
        <v>6256</v>
      </c>
      <c r="W79" s="56" t="s">
        <v>21</v>
      </c>
      <c r="X79" s="53" t="s">
        <v>21</v>
      </c>
      <c r="Y79" s="55" t="s">
        <v>21</v>
      </c>
      <c r="Z79" s="55">
        <v>6256</v>
      </c>
      <c r="AA79" s="55">
        <v>0</v>
      </c>
    </row>
    <row r="80" spans="1:27" ht="19.5">
      <c r="A80" s="53">
        <v>8</v>
      </c>
      <c r="B80" s="54" t="s">
        <v>23</v>
      </c>
      <c r="C80" s="53">
        <v>782</v>
      </c>
      <c r="D80" s="55">
        <v>6256</v>
      </c>
      <c r="E80" s="56">
        <v>97</v>
      </c>
      <c r="F80" s="53">
        <v>2025</v>
      </c>
      <c r="G80" s="55" t="s">
        <v>20</v>
      </c>
      <c r="H80" s="55">
        <v>6159</v>
      </c>
      <c r="I80" s="55">
        <v>0</v>
      </c>
      <c r="J80" s="55">
        <v>6256</v>
      </c>
      <c r="K80" s="56" t="s">
        <v>21</v>
      </c>
      <c r="L80" s="53" t="s">
        <v>21</v>
      </c>
      <c r="M80" s="55" t="s">
        <v>21</v>
      </c>
      <c r="N80" s="55">
        <v>6256</v>
      </c>
      <c r="O80" s="55">
        <v>0</v>
      </c>
      <c r="P80" s="55">
        <v>6256</v>
      </c>
      <c r="Q80" s="56" t="s">
        <v>21</v>
      </c>
      <c r="R80" s="53" t="s">
        <v>21</v>
      </c>
      <c r="S80" s="55" t="s">
        <v>21</v>
      </c>
      <c r="T80" s="55">
        <v>6256</v>
      </c>
      <c r="U80" s="55">
        <v>0</v>
      </c>
      <c r="V80" s="55">
        <v>6256</v>
      </c>
      <c r="W80" s="56" t="s">
        <v>21</v>
      </c>
      <c r="X80" s="53" t="s">
        <v>21</v>
      </c>
      <c r="Y80" s="55" t="s">
        <v>21</v>
      </c>
      <c r="Z80" s="55">
        <v>6256</v>
      </c>
      <c r="AA80" s="55">
        <v>0</v>
      </c>
    </row>
    <row r="81" spans="1:27" ht="19.5">
      <c r="A81" s="53">
        <v>8</v>
      </c>
      <c r="B81" s="54" t="s">
        <v>19</v>
      </c>
      <c r="C81" s="53">
        <v>782</v>
      </c>
      <c r="D81" s="55">
        <v>6256</v>
      </c>
      <c r="E81" s="56">
        <v>97</v>
      </c>
      <c r="F81" s="53">
        <v>2025</v>
      </c>
      <c r="G81" s="55" t="s">
        <v>20</v>
      </c>
      <c r="H81" s="55">
        <v>6159</v>
      </c>
      <c r="I81" s="55">
        <v>0</v>
      </c>
      <c r="J81" s="55">
        <v>6256</v>
      </c>
      <c r="K81" s="56" t="s">
        <v>21</v>
      </c>
      <c r="L81" s="53" t="s">
        <v>21</v>
      </c>
      <c r="M81" s="55" t="s">
        <v>21</v>
      </c>
      <c r="N81" s="55">
        <v>6256</v>
      </c>
      <c r="O81" s="55">
        <v>0</v>
      </c>
      <c r="P81" s="55">
        <v>6256</v>
      </c>
      <c r="Q81" s="56" t="s">
        <v>21</v>
      </c>
      <c r="R81" s="53" t="s">
        <v>21</v>
      </c>
      <c r="S81" s="55" t="s">
        <v>21</v>
      </c>
      <c r="T81" s="55">
        <v>6256</v>
      </c>
      <c r="U81" s="55">
        <v>0</v>
      </c>
      <c r="V81" s="55">
        <v>6256</v>
      </c>
      <c r="W81" s="56" t="s">
        <v>21</v>
      </c>
      <c r="X81" s="53" t="s">
        <v>21</v>
      </c>
      <c r="Y81" s="55" t="s">
        <v>21</v>
      </c>
      <c r="Z81" s="55">
        <v>6256</v>
      </c>
      <c r="AA81" s="55">
        <v>0</v>
      </c>
    </row>
    <row r="82" spans="1:27" s="52" customFormat="1" ht="15">
      <c r="A82" s="63" t="s">
        <v>21</v>
      </c>
      <c r="B82" s="63" t="s">
        <v>21</v>
      </c>
      <c r="C82" s="63" t="s">
        <v>21</v>
      </c>
      <c r="D82" s="63" t="s">
        <v>21</v>
      </c>
      <c r="E82" s="63" t="s">
        <v>21</v>
      </c>
      <c r="F82" s="63" t="s">
        <v>21</v>
      </c>
      <c r="G82" s="63" t="s">
        <v>21</v>
      </c>
      <c r="H82" s="63" t="s">
        <v>21</v>
      </c>
      <c r="I82" s="63" t="s">
        <v>21</v>
      </c>
      <c r="J82" s="63" t="s">
        <v>21</v>
      </c>
      <c r="K82" s="63" t="s">
        <v>21</v>
      </c>
      <c r="L82" s="63" t="s">
        <v>21</v>
      </c>
      <c r="M82" s="63" t="s">
        <v>21</v>
      </c>
      <c r="N82" s="63" t="s">
        <v>21</v>
      </c>
      <c r="O82" s="63" t="s">
        <v>21</v>
      </c>
      <c r="P82" s="63" t="s">
        <v>21</v>
      </c>
      <c r="Q82" s="63" t="s">
        <v>21</v>
      </c>
      <c r="R82" s="63" t="s">
        <v>21</v>
      </c>
      <c r="S82" s="63" t="s">
        <v>21</v>
      </c>
      <c r="T82" s="63" t="s">
        <v>21</v>
      </c>
      <c r="U82" s="63" t="s">
        <v>21</v>
      </c>
      <c r="V82" s="63" t="s">
        <v>21</v>
      </c>
      <c r="W82" s="63" t="s">
        <v>21</v>
      </c>
      <c r="X82" s="63" t="s">
        <v>21</v>
      </c>
      <c r="Y82" s="63" t="s">
        <v>21</v>
      </c>
      <c r="Z82" s="63" t="s">
        <v>21</v>
      </c>
      <c r="AA82" s="63" t="s">
        <v>21</v>
      </c>
    </row>
    <row r="83" spans="1:27" ht="19.5">
      <c r="A83" s="53">
        <v>9</v>
      </c>
      <c r="B83" s="54" t="s">
        <v>14</v>
      </c>
      <c r="C83" s="53">
        <v>535</v>
      </c>
      <c r="D83" s="55">
        <v>4280</v>
      </c>
      <c r="E83" s="56" t="s">
        <v>21</v>
      </c>
      <c r="F83" s="53" t="s">
        <v>21</v>
      </c>
      <c r="G83" s="55" t="s">
        <v>21</v>
      </c>
      <c r="H83" s="55">
        <v>4280</v>
      </c>
      <c r="I83" s="55">
        <v>0</v>
      </c>
      <c r="J83" s="55">
        <v>4280</v>
      </c>
      <c r="K83" s="56" t="s">
        <v>21</v>
      </c>
      <c r="L83" s="53" t="s">
        <v>21</v>
      </c>
      <c r="M83" s="55" t="s">
        <v>21</v>
      </c>
      <c r="N83" s="55">
        <v>4280</v>
      </c>
      <c r="O83" s="55">
        <v>0</v>
      </c>
      <c r="P83" s="55">
        <v>4280</v>
      </c>
      <c r="Q83" s="56" t="s">
        <v>21</v>
      </c>
      <c r="R83" s="53" t="s">
        <v>21</v>
      </c>
      <c r="S83" s="55" t="s">
        <v>21</v>
      </c>
      <c r="T83" s="55">
        <v>4280</v>
      </c>
      <c r="U83" s="55">
        <v>0</v>
      </c>
      <c r="V83" s="55">
        <v>4280</v>
      </c>
      <c r="W83" s="56" t="s">
        <v>21</v>
      </c>
      <c r="X83" s="53" t="s">
        <v>21</v>
      </c>
      <c r="Y83" s="55" t="s">
        <v>21</v>
      </c>
      <c r="Z83" s="55">
        <v>4280</v>
      </c>
      <c r="AA83" s="55">
        <v>0</v>
      </c>
    </row>
    <row r="84" spans="1:27" ht="19.5">
      <c r="A84" s="53">
        <v>9</v>
      </c>
      <c r="B84" s="54" t="s">
        <v>15</v>
      </c>
      <c r="C84" s="53">
        <v>535</v>
      </c>
      <c r="D84" s="55">
        <v>4280</v>
      </c>
      <c r="E84" s="56" t="s">
        <v>21</v>
      </c>
      <c r="F84" s="53" t="s">
        <v>21</v>
      </c>
      <c r="G84" s="55" t="s">
        <v>21</v>
      </c>
      <c r="H84" s="55">
        <v>4280</v>
      </c>
      <c r="I84" s="55">
        <v>0</v>
      </c>
      <c r="J84" s="55">
        <v>4280</v>
      </c>
      <c r="K84" s="56" t="s">
        <v>21</v>
      </c>
      <c r="L84" s="53" t="s">
        <v>21</v>
      </c>
      <c r="M84" s="55" t="s">
        <v>21</v>
      </c>
      <c r="N84" s="55">
        <v>4280</v>
      </c>
      <c r="O84" s="55">
        <v>0</v>
      </c>
      <c r="P84" s="55">
        <v>4280</v>
      </c>
      <c r="Q84" s="56" t="s">
        <v>21</v>
      </c>
      <c r="R84" s="53" t="s">
        <v>21</v>
      </c>
      <c r="S84" s="55" t="s">
        <v>21</v>
      </c>
      <c r="T84" s="55">
        <v>4280</v>
      </c>
      <c r="U84" s="55">
        <v>0</v>
      </c>
      <c r="V84" s="55">
        <v>4280</v>
      </c>
      <c r="W84" s="56" t="s">
        <v>21</v>
      </c>
      <c r="X84" s="53" t="s">
        <v>21</v>
      </c>
      <c r="Y84" s="55" t="s">
        <v>21</v>
      </c>
      <c r="Z84" s="55">
        <v>4280</v>
      </c>
      <c r="AA84" s="55">
        <v>0</v>
      </c>
    </row>
    <row r="85" spans="1:27" ht="19.5">
      <c r="A85" s="53">
        <v>9</v>
      </c>
      <c r="B85" s="54" t="s">
        <v>12</v>
      </c>
      <c r="C85" s="53">
        <v>535</v>
      </c>
      <c r="D85" s="55">
        <v>4280</v>
      </c>
      <c r="E85" s="56" t="s">
        <v>21</v>
      </c>
      <c r="F85" s="53" t="s">
        <v>21</v>
      </c>
      <c r="G85" s="55" t="s">
        <v>21</v>
      </c>
      <c r="H85" s="55">
        <v>4280</v>
      </c>
      <c r="I85" s="55">
        <v>0</v>
      </c>
      <c r="J85" s="55">
        <v>4280</v>
      </c>
      <c r="K85" s="56" t="s">
        <v>21</v>
      </c>
      <c r="L85" s="53" t="s">
        <v>21</v>
      </c>
      <c r="M85" s="55" t="s">
        <v>21</v>
      </c>
      <c r="N85" s="55">
        <v>4280</v>
      </c>
      <c r="O85" s="55">
        <v>0</v>
      </c>
      <c r="P85" s="55">
        <v>4280</v>
      </c>
      <c r="Q85" s="56" t="s">
        <v>21</v>
      </c>
      <c r="R85" s="53" t="s">
        <v>21</v>
      </c>
      <c r="S85" s="55" t="s">
        <v>21</v>
      </c>
      <c r="T85" s="55">
        <v>4280</v>
      </c>
      <c r="U85" s="55">
        <v>0</v>
      </c>
      <c r="V85" s="55">
        <v>4280</v>
      </c>
      <c r="W85" s="56" t="s">
        <v>21</v>
      </c>
      <c r="X85" s="53" t="s">
        <v>21</v>
      </c>
      <c r="Y85" s="55" t="s">
        <v>21</v>
      </c>
      <c r="Z85" s="55">
        <v>4280</v>
      </c>
      <c r="AA85" s="55">
        <v>0</v>
      </c>
    </row>
    <row r="86" spans="1:27" ht="19.5">
      <c r="A86" s="53">
        <v>9</v>
      </c>
      <c r="B86" s="54" t="s">
        <v>22</v>
      </c>
      <c r="C86" s="53">
        <v>535</v>
      </c>
      <c r="D86" s="55">
        <v>4280</v>
      </c>
      <c r="E86" s="56" t="s">
        <v>21</v>
      </c>
      <c r="F86" s="53" t="s">
        <v>21</v>
      </c>
      <c r="G86" s="55" t="s">
        <v>21</v>
      </c>
      <c r="H86" s="55">
        <v>4280</v>
      </c>
      <c r="I86" s="55">
        <v>0</v>
      </c>
      <c r="J86" s="55">
        <v>4280</v>
      </c>
      <c r="K86" s="56" t="s">
        <v>21</v>
      </c>
      <c r="L86" s="53" t="s">
        <v>21</v>
      </c>
      <c r="M86" s="55" t="s">
        <v>21</v>
      </c>
      <c r="N86" s="55">
        <v>4280</v>
      </c>
      <c r="O86" s="55">
        <v>0</v>
      </c>
      <c r="P86" s="55">
        <v>4280</v>
      </c>
      <c r="Q86" s="56" t="s">
        <v>21</v>
      </c>
      <c r="R86" s="53" t="s">
        <v>21</v>
      </c>
      <c r="S86" s="55" t="s">
        <v>21</v>
      </c>
      <c r="T86" s="55">
        <v>4280</v>
      </c>
      <c r="U86" s="55">
        <v>0</v>
      </c>
      <c r="V86" s="55">
        <v>4280</v>
      </c>
      <c r="W86" s="56" t="s">
        <v>21</v>
      </c>
      <c r="X86" s="53" t="s">
        <v>21</v>
      </c>
      <c r="Y86" s="55" t="s">
        <v>21</v>
      </c>
      <c r="Z86" s="55">
        <v>4280</v>
      </c>
      <c r="AA86" s="55">
        <v>0</v>
      </c>
    </row>
    <row r="87" spans="1:27" ht="19.5">
      <c r="A87" s="53">
        <v>9</v>
      </c>
      <c r="B87" s="54" t="s">
        <v>24</v>
      </c>
      <c r="C87" s="53">
        <v>535</v>
      </c>
      <c r="D87" s="55">
        <v>4280</v>
      </c>
      <c r="E87" s="56" t="s">
        <v>21</v>
      </c>
      <c r="F87" s="53" t="s">
        <v>21</v>
      </c>
      <c r="G87" s="55" t="s">
        <v>21</v>
      </c>
      <c r="H87" s="55">
        <v>4280</v>
      </c>
      <c r="I87" s="55">
        <v>0</v>
      </c>
      <c r="J87" s="55">
        <v>4280</v>
      </c>
      <c r="K87" s="56" t="s">
        <v>21</v>
      </c>
      <c r="L87" s="53" t="s">
        <v>21</v>
      </c>
      <c r="M87" s="55" t="s">
        <v>21</v>
      </c>
      <c r="N87" s="55">
        <v>4280</v>
      </c>
      <c r="O87" s="55">
        <v>0</v>
      </c>
      <c r="P87" s="55">
        <v>4280</v>
      </c>
      <c r="Q87" s="56" t="s">
        <v>21</v>
      </c>
      <c r="R87" s="53" t="s">
        <v>21</v>
      </c>
      <c r="S87" s="55" t="s">
        <v>21</v>
      </c>
      <c r="T87" s="55">
        <v>4280</v>
      </c>
      <c r="U87" s="55">
        <v>0</v>
      </c>
      <c r="V87" s="55">
        <v>4280</v>
      </c>
      <c r="W87" s="56" t="s">
        <v>21</v>
      </c>
      <c r="X87" s="53" t="s">
        <v>21</v>
      </c>
      <c r="Y87" s="55" t="s">
        <v>21</v>
      </c>
      <c r="Z87" s="55">
        <v>4280</v>
      </c>
      <c r="AA87" s="55">
        <v>0</v>
      </c>
    </row>
    <row r="88" spans="1:27" ht="19.5">
      <c r="A88" s="53">
        <v>9</v>
      </c>
      <c r="B88" s="54" t="s">
        <v>13</v>
      </c>
      <c r="C88" s="53">
        <v>535</v>
      </c>
      <c r="D88" s="55">
        <v>4280</v>
      </c>
      <c r="E88" s="56" t="s">
        <v>21</v>
      </c>
      <c r="F88" s="53" t="s">
        <v>21</v>
      </c>
      <c r="G88" s="55" t="s">
        <v>21</v>
      </c>
      <c r="H88" s="55">
        <v>4280</v>
      </c>
      <c r="I88" s="55">
        <v>0</v>
      </c>
      <c r="J88" s="55">
        <v>4280</v>
      </c>
      <c r="K88" s="56" t="s">
        <v>21</v>
      </c>
      <c r="L88" s="53" t="s">
        <v>21</v>
      </c>
      <c r="M88" s="55" t="s">
        <v>21</v>
      </c>
      <c r="N88" s="55">
        <v>4280</v>
      </c>
      <c r="O88" s="55">
        <v>0</v>
      </c>
      <c r="P88" s="55">
        <v>4280</v>
      </c>
      <c r="Q88" s="56" t="s">
        <v>21</v>
      </c>
      <c r="R88" s="53" t="s">
        <v>21</v>
      </c>
      <c r="S88" s="55" t="s">
        <v>21</v>
      </c>
      <c r="T88" s="55">
        <v>4280</v>
      </c>
      <c r="U88" s="55">
        <v>0</v>
      </c>
      <c r="V88" s="55">
        <v>4280</v>
      </c>
      <c r="W88" s="56" t="s">
        <v>21</v>
      </c>
      <c r="X88" s="53" t="s">
        <v>21</v>
      </c>
      <c r="Y88" s="55" t="s">
        <v>21</v>
      </c>
      <c r="Z88" s="55">
        <v>4280</v>
      </c>
      <c r="AA88" s="55">
        <v>0</v>
      </c>
    </row>
    <row r="89" spans="1:27" ht="19.5">
      <c r="A89" s="53">
        <v>9</v>
      </c>
      <c r="B89" s="54" t="s">
        <v>17</v>
      </c>
      <c r="C89" s="53">
        <v>535</v>
      </c>
      <c r="D89" s="55">
        <v>4280</v>
      </c>
      <c r="E89" s="56" t="s">
        <v>21</v>
      </c>
      <c r="F89" s="53" t="s">
        <v>21</v>
      </c>
      <c r="G89" s="55" t="s">
        <v>21</v>
      </c>
      <c r="H89" s="55">
        <v>4280</v>
      </c>
      <c r="I89" s="55">
        <v>0</v>
      </c>
      <c r="J89" s="55">
        <v>4280</v>
      </c>
      <c r="K89" s="56" t="s">
        <v>21</v>
      </c>
      <c r="L89" s="53" t="s">
        <v>21</v>
      </c>
      <c r="M89" s="55" t="s">
        <v>21</v>
      </c>
      <c r="N89" s="55">
        <v>4280</v>
      </c>
      <c r="O89" s="55">
        <v>0</v>
      </c>
      <c r="P89" s="55">
        <v>4280</v>
      </c>
      <c r="Q89" s="56" t="s">
        <v>21</v>
      </c>
      <c r="R89" s="53" t="s">
        <v>21</v>
      </c>
      <c r="S89" s="55" t="s">
        <v>21</v>
      </c>
      <c r="T89" s="55">
        <v>4280</v>
      </c>
      <c r="U89" s="55">
        <v>0</v>
      </c>
      <c r="V89" s="55">
        <v>4280</v>
      </c>
      <c r="W89" s="56" t="s">
        <v>21</v>
      </c>
      <c r="X89" s="53" t="s">
        <v>21</v>
      </c>
      <c r="Y89" s="55" t="s">
        <v>21</v>
      </c>
      <c r="Z89" s="55">
        <v>4280</v>
      </c>
      <c r="AA89" s="55">
        <v>0</v>
      </c>
    </row>
    <row r="90" spans="1:27" ht="19.5">
      <c r="A90" s="53">
        <v>9</v>
      </c>
      <c r="B90" s="54" t="s">
        <v>23</v>
      </c>
      <c r="C90" s="53">
        <v>535</v>
      </c>
      <c r="D90" s="55">
        <v>4280</v>
      </c>
      <c r="E90" s="56" t="s">
        <v>21</v>
      </c>
      <c r="F90" s="53" t="s">
        <v>21</v>
      </c>
      <c r="G90" s="55" t="s">
        <v>21</v>
      </c>
      <c r="H90" s="55">
        <v>4280</v>
      </c>
      <c r="I90" s="55">
        <v>0</v>
      </c>
      <c r="J90" s="55">
        <v>4280</v>
      </c>
      <c r="K90" s="56" t="s">
        <v>21</v>
      </c>
      <c r="L90" s="53" t="s">
        <v>21</v>
      </c>
      <c r="M90" s="55" t="s">
        <v>21</v>
      </c>
      <c r="N90" s="55">
        <v>4280</v>
      </c>
      <c r="O90" s="55">
        <v>0</v>
      </c>
      <c r="P90" s="55">
        <v>4280</v>
      </c>
      <c r="Q90" s="56" t="s">
        <v>21</v>
      </c>
      <c r="R90" s="53" t="s">
        <v>21</v>
      </c>
      <c r="S90" s="55" t="s">
        <v>21</v>
      </c>
      <c r="T90" s="55">
        <v>4280</v>
      </c>
      <c r="U90" s="55">
        <v>0</v>
      </c>
      <c r="V90" s="55">
        <v>4280</v>
      </c>
      <c r="W90" s="56" t="s">
        <v>21</v>
      </c>
      <c r="X90" s="53" t="s">
        <v>21</v>
      </c>
      <c r="Y90" s="55" t="s">
        <v>21</v>
      </c>
      <c r="Z90" s="55">
        <v>4280</v>
      </c>
      <c r="AA90" s="55">
        <v>0</v>
      </c>
    </row>
    <row r="91" spans="1:27" ht="19.5">
      <c r="A91" s="53">
        <v>9</v>
      </c>
      <c r="B91" s="54" t="s">
        <v>19</v>
      </c>
      <c r="C91" s="53">
        <v>535</v>
      </c>
      <c r="D91" s="55">
        <v>4280</v>
      </c>
      <c r="E91" s="56" t="s">
        <v>21</v>
      </c>
      <c r="F91" s="53" t="s">
        <v>21</v>
      </c>
      <c r="G91" s="55" t="s">
        <v>21</v>
      </c>
      <c r="H91" s="55">
        <v>4280</v>
      </c>
      <c r="I91" s="55">
        <v>0</v>
      </c>
      <c r="J91" s="55">
        <v>4280</v>
      </c>
      <c r="K91" s="56" t="s">
        <v>21</v>
      </c>
      <c r="L91" s="53" t="s">
        <v>21</v>
      </c>
      <c r="M91" s="55" t="s">
        <v>21</v>
      </c>
      <c r="N91" s="55">
        <v>4280</v>
      </c>
      <c r="O91" s="55">
        <v>0</v>
      </c>
      <c r="P91" s="55">
        <v>4280</v>
      </c>
      <c r="Q91" s="56" t="s">
        <v>21</v>
      </c>
      <c r="R91" s="53" t="s">
        <v>21</v>
      </c>
      <c r="S91" s="55" t="s">
        <v>21</v>
      </c>
      <c r="T91" s="55">
        <v>4280</v>
      </c>
      <c r="U91" s="55">
        <v>0</v>
      </c>
      <c r="V91" s="55">
        <v>4280</v>
      </c>
      <c r="W91" s="56" t="s">
        <v>21</v>
      </c>
      <c r="X91" s="53" t="s">
        <v>21</v>
      </c>
      <c r="Y91" s="55" t="s">
        <v>21</v>
      </c>
      <c r="Z91" s="55">
        <v>4280</v>
      </c>
      <c r="AA91" s="55">
        <v>0</v>
      </c>
    </row>
    <row r="92" spans="1:27" s="52" customFormat="1" ht="15">
      <c r="A92" s="63" t="s">
        <v>21</v>
      </c>
      <c r="B92" s="63" t="s">
        <v>21</v>
      </c>
      <c r="C92" s="63" t="s">
        <v>21</v>
      </c>
      <c r="D92" s="63" t="s">
        <v>21</v>
      </c>
      <c r="E92" s="63" t="s">
        <v>21</v>
      </c>
      <c r="F92" s="63" t="s">
        <v>21</v>
      </c>
      <c r="G92" s="63" t="s">
        <v>21</v>
      </c>
      <c r="H92" s="63" t="s">
        <v>21</v>
      </c>
      <c r="I92" s="63" t="s">
        <v>21</v>
      </c>
      <c r="J92" s="63" t="s">
        <v>21</v>
      </c>
      <c r="K92" s="63" t="s">
        <v>21</v>
      </c>
      <c r="L92" s="63" t="s">
        <v>21</v>
      </c>
      <c r="M92" s="63" t="s">
        <v>21</v>
      </c>
      <c r="N92" s="63" t="s">
        <v>21</v>
      </c>
      <c r="O92" s="63" t="s">
        <v>21</v>
      </c>
      <c r="P92" s="63" t="s">
        <v>21</v>
      </c>
      <c r="Q92" s="63" t="s">
        <v>21</v>
      </c>
      <c r="R92" s="63" t="s">
        <v>21</v>
      </c>
      <c r="S92" s="63" t="s">
        <v>21</v>
      </c>
      <c r="T92" s="63" t="s">
        <v>21</v>
      </c>
      <c r="U92" s="63" t="s">
        <v>21</v>
      </c>
      <c r="V92" s="63" t="s">
        <v>21</v>
      </c>
      <c r="W92" s="63" t="s">
        <v>21</v>
      </c>
      <c r="X92" s="63" t="s">
        <v>21</v>
      </c>
      <c r="Y92" s="63" t="s">
        <v>21</v>
      </c>
      <c r="Z92" s="63" t="s">
        <v>21</v>
      </c>
      <c r="AA92" s="63" t="s">
        <v>21</v>
      </c>
    </row>
    <row r="93" spans="1:27" ht="19.5">
      <c r="A93" s="53">
        <v>10</v>
      </c>
      <c r="B93" s="54" t="s">
        <v>14</v>
      </c>
      <c r="C93" s="53">
        <v>543</v>
      </c>
      <c r="D93" s="55">
        <v>4344</v>
      </c>
      <c r="E93" s="56" t="s">
        <v>21</v>
      </c>
      <c r="F93" s="53" t="s">
        <v>21</v>
      </c>
      <c r="G93" s="55" t="s">
        <v>21</v>
      </c>
      <c r="H93" s="55">
        <v>4344</v>
      </c>
      <c r="I93" s="55">
        <v>0</v>
      </c>
      <c r="J93" s="55">
        <v>4344</v>
      </c>
      <c r="K93" s="56" t="s">
        <v>21</v>
      </c>
      <c r="L93" s="53" t="s">
        <v>21</v>
      </c>
      <c r="M93" s="55" t="s">
        <v>21</v>
      </c>
      <c r="N93" s="55">
        <v>4344</v>
      </c>
      <c r="O93" s="55">
        <v>0</v>
      </c>
      <c r="P93" s="55">
        <v>4344</v>
      </c>
      <c r="Q93" s="56" t="s">
        <v>21</v>
      </c>
      <c r="R93" s="53" t="s">
        <v>21</v>
      </c>
      <c r="S93" s="55" t="s">
        <v>21</v>
      </c>
      <c r="T93" s="55">
        <v>4344</v>
      </c>
      <c r="U93" s="55">
        <v>0</v>
      </c>
      <c r="V93" s="55">
        <v>4344</v>
      </c>
      <c r="W93" s="56" t="s">
        <v>21</v>
      </c>
      <c r="X93" s="53" t="s">
        <v>21</v>
      </c>
      <c r="Y93" s="55" t="s">
        <v>21</v>
      </c>
      <c r="Z93" s="55">
        <v>4344</v>
      </c>
      <c r="AA93" s="55">
        <v>0</v>
      </c>
    </row>
    <row r="94" spans="1:27" ht="19.5">
      <c r="A94" s="53">
        <v>10</v>
      </c>
      <c r="B94" s="54" t="s">
        <v>15</v>
      </c>
      <c r="C94" s="53">
        <v>543</v>
      </c>
      <c r="D94" s="55">
        <v>4344</v>
      </c>
      <c r="E94" s="56" t="s">
        <v>21</v>
      </c>
      <c r="F94" s="53" t="s">
        <v>21</v>
      </c>
      <c r="G94" s="55" t="s">
        <v>21</v>
      </c>
      <c r="H94" s="55">
        <v>4344</v>
      </c>
      <c r="I94" s="55">
        <v>0</v>
      </c>
      <c r="J94" s="55">
        <v>4344</v>
      </c>
      <c r="K94" s="56" t="s">
        <v>21</v>
      </c>
      <c r="L94" s="53" t="s">
        <v>21</v>
      </c>
      <c r="M94" s="55" t="s">
        <v>21</v>
      </c>
      <c r="N94" s="55">
        <v>4344</v>
      </c>
      <c r="O94" s="55">
        <v>0</v>
      </c>
      <c r="P94" s="55">
        <v>4344</v>
      </c>
      <c r="Q94" s="56" t="s">
        <v>21</v>
      </c>
      <c r="R94" s="53" t="s">
        <v>21</v>
      </c>
      <c r="S94" s="55" t="s">
        <v>21</v>
      </c>
      <c r="T94" s="55">
        <v>4344</v>
      </c>
      <c r="U94" s="55">
        <v>0</v>
      </c>
      <c r="V94" s="55">
        <v>4344</v>
      </c>
      <c r="W94" s="56" t="s">
        <v>21</v>
      </c>
      <c r="X94" s="53" t="s">
        <v>21</v>
      </c>
      <c r="Y94" s="55" t="s">
        <v>21</v>
      </c>
      <c r="Z94" s="55">
        <v>4344</v>
      </c>
      <c r="AA94" s="55">
        <v>0</v>
      </c>
    </row>
    <row r="95" spans="1:27" ht="19.5">
      <c r="A95" s="53">
        <v>10</v>
      </c>
      <c r="B95" s="54" t="s">
        <v>12</v>
      </c>
      <c r="C95" s="53">
        <v>543</v>
      </c>
      <c r="D95" s="55">
        <v>4344</v>
      </c>
      <c r="E95" s="56" t="s">
        <v>21</v>
      </c>
      <c r="F95" s="53" t="s">
        <v>21</v>
      </c>
      <c r="G95" s="55" t="s">
        <v>21</v>
      </c>
      <c r="H95" s="55">
        <v>4344</v>
      </c>
      <c r="I95" s="55">
        <v>0</v>
      </c>
      <c r="J95" s="55">
        <v>4344</v>
      </c>
      <c r="K95" s="56" t="s">
        <v>21</v>
      </c>
      <c r="L95" s="53" t="s">
        <v>21</v>
      </c>
      <c r="M95" s="55" t="s">
        <v>21</v>
      </c>
      <c r="N95" s="55">
        <v>4344</v>
      </c>
      <c r="O95" s="55">
        <v>0</v>
      </c>
      <c r="P95" s="55">
        <v>4344</v>
      </c>
      <c r="Q95" s="56" t="s">
        <v>21</v>
      </c>
      <c r="R95" s="53" t="s">
        <v>21</v>
      </c>
      <c r="S95" s="55" t="s">
        <v>21</v>
      </c>
      <c r="T95" s="55">
        <v>4344</v>
      </c>
      <c r="U95" s="55">
        <v>0</v>
      </c>
      <c r="V95" s="55">
        <v>4344</v>
      </c>
      <c r="W95" s="56" t="s">
        <v>21</v>
      </c>
      <c r="X95" s="53" t="s">
        <v>21</v>
      </c>
      <c r="Y95" s="55" t="s">
        <v>21</v>
      </c>
      <c r="Z95" s="55">
        <v>4344</v>
      </c>
      <c r="AA95" s="55">
        <v>0</v>
      </c>
    </row>
    <row r="96" spans="1:27" ht="19.5">
      <c r="A96" s="53">
        <v>10</v>
      </c>
      <c r="B96" s="54" t="s">
        <v>22</v>
      </c>
      <c r="C96" s="53">
        <v>543</v>
      </c>
      <c r="D96" s="55">
        <v>4344</v>
      </c>
      <c r="E96" s="56" t="s">
        <v>21</v>
      </c>
      <c r="F96" s="53" t="s">
        <v>21</v>
      </c>
      <c r="G96" s="55" t="s">
        <v>21</v>
      </c>
      <c r="H96" s="55">
        <v>4344</v>
      </c>
      <c r="I96" s="55">
        <v>0</v>
      </c>
      <c r="J96" s="55">
        <v>4344</v>
      </c>
      <c r="K96" s="56" t="s">
        <v>21</v>
      </c>
      <c r="L96" s="53" t="s">
        <v>21</v>
      </c>
      <c r="M96" s="55" t="s">
        <v>21</v>
      </c>
      <c r="N96" s="55">
        <v>4344</v>
      </c>
      <c r="O96" s="55">
        <v>0</v>
      </c>
      <c r="P96" s="55">
        <v>4344</v>
      </c>
      <c r="Q96" s="56" t="s">
        <v>21</v>
      </c>
      <c r="R96" s="53" t="s">
        <v>21</v>
      </c>
      <c r="S96" s="55" t="s">
        <v>21</v>
      </c>
      <c r="T96" s="55">
        <v>4344</v>
      </c>
      <c r="U96" s="55">
        <v>0</v>
      </c>
      <c r="V96" s="55">
        <v>4344</v>
      </c>
      <c r="W96" s="56" t="s">
        <v>21</v>
      </c>
      <c r="X96" s="53" t="s">
        <v>21</v>
      </c>
      <c r="Y96" s="55" t="s">
        <v>21</v>
      </c>
      <c r="Z96" s="55">
        <v>4344</v>
      </c>
      <c r="AA96" s="55">
        <v>0</v>
      </c>
    </row>
    <row r="97" spans="1:27" ht="19.5">
      <c r="A97" s="53">
        <v>10</v>
      </c>
      <c r="B97" s="54" t="s">
        <v>24</v>
      </c>
      <c r="C97" s="53">
        <v>543</v>
      </c>
      <c r="D97" s="55">
        <v>4344</v>
      </c>
      <c r="E97" s="56" t="s">
        <v>21</v>
      </c>
      <c r="F97" s="53" t="s">
        <v>21</v>
      </c>
      <c r="G97" s="55" t="s">
        <v>21</v>
      </c>
      <c r="H97" s="55">
        <v>4344</v>
      </c>
      <c r="I97" s="55">
        <v>0</v>
      </c>
      <c r="J97" s="55">
        <v>4344</v>
      </c>
      <c r="K97" s="56" t="s">
        <v>21</v>
      </c>
      <c r="L97" s="53" t="s">
        <v>21</v>
      </c>
      <c r="M97" s="55" t="s">
        <v>21</v>
      </c>
      <c r="N97" s="55">
        <v>4344</v>
      </c>
      <c r="O97" s="55">
        <v>0</v>
      </c>
      <c r="P97" s="55">
        <v>4344</v>
      </c>
      <c r="Q97" s="56" t="s">
        <v>21</v>
      </c>
      <c r="R97" s="53" t="s">
        <v>21</v>
      </c>
      <c r="S97" s="55" t="s">
        <v>21</v>
      </c>
      <c r="T97" s="55">
        <v>4344</v>
      </c>
      <c r="U97" s="55">
        <v>0</v>
      </c>
      <c r="V97" s="55">
        <v>4344</v>
      </c>
      <c r="W97" s="56" t="s">
        <v>21</v>
      </c>
      <c r="X97" s="53" t="s">
        <v>21</v>
      </c>
      <c r="Y97" s="55" t="s">
        <v>21</v>
      </c>
      <c r="Z97" s="55">
        <v>4344</v>
      </c>
      <c r="AA97" s="55">
        <v>0</v>
      </c>
    </row>
    <row r="98" spans="1:27" ht="19.5">
      <c r="A98" s="53">
        <v>10</v>
      </c>
      <c r="B98" s="54" t="s">
        <v>13</v>
      </c>
      <c r="C98" s="53">
        <v>543</v>
      </c>
      <c r="D98" s="55">
        <v>4344</v>
      </c>
      <c r="E98" s="56" t="s">
        <v>21</v>
      </c>
      <c r="F98" s="53" t="s">
        <v>21</v>
      </c>
      <c r="G98" s="55" t="s">
        <v>21</v>
      </c>
      <c r="H98" s="55">
        <v>4344</v>
      </c>
      <c r="I98" s="55">
        <v>0</v>
      </c>
      <c r="J98" s="55">
        <v>4344</v>
      </c>
      <c r="K98" s="56" t="s">
        <v>21</v>
      </c>
      <c r="L98" s="53" t="s">
        <v>21</v>
      </c>
      <c r="M98" s="55" t="s">
        <v>21</v>
      </c>
      <c r="N98" s="55">
        <v>4344</v>
      </c>
      <c r="O98" s="55">
        <v>0</v>
      </c>
      <c r="P98" s="55">
        <v>4344</v>
      </c>
      <c r="Q98" s="56" t="s">
        <v>21</v>
      </c>
      <c r="R98" s="53" t="s">
        <v>21</v>
      </c>
      <c r="S98" s="55" t="s">
        <v>21</v>
      </c>
      <c r="T98" s="55">
        <v>4344</v>
      </c>
      <c r="U98" s="55">
        <v>0</v>
      </c>
      <c r="V98" s="55">
        <v>4344</v>
      </c>
      <c r="W98" s="56" t="s">
        <v>21</v>
      </c>
      <c r="X98" s="53" t="s">
        <v>21</v>
      </c>
      <c r="Y98" s="55" t="s">
        <v>21</v>
      </c>
      <c r="Z98" s="55">
        <v>4344</v>
      </c>
      <c r="AA98" s="55">
        <v>0</v>
      </c>
    </row>
    <row r="99" spans="1:27" ht="19.5">
      <c r="A99" s="53">
        <v>10</v>
      </c>
      <c r="B99" s="54" t="s">
        <v>17</v>
      </c>
      <c r="C99" s="53">
        <v>543</v>
      </c>
      <c r="D99" s="55">
        <v>4344</v>
      </c>
      <c r="E99" s="56" t="s">
        <v>21</v>
      </c>
      <c r="F99" s="53" t="s">
        <v>21</v>
      </c>
      <c r="G99" s="55" t="s">
        <v>21</v>
      </c>
      <c r="H99" s="55">
        <v>4344</v>
      </c>
      <c r="I99" s="55">
        <v>0</v>
      </c>
      <c r="J99" s="55">
        <v>4344</v>
      </c>
      <c r="K99" s="56" t="s">
        <v>21</v>
      </c>
      <c r="L99" s="53" t="s">
        <v>21</v>
      </c>
      <c r="M99" s="55" t="s">
        <v>21</v>
      </c>
      <c r="N99" s="55">
        <v>4344</v>
      </c>
      <c r="O99" s="55">
        <v>0</v>
      </c>
      <c r="P99" s="55">
        <v>4344</v>
      </c>
      <c r="Q99" s="56" t="s">
        <v>21</v>
      </c>
      <c r="R99" s="53" t="s">
        <v>21</v>
      </c>
      <c r="S99" s="55" t="s">
        <v>21</v>
      </c>
      <c r="T99" s="55">
        <v>4344</v>
      </c>
      <c r="U99" s="55">
        <v>0</v>
      </c>
      <c r="V99" s="55">
        <v>4344</v>
      </c>
      <c r="W99" s="56" t="s">
        <v>21</v>
      </c>
      <c r="X99" s="53" t="s">
        <v>21</v>
      </c>
      <c r="Y99" s="55" t="s">
        <v>21</v>
      </c>
      <c r="Z99" s="55">
        <v>4344</v>
      </c>
      <c r="AA99" s="55">
        <v>0</v>
      </c>
    </row>
    <row r="100" spans="1:27" ht="19.5">
      <c r="A100" s="53">
        <v>10</v>
      </c>
      <c r="B100" s="54" t="s">
        <v>23</v>
      </c>
      <c r="C100" s="53">
        <v>543</v>
      </c>
      <c r="D100" s="55">
        <v>4344</v>
      </c>
      <c r="E100" s="56" t="s">
        <v>21</v>
      </c>
      <c r="F100" s="53" t="s">
        <v>21</v>
      </c>
      <c r="G100" s="55" t="s">
        <v>21</v>
      </c>
      <c r="H100" s="55">
        <v>4344</v>
      </c>
      <c r="I100" s="55">
        <v>0</v>
      </c>
      <c r="J100" s="55">
        <v>4344</v>
      </c>
      <c r="K100" s="56" t="s">
        <v>21</v>
      </c>
      <c r="L100" s="53" t="s">
        <v>21</v>
      </c>
      <c r="M100" s="55" t="s">
        <v>21</v>
      </c>
      <c r="N100" s="55">
        <v>4344</v>
      </c>
      <c r="O100" s="55">
        <v>0</v>
      </c>
      <c r="P100" s="55">
        <v>4344</v>
      </c>
      <c r="Q100" s="56" t="s">
        <v>21</v>
      </c>
      <c r="R100" s="53" t="s">
        <v>21</v>
      </c>
      <c r="S100" s="55" t="s">
        <v>21</v>
      </c>
      <c r="T100" s="55">
        <v>4344</v>
      </c>
      <c r="U100" s="55">
        <v>0</v>
      </c>
      <c r="V100" s="55">
        <v>4344</v>
      </c>
      <c r="W100" s="56" t="s">
        <v>21</v>
      </c>
      <c r="X100" s="53" t="s">
        <v>21</v>
      </c>
      <c r="Y100" s="55" t="s">
        <v>21</v>
      </c>
      <c r="Z100" s="55">
        <v>4344</v>
      </c>
      <c r="AA100" s="55">
        <v>0</v>
      </c>
    </row>
    <row r="101" spans="1:27" ht="19.5">
      <c r="A101" s="53">
        <v>10</v>
      </c>
      <c r="B101" s="54" t="s">
        <v>19</v>
      </c>
      <c r="C101" s="53">
        <v>543</v>
      </c>
      <c r="D101" s="55">
        <v>4344</v>
      </c>
      <c r="E101" s="56" t="s">
        <v>21</v>
      </c>
      <c r="F101" s="53" t="s">
        <v>21</v>
      </c>
      <c r="G101" s="55" t="s">
        <v>21</v>
      </c>
      <c r="H101" s="55">
        <v>4344</v>
      </c>
      <c r="I101" s="55">
        <v>0</v>
      </c>
      <c r="J101" s="55">
        <v>4344</v>
      </c>
      <c r="K101" s="56" t="s">
        <v>21</v>
      </c>
      <c r="L101" s="53" t="s">
        <v>21</v>
      </c>
      <c r="M101" s="55" t="s">
        <v>21</v>
      </c>
      <c r="N101" s="55">
        <v>4344</v>
      </c>
      <c r="O101" s="55">
        <v>0</v>
      </c>
      <c r="P101" s="55">
        <v>4344</v>
      </c>
      <c r="Q101" s="56" t="s">
        <v>21</v>
      </c>
      <c r="R101" s="53" t="s">
        <v>21</v>
      </c>
      <c r="S101" s="55" t="s">
        <v>21</v>
      </c>
      <c r="T101" s="55">
        <v>4344</v>
      </c>
      <c r="U101" s="55">
        <v>0</v>
      </c>
      <c r="V101" s="55">
        <v>4344</v>
      </c>
      <c r="W101" s="56" t="s">
        <v>21</v>
      </c>
      <c r="X101" s="53" t="s">
        <v>21</v>
      </c>
      <c r="Y101" s="55" t="s">
        <v>21</v>
      </c>
      <c r="Z101" s="55">
        <v>4344</v>
      </c>
      <c r="AA101" s="55">
        <v>0</v>
      </c>
    </row>
    <row r="102" spans="1:27" s="52" customFormat="1" ht="15">
      <c r="A102" s="63" t="s">
        <v>21</v>
      </c>
      <c r="B102" s="63" t="s">
        <v>21</v>
      </c>
      <c r="C102" s="63" t="s">
        <v>21</v>
      </c>
      <c r="D102" s="63" t="s">
        <v>21</v>
      </c>
      <c r="E102" s="63" t="s">
        <v>21</v>
      </c>
      <c r="F102" s="63" t="s">
        <v>21</v>
      </c>
      <c r="G102" s="63" t="s">
        <v>21</v>
      </c>
      <c r="H102" s="63" t="s">
        <v>21</v>
      </c>
      <c r="I102" s="63" t="s">
        <v>21</v>
      </c>
      <c r="J102" s="63" t="s">
        <v>21</v>
      </c>
      <c r="K102" s="63" t="s">
        <v>21</v>
      </c>
      <c r="L102" s="63" t="s">
        <v>21</v>
      </c>
      <c r="M102" s="63" t="s">
        <v>21</v>
      </c>
      <c r="N102" s="63" t="s">
        <v>21</v>
      </c>
      <c r="O102" s="63" t="s">
        <v>21</v>
      </c>
      <c r="P102" s="63" t="s">
        <v>21</v>
      </c>
      <c r="Q102" s="63" t="s">
        <v>21</v>
      </c>
      <c r="R102" s="63" t="s">
        <v>21</v>
      </c>
      <c r="S102" s="63" t="s">
        <v>21</v>
      </c>
      <c r="T102" s="63" t="s">
        <v>21</v>
      </c>
      <c r="U102" s="63" t="s">
        <v>21</v>
      </c>
      <c r="V102" s="63" t="s">
        <v>21</v>
      </c>
      <c r="W102" s="63" t="s">
        <v>21</v>
      </c>
      <c r="X102" s="63" t="s">
        <v>21</v>
      </c>
      <c r="Y102" s="63" t="s">
        <v>21</v>
      </c>
      <c r="Z102" s="63" t="s">
        <v>21</v>
      </c>
      <c r="AA102" s="63" t="s">
        <v>21</v>
      </c>
    </row>
    <row r="103" spans="1:27" ht="19.5">
      <c r="A103" s="57" t="s">
        <v>25</v>
      </c>
      <c r="B103" s="58" t="s">
        <v>26</v>
      </c>
      <c r="C103" s="57">
        <v>571</v>
      </c>
      <c r="D103" s="55" t="s">
        <v>21</v>
      </c>
      <c r="E103" s="55" t="s">
        <v>21</v>
      </c>
      <c r="F103" s="59" t="s">
        <v>21</v>
      </c>
      <c r="G103" s="55" t="s">
        <v>21</v>
      </c>
      <c r="H103" s="55">
        <v>0</v>
      </c>
      <c r="I103" s="55">
        <v>0</v>
      </c>
      <c r="J103" s="55">
        <v>4568</v>
      </c>
      <c r="K103" s="55" t="s">
        <v>21</v>
      </c>
      <c r="L103" s="59" t="s">
        <v>21</v>
      </c>
      <c r="M103" s="55" t="s">
        <v>21</v>
      </c>
      <c r="N103" s="55">
        <v>4568</v>
      </c>
      <c r="O103" s="55">
        <v>0</v>
      </c>
      <c r="P103" s="55">
        <v>4568</v>
      </c>
      <c r="Q103" s="55" t="s">
        <v>21</v>
      </c>
      <c r="R103" s="59" t="s">
        <v>21</v>
      </c>
      <c r="S103" s="55" t="s">
        <v>21</v>
      </c>
      <c r="T103" s="55">
        <v>4568</v>
      </c>
      <c r="U103" s="55">
        <v>0</v>
      </c>
      <c r="V103" s="55">
        <v>4568</v>
      </c>
      <c r="W103" s="55" t="s">
        <v>21</v>
      </c>
      <c r="X103" s="59" t="s">
        <v>21</v>
      </c>
      <c r="Y103" s="55" t="s">
        <v>21</v>
      </c>
      <c r="Z103" s="55">
        <v>4568</v>
      </c>
      <c r="AA103" s="55">
        <v>0</v>
      </c>
    </row>
    <row r="104" spans="1:27" ht="19.5">
      <c r="A104" s="57" t="s">
        <v>25</v>
      </c>
      <c r="B104" s="58" t="s">
        <v>28</v>
      </c>
      <c r="C104" s="57">
        <v>515</v>
      </c>
      <c r="D104" s="64" t="s">
        <v>21</v>
      </c>
      <c r="E104" s="55" t="s">
        <v>21</v>
      </c>
      <c r="F104" s="59" t="s">
        <v>21</v>
      </c>
      <c r="G104" s="55" t="s">
        <v>21</v>
      </c>
      <c r="H104" s="55">
        <v>0</v>
      </c>
      <c r="I104" s="55">
        <v>0</v>
      </c>
      <c r="J104" s="55">
        <v>4120</v>
      </c>
      <c r="K104" s="55" t="s">
        <v>21</v>
      </c>
      <c r="L104" s="59" t="s">
        <v>21</v>
      </c>
      <c r="M104" s="55" t="s">
        <v>21</v>
      </c>
      <c r="N104" s="55">
        <v>4120</v>
      </c>
      <c r="O104" s="55">
        <v>0</v>
      </c>
      <c r="P104" s="55">
        <v>4120</v>
      </c>
      <c r="Q104" s="55" t="s">
        <v>21</v>
      </c>
      <c r="R104" s="59" t="s">
        <v>21</v>
      </c>
      <c r="S104" s="55" t="s">
        <v>21</v>
      </c>
      <c r="T104" s="55">
        <v>4120</v>
      </c>
      <c r="U104" s="55">
        <v>0</v>
      </c>
      <c r="V104" s="55">
        <v>4120</v>
      </c>
      <c r="W104" s="55" t="s">
        <v>21</v>
      </c>
      <c r="X104" s="59" t="s">
        <v>21</v>
      </c>
      <c r="Y104" s="55" t="s">
        <v>21</v>
      </c>
      <c r="Z104" s="55">
        <v>4120</v>
      </c>
      <c r="AA104" s="55">
        <v>0</v>
      </c>
    </row>
    <row r="105" spans="1:27" ht="19.5">
      <c r="A105" s="57" t="s">
        <v>25</v>
      </c>
      <c r="B105" s="58" t="s">
        <v>29</v>
      </c>
      <c r="C105" s="65">
        <v>571</v>
      </c>
      <c r="D105" s="66" t="s">
        <v>21</v>
      </c>
      <c r="E105" s="55" t="s">
        <v>21</v>
      </c>
      <c r="F105" s="59" t="s">
        <v>21</v>
      </c>
      <c r="G105" s="55" t="s">
        <v>21</v>
      </c>
      <c r="H105" s="55">
        <v>0</v>
      </c>
      <c r="I105" s="55">
        <v>0</v>
      </c>
      <c r="J105" s="55">
        <v>4568</v>
      </c>
      <c r="K105" s="55" t="s">
        <v>21</v>
      </c>
      <c r="L105" s="59" t="s">
        <v>21</v>
      </c>
      <c r="M105" s="55" t="s">
        <v>21</v>
      </c>
      <c r="N105" s="55">
        <v>4568</v>
      </c>
      <c r="O105" s="55">
        <v>0</v>
      </c>
      <c r="P105" s="55">
        <v>4568</v>
      </c>
      <c r="Q105" s="55" t="s">
        <v>21</v>
      </c>
      <c r="R105" s="59" t="s">
        <v>21</v>
      </c>
      <c r="S105" s="55" t="s">
        <v>21</v>
      </c>
      <c r="T105" s="55">
        <v>4568</v>
      </c>
      <c r="U105" s="55">
        <v>0</v>
      </c>
      <c r="V105" s="55">
        <v>4568</v>
      </c>
      <c r="W105" s="55" t="s">
        <v>21</v>
      </c>
      <c r="X105" s="59" t="s">
        <v>21</v>
      </c>
      <c r="Y105" s="55" t="s">
        <v>21</v>
      </c>
      <c r="Z105" s="55">
        <v>4568</v>
      </c>
      <c r="AA105" s="55">
        <v>0</v>
      </c>
    </row>
    <row r="106" spans="1:27" ht="19.5">
      <c r="A106" s="57" t="s">
        <v>25</v>
      </c>
      <c r="B106" s="58" t="s">
        <v>30</v>
      </c>
      <c r="C106" s="57">
        <v>515</v>
      </c>
      <c r="D106" s="67" t="s">
        <v>21</v>
      </c>
      <c r="E106" s="55" t="s">
        <v>21</v>
      </c>
      <c r="F106" s="59" t="s">
        <v>21</v>
      </c>
      <c r="G106" s="55" t="s">
        <v>21</v>
      </c>
      <c r="H106" s="55">
        <v>0</v>
      </c>
      <c r="I106" s="55">
        <v>0</v>
      </c>
      <c r="J106" s="55">
        <v>4120</v>
      </c>
      <c r="K106" s="55" t="s">
        <v>21</v>
      </c>
      <c r="L106" s="59" t="s">
        <v>21</v>
      </c>
      <c r="M106" s="55" t="s">
        <v>21</v>
      </c>
      <c r="N106" s="55">
        <v>4120</v>
      </c>
      <c r="O106" s="55">
        <v>0</v>
      </c>
      <c r="P106" s="55">
        <v>4120</v>
      </c>
      <c r="Q106" s="55" t="s">
        <v>21</v>
      </c>
      <c r="R106" s="59" t="s">
        <v>21</v>
      </c>
      <c r="S106" s="55" t="s">
        <v>21</v>
      </c>
      <c r="T106" s="55">
        <v>4120</v>
      </c>
      <c r="U106" s="55">
        <v>0</v>
      </c>
      <c r="V106" s="55">
        <v>4120</v>
      </c>
      <c r="W106" s="55" t="s">
        <v>21</v>
      </c>
      <c r="X106" s="59" t="s">
        <v>21</v>
      </c>
      <c r="Y106" s="55" t="s">
        <v>21</v>
      </c>
      <c r="Z106" s="55">
        <v>4120</v>
      </c>
      <c r="AA106" s="55">
        <v>0</v>
      </c>
    </row>
    <row r="107" spans="1:27" ht="28.5">
      <c r="A107" s="57" t="s">
        <v>25</v>
      </c>
      <c r="B107" s="58" t="s">
        <v>31</v>
      </c>
      <c r="C107" s="57">
        <v>571</v>
      </c>
      <c r="D107" s="55" t="s">
        <v>21</v>
      </c>
      <c r="E107" s="55" t="s">
        <v>21</v>
      </c>
      <c r="F107" s="59" t="s">
        <v>21</v>
      </c>
      <c r="G107" s="55" t="s">
        <v>21</v>
      </c>
      <c r="H107" s="55">
        <v>0</v>
      </c>
      <c r="I107" s="55">
        <v>0</v>
      </c>
      <c r="J107" s="55">
        <v>4568</v>
      </c>
      <c r="K107" s="55" t="s">
        <v>21</v>
      </c>
      <c r="L107" s="59" t="s">
        <v>21</v>
      </c>
      <c r="M107" s="55" t="s">
        <v>21</v>
      </c>
      <c r="N107" s="55">
        <v>4568</v>
      </c>
      <c r="O107" s="55">
        <v>0</v>
      </c>
      <c r="P107" s="55">
        <v>4568</v>
      </c>
      <c r="Q107" s="55" t="s">
        <v>21</v>
      </c>
      <c r="R107" s="59" t="s">
        <v>21</v>
      </c>
      <c r="S107" s="55" t="s">
        <v>21</v>
      </c>
      <c r="T107" s="55">
        <v>4568</v>
      </c>
      <c r="U107" s="55">
        <v>0</v>
      </c>
      <c r="V107" s="55">
        <v>4568</v>
      </c>
      <c r="W107" s="55" t="s">
        <v>21</v>
      </c>
      <c r="X107" s="59" t="s">
        <v>21</v>
      </c>
      <c r="Y107" s="55" t="s">
        <v>21</v>
      </c>
      <c r="Z107" s="55">
        <v>4568</v>
      </c>
      <c r="AA107" s="55">
        <v>0</v>
      </c>
    </row>
    <row r="108" spans="1:27" ht="19.5">
      <c r="A108" s="57" t="s">
        <v>25</v>
      </c>
      <c r="B108" s="58" t="s">
        <v>32</v>
      </c>
      <c r="C108" s="57">
        <v>515</v>
      </c>
      <c r="D108" s="55" t="s">
        <v>21</v>
      </c>
      <c r="E108" s="55" t="s">
        <v>21</v>
      </c>
      <c r="F108" s="59" t="s">
        <v>21</v>
      </c>
      <c r="G108" s="55" t="s">
        <v>21</v>
      </c>
      <c r="H108" s="55">
        <v>0</v>
      </c>
      <c r="I108" s="55">
        <v>0</v>
      </c>
      <c r="J108" s="55">
        <v>4120</v>
      </c>
      <c r="K108" s="55" t="s">
        <v>21</v>
      </c>
      <c r="L108" s="59" t="s">
        <v>21</v>
      </c>
      <c r="M108" s="55" t="s">
        <v>21</v>
      </c>
      <c r="N108" s="55">
        <v>4120</v>
      </c>
      <c r="O108" s="55">
        <v>0</v>
      </c>
      <c r="P108" s="55">
        <v>4120</v>
      </c>
      <c r="Q108" s="55" t="s">
        <v>21</v>
      </c>
      <c r="R108" s="59" t="s">
        <v>21</v>
      </c>
      <c r="S108" s="55" t="s">
        <v>21</v>
      </c>
      <c r="T108" s="55">
        <v>4120</v>
      </c>
      <c r="U108" s="55">
        <v>0</v>
      </c>
      <c r="V108" s="55">
        <v>4120</v>
      </c>
      <c r="W108" s="55" t="s">
        <v>21</v>
      </c>
      <c r="X108" s="59" t="s">
        <v>21</v>
      </c>
      <c r="Y108" s="55" t="s">
        <v>21</v>
      </c>
      <c r="Z108" s="55">
        <v>4120</v>
      </c>
      <c r="AA108" s="55">
        <v>0</v>
      </c>
    </row>
    <row r="109" spans="1:27" ht="28.5">
      <c r="A109" s="57" t="s">
        <v>25</v>
      </c>
      <c r="B109" s="58" t="s">
        <v>33</v>
      </c>
      <c r="C109" s="57">
        <v>571</v>
      </c>
      <c r="D109" s="55" t="s">
        <v>21</v>
      </c>
      <c r="E109" s="55" t="s">
        <v>21</v>
      </c>
      <c r="F109" s="59" t="s">
        <v>21</v>
      </c>
      <c r="G109" s="55" t="s">
        <v>21</v>
      </c>
      <c r="H109" s="55">
        <v>0</v>
      </c>
      <c r="I109" s="55">
        <v>0</v>
      </c>
      <c r="J109" s="55">
        <v>4568</v>
      </c>
      <c r="K109" s="55" t="s">
        <v>21</v>
      </c>
      <c r="L109" s="59" t="s">
        <v>21</v>
      </c>
      <c r="M109" s="55" t="s">
        <v>21</v>
      </c>
      <c r="N109" s="55">
        <v>4568</v>
      </c>
      <c r="O109" s="55">
        <v>0</v>
      </c>
      <c r="P109" s="55">
        <v>4568</v>
      </c>
      <c r="Q109" s="55" t="s">
        <v>21</v>
      </c>
      <c r="R109" s="59" t="s">
        <v>21</v>
      </c>
      <c r="S109" s="55" t="s">
        <v>21</v>
      </c>
      <c r="T109" s="55">
        <v>4568</v>
      </c>
      <c r="U109" s="55">
        <v>0</v>
      </c>
      <c r="V109" s="55">
        <v>4568</v>
      </c>
      <c r="W109" s="55" t="s">
        <v>21</v>
      </c>
      <c r="X109" s="59" t="s">
        <v>21</v>
      </c>
      <c r="Y109" s="55" t="s">
        <v>21</v>
      </c>
      <c r="Z109" s="55">
        <v>4568</v>
      </c>
      <c r="AA109" s="55">
        <v>0</v>
      </c>
    </row>
    <row r="110" spans="1:27" ht="30">
      <c r="A110" s="68" t="s">
        <v>25</v>
      </c>
      <c r="B110" s="69" t="s">
        <v>34</v>
      </c>
      <c r="C110" s="57">
        <v>515</v>
      </c>
      <c r="D110" s="55" t="s">
        <v>21</v>
      </c>
      <c r="E110" s="55" t="s">
        <v>21</v>
      </c>
      <c r="F110" s="59" t="s">
        <v>21</v>
      </c>
      <c r="G110" s="55" t="s">
        <v>21</v>
      </c>
      <c r="H110" s="55">
        <v>0</v>
      </c>
      <c r="I110" s="55">
        <v>0</v>
      </c>
      <c r="J110" s="55">
        <v>4120</v>
      </c>
      <c r="K110" s="55" t="s">
        <v>21</v>
      </c>
      <c r="L110" s="59" t="s">
        <v>21</v>
      </c>
      <c r="M110" s="55" t="s">
        <v>21</v>
      </c>
      <c r="N110" s="55">
        <v>4120</v>
      </c>
      <c r="O110" s="55">
        <v>0</v>
      </c>
      <c r="P110" s="55">
        <v>4120</v>
      </c>
      <c r="Q110" s="55" t="s">
        <v>21</v>
      </c>
      <c r="R110" s="59" t="s">
        <v>21</v>
      </c>
      <c r="S110" s="55" t="s">
        <v>21</v>
      </c>
      <c r="T110" s="55">
        <v>4120</v>
      </c>
      <c r="U110" s="55">
        <v>0</v>
      </c>
      <c r="V110" s="55">
        <v>4120</v>
      </c>
      <c r="W110" s="55" t="s">
        <v>21</v>
      </c>
      <c r="X110" s="59" t="s">
        <v>21</v>
      </c>
      <c r="Y110" s="55" t="s">
        <v>21</v>
      </c>
      <c r="Z110" s="55">
        <v>4120</v>
      </c>
      <c r="AA110" s="55">
        <v>0</v>
      </c>
    </row>
    <row r="111" spans="1:27" s="52" customFormat="1" ht="19.5">
      <c r="J111" s="12"/>
      <c r="N111" s="12"/>
      <c r="O111" s="12"/>
      <c r="P111" s="12"/>
      <c r="T111" s="12"/>
      <c r="U111" s="12"/>
      <c r="V111" s="12"/>
      <c r="Z111" s="12"/>
      <c r="AA111" s="12"/>
    </row>
    <row r="112" spans="1:27" ht="19.5">
      <c r="A112" s="1"/>
      <c r="B112" s="51"/>
      <c r="C112" s="1"/>
      <c r="D112" s="5"/>
      <c r="E112" s="5"/>
      <c r="F112" s="1"/>
      <c r="G112" s="5"/>
      <c r="H112" s="5">
        <f t="shared" ref="H78:H127" si="16">IF((D112-E112)&lt;0,0,(D112-E112))</f>
        <v>0</v>
      </c>
      <c r="I112" s="5">
        <f t="shared" ref="I78:I127" si="17">IF((E112-D112)&lt;0,0,(E112-D112))</f>
        <v>0</v>
      </c>
      <c r="J112" s="5">
        <f>Table1[[#This Row],[Enrolment S.Y. 2025-2026 ]]*8</f>
        <v>0</v>
      </c>
      <c r="K112" s="5"/>
      <c r="L112" s="1"/>
      <c r="M112" s="5"/>
      <c r="N112" s="5">
        <f t="shared" ref="N70:N126" si="18">IF((J112-K112)&lt;0,0,(J112-K112))</f>
        <v>0</v>
      </c>
      <c r="O112" s="5">
        <f t="shared" ref="O70:O126" si="19">IF((K112-J112)&lt;0,0,(K112-J112))</f>
        <v>0</v>
      </c>
      <c r="P112" s="5">
        <f>Table1[[#This Row],[Enrolment S.Y. 2025-2026 ]]*8</f>
        <v>0</v>
      </c>
      <c r="Q112" s="5"/>
      <c r="R112" s="1"/>
      <c r="S112" s="5"/>
      <c r="T112" s="5">
        <f t="shared" ref="T70:T127" si="20">IF((P112-Q112)&lt;0,0,(P112-Q112))</f>
        <v>0</v>
      </c>
      <c r="U112" s="5">
        <f t="shared" ref="U70:U127" si="21">IF((Q112-P112)&lt;0,0,(Q112-P112))</f>
        <v>0</v>
      </c>
      <c r="V112" s="5">
        <f>Table1[[#This Row],[Enrolment S.Y. 2025-2026 ]]*8</f>
        <v>0</v>
      </c>
      <c r="W112" s="5"/>
      <c r="X112" s="1"/>
      <c r="Y112" s="5"/>
      <c r="Z112" s="5">
        <f t="shared" ref="Z70:Z127" si="22">IF((V112-W112)&lt;0,0,(V112-W112))</f>
        <v>0</v>
      </c>
      <c r="AA112" s="5">
        <f t="shared" ref="AA70:AA127" si="23">IF((W112-V112)&lt;0,0,(W112-V112))</f>
        <v>0</v>
      </c>
    </row>
    <row r="113" spans="1:27" ht="19.5">
      <c r="A113" s="1"/>
      <c r="B113" s="51"/>
      <c r="C113" s="1"/>
      <c r="D113" s="5"/>
      <c r="E113" s="5"/>
      <c r="F113" s="1"/>
      <c r="G113" s="5"/>
      <c r="H113" s="5">
        <f t="shared" si="16"/>
        <v>0</v>
      </c>
      <c r="I113" s="5">
        <f t="shared" si="17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8"/>
        <v>0</v>
      </c>
      <c r="O113" s="5">
        <f t="shared" si="19"/>
        <v>0</v>
      </c>
      <c r="P113" s="5">
        <f>Table1[[#This Row],[Enrolment S.Y. 2025-2026 ]]*8</f>
        <v>0</v>
      </c>
      <c r="Q113" s="5"/>
      <c r="R113" s="1"/>
      <c r="S113" s="5"/>
      <c r="T113" s="5">
        <f t="shared" si="20"/>
        <v>0</v>
      </c>
      <c r="U113" s="5">
        <f t="shared" si="21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2"/>
        <v>0</v>
      </c>
      <c r="AA113" s="5">
        <f t="shared" si="23"/>
        <v>0</v>
      </c>
    </row>
    <row r="114" spans="1:27" ht="19.5">
      <c r="A114" s="1"/>
      <c r="B114" s="51"/>
      <c r="C114" s="1"/>
      <c r="D114" s="5"/>
      <c r="E114" s="5"/>
      <c r="F114" s="1"/>
      <c r="G114" s="5"/>
      <c r="H114" s="5">
        <f t="shared" si="16"/>
        <v>0</v>
      </c>
      <c r="I114" s="5">
        <f t="shared" si="17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8"/>
        <v>0</v>
      </c>
      <c r="O114" s="5">
        <f t="shared" si="19"/>
        <v>0</v>
      </c>
      <c r="P114" s="5">
        <f>Table1[[#This Row],[Enrolment S.Y. 2025-2026 ]]*8</f>
        <v>0</v>
      </c>
      <c r="Q114" s="5"/>
      <c r="R114" s="1"/>
      <c r="S114" s="5"/>
      <c r="T114" s="5">
        <f t="shared" si="20"/>
        <v>0</v>
      </c>
      <c r="U114" s="5">
        <f t="shared" si="21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2"/>
        <v>0</v>
      </c>
      <c r="AA114" s="5">
        <f t="shared" si="23"/>
        <v>0</v>
      </c>
    </row>
    <row r="115" spans="1:27" ht="19.5">
      <c r="A115" s="1"/>
      <c r="B115" s="51"/>
      <c r="C115" s="1"/>
      <c r="D115" s="5"/>
      <c r="E115" s="5"/>
      <c r="F115" s="1"/>
      <c r="G115" s="5"/>
      <c r="H115" s="5">
        <f t="shared" si="16"/>
        <v>0</v>
      </c>
      <c r="I115" s="5">
        <f t="shared" si="17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8"/>
        <v>0</v>
      </c>
      <c r="O115" s="5">
        <f t="shared" si="19"/>
        <v>0</v>
      </c>
      <c r="P115" s="5">
        <f>Table1[[#This Row],[Enrolment S.Y. 2025-2026 ]]*8</f>
        <v>0</v>
      </c>
      <c r="Q115" s="5"/>
      <c r="R115" s="1"/>
      <c r="S115" s="5"/>
      <c r="T115" s="5">
        <f t="shared" si="20"/>
        <v>0</v>
      </c>
      <c r="U115" s="5">
        <f t="shared" si="21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2"/>
        <v>0</v>
      </c>
      <c r="AA115" s="5">
        <f t="shared" si="23"/>
        <v>0</v>
      </c>
    </row>
    <row r="116" spans="1:27" ht="19.5">
      <c r="A116" s="1"/>
      <c r="B116" s="51"/>
      <c r="C116" s="1"/>
      <c r="D116" s="5"/>
      <c r="E116" s="5"/>
      <c r="F116" s="1"/>
      <c r="G116" s="5"/>
      <c r="H116" s="5">
        <f t="shared" si="16"/>
        <v>0</v>
      </c>
      <c r="I116" s="5">
        <f t="shared" si="17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8"/>
        <v>0</v>
      </c>
      <c r="O116" s="5">
        <f t="shared" si="19"/>
        <v>0</v>
      </c>
      <c r="P116" s="5">
        <f>Table1[[#This Row],[Enrolment S.Y. 2025-2026 ]]*8</f>
        <v>0</v>
      </c>
      <c r="Q116" s="5"/>
      <c r="R116" s="1"/>
      <c r="S116" s="5"/>
      <c r="T116" s="5">
        <f t="shared" si="20"/>
        <v>0</v>
      </c>
      <c r="U116" s="5">
        <f t="shared" si="21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2"/>
        <v>0</v>
      </c>
      <c r="AA116" s="5">
        <f t="shared" si="23"/>
        <v>0</v>
      </c>
    </row>
    <row r="117" spans="1:27" ht="19.5">
      <c r="A117" s="1"/>
      <c r="B117" s="51"/>
      <c r="C117" s="1"/>
      <c r="D117" s="5"/>
      <c r="E117" s="5"/>
      <c r="F117" s="1"/>
      <c r="G117" s="5"/>
      <c r="H117" s="5">
        <f t="shared" si="16"/>
        <v>0</v>
      </c>
      <c r="I117" s="5">
        <f t="shared" si="17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8"/>
        <v>0</v>
      </c>
      <c r="O117" s="5">
        <f t="shared" si="19"/>
        <v>0</v>
      </c>
      <c r="P117" s="5">
        <f>Table1[[#This Row],[Enrolment S.Y. 2025-2026 ]]*8</f>
        <v>0</v>
      </c>
      <c r="Q117" s="5"/>
      <c r="R117" s="1"/>
      <c r="S117" s="5"/>
      <c r="T117" s="5">
        <f t="shared" si="20"/>
        <v>0</v>
      </c>
      <c r="U117" s="5">
        <f t="shared" si="21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2"/>
        <v>0</v>
      </c>
      <c r="AA117" s="5">
        <f t="shared" si="23"/>
        <v>0</v>
      </c>
    </row>
    <row r="118" spans="1:27" ht="19.5">
      <c r="A118" s="1"/>
      <c r="B118" s="51"/>
      <c r="C118" s="1"/>
      <c r="D118" s="5"/>
      <c r="E118" s="5"/>
      <c r="F118" s="1"/>
      <c r="G118" s="5"/>
      <c r="H118" s="5">
        <f t="shared" si="16"/>
        <v>0</v>
      </c>
      <c r="I118" s="5">
        <f t="shared" si="17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8"/>
        <v>0</v>
      </c>
      <c r="O118" s="5">
        <f t="shared" si="19"/>
        <v>0</v>
      </c>
      <c r="P118" s="5">
        <f>Table1[[#This Row],[Enrolment S.Y. 2025-2026 ]]*8</f>
        <v>0</v>
      </c>
      <c r="Q118" s="5"/>
      <c r="R118" s="1"/>
      <c r="S118" s="5"/>
      <c r="T118" s="5">
        <f t="shared" si="20"/>
        <v>0</v>
      </c>
      <c r="U118" s="5">
        <f t="shared" si="21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2"/>
        <v>0</v>
      </c>
      <c r="AA118" s="5">
        <f t="shared" si="23"/>
        <v>0</v>
      </c>
    </row>
    <row r="119" spans="1:27" ht="19.5">
      <c r="A119" s="1"/>
      <c r="B119" s="51"/>
      <c r="C119" s="1"/>
      <c r="D119" s="5"/>
      <c r="E119" s="5"/>
      <c r="F119" s="1"/>
      <c r="G119" s="5"/>
      <c r="H119" s="5">
        <f t="shared" si="16"/>
        <v>0</v>
      </c>
      <c r="I119" s="5">
        <f t="shared" si="17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8"/>
        <v>0</v>
      </c>
      <c r="O119" s="5">
        <f t="shared" si="19"/>
        <v>0</v>
      </c>
      <c r="P119" s="5">
        <f>Table1[[#This Row],[Enrolment S.Y. 2025-2026 ]]*8</f>
        <v>0</v>
      </c>
      <c r="Q119" s="5"/>
      <c r="R119" s="1"/>
      <c r="S119" s="5"/>
      <c r="T119" s="5">
        <f t="shared" si="20"/>
        <v>0</v>
      </c>
      <c r="U119" s="5">
        <f t="shared" si="21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2"/>
        <v>0</v>
      </c>
      <c r="AA119" s="5">
        <f t="shared" si="23"/>
        <v>0</v>
      </c>
    </row>
    <row r="120" spans="1:27" ht="19.5">
      <c r="A120" s="1"/>
      <c r="B120" s="51"/>
      <c r="C120" s="1"/>
      <c r="D120" s="5"/>
      <c r="E120" s="5"/>
      <c r="F120" s="1"/>
      <c r="G120" s="5"/>
      <c r="H120" s="5">
        <f t="shared" si="16"/>
        <v>0</v>
      </c>
      <c r="I120" s="5">
        <f t="shared" si="17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8"/>
        <v>0</v>
      </c>
      <c r="O120" s="5">
        <f t="shared" si="19"/>
        <v>0</v>
      </c>
      <c r="P120" s="5">
        <f>Table1[[#This Row],[Enrolment S.Y. 2025-2026 ]]*8</f>
        <v>0</v>
      </c>
      <c r="Q120" s="5"/>
      <c r="R120" s="1"/>
      <c r="S120" s="5"/>
      <c r="T120" s="5">
        <f t="shared" si="20"/>
        <v>0</v>
      </c>
      <c r="U120" s="5">
        <f t="shared" si="21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2"/>
        <v>0</v>
      </c>
      <c r="AA120" s="5">
        <f t="shared" si="23"/>
        <v>0</v>
      </c>
    </row>
    <row r="121" spans="1:27" ht="19.5">
      <c r="A121" s="1"/>
      <c r="B121" s="51"/>
      <c r="C121" s="1"/>
      <c r="D121" s="5"/>
      <c r="E121" s="5"/>
      <c r="F121" s="1"/>
      <c r="G121" s="5"/>
      <c r="H121" s="5">
        <f t="shared" si="16"/>
        <v>0</v>
      </c>
      <c r="I121" s="5">
        <f t="shared" si="17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8"/>
        <v>0</v>
      </c>
      <c r="O121" s="5">
        <f t="shared" si="19"/>
        <v>0</v>
      </c>
      <c r="P121" s="5">
        <f>Table1[[#This Row],[Enrolment S.Y. 2025-2026 ]]*8</f>
        <v>0</v>
      </c>
      <c r="Q121" s="5"/>
      <c r="R121" s="1"/>
      <c r="S121" s="5"/>
      <c r="T121" s="5">
        <f t="shared" si="20"/>
        <v>0</v>
      </c>
      <c r="U121" s="5">
        <f t="shared" si="21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2"/>
        <v>0</v>
      </c>
      <c r="AA121" s="5">
        <f t="shared" si="23"/>
        <v>0</v>
      </c>
    </row>
    <row r="122" spans="1:27" ht="19.5">
      <c r="A122" s="1"/>
      <c r="B122" s="51"/>
      <c r="C122" s="1"/>
      <c r="D122" s="5"/>
      <c r="E122" s="5"/>
      <c r="F122" s="1"/>
      <c r="G122" s="5"/>
      <c r="H122" s="5">
        <f t="shared" si="16"/>
        <v>0</v>
      </c>
      <c r="I122" s="5">
        <f t="shared" si="17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8"/>
        <v>0</v>
      </c>
      <c r="O122" s="5">
        <f t="shared" si="19"/>
        <v>0</v>
      </c>
      <c r="P122" s="5">
        <f>Table1[[#This Row],[Enrolment S.Y. 2025-2026 ]]*8</f>
        <v>0</v>
      </c>
      <c r="Q122" s="5"/>
      <c r="R122" s="1"/>
      <c r="S122" s="5"/>
      <c r="T122" s="5">
        <f t="shared" si="20"/>
        <v>0</v>
      </c>
      <c r="U122" s="5">
        <f t="shared" si="21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2"/>
        <v>0</v>
      </c>
      <c r="AA122" s="5">
        <f t="shared" si="23"/>
        <v>0</v>
      </c>
    </row>
    <row r="123" spans="1:27" ht="19.5">
      <c r="A123" s="1"/>
      <c r="B123" s="51"/>
      <c r="C123" s="1"/>
      <c r="D123" s="5"/>
      <c r="E123" s="5"/>
      <c r="F123" s="1"/>
      <c r="G123" s="5"/>
      <c r="H123" s="5">
        <f t="shared" si="16"/>
        <v>0</v>
      </c>
      <c r="I123" s="5">
        <f t="shared" si="17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8"/>
        <v>0</v>
      </c>
      <c r="O123" s="5">
        <f t="shared" si="19"/>
        <v>0</v>
      </c>
      <c r="P123" s="5">
        <f>Table1[[#This Row],[Enrolment S.Y. 2025-2026 ]]*8</f>
        <v>0</v>
      </c>
      <c r="Q123" s="5"/>
      <c r="R123" s="1"/>
      <c r="S123" s="5"/>
      <c r="T123" s="5">
        <f t="shared" si="20"/>
        <v>0</v>
      </c>
      <c r="U123" s="5">
        <f t="shared" si="21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2"/>
        <v>0</v>
      </c>
      <c r="AA123" s="5">
        <f t="shared" si="23"/>
        <v>0</v>
      </c>
    </row>
    <row r="124" spans="1:27" ht="19.5">
      <c r="A124" s="1"/>
      <c r="B124" s="51"/>
      <c r="C124" s="1"/>
      <c r="D124" s="5"/>
      <c r="E124" s="5"/>
      <c r="F124" s="1"/>
      <c r="G124" s="5"/>
      <c r="H124" s="5">
        <f t="shared" si="16"/>
        <v>0</v>
      </c>
      <c r="I124" s="5">
        <f t="shared" si="17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8"/>
        <v>0</v>
      </c>
      <c r="O124" s="5">
        <f t="shared" si="19"/>
        <v>0</v>
      </c>
      <c r="P124" s="5">
        <f>Table1[[#This Row],[Enrolment S.Y. 2025-2026 ]]*8</f>
        <v>0</v>
      </c>
      <c r="Q124" s="5"/>
      <c r="R124" s="1"/>
      <c r="S124" s="5"/>
      <c r="T124" s="5">
        <f t="shared" si="20"/>
        <v>0</v>
      </c>
      <c r="U124" s="5">
        <f t="shared" si="21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2"/>
        <v>0</v>
      </c>
      <c r="AA124" s="5">
        <f t="shared" si="23"/>
        <v>0</v>
      </c>
    </row>
    <row r="125" spans="1:27" ht="19.5">
      <c r="A125" s="1"/>
      <c r="B125" s="51"/>
      <c r="C125" s="1"/>
      <c r="D125" s="5"/>
      <c r="E125" s="5"/>
      <c r="F125" s="1"/>
      <c r="G125" s="5"/>
      <c r="H125" s="5">
        <f t="shared" si="16"/>
        <v>0</v>
      </c>
      <c r="I125" s="5">
        <f t="shared" si="17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8"/>
        <v>0</v>
      </c>
      <c r="O125" s="5">
        <f t="shared" si="19"/>
        <v>0</v>
      </c>
      <c r="P125" s="5">
        <f>Table1[[#This Row],[Enrolment S.Y. 2025-2026 ]]*8</f>
        <v>0</v>
      </c>
      <c r="Q125" s="5"/>
      <c r="R125" s="1"/>
      <c r="S125" s="5"/>
      <c r="T125" s="5">
        <f t="shared" si="20"/>
        <v>0</v>
      </c>
      <c r="U125" s="5">
        <f t="shared" si="21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2"/>
        <v>0</v>
      </c>
      <c r="AA125" s="5">
        <f t="shared" si="23"/>
        <v>0</v>
      </c>
    </row>
    <row r="126" spans="1:27" ht="19.5">
      <c r="A126" s="1"/>
      <c r="B126" s="51"/>
      <c r="C126" s="1"/>
      <c r="D126" s="5"/>
      <c r="E126" s="5"/>
      <c r="F126" s="1"/>
      <c r="G126" s="5"/>
      <c r="H126" s="5">
        <f t="shared" si="16"/>
        <v>0</v>
      </c>
      <c r="I126" s="5">
        <f t="shared" si="17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8"/>
        <v>0</v>
      </c>
      <c r="O126" s="5">
        <f t="shared" si="19"/>
        <v>0</v>
      </c>
      <c r="P126" s="5">
        <f>Table1[[#This Row],[Enrolment S.Y. 2025-2026 ]]*8</f>
        <v>0</v>
      </c>
      <c r="Q126" s="5"/>
      <c r="R126" s="1"/>
      <c r="S126" s="5"/>
      <c r="T126" s="5">
        <f t="shared" si="20"/>
        <v>0</v>
      </c>
      <c r="U126" s="5">
        <f t="shared" si="21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2"/>
        <v>0</v>
      </c>
      <c r="AA126" s="5">
        <f t="shared" si="23"/>
        <v>0</v>
      </c>
    </row>
    <row r="127" spans="1:27" ht="19.5">
      <c r="A127" s="28"/>
      <c r="B127" s="70"/>
      <c r="C127" s="28"/>
      <c r="D127" s="5"/>
      <c r="E127" s="29"/>
      <c r="F127" s="28"/>
      <c r="G127" s="29"/>
      <c r="H127" s="5">
        <f t="shared" si="16"/>
        <v>0</v>
      </c>
      <c r="I127" s="5">
        <f t="shared" si="17"/>
        <v>0</v>
      </c>
      <c r="J127" s="5">
        <f>Table1[[#This Row],[Enrolment S.Y. 2025-2026 ]]*8</f>
        <v>0</v>
      </c>
      <c r="K127" s="29"/>
      <c r="L127" s="28"/>
      <c r="M127" s="29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29"/>
      <c r="R127" s="28"/>
      <c r="S127" s="29"/>
      <c r="T127" s="5">
        <f t="shared" si="20"/>
        <v>0</v>
      </c>
      <c r="U127" s="5">
        <f t="shared" si="21"/>
        <v>0</v>
      </c>
      <c r="V127" s="5">
        <f>Table1[[#This Row],[Enrolment S.Y. 2025-2026 ]]*8</f>
        <v>0</v>
      </c>
      <c r="W127" s="29"/>
      <c r="X127" s="28"/>
      <c r="Y127" s="29"/>
      <c r="Z127" s="5">
        <f t="shared" si="22"/>
        <v>0</v>
      </c>
      <c r="AA127" s="5">
        <f t="shared" si="23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Y14:Y62 S4:S62 G53:G61 G5:G12 M5:M12 Y5:Y12 G14:G21 G23:G31 G33:G41 G43:G51 M14:M62" xr:uid="{5129D80C-83DF-45BE-B6AD-F21CA596CBA5}">
      <formula1>"CO,RO,SDO,LGU,SCHOOL"</formula1>
    </dataValidation>
    <dataValidation type="list" allowBlank="1" showInputMessage="1" showErrorMessage="1" sqref="X112:X127 X103:X110 X93:X101 X83:X91 X73:X81 X63:X71 X53:X61 X43:X51 X33:X41 X23:X31 X14:X21 X5:X12 R112:R127 R103:R110 R93:R101 R83:R91 R73:R81 R63:R71 R53:R61 R43:R51 R33:R41 R23:R31 R14:R21 R5:R12 L112:L127 L103:L110 L93:L101 L83:L91 L73:L81 L63:L71 L53:L61 L43:L51 L33:L41 L23:L31 L14:L21 L5:L12 F112:F127 F103:F110 F93:F101 F83:F91 F73:F81 F63:F71 F53:F61 F43:F51 F33:F41 F23:F31 F14:F21 F5:F12" xr:uid="{C15F9388-A948-463B-B21D-7A670AD7115C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topLeftCell="C44" activePane="topRight" state="frozen"/>
      <selection pane="topRight" activeCell="M158" sqref="M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B1" s="32"/>
      <c r="D1" s="47" t="s">
        <v>35</v>
      </c>
      <c r="E1" s="47"/>
      <c r="F1" s="47"/>
      <c r="G1" s="47"/>
      <c r="H1" s="47"/>
      <c r="I1" s="47"/>
      <c r="J1" s="48" t="s">
        <v>36</v>
      </c>
      <c r="K1" s="48"/>
      <c r="L1" s="48"/>
      <c r="M1" s="48"/>
      <c r="N1" s="48"/>
      <c r="O1" s="48"/>
      <c r="P1" s="49" t="s">
        <v>37</v>
      </c>
      <c r="Q1" s="49"/>
      <c r="R1" s="49"/>
      <c r="S1" s="49"/>
      <c r="T1" s="49"/>
      <c r="U1" s="49"/>
      <c r="V1" s="50" t="s">
        <v>38</v>
      </c>
      <c r="W1" s="50"/>
      <c r="X1" s="50"/>
      <c r="Y1" s="50"/>
      <c r="Z1" s="50"/>
      <c r="AA1" s="50"/>
    </row>
    <row r="2" spans="1:27" ht="69.599999999999994" customHeight="1">
      <c r="A2" s="14" t="s">
        <v>0</v>
      </c>
      <c r="B2" s="33" t="s">
        <v>1</v>
      </c>
      <c r="C2" s="15" t="s">
        <v>2</v>
      </c>
      <c r="D2" s="19" t="s">
        <v>65</v>
      </c>
      <c r="E2" s="19" t="s">
        <v>66</v>
      </c>
      <c r="F2" s="20" t="s">
        <v>67</v>
      </c>
      <c r="G2" s="23" t="s">
        <v>68</v>
      </c>
      <c r="H2" s="16" t="s">
        <v>69</v>
      </c>
      <c r="I2" s="23" t="s">
        <v>70</v>
      </c>
      <c r="J2" s="21" t="s">
        <v>71</v>
      </c>
      <c r="K2" s="21" t="s">
        <v>72</v>
      </c>
      <c r="L2" s="22" t="s">
        <v>73</v>
      </c>
      <c r="M2" s="44" t="s">
        <v>74</v>
      </c>
      <c r="N2" s="44" t="s">
        <v>75</v>
      </c>
      <c r="O2" s="21" t="s">
        <v>76</v>
      </c>
      <c r="P2" s="23" t="s">
        <v>77</v>
      </c>
      <c r="Q2" s="23" t="s">
        <v>78</v>
      </c>
      <c r="R2" s="24" t="s">
        <v>79</v>
      </c>
      <c r="S2" s="16" t="s">
        <v>80</v>
      </c>
      <c r="T2" s="16" t="s">
        <v>81</v>
      </c>
      <c r="U2" s="23" t="s">
        <v>82</v>
      </c>
      <c r="V2" s="25" t="s">
        <v>83</v>
      </c>
      <c r="W2" s="25" t="s">
        <v>84</v>
      </c>
      <c r="X2" s="26" t="s">
        <v>85</v>
      </c>
      <c r="Y2" s="45" t="s">
        <v>86</v>
      </c>
      <c r="Z2" s="45" t="s">
        <v>87</v>
      </c>
      <c r="AA2" s="25" t="s">
        <v>88</v>
      </c>
    </row>
    <row r="3" spans="1:27" ht="38.25">
      <c r="A3" s="1">
        <v>1</v>
      </c>
      <c r="B3" s="51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51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51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51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51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51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51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51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27" ht="38.25">
      <c r="A12" s="1">
        <v>2</v>
      </c>
      <c r="B12" s="51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51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51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51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51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51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51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51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 spans="1:27" ht="38.25">
      <c r="A21" s="1">
        <v>3</v>
      </c>
      <c r="B21" s="51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51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51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51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51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51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51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51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51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 spans="1:27" ht="19.5">
      <c r="A31" s="1">
        <v>4</v>
      </c>
      <c r="B31" s="51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51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51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51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51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51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51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51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51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51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51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</row>
    <row r="43" spans="1:27" ht="19.5">
      <c r="A43" s="1">
        <v>5</v>
      </c>
      <c r="B43" s="51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51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51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51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51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51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51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51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51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51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51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</row>
    <row r="55" spans="1:27" ht="19.5">
      <c r="A55" s="1">
        <v>6</v>
      </c>
      <c r="B55" s="51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51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51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51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51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51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51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51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51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51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8" ht="19.5">
      <c r="A65" s="1">
        <v>6</v>
      </c>
      <c r="B65" s="51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8" s="7" customFormat="1" ht="1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</row>
    <row r="67" spans="1:28" ht="19.5">
      <c r="A67" s="53">
        <v>7</v>
      </c>
      <c r="B67" s="54" t="s">
        <v>14</v>
      </c>
      <c r="C67" s="53">
        <v>685</v>
      </c>
      <c r="D67" s="55">
        <v>5480</v>
      </c>
      <c r="E67" s="56" t="s">
        <v>21</v>
      </c>
      <c r="F67" s="53" t="s">
        <v>21</v>
      </c>
      <c r="G67" s="55" t="s">
        <v>21</v>
      </c>
      <c r="H67" s="55">
        <v>5480</v>
      </c>
      <c r="I67" s="55">
        <v>0</v>
      </c>
      <c r="J67" s="55">
        <v>5480</v>
      </c>
      <c r="K67" s="56" t="s">
        <v>21</v>
      </c>
      <c r="L67" s="53" t="s">
        <v>21</v>
      </c>
      <c r="M67" s="55" t="s">
        <v>21</v>
      </c>
      <c r="N67" s="55">
        <v>5480</v>
      </c>
      <c r="O67" s="55">
        <v>0</v>
      </c>
      <c r="P67" s="55">
        <v>5480</v>
      </c>
      <c r="Q67" s="56" t="s">
        <v>21</v>
      </c>
      <c r="R67" s="53" t="s">
        <v>21</v>
      </c>
      <c r="S67" s="55" t="s">
        <v>21</v>
      </c>
      <c r="T67" s="55">
        <v>5480</v>
      </c>
      <c r="U67" s="55">
        <v>0</v>
      </c>
      <c r="V67" s="55">
        <v>5480</v>
      </c>
      <c r="W67" s="56" t="s">
        <v>21</v>
      </c>
      <c r="X67" s="53" t="s">
        <v>21</v>
      </c>
      <c r="Y67" s="55" t="s">
        <v>21</v>
      </c>
      <c r="Z67" s="55">
        <v>5480</v>
      </c>
      <c r="AA67" s="55">
        <v>0</v>
      </c>
      <c r="AB67" s="46"/>
    </row>
    <row r="68" spans="1:28" ht="19.5">
      <c r="A68" s="53">
        <v>7</v>
      </c>
      <c r="B68" s="54" t="s">
        <v>15</v>
      </c>
      <c r="C68" s="53">
        <v>685</v>
      </c>
      <c r="D68" s="55">
        <v>5480</v>
      </c>
      <c r="E68" s="56" t="s">
        <v>21</v>
      </c>
      <c r="F68" s="53" t="s">
        <v>21</v>
      </c>
      <c r="G68" s="55" t="s">
        <v>21</v>
      </c>
      <c r="H68" s="55">
        <v>5480</v>
      </c>
      <c r="I68" s="55">
        <v>0</v>
      </c>
      <c r="J68" s="55">
        <v>5480</v>
      </c>
      <c r="K68" s="56" t="s">
        <v>21</v>
      </c>
      <c r="L68" s="53" t="s">
        <v>21</v>
      </c>
      <c r="M68" s="55" t="s">
        <v>21</v>
      </c>
      <c r="N68" s="55">
        <v>5480</v>
      </c>
      <c r="O68" s="55">
        <v>0</v>
      </c>
      <c r="P68" s="55">
        <v>5480</v>
      </c>
      <c r="Q68" s="56" t="s">
        <v>21</v>
      </c>
      <c r="R68" s="53" t="s">
        <v>21</v>
      </c>
      <c r="S68" s="55" t="s">
        <v>21</v>
      </c>
      <c r="T68" s="55">
        <v>5480</v>
      </c>
      <c r="U68" s="55">
        <v>0</v>
      </c>
      <c r="V68" s="55">
        <v>5480</v>
      </c>
      <c r="W68" s="56" t="s">
        <v>21</v>
      </c>
      <c r="X68" s="53" t="s">
        <v>21</v>
      </c>
      <c r="Y68" s="55" t="s">
        <v>21</v>
      </c>
      <c r="Z68" s="55">
        <v>5480</v>
      </c>
      <c r="AA68" s="55">
        <v>0</v>
      </c>
      <c r="AB68" s="46"/>
    </row>
    <row r="69" spans="1:28" ht="19.5">
      <c r="A69" s="53">
        <v>7</v>
      </c>
      <c r="B69" s="54" t="s">
        <v>12</v>
      </c>
      <c r="C69" s="53">
        <v>685</v>
      </c>
      <c r="D69" s="55">
        <v>5480</v>
      </c>
      <c r="E69" s="56" t="s">
        <v>21</v>
      </c>
      <c r="F69" s="53" t="s">
        <v>21</v>
      </c>
      <c r="G69" s="55" t="s">
        <v>21</v>
      </c>
      <c r="H69" s="55">
        <v>5480</v>
      </c>
      <c r="I69" s="55">
        <v>0</v>
      </c>
      <c r="J69" s="55">
        <v>5480</v>
      </c>
      <c r="K69" s="56" t="s">
        <v>21</v>
      </c>
      <c r="L69" s="53" t="s">
        <v>21</v>
      </c>
      <c r="M69" s="55" t="s">
        <v>21</v>
      </c>
      <c r="N69" s="55">
        <v>5480</v>
      </c>
      <c r="O69" s="55">
        <v>0</v>
      </c>
      <c r="P69" s="55">
        <v>5480</v>
      </c>
      <c r="Q69" s="56" t="s">
        <v>21</v>
      </c>
      <c r="R69" s="53" t="s">
        <v>21</v>
      </c>
      <c r="S69" s="55" t="s">
        <v>21</v>
      </c>
      <c r="T69" s="55">
        <v>5480</v>
      </c>
      <c r="U69" s="55">
        <v>0</v>
      </c>
      <c r="V69" s="55">
        <v>5480</v>
      </c>
      <c r="W69" s="56" t="s">
        <v>21</v>
      </c>
      <c r="X69" s="53" t="s">
        <v>21</v>
      </c>
      <c r="Y69" s="55" t="s">
        <v>21</v>
      </c>
      <c r="Z69" s="55">
        <v>5480</v>
      </c>
      <c r="AA69" s="55">
        <v>0</v>
      </c>
      <c r="AB69" s="46"/>
    </row>
    <row r="70" spans="1:28" ht="19.5">
      <c r="A70" s="53">
        <v>7</v>
      </c>
      <c r="B70" s="54" t="s">
        <v>22</v>
      </c>
      <c r="C70" s="53">
        <v>685</v>
      </c>
      <c r="D70" s="55">
        <v>5480</v>
      </c>
      <c r="E70" s="56" t="s">
        <v>21</v>
      </c>
      <c r="F70" s="53" t="s">
        <v>21</v>
      </c>
      <c r="G70" s="55" t="s">
        <v>21</v>
      </c>
      <c r="H70" s="55">
        <v>5480</v>
      </c>
      <c r="I70" s="55">
        <v>0</v>
      </c>
      <c r="J70" s="55">
        <v>5480</v>
      </c>
      <c r="K70" s="56" t="s">
        <v>21</v>
      </c>
      <c r="L70" s="53" t="s">
        <v>21</v>
      </c>
      <c r="M70" s="55" t="s">
        <v>21</v>
      </c>
      <c r="N70" s="55">
        <v>5480</v>
      </c>
      <c r="O70" s="55">
        <v>0</v>
      </c>
      <c r="P70" s="55">
        <v>5480</v>
      </c>
      <c r="Q70" s="56" t="s">
        <v>21</v>
      </c>
      <c r="R70" s="53" t="s">
        <v>21</v>
      </c>
      <c r="S70" s="55" t="s">
        <v>21</v>
      </c>
      <c r="T70" s="55">
        <v>5480</v>
      </c>
      <c r="U70" s="55">
        <v>0</v>
      </c>
      <c r="V70" s="55">
        <v>5480</v>
      </c>
      <c r="W70" s="56" t="s">
        <v>21</v>
      </c>
      <c r="X70" s="53" t="s">
        <v>21</v>
      </c>
      <c r="Y70" s="55" t="s">
        <v>21</v>
      </c>
      <c r="Z70" s="55">
        <v>5480</v>
      </c>
      <c r="AA70" s="55">
        <v>0</v>
      </c>
      <c r="AB70" s="46"/>
    </row>
    <row r="71" spans="1:28" ht="38.25">
      <c r="A71" s="53">
        <v>7</v>
      </c>
      <c r="B71" s="54" t="s">
        <v>16</v>
      </c>
      <c r="C71" s="53">
        <v>685</v>
      </c>
      <c r="D71" s="55">
        <v>5480</v>
      </c>
      <c r="E71" s="56" t="s">
        <v>21</v>
      </c>
      <c r="F71" s="53" t="s">
        <v>21</v>
      </c>
      <c r="G71" s="55" t="s">
        <v>21</v>
      </c>
      <c r="H71" s="55">
        <v>5480</v>
      </c>
      <c r="I71" s="55">
        <v>0</v>
      </c>
      <c r="J71" s="55">
        <v>5480</v>
      </c>
      <c r="K71" s="56" t="s">
        <v>21</v>
      </c>
      <c r="L71" s="53" t="s">
        <v>21</v>
      </c>
      <c r="M71" s="55" t="s">
        <v>21</v>
      </c>
      <c r="N71" s="55">
        <v>5480</v>
      </c>
      <c r="O71" s="55">
        <v>0</v>
      </c>
      <c r="P71" s="55">
        <v>5480</v>
      </c>
      <c r="Q71" s="56" t="s">
        <v>21</v>
      </c>
      <c r="R71" s="53" t="s">
        <v>21</v>
      </c>
      <c r="S71" s="55" t="s">
        <v>21</v>
      </c>
      <c r="T71" s="55">
        <v>5480</v>
      </c>
      <c r="U71" s="55">
        <v>0</v>
      </c>
      <c r="V71" s="55">
        <v>5480</v>
      </c>
      <c r="W71" s="56" t="s">
        <v>21</v>
      </c>
      <c r="X71" s="53" t="s">
        <v>21</v>
      </c>
      <c r="Y71" s="55" t="s">
        <v>21</v>
      </c>
      <c r="Z71" s="55">
        <v>5480</v>
      </c>
      <c r="AA71" s="55">
        <v>0</v>
      </c>
      <c r="AB71" s="46"/>
    </row>
    <row r="72" spans="1:28" ht="19.5">
      <c r="A72" s="53">
        <v>7</v>
      </c>
      <c r="B72" s="54" t="s">
        <v>13</v>
      </c>
      <c r="C72" s="53">
        <v>685</v>
      </c>
      <c r="D72" s="55">
        <v>5480</v>
      </c>
      <c r="E72" s="56" t="s">
        <v>21</v>
      </c>
      <c r="F72" s="53" t="s">
        <v>21</v>
      </c>
      <c r="G72" s="55" t="s">
        <v>21</v>
      </c>
      <c r="H72" s="55">
        <v>5480</v>
      </c>
      <c r="I72" s="55">
        <v>0</v>
      </c>
      <c r="J72" s="55">
        <v>5480</v>
      </c>
      <c r="K72" s="56" t="s">
        <v>21</v>
      </c>
      <c r="L72" s="53" t="s">
        <v>21</v>
      </c>
      <c r="M72" s="55" t="s">
        <v>21</v>
      </c>
      <c r="N72" s="55">
        <v>5480</v>
      </c>
      <c r="O72" s="55">
        <v>0</v>
      </c>
      <c r="P72" s="55">
        <v>5480</v>
      </c>
      <c r="Q72" s="56" t="s">
        <v>21</v>
      </c>
      <c r="R72" s="53" t="s">
        <v>21</v>
      </c>
      <c r="S72" s="55" t="s">
        <v>21</v>
      </c>
      <c r="T72" s="55">
        <v>5480</v>
      </c>
      <c r="U72" s="55">
        <v>0</v>
      </c>
      <c r="V72" s="55">
        <v>5480</v>
      </c>
      <c r="W72" s="56" t="s">
        <v>21</v>
      </c>
      <c r="X72" s="53" t="s">
        <v>21</v>
      </c>
      <c r="Y72" s="55" t="s">
        <v>21</v>
      </c>
      <c r="Z72" s="55">
        <v>5480</v>
      </c>
      <c r="AA72" s="55">
        <v>0</v>
      </c>
      <c r="AB72" s="46"/>
    </row>
    <row r="73" spans="1:28" ht="19.5">
      <c r="A73" s="53">
        <v>7</v>
      </c>
      <c r="B73" s="54" t="s">
        <v>17</v>
      </c>
      <c r="C73" s="53">
        <v>685</v>
      </c>
      <c r="D73" s="55">
        <v>5480</v>
      </c>
      <c r="E73" s="56" t="s">
        <v>21</v>
      </c>
      <c r="F73" s="53" t="s">
        <v>21</v>
      </c>
      <c r="G73" s="55" t="s">
        <v>21</v>
      </c>
      <c r="H73" s="55">
        <v>5480</v>
      </c>
      <c r="I73" s="55">
        <v>0</v>
      </c>
      <c r="J73" s="55">
        <v>5480</v>
      </c>
      <c r="K73" s="56" t="s">
        <v>21</v>
      </c>
      <c r="L73" s="53" t="s">
        <v>21</v>
      </c>
      <c r="M73" s="55" t="s">
        <v>21</v>
      </c>
      <c r="N73" s="55">
        <v>5480</v>
      </c>
      <c r="O73" s="55">
        <v>0</v>
      </c>
      <c r="P73" s="55">
        <v>5480</v>
      </c>
      <c r="Q73" s="56" t="s">
        <v>21</v>
      </c>
      <c r="R73" s="53" t="s">
        <v>21</v>
      </c>
      <c r="S73" s="55" t="s">
        <v>21</v>
      </c>
      <c r="T73" s="55">
        <v>5480</v>
      </c>
      <c r="U73" s="55">
        <v>0</v>
      </c>
      <c r="V73" s="55">
        <v>5480</v>
      </c>
      <c r="W73" s="56" t="s">
        <v>21</v>
      </c>
      <c r="X73" s="53" t="s">
        <v>21</v>
      </c>
      <c r="Y73" s="55" t="s">
        <v>21</v>
      </c>
      <c r="Z73" s="55">
        <v>5480</v>
      </c>
      <c r="AA73" s="55">
        <v>0</v>
      </c>
      <c r="AB73" s="46"/>
    </row>
    <row r="74" spans="1:28" ht="19.5">
      <c r="A74" s="53">
        <v>7</v>
      </c>
      <c r="B74" s="54" t="s">
        <v>23</v>
      </c>
      <c r="C74" s="53">
        <v>685</v>
      </c>
      <c r="D74" s="55">
        <v>5480</v>
      </c>
      <c r="E74" s="56" t="s">
        <v>21</v>
      </c>
      <c r="F74" s="53" t="s">
        <v>21</v>
      </c>
      <c r="G74" s="55" t="s">
        <v>21</v>
      </c>
      <c r="H74" s="55">
        <v>5480</v>
      </c>
      <c r="I74" s="55">
        <v>0</v>
      </c>
      <c r="J74" s="55">
        <v>5480</v>
      </c>
      <c r="K74" s="56" t="s">
        <v>21</v>
      </c>
      <c r="L74" s="53" t="s">
        <v>21</v>
      </c>
      <c r="M74" s="55" t="s">
        <v>21</v>
      </c>
      <c r="N74" s="55">
        <v>5480</v>
      </c>
      <c r="O74" s="55">
        <v>0</v>
      </c>
      <c r="P74" s="55">
        <v>5480</v>
      </c>
      <c r="Q74" s="56" t="s">
        <v>21</v>
      </c>
      <c r="R74" s="53" t="s">
        <v>21</v>
      </c>
      <c r="S74" s="55" t="s">
        <v>21</v>
      </c>
      <c r="T74" s="55">
        <v>5480</v>
      </c>
      <c r="U74" s="55">
        <v>0</v>
      </c>
      <c r="V74" s="55">
        <v>5480</v>
      </c>
      <c r="W74" s="56" t="s">
        <v>21</v>
      </c>
      <c r="X74" s="53" t="s">
        <v>21</v>
      </c>
      <c r="Y74" s="55" t="s">
        <v>21</v>
      </c>
      <c r="Z74" s="55">
        <v>5480</v>
      </c>
      <c r="AA74" s="55">
        <v>0</v>
      </c>
      <c r="AB74" s="46"/>
    </row>
    <row r="75" spans="1:28" ht="19.5">
      <c r="A75" s="53">
        <v>7</v>
      </c>
      <c r="B75" s="54" t="s">
        <v>19</v>
      </c>
      <c r="C75" s="53">
        <v>685</v>
      </c>
      <c r="D75" s="55">
        <v>5480</v>
      </c>
      <c r="E75" s="56" t="s">
        <v>21</v>
      </c>
      <c r="F75" s="53" t="s">
        <v>21</v>
      </c>
      <c r="G75" s="55" t="s">
        <v>21</v>
      </c>
      <c r="H75" s="55">
        <v>5480</v>
      </c>
      <c r="I75" s="55">
        <v>0</v>
      </c>
      <c r="J75" s="55">
        <v>5480</v>
      </c>
      <c r="K75" s="56" t="s">
        <v>21</v>
      </c>
      <c r="L75" s="53" t="s">
        <v>21</v>
      </c>
      <c r="M75" s="55" t="s">
        <v>21</v>
      </c>
      <c r="N75" s="55">
        <v>5480</v>
      </c>
      <c r="O75" s="55">
        <v>0</v>
      </c>
      <c r="P75" s="55">
        <v>5480</v>
      </c>
      <c r="Q75" s="56" t="s">
        <v>21</v>
      </c>
      <c r="R75" s="53" t="s">
        <v>21</v>
      </c>
      <c r="S75" s="55" t="s">
        <v>21</v>
      </c>
      <c r="T75" s="55">
        <v>5480</v>
      </c>
      <c r="U75" s="55">
        <v>0</v>
      </c>
      <c r="V75" s="55">
        <v>5480</v>
      </c>
      <c r="W75" s="56" t="s">
        <v>21</v>
      </c>
      <c r="X75" s="53" t="s">
        <v>21</v>
      </c>
      <c r="Y75" s="55" t="s">
        <v>21</v>
      </c>
      <c r="Z75" s="55">
        <v>5480</v>
      </c>
      <c r="AA75" s="55">
        <v>0</v>
      </c>
      <c r="AB75" s="46"/>
    </row>
    <row r="76" spans="1:28" s="7" customFormat="1" ht="1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 spans="1:28" ht="19.5">
      <c r="A77" s="53">
        <v>8</v>
      </c>
      <c r="B77" s="54" t="s">
        <v>14</v>
      </c>
      <c r="C77" s="53">
        <v>782</v>
      </c>
      <c r="D77" s="55">
        <v>6256</v>
      </c>
      <c r="E77" s="56" t="s">
        <v>21</v>
      </c>
      <c r="F77" s="53" t="s">
        <v>21</v>
      </c>
      <c r="G77" s="55" t="s">
        <v>21</v>
      </c>
      <c r="H77" s="55">
        <v>6256</v>
      </c>
      <c r="I77" s="55">
        <v>0</v>
      </c>
      <c r="J77" s="55">
        <v>6256</v>
      </c>
      <c r="K77" s="56" t="s">
        <v>21</v>
      </c>
      <c r="L77" s="53" t="s">
        <v>21</v>
      </c>
      <c r="M77" s="55" t="s">
        <v>21</v>
      </c>
      <c r="N77" s="55">
        <v>6256</v>
      </c>
      <c r="O77" s="55">
        <v>0</v>
      </c>
      <c r="P77" s="55">
        <v>6256</v>
      </c>
      <c r="Q77" s="56" t="s">
        <v>21</v>
      </c>
      <c r="R77" s="53" t="s">
        <v>21</v>
      </c>
      <c r="S77" s="55" t="s">
        <v>21</v>
      </c>
      <c r="T77" s="55">
        <v>6256</v>
      </c>
      <c r="U77" s="55">
        <v>0</v>
      </c>
      <c r="V77" s="55">
        <v>6256</v>
      </c>
      <c r="W77" s="56" t="s">
        <v>21</v>
      </c>
      <c r="X77" s="53" t="s">
        <v>21</v>
      </c>
      <c r="Y77" s="55" t="s">
        <v>21</v>
      </c>
      <c r="Z77" s="55">
        <v>6256</v>
      </c>
      <c r="AA77" s="55">
        <v>0</v>
      </c>
      <c r="AB77" s="46"/>
    </row>
    <row r="78" spans="1:28" ht="19.5">
      <c r="A78" s="53">
        <v>8</v>
      </c>
      <c r="B78" s="54" t="s">
        <v>15</v>
      </c>
      <c r="C78" s="53">
        <v>782</v>
      </c>
      <c r="D78" s="55">
        <v>6256</v>
      </c>
      <c r="E78" s="56" t="s">
        <v>21</v>
      </c>
      <c r="F78" s="53" t="s">
        <v>21</v>
      </c>
      <c r="G78" s="55" t="s">
        <v>21</v>
      </c>
      <c r="H78" s="55">
        <v>6256</v>
      </c>
      <c r="I78" s="55">
        <v>0</v>
      </c>
      <c r="J78" s="55">
        <v>6256</v>
      </c>
      <c r="K78" s="56" t="s">
        <v>21</v>
      </c>
      <c r="L78" s="53" t="s">
        <v>21</v>
      </c>
      <c r="M78" s="55" t="s">
        <v>21</v>
      </c>
      <c r="N78" s="55">
        <v>6256</v>
      </c>
      <c r="O78" s="55">
        <v>0</v>
      </c>
      <c r="P78" s="55">
        <v>6256</v>
      </c>
      <c r="Q78" s="56" t="s">
        <v>21</v>
      </c>
      <c r="R78" s="53" t="s">
        <v>21</v>
      </c>
      <c r="S78" s="55" t="s">
        <v>21</v>
      </c>
      <c r="T78" s="55">
        <v>6256</v>
      </c>
      <c r="U78" s="55">
        <v>0</v>
      </c>
      <c r="V78" s="55">
        <v>6256</v>
      </c>
      <c r="W78" s="56" t="s">
        <v>21</v>
      </c>
      <c r="X78" s="53" t="s">
        <v>21</v>
      </c>
      <c r="Y78" s="55" t="s">
        <v>21</v>
      </c>
      <c r="Z78" s="55">
        <v>6256</v>
      </c>
      <c r="AA78" s="55">
        <v>0</v>
      </c>
      <c r="AB78" s="46"/>
    </row>
    <row r="79" spans="1:28" ht="19.5">
      <c r="A79" s="53">
        <v>8</v>
      </c>
      <c r="B79" s="54" t="s">
        <v>12</v>
      </c>
      <c r="C79" s="53">
        <v>782</v>
      </c>
      <c r="D79" s="55">
        <v>6256</v>
      </c>
      <c r="E79" s="56" t="s">
        <v>21</v>
      </c>
      <c r="F79" s="53" t="s">
        <v>21</v>
      </c>
      <c r="G79" s="55" t="s">
        <v>21</v>
      </c>
      <c r="H79" s="55">
        <v>6256</v>
      </c>
      <c r="I79" s="55">
        <v>0</v>
      </c>
      <c r="J79" s="55">
        <v>6256</v>
      </c>
      <c r="K79" s="56" t="s">
        <v>21</v>
      </c>
      <c r="L79" s="53" t="s">
        <v>21</v>
      </c>
      <c r="M79" s="55" t="s">
        <v>21</v>
      </c>
      <c r="N79" s="55">
        <v>6256</v>
      </c>
      <c r="O79" s="55">
        <v>0</v>
      </c>
      <c r="P79" s="55">
        <v>6256</v>
      </c>
      <c r="Q79" s="56" t="s">
        <v>21</v>
      </c>
      <c r="R79" s="53" t="s">
        <v>21</v>
      </c>
      <c r="S79" s="55" t="s">
        <v>21</v>
      </c>
      <c r="T79" s="55">
        <v>6256</v>
      </c>
      <c r="U79" s="55">
        <v>0</v>
      </c>
      <c r="V79" s="55">
        <v>6256</v>
      </c>
      <c r="W79" s="56" t="s">
        <v>21</v>
      </c>
      <c r="X79" s="53" t="s">
        <v>21</v>
      </c>
      <c r="Y79" s="55" t="s">
        <v>21</v>
      </c>
      <c r="Z79" s="55">
        <v>6256</v>
      </c>
      <c r="AA79" s="55">
        <v>0</v>
      </c>
      <c r="AB79" s="46"/>
    </row>
    <row r="80" spans="1:28" ht="19.5">
      <c r="A80" s="53">
        <v>8</v>
      </c>
      <c r="B80" s="54" t="s">
        <v>22</v>
      </c>
      <c r="C80" s="53">
        <v>782</v>
      </c>
      <c r="D80" s="55">
        <v>6256</v>
      </c>
      <c r="E80" s="56" t="s">
        <v>21</v>
      </c>
      <c r="F80" s="53" t="s">
        <v>21</v>
      </c>
      <c r="G80" s="55" t="s">
        <v>21</v>
      </c>
      <c r="H80" s="55">
        <v>6256</v>
      </c>
      <c r="I80" s="55">
        <v>0</v>
      </c>
      <c r="J80" s="55">
        <v>6256</v>
      </c>
      <c r="K80" s="56" t="s">
        <v>21</v>
      </c>
      <c r="L80" s="53" t="s">
        <v>21</v>
      </c>
      <c r="M80" s="55" t="s">
        <v>21</v>
      </c>
      <c r="N80" s="55">
        <v>6256</v>
      </c>
      <c r="O80" s="55">
        <v>0</v>
      </c>
      <c r="P80" s="55">
        <v>6256</v>
      </c>
      <c r="Q80" s="56" t="s">
        <v>21</v>
      </c>
      <c r="R80" s="53" t="s">
        <v>21</v>
      </c>
      <c r="S80" s="55" t="s">
        <v>21</v>
      </c>
      <c r="T80" s="55">
        <v>6256</v>
      </c>
      <c r="U80" s="55">
        <v>0</v>
      </c>
      <c r="V80" s="55">
        <v>6256</v>
      </c>
      <c r="W80" s="56" t="s">
        <v>21</v>
      </c>
      <c r="X80" s="53" t="s">
        <v>21</v>
      </c>
      <c r="Y80" s="55" t="s">
        <v>21</v>
      </c>
      <c r="Z80" s="55">
        <v>6256</v>
      </c>
      <c r="AA80" s="55">
        <v>0</v>
      </c>
      <c r="AB80" s="46"/>
    </row>
    <row r="81" spans="1:28" ht="19.5">
      <c r="A81" s="53">
        <v>8</v>
      </c>
      <c r="B81" s="54" t="s">
        <v>24</v>
      </c>
      <c r="C81" s="53">
        <v>782</v>
      </c>
      <c r="D81" s="55">
        <v>6256</v>
      </c>
      <c r="E81" s="56" t="s">
        <v>21</v>
      </c>
      <c r="F81" s="53" t="s">
        <v>21</v>
      </c>
      <c r="G81" s="55" t="s">
        <v>21</v>
      </c>
      <c r="H81" s="55">
        <v>6256</v>
      </c>
      <c r="I81" s="55">
        <v>0</v>
      </c>
      <c r="J81" s="55">
        <v>6256</v>
      </c>
      <c r="K81" s="56" t="s">
        <v>21</v>
      </c>
      <c r="L81" s="53" t="s">
        <v>21</v>
      </c>
      <c r="M81" s="55" t="s">
        <v>21</v>
      </c>
      <c r="N81" s="55">
        <v>6256</v>
      </c>
      <c r="O81" s="55">
        <v>0</v>
      </c>
      <c r="P81" s="55">
        <v>6256</v>
      </c>
      <c r="Q81" s="56" t="s">
        <v>21</v>
      </c>
      <c r="R81" s="53" t="s">
        <v>21</v>
      </c>
      <c r="S81" s="55" t="s">
        <v>21</v>
      </c>
      <c r="T81" s="55">
        <v>6256</v>
      </c>
      <c r="U81" s="55">
        <v>0</v>
      </c>
      <c r="V81" s="55">
        <v>6256</v>
      </c>
      <c r="W81" s="56" t="s">
        <v>21</v>
      </c>
      <c r="X81" s="53" t="s">
        <v>21</v>
      </c>
      <c r="Y81" s="55" t="s">
        <v>21</v>
      </c>
      <c r="Z81" s="55">
        <v>6256</v>
      </c>
      <c r="AA81" s="55">
        <v>0</v>
      </c>
      <c r="AB81" s="46"/>
    </row>
    <row r="82" spans="1:28" ht="19.5">
      <c r="A82" s="53">
        <v>8</v>
      </c>
      <c r="B82" s="54" t="s">
        <v>13</v>
      </c>
      <c r="C82" s="53">
        <v>782</v>
      </c>
      <c r="D82" s="55">
        <v>6256</v>
      </c>
      <c r="E82" s="56" t="s">
        <v>21</v>
      </c>
      <c r="F82" s="53" t="s">
        <v>21</v>
      </c>
      <c r="G82" s="55" t="s">
        <v>21</v>
      </c>
      <c r="H82" s="55">
        <v>6256</v>
      </c>
      <c r="I82" s="55">
        <v>0</v>
      </c>
      <c r="J82" s="55">
        <v>6256</v>
      </c>
      <c r="K82" s="56" t="s">
        <v>21</v>
      </c>
      <c r="L82" s="53" t="s">
        <v>21</v>
      </c>
      <c r="M82" s="55" t="s">
        <v>21</v>
      </c>
      <c r="N82" s="55">
        <v>6256</v>
      </c>
      <c r="O82" s="55">
        <v>0</v>
      </c>
      <c r="P82" s="55">
        <v>6256</v>
      </c>
      <c r="Q82" s="56" t="s">
        <v>21</v>
      </c>
      <c r="R82" s="53" t="s">
        <v>21</v>
      </c>
      <c r="S82" s="55" t="s">
        <v>21</v>
      </c>
      <c r="T82" s="55">
        <v>6256</v>
      </c>
      <c r="U82" s="55">
        <v>0</v>
      </c>
      <c r="V82" s="55">
        <v>6256</v>
      </c>
      <c r="W82" s="56" t="s">
        <v>21</v>
      </c>
      <c r="X82" s="53" t="s">
        <v>21</v>
      </c>
      <c r="Y82" s="55" t="s">
        <v>21</v>
      </c>
      <c r="Z82" s="55">
        <v>6256</v>
      </c>
      <c r="AA82" s="55">
        <v>0</v>
      </c>
      <c r="AB82" s="46"/>
    </row>
    <row r="83" spans="1:28" ht="19.5">
      <c r="A83" s="53">
        <v>8</v>
      </c>
      <c r="B83" s="54" t="s">
        <v>17</v>
      </c>
      <c r="C83" s="53">
        <v>782</v>
      </c>
      <c r="D83" s="55">
        <v>6256</v>
      </c>
      <c r="E83" s="56" t="s">
        <v>21</v>
      </c>
      <c r="F83" s="53" t="s">
        <v>21</v>
      </c>
      <c r="G83" s="55" t="s">
        <v>21</v>
      </c>
      <c r="H83" s="55">
        <v>6256</v>
      </c>
      <c r="I83" s="55">
        <v>0</v>
      </c>
      <c r="J83" s="55">
        <v>6256</v>
      </c>
      <c r="K83" s="56" t="s">
        <v>21</v>
      </c>
      <c r="L83" s="53" t="s">
        <v>21</v>
      </c>
      <c r="M83" s="55" t="s">
        <v>21</v>
      </c>
      <c r="N83" s="55">
        <v>6256</v>
      </c>
      <c r="O83" s="55">
        <v>0</v>
      </c>
      <c r="P83" s="55">
        <v>6256</v>
      </c>
      <c r="Q83" s="56" t="s">
        <v>21</v>
      </c>
      <c r="R83" s="53" t="s">
        <v>21</v>
      </c>
      <c r="S83" s="55" t="s">
        <v>21</v>
      </c>
      <c r="T83" s="55">
        <v>6256</v>
      </c>
      <c r="U83" s="55">
        <v>0</v>
      </c>
      <c r="V83" s="55">
        <v>6256</v>
      </c>
      <c r="W83" s="56" t="s">
        <v>21</v>
      </c>
      <c r="X83" s="53" t="s">
        <v>21</v>
      </c>
      <c r="Y83" s="55" t="s">
        <v>21</v>
      </c>
      <c r="Z83" s="55">
        <v>6256</v>
      </c>
      <c r="AA83" s="55">
        <v>0</v>
      </c>
      <c r="AB83" s="46"/>
    </row>
    <row r="84" spans="1:28" ht="19.5">
      <c r="A84" s="53">
        <v>8</v>
      </c>
      <c r="B84" s="54" t="s">
        <v>23</v>
      </c>
      <c r="C84" s="53">
        <v>782</v>
      </c>
      <c r="D84" s="55">
        <v>6256</v>
      </c>
      <c r="E84" s="56" t="s">
        <v>21</v>
      </c>
      <c r="F84" s="53" t="s">
        <v>21</v>
      </c>
      <c r="G84" s="55" t="s">
        <v>21</v>
      </c>
      <c r="H84" s="55">
        <v>6256</v>
      </c>
      <c r="I84" s="55">
        <v>0</v>
      </c>
      <c r="J84" s="55">
        <v>6256</v>
      </c>
      <c r="K84" s="56" t="s">
        <v>21</v>
      </c>
      <c r="L84" s="53" t="s">
        <v>21</v>
      </c>
      <c r="M84" s="55" t="s">
        <v>21</v>
      </c>
      <c r="N84" s="55">
        <v>6256</v>
      </c>
      <c r="O84" s="55">
        <v>0</v>
      </c>
      <c r="P84" s="55">
        <v>6256</v>
      </c>
      <c r="Q84" s="56" t="s">
        <v>21</v>
      </c>
      <c r="R84" s="53" t="s">
        <v>21</v>
      </c>
      <c r="S84" s="55" t="s">
        <v>21</v>
      </c>
      <c r="T84" s="55">
        <v>6256</v>
      </c>
      <c r="U84" s="55">
        <v>0</v>
      </c>
      <c r="V84" s="55">
        <v>6256</v>
      </c>
      <c r="W84" s="56" t="s">
        <v>21</v>
      </c>
      <c r="X84" s="53" t="s">
        <v>21</v>
      </c>
      <c r="Y84" s="55" t="s">
        <v>21</v>
      </c>
      <c r="Z84" s="55">
        <v>6256</v>
      </c>
      <c r="AA84" s="55">
        <v>0</v>
      </c>
      <c r="AB84" s="46"/>
    </row>
    <row r="85" spans="1:28" ht="19.5">
      <c r="A85" s="53">
        <v>8</v>
      </c>
      <c r="B85" s="54" t="s">
        <v>19</v>
      </c>
      <c r="C85" s="53">
        <v>782</v>
      </c>
      <c r="D85" s="55">
        <v>6256</v>
      </c>
      <c r="E85" s="56" t="s">
        <v>21</v>
      </c>
      <c r="F85" s="53" t="s">
        <v>21</v>
      </c>
      <c r="G85" s="55" t="s">
        <v>21</v>
      </c>
      <c r="H85" s="55">
        <v>6256</v>
      </c>
      <c r="I85" s="55">
        <v>0</v>
      </c>
      <c r="J85" s="55">
        <v>6256</v>
      </c>
      <c r="K85" s="56" t="s">
        <v>21</v>
      </c>
      <c r="L85" s="53" t="s">
        <v>21</v>
      </c>
      <c r="M85" s="55" t="s">
        <v>21</v>
      </c>
      <c r="N85" s="55">
        <v>6256</v>
      </c>
      <c r="O85" s="55">
        <v>0</v>
      </c>
      <c r="P85" s="55">
        <v>6256</v>
      </c>
      <c r="Q85" s="56" t="s">
        <v>21</v>
      </c>
      <c r="R85" s="53" t="s">
        <v>21</v>
      </c>
      <c r="S85" s="55" t="s">
        <v>21</v>
      </c>
      <c r="T85" s="55">
        <v>6256</v>
      </c>
      <c r="U85" s="55">
        <v>0</v>
      </c>
      <c r="V85" s="55">
        <v>6256</v>
      </c>
      <c r="W85" s="56" t="s">
        <v>21</v>
      </c>
      <c r="X85" s="53" t="s">
        <v>21</v>
      </c>
      <c r="Y85" s="55" t="s">
        <v>21</v>
      </c>
      <c r="Z85" s="55">
        <v>6256</v>
      </c>
      <c r="AA85" s="55">
        <v>0</v>
      </c>
      <c r="AB85" s="46"/>
    </row>
    <row r="86" spans="1:28" s="7" customFormat="1" ht="1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</row>
    <row r="87" spans="1:28" ht="19.5">
      <c r="A87" s="53">
        <v>9</v>
      </c>
      <c r="B87" s="54" t="s">
        <v>14</v>
      </c>
      <c r="C87" s="53">
        <v>535</v>
      </c>
      <c r="D87" s="55">
        <v>4280</v>
      </c>
      <c r="E87" s="56" t="s">
        <v>21</v>
      </c>
      <c r="F87" s="53" t="s">
        <v>21</v>
      </c>
      <c r="G87" s="55" t="s">
        <v>21</v>
      </c>
      <c r="H87" s="55">
        <v>4280</v>
      </c>
      <c r="I87" s="55">
        <v>0</v>
      </c>
      <c r="J87" s="55">
        <v>4280</v>
      </c>
      <c r="K87" s="56" t="s">
        <v>21</v>
      </c>
      <c r="L87" s="53" t="s">
        <v>21</v>
      </c>
      <c r="M87" s="55" t="s">
        <v>21</v>
      </c>
      <c r="N87" s="55">
        <v>4280</v>
      </c>
      <c r="O87" s="55">
        <v>0</v>
      </c>
      <c r="P87" s="55">
        <v>4280</v>
      </c>
      <c r="Q87" s="56" t="s">
        <v>21</v>
      </c>
      <c r="R87" s="53" t="s">
        <v>21</v>
      </c>
      <c r="S87" s="55" t="s">
        <v>21</v>
      </c>
      <c r="T87" s="55">
        <v>4280</v>
      </c>
      <c r="U87" s="55">
        <v>0</v>
      </c>
      <c r="V87" s="55">
        <v>4280</v>
      </c>
      <c r="W87" s="56">
        <v>1400</v>
      </c>
      <c r="X87" s="53">
        <v>2025</v>
      </c>
      <c r="Y87" s="55" t="s">
        <v>20</v>
      </c>
      <c r="Z87" s="55">
        <v>2880</v>
      </c>
      <c r="AA87" s="55">
        <v>0</v>
      </c>
      <c r="AB87" s="46"/>
    </row>
    <row r="88" spans="1:28" ht="19.5">
      <c r="A88" s="53">
        <v>9</v>
      </c>
      <c r="B88" s="54" t="s">
        <v>15</v>
      </c>
      <c r="C88" s="53">
        <v>535</v>
      </c>
      <c r="D88" s="55">
        <v>4280</v>
      </c>
      <c r="E88" s="56" t="s">
        <v>21</v>
      </c>
      <c r="F88" s="53" t="s">
        <v>21</v>
      </c>
      <c r="G88" s="55" t="s">
        <v>21</v>
      </c>
      <c r="H88" s="55">
        <v>4280</v>
      </c>
      <c r="I88" s="55">
        <v>0</v>
      </c>
      <c r="J88" s="55">
        <v>4280</v>
      </c>
      <c r="K88" s="56">
        <v>700</v>
      </c>
      <c r="L88" s="53">
        <v>2025</v>
      </c>
      <c r="M88" s="55" t="s">
        <v>20</v>
      </c>
      <c r="N88" s="55">
        <v>3615</v>
      </c>
      <c r="O88" s="55">
        <v>0</v>
      </c>
      <c r="P88" s="55">
        <v>4280</v>
      </c>
      <c r="Q88" s="56">
        <v>500</v>
      </c>
      <c r="R88" s="53">
        <v>2025</v>
      </c>
      <c r="S88" s="55" t="s">
        <v>20</v>
      </c>
      <c r="T88" s="55">
        <v>3780</v>
      </c>
      <c r="U88" s="55">
        <v>0</v>
      </c>
      <c r="V88" s="55">
        <v>4280</v>
      </c>
      <c r="W88" s="56">
        <v>600</v>
      </c>
      <c r="X88" s="53">
        <v>2025</v>
      </c>
      <c r="Y88" s="55" t="s">
        <v>20</v>
      </c>
      <c r="Z88" s="55">
        <v>3680</v>
      </c>
      <c r="AA88" s="55">
        <v>0</v>
      </c>
      <c r="AB88" s="46"/>
    </row>
    <row r="89" spans="1:28" ht="19.5">
      <c r="A89" s="53">
        <v>9</v>
      </c>
      <c r="B89" s="54" t="s">
        <v>12</v>
      </c>
      <c r="C89" s="53">
        <v>535</v>
      </c>
      <c r="D89" s="55">
        <v>4280</v>
      </c>
      <c r="E89" s="56" t="s">
        <v>21</v>
      </c>
      <c r="F89" s="53" t="s">
        <v>21</v>
      </c>
      <c r="G89" s="55" t="s">
        <v>21</v>
      </c>
      <c r="H89" s="55">
        <v>4280</v>
      </c>
      <c r="I89" s="55">
        <v>0</v>
      </c>
      <c r="J89" s="55">
        <v>4280</v>
      </c>
      <c r="K89" s="56">
        <v>1000</v>
      </c>
      <c r="L89" s="53">
        <v>2025</v>
      </c>
      <c r="M89" s="55" t="s">
        <v>20</v>
      </c>
      <c r="N89" s="55">
        <v>4280</v>
      </c>
      <c r="O89" s="55">
        <v>0</v>
      </c>
      <c r="P89" s="55">
        <v>4280</v>
      </c>
      <c r="Q89" s="56">
        <v>1500</v>
      </c>
      <c r="R89" s="53">
        <v>2025</v>
      </c>
      <c r="S89" s="55" t="s">
        <v>20</v>
      </c>
      <c r="T89" s="55">
        <v>2780</v>
      </c>
      <c r="U89" s="55">
        <v>0</v>
      </c>
      <c r="V89" s="55">
        <v>4280</v>
      </c>
      <c r="W89" s="56">
        <v>900</v>
      </c>
      <c r="X89" s="53">
        <v>2025</v>
      </c>
      <c r="Y89" s="55" t="s">
        <v>20</v>
      </c>
      <c r="Z89" s="55">
        <v>3380</v>
      </c>
      <c r="AA89" s="55">
        <v>0</v>
      </c>
      <c r="AB89" s="46"/>
    </row>
    <row r="90" spans="1:28" ht="19.5">
      <c r="A90" s="53">
        <v>9</v>
      </c>
      <c r="B90" s="54" t="s">
        <v>22</v>
      </c>
      <c r="C90" s="53">
        <v>535</v>
      </c>
      <c r="D90" s="55">
        <v>4280</v>
      </c>
      <c r="E90" s="56" t="s">
        <v>21</v>
      </c>
      <c r="F90" s="53" t="s">
        <v>21</v>
      </c>
      <c r="G90" s="55" t="s">
        <v>21</v>
      </c>
      <c r="H90" s="55">
        <v>4280</v>
      </c>
      <c r="I90" s="55">
        <v>0</v>
      </c>
      <c r="J90" s="55">
        <v>4280</v>
      </c>
      <c r="K90" s="56" t="s">
        <v>21</v>
      </c>
      <c r="L90" s="53" t="s">
        <v>21</v>
      </c>
      <c r="M90" s="55" t="s">
        <v>21</v>
      </c>
      <c r="N90" s="55">
        <v>4280</v>
      </c>
      <c r="O90" s="55">
        <v>0</v>
      </c>
      <c r="P90" s="55">
        <v>4280</v>
      </c>
      <c r="Q90" s="56">
        <v>500</v>
      </c>
      <c r="R90" s="53">
        <v>2025</v>
      </c>
      <c r="S90" s="55" t="s">
        <v>20</v>
      </c>
      <c r="T90" s="55">
        <v>3780</v>
      </c>
      <c r="U90" s="55">
        <v>0</v>
      </c>
      <c r="V90" s="55">
        <v>4280</v>
      </c>
      <c r="W90" s="56">
        <v>800</v>
      </c>
      <c r="X90" s="53">
        <v>2025</v>
      </c>
      <c r="Y90" s="55" t="s">
        <v>20</v>
      </c>
      <c r="Z90" s="55">
        <v>3480</v>
      </c>
      <c r="AA90" s="55">
        <v>0</v>
      </c>
      <c r="AB90" s="46"/>
    </row>
    <row r="91" spans="1:28" ht="19.5">
      <c r="A91" s="53">
        <v>9</v>
      </c>
      <c r="B91" s="54" t="s">
        <v>24</v>
      </c>
      <c r="C91" s="53">
        <v>535</v>
      </c>
      <c r="D91" s="55">
        <v>4280</v>
      </c>
      <c r="E91" s="56" t="s">
        <v>21</v>
      </c>
      <c r="F91" s="53" t="s">
        <v>21</v>
      </c>
      <c r="G91" s="55" t="s">
        <v>21</v>
      </c>
      <c r="H91" s="55">
        <v>4280</v>
      </c>
      <c r="I91" s="55">
        <v>0</v>
      </c>
      <c r="J91" s="55">
        <v>4280</v>
      </c>
      <c r="K91" s="56" t="s">
        <v>21</v>
      </c>
      <c r="L91" s="53" t="s">
        <v>21</v>
      </c>
      <c r="M91" s="55" t="s">
        <v>21</v>
      </c>
      <c r="N91" s="55">
        <v>4280</v>
      </c>
      <c r="O91" s="55">
        <v>0</v>
      </c>
      <c r="P91" s="55">
        <v>4280</v>
      </c>
      <c r="Q91" s="56">
        <v>600</v>
      </c>
      <c r="R91" s="53">
        <v>2025</v>
      </c>
      <c r="S91" s="55" t="s">
        <v>20</v>
      </c>
      <c r="T91" s="55">
        <v>3680</v>
      </c>
      <c r="U91" s="55">
        <v>0</v>
      </c>
      <c r="V91" s="55">
        <v>4280</v>
      </c>
      <c r="W91" s="56">
        <v>500</v>
      </c>
      <c r="X91" s="53">
        <v>2025</v>
      </c>
      <c r="Y91" s="55" t="s">
        <v>20</v>
      </c>
      <c r="Z91" s="55">
        <v>3780</v>
      </c>
      <c r="AA91" s="55">
        <v>0</v>
      </c>
      <c r="AB91" s="46"/>
    </row>
    <row r="92" spans="1:28" ht="19.5">
      <c r="A92" s="53">
        <v>9</v>
      </c>
      <c r="B92" s="54" t="s">
        <v>13</v>
      </c>
      <c r="C92" s="53">
        <v>535</v>
      </c>
      <c r="D92" s="55">
        <v>4280</v>
      </c>
      <c r="E92" s="56" t="s">
        <v>21</v>
      </c>
      <c r="F92" s="53" t="s">
        <v>21</v>
      </c>
      <c r="G92" s="55" t="s">
        <v>21</v>
      </c>
      <c r="H92" s="55">
        <v>4280</v>
      </c>
      <c r="I92" s="55">
        <v>0</v>
      </c>
      <c r="J92" s="55">
        <v>4280</v>
      </c>
      <c r="K92" s="56" t="s">
        <v>21</v>
      </c>
      <c r="L92" s="53" t="s">
        <v>21</v>
      </c>
      <c r="M92" s="55" t="s">
        <v>21</v>
      </c>
      <c r="N92" s="55">
        <v>4280</v>
      </c>
      <c r="O92" s="55">
        <v>0</v>
      </c>
      <c r="P92" s="55">
        <v>4280</v>
      </c>
      <c r="Q92" s="56" t="s">
        <v>21</v>
      </c>
      <c r="R92" s="53" t="s">
        <v>21</v>
      </c>
      <c r="S92" s="55" t="s">
        <v>21</v>
      </c>
      <c r="T92" s="55">
        <v>4280</v>
      </c>
      <c r="U92" s="55">
        <v>0</v>
      </c>
      <c r="V92" s="55">
        <v>4280</v>
      </c>
      <c r="W92" s="56" t="s">
        <v>21</v>
      </c>
      <c r="X92" s="53" t="s">
        <v>21</v>
      </c>
      <c r="Y92" s="55" t="s">
        <v>21</v>
      </c>
      <c r="Z92" s="55">
        <v>4280</v>
      </c>
      <c r="AA92" s="55">
        <v>0</v>
      </c>
      <c r="AB92" s="46"/>
    </row>
    <row r="93" spans="1:28" ht="19.5">
      <c r="A93" s="53">
        <v>9</v>
      </c>
      <c r="B93" s="54" t="s">
        <v>17</v>
      </c>
      <c r="C93" s="53">
        <v>535</v>
      </c>
      <c r="D93" s="55">
        <v>4280</v>
      </c>
      <c r="E93" s="56" t="s">
        <v>21</v>
      </c>
      <c r="F93" s="53" t="s">
        <v>21</v>
      </c>
      <c r="G93" s="55" t="s">
        <v>21</v>
      </c>
      <c r="H93" s="55">
        <v>4280</v>
      </c>
      <c r="I93" s="55">
        <v>0</v>
      </c>
      <c r="J93" s="55">
        <v>4280</v>
      </c>
      <c r="K93" s="56" t="s">
        <v>21</v>
      </c>
      <c r="L93" s="53" t="s">
        <v>21</v>
      </c>
      <c r="M93" s="55" t="s">
        <v>21</v>
      </c>
      <c r="N93" s="55">
        <v>4280</v>
      </c>
      <c r="O93" s="55">
        <v>0</v>
      </c>
      <c r="P93" s="55">
        <v>4280</v>
      </c>
      <c r="Q93" s="56" t="s">
        <v>21</v>
      </c>
      <c r="R93" s="53" t="s">
        <v>21</v>
      </c>
      <c r="S93" s="55" t="s">
        <v>21</v>
      </c>
      <c r="T93" s="55">
        <v>4280</v>
      </c>
      <c r="U93" s="55">
        <v>0</v>
      </c>
      <c r="V93" s="55">
        <v>4280</v>
      </c>
      <c r="W93" s="56">
        <v>1600</v>
      </c>
      <c r="X93" s="53">
        <v>2025</v>
      </c>
      <c r="Y93" s="55" t="s">
        <v>20</v>
      </c>
      <c r="Z93" s="55">
        <v>2680</v>
      </c>
      <c r="AA93" s="55">
        <v>0</v>
      </c>
      <c r="AB93" s="46"/>
    </row>
    <row r="94" spans="1:28" ht="19.5">
      <c r="A94" s="53">
        <v>9</v>
      </c>
      <c r="B94" s="54" t="s">
        <v>23</v>
      </c>
      <c r="C94" s="53">
        <v>535</v>
      </c>
      <c r="D94" s="55">
        <v>4280</v>
      </c>
      <c r="E94" s="56" t="s">
        <v>21</v>
      </c>
      <c r="F94" s="53" t="s">
        <v>21</v>
      </c>
      <c r="G94" s="55" t="s">
        <v>21</v>
      </c>
      <c r="H94" s="55">
        <v>4280</v>
      </c>
      <c r="I94" s="55">
        <v>0</v>
      </c>
      <c r="J94" s="55">
        <v>4280</v>
      </c>
      <c r="K94" s="56" t="s">
        <v>21</v>
      </c>
      <c r="L94" s="53" t="s">
        <v>21</v>
      </c>
      <c r="M94" s="55" t="s">
        <v>21</v>
      </c>
      <c r="N94" s="55">
        <v>4280</v>
      </c>
      <c r="O94" s="55">
        <v>0</v>
      </c>
      <c r="P94" s="55">
        <v>4280</v>
      </c>
      <c r="Q94" s="56" t="s">
        <v>21</v>
      </c>
      <c r="R94" s="53" t="s">
        <v>21</v>
      </c>
      <c r="S94" s="55" t="s">
        <v>21</v>
      </c>
      <c r="T94" s="55">
        <v>4280</v>
      </c>
      <c r="U94" s="55">
        <v>0</v>
      </c>
      <c r="V94" s="55">
        <v>4280</v>
      </c>
      <c r="W94" s="56" t="s">
        <v>21</v>
      </c>
      <c r="X94" s="53" t="s">
        <v>21</v>
      </c>
      <c r="Y94" s="55" t="s">
        <v>21</v>
      </c>
      <c r="Z94" s="55">
        <v>4280</v>
      </c>
      <c r="AA94" s="55">
        <v>0</v>
      </c>
      <c r="AB94" s="46"/>
    </row>
    <row r="95" spans="1:28" ht="19.5">
      <c r="A95" s="53">
        <v>9</v>
      </c>
      <c r="B95" s="54" t="s">
        <v>19</v>
      </c>
      <c r="C95" s="53">
        <v>535</v>
      </c>
      <c r="D95" s="55">
        <v>4280</v>
      </c>
      <c r="E95" s="56" t="s">
        <v>21</v>
      </c>
      <c r="F95" s="53" t="s">
        <v>21</v>
      </c>
      <c r="G95" s="55" t="s">
        <v>21</v>
      </c>
      <c r="H95" s="55">
        <v>4280</v>
      </c>
      <c r="I95" s="55">
        <v>0</v>
      </c>
      <c r="J95" s="55">
        <v>4280</v>
      </c>
      <c r="K95" s="56" t="s">
        <v>21</v>
      </c>
      <c r="L95" s="53" t="s">
        <v>21</v>
      </c>
      <c r="M95" s="55" t="s">
        <v>21</v>
      </c>
      <c r="N95" s="55">
        <v>4280</v>
      </c>
      <c r="O95" s="55">
        <v>0</v>
      </c>
      <c r="P95" s="55">
        <v>4280</v>
      </c>
      <c r="Q95" s="56">
        <v>1599</v>
      </c>
      <c r="R95" s="53">
        <v>2025</v>
      </c>
      <c r="S95" s="55" t="s">
        <v>20</v>
      </c>
      <c r="T95" s="55">
        <v>2681</v>
      </c>
      <c r="U95" s="55">
        <v>0</v>
      </c>
      <c r="V95" s="55">
        <v>4280</v>
      </c>
      <c r="W95" s="56">
        <v>398</v>
      </c>
      <c r="X95" s="53">
        <v>2025</v>
      </c>
      <c r="Y95" s="55" t="s">
        <v>20</v>
      </c>
      <c r="Z95" s="55">
        <v>3882</v>
      </c>
      <c r="AA95" s="55">
        <v>0</v>
      </c>
      <c r="AB95" s="46"/>
    </row>
    <row r="96" spans="1:28" s="7" customFormat="1" ht="1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</row>
    <row r="97" spans="1:28" ht="19.5">
      <c r="A97" s="53">
        <v>10</v>
      </c>
      <c r="B97" s="54" t="s">
        <v>14</v>
      </c>
      <c r="C97" s="53">
        <v>543</v>
      </c>
      <c r="D97" s="55">
        <v>4344</v>
      </c>
      <c r="E97" s="56" t="s">
        <v>21</v>
      </c>
      <c r="F97" s="53" t="s">
        <v>21</v>
      </c>
      <c r="G97" s="55" t="s">
        <v>21</v>
      </c>
      <c r="H97" s="55">
        <v>4344</v>
      </c>
      <c r="I97" s="55">
        <v>0</v>
      </c>
      <c r="J97" s="55">
        <v>4344</v>
      </c>
      <c r="K97" s="56">
        <v>760</v>
      </c>
      <c r="L97" s="53">
        <v>2025</v>
      </c>
      <c r="M97" s="55" t="s">
        <v>20</v>
      </c>
      <c r="N97" s="55">
        <v>3679</v>
      </c>
      <c r="O97" s="55">
        <v>0</v>
      </c>
      <c r="P97" s="55">
        <v>4344</v>
      </c>
      <c r="Q97" s="56">
        <v>500</v>
      </c>
      <c r="R97" s="53">
        <v>2025</v>
      </c>
      <c r="S97" s="55" t="s">
        <v>20</v>
      </c>
      <c r="T97" s="55">
        <v>3844</v>
      </c>
      <c r="U97" s="55">
        <v>0</v>
      </c>
      <c r="V97" s="55">
        <v>4344</v>
      </c>
      <c r="W97" s="56">
        <v>200</v>
      </c>
      <c r="X97" s="53">
        <v>2025</v>
      </c>
      <c r="Y97" s="55" t="s">
        <v>20</v>
      </c>
      <c r="Z97" s="55">
        <v>4144</v>
      </c>
      <c r="AA97" s="55">
        <v>0</v>
      </c>
      <c r="AB97" s="46"/>
    </row>
    <row r="98" spans="1:28" ht="19.5">
      <c r="A98" s="53">
        <v>10</v>
      </c>
      <c r="B98" s="54" t="s">
        <v>15</v>
      </c>
      <c r="C98" s="53">
        <v>543</v>
      </c>
      <c r="D98" s="55">
        <v>4344</v>
      </c>
      <c r="E98" s="56" t="s">
        <v>21</v>
      </c>
      <c r="F98" s="53" t="s">
        <v>21</v>
      </c>
      <c r="G98" s="55" t="s">
        <v>21</v>
      </c>
      <c r="H98" s="55">
        <v>4344</v>
      </c>
      <c r="I98" s="55">
        <v>0</v>
      </c>
      <c r="J98" s="55">
        <v>4344</v>
      </c>
      <c r="K98" s="56" t="s">
        <v>21</v>
      </c>
      <c r="L98" s="53" t="s">
        <v>21</v>
      </c>
      <c r="M98" s="55" t="s">
        <v>21</v>
      </c>
      <c r="N98" s="55">
        <v>4344</v>
      </c>
      <c r="O98" s="55">
        <v>0</v>
      </c>
      <c r="P98" s="55">
        <v>4344</v>
      </c>
      <c r="Q98" s="56">
        <v>700</v>
      </c>
      <c r="R98" s="53">
        <v>2025</v>
      </c>
      <c r="S98" s="55" t="s">
        <v>20</v>
      </c>
      <c r="T98" s="55">
        <v>3644</v>
      </c>
      <c r="U98" s="55">
        <v>0</v>
      </c>
      <c r="V98" s="55">
        <v>4344</v>
      </c>
      <c r="W98" s="56">
        <v>700</v>
      </c>
      <c r="X98" s="53">
        <v>2025</v>
      </c>
      <c r="Y98" s="55" t="s">
        <v>20</v>
      </c>
      <c r="Z98" s="55">
        <v>3644</v>
      </c>
      <c r="AA98" s="55">
        <v>0</v>
      </c>
      <c r="AB98" s="46"/>
    </row>
    <row r="99" spans="1:28" ht="19.5">
      <c r="A99" s="53">
        <v>10</v>
      </c>
      <c r="B99" s="54" t="s">
        <v>12</v>
      </c>
      <c r="C99" s="53">
        <v>543</v>
      </c>
      <c r="D99" s="55">
        <v>4344</v>
      </c>
      <c r="E99" s="56" t="s">
        <v>21</v>
      </c>
      <c r="F99" s="53" t="s">
        <v>21</v>
      </c>
      <c r="G99" s="55" t="s">
        <v>21</v>
      </c>
      <c r="H99" s="55">
        <v>4344</v>
      </c>
      <c r="I99" s="55">
        <v>0</v>
      </c>
      <c r="J99" s="55">
        <v>4344</v>
      </c>
      <c r="K99" s="56">
        <v>760</v>
      </c>
      <c r="L99" s="53">
        <v>2025</v>
      </c>
      <c r="M99" s="55" t="s">
        <v>20</v>
      </c>
      <c r="N99" s="55">
        <v>4344</v>
      </c>
      <c r="O99" s="55">
        <v>0</v>
      </c>
      <c r="P99" s="55">
        <v>4344</v>
      </c>
      <c r="Q99" s="56">
        <v>700</v>
      </c>
      <c r="R99" s="53">
        <v>2025</v>
      </c>
      <c r="S99" s="55" t="s">
        <v>20</v>
      </c>
      <c r="T99" s="55">
        <v>3644</v>
      </c>
      <c r="U99" s="55">
        <v>0</v>
      </c>
      <c r="V99" s="55">
        <v>4344</v>
      </c>
      <c r="W99" s="56">
        <v>400</v>
      </c>
      <c r="X99" s="53">
        <v>2025</v>
      </c>
      <c r="Y99" s="55" t="s">
        <v>20</v>
      </c>
      <c r="Z99" s="55">
        <v>3944</v>
      </c>
      <c r="AA99" s="55">
        <v>0</v>
      </c>
      <c r="AB99" s="46"/>
    </row>
    <row r="100" spans="1:28" ht="19.5">
      <c r="A100" s="53">
        <v>10</v>
      </c>
      <c r="B100" s="54" t="s">
        <v>22</v>
      </c>
      <c r="C100" s="53">
        <v>543</v>
      </c>
      <c r="D100" s="55">
        <v>4344</v>
      </c>
      <c r="E100" s="56" t="s">
        <v>21</v>
      </c>
      <c r="F100" s="53" t="s">
        <v>21</v>
      </c>
      <c r="G100" s="55" t="s">
        <v>21</v>
      </c>
      <c r="H100" s="55">
        <v>4344</v>
      </c>
      <c r="I100" s="55">
        <v>0</v>
      </c>
      <c r="J100" s="55">
        <v>4344</v>
      </c>
      <c r="K100" s="56" t="s">
        <v>21</v>
      </c>
      <c r="L100" s="53" t="s">
        <v>21</v>
      </c>
      <c r="M100" s="55" t="s">
        <v>21</v>
      </c>
      <c r="N100" s="55">
        <v>4344</v>
      </c>
      <c r="O100" s="55">
        <v>0</v>
      </c>
      <c r="P100" s="55">
        <v>4344</v>
      </c>
      <c r="Q100" s="56">
        <v>700</v>
      </c>
      <c r="R100" s="53">
        <v>2025</v>
      </c>
      <c r="S100" s="55" t="s">
        <v>20</v>
      </c>
      <c r="T100" s="55">
        <v>3644</v>
      </c>
      <c r="U100" s="55">
        <v>0</v>
      </c>
      <c r="V100" s="55">
        <v>4344</v>
      </c>
      <c r="W100" s="56">
        <v>400</v>
      </c>
      <c r="X100" s="53">
        <v>2025</v>
      </c>
      <c r="Y100" s="55" t="s">
        <v>20</v>
      </c>
      <c r="Z100" s="55">
        <v>3944</v>
      </c>
      <c r="AA100" s="55">
        <v>0</v>
      </c>
      <c r="AB100" s="46"/>
    </row>
    <row r="101" spans="1:28" ht="19.5">
      <c r="A101" s="53">
        <v>10</v>
      </c>
      <c r="B101" s="54" t="s">
        <v>24</v>
      </c>
      <c r="C101" s="53">
        <v>543</v>
      </c>
      <c r="D101" s="55">
        <v>4344</v>
      </c>
      <c r="E101" s="56" t="s">
        <v>21</v>
      </c>
      <c r="F101" s="53" t="s">
        <v>21</v>
      </c>
      <c r="G101" s="55" t="s">
        <v>21</v>
      </c>
      <c r="H101" s="55">
        <v>4344</v>
      </c>
      <c r="I101" s="55">
        <v>0</v>
      </c>
      <c r="J101" s="55">
        <v>4344</v>
      </c>
      <c r="K101" s="56" t="s">
        <v>21</v>
      </c>
      <c r="L101" s="53" t="s">
        <v>21</v>
      </c>
      <c r="M101" s="55" t="s">
        <v>21</v>
      </c>
      <c r="N101" s="55">
        <v>4344</v>
      </c>
      <c r="O101" s="55">
        <v>0</v>
      </c>
      <c r="P101" s="55">
        <v>4344</v>
      </c>
      <c r="Q101" s="56">
        <v>400</v>
      </c>
      <c r="R101" s="53">
        <v>2025</v>
      </c>
      <c r="S101" s="55" t="s">
        <v>20</v>
      </c>
      <c r="T101" s="55">
        <v>3944</v>
      </c>
      <c r="U101" s="55">
        <v>0</v>
      </c>
      <c r="V101" s="55">
        <v>4344</v>
      </c>
      <c r="W101" s="56">
        <v>400</v>
      </c>
      <c r="X101" s="53">
        <v>2025</v>
      </c>
      <c r="Y101" s="55" t="s">
        <v>20</v>
      </c>
      <c r="Z101" s="55">
        <v>3944</v>
      </c>
      <c r="AA101" s="55">
        <v>0</v>
      </c>
      <c r="AB101" s="46"/>
    </row>
    <row r="102" spans="1:28" ht="19.5">
      <c r="A102" s="53">
        <v>10</v>
      </c>
      <c r="B102" s="54" t="s">
        <v>13</v>
      </c>
      <c r="C102" s="53">
        <v>543</v>
      </c>
      <c r="D102" s="55">
        <v>4344</v>
      </c>
      <c r="E102" s="56" t="s">
        <v>21</v>
      </c>
      <c r="F102" s="53" t="s">
        <v>21</v>
      </c>
      <c r="G102" s="55" t="s">
        <v>21</v>
      </c>
      <c r="H102" s="55">
        <v>4344</v>
      </c>
      <c r="I102" s="55">
        <v>0</v>
      </c>
      <c r="J102" s="55">
        <v>4344</v>
      </c>
      <c r="K102" s="56" t="s">
        <v>21</v>
      </c>
      <c r="L102" s="53" t="s">
        <v>21</v>
      </c>
      <c r="M102" s="55" t="s">
        <v>21</v>
      </c>
      <c r="N102" s="55">
        <v>4344</v>
      </c>
      <c r="O102" s="55">
        <v>0</v>
      </c>
      <c r="P102" s="55">
        <v>4344</v>
      </c>
      <c r="Q102" s="56" t="s">
        <v>21</v>
      </c>
      <c r="R102" s="53" t="s">
        <v>21</v>
      </c>
      <c r="S102" s="55" t="s">
        <v>21</v>
      </c>
      <c r="T102" s="55">
        <v>4344</v>
      </c>
      <c r="U102" s="55">
        <v>0</v>
      </c>
      <c r="V102" s="55">
        <v>4344</v>
      </c>
      <c r="W102" s="56" t="s">
        <v>21</v>
      </c>
      <c r="X102" s="53" t="s">
        <v>21</v>
      </c>
      <c r="Y102" s="55" t="s">
        <v>21</v>
      </c>
      <c r="Z102" s="55">
        <v>4344</v>
      </c>
      <c r="AA102" s="55">
        <v>0</v>
      </c>
      <c r="AB102" s="46"/>
    </row>
    <row r="103" spans="1:28" ht="19.5">
      <c r="A103" s="53">
        <v>10</v>
      </c>
      <c r="B103" s="54" t="s">
        <v>17</v>
      </c>
      <c r="C103" s="53">
        <v>543</v>
      </c>
      <c r="D103" s="55">
        <v>4344</v>
      </c>
      <c r="E103" s="56" t="s">
        <v>21</v>
      </c>
      <c r="F103" s="53" t="s">
        <v>21</v>
      </c>
      <c r="G103" s="55" t="s">
        <v>21</v>
      </c>
      <c r="H103" s="55">
        <v>4344</v>
      </c>
      <c r="I103" s="55">
        <v>0</v>
      </c>
      <c r="J103" s="55">
        <v>4344</v>
      </c>
      <c r="K103" s="56" t="s">
        <v>21</v>
      </c>
      <c r="L103" s="53" t="s">
        <v>21</v>
      </c>
      <c r="M103" s="55" t="s">
        <v>21</v>
      </c>
      <c r="N103" s="55">
        <v>4344</v>
      </c>
      <c r="O103" s="55">
        <v>0</v>
      </c>
      <c r="P103" s="55">
        <v>4344</v>
      </c>
      <c r="Q103" s="56">
        <v>500</v>
      </c>
      <c r="R103" s="53">
        <v>2025</v>
      </c>
      <c r="S103" s="55" t="s">
        <v>20</v>
      </c>
      <c r="T103" s="55">
        <v>3844</v>
      </c>
      <c r="U103" s="55">
        <v>0</v>
      </c>
      <c r="V103" s="55">
        <v>4344</v>
      </c>
      <c r="W103" s="56">
        <v>600</v>
      </c>
      <c r="X103" s="53">
        <v>2025</v>
      </c>
      <c r="Y103" s="55" t="s">
        <v>20</v>
      </c>
      <c r="Z103" s="55">
        <v>3744</v>
      </c>
      <c r="AA103" s="55">
        <v>0</v>
      </c>
      <c r="AB103" s="46"/>
    </row>
    <row r="104" spans="1:28" ht="19.5">
      <c r="A104" s="53">
        <v>10</v>
      </c>
      <c r="B104" s="54" t="s">
        <v>23</v>
      </c>
      <c r="C104" s="53">
        <v>543</v>
      </c>
      <c r="D104" s="55">
        <v>4344</v>
      </c>
      <c r="E104" s="56" t="s">
        <v>21</v>
      </c>
      <c r="F104" s="53" t="s">
        <v>21</v>
      </c>
      <c r="G104" s="55" t="s">
        <v>21</v>
      </c>
      <c r="H104" s="55">
        <v>4344</v>
      </c>
      <c r="I104" s="55">
        <v>0</v>
      </c>
      <c r="J104" s="55">
        <v>4344</v>
      </c>
      <c r="K104" s="56" t="s">
        <v>21</v>
      </c>
      <c r="L104" s="53" t="s">
        <v>21</v>
      </c>
      <c r="M104" s="55" t="s">
        <v>21</v>
      </c>
      <c r="N104" s="55">
        <v>4344</v>
      </c>
      <c r="O104" s="55">
        <v>0</v>
      </c>
      <c r="P104" s="55">
        <v>4344</v>
      </c>
      <c r="Q104" s="56" t="s">
        <v>21</v>
      </c>
      <c r="R104" s="53" t="s">
        <v>21</v>
      </c>
      <c r="S104" s="55" t="s">
        <v>21</v>
      </c>
      <c r="T104" s="55">
        <v>4344</v>
      </c>
      <c r="U104" s="55">
        <v>0</v>
      </c>
      <c r="V104" s="55">
        <v>4344</v>
      </c>
      <c r="W104" s="56" t="s">
        <v>21</v>
      </c>
      <c r="X104" s="53" t="s">
        <v>21</v>
      </c>
      <c r="Y104" s="55" t="s">
        <v>21</v>
      </c>
      <c r="Z104" s="55">
        <v>4344</v>
      </c>
      <c r="AA104" s="55">
        <v>0</v>
      </c>
      <c r="AB104" s="46"/>
    </row>
    <row r="105" spans="1:28" ht="19.5">
      <c r="A105" s="53">
        <v>10</v>
      </c>
      <c r="B105" s="54" t="s">
        <v>19</v>
      </c>
      <c r="C105" s="53">
        <v>543</v>
      </c>
      <c r="D105" s="55">
        <v>4344</v>
      </c>
      <c r="E105" s="56" t="s">
        <v>21</v>
      </c>
      <c r="F105" s="53" t="s">
        <v>21</v>
      </c>
      <c r="G105" s="55" t="s">
        <v>21</v>
      </c>
      <c r="H105" s="55">
        <v>4344</v>
      </c>
      <c r="I105" s="55">
        <v>0</v>
      </c>
      <c r="J105" s="55">
        <v>4344</v>
      </c>
      <c r="K105" s="56" t="s">
        <v>21</v>
      </c>
      <c r="L105" s="53" t="s">
        <v>21</v>
      </c>
      <c r="M105" s="55" t="s">
        <v>21</v>
      </c>
      <c r="N105" s="55">
        <v>4344</v>
      </c>
      <c r="O105" s="55">
        <v>0</v>
      </c>
      <c r="P105" s="55">
        <v>4344</v>
      </c>
      <c r="Q105" s="56">
        <v>500</v>
      </c>
      <c r="R105" s="53">
        <v>2025</v>
      </c>
      <c r="S105" s="55" t="s">
        <v>20</v>
      </c>
      <c r="T105" s="55">
        <v>3844</v>
      </c>
      <c r="U105" s="55">
        <v>0</v>
      </c>
      <c r="V105" s="55">
        <v>4344</v>
      </c>
      <c r="W105" s="56">
        <v>500</v>
      </c>
      <c r="X105" s="53">
        <v>2025</v>
      </c>
      <c r="Y105" s="55" t="s">
        <v>20</v>
      </c>
      <c r="Z105" s="55">
        <v>3844</v>
      </c>
      <c r="AA105" s="55">
        <v>0</v>
      </c>
      <c r="AB105" s="46"/>
    </row>
    <row r="106" spans="1:28" s="7" customFormat="1" ht="1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</row>
    <row r="107" spans="1:28" ht="19.5">
      <c r="A107" s="57" t="s">
        <v>25</v>
      </c>
      <c r="B107" s="58" t="s">
        <v>26</v>
      </c>
      <c r="C107" s="57">
        <v>571</v>
      </c>
      <c r="D107" s="55" t="s">
        <v>21</v>
      </c>
      <c r="E107" s="55" t="s">
        <v>21</v>
      </c>
      <c r="F107" s="59" t="s">
        <v>21</v>
      </c>
      <c r="G107" s="55" t="s">
        <v>21</v>
      </c>
      <c r="H107" s="55">
        <v>0</v>
      </c>
      <c r="I107" s="55">
        <v>0</v>
      </c>
      <c r="J107" s="55">
        <v>4568</v>
      </c>
      <c r="K107" s="55" t="s">
        <v>21</v>
      </c>
      <c r="L107" s="59" t="s">
        <v>21</v>
      </c>
      <c r="M107" s="55" t="s">
        <v>21</v>
      </c>
      <c r="N107" s="55">
        <v>4568</v>
      </c>
      <c r="O107" s="55">
        <v>0</v>
      </c>
      <c r="P107" s="55">
        <v>4568</v>
      </c>
      <c r="Q107" s="55" t="s">
        <v>21</v>
      </c>
      <c r="R107" s="59" t="s">
        <v>21</v>
      </c>
      <c r="S107" s="55" t="s">
        <v>21</v>
      </c>
      <c r="T107" s="55">
        <v>4568</v>
      </c>
      <c r="U107" s="55">
        <v>0</v>
      </c>
      <c r="V107" s="55">
        <v>4568</v>
      </c>
      <c r="W107" s="55" t="s">
        <v>21</v>
      </c>
      <c r="X107" s="59" t="s">
        <v>21</v>
      </c>
      <c r="Y107" s="55" t="s">
        <v>21</v>
      </c>
      <c r="Z107" s="55">
        <v>4568</v>
      </c>
      <c r="AA107" s="55">
        <v>0</v>
      </c>
      <c r="AB107" s="46"/>
    </row>
    <row r="108" spans="1:28" ht="19.5">
      <c r="A108" s="57" t="s">
        <v>25</v>
      </c>
      <c r="B108" s="58" t="s">
        <v>28</v>
      </c>
      <c r="C108" s="57">
        <v>515</v>
      </c>
      <c r="D108" s="55" t="s">
        <v>21</v>
      </c>
      <c r="E108" s="55" t="s">
        <v>21</v>
      </c>
      <c r="F108" s="59" t="s">
        <v>21</v>
      </c>
      <c r="G108" s="55" t="s">
        <v>21</v>
      </c>
      <c r="H108" s="55">
        <v>0</v>
      </c>
      <c r="I108" s="55">
        <v>0</v>
      </c>
      <c r="J108" s="55">
        <v>4120</v>
      </c>
      <c r="K108" s="55" t="s">
        <v>21</v>
      </c>
      <c r="L108" s="59" t="s">
        <v>21</v>
      </c>
      <c r="M108" s="55" t="s">
        <v>21</v>
      </c>
      <c r="N108" s="55">
        <v>4120</v>
      </c>
      <c r="O108" s="55">
        <v>0</v>
      </c>
      <c r="P108" s="55">
        <v>4120</v>
      </c>
      <c r="Q108" s="55" t="s">
        <v>21</v>
      </c>
      <c r="R108" s="59" t="s">
        <v>21</v>
      </c>
      <c r="S108" s="55" t="s">
        <v>21</v>
      </c>
      <c r="T108" s="55">
        <v>4120</v>
      </c>
      <c r="U108" s="55">
        <v>0</v>
      </c>
      <c r="V108" s="55">
        <v>4120</v>
      </c>
      <c r="W108" s="55" t="s">
        <v>21</v>
      </c>
      <c r="X108" s="59" t="s">
        <v>21</v>
      </c>
      <c r="Y108" s="55" t="s">
        <v>21</v>
      </c>
      <c r="Z108" s="55">
        <v>4120</v>
      </c>
      <c r="AA108" s="55">
        <v>0</v>
      </c>
      <c r="AB108" s="46"/>
    </row>
    <row r="109" spans="1:28" ht="19.5">
      <c r="A109" s="57" t="s">
        <v>25</v>
      </c>
      <c r="B109" s="58" t="s">
        <v>29</v>
      </c>
      <c r="C109" s="57">
        <v>571</v>
      </c>
      <c r="D109" s="55" t="s">
        <v>21</v>
      </c>
      <c r="E109" s="55" t="s">
        <v>21</v>
      </c>
      <c r="F109" s="59" t="s">
        <v>21</v>
      </c>
      <c r="G109" s="55" t="s">
        <v>21</v>
      </c>
      <c r="H109" s="55">
        <v>0</v>
      </c>
      <c r="I109" s="55">
        <v>0</v>
      </c>
      <c r="J109" s="55">
        <v>4568</v>
      </c>
      <c r="K109" s="55" t="s">
        <v>21</v>
      </c>
      <c r="L109" s="59" t="s">
        <v>21</v>
      </c>
      <c r="M109" s="55" t="s">
        <v>21</v>
      </c>
      <c r="N109" s="55">
        <v>4568</v>
      </c>
      <c r="O109" s="55">
        <v>0</v>
      </c>
      <c r="P109" s="55">
        <v>4568</v>
      </c>
      <c r="Q109" s="55" t="s">
        <v>21</v>
      </c>
      <c r="R109" s="59" t="s">
        <v>21</v>
      </c>
      <c r="S109" s="55" t="s">
        <v>21</v>
      </c>
      <c r="T109" s="55">
        <v>4568</v>
      </c>
      <c r="U109" s="55">
        <v>0</v>
      </c>
      <c r="V109" s="55">
        <v>4568</v>
      </c>
      <c r="W109" s="55" t="s">
        <v>21</v>
      </c>
      <c r="X109" s="59" t="s">
        <v>21</v>
      </c>
      <c r="Y109" s="55" t="s">
        <v>21</v>
      </c>
      <c r="Z109" s="55">
        <v>4568</v>
      </c>
      <c r="AA109" s="55">
        <v>0</v>
      </c>
      <c r="AB109" s="46"/>
    </row>
    <row r="110" spans="1:28" ht="19.5">
      <c r="A110" s="57" t="s">
        <v>25</v>
      </c>
      <c r="B110" s="58" t="s">
        <v>30</v>
      </c>
      <c r="C110" s="57">
        <v>515</v>
      </c>
      <c r="D110" s="55" t="s">
        <v>21</v>
      </c>
      <c r="E110" s="55" t="s">
        <v>21</v>
      </c>
      <c r="F110" s="59" t="s">
        <v>21</v>
      </c>
      <c r="G110" s="55" t="s">
        <v>21</v>
      </c>
      <c r="H110" s="55">
        <v>0</v>
      </c>
      <c r="I110" s="55">
        <v>0</v>
      </c>
      <c r="J110" s="55">
        <v>4120</v>
      </c>
      <c r="K110" s="55" t="s">
        <v>21</v>
      </c>
      <c r="L110" s="59" t="s">
        <v>21</v>
      </c>
      <c r="M110" s="55" t="s">
        <v>21</v>
      </c>
      <c r="N110" s="55">
        <v>4120</v>
      </c>
      <c r="O110" s="55">
        <v>0</v>
      </c>
      <c r="P110" s="55">
        <v>4120</v>
      </c>
      <c r="Q110" s="55" t="s">
        <v>21</v>
      </c>
      <c r="R110" s="59" t="s">
        <v>21</v>
      </c>
      <c r="S110" s="55" t="s">
        <v>21</v>
      </c>
      <c r="T110" s="55">
        <v>4120</v>
      </c>
      <c r="U110" s="55">
        <v>0</v>
      </c>
      <c r="V110" s="55">
        <v>4120</v>
      </c>
      <c r="W110" s="55" t="s">
        <v>21</v>
      </c>
      <c r="X110" s="59" t="s">
        <v>21</v>
      </c>
      <c r="Y110" s="55" t="s">
        <v>21</v>
      </c>
      <c r="Z110" s="55">
        <v>4120</v>
      </c>
      <c r="AA110" s="55">
        <v>0</v>
      </c>
      <c r="AB110" s="46"/>
    </row>
    <row r="111" spans="1:28" ht="28.5">
      <c r="A111" s="57" t="s">
        <v>25</v>
      </c>
      <c r="B111" s="58" t="s">
        <v>31</v>
      </c>
      <c r="C111" s="57">
        <v>571</v>
      </c>
      <c r="D111" s="55" t="s">
        <v>21</v>
      </c>
      <c r="E111" s="55" t="s">
        <v>21</v>
      </c>
      <c r="F111" s="59" t="s">
        <v>21</v>
      </c>
      <c r="G111" s="55" t="s">
        <v>21</v>
      </c>
      <c r="H111" s="55">
        <v>0</v>
      </c>
      <c r="I111" s="55">
        <v>0</v>
      </c>
      <c r="J111" s="55">
        <v>4568</v>
      </c>
      <c r="K111" s="55" t="s">
        <v>21</v>
      </c>
      <c r="L111" s="59" t="s">
        <v>21</v>
      </c>
      <c r="M111" s="55" t="s">
        <v>21</v>
      </c>
      <c r="N111" s="55">
        <v>4568</v>
      </c>
      <c r="O111" s="55">
        <v>0</v>
      </c>
      <c r="P111" s="55">
        <v>4568</v>
      </c>
      <c r="Q111" s="55" t="s">
        <v>21</v>
      </c>
      <c r="R111" s="59" t="s">
        <v>21</v>
      </c>
      <c r="S111" s="55" t="s">
        <v>21</v>
      </c>
      <c r="T111" s="55">
        <v>4568</v>
      </c>
      <c r="U111" s="55">
        <v>0</v>
      </c>
      <c r="V111" s="55">
        <v>4568</v>
      </c>
      <c r="W111" s="55" t="s">
        <v>21</v>
      </c>
      <c r="X111" s="59" t="s">
        <v>21</v>
      </c>
      <c r="Y111" s="55" t="s">
        <v>21</v>
      </c>
      <c r="Z111" s="55">
        <v>4568</v>
      </c>
      <c r="AA111" s="55">
        <v>0</v>
      </c>
      <c r="AB111" s="46"/>
    </row>
    <row r="112" spans="1:28" ht="19.5">
      <c r="A112" s="57" t="s">
        <v>25</v>
      </c>
      <c r="B112" s="58" t="s">
        <v>32</v>
      </c>
      <c r="C112" s="57">
        <v>515</v>
      </c>
      <c r="D112" s="55" t="s">
        <v>21</v>
      </c>
      <c r="E112" s="55" t="s">
        <v>21</v>
      </c>
      <c r="F112" s="59" t="s">
        <v>21</v>
      </c>
      <c r="G112" s="55" t="s">
        <v>21</v>
      </c>
      <c r="H112" s="55">
        <v>0</v>
      </c>
      <c r="I112" s="55">
        <v>0</v>
      </c>
      <c r="J112" s="55">
        <v>4120</v>
      </c>
      <c r="K112" s="55" t="s">
        <v>21</v>
      </c>
      <c r="L112" s="59" t="s">
        <v>21</v>
      </c>
      <c r="M112" s="55" t="s">
        <v>21</v>
      </c>
      <c r="N112" s="55">
        <v>4120</v>
      </c>
      <c r="O112" s="55">
        <v>0</v>
      </c>
      <c r="P112" s="55">
        <v>4120</v>
      </c>
      <c r="Q112" s="55" t="s">
        <v>21</v>
      </c>
      <c r="R112" s="59" t="s">
        <v>21</v>
      </c>
      <c r="S112" s="55" t="s">
        <v>21</v>
      </c>
      <c r="T112" s="55">
        <v>4120</v>
      </c>
      <c r="U112" s="55">
        <v>0</v>
      </c>
      <c r="V112" s="55">
        <v>4120</v>
      </c>
      <c r="W112" s="55" t="s">
        <v>21</v>
      </c>
      <c r="X112" s="59" t="s">
        <v>21</v>
      </c>
      <c r="Y112" s="55" t="s">
        <v>21</v>
      </c>
      <c r="Z112" s="55">
        <v>4120</v>
      </c>
      <c r="AA112" s="55">
        <v>0</v>
      </c>
      <c r="AB112" s="46"/>
    </row>
    <row r="113" spans="1:28" ht="28.5">
      <c r="A113" s="57" t="s">
        <v>25</v>
      </c>
      <c r="B113" s="58" t="s">
        <v>33</v>
      </c>
      <c r="C113" s="57">
        <v>571</v>
      </c>
      <c r="D113" s="55" t="s">
        <v>21</v>
      </c>
      <c r="E113" s="55" t="s">
        <v>21</v>
      </c>
      <c r="F113" s="59" t="s">
        <v>21</v>
      </c>
      <c r="G113" s="55" t="s">
        <v>21</v>
      </c>
      <c r="H113" s="55">
        <v>0</v>
      </c>
      <c r="I113" s="55">
        <v>0</v>
      </c>
      <c r="J113" s="55">
        <v>4568</v>
      </c>
      <c r="K113" s="55" t="s">
        <v>21</v>
      </c>
      <c r="L113" s="59" t="s">
        <v>21</v>
      </c>
      <c r="M113" s="55" t="s">
        <v>21</v>
      </c>
      <c r="N113" s="55">
        <v>4568</v>
      </c>
      <c r="O113" s="55">
        <v>0</v>
      </c>
      <c r="P113" s="55">
        <v>4568</v>
      </c>
      <c r="Q113" s="55" t="s">
        <v>21</v>
      </c>
      <c r="R113" s="59" t="s">
        <v>21</v>
      </c>
      <c r="S113" s="55" t="s">
        <v>21</v>
      </c>
      <c r="T113" s="55">
        <v>4568</v>
      </c>
      <c r="U113" s="55">
        <v>0</v>
      </c>
      <c r="V113" s="55">
        <v>4568</v>
      </c>
      <c r="W113" s="55" t="s">
        <v>21</v>
      </c>
      <c r="X113" s="59" t="s">
        <v>21</v>
      </c>
      <c r="Y113" s="55" t="s">
        <v>21</v>
      </c>
      <c r="Z113" s="55">
        <v>4568</v>
      </c>
      <c r="AA113" s="55">
        <v>0</v>
      </c>
      <c r="AB113" s="46"/>
    </row>
    <row r="114" spans="1:28" ht="28.5">
      <c r="A114" s="57" t="s">
        <v>25</v>
      </c>
      <c r="B114" s="58" t="s">
        <v>34</v>
      </c>
      <c r="C114" s="57">
        <v>515</v>
      </c>
      <c r="D114" s="55" t="s">
        <v>21</v>
      </c>
      <c r="E114" s="55" t="s">
        <v>21</v>
      </c>
      <c r="F114" s="59" t="s">
        <v>21</v>
      </c>
      <c r="G114" s="55" t="s">
        <v>21</v>
      </c>
      <c r="H114" s="55">
        <v>0</v>
      </c>
      <c r="I114" s="55">
        <v>0</v>
      </c>
      <c r="J114" s="55">
        <v>4120</v>
      </c>
      <c r="K114" s="55" t="s">
        <v>21</v>
      </c>
      <c r="L114" s="59" t="s">
        <v>21</v>
      </c>
      <c r="M114" s="55" t="s">
        <v>21</v>
      </c>
      <c r="N114" s="55">
        <v>4120</v>
      </c>
      <c r="O114" s="55">
        <v>0</v>
      </c>
      <c r="P114" s="55">
        <v>4120</v>
      </c>
      <c r="Q114" s="55" t="s">
        <v>21</v>
      </c>
      <c r="R114" s="59" t="s">
        <v>21</v>
      </c>
      <c r="S114" s="55" t="s">
        <v>21</v>
      </c>
      <c r="T114" s="55">
        <v>4120</v>
      </c>
      <c r="U114" s="55">
        <v>0</v>
      </c>
      <c r="V114" s="55">
        <v>4120</v>
      </c>
      <c r="W114" s="55" t="s">
        <v>21</v>
      </c>
      <c r="X114" s="59" t="s">
        <v>21</v>
      </c>
      <c r="Y114" s="55" t="s">
        <v>21</v>
      </c>
      <c r="Z114" s="55">
        <v>4120</v>
      </c>
      <c r="AA114" s="55">
        <v>0</v>
      </c>
      <c r="AB114" s="46"/>
    </row>
    <row r="115" spans="1:28" s="7" customFormat="1" ht="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</row>
    <row r="116" spans="1:28" ht="1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7"/>
    </row>
    <row r="117" spans="1:28" ht="1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7"/>
    </row>
    <row r="118" spans="1:28" ht="1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7"/>
    </row>
    <row r="119" spans="1:28" ht="1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7"/>
    </row>
    <row r="120" spans="1:28" ht="1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7"/>
    </row>
    <row r="121" spans="1:28" ht="1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7"/>
    </row>
    <row r="122" spans="1:28" ht="1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7"/>
    </row>
    <row r="123" spans="1:28" ht="1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7"/>
    </row>
    <row r="124" spans="1:28" ht="1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7"/>
    </row>
    <row r="125" spans="1:28" ht="1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7"/>
    </row>
    <row r="126" spans="1:28" ht="1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7"/>
    </row>
    <row r="127" spans="1:28" ht="1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7"/>
    </row>
    <row r="128" spans="1:28" ht="1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7"/>
    </row>
    <row r="129" spans="1:28" ht="1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7"/>
    </row>
    <row r="130" spans="1:28" ht="1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7"/>
    </row>
    <row r="131" spans="1:28" ht="1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7"/>
    </row>
    <row r="132" spans="1:28" ht="1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7"/>
    </row>
    <row r="163" ht="15"/>
    <row r="164" ht="15"/>
    <row r="165" ht="15"/>
    <row r="166" ht="15"/>
    <row r="167" ht="15"/>
    <row r="168" ht="15"/>
    <row r="169" ht="15"/>
    <row r="170" ht="15"/>
  </sheetData>
  <protectedRanges>
    <protectedRange sqref="C2:C10 C12:C19 C21:C29 C31:C41 C43:C53 C55:C65 C107:C114 C77:C85 C67:C75 C87:C95 C97:C105" name="Textbooks"/>
    <protectedRange sqref="J2:L2 D2:F10 D12:F19 D21:F29 D31:F41 D43:F53 D55:F65 D107:F114 P2:R10 N3:O10 V2:X10 T3:U10 N12:R19 T12:X19 H3:L10 Z3:AA10 Z12:AA19 H12:L19 N21:R29 T21:X29 Z21:AA29 H21:L29 T31:X41 Z31:AA41 H31:L41 T43:X53 Z43:AA53 H43:L53 T55:X65 Z55:AA65 H55:L65 N107:R114 T107:X114 Z107:AA114 H107:L114 N31:R41 N43:R53 N55:R65 N77:R85 H67:L75 Z67:AA75 T67:X75 D67:F75 N67:R75 H77:L85 Z77:AA85 T77:X85 D77:F85 D87:F95 N87:R95 Z87:AA95 T87:X95 D97:F105 Z97:AA105 T97:X105 N97:R105 H97:L105 H87:L95" name="LAS"/>
    <protectedRange sqref="G2:I2 M2:O2 S2:U2 Y2:AA2 G3:G10 M3:M10 S3:S10 Y3:Y10 Y12:Y19 G12:G19 M12:M19 S12:S19 Y21:Y29 G21:G29 M21:M29 S21:S29 Y31:Y41 G31:G41 M31:M41 S31:S41 Y43:Y53 G43:G53 M43:M53 S43:S53 Y55:Y65 G55:G65 M55:M65 S55:S65 Y77:Y85 Y107:Y114 G107:G114 M107:M114 S107:S114 S67:S75 M67:M75 G67:G75 Y67:Y75 S77:S85 M77:M85 G77:G85 Y87:Y95 S87:S95 G87:G95 S97:S105 G97:G105 Y97:Y105 M97:M105 M87:M9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55:Y65 S55:S65 M55:M65 Y3:Y10 S3:S10 M3:M10 G3:G10 G12:G19 Y12:Y19 S12:S19 M12:M19 M21:M29 G21:G29 Y21:Y29 S21:S29 S31:S41 M31:M41 G31:G41 Y31:Y41 Y43:Y53 S43:S53 M43:M53 G43:G53 G55:G65" xr:uid="{CBD486C7-A5DB-48F1-B496-5027CC51E830}">
      <formula1>"CO,RO,SDO,LGU,SCHOOL"</formula1>
    </dataValidation>
    <dataValidation type="list" allowBlank="1" showInputMessage="1" showErrorMessage="1" sqref="X107:X114 X97:X105 X87:X95 X77:X85 X67:X75 X55:X65 X43:X53 X31:X41 X21:X29 X12:X19 X3:X10 L107:L114 L97:L105 L87:L95 L77:L85 L67:L75 L55:L65 L43:L53 L31:L41 L21:L29 L12:L19 L3:L10 F107:F114 F97:F105 F87:F95 F77:F85 F67:F75 F55:F65 F43:F53 F31:F41 F21:F29 F12:F19 F3:F10 R107:R114 R97:R105 R87:R95 R77:R85 R67:R75 R55:R65 R43:R53 R31:R41 R21:R29 R12:R19 R3:R10" xr:uid="{E412F7D1-D597-449F-9E67-2FCB91E438D5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2026-03-10T01:05:50Z</dcterms:modified>
  <cp:category/>
  <cp:contentStatus/>
</cp:coreProperties>
</file>