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2" documentId="13_ncr:1_{BFB59F67-F0DC-4675-A682-EB0734A8026A}" xr6:coauthVersionLast="47" xr6:coauthVersionMax="47" xr10:uidLastSave="{561970B8-366B-465A-B8D2-41BB9EBE4533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Z49" i="5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AA50" i="5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AA43" i="5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<sst xmlns="http://schemas.openxmlformats.org/spreadsheetml/2006/main" count="430" uniqueCount="92">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</sst>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0" fillId="8" borderId="10" xfId="0" applyFill="1" applyBorder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>
        <v>720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720</v>
      </c>
    </row>
    <row r="3" spans="1:8" ht="29.25" customHeight="1">
      <c r="A3" s="1">
        <v>1</v>
      </c>
      <c r="B3" s="2" t="s">
        <v>10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/>
      <c r="D23" s="1">
        <v>816</v>
      </c>
      <c r="E23" s="1">
        <v>2025</v>
      </c>
      <c r="F23" s="5" t="s">
        <v>9</v>
      </c>
      <c r="G23" s="3">
        <f t="shared" si="4"/>
        <v>0</v>
      </c>
      <c r="H23" s="4">
        <f t="shared" si="5"/>
        <v>816</v>
      </c>
    </row>
    <row r="24" spans="1:8" ht="27" customHeight="1">
      <c r="A24" s="1">
        <v>4</v>
      </c>
      <c r="B24" s="9" t="s">
        <v>11</v>
      </c>
      <c r="C24" s="1"/>
      <c r="D24" s="1">
        <v>816</v>
      </c>
      <c r="E24" s="1">
        <v>2025</v>
      </c>
      <c r="F24" s="5" t="s">
        <v>9</v>
      </c>
      <c r="G24" s="3">
        <f t="shared" si="4"/>
        <v>0</v>
      </c>
      <c r="H24" s="4">
        <f t="shared" si="5"/>
        <v>816</v>
      </c>
    </row>
    <row r="25" spans="1:8" ht="33.75" customHeight="1">
      <c r="A25" s="1">
        <v>4</v>
      </c>
      <c r="B25" s="9" t="s">
        <v>17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>
        <v>400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400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/>
      <c r="D35" s="1">
        <v>400</v>
      </c>
      <c r="E35" s="1">
        <v>2025</v>
      </c>
      <c r="F35" s="5" t="s">
        <v>9</v>
      </c>
      <c r="G35" s="3">
        <f t="shared" si="6"/>
        <v>0</v>
      </c>
      <c r="H35" s="4">
        <f t="shared" si="7"/>
        <v>400</v>
      </c>
    </row>
    <row r="36" spans="1:8" ht="27.75" customHeight="1">
      <c r="A36" s="1">
        <v>5</v>
      </c>
      <c r="B36" s="9" t="s">
        <v>14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/>
      <c r="D37" s="1">
        <v>400</v>
      </c>
      <c r="E37" s="1">
        <v>2025</v>
      </c>
      <c r="F37" s="5" t="s">
        <v>9</v>
      </c>
      <c r="G37" s="3">
        <f t="shared" si="6"/>
        <v>0</v>
      </c>
      <c r="H37" s="4">
        <f t="shared" si="7"/>
        <v>400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topLeftCell="C99" activePane="topRight" state="frozen"/>
      <selection pane="topRight"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33</v>
      </c>
      <c r="E1" s="43"/>
      <c r="F1" s="43"/>
      <c r="G1" s="43"/>
      <c r="H1" s="43"/>
      <c r="I1" s="43"/>
      <c r="J1" s="44" t="s">
        <v>34</v>
      </c>
      <c r="K1" s="44"/>
      <c r="L1" s="44"/>
      <c r="M1" s="44"/>
      <c r="N1" s="44"/>
      <c r="O1" s="44"/>
      <c r="P1" s="45" t="s">
        <v>35</v>
      </c>
      <c r="Q1" s="45"/>
      <c r="R1" s="45"/>
      <c r="S1" s="45"/>
      <c r="T1" s="45"/>
      <c r="U1" s="45"/>
      <c r="V1" s="46" t="s">
        <v>36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>
        <v>568</v>
      </c>
      <c r="L17" s="1">
        <v>2025</v>
      </c>
      <c r="M17" s="5" t="s">
        <v>63</v>
      </c>
      <c r="N17" s="5">
        <f t="shared" si="10"/>
        <v>0</v>
      </c>
      <c r="O17" s="5">
        <f t="shared" si="11"/>
        <v>568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>
        <v>519</v>
      </c>
      <c r="F18" s="1">
        <v>2025</v>
      </c>
      <c r="G18" s="5" t="s">
        <v>63</v>
      </c>
      <c r="H18" s="5">
        <f t="shared" si="2"/>
        <v>0</v>
      </c>
      <c r="I18" s="5">
        <f t="shared" si="3"/>
        <v>519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>
        <v>568</v>
      </c>
      <c r="L19" s="1">
        <v>2025</v>
      </c>
      <c r="M19" s="5" t="s">
        <v>63</v>
      </c>
      <c r="N19" s="5">
        <f t="shared" si="10"/>
        <v>0</v>
      </c>
      <c r="O19" s="5">
        <f t="shared" si="11"/>
        <v>568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>
        <v>519</v>
      </c>
      <c r="F20" s="1">
        <v>2025</v>
      </c>
      <c r="G20" s="5"/>
      <c r="H20" s="5">
        <f>IF((D20-E20)&lt;0,0,(D20-E20))</f>
        <v>0</v>
      </c>
      <c r="I20" s="5">
        <f>IF((E20-D20)&lt;0,0,(E20-D20))</f>
        <v>519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>
        <v>577</v>
      </c>
      <c r="F25" s="1">
        <v>2025</v>
      </c>
      <c r="G25" s="5" t="s">
        <v>63</v>
      </c>
      <c r="H25" s="5">
        <f t="shared" si="2"/>
        <v>0</v>
      </c>
      <c r="I25" s="5">
        <f t="shared" si="3"/>
        <v>577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>
        <v>577</v>
      </c>
      <c r="F26" s="1">
        <v>2025</v>
      </c>
      <c r="G26" s="5" t="s">
        <v>63</v>
      </c>
      <c r="H26" s="5">
        <f t="shared" si="2"/>
        <v>0</v>
      </c>
      <c r="I26" s="5">
        <f t="shared" si="3"/>
        <v>577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>
        <v>577</v>
      </c>
      <c r="F27" s="1">
        <v>2025</v>
      </c>
      <c r="G27" s="5" t="s">
        <v>63</v>
      </c>
      <c r="H27" s="5">
        <f t="shared" si="2"/>
        <v>0</v>
      </c>
      <c r="I27" s="5">
        <f t="shared" si="3"/>
        <v>577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>
        <v>577</v>
      </c>
      <c r="F28" s="1">
        <v>2025</v>
      </c>
      <c r="G28" s="5" t="s">
        <v>63</v>
      </c>
      <c r="H28" s="5">
        <f t="shared" si="2"/>
        <v>0</v>
      </c>
      <c r="I28" s="5">
        <f t="shared" si="3"/>
        <v>577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>
        <v>577</v>
      </c>
      <c r="F29" s="1">
        <v>2025</v>
      </c>
      <c r="G29" s="5" t="s">
        <v>63</v>
      </c>
      <c r="H29" s="5">
        <f>IF((D29-E29)&lt;0,0,(D29-E29))</f>
        <v>0</v>
      </c>
      <c r="I29" s="5">
        <f>IF((E29-D29)&lt;0,0,(E29-D29))</f>
        <v>577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/>
      <c r="D30" s="5">
        <f>Table1[[#This Row],[Enrolment S.Y. 2025-2026 ]]*8</f>
        <v>0</v>
      </c>
      <c r="E30" s="5">
        <v>577</v>
      </c>
      <c r="F30" s="1">
        <v>2025</v>
      </c>
      <c r="G30" s="5" t="s">
        <v>63</v>
      </c>
      <c r="H30" s="5">
        <f>IF((D30-E30)&lt;0,0,(D30-E30))</f>
        <v>0</v>
      </c>
      <c r="I30" s="5">
        <f>IF((E30-D30)&lt;0,0,(E30-D30))</f>
        <v>577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>
        <v>199</v>
      </c>
      <c r="F43" s="1">
        <v>2025</v>
      </c>
      <c r="G43" s="5" t="s">
        <v>63</v>
      </c>
      <c r="H43" s="5">
        <f t="shared" si="2"/>
        <v>0</v>
      </c>
      <c r="I43" s="5">
        <f t="shared" si="3"/>
        <v>199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/>
      <c r="D44" s="5">
        <f>Table1[[#This Row],[Enrolment S.Y. 2025-2026 ]]*8</f>
        <v>0</v>
      </c>
      <c r="E44" s="5">
        <v>199</v>
      </c>
      <c r="F44" s="1">
        <v>2025</v>
      </c>
      <c r="G44" s="5" t="s">
        <v>63</v>
      </c>
      <c r="H44" s="5">
        <f t="shared" si="2"/>
        <v>0</v>
      </c>
      <c r="I44" s="5">
        <f t="shared" si="3"/>
        <v>199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>
        <v>199</v>
      </c>
      <c r="F45" s="1">
        <v>2025</v>
      </c>
      <c r="G45" s="5"/>
      <c r="H45" s="5">
        <f t="shared" si="2"/>
        <v>0</v>
      </c>
      <c r="I45" s="5">
        <f t="shared" si="3"/>
        <v>199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>
        <v>199</v>
      </c>
      <c r="F46" s="1">
        <v>2025</v>
      </c>
      <c r="G46" s="5" t="s">
        <v>63</v>
      </c>
      <c r="H46" s="5">
        <f t="shared" si="2"/>
        <v>0</v>
      </c>
      <c r="I46" s="5">
        <f t="shared" si="3"/>
        <v>199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/>
      <c r="D47" s="5">
        <f>Table1[[#This Row],[Enrolment S.Y. 2025-2026 ]]*8</f>
        <v>0</v>
      </c>
      <c r="E47" s="5">
        <v>199</v>
      </c>
      <c r="F47" s="1">
        <v>2025</v>
      </c>
      <c r="G47" s="5" t="s">
        <v>63</v>
      </c>
      <c r="H47" s="5">
        <f t="shared" si="2"/>
        <v>0</v>
      </c>
      <c r="I47" s="5">
        <f t="shared" si="3"/>
        <v>199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>
        <v>199</v>
      </c>
      <c r="F48" s="1">
        <v>2025</v>
      </c>
      <c r="G48" s="5" t="s">
        <v>63</v>
      </c>
      <c r="H48" s="5">
        <f t="shared" si="2"/>
        <v>0</v>
      </c>
      <c r="I48" s="5">
        <f t="shared" si="3"/>
        <v>199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/>
      <c r="D49" s="5">
        <f>Table1[[#This Row],[Enrolment S.Y. 2025-2026 ]]*8</f>
        <v>0</v>
      </c>
      <c r="E49" s="5">
        <v>199</v>
      </c>
      <c r="F49" s="1">
        <v>2025</v>
      </c>
      <c r="G49" s="5" t="s">
        <v>63</v>
      </c>
      <c r="H49" s="5">
        <f t="shared" si="2"/>
        <v>0</v>
      </c>
      <c r="I49" s="5">
        <f t="shared" si="3"/>
        <v>199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/>
      <c r="D50" s="5">
        <f>Table1[[#This Row],[Enrolment S.Y. 2025-2026 ]]*8</f>
        <v>0</v>
      </c>
      <c r="E50" s="5">
        <v>199</v>
      </c>
      <c r="F50" s="1">
        <v>2025</v>
      </c>
      <c r="G50" s="5" t="s">
        <v>63</v>
      </c>
      <c r="H50" s="5">
        <f t="shared" si="2"/>
        <v>0</v>
      </c>
      <c r="I50" s="5">
        <f t="shared" si="3"/>
        <v>199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/>
      <c r="D51" s="5">
        <f>Table1[[#This Row],[Enrolment S.Y. 2025-2026 ]]*8</f>
        <v>0</v>
      </c>
      <c r="E51" s="5">
        <v>199</v>
      </c>
      <c r="F51" s="1">
        <v>2025</v>
      </c>
      <c r="G51" s="5" t="s">
        <v>63</v>
      </c>
      <c r="H51" s="5">
        <f t="shared" si="2"/>
        <v>0</v>
      </c>
      <c r="I51" s="5">
        <f t="shared" si="3"/>
        <v>199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23:L31 Q112:R126 P2:R2 V2:X3 N13:P126 T13:V127 J6:J127 D5:F12 N5:R12 T5:X12 N4:P4 T4:V4 J4 Z4:AA127 N3:R3 Y13 D23:F31 K14:L21 D43:F51" name="LAS"/>
    <protectedRange sqref="G2:I3 M2:O2 S2:U3 Y2:AA3 G112:G127 M112:M127 S112:S127 Y112:Y127 G5:G12 M5:M12 S4:S110 Y5:Y12 G14:G21 M3 Y14:Y110 G33:G41 G53:G61 G63:G71 G73:G81 G83:G91 G93:G101 G103:G110 G23:G31 M14:M110 G43:G5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103:G110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C106" activePane="topRight" state="frozen"/>
      <selection pane="topRight"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33</v>
      </c>
      <c r="E1" s="43"/>
      <c r="F1" s="43"/>
      <c r="G1" s="43"/>
      <c r="H1" s="43"/>
      <c r="I1" s="43"/>
      <c r="J1" s="44" t="s">
        <v>34</v>
      </c>
      <c r="K1" s="44"/>
      <c r="L1" s="44"/>
      <c r="M1" s="44"/>
      <c r="N1" s="44"/>
      <c r="O1" s="44"/>
      <c r="P1" s="45" t="s">
        <v>35</v>
      </c>
      <c r="Q1" s="45"/>
      <c r="R1" s="45"/>
      <c r="S1" s="45"/>
      <c r="T1" s="45"/>
      <c r="U1" s="45"/>
      <c r="V1" s="46" t="s">
        <v>36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>
        <v>369</v>
      </c>
      <c r="X16" s="1">
        <v>2025</v>
      </c>
      <c r="Y16" s="5" t="s">
        <v>63</v>
      </c>
      <c r="Z16" s="5">
        <f t="shared" si="6"/>
        <v>0</v>
      </c>
      <c r="AA16" s="5">
        <f t="shared" si="7"/>
        <v>369</v>
      </c>
    </row>
    <row r="17" spans="1:27" ht="19.5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>
        <v>410</v>
      </c>
      <c r="X17" s="1">
        <v>2025</v>
      </c>
      <c r="Y17" s="5" t="s">
        <v>63</v>
      </c>
      <c r="Z17" s="5">
        <f t="shared" si="6"/>
        <v>0</v>
      </c>
      <c r="AA17" s="5">
        <f t="shared" si="7"/>
        <v>410</v>
      </c>
    </row>
    <row r="18" spans="1:27" ht="19.5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>
        <v>369</v>
      </c>
      <c r="X18" s="1">
        <v>2025</v>
      </c>
      <c r="Y18" s="5" t="s">
        <v>63</v>
      </c>
      <c r="Z18" s="5">
        <f t="shared" si="6"/>
        <v>0</v>
      </c>
      <c r="AA18" s="5">
        <f t="shared" si="7"/>
        <v>369</v>
      </c>
    </row>
    <row r="19" spans="1:27" ht="19.5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>
      <c r="W20" s="42"/>
      <c r="X20" s="42"/>
      <c r="Y20" s="42"/>
    </row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>
        <v>1190</v>
      </c>
      <c r="X26" s="1">
        <v>2025</v>
      </c>
      <c r="Y26" s="5" t="s">
        <v>63</v>
      </c>
      <c r="Z26" s="5">
        <f t="shared" si="6"/>
        <v>0</v>
      </c>
      <c r="AA26" s="5">
        <f t="shared" si="7"/>
        <v>1190</v>
      </c>
    </row>
    <row r="27" spans="1:27" ht="19.5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>
        <v>610</v>
      </c>
      <c r="X28" s="1">
        <v>2025</v>
      </c>
      <c r="Y28" s="5" t="s">
        <v>63</v>
      </c>
      <c r="Z28" s="5">
        <f t="shared" si="6"/>
        <v>0</v>
      </c>
      <c r="AA28" s="5">
        <f t="shared" si="7"/>
        <v>610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>
        <v>600</v>
      </c>
      <c r="F55" s="1">
        <v>2025</v>
      </c>
      <c r="G55" s="5" t="s">
        <v>63</v>
      </c>
      <c r="H55" s="5">
        <f t="shared" si="0"/>
        <v>0</v>
      </c>
      <c r="I55" s="5">
        <f t="shared" si="1"/>
        <v>600</v>
      </c>
      <c r="J55" s="5">
        <f>Table14[[#This Row],[Enrolment S.Y. 2025-2026 ]]*8</f>
        <v>0</v>
      </c>
      <c r="K55" s="5">
        <v>180</v>
      </c>
      <c r="L55" s="1">
        <v>2025</v>
      </c>
      <c r="M55" s="5" t="s">
        <v>63</v>
      </c>
      <c r="N55" s="5">
        <f t="shared" si="2"/>
        <v>0</v>
      </c>
      <c r="O55" s="5">
        <f t="shared" si="3"/>
        <v>180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/>
      <c r="D56" s="5">
        <f>Table14[[#This Row],[Enrolment S.Y. 2025-2026 ]]*8</f>
        <v>0</v>
      </c>
      <c r="E56" s="5">
        <v>2800</v>
      </c>
      <c r="F56" s="1">
        <v>2025</v>
      </c>
      <c r="G56" s="5" t="s">
        <v>63</v>
      </c>
      <c r="H56" s="5">
        <f t="shared" si="0"/>
        <v>0</v>
      </c>
      <c r="I56" s="5">
        <f t="shared" si="1"/>
        <v>2800</v>
      </c>
      <c r="J56" s="5">
        <f>Table14[[#This Row],[Enrolment S.Y. 2025-2026 ]]*8</f>
        <v>0</v>
      </c>
      <c r="K56" s="5">
        <v>840</v>
      </c>
      <c r="L56" s="1">
        <v>2025</v>
      </c>
      <c r="M56" s="5" t="s">
        <v>63</v>
      </c>
      <c r="N56" s="5">
        <f t="shared" si="2"/>
        <v>0</v>
      </c>
      <c r="O56" s="5">
        <f t="shared" si="3"/>
        <v>840</v>
      </c>
      <c r="P56" s="5">
        <f>Table14[[#This Row],[Enrolment S.Y. 2025-2026 ]]*8</f>
        <v>0</v>
      </c>
      <c r="Q56" s="5">
        <v>600</v>
      </c>
      <c r="R56" s="1">
        <v>2025</v>
      </c>
      <c r="S56" s="5" t="s">
        <v>63</v>
      </c>
      <c r="T56" s="5">
        <f t="shared" si="4"/>
        <v>0</v>
      </c>
      <c r="U56" s="5">
        <f t="shared" si="5"/>
        <v>600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>
        <v>2200</v>
      </c>
      <c r="F57" s="1">
        <v>2025</v>
      </c>
      <c r="G57" s="5" t="s">
        <v>63</v>
      </c>
      <c r="H57" s="5">
        <f t="shared" si="0"/>
        <v>0</v>
      </c>
      <c r="I57" s="5">
        <f t="shared" si="1"/>
        <v>2200</v>
      </c>
      <c r="J57" s="5">
        <f>Table14[[#This Row],[Enrolment S.Y. 2025-2026 ]]*8</f>
        <v>0</v>
      </c>
      <c r="K57" s="5">
        <v>840</v>
      </c>
      <c r="L57" s="1">
        <v>2025</v>
      </c>
      <c r="M57" s="5" t="s">
        <v>63</v>
      </c>
      <c r="N57" s="5">
        <f t="shared" si="2"/>
        <v>0</v>
      </c>
      <c r="O57" s="5">
        <f t="shared" si="3"/>
        <v>840</v>
      </c>
      <c r="P57" s="5">
        <f>Table14[[#This Row],[Enrolment S.Y. 2025-2026 ]]*8</f>
        <v>0</v>
      </c>
      <c r="Q57" s="5">
        <v>800</v>
      </c>
      <c r="R57" s="1">
        <v>2025</v>
      </c>
      <c r="S57" s="5" t="s">
        <v>63</v>
      </c>
      <c r="T57" s="5">
        <f t="shared" si="4"/>
        <v>0</v>
      </c>
      <c r="U57" s="5">
        <f t="shared" si="5"/>
        <v>800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>
        <v>600</v>
      </c>
      <c r="R59" s="1">
        <v>2025</v>
      </c>
      <c r="S59" s="5" t="s">
        <v>63</v>
      </c>
      <c r="T59" s="5">
        <f t="shared" si="4"/>
        <v>0</v>
      </c>
      <c r="U59" s="5">
        <f t="shared" si="5"/>
        <v>600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>
        <v>400</v>
      </c>
      <c r="R60" s="1">
        <v>2025</v>
      </c>
      <c r="S60" s="5" t="s">
        <v>63</v>
      </c>
      <c r="T60" s="5">
        <f t="shared" si="4"/>
        <v>0</v>
      </c>
      <c r="U60" s="5">
        <f t="shared" si="5"/>
        <v>400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>
        <v>400</v>
      </c>
      <c r="R61" s="1">
        <v>2025</v>
      </c>
      <c r="S61" s="5" t="s">
        <v>63</v>
      </c>
      <c r="T61" s="5">
        <f>IF((P61-Q61)&lt;0,0,(P61-Q61))</f>
        <v>0</v>
      </c>
      <c r="U61" s="5">
        <f>IF((Q61-P61)&lt;0,0,(Q61-P61))</f>
        <v>400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>
        <v>700</v>
      </c>
      <c r="R62" s="1">
        <v>2025</v>
      </c>
      <c r="S62" s="5" t="s">
        <v>63</v>
      </c>
      <c r="T62" s="5">
        <f t="shared" si="4"/>
        <v>0</v>
      </c>
      <c r="U62" s="5">
        <f t="shared" si="5"/>
        <v>700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>
        <v>300</v>
      </c>
      <c r="R64" s="1">
        <v>2025</v>
      </c>
      <c r="S64" s="5" t="s">
        <v>63</v>
      </c>
      <c r="T64" s="5">
        <f>IF((P64-Q64)&lt;0,0,(P64-Q64))</f>
        <v>0</v>
      </c>
      <c r="U64" s="5">
        <f>IF((Q64-P64)&lt;0,0,(Q64-P64))</f>
        <v>300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>
        <v>300</v>
      </c>
      <c r="R65" s="1">
        <v>2025</v>
      </c>
      <c r="S65" s="5" t="s">
        <v>63</v>
      </c>
      <c r="T65" s="5">
        <f t="shared" si="4"/>
        <v>0</v>
      </c>
      <c r="U65" s="5">
        <f t="shared" si="5"/>
        <v>300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8:F65 D67:F77 D79:F89 D91:F101 D115:F122 P2:R10 N3:O10 V2:X10 T3:U10 N12:R19 T12:X15 H3:L10 Z3:AA10 Z12:AA19 H12:L19 N21:R29 T29:X29 Z21:AA29 H21:L29 T31:X41 Z31:AA41 H31:L41 T43:X53 Z43:AA53 H43:L53 T55:X65 Z55:AA65 T67:X77 Z67:AA77 H67:L77 T79:X89 Z79:AA89 H79:L89 T91:X101 Z91:AA101 H91:L101 T103:X113 Z103:AA113 H103:L113 N115:R122 T115:X122 Z115:AA122 H115:L122 D103:F113 N31:R41 N43:R53 N55:R55 N67:R77 N79:R89 N91:R101 N103:R113 D55:D57 H55:L65 N56:P65 T16:V19 T21:V28" name="LAS"/>
    <protectedRange sqref="G2:I2 M2:O2 S2:U2 Y2:AA2 G3:G10 M3:M10 S3:S10 Y3:Y10 Y12:Y15 G12:G19 M12:M19 S12:S19 Y29 G21:G29 M21:M29 S21:S29 Y31:Y41 G31:G41 M31:M41 S31:S41 Y43:Y53 G43:G53 M43:M53 S43:S53 Y55:Y65 G58:G65 S55 Y67:Y77 G67:G77 M67:M77 S67:S77 Y79:Y89 G79:G89 M79:M89 S79:S89 Y91:Y101 G91:G101 M91:M101 S91:S101 Y103:Y113 G103:G113 M103:M113 S103:S113 Y115:Y122 G115:G122 M115:M122 S115:S122 M55:M65" name="SOURCE"/>
    <protectedRange sqref="E55:F57" name="LAS_1"/>
    <protectedRange sqref="G55:G57" name="SOURCE_1"/>
    <protectedRange sqref="R56:R65" name="LAS_2"/>
    <protectedRange sqref="S56:S65" name="SOURCE_2"/>
    <protectedRange sqref="Q56:Q65" name="LAS_1_1"/>
    <protectedRange sqref="W16:X19 W21:X25 W27:X28" name="LAS_2_1"/>
    <protectedRange sqref="Y16:Y19 Y21:Y25 Y27:Y28" name="SOURCE_1_1"/>
    <protectedRange sqref="W26:X26" name="LAS_3"/>
    <protectedRange sqref="Y26" name="SOURCE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S55:S65 S21:S29 S31:S41 M31:M41 G31:G41 Y31:Y41 Y43:Y53 S43:S53 M43:M53 G43:G53 M115:M122 Y55:Y65 M55:M65 G55:G65 M67:M77 G67:G77 Y67:Y77 S67:S77 S79:S89 M79:M89 G79:G89 Y79:Y89 Y91:Y101 S91:S101 M91:M101 G91:G101 G103:G113 Y103:Y113 S103:S113 M103:M113 Y21:Y29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2026-03-10T02:44:34Z</dcterms:modified>
  <cp:category/>
  <cp:contentStatus/>
</cp:coreProperties>
</file>