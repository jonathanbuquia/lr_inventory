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9" documentId="13_ncr:1_{BFB59F67-F0DC-4675-A682-EB0734A8026A}" xr6:coauthVersionLast="47" xr6:coauthVersionMax="47" xr10:uidLastSave="{EC029F32-F08A-49C0-BC06-40C3662B6C5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<sst xmlns="http://schemas.openxmlformats.org/spreadsheetml/2006/main" count="265" uniqueCount="85">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</sst>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9" fillId="11" borderId="8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10" fillId="12" borderId="8" xfId="0" applyFont="1" applyFill="1" applyBorder="1" applyAlignment="1">
      <alignment horizontal="center" vertical="center"/>
    </xf>
  </cellXfs>
  <cellStyles count="1">
    <cellStyle name="Normal" xfId="0" builtinId="0"/>
  </cellStyles>
  <dxfs count="90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89" headerRowBorderDxfId="87" tableBorderDxfId="88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86" headerRowBorderDxfId="84" tableBorderDxfId="85">
  <autoFilter ref="A2:AA50" xr:uid="{D7C37D80-F2E1-4395-8B6C-0FD477B4D8F8}"/>
  <tableColumns count="27">
    <tableColumn id="1" xr3:uid="{451CCD6B-9C4E-44A3-945A-DE807169F46B}" name="Grade Level" dataDxfId="82" totalsRowDxfId="83"/>
    <tableColumn id="2" xr3:uid="{C6CCCB1C-6639-4C28-A4BA-B187B2F73B59}" name="SUBJECTS" dataDxfId="80" totalsRowDxfId="81"/>
    <tableColumn id="3" xr3:uid="{945324E6-140A-476C-A8C3-23A16D4D262F}" name="Enrolment S.Y. 2025-2026 " dataDxfId="78" totalsRowDxfId="79"/>
    <tableColumn id="4" xr3:uid="{A2D4C0AF-3699-4D3C-A791-2D7D8004CC89}" name="Quantity based on Target LAS - Q1 " dataDxfId="76" totalsRowDxfId="77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74" totalsRowDxfId="75"/>
    <tableColumn id="6" xr3:uid="{FCD520AB-D938-4542-9B56-AEC07AB5F1DC}" name="Year of Delivery-LAS - Q1" dataDxfId="72" totalsRowDxfId="73"/>
    <tableColumn id="7" xr3:uid="{674474DE-9D20-41C1-8261-DA9C4A95671C}" name="SOURCE - LAS (CO,RO, SDO) - Q1" dataDxfId="70" totalsRowDxfId="71"/>
    <tableColumn id="8" xr3:uid="{58D9CB98-8F6F-4F61-9103-C27B8FFBDB51}" name="GAP - LAS - Q1" dataDxfId="68" totalsRowDxfId="69">
      <calculatedColumnFormula>IF((D3-E3)&lt;0,0,(D3-E3))</calculatedColumnFormula>
    </tableColumn>
    <tableColumn id="9" xr3:uid="{E6406FC4-4491-4FD6-9EA2-F088E94C44F4}" name="SURPLUS - LAS - Q1" dataDxfId="66" totalsRowDxfId="67">
      <calculatedColumnFormula>IF((E3-D3)&lt;0,0,(E3-D3))</calculatedColumnFormula>
    </tableColumn>
    <tableColumn id="10" xr3:uid="{1E56D889-DC27-4BCB-B61E-06BBBE734949}" name="Quantity based on Target LAS - Q2" dataDxfId="64" totalsRowDxfId="65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62" totalsRowDxfId="63"/>
    <tableColumn id="12" xr3:uid="{F2E2CB95-E0BD-4C6E-ACFE-F201177004A0}" name="Year of Delivery-LAS Q2" dataDxfId="60" totalsRowDxfId="61"/>
    <tableColumn id="13" xr3:uid="{163FBFFB-0AB7-44C8-89C4-72AA64C1EAC7}" name="SOURCE-LAS (CO,RO, SDO) Q2" dataDxfId="58" totalsRowDxfId="59"/>
    <tableColumn id="14" xr3:uid="{EACC05A8-C68D-4495-BC08-73F093C4992F}" name="GAP - LAS -Q2" dataDxfId="56" totalsRowDxfId="57"/>
    <tableColumn id="15" xr3:uid="{28A44E24-3E28-4B7F-BADE-28BB84F0B810}" name="SURPLUS - LAS -Q2" dataDxfId="54" totalsRowDxfId="55"/>
    <tableColumn id="16" xr3:uid="{87878677-5715-46B6-9BA9-9D08DE9A3335}" name="Quantity based on Target LAS - Q3" dataDxfId="52" totalsRowDxfId="53">
      <calculatedColumnFormula>#REF!*8</calculatedColumnFormula>
    </tableColumn>
    <tableColumn id="17" xr3:uid="{48667A1F-77B1-47A6-83F7-61ED15F61DDB}" name="Quantity of Learning Activity Sheets Received (Quantity received x No. of LAS) - Q3" dataDxfId="50" totalsRowDxfId="51"/>
    <tableColumn id="18" xr3:uid="{56F2625D-2CEE-478E-A8DE-42A7191C3835}" name="Year of Delivery-LAS - Q3" dataDxfId="48" totalsRowDxfId="49"/>
    <tableColumn id="19" xr3:uid="{EF0F614F-5FED-4639-8798-840D9677B8DA}" name="SOURCE-LAS (CO,RO, SDO) - Q3" dataDxfId="46" totalsRowDxfId="47"/>
    <tableColumn id="20" xr3:uid="{FD91DDEE-DBA8-4E2C-94B2-23AE9F73CC4A}" name="GAP - LAS - Q3" dataDxfId="44" totalsRowDxfId="45">
      <calculatedColumnFormula>IF((P3-Q3)&lt;0,0,(P3-Q3))</calculatedColumnFormula>
    </tableColumn>
    <tableColumn id="21" xr3:uid="{DB598C6C-E489-4B0F-9BC6-B0981F7D2582}" name="SURPLUS - LAS - Q3" dataDxfId="42" totalsRowDxfId="43">
      <calculatedColumnFormula>IF((Q3-P3)&lt;0,0,(Q3-P3))</calculatedColumnFormula>
    </tableColumn>
    <tableColumn id="22" xr3:uid="{8CD6906A-7980-46E8-80B2-8563AEBC71F7}" name="Quantity based on Target LAS - Q4" dataDxfId="40" totalsRowDxfId="41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8" totalsRowDxfId="39"/>
    <tableColumn id="24" xr3:uid="{205BCDBA-0424-492C-B4EF-841B8A3A1521}" name="Year of Delivery - LAS - Q4" dataDxfId="36" totalsRowDxfId="37"/>
    <tableColumn id="25" xr3:uid="{8226E35B-1F3B-4D2A-815B-9D4C0A24EE7E}" name="SOURCE - LAS (CO,RO, SDO) - Q4" dataDxfId="34" totalsRowDxfId="35"/>
    <tableColumn id="26" xr3:uid="{5B37A4B7-CD16-4D9A-8A47-D9EA73F613BC}" name="GAP - LAS - Q4" dataDxfId="32" totalsRowDxfId="33">
      <calculatedColumnFormula>IF((V3-W3)&lt;0,0,(V3-W3))</calculatedColumnFormula>
    </tableColumn>
    <tableColumn id="27" xr3:uid="{38E9C5F3-3FF5-4B13-A9DA-0081A90F35C5}" name="SURPLUS - LAS - Q4" dataDxfId="30" totalsRowDxfId="31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1" sqref="E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169</v>
      </c>
      <c r="D2" s="8">
        <v>283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114</v>
      </c>
    </row>
    <row r="3" spans="1:8" ht="29.25" customHeight="1">
      <c r="A3" s="8">
        <v>7</v>
      </c>
      <c r="B3" s="9" t="s">
        <v>10</v>
      </c>
      <c r="C3" s="8">
        <v>169</v>
      </c>
      <c r="D3" s="8">
        <v>283</v>
      </c>
      <c r="E3" s="8">
        <v>2026</v>
      </c>
      <c r="F3" s="10" t="s">
        <v>9</v>
      </c>
      <c r="G3" s="2">
        <f t="shared" si="0"/>
        <v>0</v>
      </c>
      <c r="H3" s="3">
        <f t="shared" si="1"/>
        <v>114</v>
      </c>
    </row>
    <row r="4" spans="1:8" ht="21" customHeight="1">
      <c r="A4" s="8">
        <v>7</v>
      </c>
      <c r="B4" s="9" t="s">
        <v>11</v>
      </c>
      <c r="C4" s="8">
        <v>169</v>
      </c>
      <c r="D4" s="8">
        <v>268</v>
      </c>
      <c r="E4" s="8">
        <v>2024</v>
      </c>
      <c r="F4" s="10" t="s">
        <v>9</v>
      </c>
      <c r="G4" s="2">
        <f t="shared" si="0"/>
        <v>0</v>
      </c>
      <c r="H4" s="3">
        <f t="shared" si="1"/>
        <v>99</v>
      </c>
    </row>
    <row r="5" spans="1:8" ht="25.5" customHeight="1">
      <c r="A5" s="8">
        <v>7</v>
      </c>
      <c r="B5" s="9" t="s">
        <v>12</v>
      </c>
      <c r="C5" s="8">
        <v>169</v>
      </c>
      <c r="D5" s="8">
        <v>283</v>
      </c>
      <c r="E5" s="8">
        <v>2026</v>
      </c>
      <c r="F5" s="10" t="s">
        <v>9</v>
      </c>
      <c r="G5" s="2">
        <f t="shared" si="0"/>
        <v>0</v>
      </c>
      <c r="H5" s="3">
        <f t="shared" si="1"/>
        <v>114</v>
      </c>
    </row>
    <row r="6" spans="1:8" ht="38.25">
      <c r="A6" s="8">
        <v>7</v>
      </c>
      <c r="B6" s="9" t="s">
        <v>13</v>
      </c>
      <c r="C6" s="8">
        <v>169</v>
      </c>
      <c r="D6" s="8">
        <v>283</v>
      </c>
      <c r="E6" s="8">
        <v>2025</v>
      </c>
      <c r="F6" s="10" t="s">
        <v>9</v>
      </c>
      <c r="G6" s="2">
        <f t="shared" si="0"/>
        <v>0</v>
      </c>
      <c r="H6" s="3">
        <f t="shared" si="1"/>
        <v>114</v>
      </c>
    </row>
    <row r="7" spans="1:8" ht="19.5">
      <c r="A7" s="8">
        <v>7</v>
      </c>
      <c r="B7" s="9" t="s">
        <v>14</v>
      </c>
      <c r="C7" s="8">
        <v>169</v>
      </c>
      <c r="D7" s="8">
        <v>276</v>
      </c>
      <c r="E7" s="8">
        <v>2024</v>
      </c>
      <c r="F7" s="10" t="s">
        <v>9</v>
      </c>
      <c r="G7" s="2">
        <f t="shared" si="0"/>
        <v>0</v>
      </c>
      <c r="H7" s="3">
        <f t="shared" si="1"/>
        <v>107</v>
      </c>
    </row>
    <row r="8" spans="1:8" ht="39.75" customHeight="1">
      <c r="A8" s="8">
        <v>7</v>
      </c>
      <c r="B8" s="9" t="s">
        <v>15</v>
      </c>
      <c r="C8" s="8">
        <v>169</v>
      </c>
      <c r="D8" s="8">
        <v>283</v>
      </c>
      <c r="E8" s="8">
        <v>2025</v>
      </c>
      <c r="F8" s="10" t="s">
        <v>9</v>
      </c>
      <c r="G8" s="2">
        <f t="shared" si="0"/>
        <v>0</v>
      </c>
      <c r="H8" s="3">
        <f t="shared" si="1"/>
        <v>114</v>
      </c>
    </row>
    <row r="9" spans="1:8" ht="29.25" customHeight="1">
      <c r="A9" s="8">
        <v>7</v>
      </c>
      <c r="B9" s="9" t="s">
        <v>16</v>
      </c>
      <c r="C9" s="8">
        <v>169</v>
      </c>
      <c r="D9" s="8">
        <v>283</v>
      </c>
      <c r="E9" s="8">
        <v>2025</v>
      </c>
      <c r="F9" s="10" t="s">
        <v>9</v>
      </c>
      <c r="G9" s="2">
        <f t="shared" si="0"/>
        <v>0</v>
      </c>
      <c r="H9" s="3">
        <f t="shared" si="1"/>
        <v>114</v>
      </c>
    </row>
    <row r="10" spans="1:8" ht="28.5" customHeight="1">
      <c r="A10" s="8">
        <v>7</v>
      </c>
      <c r="B10" s="9" t="s">
        <v>17</v>
      </c>
      <c r="C10" s="8">
        <v>169</v>
      </c>
      <c r="D10" s="8">
        <v>283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114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172</v>
      </c>
      <c r="D12" s="8"/>
      <c r="E12" s="8"/>
      <c r="F12" s="10"/>
      <c r="G12" s="2">
        <f t="shared" ref="G12:G20" si="2">IF((C12-D12)&lt;0,0,C12-D12)</f>
        <v>172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172</v>
      </c>
      <c r="D13" s="8"/>
      <c r="E13" s="8"/>
      <c r="F13" s="10"/>
      <c r="G13" s="2">
        <f t="shared" si="2"/>
        <v>172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172</v>
      </c>
      <c r="D14" s="8">
        <v>137</v>
      </c>
      <c r="E14" s="8">
        <v>2025</v>
      </c>
      <c r="F14" s="10" t="s">
        <v>9</v>
      </c>
      <c r="G14" s="2">
        <f t="shared" si="2"/>
        <v>35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172</v>
      </c>
      <c r="D15" s="8">
        <v>137</v>
      </c>
      <c r="E15" s="8">
        <v>2025</v>
      </c>
      <c r="F15" s="10" t="s">
        <v>9</v>
      </c>
      <c r="G15" s="2">
        <f t="shared" si="2"/>
        <v>35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172</v>
      </c>
      <c r="D16" s="8"/>
      <c r="E16" s="8"/>
      <c r="F16" s="10"/>
      <c r="G16" s="2">
        <f t="shared" si="2"/>
        <v>172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172</v>
      </c>
      <c r="D17" s="8">
        <v>137</v>
      </c>
      <c r="E17" s="8">
        <v>2026</v>
      </c>
      <c r="F17" s="10" t="s">
        <v>9</v>
      </c>
      <c r="G17" s="2">
        <f t="shared" si="2"/>
        <v>35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172</v>
      </c>
      <c r="D18" s="8"/>
      <c r="E18" s="8"/>
      <c r="F18" s="10"/>
      <c r="G18" s="2">
        <f t="shared" si="2"/>
        <v>172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172</v>
      </c>
      <c r="D19" s="8"/>
      <c r="E19" s="8"/>
      <c r="F19" s="10"/>
      <c r="G19" s="2">
        <f t="shared" si="2"/>
        <v>172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172</v>
      </c>
      <c r="D20" s="8"/>
      <c r="E20" s="8"/>
      <c r="F20" s="10"/>
      <c r="G20" s="2">
        <f t="shared" si="2"/>
        <v>172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141</v>
      </c>
      <c r="D22" s="8"/>
      <c r="E22" s="8"/>
      <c r="F22" s="10"/>
      <c r="G22" s="2">
        <f t="shared" ref="G22:G30" si="4">IF((C22-D22)&lt;0,0,C22-D22)</f>
        <v>141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141</v>
      </c>
      <c r="D23" s="8">
        <v>231</v>
      </c>
      <c r="E23" s="8">
        <v>2024</v>
      </c>
      <c r="F23" s="10" t="s">
        <v>9</v>
      </c>
      <c r="G23" s="2">
        <f t="shared" si="4"/>
        <v>0</v>
      </c>
      <c r="H23" s="3">
        <f t="shared" si="5"/>
        <v>90</v>
      </c>
    </row>
    <row r="24" spans="1:8" ht="27" customHeight="1">
      <c r="A24" s="8">
        <v>9</v>
      </c>
      <c r="B24" s="9" t="s">
        <v>11</v>
      </c>
      <c r="C24" s="8">
        <v>141</v>
      </c>
      <c r="D24" s="8"/>
      <c r="E24" s="8"/>
      <c r="F24" s="10"/>
      <c r="G24" s="2">
        <f t="shared" si="4"/>
        <v>141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141</v>
      </c>
      <c r="D25" s="8"/>
      <c r="E25" s="8"/>
      <c r="F25" s="10"/>
      <c r="G25" s="2">
        <f t="shared" si="4"/>
        <v>141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141</v>
      </c>
      <c r="D26" s="8"/>
      <c r="E26" s="8"/>
      <c r="F26" s="10"/>
      <c r="G26" s="2">
        <f t="shared" si="4"/>
        <v>141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141</v>
      </c>
      <c r="D27" s="8"/>
      <c r="E27" s="8"/>
      <c r="F27" s="10"/>
      <c r="G27" s="2">
        <f t="shared" si="4"/>
        <v>141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141</v>
      </c>
      <c r="D28" s="8"/>
      <c r="E28" s="8"/>
      <c r="F28" s="10"/>
      <c r="G28" s="2">
        <f t="shared" si="4"/>
        <v>141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141</v>
      </c>
      <c r="D29" s="8"/>
      <c r="E29" s="8"/>
      <c r="F29" s="10"/>
      <c r="G29" s="2">
        <f t="shared" si="4"/>
        <v>141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141</v>
      </c>
      <c r="D30" s="8"/>
      <c r="E30" s="8"/>
      <c r="F30" s="10"/>
      <c r="G30" s="2">
        <f t="shared" si="4"/>
        <v>141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145</v>
      </c>
      <c r="D32" s="8"/>
      <c r="E32" s="8"/>
      <c r="F32" s="10"/>
      <c r="G32" s="2">
        <f t="shared" ref="G32:G40" si="6">IF((C32-D32)&lt;0,0,C32-D32)</f>
        <v>145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145</v>
      </c>
      <c r="D33" s="8">
        <v>263</v>
      </c>
      <c r="E33" s="8">
        <v>2024</v>
      </c>
      <c r="F33" s="10" t="s">
        <v>9</v>
      </c>
      <c r="G33" s="2">
        <f t="shared" si="6"/>
        <v>0</v>
      </c>
      <c r="H33" s="3">
        <f t="shared" si="7"/>
        <v>118</v>
      </c>
    </row>
    <row r="34" spans="1:8" ht="27.75" customHeight="1">
      <c r="A34" s="8">
        <v>10</v>
      </c>
      <c r="B34" s="9" t="s">
        <v>11</v>
      </c>
      <c r="C34" s="8">
        <v>145</v>
      </c>
      <c r="D34" s="8"/>
      <c r="E34" s="8"/>
      <c r="F34" s="10"/>
      <c r="G34" s="2">
        <f t="shared" si="6"/>
        <v>145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145</v>
      </c>
      <c r="D35" s="8"/>
      <c r="E35" s="8"/>
      <c r="F35" s="10"/>
      <c r="G35" s="2">
        <f t="shared" si="6"/>
        <v>145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145</v>
      </c>
      <c r="D36" s="8"/>
      <c r="E36" s="8"/>
      <c r="F36" s="10"/>
      <c r="G36" s="2">
        <f t="shared" si="6"/>
        <v>145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145</v>
      </c>
      <c r="D37" s="8"/>
      <c r="E37" s="8"/>
      <c r="F37" s="10"/>
      <c r="G37" s="2">
        <f t="shared" si="6"/>
        <v>145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145</v>
      </c>
      <c r="D38" s="8"/>
      <c r="E38" s="8"/>
      <c r="F38" s="10"/>
      <c r="G38" s="2">
        <f t="shared" si="6"/>
        <v>145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145</v>
      </c>
      <c r="D39" s="8"/>
      <c r="E39" s="8"/>
      <c r="F39" s="10"/>
      <c r="G39" s="2">
        <f t="shared" si="6"/>
        <v>145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145</v>
      </c>
      <c r="D40" s="8"/>
      <c r="E40" s="8"/>
      <c r="F40" s="10"/>
      <c r="G40" s="2">
        <f t="shared" si="6"/>
        <v>145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8"/>
  <sheetViews>
    <sheetView zoomScale="70" zoomScaleNormal="70" workbookViewId="0">
      <selection activeCell="AD74" sqref="AD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169</v>
      </c>
      <c r="D3" s="10">
        <f>Table1[[#This Row],[Enrolment S.Y. 2025-2026 ]]*8</f>
        <v>1352</v>
      </c>
      <c r="E3" s="10">
        <v>400</v>
      </c>
      <c r="F3" s="8">
        <v>2026</v>
      </c>
      <c r="G3" s="10"/>
      <c r="H3" s="10">
        <f t="shared" ref="H3:H17" si="0">IF((D3-E3)&lt;0,0,(D3-E3))</f>
        <v>952</v>
      </c>
      <c r="I3" s="10">
        <f t="shared" ref="I3:I17" si="1">IF((E3-D3)&lt;0,0,(E3-D3))</f>
        <v>0</v>
      </c>
      <c r="J3" s="10">
        <f>Table1[[#This Row],[Enrolment S.Y. 2025-2026 ]]*8</f>
        <v>1352</v>
      </c>
      <c r="K3" s="10"/>
      <c r="L3" s="8"/>
      <c r="M3" s="10"/>
      <c r="N3" s="10">
        <f t="shared" ref="N3:N9" si="2">IF((J3-K3)&lt;0,0,(J3-K3))</f>
        <v>1352</v>
      </c>
      <c r="O3" s="10">
        <f t="shared" ref="O3:O9" si="3">IF((K3-J3)&lt;0,0,(K3-J3))</f>
        <v>0</v>
      </c>
      <c r="P3" s="10">
        <f>Table1[[#This Row],[Enrolment S.Y. 2025-2026 ]]*8</f>
        <v>1352</v>
      </c>
      <c r="Q3" s="10"/>
      <c r="R3" s="8"/>
      <c r="S3" s="10"/>
      <c r="T3" s="10">
        <f t="shared" ref="T3:T9" si="4">IF((P3-Q3)&lt;0,0,(P3-Q3))</f>
        <v>1352</v>
      </c>
      <c r="U3" s="10">
        <f t="shared" ref="U3:U9" si="5">IF((Q3-P3)&lt;0,0,(Q3-P3))</f>
        <v>0</v>
      </c>
      <c r="V3" s="10">
        <f>Table1[[#This Row],[Enrolment S.Y. 2025-2026 ]]*8</f>
        <v>1352</v>
      </c>
      <c r="W3" s="10"/>
      <c r="X3" s="8"/>
      <c r="Y3" s="10"/>
      <c r="Z3" s="10">
        <f t="shared" ref="Z3:Z9" si="6">IF((V3-W3)&lt;0,0,(V3-W3))</f>
        <v>1352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169</v>
      </c>
      <c r="D4" s="10">
        <f>Table1[[#This Row],[Enrolment S.Y. 2025-2026 ]]*8</f>
        <v>1352</v>
      </c>
      <c r="E4" s="10"/>
      <c r="F4" s="8"/>
      <c r="G4" s="10"/>
      <c r="H4" s="10">
        <f t="shared" si="0"/>
        <v>1352</v>
      </c>
      <c r="I4" s="10">
        <f t="shared" si="1"/>
        <v>0</v>
      </c>
      <c r="J4" s="10">
        <f>Table1[[#This Row],[Enrolment S.Y. 2025-2026 ]]*8</f>
        <v>1352</v>
      </c>
      <c r="K4" s="10"/>
      <c r="L4" s="8"/>
      <c r="M4" s="10"/>
      <c r="N4" s="10">
        <f t="shared" si="2"/>
        <v>1352</v>
      </c>
      <c r="O4" s="10">
        <f t="shared" si="3"/>
        <v>0</v>
      </c>
      <c r="P4" s="10">
        <f>Table1[[#This Row],[Enrolment S.Y. 2025-2026 ]]*8</f>
        <v>1352</v>
      </c>
      <c r="Q4" s="10"/>
      <c r="R4" s="8"/>
      <c r="S4" s="10"/>
      <c r="T4" s="10">
        <f t="shared" si="4"/>
        <v>1352</v>
      </c>
      <c r="U4" s="10">
        <f t="shared" si="5"/>
        <v>0</v>
      </c>
      <c r="V4" s="10">
        <f>Table1[[#This Row],[Enrolment S.Y. 2025-2026 ]]*8</f>
        <v>1352</v>
      </c>
      <c r="W4" s="10"/>
      <c r="X4" s="8"/>
      <c r="Y4" s="10"/>
      <c r="Z4" s="10">
        <f t="shared" si="6"/>
        <v>1352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169</v>
      </c>
      <c r="D5" s="10">
        <f>Table1[[#This Row],[Enrolment S.Y. 2025-2026 ]]*8</f>
        <v>1352</v>
      </c>
      <c r="E5" s="10"/>
      <c r="F5" s="8"/>
      <c r="G5" s="10"/>
      <c r="H5" s="10">
        <f t="shared" si="0"/>
        <v>1352</v>
      </c>
      <c r="I5" s="10">
        <f t="shared" si="1"/>
        <v>0</v>
      </c>
      <c r="J5" s="10">
        <f>Table1[[#This Row],[Enrolment S.Y. 2025-2026 ]]*8</f>
        <v>1352</v>
      </c>
      <c r="K5" s="10"/>
      <c r="L5" s="8"/>
      <c r="M5" s="10"/>
      <c r="N5" s="10">
        <f t="shared" si="2"/>
        <v>1352</v>
      </c>
      <c r="O5" s="10">
        <f t="shared" si="3"/>
        <v>0</v>
      </c>
      <c r="P5" s="10">
        <f>Table1[[#This Row],[Enrolment S.Y. 2025-2026 ]]*8</f>
        <v>1352</v>
      </c>
      <c r="Q5" s="10"/>
      <c r="R5" s="8"/>
      <c r="S5" s="10"/>
      <c r="T5" s="10">
        <f t="shared" si="4"/>
        <v>1352</v>
      </c>
      <c r="U5" s="10">
        <f t="shared" si="5"/>
        <v>0</v>
      </c>
      <c r="V5" s="10">
        <f>Table1[[#This Row],[Enrolment S.Y. 2025-2026 ]]*8</f>
        <v>1352</v>
      </c>
      <c r="W5" s="10"/>
      <c r="X5" s="8"/>
      <c r="Y5" s="10"/>
      <c r="Z5" s="10">
        <f t="shared" si="6"/>
        <v>1352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169</v>
      </c>
      <c r="D6" s="10">
        <f>Table1[[#This Row],[Enrolment S.Y. 2025-2026 ]]*8</f>
        <v>1352</v>
      </c>
      <c r="E6" s="10"/>
      <c r="F6" s="8"/>
      <c r="G6" s="10"/>
      <c r="H6" s="10">
        <f t="shared" si="0"/>
        <v>1352</v>
      </c>
      <c r="I6" s="10">
        <f t="shared" si="1"/>
        <v>0</v>
      </c>
      <c r="J6" s="10">
        <f>Table1[[#This Row],[Enrolment S.Y. 2025-2026 ]]*8</f>
        <v>1352</v>
      </c>
      <c r="K6" s="10"/>
      <c r="L6" s="8"/>
      <c r="M6" s="10"/>
      <c r="N6" s="10">
        <f t="shared" si="2"/>
        <v>1352</v>
      </c>
      <c r="O6" s="10">
        <f t="shared" si="3"/>
        <v>0</v>
      </c>
      <c r="P6" s="10">
        <f>Table1[[#This Row],[Enrolment S.Y. 2025-2026 ]]*8</f>
        <v>1352</v>
      </c>
      <c r="Q6" s="10"/>
      <c r="R6" s="8"/>
      <c r="S6" s="10"/>
      <c r="T6" s="10">
        <f t="shared" si="4"/>
        <v>1352</v>
      </c>
      <c r="U6" s="10">
        <f t="shared" si="5"/>
        <v>0</v>
      </c>
      <c r="V6" s="10">
        <f>Table1[[#This Row],[Enrolment S.Y. 2025-2026 ]]*8</f>
        <v>1352</v>
      </c>
      <c r="W6" s="10"/>
      <c r="X6" s="8"/>
      <c r="Y6" s="10"/>
      <c r="Z6" s="10">
        <f t="shared" si="6"/>
        <v>1352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169</v>
      </c>
      <c r="D7" s="10">
        <f>Table1[[#This Row],[Enrolment S.Y. 2025-2026 ]]*8</f>
        <v>1352</v>
      </c>
      <c r="E7" s="10"/>
      <c r="F7" s="8"/>
      <c r="G7" s="10"/>
      <c r="H7" s="10">
        <f t="shared" si="0"/>
        <v>1352</v>
      </c>
      <c r="I7" s="10">
        <f t="shared" si="1"/>
        <v>0</v>
      </c>
      <c r="J7" s="10">
        <f>Table1[[#This Row],[Enrolment S.Y. 2025-2026 ]]*8</f>
        <v>1352</v>
      </c>
      <c r="K7" s="10"/>
      <c r="L7" s="8"/>
      <c r="M7" s="10"/>
      <c r="N7" s="10">
        <f t="shared" si="2"/>
        <v>1352</v>
      </c>
      <c r="O7" s="10">
        <f t="shared" si="3"/>
        <v>0</v>
      </c>
      <c r="P7" s="10">
        <f>Table1[[#This Row],[Enrolment S.Y. 2025-2026 ]]*8</f>
        <v>1352</v>
      </c>
      <c r="Q7" s="10"/>
      <c r="R7" s="8"/>
      <c r="S7" s="10"/>
      <c r="T7" s="10">
        <f t="shared" si="4"/>
        <v>1352</v>
      </c>
      <c r="U7" s="10">
        <f t="shared" si="5"/>
        <v>0</v>
      </c>
      <c r="V7" s="10">
        <f>Table1[[#This Row],[Enrolment S.Y. 2025-2026 ]]*8</f>
        <v>1352</v>
      </c>
      <c r="W7" s="10"/>
      <c r="X7" s="8"/>
      <c r="Y7" s="10"/>
      <c r="Z7" s="10">
        <f t="shared" si="6"/>
        <v>1352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169</v>
      </c>
      <c r="D8" s="10">
        <f>Table1[[#This Row],[Enrolment S.Y. 2025-2026 ]]*8</f>
        <v>1352</v>
      </c>
      <c r="E8" s="10"/>
      <c r="F8" s="8"/>
      <c r="G8" s="10"/>
      <c r="H8" s="10">
        <f t="shared" si="0"/>
        <v>1352</v>
      </c>
      <c r="I8" s="10">
        <f t="shared" si="1"/>
        <v>0</v>
      </c>
      <c r="J8" s="10">
        <f>Table1[[#This Row],[Enrolment S.Y. 2025-2026 ]]*8</f>
        <v>1352</v>
      </c>
      <c r="K8" s="10"/>
      <c r="L8" s="8"/>
      <c r="M8" s="10"/>
      <c r="N8" s="10">
        <f t="shared" si="2"/>
        <v>1352</v>
      </c>
      <c r="O8" s="10">
        <f t="shared" si="3"/>
        <v>0</v>
      </c>
      <c r="P8" s="10">
        <f>Table1[[#This Row],[Enrolment S.Y. 2025-2026 ]]*8</f>
        <v>1352</v>
      </c>
      <c r="Q8" s="10"/>
      <c r="R8" s="8"/>
      <c r="S8" s="10"/>
      <c r="T8" s="10">
        <f t="shared" si="4"/>
        <v>1352</v>
      </c>
      <c r="U8" s="10">
        <f t="shared" si="5"/>
        <v>0</v>
      </c>
      <c r="V8" s="10">
        <f>Table1[[#This Row],[Enrolment S.Y. 2025-2026 ]]*8</f>
        <v>1352</v>
      </c>
      <c r="W8" s="10"/>
      <c r="X8" s="8"/>
      <c r="Y8" s="10"/>
      <c r="Z8" s="10">
        <f t="shared" si="6"/>
        <v>1352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169</v>
      </c>
      <c r="D9" s="10">
        <f>Table1[[#This Row],[Enrolment S.Y. 2025-2026 ]]*8</f>
        <v>1352</v>
      </c>
      <c r="E9" s="10"/>
      <c r="F9" s="8"/>
      <c r="G9" s="10"/>
      <c r="H9" s="10">
        <f t="shared" si="0"/>
        <v>1352</v>
      </c>
      <c r="I9" s="10">
        <f t="shared" si="1"/>
        <v>0</v>
      </c>
      <c r="J9" s="10">
        <f>Table1[[#This Row],[Enrolment S.Y. 2025-2026 ]]*8</f>
        <v>1352</v>
      </c>
      <c r="K9" s="10"/>
      <c r="L9" s="8"/>
      <c r="M9" s="10"/>
      <c r="N9" s="10">
        <f t="shared" si="2"/>
        <v>1352</v>
      </c>
      <c r="O9" s="10">
        <f t="shared" si="3"/>
        <v>0</v>
      </c>
      <c r="P9" s="10">
        <f>Table1[[#This Row],[Enrolment S.Y. 2025-2026 ]]*8</f>
        <v>1352</v>
      </c>
      <c r="Q9" s="10"/>
      <c r="R9" s="8"/>
      <c r="S9" s="10"/>
      <c r="T9" s="10">
        <f t="shared" si="4"/>
        <v>1352</v>
      </c>
      <c r="U9" s="10">
        <f t="shared" si="5"/>
        <v>0</v>
      </c>
      <c r="V9" s="10">
        <f>Table1[[#This Row],[Enrolment S.Y. 2025-2026 ]]*8</f>
        <v>1352</v>
      </c>
      <c r="W9" s="10"/>
      <c r="X9" s="8"/>
      <c r="Y9" s="10"/>
      <c r="Z9" s="10">
        <f t="shared" si="6"/>
        <v>1352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169</v>
      </c>
      <c r="D10" s="10">
        <f>Table1[[#This Row],[Enrolment S.Y. 2025-2026 ]]*8</f>
        <v>1352</v>
      </c>
      <c r="E10" s="10"/>
      <c r="F10" s="8"/>
      <c r="G10" s="10"/>
      <c r="H10" s="10">
        <f t="shared" si="0"/>
        <v>1352</v>
      </c>
      <c r="I10" s="10">
        <f t="shared" si="1"/>
        <v>0</v>
      </c>
      <c r="J10" s="10">
        <f>Table1[[#This Row],[Enrolment S.Y. 2025-2026 ]]*8</f>
        <v>1352</v>
      </c>
      <c r="K10" s="10"/>
      <c r="L10" s="8"/>
      <c r="M10" s="10"/>
      <c r="N10" s="10">
        <f t="shared" ref="N10:N50" si="8">IF((J10-K10)&lt;0,0,(J10-K10))</f>
        <v>1352</v>
      </c>
      <c r="O10" s="10">
        <f t="shared" ref="O10:O50" si="9">IF((K10-J10)&lt;0,0,(K10-J10))</f>
        <v>0</v>
      </c>
      <c r="P10" s="10">
        <f>Table1[[#This Row],[Enrolment S.Y. 2025-2026 ]]*8</f>
        <v>1352</v>
      </c>
      <c r="Q10" s="10"/>
      <c r="R10" s="8"/>
      <c r="S10" s="10"/>
      <c r="T10" s="10">
        <f t="shared" ref="T10:T50" si="10">IF((P10-Q10)&lt;0,0,(P10-Q10))</f>
        <v>1352</v>
      </c>
      <c r="U10" s="10">
        <f t="shared" ref="U10:U50" si="11">IF((Q10-P10)&lt;0,0,(Q10-P10))</f>
        <v>0</v>
      </c>
      <c r="V10" s="10">
        <f>Table1[[#This Row],[Enrolment S.Y. 2025-2026 ]]*8</f>
        <v>1352</v>
      </c>
      <c r="W10" s="10"/>
      <c r="X10" s="8"/>
      <c r="Y10" s="10"/>
      <c r="Z10" s="10">
        <f t="shared" ref="Z10:Z50" si="12">IF((V10-W10)&lt;0,0,(V10-W10))</f>
        <v>1352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169</v>
      </c>
      <c r="D11" s="10">
        <f>Table1[[#This Row],[Enrolment S.Y. 2025-2026 ]]*8</f>
        <v>1352</v>
      </c>
      <c r="E11" s="10"/>
      <c r="F11" s="8"/>
      <c r="G11" s="10"/>
      <c r="H11" s="10">
        <f t="shared" si="0"/>
        <v>1352</v>
      </c>
      <c r="I11" s="10">
        <f t="shared" si="1"/>
        <v>0</v>
      </c>
      <c r="J11" s="10">
        <f>Table1[[#This Row],[Enrolment S.Y. 2025-2026 ]]*8</f>
        <v>1352</v>
      </c>
      <c r="K11" s="10"/>
      <c r="L11" s="8"/>
      <c r="M11" s="10"/>
      <c r="N11" s="10">
        <f t="shared" si="8"/>
        <v>1352</v>
      </c>
      <c r="O11" s="10">
        <f t="shared" si="9"/>
        <v>0</v>
      </c>
      <c r="P11" s="10">
        <f>Table1[[#This Row],[Enrolment S.Y. 2025-2026 ]]*8</f>
        <v>1352</v>
      </c>
      <c r="Q11" s="10"/>
      <c r="R11" s="8"/>
      <c r="S11" s="10"/>
      <c r="T11" s="10">
        <f t="shared" si="10"/>
        <v>1352</v>
      </c>
      <c r="U11" s="10">
        <f t="shared" si="11"/>
        <v>0</v>
      </c>
      <c r="V11" s="10">
        <f>Table1[[#This Row],[Enrolment S.Y. 2025-2026 ]]*8</f>
        <v>1352</v>
      </c>
      <c r="W11" s="10"/>
      <c r="X11" s="8"/>
      <c r="Y11" s="10"/>
      <c r="Z11" s="10">
        <f t="shared" si="12"/>
        <v>1352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172</v>
      </c>
      <c r="D13" s="10">
        <f>Table1[[#This Row],[Enrolment S.Y. 2025-2026 ]]*8</f>
        <v>1376</v>
      </c>
      <c r="E13" s="10">
        <v>400</v>
      </c>
      <c r="F13" s="8">
        <v>2026</v>
      </c>
      <c r="G13" s="10" t="s">
        <v>9</v>
      </c>
      <c r="H13" s="10">
        <f t="shared" si="0"/>
        <v>976</v>
      </c>
      <c r="I13" s="10">
        <f t="shared" si="1"/>
        <v>0</v>
      </c>
      <c r="J13" s="10">
        <f>Table1[[#This Row],[Enrolment S.Y. 2025-2026 ]]*8</f>
        <v>1376</v>
      </c>
      <c r="K13" s="10"/>
      <c r="L13" s="8"/>
      <c r="M13" s="10"/>
      <c r="N13" s="10">
        <f t="shared" si="8"/>
        <v>1376</v>
      </c>
      <c r="O13" s="10">
        <f t="shared" si="9"/>
        <v>0</v>
      </c>
      <c r="P13" s="10">
        <f>Table1[[#This Row],[Enrolment S.Y. 2025-2026 ]]*8</f>
        <v>1376</v>
      </c>
      <c r="Q13" s="10"/>
      <c r="R13" s="8"/>
      <c r="S13" s="10"/>
      <c r="T13" s="10">
        <f t="shared" si="10"/>
        <v>1376</v>
      </c>
      <c r="U13" s="10">
        <f t="shared" si="11"/>
        <v>0</v>
      </c>
      <c r="V13" s="10">
        <f>Table1[[#This Row],[Enrolment S.Y. 2025-2026 ]]*8</f>
        <v>1376</v>
      </c>
      <c r="W13" s="10"/>
      <c r="X13" s="8"/>
      <c r="Y13" s="10"/>
      <c r="Z13" s="10">
        <f t="shared" si="12"/>
        <v>1376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172</v>
      </c>
      <c r="D14" s="10">
        <f>Table1[[#This Row],[Enrolment S.Y. 2025-2026 ]]*8</f>
        <v>1376</v>
      </c>
      <c r="E14" s="10">
        <v>40</v>
      </c>
      <c r="F14" s="8">
        <v>2025</v>
      </c>
      <c r="G14" s="10" t="s">
        <v>56</v>
      </c>
      <c r="H14" s="10">
        <f t="shared" si="0"/>
        <v>1336</v>
      </c>
      <c r="I14" s="10">
        <f t="shared" si="1"/>
        <v>0</v>
      </c>
      <c r="J14" s="10">
        <f>Table1[[#This Row],[Enrolment S.Y. 2025-2026 ]]*8</f>
        <v>1376</v>
      </c>
      <c r="K14" s="10"/>
      <c r="L14" s="8"/>
      <c r="M14" s="10"/>
      <c r="N14" s="10">
        <f t="shared" si="8"/>
        <v>1376</v>
      </c>
      <c r="O14" s="10">
        <f t="shared" si="9"/>
        <v>0</v>
      </c>
      <c r="P14" s="10">
        <f>Table1[[#This Row],[Enrolment S.Y. 2025-2026 ]]*8</f>
        <v>1376</v>
      </c>
      <c r="Q14" s="10"/>
      <c r="R14" s="8"/>
      <c r="S14" s="10"/>
      <c r="T14" s="10">
        <f t="shared" si="10"/>
        <v>1376</v>
      </c>
      <c r="U14" s="10">
        <f t="shared" si="11"/>
        <v>0</v>
      </c>
      <c r="V14" s="10">
        <f>Table1[[#This Row],[Enrolment S.Y. 2025-2026 ]]*8</f>
        <v>1376</v>
      </c>
      <c r="W14" s="10"/>
      <c r="X14" s="8"/>
      <c r="Y14" s="10"/>
      <c r="Z14" s="10">
        <f t="shared" si="12"/>
        <v>1376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172</v>
      </c>
      <c r="D15" s="10">
        <f>Table1[[#This Row],[Enrolment S.Y. 2025-2026 ]]*8</f>
        <v>1376</v>
      </c>
      <c r="E15" s="10">
        <v>40</v>
      </c>
      <c r="F15" s="8">
        <v>2025</v>
      </c>
      <c r="G15" s="10" t="s">
        <v>56</v>
      </c>
      <c r="H15" s="10">
        <f t="shared" si="0"/>
        <v>1336</v>
      </c>
      <c r="I15" s="10">
        <f t="shared" si="1"/>
        <v>0</v>
      </c>
      <c r="J15" s="10">
        <f>Table1[[#This Row],[Enrolment S.Y. 2025-2026 ]]*8</f>
        <v>1376</v>
      </c>
      <c r="K15" s="10"/>
      <c r="L15" s="8"/>
      <c r="M15" s="10"/>
      <c r="N15" s="10">
        <f t="shared" si="8"/>
        <v>1376</v>
      </c>
      <c r="O15" s="10">
        <f t="shared" si="9"/>
        <v>0</v>
      </c>
      <c r="P15" s="10">
        <f>Table1[[#This Row],[Enrolment S.Y. 2025-2026 ]]*8</f>
        <v>1376</v>
      </c>
      <c r="Q15" s="10"/>
      <c r="R15" s="8"/>
      <c r="S15" s="10"/>
      <c r="T15" s="10">
        <f t="shared" si="10"/>
        <v>1376</v>
      </c>
      <c r="U15" s="10">
        <f t="shared" si="11"/>
        <v>0</v>
      </c>
      <c r="V15" s="10">
        <f>Table1[[#This Row],[Enrolment S.Y. 2025-2026 ]]*8</f>
        <v>1376</v>
      </c>
      <c r="W15" s="10"/>
      <c r="X15" s="8"/>
      <c r="Y15" s="10"/>
      <c r="Z15" s="10">
        <f t="shared" si="12"/>
        <v>1376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172</v>
      </c>
      <c r="D16" s="10">
        <f>Table1[[#This Row],[Enrolment S.Y. 2025-2026 ]]*8</f>
        <v>1376</v>
      </c>
      <c r="E16" s="10">
        <v>40</v>
      </c>
      <c r="F16" s="8">
        <v>2025</v>
      </c>
      <c r="G16" s="10" t="s">
        <v>56</v>
      </c>
      <c r="H16" s="10">
        <f t="shared" si="0"/>
        <v>1336</v>
      </c>
      <c r="I16" s="10">
        <f t="shared" si="1"/>
        <v>0</v>
      </c>
      <c r="J16" s="10">
        <f>Table1[[#This Row],[Enrolment S.Y. 2025-2026 ]]*8</f>
        <v>1376</v>
      </c>
      <c r="K16" s="10"/>
      <c r="L16" s="8"/>
      <c r="M16" s="10"/>
      <c r="N16" s="10">
        <f t="shared" si="8"/>
        <v>1376</v>
      </c>
      <c r="O16" s="10">
        <f t="shared" si="9"/>
        <v>0</v>
      </c>
      <c r="P16" s="10">
        <f>Table1[[#This Row],[Enrolment S.Y. 2025-2026 ]]*8</f>
        <v>1376</v>
      </c>
      <c r="Q16" s="10"/>
      <c r="R16" s="8"/>
      <c r="S16" s="10"/>
      <c r="T16" s="10">
        <f t="shared" si="10"/>
        <v>1376</v>
      </c>
      <c r="U16" s="10">
        <f t="shared" si="11"/>
        <v>0</v>
      </c>
      <c r="V16" s="10">
        <f>Table1[[#This Row],[Enrolment S.Y. 2025-2026 ]]*8</f>
        <v>1376</v>
      </c>
      <c r="W16" s="10"/>
      <c r="X16" s="8"/>
      <c r="Y16" s="10"/>
      <c r="Z16" s="10">
        <f t="shared" si="12"/>
        <v>1376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172</v>
      </c>
      <c r="D17" s="10">
        <f>Table1[[#This Row],[Enrolment S.Y. 2025-2026 ]]*8</f>
        <v>1376</v>
      </c>
      <c r="E17" s="10">
        <v>40</v>
      </c>
      <c r="F17" s="8">
        <v>2025</v>
      </c>
      <c r="G17" s="10" t="s">
        <v>56</v>
      </c>
      <c r="H17" s="10">
        <f t="shared" si="0"/>
        <v>1336</v>
      </c>
      <c r="I17" s="10">
        <f t="shared" si="1"/>
        <v>0</v>
      </c>
      <c r="J17" s="10">
        <f>Table1[[#This Row],[Enrolment S.Y. 2025-2026 ]]*8</f>
        <v>1376</v>
      </c>
      <c r="K17" s="10"/>
      <c r="L17" s="8"/>
      <c r="M17" s="10"/>
      <c r="N17" s="10">
        <f t="shared" si="8"/>
        <v>1376</v>
      </c>
      <c r="O17" s="10">
        <f t="shared" si="9"/>
        <v>0</v>
      </c>
      <c r="P17" s="10">
        <f>Table1[[#This Row],[Enrolment S.Y. 2025-2026 ]]*8</f>
        <v>1376</v>
      </c>
      <c r="Q17" s="10"/>
      <c r="R17" s="8"/>
      <c r="S17" s="10"/>
      <c r="T17" s="10">
        <f t="shared" si="10"/>
        <v>1376</v>
      </c>
      <c r="U17" s="10">
        <f t="shared" si="11"/>
        <v>0</v>
      </c>
      <c r="V17" s="10">
        <f>Table1[[#This Row],[Enrolment S.Y. 2025-2026 ]]*8</f>
        <v>1376</v>
      </c>
      <c r="W17" s="10"/>
      <c r="X17" s="8"/>
      <c r="Y17" s="10"/>
      <c r="Z17" s="10">
        <f t="shared" si="12"/>
        <v>1376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172</v>
      </c>
      <c r="D18" s="10">
        <f>Table1[[#This Row],[Enrolment S.Y. 2025-2026 ]]*8</f>
        <v>1376</v>
      </c>
      <c r="E18" s="10">
        <v>40</v>
      </c>
      <c r="F18" s="8">
        <v>2025</v>
      </c>
      <c r="G18" s="10" t="s">
        <v>56</v>
      </c>
      <c r="H18" s="10">
        <f t="shared" ref="H18:H50" si="14">IF((D18-E18)&lt;0,0,(D18-E18))</f>
        <v>1336</v>
      </c>
      <c r="I18" s="10">
        <f t="shared" ref="I18:I50" si="15">IF((E18-D18)&lt;0,0,(E18-D18))</f>
        <v>0</v>
      </c>
      <c r="J18" s="10">
        <f>Table1[[#This Row],[Enrolment S.Y. 2025-2026 ]]*8</f>
        <v>1376</v>
      </c>
      <c r="K18" s="10"/>
      <c r="L18" s="8"/>
      <c r="M18" s="10"/>
      <c r="N18" s="10">
        <f t="shared" si="8"/>
        <v>1376</v>
      </c>
      <c r="O18" s="10">
        <f t="shared" si="9"/>
        <v>0</v>
      </c>
      <c r="P18" s="10">
        <f>Table1[[#This Row],[Enrolment S.Y. 2025-2026 ]]*8</f>
        <v>1376</v>
      </c>
      <c r="Q18" s="10"/>
      <c r="R18" s="8"/>
      <c r="S18" s="10"/>
      <c r="T18" s="10">
        <f t="shared" si="10"/>
        <v>1376</v>
      </c>
      <c r="U18" s="10">
        <f t="shared" si="11"/>
        <v>0</v>
      </c>
      <c r="V18" s="10">
        <f>Table1[[#This Row],[Enrolment S.Y. 2025-2026 ]]*8</f>
        <v>1376</v>
      </c>
      <c r="W18" s="10"/>
      <c r="X18" s="8"/>
      <c r="Y18" s="10"/>
      <c r="Z18" s="10">
        <f t="shared" si="12"/>
        <v>1376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172</v>
      </c>
      <c r="D19" s="10">
        <f>Table1[[#This Row],[Enrolment S.Y. 2025-2026 ]]*8</f>
        <v>1376</v>
      </c>
      <c r="E19" s="10">
        <v>40</v>
      </c>
      <c r="F19" s="8">
        <v>2025</v>
      </c>
      <c r="G19" s="10" t="s">
        <v>56</v>
      </c>
      <c r="H19" s="10">
        <f t="shared" si="14"/>
        <v>1336</v>
      </c>
      <c r="I19" s="10">
        <f t="shared" si="15"/>
        <v>0</v>
      </c>
      <c r="J19" s="10">
        <f>Table1[[#This Row],[Enrolment S.Y. 2025-2026 ]]*8</f>
        <v>1376</v>
      </c>
      <c r="K19" s="10"/>
      <c r="L19" s="8"/>
      <c r="M19" s="10"/>
      <c r="N19" s="10">
        <f t="shared" si="8"/>
        <v>1376</v>
      </c>
      <c r="O19" s="10">
        <f t="shared" si="9"/>
        <v>0</v>
      </c>
      <c r="P19" s="10">
        <f>Table1[[#This Row],[Enrolment S.Y. 2025-2026 ]]*8</f>
        <v>1376</v>
      </c>
      <c r="Q19" s="10"/>
      <c r="R19" s="8"/>
      <c r="S19" s="10"/>
      <c r="T19" s="10">
        <f t="shared" si="10"/>
        <v>1376</v>
      </c>
      <c r="U19" s="10">
        <f t="shared" si="11"/>
        <v>0</v>
      </c>
      <c r="V19" s="10">
        <f>Table1[[#This Row],[Enrolment S.Y. 2025-2026 ]]*8</f>
        <v>1376</v>
      </c>
      <c r="W19" s="10"/>
      <c r="X19" s="8"/>
      <c r="Y19" s="10"/>
      <c r="Z19" s="10">
        <f t="shared" si="12"/>
        <v>1376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172</v>
      </c>
      <c r="D20" s="10">
        <f>Table1[[#This Row],[Enrolment S.Y. 2025-2026 ]]*8</f>
        <v>1376</v>
      </c>
      <c r="E20" s="10">
        <v>40</v>
      </c>
      <c r="F20" s="8">
        <v>2025</v>
      </c>
      <c r="G20" s="10" t="s">
        <v>56</v>
      </c>
      <c r="H20" s="10">
        <f t="shared" si="14"/>
        <v>1336</v>
      </c>
      <c r="I20" s="10">
        <f t="shared" si="15"/>
        <v>0</v>
      </c>
      <c r="J20" s="10">
        <f>Table1[[#This Row],[Enrolment S.Y. 2025-2026 ]]*8</f>
        <v>1376</v>
      </c>
      <c r="K20" s="10"/>
      <c r="L20" s="8"/>
      <c r="M20" s="10"/>
      <c r="N20" s="10">
        <f t="shared" si="8"/>
        <v>1376</v>
      </c>
      <c r="O20" s="10">
        <f t="shared" si="9"/>
        <v>0</v>
      </c>
      <c r="P20" s="10">
        <f>Table1[[#This Row],[Enrolment S.Y. 2025-2026 ]]*8</f>
        <v>1376</v>
      </c>
      <c r="Q20" s="10"/>
      <c r="R20" s="8"/>
      <c r="S20" s="10"/>
      <c r="T20" s="10">
        <f t="shared" si="10"/>
        <v>1376</v>
      </c>
      <c r="U20" s="10">
        <f t="shared" si="11"/>
        <v>0</v>
      </c>
      <c r="V20" s="10">
        <f>Table1[[#This Row],[Enrolment S.Y. 2025-2026 ]]*8</f>
        <v>1376</v>
      </c>
      <c r="W20" s="10"/>
      <c r="X20" s="8"/>
      <c r="Y20" s="10"/>
      <c r="Z20" s="10">
        <f t="shared" si="12"/>
        <v>1376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172</v>
      </c>
      <c r="D21" s="10">
        <f>Table1[[#This Row],[Enrolment S.Y. 2025-2026 ]]*8</f>
        <v>1376</v>
      </c>
      <c r="E21" s="10">
        <v>40</v>
      </c>
      <c r="F21" s="8">
        <v>2025</v>
      </c>
      <c r="G21" s="10" t="s">
        <v>56</v>
      </c>
      <c r="H21" s="10">
        <f t="shared" si="14"/>
        <v>1336</v>
      </c>
      <c r="I21" s="10">
        <f t="shared" si="15"/>
        <v>0</v>
      </c>
      <c r="J21" s="10">
        <f>Table1[[#This Row],[Enrolment S.Y. 2025-2026 ]]*8</f>
        <v>1376</v>
      </c>
      <c r="K21" s="10"/>
      <c r="L21" s="8"/>
      <c r="M21" s="10"/>
      <c r="N21" s="10">
        <f t="shared" si="8"/>
        <v>1376</v>
      </c>
      <c r="O21" s="10">
        <f t="shared" si="9"/>
        <v>0</v>
      </c>
      <c r="P21" s="10">
        <f>Table1[[#This Row],[Enrolment S.Y. 2025-2026 ]]*8</f>
        <v>1376</v>
      </c>
      <c r="Q21" s="10"/>
      <c r="R21" s="8"/>
      <c r="S21" s="10"/>
      <c r="T21" s="10">
        <f t="shared" si="10"/>
        <v>1376</v>
      </c>
      <c r="U21" s="10">
        <f t="shared" si="11"/>
        <v>0</v>
      </c>
      <c r="V21" s="10">
        <f>Table1[[#This Row],[Enrolment S.Y. 2025-2026 ]]*8</f>
        <v>1376</v>
      </c>
      <c r="W21" s="10"/>
      <c r="X21" s="8"/>
      <c r="Y21" s="10"/>
      <c r="Z21" s="10">
        <f t="shared" si="12"/>
        <v>1376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141</v>
      </c>
      <c r="D23" s="10">
        <f>Table1[[#This Row],[Enrolment S.Y. 2025-2026 ]]*8</f>
        <v>1128</v>
      </c>
      <c r="E23" s="10">
        <v>400</v>
      </c>
      <c r="F23" s="8">
        <v>2026</v>
      </c>
      <c r="G23" s="10" t="s">
        <v>9</v>
      </c>
      <c r="H23" s="10">
        <f t="shared" si="14"/>
        <v>728</v>
      </c>
      <c r="I23" s="10">
        <f t="shared" si="15"/>
        <v>0</v>
      </c>
      <c r="J23" s="10">
        <f>Table1[[#This Row],[Enrolment S.Y. 2025-2026 ]]*8</f>
        <v>1128</v>
      </c>
      <c r="K23" s="10"/>
      <c r="L23" s="8"/>
      <c r="M23" s="10"/>
      <c r="N23" s="10">
        <f t="shared" si="8"/>
        <v>1128</v>
      </c>
      <c r="O23" s="10">
        <f t="shared" si="9"/>
        <v>0</v>
      </c>
      <c r="P23" s="10">
        <f>Table1[[#This Row],[Enrolment S.Y. 2025-2026 ]]*8</f>
        <v>1128</v>
      </c>
      <c r="Q23" s="10"/>
      <c r="R23" s="8"/>
      <c r="S23" s="10"/>
      <c r="T23" s="10">
        <f t="shared" si="10"/>
        <v>1128</v>
      </c>
      <c r="U23" s="10">
        <f t="shared" si="11"/>
        <v>0</v>
      </c>
      <c r="V23" s="10">
        <f>Table1[[#This Row],[Enrolment S.Y. 2025-2026 ]]*8</f>
        <v>1128</v>
      </c>
      <c r="W23" s="10"/>
      <c r="X23" s="8"/>
      <c r="Y23" s="10"/>
      <c r="Z23" s="10">
        <f t="shared" si="12"/>
        <v>1128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141</v>
      </c>
      <c r="D24" s="10">
        <f>Table1[[#This Row],[Enrolment S.Y. 2025-2026 ]]*8</f>
        <v>1128</v>
      </c>
      <c r="E24" s="10"/>
      <c r="F24" s="8"/>
      <c r="G24" s="10"/>
      <c r="H24" s="10">
        <f t="shared" si="14"/>
        <v>1128</v>
      </c>
      <c r="I24" s="10">
        <f t="shared" si="15"/>
        <v>0</v>
      </c>
      <c r="J24" s="10">
        <f>Table1[[#This Row],[Enrolment S.Y. 2025-2026 ]]*8</f>
        <v>1128</v>
      </c>
      <c r="K24" s="10"/>
      <c r="L24" s="8"/>
      <c r="M24" s="10"/>
      <c r="N24" s="10">
        <f t="shared" si="8"/>
        <v>1128</v>
      </c>
      <c r="O24" s="10">
        <f t="shared" si="9"/>
        <v>0</v>
      </c>
      <c r="P24" s="10">
        <f>Table1[[#This Row],[Enrolment S.Y. 2025-2026 ]]*8</f>
        <v>1128</v>
      </c>
      <c r="Q24" s="10"/>
      <c r="R24" s="8"/>
      <c r="S24" s="10"/>
      <c r="T24" s="10">
        <f t="shared" si="10"/>
        <v>1128</v>
      </c>
      <c r="U24" s="10">
        <f t="shared" si="11"/>
        <v>0</v>
      </c>
      <c r="V24" s="10">
        <f>Table1[[#This Row],[Enrolment S.Y. 2025-2026 ]]*8</f>
        <v>1128</v>
      </c>
      <c r="W24" s="10"/>
      <c r="X24" s="8"/>
      <c r="Y24" s="10"/>
      <c r="Z24" s="10">
        <f t="shared" si="12"/>
        <v>1128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141</v>
      </c>
      <c r="D25" s="10">
        <f>Table1[[#This Row],[Enrolment S.Y. 2025-2026 ]]*8</f>
        <v>1128</v>
      </c>
      <c r="E25" s="10"/>
      <c r="F25" s="8"/>
      <c r="G25" s="10"/>
      <c r="H25" s="10">
        <f t="shared" si="14"/>
        <v>1128</v>
      </c>
      <c r="I25" s="10">
        <f t="shared" si="15"/>
        <v>0</v>
      </c>
      <c r="J25" s="10">
        <f>Table1[[#This Row],[Enrolment S.Y. 2025-2026 ]]*8</f>
        <v>1128</v>
      </c>
      <c r="K25" s="10"/>
      <c r="L25" s="8"/>
      <c r="M25" s="10"/>
      <c r="N25" s="10">
        <f t="shared" si="8"/>
        <v>1128</v>
      </c>
      <c r="O25" s="10">
        <f t="shared" si="9"/>
        <v>0</v>
      </c>
      <c r="P25" s="10">
        <f>Table1[[#This Row],[Enrolment S.Y. 2025-2026 ]]*8</f>
        <v>1128</v>
      </c>
      <c r="Q25" s="10"/>
      <c r="R25" s="8"/>
      <c r="S25" s="10"/>
      <c r="T25" s="10">
        <f t="shared" si="10"/>
        <v>1128</v>
      </c>
      <c r="U25" s="10">
        <f t="shared" si="11"/>
        <v>0</v>
      </c>
      <c r="V25" s="10">
        <f>Table1[[#This Row],[Enrolment S.Y. 2025-2026 ]]*8</f>
        <v>1128</v>
      </c>
      <c r="W25" s="10"/>
      <c r="X25" s="8"/>
      <c r="Y25" s="10"/>
      <c r="Z25" s="10">
        <f t="shared" si="12"/>
        <v>1128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141</v>
      </c>
      <c r="D26" s="10">
        <f>Table1[[#This Row],[Enrolment S.Y. 2025-2026 ]]*8</f>
        <v>1128</v>
      </c>
      <c r="E26" s="10"/>
      <c r="F26" s="8"/>
      <c r="G26" s="10"/>
      <c r="H26" s="10">
        <f t="shared" si="14"/>
        <v>1128</v>
      </c>
      <c r="I26" s="10">
        <f t="shared" si="15"/>
        <v>0</v>
      </c>
      <c r="J26" s="10">
        <f>Table1[[#This Row],[Enrolment S.Y. 2025-2026 ]]*8</f>
        <v>1128</v>
      </c>
      <c r="K26" s="10"/>
      <c r="L26" s="8"/>
      <c r="M26" s="10"/>
      <c r="N26" s="10">
        <f t="shared" si="8"/>
        <v>1128</v>
      </c>
      <c r="O26" s="10">
        <f t="shared" si="9"/>
        <v>0</v>
      </c>
      <c r="P26" s="10">
        <f>Table1[[#This Row],[Enrolment S.Y. 2025-2026 ]]*8</f>
        <v>1128</v>
      </c>
      <c r="Q26" s="10"/>
      <c r="R26" s="8"/>
      <c r="S26" s="10"/>
      <c r="T26" s="10">
        <f t="shared" si="10"/>
        <v>1128</v>
      </c>
      <c r="U26" s="10">
        <f t="shared" si="11"/>
        <v>0</v>
      </c>
      <c r="V26" s="10">
        <f>Table1[[#This Row],[Enrolment S.Y. 2025-2026 ]]*8</f>
        <v>1128</v>
      </c>
      <c r="W26" s="10"/>
      <c r="X26" s="8"/>
      <c r="Y26" s="10"/>
      <c r="Z26" s="10">
        <f t="shared" si="12"/>
        <v>1128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141</v>
      </c>
      <c r="D27" s="10">
        <f>Table1[[#This Row],[Enrolment S.Y. 2025-2026 ]]*8</f>
        <v>1128</v>
      </c>
      <c r="E27" s="10"/>
      <c r="F27" s="8"/>
      <c r="G27" s="10"/>
      <c r="H27" s="10">
        <f t="shared" si="14"/>
        <v>1128</v>
      </c>
      <c r="I27" s="10">
        <f t="shared" si="15"/>
        <v>0</v>
      </c>
      <c r="J27" s="10">
        <f>Table1[[#This Row],[Enrolment S.Y. 2025-2026 ]]*8</f>
        <v>1128</v>
      </c>
      <c r="K27" s="10"/>
      <c r="L27" s="8"/>
      <c r="M27" s="10"/>
      <c r="N27" s="10">
        <f t="shared" si="8"/>
        <v>1128</v>
      </c>
      <c r="O27" s="10">
        <f t="shared" si="9"/>
        <v>0</v>
      </c>
      <c r="P27" s="10">
        <f>Table1[[#This Row],[Enrolment S.Y. 2025-2026 ]]*8</f>
        <v>1128</v>
      </c>
      <c r="Q27" s="10"/>
      <c r="R27" s="8"/>
      <c r="S27" s="10"/>
      <c r="T27" s="10">
        <f t="shared" si="10"/>
        <v>1128</v>
      </c>
      <c r="U27" s="10">
        <f t="shared" si="11"/>
        <v>0</v>
      </c>
      <c r="V27" s="10">
        <f>Table1[[#This Row],[Enrolment S.Y. 2025-2026 ]]*8</f>
        <v>1128</v>
      </c>
      <c r="W27" s="10"/>
      <c r="X27" s="8"/>
      <c r="Y27" s="10"/>
      <c r="Z27" s="10">
        <f t="shared" si="12"/>
        <v>1128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141</v>
      </c>
      <c r="D28" s="10">
        <f>Table1[[#This Row],[Enrolment S.Y. 2025-2026 ]]*8</f>
        <v>1128</v>
      </c>
      <c r="E28" s="10"/>
      <c r="F28" s="8"/>
      <c r="G28" s="10"/>
      <c r="H28" s="10">
        <f t="shared" si="14"/>
        <v>1128</v>
      </c>
      <c r="I28" s="10">
        <f t="shared" si="15"/>
        <v>0</v>
      </c>
      <c r="J28" s="10">
        <f>Table1[[#This Row],[Enrolment S.Y. 2025-2026 ]]*8</f>
        <v>1128</v>
      </c>
      <c r="K28" s="10"/>
      <c r="L28" s="8"/>
      <c r="M28" s="10"/>
      <c r="N28" s="10">
        <f t="shared" si="8"/>
        <v>1128</v>
      </c>
      <c r="O28" s="10">
        <f t="shared" si="9"/>
        <v>0</v>
      </c>
      <c r="P28" s="10">
        <f>Table1[[#This Row],[Enrolment S.Y. 2025-2026 ]]*8</f>
        <v>1128</v>
      </c>
      <c r="Q28" s="10"/>
      <c r="R28" s="8"/>
      <c r="S28" s="10"/>
      <c r="T28" s="10">
        <f t="shared" si="10"/>
        <v>1128</v>
      </c>
      <c r="U28" s="10">
        <f t="shared" si="11"/>
        <v>0</v>
      </c>
      <c r="V28" s="10">
        <f>Table1[[#This Row],[Enrolment S.Y. 2025-2026 ]]*8</f>
        <v>1128</v>
      </c>
      <c r="W28" s="10"/>
      <c r="X28" s="8"/>
      <c r="Y28" s="10"/>
      <c r="Z28" s="10">
        <f t="shared" si="12"/>
        <v>1128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141</v>
      </c>
      <c r="D29" s="10">
        <f>Table1[[#This Row],[Enrolment S.Y. 2025-2026 ]]*8</f>
        <v>1128</v>
      </c>
      <c r="E29" s="10"/>
      <c r="F29" s="8"/>
      <c r="G29" s="10"/>
      <c r="H29" s="10">
        <f t="shared" si="14"/>
        <v>1128</v>
      </c>
      <c r="I29" s="10">
        <f t="shared" si="15"/>
        <v>0</v>
      </c>
      <c r="J29" s="10">
        <f>Table1[[#This Row],[Enrolment S.Y. 2025-2026 ]]*8</f>
        <v>1128</v>
      </c>
      <c r="K29" s="10"/>
      <c r="L29" s="8"/>
      <c r="M29" s="10"/>
      <c r="N29" s="10">
        <f t="shared" si="8"/>
        <v>1128</v>
      </c>
      <c r="O29" s="10">
        <f t="shared" si="9"/>
        <v>0</v>
      </c>
      <c r="P29" s="10">
        <f>Table1[[#This Row],[Enrolment S.Y. 2025-2026 ]]*8</f>
        <v>1128</v>
      </c>
      <c r="Q29" s="10"/>
      <c r="R29" s="8"/>
      <c r="S29" s="10"/>
      <c r="T29" s="10">
        <f t="shared" si="10"/>
        <v>1128</v>
      </c>
      <c r="U29" s="10">
        <f t="shared" si="11"/>
        <v>0</v>
      </c>
      <c r="V29" s="10">
        <f>Table1[[#This Row],[Enrolment S.Y. 2025-2026 ]]*8</f>
        <v>1128</v>
      </c>
      <c r="W29" s="10"/>
      <c r="X29" s="8"/>
      <c r="Y29" s="10"/>
      <c r="Z29" s="10">
        <f t="shared" si="12"/>
        <v>1128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141</v>
      </c>
      <c r="D30" s="10">
        <f>Table1[[#This Row],[Enrolment S.Y. 2025-2026 ]]*8</f>
        <v>1128</v>
      </c>
      <c r="E30" s="10"/>
      <c r="F30" s="8"/>
      <c r="G30" s="10"/>
      <c r="H30" s="10">
        <f t="shared" si="14"/>
        <v>1128</v>
      </c>
      <c r="I30" s="10">
        <f t="shared" si="15"/>
        <v>0</v>
      </c>
      <c r="J30" s="10">
        <f>Table1[[#This Row],[Enrolment S.Y. 2025-2026 ]]*8</f>
        <v>1128</v>
      </c>
      <c r="K30" s="10"/>
      <c r="L30" s="8"/>
      <c r="M30" s="10"/>
      <c r="N30" s="10">
        <f t="shared" si="8"/>
        <v>1128</v>
      </c>
      <c r="O30" s="10">
        <f t="shared" si="9"/>
        <v>0</v>
      </c>
      <c r="P30" s="10">
        <f>Table1[[#This Row],[Enrolment S.Y. 2025-2026 ]]*8</f>
        <v>1128</v>
      </c>
      <c r="Q30" s="10"/>
      <c r="R30" s="8"/>
      <c r="S30" s="10"/>
      <c r="T30" s="10">
        <f t="shared" si="10"/>
        <v>1128</v>
      </c>
      <c r="U30" s="10">
        <f t="shared" si="11"/>
        <v>0</v>
      </c>
      <c r="V30" s="10">
        <f>Table1[[#This Row],[Enrolment S.Y. 2025-2026 ]]*8</f>
        <v>1128</v>
      </c>
      <c r="W30" s="10"/>
      <c r="X30" s="8"/>
      <c r="Y30" s="10"/>
      <c r="Z30" s="10">
        <f t="shared" si="12"/>
        <v>1128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141</v>
      </c>
      <c r="D31" s="10">
        <f>Table1[[#This Row],[Enrolment S.Y. 2025-2026 ]]*8</f>
        <v>1128</v>
      </c>
      <c r="E31" s="10"/>
      <c r="F31" s="8"/>
      <c r="G31" s="10"/>
      <c r="H31" s="10">
        <f t="shared" si="14"/>
        <v>1128</v>
      </c>
      <c r="I31" s="10">
        <f t="shared" si="15"/>
        <v>0</v>
      </c>
      <c r="J31" s="10">
        <f>Table1[[#This Row],[Enrolment S.Y. 2025-2026 ]]*8</f>
        <v>1128</v>
      </c>
      <c r="K31" s="10"/>
      <c r="L31" s="8"/>
      <c r="M31" s="10"/>
      <c r="N31" s="10">
        <f t="shared" si="8"/>
        <v>1128</v>
      </c>
      <c r="O31" s="10">
        <f t="shared" si="9"/>
        <v>0</v>
      </c>
      <c r="P31" s="10">
        <f>Table1[[#This Row],[Enrolment S.Y. 2025-2026 ]]*8</f>
        <v>1128</v>
      </c>
      <c r="Q31" s="10"/>
      <c r="R31" s="8"/>
      <c r="S31" s="10"/>
      <c r="T31" s="10">
        <f t="shared" si="10"/>
        <v>1128</v>
      </c>
      <c r="U31" s="10">
        <f t="shared" si="11"/>
        <v>0</v>
      </c>
      <c r="V31" s="10">
        <f>Table1[[#This Row],[Enrolment S.Y. 2025-2026 ]]*8</f>
        <v>1128</v>
      </c>
      <c r="W31" s="10"/>
      <c r="X31" s="8"/>
      <c r="Y31" s="10"/>
      <c r="Z31" s="10">
        <f t="shared" si="12"/>
        <v>1128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145</v>
      </c>
      <c r="D33" s="10">
        <f>Table1[[#This Row],[Enrolment S.Y. 2025-2026 ]]*8</f>
        <v>1160</v>
      </c>
      <c r="E33" s="10">
        <v>400</v>
      </c>
      <c r="F33" s="8">
        <v>2026</v>
      </c>
      <c r="G33" s="10" t="s">
        <v>9</v>
      </c>
      <c r="H33" s="10">
        <f>IF((D33-E33)&lt;0,0,(D33-E33))</f>
        <v>760</v>
      </c>
      <c r="I33" s="10">
        <f>IF((E33-D33)&lt;0,0,(E33-D33))</f>
        <v>0</v>
      </c>
      <c r="J33" s="10">
        <f>Table1[[#This Row],[Enrolment S.Y. 2025-2026 ]]*8</f>
        <v>1160</v>
      </c>
      <c r="K33" s="10"/>
      <c r="L33" s="8"/>
      <c r="M33" s="10"/>
      <c r="N33" s="10">
        <f>IF((J33-K33)&lt;0,0,(J33-K33))</f>
        <v>1160</v>
      </c>
      <c r="O33" s="10">
        <f>IF((K33-J33)&lt;0,0,(K33-J33))</f>
        <v>0</v>
      </c>
      <c r="P33" s="10">
        <f>Table1[[#This Row],[Enrolment S.Y. 2025-2026 ]]*8</f>
        <v>1160</v>
      </c>
      <c r="Q33" s="10"/>
      <c r="R33" s="8"/>
      <c r="S33" s="10"/>
      <c r="T33" s="10">
        <f>IF((P33-Q33)&lt;0,0,(P33-Q33))</f>
        <v>1160</v>
      </c>
      <c r="U33" s="10">
        <f>IF((Q33-P33)&lt;0,0,(Q33-P33))</f>
        <v>0</v>
      </c>
      <c r="V33" s="10">
        <f>Table1[[#This Row],[Enrolment S.Y. 2025-2026 ]]*8</f>
        <v>1160</v>
      </c>
      <c r="W33" s="10"/>
      <c r="X33" s="8"/>
      <c r="Y33" s="10"/>
      <c r="Z33" s="10">
        <f>IF((V33-W33)&lt;0,0,(V33-W33))</f>
        <v>1160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145</v>
      </c>
      <c r="D34" s="10">
        <f>Table1[[#This Row],[Enrolment S.Y. 2025-2026 ]]*8</f>
        <v>1160</v>
      </c>
      <c r="E34" s="10"/>
      <c r="F34" s="8"/>
      <c r="G34" s="10"/>
      <c r="H34" s="10">
        <f>IF((D34-E34)&lt;0,0,(D34-E34))</f>
        <v>1160</v>
      </c>
      <c r="I34" s="10">
        <f>IF((E34-D34)&lt;0,0,(E34-D34))</f>
        <v>0</v>
      </c>
      <c r="J34" s="10">
        <f>Table1[[#This Row],[Enrolment S.Y. 2025-2026 ]]*8</f>
        <v>1160</v>
      </c>
      <c r="K34" s="10"/>
      <c r="L34" s="8"/>
      <c r="M34" s="10"/>
      <c r="N34" s="10">
        <f>IF((J34-K34)&lt;0,0,(J34-K34))</f>
        <v>1160</v>
      </c>
      <c r="O34" s="10">
        <f>IF((K34-J34)&lt;0,0,(K34-J34))</f>
        <v>0</v>
      </c>
      <c r="P34" s="10">
        <f>Table1[[#This Row],[Enrolment S.Y. 2025-2026 ]]*8</f>
        <v>1160</v>
      </c>
      <c r="Q34" s="10"/>
      <c r="R34" s="8"/>
      <c r="S34" s="10"/>
      <c r="T34" s="10">
        <f>IF((P34-Q34)&lt;0,0,(P34-Q34))</f>
        <v>1160</v>
      </c>
      <c r="U34" s="10">
        <f>IF((Q34-P34)&lt;0,0,(Q34-P34))</f>
        <v>0</v>
      </c>
      <c r="V34" s="10">
        <f>Table1[[#This Row],[Enrolment S.Y. 2025-2026 ]]*8</f>
        <v>1160</v>
      </c>
      <c r="W34" s="10"/>
      <c r="X34" s="8"/>
      <c r="Y34" s="10"/>
      <c r="Z34" s="10">
        <f>IF((V34-W34)&lt;0,0,(V34-W34))</f>
        <v>1160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145</v>
      </c>
      <c r="D35" s="10">
        <f>Table1[[#This Row],[Enrolment S.Y. 2025-2026 ]]*8</f>
        <v>1160</v>
      </c>
      <c r="E35" s="10"/>
      <c r="F35" s="8"/>
      <c r="G35" s="10"/>
      <c r="H35" s="10">
        <f>IF((D35-E35)&lt;0,0,(D35-E35))</f>
        <v>1160</v>
      </c>
      <c r="I35" s="10">
        <f>IF((E35-D35)&lt;0,0,(E35-D35))</f>
        <v>0</v>
      </c>
      <c r="J35" s="10">
        <f>Table1[[#This Row],[Enrolment S.Y. 2025-2026 ]]*8</f>
        <v>1160</v>
      </c>
      <c r="K35" s="10"/>
      <c r="L35" s="8"/>
      <c r="M35" s="10"/>
      <c r="N35" s="10">
        <f>IF((J35-K35)&lt;0,0,(J35-K35))</f>
        <v>1160</v>
      </c>
      <c r="O35" s="10">
        <f>IF((K35-J35)&lt;0,0,(K35-J35))</f>
        <v>0</v>
      </c>
      <c r="P35" s="10">
        <f>Table1[[#This Row],[Enrolment S.Y. 2025-2026 ]]*8</f>
        <v>1160</v>
      </c>
      <c r="Q35" s="10"/>
      <c r="R35" s="8"/>
      <c r="S35" s="10"/>
      <c r="T35" s="10">
        <f>IF((P35-Q35)&lt;0,0,(P35-Q35))</f>
        <v>1160</v>
      </c>
      <c r="U35" s="10">
        <f>IF((Q35-P35)&lt;0,0,(Q35-P35))</f>
        <v>0</v>
      </c>
      <c r="V35" s="10">
        <f>Table1[[#This Row],[Enrolment S.Y. 2025-2026 ]]*8</f>
        <v>1160</v>
      </c>
      <c r="W35" s="10"/>
      <c r="X35" s="8"/>
      <c r="Y35" s="10"/>
      <c r="Z35" s="10">
        <f>IF((V35-W35)&lt;0,0,(V35-W35))</f>
        <v>1160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145</v>
      </c>
      <c r="D36" s="10">
        <f>Table1[[#This Row],[Enrolment S.Y. 2025-2026 ]]*8</f>
        <v>1160</v>
      </c>
      <c r="E36" s="10"/>
      <c r="F36" s="8"/>
      <c r="G36" s="10"/>
      <c r="H36" s="10">
        <f>IF((D36-E36)&lt;0,0,(D36-E36))</f>
        <v>1160</v>
      </c>
      <c r="I36" s="10">
        <f>IF((E36-D36)&lt;0,0,(E36-D36))</f>
        <v>0</v>
      </c>
      <c r="J36" s="10">
        <f>Table1[[#This Row],[Enrolment S.Y. 2025-2026 ]]*8</f>
        <v>1160</v>
      </c>
      <c r="K36" s="10"/>
      <c r="L36" s="8"/>
      <c r="M36" s="10"/>
      <c r="N36" s="10">
        <f>IF((J36-K36)&lt;0,0,(J36-K36))</f>
        <v>1160</v>
      </c>
      <c r="O36" s="10">
        <f>IF((K36-J36)&lt;0,0,(K36-J36))</f>
        <v>0</v>
      </c>
      <c r="P36" s="10">
        <f>Table1[[#This Row],[Enrolment S.Y. 2025-2026 ]]*8</f>
        <v>1160</v>
      </c>
      <c r="Q36" s="10"/>
      <c r="R36" s="8"/>
      <c r="S36" s="10"/>
      <c r="T36" s="10">
        <f>IF((P36-Q36)&lt;0,0,(P36-Q36))</f>
        <v>1160</v>
      </c>
      <c r="U36" s="10">
        <f>IF((Q36-P36)&lt;0,0,(Q36-P36))</f>
        <v>0</v>
      </c>
      <c r="V36" s="10">
        <f>Table1[[#This Row],[Enrolment S.Y. 2025-2026 ]]*8</f>
        <v>1160</v>
      </c>
      <c r="W36" s="10"/>
      <c r="X36" s="8"/>
      <c r="Y36" s="10"/>
      <c r="Z36" s="10">
        <f>IF((V36-W36)&lt;0,0,(V36-W36))</f>
        <v>1160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145</v>
      </c>
      <c r="D37" s="10">
        <f>Table1[[#This Row],[Enrolment S.Y. 2025-2026 ]]*8</f>
        <v>1160</v>
      </c>
      <c r="E37" s="10"/>
      <c r="F37" s="8"/>
      <c r="G37" s="10"/>
      <c r="H37" s="10">
        <f>IF((D37-E37)&lt;0,0,(D37-E37))</f>
        <v>1160</v>
      </c>
      <c r="I37" s="10">
        <f>IF((E37-D37)&lt;0,0,(E37-D37))</f>
        <v>0</v>
      </c>
      <c r="J37" s="10">
        <f>Table1[[#This Row],[Enrolment S.Y. 2025-2026 ]]*8</f>
        <v>1160</v>
      </c>
      <c r="K37" s="10"/>
      <c r="L37" s="8"/>
      <c r="M37" s="10"/>
      <c r="N37" s="10">
        <f>IF((J37-K37)&lt;0,0,(J37-K37))</f>
        <v>1160</v>
      </c>
      <c r="O37" s="10">
        <f>IF((K37-J37)&lt;0,0,(K37-J37))</f>
        <v>0</v>
      </c>
      <c r="P37" s="10">
        <f>Table1[[#This Row],[Enrolment S.Y. 2025-2026 ]]*8</f>
        <v>1160</v>
      </c>
      <c r="Q37" s="10"/>
      <c r="R37" s="8"/>
      <c r="S37" s="10"/>
      <c r="T37" s="10">
        <f>IF((P37-Q37)&lt;0,0,(P37-Q37))</f>
        <v>1160</v>
      </c>
      <c r="U37" s="10">
        <f>IF((Q37-P37)&lt;0,0,(Q37-P37))</f>
        <v>0</v>
      </c>
      <c r="V37" s="10">
        <f>Table1[[#This Row],[Enrolment S.Y. 2025-2026 ]]*8</f>
        <v>1160</v>
      </c>
      <c r="W37" s="10"/>
      <c r="X37" s="8"/>
      <c r="Y37" s="10"/>
      <c r="Z37" s="10">
        <f>IF((V37-W37)&lt;0,0,(V37-W37))</f>
        <v>1160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145</v>
      </c>
      <c r="D38" s="10">
        <f>Table1[[#This Row],[Enrolment S.Y. 2025-2026 ]]*8</f>
        <v>1160</v>
      </c>
      <c r="E38" s="10"/>
      <c r="F38" s="8"/>
      <c r="G38" s="10"/>
      <c r="H38" s="10">
        <f>IF((D38-E38)&lt;0,0,(D38-E38))</f>
        <v>1160</v>
      </c>
      <c r="I38" s="10">
        <f>IF((E38-D38)&lt;0,0,(E38-D38))</f>
        <v>0</v>
      </c>
      <c r="J38" s="10">
        <f>Table1[[#This Row],[Enrolment S.Y. 2025-2026 ]]*8</f>
        <v>1160</v>
      </c>
      <c r="K38" s="10"/>
      <c r="L38" s="8"/>
      <c r="M38" s="10"/>
      <c r="N38" s="10">
        <f>IF((J38-K38)&lt;0,0,(J38-K38))</f>
        <v>1160</v>
      </c>
      <c r="O38" s="10">
        <f>IF((K38-J38)&lt;0,0,(K38-J38))</f>
        <v>0</v>
      </c>
      <c r="P38" s="10">
        <f>Table1[[#This Row],[Enrolment S.Y. 2025-2026 ]]*8</f>
        <v>1160</v>
      </c>
      <c r="Q38" s="10"/>
      <c r="R38" s="8"/>
      <c r="S38" s="10"/>
      <c r="T38" s="10">
        <f>IF((P38-Q38)&lt;0,0,(P38-Q38))</f>
        <v>1160</v>
      </c>
      <c r="U38" s="10">
        <f>IF((Q38-P38)&lt;0,0,(Q38-P38))</f>
        <v>0</v>
      </c>
      <c r="V38" s="10">
        <f>Table1[[#This Row],[Enrolment S.Y. 2025-2026 ]]*8</f>
        <v>1160</v>
      </c>
      <c r="W38" s="10"/>
      <c r="X38" s="8"/>
      <c r="Y38" s="10"/>
      <c r="Z38" s="10">
        <f>IF((V38-W38)&lt;0,0,(V38-W38))</f>
        <v>1160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145</v>
      </c>
      <c r="D39" s="10">
        <f>Table1[[#This Row],[Enrolment S.Y. 2025-2026 ]]*8</f>
        <v>1160</v>
      </c>
      <c r="E39" s="10"/>
      <c r="F39" s="8"/>
      <c r="G39" s="10"/>
      <c r="H39" s="10">
        <f>IF((D39-E39)&lt;0,0,(D39-E39))</f>
        <v>1160</v>
      </c>
      <c r="I39" s="10">
        <f>IF((E39-D39)&lt;0,0,(E39-D39))</f>
        <v>0</v>
      </c>
      <c r="J39" s="10">
        <f>Table1[[#This Row],[Enrolment S.Y. 2025-2026 ]]*8</f>
        <v>1160</v>
      </c>
      <c r="K39" s="10"/>
      <c r="L39" s="8"/>
      <c r="M39" s="10"/>
      <c r="N39" s="10">
        <f>IF((J39-K39)&lt;0,0,(J39-K39))</f>
        <v>1160</v>
      </c>
      <c r="O39" s="10">
        <f>IF((K39-J39)&lt;0,0,(K39-J39))</f>
        <v>0</v>
      </c>
      <c r="P39" s="10">
        <f>Table1[[#This Row],[Enrolment S.Y. 2025-2026 ]]*8</f>
        <v>1160</v>
      </c>
      <c r="Q39" s="10"/>
      <c r="R39" s="8"/>
      <c r="S39" s="10"/>
      <c r="T39" s="10">
        <f>IF((P39-Q39)&lt;0,0,(P39-Q39))</f>
        <v>1160</v>
      </c>
      <c r="U39" s="10">
        <f>IF((Q39-P39)&lt;0,0,(Q39-P39))</f>
        <v>0</v>
      </c>
      <c r="V39" s="10">
        <f>Table1[[#This Row],[Enrolment S.Y. 2025-2026 ]]*8</f>
        <v>1160</v>
      </c>
      <c r="W39" s="10"/>
      <c r="X39" s="8"/>
      <c r="Y39" s="10"/>
      <c r="Z39" s="10">
        <f>IF((V39-W39)&lt;0,0,(V39-W39))</f>
        <v>1160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145</v>
      </c>
      <c r="D40" s="10">
        <f>Table1[[#This Row],[Enrolment S.Y. 2025-2026 ]]*8</f>
        <v>1160</v>
      </c>
      <c r="E40" s="10"/>
      <c r="F40" s="8"/>
      <c r="G40" s="10"/>
      <c r="H40" s="10">
        <f>IF((D40-E40)&lt;0,0,(D40-E40))</f>
        <v>1160</v>
      </c>
      <c r="I40" s="10">
        <f>IF((E40-D40)&lt;0,0,(E40-D40))</f>
        <v>0</v>
      </c>
      <c r="J40" s="10">
        <f>Table1[[#This Row],[Enrolment S.Y. 2025-2026 ]]*8</f>
        <v>1160</v>
      </c>
      <c r="K40" s="10"/>
      <c r="L40" s="8"/>
      <c r="M40" s="10"/>
      <c r="N40" s="10">
        <f>IF((J40-K40)&lt;0,0,(J40-K40))</f>
        <v>1160</v>
      </c>
      <c r="O40" s="10">
        <f>IF((K40-J40)&lt;0,0,(K40-J40))</f>
        <v>0</v>
      </c>
      <c r="P40" s="10">
        <f>Table1[[#This Row],[Enrolment S.Y. 2025-2026 ]]*8</f>
        <v>1160</v>
      </c>
      <c r="Q40" s="10"/>
      <c r="R40" s="8"/>
      <c r="S40" s="10"/>
      <c r="T40" s="10">
        <f>IF((P40-Q40)&lt;0,0,(P40-Q40))</f>
        <v>1160</v>
      </c>
      <c r="U40" s="10">
        <f>IF((Q40-P40)&lt;0,0,(Q40-P40))</f>
        <v>0</v>
      </c>
      <c r="V40" s="10">
        <f>Table1[[#This Row],[Enrolment S.Y. 2025-2026 ]]*8</f>
        <v>1160</v>
      </c>
      <c r="W40" s="10"/>
      <c r="X40" s="8"/>
      <c r="Y40" s="10"/>
      <c r="Z40" s="10">
        <f>IF((V40-W40)&lt;0,0,(V40-W40))</f>
        <v>1160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145</v>
      </c>
      <c r="D41" s="10">
        <f>Table1[[#This Row],[Enrolment S.Y. 2025-2026 ]]*8</f>
        <v>1160</v>
      </c>
      <c r="E41" s="10"/>
      <c r="F41" s="8"/>
      <c r="G41" s="10"/>
      <c r="H41" s="10">
        <f>IF((D41-E41)&lt;0,0,(D41-E41))</f>
        <v>1160</v>
      </c>
      <c r="I41" s="10">
        <f>IF((E41-D41)&lt;0,0,(E41-D41))</f>
        <v>0</v>
      </c>
      <c r="J41" s="10">
        <f>Table1[[#This Row],[Enrolment S.Y. 2025-2026 ]]*8</f>
        <v>1160</v>
      </c>
      <c r="K41" s="10"/>
      <c r="L41" s="8"/>
      <c r="M41" s="10"/>
      <c r="N41" s="10">
        <f>IF((J41-K41)&lt;0,0,(J41-K41))</f>
        <v>1160</v>
      </c>
      <c r="O41" s="10">
        <f>IF((K41-J41)&lt;0,0,(K41-J41))</f>
        <v>0</v>
      </c>
      <c r="P41" s="10">
        <f>Table1[[#This Row],[Enrolment S.Y. 2025-2026 ]]*8</f>
        <v>1160</v>
      </c>
      <c r="Q41" s="10"/>
      <c r="R41" s="8"/>
      <c r="S41" s="10"/>
      <c r="T41" s="10">
        <f>IF((P41-Q41)&lt;0,0,(P41-Q41))</f>
        <v>1160</v>
      </c>
      <c r="U41" s="10">
        <f>IF((Q41-P41)&lt;0,0,(Q41-P41))</f>
        <v>0</v>
      </c>
      <c r="V41" s="10">
        <f>Table1[[#This Row],[Enrolment S.Y. 2025-2026 ]]*8</f>
        <v>1160</v>
      </c>
      <c r="W41" s="10"/>
      <c r="X41" s="8"/>
      <c r="Y41" s="10"/>
      <c r="Z41" s="10">
        <f>IF((V41-W41)&lt;0,0,(V41-W41))</f>
        <v>1160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</sheetData>
  <protectedRanges>
    <protectedRange sqref="C43:C50 C2:C11 C33:C41 C13:C21 C23:C31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Y3:Y50 G13:G21 M3:M50 G3:G1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" activePane="topRight" state="frozen"/>
      <selection pane="topRight" activeCell="AC82" sqref="AC8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6" t="s">
        <v>28</v>
      </c>
      <c r="E1" s="36"/>
      <c r="F1" s="36"/>
      <c r="G1" s="36"/>
      <c r="H1" s="36"/>
      <c r="I1" s="36"/>
      <c r="J1" s="37" t="s">
        <v>29</v>
      </c>
      <c r="K1" s="37"/>
      <c r="L1" s="37"/>
      <c r="M1" s="37"/>
      <c r="N1" s="37"/>
      <c r="O1" s="37"/>
      <c r="P1" s="38" t="s">
        <v>30</v>
      </c>
      <c r="Q1" s="38"/>
      <c r="R1" s="38"/>
      <c r="S1" s="38"/>
      <c r="T1" s="38"/>
      <c r="U1" s="38"/>
      <c r="V1" s="39" t="s">
        <v>31</v>
      </c>
      <c r="W1" s="39"/>
      <c r="X1" s="39"/>
      <c r="Y1" s="39"/>
      <c r="Z1" s="39"/>
      <c r="AA1" s="39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169</v>
      </c>
      <c r="D3" s="10">
        <f>Table14[[#This Row],[Enrolment S.Y. 2025-2026 ]]*8</f>
        <v>1352</v>
      </c>
      <c r="E3" s="10"/>
      <c r="F3" s="8">
        <v>2026</v>
      </c>
      <c r="G3" s="10" t="s">
        <v>9</v>
      </c>
      <c r="H3" s="10">
        <f t="shared" ref="H3:H19" si="0">IF((D3-E3)&lt;0,0,(D3-E3))</f>
        <v>1352</v>
      </c>
      <c r="I3" s="10">
        <f t="shared" ref="I3:I19" si="1">IF((E3-D3)&lt;0,0,(E3-D3))</f>
        <v>0</v>
      </c>
      <c r="J3" s="10">
        <f>Table14[[#This Row],[Enrolment S.Y. 2025-2026 ]]*8</f>
        <v>1352</v>
      </c>
      <c r="K3" s="10">
        <v>409</v>
      </c>
      <c r="L3" s="8">
        <v>2026</v>
      </c>
      <c r="M3" s="10" t="s">
        <v>9</v>
      </c>
      <c r="N3" s="10">
        <f t="shared" ref="N3:N6" si="2">IF((J3-K3)&lt;0,0,(J3-K3))</f>
        <v>943</v>
      </c>
      <c r="O3" s="10">
        <f t="shared" ref="O3:O6" si="3">IF((K3-J3)&lt;0,0,(K3-J3))</f>
        <v>0</v>
      </c>
      <c r="P3" s="10">
        <f>Table14[[#This Row],[Enrolment S.Y. 2025-2026 ]]*8</f>
        <v>1352</v>
      </c>
      <c r="Q3" s="10"/>
      <c r="R3" s="8"/>
      <c r="S3" s="10"/>
      <c r="T3" s="10">
        <f t="shared" ref="T3:T8" si="4">IF((P3-Q3)&lt;0,0,(P3-Q3))</f>
        <v>1352</v>
      </c>
      <c r="U3" s="10">
        <f t="shared" ref="U3:U8" si="5">IF((Q3-P3)&lt;0,0,(Q3-P3))</f>
        <v>0</v>
      </c>
      <c r="V3" s="10">
        <f>Table14[[#This Row],[Enrolment S.Y. 2025-2026 ]]*8</f>
        <v>1352</v>
      </c>
      <c r="W3" s="10"/>
      <c r="X3" s="8"/>
      <c r="Y3" s="10"/>
      <c r="Z3" s="10">
        <f t="shared" ref="Z3:Z8" si="6">IF((V3-W3)&lt;0,0,(V3-W3))</f>
        <v>1352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169</v>
      </c>
      <c r="D4" s="10">
        <f>Table14[[#This Row],[Enrolment S.Y. 2025-2026 ]]*8</f>
        <v>1352</v>
      </c>
      <c r="E4" s="10"/>
      <c r="F4" s="8"/>
      <c r="G4" s="10"/>
      <c r="H4" s="10">
        <f t="shared" si="0"/>
        <v>1352</v>
      </c>
      <c r="I4" s="10">
        <f t="shared" si="1"/>
        <v>0</v>
      </c>
      <c r="J4" s="10">
        <f>Table14[[#This Row],[Enrolment S.Y. 2025-2026 ]]*8</f>
        <v>1352</v>
      </c>
      <c r="K4" s="10"/>
      <c r="L4" s="8"/>
      <c r="M4" s="10"/>
      <c r="N4" s="10">
        <f t="shared" si="2"/>
        <v>1352</v>
      </c>
      <c r="O4" s="10">
        <f t="shared" si="3"/>
        <v>0</v>
      </c>
      <c r="P4" s="10">
        <f>Table14[[#This Row],[Enrolment S.Y. 2025-2026 ]]*8</f>
        <v>1352</v>
      </c>
      <c r="Q4" s="10"/>
      <c r="R4" s="8"/>
      <c r="S4" s="10"/>
      <c r="T4" s="10">
        <f t="shared" si="4"/>
        <v>1352</v>
      </c>
      <c r="U4" s="10">
        <f t="shared" si="5"/>
        <v>0</v>
      </c>
      <c r="V4" s="10">
        <f>Table14[[#This Row],[Enrolment S.Y. 2025-2026 ]]*8</f>
        <v>1352</v>
      </c>
      <c r="W4" s="10"/>
      <c r="X4" s="8"/>
      <c r="Y4" s="10"/>
      <c r="Z4" s="10">
        <f t="shared" si="6"/>
        <v>1352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169</v>
      </c>
      <c r="D5" s="10">
        <f>Table14[[#This Row],[Enrolment S.Y. 2025-2026 ]]*8</f>
        <v>1352</v>
      </c>
      <c r="E5" s="10"/>
      <c r="F5" s="8"/>
      <c r="G5" s="10"/>
      <c r="H5" s="10">
        <f t="shared" si="0"/>
        <v>1352</v>
      </c>
      <c r="I5" s="10">
        <f t="shared" si="1"/>
        <v>0</v>
      </c>
      <c r="J5" s="10">
        <f>Table14[[#This Row],[Enrolment S.Y. 2025-2026 ]]*8</f>
        <v>1352</v>
      </c>
      <c r="K5" s="10"/>
      <c r="L5" s="8"/>
      <c r="M5" s="10"/>
      <c r="N5" s="10">
        <f t="shared" si="2"/>
        <v>1352</v>
      </c>
      <c r="O5" s="10">
        <f t="shared" si="3"/>
        <v>0</v>
      </c>
      <c r="P5" s="10">
        <f>Table14[[#This Row],[Enrolment S.Y. 2025-2026 ]]*8</f>
        <v>1352</v>
      </c>
      <c r="Q5" s="10"/>
      <c r="R5" s="8"/>
      <c r="S5" s="10"/>
      <c r="T5" s="10">
        <f t="shared" si="4"/>
        <v>1352</v>
      </c>
      <c r="U5" s="10">
        <f t="shared" si="5"/>
        <v>0</v>
      </c>
      <c r="V5" s="10">
        <f>Table14[[#This Row],[Enrolment S.Y. 2025-2026 ]]*8</f>
        <v>1352</v>
      </c>
      <c r="W5" s="10"/>
      <c r="X5" s="8"/>
      <c r="Y5" s="10"/>
      <c r="Z5" s="10">
        <f t="shared" si="6"/>
        <v>1352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169</v>
      </c>
      <c r="D6" s="10">
        <f>Table14[[#This Row],[Enrolment S.Y. 2025-2026 ]]*8</f>
        <v>1352</v>
      </c>
      <c r="E6" s="10"/>
      <c r="F6" s="8"/>
      <c r="G6" s="10"/>
      <c r="H6" s="10">
        <f t="shared" si="0"/>
        <v>1352</v>
      </c>
      <c r="I6" s="10">
        <f t="shared" si="1"/>
        <v>0</v>
      </c>
      <c r="J6" s="10">
        <f>Table14[[#This Row],[Enrolment S.Y. 2025-2026 ]]*8</f>
        <v>1352</v>
      </c>
      <c r="K6" s="10"/>
      <c r="L6" s="8"/>
      <c r="M6" s="10"/>
      <c r="N6" s="10">
        <f t="shared" si="2"/>
        <v>1352</v>
      </c>
      <c r="O6" s="10">
        <f t="shared" si="3"/>
        <v>0</v>
      </c>
      <c r="P6" s="10">
        <f>Table14[[#This Row],[Enrolment S.Y. 2025-2026 ]]*8</f>
        <v>1352</v>
      </c>
      <c r="Q6" s="10"/>
      <c r="R6" s="8"/>
      <c r="S6" s="10"/>
      <c r="T6" s="10">
        <f t="shared" si="4"/>
        <v>1352</v>
      </c>
      <c r="U6" s="10">
        <f t="shared" si="5"/>
        <v>0</v>
      </c>
      <c r="V6" s="10">
        <f>Table14[[#This Row],[Enrolment S.Y. 2025-2026 ]]*8</f>
        <v>1352</v>
      </c>
      <c r="W6" s="10"/>
      <c r="X6" s="8"/>
      <c r="Y6" s="10"/>
      <c r="Z6" s="10">
        <f t="shared" si="6"/>
        <v>1352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169</v>
      </c>
      <c r="D7" s="10">
        <f>Table14[[#This Row],[Enrolment S.Y. 2025-2026 ]]*8</f>
        <v>1352</v>
      </c>
      <c r="E7" s="10"/>
      <c r="F7" s="8"/>
      <c r="G7" s="10"/>
      <c r="H7" s="10">
        <f t="shared" si="0"/>
        <v>1352</v>
      </c>
      <c r="I7" s="10">
        <f t="shared" si="1"/>
        <v>0</v>
      </c>
      <c r="J7" s="10">
        <f>Table14[[#This Row],[Enrolment S.Y. 2025-2026 ]]*8</f>
        <v>1352</v>
      </c>
      <c r="K7" s="10"/>
      <c r="L7" s="8"/>
      <c r="M7" s="10"/>
      <c r="N7" s="10">
        <f t="shared" ref="N7:N13" si="8">IF((J7-K7)&lt;0,0,(J7-K7))</f>
        <v>1352</v>
      </c>
      <c r="O7" s="10">
        <f t="shared" ref="O7:O13" si="9">IF((K7-J7)&lt;0,0,(K7-J7))</f>
        <v>0</v>
      </c>
      <c r="P7" s="10">
        <f>Table14[[#This Row],[Enrolment S.Y. 2025-2026 ]]*8</f>
        <v>1352</v>
      </c>
      <c r="Q7" s="10"/>
      <c r="R7" s="8"/>
      <c r="S7" s="10"/>
      <c r="T7" s="10">
        <f t="shared" si="4"/>
        <v>1352</v>
      </c>
      <c r="U7" s="10">
        <f t="shared" si="5"/>
        <v>0</v>
      </c>
      <c r="V7" s="10">
        <f>Table14[[#This Row],[Enrolment S.Y. 2025-2026 ]]*8</f>
        <v>1352</v>
      </c>
      <c r="W7" s="10"/>
      <c r="X7" s="8"/>
      <c r="Y7" s="10"/>
      <c r="Z7" s="10">
        <f t="shared" si="6"/>
        <v>1352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169</v>
      </c>
      <c r="D8" s="10">
        <f>Table14[[#This Row],[Enrolment S.Y. 2025-2026 ]]*8</f>
        <v>1352</v>
      </c>
      <c r="E8" s="10"/>
      <c r="F8" s="8"/>
      <c r="G8" s="10"/>
      <c r="H8" s="10">
        <f t="shared" si="0"/>
        <v>1352</v>
      </c>
      <c r="I8" s="10">
        <f t="shared" si="1"/>
        <v>0</v>
      </c>
      <c r="J8" s="10">
        <f>Table14[[#This Row],[Enrolment S.Y. 2025-2026 ]]*8</f>
        <v>1352</v>
      </c>
      <c r="K8" s="10"/>
      <c r="L8" s="8"/>
      <c r="M8" s="10"/>
      <c r="N8" s="10">
        <f t="shared" si="8"/>
        <v>1352</v>
      </c>
      <c r="O8" s="10">
        <f t="shared" si="9"/>
        <v>0</v>
      </c>
      <c r="P8" s="10">
        <f>Table14[[#This Row],[Enrolment S.Y. 2025-2026 ]]*8</f>
        <v>1352</v>
      </c>
      <c r="Q8" s="10"/>
      <c r="R8" s="8"/>
      <c r="S8" s="10"/>
      <c r="T8" s="10">
        <f t="shared" si="4"/>
        <v>1352</v>
      </c>
      <c r="U8" s="10">
        <f t="shared" si="5"/>
        <v>0</v>
      </c>
      <c r="V8" s="10">
        <f>Table14[[#This Row],[Enrolment S.Y. 2025-2026 ]]*8</f>
        <v>1352</v>
      </c>
      <c r="W8" s="10"/>
      <c r="X8" s="8"/>
      <c r="Y8" s="10"/>
      <c r="Z8" s="10">
        <f t="shared" si="6"/>
        <v>1352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169</v>
      </c>
      <c r="D9" s="10">
        <f>Table14[[#This Row],[Enrolment S.Y. 2025-2026 ]]*8</f>
        <v>1352</v>
      </c>
      <c r="E9" s="10"/>
      <c r="F9" s="8"/>
      <c r="G9" s="10"/>
      <c r="H9" s="10">
        <f>IF((D9-E9)&lt;0,0,(D9-E9))</f>
        <v>1352</v>
      </c>
      <c r="I9" s="10">
        <f>IF((E9-D9)&lt;0,0,(E9-D9))</f>
        <v>0</v>
      </c>
      <c r="J9" s="10">
        <f>Table14[[#This Row],[Enrolment S.Y. 2025-2026 ]]*8</f>
        <v>1352</v>
      </c>
      <c r="K9" s="10"/>
      <c r="L9" s="8"/>
      <c r="M9" s="10"/>
      <c r="N9" s="10">
        <f t="shared" si="8"/>
        <v>1352</v>
      </c>
      <c r="O9" s="10">
        <f t="shared" si="9"/>
        <v>0</v>
      </c>
      <c r="P9" s="10">
        <f>Table14[[#This Row],[Enrolment S.Y. 2025-2026 ]]*8</f>
        <v>1352</v>
      </c>
      <c r="Q9" s="10"/>
      <c r="R9" s="8"/>
      <c r="S9" s="10"/>
      <c r="T9" s="10">
        <f>IF((P9-Q9)&lt;0,0,(P9-Q9))</f>
        <v>1352</v>
      </c>
      <c r="U9" s="10">
        <f>IF((Q9-P9)&lt;0,0,(Q9-P9))</f>
        <v>0</v>
      </c>
      <c r="V9" s="10">
        <f>Table14[[#This Row],[Enrolment S.Y. 2025-2026 ]]*8</f>
        <v>1352</v>
      </c>
      <c r="W9" s="10"/>
      <c r="X9" s="8"/>
      <c r="Y9" s="10"/>
      <c r="Z9" s="10">
        <f>IF((V9-W9)&lt;0,0,(V9-W9))</f>
        <v>1352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169</v>
      </c>
      <c r="D10" s="10">
        <f>Table14[[#This Row],[Enrolment S.Y. 2025-2026 ]]*8</f>
        <v>1352</v>
      </c>
      <c r="E10" s="10"/>
      <c r="F10" s="8"/>
      <c r="G10" s="10"/>
      <c r="H10" s="10">
        <f t="shared" si="0"/>
        <v>1352</v>
      </c>
      <c r="I10" s="10">
        <f t="shared" si="1"/>
        <v>0</v>
      </c>
      <c r="J10" s="10">
        <f>Table14[[#This Row],[Enrolment S.Y. 2025-2026 ]]*8</f>
        <v>1352</v>
      </c>
      <c r="K10" s="10"/>
      <c r="L10" s="8"/>
      <c r="M10" s="10"/>
      <c r="N10" s="10">
        <f t="shared" si="8"/>
        <v>1352</v>
      </c>
      <c r="O10" s="10">
        <f t="shared" si="9"/>
        <v>0</v>
      </c>
      <c r="P10" s="10">
        <f>Table14[[#This Row],[Enrolment S.Y. 2025-2026 ]]*8</f>
        <v>1352</v>
      </c>
      <c r="Q10" s="10"/>
      <c r="R10" s="8"/>
      <c r="S10" s="10"/>
      <c r="T10" s="10">
        <f t="shared" ref="T10:T58" si="10">IF((P10-Q10)&lt;0,0,(P10-Q10))</f>
        <v>1352</v>
      </c>
      <c r="U10" s="10">
        <f t="shared" ref="U10:U58" si="11">IF((Q10-P10)&lt;0,0,(Q10-P10))</f>
        <v>0</v>
      </c>
      <c r="V10" s="10">
        <f>Table14[[#This Row],[Enrolment S.Y. 2025-2026 ]]*8</f>
        <v>1352</v>
      </c>
      <c r="W10" s="10"/>
      <c r="X10" s="8"/>
      <c r="Y10" s="10"/>
      <c r="Z10" s="10">
        <f t="shared" ref="Z10:Z58" si="12">IF((V10-W10)&lt;0,0,(V10-W10))</f>
        <v>1352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169</v>
      </c>
      <c r="D11" s="10">
        <f>Table14[[#This Row],[Enrolment S.Y. 2025-2026 ]]*8</f>
        <v>1352</v>
      </c>
      <c r="E11" s="10"/>
      <c r="F11" s="8"/>
      <c r="G11" s="10"/>
      <c r="H11" s="10">
        <f t="shared" si="0"/>
        <v>1352</v>
      </c>
      <c r="I11" s="10">
        <f t="shared" si="1"/>
        <v>0</v>
      </c>
      <c r="J11" s="10">
        <f>Table14[[#This Row],[Enrolment S.Y. 2025-2026 ]]*8</f>
        <v>1352</v>
      </c>
      <c r="K11" s="10"/>
      <c r="L11" s="8"/>
      <c r="M11" s="10"/>
      <c r="N11" s="10">
        <f t="shared" si="8"/>
        <v>1352</v>
      </c>
      <c r="O11" s="10">
        <f t="shared" si="9"/>
        <v>0</v>
      </c>
      <c r="P11" s="10">
        <f>Table14[[#This Row],[Enrolment S.Y. 2025-2026 ]]*8</f>
        <v>1352</v>
      </c>
      <c r="Q11" s="10"/>
      <c r="R11" s="8"/>
      <c r="S11" s="10"/>
      <c r="T11" s="10">
        <f t="shared" si="10"/>
        <v>1352</v>
      </c>
      <c r="U11" s="10">
        <f t="shared" si="11"/>
        <v>0</v>
      </c>
      <c r="V11" s="10">
        <f>Table14[[#This Row],[Enrolment S.Y. 2025-2026 ]]*8</f>
        <v>1352</v>
      </c>
      <c r="W11" s="10"/>
      <c r="X11" s="8"/>
      <c r="Y11" s="10"/>
      <c r="Z11" s="10">
        <f t="shared" si="12"/>
        <v>1352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169</v>
      </c>
      <c r="D12" s="10">
        <f>Table14[[#This Row],[Enrolment S.Y. 2025-2026 ]]*8</f>
        <v>1352</v>
      </c>
      <c r="E12" s="10"/>
      <c r="F12" s="8"/>
      <c r="G12" s="10"/>
      <c r="H12" s="10">
        <f>IF((D12-E12)&lt;0,0,(D12-E12))</f>
        <v>1352</v>
      </c>
      <c r="I12" s="10">
        <f>IF((E12-D12)&lt;0,0,(E12-D12))</f>
        <v>0</v>
      </c>
      <c r="J12" s="10">
        <f>Table14[[#This Row],[Enrolment S.Y. 2025-2026 ]]*8</f>
        <v>1352</v>
      </c>
      <c r="K12" s="10"/>
      <c r="L12" s="8"/>
      <c r="M12" s="10"/>
      <c r="N12" s="10">
        <f t="shared" si="8"/>
        <v>1352</v>
      </c>
      <c r="O12" s="10">
        <f t="shared" si="9"/>
        <v>0</v>
      </c>
      <c r="P12" s="10">
        <f>Table14[[#This Row],[Enrolment S.Y. 2025-2026 ]]*8</f>
        <v>1352</v>
      </c>
      <c r="Q12" s="10"/>
      <c r="R12" s="8"/>
      <c r="S12" s="10"/>
      <c r="T12" s="10">
        <f>IF((P12-Q12)&lt;0,0,(P12-Q12))</f>
        <v>1352</v>
      </c>
      <c r="U12" s="10">
        <f>IF((Q12-P12)&lt;0,0,(Q12-P12))</f>
        <v>0</v>
      </c>
      <c r="V12" s="10">
        <f>Table14[[#This Row],[Enrolment S.Y. 2025-2026 ]]*8</f>
        <v>1352</v>
      </c>
      <c r="W12" s="10"/>
      <c r="X12" s="8"/>
      <c r="Y12" s="10"/>
      <c r="Z12" s="10">
        <f>IF((V12-W12)&lt;0,0,(V12-W12))</f>
        <v>1352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169</v>
      </c>
      <c r="D13" s="10">
        <f>Table14[[#This Row],[Enrolment S.Y. 2025-2026 ]]*8</f>
        <v>1352</v>
      </c>
      <c r="E13" s="10"/>
      <c r="F13" s="8"/>
      <c r="G13" s="10"/>
      <c r="H13" s="10">
        <f t="shared" si="0"/>
        <v>1352</v>
      </c>
      <c r="I13" s="10">
        <f t="shared" si="1"/>
        <v>0</v>
      </c>
      <c r="J13" s="10">
        <f>Table14[[#This Row],[Enrolment S.Y. 2025-2026 ]]*8</f>
        <v>1352</v>
      </c>
      <c r="K13" s="10"/>
      <c r="L13" s="8"/>
      <c r="M13" s="10"/>
      <c r="N13" s="10">
        <f t="shared" si="8"/>
        <v>1352</v>
      </c>
      <c r="O13" s="10">
        <f t="shared" si="9"/>
        <v>0</v>
      </c>
      <c r="P13" s="10">
        <f>Table14[[#This Row],[Enrolment S.Y. 2025-2026 ]]*8</f>
        <v>1352</v>
      </c>
      <c r="Q13" s="10"/>
      <c r="R13" s="8"/>
      <c r="S13" s="10"/>
      <c r="T13" s="10">
        <f t="shared" si="10"/>
        <v>1352</v>
      </c>
      <c r="U13" s="10">
        <f t="shared" si="11"/>
        <v>0</v>
      </c>
      <c r="V13" s="10">
        <f>Table14[[#This Row],[Enrolment S.Y. 2025-2026 ]]*8</f>
        <v>1352</v>
      </c>
      <c r="W13" s="10"/>
      <c r="X13" s="8"/>
      <c r="Y13" s="10"/>
      <c r="Z13" s="10">
        <f t="shared" si="12"/>
        <v>1352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172</v>
      </c>
      <c r="D15" s="10">
        <f>Table14[[#This Row],[Enrolment S.Y. 2025-2026 ]]*8</f>
        <v>1376</v>
      </c>
      <c r="E15" s="10"/>
      <c r="F15" s="8"/>
      <c r="G15" s="10"/>
      <c r="H15" s="10">
        <f t="shared" si="0"/>
        <v>1376</v>
      </c>
      <c r="I15" s="10">
        <f t="shared" si="1"/>
        <v>0</v>
      </c>
      <c r="J15" s="10">
        <f>Table14[[#This Row],[Enrolment S.Y. 2025-2026 ]]*8</f>
        <v>1376</v>
      </c>
      <c r="K15" s="10"/>
      <c r="L15" s="8"/>
      <c r="M15" s="10"/>
      <c r="N15" s="10">
        <f t="shared" ref="N10:N58" si="14">IF((J15-K15)&lt;0,0,(J15-K15))</f>
        <v>1376</v>
      </c>
      <c r="O15" s="10">
        <f t="shared" ref="O10:O58" si="15">IF((K15-J15)&lt;0,0,(K15-J15))</f>
        <v>0</v>
      </c>
      <c r="P15" s="10">
        <f>Table14[[#This Row],[Enrolment S.Y. 2025-2026 ]]*8</f>
        <v>1376</v>
      </c>
      <c r="Q15" s="10"/>
      <c r="R15" s="8"/>
      <c r="S15" s="10"/>
      <c r="T15" s="10">
        <f t="shared" si="10"/>
        <v>1376</v>
      </c>
      <c r="U15" s="10">
        <f t="shared" si="11"/>
        <v>0</v>
      </c>
      <c r="V15" s="10">
        <f>Table14[[#This Row],[Enrolment S.Y. 2025-2026 ]]*8</f>
        <v>1376</v>
      </c>
      <c r="W15" s="10"/>
      <c r="X15" s="8"/>
      <c r="Y15" s="10"/>
      <c r="Z15" s="10">
        <f t="shared" si="12"/>
        <v>1376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172</v>
      </c>
      <c r="D16" s="10">
        <f>Table14[[#This Row],[Enrolment S.Y. 2025-2026 ]]*8</f>
        <v>1376</v>
      </c>
      <c r="E16" s="10"/>
      <c r="F16" s="8"/>
      <c r="G16" s="10"/>
      <c r="H16" s="10">
        <f t="shared" si="0"/>
        <v>1376</v>
      </c>
      <c r="I16" s="10">
        <f t="shared" si="1"/>
        <v>0</v>
      </c>
      <c r="J16" s="10">
        <f>Table14[[#This Row],[Enrolment S.Y. 2025-2026 ]]*8</f>
        <v>1376</v>
      </c>
      <c r="K16" s="10"/>
      <c r="L16" s="8"/>
      <c r="M16" s="10"/>
      <c r="N16" s="10">
        <f t="shared" si="14"/>
        <v>1376</v>
      </c>
      <c r="O16" s="10">
        <f t="shared" si="15"/>
        <v>0</v>
      </c>
      <c r="P16" s="10">
        <f>Table14[[#This Row],[Enrolment S.Y. 2025-2026 ]]*8</f>
        <v>1376</v>
      </c>
      <c r="Q16" s="10"/>
      <c r="R16" s="8"/>
      <c r="S16" s="10"/>
      <c r="T16" s="10">
        <f t="shared" si="10"/>
        <v>1376</v>
      </c>
      <c r="U16" s="10">
        <f t="shared" si="11"/>
        <v>0</v>
      </c>
      <c r="V16" s="10">
        <f>Table14[[#This Row],[Enrolment S.Y. 2025-2026 ]]*8</f>
        <v>1376</v>
      </c>
      <c r="W16" s="10"/>
      <c r="X16" s="8"/>
      <c r="Y16" s="10"/>
      <c r="Z16" s="10">
        <f t="shared" si="12"/>
        <v>1376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172</v>
      </c>
      <c r="D17" s="10">
        <f>Table14[[#This Row],[Enrolment S.Y. 2025-2026 ]]*8</f>
        <v>1376</v>
      </c>
      <c r="E17" s="10"/>
      <c r="F17" s="8"/>
      <c r="G17" s="10"/>
      <c r="H17" s="10">
        <f t="shared" si="0"/>
        <v>1376</v>
      </c>
      <c r="I17" s="10">
        <f t="shared" si="1"/>
        <v>0</v>
      </c>
      <c r="J17" s="10">
        <f>Table14[[#This Row],[Enrolment S.Y. 2025-2026 ]]*8</f>
        <v>1376</v>
      </c>
      <c r="K17" s="10"/>
      <c r="L17" s="8"/>
      <c r="M17" s="10"/>
      <c r="N17" s="10">
        <f t="shared" si="14"/>
        <v>1376</v>
      </c>
      <c r="O17" s="10">
        <f t="shared" si="15"/>
        <v>0</v>
      </c>
      <c r="P17" s="10">
        <f>Table14[[#This Row],[Enrolment S.Y. 2025-2026 ]]*8</f>
        <v>1376</v>
      </c>
      <c r="Q17" s="10"/>
      <c r="R17" s="8"/>
      <c r="S17" s="10"/>
      <c r="T17" s="10">
        <f t="shared" si="10"/>
        <v>1376</v>
      </c>
      <c r="U17" s="10">
        <f t="shared" si="11"/>
        <v>0</v>
      </c>
      <c r="V17" s="10">
        <f>Table14[[#This Row],[Enrolment S.Y. 2025-2026 ]]*8</f>
        <v>1376</v>
      </c>
      <c r="W17" s="10"/>
      <c r="X17" s="8"/>
      <c r="Y17" s="10"/>
      <c r="Z17" s="10">
        <f t="shared" si="12"/>
        <v>1376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172</v>
      </c>
      <c r="D18" s="10">
        <f>Table14[[#This Row],[Enrolment S.Y. 2025-2026 ]]*8</f>
        <v>1376</v>
      </c>
      <c r="E18" s="10"/>
      <c r="F18" s="8"/>
      <c r="G18" s="10"/>
      <c r="H18" s="10">
        <f t="shared" si="0"/>
        <v>1376</v>
      </c>
      <c r="I18" s="10">
        <f t="shared" si="1"/>
        <v>0</v>
      </c>
      <c r="J18" s="10">
        <f>Table14[[#This Row],[Enrolment S.Y. 2025-2026 ]]*8</f>
        <v>1376</v>
      </c>
      <c r="K18" s="10"/>
      <c r="L18" s="8"/>
      <c r="M18" s="10"/>
      <c r="N18" s="10">
        <f t="shared" si="14"/>
        <v>1376</v>
      </c>
      <c r="O18" s="10">
        <f t="shared" si="15"/>
        <v>0</v>
      </c>
      <c r="P18" s="10">
        <f>Table14[[#This Row],[Enrolment S.Y. 2025-2026 ]]*8</f>
        <v>1376</v>
      </c>
      <c r="Q18" s="10"/>
      <c r="R18" s="8"/>
      <c r="S18" s="10"/>
      <c r="T18" s="10">
        <f t="shared" si="10"/>
        <v>1376</v>
      </c>
      <c r="U18" s="10">
        <f t="shared" si="11"/>
        <v>0</v>
      </c>
      <c r="V18" s="10">
        <f>Table14[[#This Row],[Enrolment S.Y. 2025-2026 ]]*8</f>
        <v>1376</v>
      </c>
      <c r="W18" s="10"/>
      <c r="X18" s="8"/>
      <c r="Y18" s="10"/>
      <c r="Z18" s="10">
        <f t="shared" si="12"/>
        <v>1376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172</v>
      </c>
      <c r="D19" s="10">
        <f>Table14[[#This Row],[Enrolment S.Y. 2025-2026 ]]*8</f>
        <v>1376</v>
      </c>
      <c r="E19" s="10"/>
      <c r="F19" s="8"/>
      <c r="G19" s="10"/>
      <c r="H19" s="10">
        <f t="shared" si="0"/>
        <v>1376</v>
      </c>
      <c r="I19" s="10">
        <f t="shared" si="1"/>
        <v>0</v>
      </c>
      <c r="J19" s="10">
        <f>Table14[[#This Row],[Enrolment S.Y. 2025-2026 ]]*8</f>
        <v>1376</v>
      </c>
      <c r="K19" s="10"/>
      <c r="L19" s="8"/>
      <c r="M19" s="10"/>
      <c r="N19" s="10">
        <f t="shared" si="14"/>
        <v>1376</v>
      </c>
      <c r="O19" s="10">
        <f t="shared" si="15"/>
        <v>0</v>
      </c>
      <c r="P19" s="10">
        <f>Table14[[#This Row],[Enrolment S.Y. 2025-2026 ]]*8</f>
        <v>1376</v>
      </c>
      <c r="Q19" s="10"/>
      <c r="R19" s="8"/>
      <c r="S19" s="10"/>
      <c r="T19" s="10">
        <f t="shared" si="10"/>
        <v>1376</v>
      </c>
      <c r="U19" s="10">
        <f t="shared" si="11"/>
        <v>0</v>
      </c>
      <c r="V19" s="10">
        <f>Table14[[#This Row],[Enrolment S.Y. 2025-2026 ]]*8</f>
        <v>1376</v>
      </c>
      <c r="W19" s="10"/>
      <c r="X19" s="8"/>
      <c r="Y19" s="10"/>
      <c r="Z19" s="10">
        <f t="shared" si="12"/>
        <v>1376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172</v>
      </c>
      <c r="D20" s="10">
        <f>Table14[[#This Row],[Enrolment S.Y. 2025-2026 ]]*8</f>
        <v>1376</v>
      </c>
      <c r="E20" s="10"/>
      <c r="F20" s="8"/>
      <c r="G20" s="10"/>
      <c r="H20" s="10">
        <f t="shared" ref="H20:H58" si="16">IF((D20-E20)&lt;0,0,(D20-E20))</f>
        <v>1376</v>
      </c>
      <c r="I20" s="10">
        <f t="shared" ref="I20:I58" si="17">IF((E20-D20)&lt;0,0,(E20-D20))</f>
        <v>0</v>
      </c>
      <c r="J20" s="10">
        <f>Table14[[#This Row],[Enrolment S.Y. 2025-2026 ]]*8</f>
        <v>1376</v>
      </c>
      <c r="K20" s="10"/>
      <c r="L20" s="8"/>
      <c r="M20" s="10"/>
      <c r="N20" s="10">
        <f t="shared" ref="N20:N25" si="18">IF((J20-K20)&lt;0,0,(J20-K20))</f>
        <v>1376</v>
      </c>
      <c r="O20" s="10">
        <f t="shared" ref="O20:O25" si="19">IF((K20-J20)&lt;0,0,(K20-J20))</f>
        <v>0</v>
      </c>
      <c r="P20" s="10">
        <f>Table14[[#This Row],[Enrolment S.Y. 2025-2026 ]]*8</f>
        <v>1376</v>
      </c>
      <c r="Q20" s="10"/>
      <c r="R20" s="8"/>
      <c r="S20" s="10"/>
      <c r="T20" s="10">
        <f t="shared" si="10"/>
        <v>1376</v>
      </c>
      <c r="U20" s="10">
        <f t="shared" si="11"/>
        <v>0</v>
      </c>
      <c r="V20" s="10">
        <f>Table14[[#This Row],[Enrolment S.Y. 2025-2026 ]]*8</f>
        <v>1376</v>
      </c>
      <c r="W20" s="10"/>
      <c r="X20" s="8"/>
      <c r="Y20" s="10"/>
      <c r="Z20" s="10">
        <f t="shared" si="12"/>
        <v>1376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172</v>
      </c>
      <c r="D21" s="10">
        <f>Table14[[#This Row],[Enrolment S.Y. 2025-2026 ]]*8</f>
        <v>1376</v>
      </c>
      <c r="E21" s="10"/>
      <c r="F21" s="8"/>
      <c r="G21" s="10"/>
      <c r="H21" s="10">
        <f>IF((D21-E21)&lt;0,0,(D21-E21))</f>
        <v>1376</v>
      </c>
      <c r="I21" s="10">
        <f>IF((E21-D21)&lt;0,0,(E21-D21))</f>
        <v>0</v>
      </c>
      <c r="J21" s="10">
        <f>Table14[[#This Row],[Enrolment S.Y. 2025-2026 ]]*8</f>
        <v>1376</v>
      </c>
      <c r="K21" s="10"/>
      <c r="L21" s="8"/>
      <c r="M21" s="10"/>
      <c r="N21" s="10">
        <f t="shared" si="18"/>
        <v>1376</v>
      </c>
      <c r="O21" s="10">
        <f t="shared" si="19"/>
        <v>0</v>
      </c>
      <c r="P21" s="10">
        <f>Table14[[#This Row],[Enrolment S.Y. 2025-2026 ]]*8</f>
        <v>1376</v>
      </c>
      <c r="Q21" s="10"/>
      <c r="R21" s="8"/>
      <c r="S21" s="10"/>
      <c r="T21" s="10">
        <f>IF((P21-Q21)&lt;0,0,(P21-Q21))</f>
        <v>1376</v>
      </c>
      <c r="U21" s="10">
        <f>IF((Q21-P21)&lt;0,0,(Q21-P21))</f>
        <v>0</v>
      </c>
      <c r="V21" s="10">
        <f>Table14[[#This Row],[Enrolment S.Y. 2025-2026 ]]*8</f>
        <v>1376</v>
      </c>
      <c r="W21" s="10"/>
      <c r="X21" s="8"/>
      <c r="Y21" s="10"/>
      <c r="Z21" s="10">
        <f>IF((V21-W21)&lt;0,0,(V21-W21))</f>
        <v>1376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172</v>
      </c>
      <c r="D22" s="10">
        <f>Table14[[#This Row],[Enrolment S.Y. 2025-2026 ]]*8</f>
        <v>1376</v>
      </c>
      <c r="E22" s="10"/>
      <c r="F22" s="8"/>
      <c r="G22" s="10"/>
      <c r="H22" s="10">
        <f t="shared" si="16"/>
        <v>1376</v>
      </c>
      <c r="I22" s="10">
        <f t="shared" si="17"/>
        <v>0</v>
      </c>
      <c r="J22" s="10">
        <f>Table14[[#This Row],[Enrolment S.Y. 2025-2026 ]]*8</f>
        <v>1376</v>
      </c>
      <c r="K22" s="10"/>
      <c r="L22" s="8"/>
      <c r="M22" s="10"/>
      <c r="N22" s="10">
        <f t="shared" si="18"/>
        <v>1376</v>
      </c>
      <c r="O22" s="10">
        <f t="shared" si="19"/>
        <v>0</v>
      </c>
      <c r="P22" s="10">
        <f>Table14[[#This Row],[Enrolment S.Y. 2025-2026 ]]*8</f>
        <v>1376</v>
      </c>
      <c r="Q22" s="10"/>
      <c r="R22" s="8"/>
      <c r="S22" s="10"/>
      <c r="T22" s="10">
        <f t="shared" si="10"/>
        <v>1376</v>
      </c>
      <c r="U22" s="10">
        <f t="shared" si="11"/>
        <v>0</v>
      </c>
      <c r="V22" s="10">
        <f>Table14[[#This Row],[Enrolment S.Y. 2025-2026 ]]*8</f>
        <v>1376</v>
      </c>
      <c r="W22" s="10"/>
      <c r="X22" s="8"/>
      <c r="Y22" s="10"/>
      <c r="Z22" s="10">
        <f t="shared" si="12"/>
        <v>1376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172</v>
      </c>
      <c r="D23" s="10">
        <f>Table14[[#This Row],[Enrolment S.Y. 2025-2026 ]]*8</f>
        <v>1376</v>
      </c>
      <c r="E23" s="10"/>
      <c r="F23" s="8"/>
      <c r="G23" s="10"/>
      <c r="H23" s="10">
        <f t="shared" si="16"/>
        <v>1376</v>
      </c>
      <c r="I23" s="10">
        <f t="shared" si="17"/>
        <v>0</v>
      </c>
      <c r="J23" s="10">
        <f>Table14[[#This Row],[Enrolment S.Y. 2025-2026 ]]*8</f>
        <v>1376</v>
      </c>
      <c r="K23" s="10"/>
      <c r="L23" s="8"/>
      <c r="M23" s="10"/>
      <c r="N23" s="10">
        <f t="shared" si="18"/>
        <v>1376</v>
      </c>
      <c r="O23" s="10">
        <f t="shared" si="19"/>
        <v>0</v>
      </c>
      <c r="P23" s="10">
        <f>Table14[[#This Row],[Enrolment S.Y. 2025-2026 ]]*8</f>
        <v>1376</v>
      </c>
      <c r="Q23" s="10"/>
      <c r="R23" s="8"/>
      <c r="S23" s="10"/>
      <c r="T23" s="10">
        <f t="shared" si="10"/>
        <v>1376</v>
      </c>
      <c r="U23" s="10">
        <f t="shared" si="11"/>
        <v>0</v>
      </c>
      <c r="V23" s="10">
        <f>Table14[[#This Row],[Enrolment S.Y. 2025-2026 ]]*8</f>
        <v>1376</v>
      </c>
      <c r="W23" s="10"/>
      <c r="X23" s="8"/>
      <c r="Y23" s="10"/>
      <c r="Z23" s="10">
        <f t="shared" si="12"/>
        <v>1376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172</v>
      </c>
      <c r="D24" s="10">
        <f>Table14[[#This Row],[Enrolment S.Y. 2025-2026 ]]*8</f>
        <v>1376</v>
      </c>
      <c r="E24" s="10"/>
      <c r="F24" s="8"/>
      <c r="G24" s="10"/>
      <c r="H24" s="10">
        <f>IF((D24-E24)&lt;0,0,(D24-E24))</f>
        <v>1376</v>
      </c>
      <c r="I24" s="10">
        <f>IF((E24-D24)&lt;0,0,(E24-D24))</f>
        <v>0</v>
      </c>
      <c r="J24" s="10">
        <f>Table14[[#This Row],[Enrolment S.Y. 2025-2026 ]]*8</f>
        <v>1376</v>
      </c>
      <c r="K24" s="10"/>
      <c r="L24" s="8"/>
      <c r="M24" s="10"/>
      <c r="N24" s="10">
        <f t="shared" si="18"/>
        <v>1376</v>
      </c>
      <c r="O24" s="10">
        <f t="shared" si="19"/>
        <v>0</v>
      </c>
      <c r="P24" s="10">
        <f>Table14[[#This Row],[Enrolment S.Y. 2025-2026 ]]*8</f>
        <v>1376</v>
      </c>
      <c r="Q24" s="10"/>
      <c r="R24" s="8"/>
      <c r="S24" s="10"/>
      <c r="T24" s="10">
        <f>IF((P24-Q24)&lt;0,0,(P24-Q24))</f>
        <v>1376</v>
      </c>
      <c r="U24" s="10">
        <f>IF((Q24-P24)&lt;0,0,(Q24-P24))</f>
        <v>0</v>
      </c>
      <c r="V24" s="10">
        <f>Table14[[#This Row],[Enrolment S.Y. 2025-2026 ]]*8</f>
        <v>1376</v>
      </c>
      <c r="W24" s="10"/>
      <c r="X24" s="8"/>
      <c r="Y24" s="10"/>
      <c r="Z24" s="10">
        <f>IF((V24-W24)&lt;0,0,(V24-W24))</f>
        <v>1376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172</v>
      </c>
      <c r="D25" s="10">
        <f>Table14[[#This Row],[Enrolment S.Y. 2025-2026 ]]*8</f>
        <v>1376</v>
      </c>
      <c r="E25" s="10"/>
      <c r="F25" s="8"/>
      <c r="G25" s="10"/>
      <c r="H25" s="10">
        <f t="shared" si="16"/>
        <v>1376</v>
      </c>
      <c r="I25" s="10">
        <f t="shared" si="17"/>
        <v>0</v>
      </c>
      <c r="J25" s="10">
        <f>Table14[[#This Row],[Enrolment S.Y. 2025-2026 ]]*8</f>
        <v>1376</v>
      </c>
      <c r="K25" s="10"/>
      <c r="L25" s="8"/>
      <c r="M25" s="10"/>
      <c r="N25" s="10">
        <f t="shared" si="18"/>
        <v>1376</v>
      </c>
      <c r="O25" s="10">
        <f t="shared" si="19"/>
        <v>0</v>
      </c>
      <c r="P25" s="10">
        <f>Table14[[#This Row],[Enrolment S.Y. 2025-2026 ]]*8</f>
        <v>1376</v>
      </c>
      <c r="Q25" s="10"/>
      <c r="R25" s="8"/>
      <c r="S25" s="10"/>
      <c r="T25" s="10">
        <f t="shared" si="10"/>
        <v>1376</v>
      </c>
      <c r="U25" s="10">
        <f t="shared" si="11"/>
        <v>0</v>
      </c>
      <c r="V25" s="10">
        <f>Table14[[#This Row],[Enrolment S.Y. 2025-2026 ]]*8</f>
        <v>1376</v>
      </c>
      <c r="W25" s="10"/>
      <c r="X25" s="8"/>
      <c r="Y25" s="10"/>
      <c r="Z25" s="10">
        <f t="shared" si="12"/>
        <v>1376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141</v>
      </c>
      <c r="D27" s="10">
        <f>Table14[[#This Row],[Enrolment S.Y. 2025-2026 ]]*8</f>
        <v>1128</v>
      </c>
      <c r="E27" s="10"/>
      <c r="F27" s="8"/>
      <c r="G27" s="10"/>
      <c r="H27" s="10">
        <f t="shared" si="16"/>
        <v>1128</v>
      </c>
      <c r="I27" s="10">
        <f t="shared" si="17"/>
        <v>0</v>
      </c>
      <c r="J27" s="10">
        <f>Table14[[#This Row],[Enrolment S.Y. 2025-2026 ]]*8</f>
        <v>1128</v>
      </c>
      <c r="K27" s="10"/>
      <c r="L27" s="8"/>
      <c r="M27" s="10"/>
      <c r="N27" s="10">
        <f t="shared" si="14"/>
        <v>1128</v>
      </c>
      <c r="O27" s="10">
        <f t="shared" si="15"/>
        <v>0</v>
      </c>
      <c r="P27" s="10">
        <f>Table14[[#This Row],[Enrolment S.Y. 2025-2026 ]]*8</f>
        <v>1128</v>
      </c>
      <c r="Q27" s="10"/>
      <c r="R27" s="8"/>
      <c r="S27" s="10"/>
      <c r="T27" s="10">
        <f t="shared" si="10"/>
        <v>1128</v>
      </c>
      <c r="U27" s="10">
        <f t="shared" si="11"/>
        <v>0</v>
      </c>
      <c r="V27" s="10">
        <f>Table14[[#This Row],[Enrolment S.Y. 2025-2026 ]]*8</f>
        <v>1128</v>
      </c>
      <c r="W27" s="10">
        <v>700</v>
      </c>
      <c r="X27" s="8">
        <v>2025</v>
      </c>
      <c r="Y27" s="10"/>
      <c r="Z27" s="10">
        <f t="shared" si="12"/>
        <v>428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141</v>
      </c>
      <c r="D28" s="10">
        <f>Table14[[#This Row],[Enrolment S.Y. 2025-2026 ]]*8</f>
        <v>1128</v>
      </c>
      <c r="E28" s="10"/>
      <c r="F28" s="8"/>
      <c r="G28" s="10"/>
      <c r="H28" s="10">
        <f t="shared" si="16"/>
        <v>1128</v>
      </c>
      <c r="I28" s="10">
        <f t="shared" si="17"/>
        <v>0</v>
      </c>
      <c r="J28" s="10">
        <f>Table14[[#This Row],[Enrolment S.Y. 2025-2026 ]]*8</f>
        <v>1128</v>
      </c>
      <c r="K28" s="10">
        <v>700</v>
      </c>
      <c r="L28" s="8">
        <v>2025</v>
      </c>
      <c r="M28" s="10" t="s">
        <v>56</v>
      </c>
      <c r="N28" s="10">
        <f t="shared" si="14"/>
        <v>428</v>
      </c>
      <c r="O28" s="10">
        <f t="shared" si="15"/>
        <v>0</v>
      </c>
      <c r="P28" s="10">
        <f>Table14[[#This Row],[Enrolment S.Y. 2025-2026 ]]*8</f>
        <v>1128</v>
      </c>
      <c r="Q28" s="10">
        <v>350</v>
      </c>
      <c r="R28" s="8">
        <v>2025</v>
      </c>
      <c r="S28" s="10"/>
      <c r="T28" s="10">
        <f t="shared" si="10"/>
        <v>778</v>
      </c>
      <c r="U28" s="10">
        <f t="shared" si="11"/>
        <v>0</v>
      </c>
      <c r="V28" s="10">
        <f>Table14[[#This Row],[Enrolment S.Y. 2025-2026 ]]*8</f>
        <v>1128</v>
      </c>
      <c r="W28" s="10">
        <v>350</v>
      </c>
      <c r="X28" s="8">
        <v>2025</v>
      </c>
      <c r="Y28" s="10"/>
      <c r="Z28" s="10">
        <f t="shared" si="12"/>
        <v>778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141</v>
      </c>
      <c r="D29" s="10">
        <f>Table14[[#This Row],[Enrolment S.Y. 2025-2026 ]]*8</f>
        <v>1128</v>
      </c>
      <c r="E29" s="10"/>
      <c r="F29" s="8"/>
      <c r="G29" s="10"/>
      <c r="H29" s="10">
        <f t="shared" si="16"/>
        <v>1128</v>
      </c>
      <c r="I29" s="10">
        <f t="shared" si="17"/>
        <v>0</v>
      </c>
      <c r="J29" s="10">
        <f>Table14[[#This Row],[Enrolment S.Y. 2025-2026 ]]*8</f>
        <v>1128</v>
      </c>
      <c r="K29" s="10">
        <v>1000</v>
      </c>
      <c r="L29" s="8">
        <v>2025</v>
      </c>
      <c r="M29" s="10" t="s">
        <v>56</v>
      </c>
      <c r="N29" s="10">
        <f t="shared" si="14"/>
        <v>128</v>
      </c>
      <c r="O29" s="10">
        <f t="shared" si="15"/>
        <v>0</v>
      </c>
      <c r="P29" s="10">
        <f>Table14[[#This Row],[Enrolment S.Y. 2025-2026 ]]*8</f>
        <v>1128</v>
      </c>
      <c r="Q29" s="10">
        <v>800</v>
      </c>
      <c r="R29" s="8">
        <v>2025</v>
      </c>
      <c r="S29" s="10"/>
      <c r="T29" s="10">
        <f t="shared" si="10"/>
        <v>328</v>
      </c>
      <c r="U29" s="10">
        <f t="shared" si="11"/>
        <v>0</v>
      </c>
      <c r="V29" s="10">
        <f>Table14[[#This Row],[Enrolment S.Y. 2025-2026 ]]*8</f>
        <v>1128</v>
      </c>
      <c r="W29" s="10">
        <v>450</v>
      </c>
      <c r="X29" s="8">
        <v>2025</v>
      </c>
      <c r="Y29" s="10"/>
      <c r="Z29" s="10">
        <f t="shared" si="12"/>
        <v>678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141</v>
      </c>
      <c r="D30" s="10">
        <f>Table14[[#This Row],[Enrolment S.Y. 2025-2026 ]]*8</f>
        <v>1128</v>
      </c>
      <c r="E30" s="10"/>
      <c r="F30" s="8"/>
      <c r="G30" s="10"/>
      <c r="H30" s="10">
        <f t="shared" si="16"/>
        <v>1128</v>
      </c>
      <c r="I30" s="10">
        <f t="shared" si="17"/>
        <v>0</v>
      </c>
      <c r="J30" s="10">
        <f>Table14[[#This Row],[Enrolment S.Y. 2025-2026 ]]*8</f>
        <v>1128</v>
      </c>
      <c r="K30" s="10"/>
      <c r="L30" s="8"/>
      <c r="M30" s="10"/>
      <c r="N30" s="10">
        <f t="shared" si="14"/>
        <v>1128</v>
      </c>
      <c r="O30" s="10">
        <f t="shared" si="15"/>
        <v>0</v>
      </c>
      <c r="P30" s="10">
        <f>Table14[[#This Row],[Enrolment S.Y. 2025-2026 ]]*8</f>
        <v>1128</v>
      </c>
      <c r="Q30" s="10">
        <v>250</v>
      </c>
      <c r="R30" s="8">
        <v>2025</v>
      </c>
      <c r="S30" s="10"/>
      <c r="T30" s="10">
        <f t="shared" si="10"/>
        <v>878</v>
      </c>
      <c r="U30" s="10">
        <f t="shared" si="11"/>
        <v>0</v>
      </c>
      <c r="V30" s="10">
        <f>Table14[[#This Row],[Enrolment S.Y. 2025-2026 ]]*8</f>
        <v>1128</v>
      </c>
      <c r="W30" s="10">
        <v>400</v>
      </c>
      <c r="X30" s="8">
        <v>2025</v>
      </c>
      <c r="Y30" s="10"/>
      <c r="Z30" s="10">
        <f t="shared" si="12"/>
        <v>728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141</v>
      </c>
      <c r="D31" s="10">
        <f>Table14[[#This Row],[Enrolment S.Y. 2025-2026 ]]*8</f>
        <v>1128</v>
      </c>
      <c r="E31" s="10"/>
      <c r="F31" s="8"/>
      <c r="G31" s="10"/>
      <c r="H31" s="10">
        <f t="shared" si="16"/>
        <v>1128</v>
      </c>
      <c r="I31" s="10">
        <f t="shared" si="17"/>
        <v>0</v>
      </c>
      <c r="J31" s="10">
        <f>Table14[[#This Row],[Enrolment S.Y. 2025-2026 ]]*8</f>
        <v>1128</v>
      </c>
      <c r="K31" s="10"/>
      <c r="L31" s="8"/>
      <c r="M31" s="10"/>
      <c r="N31" s="10">
        <f t="shared" si="14"/>
        <v>1128</v>
      </c>
      <c r="O31" s="10">
        <f t="shared" si="15"/>
        <v>0</v>
      </c>
      <c r="P31" s="10">
        <f>Table14[[#This Row],[Enrolment S.Y. 2025-2026 ]]*8</f>
        <v>1128</v>
      </c>
      <c r="Q31" s="10">
        <v>350</v>
      </c>
      <c r="R31" s="8">
        <v>2025</v>
      </c>
      <c r="S31" s="10"/>
      <c r="T31" s="10">
        <f t="shared" si="10"/>
        <v>778</v>
      </c>
      <c r="U31" s="10">
        <f t="shared" si="11"/>
        <v>0</v>
      </c>
      <c r="V31" s="10">
        <f>Table14[[#This Row],[Enrolment S.Y. 2025-2026 ]]*8</f>
        <v>1128</v>
      </c>
      <c r="W31" s="10">
        <v>200</v>
      </c>
      <c r="X31" s="8">
        <v>2025</v>
      </c>
      <c r="Y31" s="10"/>
      <c r="Z31" s="10">
        <f t="shared" si="12"/>
        <v>928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141</v>
      </c>
      <c r="D32" s="10">
        <f>Table14[[#This Row],[Enrolment S.Y. 2025-2026 ]]*8</f>
        <v>1128</v>
      </c>
      <c r="E32" s="10"/>
      <c r="F32" s="8"/>
      <c r="G32" s="10"/>
      <c r="H32" s="10">
        <f t="shared" si="16"/>
        <v>1128</v>
      </c>
      <c r="I32" s="10">
        <f t="shared" si="17"/>
        <v>0</v>
      </c>
      <c r="J32" s="10">
        <f>Table14[[#This Row],[Enrolment S.Y. 2025-2026 ]]*8</f>
        <v>1128</v>
      </c>
      <c r="K32" s="10"/>
      <c r="L32" s="8"/>
      <c r="M32" s="10"/>
      <c r="N32" s="10">
        <f t="shared" si="14"/>
        <v>1128</v>
      </c>
      <c r="O32" s="10">
        <f t="shared" si="15"/>
        <v>0</v>
      </c>
      <c r="P32" s="10">
        <f>Table14[[#This Row],[Enrolment S.Y. 2025-2026 ]]*8</f>
        <v>1128</v>
      </c>
      <c r="Q32" s="10">
        <v>350</v>
      </c>
      <c r="R32" s="8">
        <v>2025</v>
      </c>
      <c r="S32" s="10"/>
      <c r="T32" s="10">
        <f t="shared" si="10"/>
        <v>778</v>
      </c>
      <c r="U32" s="10">
        <f t="shared" si="11"/>
        <v>0</v>
      </c>
      <c r="V32" s="10">
        <f>Table14[[#This Row],[Enrolment S.Y. 2025-2026 ]]*8</f>
        <v>1128</v>
      </c>
      <c r="W32" s="10">
        <v>500</v>
      </c>
      <c r="X32" s="8">
        <v>2025</v>
      </c>
      <c r="Y32" s="10"/>
      <c r="Z32" s="10">
        <f t="shared" si="12"/>
        <v>628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141</v>
      </c>
      <c r="D33" s="10">
        <f>Table14[[#This Row],[Enrolment S.Y. 2025-2026 ]]*8</f>
        <v>1128</v>
      </c>
      <c r="E33" s="10"/>
      <c r="F33" s="8"/>
      <c r="G33" s="10"/>
      <c r="H33" s="10">
        <f>IF((D33-E33)&lt;0,0,(D33-E33))</f>
        <v>1128</v>
      </c>
      <c r="I33" s="10">
        <f>IF((E33-D33)&lt;0,0,(E33-D33))</f>
        <v>0</v>
      </c>
      <c r="J33" s="10">
        <f>Table14[[#This Row],[Enrolment S.Y. 2025-2026 ]]*8</f>
        <v>1128</v>
      </c>
      <c r="K33" s="10"/>
      <c r="L33" s="8"/>
      <c r="M33" s="10"/>
      <c r="N33" s="10">
        <f t="shared" ref="N33:N37" si="20">IF((J33-K33)&lt;0,0,(J33-K33))</f>
        <v>1128</v>
      </c>
      <c r="O33" s="10">
        <f t="shared" ref="O33:O37" si="21">IF((K33-J33)&lt;0,0,(K33-J33))</f>
        <v>0</v>
      </c>
      <c r="P33" s="10">
        <f>Table14[[#This Row],[Enrolment S.Y. 2025-2026 ]]*8</f>
        <v>1128</v>
      </c>
      <c r="Q33" s="10"/>
      <c r="R33" s="8"/>
      <c r="S33" s="10"/>
      <c r="T33" s="10">
        <f>IF((P33-Q33)&lt;0,0,(P33-Q33))</f>
        <v>1128</v>
      </c>
      <c r="U33" s="10">
        <f>IF((Q33-P33)&lt;0,0,(Q33-P33))</f>
        <v>0</v>
      </c>
      <c r="V33" s="10">
        <f>Table14[[#This Row],[Enrolment S.Y. 2025-2026 ]]*8</f>
        <v>1128</v>
      </c>
      <c r="W33" s="10">
        <v>400</v>
      </c>
      <c r="X33" s="8">
        <v>2025</v>
      </c>
      <c r="Y33" s="10"/>
      <c r="Z33" s="10">
        <f>IF((V33-W33)&lt;0,0,(V33-W33))</f>
        <v>728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141</v>
      </c>
      <c r="D34" s="10">
        <f>Table14[[#This Row],[Enrolment S.Y. 2025-2026 ]]*8</f>
        <v>1128</v>
      </c>
      <c r="E34" s="10"/>
      <c r="F34" s="8"/>
      <c r="G34" s="10"/>
      <c r="H34" s="10">
        <f t="shared" si="16"/>
        <v>1128</v>
      </c>
      <c r="I34" s="10">
        <f t="shared" si="17"/>
        <v>0</v>
      </c>
      <c r="J34" s="10">
        <f>Table14[[#This Row],[Enrolment S.Y. 2025-2026 ]]*8</f>
        <v>1128</v>
      </c>
      <c r="K34" s="10"/>
      <c r="L34" s="8"/>
      <c r="M34" s="10"/>
      <c r="N34" s="10">
        <f t="shared" si="20"/>
        <v>1128</v>
      </c>
      <c r="O34" s="10">
        <f t="shared" si="21"/>
        <v>0</v>
      </c>
      <c r="P34" s="10">
        <f>Table14[[#This Row],[Enrolment S.Y. 2025-2026 ]]*8</f>
        <v>1128</v>
      </c>
      <c r="Q34" s="10"/>
      <c r="R34" s="8"/>
      <c r="S34" s="10"/>
      <c r="T34" s="10">
        <f t="shared" si="10"/>
        <v>1128</v>
      </c>
      <c r="U34" s="10">
        <f t="shared" si="11"/>
        <v>0</v>
      </c>
      <c r="V34" s="10">
        <f>Table14[[#This Row],[Enrolment S.Y. 2025-2026 ]]*8</f>
        <v>1128</v>
      </c>
      <c r="W34" s="10">
        <v>400</v>
      </c>
      <c r="X34" s="8">
        <v>2025</v>
      </c>
      <c r="Y34" s="10"/>
      <c r="Z34" s="10">
        <f t="shared" si="12"/>
        <v>728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141</v>
      </c>
      <c r="D35" s="10">
        <f>Table14[[#This Row],[Enrolment S.Y. 2025-2026 ]]*8</f>
        <v>1128</v>
      </c>
      <c r="E35" s="10"/>
      <c r="F35" s="8"/>
      <c r="G35" s="10"/>
      <c r="H35" s="10">
        <f t="shared" si="16"/>
        <v>1128</v>
      </c>
      <c r="I35" s="10">
        <f t="shared" si="17"/>
        <v>0</v>
      </c>
      <c r="J35" s="10">
        <f>Table14[[#This Row],[Enrolment S.Y. 2025-2026 ]]*8</f>
        <v>1128</v>
      </c>
      <c r="K35" s="10"/>
      <c r="L35" s="8"/>
      <c r="M35" s="10"/>
      <c r="N35" s="10">
        <f t="shared" si="20"/>
        <v>1128</v>
      </c>
      <c r="O35" s="10">
        <f t="shared" si="21"/>
        <v>0</v>
      </c>
      <c r="P35" s="10">
        <f>Table14[[#This Row],[Enrolment S.Y. 2025-2026 ]]*8</f>
        <v>1128</v>
      </c>
      <c r="Q35" s="10"/>
      <c r="R35" s="8"/>
      <c r="S35" s="10"/>
      <c r="T35" s="10">
        <f t="shared" si="10"/>
        <v>1128</v>
      </c>
      <c r="U35" s="10">
        <f t="shared" si="11"/>
        <v>0</v>
      </c>
      <c r="V35" s="10">
        <f>Table14[[#This Row],[Enrolment S.Y. 2025-2026 ]]*8</f>
        <v>1128</v>
      </c>
      <c r="W35" s="10"/>
      <c r="X35" s="8"/>
      <c r="Y35" s="10"/>
      <c r="Z35" s="10">
        <f t="shared" si="12"/>
        <v>1128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141</v>
      </c>
      <c r="D36" s="10">
        <f>Table14[[#This Row],[Enrolment S.Y. 2025-2026 ]]*8</f>
        <v>1128</v>
      </c>
      <c r="E36" s="10"/>
      <c r="F36" s="8"/>
      <c r="G36" s="10"/>
      <c r="H36" s="10">
        <f>IF((D36-E36)&lt;0,0,(D36-E36))</f>
        <v>1128</v>
      </c>
      <c r="I36" s="10">
        <f>IF((E36-D36)&lt;0,0,(E36-D36))</f>
        <v>0</v>
      </c>
      <c r="J36" s="10">
        <f>Table14[[#This Row],[Enrolment S.Y. 2025-2026 ]]*8</f>
        <v>1128</v>
      </c>
      <c r="K36" s="10"/>
      <c r="L36" s="8"/>
      <c r="M36" s="10"/>
      <c r="N36" s="10">
        <f t="shared" si="20"/>
        <v>1128</v>
      </c>
      <c r="O36" s="10">
        <f t="shared" si="21"/>
        <v>0</v>
      </c>
      <c r="P36" s="10">
        <f>Table14[[#This Row],[Enrolment S.Y. 2025-2026 ]]*8</f>
        <v>1128</v>
      </c>
      <c r="Q36" s="10">
        <v>350</v>
      </c>
      <c r="R36" s="8">
        <v>2025</v>
      </c>
      <c r="S36" s="10"/>
      <c r="T36" s="10">
        <f>IF((P36-Q36)&lt;0,0,(P36-Q36))</f>
        <v>778</v>
      </c>
      <c r="U36" s="10">
        <f>IF((Q36-P36)&lt;0,0,(Q36-P36))</f>
        <v>0</v>
      </c>
      <c r="V36" s="10">
        <f>Table14[[#This Row],[Enrolment S.Y. 2025-2026 ]]*8</f>
        <v>1128</v>
      </c>
      <c r="W36" s="10">
        <v>200</v>
      </c>
      <c r="X36" s="8">
        <v>2025</v>
      </c>
      <c r="Y36" s="10"/>
      <c r="Z36" s="10">
        <f>IF((V36-W36)&lt;0,0,(V36-W36))</f>
        <v>928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141</v>
      </c>
      <c r="D37" s="10">
        <f>Table14[[#This Row],[Enrolment S.Y. 2025-2026 ]]*8</f>
        <v>1128</v>
      </c>
      <c r="E37" s="10"/>
      <c r="F37" s="8"/>
      <c r="G37" s="10"/>
      <c r="H37" s="10">
        <f t="shared" si="16"/>
        <v>1128</v>
      </c>
      <c r="I37" s="10">
        <f t="shared" si="17"/>
        <v>0</v>
      </c>
      <c r="J37" s="10">
        <f>Table14[[#This Row],[Enrolment S.Y. 2025-2026 ]]*8</f>
        <v>1128</v>
      </c>
      <c r="K37" s="10"/>
      <c r="L37" s="8"/>
      <c r="M37" s="10"/>
      <c r="N37" s="10">
        <f t="shared" si="20"/>
        <v>1128</v>
      </c>
      <c r="O37" s="10">
        <f t="shared" si="21"/>
        <v>0</v>
      </c>
      <c r="P37" s="10">
        <f>Table14[[#This Row],[Enrolment S.Y. 2025-2026 ]]*8</f>
        <v>1128</v>
      </c>
      <c r="Q37" s="10">
        <v>150</v>
      </c>
      <c r="R37" s="8">
        <v>2025</v>
      </c>
      <c r="S37" s="10"/>
      <c r="T37" s="10">
        <f t="shared" si="10"/>
        <v>978</v>
      </c>
      <c r="U37" s="10">
        <f t="shared" si="11"/>
        <v>0</v>
      </c>
      <c r="V37" s="10">
        <f>Table14[[#This Row],[Enrolment S.Y. 2025-2026 ]]*8</f>
        <v>1128</v>
      </c>
      <c r="W37" s="10">
        <v>250</v>
      </c>
      <c r="X37" s="8">
        <v>2025</v>
      </c>
      <c r="Y37" s="10"/>
      <c r="Z37" s="10">
        <f t="shared" si="12"/>
        <v>878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145</v>
      </c>
      <c r="D39" s="10">
        <f>Table14[[#This Row],[Enrolment S.Y. 2025-2026 ]]*8</f>
        <v>1160</v>
      </c>
      <c r="E39" s="10"/>
      <c r="F39" s="8"/>
      <c r="G39" s="10"/>
      <c r="H39" s="10">
        <f t="shared" si="16"/>
        <v>1160</v>
      </c>
      <c r="I39" s="10">
        <f t="shared" si="17"/>
        <v>0</v>
      </c>
      <c r="J39" s="10">
        <f>Table14[[#This Row],[Enrolment S.Y. 2025-2026 ]]*8</f>
        <v>1160</v>
      </c>
      <c r="K39" s="10">
        <v>800</v>
      </c>
      <c r="L39" s="8">
        <v>2025</v>
      </c>
      <c r="M39" s="10" t="s">
        <v>56</v>
      </c>
      <c r="N39" s="10">
        <f t="shared" si="14"/>
        <v>360</v>
      </c>
      <c r="O39" s="10">
        <f t="shared" si="15"/>
        <v>0</v>
      </c>
      <c r="P39" s="10">
        <f>Table14[[#This Row],[Enrolment S.Y. 2025-2026 ]]*8</f>
        <v>1160</v>
      </c>
      <c r="Q39" s="10"/>
      <c r="R39" s="8"/>
      <c r="S39" s="10"/>
      <c r="T39" s="10">
        <f t="shared" si="10"/>
        <v>1160</v>
      </c>
      <c r="U39" s="10">
        <f t="shared" si="11"/>
        <v>0</v>
      </c>
      <c r="V39" s="10">
        <f>Table14[[#This Row],[Enrolment S.Y. 2025-2026 ]]*8</f>
        <v>1160</v>
      </c>
      <c r="W39" s="10">
        <v>150</v>
      </c>
      <c r="X39" s="8">
        <v>2025</v>
      </c>
      <c r="Y39" s="10"/>
      <c r="Z39" s="10">
        <f t="shared" si="12"/>
        <v>1010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145</v>
      </c>
      <c r="D40" s="10">
        <f>Table14[[#This Row],[Enrolment S.Y. 2025-2026 ]]*8</f>
        <v>1160</v>
      </c>
      <c r="E40" s="10"/>
      <c r="F40" s="8"/>
      <c r="G40" s="10"/>
      <c r="H40" s="10">
        <f t="shared" si="16"/>
        <v>1160</v>
      </c>
      <c r="I40" s="10">
        <f t="shared" si="17"/>
        <v>0</v>
      </c>
      <c r="J40" s="10">
        <f>Table14[[#This Row],[Enrolment S.Y. 2025-2026 ]]*8</f>
        <v>1160</v>
      </c>
      <c r="K40" s="10"/>
      <c r="L40" s="8"/>
      <c r="M40" s="10"/>
      <c r="N40" s="10">
        <f t="shared" si="14"/>
        <v>1160</v>
      </c>
      <c r="O40" s="10">
        <f t="shared" si="15"/>
        <v>0</v>
      </c>
      <c r="P40" s="10">
        <f>Table14[[#This Row],[Enrolment S.Y. 2025-2026 ]]*8</f>
        <v>1160</v>
      </c>
      <c r="Q40" s="10">
        <v>500</v>
      </c>
      <c r="R40" s="8">
        <v>2025</v>
      </c>
      <c r="S40" s="10"/>
      <c r="T40" s="10">
        <f t="shared" si="10"/>
        <v>660</v>
      </c>
      <c r="U40" s="10">
        <f t="shared" si="11"/>
        <v>0</v>
      </c>
      <c r="V40" s="10">
        <f>Table14[[#This Row],[Enrolment S.Y. 2025-2026 ]]*8</f>
        <v>1160</v>
      </c>
      <c r="W40" s="10">
        <v>350</v>
      </c>
      <c r="X40" s="8">
        <v>2025</v>
      </c>
      <c r="Y40" s="10"/>
      <c r="Z40" s="10">
        <f t="shared" si="12"/>
        <v>810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145</v>
      </c>
      <c r="D41" s="10">
        <f>Table14[[#This Row],[Enrolment S.Y. 2025-2026 ]]*8</f>
        <v>1160</v>
      </c>
      <c r="E41" s="10"/>
      <c r="F41" s="8"/>
      <c r="G41" s="10"/>
      <c r="H41" s="10">
        <f t="shared" si="16"/>
        <v>1160</v>
      </c>
      <c r="I41" s="10">
        <f t="shared" si="17"/>
        <v>0</v>
      </c>
      <c r="J41" s="10">
        <f>Table14[[#This Row],[Enrolment S.Y. 2025-2026 ]]*8</f>
        <v>1160</v>
      </c>
      <c r="K41" s="10">
        <v>800</v>
      </c>
      <c r="L41" s="8">
        <v>2025</v>
      </c>
      <c r="M41" s="10" t="s">
        <v>56</v>
      </c>
      <c r="N41" s="10">
        <f t="shared" si="14"/>
        <v>360</v>
      </c>
      <c r="O41" s="10">
        <f t="shared" si="15"/>
        <v>0</v>
      </c>
      <c r="P41" s="10">
        <f>Table14[[#This Row],[Enrolment S.Y. 2025-2026 ]]*8</f>
        <v>1160</v>
      </c>
      <c r="Q41" s="10">
        <v>350</v>
      </c>
      <c r="R41" s="8">
        <v>2025</v>
      </c>
      <c r="S41" s="10"/>
      <c r="T41" s="10">
        <f t="shared" si="10"/>
        <v>810</v>
      </c>
      <c r="U41" s="10">
        <f t="shared" si="11"/>
        <v>0</v>
      </c>
      <c r="V41" s="10">
        <f>Table14[[#This Row],[Enrolment S.Y. 2025-2026 ]]*8</f>
        <v>1160</v>
      </c>
      <c r="W41" s="10">
        <v>200</v>
      </c>
      <c r="X41" s="8">
        <v>2025</v>
      </c>
      <c r="Y41" s="10"/>
      <c r="Z41" s="10">
        <f t="shared" si="12"/>
        <v>960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145</v>
      </c>
      <c r="D42" s="10">
        <f>Table14[[#This Row],[Enrolment S.Y. 2025-2026 ]]*8</f>
        <v>1160</v>
      </c>
      <c r="E42" s="10"/>
      <c r="F42" s="8"/>
      <c r="G42" s="10"/>
      <c r="H42" s="10">
        <f t="shared" si="16"/>
        <v>1160</v>
      </c>
      <c r="I42" s="10">
        <f t="shared" si="17"/>
        <v>0</v>
      </c>
      <c r="J42" s="10">
        <f>Table14[[#This Row],[Enrolment S.Y. 2025-2026 ]]*8</f>
        <v>1160</v>
      </c>
      <c r="K42" s="10"/>
      <c r="L42" s="8"/>
      <c r="M42" s="10"/>
      <c r="N42" s="10">
        <f t="shared" si="14"/>
        <v>1160</v>
      </c>
      <c r="O42" s="10">
        <f t="shared" si="15"/>
        <v>0</v>
      </c>
      <c r="P42" s="10">
        <f>Table14[[#This Row],[Enrolment S.Y. 2025-2026 ]]*8</f>
        <v>1160</v>
      </c>
      <c r="Q42" s="10">
        <v>400</v>
      </c>
      <c r="R42" s="8">
        <v>2025</v>
      </c>
      <c r="S42" s="10"/>
      <c r="T42" s="10">
        <f t="shared" si="10"/>
        <v>760</v>
      </c>
      <c r="U42" s="10">
        <f t="shared" si="11"/>
        <v>0</v>
      </c>
      <c r="V42" s="10">
        <f>Table14[[#This Row],[Enrolment S.Y. 2025-2026 ]]*8</f>
        <v>1160</v>
      </c>
      <c r="W42" s="10">
        <v>150</v>
      </c>
      <c r="X42" s="8">
        <v>2025</v>
      </c>
      <c r="Y42" s="10"/>
      <c r="Z42" s="10">
        <f t="shared" si="12"/>
        <v>1010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145</v>
      </c>
      <c r="D43" s="10">
        <f>Table14[[#This Row],[Enrolment S.Y. 2025-2026 ]]*8</f>
        <v>1160</v>
      </c>
      <c r="E43" s="10"/>
      <c r="F43" s="8"/>
      <c r="G43" s="10"/>
      <c r="H43" s="10">
        <f t="shared" si="16"/>
        <v>1160</v>
      </c>
      <c r="I43" s="10">
        <f t="shared" si="17"/>
        <v>0</v>
      </c>
      <c r="J43" s="10">
        <f>Table14[[#This Row],[Enrolment S.Y. 2025-2026 ]]*8</f>
        <v>1160</v>
      </c>
      <c r="K43" s="10"/>
      <c r="L43" s="8"/>
      <c r="M43" s="10"/>
      <c r="N43" s="10">
        <f t="shared" si="14"/>
        <v>1160</v>
      </c>
      <c r="O43" s="10">
        <f t="shared" si="15"/>
        <v>0</v>
      </c>
      <c r="P43" s="10">
        <f>Table14[[#This Row],[Enrolment S.Y. 2025-2026 ]]*8</f>
        <v>1160</v>
      </c>
      <c r="Q43" s="10">
        <v>200</v>
      </c>
      <c r="R43" s="8">
        <v>2025</v>
      </c>
      <c r="S43" s="10"/>
      <c r="T43" s="10">
        <f t="shared" si="10"/>
        <v>960</v>
      </c>
      <c r="U43" s="10">
        <f t="shared" si="11"/>
        <v>0</v>
      </c>
      <c r="V43" s="10">
        <f>Table14[[#This Row],[Enrolment S.Y. 2025-2026 ]]*8</f>
        <v>1160</v>
      </c>
      <c r="W43" s="10">
        <v>150</v>
      </c>
      <c r="X43" s="8">
        <v>2025</v>
      </c>
      <c r="Y43" s="10"/>
      <c r="Z43" s="10">
        <f t="shared" si="12"/>
        <v>1010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145</v>
      </c>
      <c r="D44" s="10">
        <f>Table14[[#This Row],[Enrolment S.Y. 2025-2026 ]]*8</f>
        <v>1160</v>
      </c>
      <c r="E44" s="10"/>
      <c r="F44" s="8"/>
      <c r="G44" s="10"/>
      <c r="H44" s="10">
        <f t="shared" si="16"/>
        <v>1160</v>
      </c>
      <c r="I44" s="10">
        <f t="shared" si="17"/>
        <v>0</v>
      </c>
      <c r="J44" s="10">
        <f>Table14[[#This Row],[Enrolment S.Y. 2025-2026 ]]*8</f>
        <v>1160</v>
      </c>
      <c r="K44" s="10"/>
      <c r="L44" s="8"/>
      <c r="M44" s="10"/>
      <c r="N44" s="10">
        <f t="shared" si="14"/>
        <v>1160</v>
      </c>
      <c r="O44" s="10">
        <f t="shared" si="15"/>
        <v>0</v>
      </c>
      <c r="P44" s="10">
        <f>Table14[[#This Row],[Enrolment S.Y. 2025-2026 ]]*8</f>
        <v>1160</v>
      </c>
      <c r="Q44" s="10">
        <v>350</v>
      </c>
      <c r="R44" s="8">
        <v>2025</v>
      </c>
      <c r="S44" s="10"/>
      <c r="T44" s="10">
        <f t="shared" si="10"/>
        <v>810</v>
      </c>
      <c r="U44" s="10">
        <f t="shared" si="11"/>
        <v>0</v>
      </c>
      <c r="V44" s="10">
        <f>Table14[[#This Row],[Enrolment S.Y. 2025-2026 ]]*8</f>
        <v>1160</v>
      </c>
      <c r="W44" s="10">
        <v>600</v>
      </c>
      <c r="X44" s="8">
        <v>2025</v>
      </c>
      <c r="Y44" s="10"/>
      <c r="Z44" s="10">
        <f t="shared" si="12"/>
        <v>560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145</v>
      </c>
      <c r="D45" s="10">
        <f>Table14[[#This Row],[Enrolment S.Y. 2025-2026 ]]*8</f>
        <v>1160</v>
      </c>
      <c r="E45" s="10"/>
      <c r="F45" s="8"/>
      <c r="G45" s="10"/>
      <c r="H45" s="10">
        <f>IF((D45-E45)&lt;0,0,(D45-E45))</f>
        <v>1160</v>
      </c>
      <c r="I45" s="10">
        <f>IF((E45-D45)&lt;0,0,(E45-D45))</f>
        <v>0</v>
      </c>
      <c r="J45" s="10">
        <f>Table14[[#This Row],[Enrolment S.Y. 2025-2026 ]]*8</f>
        <v>1160</v>
      </c>
      <c r="K45" s="10"/>
      <c r="L45" s="8"/>
      <c r="M45" s="10"/>
      <c r="N45" s="10">
        <f t="shared" ref="N45:N49" si="22">IF((J45-K45)&lt;0,0,(J45-K45))</f>
        <v>1160</v>
      </c>
      <c r="O45" s="10">
        <f t="shared" ref="O45:O49" si="23">IF((K45-J45)&lt;0,0,(K45-J45))</f>
        <v>0</v>
      </c>
      <c r="P45" s="10">
        <f>Table14[[#This Row],[Enrolment S.Y. 2025-2026 ]]*8</f>
        <v>1160</v>
      </c>
      <c r="Q45" s="10">
        <v>100</v>
      </c>
      <c r="R45" s="8">
        <v>2025</v>
      </c>
      <c r="S45" s="10"/>
      <c r="T45" s="10">
        <f>IF((P45-Q45)&lt;0,0,(P45-Q45))</f>
        <v>1060</v>
      </c>
      <c r="U45" s="10">
        <f>IF((Q45-P45)&lt;0,0,(Q45-P45))</f>
        <v>0</v>
      </c>
      <c r="V45" s="10">
        <f>Table14[[#This Row],[Enrolment S.Y. 2025-2026 ]]*8</f>
        <v>1160</v>
      </c>
      <c r="W45" s="10">
        <v>100</v>
      </c>
      <c r="X45" s="8">
        <v>2025</v>
      </c>
      <c r="Y45" s="10"/>
      <c r="Z45" s="10">
        <f>IF((V45-W45)&lt;0,0,(V45-W45))</f>
        <v>1060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145</v>
      </c>
      <c r="D46" s="10">
        <f>Table14[[#This Row],[Enrolment S.Y. 2025-2026 ]]*8</f>
        <v>1160</v>
      </c>
      <c r="E46" s="10"/>
      <c r="F46" s="8"/>
      <c r="G46" s="10"/>
      <c r="H46" s="10">
        <f t="shared" si="16"/>
        <v>1160</v>
      </c>
      <c r="I46" s="10">
        <f t="shared" si="17"/>
        <v>0</v>
      </c>
      <c r="J46" s="10">
        <f>Table14[[#This Row],[Enrolment S.Y. 2025-2026 ]]*8</f>
        <v>1160</v>
      </c>
      <c r="K46" s="10"/>
      <c r="L46" s="8"/>
      <c r="M46" s="10"/>
      <c r="N46" s="10">
        <f t="shared" si="22"/>
        <v>1160</v>
      </c>
      <c r="O46" s="10">
        <f t="shared" si="23"/>
        <v>0</v>
      </c>
      <c r="P46" s="10">
        <f>Table14[[#This Row],[Enrolment S.Y. 2025-2026 ]]*8</f>
        <v>1160</v>
      </c>
      <c r="Q46" s="10">
        <v>200</v>
      </c>
      <c r="R46" s="8">
        <v>2025</v>
      </c>
      <c r="S46" s="10"/>
      <c r="T46" s="10">
        <f t="shared" si="10"/>
        <v>960</v>
      </c>
      <c r="U46" s="10">
        <f t="shared" si="11"/>
        <v>0</v>
      </c>
      <c r="V46" s="10">
        <f>Table14[[#This Row],[Enrolment S.Y. 2025-2026 ]]*8</f>
        <v>1160</v>
      </c>
      <c r="W46" s="10">
        <v>200</v>
      </c>
      <c r="X46" s="8">
        <v>2025</v>
      </c>
      <c r="Y46" s="10"/>
      <c r="Z46" s="10">
        <f t="shared" si="12"/>
        <v>960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145</v>
      </c>
      <c r="D47" s="10">
        <f>Table14[[#This Row],[Enrolment S.Y. 2025-2026 ]]*8</f>
        <v>1160</v>
      </c>
      <c r="E47" s="10"/>
      <c r="F47" s="8"/>
      <c r="G47" s="10"/>
      <c r="H47" s="10">
        <f t="shared" si="16"/>
        <v>1160</v>
      </c>
      <c r="I47" s="10">
        <f t="shared" si="17"/>
        <v>0</v>
      </c>
      <c r="J47" s="10">
        <f>Table14[[#This Row],[Enrolment S.Y. 2025-2026 ]]*8</f>
        <v>1160</v>
      </c>
      <c r="K47" s="10"/>
      <c r="L47" s="8"/>
      <c r="M47" s="10"/>
      <c r="N47" s="10">
        <f t="shared" si="22"/>
        <v>1160</v>
      </c>
      <c r="O47" s="10">
        <f t="shared" si="23"/>
        <v>0</v>
      </c>
      <c r="P47" s="10">
        <f>Table14[[#This Row],[Enrolment S.Y. 2025-2026 ]]*8</f>
        <v>1160</v>
      </c>
      <c r="Q47" s="10"/>
      <c r="R47" s="8"/>
      <c r="S47" s="10"/>
      <c r="T47" s="10">
        <f t="shared" si="10"/>
        <v>1160</v>
      </c>
      <c r="U47" s="10">
        <f t="shared" si="11"/>
        <v>0</v>
      </c>
      <c r="V47" s="10">
        <f>Table14[[#This Row],[Enrolment S.Y. 2025-2026 ]]*8</f>
        <v>1160</v>
      </c>
      <c r="W47" s="10"/>
      <c r="X47" s="8"/>
      <c r="Y47" s="10"/>
      <c r="Z47" s="10">
        <f t="shared" si="12"/>
        <v>1160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145</v>
      </c>
      <c r="D48" s="10">
        <f>Table14[[#This Row],[Enrolment S.Y. 2025-2026 ]]*8</f>
        <v>1160</v>
      </c>
      <c r="E48" s="10"/>
      <c r="F48" s="8"/>
      <c r="G48" s="10"/>
      <c r="H48" s="10">
        <f>IF((D48-E48)&lt;0,0,(D48-E48))</f>
        <v>1160</v>
      </c>
      <c r="I48" s="10">
        <f>IF((E48-D48)&lt;0,0,(E48-D48))</f>
        <v>0</v>
      </c>
      <c r="J48" s="10">
        <f>Table14[[#This Row],[Enrolment S.Y. 2025-2026 ]]*8</f>
        <v>1160</v>
      </c>
      <c r="K48" s="10"/>
      <c r="L48" s="8"/>
      <c r="M48" s="10"/>
      <c r="N48" s="10">
        <f t="shared" si="22"/>
        <v>1160</v>
      </c>
      <c r="O48" s="10">
        <f t="shared" si="23"/>
        <v>0</v>
      </c>
      <c r="P48" s="10">
        <f>Table14[[#This Row],[Enrolment S.Y. 2025-2026 ]]*8</f>
        <v>1160</v>
      </c>
      <c r="Q48" s="10">
        <v>100</v>
      </c>
      <c r="R48" s="8">
        <v>2025</v>
      </c>
      <c r="S48" s="10"/>
      <c r="T48" s="10">
        <f>IF((P48-Q48)&lt;0,0,(P48-Q48))</f>
        <v>1060</v>
      </c>
      <c r="U48" s="10">
        <f>IF((Q48-P48)&lt;0,0,(Q48-P48))</f>
        <v>0</v>
      </c>
      <c r="V48" s="10">
        <f>Table14[[#This Row],[Enrolment S.Y. 2025-2026 ]]*8</f>
        <v>1160</v>
      </c>
      <c r="W48" s="10">
        <v>50</v>
      </c>
      <c r="X48" s="8">
        <v>2025</v>
      </c>
      <c r="Y48" s="10"/>
      <c r="Z48" s="10">
        <f>IF((V48-W48)&lt;0,0,(V48-W48))</f>
        <v>1110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145</v>
      </c>
      <c r="D49" s="10">
        <f>Table14[[#This Row],[Enrolment S.Y. 2025-2026 ]]*8</f>
        <v>1160</v>
      </c>
      <c r="E49" s="10"/>
      <c r="F49" s="8"/>
      <c r="G49" s="10"/>
      <c r="H49" s="10">
        <f t="shared" si="16"/>
        <v>1160</v>
      </c>
      <c r="I49" s="10">
        <f t="shared" si="17"/>
        <v>0</v>
      </c>
      <c r="J49" s="10">
        <f>Table14[[#This Row],[Enrolment S.Y. 2025-2026 ]]*8</f>
        <v>1160</v>
      </c>
      <c r="K49" s="10"/>
      <c r="L49" s="8"/>
      <c r="M49" s="10"/>
      <c r="N49" s="10">
        <f t="shared" si="22"/>
        <v>1160</v>
      </c>
      <c r="O49" s="10">
        <f t="shared" si="23"/>
        <v>0</v>
      </c>
      <c r="P49" s="10">
        <f>Table14[[#This Row],[Enrolment S.Y. 2025-2026 ]]*8</f>
        <v>1160</v>
      </c>
      <c r="Q49" s="10">
        <v>100</v>
      </c>
      <c r="R49" s="8">
        <v>2025</v>
      </c>
      <c r="S49" s="10"/>
      <c r="T49" s="10">
        <f t="shared" si="10"/>
        <v>1060</v>
      </c>
      <c r="U49" s="10">
        <f t="shared" si="11"/>
        <v>0</v>
      </c>
      <c r="V49" s="10">
        <f>Table14[[#This Row],[Enrolment S.Y. 2025-2026 ]]*8</f>
        <v>1160</v>
      </c>
      <c r="W49" s="10">
        <v>150</v>
      </c>
      <c r="X49" s="8">
        <v>2025</v>
      </c>
      <c r="Y49" s="10"/>
      <c r="Z49" s="10">
        <f t="shared" si="12"/>
        <v>1010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51:C58 C15:C25 C27:C37 C2:C13" name="Textbooks"/>
    <protectedRange sqref="J2:L2 N39:R49 T27:X37 H27:L37 N3:R13 N15:R25 P2:R2 D15:F25 D27:F37 D51:F58 N27:R37 V2:X2 T3:X13 Z3:AA13 H3:L13 T15:X25 Z15:AA25 H15:L25 Z27:AA37 T39:X49 Z39:AA49 H39:L49 N51:R58 T51:X58 Z51:AA58 H51:L58 D39:F49 D2:F13" name="LAS"/>
    <protectedRange sqref="G2:I2 M2:O2 S2:U2 Y2:AA2 G51:G58 M51:M58 S51:S58 M27:M37 Y3:Y13 G3:G13 M3:M13 S3:S13 Y15:Y25 G15:G25 M15:M25 S15:S25 Y27:Y37 G27:G37 S27:S37 Y39:Y49 G39:G49 M39:M49 S39:S49 Y51:Y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51:M58 G27:G37 G39:G49 Y39:Y49 S39:S49 M39:M49 M27:M3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2026-04-14T00:46:36Z</dcterms:modified>
  <cp:category/>
  <cp:contentStatus/>
</cp:coreProperties>
</file>