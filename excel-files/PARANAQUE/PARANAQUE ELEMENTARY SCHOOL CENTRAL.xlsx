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8" documentId="13_ncr:1_{BFB59F67-F0DC-4675-A682-EB0734A8026A}" xr6:coauthVersionLast="47" xr6:coauthVersionMax="47" xr10:uidLastSave="{5981A03C-F9C7-439D-BEB9-AA6F3BD8661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71" i="5" l="1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T104" i="4"/>
  <c r="Z126" i="4"/>
  <c r="Z116" i="4"/>
  <c r="T81" i="4"/>
  <c r="U65" i="4"/>
  <c r="U114" i="4"/>
  <c r="O88" i="4"/>
  <c r="AA103" i="4"/>
  <c r="U3" i="4"/>
  <c r="Z80" i="4"/>
  <c r="AA67" i="4"/>
  <c r="O119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I85" i="5"/>
  <c r="AA85" i="5"/>
  <c r="U73" i="5"/>
  <c r="I76" i="5"/>
  <c r="AA76" i="5"/>
  <c r="I73" i="5"/>
  <c r="AA73" i="5"/>
  <c r="AA117" i="5"/>
  <c r="H103" i="5"/>
  <c r="AA111" i="5"/>
  <c r="I75" i="5"/>
  <c r="T92" i="5"/>
  <c r="Z71" i="5"/>
  <c r="AA74" i="5"/>
  <c r="H79" i="5"/>
  <c r="T74" i="5"/>
  <c r="H83" i="5"/>
  <c r="T70" i="5"/>
  <c r="H77" i="5"/>
  <c r="O69" i="5"/>
  <c r="Z77" i="5"/>
  <c r="Z69" i="5"/>
  <c r="I71" i="5"/>
  <c r="H72" i="5"/>
  <c r="Z80" i="5"/>
  <c r="Z87" i="5"/>
  <c r="H101" i="5"/>
  <c r="AA119" i="5"/>
  <c r="I70" i="5"/>
  <c r="H120" i="5"/>
  <c r="T71" i="5"/>
  <c r="H81" i="5"/>
  <c r="AA82" i="5"/>
  <c r="H87" i="5"/>
  <c r="H96" i="5"/>
  <c r="U122" i="5"/>
  <c r="O106" i="4"/>
  <c r="O75" i="4"/>
  <c r="T108" i="4"/>
  <c r="U91" i="4"/>
  <c r="U86" i="4"/>
  <c r="U69" i="4"/>
  <c r="AA124" i="4"/>
  <c r="Z114" i="4"/>
  <c r="AA89" i="4"/>
  <c r="Z78" i="4"/>
  <c r="N125" i="4"/>
  <c r="N99" i="4"/>
  <c r="O93" i="4"/>
  <c r="U118" i="4"/>
  <c r="U113" i="4"/>
  <c r="U96" i="4"/>
  <c r="T64" i="4"/>
  <c r="AA112" i="4"/>
  <c r="Z100" i="4"/>
  <c r="AA76" i="4"/>
  <c r="Z65" i="4"/>
  <c r="N81" i="4"/>
  <c r="O123" i="4"/>
  <c r="N117" i="4"/>
  <c r="O110" i="4"/>
  <c r="N105" i="4"/>
  <c r="O79" i="4"/>
  <c r="U122" i="4"/>
  <c r="T90" i="4"/>
  <c r="U74" i="4"/>
  <c r="U68" i="4"/>
  <c r="Z122" i="4"/>
  <c r="AA98" i="4"/>
  <c r="Z87" i="4"/>
  <c r="AA63" i="4"/>
  <c r="Z91" i="4"/>
  <c r="N73" i="4"/>
  <c r="O66" i="4"/>
  <c r="T117" i="4"/>
  <c r="U100" i="4"/>
  <c r="U95" i="4"/>
  <c r="U78" i="4"/>
  <c r="AA120" i="4"/>
  <c r="Z109" i="4"/>
  <c r="AA85" i="4"/>
  <c r="Z74" i="4"/>
  <c r="O97" i="4"/>
  <c r="N90" i="4"/>
  <c r="O84" i="4"/>
  <c r="N78" i="4"/>
  <c r="U126" i="4"/>
  <c r="U121" i="4"/>
  <c r="U105" i="4"/>
  <c r="T73" i="4"/>
  <c r="AA107" i="4"/>
  <c r="Z96" i="4"/>
  <c r="AA71" i="4"/>
  <c r="I3" i="4"/>
  <c r="N126" i="4"/>
  <c r="O115" i="4"/>
  <c r="N108" i="4"/>
  <c r="T99" i="4"/>
  <c r="U83" i="4"/>
  <c r="U77" i="4"/>
  <c r="Z118" i="4"/>
  <c r="AA94" i="4"/>
  <c r="Z83" i="4"/>
  <c r="AA3" i="4"/>
  <c r="O101" i="4"/>
  <c r="O70" i="4"/>
  <c r="N64" i="4"/>
  <c r="T125" i="4"/>
  <c r="U109" i="4"/>
  <c r="U87" i="4"/>
  <c r="Z105" i="4"/>
  <c r="Z69" i="4"/>
  <c r="T71" i="4"/>
  <c r="U71" i="4"/>
  <c r="T112" i="4"/>
  <c r="U112" i="4"/>
  <c r="N96" i="4"/>
  <c r="N74" i="4"/>
  <c r="T63" i="4"/>
  <c r="U63" i="4"/>
  <c r="Z127" i="4"/>
  <c r="AA127" i="4"/>
  <c r="N122" i="4"/>
  <c r="N100" i="4"/>
  <c r="T89" i="4"/>
  <c r="U89" i="4"/>
  <c r="T67" i="4"/>
  <c r="U67" i="4"/>
  <c r="Z93" i="4"/>
  <c r="AA93" i="4"/>
  <c r="N83" i="4"/>
  <c r="N109" i="4"/>
  <c r="T98" i="4"/>
  <c r="U98" i="4"/>
  <c r="T76" i="4"/>
  <c r="U76" i="4"/>
  <c r="Z101" i="4"/>
  <c r="AA101" i="4"/>
  <c r="T116" i="4"/>
  <c r="U116" i="4"/>
  <c r="T94" i="4"/>
  <c r="U94" i="4"/>
  <c r="T120" i="4"/>
  <c r="U120" i="4"/>
  <c r="T124" i="4"/>
  <c r="U124" i="4"/>
  <c r="T103" i="4"/>
  <c r="U103" i="4"/>
  <c r="N87" i="4"/>
  <c r="N65" i="4"/>
  <c r="Z119" i="4"/>
  <c r="AA119" i="4"/>
  <c r="N114" i="4"/>
  <c r="N91" i="4"/>
  <c r="T80" i="4"/>
  <c r="U80" i="4"/>
  <c r="N118" i="4"/>
  <c r="T107" i="4"/>
  <c r="U107" i="4"/>
  <c r="T85" i="4"/>
  <c r="U85" i="4"/>
  <c r="N69" i="4"/>
  <c r="Z110" i="4"/>
  <c r="AA110" i="4"/>
  <c r="O124" i="4"/>
  <c r="O116" i="4"/>
  <c r="O107" i="4"/>
  <c r="O98" i="4"/>
  <c r="O89" i="4"/>
  <c r="O80" i="4"/>
  <c r="O71" i="4"/>
  <c r="O63" i="4"/>
  <c r="U123" i="4"/>
  <c r="U115" i="4"/>
  <c r="U106" i="4"/>
  <c r="U97" i="4"/>
  <c r="U88" i="4"/>
  <c r="U79" i="4"/>
  <c r="U70" i="4"/>
  <c r="AA123" i="4"/>
  <c r="AA115" i="4"/>
  <c r="AA106" i="4"/>
  <c r="AA97" i="4"/>
  <c r="AA88" i="4"/>
  <c r="AA84" i="4"/>
  <c r="AA79" i="4"/>
  <c r="AA75" i="4"/>
  <c r="AA70" i="4"/>
  <c r="AA66" i="4"/>
  <c r="O121" i="4"/>
  <c r="O113" i="4"/>
  <c r="O104" i="4"/>
  <c r="O95" i="4"/>
  <c r="O86" i="4"/>
  <c r="O77" i="4"/>
  <c r="O68" i="4"/>
  <c r="O120" i="4"/>
  <c r="O112" i="4"/>
  <c r="O103" i="4"/>
  <c r="O94" i="4"/>
  <c r="O85" i="4"/>
  <c r="O76" i="4"/>
  <c r="O67" i="4"/>
  <c r="U119" i="4"/>
  <c r="U110" i="4"/>
  <c r="U101" i="4"/>
  <c r="U93" i="4"/>
  <c r="U84" i="4"/>
  <c r="U75" i="4"/>
  <c r="U66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Z67" i="5"/>
  <c r="AA72" i="5"/>
  <c r="H91" i="5"/>
  <c r="I94" i="5"/>
  <c r="O95" i="5"/>
  <c r="O104" i="5"/>
  <c r="T107" i="5"/>
  <c r="AA108" i="5"/>
  <c r="H67" i="5"/>
  <c r="H68" i="5"/>
  <c r="T77" i="5"/>
  <c r="Z86" i="5"/>
  <c r="O91" i="5"/>
  <c r="T103" i="5"/>
  <c r="O82" i="5"/>
  <c r="Z84" i="5"/>
  <c r="T94" i="5"/>
  <c r="Z95" i="5"/>
  <c r="H98" i="5"/>
  <c r="T99" i="5"/>
  <c r="Z104" i="5"/>
  <c r="AA115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T75" i="5"/>
  <c r="H89" i="5"/>
  <c r="H92" i="5"/>
  <c r="H93" i="5"/>
  <c r="Z98" i="5"/>
  <c r="H106" i="5"/>
  <c r="H107" i="5"/>
  <c r="T116" i="5"/>
  <c r="Z120" i="5"/>
  <c r="H122" i="5"/>
  <c r="Z75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Z89" i="5"/>
  <c r="U108" i="5"/>
  <c r="T108" i="5"/>
  <c r="Z118" i="5"/>
  <c r="U106" i="5"/>
  <c r="T106" i="5"/>
  <c r="O68" i="5"/>
  <c r="N68" i="5"/>
  <c r="Z79" i="5"/>
  <c r="T80" i="5"/>
  <c r="Z113" i="5"/>
  <c r="U95" i="5"/>
  <c r="T95" i="5"/>
  <c r="T67" i="5"/>
  <c r="U82" i="5"/>
  <c r="T82" i="5"/>
  <c r="Z94" i="5"/>
  <c r="U98" i="5"/>
  <c r="T98" i="5"/>
  <c r="U121" i="5"/>
  <c r="T121" i="5"/>
  <c r="U84" i="5"/>
  <c r="T84" i="5"/>
  <c r="U119" i="5"/>
  <c r="T119" i="5"/>
  <c r="O70" i="5"/>
  <c r="N70" i="5"/>
  <c r="Z81" i="5"/>
  <c r="U87" i="5"/>
  <c r="T87" i="5"/>
  <c r="Z96" i="5"/>
  <c r="U101" i="5"/>
  <c r="T101" i="5"/>
  <c r="U117" i="5"/>
  <c r="T11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H97" i="4"/>
  <c r="I106" i="4"/>
  <c r="I99" i="4"/>
  <c r="I64" i="4"/>
  <c r="H96" i="4"/>
  <c r="I105" i="4"/>
  <c r="H79" i="4"/>
  <c r="I88" i="4"/>
  <c r="H86" i="4"/>
  <c r="H107" i="4"/>
  <c r="H68" i="4"/>
  <c r="I87" i="4"/>
  <c r="I81" i="4"/>
  <c r="I70" i="4"/>
  <c r="H98" i="4"/>
  <c r="I69" i="4"/>
  <c r="O127" i="4"/>
  <c r="N127" i="4"/>
  <c r="I84" i="4"/>
  <c r="H84" i="4"/>
  <c r="H67" i="4"/>
  <c r="I65" i="4"/>
  <c r="H65" i="4"/>
  <c r="H104" i="4"/>
  <c r="H95" i="4"/>
  <c r="H78" i="4"/>
  <c r="I80" i="4"/>
  <c r="I63" i="4"/>
  <c r="I93" i="4"/>
  <c r="H93" i="4"/>
  <c r="H85" i="4"/>
  <c r="H103" i="4"/>
  <c r="H94" i="4"/>
  <c r="H77" i="4"/>
  <c r="I66" i="4"/>
  <c r="H66" i="4"/>
  <c r="I83" i="4"/>
  <c r="H83" i="4"/>
  <c r="H110" i="4"/>
  <c r="H101" i="4"/>
  <c r="H91" i="4"/>
  <c r="H76" i="4"/>
  <c r="I74" i="4"/>
  <c r="H74" i="4"/>
  <c r="H109" i="4"/>
  <c r="H100" i="4"/>
  <c r="I108" i="4"/>
  <c r="I90" i="4"/>
  <c r="I73" i="4"/>
  <c r="I75" i="4"/>
  <c r="H75" i="4"/>
  <c r="I89" i="4"/>
  <c r="I71" i="4"/>
</calcChain>
</file>

<file path=xl/sharedStrings.xml><?xml version="1.0" encoding="utf-8"?>
<sst xmlns="http://schemas.openxmlformats.org/spreadsheetml/2006/main" count="449" uniqueCount="91">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</sst>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8" borderId="10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5" activePane="topRight" state="frozen"/>
      <selection pane="topRight" activeCell="D2" sqref="D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269</v>
      </c>
      <c r="D2" s="1">
        <v>1292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1023</v>
      </c>
    </row>
    <row r="3" spans="1:8" ht="29.25" customHeight="1">
      <c r="A3" s="1">
        <v>1</v>
      </c>
      <c r="B3" s="2" t="s">
        <v>10</v>
      </c>
      <c r="C3" s="1">
        <v>269</v>
      </c>
      <c r="D3" s="1">
        <v>1292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1023</v>
      </c>
    </row>
    <row r="4" spans="1:8" ht="21" customHeight="1">
      <c r="A4" s="1">
        <v>1</v>
      </c>
      <c r="B4" s="2" t="s">
        <v>11</v>
      </c>
      <c r="C4" s="1">
        <v>269</v>
      </c>
      <c r="D4" s="1">
        <v>1292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1023</v>
      </c>
    </row>
    <row r="5" spans="1:8" ht="25.5" customHeight="1">
      <c r="A5" s="1">
        <v>1</v>
      </c>
      <c r="B5" s="2" t="s">
        <v>12</v>
      </c>
      <c r="C5" s="1">
        <v>269</v>
      </c>
      <c r="D5" s="1">
        <v>1272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1003</v>
      </c>
    </row>
    <row r="6" spans="1:8" ht="19.5">
      <c r="A6" s="1">
        <v>1</v>
      </c>
      <c r="B6" s="2" t="s">
        <v>13</v>
      </c>
      <c r="C6" s="1">
        <v>269</v>
      </c>
      <c r="D6" s="1">
        <v>0</v>
      </c>
      <c r="E6" s="1">
        <v>0</v>
      </c>
      <c r="F6" s="5" t="s">
        <v>9</v>
      </c>
      <c r="G6" s="3">
        <f t="shared" si="0"/>
        <v>269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303</v>
      </c>
      <c r="D8" s="1"/>
      <c r="E8" s="1"/>
      <c r="F8" s="5"/>
      <c r="G8" s="3">
        <f>IF((C8-D8)&lt;0,0,C8-D8)</f>
        <v>303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303</v>
      </c>
      <c r="D9" s="1"/>
      <c r="E9" s="1"/>
      <c r="F9" s="5"/>
      <c r="G9" s="3">
        <f>IF((C9-D9)&lt;0,0,C9-D9)</f>
        <v>303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303</v>
      </c>
      <c r="D10" s="1"/>
      <c r="E10" s="1"/>
      <c r="F10" s="5"/>
      <c r="G10" s="3">
        <f>IF((C10-D10)&lt;0,0,C10-D10)</f>
        <v>303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303</v>
      </c>
      <c r="D11" s="1"/>
      <c r="E11" s="1"/>
      <c r="F11" s="5"/>
      <c r="G11" s="3">
        <f>IF((C11-D11)&lt;0,0,C11-D11)</f>
        <v>303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303</v>
      </c>
      <c r="D12" s="1"/>
      <c r="E12" s="1"/>
      <c r="F12" s="5"/>
      <c r="G12" s="3">
        <f>IF((C12-D12)&lt;0,0,C12-D12)</f>
        <v>303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319</v>
      </c>
      <c r="D14" s="1"/>
      <c r="E14" s="1"/>
      <c r="F14" s="5"/>
      <c r="G14" s="3">
        <f t="shared" ref="G14:G19" si="2">IF((C14-D14)&lt;0,0,C14-D14)</f>
        <v>319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319</v>
      </c>
      <c r="D15" s="1"/>
      <c r="E15" s="1"/>
      <c r="F15" s="5"/>
      <c r="G15" s="3">
        <f t="shared" si="2"/>
        <v>319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319</v>
      </c>
      <c r="D16" s="1"/>
      <c r="E16" s="1"/>
      <c r="F16" s="5"/>
      <c r="G16" s="3">
        <f t="shared" si="2"/>
        <v>319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319</v>
      </c>
      <c r="D17" s="1"/>
      <c r="E17" s="1"/>
      <c r="F17" s="5"/>
      <c r="G17" s="3">
        <f t="shared" si="2"/>
        <v>319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319</v>
      </c>
      <c r="D18" s="1"/>
      <c r="E18" s="1"/>
      <c r="F18" s="5"/>
      <c r="G18" s="3">
        <f t="shared" si="2"/>
        <v>319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319</v>
      </c>
      <c r="D19" s="1"/>
      <c r="E19" s="1"/>
      <c r="F19" s="5"/>
      <c r="G19" s="3">
        <f t="shared" si="2"/>
        <v>319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322</v>
      </c>
      <c r="D21" s="1"/>
      <c r="E21" s="1"/>
      <c r="F21" s="5"/>
      <c r="G21" s="3">
        <f t="shared" ref="G21:G29" si="4">IF((C21-D21)&lt;0,0,C21-D21)</f>
        <v>322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322</v>
      </c>
      <c r="D22" s="1">
        <v>672</v>
      </c>
      <c r="E22" s="1">
        <v>2024</v>
      </c>
      <c r="F22" s="5"/>
      <c r="G22" s="3">
        <f t="shared" si="4"/>
        <v>0</v>
      </c>
      <c r="H22" s="4">
        <f t="shared" si="5"/>
        <v>350</v>
      </c>
    </row>
    <row r="23" spans="1:8" ht="19.5">
      <c r="A23" s="1">
        <v>4</v>
      </c>
      <c r="B23" s="9" t="s">
        <v>13</v>
      </c>
      <c r="C23" s="1">
        <v>322</v>
      </c>
      <c r="D23" s="1">
        <v>672</v>
      </c>
      <c r="E23" s="1">
        <v>2025</v>
      </c>
      <c r="F23" s="5"/>
      <c r="G23" s="3">
        <f t="shared" si="4"/>
        <v>0</v>
      </c>
      <c r="H23" s="4">
        <f t="shared" si="5"/>
        <v>350</v>
      </c>
    </row>
    <row r="24" spans="1:8" ht="27" customHeight="1">
      <c r="A24" s="1">
        <v>4</v>
      </c>
      <c r="B24" s="9" t="s">
        <v>11</v>
      </c>
      <c r="C24" s="1">
        <v>322</v>
      </c>
      <c r="D24" s="1">
        <v>672</v>
      </c>
      <c r="E24" s="1">
        <v>2025</v>
      </c>
      <c r="F24" s="5"/>
      <c r="G24" s="3">
        <f t="shared" si="4"/>
        <v>0</v>
      </c>
      <c r="H24" s="4">
        <f t="shared" si="5"/>
        <v>350</v>
      </c>
    </row>
    <row r="25" spans="1:8" ht="33.75" customHeight="1">
      <c r="A25" s="1">
        <v>4</v>
      </c>
      <c r="B25" s="9" t="s">
        <v>17</v>
      </c>
      <c r="C25" s="1">
        <v>322</v>
      </c>
      <c r="D25" s="1">
        <v>672</v>
      </c>
      <c r="E25" s="1">
        <v>2024</v>
      </c>
      <c r="F25" s="5"/>
      <c r="G25" s="3">
        <f t="shared" si="4"/>
        <v>0</v>
      </c>
      <c r="H25" s="4">
        <f t="shared" si="5"/>
        <v>350</v>
      </c>
    </row>
    <row r="26" spans="1:8" ht="33.75" customHeight="1">
      <c r="A26" s="1">
        <v>4</v>
      </c>
      <c r="B26" s="9" t="s">
        <v>14</v>
      </c>
      <c r="C26" s="1">
        <v>322</v>
      </c>
      <c r="D26" s="1">
        <v>672</v>
      </c>
      <c r="E26" s="1">
        <v>2024</v>
      </c>
      <c r="F26" s="5"/>
      <c r="G26" s="3">
        <f t="shared" si="4"/>
        <v>0</v>
      </c>
      <c r="H26" s="4">
        <f t="shared" si="5"/>
        <v>350</v>
      </c>
    </row>
    <row r="27" spans="1:8" ht="33.75" customHeight="1">
      <c r="A27" s="1">
        <v>4</v>
      </c>
      <c r="B27" s="9" t="s">
        <v>18</v>
      </c>
      <c r="C27" s="1">
        <v>322</v>
      </c>
      <c r="D27" s="1">
        <v>672</v>
      </c>
      <c r="E27" s="1">
        <v>2024</v>
      </c>
      <c r="F27" s="5"/>
      <c r="G27" s="3">
        <f t="shared" si="4"/>
        <v>0</v>
      </c>
      <c r="H27" s="4">
        <f t="shared" si="5"/>
        <v>350</v>
      </c>
    </row>
    <row r="28" spans="1:8" ht="27.75" customHeight="1">
      <c r="A28" s="1">
        <v>4</v>
      </c>
      <c r="B28" s="9" t="s">
        <v>19</v>
      </c>
      <c r="C28" s="1">
        <v>322</v>
      </c>
      <c r="D28" s="1"/>
      <c r="E28" s="1"/>
      <c r="F28" s="5"/>
      <c r="G28" s="3">
        <f t="shared" si="4"/>
        <v>322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322</v>
      </c>
      <c r="D29" s="1"/>
      <c r="E29" s="1"/>
      <c r="F29" s="5"/>
      <c r="G29" s="3">
        <f t="shared" si="4"/>
        <v>322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308</v>
      </c>
      <c r="D31" s="1"/>
      <c r="E31" s="1"/>
      <c r="F31" s="5"/>
      <c r="G31" s="3">
        <f t="shared" ref="G31:G39" si="6">IF((C31-D31)&lt;0,0,C31-D31)</f>
        <v>308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308</v>
      </c>
      <c r="D32" s="1"/>
      <c r="E32" s="1"/>
      <c r="F32" s="5"/>
      <c r="G32" s="3">
        <f t="shared" si="6"/>
        <v>308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308</v>
      </c>
      <c r="D33" s="1"/>
      <c r="E33" s="1"/>
      <c r="F33" s="5"/>
      <c r="G33" s="3">
        <f t="shared" si="6"/>
        <v>308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308</v>
      </c>
      <c r="D34" s="1"/>
      <c r="E34" s="1"/>
      <c r="F34" s="5"/>
      <c r="G34" s="3">
        <f t="shared" si="6"/>
        <v>308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308</v>
      </c>
      <c r="D35" s="1"/>
      <c r="E35" s="1"/>
      <c r="F35" s="5"/>
      <c r="G35" s="3">
        <f t="shared" si="6"/>
        <v>308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308</v>
      </c>
      <c r="D36" s="1"/>
      <c r="E36" s="1"/>
      <c r="F36" s="5"/>
      <c r="G36" s="3">
        <f t="shared" si="6"/>
        <v>308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308</v>
      </c>
      <c r="D37" s="1">
        <v>2223</v>
      </c>
      <c r="E37" s="1">
        <v>2025</v>
      </c>
      <c r="F37" s="5"/>
      <c r="G37" s="3">
        <f t="shared" si="6"/>
        <v>0</v>
      </c>
      <c r="H37" s="4">
        <f t="shared" si="7"/>
        <v>1915</v>
      </c>
    </row>
    <row r="38" spans="1:8" ht="27.75" customHeight="1">
      <c r="A38" s="1">
        <v>5</v>
      </c>
      <c r="B38" s="9" t="s">
        <v>19</v>
      </c>
      <c r="C38" s="1">
        <v>308</v>
      </c>
      <c r="D38" s="1"/>
      <c r="E38" s="1"/>
      <c r="F38" s="5"/>
      <c r="G38" s="3">
        <f t="shared" si="6"/>
        <v>308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308</v>
      </c>
      <c r="D39" s="1"/>
      <c r="E39" s="1"/>
      <c r="F39" s="5"/>
      <c r="G39" s="3">
        <f t="shared" si="6"/>
        <v>308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270</v>
      </c>
      <c r="D41" s="1"/>
      <c r="E41" s="1"/>
      <c r="F41" s="5"/>
      <c r="G41" s="3">
        <f t="shared" ref="G41:G49" si="8">IF((C41-D41)&lt;0,0,C41-D41)</f>
        <v>270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270</v>
      </c>
      <c r="D42" s="1"/>
      <c r="E42" s="1"/>
      <c r="F42" s="5"/>
      <c r="G42" s="3">
        <f t="shared" si="8"/>
        <v>270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270</v>
      </c>
      <c r="D43" s="1"/>
      <c r="E43" s="1"/>
      <c r="F43" s="5"/>
      <c r="G43" s="3">
        <f t="shared" si="8"/>
        <v>270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270</v>
      </c>
      <c r="D44" s="1"/>
      <c r="E44" s="1"/>
      <c r="F44" s="5"/>
      <c r="G44" s="3">
        <f t="shared" si="8"/>
        <v>270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270</v>
      </c>
      <c r="D45" s="1"/>
      <c r="E45" s="1"/>
      <c r="F45" s="5"/>
      <c r="G45" s="3">
        <f t="shared" si="8"/>
        <v>270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270</v>
      </c>
      <c r="D46" s="1"/>
      <c r="E46" s="1"/>
      <c r="F46" s="5"/>
      <c r="G46" s="3">
        <f t="shared" si="8"/>
        <v>270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270</v>
      </c>
      <c r="D47" s="1"/>
      <c r="E47" s="1"/>
      <c r="F47" s="5"/>
      <c r="G47" s="3">
        <f t="shared" si="8"/>
        <v>270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270</v>
      </c>
      <c r="D48" s="1"/>
      <c r="E48" s="1"/>
      <c r="F48" s="5"/>
      <c r="G48" s="3">
        <f t="shared" si="8"/>
        <v>270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270</v>
      </c>
      <c r="D49" s="1"/>
      <c r="E49" s="1"/>
      <c r="F49" s="5"/>
      <c r="G49" s="3">
        <f t="shared" si="8"/>
        <v>270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43" zoomScale="70" zoomScaleNormal="70" workbookViewId="0">
      <selection activeCell="F55" sqref="F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269</v>
      </c>
      <c r="D5" s="5">
        <v>0</v>
      </c>
      <c r="E5" s="5"/>
      <c r="F5" s="1"/>
      <c r="G5" s="5"/>
      <c r="H5" s="5">
        <v>0</v>
      </c>
      <c r="I5" s="5">
        <v>0</v>
      </c>
      <c r="J5" s="5">
        <v>0</v>
      </c>
      <c r="K5" s="5"/>
      <c r="L5" s="1"/>
      <c r="M5" s="5"/>
      <c r="N5" s="5">
        <v>0</v>
      </c>
      <c r="O5" s="5">
        <v>0</v>
      </c>
      <c r="P5" s="5">
        <v>0</v>
      </c>
      <c r="Q5" s="5"/>
      <c r="R5" s="1"/>
      <c r="S5" s="5"/>
      <c r="T5" s="5">
        <v>0</v>
      </c>
      <c r="U5" s="5">
        <v>0</v>
      </c>
      <c r="V5" s="5">
        <v>0</v>
      </c>
      <c r="W5" s="5"/>
      <c r="X5" s="1"/>
      <c r="Y5" s="5"/>
      <c r="Z5" s="5">
        <v>0</v>
      </c>
      <c r="AA5" s="5">
        <v>0</v>
      </c>
    </row>
    <row r="6" spans="1:27" ht="19.5">
      <c r="A6" s="1">
        <v>1</v>
      </c>
      <c r="B6" s="2" t="s">
        <v>10</v>
      </c>
      <c r="C6" s="1">
        <v>269</v>
      </c>
      <c r="D6" s="5">
        <v>2152</v>
      </c>
      <c r="E6" s="5"/>
      <c r="F6" s="1"/>
      <c r="G6" s="5"/>
      <c r="H6" s="5">
        <v>2152</v>
      </c>
      <c r="I6" s="5">
        <v>0</v>
      </c>
      <c r="J6" s="5">
        <v>2152</v>
      </c>
      <c r="K6" s="5"/>
      <c r="L6" s="1"/>
      <c r="M6" s="5"/>
      <c r="N6" s="5">
        <v>2152</v>
      </c>
      <c r="O6" s="5">
        <v>0</v>
      </c>
      <c r="P6" s="5">
        <v>2152</v>
      </c>
      <c r="Q6" s="5"/>
      <c r="R6" s="1"/>
      <c r="S6" s="5"/>
      <c r="T6" s="5">
        <v>2152</v>
      </c>
      <c r="U6" s="5">
        <v>0</v>
      </c>
      <c r="V6" s="5">
        <v>2152</v>
      </c>
      <c r="W6" s="5"/>
      <c r="X6" s="1"/>
      <c r="Y6" s="5"/>
      <c r="Z6" s="5">
        <v>2152</v>
      </c>
      <c r="AA6" s="5">
        <v>0</v>
      </c>
    </row>
    <row r="7" spans="1:27" ht="19.5">
      <c r="A7" s="1">
        <v>1</v>
      </c>
      <c r="B7" s="2" t="s">
        <v>11</v>
      </c>
      <c r="C7" s="1">
        <v>269</v>
      </c>
      <c r="D7" s="5">
        <v>2152</v>
      </c>
      <c r="E7" s="5"/>
      <c r="F7" s="1"/>
      <c r="G7" s="5"/>
      <c r="H7" s="5">
        <v>2152</v>
      </c>
      <c r="I7" s="5">
        <v>0</v>
      </c>
      <c r="J7" s="5">
        <v>2152</v>
      </c>
      <c r="K7" s="5"/>
      <c r="L7" s="1"/>
      <c r="M7" s="5"/>
      <c r="N7" s="5">
        <v>2152</v>
      </c>
      <c r="O7" s="5">
        <v>0</v>
      </c>
      <c r="P7" s="5">
        <v>2152</v>
      </c>
      <c r="Q7" s="5"/>
      <c r="R7" s="1"/>
      <c r="S7" s="5"/>
      <c r="T7" s="5">
        <v>2152</v>
      </c>
      <c r="U7" s="5">
        <v>0</v>
      </c>
      <c r="V7" s="5">
        <v>2152</v>
      </c>
      <c r="W7" s="5"/>
      <c r="X7" s="1"/>
      <c r="Y7" s="5"/>
      <c r="Z7" s="5">
        <v>2152</v>
      </c>
      <c r="AA7" s="5">
        <v>0</v>
      </c>
    </row>
    <row r="8" spans="1:27" ht="19.5">
      <c r="A8" s="1">
        <v>1</v>
      </c>
      <c r="B8" s="2" t="s">
        <v>12</v>
      </c>
      <c r="C8" s="1">
        <v>269</v>
      </c>
      <c r="D8" s="5">
        <v>2152</v>
      </c>
      <c r="E8" s="5">
        <v>450</v>
      </c>
      <c r="F8" s="1">
        <v>2025</v>
      </c>
      <c r="G8" s="5" t="s">
        <v>9</v>
      </c>
      <c r="H8" s="5">
        <v>1702</v>
      </c>
      <c r="I8" s="5">
        <v>0</v>
      </c>
      <c r="J8" s="5">
        <v>2152</v>
      </c>
      <c r="K8" s="5"/>
      <c r="L8" s="1"/>
      <c r="M8" s="5"/>
      <c r="N8" s="5">
        <v>2152</v>
      </c>
      <c r="O8" s="5">
        <v>0</v>
      </c>
      <c r="P8" s="5">
        <v>2152</v>
      </c>
      <c r="Q8" s="5"/>
      <c r="R8" s="1"/>
      <c r="S8" s="5"/>
      <c r="T8" s="5">
        <v>2152</v>
      </c>
      <c r="U8" s="5">
        <v>0</v>
      </c>
      <c r="V8" s="5">
        <v>2152</v>
      </c>
      <c r="W8" s="5"/>
      <c r="X8" s="1"/>
      <c r="Y8" s="5"/>
      <c r="Z8" s="5">
        <v>2152</v>
      </c>
      <c r="AA8" s="5">
        <v>0</v>
      </c>
    </row>
    <row r="9" spans="1:27" ht="19.5">
      <c r="A9" s="1">
        <v>1</v>
      </c>
      <c r="B9" s="2" t="s">
        <v>13</v>
      </c>
      <c r="C9" s="1">
        <v>269</v>
      </c>
      <c r="D9" s="5">
        <v>2152</v>
      </c>
      <c r="E9" s="5">
        <v>500</v>
      </c>
      <c r="F9" s="1">
        <v>2025</v>
      </c>
      <c r="G9" s="5" t="s">
        <v>9</v>
      </c>
      <c r="H9" s="5">
        <v>1652</v>
      </c>
      <c r="I9" s="5">
        <v>0</v>
      </c>
      <c r="J9" s="5">
        <v>2152</v>
      </c>
      <c r="K9" s="5"/>
      <c r="L9" s="1"/>
      <c r="M9" s="5"/>
      <c r="N9" s="5">
        <v>2152</v>
      </c>
      <c r="O9" s="5">
        <v>0</v>
      </c>
      <c r="P9" s="5">
        <v>2152</v>
      </c>
      <c r="Q9" s="5"/>
      <c r="R9" s="1"/>
      <c r="S9" s="5"/>
      <c r="T9" s="5">
        <v>2152</v>
      </c>
      <c r="U9" s="5">
        <v>0</v>
      </c>
      <c r="V9" s="5">
        <v>2152</v>
      </c>
      <c r="W9" s="5"/>
      <c r="X9" s="1"/>
      <c r="Y9" s="5"/>
      <c r="Z9" s="5">
        <v>2152</v>
      </c>
      <c r="AA9" s="5">
        <v>0</v>
      </c>
    </row>
    <row r="10" spans="1:27" ht="19.5">
      <c r="A10" s="1">
        <v>1</v>
      </c>
      <c r="B10" s="9" t="s">
        <v>15</v>
      </c>
      <c r="C10" s="1">
        <v>269</v>
      </c>
      <c r="D10" s="5">
        <v>2152</v>
      </c>
      <c r="E10" s="5"/>
      <c r="F10" s="1"/>
      <c r="G10" s="5"/>
      <c r="H10" s="5">
        <v>2152</v>
      </c>
      <c r="I10" s="5">
        <v>0</v>
      </c>
      <c r="J10" s="5">
        <v>2152</v>
      </c>
      <c r="K10" s="5"/>
      <c r="L10" s="1"/>
      <c r="M10" s="5"/>
      <c r="N10" s="5">
        <v>2152</v>
      </c>
      <c r="O10" s="5">
        <v>0</v>
      </c>
      <c r="P10" s="5">
        <v>2152</v>
      </c>
      <c r="Q10" s="5"/>
      <c r="R10" s="1"/>
      <c r="S10" s="5"/>
      <c r="T10" s="5">
        <v>2152</v>
      </c>
      <c r="U10" s="5">
        <v>0</v>
      </c>
      <c r="V10" s="5">
        <v>2152</v>
      </c>
      <c r="W10" s="5"/>
      <c r="X10" s="1"/>
      <c r="Y10" s="5"/>
      <c r="Z10" s="5">
        <v>2152</v>
      </c>
      <c r="AA10" s="5">
        <v>0</v>
      </c>
    </row>
    <row r="11" spans="1:27" ht="19.5">
      <c r="A11" s="1">
        <v>1</v>
      </c>
      <c r="B11" s="9" t="s">
        <v>16</v>
      </c>
      <c r="C11" s="1">
        <v>269</v>
      </c>
      <c r="D11" s="5">
        <v>2152</v>
      </c>
      <c r="E11" s="5">
        <v>566</v>
      </c>
      <c r="F11" s="1">
        <v>2025</v>
      </c>
      <c r="G11" s="5" t="s">
        <v>9</v>
      </c>
      <c r="H11" s="5">
        <v>1586</v>
      </c>
      <c r="I11" s="5">
        <v>0</v>
      </c>
      <c r="J11" s="5">
        <v>2152</v>
      </c>
      <c r="K11" s="5"/>
      <c r="L11" s="1"/>
      <c r="M11" s="5"/>
      <c r="N11" s="5">
        <v>2152</v>
      </c>
      <c r="O11" s="5">
        <v>0</v>
      </c>
      <c r="P11" s="5">
        <v>2152</v>
      </c>
      <c r="Q11" s="5"/>
      <c r="R11" s="1"/>
      <c r="S11" s="5"/>
      <c r="T11" s="5">
        <v>2152</v>
      </c>
      <c r="U11" s="5">
        <v>0</v>
      </c>
      <c r="V11" s="5">
        <v>2152</v>
      </c>
      <c r="W11" s="5"/>
      <c r="X11" s="1"/>
      <c r="Y11" s="5"/>
      <c r="Z11" s="5">
        <v>2152</v>
      </c>
      <c r="AA11" s="5">
        <v>0</v>
      </c>
    </row>
    <row r="12" spans="1:27" ht="19.5">
      <c r="A12" s="1">
        <v>1</v>
      </c>
      <c r="B12" s="9" t="s">
        <v>62</v>
      </c>
      <c r="C12" s="1">
        <v>269</v>
      </c>
      <c r="D12" s="5">
        <v>2152</v>
      </c>
      <c r="E12" s="5"/>
      <c r="F12" s="1"/>
      <c r="G12" s="5"/>
      <c r="H12" s="5">
        <v>2152</v>
      </c>
      <c r="I12" s="5">
        <v>0</v>
      </c>
      <c r="J12" s="5">
        <v>2152</v>
      </c>
      <c r="K12" s="5"/>
      <c r="L12" s="1"/>
      <c r="M12" s="5"/>
      <c r="N12" s="5">
        <v>2152</v>
      </c>
      <c r="O12" s="5">
        <v>0</v>
      </c>
      <c r="P12" s="5">
        <v>2152</v>
      </c>
      <c r="Q12" s="5"/>
      <c r="R12" s="1"/>
      <c r="S12" s="5"/>
      <c r="T12" s="5">
        <v>2152</v>
      </c>
      <c r="U12" s="5">
        <v>0</v>
      </c>
      <c r="V12" s="5">
        <v>2152</v>
      </c>
      <c r="W12" s="5"/>
      <c r="X12" s="1"/>
      <c r="Y12" s="5"/>
      <c r="Z12" s="5">
        <v>2152</v>
      </c>
      <c r="AA12" s="5"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303</v>
      </c>
      <c r="D14" s="5">
        <v>2424</v>
      </c>
      <c r="E14" s="5"/>
      <c r="F14" s="1"/>
      <c r="G14" s="5"/>
      <c r="H14" s="5">
        <v>2424</v>
      </c>
      <c r="I14" s="5">
        <v>0</v>
      </c>
      <c r="J14" s="5">
        <v>2424</v>
      </c>
      <c r="K14" s="5"/>
      <c r="L14" s="1"/>
      <c r="M14" s="5"/>
      <c r="N14" s="5">
        <v>2424</v>
      </c>
      <c r="O14" s="5">
        <v>0</v>
      </c>
      <c r="P14" s="5">
        <v>2424</v>
      </c>
      <c r="Q14" s="5"/>
      <c r="R14" s="1"/>
      <c r="S14" s="5"/>
      <c r="T14" s="5">
        <v>2424</v>
      </c>
      <c r="U14" s="5">
        <v>0</v>
      </c>
      <c r="V14" s="5">
        <v>2424</v>
      </c>
      <c r="W14" s="5"/>
      <c r="X14" s="1"/>
      <c r="Y14" s="5"/>
      <c r="Z14" s="5">
        <v>2424</v>
      </c>
      <c r="AA14" s="5">
        <v>0</v>
      </c>
    </row>
    <row r="15" spans="1:27" ht="19.5">
      <c r="A15" s="1">
        <v>2</v>
      </c>
      <c r="B15" s="2" t="s">
        <v>10</v>
      </c>
      <c r="C15" s="1">
        <v>303</v>
      </c>
      <c r="D15" s="5">
        <v>2424</v>
      </c>
      <c r="E15" s="5"/>
      <c r="F15" s="1"/>
      <c r="G15" s="5"/>
      <c r="H15" s="5">
        <v>2424</v>
      </c>
      <c r="I15" s="5">
        <v>0</v>
      </c>
      <c r="J15" s="5">
        <v>2424</v>
      </c>
      <c r="K15" s="5"/>
      <c r="L15" s="1"/>
      <c r="M15" s="5"/>
      <c r="N15" s="5">
        <v>2424</v>
      </c>
      <c r="O15" s="5">
        <v>0</v>
      </c>
      <c r="P15" s="5">
        <v>2424</v>
      </c>
      <c r="Q15" s="5"/>
      <c r="R15" s="1"/>
      <c r="S15" s="5"/>
      <c r="T15" s="5">
        <v>2424</v>
      </c>
      <c r="U15" s="5">
        <v>0</v>
      </c>
      <c r="V15" s="5">
        <v>2424</v>
      </c>
      <c r="W15" s="5"/>
      <c r="X15" s="1"/>
      <c r="Y15" s="5"/>
      <c r="Z15" s="5">
        <v>2424</v>
      </c>
      <c r="AA15" s="5">
        <v>0</v>
      </c>
    </row>
    <row r="16" spans="1:27" ht="19.5">
      <c r="A16" s="1">
        <v>2</v>
      </c>
      <c r="B16" s="2" t="s">
        <v>11</v>
      </c>
      <c r="C16" s="1">
        <v>303</v>
      </c>
      <c r="D16" s="5">
        <v>2424</v>
      </c>
      <c r="E16" s="5"/>
      <c r="F16" s="1"/>
      <c r="G16" s="5"/>
      <c r="H16" s="5">
        <v>2424</v>
      </c>
      <c r="I16" s="5">
        <v>0</v>
      </c>
      <c r="J16" s="5">
        <v>2424</v>
      </c>
      <c r="K16" s="5"/>
      <c r="L16" s="1"/>
      <c r="M16" s="5"/>
      <c r="N16" s="5">
        <v>2424</v>
      </c>
      <c r="O16" s="5">
        <v>0</v>
      </c>
      <c r="P16" s="5">
        <v>2424</v>
      </c>
      <c r="Q16" s="5"/>
      <c r="R16" s="1"/>
      <c r="S16" s="5"/>
      <c r="T16" s="5">
        <v>2424</v>
      </c>
      <c r="U16" s="5">
        <v>0</v>
      </c>
      <c r="V16" s="5">
        <v>2424</v>
      </c>
      <c r="W16" s="5"/>
      <c r="X16" s="1"/>
      <c r="Y16" s="5"/>
      <c r="Z16" s="5">
        <v>2424</v>
      </c>
      <c r="AA16" s="5">
        <v>0</v>
      </c>
    </row>
    <row r="17" spans="1:27" ht="19.5">
      <c r="A17" s="1">
        <v>2</v>
      </c>
      <c r="B17" s="2" t="s">
        <v>12</v>
      </c>
      <c r="C17" s="1">
        <v>303</v>
      </c>
      <c r="D17" s="5">
        <v>2424</v>
      </c>
      <c r="E17" s="5"/>
      <c r="F17" s="1"/>
      <c r="G17" s="5"/>
      <c r="H17" s="5">
        <v>2424</v>
      </c>
      <c r="I17" s="5">
        <v>0</v>
      </c>
      <c r="J17" s="5">
        <v>2424</v>
      </c>
      <c r="K17" s="5">
        <v>544</v>
      </c>
      <c r="L17" s="1">
        <v>2025</v>
      </c>
      <c r="M17" s="5" t="s">
        <v>9</v>
      </c>
      <c r="N17" s="5">
        <v>1880</v>
      </c>
      <c r="O17" s="5">
        <v>0</v>
      </c>
      <c r="P17" s="5">
        <v>2424</v>
      </c>
      <c r="Q17" s="5"/>
      <c r="R17" s="1"/>
      <c r="S17" s="5"/>
      <c r="T17" s="5">
        <v>2424</v>
      </c>
      <c r="U17" s="5">
        <v>0</v>
      </c>
      <c r="V17" s="5">
        <v>2424</v>
      </c>
      <c r="W17" s="5"/>
      <c r="X17" s="1"/>
      <c r="Y17" s="5"/>
      <c r="Z17" s="5">
        <v>2424</v>
      </c>
      <c r="AA17" s="5">
        <v>0</v>
      </c>
    </row>
    <row r="18" spans="1:27" ht="19.5">
      <c r="A18" s="1">
        <v>2</v>
      </c>
      <c r="B18" s="2" t="s">
        <v>13</v>
      </c>
      <c r="C18" s="1">
        <v>303</v>
      </c>
      <c r="D18" s="5">
        <v>2424</v>
      </c>
      <c r="E18" s="5">
        <v>0</v>
      </c>
      <c r="F18" s="1">
        <v>2025</v>
      </c>
      <c r="G18" s="5" t="s">
        <v>9</v>
      </c>
      <c r="H18" s="5">
        <v>2424</v>
      </c>
      <c r="I18" s="5">
        <v>0</v>
      </c>
      <c r="J18" s="5">
        <v>2424</v>
      </c>
      <c r="K18" s="5"/>
      <c r="L18" s="1"/>
      <c r="M18" s="5"/>
      <c r="N18" s="5">
        <v>2424</v>
      </c>
      <c r="O18" s="5">
        <v>0</v>
      </c>
      <c r="P18" s="5">
        <v>2424</v>
      </c>
      <c r="Q18" s="5"/>
      <c r="R18" s="1"/>
      <c r="S18" s="5"/>
      <c r="T18" s="5">
        <v>2424</v>
      </c>
      <c r="U18" s="5">
        <v>0</v>
      </c>
      <c r="V18" s="5">
        <v>2424</v>
      </c>
      <c r="W18" s="5"/>
      <c r="X18" s="1"/>
      <c r="Y18" s="5"/>
      <c r="Z18" s="5">
        <v>2424</v>
      </c>
      <c r="AA18" s="5">
        <v>0</v>
      </c>
    </row>
    <row r="19" spans="1:27" ht="19.5">
      <c r="A19" s="1">
        <v>2</v>
      </c>
      <c r="B19" s="9" t="s">
        <v>16</v>
      </c>
      <c r="C19" s="1">
        <v>303</v>
      </c>
      <c r="D19" s="5">
        <v>2424</v>
      </c>
      <c r="E19" s="5">
        <v>495</v>
      </c>
      <c r="F19" s="1">
        <v>2025</v>
      </c>
      <c r="G19" s="5" t="s">
        <v>9</v>
      </c>
      <c r="H19" s="5">
        <v>1929</v>
      </c>
      <c r="I19" s="5">
        <v>0</v>
      </c>
      <c r="J19" s="5">
        <v>2424</v>
      </c>
      <c r="K19" s="5">
        <v>544</v>
      </c>
      <c r="L19" s="1">
        <v>2025</v>
      </c>
      <c r="M19" s="5" t="s">
        <v>9</v>
      </c>
      <c r="N19" s="5">
        <v>1880</v>
      </c>
      <c r="O19" s="5">
        <v>0</v>
      </c>
      <c r="P19" s="5">
        <v>2424</v>
      </c>
      <c r="Q19" s="5"/>
      <c r="R19" s="1"/>
      <c r="S19" s="5"/>
      <c r="T19" s="5">
        <v>2424</v>
      </c>
      <c r="U19" s="5">
        <v>0</v>
      </c>
      <c r="V19" s="5">
        <v>2424</v>
      </c>
      <c r="W19" s="5"/>
      <c r="X19" s="1"/>
      <c r="Y19" s="5"/>
      <c r="Z19" s="5">
        <v>2424</v>
      </c>
      <c r="AA19" s="5">
        <v>0</v>
      </c>
    </row>
    <row r="20" spans="1:27" ht="19.5">
      <c r="A20" s="1">
        <v>2</v>
      </c>
      <c r="B20" s="9" t="s">
        <v>15</v>
      </c>
      <c r="C20" s="1">
        <v>303</v>
      </c>
      <c r="D20" s="5">
        <v>2424</v>
      </c>
      <c r="E20" s="5">
        <v>495</v>
      </c>
      <c r="F20" s="1">
        <v>2025</v>
      </c>
      <c r="G20" s="5" t="s">
        <v>9</v>
      </c>
      <c r="H20" s="5">
        <v>1929</v>
      </c>
      <c r="I20" s="5">
        <v>0</v>
      </c>
      <c r="J20" s="5">
        <v>2424</v>
      </c>
      <c r="K20" s="5"/>
      <c r="L20" s="1"/>
      <c r="M20" s="5"/>
      <c r="N20" s="5">
        <v>2424</v>
      </c>
      <c r="O20" s="5">
        <v>0</v>
      </c>
      <c r="P20" s="5">
        <v>2424</v>
      </c>
      <c r="Q20" s="5"/>
      <c r="R20" s="1"/>
      <c r="S20" s="5"/>
      <c r="T20" s="5">
        <v>2424</v>
      </c>
      <c r="U20" s="5">
        <v>0</v>
      </c>
      <c r="V20" s="5">
        <v>2424</v>
      </c>
      <c r="W20" s="5"/>
      <c r="X20" s="1"/>
      <c r="Y20" s="5"/>
      <c r="Z20" s="5">
        <v>2424</v>
      </c>
      <c r="AA20" s="5">
        <v>0</v>
      </c>
    </row>
    <row r="21" spans="1:27" ht="19.5">
      <c r="A21" s="1">
        <v>2</v>
      </c>
      <c r="B21" s="9" t="s">
        <v>62</v>
      </c>
      <c r="C21" s="1">
        <v>303</v>
      </c>
      <c r="D21" s="5">
        <v>2424</v>
      </c>
      <c r="E21" s="5"/>
      <c r="F21" s="1"/>
      <c r="G21" s="5"/>
      <c r="H21" s="5">
        <v>2424</v>
      </c>
      <c r="I21" s="5">
        <v>0</v>
      </c>
      <c r="J21" s="5">
        <v>2424</v>
      </c>
      <c r="K21" s="5"/>
      <c r="L21" s="1"/>
      <c r="M21" s="5"/>
      <c r="N21" s="5">
        <v>2424</v>
      </c>
      <c r="O21" s="5">
        <v>0</v>
      </c>
      <c r="P21" s="5">
        <v>2424</v>
      </c>
      <c r="Q21" s="5"/>
      <c r="R21" s="1"/>
      <c r="S21" s="5"/>
      <c r="T21" s="5">
        <v>2424</v>
      </c>
      <c r="U21" s="5">
        <v>0</v>
      </c>
      <c r="V21" s="5">
        <v>2424</v>
      </c>
      <c r="W21" s="5"/>
      <c r="X21" s="1"/>
      <c r="Y21" s="5"/>
      <c r="Z21" s="5">
        <v>2424</v>
      </c>
      <c r="AA21" s="5"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319</v>
      </c>
      <c r="D23" s="5">
        <v>2552</v>
      </c>
      <c r="E23" s="5"/>
      <c r="F23" s="1"/>
      <c r="G23" s="5"/>
      <c r="H23" s="5">
        <v>2552</v>
      </c>
      <c r="I23" s="5">
        <v>0</v>
      </c>
      <c r="J23" s="5">
        <v>2552</v>
      </c>
      <c r="K23" s="5"/>
      <c r="L23" s="1"/>
      <c r="M23" s="5"/>
      <c r="N23" s="5">
        <v>2552</v>
      </c>
      <c r="O23" s="5">
        <v>0</v>
      </c>
      <c r="P23" s="5">
        <v>2552</v>
      </c>
      <c r="Q23" s="5"/>
      <c r="R23" s="1"/>
      <c r="S23" s="5"/>
      <c r="T23" s="5">
        <v>2552</v>
      </c>
      <c r="U23" s="5">
        <v>0</v>
      </c>
      <c r="V23" s="5">
        <v>2552</v>
      </c>
      <c r="W23" s="5"/>
      <c r="X23" s="1"/>
      <c r="Y23" s="5"/>
      <c r="Z23" s="5">
        <v>2552</v>
      </c>
      <c r="AA23" s="5">
        <v>0</v>
      </c>
    </row>
    <row r="24" spans="1:27" ht="19.5">
      <c r="A24" s="1">
        <v>3</v>
      </c>
      <c r="B24" s="2" t="s">
        <v>10</v>
      </c>
      <c r="C24" s="1">
        <v>319</v>
      </c>
      <c r="D24" s="5">
        <v>2552</v>
      </c>
      <c r="E24" s="5"/>
      <c r="F24" s="1"/>
      <c r="G24" s="5"/>
      <c r="H24" s="5">
        <v>2552</v>
      </c>
      <c r="I24" s="5">
        <v>0</v>
      </c>
      <c r="J24" s="5">
        <v>2552</v>
      </c>
      <c r="K24" s="5"/>
      <c r="L24" s="1"/>
      <c r="M24" s="5"/>
      <c r="N24" s="5">
        <v>2552</v>
      </c>
      <c r="O24" s="5">
        <v>0</v>
      </c>
      <c r="P24" s="5">
        <v>2552</v>
      </c>
      <c r="Q24" s="5"/>
      <c r="R24" s="1"/>
      <c r="S24" s="5"/>
      <c r="T24" s="5">
        <v>2552</v>
      </c>
      <c r="U24" s="5">
        <v>0</v>
      </c>
      <c r="V24" s="5">
        <v>2552</v>
      </c>
      <c r="W24" s="5"/>
      <c r="X24" s="1"/>
      <c r="Y24" s="5"/>
      <c r="Z24" s="5">
        <v>2552</v>
      </c>
      <c r="AA24" s="5">
        <v>0</v>
      </c>
    </row>
    <row r="25" spans="1:27" ht="19.5">
      <c r="A25" s="1">
        <v>3</v>
      </c>
      <c r="B25" s="2" t="s">
        <v>11</v>
      </c>
      <c r="C25" s="1">
        <v>319</v>
      </c>
      <c r="D25" s="5">
        <v>2552</v>
      </c>
      <c r="E25" s="5">
        <v>566</v>
      </c>
      <c r="F25" s="1">
        <v>2025</v>
      </c>
      <c r="G25" s="5" t="s">
        <v>9</v>
      </c>
      <c r="H25" s="5">
        <v>1986</v>
      </c>
      <c r="I25" s="5">
        <v>0</v>
      </c>
      <c r="J25" s="5">
        <v>2552</v>
      </c>
      <c r="K25" s="5"/>
      <c r="L25" s="1"/>
      <c r="M25" s="5"/>
      <c r="N25" s="5">
        <v>2552</v>
      </c>
      <c r="O25" s="5">
        <v>0</v>
      </c>
      <c r="P25" s="5">
        <v>2552</v>
      </c>
      <c r="Q25" s="5"/>
      <c r="R25" s="1"/>
      <c r="S25" s="5"/>
      <c r="T25" s="5">
        <v>2552</v>
      </c>
      <c r="U25" s="5">
        <v>0</v>
      </c>
      <c r="V25" s="5">
        <v>2552</v>
      </c>
      <c r="W25" s="5"/>
      <c r="X25" s="1"/>
      <c r="Y25" s="5"/>
      <c r="Z25" s="5">
        <v>2552</v>
      </c>
      <c r="AA25" s="5">
        <v>0</v>
      </c>
    </row>
    <row r="26" spans="1:27" ht="19.5">
      <c r="A26" s="1">
        <v>3</v>
      </c>
      <c r="B26" s="2" t="s">
        <v>14</v>
      </c>
      <c r="C26" s="1">
        <v>319</v>
      </c>
      <c r="D26" s="5">
        <v>2552</v>
      </c>
      <c r="E26" s="5">
        <v>566</v>
      </c>
      <c r="F26" s="1">
        <v>2025</v>
      </c>
      <c r="G26" s="5" t="s">
        <v>9</v>
      </c>
      <c r="H26" s="5">
        <v>1986</v>
      </c>
      <c r="I26" s="5">
        <v>0</v>
      </c>
      <c r="J26" s="5">
        <v>2552</v>
      </c>
      <c r="K26" s="5"/>
      <c r="L26" s="1"/>
      <c r="M26" s="5"/>
      <c r="N26" s="5">
        <v>2552</v>
      </c>
      <c r="O26" s="5">
        <v>0</v>
      </c>
      <c r="P26" s="5">
        <v>2552</v>
      </c>
      <c r="Q26" s="5"/>
      <c r="R26" s="1"/>
      <c r="S26" s="5"/>
      <c r="T26" s="5">
        <v>2552</v>
      </c>
      <c r="U26" s="5">
        <v>0</v>
      </c>
      <c r="V26" s="5">
        <v>2552</v>
      </c>
      <c r="W26" s="5"/>
      <c r="X26" s="1"/>
      <c r="Y26" s="5"/>
      <c r="Z26" s="5">
        <v>2552</v>
      </c>
      <c r="AA26" s="5">
        <v>0</v>
      </c>
    </row>
    <row r="27" spans="1:27" ht="19.5">
      <c r="A27" s="1">
        <v>3</v>
      </c>
      <c r="B27" s="2" t="s">
        <v>12</v>
      </c>
      <c r="C27" s="1">
        <v>319</v>
      </c>
      <c r="D27" s="5">
        <v>2552</v>
      </c>
      <c r="E27" s="5">
        <v>566</v>
      </c>
      <c r="F27" s="1">
        <v>2025</v>
      </c>
      <c r="G27" s="5" t="s">
        <v>9</v>
      </c>
      <c r="H27" s="5">
        <v>1986</v>
      </c>
      <c r="I27" s="5">
        <v>0</v>
      </c>
      <c r="J27" s="5">
        <v>2552</v>
      </c>
      <c r="K27" s="5"/>
      <c r="L27" s="1"/>
      <c r="M27" s="5"/>
      <c r="N27" s="5">
        <v>2552</v>
      </c>
      <c r="O27" s="5">
        <v>0</v>
      </c>
      <c r="P27" s="5">
        <v>2552</v>
      </c>
      <c r="Q27" s="5"/>
      <c r="R27" s="1"/>
      <c r="S27" s="5"/>
      <c r="T27" s="5">
        <v>2552</v>
      </c>
      <c r="U27" s="5">
        <v>0</v>
      </c>
      <c r="V27" s="5">
        <v>2552</v>
      </c>
      <c r="W27" s="5"/>
      <c r="X27" s="1"/>
      <c r="Y27" s="5"/>
      <c r="Z27" s="5">
        <v>2552</v>
      </c>
      <c r="AA27" s="5">
        <v>0</v>
      </c>
    </row>
    <row r="28" spans="1:27" ht="19.5">
      <c r="A28" s="1">
        <v>3</v>
      </c>
      <c r="B28" s="2" t="s">
        <v>13</v>
      </c>
      <c r="C28" s="1">
        <v>319</v>
      </c>
      <c r="D28" s="5">
        <v>2552</v>
      </c>
      <c r="E28" s="5">
        <v>566</v>
      </c>
      <c r="F28" s="1">
        <v>2025</v>
      </c>
      <c r="G28" s="5" t="s">
        <v>9</v>
      </c>
      <c r="H28" s="5">
        <v>1986</v>
      </c>
      <c r="I28" s="5">
        <v>0</v>
      </c>
      <c r="J28" s="5">
        <v>2552</v>
      </c>
      <c r="K28" s="5"/>
      <c r="L28" s="1"/>
      <c r="M28" s="5"/>
      <c r="N28" s="5">
        <v>2552</v>
      </c>
      <c r="O28" s="5">
        <v>0</v>
      </c>
      <c r="P28" s="5">
        <v>2552</v>
      </c>
      <c r="Q28" s="5"/>
      <c r="R28" s="1"/>
      <c r="S28" s="5"/>
      <c r="T28" s="5">
        <v>2552</v>
      </c>
      <c r="U28" s="5">
        <v>0</v>
      </c>
      <c r="V28" s="5">
        <v>2552</v>
      </c>
      <c r="W28" s="5"/>
      <c r="X28" s="1"/>
      <c r="Y28" s="5"/>
      <c r="Z28" s="5">
        <v>2552</v>
      </c>
      <c r="AA28" s="5">
        <v>0</v>
      </c>
    </row>
    <row r="29" spans="1:27" ht="19.5">
      <c r="A29" s="1">
        <v>3</v>
      </c>
      <c r="B29" s="9" t="s">
        <v>15</v>
      </c>
      <c r="C29" s="1">
        <v>319</v>
      </c>
      <c r="D29" s="5">
        <v>2552</v>
      </c>
      <c r="E29" s="5">
        <v>566</v>
      </c>
      <c r="F29" s="1">
        <v>2025</v>
      </c>
      <c r="G29" s="5" t="s">
        <v>9</v>
      </c>
      <c r="H29" s="5">
        <v>1986</v>
      </c>
      <c r="I29" s="5">
        <v>0</v>
      </c>
      <c r="J29" s="5">
        <v>2552</v>
      </c>
      <c r="K29" s="5"/>
      <c r="L29" s="1"/>
      <c r="M29" s="5"/>
      <c r="N29" s="5">
        <v>2552</v>
      </c>
      <c r="O29" s="5">
        <v>0</v>
      </c>
      <c r="P29" s="5">
        <v>2552</v>
      </c>
      <c r="Q29" s="5"/>
      <c r="R29" s="1"/>
      <c r="S29" s="5"/>
      <c r="T29" s="5">
        <v>2552</v>
      </c>
      <c r="U29" s="5">
        <v>0</v>
      </c>
      <c r="V29" s="5">
        <v>2552</v>
      </c>
      <c r="W29" s="5"/>
      <c r="X29" s="1"/>
      <c r="Y29" s="5"/>
      <c r="Z29" s="5">
        <v>2552</v>
      </c>
      <c r="AA29" s="5">
        <v>0</v>
      </c>
    </row>
    <row r="30" spans="1:27" ht="19.5">
      <c r="A30" s="1">
        <v>3</v>
      </c>
      <c r="B30" s="9" t="s">
        <v>16</v>
      </c>
      <c r="C30" s="1">
        <v>319</v>
      </c>
      <c r="D30" s="5">
        <v>2552</v>
      </c>
      <c r="E30" s="5">
        <v>566</v>
      </c>
      <c r="F30" s="1">
        <v>2025</v>
      </c>
      <c r="G30" s="5" t="s">
        <v>9</v>
      </c>
      <c r="H30" s="5">
        <v>1986</v>
      </c>
      <c r="I30" s="5">
        <v>0</v>
      </c>
      <c r="J30" s="5">
        <v>2552</v>
      </c>
      <c r="K30" s="5"/>
      <c r="L30" s="1"/>
      <c r="M30" s="5"/>
      <c r="N30" s="5">
        <v>2552</v>
      </c>
      <c r="O30" s="5">
        <v>0</v>
      </c>
      <c r="P30" s="5">
        <v>2552</v>
      </c>
      <c r="Q30" s="5"/>
      <c r="R30" s="1"/>
      <c r="S30" s="5"/>
      <c r="T30" s="5">
        <v>2552</v>
      </c>
      <c r="U30" s="5">
        <v>0</v>
      </c>
      <c r="V30" s="5">
        <v>2552</v>
      </c>
      <c r="W30" s="5"/>
      <c r="X30" s="1"/>
      <c r="Y30" s="5"/>
      <c r="Z30" s="5">
        <v>2552</v>
      </c>
      <c r="AA30" s="5">
        <v>0</v>
      </c>
    </row>
    <row r="31" spans="1:27" ht="19.5">
      <c r="A31" s="1">
        <v>3</v>
      </c>
      <c r="B31" s="9" t="s">
        <v>62</v>
      </c>
      <c r="C31" s="1">
        <v>319</v>
      </c>
      <c r="D31" s="5">
        <v>2552</v>
      </c>
      <c r="E31" s="5"/>
      <c r="F31" s="1"/>
      <c r="G31" s="5"/>
      <c r="H31" s="5">
        <v>2552</v>
      </c>
      <c r="I31" s="5">
        <v>0</v>
      </c>
      <c r="J31" s="5">
        <v>2552</v>
      </c>
      <c r="K31" s="5"/>
      <c r="L31" s="1"/>
      <c r="M31" s="5"/>
      <c r="N31" s="5">
        <v>2552</v>
      </c>
      <c r="O31" s="5">
        <v>0</v>
      </c>
      <c r="P31" s="5">
        <v>2552</v>
      </c>
      <c r="Q31" s="5"/>
      <c r="R31" s="1"/>
      <c r="S31" s="5"/>
      <c r="T31" s="5">
        <v>2552</v>
      </c>
      <c r="U31" s="5">
        <v>0</v>
      </c>
      <c r="V31" s="5">
        <v>2552</v>
      </c>
      <c r="W31" s="5"/>
      <c r="X31" s="1"/>
      <c r="Y31" s="5"/>
      <c r="Z31" s="5">
        <v>2552</v>
      </c>
      <c r="AA31" s="5"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322</v>
      </c>
      <c r="D33" s="5">
        <v>2576</v>
      </c>
      <c r="E33" s="5"/>
      <c r="F33" s="1"/>
      <c r="G33" s="5"/>
      <c r="H33" s="5">
        <v>2576</v>
      </c>
      <c r="I33" s="5">
        <v>0</v>
      </c>
      <c r="J33" s="5">
        <v>2576</v>
      </c>
      <c r="K33" s="5"/>
      <c r="L33" s="1"/>
      <c r="M33" s="5"/>
      <c r="N33" s="5">
        <v>2576</v>
      </c>
      <c r="O33" s="5">
        <v>0</v>
      </c>
      <c r="P33" s="5">
        <v>2576</v>
      </c>
      <c r="Q33" s="5"/>
      <c r="R33" s="1"/>
      <c r="S33" s="5"/>
      <c r="T33" s="5">
        <v>2576</v>
      </c>
      <c r="U33" s="5">
        <v>0</v>
      </c>
      <c r="V33" s="5">
        <v>2576</v>
      </c>
      <c r="W33" s="5"/>
      <c r="X33" s="1"/>
      <c r="Y33" s="5"/>
      <c r="Z33" s="5">
        <v>2576</v>
      </c>
      <c r="AA33" s="5">
        <v>0</v>
      </c>
    </row>
    <row r="34" spans="1:27" ht="19.5">
      <c r="A34" s="1">
        <v>4</v>
      </c>
      <c r="B34" s="9" t="s">
        <v>16</v>
      </c>
      <c r="C34" s="1">
        <v>322</v>
      </c>
      <c r="D34" s="5">
        <v>2576</v>
      </c>
      <c r="E34" s="5"/>
      <c r="F34" s="1"/>
      <c r="G34" s="5"/>
      <c r="H34" s="5">
        <v>2576</v>
      </c>
      <c r="I34" s="5">
        <v>0</v>
      </c>
      <c r="J34" s="5">
        <v>2576</v>
      </c>
      <c r="K34" s="5"/>
      <c r="L34" s="1"/>
      <c r="M34" s="5"/>
      <c r="N34" s="5">
        <v>2576</v>
      </c>
      <c r="O34" s="5">
        <v>0</v>
      </c>
      <c r="P34" s="5">
        <v>2576</v>
      </c>
      <c r="Q34" s="5"/>
      <c r="R34" s="1"/>
      <c r="S34" s="5"/>
      <c r="T34" s="5">
        <v>2576</v>
      </c>
      <c r="U34" s="5">
        <v>0</v>
      </c>
      <c r="V34" s="5">
        <v>2576</v>
      </c>
      <c r="W34" s="5"/>
      <c r="X34" s="1"/>
      <c r="Y34" s="5"/>
      <c r="Z34" s="5">
        <v>2576</v>
      </c>
      <c r="AA34" s="5">
        <v>0</v>
      </c>
    </row>
    <row r="35" spans="1:27" ht="19.5">
      <c r="A35" s="1">
        <v>4</v>
      </c>
      <c r="B35" s="9" t="s">
        <v>13</v>
      </c>
      <c r="C35" s="1">
        <v>322</v>
      </c>
      <c r="D35" s="5">
        <v>2576</v>
      </c>
      <c r="E35" s="5"/>
      <c r="F35" s="1"/>
      <c r="G35" s="5"/>
      <c r="H35" s="5">
        <v>2576</v>
      </c>
      <c r="I35" s="5">
        <v>0</v>
      </c>
      <c r="J35" s="5">
        <v>2576</v>
      </c>
      <c r="K35" s="5"/>
      <c r="L35" s="1"/>
      <c r="M35" s="5"/>
      <c r="N35" s="5">
        <v>2576</v>
      </c>
      <c r="O35" s="5">
        <v>0</v>
      </c>
      <c r="P35" s="5">
        <v>2576</v>
      </c>
      <c r="Q35" s="5"/>
      <c r="R35" s="1"/>
      <c r="S35" s="5"/>
      <c r="T35" s="5">
        <v>2576</v>
      </c>
      <c r="U35" s="5">
        <v>0</v>
      </c>
      <c r="V35" s="5">
        <v>2576</v>
      </c>
      <c r="W35" s="5"/>
      <c r="X35" s="1"/>
      <c r="Y35" s="5"/>
      <c r="Z35" s="5">
        <v>2576</v>
      </c>
      <c r="AA35" s="5">
        <v>0</v>
      </c>
    </row>
    <row r="36" spans="1:27" ht="19.5">
      <c r="A36" s="1">
        <v>4</v>
      </c>
      <c r="B36" s="9" t="s">
        <v>11</v>
      </c>
      <c r="C36" s="1">
        <v>322</v>
      </c>
      <c r="D36" s="5">
        <v>2576</v>
      </c>
      <c r="E36" s="5"/>
      <c r="F36" s="1"/>
      <c r="G36" s="5"/>
      <c r="H36" s="5">
        <v>2576</v>
      </c>
      <c r="I36" s="5">
        <v>0</v>
      </c>
      <c r="J36" s="5">
        <v>2576</v>
      </c>
      <c r="K36" s="5"/>
      <c r="L36" s="1"/>
      <c r="M36" s="5"/>
      <c r="N36" s="5">
        <v>2576</v>
      </c>
      <c r="O36" s="5">
        <v>0</v>
      </c>
      <c r="P36" s="5">
        <v>2576</v>
      </c>
      <c r="Q36" s="5"/>
      <c r="R36" s="1"/>
      <c r="S36" s="5"/>
      <c r="T36" s="5">
        <v>2576</v>
      </c>
      <c r="U36" s="5">
        <v>0</v>
      </c>
      <c r="V36" s="5">
        <v>2576</v>
      </c>
      <c r="W36" s="5"/>
      <c r="X36" s="1"/>
      <c r="Y36" s="5"/>
      <c r="Z36" s="5">
        <v>2576</v>
      </c>
      <c r="AA36" s="5">
        <v>0</v>
      </c>
    </row>
    <row r="37" spans="1:27" ht="38.25">
      <c r="A37" s="1">
        <v>4</v>
      </c>
      <c r="B37" s="9" t="s">
        <v>17</v>
      </c>
      <c r="C37" s="1">
        <v>322</v>
      </c>
      <c r="D37" s="5">
        <v>2576</v>
      </c>
      <c r="E37" s="5"/>
      <c r="F37" s="1"/>
      <c r="G37" s="5"/>
      <c r="H37" s="5">
        <v>2576</v>
      </c>
      <c r="I37" s="5">
        <v>0</v>
      </c>
      <c r="J37" s="5">
        <v>2576</v>
      </c>
      <c r="K37" s="5"/>
      <c r="L37" s="1"/>
      <c r="M37" s="5"/>
      <c r="N37" s="5">
        <v>2576</v>
      </c>
      <c r="O37" s="5">
        <v>0</v>
      </c>
      <c r="P37" s="5">
        <v>2576</v>
      </c>
      <c r="Q37" s="5"/>
      <c r="R37" s="1"/>
      <c r="S37" s="5"/>
      <c r="T37" s="5">
        <v>2576</v>
      </c>
      <c r="U37" s="5">
        <v>0</v>
      </c>
      <c r="V37" s="5">
        <v>2576</v>
      </c>
      <c r="W37" s="5"/>
      <c r="X37" s="1"/>
      <c r="Y37" s="5"/>
      <c r="Z37" s="5">
        <v>2576</v>
      </c>
      <c r="AA37" s="5">
        <v>0</v>
      </c>
    </row>
    <row r="38" spans="1:27" ht="19.5">
      <c r="A38" s="1">
        <v>4</v>
      </c>
      <c r="B38" s="9" t="s">
        <v>14</v>
      </c>
      <c r="C38" s="1">
        <v>322</v>
      </c>
      <c r="D38" s="5">
        <v>2576</v>
      </c>
      <c r="E38" s="5"/>
      <c r="F38" s="1"/>
      <c r="G38" s="5"/>
      <c r="H38" s="5">
        <v>2576</v>
      </c>
      <c r="I38" s="5">
        <v>0</v>
      </c>
      <c r="J38" s="5">
        <v>2576</v>
      </c>
      <c r="K38" s="5"/>
      <c r="L38" s="1"/>
      <c r="M38" s="5"/>
      <c r="N38" s="5">
        <v>2576</v>
      </c>
      <c r="O38" s="5">
        <v>0</v>
      </c>
      <c r="P38" s="5">
        <v>2576</v>
      </c>
      <c r="Q38" s="5"/>
      <c r="R38" s="1"/>
      <c r="S38" s="5"/>
      <c r="T38" s="5">
        <v>2576</v>
      </c>
      <c r="U38" s="5">
        <v>0</v>
      </c>
      <c r="V38" s="5">
        <v>2576</v>
      </c>
      <c r="W38" s="5"/>
      <c r="X38" s="1"/>
      <c r="Y38" s="5"/>
      <c r="Z38" s="5">
        <v>2576</v>
      </c>
      <c r="AA38" s="5">
        <v>0</v>
      </c>
    </row>
    <row r="39" spans="1:27" ht="19.5">
      <c r="A39" s="1">
        <v>4</v>
      </c>
      <c r="B39" s="9" t="s">
        <v>18</v>
      </c>
      <c r="C39" s="1">
        <v>322</v>
      </c>
      <c r="D39" s="5">
        <v>2576</v>
      </c>
      <c r="E39" s="5"/>
      <c r="F39" s="1"/>
      <c r="G39" s="5"/>
      <c r="H39" s="5">
        <v>2576</v>
      </c>
      <c r="I39" s="5">
        <v>0</v>
      </c>
      <c r="J39" s="5">
        <v>2576</v>
      </c>
      <c r="K39" s="5"/>
      <c r="L39" s="1"/>
      <c r="M39" s="5"/>
      <c r="N39" s="5">
        <v>2576</v>
      </c>
      <c r="O39" s="5">
        <v>0</v>
      </c>
      <c r="P39" s="5">
        <v>2576</v>
      </c>
      <c r="Q39" s="5"/>
      <c r="R39" s="1"/>
      <c r="S39" s="5"/>
      <c r="T39" s="5">
        <v>2576</v>
      </c>
      <c r="U39" s="5">
        <v>0</v>
      </c>
      <c r="V39" s="5">
        <v>2576</v>
      </c>
      <c r="W39" s="5"/>
      <c r="X39" s="1"/>
      <c r="Y39" s="5"/>
      <c r="Z39" s="5">
        <v>2576</v>
      </c>
      <c r="AA39" s="5">
        <v>0</v>
      </c>
    </row>
    <row r="40" spans="1:27" ht="19.5">
      <c r="A40" s="1">
        <v>4</v>
      </c>
      <c r="B40" s="9" t="s">
        <v>19</v>
      </c>
      <c r="C40" s="1">
        <v>322</v>
      </c>
      <c r="D40" s="5">
        <v>2576</v>
      </c>
      <c r="E40" s="5"/>
      <c r="F40" s="1"/>
      <c r="G40" s="5"/>
      <c r="H40" s="5">
        <v>2576</v>
      </c>
      <c r="I40" s="5">
        <v>0</v>
      </c>
      <c r="J40" s="5">
        <v>2576</v>
      </c>
      <c r="K40" s="5"/>
      <c r="L40" s="1"/>
      <c r="M40" s="5"/>
      <c r="N40" s="5">
        <v>2576</v>
      </c>
      <c r="O40" s="5">
        <v>0</v>
      </c>
      <c r="P40" s="5">
        <v>2576</v>
      </c>
      <c r="Q40" s="5"/>
      <c r="R40" s="1"/>
      <c r="S40" s="5"/>
      <c r="T40" s="5">
        <v>2576</v>
      </c>
      <c r="U40" s="5">
        <v>0</v>
      </c>
      <c r="V40" s="5">
        <v>2576</v>
      </c>
      <c r="W40" s="5"/>
      <c r="X40" s="1"/>
      <c r="Y40" s="5"/>
      <c r="Z40" s="5">
        <v>2576</v>
      </c>
      <c r="AA40" s="5">
        <v>0</v>
      </c>
    </row>
    <row r="41" spans="1:27" ht="19.5">
      <c r="A41" s="1">
        <v>4</v>
      </c>
      <c r="B41" s="9" t="s">
        <v>20</v>
      </c>
      <c r="C41" s="1">
        <v>322</v>
      </c>
      <c r="D41" s="5">
        <v>2576</v>
      </c>
      <c r="E41" s="5"/>
      <c r="F41" s="1"/>
      <c r="G41" s="5"/>
      <c r="H41" s="5">
        <v>2576</v>
      </c>
      <c r="I41" s="5">
        <v>0</v>
      </c>
      <c r="J41" s="5">
        <v>2576</v>
      </c>
      <c r="K41" s="5"/>
      <c r="L41" s="1"/>
      <c r="M41" s="5"/>
      <c r="N41" s="5">
        <v>2576</v>
      </c>
      <c r="O41" s="5">
        <v>0</v>
      </c>
      <c r="P41" s="5">
        <v>2576</v>
      </c>
      <c r="Q41" s="5"/>
      <c r="R41" s="1"/>
      <c r="S41" s="5"/>
      <c r="T41" s="5">
        <v>2576</v>
      </c>
      <c r="U41" s="5">
        <v>0</v>
      </c>
      <c r="V41" s="5">
        <v>2576</v>
      </c>
      <c r="W41" s="5"/>
      <c r="X41" s="1"/>
      <c r="Y41" s="5"/>
      <c r="Z41" s="5">
        <v>2576</v>
      </c>
      <c r="AA41" s="5"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308</v>
      </c>
      <c r="D43" s="5">
        <v>2464</v>
      </c>
      <c r="E43" s="5">
        <v>191</v>
      </c>
      <c r="F43" s="1">
        <v>2025</v>
      </c>
      <c r="G43" s="5" t="s">
        <v>9</v>
      </c>
      <c r="H43" s="5">
        <v>2273</v>
      </c>
      <c r="I43" s="5">
        <v>0</v>
      </c>
      <c r="J43" s="5">
        <v>2464</v>
      </c>
      <c r="K43" s="5">
        <v>211</v>
      </c>
      <c r="L43" s="1">
        <v>2025</v>
      </c>
      <c r="M43" s="5" t="s">
        <v>9</v>
      </c>
      <c r="N43" s="5">
        <v>2253</v>
      </c>
      <c r="O43" s="5">
        <v>0</v>
      </c>
      <c r="P43" s="5">
        <v>2464</v>
      </c>
      <c r="Q43" s="5"/>
      <c r="R43" s="1"/>
      <c r="S43" s="5"/>
      <c r="T43" s="5">
        <v>2464</v>
      </c>
      <c r="U43" s="5">
        <v>0</v>
      </c>
      <c r="V43" s="5">
        <v>2464</v>
      </c>
      <c r="W43" s="5"/>
      <c r="X43" s="1"/>
      <c r="Y43" s="5"/>
      <c r="Z43" s="5">
        <v>2464</v>
      </c>
      <c r="AA43" s="5">
        <v>0</v>
      </c>
    </row>
    <row r="44" spans="1:27" ht="19.5">
      <c r="A44" s="1">
        <v>5</v>
      </c>
      <c r="B44" s="9" t="s">
        <v>16</v>
      </c>
      <c r="C44" s="1">
        <v>308</v>
      </c>
      <c r="D44" s="5">
        <v>2464</v>
      </c>
      <c r="E44" s="5">
        <v>191</v>
      </c>
      <c r="F44" s="1">
        <v>2025</v>
      </c>
      <c r="G44" s="5" t="s">
        <v>9</v>
      </c>
      <c r="H44" s="5">
        <v>2273</v>
      </c>
      <c r="I44" s="5">
        <v>0</v>
      </c>
      <c r="J44" s="5">
        <v>2464</v>
      </c>
      <c r="K44" s="5"/>
      <c r="L44" s="1"/>
      <c r="M44" s="5"/>
      <c r="N44" s="5">
        <v>2464</v>
      </c>
      <c r="O44" s="5">
        <v>0</v>
      </c>
      <c r="P44" s="5">
        <v>2464</v>
      </c>
      <c r="Q44" s="5"/>
      <c r="R44" s="1"/>
      <c r="S44" s="5"/>
      <c r="T44" s="5">
        <v>2464</v>
      </c>
      <c r="U44" s="5">
        <v>0</v>
      </c>
      <c r="V44" s="5">
        <v>2464</v>
      </c>
      <c r="W44" s="5"/>
      <c r="X44" s="1"/>
      <c r="Y44" s="5"/>
      <c r="Z44" s="5">
        <v>2464</v>
      </c>
      <c r="AA44" s="5">
        <v>0</v>
      </c>
    </row>
    <row r="45" spans="1:27" ht="19.5">
      <c r="A45" s="1">
        <v>5</v>
      </c>
      <c r="B45" s="9" t="s">
        <v>13</v>
      </c>
      <c r="C45" s="1">
        <v>308</v>
      </c>
      <c r="D45" s="5">
        <v>2464</v>
      </c>
      <c r="E45" s="5">
        <v>191</v>
      </c>
      <c r="F45" s="1">
        <v>2025</v>
      </c>
      <c r="G45" s="5" t="s">
        <v>9</v>
      </c>
      <c r="H45" s="5">
        <v>2273</v>
      </c>
      <c r="I45" s="5">
        <v>0</v>
      </c>
      <c r="J45" s="5">
        <v>2464</v>
      </c>
      <c r="K45" s="5">
        <v>211</v>
      </c>
      <c r="L45" s="1">
        <v>2025</v>
      </c>
      <c r="M45" s="5" t="s">
        <v>9</v>
      </c>
      <c r="N45" s="5">
        <v>2253</v>
      </c>
      <c r="O45" s="5">
        <v>0</v>
      </c>
      <c r="P45" s="5">
        <v>2464</v>
      </c>
      <c r="Q45" s="5"/>
      <c r="R45" s="1"/>
      <c r="S45" s="5"/>
      <c r="T45" s="5">
        <v>2464</v>
      </c>
      <c r="U45" s="5">
        <v>0</v>
      </c>
      <c r="V45" s="5">
        <v>2464</v>
      </c>
      <c r="W45" s="5"/>
      <c r="X45" s="1"/>
      <c r="Y45" s="5"/>
      <c r="Z45" s="5">
        <v>2464</v>
      </c>
      <c r="AA45" s="5">
        <v>0</v>
      </c>
    </row>
    <row r="46" spans="1:27" ht="19.5">
      <c r="A46" s="1">
        <v>5</v>
      </c>
      <c r="B46" s="9" t="s">
        <v>11</v>
      </c>
      <c r="C46" s="1">
        <v>308</v>
      </c>
      <c r="D46" s="5">
        <v>2464</v>
      </c>
      <c r="E46" s="5">
        <v>191</v>
      </c>
      <c r="F46" s="1">
        <v>2025</v>
      </c>
      <c r="G46" s="5" t="s">
        <v>9</v>
      </c>
      <c r="H46" s="5">
        <v>2273</v>
      </c>
      <c r="I46" s="5">
        <v>0</v>
      </c>
      <c r="J46" s="5">
        <v>2464</v>
      </c>
      <c r="K46" s="5"/>
      <c r="L46" s="1"/>
      <c r="M46" s="5"/>
      <c r="N46" s="5">
        <v>2464</v>
      </c>
      <c r="O46" s="5">
        <v>0</v>
      </c>
      <c r="P46" s="5">
        <v>2464</v>
      </c>
      <c r="Q46" s="5"/>
      <c r="R46" s="1"/>
      <c r="S46" s="5"/>
      <c r="T46" s="5">
        <v>2464</v>
      </c>
      <c r="U46" s="5">
        <v>0</v>
      </c>
      <c r="V46" s="5">
        <v>2464</v>
      </c>
      <c r="W46" s="5"/>
      <c r="X46" s="1"/>
      <c r="Y46" s="5"/>
      <c r="Z46" s="5">
        <v>2464</v>
      </c>
      <c r="AA46" s="5">
        <v>0</v>
      </c>
    </row>
    <row r="47" spans="1:27" ht="38.25">
      <c r="A47" s="1">
        <v>5</v>
      </c>
      <c r="B47" s="9" t="s">
        <v>17</v>
      </c>
      <c r="C47" s="1">
        <v>308</v>
      </c>
      <c r="D47" s="5">
        <v>2464</v>
      </c>
      <c r="E47" s="5">
        <v>191</v>
      </c>
      <c r="F47" s="1">
        <v>2025</v>
      </c>
      <c r="G47" s="5" t="s">
        <v>9</v>
      </c>
      <c r="H47" s="5">
        <v>2273</v>
      </c>
      <c r="I47" s="5">
        <v>0</v>
      </c>
      <c r="J47" s="5">
        <v>2464</v>
      </c>
      <c r="K47" s="5"/>
      <c r="L47" s="1"/>
      <c r="M47" s="5"/>
      <c r="N47" s="5">
        <v>2464</v>
      </c>
      <c r="O47" s="5">
        <v>0</v>
      </c>
      <c r="P47" s="5">
        <v>2464</v>
      </c>
      <c r="Q47" s="5"/>
      <c r="R47" s="1"/>
      <c r="S47" s="5"/>
      <c r="T47" s="5">
        <v>2464</v>
      </c>
      <c r="U47" s="5">
        <v>0</v>
      </c>
      <c r="V47" s="5">
        <v>2464</v>
      </c>
      <c r="W47" s="5"/>
      <c r="X47" s="1"/>
      <c r="Y47" s="5"/>
      <c r="Z47" s="5">
        <v>2464</v>
      </c>
      <c r="AA47" s="5">
        <v>0</v>
      </c>
    </row>
    <row r="48" spans="1:27" ht="19.5">
      <c r="A48" s="1">
        <v>5</v>
      </c>
      <c r="B48" s="9" t="s">
        <v>14</v>
      </c>
      <c r="C48" s="1">
        <v>308</v>
      </c>
      <c r="D48" s="5">
        <v>2464</v>
      </c>
      <c r="E48" s="5">
        <v>191</v>
      </c>
      <c r="F48" s="1">
        <v>2025</v>
      </c>
      <c r="G48" s="5" t="s">
        <v>9</v>
      </c>
      <c r="H48" s="5">
        <v>2273</v>
      </c>
      <c r="I48" s="5">
        <v>0</v>
      </c>
      <c r="J48" s="5">
        <v>2464</v>
      </c>
      <c r="K48" s="5"/>
      <c r="L48" s="1"/>
      <c r="M48" s="5"/>
      <c r="N48" s="5">
        <v>2464</v>
      </c>
      <c r="O48" s="5">
        <v>0</v>
      </c>
      <c r="P48" s="5">
        <v>2464</v>
      </c>
      <c r="Q48" s="5"/>
      <c r="R48" s="1"/>
      <c r="S48" s="5"/>
      <c r="T48" s="5">
        <v>2464</v>
      </c>
      <c r="U48" s="5">
        <v>0</v>
      </c>
      <c r="V48" s="5">
        <v>2464</v>
      </c>
      <c r="W48" s="5"/>
      <c r="X48" s="1"/>
      <c r="Y48" s="5"/>
      <c r="Z48" s="5">
        <v>2464</v>
      </c>
      <c r="AA48" s="5">
        <v>0</v>
      </c>
    </row>
    <row r="49" spans="1:27" ht="19.5">
      <c r="A49" s="1">
        <v>5</v>
      </c>
      <c r="B49" s="9" t="s">
        <v>18</v>
      </c>
      <c r="C49" s="1">
        <v>308</v>
      </c>
      <c r="D49" s="5">
        <v>2464</v>
      </c>
      <c r="E49" s="5">
        <v>191</v>
      </c>
      <c r="F49" s="1">
        <v>2025</v>
      </c>
      <c r="G49" s="5" t="s">
        <v>9</v>
      </c>
      <c r="H49" s="5">
        <v>2273</v>
      </c>
      <c r="I49" s="5">
        <v>0</v>
      </c>
      <c r="J49" s="5">
        <v>2464</v>
      </c>
      <c r="K49" s="5"/>
      <c r="L49" s="1"/>
      <c r="M49" s="5"/>
      <c r="N49" s="5">
        <v>2464</v>
      </c>
      <c r="O49" s="5">
        <v>0</v>
      </c>
      <c r="P49" s="5">
        <v>2464</v>
      </c>
      <c r="Q49" s="5"/>
      <c r="R49" s="1"/>
      <c r="S49" s="5"/>
      <c r="T49" s="5">
        <v>2464</v>
      </c>
      <c r="U49" s="5">
        <v>0</v>
      </c>
      <c r="V49" s="5">
        <v>2464</v>
      </c>
      <c r="W49" s="5"/>
      <c r="X49" s="1"/>
      <c r="Y49" s="5"/>
      <c r="Z49" s="5">
        <v>2464</v>
      </c>
      <c r="AA49" s="5">
        <v>0</v>
      </c>
    </row>
    <row r="50" spans="1:27" ht="19.5">
      <c r="A50" s="1">
        <v>5</v>
      </c>
      <c r="B50" s="9" t="s">
        <v>19</v>
      </c>
      <c r="C50" s="1">
        <v>308</v>
      </c>
      <c r="D50" s="5">
        <v>2464</v>
      </c>
      <c r="E50" s="5">
        <v>191</v>
      </c>
      <c r="F50" s="1">
        <v>2025</v>
      </c>
      <c r="G50" s="5" t="s">
        <v>9</v>
      </c>
      <c r="H50" s="5">
        <v>2273</v>
      </c>
      <c r="I50" s="5">
        <v>0</v>
      </c>
      <c r="J50" s="5">
        <v>2464</v>
      </c>
      <c r="K50" s="5"/>
      <c r="L50" s="1"/>
      <c r="M50" s="5"/>
      <c r="N50" s="5">
        <v>2464</v>
      </c>
      <c r="O50" s="5">
        <v>0</v>
      </c>
      <c r="P50" s="5">
        <v>2464</v>
      </c>
      <c r="Q50" s="5"/>
      <c r="R50" s="1"/>
      <c r="S50" s="5"/>
      <c r="T50" s="5">
        <v>2464</v>
      </c>
      <c r="U50" s="5">
        <v>0</v>
      </c>
      <c r="V50" s="5">
        <v>2464</v>
      </c>
      <c r="W50" s="5"/>
      <c r="X50" s="1"/>
      <c r="Y50" s="5"/>
      <c r="Z50" s="5">
        <v>2464</v>
      </c>
      <c r="AA50" s="5">
        <v>0</v>
      </c>
    </row>
    <row r="51" spans="1:27" ht="19.5">
      <c r="A51" s="1">
        <v>5</v>
      </c>
      <c r="B51" s="9" t="s">
        <v>20</v>
      </c>
      <c r="C51" s="1">
        <v>308</v>
      </c>
      <c r="D51" s="5">
        <v>2464</v>
      </c>
      <c r="E51" s="5">
        <v>191</v>
      </c>
      <c r="F51" s="1">
        <v>2025</v>
      </c>
      <c r="G51" s="5" t="s">
        <v>9</v>
      </c>
      <c r="H51" s="5">
        <v>2273</v>
      </c>
      <c r="I51" s="5">
        <v>0</v>
      </c>
      <c r="J51" s="5">
        <v>2464</v>
      </c>
      <c r="K51" s="5"/>
      <c r="L51" s="1"/>
      <c r="M51" s="5"/>
      <c r="N51" s="5">
        <v>2464</v>
      </c>
      <c r="O51" s="5">
        <v>0</v>
      </c>
      <c r="P51" s="5">
        <v>2464</v>
      </c>
      <c r="Q51" s="5"/>
      <c r="R51" s="1"/>
      <c r="S51" s="5"/>
      <c r="T51" s="5">
        <v>2464</v>
      </c>
      <c r="U51" s="5">
        <v>0</v>
      </c>
      <c r="V51" s="5">
        <v>2464</v>
      </c>
      <c r="W51" s="5"/>
      <c r="X51" s="1"/>
      <c r="Y51" s="5"/>
      <c r="Z51" s="5">
        <v>2464</v>
      </c>
      <c r="AA51" s="5"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270</v>
      </c>
      <c r="D53" s="5">
        <v>2160</v>
      </c>
      <c r="E53" s="5">
        <v>606</v>
      </c>
      <c r="F53" s="1">
        <v>2025</v>
      </c>
      <c r="G53" s="5"/>
      <c r="H53" s="5">
        <v>2160</v>
      </c>
      <c r="I53" s="5">
        <v>0</v>
      </c>
      <c r="J53" s="5">
        <v>2160</v>
      </c>
      <c r="K53" s="5"/>
      <c r="L53" s="1"/>
      <c r="M53" s="5"/>
      <c r="N53" s="5">
        <v>2160</v>
      </c>
      <c r="O53" s="5">
        <v>0</v>
      </c>
      <c r="P53" s="5">
        <v>2160</v>
      </c>
      <c r="Q53" s="5"/>
      <c r="R53" s="1"/>
      <c r="S53" s="5"/>
      <c r="T53" s="5">
        <v>2160</v>
      </c>
      <c r="U53" s="5">
        <v>0</v>
      </c>
      <c r="V53" s="5">
        <v>2160</v>
      </c>
      <c r="W53" s="5"/>
      <c r="X53" s="1"/>
      <c r="Y53" s="5"/>
      <c r="Z53" s="5">
        <v>2160</v>
      </c>
      <c r="AA53" s="5">
        <v>0</v>
      </c>
    </row>
    <row r="54" spans="1:27" ht="19.5">
      <c r="A54" s="1">
        <v>6</v>
      </c>
      <c r="B54" s="9" t="s">
        <v>16</v>
      </c>
      <c r="C54" s="1">
        <v>270</v>
      </c>
      <c r="D54" s="5">
        <v>2160</v>
      </c>
      <c r="E54" s="5">
        <v>2828</v>
      </c>
      <c r="F54" s="1">
        <v>2025</v>
      </c>
      <c r="G54" s="5"/>
      <c r="H54" s="5">
        <v>2160</v>
      </c>
      <c r="I54" s="5">
        <v>0</v>
      </c>
      <c r="J54" s="5">
        <v>2160</v>
      </c>
      <c r="K54" s="5"/>
      <c r="L54" s="1"/>
      <c r="M54" s="5"/>
      <c r="N54" s="5">
        <v>2160</v>
      </c>
      <c r="O54" s="5">
        <v>0</v>
      </c>
      <c r="P54" s="5">
        <v>2160</v>
      </c>
      <c r="Q54" s="5"/>
      <c r="R54" s="1"/>
      <c r="S54" s="5"/>
      <c r="T54" s="5">
        <v>2160</v>
      </c>
      <c r="U54" s="5">
        <v>0</v>
      </c>
      <c r="V54" s="5">
        <v>2160</v>
      </c>
      <c r="W54" s="5"/>
      <c r="X54" s="1"/>
      <c r="Y54" s="5"/>
      <c r="Z54" s="5">
        <v>2160</v>
      </c>
      <c r="AA54" s="5">
        <v>0</v>
      </c>
    </row>
    <row r="55" spans="1:27" ht="19.5">
      <c r="A55" s="1">
        <v>6</v>
      </c>
      <c r="B55" s="9" t="s">
        <v>13</v>
      </c>
      <c r="C55" s="1">
        <v>270</v>
      </c>
      <c r="D55" s="5">
        <v>2160</v>
      </c>
      <c r="E55" s="5">
        <v>2222</v>
      </c>
      <c r="F55" s="1">
        <v>2025</v>
      </c>
      <c r="G55" s="5"/>
      <c r="H55" s="5">
        <v>2160</v>
      </c>
      <c r="I55" s="5">
        <v>0</v>
      </c>
      <c r="J55" s="5">
        <v>2160</v>
      </c>
      <c r="K55" s="5"/>
      <c r="L55" s="1"/>
      <c r="M55" s="5"/>
      <c r="N55" s="5">
        <v>2160</v>
      </c>
      <c r="O55" s="5">
        <v>0</v>
      </c>
      <c r="P55" s="5">
        <v>2160</v>
      </c>
      <c r="Q55" s="5"/>
      <c r="R55" s="1"/>
      <c r="S55" s="5"/>
      <c r="T55" s="5">
        <v>2160</v>
      </c>
      <c r="U55" s="5">
        <v>0</v>
      </c>
      <c r="V55" s="5">
        <v>2160</v>
      </c>
      <c r="W55" s="5"/>
      <c r="X55" s="1"/>
      <c r="Y55" s="5"/>
      <c r="Z55" s="5">
        <v>2160</v>
      </c>
      <c r="AA55" s="5">
        <v>0</v>
      </c>
    </row>
    <row r="56" spans="1:27" ht="19.5">
      <c r="A56" s="1">
        <v>6</v>
      </c>
      <c r="B56" s="9" t="s">
        <v>11</v>
      </c>
      <c r="C56" s="1">
        <v>270</v>
      </c>
      <c r="D56" s="5">
        <v>2160</v>
      </c>
      <c r="E56" s="5"/>
      <c r="F56" s="1"/>
      <c r="G56" s="5"/>
      <c r="H56" s="5">
        <v>2160</v>
      </c>
      <c r="I56" s="5">
        <v>0</v>
      </c>
      <c r="J56" s="5">
        <v>2160</v>
      </c>
      <c r="K56" s="5"/>
      <c r="L56" s="1"/>
      <c r="M56" s="5"/>
      <c r="N56" s="5">
        <v>2160</v>
      </c>
      <c r="O56" s="5">
        <v>0</v>
      </c>
      <c r="P56" s="5">
        <v>2160</v>
      </c>
      <c r="Q56" s="5"/>
      <c r="R56" s="1"/>
      <c r="S56" s="5"/>
      <c r="T56" s="5">
        <v>2160</v>
      </c>
      <c r="U56" s="5">
        <v>0</v>
      </c>
      <c r="V56" s="5">
        <v>2160</v>
      </c>
      <c r="W56" s="5"/>
      <c r="X56" s="1"/>
      <c r="Y56" s="5"/>
      <c r="Z56" s="5">
        <v>2160</v>
      </c>
      <c r="AA56" s="5">
        <v>0</v>
      </c>
    </row>
    <row r="57" spans="1:27" ht="38.25">
      <c r="A57" s="1">
        <v>6</v>
      </c>
      <c r="B57" s="9" t="s">
        <v>17</v>
      </c>
      <c r="C57" s="1">
        <v>270</v>
      </c>
      <c r="D57" s="5">
        <v>2160</v>
      </c>
      <c r="E57" s="5"/>
      <c r="F57" s="1"/>
      <c r="G57" s="5"/>
      <c r="H57" s="5">
        <v>2160</v>
      </c>
      <c r="I57" s="5">
        <v>0</v>
      </c>
      <c r="J57" s="5">
        <v>2160</v>
      </c>
      <c r="K57" s="5"/>
      <c r="L57" s="1"/>
      <c r="M57" s="5"/>
      <c r="N57" s="5">
        <v>2160</v>
      </c>
      <c r="O57" s="5">
        <v>0</v>
      </c>
      <c r="P57" s="5">
        <v>2160</v>
      </c>
      <c r="Q57" s="5"/>
      <c r="R57" s="1"/>
      <c r="S57" s="5"/>
      <c r="T57" s="5">
        <v>2160</v>
      </c>
      <c r="U57" s="5">
        <v>0</v>
      </c>
      <c r="V57" s="5">
        <v>2160</v>
      </c>
      <c r="W57" s="5"/>
      <c r="X57" s="1"/>
      <c r="Y57" s="5"/>
      <c r="Z57" s="5">
        <v>2160</v>
      </c>
      <c r="AA57" s="5">
        <v>0</v>
      </c>
    </row>
    <row r="58" spans="1:27" ht="19.5">
      <c r="A58" s="1">
        <v>6</v>
      </c>
      <c r="B58" s="9" t="s">
        <v>14</v>
      </c>
      <c r="C58" s="1">
        <v>270</v>
      </c>
      <c r="D58" s="5">
        <v>2160</v>
      </c>
      <c r="E58" s="5"/>
      <c r="F58" s="1"/>
      <c r="G58" s="5"/>
      <c r="H58" s="5">
        <v>2160</v>
      </c>
      <c r="I58" s="5">
        <v>0</v>
      </c>
      <c r="J58" s="5">
        <v>2160</v>
      </c>
      <c r="K58" s="5"/>
      <c r="L58" s="1"/>
      <c r="M58" s="5"/>
      <c r="N58" s="5">
        <v>2160</v>
      </c>
      <c r="O58" s="5">
        <v>0</v>
      </c>
      <c r="P58" s="5">
        <v>2160</v>
      </c>
      <c r="Q58" s="5"/>
      <c r="R58" s="1"/>
      <c r="S58" s="5"/>
      <c r="T58" s="5">
        <v>2160</v>
      </c>
      <c r="U58" s="5">
        <v>0</v>
      </c>
      <c r="V58" s="5">
        <v>2160</v>
      </c>
      <c r="W58" s="5"/>
      <c r="X58" s="1"/>
      <c r="Y58" s="5"/>
      <c r="Z58" s="5">
        <v>2160</v>
      </c>
      <c r="AA58" s="5">
        <v>0</v>
      </c>
    </row>
    <row r="59" spans="1:27" ht="19.5">
      <c r="A59" s="1">
        <v>6</v>
      </c>
      <c r="B59" s="9" t="s">
        <v>18</v>
      </c>
      <c r="C59" s="1">
        <v>270</v>
      </c>
      <c r="D59" s="5">
        <v>2160</v>
      </c>
      <c r="E59" s="5"/>
      <c r="F59" s="1"/>
      <c r="G59" s="5"/>
      <c r="H59" s="5">
        <v>2160</v>
      </c>
      <c r="I59" s="5">
        <v>0</v>
      </c>
      <c r="J59" s="5">
        <v>2160</v>
      </c>
      <c r="K59" s="5"/>
      <c r="L59" s="1"/>
      <c r="M59" s="5"/>
      <c r="N59" s="5">
        <v>2160</v>
      </c>
      <c r="O59" s="5">
        <v>0</v>
      </c>
      <c r="P59" s="5">
        <v>2160</v>
      </c>
      <c r="Q59" s="5"/>
      <c r="R59" s="1"/>
      <c r="S59" s="5"/>
      <c r="T59" s="5">
        <v>2160</v>
      </c>
      <c r="U59" s="5">
        <v>0</v>
      </c>
      <c r="V59" s="5">
        <v>2160</v>
      </c>
      <c r="W59" s="5"/>
      <c r="X59" s="1"/>
      <c r="Y59" s="5"/>
      <c r="Z59" s="5">
        <v>2160</v>
      </c>
      <c r="AA59" s="5">
        <v>0</v>
      </c>
    </row>
    <row r="60" spans="1:27" ht="19.5">
      <c r="A60" s="1">
        <v>6</v>
      </c>
      <c r="B60" s="9" t="s">
        <v>19</v>
      </c>
      <c r="C60" s="1">
        <v>270</v>
      </c>
      <c r="D60" s="5">
        <v>2160</v>
      </c>
      <c r="E60" s="5"/>
      <c r="F60" s="1"/>
      <c r="G60" s="5"/>
      <c r="H60" s="5">
        <v>2160</v>
      </c>
      <c r="I60" s="5">
        <v>0</v>
      </c>
      <c r="J60" s="5">
        <v>2160</v>
      </c>
      <c r="K60" s="5"/>
      <c r="L60" s="1"/>
      <c r="M60" s="5"/>
      <c r="N60" s="5">
        <v>2160</v>
      </c>
      <c r="O60" s="5">
        <v>0</v>
      </c>
      <c r="P60" s="5">
        <v>2160</v>
      </c>
      <c r="Q60" s="5"/>
      <c r="R60" s="1"/>
      <c r="S60" s="5"/>
      <c r="T60" s="5">
        <v>2160</v>
      </c>
      <c r="U60" s="5">
        <v>0</v>
      </c>
      <c r="V60" s="5">
        <v>2160</v>
      </c>
      <c r="W60" s="5"/>
      <c r="X60" s="1"/>
      <c r="Y60" s="5"/>
      <c r="Z60" s="5">
        <v>2160</v>
      </c>
      <c r="AA60" s="5">
        <v>0</v>
      </c>
    </row>
    <row r="61" spans="1:27" ht="19.5">
      <c r="A61" s="1">
        <v>6</v>
      </c>
      <c r="B61" s="9" t="s">
        <v>20</v>
      </c>
      <c r="C61" s="1">
        <v>270</v>
      </c>
      <c r="D61" s="5">
        <v>2160</v>
      </c>
      <c r="E61" s="5"/>
      <c r="F61" s="1"/>
      <c r="G61" s="5"/>
      <c r="H61" s="5">
        <v>2160</v>
      </c>
      <c r="I61" s="5">
        <v>0</v>
      </c>
      <c r="J61" s="5">
        <v>2160</v>
      </c>
      <c r="K61" s="5"/>
      <c r="L61" s="1"/>
      <c r="M61" s="5"/>
      <c r="N61" s="5">
        <v>2160</v>
      </c>
      <c r="O61" s="5">
        <v>0</v>
      </c>
      <c r="P61" s="5">
        <v>2160</v>
      </c>
      <c r="Q61" s="5"/>
      <c r="R61" s="1"/>
      <c r="S61" s="5"/>
      <c r="T61" s="5">
        <v>2160</v>
      </c>
      <c r="U61" s="5">
        <v>0</v>
      </c>
      <c r="V61" s="5">
        <v>2160</v>
      </c>
      <c r="W61" s="5"/>
      <c r="X61" s="1"/>
      <c r="Y61" s="5"/>
      <c r="Z61" s="5">
        <v>2160</v>
      </c>
      <c r="AA61" s="5"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ref="H5:H77" si="2">IF((D63-E63)&lt;0,0,(D63-E63))</f>
        <v>0</v>
      </c>
      <c r="I63" s="12">
        <f t="shared" ref="I5:I77" si="3">IF((E63-D63)&lt;0,0,(E63-D63))</f>
        <v>0</v>
      </c>
      <c r="J63" s="12">
        <f>Table1[[#This Row],[Enrolment S.Y. 2025-2026 ]]*8</f>
        <v>0</v>
      </c>
      <c r="K63" s="12"/>
      <c r="L63" s="10"/>
      <c r="M63" s="12"/>
      <c r="N63" s="12">
        <f t="shared" ref="N6:N69" si="4">IF((J63-K63)&lt;0,0,(J63-K63))</f>
        <v>0</v>
      </c>
      <c r="O63" s="12">
        <f t="shared" ref="O6:O69" si="5">IF((K63-J63)&lt;0,0,(K63-J63))</f>
        <v>0</v>
      </c>
      <c r="P63" s="12">
        <f>Table1[[#This Row],[Enrolment S.Y. 2025-2026 ]]*8</f>
        <v>0</v>
      </c>
      <c r="Q63" s="12"/>
      <c r="R63" s="10"/>
      <c r="S63" s="12"/>
      <c r="T63" s="12">
        <f t="shared" ref="T6:T69" si="6">IF((P63-Q63)&lt;0,0,(P63-Q63))</f>
        <v>0</v>
      </c>
      <c r="U63" s="12">
        <f t="shared" ref="U6:U69" si="7">IF((Q63-P63)&lt;0,0,(Q63-P63))</f>
        <v>0</v>
      </c>
      <c r="V63" s="12">
        <f>Table1[[#This Row],[Enrolment S.Y. 2025-2026 ]]*8</f>
        <v>0</v>
      </c>
      <c r="W63" s="12"/>
      <c r="X63" s="10"/>
      <c r="Y63" s="12"/>
      <c r="Z63" s="12">
        <f t="shared" ref="Z6:Z69" si="8">IF((V63-W63)&lt;0,0,(V63-W63))</f>
        <v>0</v>
      </c>
      <c r="AA63" s="12">
        <f t="shared" ref="AA6:AA69" si="9">IF((W63-V63)&lt;0,0,(W63-V63))</f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4"/>
        <v>0</v>
      </c>
      <c r="O64" s="12">
        <f t="shared" si="5"/>
        <v>0</v>
      </c>
      <c r="P64" s="12">
        <f>Table1[[#This Row],[Enrolment S.Y. 2025-2026 ]]*8</f>
        <v>0</v>
      </c>
      <c r="Q64" s="12"/>
      <c r="R64" s="10"/>
      <c r="S64" s="12"/>
      <c r="T64" s="12">
        <f t="shared" si="6"/>
        <v>0</v>
      </c>
      <c r="U64" s="12">
        <f t="shared" si="7"/>
        <v>0</v>
      </c>
      <c r="V64" s="12">
        <f>Table1[[#This Row],[Enrolment S.Y. 2025-2026 ]]*8</f>
        <v>0</v>
      </c>
      <c r="W64" s="12"/>
      <c r="X64" s="10"/>
      <c r="Y64" s="12"/>
      <c r="Z64" s="12">
        <f t="shared" si="8"/>
        <v>0</v>
      </c>
      <c r="AA64" s="12">
        <f t="shared" si="9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4"/>
        <v>0</v>
      </c>
      <c r="O65" s="12">
        <f t="shared" si="5"/>
        <v>0</v>
      </c>
      <c r="P65" s="12">
        <f>Table1[[#This Row],[Enrolment S.Y. 2025-2026 ]]*8</f>
        <v>0</v>
      </c>
      <c r="Q65" s="12"/>
      <c r="R65" s="10"/>
      <c r="S65" s="12"/>
      <c r="T65" s="12">
        <f t="shared" si="6"/>
        <v>0</v>
      </c>
      <c r="U65" s="12">
        <f t="shared" si="7"/>
        <v>0</v>
      </c>
      <c r="V65" s="12">
        <f>Table1[[#This Row],[Enrolment S.Y. 2025-2026 ]]*8</f>
        <v>0</v>
      </c>
      <c r="W65" s="12"/>
      <c r="X65" s="10"/>
      <c r="Y65" s="12"/>
      <c r="Z65" s="12">
        <f t="shared" si="8"/>
        <v>0</v>
      </c>
      <c r="AA65" s="12">
        <f t="shared" si="9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4"/>
        <v>0</v>
      </c>
      <c r="O66" s="12">
        <f t="shared" si="5"/>
        <v>0</v>
      </c>
      <c r="P66" s="12">
        <f>Table1[[#This Row],[Enrolment S.Y. 2025-2026 ]]*8</f>
        <v>0</v>
      </c>
      <c r="Q66" s="12"/>
      <c r="R66" s="10"/>
      <c r="S66" s="12"/>
      <c r="T66" s="12">
        <f t="shared" si="6"/>
        <v>0</v>
      </c>
      <c r="U66" s="12">
        <f t="shared" si="7"/>
        <v>0</v>
      </c>
      <c r="V66" s="12">
        <f>Table1[[#This Row],[Enrolment S.Y. 2025-2026 ]]*8</f>
        <v>0</v>
      </c>
      <c r="W66" s="12"/>
      <c r="X66" s="10"/>
      <c r="Y66" s="12"/>
      <c r="Z66" s="12">
        <f t="shared" si="8"/>
        <v>0</v>
      </c>
      <c r="AA66" s="12">
        <f t="shared" si="9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4"/>
        <v>0</v>
      </c>
      <c r="O67" s="12">
        <f t="shared" si="5"/>
        <v>0</v>
      </c>
      <c r="P67" s="12">
        <f>Table1[[#This Row],[Enrolment S.Y. 2025-2026 ]]*8</f>
        <v>0</v>
      </c>
      <c r="Q67" s="12"/>
      <c r="R67" s="10"/>
      <c r="S67" s="12"/>
      <c r="T67" s="12">
        <f t="shared" si="6"/>
        <v>0</v>
      </c>
      <c r="U67" s="12">
        <f t="shared" si="7"/>
        <v>0</v>
      </c>
      <c r="V67" s="12">
        <f>Table1[[#This Row],[Enrolment S.Y. 2025-2026 ]]*8</f>
        <v>0</v>
      </c>
      <c r="W67" s="12"/>
      <c r="X67" s="10"/>
      <c r="Y67" s="12"/>
      <c r="Z67" s="12">
        <f t="shared" si="8"/>
        <v>0</v>
      </c>
      <c r="AA67" s="12">
        <f t="shared" si="9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4"/>
        <v>0</v>
      </c>
      <c r="O68" s="12">
        <f t="shared" si="5"/>
        <v>0</v>
      </c>
      <c r="P68" s="12">
        <f>Table1[[#This Row],[Enrolment S.Y. 2025-2026 ]]*8</f>
        <v>0</v>
      </c>
      <c r="Q68" s="12"/>
      <c r="R68" s="10"/>
      <c r="S68" s="12"/>
      <c r="T68" s="12">
        <f t="shared" si="6"/>
        <v>0</v>
      </c>
      <c r="U68" s="12">
        <f t="shared" si="7"/>
        <v>0</v>
      </c>
      <c r="V68" s="12">
        <f>Table1[[#This Row],[Enrolment S.Y. 2025-2026 ]]*8</f>
        <v>0</v>
      </c>
      <c r="W68" s="12"/>
      <c r="X68" s="10"/>
      <c r="Y68" s="12"/>
      <c r="Z68" s="12">
        <f t="shared" si="8"/>
        <v>0</v>
      </c>
      <c r="AA68" s="12">
        <f t="shared" si="9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4"/>
        <v>0</v>
      </c>
      <c r="O69" s="12">
        <f t="shared" si="5"/>
        <v>0</v>
      </c>
      <c r="P69" s="12">
        <f>Table1[[#This Row],[Enrolment S.Y. 2025-2026 ]]*8</f>
        <v>0</v>
      </c>
      <c r="Q69" s="12"/>
      <c r="R69" s="10"/>
      <c r="S69" s="12"/>
      <c r="T69" s="12">
        <f t="shared" si="6"/>
        <v>0</v>
      </c>
      <c r="U69" s="12">
        <f t="shared" si="7"/>
        <v>0</v>
      </c>
      <c r="V69" s="12">
        <f>Table1[[#This Row],[Enrolment S.Y. 2025-2026 ]]*8</f>
        <v>0</v>
      </c>
      <c r="W69" s="12"/>
      <c r="X69" s="10"/>
      <c r="Y69" s="12"/>
      <c r="Z69" s="12">
        <f t="shared" si="8"/>
        <v>0</v>
      </c>
      <c r="AA69" s="12">
        <f t="shared" si="9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0">IF((J70-K70)&lt;0,0,(J70-K70))</f>
        <v>0</v>
      </c>
      <c r="O70" s="12">
        <f t="shared" ref="O70:O126" si="11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2">IF((P70-Q70)&lt;0,0,(P70-Q70))</f>
        <v>0</v>
      </c>
      <c r="U70" s="12">
        <f t="shared" ref="U70:U127" si="13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14">IF((V70-W70)&lt;0,0,(V70-W70))</f>
        <v>0</v>
      </c>
      <c r="AA70" s="12">
        <f t="shared" ref="AA70:AA127" si="15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0"/>
        <v>0</v>
      </c>
      <c r="O71" s="12">
        <f t="shared" si="11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2"/>
        <v>0</v>
      </c>
      <c r="U71" s="12">
        <f t="shared" si="13"/>
        <v>0</v>
      </c>
      <c r="V71" s="12">
        <f>Table1[[#This Row],[Enrolment S.Y. 2025-2026 ]]*8</f>
        <v>0</v>
      </c>
      <c r="W71" s="12"/>
      <c r="X71" s="10"/>
      <c r="Y71" s="12"/>
      <c r="Z71" s="12">
        <f t="shared" si="14"/>
        <v>0</v>
      </c>
      <c r="AA71" s="12">
        <f t="shared" si="15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0"/>
        <v>0</v>
      </c>
      <c r="O73" s="12">
        <f t="shared" si="11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2"/>
        <v>0</v>
      </c>
      <c r="U73" s="12">
        <f t="shared" si="13"/>
        <v>0</v>
      </c>
      <c r="V73" s="12">
        <f>Table1[[#This Row],[Enrolment S.Y. 2025-2026 ]]*8</f>
        <v>0</v>
      </c>
      <c r="W73" s="12"/>
      <c r="X73" s="10"/>
      <c r="Y73" s="12"/>
      <c r="Z73" s="12">
        <f t="shared" si="14"/>
        <v>0</v>
      </c>
      <c r="AA73" s="12">
        <f t="shared" si="15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0"/>
        <v>0</v>
      </c>
      <c r="O74" s="12">
        <f t="shared" si="11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2"/>
        <v>0</v>
      </c>
      <c r="U74" s="12">
        <f t="shared" si="13"/>
        <v>0</v>
      </c>
      <c r="V74" s="12">
        <f>Table1[[#This Row],[Enrolment S.Y. 2025-2026 ]]*8</f>
        <v>0</v>
      </c>
      <c r="W74" s="12"/>
      <c r="X74" s="10"/>
      <c r="Y74" s="12"/>
      <c r="Z74" s="12">
        <f t="shared" si="14"/>
        <v>0</v>
      </c>
      <c r="AA74" s="12">
        <f t="shared" si="15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0"/>
        <v>0</v>
      </c>
      <c r="O75" s="12">
        <f t="shared" si="11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2"/>
        <v>0</v>
      </c>
      <c r="U75" s="12">
        <f t="shared" si="13"/>
        <v>0</v>
      </c>
      <c r="V75" s="12">
        <f>Table1[[#This Row],[Enrolment S.Y. 2025-2026 ]]*8</f>
        <v>0</v>
      </c>
      <c r="W75" s="12"/>
      <c r="X75" s="10"/>
      <c r="Y75" s="12"/>
      <c r="Z75" s="12">
        <f t="shared" si="14"/>
        <v>0</v>
      </c>
      <c r="AA75" s="12">
        <f t="shared" si="15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0"/>
        <v>0</v>
      </c>
      <c r="O76" s="12">
        <f t="shared" si="11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2"/>
        <v>0</v>
      </c>
      <c r="U76" s="12">
        <f t="shared" si="13"/>
        <v>0</v>
      </c>
      <c r="V76" s="12">
        <f>Table1[[#This Row],[Enrolment S.Y. 2025-2026 ]]*8</f>
        <v>0</v>
      </c>
      <c r="W76" s="12"/>
      <c r="X76" s="10"/>
      <c r="Y76" s="12"/>
      <c r="Z76" s="12">
        <f t="shared" si="14"/>
        <v>0</v>
      </c>
      <c r="AA76" s="12">
        <f t="shared" si="15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0"/>
        <v>0</v>
      </c>
      <c r="O77" s="12">
        <f t="shared" si="11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2"/>
        <v>0</v>
      </c>
      <c r="U77" s="12">
        <f t="shared" si="13"/>
        <v>0</v>
      </c>
      <c r="V77" s="12">
        <f>Table1[[#This Row],[Enrolment S.Y. 2025-2026 ]]*8</f>
        <v>0</v>
      </c>
      <c r="W77" s="12"/>
      <c r="X77" s="10"/>
      <c r="Y77" s="12"/>
      <c r="Z77" s="12">
        <f t="shared" si="14"/>
        <v>0</v>
      </c>
      <c r="AA77" s="12">
        <f t="shared" si="15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16">IF((D78-E78)&lt;0,0,(D78-E78))</f>
        <v>0</v>
      </c>
      <c r="I78" s="12">
        <f t="shared" ref="I78:I127" si="17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0"/>
        <v>0</v>
      </c>
      <c r="O78" s="12">
        <f t="shared" si="11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2"/>
        <v>0</v>
      </c>
      <c r="U78" s="12">
        <f t="shared" si="13"/>
        <v>0</v>
      </c>
      <c r="V78" s="12">
        <f>Table1[[#This Row],[Enrolment S.Y. 2025-2026 ]]*8</f>
        <v>0</v>
      </c>
      <c r="W78" s="12"/>
      <c r="X78" s="10"/>
      <c r="Y78" s="12"/>
      <c r="Z78" s="12">
        <f t="shared" si="14"/>
        <v>0</v>
      </c>
      <c r="AA78" s="12">
        <f t="shared" si="15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16"/>
        <v>0</v>
      </c>
      <c r="I79" s="12">
        <f t="shared" si="17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0"/>
        <v>0</v>
      </c>
      <c r="O79" s="12">
        <f t="shared" si="11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2"/>
        <v>0</v>
      </c>
      <c r="U79" s="12">
        <f t="shared" si="13"/>
        <v>0</v>
      </c>
      <c r="V79" s="12">
        <f>Table1[[#This Row],[Enrolment S.Y. 2025-2026 ]]*8</f>
        <v>0</v>
      </c>
      <c r="W79" s="12"/>
      <c r="X79" s="10"/>
      <c r="Y79" s="12"/>
      <c r="Z79" s="12">
        <f t="shared" si="14"/>
        <v>0</v>
      </c>
      <c r="AA79" s="12">
        <f t="shared" si="15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16"/>
        <v>0</v>
      </c>
      <c r="I80" s="12">
        <f t="shared" si="17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0"/>
        <v>0</v>
      </c>
      <c r="O80" s="12">
        <f t="shared" si="11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2"/>
        <v>0</v>
      </c>
      <c r="U80" s="12">
        <f t="shared" si="13"/>
        <v>0</v>
      </c>
      <c r="V80" s="12">
        <f>Table1[[#This Row],[Enrolment S.Y. 2025-2026 ]]*8</f>
        <v>0</v>
      </c>
      <c r="W80" s="12"/>
      <c r="X80" s="10"/>
      <c r="Y80" s="12"/>
      <c r="Z80" s="12">
        <f t="shared" si="14"/>
        <v>0</v>
      </c>
      <c r="AA80" s="12">
        <f t="shared" si="15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16"/>
        <v>0</v>
      </c>
      <c r="I81" s="12">
        <f t="shared" si="17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0"/>
        <v>0</v>
      </c>
      <c r="O81" s="12">
        <f t="shared" si="11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2"/>
        <v>0</v>
      </c>
      <c r="U81" s="12">
        <f t="shared" si="13"/>
        <v>0</v>
      </c>
      <c r="V81" s="12">
        <f>Table1[[#This Row],[Enrolment S.Y. 2025-2026 ]]*8</f>
        <v>0</v>
      </c>
      <c r="W81" s="12"/>
      <c r="X81" s="10"/>
      <c r="Y81" s="12"/>
      <c r="Z81" s="12">
        <f t="shared" si="14"/>
        <v>0</v>
      </c>
      <c r="AA81" s="12">
        <f t="shared" si="15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16"/>
        <v>0</v>
      </c>
      <c r="I83" s="12">
        <f t="shared" si="17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0"/>
        <v>0</v>
      </c>
      <c r="O83" s="12">
        <f t="shared" si="11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2"/>
        <v>0</v>
      </c>
      <c r="U83" s="12">
        <f t="shared" si="13"/>
        <v>0</v>
      </c>
      <c r="V83" s="12">
        <f>Table1[[#This Row],[Enrolment S.Y. 2025-2026 ]]*8</f>
        <v>0</v>
      </c>
      <c r="W83" s="12"/>
      <c r="X83" s="10"/>
      <c r="Y83" s="12"/>
      <c r="Z83" s="12">
        <f t="shared" si="14"/>
        <v>0</v>
      </c>
      <c r="AA83" s="12">
        <f t="shared" si="15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16"/>
        <v>0</v>
      </c>
      <c r="I84" s="12">
        <f t="shared" si="17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0"/>
        <v>0</v>
      </c>
      <c r="O84" s="12">
        <f t="shared" si="11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2"/>
        <v>0</v>
      </c>
      <c r="U84" s="12">
        <f t="shared" si="13"/>
        <v>0</v>
      </c>
      <c r="V84" s="12">
        <f>Table1[[#This Row],[Enrolment S.Y. 2025-2026 ]]*8</f>
        <v>0</v>
      </c>
      <c r="W84" s="12"/>
      <c r="X84" s="10"/>
      <c r="Y84" s="12"/>
      <c r="Z84" s="12">
        <f t="shared" si="14"/>
        <v>0</v>
      </c>
      <c r="AA84" s="12">
        <f t="shared" si="15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16"/>
        <v>0</v>
      </c>
      <c r="I85" s="12">
        <f t="shared" si="17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0"/>
        <v>0</v>
      </c>
      <c r="O85" s="12">
        <f t="shared" si="11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2"/>
        <v>0</v>
      </c>
      <c r="U85" s="12">
        <f t="shared" si="13"/>
        <v>0</v>
      </c>
      <c r="V85" s="12">
        <f>Table1[[#This Row],[Enrolment S.Y. 2025-2026 ]]*8</f>
        <v>0</v>
      </c>
      <c r="W85" s="12"/>
      <c r="X85" s="10"/>
      <c r="Y85" s="12"/>
      <c r="Z85" s="12">
        <f t="shared" si="14"/>
        <v>0</v>
      </c>
      <c r="AA85" s="12">
        <f t="shared" si="15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16"/>
        <v>0</v>
      </c>
      <c r="I86" s="12">
        <f t="shared" si="17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0"/>
        <v>0</v>
      </c>
      <c r="O86" s="12">
        <f t="shared" si="11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2"/>
        <v>0</v>
      </c>
      <c r="U86" s="12">
        <f t="shared" si="13"/>
        <v>0</v>
      </c>
      <c r="V86" s="12">
        <f>Table1[[#This Row],[Enrolment S.Y. 2025-2026 ]]*8</f>
        <v>0</v>
      </c>
      <c r="W86" s="12"/>
      <c r="X86" s="10"/>
      <c r="Y86" s="12"/>
      <c r="Z86" s="12">
        <f t="shared" si="14"/>
        <v>0</v>
      </c>
      <c r="AA86" s="12">
        <f t="shared" si="15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16"/>
        <v>0</v>
      </c>
      <c r="I87" s="12">
        <f t="shared" si="17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0"/>
        <v>0</v>
      </c>
      <c r="O87" s="12">
        <f t="shared" si="11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2"/>
        <v>0</v>
      </c>
      <c r="U87" s="12">
        <f t="shared" si="13"/>
        <v>0</v>
      </c>
      <c r="V87" s="12">
        <f>Table1[[#This Row],[Enrolment S.Y. 2025-2026 ]]*8</f>
        <v>0</v>
      </c>
      <c r="W87" s="12"/>
      <c r="X87" s="10"/>
      <c r="Y87" s="12"/>
      <c r="Z87" s="12">
        <f t="shared" si="14"/>
        <v>0</v>
      </c>
      <c r="AA87" s="12">
        <f t="shared" si="15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16"/>
        <v>0</v>
      </c>
      <c r="I88" s="12">
        <f t="shared" si="17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0"/>
        <v>0</v>
      </c>
      <c r="O88" s="12">
        <f t="shared" si="11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2"/>
        <v>0</v>
      </c>
      <c r="U88" s="12">
        <f t="shared" si="13"/>
        <v>0</v>
      </c>
      <c r="V88" s="12">
        <f>Table1[[#This Row],[Enrolment S.Y. 2025-2026 ]]*8</f>
        <v>0</v>
      </c>
      <c r="W88" s="12"/>
      <c r="X88" s="10"/>
      <c r="Y88" s="12"/>
      <c r="Z88" s="12">
        <f t="shared" si="14"/>
        <v>0</v>
      </c>
      <c r="AA88" s="12">
        <f t="shared" si="15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16"/>
        <v>0</v>
      </c>
      <c r="I89" s="12">
        <f t="shared" si="17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0"/>
        <v>0</v>
      </c>
      <c r="O89" s="12">
        <f t="shared" si="11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2"/>
        <v>0</v>
      </c>
      <c r="U89" s="12">
        <f t="shared" si="13"/>
        <v>0</v>
      </c>
      <c r="V89" s="12">
        <f>Table1[[#This Row],[Enrolment S.Y. 2025-2026 ]]*8</f>
        <v>0</v>
      </c>
      <c r="W89" s="12"/>
      <c r="X89" s="10"/>
      <c r="Y89" s="12"/>
      <c r="Z89" s="12">
        <f t="shared" si="14"/>
        <v>0</v>
      </c>
      <c r="AA89" s="12">
        <f t="shared" si="15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16"/>
        <v>0</v>
      </c>
      <c r="I90" s="12">
        <f t="shared" si="17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0"/>
        <v>0</v>
      </c>
      <c r="O90" s="12">
        <f t="shared" si="11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2"/>
        <v>0</v>
      </c>
      <c r="U90" s="12">
        <f t="shared" si="13"/>
        <v>0</v>
      </c>
      <c r="V90" s="12">
        <f>Table1[[#This Row],[Enrolment S.Y. 2025-2026 ]]*8</f>
        <v>0</v>
      </c>
      <c r="W90" s="12"/>
      <c r="X90" s="10"/>
      <c r="Y90" s="12"/>
      <c r="Z90" s="12">
        <f t="shared" si="14"/>
        <v>0</v>
      </c>
      <c r="AA90" s="12">
        <f t="shared" si="15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16"/>
        <v>0</v>
      </c>
      <c r="I91" s="12">
        <f t="shared" si="17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0"/>
        <v>0</v>
      </c>
      <c r="O91" s="12">
        <f t="shared" si="11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2"/>
        <v>0</v>
      </c>
      <c r="U91" s="12">
        <f t="shared" si="13"/>
        <v>0</v>
      </c>
      <c r="V91" s="12">
        <f>Table1[[#This Row],[Enrolment S.Y. 2025-2026 ]]*8</f>
        <v>0</v>
      </c>
      <c r="W91" s="12"/>
      <c r="X91" s="10"/>
      <c r="Y91" s="12"/>
      <c r="Z91" s="12">
        <f t="shared" si="14"/>
        <v>0</v>
      </c>
      <c r="AA91" s="12">
        <f t="shared" si="15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16"/>
        <v>0</v>
      </c>
      <c r="I103" s="5">
        <f t="shared" si="17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0"/>
        <v>0</v>
      </c>
      <c r="O103" s="5">
        <f t="shared" si="11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2"/>
        <v>0</v>
      </c>
      <c r="U103" s="5">
        <f t="shared" si="13"/>
        <v>0</v>
      </c>
      <c r="V103" s="5">
        <f>Table1[[#This Row],[Enrolment S.Y. 2025-2026 ]]*8</f>
        <v>0</v>
      </c>
      <c r="W103" s="5"/>
      <c r="X103" s="1"/>
      <c r="Y103" s="5"/>
      <c r="Z103" s="5">
        <f t="shared" si="14"/>
        <v>0</v>
      </c>
      <c r="AA103" s="5">
        <f t="shared" si="15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16"/>
        <v>0</v>
      </c>
      <c r="I104" s="5">
        <f t="shared" si="17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0"/>
        <v>0</v>
      </c>
      <c r="O104" s="5">
        <f t="shared" si="11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2"/>
        <v>0</v>
      </c>
      <c r="U104" s="5">
        <f t="shared" si="13"/>
        <v>0</v>
      </c>
      <c r="V104" s="5">
        <f>Table1[[#This Row],[Enrolment S.Y. 2025-2026 ]]*8</f>
        <v>0</v>
      </c>
      <c r="W104" s="5"/>
      <c r="X104" s="1"/>
      <c r="Y104" s="5"/>
      <c r="Z104" s="5">
        <f t="shared" si="14"/>
        <v>0</v>
      </c>
      <c r="AA104" s="5">
        <f t="shared" si="15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16"/>
        <v>0</v>
      </c>
      <c r="I105" s="5">
        <f t="shared" si="17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0"/>
        <v>0</v>
      </c>
      <c r="O105" s="5">
        <f t="shared" si="11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2"/>
        <v>0</v>
      </c>
      <c r="U105" s="5">
        <f t="shared" si="13"/>
        <v>0</v>
      </c>
      <c r="V105" s="5">
        <f>Table1[[#This Row],[Enrolment S.Y. 2025-2026 ]]*8</f>
        <v>0</v>
      </c>
      <c r="W105" s="5"/>
      <c r="X105" s="1"/>
      <c r="Y105" s="5"/>
      <c r="Z105" s="5">
        <f t="shared" si="14"/>
        <v>0</v>
      </c>
      <c r="AA105" s="5">
        <f t="shared" si="15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16"/>
        <v>0</v>
      </c>
      <c r="I106" s="5">
        <f t="shared" si="17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0"/>
        <v>0</v>
      </c>
      <c r="O106" s="5">
        <f t="shared" si="11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2"/>
        <v>0</v>
      </c>
      <c r="U106" s="5">
        <f t="shared" si="13"/>
        <v>0</v>
      </c>
      <c r="V106" s="5">
        <f>Table1[[#This Row],[Enrolment S.Y. 2025-2026 ]]*8</f>
        <v>0</v>
      </c>
      <c r="W106" s="5"/>
      <c r="X106" s="1"/>
      <c r="Y106" s="5"/>
      <c r="Z106" s="5">
        <f t="shared" si="14"/>
        <v>0</v>
      </c>
      <c r="AA106" s="5">
        <f t="shared" si="15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16"/>
        <v>0</v>
      </c>
      <c r="I107" s="5">
        <f t="shared" si="17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0"/>
        <v>0</v>
      </c>
      <c r="O107" s="5">
        <f t="shared" si="11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2"/>
        <v>0</v>
      </c>
      <c r="U107" s="5">
        <f t="shared" si="13"/>
        <v>0</v>
      </c>
      <c r="V107" s="5">
        <f>Table1[[#This Row],[Enrolment S.Y. 2025-2026 ]]*8</f>
        <v>0</v>
      </c>
      <c r="W107" s="5"/>
      <c r="X107" s="1"/>
      <c r="Y107" s="5"/>
      <c r="Z107" s="5">
        <f t="shared" si="14"/>
        <v>0</v>
      </c>
      <c r="AA107" s="5">
        <f t="shared" si="15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16"/>
        <v>0</v>
      </c>
      <c r="I108" s="5">
        <f t="shared" si="17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0"/>
        <v>0</v>
      </c>
      <c r="O108" s="5">
        <f t="shared" si="11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2"/>
        <v>0</v>
      </c>
      <c r="U108" s="5">
        <f t="shared" si="13"/>
        <v>0</v>
      </c>
      <c r="V108" s="5">
        <f>Table1[[#This Row],[Enrolment S.Y. 2025-2026 ]]*8</f>
        <v>0</v>
      </c>
      <c r="W108" s="5"/>
      <c r="X108" s="1"/>
      <c r="Y108" s="5"/>
      <c r="Z108" s="5">
        <f t="shared" si="14"/>
        <v>0</v>
      </c>
      <c r="AA108" s="5">
        <f t="shared" si="15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16"/>
        <v>0</v>
      </c>
      <c r="I109" s="5">
        <f t="shared" si="17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0"/>
        <v>0</v>
      </c>
      <c r="O109" s="5">
        <f t="shared" si="11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2"/>
        <v>0</v>
      </c>
      <c r="U109" s="5">
        <f t="shared" si="13"/>
        <v>0</v>
      </c>
      <c r="V109" s="5">
        <f>Table1[[#This Row],[Enrolment S.Y. 2025-2026 ]]*8</f>
        <v>0</v>
      </c>
      <c r="W109" s="5"/>
      <c r="X109" s="1"/>
      <c r="Y109" s="5"/>
      <c r="Z109" s="5">
        <f t="shared" si="14"/>
        <v>0</v>
      </c>
      <c r="AA109" s="5">
        <f t="shared" si="15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16"/>
        <v>0</v>
      </c>
      <c r="I110" s="5">
        <f t="shared" si="17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0"/>
        <v>0</v>
      </c>
      <c r="O110" s="5">
        <f t="shared" si="11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2"/>
        <v>0</v>
      </c>
      <c r="U110" s="5">
        <f t="shared" si="13"/>
        <v>0</v>
      </c>
      <c r="V110" s="5">
        <f>Table1[[#This Row],[Enrolment S.Y. 2025-2026 ]]*8</f>
        <v>0</v>
      </c>
      <c r="W110" s="5"/>
      <c r="X110" s="1"/>
      <c r="Y110" s="5"/>
      <c r="Z110" s="5">
        <f t="shared" si="14"/>
        <v>0</v>
      </c>
      <c r="AA110" s="5">
        <f t="shared" si="15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16"/>
        <v>0</v>
      </c>
      <c r="I112" s="5">
        <f t="shared" si="17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0"/>
        <v>0</v>
      </c>
      <c r="O112" s="5">
        <f t="shared" si="11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2"/>
        <v>0</v>
      </c>
      <c r="U112" s="5">
        <f t="shared" si="13"/>
        <v>0</v>
      </c>
      <c r="V112" s="5">
        <f>Table1[[#This Row],[Enrolment S.Y. 2025-2026 ]]*8</f>
        <v>0</v>
      </c>
      <c r="W112" s="5"/>
      <c r="X112" s="1"/>
      <c r="Y112" s="5"/>
      <c r="Z112" s="5">
        <f t="shared" si="14"/>
        <v>0</v>
      </c>
      <c r="AA112" s="5">
        <f t="shared" si="15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16"/>
        <v>0</v>
      </c>
      <c r="I113" s="5">
        <f t="shared" si="17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0"/>
        <v>0</v>
      </c>
      <c r="O113" s="5">
        <f t="shared" si="11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2"/>
        <v>0</v>
      </c>
      <c r="U113" s="5">
        <f t="shared" si="13"/>
        <v>0</v>
      </c>
      <c r="V113" s="5">
        <f>Table1[[#This Row],[Enrolment S.Y. 2025-2026 ]]*8</f>
        <v>0</v>
      </c>
      <c r="W113" s="5"/>
      <c r="X113" s="1"/>
      <c r="Y113" s="5"/>
      <c r="Z113" s="5">
        <f t="shared" si="14"/>
        <v>0</v>
      </c>
      <c r="AA113" s="5">
        <f t="shared" si="15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16"/>
        <v>0</v>
      </c>
      <c r="I114" s="5">
        <f t="shared" si="17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0"/>
        <v>0</v>
      </c>
      <c r="O114" s="5">
        <f t="shared" si="11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2"/>
        <v>0</v>
      </c>
      <c r="U114" s="5">
        <f t="shared" si="13"/>
        <v>0</v>
      </c>
      <c r="V114" s="5">
        <f>Table1[[#This Row],[Enrolment S.Y. 2025-2026 ]]*8</f>
        <v>0</v>
      </c>
      <c r="W114" s="5"/>
      <c r="X114" s="1"/>
      <c r="Y114" s="5"/>
      <c r="Z114" s="5">
        <f t="shared" si="14"/>
        <v>0</v>
      </c>
      <c r="AA114" s="5">
        <f t="shared" si="15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16"/>
        <v>0</v>
      </c>
      <c r="I115" s="5">
        <f t="shared" si="17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0"/>
        <v>0</v>
      </c>
      <c r="O115" s="5">
        <f t="shared" si="11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2"/>
        <v>0</v>
      </c>
      <c r="U115" s="5">
        <f t="shared" si="13"/>
        <v>0</v>
      </c>
      <c r="V115" s="5">
        <f>Table1[[#This Row],[Enrolment S.Y. 2025-2026 ]]*8</f>
        <v>0</v>
      </c>
      <c r="W115" s="5"/>
      <c r="X115" s="1"/>
      <c r="Y115" s="5"/>
      <c r="Z115" s="5">
        <f t="shared" si="14"/>
        <v>0</v>
      </c>
      <c r="AA115" s="5">
        <f t="shared" si="15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16"/>
        <v>0</v>
      </c>
      <c r="I116" s="5">
        <f t="shared" si="17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0"/>
        <v>0</v>
      </c>
      <c r="O116" s="5">
        <f t="shared" si="11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2"/>
        <v>0</v>
      </c>
      <c r="U116" s="5">
        <f t="shared" si="13"/>
        <v>0</v>
      </c>
      <c r="V116" s="5">
        <f>Table1[[#This Row],[Enrolment S.Y. 2025-2026 ]]*8</f>
        <v>0</v>
      </c>
      <c r="W116" s="5"/>
      <c r="X116" s="1"/>
      <c r="Y116" s="5"/>
      <c r="Z116" s="5">
        <f t="shared" si="14"/>
        <v>0</v>
      </c>
      <c r="AA116" s="5">
        <f t="shared" si="15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16"/>
        <v>0</v>
      </c>
      <c r="I117" s="5">
        <f t="shared" si="17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0"/>
        <v>0</v>
      </c>
      <c r="O117" s="5">
        <f t="shared" si="11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2"/>
        <v>0</v>
      </c>
      <c r="U117" s="5">
        <f t="shared" si="13"/>
        <v>0</v>
      </c>
      <c r="V117" s="5">
        <f>Table1[[#This Row],[Enrolment S.Y. 2025-2026 ]]*8</f>
        <v>0</v>
      </c>
      <c r="W117" s="5"/>
      <c r="X117" s="1"/>
      <c r="Y117" s="5"/>
      <c r="Z117" s="5">
        <f t="shared" si="14"/>
        <v>0</v>
      </c>
      <c r="AA117" s="5">
        <f t="shared" si="15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16"/>
        <v>0</v>
      </c>
      <c r="I118" s="5">
        <f t="shared" si="17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0"/>
        <v>0</v>
      </c>
      <c r="O118" s="5">
        <f t="shared" si="11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2"/>
        <v>0</v>
      </c>
      <c r="U118" s="5">
        <f t="shared" si="13"/>
        <v>0</v>
      </c>
      <c r="V118" s="5">
        <f>Table1[[#This Row],[Enrolment S.Y. 2025-2026 ]]*8</f>
        <v>0</v>
      </c>
      <c r="W118" s="5"/>
      <c r="X118" s="1"/>
      <c r="Y118" s="5"/>
      <c r="Z118" s="5">
        <f t="shared" si="14"/>
        <v>0</v>
      </c>
      <c r="AA118" s="5">
        <f t="shared" si="15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16"/>
        <v>0</v>
      </c>
      <c r="I119" s="5">
        <f t="shared" si="17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0"/>
        <v>0</v>
      </c>
      <c r="O119" s="5">
        <f t="shared" si="11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2"/>
        <v>0</v>
      </c>
      <c r="U119" s="5">
        <f t="shared" si="13"/>
        <v>0</v>
      </c>
      <c r="V119" s="5">
        <f>Table1[[#This Row],[Enrolment S.Y. 2025-2026 ]]*8</f>
        <v>0</v>
      </c>
      <c r="W119" s="5"/>
      <c r="X119" s="1"/>
      <c r="Y119" s="5"/>
      <c r="Z119" s="5">
        <f t="shared" si="14"/>
        <v>0</v>
      </c>
      <c r="AA119" s="5">
        <f t="shared" si="15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16"/>
        <v>0</v>
      </c>
      <c r="I120" s="5">
        <f t="shared" si="17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0"/>
        <v>0</v>
      </c>
      <c r="O120" s="5">
        <f t="shared" si="11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2"/>
        <v>0</v>
      </c>
      <c r="U120" s="5">
        <f t="shared" si="13"/>
        <v>0</v>
      </c>
      <c r="V120" s="5">
        <f>Table1[[#This Row],[Enrolment S.Y. 2025-2026 ]]*8</f>
        <v>0</v>
      </c>
      <c r="W120" s="5"/>
      <c r="X120" s="1"/>
      <c r="Y120" s="5"/>
      <c r="Z120" s="5">
        <f t="shared" si="14"/>
        <v>0</v>
      </c>
      <c r="AA120" s="5">
        <f t="shared" si="15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16"/>
        <v>0</v>
      </c>
      <c r="I121" s="5">
        <f t="shared" si="17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0"/>
        <v>0</v>
      </c>
      <c r="O121" s="5">
        <f t="shared" si="11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2"/>
        <v>0</v>
      </c>
      <c r="U121" s="5">
        <f t="shared" si="13"/>
        <v>0</v>
      </c>
      <c r="V121" s="5">
        <f>Table1[[#This Row],[Enrolment S.Y. 2025-2026 ]]*8</f>
        <v>0</v>
      </c>
      <c r="W121" s="5"/>
      <c r="X121" s="1"/>
      <c r="Y121" s="5"/>
      <c r="Z121" s="5">
        <f t="shared" si="14"/>
        <v>0</v>
      </c>
      <c r="AA121" s="5">
        <f t="shared" si="15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16"/>
        <v>0</v>
      </c>
      <c r="I122" s="5">
        <f t="shared" si="17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0"/>
        <v>0</v>
      </c>
      <c r="O122" s="5">
        <f t="shared" si="11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2"/>
        <v>0</v>
      </c>
      <c r="U122" s="5">
        <f t="shared" si="13"/>
        <v>0</v>
      </c>
      <c r="V122" s="5">
        <f>Table1[[#This Row],[Enrolment S.Y. 2025-2026 ]]*8</f>
        <v>0</v>
      </c>
      <c r="W122" s="5"/>
      <c r="X122" s="1"/>
      <c r="Y122" s="5"/>
      <c r="Z122" s="5">
        <f t="shared" si="14"/>
        <v>0</v>
      </c>
      <c r="AA122" s="5">
        <f t="shared" si="15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16"/>
        <v>0</v>
      </c>
      <c r="I123" s="5">
        <f t="shared" si="17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0"/>
        <v>0</v>
      </c>
      <c r="O123" s="5">
        <f t="shared" si="11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2"/>
        <v>0</v>
      </c>
      <c r="U123" s="5">
        <f t="shared" si="13"/>
        <v>0</v>
      </c>
      <c r="V123" s="5">
        <f>Table1[[#This Row],[Enrolment S.Y. 2025-2026 ]]*8</f>
        <v>0</v>
      </c>
      <c r="W123" s="5"/>
      <c r="X123" s="1"/>
      <c r="Y123" s="5"/>
      <c r="Z123" s="5">
        <f t="shared" si="14"/>
        <v>0</v>
      </c>
      <c r="AA123" s="5">
        <f t="shared" si="15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16"/>
        <v>0</v>
      </c>
      <c r="I124" s="5">
        <f t="shared" si="17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0"/>
        <v>0</v>
      </c>
      <c r="O124" s="5">
        <f t="shared" si="11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2"/>
        <v>0</v>
      </c>
      <c r="U124" s="5">
        <f t="shared" si="13"/>
        <v>0</v>
      </c>
      <c r="V124" s="5">
        <f>Table1[[#This Row],[Enrolment S.Y. 2025-2026 ]]*8</f>
        <v>0</v>
      </c>
      <c r="W124" s="5"/>
      <c r="X124" s="1"/>
      <c r="Y124" s="5"/>
      <c r="Z124" s="5">
        <f t="shared" si="14"/>
        <v>0</v>
      </c>
      <c r="AA124" s="5">
        <f t="shared" si="15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16"/>
        <v>0</v>
      </c>
      <c r="I125" s="5">
        <f t="shared" si="17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0"/>
        <v>0</v>
      </c>
      <c r="O125" s="5">
        <f t="shared" si="11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2"/>
        <v>0</v>
      </c>
      <c r="U125" s="5">
        <f t="shared" si="13"/>
        <v>0</v>
      </c>
      <c r="V125" s="5">
        <f>Table1[[#This Row],[Enrolment S.Y. 2025-2026 ]]*8</f>
        <v>0</v>
      </c>
      <c r="W125" s="5"/>
      <c r="X125" s="1"/>
      <c r="Y125" s="5"/>
      <c r="Z125" s="5">
        <f t="shared" si="14"/>
        <v>0</v>
      </c>
      <c r="AA125" s="5">
        <f t="shared" si="15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16"/>
        <v>0</v>
      </c>
      <c r="I126" s="5">
        <f t="shared" si="17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0"/>
        <v>0</v>
      </c>
      <c r="O126" s="5">
        <f t="shared" si="11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2"/>
        <v>0</v>
      </c>
      <c r="U126" s="5">
        <f t="shared" si="13"/>
        <v>0</v>
      </c>
      <c r="V126" s="5">
        <f>Table1[[#This Row],[Enrolment S.Y. 2025-2026 ]]*8</f>
        <v>0</v>
      </c>
      <c r="W126" s="5"/>
      <c r="X126" s="1"/>
      <c r="Y126" s="5"/>
      <c r="Z126" s="5">
        <f t="shared" si="14"/>
        <v>0</v>
      </c>
      <c r="AA126" s="5">
        <f t="shared" si="15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16"/>
        <v>0</v>
      </c>
      <c r="I127" s="5">
        <f t="shared" si="17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18">IF((J127-K127)&lt;0,0,(J127-K127))</f>
        <v>0</v>
      </c>
      <c r="O127" s="5">
        <f t="shared" ref="O127" si="19">IF((K127-J127)&lt;0,0,(K127-J127))</f>
        <v>0</v>
      </c>
      <c r="P127" s="5"/>
      <c r="Q127" s="31"/>
      <c r="R127" s="29"/>
      <c r="S127" s="31"/>
      <c r="T127" s="5">
        <f t="shared" si="12"/>
        <v>0</v>
      </c>
      <c r="U127" s="5">
        <f t="shared" si="13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14"/>
        <v>0</v>
      </c>
      <c r="AA127" s="5">
        <f t="shared" si="15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U12" activePane="topRight" state="frozen"/>
      <selection pane="topRight" activeCell="W26" sqref="W26:Y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269</v>
      </c>
      <c r="D3" s="5">
        <v>2152</v>
      </c>
      <c r="E3" s="5"/>
      <c r="F3" s="1"/>
      <c r="G3" s="5"/>
      <c r="H3" s="5">
        <v>2152</v>
      </c>
      <c r="I3" s="5">
        <v>0</v>
      </c>
      <c r="J3" s="5">
        <v>2152</v>
      </c>
      <c r="K3" s="5"/>
      <c r="L3" s="1"/>
      <c r="M3" s="5"/>
      <c r="N3" s="5">
        <v>2152</v>
      </c>
      <c r="O3" s="5">
        <v>0</v>
      </c>
      <c r="P3" s="5">
        <v>2152</v>
      </c>
      <c r="Q3" s="5"/>
      <c r="R3" s="1"/>
      <c r="S3" s="5"/>
      <c r="T3" s="5">
        <v>2152</v>
      </c>
      <c r="U3" s="5">
        <v>0</v>
      </c>
      <c r="V3" s="5">
        <v>2152</v>
      </c>
      <c r="W3" s="5"/>
      <c r="X3" s="1"/>
      <c r="Y3" s="5"/>
      <c r="Z3" s="5">
        <v>2152</v>
      </c>
      <c r="AA3" s="5">
        <v>0</v>
      </c>
    </row>
    <row r="4" spans="1:27" ht="19.5">
      <c r="A4" s="1">
        <v>1</v>
      </c>
      <c r="B4" s="2" t="s">
        <v>10</v>
      </c>
      <c r="C4" s="1">
        <v>269</v>
      </c>
      <c r="D4" s="5">
        <v>2152</v>
      </c>
      <c r="E4" s="5"/>
      <c r="F4" s="1"/>
      <c r="G4" s="5"/>
      <c r="H4" s="5">
        <v>2152</v>
      </c>
      <c r="I4" s="5">
        <v>0</v>
      </c>
      <c r="J4" s="5">
        <v>2152</v>
      </c>
      <c r="K4" s="5"/>
      <c r="L4" s="1"/>
      <c r="M4" s="5"/>
      <c r="N4" s="5">
        <v>2152</v>
      </c>
      <c r="O4" s="5">
        <v>0</v>
      </c>
      <c r="P4" s="5">
        <v>2152</v>
      </c>
      <c r="Q4" s="5"/>
      <c r="R4" s="1"/>
      <c r="S4" s="5"/>
      <c r="T4" s="5">
        <v>2152</v>
      </c>
      <c r="U4" s="5">
        <v>0</v>
      </c>
      <c r="V4" s="5">
        <v>2152</v>
      </c>
      <c r="W4" s="5"/>
      <c r="X4" s="1"/>
      <c r="Y4" s="5"/>
      <c r="Z4" s="5">
        <v>2152</v>
      </c>
      <c r="AA4" s="5">
        <v>0</v>
      </c>
    </row>
    <row r="5" spans="1:27" ht="19.5">
      <c r="A5" s="1">
        <v>1</v>
      </c>
      <c r="B5" s="2" t="s">
        <v>11</v>
      </c>
      <c r="C5" s="1">
        <v>269</v>
      </c>
      <c r="D5" s="5">
        <v>2152</v>
      </c>
      <c r="E5" s="5"/>
      <c r="F5" s="1"/>
      <c r="G5" s="5"/>
      <c r="H5" s="5">
        <v>2152</v>
      </c>
      <c r="I5" s="5">
        <v>0</v>
      </c>
      <c r="J5" s="5">
        <v>2152</v>
      </c>
      <c r="K5" s="5"/>
      <c r="L5" s="1"/>
      <c r="M5" s="5"/>
      <c r="N5" s="5">
        <v>2152</v>
      </c>
      <c r="O5" s="5">
        <v>0</v>
      </c>
      <c r="P5" s="5">
        <v>2152</v>
      </c>
      <c r="Q5" s="5"/>
      <c r="R5" s="1"/>
      <c r="S5" s="5"/>
      <c r="T5" s="5">
        <v>2152</v>
      </c>
      <c r="U5" s="5">
        <v>0</v>
      </c>
      <c r="V5" s="5">
        <v>2152</v>
      </c>
      <c r="W5" s="5"/>
      <c r="X5" s="1"/>
      <c r="Y5" s="5"/>
      <c r="Z5" s="5">
        <v>2152</v>
      </c>
      <c r="AA5" s="5">
        <v>0</v>
      </c>
    </row>
    <row r="6" spans="1:27" ht="19.5">
      <c r="A6" s="1">
        <v>1</v>
      </c>
      <c r="B6" s="2" t="s">
        <v>12</v>
      </c>
      <c r="C6" s="1">
        <v>269</v>
      </c>
      <c r="D6" s="5">
        <v>2152</v>
      </c>
      <c r="E6" s="5"/>
      <c r="F6" s="1"/>
      <c r="G6" s="5"/>
      <c r="H6" s="5">
        <v>2152</v>
      </c>
      <c r="I6" s="5">
        <v>0</v>
      </c>
      <c r="J6" s="5">
        <v>2152</v>
      </c>
      <c r="K6" s="5"/>
      <c r="L6" s="1"/>
      <c r="M6" s="5"/>
      <c r="N6" s="5">
        <v>2152</v>
      </c>
      <c r="O6" s="5">
        <v>0</v>
      </c>
      <c r="P6" s="5">
        <v>2152</v>
      </c>
      <c r="Q6" s="5"/>
      <c r="R6" s="1"/>
      <c r="S6" s="5"/>
      <c r="T6" s="5">
        <v>2152</v>
      </c>
      <c r="U6" s="5">
        <v>0</v>
      </c>
      <c r="V6" s="5">
        <v>2152</v>
      </c>
      <c r="W6" s="5"/>
      <c r="X6" s="1"/>
      <c r="Y6" s="5"/>
      <c r="Z6" s="5">
        <v>2152</v>
      </c>
      <c r="AA6" s="5">
        <v>0</v>
      </c>
    </row>
    <row r="7" spans="1:27" ht="19.5">
      <c r="A7" s="1">
        <v>1</v>
      </c>
      <c r="B7" s="2" t="s">
        <v>13</v>
      </c>
      <c r="C7" s="1">
        <v>269</v>
      </c>
      <c r="D7" s="5">
        <v>2152</v>
      </c>
      <c r="E7" s="5"/>
      <c r="F7" s="1"/>
      <c r="G7" s="5"/>
      <c r="H7" s="5">
        <v>2152</v>
      </c>
      <c r="I7" s="5">
        <v>0</v>
      </c>
      <c r="J7" s="5">
        <v>2152</v>
      </c>
      <c r="K7" s="5"/>
      <c r="L7" s="1"/>
      <c r="M7" s="5"/>
      <c r="N7" s="5">
        <v>2152</v>
      </c>
      <c r="O7" s="5">
        <v>0</v>
      </c>
      <c r="P7" s="5">
        <v>2152</v>
      </c>
      <c r="Q7" s="5"/>
      <c r="R7" s="1"/>
      <c r="S7" s="5"/>
      <c r="T7" s="5">
        <v>2152</v>
      </c>
      <c r="U7" s="5">
        <v>0</v>
      </c>
      <c r="V7" s="5">
        <v>2152</v>
      </c>
      <c r="W7" s="5"/>
      <c r="X7" s="1"/>
      <c r="Y7" s="5"/>
      <c r="Z7" s="5">
        <v>2152</v>
      </c>
      <c r="AA7" s="5">
        <v>0</v>
      </c>
    </row>
    <row r="8" spans="1:27" ht="19.5">
      <c r="A8" s="1">
        <v>1</v>
      </c>
      <c r="B8" s="9" t="s">
        <v>15</v>
      </c>
      <c r="C8" s="1">
        <v>269</v>
      </c>
      <c r="D8" s="5">
        <v>2152</v>
      </c>
      <c r="E8" s="5"/>
      <c r="F8" s="1"/>
      <c r="G8" s="5"/>
      <c r="H8" s="5">
        <v>2152</v>
      </c>
      <c r="I8" s="5">
        <v>0</v>
      </c>
      <c r="J8" s="5">
        <v>2152</v>
      </c>
      <c r="K8" s="5"/>
      <c r="L8" s="1"/>
      <c r="M8" s="5"/>
      <c r="N8" s="5">
        <v>2152</v>
      </c>
      <c r="O8" s="5">
        <v>0</v>
      </c>
      <c r="P8" s="5">
        <v>2152</v>
      </c>
      <c r="Q8" s="5"/>
      <c r="R8" s="1"/>
      <c r="S8" s="5"/>
      <c r="T8" s="5">
        <v>2152</v>
      </c>
      <c r="U8" s="5">
        <v>0</v>
      </c>
      <c r="V8" s="5">
        <v>2152</v>
      </c>
      <c r="W8" s="5"/>
      <c r="X8" s="1"/>
      <c r="Y8" s="5"/>
      <c r="Z8" s="5">
        <v>2152</v>
      </c>
      <c r="AA8" s="5">
        <v>0</v>
      </c>
    </row>
    <row r="9" spans="1:27" ht="19.5">
      <c r="A9" s="1">
        <v>1</v>
      </c>
      <c r="B9" s="9" t="s">
        <v>16</v>
      </c>
      <c r="C9" s="1">
        <v>269</v>
      </c>
      <c r="D9" s="5">
        <v>2152</v>
      </c>
      <c r="E9" s="5"/>
      <c r="F9" s="1"/>
      <c r="G9" s="5"/>
      <c r="H9" s="5">
        <v>2152</v>
      </c>
      <c r="I9" s="5">
        <v>0</v>
      </c>
      <c r="J9" s="5">
        <v>2152</v>
      </c>
      <c r="K9" s="5"/>
      <c r="L9" s="1"/>
      <c r="M9" s="5"/>
      <c r="N9" s="5">
        <v>2152</v>
      </c>
      <c r="O9" s="5">
        <v>0</v>
      </c>
      <c r="P9" s="5">
        <v>2152</v>
      </c>
      <c r="Q9" s="5"/>
      <c r="R9" s="1"/>
      <c r="S9" s="5"/>
      <c r="T9" s="5">
        <v>2152</v>
      </c>
      <c r="U9" s="5">
        <v>0</v>
      </c>
      <c r="V9" s="5">
        <v>2152</v>
      </c>
      <c r="W9" s="5"/>
      <c r="X9" s="1"/>
      <c r="Y9" s="5"/>
      <c r="Z9" s="5">
        <v>2152</v>
      </c>
      <c r="AA9" s="5">
        <v>0</v>
      </c>
    </row>
    <row r="10" spans="1:27" ht="19.5">
      <c r="A10" s="1">
        <v>1</v>
      </c>
      <c r="B10" s="9" t="s">
        <v>62</v>
      </c>
      <c r="C10" s="1">
        <v>269</v>
      </c>
      <c r="D10" s="5">
        <v>2152</v>
      </c>
      <c r="E10" s="5"/>
      <c r="F10" s="1"/>
      <c r="G10" s="5"/>
      <c r="H10" s="5">
        <v>2152</v>
      </c>
      <c r="I10" s="5">
        <v>0</v>
      </c>
      <c r="J10" s="5">
        <v>2152</v>
      </c>
      <c r="K10" s="5"/>
      <c r="L10" s="1"/>
      <c r="M10" s="5"/>
      <c r="N10" s="5">
        <v>2152</v>
      </c>
      <c r="O10" s="5">
        <v>0</v>
      </c>
      <c r="P10" s="5">
        <v>2152</v>
      </c>
      <c r="Q10" s="5"/>
      <c r="R10" s="1"/>
      <c r="S10" s="5"/>
      <c r="T10" s="5">
        <v>2152</v>
      </c>
      <c r="U10" s="5">
        <v>0</v>
      </c>
      <c r="V10" s="5">
        <v>2152</v>
      </c>
      <c r="W10" s="5"/>
      <c r="X10" s="1"/>
      <c r="Y10" s="5"/>
      <c r="Z10" s="5">
        <v>2152</v>
      </c>
      <c r="AA10" s="5"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303</v>
      </c>
      <c r="D12" s="5">
        <v>2424</v>
      </c>
      <c r="E12" s="5"/>
      <c r="F12" s="1"/>
      <c r="G12" s="5"/>
      <c r="H12" s="5">
        <v>2424</v>
      </c>
      <c r="I12" s="5">
        <v>0</v>
      </c>
      <c r="J12" s="5">
        <v>2424</v>
      </c>
      <c r="K12" s="5"/>
      <c r="L12" s="1"/>
      <c r="M12" s="5"/>
      <c r="N12" s="5">
        <v>2424</v>
      </c>
      <c r="O12" s="5">
        <v>0</v>
      </c>
      <c r="P12" s="5">
        <v>2424</v>
      </c>
      <c r="Q12" s="5"/>
      <c r="R12" s="1"/>
      <c r="S12" s="5"/>
      <c r="T12" s="5">
        <v>2424</v>
      </c>
      <c r="U12" s="5">
        <v>0</v>
      </c>
      <c r="V12" s="5">
        <v>2424</v>
      </c>
      <c r="W12" s="5"/>
      <c r="X12" s="1"/>
      <c r="Y12" s="5"/>
      <c r="Z12" s="5">
        <v>2424</v>
      </c>
      <c r="AA12" s="5">
        <v>0</v>
      </c>
    </row>
    <row r="13" spans="1:27" ht="19.5">
      <c r="A13" s="1">
        <v>2</v>
      </c>
      <c r="B13" s="2" t="s">
        <v>10</v>
      </c>
      <c r="C13" s="1">
        <v>303</v>
      </c>
      <c r="D13" s="5">
        <v>2424</v>
      </c>
      <c r="E13" s="5"/>
      <c r="F13" s="1"/>
      <c r="G13" s="5"/>
      <c r="H13" s="5">
        <v>2424</v>
      </c>
      <c r="I13" s="5">
        <v>0</v>
      </c>
      <c r="J13" s="5">
        <v>2424</v>
      </c>
      <c r="K13" s="5"/>
      <c r="L13" s="1"/>
      <c r="M13" s="5"/>
      <c r="N13" s="5">
        <v>2424</v>
      </c>
      <c r="O13" s="5">
        <v>0</v>
      </c>
      <c r="P13" s="5">
        <v>2424</v>
      </c>
      <c r="Q13" s="5"/>
      <c r="R13" s="1"/>
      <c r="S13" s="5"/>
      <c r="T13" s="5">
        <v>2424</v>
      </c>
      <c r="U13" s="5">
        <v>0</v>
      </c>
      <c r="V13" s="5">
        <v>2424</v>
      </c>
      <c r="W13" s="5"/>
      <c r="X13" s="1"/>
      <c r="Y13" s="5"/>
      <c r="Z13" s="5">
        <v>2424</v>
      </c>
      <c r="AA13" s="5">
        <v>0</v>
      </c>
    </row>
    <row r="14" spans="1:27" ht="19.5">
      <c r="A14" s="1">
        <v>2</v>
      </c>
      <c r="B14" s="2" t="s">
        <v>11</v>
      </c>
      <c r="C14" s="1">
        <v>303</v>
      </c>
      <c r="D14" s="5">
        <v>2424</v>
      </c>
      <c r="E14" s="5"/>
      <c r="F14" s="1"/>
      <c r="G14" s="5"/>
      <c r="H14" s="5">
        <v>2424</v>
      </c>
      <c r="I14" s="5">
        <v>0</v>
      </c>
      <c r="J14" s="5">
        <v>2424</v>
      </c>
      <c r="K14" s="5"/>
      <c r="L14" s="1"/>
      <c r="M14" s="5"/>
      <c r="N14" s="5">
        <v>2424</v>
      </c>
      <c r="O14" s="5">
        <v>0</v>
      </c>
      <c r="P14" s="5">
        <v>2424</v>
      </c>
      <c r="Q14" s="5"/>
      <c r="R14" s="1"/>
      <c r="S14" s="5"/>
      <c r="T14" s="5">
        <v>2424</v>
      </c>
      <c r="U14" s="5">
        <v>0</v>
      </c>
      <c r="V14" s="5">
        <v>2424</v>
      </c>
      <c r="W14" s="5"/>
      <c r="X14" s="1"/>
      <c r="Y14" s="5"/>
      <c r="Z14" s="5">
        <v>2424</v>
      </c>
      <c r="AA14" s="5">
        <v>0</v>
      </c>
    </row>
    <row r="15" spans="1:27" ht="19.5">
      <c r="A15" s="1">
        <v>2</v>
      </c>
      <c r="B15" s="2" t="s">
        <v>12</v>
      </c>
      <c r="C15" s="1">
        <v>303</v>
      </c>
      <c r="D15" s="5">
        <v>2424</v>
      </c>
      <c r="E15" s="5"/>
      <c r="F15" s="1"/>
      <c r="G15" s="5"/>
      <c r="H15" s="5">
        <v>2424</v>
      </c>
      <c r="I15" s="5">
        <v>0</v>
      </c>
      <c r="J15" s="5">
        <v>2424</v>
      </c>
      <c r="K15" s="5"/>
      <c r="L15" s="1"/>
      <c r="M15" s="5"/>
      <c r="N15" s="5">
        <v>2424</v>
      </c>
      <c r="O15" s="5">
        <v>0</v>
      </c>
      <c r="P15" s="5">
        <v>2424</v>
      </c>
      <c r="Q15" s="5"/>
      <c r="R15" s="1"/>
      <c r="S15" s="5"/>
      <c r="T15" s="5">
        <v>2424</v>
      </c>
      <c r="U15" s="5">
        <v>0</v>
      </c>
      <c r="V15" s="5">
        <v>2424</v>
      </c>
      <c r="W15" s="5"/>
      <c r="X15" s="1"/>
      <c r="Y15" s="5"/>
      <c r="Z15" s="5">
        <v>2424</v>
      </c>
      <c r="AA15" s="5">
        <v>0</v>
      </c>
    </row>
    <row r="16" spans="1:27" ht="19.5">
      <c r="A16" s="1">
        <v>2</v>
      </c>
      <c r="B16" s="2" t="s">
        <v>13</v>
      </c>
      <c r="C16" s="1">
        <v>303</v>
      </c>
      <c r="D16" s="5">
        <v>2424</v>
      </c>
      <c r="E16" s="5"/>
      <c r="F16" s="1"/>
      <c r="G16" s="5"/>
      <c r="H16" s="5">
        <v>2424</v>
      </c>
      <c r="I16" s="5">
        <v>0</v>
      </c>
      <c r="J16" s="5">
        <v>2424</v>
      </c>
      <c r="K16" s="5"/>
      <c r="L16" s="1"/>
      <c r="M16" s="5"/>
      <c r="N16" s="5">
        <v>2424</v>
      </c>
      <c r="O16" s="5">
        <v>0</v>
      </c>
      <c r="P16" s="5">
        <v>2424</v>
      </c>
      <c r="Q16" s="5"/>
      <c r="R16" s="1"/>
      <c r="S16" s="5"/>
      <c r="T16" s="5">
        <v>2424</v>
      </c>
      <c r="U16" s="5">
        <v>0</v>
      </c>
      <c r="V16" s="5">
        <v>2424</v>
      </c>
      <c r="W16" s="5">
        <v>369</v>
      </c>
      <c r="X16" s="1">
        <v>2025</v>
      </c>
      <c r="Y16" s="5" t="s">
        <v>9</v>
      </c>
      <c r="Z16" s="5">
        <v>2424</v>
      </c>
      <c r="AA16" s="5">
        <v>0</v>
      </c>
    </row>
    <row r="17" spans="1:27" ht="19.5">
      <c r="A17" s="1">
        <v>2</v>
      </c>
      <c r="B17" s="9" t="s">
        <v>16</v>
      </c>
      <c r="C17" s="1">
        <v>303</v>
      </c>
      <c r="D17" s="5">
        <v>2424</v>
      </c>
      <c r="E17" s="5"/>
      <c r="F17" s="1"/>
      <c r="G17" s="5"/>
      <c r="H17" s="5">
        <v>2424</v>
      </c>
      <c r="I17" s="5">
        <v>0</v>
      </c>
      <c r="J17" s="5">
        <v>2424</v>
      </c>
      <c r="K17" s="5"/>
      <c r="L17" s="1"/>
      <c r="M17" s="5"/>
      <c r="N17" s="5">
        <v>2424</v>
      </c>
      <c r="O17" s="5">
        <v>0</v>
      </c>
      <c r="P17" s="5">
        <v>2424</v>
      </c>
      <c r="Q17" s="5"/>
      <c r="R17" s="1"/>
      <c r="S17" s="5"/>
      <c r="T17" s="5">
        <v>2424</v>
      </c>
      <c r="U17" s="5">
        <v>0</v>
      </c>
      <c r="V17" s="5">
        <v>2424</v>
      </c>
      <c r="W17" s="5">
        <v>410</v>
      </c>
      <c r="X17" s="1">
        <v>2025</v>
      </c>
      <c r="Y17" s="5" t="s">
        <v>9</v>
      </c>
      <c r="Z17" s="5">
        <v>2424</v>
      </c>
      <c r="AA17" s="5">
        <v>0</v>
      </c>
    </row>
    <row r="18" spans="1:27" ht="19.5">
      <c r="A18" s="1">
        <v>2</v>
      </c>
      <c r="B18" s="9" t="s">
        <v>15</v>
      </c>
      <c r="C18" s="1">
        <v>303</v>
      </c>
      <c r="D18" s="5">
        <v>2424</v>
      </c>
      <c r="E18" s="5"/>
      <c r="F18" s="1"/>
      <c r="G18" s="5"/>
      <c r="H18" s="5">
        <v>2424</v>
      </c>
      <c r="I18" s="5">
        <v>0</v>
      </c>
      <c r="J18" s="5">
        <v>2424</v>
      </c>
      <c r="K18" s="5"/>
      <c r="L18" s="1"/>
      <c r="M18" s="5"/>
      <c r="N18" s="5">
        <v>2424</v>
      </c>
      <c r="O18" s="5">
        <v>0</v>
      </c>
      <c r="P18" s="5">
        <v>2424</v>
      </c>
      <c r="Q18" s="5"/>
      <c r="R18" s="1"/>
      <c r="S18" s="5"/>
      <c r="T18" s="5">
        <v>2424</v>
      </c>
      <c r="U18" s="5">
        <v>0</v>
      </c>
      <c r="V18" s="5">
        <v>2424</v>
      </c>
      <c r="W18" s="5">
        <v>369</v>
      </c>
      <c r="X18" s="1">
        <v>2025</v>
      </c>
      <c r="Y18" s="5" t="s">
        <v>9</v>
      </c>
      <c r="Z18" s="5">
        <v>2424</v>
      </c>
      <c r="AA18" s="5">
        <v>0</v>
      </c>
    </row>
    <row r="19" spans="1:27" ht="19.5">
      <c r="A19" s="1">
        <v>2</v>
      </c>
      <c r="B19" s="9" t="s">
        <v>62</v>
      </c>
      <c r="C19" s="1">
        <v>303</v>
      </c>
      <c r="D19" s="5">
        <v>2424</v>
      </c>
      <c r="E19" s="5"/>
      <c r="F19" s="1"/>
      <c r="G19" s="5"/>
      <c r="H19" s="5">
        <v>2424</v>
      </c>
      <c r="I19" s="5">
        <v>0</v>
      </c>
      <c r="J19" s="5">
        <v>2424</v>
      </c>
      <c r="K19" s="5"/>
      <c r="L19" s="1"/>
      <c r="M19" s="5"/>
      <c r="N19" s="5"/>
      <c r="O19" s="5"/>
      <c r="P19" s="5" t="e">
        <v>#REF!</v>
      </c>
      <c r="Q19" s="5"/>
      <c r="R19" s="1"/>
      <c r="S19" s="5"/>
      <c r="T19" s="5" t="e">
        <v>#REF!</v>
      </c>
      <c r="U19" s="5" t="e">
        <v>#REF!</v>
      </c>
      <c r="V19" s="5">
        <v>2424</v>
      </c>
      <c r="W19" s="5"/>
      <c r="X19" s="1"/>
      <c r="Y19" s="5"/>
      <c r="Z19" s="5">
        <v>2424</v>
      </c>
      <c r="AA19" s="5">
        <v>0</v>
      </c>
    </row>
    <row r="20" spans="1:27" s="7" customFormat="1" ht="15">
      <c r="W20" s="42"/>
      <c r="X20" s="42"/>
      <c r="Y20" s="42"/>
    </row>
    <row r="21" spans="1:27" ht="38.25">
      <c r="A21" s="1">
        <v>3</v>
      </c>
      <c r="B21" s="2" t="s">
        <v>8</v>
      </c>
      <c r="C21" s="1">
        <v>319</v>
      </c>
      <c r="D21" s="5">
        <v>2552</v>
      </c>
      <c r="E21" s="5"/>
      <c r="F21" s="1"/>
      <c r="G21" s="5"/>
      <c r="H21" s="5">
        <v>2552</v>
      </c>
      <c r="I21" s="5">
        <v>0</v>
      </c>
      <c r="J21" s="5">
        <v>2552</v>
      </c>
      <c r="K21" s="5"/>
      <c r="L21" s="1"/>
      <c r="M21" s="5"/>
      <c r="N21" s="5">
        <v>2552</v>
      </c>
      <c r="O21" s="5">
        <v>0</v>
      </c>
      <c r="P21" s="5">
        <v>2552</v>
      </c>
      <c r="Q21" s="5"/>
      <c r="R21" s="1"/>
      <c r="S21" s="5"/>
      <c r="T21" s="5">
        <v>2552</v>
      </c>
      <c r="U21" s="5">
        <v>0</v>
      </c>
      <c r="V21" s="5">
        <v>2552</v>
      </c>
      <c r="W21" s="5"/>
      <c r="X21" s="1"/>
      <c r="Y21" s="5"/>
      <c r="Z21" s="5">
        <v>2552</v>
      </c>
      <c r="AA21" s="5">
        <v>0</v>
      </c>
    </row>
    <row r="22" spans="1:27" ht="19.5">
      <c r="A22" s="1">
        <v>3</v>
      </c>
      <c r="B22" s="2" t="s">
        <v>10</v>
      </c>
      <c r="C22" s="1">
        <v>319</v>
      </c>
      <c r="D22" s="5">
        <v>2552</v>
      </c>
      <c r="E22" s="5"/>
      <c r="F22" s="1"/>
      <c r="G22" s="5"/>
      <c r="H22" s="5">
        <v>2552</v>
      </c>
      <c r="I22" s="5">
        <v>0</v>
      </c>
      <c r="J22" s="5">
        <v>2552</v>
      </c>
      <c r="K22" s="5"/>
      <c r="L22" s="1"/>
      <c r="M22" s="5"/>
      <c r="N22" s="5">
        <v>2552</v>
      </c>
      <c r="O22" s="5">
        <v>0</v>
      </c>
      <c r="P22" s="5">
        <v>2552</v>
      </c>
      <c r="Q22" s="5"/>
      <c r="R22" s="1"/>
      <c r="S22" s="5"/>
      <c r="T22" s="5">
        <v>2552</v>
      </c>
      <c r="U22" s="5">
        <v>0</v>
      </c>
      <c r="V22" s="5">
        <v>2552</v>
      </c>
      <c r="W22" s="5"/>
      <c r="X22" s="1"/>
      <c r="Y22" s="5"/>
      <c r="Z22" s="5">
        <v>2552</v>
      </c>
      <c r="AA22" s="5">
        <v>0</v>
      </c>
    </row>
    <row r="23" spans="1:27" ht="19.5">
      <c r="A23" s="1">
        <v>3</v>
      </c>
      <c r="B23" s="2" t="s">
        <v>11</v>
      </c>
      <c r="C23" s="1">
        <v>319</v>
      </c>
      <c r="D23" s="5">
        <v>2552</v>
      </c>
      <c r="E23" s="5"/>
      <c r="F23" s="1"/>
      <c r="G23" s="5"/>
      <c r="H23" s="5">
        <v>2552</v>
      </c>
      <c r="I23" s="5">
        <v>0</v>
      </c>
      <c r="J23" s="5">
        <v>2552</v>
      </c>
      <c r="K23" s="5"/>
      <c r="L23" s="1"/>
      <c r="M23" s="5"/>
      <c r="N23" s="5">
        <v>2552</v>
      </c>
      <c r="O23" s="5">
        <v>0</v>
      </c>
      <c r="P23" s="5">
        <v>2552</v>
      </c>
      <c r="Q23" s="5"/>
      <c r="R23" s="1"/>
      <c r="S23" s="5"/>
      <c r="T23" s="5">
        <v>2552</v>
      </c>
      <c r="U23" s="5">
        <v>0</v>
      </c>
      <c r="V23" s="5">
        <v>2552</v>
      </c>
      <c r="W23" s="5"/>
      <c r="X23" s="1"/>
      <c r="Y23" s="5"/>
      <c r="Z23" s="5">
        <v>2552</v>
      </c>
      <c r="AA23" s="5">
        <v>0</v>
      </c>
    </row>
    <row r="24" spans="1:27" ht="19.5">
      <c r="A24" s="1">
        <v>3</v>
      </c>
      <c r="B24" s="2" t="s">
        <v>14</v>
      </c>
      <c r="C24" s="1">
        <v>319</v>
      </c>
      <c r="D24" s="5">
        <v>2552</v>
      </c>
      <c r="E24" s="5"/>
      <c r="F24" s="1"/>
      <c r="G24" s="5"/>
      <c r="H24" s="5">
        <v>2552</v>
      </c>
      <c r="I24" s="5">
        <v>0</v>
      </c>
      <c r="J24" s="5">
        <v>2552</v>
      </c>
      <c r="K24" s="5"/>
      <c r="L24" s="1"/>
      <c r="M24" s="5"/>
      <c r="N24" s="5">
        <v>2552</v>
      </c>
      <c r="O24" s="5">
        <v>0</v>
      </c>
      <c r="P24" s="5">
        <v>2552</v>
      </c>
      <c r="Q24" s="5"/>
      <c r="R24" s="1"/>
      <c r="S24" s="5"/>
      <c r="T24" s="5">
        <v>2552</v>
      </c>
      <c r="U24" s="5">
        <v>0</v>
      </c>
      <c r="V24" s="5">
        <v>2552</v>
      </c>
      <c r="W24" s="5"/>
      <c r="X24" s="1"/>
      <c r="Y24" s="5"/>
      <c r="Z24" s="5">
        <v>2552</v>
      </c>
      <c r="AA24" s="5">
        <v>0</v>
      </c>
    </row>
    <row r="25" spans="1:27" ht="19.5">
      <c r="A25" s="1">
        <v>3</v>
      </c>
      <c r="B25" s="2" t="s">
        <v>12</v>
      </c>
      <c r="C25" s="1">
        <v>319</v>
      </c>
      <c r="D25" s="5">
        <v>2552</v>
      </c>
      <c r="E25" s="5"/>
      <c r="F25" s="1"/>
      <c r="G25" s="5"/>
      <c r="H25" s="5">
        <v>2552</v>
      </c>
      <c r="I25" s="5">
        <v>0</v>
      </c>
      <c r="J25" s="5">
        <v>2552</v>
      </c>
      <c r="K25" s="5"/>
      <c r="L25" s="1"/>
      <c r="M25" s="5"/>
      <c r="N25" s="5">
        <v>2552</v>
      </c>
      <c r="O25" s="5">
        <v>0</v>
      </c>
      <c r="P25" s="5">
        <v>2552</v>
      </c>
      <c r="Q25" s="5"/>
      <c r="R25" s="1"/>
      <c r="S25" s="5"/>
      <c r="T25" s="5">
        <v>2552</v>
      </c>
      <c r="U25" s="5">
        <v>0</v>
      </c>
      <c r="V25" s="5">
        <v>2552</v>
      </c>
      <c r="W25" s="5"/>
      <c r="X25" s="1"/>
      <c r="Y25" s="5"/>
      <c r="Z25" s="5">
        <v>2552</v>
      </c>
      <c r="AA25" s="5">
        <v>0</v>
      </c>
    </row>
    <row r="26" spans="1:27" ht="19.5">
      <c r="A26" s="1">
        <v>3</v>
      </c>
      <c r="B26" s="2" t="s">
        <v>13</v>
      </c>
      <c r="C26" s="1">
        <v>319</v>
      </c>
      <c r="D26" s="5">
        <v>2552</v>
      </c>
      <c r="E26" s="5"/>
      <c r="F26" s="1"/>
      <c r="G26" s="5"/>
      <c r="H26" s="5">
        <v>2552</v>
      </c>
      <c r="I26" s="5">
        <v>0</v>
      </c>
      <c r="J26" s="5">
        <v>2552</v>
      </c>
      <c r="K26" s="5"/>
      <c r="L26" s="1"/>
      <c r="M26" s="5"/>
      <c r="N26" s="5">
        <v>2552</v>
      </c>
      <c r="O26" s="5">
        <v>0</v>
      </c>
      <c r="P26" s="5">
        <v>2552</v>
      </c>
      <c r="Q26" s="5"/>
      <c r="R26" s="1"/>
      <c r="S26" s="5"/>
      <c r="T26" s="5">
        <v>2552</v>
      </c>
      <c r="U26" s="5">
        <v>0</v>
      </c>
      <c r="V26" s="5">
        <v>2552</v>
      </c>
      <c r="W26" s="5">
        <v>1190</v>
      </c>
      <c r="X26" s="1">
        <v>2025</v>
      </c>
      <c r="Y26" s="5" t="s">
        <v>9</v>
      </c>
      <c r="Z26" s="5">
        <v>2552</v>
      </c>
      <c r="AA26" s="5">
        <v>0</v>
      </c>
    </row>
    <row r="27" spans="1:27" ht="19.5">
      <c r="A27" s="1">
        <v>3</v>
      </c>
      <c r="B27" s="9" t="s">
        <v>15</v>
      </c>
      <c r="C27" s="1">
        <v>319</v>
      </c>
      <c r="D27" s="5">
        <v>2552</v>
      </c>
      <c r="E27" s="5"/>
      <c r="F27" s="1"/>
      <c r="G27" s="5"/>
      <c r="H27" s="5">
        <v>2552</v>
      </c>
      <c r="I27" s="5">
        <v>0</v>
      </c>
      <c r="J27" s="5">
        <v>2552</v>
      </c>
      <c r="K27" s="5"/>
      <c r="L27" s="1"/>
      <c r="M27" s="5"/>
      <c r="N27" s="5">
        <v>2552</v>
      </c>
      <c r="O27" s="5">
        <v>0</v>
      </c>
      <c r="P27" s="5">
        <v>2552</v>
      </c>
      <c r="Q27" s="5"/>
      <c r="R27" s="1"/>
      <c r="S27" s="5"/>
      <c r="T27" s="5">
        <v>2552</v>
      </c>
      <c r="U27" s="5">
        <v>0</v>
      </c>
      <c r="V27" s="5">
        <v>2552</v>
      </c>
      <c r="W27" s="5"/>
      <c r="X27" s="1"/>
      <c r="Y27" s="5"/>
      <c r="Z27" s="5">
        <v>2552</v>
      </c>
      <c r="AA27" s="5">
        <v>0</v>
      </c>
    </row>
    <row r="28" spans="1:27" ht="19.5">
      <c r="A28" s="1">
        <v>3</v>
      </c>
      <c r="B28" s="9" t="s">
        <v>16</v>
      </c>
      <c r="C28" s="1">
        <v>319</v>
      </c>
      <c r="D28" s="5">
        <v>2552</v>
      </c>
      <c r="E28" s="5"/>
      <c r="F28" s="1"/>
      <c r="G28" s="5"/>
      <c r="H28" s="5">
        <v>2552</v>
      </c>
      <c r="I28" s="5">
        <v>0</v>
      </c>
      <c r="J28" s="5">
        <v>2552</v>
      </c>
      <c r="K28" s="5"/>
      <c r="L28" s="1"/>
      <c r="M28" s="5"/>
      <c r="N28" s="5">
        <v>2552</v>
      </c>
      <c r="O28" s="5">
        <v>0</v>
      </c>
      <c r="P28" s="5">
        <v>2552</v>
      </c>
      <c r="Q28" s="5"/>
      <c r="R28" s="1"/>
      <c r="S28" s="5"/>
      <c r="T28" s="5">
        <v>2552</v>
      </c>
      <c r="U28" s="5">
        <v>0</v>
      </c>
      <c r="V28" s="5">
        <v>2552</v>
      </c>
      <c r="W28" s="5">
        <v>610</v>
      </c>
      <c r="X28" s="1">
        <v>2025</v>
      </c>
      <c r="Y28" s="5" t="s">
        <v>9</v>
      </c>
      <c r="Z28" s="5">
        <v>2552</v>
      </c>
      <c r="AA28" s="5">
        <v>0</v>
      </c>
    </row>
    <row r="29" spans="1:27" ht="19.5">
      <c r="A29" s="1">
        <v>3</v>
      </c>
      <c r="B29" s="9" t="s">
        <v>62</v>
      </c>
      <c r="C29" s="1">
        <v>319</v>
      </c>
      <c r="D29" s="5">
        <v>2552</v>
      </c>
      <c r="E29" s="5"/>
      <c r="F29" s="1"/>
      <c r="G29" s="5"/>
      <c r="H29" s="5">
        <v>2552</v>
      </c>
      <c r="I29" s="5">
        <v>0</v>
      </c>
      <c r="J29" s="5">
        <v>2552</v>
      </c>
      <c r="K29" s="5"/>
      <c r="L29" s="1"/>
      <c r="M29" s="5"/>
      <c r="N29" s="5">
        <v>2552</v>
      </c>
      <c r="O29" s="5">
        <v>0</v>
      </c>
      <c r="P29" s="5">
        <v>2552</v>
      </c>
      <c r="Q29" s="5"/>
      <c r="R29" s="1"/>
      <c r="S29" s="5"/>
      <c r="T29" s="5">
        <v>2552</v>
      </c>
      <c r="U29" s="5">
        <v>0</v>
      </c>
      <c r="V29" s="5">
        <v>2552</v>
      </c>
      <c r="W29" s="5"/>
      <c r="X29" s="1"/>
      <c r="Y29" s="5"/>
      <c r="Z29" s="5">
        <v>2552</v>
      </c>
      <c r="AA29" s="5"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322</v>
      </c>
      <c r="D31" s="5">
        <v>2576</v>
      </c>
      <c r="E31" s="5"/>
      <c r="F31" s="1"/>
      <c r="G31" s="5"/>
      <c r="H31" s="5">
        <v>2576</v>
      </c>
      <c r="I31" s="5">
        <v>0</v>
      </c>
      <c r="J31" s="5">
        <v>2576</v>
      </c>
      <c r="K31" s="5"/>
      <c r="L31" s="1"/>
      <c r="M31" s="5"/>
      <c r="N31" s="5">
        <v>2576</v>
      </c>
      <c r="O31" s="5">
        <v>0</v>
      </c>
      <c r="P31" s="5">
        <v>2576</v>
      </c>
      <c r="Q31" s="5"/>
      <c r="R31" s="1"/>
      <c r="S31" s="5"/>
      <c r="T31" s="5">
        <v>2576</v>
      </c>
      <c r="U31" s="5">
        <v>0</v>
      </c>
      <c r="V31" s="5">
        <v>2576</v>
      </c>
      <c r="W31" s="5"/>
      <c r="X31" s="1"/>
      <c r="Y31" s="5"/>
      <c r="Z31" s="5">
        <v>2576</v>
      </c>
      <c r="AA31" s="5">
        <v>0</v>
      </c>
    </row>
    <row r="32" spans="1:27" ht="19.5">
      <c r="A32" s="1">
        <v>4</v>
      </c>
      <c r="B32" s="9" t="s">
        <v>16</v>
      </c>
      <c r="C32" s="1">
        <v>322</v>
      </c>
      <c r="D32" s="5">
        <v>2576</v>
      </c>
      <c r="E32" s="5"/>
      <c r="F32" s="1"/>
      <c r="G32" s="5"/>
      <c r="H32" s="5">
        <v>2576</v>
      </c>
      <c r="I32" s="5">
        <v>0</v>
      </c>
      <c r="J32" s="5">
        <v>2576</v>
      </c>
      <c r="K32" s="5"/>
      <c r="L32" s="1"/>
      <c r="M32" s="5"/>
      <c r="N32" s="5">
        <v>2576</v>
      </c>
      <c r="O32" s="5">
        <v>0</v>
      </c>
      <c r="P32" s="5">
        <v>2576</v>
      </c>
      <c r="Q32" s="5"/>
      <c r="R32" s="1"/>
      <c r="S32" s="5"/>
      <c r="T32" s="5">
        <v>2576</v>
      </c>
      <c r="U32" s="5">
        <v>0</v>
      </c>
      <c r="V32" s="5">
        <v>2576</v>
      </c>
      <c r="W32" s="5"/>
      <c r="X32" s="1"/>
      <c r="Y32" s="5"/>
      <c r="Z32" s="5">
        <v>2576</v>
      </c>
      <c r="AA32" s="5">
        <v>0</v>
      </c>
    </row>
    <row r="33" spans="1:27" ht="19.5">
      <c r="A33" s="1">
        <v>4</v>
      </c>
      <c r="B33" s="9" t="s">
        <v>13</v>
      </c>
      <c r="C33" s="1">
        <v>322</v>
      </c>
      <c r="D33" s="5">
        <v>2576</v>
      </c>
      <c r="E33" s="5"/>
      <c r="F33" s="1"/>
      <c r="G33" s="5"/>
      <c r="H33" s="5">
        <v>2576</v>
      </c>
      <c r="I33" s="5">
        <v>0</v>
      </c>
      <c r="J33" s="5">
        <v>2576</v>
      </c>
      <c r="K33" s="5"/>
      <c r="L33" s="1"/>
      <c r="M33" s="5"/>
      <c r="N33" s="5">
        <v>2576</v>
      </c>
      <c r="O33" s="5">
        <v>0</v>
      </c>
      <c r="P33" s="5">
        <v>2576</v>
      </c>
      <c r="Q33" s="5"/>
      <c r="R33" s="1"/>
      <c r="S33" s="5"/>
      <c r="T33" s="5">
        <v>2576</v>
      </c>
      <c r="U33" s="5">
        <v>0</v>
      </c>
      <c r="V33" s="5">
        <v>2576</v>
      </c>
      <c r="W33" s="5"/>
      <c r="X33" s="1"/>
      <c r="Y33" s="5"/>
      <c r="Z33" s="5">
        <v>2576</v>
      </c>
      <c r="AA33" s="5">
        <v>0</v>
      </c>
    </row>
    <row r="34" spans="1:27" ht="19.5">
      <c r="A34" s="1">
        <v>4</v>
      </c>
      <c r="B34" s="9" t="s">
        <v>11</v>
      </c>
      <c r="C34" s="1">
        <v>322</v>
      </c>
      <c r="D34" s="5">
        <v>2576</v>
      </c>
      <c r="E34" s="5"/>
      <c r="F34" s="1"/>
      <c r="G34" s="5"/>
      <c r="H34" s="5">
        <v>2576</v>
      </c>
      <c r="I34" s="5">
        <v>0</v>
      </c>
      <c r="J34" s="5">
        <v>2576</v>
      </c>
      <c r="K34" s="5"/>
      <c r="L34" s="1"/>
      <c r="M34" s="5"/>
      <c r="N34" s="5">
        <v>2576</v>
      </c>
      <c r="O34" s="5">
        <v>0</v>
      </c>
      <c r="P34" s="5">
        <v>2576</v>
      </c>
      <c r="Q34" s="5"/>
      <c r="R34" s="1"/>
      <c r="S34" s="5"/>
      <c r="T34" s="5">
        <v>2576</v>
      </c>
      <c r="U34" s="5">
        <v>0</v>
      </c>
      <c r="V34" s="5">
        <v>2576</v>
      </c>
      <c r="W34" s="5"/>
      <c r="X34" s="1"/>
      <c r="Y34" s="5"/>
      <c r="Z34" s="5">
        <v>2576</v>
      </c>
      <c r="AA34" s="5">
        <v>0</v>
      </c>
    </row>
    <row r="35" spans="1:27" ht="38.25">
      <c r="A35" s="1">
        <v>4</v>
      </c>
      <c r="B35" s="9" t="s">
        <v>17</v>
      </c>
      <c r="C35" s="1">
        <v>322</v>
      </c>
      <c r="D35" s="5">
        <v>2576</v>
      </c>
      <c r="E35" s="5"/>
      <c r="F35" s="1"/>
      <c r="G35" s="5"/>
      <c r="H35" s="5">
        <v>2576</v>
      </c>
      <c r="I35" s="5">
        <v>0</v>
      </c>
      <c r="J35" s="5">
        <v>2576</v>
      </c>
      <c r="K35" s="5"/>
      <c r="L35" s="1"/>
      <c r="M35" s="5"/>
      <c r="N35" s="5">
        <v>2576</v>
      </c>
      <c r="O35" s="5">
        <v>0</v>
      </c>
      <c r="P35" s="5">
        <v>2576</v>
      </c>
      <c r="Q35" s="5"/>
      <c r="R35" s="1"/>
      <c r="S35" s="5"/>
      <c r="T35" s="5">
        <v>2576</v>
      </c>
      <c r="U35" s="5">
        <v>0</v>
      </c>
      <c r="V35" s="5">
        <v>2576</v>
      </c>
      <c r="W35" s="5"/>
      <c r="X35" s="1"/>
      <c r="Y35" s="5"/>
      <c r="Z35" s="5">
        <v>2576</v>
      </c>
      <c r="AA35" s="5">
        <v>0</v>
      </c>
    </row>
    <row r="36" spans="1:27" ht="19.5">
      <c r="A36" s="1">
        <v>4</v>
      </c>
      <c r="B36" s="9" t="s">
        <v>14</v>
      </c>
      <c r="C36" s="1">
        <v>322</v>
      </c>
      <c r="D36" s="5">
        <v>2576</v>
      </c>
      <c r="E36" s="5"/>
      <c r="F36" s="1"/>
      <c r="G36" s="5"/>
      <c r="H36" s="5">
        <v>2576</v>
      </c>
      <c r="I36" s="5">
        <v>0</v>
      </c>
      <c r="J36" s="5">
        <v>2576</v>
      </c>
      <c r="K36" s="5"/>
      <c r="L36" s="1"/>
      <c r="M36" s="5"/>
      <c r="N36" s="5">
        <v>2576</v>
      </c>
      <c r="O36" s="5">
        <v>0</v>
      </c>
      <c r="P36" s="5">
        <v>2576</v>
      </c>
      <c r="Q36" s="5"/>
      <c r="R36" s="1"/>
      <c r="S36" s="5"/>
      <c r="T36" s="5">
        <v>2576</v>
      </c>
      <c r="U36" s="5">
        <v>0</v>
      </c>
      <c r="V36" s="5">
        <v>2576</v>
      </c>
      <c r="W36" s="5"/>
      <c r="X36" s="1"/>
      <c r="Y36" s="5"/>
      <c r="Z36" s="5">
        <v>2576</v>
      </c>
      <c r="AA36" s="5">
        <v>0</v>
      </c>
    </row>
    <row r="37" spans="1:27" ht="19.5">
      <c r="A37" s="37">
        <v>4</v>
      </c>
      <c r="B37" s="9" t="s">
        <v>87</v>
      </c>
      <c r="C37" s="5">
        <v>322</v>
      </c>
      <c r="D37" s="5">
        <v>2576</v>
      </c>
      <c r="E37" s="5"/>
      <c r="F37" s="1"/>
      <c r="G37" s="5"/>
      <c r="H37" s="5">
        <v>2576</v>
      </c>
      <c r="I37" s="5">
        <v>0</v>
      </c>
      <c r="J37" s="5">
        <v>2576</v>
      </c>
      <c r="K37" s="5"/>
      <c r="L37" s="1"/>
      <c r="M37" s="5"/>
      <c r="N37" s="5">
        <v>2576</v>
      </c>
      <c r="O37" s="5">
        <v>0</v>
      </c>
      <c r="P37" s="5">
        <v>2576</v>
      </c>
      <c r="Q37" s="5"/>
      <c r="R37" s="1"/>
      <c r="S37" s="5"/>
      <c r="T37" s="5">
        <v>2576</v>
      </c>
      <c r="U37" s="5">
        <v>0</v>
      </c>
      <c r="V37" s="5">
        <v>2576</v>
      </c>
      <c r="W37" s="5"/>
      <c r="X37" s="1"/>
      <c r="Y37" s="5"/>
      <c r="Z37" s="5">
        <v>2576</v>
      </c>
      <c r="AA37" s="5">
        <v>0</v>
      </c>
    </row>
    <row r="38" spans="1:27" ht="19.5">
      <c r="A38" s="1">
        <v>4</v>
      </c>
      <c r="B38" s="9" t="s">
        <v>88</v>
      </c>
      <c r="C38" s="1">
        <v>322</v>
      </c>
      <c r="D38" s="5">
        <v>2576</v>
      </c>
      <c r="E38" s="5"/>
      <c r="F38" s="1"/>
      <c r="G38" s="5"/>
      <c r="H38" s="5">
        <v>2576</v>
      </c>
      <c r="I38" s="5">
        <v>0</v>
      </c>
      <c r="J38" s="5">
        <v>2576</v>
      </c>
      <c r="K38" s="5"/>
      <c r="L38" s="1"/>
      <c r="M38" s="5"/>
      <c r="N38" s="5">
        <v>2576</v>
      </c>
      <c r="O38" s="5">
        <v>0</v>
      </c>
      <c r="P38" s="5">
        <v>2576</v>
      </c>
      <c r="Q38" s="5"/>
      <c r="R38" s="1"/>
      <c r="S38" s="5"/>
      <c r="T38" s="5">
        <v>2576</v>
      </c>
      <c r="U38" s="5">
        <v>0</v>
      </c>
      <c r="V38" s="5">
        <v>2576</v>
      </c>
      <c r="W38" s="5"/>
      <c r="X38" s="1"/>
      <c r="Y38" s="5"/>
      <c r="Z38" s="5">
        <v>2576</v>
      </c>
      <c r="AA38" s="5">
        <v>0</v>
      </c>
    </row>
    <row r="39" spans="1:27" ht="19.5">
      <c r="A39" s="1">
        <v>4</v>
      </c>
      <c r="B39" s="9" t="s">
        <v>19</v>
      </c>
      <c r="C39" s="1">
        <v>322</v>
      </c>
      <c r="D39" s="5">
        <v>2576</v>
      </c>
      <c r="E39" s="5"/>
      <c r="F39" s="1"/>
      <c r="G39" s="5"/>
      <c r="H39" s="5">
        <v>2576</v>
      </c>
      <c r="I39" s="5">
        <v>0</v>
      </c>
      <c r="J39" s="5">
        <v>2576</v>
      </c>
      <c r="K39" s="5"/>
      <c r="L39" s="1"/>
      <c r="M39" s="5"/>
      <c r="N39" s="5">
        <v>2576</v>
      </c>
      <c r="O39" s="5">
        <v>0</v>
      </c>
      <c r="P39" s="5">
        <v>2576</v>
      </c>
      <c r="Q39" s="5"/>
      <c r="R39" s="1"/>
      <c r="S39" s="5"/>
      <c r="T39" s="5">
        <v>2576</v>
      </c>
      <c r="U39" s="5">
        <v>0</v>
      </c>
      <c r="V39" s="5">
        <v>2576</v>
      </c>
      <c r="W39" s="5"/>
      <c r="X39" s="1"/>
      <c r="Y39" s="5"/>
      <c r="Z39" s="5">
        <v>2576</v>
      </c>
      <c r="AA39" s="5">
        <v>0</v>
      </c>
    </row>
    <row r="40" spans="1:27" ht="19.5">
      <c r="A40" s="37">
        <v>4</v>
      </c>
      <c r="B40" s="9" t="s">
        <v>89</v>
      </c>
      <c r="C40" s="1">
        <v>322</v>
      </c>
      <c r="D40" s="5">
        <v>2576</v>
      </c>
      <c r="E40" s="5"/>
      <c r="F40" s="1"/>
      <c r="G40" s="5"/>
      <c r="H40" s="5">
        <v>2576</v>
      </c>
      <c r="I40" s="5">
        <v>0</v>
      </c>
      <c r="J40" s="5">
        <v>2576</v>
      </c>
      <c r="K40" s="5"/>
      <c r="L40" s="1"/>
      <c r="M40" s="5"/>
      <c r="N40" s="5">
        <v>2576</v>
      </c>
      <c r="O40" s="5">
        <v>0</v>
      </c>
      <c r="P40" s="5">
        <v>2576</v>
      </c>
      <c r="Q40" s="5"/>
      <c r="R40" s="1"/>
      <c r="S40" s="5"/>
      <c r="T40" s="5">
        <v>2576</v>
      </c>
      <c r="U40" s="5">
        <v>0</v>
      </c>
      <c r="V40" s="5">
        <v>2576</v>
      </c>
      <c r="W40" s="5"/>
      <c r="X40" s="1"/>
      <c r="Y40" s="5"/>
      <c r="Z40" s="5">
        <v>2576</v>
      </c>
      <c r="AA40" s="5">
        <v>0</v>
      </c>
    </row>
    <row r="41" spans="1:27" ht="19.5">
      <c r="A41" s="1">
        <v>4</v>
      </c>
      <c r="B41" s="9" t="s">
        <v>90</v>
      </c>
      <c r="C41" s="1">
        <v>322</v>
      </c>
      <c r="D41" s="5">
        <v>2576</v>
      </c>
      <c r="E41" s="5"/>
      <c r="F41" s="1"/>
      <c r="G41" s="5"/>
      <c r="H41" s="5">
        <v>2576</v>
      </c>
      <c r="I41" s="5">
        <v>0</v>
      </c>
      <c r="J41" s="5">
        <v>2576</v>
      </c>
      <c r="K41" s="5"/>
      <c r="L41" s="1"/>
      <c r="M41" s="5"/>
      <c r="N41" s="5">
        <v>2576</v>
      </c>
      <c r="O41" s="5">
        <v>0</v>
      </c>
      <c r="P41" s="5">
        <v>2576</v>
      </c>
      <c r="Q41" s="5"/>
      <c r="R41" s="1"/>
      <c r="S41" s="5"/>
      <c r="T41" s="5">
        <v>2576</v>
      </c>
      <c r="U41" s="5">
        <v>0</v>
      </c>
      <c r="V41" s="5">
        <v>2576</v>
      </c>
      <c r="W41" s="5"/>
      <c r="X41" s="1"/>
      <c r="Y41" s="5"/>
      <c r="Z41" s="5">
        <v>2576</v>
      </c>
      <c r="AA41" s="5"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308</v>
      </c>
      <c r="D43" s="5">
        <v>2464</v>
      </c>
      <c r="E43" s="5"/>
      <c r="F43" s="1"/>
      <c r="G43" s="5"/>
      <c r="H43" s="5">
        <v>2464</v>
      </c>
      <c r="I43" s="5">
        <v>0</v>
      </c>
      <c r="J43" s="5">
        <v>2464</v>
      </c>
      <c r="K43" s="5"/>
      <c r="L43" s="1"/>
      <c r="M43" s="5"/>
      <c r="N43" s="5">
        <v>2464</v>
      </c>
      <c r="O43" s="5">
        <v>0</v>
      </c>
      <c r="P43" s="5">
        <v>2464</v>
      </c>
      <c r="Q43" s="5"/>
      <c r="R43" s="1"/>
      <c r="S43" s="5"/>
      <c r="T43" s="5">
        <v>2464</v>
      </c>
      <c r="U43" s="5">
        <v>0</v>
      </c>
      <c r="V43" s="5">
        <v>2464</v>
      </c>
      <c r="W43" s="5"/>
      <c r="X43" s="1"/>
      <c r="Y43" s="5"/>
      <c r="Z43" s="5">
        <v>2464</v>
      </c>
      <c r="AA43" s="5">
        <v>0</v>
      </c>
    </row>
    <row r="44" spans="1:27" ht="19.5">
      <c r="A44" s="1">
        <v>5</v>
      </c>
      <c r="B44" s="9" t="s">
        <v>16</v>
      </c>
      <c r="C44" s="1">
        <v>308</v>
      </c>
      <c r="D44" s="5">
        <v>2464</v>
      </c>
      <c r="E44" s="5"/>
      <c r="F44" s="1"/>
      <c r="G44" s="5"/>
      <c r="H44" s="5">
        <v>2464</v>
      </c>
      <c r="I44" s="5">
        <v>0</v>
      </c>
      <c r="J44" s="5">
        <v>2464</v>
      </c>
      <c r="K44" s="5"/>
      <c r="L44" s="1"/>
      <c r="M44" s="5"/>
      <c r="N44" s="5">
        <v>2464</v>
      </c>
      <c r="O44" s="5">
        <v>0</v>
      </c>
      <c r="P44" s="5">
        <v>2464</v>
      </c>
      <c r="Q44" s="5"/>
      <c r="R44" s="1"/>
      <c r="S44" s="5"/>
      <c r="T44" s="5">
        <v>2464</v>
      </c>
      <c r="U44" s="5">
        <v>0</v>
      </c>
      <c r="V44" s="5">
        <v>2464</v>
      </c>
      <c r="W44" s="5"/>
      <c r="X44" s="1"/>
      <c r="Y44" s="5"/>
      <c r="Z44" s="5">
        <v>2464</v>
      </c>
      <c r="AA44" s="5">
        <v>0</v>
      </c>
    </row>
    <row r="45" spans="1:27" ht="19.5">
      <c r="A45" s="1">
        <v>5</v>
      </c>
      <c r="B45" s="9" t="s">
        <v>13</v>
      </c>
      <c r="C45" s="1">
        <v>308</v>
      </c>
      <c r="D45" s="5">
        <v>2464</v>
      </c>
      <c r="E45" s="5"/>
      <c r="F45" s="1"/>
      <c r="G45" s="5"/>
      <c r="H45" s="5">
        <v>2464</v>
      </c>
      <c r="I45" s="5">
        <v>0</v>
      </c>
      <c r="J45" s="5">
        <v>2464</v>
      </c>
      <c r="K45" s="5"/>
      <c r="L45" s="1"/>
      <c r="M45" s="5"/>
      <c r="N45" s="5">
        <v>2464</v>
      </c>
      <c r="O45" s="5">
        <v>0</v>
      </c>
      <c r="P45" s="5">
        <v>2464</v>
      </c>
      <c r="Q45" s="5"/>
      <c r="R45" s="1"/>
      <c r="S45" s="5"/>
      <c r="T45" s="5">
        <v>2464</v>
      </c>
      <c r="U45" s="5">
        <v>0</v>
      </c>
      <c r="V45" s="5">
        <v>2464</v>
      </c>
      <c r="W45" s="5"/>
      <c r="X45" s="1"/>
      <c r="Y45" s="5"/>
      <c r="Z45" s="5">
        <v>2464</v>
      </c>
      <c r="AA45" s="5">
        <v>0</v>
      </c>
    </row>
    <row r="46" spans="1:27" ht="19.5">
      <c r="A46" s="1">
        <v>5</v>
      </c>
      <c r="B46" s="9" t="s">
        <v>11</v>
      </c>
      <c r="C46" s="1">
        <v>308</v>
      </c>
      <c r="D46" s="5">
        <v>2464</v>
      </c>
      <c r="E46" s="5"/>
      <c r="F46" s="1"/>
      <c r="G46" s="5"/>
      <c r="H46" s="5">
        <v>2464</v>
      </c>
      <c r="I46" s="5">
        <v>0</v>
      </c>
      <c r="J46" s="5">
        <v>2464</v>
      </c>
      <c r="K46" s="5"/>
      <c r="L46" s="1"/>
      <c r="M46" s="5"/>
      <c r="N46" s="5">
        <v>2464</v>
      </c>
      <c r="O46" s="5">
        <v>0</v>
      </c>
      <c r="P46" s="5">
        <v>2464</v>
      </c>
      <c r="Q46" s="5"/>
      <c r="R46" s="1"/>
      <c r="S46" s="5"/>
      <c r="T46" s="5">
        <v>2464</v>
      </c>
      <c r="U46" s="5">
        <v>0</v>
      </c>
      <c r="V46" s="5">
        <v>2464</v>
      </c>
      <c r="W46" s="5"/>
      <c r="X46" s="1"/>
      <c r="Y46" s="5"/>
      <c r="Z46" s="5">
        <v>2464</v>
      </c>
      <c r="AA46" s="5">
        <v>0</v>
      </c>
    </row>
    <row r="47" spans="1:27" ht="38.25">
      <c r="A47" s="1">
        <v>5</v>
      </c>
      <c r="B47" s="9" t="s">
        <v>17</v>
      </c>
      <c r="C47" s="1">
        <v>308</v>
      </c>
      <c r="D47" s="5">
        <v>2464</v>
      </c>
      <c r="E47" s="5"/>
      <c r="F47" s="1"/>
      <c r="G47" s="5"/>
      <c r="H47" s="5">
        <v>2464</v>
      </c>
      <c r="I47" s="5">
        <v>0</v>
      </c>
      <c r="J47" s="5">
        <v>2464</v>
      </c>
      <c r="K47" s="5"/>
      <c r="L47" s="1"/>
      <c r="M47" s="5"/>
      <c r="N47" s="5">
        <v>2464</v>
      </c>
      <c r="O47" s="5">
        <v>0</v>
      </c>
      <c r="P47" s="5">
        <v>2464</v>
      </c>
      <c r="Q47" s="5"/>
      <c r="R47" s="1"/>
      <c r="S47" s="5"/>
      <c r="T47" s="5">
        <v>2464</v>
      </c>
      <c r="U47" s="5">
        <v>0</v>
      </c>
      <c r="V47" s="5">
        <v>2464</v>
      </c>
      <c r="W47" s="5"/>
      <c r="X47" s="1"/>
      <c r="Y47" s="5"/>
      <c r="Z47" s="5">
        <v>2464</v>
      </c>
      <c r="AA47" s="5">
        <v>0</v>
      </c>
    </row>
    <row r="48" spans="1:27" ht="19.5">
      <c r="A48" s="1">
        <v>5</v>
      </c>
      <c r="B48" s="9" t="s">
        <v>14</v>
      </c>
      <c r="C48" s="1">
        <v>308</v>
      </c>
      <c r="D48" s="5">
        <v>2464</v>
      </c>
      <c r="E48" s="5"/>
      <c r="F48" s="1"/>
      <c r="G48" s="5"/>
      <c r="H48" s="5">
        <v>2464</v>
      </c>
      <c r="I48" s="5">
        <v>0</v>
      </c>
      <c r="J48" s="5">
        <v>2464</v>
      </c>
      <c r="K48" s="5"/>
      <c r="L48" s="1"/>
      <c r="M48" s="5"/>
      <c r="N48" s="5">
        <v>2464</v>
      </c>
      <c r="O48" s="5">
        <v>0</v>
      </c>
      <c r="P48" s="5">
        <v>2464</v>
      </c>
      <c r="Q48" s="5"/>
      <c r="R48" s="1"/>
      <c r="S48" s="5"/>
      <c r="T48" s="5">
        <v>2464</v>
      </c>
      <c r="U48" s="5">
        <v>0</v>
      </c>
      <c r="V48" s="5">
        <v>2464</v>
      </c>
      <c r="W48" s="5"/>
      <c r="X48" s="1"/>
      <c r="Y48" s="5"/>
      <c r="Z48" s="5">
        <v>2464</v>
      </c>
      <c r="AA48" s="5">
        <v>0</v>
      </c>
    </row>
    <row r="49" spans="1:27" ht="19.5">
      <c r="A49" s="37">
        <v>5</v>
      </c>
      <c r="B49" s="9" t="s">
        <v>87</v>
      </c>
      <c r="C49" s="5">
        <v>308</v>
      </c>
      <c r="D49" s="5">
        <v>2464</v>
      </c>
      <c r="E49" s="5"/>
      <c r="F49" s="1"/>
      <c r="G49" s="5"/>
      <c r="H49" s="5">
        <v>2464</v>
      </c>
      <c r="I49" s="5">
        <v>0</v>
      </c>
      <c r="J49" s="5">
        <v>2464</v>
      </c>
      <c r="K49" s="5"/>
      <c r="L49" s="1"/>
      <c r="M49" s="5"/>
      <c r="N49" s="5">
        <v>2464</v>
      </c>
      <c r="O49" s="5">
        <v>0</v>
      </c>
      <c r="P49" s="5">
        <v>2464</v>
      </c>
      <c r="Q49" s="5"/>
      <c r="R49" s="1"/>
      <c r="S49" s="5"/>
      <c r="T49" s="5">
        <v>2464</v>
      </c>
      <c r="U49" s="5">
        <v>0</v>
      </c>
      <c r="V49" s="5">
        <v>2464</v>
      </c>
      <c r="W49" s="5"/>
      <c r="X49" s="1"/>
      <c r="Y49" s="5"/>
      <c r="Z49" s="5">
        <v>2464</v>
      </c>
      <c r="AA49" s="5">
        <v>0</v>
      </c>
    </row>
    <row r="50" spans="1:27" ht="19.5">
      <c r="A50" s="1">
        <v>5</v>
      </c>
      <c r="B50" s="9" t="s">
        <v>88</v>
      </c>
      <c r="C50" s="1">
        <v>308</v>
      </c>
      <c r="D50" s="5">
        <v>2464</v>
      </c>
      <c r="E50" s="5"/>
      <c r="F50" s="1"/>
      <c r="G50" s="5"/>
      <c r="H50" s="5">
        <v>2464</v>
      </c>
      <c r="I50" s="5">
        <v>0</v>
      </c>
      <c r="J50" s="5">
        <v>2464</v>
      </c>
      <c r="K50" s="5"/>
      <c r="L50" s="1"/>
      <c r="M50" s="5"/>
      <c r="N50" s="5">
        <v>2464</v>
      </c>
      <c r="O50" s="5">
        <v>0</v>
      </c>
      <c r="P50" s="5">
        <v>2464</v>
      </c>
      <c r="Q50" s="5"/>
      <c r="R50" s="1"/>
      <c r="S50" s="5"/>
      <c r="T50" s="5">
        <v>2464</v>
      </c>
      <c r="U50" s="5">
        <v>0</v>
      </c>
      <c r="V50" s="5">
        <v>2464</v>
      </c>
      <c r="W50" s="5"/>
      <c r="X50" s="1"/>
      <c r="Y50" s="5"/>
      <c r="Z50" s="5">
        <v>2464</v>
      </c>
      <c r="AA50" s="5">
        <v>0</v>
      </c>
    </row>
    <row r="51" spans="1:27" ht="19.5">
      <c r="A51" s="1">
        <v>5</v>
      </c>
      <c r="B51" s="9" t="s">
        <v>19</v>
      </c>
      <c r="C51" s="1">
        <v>308</v>
      </c>
      <c r="D51" s="5">
        <v>2464</v>
      </c>
      <c r="E51" s="5"/>
      <c r="F51" s="1"/>
      <c r="G51" s="5"/>
      <c r="H51" s="5">
        <v>2464</v>
      </c>
      <c r="I51" s="5">
        <v>0</v>
      </c>
      <c r="J51" s="5">
        <v>2464</v>
      </c>
      <c r="K51" s="5"/>
      <c r="L51" s="1"/>
      <c r="M51" s="5"/>
      <c r="N51" s="5">
        <v>2464</v>
      </c>
      <c r="O51" s="5">
        <v>0</v>
      </c>
      <c r="P51" s="5">
        <v>2464</v>
      </c>
      <c r="Q51" s="5"/>
      <c r="R51" s="1"/>
      <c r="S51" s="5"/>
      <c r="T51" s="5">
        <v>2464</v>
      </c>
      <c r="U51" s="5">
        <v>0</v>
      </c>
      <c r="V51" s="5">
        <v>2464</v>
      </c>
      <c r="W51" s="5"/>
      <c r="X51" s="1"/>
      <c r="Y51" s="5"/>
      <c r="Z51" s="5">
        <v>2464</v>
      </c>
      <c r="AA51" s="5">
        <v>0</v>
      </c>
    </row>
    <row r="52" spans="1:27" ht="19.5">
      <c r="A52" s="37">
        <v>5</v>
      </c>
      <c r="B52" s="9" t="s">
        <v>89</v>
      </c>
      <c r="C52" s="1">
        <v>308</v>
      </c>
      <c r="D52" s="5">
        <v>2464</v>
      </c>
      <c r="E52" s="5"/>
      <c r="F52" s="1"/>
      <c r="G52" s="5"/>
      <c r="H52" s="5">
        <v>2464</v>
      </c>
      <c r="I52" s="5">
        <v>0</v>
      </c>
      <c r="J52" s="5">
        <v>2464</v>
      </c>
      <c r="K52" s="5"/>
      <c r="L52" s="1"/>
      <c r="M52" s="5"/>
      <c r="N52" s="5">
        <v>2464</v>
      </c>
      <c r="O52" s="5">
        <v>0</v>
      </c>
      <c r="P52" s="5">
        <v>2464</v>
      </c>
      <c r="Q52" s="5"/>
      <c r="R52" s="1"/>
      <c r="S52" s="5"/>
      <c r="T52" s="5">
        <v>2464</v>
      </c>
      <c r="U52" s="5">
        <v>0</v>
      </c>
      <c r="V52" s="5">
        <v>2464</v>
      </c>
      <c r="W52" s="5"/>
      <c r="X52" s="1"/>
      <c r="Y52" s="5"/>
      <c r="Z52" s="5">
        <v>2464</v>
      </c>
      <c r="AA52" s="5">
        <v>0</v>
      </c>
    </row>
    <row r="53" spans="1:27" ht="19.5">
      <c r="A53" s="1">
        <v>5</v>
      </c>
      <c r="B53" s="9" t="s">
        <v>90</v>
      </c>
      <c r="C53" s="1">
        <v>308</v>
      </c>
      <c r="D53" s="5">
        <v>2464</v>
      </c>
      <c r="E53" s="5"/>
      <c r="F53" s="1"/>
      <c r="G53" s="5"/>
      <c r="H53" s="5">
        <v>2464</v>
      </c>
      <c r="I53" s="5">
        <v>0</v>
      </c>
      <c r="J53" s="5">
        <v>2464</v>
      </c>
      <c r="K53" s="5"/>
      <c r="L53" s="1"/>
      <c r="M53" s="5"/>
      <c r="N53" s="5">
        <v>2464</v>
      </c>
      <c r="O53" s="5">
        <v>0</v>
      </c>
      <c r="P53" s="5">
        <v>2464</v>
      </c>
      <c r="Q53" s="5"/>
      <c r="R53" s="1"/>
      <c r="S53" s="5"/>
      <c r="T53" s="5">
        <v>2464</v>
      </c>
      <c r="U53" s="5">
        <v>0</v>
      </c>
      <c r="V53" s="5">
        <v>2464</v>
      </c>
      <c r="W53" s="5"/>
      <c r="X53" s="1"/>
      <c r="Y53" s="5"/>
      <c r="Z53" s="5">
        <v>2464</v>
      </c>
      <c r="AA53" s="5"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270</v>
      </c>
      <c r="D55" s="5">
        <v>2160</v>
      </c>
      <c r="E55" s="5">
        <v>202</v>
      </c>
      <c r="F55" s="1">
        <v>2025</v>
      </c>
      <c r="G55" s="5" t="s">
        <v>9</v>
      </c>
      <c r="H55" s="5">
        <v>1958</v>
      </c>
      <c r="I55" s="5">
        <v>0</v>
      </c>
      <c r="J55" s="5">
        <v>2160</v>
      </c>
      <c r="K55" s="5">
        <v>285</v>
      </c>
      <c r="L55" s="1">
        <v>2025</v>
      </c>
      <c r="M55" s="5" t="s">
        <v>9</v>
      </c>
      <c r="N55" s="5">
        <v>2010</v>
      </c>
      <c r="O55" s="5">
        <v>0</v>
      </c>
      <c r="P55" s="5">
        <v>2160</v>
      </c>
      <c r="Q55" s="5"/>
      <c r="R55" s="1">
        <v>2025</v>
      </c>
      <c r="S55" s="5" t="s">
        <v>9</v>
      </c>
      <c r="T55" s="5">
        <v>2160</v>
      </c>
      <c r="U55" s="5">
        <v>0</v>
      </c>
      <c r="V55" s="5">
        <v>2160</v>
      </c>
      <c r="W55" s="5">
        <v>200</v>
      </c>
      <c r="X55" s="1">
        <v>2025</v>
      </c>
      <c r="Y55" s="5" t="s">
        <v>9</v>
      </c>
      <c r="Z55" s="5">
        <v>1960</v>
      </c>
      <c r="AA55" s="5">
        <v>0</v>
      </c>
    </row>
    <row r="56" spans="1:27" ht="19.5">
      <c r="A56" s="1">
        <v>6</v>
      </c>
      <c r="B56" s="9" t="s">
        <v>16</v>
      </c>
      <c r="C56" s="1">
        <v>270</v>
      </c>
      <c r="D56" s="5">
        <v>2160</v>
      </c>
      <c r="E56" s="5">
        <v>202</v>
      </c>
      <c r="F56" s="1">
        <v>2025</v>
      </c>
      <c r="G56" s="5" t="s">
        <v>9</v>
      </c>
      <c r="H56" s="5">
        <v>1958</v>
      </c>
      <c r="I56" s="5">
        <v>0</v>
      </c>
      <c r="J56" s="5">
        <v>2160</v>
      </c>
      <c r="K56" s="5">
        <v>350</v>
      </c>
      <c r="L56" s="1">
        <v>2025</v>
      </c>
      <c r="M56" s="5" t="s">
        <v>9</v>
      </c>
      <c r="N56" s="5">
        <v>1810</v>
      </c>
      <c r="O56" s="5">
        <v>0</v>
      </c>
      <c r="P56" s="5">
        <v>2160</v>
      </c>
      <c r="Q56" s="5">
        <v>570</v>
      </c>
      <c r="R56" s="1">
        <v>2025</v>
      </c>
      <c r="S56" s="5" t="s">
        <v>9</v>
      </c>
      <c r="T56" s="5">
        <v>2160</v>
      </c>
      <c r="U56" s="5">
        <v>0</v>
      </c>
      <c r="V56" s="5">
        <v>2160</v>
      </c>
      <c r="W56" s="5">
        <v>200</v>
      </c>
      <c r="X56" s="1">
        <v>2025</v>
      </c>
      <c r="Y56" s="5" t="s">
        <v>9</v>
      </c>
      <c r="Z56" s="5">
        <v>1960</v>
      </c>
      <c r="AA56" s="5">
        <v>0</v>
      </c>
    </row>
    <row r="57" spans="1:27" ht="19.5">
      <c r="A57" s="1">
        <v>6</v>
      </c>
      <c r="B57" s="9" t="s">
        <v>13</v>
      </c>
      <c r="C57" s="1">
        <v>270</v>
      </c>
      <c r="D57" s="5">
        <v>2160</v>
      </c>
      <c r="E57" s="5">
        <v>202</v>
      </c>
      <c r="F57" s="1">
        <v>2025</v>
      </c>
      <c r="G57" s="5" t="s">
        <v>9</v>
      </c>
      <c r="H57" s="5">
        <v>1958</v>
      </c>
      <c r="I57" s="5">
        <v>0</v>
      </c>
      <c r="J57" s="5">
        <v>2160</v>
      </c>
      <c r="K57" s="5">
        <v>1330</v>
      </c>
      <c r="L57" s="1">
        <v>2025</v>
      </c>
      <c r="M57" s="5" t="s">
        <v>9</v>
      </c>
      <c r="N57" s="5">
        <v>1810</v>
      </c>
      <c r="O57" s="5">
        <v>0</v>
      </c>
      <c r="P57" s="5">
        <v>2160</v>
      </c>
      <c r="Q57" s="5">
        <v>760</v>
      </c>
      <c r="R57" s="1">
        <v>2025</v>
      </c>
      <c r="S57" s="5" t="s">
        <v>9</v>
      </c>
      <c r="T57" s="5">
        <v>2160</v>
      </c>
      <c r="U57" s="5">
        <v>0</v>
      </c>
      <c r="V57" s="5">
        <v>2160</v>
      </c>
      <c r="W57" s="5">
        <v>350</v>
      </c>
      <c r="X57" s="1">
        <v>2025</v>
      </c>
      <c r="Y57" s="5" t="s">
        <v>9</v>
      </c>
      <c r="Z57" s="5">
        <v>1810</v>
      </c>
      <c r="AA57" s="5">
        <v>0</v>
      </c>
    </row>
    <row r="58" spans="1:27" ht="19.5">
      <c r="A58" s="1">
        <v>6</v>
      </c>
      <c r="B58" s="9" t="s">
        <v>11</v>
      </c>
      <c r="C58" s="1">
        <v>270</v>
      </c>
      <c r="D58" s="5">
        <v>2160</v>
      </c>
      <c r="E58" s="5"/>
      <c r="F58" s="1"/>
      <c r="G58" s="5"/>
      <c r="H58" s="5">
        <v>2160</v>
      </c>
      <c r="I58" s="5">
        <v>0</v>
      </c>
      <c r="J58" s="5">
        <v>2160</v>
      </c>
      <c r="K58" s="5"/>
      <c r="L58" s="1"/>
      <c r="M58" s="5"/>
      <c r="N58" s="5">
        <v>2160</v>
      </c>
      <c r="O58" s="5">
        <v>0</v>
      </c>
      <c r="P58" s="5">
        <v>2160</v>
      </c>
      <c r="Q58" s="5"/>
      <c r="R58" s="1">
        <v>2025</v>
      </c>
      <c r="S58" s="5" t="s">
        <v>9</v>
      </c>
      <c r="T58" s="5">
        <v>2160</v>
      </c>
      <c r="U58" s="5">
        <v>0</v>
      </c>
      <c r="V58" s="5">
        <v>2160</v>
      </c>
      <c r="W58" s="5">
        <v>100</v>
      </c>
      <c r="X58" s="1">
        <v>2025</v>
      </c>
      <c r="Y58" s="5" t="s">
        <v>9</v>
      </c>
      <c r="Z58" s="5">
        <v>2060</v>
      </c>
      <c r="AA58" s="5">
        <v>0</v>
      </c>
    </row>
    <row r="59" spans="1:27" ht="38.25">
      <c r="A59" s="1">
        <v>6</v>
      </c>
      <c r="B59" s="9" t="s">
        <v>17</v>
      </c>
      <c r="C59" s="1">
        <v>270</v>
      </c>
      <c r="D59" s="5">
        <v>2160</v>
      </c>
      <c r="E59" s="5"/>
      <c r="F59" s="1"/>
      <c r="G59" s="5"/>
      <c r="H59" s="5">
        <v>2160</v>
      </c>
      <c r="I59" s="5">
        <v>0</v>
      </c>
      <c r="J59" s="5">
        <v>2160</v>
      </c>
      <c r="K59" s="5"/>
      <c r="L59" s="1"/>
      <c r="M59" s="5"/>
      <c r="N59" s="5">
        <v>2160</v>
      </c>
      <c r="O59" s="5">
        <v>0</v>
      </c>
      <c r="P59" s="5">
        <v>2160</v>
      </c>
      <c r="Q59" s="5">
        <v>570</v>
      </c>
      <c r="R59" s="1">
        <v>2025</v>
      </c>
      <c r="S59" s="5" t="s">
        <v>9</v>
      </c>
      <c r="T59" s="5">
        <v>2160</v>
      </c>
      <c r="U59" s="5">
        <v>0</v>
      </c>
      <c r="V59" s="5">
        <v>2160</v>
      </c>
      <c r="W59" s="5">
        <v>250</v>
      </c>
      <c r="X59" s="1">
        <v>2025</v>
      </c>
      <c r="Y59" s="5" t="s">
        <v>9</v>
      </c>
      <c r="Z59" s="5">
        <v>1910</v>
      </c>
      <c r="AA59" s="5">
        <v>0</v>
      </c>
    </row>
    <row r="60" spans="1:27" ht="19.5">
      <c r="A60" s="1">
        <v>6</v>
      </c>
      <c r="B60" s="9" t="s">
        <v>14</v>
      </c>
      <c r="C60" s="1">
        <v>270</v>
      </c>
      <c r="D60" s="5">
        <v>2160</v>
      </c>
      <c r="E60" s="5"/>
      <c r="F60" s="1"/>
      <c r="G60" s="5"/>
      <c r="H60" s="5">
        <v>2160</v>
      </c>
      <c r="I60" s="5">
        <v>0</v>
      </c>
      <c r="J60" s="5">
        <v>2160</v>
      </c>
      <c r="K60" s="5"/>
      <c r="L60" s="1"/>
      <c r="M60" s="5"/>
      <c r="N60" s="5">
        <v>2160</v>
      </c>
      <c r="O60" s="5">
        <v>0</v>
      </c>
      <c r="P60" s="5">
        <v>2160</v>
      </c>
      <c r="Q60" s="5">
        <v>380</v>
      </c>
      <c r="R60" s="1">
        <v>2025</v>
      </c>
      <c r="S60" s="5" t="s">
        <v>9</v>
      </c>
      <c r="T60" s="5">
        <v>2160</v>
      </c>
      <c r="U60" s="5">
        <v>0</v>
      </c>
      <c r="V60" s="5">
        <v>2160</v>
      </c>
      <c r="W60" s="5">
        <v>300</v>
      </c>
      <c r="X60" s="1">
        <v>2025</v>
      </c>
      <c r="Y60" s="5" t="s">
        <v>9</v>
      </c>
      <c r="Z60" s="5">
        <v>1860</v>
      </c>
      <c r="AA60" s="5">
        <v>0</v>
      </c>
    </row>
    <row r="61" spans="1:27" ht="19.5">
      <c r="A61" s="37">
        <v>6</v>
      </c>
      <c r="B61" s="9" t="s">
        <v>87</v>
      </c>
      <c r="C61" s="5">
        <v>270</v>
      </c>
      <c r="D61" s="5">
        <v>2160</v>
      </c>
      <c r="E61" s="5"/>
      <c r="F61" s="1"/>
      <c r="G61" s="5"/>
      <c r="H61" s="5">
        <v>2160</v>
      </c>
      <c r="I61" s="5">
        <v>0</v>
      </c>
      <c r="J61" s="5">
        <v>2160</v>
      </c>
      <c r="K61" s="5"/>
      <c r="L61" s="1"/>
      <c r="M61" s="5"/>
      <c r="N61" s="5">
        <v>2160</v>
      </c>
      <c r="O61" s="5">
        <v>0</v>
      </c>
      <c r="P61" s="5">
        <v>2160</v>
      </c>
      <c r="Q61" s="5">
        <v>280</v>
      </c>
      <c r="R61" s="1">
        <v>2025</v>
      </c>
      <c r="S61" s="5" t="s">
        <v>9</v>
      </c>
      <c r="T61" s="5">
        <v>2160</v>
      </c>
      <c r="U61" s="5">
        <v>0</v>
      </c>
      <c r="V61" s="5">
        <v>2160</v>
      </c>
      <c r="W61" s="5">
        <v>400</v>
      </c>
      <c r="X61" s="1">
        <v>2025</v>
      </c>
      <c r="Y61" s="5" t="s">
        <v>9</v>
      </c>
      <c r="Z61" s="5">
        <v>1760</v>
      </c>
      <c r="AA61" s="5">
        <v>0</v>
      </c>
    </row>
    <row r="62" spans="1:27" ht="19.5">
      <c r="A62" s="1">
        <v>6</v>
      </c>
      <c r="B62" s="9" t="s">
        <v>88</v>
      </c>
      <c r="C62" s="1">
        <v>270</v>
      </c>
      <c r="D62" s="5">
        <v>2160</v>
      </c>
      <c r="E62" s="5"/>
      <c r="F62" s="1"/>
      <c r="G62" s="5"/>
      <c r="H62" s="5">
        <v>2160</v>
      </c>
      <c r="I62" s="5">
        <v>0</v>
      </c>
      <c r="J62" s="5">
        <v>2160</v>
      </c>
      <c r="K62" s="5"/>
      <c r="L62" s="1"/>
      <c r="M62" s="5"/>
      <c r="N62" s="5">
        <v>2160</v>
      </c>
      <c r="O62" s="5">
        <v>0</v>
      </c>
      <c r="P62" s="5">
        <v>2160</v>
      </c>
      <c r="Q62" s="5">
        <v>665</v>
      </c>
      <c r="R62" s="1">
        <v>2025</v>
      </c>
      <c r="S62" s="5" t="s">
        <v>9</v>
      </c>
      <c r="T62" s="5">
        <v>2160</v>
      </c>
      <c r="U62" s="5">
        <v>0</v>
      </c>
      <c r="V62" s="5">
        <v>2160</v>
      </c>
      <c r="W62" s="5">
        <v>150</v>
      </c>
      <c r="X62" s="1">
        <v>2025</v>
      </c>
      <c r="Y62" s="5" t="s">
        <v>9</v>
      </c>
      <c r="Z62" s="5">
        <v>2010</v>
      </c>
      <c r="AA62" s="5">
        <v>0</v>
      </c>
    </row>
    <row r="63" spans="1:27" ht="19.5">
      <c r="A63" s="1">
        <v>6</v>
      </c>
      <c r="B63" s="9" t="s">
        <v>19</v>
      </c>
      <c r="C63" s="1">
        <v>270</v>
      </c>
      <c r="D63" s="5">
        <v>2160</v>
      </c>
      <c r="E63" s="5"/>
      <c r="F63" s="1"/>
      <c r="G63" s="5"/>
      <c r="H63" s="5">
        <v>2160</v>
      </c>
      <c r="I63" s="5">
        <v>0</v>
      </c>
      <c r="J63" s="5">
        <v>2160</v>
      </c>
      <c r="K63" s="5"/>
      <c r="L63" s="1"/>
      <c r="M63" s="5"/>
      <c r="N63" s="5">
        <v>2160</v>
      </c>
      <c r="O63" s="5">
        <v>0</v>
      </c>
      <c r="P63" s="5">
        <v>2160</v>
      </c>
      <c r="Q63" s="5"/>
      <c r="R63" s="1"/>
      <c r="S63" s="5"/>
      <c r="T63" s="5">
        <v>2160</v>
      </c>
      <c r="U63" s="5">
        <v>0</v>
      </c>
      <c r="V63" s="5">
        <v>2160</v>
      </c>
      <c r="W63" s="5"/>
      <c r="X63" s="1"/>
      <c r="Y63" s="5"/>
      <c r="Z63" s="5">
        <v>2160</v>
      </c>
      <c r="AA63" s="5">
        <v>0</v>
      </c>
    </row>
    <row r="64" spans="1:27" ht="19.5">
      <c r="A64" s="37">
        <v>6</v>
      </c>
      <c r="B64" s="9" t="s">
        <v>89</v>
      </c>
      <c r="C64" s="5">
        <v>270</v>
      </c>
      <c r="D64" s="5">
        <v>2160</v>
      </c>
      <c r="E64" s="5"/>
      <c r="F64" s="1"/>
      <c r="G64" s="5"/>
      <c r="H64" s="5">
        <v>2160</v>
      </c>
      <c r="I64" s="5">
        <v>0</v>
      </c>
      <c r="J64" s="5">
        <v>2160</v>
      </c>
      <c r="K64" s="5"/>
      <c r="L64" s="1"/>
      <c r="M64" s="5"/>
      <c r="N64" s="5">
        <v>2160</v>
      </c>
      <c r="O64" s="5">
        <v>0</v>
      </c>
      <c r="P64" s="5">
        <v>2160</v>
      </c>
      <c r="Q64" s="5">
        <v>285</v>
      </c>
      <c r="R64" s="1">
        <v>2025</v>
      </c>
      <c r="S64" s="5" t="s">
        <v>9</v>
      </c>
      <c r="T64" s="5">
        <v>2160</v>
      </c>
      <c r="U64" s="5">
        <v>0</v>
      </c>
      <c r="V64" s="5">
        <v>2160</v>
      </c>
      <c r="W64" s="5">
        <v>400</v>
      </c>
      <c r="X64" s="1">
        <v>2025</v>
      </c>
      <c r="Y64" s="5" t="s">
        <v>9</v>
      </c>
      <c r="Z64" s="5">
        <v>1760</v>
      </c>
      <c r="AA64" s="5">
        <v>0</v>
      </c>
    </row>
    <row r="65" spans="1:27" ht="19.5">
      <c r="A65" s="1">
        <v>6</v>
      </c>
      <c r="B65" s="9" t="s">
        <v>90</v>
      </c>
      <c r="C65" s="1">
        <v>270</v>
      </c>
      <c r="D65" s="5">
        <v>2160</v>
      </c>
      <c r="E65" s="5"/>
      <c r="F65" s="1"/>
      <c r="G65" s="5"/>
      <c r="H65" s="5">
        <v>2160</v>
      </c>
      <c r="I65" s="5">
        <v>0</v>
      </c>
      <c r="J65" s="5">
        <v>2160</v>
      </c>
      <c r="K65" s="5"/>
      <c r="L65" s="1"/>
      <c r="M65" s="5"/>
      <c r="N65" s="5">
        <v>2160</v>
      </c>
      <c r="O65" s="5">
        <v>0</v>
      </c>
      <c r="P65" s="5">
        <v>2160</v>
      </c>
      <c r="Q65" s="5">
        <v>285</v>
      </c>
      <c r="R65" s="1">
        <v>2025</v>
      </c>
      <c r="S65" s="5" t="s">
        <v>9</v>
      </c>
      <c r="T65" s="5">
        <v>2160</v>
      </c>
      <c r="U65" s="5">
        <v>0</v>
      </c>
      <c r="V65" s="5">
        <v>2160</v>
      </c>
      <c r="W65" s="5">
        <v>150</v>
      </c>
      <c r="X65" s="1">
        <v>2025</v>
      </c>
      <c r="Y65" s="5" t="s">
        <v>9</v>
      </c>
      <c r="Z65" s="5">
        <v>2010</v>
      </c>
      <c r="AA65" s="5"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ref="H3:H83" si="0">IF((D67-E67)&lt;0,0,(D67-E67))</f>
        <v>0</v>
      </c>
      <c r="I67" s="12">
        <f t="shared" ref="I3:I83" si="1">IF((E67-D67)&lt;0,0,(E67-D67))</f>
        <v>0</v>
      </c>
      <c r="J67" s="12">
        <f>Table14[[#This Row],[Enrolment S.Y. 2025-2026 ]]*8</f>
        <v>0</v>
      </c>
      <c r="K67" s="12"/>
      <c r="L67" s="10"/>
      <c r="M67" s="12"/>
      <c r="N67" s="12">
        <f t="shared" ref="N3:N72" si="2">IF((J67-K67)&lt;0,0,(J67-K67))</f>
        <v>0</v>
      </c>
      <c r="O67" s="12">
        <f t="shared" ref="O3:O72" si="3">IF((K67-J67)&lt;0,0,(K67-J67))</f>
        <v>0</v>
      </c>
      <c r="P67" s="12">
        <f>Table14[[#This Row],[Enrolment S.Y. 2025-2026 ]]*8</f>
        <v>0</v>
      </c>
      <c r="Q67" s="12"/>
      <c r="R67" s="10"/>
      <c r="S67" s="12"/>
      <c r="T67" s="12">
        <f t="shared" ref="T3:T72" si="4">IF((P67-Q67)&lt;0,0,(P67-Q67))</f>
        <v>0</v>
      </c>
      <c r="U67" s="12">
        <f t="shared" ref="U3:U72" si="5">IF((Q67-P67)&lt;0,0,(Q67-P67))</f>
        <v>0</v>
      </c>
      <c r="V67" s="12">
        <f>Table14[[#This Row],[Enrolment S.Y. 2025-2026 ]]*8</f>
        <v>0</v>
      </c>
      <c r="W67" s="12"/>
      <c r="X67" s="10"/>
      <c r="Y67" s="12"/>
      <c r="Z67" s="12">
        <f t="shared" ref="Z3:Z72" si="6">IF((V67-W67)&lt;0,0,(V67-W67))</f>
        <v>0</v>
      </c>
      <c r="AA67" s="12">
        <f t="shared" ref="AA3:AA72" si="7">IF((W67-V67)&lt;0,0,(W67-V67))</f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8">IF((J71-K71)&lt;0,0,(J71-K71))</f>
        <v>0</v>
      </c>
      <c r="O71" s="12">
        <f t="shared" ref="O71:O77" si="9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8"/>
        <v>0</v>
      </c>
      <c r="O72" s="12">
        <f t="shared" si="9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8"/>
        <v>0</v>
      </c>
      <c r="O73" s="12">
        <f t="shared" si="9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8"/>
        <v>0</v>
      </c>
      <c r="O74" s="12">
        <f t="shared" si="9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0">IF((P74-Q74)&lt;0,0,(P74-Q74))</f>
        <v>0</v>
      </c>
      <c r="U74" s="12">
        <f t="shared" ref="U74:U122" si="11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2">IF((V74-W74)&lt;0,0,(V74-W74))</f>
        <v>0</v>
      </c>
      <c r="AA74" s="12">
        <f t="shared" ref="AA74:AA122" si="13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8"/>
        <v>0</v>
      </c>
      <c r="O75" s="12">
        <f t="shared" si="9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0"/>
        <v>0</v>
      </c>
      <c r="U75" s="12">
        <f t="shared" si="11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2"/>
        <v>0</v>
      </c>
      <c r="AA75" s="12">
        <f t="shared" si="13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8"/>
        <v>0</v>
      </c>
      <c r="O76" s="12">
        <f t="shared" si="9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8"/>
        <v>0</v>
      </c>
      <c r="O77" s="12">
        <f t="shared" si="9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0"/>
        <v>0</v>
      </c>
      <c r="U77" s="12">
        <f t="shared" si="11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2"/>
        <v>0</v>
      </c>
      <c r="AA77" s="12">
        <f t="shared" si="13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14">IF((J79-K79)&lt;0,0,(J79-K79))</f>
        <v>0</v>
      </c>
      <c r="O79" s="12">
        <f t="shared" ref="O74:O122" si="15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0"/>
        <v>0</v>
      </c>
      <c r="U79" s="12">
        <f t="shared" si="11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2"/>
        <v>0</v>
      </c>
      <c r="AA79" s="12">
        <f t="shared" si="13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14"/>
        <v>0</v>
      </c>
      <c r="O80" s="12">
        <f t="shared" si="15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0"/>
        <v>0</v>
      </c>
      <c r="U80" s="12">
        <f t="shared" si="11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2"/>
        <v>0</v>
      </c>
      <c r="AA80" s="12">
        <f t="shared" si="13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14"/>
        <v>0</v>
      </c>
      <c r="O81" s="12">
        <f t="shared" si="15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0"/>
        <v>0</v>
      </c>
      <c r="U81" s="12">
        <f t="shared" si="11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2"/>
        <v>0</v>
      </c>
      <c r="AA81" s="12">
        <f t="shared" si="13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14"/>
        <v>0</v>
      </c>
      <c r="O82" s="12">
        <f t="shared" si="15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0"/>
        <v>0</v>
      </c>
      <c r="U82" s="12">
        <f t="shared" si="11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2"/>
        <v>0</v>
      </c>
      <c r="AA82" s="12">
        <f t="shared" si="13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14"/>
        <v>0</v>
      </c>
      <c r="O83" s="12">
        <f t="shared" si="15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0"/>
        <v>0</v>
      </c>
      <c r="U83" s="12">
        <f t="shared" si="11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2"/>
        <v>0</v>
      </c>
      <c r="AA83" s="12">
        <f t="shared" si="13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16">IF((D84-E84)&lt;0,0,(D84-E84))</f>
        <v>0</v>
      </c>
      <c r="I84" s="12">
        <f t="shared" ref="I84:I122" si="17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18">IF((J84-K84)&lt;0,0,(J84-K84))</f>
        <v>0</v>
      </c>
      <c r="O84" s="12">
        <f t="shared" ref="O84:O89" si="19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0"/>
        <v>0</v>
      </c>
      <c r="U84" s="12">
        <f t="shared" si="11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2"/>
        <v>0</v>
      </c>
      <c r="AA84" s="12">
        <f t="shared" si="13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18"/>
        <v>0</v>
      </c>
      <c r="O85" s="12">
        <f t="shared" si="19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16"/>
        <v>0</v>
      </c>
      <c r="I86" s="12">
        <f t="shared" si="17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18"/>
        <v>0</v>
      </c>
      <c r="O86" s="12">
        <f t="shared" si="19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0"/>
        <v>0</v>
      </c>
      <c r="U86" s="12">
        <f t="shared" si="11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2"/>
        <v>0</v>
      </c>
      <c r="AA86" s="12">
        <f t="shared" si="13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16"/>
        <v>0</v>
      </c>
      <c r="I87" s="12">
        <f t="shared" si="17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18"/>
        <v>0</v>
      </c>
      <c r="O87" s="12">
        <f t="shared" si="19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0"/>
        <v>0</v>
      </c>
      <c r="U87" s="12">
        <f t="shared" si="11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2"/>
        <v>0</v>
      </c>
      <c r="AA87" s="12">
        <f t="shared" si="13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18"/>
        <v>0</v>
      </c>
      <c r="O88" s="12">
        <f t="shared" si="19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16"/>
        <v>0</v>
      </c>
      <c r="I89" s="12">
        <f t="shared" si="17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18"/>
        <v>0</v>
      </c>
      <c r="O89" s="12">
        <f t="shared" si="19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0"/>
        <v>0</v>
      </c>
      <c r="U89" s="12">
        <f t="shared" si="11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2"/>
        <v>0</v>
      </c>
      <c r="AA89" s="12">
        <f t="shared" si="13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16"/>
        <v>0</v>
      </c>
      <c r="I91" s="12">
        <f t="shared" si="17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14"/>
        <v>0</v>
      </c>
      <c r="O91" s="12">
        <f t="shared" si="15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0"/>
        <v>0</v>
      </c>
      <c r="U91" s="12">
        <f t="shared" si="11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2"/>
        <v>0</v>
      </c>
      <c r="AA91" s="12">
        <f t="shared" si="13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16"/>
        <v>0</v>
      </c>
      <c r="I92" s="12">
        <f t="shared" si="17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14"/>
        <v>0</v>
      </c>
      <c r="O92" s="12">
        <f t="shared" si="15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0"/>
        <v>0</v>
      </c>
      <c r="U92" s="12">
        <f t="shared" si="11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2"/>
        <v>0</v>
      </c>
      <c r="AA92" s="12">
        <f t="shared" si="13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16"/>
        <v>0</v>
      </c>
      <c r="I93" s="12">
        <f t="shared" si="17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14"/>
        <v>0</v>
      </c>
      <c r="O93" s="12">
        <f t="shared" si="15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0"/>
        <v>0</v>
      </c>
      <c r="U93" s="12">
        <f t="shared" si="11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2"/>
        <v>0</v>
      </c>
      <c r="AA93" s="12">
        <f t="shared" si="13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16"/>
        <v>0</v>
      </c>
      <c r="I94" s="12">
        <f t="shared" si="17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14"/>
        <v>0</v>
      </c>
      <c r="O94" s="12">
        <f t="shared" si="15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0"/>
        <v>0</v>
      </c>
      <c r="U94" s="12">
        <f t="shared" si="11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2"/>
        <v>0</v>
      </c>
      <c r="AA94" s="12">
        <f t="shared" si="13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16"/>
        <v>0</v>
      </c>
      <c r="I95" s="12">
        <f t="shared" si="17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14"/>
        <v>0</v>
      </c>
      <c r="O95" s="12">
        <f t="shared" si="15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0"/>
        <v>0</v>
      </c>
      <c r="U95" s="12">
        <f t="shared" si="11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2"/>
        <v>0</v>
      </c>
      <c r="AA95" s="12">
        <f t="shared" si="13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16"/>
        <v>0</v>
      </c>
      <c r="I96" s="12">
        <f t="shared" si="17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14"/>
        <v>0</v>
      </c>
      <c r="O96" s="12">
        <f t="shared" si="15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0"/>
        <v>0</v>
      </c>
      <c r="U96" s="12">
        <f t="shared" si="11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2"/>
        <v>0</v>
      </c>
      <c r="AA96" s="12">
        <f t="shared" si="13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0">IF((J97-K97)&lt;0,0,(J97-K97))</f>
        <v>0</v>
      </c>
      <c r="O97" s="12">
        <f t="shared" ref="O97:O101" si="21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16"/>
        <v>0</v>
      </c>
      <c r="I98" s="12">
        <f t="shared" si="17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0"/>
        <v>0</v>
      </c>
      <c r="O98" s="12">
        <f t="shared" si="21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0"/>
        <v>0</v>
      </c>
      <c r="U98" s="12">
        <f t="shared" si="11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2"/>
        <v>0</v>
      </c>
      <c r="AA98" s="12">
        <f t="shared" si="13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16"/>
        <v>0</v>
      </c>
      <c r="I99" s="12">
        <f t="shared" si="17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0"/>
        <v>0</v>
      </c>
      <c r="O99" s="12">
        <f t="shared" si="21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0"/>
        <v>0</v>
      </c>
      <c r="U99" s="12">
        <f t="shared" si="11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2"/>
        <v>0</v>
      </c>
      <c r="AA99" s="12">
        <f t="shared" si="13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0"/>
        <v>0</v>
      </c>
      <c r="O100" s="12">
        <f t="shared" si="21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16"/>
        <v>0</v>
      </c>
      <c r="I101" s="12">
        <f t="shared" si="17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0"/>
        <v>0</v>
      </c>
      <c r="O101" s="12">
        <f t="shared" si="21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0"/>
        <v>0</v>
      </c>
      <c r="U101" s="12">
        <f t="shared" si="11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2"/>
        <v>0</v>
      </c>
      <c r="AA101" s="12">
        <f t="shared" si="13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16"/>
        <v>0</v>
      </c>
      <c r="I103" s="12">
        <f t="shared" si="17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14"/>
        <v>0</v>
      </c>
      <c r="O103" s="12">
        <f t="shared" si="15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0"/>
        <v>0</v>
      </c>
      <c r="U103" s="12">
        <f t="shared" si="11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2"/>
        <v>0</v>
      </c>
      <c r="AA103" s="12">
        <f t="shared" si="13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16"/>
        <v>0</v>
      </c>
      <c r="I104" s="12">
        <f t="shared" si="17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14"/>
        <v>0</v>
      </c>
      <c r="O104" s="12">
        <f t="shared" si="15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0"/>
        <v>0</v>
      </c>
      <c r="U104" s="12">
        <f t="shared" si="11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2"/>
        <v>0</v>
      </c>
      <c r="AA104" s="12">
        <f t="shared" si="13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16"/>
        <v>0</v>
      </c>
      <c r="I105" s="12">
        <f t="shared" si="17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14"/>
        <v>0</v>
      </c>
      <c r="O105" s="12">
        <f t="shared" si="15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0"/>
        <v>0</v>
      </c>
      <c r="U105" s="12">
        <f t="shared" si="11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2"/>
        <v>0</v>
      </c>
      <c r="AA105" s="12">
        <f t="shared" si="13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16"/>
        <v>0</v>
      </c>
      <c r="I106" s="12">
        <f t="shared" si="17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14"/>
        <v>0</v>
      </c>
      <c r="O106" s="12">
        <f t="shared" si="15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0"/>
        <v>0</v>
      </c>
      <c r="U106" s="12">
        <f t="shared" si="11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2"/>
        <v>0</v>
      </c>
      <c r="AA106" s="12">
        <f t="shared" si="13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16"/>
        <v>0</v>
      </c>
      <c r="I107" s="12">
        <f t="shared" si="17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14"/>
        <v>0</v>
      </c>
      <c r="O107" s="12">
        <f t="shared" si="15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0"/>
        <v>0</v>
      </c>
      <c r="U107" s="12">
        <f t="shared" si="11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2"/>
        <v>0</v>
      </c>
      <c r="AA107" s="12">
        <f t="shared" si="13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16"/>
        <v>0</v>
      </c>
      <c r="I108" s="12">
        <f t="shared" si="17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14"/>
        <v>0</v>
      </c>
      <c r="O108" s="12">
        <f t="shared" si="15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0"/>
        <v>0</v>
      </c>
      <c r="U108" s="12">
        <f t="shared" si="11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2"/>
        <v>0</v>
      </c>
      <c r="AA108" s="12">
        <f t="shared" si="13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2">IF((J109-K109)&lt;0,0,(J109-K109))</f>
        <v>0</v>
      </c>
      <c r="O109" s="12">
        <f t="shared" ref="O109:O113" si="23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16"/>
        <v>0</v>
      </c>
      <c r="I110" s="12">
        <f t="shared" si="17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2"/>
        <v>0</v>
      </c>
      <c r="O110" s="12">
        <f t="shared" si="23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0"/>
        <v>0</v>
      </c>
      <c r="U110" s="12">
        <f t="shared" si="11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2"/>
        <v>0</v>
      </c>
      <c r="AA110" s="12">
        <f t="shared" si="13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16"/>
        <v>0</v>
      </c>
      <c r="I111" s="12">
        <f t="shared" si="17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2"/>
        <v>0</v>
      </c>
      <c r="O111" s="12">
        <f t="shared" si="23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0"/>
        <v>0</v>
      </c>
      <c r="U111" s="12">
        <f t="shared" si="11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2"/>
        <v>0</v>
      </c>
      <c r="AA111" s="12">
        <f t="shared" si="13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2"/>
        <v>0</v>
      </c>
      <c r="O112" s="12">
        <f t="shared" si="23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16"/>
        <v>0</v>
      </c>
      <c r="I113" s="12">
        <f t="shared" si="17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2"/>
        <v>0</v>
      </c>
      <c r="O113" s="12">
        <f t="shared" si="23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0"/>
        <v>0</v>
      </c>
      <c r="U113" s="12">
        <f t="shared" si="11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2"/>
        <v>0</v>
      </c>
      <c r="AA113" s="12">
        <f t="shared" si="13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16"/>
        <v>0</v>
      </c>
      <c r="I115" s="5">
        <f t="shared" si="17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14"/>
        <v>0</v>
      </c>
      <c r="O115" s="5">
        <f t="shared" si="15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0"/>
        <v>0</v>
      </c>
      <c r="U115" s="5">
        <f t="shared" si="11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2"/>
        <v>0</v>
      </c>
      <c r="AA115" s="5">
        <f t="shared" si="13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16"/>
        <v>0</v>
      </c>
      <c r="I116" s="5">
        <f t="shared" si="17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14"/>
        <v>0</v>
      </c>
      <c r="O116" s="5">
        <f t="shared" si="15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0"/>
        <v>0</v>
      </c>
      <c r="U116" s="5">
        <f t="shared" si="11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2"/>
        <v>0</v>
      </c>
      <c r="AA116" s="5">
        <f t="shared" si="13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16"/>
        <v>0</v>
      </c>
      <c r="I117" s="5">
        <f t="shared" si="17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14"/>
        <v>0</v>
      </c>
      <c r="O117" s="5">
        <f t="shared" si="15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0"/>
        <v>0</v>
      </c>
      <c r="U117" s="5">
        <f t="shared" si="11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2"/>
        <v>0</v>
      </c>
      <c r="AA117" s="5">
        <f t="shared" si="13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16"/>
        <v>0</v>
      </c>
      <c r="I118" s="5">
        <f t="shared" si="17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14"/>
        <v>0</v>
      </c>
      <c r="O118" s="5">
        <f t="shared" si="15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0"/>
        <v>0</v>
      </c>
      <c r="U118" s="5">
        <f t="shared" si="11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2"/>
        <v>0</v>
      </c>
      <c r="AA118" s="5">
        <f t="shared" si="13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16"/>
        <v>0</v>
      </c>
      <c r="I119" s="5">
        <f t="shared" si="17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14"/>
        <v>0</v>
      </c>
      <c r="O119" s="5">
        <f t="shared" si="15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0"/>
        <v>0</v>
      </c>
      <c r="U119" s="5">
        <f t="shared" si="11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2"/>
        <v>0</v>
      </c>
      <c r="AA119" s="5">
        <f t="shared" si="13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16"/>
        <v>0</v>
      </c>
      <c r="I120" s="5">
        <f t="shared" si="17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14"/>
        <v>0</v>
      </c>
      <c r="O120" s="5">
        <f t="shared" si="15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0"/>
        <v>0</v>
      </c>
      <c r="U120" s="5">
        <f t="shared" si="11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2"/>
        <v>0</v>
      </c>
      <c r="AA120" s="5">
        <f t="shared" si="13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16"/>
        <v>0</v>
      </c>
      <c r="I121" s="5">
        <f t="shared" si="17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14"/>
        <v>0</v>
      </c>
      <c r="O121" s="5">
        <f t="shared" si="15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0"/>
        <v>0</v>
      </c>
      <c r="U121" s="5">
        <f t="shared" si="11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2"/>
        <v>0</v>
      </c>
      <c r="AA121" s="5">
        <f t="shared" si="13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16"/>
        <v>0</v>
      </c>
      <c r="I122" s="5">
        <f t="shared" si="17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14"/>
        <v>0</v>
      </c>
      <c r="O122" s="5">
        <f t="shared" si="15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0"/>
        <v>0</v>
      </c>
      <c r="U122" s="5">
        <f t="shared" si="11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2"/>
        <v>0</v>
      </c>
      <c r="AA122" s="5">
        <f t="shared" si="13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55:C65 C67:C77 C79:C89 C115:C122 C103:C113 C91:C101 C31:C41 C43:C53" name="Textbooks"/>
    <protectedRange sqref="J2:L2 D2:F10 D12:F19 D21:F29 D55:F65 D67:F77 D79:F89 D91:F101 D115:F122 P2:R10 N3:O10 V2:X10 T3:U10 N12:R19 T12:X15 H3:L10 Z3:AA10 Z12:AA19 H12:L19 N21:R29 T29:X29 Z21:AA29 H21:L29 T55:X65 Z55:AA65 H55:L65 T67:X77 Z67:AA77 H67:L77 T79:X89 Z79:AA89 H79:L89 T91:X101 Z91:AA101 H91:L101 T103:X113 Z103:AA113 H103:L113 N115:R122 T115:X122 Z115:AA122 H115:L122 D103:F113 N55:R65 N67:R77 N79:R89 N91:R101 N103:R113 D31:F41 T31:X41 Z31:AA41 H31:L41 N31:R41 D43:F53 T43:X53 Z43:AA53 H43:L53 N43:R53 T16:V19 T21:V28" name="LAS"/>
    <protectedRange sqref="G2:I2 M2:O2 S2:U2 Y2:AA2 G3:G10 M3:M10 S3:S10 Y3:Y10 Y12:Y15 G12:G19 M12:M19 S12:S19 Y29 G21:G29 M21:M29 S21:S29 Y55:Y65 G55:G65 M55:M65 S55:S65 Y67:Y77 G67:G77 M67:M77 S67:S77 Y79:Y89 G79:G89 M79:M89 S79:S89 Y91:Y101 G91:G101 M91:M101 S91:S101 Y103:Y113 G103:G113 M103:M113 S103:S113 Y115:Y122 G115:G122 M115:M122 S115:S122 Y31:Y41 G31:G41 M31:M41 S31:S41 Y43:Y53 G43:G53 M43:M53 S43:S53" name="SOURCE"/>
    <protectedRange sqref="W16:X19 W21:X25 W27:X28" name="LAS_2"/>
    <protectedRange sqref="Y16:Y19 Y21:Y25 Y27:Y28" name="SOURCE_1"/>
    <protectedRange sqref="W26:X26" name="LAS_1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43:Y53 S21:S29 M31:M41 G31:G41 Y31:Y41 M115:M122 S43:S53 M43:M53 G43:G53 S31:S41 G55:G65 Y55:Y65 S55:S65 M55:M65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X12:X19 L31:L41 L43:L53 X67:X77 X79:X89 X55:X65 X91:X101 X103:X113 X43:X53 X3:X10 L21:L29 R31:R41 R43:R53 L67:L77 L79:L89 L55:L65 L91:L101 L103:L113 L12:L19 L3:L10 R21:R29 F31:F41 F43:F53 R67:R77 R79:R89 R55:R65 R91:R101 R103:R113 R12:R19 R3:R10 F21:F29 F103:F113 X31:X41 F67:F77 F79:F89 F55:F65 F3:F10 F91:F101 X115:X122 F12:F19 F115:F122 R115:R122 L115:L122 X21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2026-02-04T07:29:58Z</dcterms:modified>
  <cp:category/>
  <cp:contentStatus/>
</cp:coreProperties>
</file>