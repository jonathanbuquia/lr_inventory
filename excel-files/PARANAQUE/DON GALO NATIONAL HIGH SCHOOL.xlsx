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2" documentId="13_ncr:1_{BFB59F67-F0DC-4675-A682-EB0734A8026A}" xr6:coauthVersionLast="47" xr6:coauthVersionMax="47" xr10:uidLastSave="{B4BD28A3-7BB0-4F6B-AFED-773D65E7B3EF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<sst xmlns="http://schemas.openxmlformats.org/spreadsheetml/2006/main" count="403" uniqueCount="92">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</sst>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>
        <v>354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354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>
        <v>267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267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2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0.75" customHeight="1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>
        <v>54</v>
      </c>
      <c r="F73" s="10">
        <v>2025</v>
      </c>
      <c r="G73" s="12" t="s">
        <v>63</v>
      </c>
      <c r="H73" s="12">
        <f t="shared" si="2"/>
        <v>0</v>
      </c>
      <c r="I73" s="12">
        <f t="shared" si="3"/>
        <v>54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>
        <v>54</v>
      </c>
      <c r="F74" s="10">
        <v>2025</v>
      </c>
      <c r="G74" s="12" t="s">
        <v>63</v>
      </c>
      <c r="H74" s="12">
        <f t="shared" si="2"/>
        <v>0</v>
      </c>
      <c r="I74" s="12">
        <f t="shared" si="3"/>
        <v>54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>
        <v>54</v>
      </c>
      <c r="F75" s="10">
        <v>2025</v>
      </c>
      <c r="G75" s="12" t="s">
        <v>63</v>
      </c>
      <c r="H75" s="12">
        <f t="shared" si="2"/>
        <v>0</v>
      </c>
      <c r="I75" s="12">
        <f t="shared" si="3"/>
        <v>54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>
        <v>54</v>
      </c>
      <c r="F76" s="10">
        <v>2025</v>
      </c>
      <c r="G76" s="12" t="s">
        <v>63</v>
      </c>
      <c r="H76" s="12">
        <f t="shared" si="2"/>
        <v>0</v>
      </c>
      <c r="I76" s="12">
        <f t="shared" si="3"/>
        <v>54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>
        <v>54</v>
      </c>
      <c r="F77" s="10">
        <v>2025</v>
      </c>
      <c r="G77" s="12" t="s">
        <v>63</v>
      </c>
      <c r="H77" s="12">
        <f t="shared" si="2"/>
        <v>0</v>
      </c>
      <c r="I77" s="12">
        <f t="shared" si="3"/>
        <v>54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>
        <v>54</v>
      </c>
      <c r="F78" s="10">
        <v>2025</v>
      </c>
      <c r="G78" s="12" t="s">
        <v>63</v>
      </c>
      <c r="H78" s="12">
        <f t="shared" ref="H78:H127" si="22">IF((D78-E78)&lt;0,0,(D78-E78))</f>
        <v>0</v>
      </c>
      <c r="I78" s="12">
        <f t="shared" ref="I78:I127" si="23">IF((E78-D78)&lt;0,0,(E78-D78))</f>
        <v>54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>
        <v>54</v>
      </c>
      <c r="F79" s="10">
        <v>2025</v>
      </c>
      <c r="G79" s="12" t="s">
        <v>63</v>
      </c>
      <c r="H79" s="12">
        <f t="shared" si="22"/>
        <v>0</v>
      </c>
      <c r="I79" s="12">
        <f t="shared" si="23"/>
        <v>54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>
        <v>54</v>
      </c>
      <c r="F80" s="10">
        <v>2025</v>
      </c>
      <c r="G80" s="12" t="s">
        <v>63</v>
      </c>
      <c r="H80" s="12">
        <f t="shared" si="22"/>
        <v>0</v>
      </c>
      <c r="I80" s="12">
        <f t="shared" si="23"/>
        <v>54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>
        <v>54</v>
      </c>
      <c r="F81" s="10">
        <v>2025</v>
      </c>
      <c r="G81" s="12" t="s">
        <v>63</v>
      </c>
      <c r="H81" s="12">
        <f t="shared" si="22"/>
        <v>0</v>
      </c>
      <c r="I81" s="12">
        <f t="shared" si="23"/>
        <v>54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83:G91 G93:G101 G103:G110 G73:G8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103:G110 G83:G91 G93:G101 G73:G8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F134" activePane="topRight" state="frozen"/>
      <selection pane="topRight"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>
        <v>50</v>
      </c>
      <c r="X91" s="10"/>
      <c r="Y91" s="12"/>
      <c r="Z91" s="12">
        <f t="shared" si="18"/>
        <v>0</v>
      </c>
      <c r="AA91" s="12">
        <f t="shared" si="19"/>
        <v>50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>
        <v>1000</v>
      </c>
      <c r="L92" s="10">
        <v>2025</v>
      </c>
      <c r="M92" s="12" t="s">
        <v>63</v>
      </c>
      <c r="N92" s="12">
        <f t="shared" si="20"/>
        <v>0</v>
      </c>
      <c r="O92" s="12">
        <f t="shared" si="21"/>
        <v>1000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>
        <v>50</v>
      </c>
      <c r="X92" s="10"/>
      <c r="Y92" s="12"/>
      <c r="Z92" s="12">
        <f t="shared" si="18"/>
        <v>0</v>
      </c>
      <c r="AA92" s="12">
        <f t="shared" si="19"/>
        <v>50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>
        <v>1000</v>
      </c>
      <c r="L93" s="10">
        <v>2025</v>
      </c>
      <c r="M93" s="12" t="s">
        <v>63</v>
      </c>
      <c r="N93" s="12">
        <f t="shared" si="20"/>
        <v>0</v>
      </c>
      <c r="O93" s="12">
        <f t="shared" si="21"/>
        <v>1000</v>
      </c>
      <c r="P93" s="12">
        <f>Table14[[#This Row],[Enrolment S.Y. 2025-2026 ]]*8</f>
        <v>0</v>
      </c>
      <c r="Q93" s="12">
        <v>50</v>
      </c>
      <c r="R93" s="10"/>
      <c r="S93" s="12"/>
      <c r="T93" s="12">
        <f t="shared" si="16"/>
        <v>0</v>
      </c>
      <c r="U93" s="12">
        <f t="shared" si="17"/>
        <v>50</v>
      </c>
      <c r="V93" s="12">
        <f>Table14[[#This Row],[Enrolment S.Y. 2025-2026 ]]*8</f>
        <v>0</v>
      </c>
      <c r="W93" s="12">
        <v>50</v>
      </c>
      <c r="X93" s="10"/>
      <c r="Y93" s="12"/>
      <c r="Z93" s="12">
        <f t="shared" si="18"/>
        <v>0</v>
      </c>
      <c r="AA93" s="12">
        <f t="shared" si="19"/>
        <v>50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>
        <v>50</v>
      </c>
      <c r="R94" s="10"/>
      <c r="S94" s="12"/>
      <c r="T94" s="12">
        <f t="shared" si="16"/>
        <v>0</v>
      </c>
      <c r="U94" s="12">
        <f t="shared" si="17"/>
        <v>50</v>
      </c>
      <c r="V94" s="12">
        <f>Table14[[#This Row],[Enrolment S.Y. 2025-2026 ]]*8</f>
        <v>0</v>
      </c>
      <c r="W94" s="12">
        <v>50</v>
      </c>
      <c r="X94" s="10"/>
      <c r="Y94" s="12"/>
      <c r="Z94" s="12">
        <f t="shared" si="18"/>
        <v>0</v>
      </c>
      <c r="AA94" s="12">
        <f t="shared" si="19"/>
        <v>50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>
        <v>50</v>
      </c>
      <c r="X95" s="10"/>
      <c r="Y95" s="12"/>
      <c r="Z95" s="12">
        <f t="shared" si="18"/>
        <v>0</v>
      </c>
      <c r="AA95" s="12">
        <f t="shared" si="19"/>
        <v>50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>
        <v>50</v>
      </c>
      <c r="R96" s="10"/>
      <c r="S96" s="12"/>
      <c r="T96" s="12">
        <f t="shared" si="16"/>
        <v>0</v>
      </c>
      <c r="U96" s="12">
        <f t="shared" si="17"/>
        <v>50</v>
      </c>
      <c r="V96" s="12">
        <f>Table14[[#This Row],[Enrolment S.Y. 2025-2026 ]]*8</f>
        <v>0</v>
      </c>
      <c r="W96" s="12">
        <v>50</v>
      </c>
      <c r="X96" s="10"/>
      <c r="Y96" s="12"/>
      <c r="Z96" s="12">
        <f t="shared" si="18"/>
        <v>0</v>
      </c>
      <c r="AA96" s="12">
        <f t="shared" si="19"/>
        <v>50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>
        <v>50</v>
      </c>
      <c r="X97" s="10"/>
      <c r="Y97" s="12"/>
      <c r="Z97" s="12">
        <f>IF((V97-W97)&lt;0,0,(V97-W97))</f>
        <v>0</v>
      </c>
      <c r="AA97" s="12">
        <f>IF((W97-V97)&lt;0,0,(W97-V97))</f>
        <v>50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>
        <v>50</v>
      </c>
      <c r="X98" s="10"/>
      <c r="Y98" s="12"/>
      <c r="Z98" s="12">
        <f t="shared" si="18"/>
        <v>0</v>
      </c>
      <c r="AA98" s="12">
        <f t="shared" si="19"/>
        <v>50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>
        <v>50</v>
      </c>
      <c r="R100" s="10"/>
      <c r="S100" s="12"/>
      <c r="T100" s="12">
        <f>IF((P100-Q100)&lt;0,0,(P100-Q100))</f>
        <v>0</v>
      </c>
      <c r="U100" s="12">
        <f>IF((Q100-P100)&lt;0,0,(Q100-P100))</f>
        <v>50</v>
      </c>
      <c r="V100" s="12">
        <f>Table14[[#This Row],[Enrolment S.Y. 2025-2026 ]]*8</f>
        <v>0</v>
      </c>
      <c r="W100" s="12">
        <v>50</v>
      </c>
      <c r="X100" s="10"/>
      <c r="Y100" s="12"/>
      <c r="Z100" s="12">
        <f>IF((V100-W100)&lt;0,0,(V100-W100))</f>
        <v>0</v>
      </c>
      <c r="AA100" s="12">
        <f>IF((W100-V100)&lt;0,0,(W100-V100))</f>
        <v>50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>
        <v>50</v>
      </c>
      <c r="R101" s="10"/>
      <c r="S101" s="12"/>
      <c r="T101" s="12">
        <f t="shared" si="16"/>
        <v>0</v>
      </c>
      <c r="U101" s="12">
        <f t="shared" si="17"/>
        <v>50</v>
      </c>
      <c r="V101" s="12">
        <f>Table14[[#This Row],[Enrolment S.Y. 2025-2026 ]]*8</f>
        <v>0</v>
      </c>
      <c r="W101" s="12">
        <v>50</v>
      </c>
      <c r="X101" s="10"/>
      <c r="Y101" s="12"/>
      <c r="Z101" s="12">
        <f t="shared" si="18"/>
        <v>0</v>
      </c>
      <c r="AA101" s="12">
        <f t="shared" si="19"/>
        <v>50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>
        <v>800</v>
      </c>
      <c r="L103" s="10">
        <v>2025</v>
      </c>
      <c r="M103" s="12" t="s">
        <v>63</v>
      </c>
      <c r="N103" s="12">
        <f t="shared" si="20"/>
        <v>0</v>
      </c>
      <c r="O103" s="12">
        <f t="shared" si="21"/>
        <v>800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>
        <v>50</v>
      </c>
      <c r="X103" s="10"/>
      <c r="Y103" s="12"/>
      <c r="Z103" s="12">
        <f t="shared" si="18"/>
        <v>0</v>
      </c>
      <c r="AA103" s="12">
        <f t="shared" si="19"/>
        <v>50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>
        <v>50</v>
      </c>
      <c r="R104" s="10"/>
      <c r="S104" s="12"/>
      <c r="T104" s="12">
        <f t="shared" si="16"/>
        <v>0</v>
      </c>
      <c r="U104" s="12">
        <f t="shared" si="17"/>
        <v>50</v>
      </c>
      <c r="V104" s="12">
        <f>Table14[[#This Row],[Enrolment S.Y. 2025-2026 ]]*8</f>
        <v>0</v>
      </c>
      <c r="W104" s="12">
        <v>50</v>
      </c>
      <c r="X104" s="10"/>
      <c r="Y104" s="12"/>
      <c r="Z104" s="12">
        <f t="shared" si="18"/>
        <v>0</v>
      </c>
      <c r="AA104" s="12">
        <f t="shared" si="19"/>
        <v>50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>
        <v>800</v>
      </c>
      <c r="L105" s="10">
        <v>2025</v>
      </c>
      <c r="M105" s="12" t="s">
        <v>63</v>
      </c>
      <c r="N105" s="12">
        <f t="shared" si="20"/>
        <v>0</v>
      </c>
      <c r="O105" s="12">
        <f t="shared" si="21"/>
        <v>800</v>
      </c>
      <c r="P105" s="12">
        <f>Table14[[#This Row],[Enrolment S.Y. 2025-2026 ]]*8</f>
        <v>0</v>
      </c>
      <c r="Q105" s="12">
        <v>50</v>
      </c>
      <c r="R105" s="10"/>
      <c r="S105" s="12"/>
      <c r="T105" s="12">
        <f t="shared" si="16"/>
        <v>0</v>
      </c>
      <c r="U105" s="12">
        <f t="shared" si="17"/>
        <v>50</v>
      </c>
      <c r="V105" s="12">
        <f>Table14[[#This Row],[Enrolment S.Y. 2025-2026 ]]*8</f>
        <v>0</v>
      </c>
      <c r="W105" s="12">
        <v>50</v>
      </c>
      <c r="X105" s="10"/>
      <c r="Y105" s="12"/>
      <c r="Z105" s="12">
        <f t="shared" si="18"/>
        <v>0</v>
      </c>
      <c r="AA105" s="12">
        <f t="shared" si="19"/>
        <v>50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>
        <v>50</v>
      </c>
      <c r="R106" s="10"/>
      <c r="S106" s="12"/>
      <c r="T106" s="12">
        <f t="shared" si="16"/>
        <v>0</v>
      </c>
      <c r="U106" s="12">
        <f t="shared" si="17"/>
        <v>50</v>
      </c>
      <c r="V106" s="12">
        <f>Table14[[#This Row],[Enrolment S.Y. 2025-2026 ]]*8</f>
        <v>0</v>
      </c>
      <c r="W106" s="12">
        <v>50</v>
      </c>
      <c r="X106" s="10"/>
      <c r="Y106" s="12"/>
      <c r="Z106" s="12">
        <f t="shared" si="18"/>
        <v>0</v>
      </c>
      <c r="AA106" s="12">
        <f t="shared" si="19"/>
        <v>50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>
        <v>50</v>
      </c>
      <c r="R107" s="10"/>
      <c r="S107" s="12"/>
      <c r="T107" s="12">
        <f t="shared" si="16"/>
        <v>0</v>
      </c>
      <c r="U107" s="12">
        <f t="shared" si="17"/>
        <v>50</v>
      </c>
      <c r="V107" s="12">
        <f>Table14[[#This Row],[Enrolment S.Y. 2025-2026 ]]*8</f>
        <v>0</v>
      </c>
      <c r="W107" s="12">
        <v>50</v>
      </c>
      <c r="X107" s="10"/>
      <c r="Y107" s="12"/>
      <c r="Z107" s="12">
        <f t="shared" si="18"/>
        <v>0</v>
      </c>
      <c r="AA107" s="12">
        <f t="shared" si="19"/>
        <v>50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>
        <v>50</v>
      </c>
      <c r="R108" s="10"/>
      <c r="S108" s="12"/>
      <c r="T108" s="12">
        <f t="shared" si="16"/>
        <v>0</v>
      </c>
      <c r="U108" s="12">
        <f t="shared" si="17"/>
        <v>50</v>
      </c>
      <c r="V108" s="12">
        <f>Table14[[#This Row],[Enrolment S.Y. 2025-2026 ]]*8</f>
        <v>0</v>
      </c>
      <c r="W108" s="12">
        <v>50</v>
      </c>
      <c r="X108" s="10"/>
      <c r="Y108" s="12"/>
      <c r="Z108" s="12">
        <f t="shared" si="18"/>
        <v>0</v>
      </c>
      <c r="AA108" s="12">
        <f t="shared" si="19"/>
        <v>50</v>
      </c>
    </row>
    <row r="109" spans="1:27" ht="19.5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>
        <v>50</v>
      </c>
      <c r="R109" s="10"/>
      <c r="S109" s="12"/>
      <c r="T109" s="12">
        <f>IF((P109-Q109)&lt;0,0,(P109-Q109))</f>
        <v>0</v>
      </c>
      <c r="U109" s="12">
        <f>IF((Q109-P109)&lt;0,0,(Q109-P109))</f>
        <v>50</v>
      </c>
      <c r="V109" s="12">
        <f>Table14[[#This Row],[Enrolment S.Y. 2025-2026 ]]*8</f>
        <v>0</v>
      </c>
      <c r="W109" s="12">
        <v>50</v>
      </c>
      <c r="X109" s="10"/>
      <c r="Y109" s="12"/>
      <c r="Z109" s="12">
        <f>IF((V109-W109)&lt;0,0,(V109-W109))</f>
        <v>0</v>
      </c>
      <c r="AA109" s="12">
        <f>IF((W109-V109)&lt;0,0,(W109-V109))</f>
        <v>50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>
        <v>50</v>
      </c>
      <c r="X110" s="10"/>
      <c r="Y110" s="12"/>
      <c r="Z110" s="12">
        <f t="shared" si="18"/>
        <v>0</v>
      </c>
      <c r="AA110" s="12">
        <f t="shared" si="19"/>
        <v>50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>
        <v>50</v>
      </c>
      <c r="R112" s="10"/>
      <c r="S112" s="12"/>
      <c r="T112" s="12">
        <f>IF((P112-Q112)&lt;0,0,(P112-Q112))</f>
        <v>0</v>
      </c>
      <c r="U112" s="12">
        <f>IF((Q112-P112)&lt;0,0,(Q112-P112))</f>
        <v>50</v>
      </c>
      <c r="V112" s="12">
        <f>Table14[[#This Row],[Enrolment S.Y. 2025-2026 ]]*8</f>
        <v>0</v>
      </c>
      <c r="W112" s="12">
        <v>50</v>
      </c>
      <c r="X112" s="10"/>
      <c r="Y112" s="12"/>
      <c r="Z112" s="12">
        <f>IF((V112-W112)&lt;0,0,(V112-W112))</f>
        <v>0</v>
      </c>
      <c r="AA112" s="12">
        <f>IF((W112-V112)&lt;0,0,(W112-V112))</f>
        <v>50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>
        <v>50</v>
      </c>
      <c r="R113" s="10"/>
      <c r="S113" s="12"/>
      <c r="T113" s="12">
        <f t="shared" si="16"/>
        <v>0</v>
      </c>
      <c r="U113" s="12">
        <f t="shared" si="17"/>
        <v>50</v>
      </c>
      <c r="V113" s="12">
        <f>Table14[[#This Row],[Enrolment S.Y. 2025-2026 ]]*8</f>
        <v>0</v>
      </c>
      <c r="W113" s="12">
        <v>50</v>
      </c>
      <c r="X113" s="10"/>
      <c r="Y113" s="12"/>
      <c r="Z113" s="12">
        <f t="shared" si="18"/>
        <v>0</v>
      </c>
      <c r="AA113" s="12">
        <f t="shared" si="19"/>
        <v>50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91 T103:X113 Z103:AA113 H106:L113 N115:R122 T115:X122 Z115:AA122 H115:L122 D103:F113 N31:R41 N43:R53 N55:R65 N67:R77 N79:R89 N91:R101 N103:R113 H103:J105 H94:L101 H92:K9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 S91:S101 Y103:Y113 G103:G113 M106:M113 S103:S113 Y115:Y122 G115:G122 M115:M122 S115:S122 M94:M101" name="SOURCE"/>
    <protectedRange sqref="K103:L105 L92:L93" name="LAS_1"/>
    <protectedRange sqref="M103:M105 M92:M93" name="SOURCE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103:M113 G91:G101 G103:G113 Y103:Y113 S103:S113 M115:M122 M91:M101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2026-03-09T08:14:31Z</dcterms:modified>
  <cp:category/>
  <cp:contentStatus/>
</cp:coreProperties>
</file>