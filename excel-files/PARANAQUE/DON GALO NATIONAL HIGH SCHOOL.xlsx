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8" documentId="13_ncr:1_{BFB59F67-F0DC-4675-A682-EB0734A8026A}" xr6:coauthVersionLast="47" xr6:coauthVersionMax="47" xr10:uidLastSave="{1030B559-4E5E-48DF-9FA8-62172B6F3B8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<sst xmlns="http://schemas.openxmlformats.org/spreadsheetml/2006/main" count="249" uniqueCount="85">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</sst>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103" sqref="C10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354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354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14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/>
      <c r="D15" s="8">
        <v>267</v>
      </c>
      <c r="E15" s="8">
        <v>2025</v>
      </c>
      <c r="F15" s="10" t="s">
        <v>9</v>
      </c>
      <c r="G15" s="2">
        <f t="shared" si="2"/>
        <v>0</v>
      </c>
      <c r="H15" s="3">
        <f t="shared" si="3"/>
        <v>267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9" sqref="AD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>
        <v>54</v>
      </c>
      <c r="F13" s="8">
        <v>2025</v>
      </c>
      <c r="G13" s="10" t="s">
        <v>56</v>
      </c>
      <c r="H13" s="10">
        <f t="shared" si="0"/>
        <v>0</v>
      </c>
      <c r="I13" s="10">
        <f t="shared" si="1"/>
        <v>54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>
        <v>54</v>
      </c>
      <c r="F14" s="8">
        <v>2025</v>
      </c>
      <c r="G14" s="10" t="s">
        <v>56</v>
      </c>
      <c r="H14" s="10">
        <f t="shared" si="0"/>
        <v>0</v>
      </c>
      <c r="I14" s="10">
        <f t="shared" si="1"/>
        <v>54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>
        <v>54</v>
      </c>
      <c r="F15" s="8">
        <v>2025</v>
      </c>
      <c r="G15" s="10" t="s">
        <v>56</v>
      </c>
      <c r="H15" s="10">
        <f t="shared" si="0"/>
        <v>0</v>
      </c>
      <c r="I15" s="10">
        <f t="shared" si="1"/>
        <v>54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>
        <v>54</v>
      </c>
      <c r="F16" s="8">
        <v>2025</v>
      </c>
      <c r="G16" s="10" t="s">
        <v>56</v>
      </c>
      <c r="H16" s="10">
        <f t="shared" si="0"/>
        <v>0</v>
      </c>
      <c r="I16" s="10">
        <f t="shared" si="1"/>
        <v>54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>
        <v>54</v>
      </c>
      <c r="F17" s="8">
        <v>2025</v>
      </c>
      <c r="G17" s="10" t="s">
        <v>56</v>
      </c>
      <c r="H17" s="10">
        <f t="shared" si="0"/>
        <v>0</v>
      </c>
      <c r="I17" s="10">
        <f t="shared" si="1"/>
        <v>54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>
        <v>54</v>
      </c>
      <c r="F18" s="8">
        <v>2025</v>
      </c>
      <c r="G18" s="10" t="s">
        <v>56</v>
      </c>
      <c r="H18" s="10">
        <f t="shared" ref="H18:H50" si="14">IF((D18-E18)&lt;0,0,(D18-E18))</f>
        <v>0</v>
      </c>
      <c r="I18" s="10">
        <f t="shared" ref="I18:I50" si="15">IF((E18-D18)&lt;0,0,(E18-D18))</f>
        <v>54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>
        <v>54</v>
      </c>
      <c r="F19" s="8">
        <v>2025</v>
      </c>
      <c r="G19" s="10" t="s">
        <v>56</v>
      </c>
      <c r="H19" s="10">
        <f t="shared" si="14"/>
        <v>0</v>
      </c>
      <c r="I19" s="10">
        <f t="shared" si="15"/>
        <v>54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>
        <v>54</v>
      </c>
      <c r="F20" s="8">
        <v>2025</v>
      </c>
      <c r="G20" s="10" t="s">
        <v>56</v>
      </c>
      <c r="H20" s="10">
        <f t="shared" si="14"/>
        <v>0</v>
      </c>
      <c r="I20" s="10">
        <f t="shared" si="15"/>
        <v>54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>
        <v>54</v>
      </c>
      <c r="F21" s="8">
        <v>2025</v>
      </c>
      <c r="G21" s="10" t="s">
        <v>56</v>
      </c>
      <c r="H21" s="10">
        <f t="shared" si="14"/>
        <v>0</v>
      </c>
      <c r="I21" s="10">
        <f t="shared" si="15"/>
        <v>54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30.75" customHeight="1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D33:F41 H33:I41 Q33:R41 W33:X41 D43:F50 H43:I50 Q43:R50 W43:X50 K13:L21 K23:L31 D13:F21 K33:L41 K43:L50 T3:V50 J3:J50 V2:X2 N3:P50 P2:R2 Z3:AA50 K3:L11 D2:F11 H3:I11 Q3:R11 W3:X11 H13:I21 Q13:R21 W13:X21 D23:F31 H23:I31 Q23:R31 W23:X31 J2:L2" name="LAS"/>
    <protectedRange sqref="S2:U2 M2:O2 Y2:AA2 G3:G11 G23:G31 G33:G41 G43:G50 G13:G21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X1" activePane="topRight" state="frozen"/>
      <selection pane="topRight" activeCell="AD64" sqref="AD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>
        <v>50</v>
      </c>
      <c r="X27" s="8"/>
      <c r="Y27" s="10"/>
      <c r="Z27" s="10">
        <f t="shared" si="12"/>
        <v>0</v>
      </c>
      <c r="AA27" s="10">
        <f t="shared" si="13"/>
        <v>50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>
        <v>1000</v>
      </c>
      <c r="L28" s="8">
        <v>2025</v>
      </c>
      <c r="M28" s="10" t="s">
        <v>56</v>
      </c>
      <c r="N28" s="10">
        <f t="shared" si="14"/>
        <v>0</v>
      </c>
      <c r="O28" s="10">
        <f t="shared" si="15"/>
        <v>1000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>
        <v>50</v>
      </c>
      <c r="X28" s="8"/>
      <c r="Y28" s="10"/>
      <c r="Z28" s="10">
        <f t="shared" si="12"/>
        <v>0</v>
      </c>
      <c r="AA28" s="10">
        <f t="shared" si="13"/>
        <v>50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>
        <v>1000</v>
      </c>
      <c r="L29" s="8">
        <v>2025</v>
      </c>
      <c r="M29" s="10" t="s">
        <v>56</v>
      </c>
      <c r="N29" s="10">
        <f t="shared" si="14"/>
        <v>0</v>
      </c>
      <c r="O29" s="10">
        <f t="shared" si="15"/>
        <v>1000</v>
      </c>
      <c r="P29" s="10">
        <f>Table14[[#This Row],[Enrolment S.Y. 2025-2026 ]]*8</f>
        <v>0</v>
      </c>
      <c r="Q29" s="10">
        <v>50</v>
      </c>
      <c r="R29" s="8"/>
      <c r="S29" s="10"/>
      <c r="T29" s="10">
        <f t="shared" si="10"/>
        <v>0</v>
      </c>
      <c r="U29" s="10">
        <f t="shared" si="11"/>
        <v>50</v>
      </c>
      <c r="V29" s="10">
        <f>Table14[[#This Row],[Enrolment S.Y. 2025-2026 ]]*8</f>
        <v>0</v>
      </c>
      <c r="W29" s="10">
        <v>50</v>
      </c>
      <c r="X29" s="8"/>
      <c r="Y29" s="10"/>
      <c r="Z29" s="10">
        <f t="shared" si="12"/>
        <v>0</v>
      </c>
      <c r="AA29" s="10">
        <f t="shared" si="13"/>
        <v>50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>
        <v>50</v>
      </c>
      <c r="R30" s="8"/>
      <c r="S30" s="10"/>
      <c r="T30" s="10">
        <f t="shared" si="10"/>
        <v>0</v>
      </c>
      <c r="U30" s="10">
        <f t="shared" si="11"/>
        <v>50</v>
      </c>
      <c r="V30" s="10">
        <f>Table14[[#This Row],[Enrolment S.Y. 2025-2026 ]]*8</f>
        <v>0</v>
      </c>
      <c r="W30" s="10">
        <v>50</v>
      </c>
      <c r="X30" s="8"/>
      <c r="Y30" s="10"/>
      <c r="Z30" s="10">
        <f t="shared" si="12"/>
        <v>0</v>
      </c>
      <c r="AA30" s="10">
        <f t="shared" si="13"/>
        <v>50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>
        <v>50</v>
      </c>
      <c r="X31" s="8"/>
      <c r="Y31" s="10"/>
      <c r="Z31" s="10">
        <f t="shared" si="12"/>
        <v>0</v>
      </c>
      <c r="AA31" s="10">
        <f t="shared" si="13"/>
        <v>50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>
        <v>50</v>
      </c>
      <c r="R32" s="8"/>
      <c r="S32" s="10"/>
      <c r="T32" s="10">
        <f t="shared" si="10"/>
        <v>0</v>
      </c>
      <c r="U32" s="10">
        <f t="shared" si="11"/>
        <v>50</v>
      </c>
      <c r="V32" s="10">
        <f>Table14[[#This Row],[Enrolment S.Y. 2025-2026 ]]*8</f>
        <v>0</v>
      </c>
      <c r="W32" s="10">
        <v>50</v>
      </c>
      <c r="X32" s="8"/>
      <c r="Y32" s="10"/>
      <c r="Z32" s="10">
        <f t="shared" si="12"/>
        <v>0</v>
      </c>
      <c r="AA32" s="10">
        <f t="shared" si="13"/>
        <v>50</v>
      </c>
    </row>
    <row r="33" spans="1:27" ht="19.5">
      <c r="A33" s="29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>
        <v>50</v>
      </c>
      <c r="X33" s="8"/>
      <c r="Y33" s="10"/>
      <c r="Z33" s="10">
        <f>IF((V33-W33)&lt;0,0,(V33-W33))</f>
        <v>0</v>
      </c>
      <c r="AA33" s="10">
        <f>IF((W33-V33)&lt;0,0,(W33-V33))</f>
        <v>50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>
        <v>50</v>
      </c>
      <c r="X34" s="8"/>
      <c r="Y34" s="10"/>
      <c r="Z34" s="10">
        <f t="shared" si="12"/>
        <v>0</v>
      </c>
      <c r="AA34" s="10">
        <f t="shared" si="13"/>
        <v>50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>
        <v>50</v>
      </c>
      <c r="R36" s="8"/>
      <c r="S36" s="10"/>
      <c r="T36" s="10">
        <f>IF((P36-Q36)&lt;0,0,(P36-Q36))</f>
        <v>0</v>
      </c>
      <c r="U36" s="10">
        <f>IF((Q36-P36)&lt;0,0,(Q36-P36))</f>
        <v>50</v>
      </c>
      <c r="V36" s="10">
        <f>Table14[[#This Row],[Enrolment S.Y. 2025-2026 ]]*8</f>
        <v>0</v>
      </c>
      <c r="W36" s="10">
        <v>50</v>
      </c>
      <c r="X36" s="8"/>
      <c r="Y36" s="10"/>
      <c r="Z36" s="10">
        <f>IF((V36-W36)&lt;0,0,(V36-W36))</f>
        <v>0</v>
      </c>
      <c r="AA36" s="10">
        <f>IF((W36-V36)&lt;0,0,(W36-V36))</f>
        <v>50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>
        <v>50</v>
      </c>
      <c r="R37" s="8"/>
      <c r="S37" s="10"/>
      <c r="T37" s="10">
        <f t="shared" si="10"/>
        <v>0</v>
      </c>
      <c r="U37" s="10">
        <f t="shared" si="11"/>
        <v>50</v>
      </c>
      <c r="V37" s="10">
        <f>Table14[[#This Row],[Enrolment S.Y. 2025-2026 ]]*8</f>
        <v>0</v>
      </c>
      <c r="W37" s="10">
        <v>50</v>
      </c>
      <c r="X37" s="8"/>
      <c r="Y37" s="10"/>
      <c r="Z37" s="10">
        <f t="shared" si="12"/>
        <v>0</v>
      </c>
      <c r="AA37" s="10">
        <f t="shared" si="13"/>
        <v>50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>
        <v>800</v>
      </c>
      <c r="L39" s="8">
        <v>2025</v>
      </c>
      <c r="M39" s="10" t="s">
        <v>56</v>
      </c>
      <c r="N39" s="10">
        <f t="shared" si="14"/>
        <v>0</v>
      </c>
      <c r="O39" s="10">
        <f t="shared" si="15"/>
        <v>800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>
        <v>50</v>
      </c>
      <c r="X39" s="8"/>
      <c r="Y39" s="10"/>
      <c r="Z39" s="10">
        <f t="shared" si="12"/>
        <v>0</v>
      </c>
      <c r="AA39" s="10">
        <f t="shared" si="13"/>
        <v>50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>
        <v>50</v>
      </c>
      <c r="R40" s="8"/>
      <c r="S40" s="10"/>
      <c r="T40" s="10">
        <f t="shared" si="10"/>
        <v>0</v>
      </c>
      <c r="U40" s="10">
        <f t="shared" si="11"/>
        <v>50</v>
      </c>
      <c r="V40" s="10">
        <f>Table14[[#This Row],[Enrolment S.Y. 2025-2026 ]]*8</f>
        <v>0</v>
      </c>
      <c r="W40" s="10">
        <v>50</v>
      </c>
      <c r="X40" s="8"/>
      <c r="Y40" s="10"/>
      <c r="Z40" s="10">
        <f t="shared" si="12"/>
        <v>0</v>
      </c>
      <c r="AA40" s="10">
        <f t="shared" si="13"/>
        <v>50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>
        <v>800</v>
      </c>
      <c r="L41" s="8">
        <v>2025</v>
      </c>
      <c r="M41" s="10" t="s">
        <v>56</v>
      </c>
      <c r="N41" s="10">
        <f t="shared" si="14"/>
        <v>0</v>
      </c>
      <c r="O41" s="10">
        <f t="shared" si="15"/>
        <v>800</v>
      </c>
      <c r="P41" s="10">
        <f>Table14[[#This Row],[Enrolment S.Y. 2025-2026 ]]*8</f>
        <v>0</v>
      </c>
      <c r="Q41" s="10">
        <v>50</v>
      </c>
      <c r="R41" s="8"/>
      <c r="S41" s="10"/>
      <c r="T41" s="10">
        <f t="shared" si="10"/>
        <v>0</v>
      </c>
      <c r="U41" s="10">
        <f t="shared" si="11"/>
        <v>50</v>
      </c>
      <c r="V41" s="10">
        <f>Table14[[#This Row],[Enrolment S.Y. 2025-2026 ]]*8</f>
        <v>0</v>
      </c>
      <c r="W41" s="10">
        <v>50</v>
      </c>
      <c r="X41" s="8"/>
      <c r="Y41" s="10"/>
      <c r="Z41" s="10">
        <f t="shared" si="12"/>
        <v>0</v>
      </c>
      <c r="AA41" s="10">
        <f t="shared" si="13"/>
        <v>50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>
        <v>50</v>
      </c>
      <c r="R42" s="8"/>
      <c r="S42" s="10"/>
      <c r="T42" s="10">
        <f t="shared" si="10"/>
        <v>0</v>
      </c>
      <c r="U42" s="10">
        <f t="shared" si="11"/>
        <v>50</v>
      </c>
      <c r="V42" s="10">
        <f>Table14[[#This Row],[Enrolment S.Y. 2025-2026 ]]*8</f>
        <v>0</v>
      </c>
      <c r="W42" s="10">
        <v>50</v>
      </c>
      <c r="X42" s="8"/>
      <c r="Y42" s="10"/>
      <c r="Z42" s="10">
        <f t="shared" si="12"/>
        <v>0</v>
      </c>
      <c r="AA42" s="10">
        <f t="shared" si="13"/>
        <v>50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>
        <v>50</v>
      </c>
      <c r="R43" s="8"/>
      <c r="S43" s="10"/>
      <c r="T43" s="10">
        <f t="shared" si="10"/>
        <v>0</v>
      </c>
      <c r="U43" s="10">
        <f t="shared" si="11"/>
        <v>50</v>
      </c>
      <c r="V43" s="10">
        <f>Table14[[#This Row],[Enrolment S.Y. 2025-2026 ]]*8</f>
        <v>0</v>
      </c>
      <c r="W43" s="10">
        <v>50</v>
      </c>
      <c r="X43" s="8"/>
      <c r="Y43" s="10"/>
      <c r="Z43" s="10">
        <f t="shared" si="12"/>
        <v>0</v>
      </c>
      <c r="AA43" s="10">
        <f t="shared" si="13"/>
        <v>50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>
        <v>50</v>
      </c>
      <c r="R44" s="8"/>
      <c r="S44" s="10"/>
      <c r="T44" s="10">
        <f t="shared" si="10"/>
        <v>0</v>
      </c>
      <c r="U44" s="10">
        <f t="shared" si="11"/>
        <v>50</v>
      </c>
      <c r="V44" s="10">
        <f>Table14[[#This Row],[Enrolment S.Y. 2025-2026 ]]*8</f>
        <v>0</v>
      </c>
      <c r="W44" s="10">
        <v>50</v>
      </c>
      <c r="X44" s="8"/>
      <c r="Y44" s="10"/>
      <c r="Z44" s="10">
        <f t="shared" si="12"/>
        <v>0</v>
      </c>
      <c r="AA44" s="10">
        <f t="shared" si="13"/>
        <v>50</v>
      </c>
    </row>
    <row r="45" spans="1:27" ht="19.5">
      <c r="A45" s="29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>
        <v>50</v>
      </c>
      <c r="R45" s="8"/>
      <c r="S45" s="10"/>
      <c r="T45" s="10">
        <f>IF((P45-Q45)&lt;0,0,(P45-Q45))</f>
        <v>0</v>
      </c>
      <c r="U45" s="10">
        <f>IF((Q45-P45)&lt;0,0,(Q45-P45))</f>
        <v>50</v>
      </c>
      <c r="V45" s="10">
        <f>Table14[[#This Row],[Enrolment S.Y. 2025-2026 ]]*8</f>
        <v>0</v>
      </c>
      <c r="W45" s="10">
        <v>50</v>
      </c>
      <c r="X45" s="8"/>
      <c r="Y45" s="10"/>
      <c r="Z45" s="10">
        <f>IF((V45-W45)&lt;0,0,(V45-W45))</f>
        <v>0</v>
      </c>
      <c r="AA45" s="10">
        <f>IF((W45-V45)&lt;0,0,(W45-V45))</f>
        <v>50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>
        <v>50</v>
      </c>
      <c r="X46" s="8"/>
      <c r="Y46" s="10"/>
      <c r="Z46" s="10">
        <f t="shared" si="12"/>
        <v>0</v>
      </c>
      <c r="AA46" s="10">
        <f t="shared" si="13"/>
        <v>50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>
        <v>50</v>
      </c>
      <c r="R48" s="8"/>
      <c r="S48" s="10"/>
      <c r="T48" s="10">
        <f>IF((P48-Q48)&lt;0,0,(P48-Q48))</f>
        <v>0</v>
      </c>
      <c r="U48" s="10">
        <f>IF((Q48-P48)&lt;0,0,(Q48-P48))</f>
        <v>50</v>
      </c>
      <c r="V48" s="10">
        <f>Table14[[#This Row],[Enrolment S.Y. 2025-2026 ]]*8</f>
        <v>0</v>
      </c>
      <c r="W48" s="10">
        <v>50</v>
      </c>
      <c r="X48" s="8"/>
      <c r="Y48" s="10"/>
      <c r="Z48" s="10">
        <f>IF((V48-W48)&lt;0,0,(V48-W48))</f>
        <v>0</v>
      </c>
      <c r="AA48" s="10">
        <f>IF((W48-V48)&lt;0,0,(W48-V48))</f>
        <v>50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>
        <v>50</v>
      </c>
      <c r="R49" s="8"/>
      <c r="S49" s="10"/>
      <c r="T49" s="10">
        <f t="shared" si="10"/>
        <v>0</v>
      </c>
      <c r="U49" s="10">
        <f t="shared" si="11"/>
        <v>50</v>
      </c>
      <c r="V49" s="10">
        <f>Table14[[#This Row],[Enrolment S.Y. 2025-2026 ]]*8</f>
        <v>0</v>
      </c>
      <c r="W49" s="10">
        <v>50</v>
      </c>
      <c r="X49" s="8"/>
      <c r="Y49" s="10"/>
      <c r="Z49" s="10">
        <f t="shared" si="12"/>
        <v>0</v>
      </c>
      <c r="AA49" s="10">
        <f t="shared" si="13"/>
        <v>50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N15:R25 N27:R37 N39:R49 T3:X13 Z3:AA13 P2:R2 D15:F25 D27:F37 D51:F58 H3:L13 V2:X2 T15:X25 Z15:AA25 H15:L25 T27:X37 Z27:AA37 H27:L27 T39:X49 Z39:AA49 H42:L49 N51:R58 T51:X58 Z51:AA58 H51:L58 D39:F49 H39:J41 H30:L37 H28:K29 N3:R13 D2:F13" name="LAS"/>
    <protectedRange sqref="G2:I2 M2:O2 S2:U2 Y2:AA2 M51:M58 S51:S58 M30:M37 Y3:Y13 G3:G13 M3:M13 S3:S13 Y15:Y25 G15:G25 M15:M25 S15:S25 Y27:Y37 G27:G37 M27 S27:S37 Y39:Y49 G39:G49 M42:M49 S39:S49 Y51:Y58 G51:G58" name="SOURCE"/>
    <protectedRange sqref="K39:L41 L28:L29" name="LAS_1"/>
    <protectedRange sqref="M39:M41 M28:M29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39:M49 G27:G37 G39:G49 Y39:Y49 S39:S49 M51:M58 M27:M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2026-04-14T00:57:01Z</dcterms:modified>
  <cp:category/>
  <cp:contentStatus/>
</cp:coreProperties>
</file>