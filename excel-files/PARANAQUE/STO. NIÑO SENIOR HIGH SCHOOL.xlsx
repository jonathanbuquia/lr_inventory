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05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9" documentId="13_ncr:1_{BFB59F67-F0DC-4675-A682-EB0734A8026A}" xr6:coauthVersionLast="47" xr6:coauthVersionMax="47" xr10:uidLastSave="{B0BEA36F-6088-458C-9A0F-C61337EA7AA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" i="5" l="1"/>
  <c r="D117" i="5"/>
  <c r="D118" i="5"/>
  <c r="D119" i="5"/>
  <c r="D120" i="5"/>
  <c r="D121" i="5"/>
  <c r="D122" i="5"/>
  <c r="D115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I122" i="5"/>
  <c r="V121" i="5"/>
  <c r="Z121" i="5" s="1"/>
  <c r="P121" i="5"/>
  <c r="J121" i="5"/>
  <c r="N121" i="5" s="1"/>
  <c r="I121" i="5"/>
  <c r="V120" i="5"/>
  <c r="AA120" i="5" s="1"/>
  <c r="P120" i="5"/>
  <c r="U120" i="5" s="1"/>
  <c r="J120" i="5"/>
  <c r="O120" i="5" s="1"/>
  <c r="I120" i="5"/>
  <c r="V119" i="5"/>
  <c r="Z119" i="5" s="1"/>
  <c r="P119" i="5"/>
  <c r="J119" i="5"/>
  <c r="N119" i="5" s="1"/>
  <c r="I119" i="5"/>
  <c r="V118" i="5"/>
  <c r="AA118" i="5" s="1"/>
  <c r="P118" i="5"/>
  <c r="U118" i="5" s="1"/>
  <c r="J118" i="5"/>
  <c r="O118" i="5" s="1"/>
  <c r="I118" i="5"/>
  <c r="V117" i="5"/>
  <c r="Z117" i="5" s="1"/>
  <c r="P117" i="5"/>
  <c r="J117" i="5"/>
  <c r="N117" i="5" s="1"/>
  <c r="I117" i="5"/>
  <c r="V116" i="5"/>
  <c r="AA116" i="5" s="1"/>
  <c r="P116" i="5"/>
  <c r="U116" i="5" s="1"/>
  <c r="J116" i="5"/>
  <c r="O116" i="5" s="1"/>
  <c r="I116" i="5"/>
  <c r="V115" i="5"/>
  <c r="Z115" i="5" s="1"/>
  <c r="P115" i="5"/>
  <c r="J115" i="5"/>
  <c r="N115" i="5" s="1"/>
  <c r="I115" i="5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<sst xmlns="http://schemas.openxmlformats.org/spreadsheetml/2006/main" count="394" uniqueCount="92">
  <si>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</si>
  <si>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</si>
  <si>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</si>
  <si>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</si>
  <si>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</si>
  <si>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</si>
  <si>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</si>
  <si>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</si>
  <si>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</si>
  <si>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</si>
  <si>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</si>
  <si>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</si>
  <si>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</si>
  <si>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</si>
  <si>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</si>
  <si>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</si>
  <si>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</si>
  <si>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</si>
  <si>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</si>
  <si>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</si>
  <si>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</si>
  <si>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</si>
  <si>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</si>
  <si>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</si>
  <si>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</si>
  <si>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RO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</si>
  <si>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</si>
  <si>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</si>
  <si>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</si>
  <si>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</si>
  <si>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</si>
  <si>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</si>
  <si>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CO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</si>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</sst>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E2" activeCellId="10" sqref="E91:E98 E81:E89 E71:E79 E61:E69 E51:E59 E41:E49 E31:E39 E21:E29 E14:E19 E8:E12 E2:E6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541</v>
      </c>
      <c r="D91" s="1">
        <v>340</v>
      </c>
      <c r="E91" s="1">
        <v>2024</v>
      </c>
      <c r="F91" s="5" t="s">
        <v>25</v>
      </c>
      <c r="G91" s="3">
        <f t="shared" ref="G91:G98" si="18">IF((C91-D91)&lt;0,0,C91-D91)</f>
        <v>201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27</v>
      </c>
      <c r="C93" s="1">
        <v>541</v>
      </c>
      <c r="D93" s="1">
        <v>340</v>
      </c>
      <c r="E93" s="1">
        <v>2024</v>
      </c>
      <c r="F93" s="5" t="s">
        <v>25</v>
      </c>
      <c r="G93" s="3">
        <f t="shared" si="18"/>
        <v>201</v>
      </c>
      <c r="H93" s="4">
        <f t="shared" si="19"/>
        <v>0</v>
      </c>
    </row>
    <row r="94" spans="1:8" ht="27.75" customHeight="1">
      <c r="A94" s="1" t="s">
        <v>23</v>
      </c>
      <c r="B94" s="9" t="s">
        <v>28</v>
      </c>
      <c r="C94" s="1">
        <v>541</v>
      </c>
      <c r="D94" s="1">
        <v>340</v>
      </c>
      <c r="E94" s="1">
        <v>2025</v>
      </c>
      <c r="F94" s="5" t="s">
        <v>25</v>
      </c>
      <c r="G94" s="3">
        <f t="shared" si="18"/>
        <v>201</v>
      </c>
      <c r="H94" s="4">
        <f t="shared" si="19"/>
        <v>0</v>
      </c>
    </row>
    <row r="95" spans="1:8" ht="40.5" customHeight="1">
      <c r="A95" s="1" t="s">
        <v>23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30</v>
      </c>
      <c r="C96" s="1">
        <v>541</v>
      </c>
      <c r="D96" s="1">
        <v>340</v>
      </c>
      <c r="E96" s="1">
        <v>2025</v>
      </c>
      <c r="F96" s="5" t="s">
        <v>25</v>
      </c>
      <c r="G96" s="3">
        <f t="shared" si="18"/>
        <v>201</v>
      </c>
      <c r="H96" s="4">
        <f t="shared" si="19"/>
        <v>0</v>
      </c>
    </row>
    <row r="97" spans="1:8" ht="27.75" customHeight="1">
      <c r="A97" s="1" t="s">
        <v>23</v>
      </c>
      <c r="B97" s="9" t="s">
        <v>31</v>
      </c>
      <c r="C97" s="1">
        <v>541</v>
      </c>
      <c r="D97" s="1">
        <v>340</v>
      </c>
      <c r="E97" s="1">
        <v>2025</v>
      </c>
      <c r="F97" s="5" t="s">
        <v>32</v>
      </c>
      <c r="G97" s="3">
        <f t="shared" si="18"/>
        <v>201</v>
      </c>
      <c r="H97" s="4">
        <f t="shared" si="19"/>
        <v>0</v>
      </c>
    </row>
    <row r="98" spans="1:8" ht="47.25" customHeight="1">
      <c r="A98" s="1" t="s">
        <v>23</v>
      </c>
      <c r="B98" s="9" t="s">
        <v>33</v>
      </c>
      <c r="C98" s="1">
        <v>541</v>
      </c>
      <c r="D98" s="1">
        <v>340</v>
      </c>
      <c r="E98" s="1">
        <v>2025</v>
      </c>
      <c r="F98" s="5" t="s">
        <v>32</v>
      </c>
      <c r="G98" s="3">
        <f t="shared" si="18"/>
        <v>201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01" zoomScale="70" zoomScaleNormal="70" workbookViewId="0">
      <selection activeCell="J128" sqref="J128:J158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5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25">
      <c r="A103" s="1" t="s">
        <v>23</v>
      </c>
      <c r="B103" s="9" t="s">
        <v>24</v>
      </c>
      <c r="C103" s="1">
        <v>541</v>
      </c>
      <c r="D103" s="5">
        <f>Table1[[#This Row],[Enrolment S.Y. 2025-2026 ]]*8</f>
        <v>4328</v>
      </c>
      <c r="E103" s="5"/>
      <c r="F103" s="1"/>
      <c r="G103" s="5"/>
      <c r="H103" s="5">
        <f t="shared" si="22"/>
        <v>4328</v>
      </c>
      <c r="I103" s="5">
        <f t="shared" si="23"/>
        <v>0</v>
      </c>
      <c r="J103" s="5">
        <f>Table1[[#This Row],[Enrolment S.Y. 2025-2026 ]]*8</f>
        <v>4328</v>
      </c>
      <c r="K103" s="5"/>
      <c r="L103" s="1"/>
      <c r="M103" s="5"/>
      <c r="N103" s="5">
        <f t="shared" si="16"/>
        <v>4328</v>
      </c>
      <c r="O103" s="5">
        <f t="shared" si="17"/>
        <v>0</v>
      </c>
      <c r="P103" s="5">
        <f>Table1[[#This Row],[Enrolment S.Y. 2025-2026 ]]*8</f>
        <v>4328</v>
      </c>
      <c r="Q103" s="5"/>
      <c r="R103" s="1"/>
      <c r="S103" s="5"/>
      <c r="T103" s="5">
        <f t="shared" si="18"/>
        <v>4328</v>
      </c>
      <c r="U103" s="5">
        <f t="shared" si="19"/>
        <v>0</v>
      </c>
      <c r="V103" s="5">
        <f>Table1[[#This Row],[Enrolment S.Y. 2025-2026 ]]*8</f>
        <v>4328</v>
      </c>
      <c r="W103" s="5"/>
      <c r="X103" s="1"/>
      <c r="Y103" s="5"/>
      <c r="Z103" s="5">
        <f t="shared" si="20"/>
        <v>4328</v>
      </c>
      <c r="AA103" s="5">
        <f t="shared" si="21"/>
        <v>0</v>
      </c>
    </row>
    <row r="104" spans="1:27" ht="19.5">
      <c r="A104" s="1" t="s">
        <v>23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23</v>
      </c>
      <c r="B105" s="9" t="s">
        <v>27</v>
      </c>
      <c r="C105" s="1">
        <v>541</v>
      </c>
      <c r="D105" s="5">
        <f>Table1[[#This Row],[Enrolment S.Y. 2025-2026 ]]*8</f>
        <v>4328</v>
      </c>
      <c r="E105" s="5"/>
      <c r="F105" s="1"/>
      <c r="G105" s="5"/>
      <c r="H105" s="5">
        <f t="shared" si="22"/>
        <v>4328</v>
      </c>
      <c r="I105" s="5">
        <f t="shared" si="23"/>
        <v>0</v>
      </c>
      <c r="J105" s="5">
        <f>Table1[[#This Row],[Enrolment S.Y. 2025-2026 ]]*8</f>
        <v>4328</v>
      </c>
      <c r="K105" s="5"/>
      <c r="L105" s="1"/>
      <c r="M105" s="5"/>
      <c r="N105" s="5">
        <f t="shared" si="16"/>
        <v>4328</v>
      </c>
      <c r="O105" s="5">
        <f t="shared" si="17"/>
        <v>0</v>
      </c>
      <c r="P105" s="5">
        <f>Table1[[#This Row],[Enrolment S.Y. 2025-2026 ]]*8</f>
        <v>4328</v>
      </c>
      <c r="Q105" s="5"/>
      <c r="R105" s="1"/>
      <c r="S105" s="5"/>
      <c r="T105" s="5">
        <f t="shared" si="18"/>
        <v>4328</v>
      </c>
      <c r="U105" s="5">
        <f t="shared" si="19"/>
        <v>0</v>
      </c>
      <c r="V105" s="5">
        <f>Table1[[#This Row],[Enrolment S.Y. 2025-2026 ]]*8</f>
        <v>4328</v>
      </c>
      <c r="W105" s="5"/>
      <c r="X105" s="1"/>
      <c r="Y105" s="5"/>
      <c r="Z105" s="5">
        <f t="shared" si="20"/>
        <v>4328</v>
      </c>
      <c r="AA105" s="5">
        <f t="shared" si="21"/>
        <v>0</v>
      </c>
    </row>
    <row r="106" spans="1:27" ht="19.5">
      <c r="A106" s="1" t="s">
        <v>23</v>
      </c>
      <c r="B106" s="9" t="s">
        <v>28</v>
      </c>
      <c r="C106" s="1">
        <v>541</v>
      </c>
      <c r="D106" s="5">
        <f>Table1[[#This Row],[Enrolment S.Y. 2025-2026 ]]*8</f>
        <v>4328</v>
      </c>
      <c r="E106" s="5"/>
      <c r="F106" s="1"/>
      <c r="G106" s="5"/>
      <c r="H106" s="5">
        <f t="shared" si="22"/>
        <v>4328</v>
      </c>
      <c r="I106" s="5">
        <f t="shared" si="23"/>
        <v>0</v>
      </c>
      <c r="J106" s="5">
        <f>Table1[[#This Row],[Enrolment S.Y. 2025-2026 ]]*8</f>
        <v>4328</v>
      </c>
      <c r="K106" s="5"/>
      <c r="L106" s="1"/>
      <c r="M106" s="5"/>
      <c r="N106" s="5">
        <f t="shared" si="16"/>
        <v>4328</v>
      </c>
      <c r="O106" s="5">
        <f t="shared" si="17"/>
        <v>0</v>
      </c>
      <c r="P106" s="5">
        <f>Table1[[#This Row],[Enrolment S.Y. 2025-2026 ]]*8</f>
        <v>4328</v>
      </c>
      <c r="Q106" s="5"/>
      <c r="R106" s="1"/>
      <c r="S106" s="5"/>
      <c r="T106" s="5">
        <f t="shared" si="18"/>
        <v>4328</v>
      </c>
      <c r="U106" s="5">
        <f t="shared" si="19"/>
        <v>0</v>
      </c>
      <c r="V106" s="5">
        <f>Table1[[#This Row],[Enrolment S.Y. 2025-2026 ]]*8</f>
        <v>4328</v>
      </c>
      <c r="W106" s="5"/>
      <c r="X106" s="1"/>
      <c r="Y106" s="5"/>
      <c r="Z106" s="5">
        <f t="shared" si="20"/>
        <v>4328</v>
      </c>
      <c r="AA106" s="5">
        <f t="shared" si="21"/>
        <v>0</v>
      </c>
    </row>
    <row r="107" spans="1:27" ht="38.25">
      <c r="A107" s="1" t="s">
        <v>23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23</v>
      </c>
      <c r="B108" s="9" t="s">
        <v>30</v>
      </c>
      <c r="C108" s="1">
        <v>541</v>
      </c>
      <c r="D108" s="5">
        <f>Table1[[#This Row],[Enrolment S.Y. 2025-2026 ]]*8</f>
        <v>4328</v>
      </c>
      <c r="E108" s="5"/>
      <c r="F108" s="1"/>
      <c r="G108" s="5"/>
      <c r="H108" s="5">
        <f t="shared" si="22"/>
        <v>4328</v>
      </c>
      <c r="I108" s="5">
        <f t="shared" si="23"/>
        <v>0</v>
      </c>
      <c r="J108" s="5">
        <f>Table1[[#This Row],[Enrolment S.Y. 2025-2026 ]]*8</f>
        <v>4328</v>
      </c>
      <c r="K108" s="5"/>
      <c r="L108" s="1"/>
      <c r="M108" s="5"/>
      <c r="N108" s="5">
        <f t="shared" si="16"/>
        <v>4328</v>
      </c>
      <c r="O108" s="5">
        <f t="shared" si="17"/>
        <v>0</v>
      </c>
      <c r="P108" s="5">
        <f>Table1[[#This Row],[Enrolment S.Y. 2025-2026 ]]*8</f>
        <v>4328</v>
      </c>
      <c r="Q108" s="5"/>
      <c r="R108" s="1"/>
      <c r="S108" s="5"/>
      <c r="T108" s="5">
        <f t="shared" si="18"/>
        <v>4328</v>
      </c>
      <c r="U108" s="5">
        <f t="shared" si="19"/>
        <v>0</v>
      </c>
      <c r="V108" s="5">
        <f>Table1[[#This Row],[Enrolment S.Y. 2025-2026 ]]*8</f>
        <v>4328</v>
      </c>
      <c r="W108" s="5"/>
      <c r="X108" s="1"/>
      <c r="Y108" s="5"/>
      <c r="Z108" s="5">
        <f t="shared" si="20"/>
        <v>4328</v>
      </c>
      <c r="AA108" s="5">
        <f t="shared" si="21"/>
        <v>0</v>
      </c>
    </row>
    <row r="109" spans="1:27" ht="57.75">
      <c r="A109" s="1" t="s">
        <v>23</v>
      </c>
      <c r="B109" s="9" t="s">
        <v>31</v>
      </c>
      <c r="C109" s="1">
        <v>541</v>
      </c>
      <c r="D109" s="5">
        <f>Table1[[#This Row],[Enrolment S.Y. 2025-2026 ]]*8</f>
        <v>4328</v>
      </c>
      <c r="E109" s="5"/>
      <c r="F109" s="1"/>
      <c r="G109" s="5"/>
      <c r="H109" s="5">
        <f t="shared" si="22"/>
        <v>4328</v>
      </c>
      <c r="I109" s="5">
        <f t="shared" si="23"/>
        <v>0</v>
      </c>
      <c r="J109" s="5">
        <f>Table1[[#This Row],[Enrolment S.Y. 2025-2026 ]]*8</f>
        <v>4328</v>
      </c>
      <c r="K109" s="5"/>
      <c r="L109" s="1"/>
      <c r="M109" s="5"/>
      <c r="N109" s="5">
        <f t="shared" si="16"/>
        <v>4328</v>
      </c>
      <c r="O109" s="5">
        <f t="shared" si="17"/>
        <v>0</v>
      </c>
      <c r="P109" s="5">
        <f>Table1[[#This Row],[Enrolment S.Y. 2025-2026 ]]*8</f>
        <v>4328</v>
      </c>
      <c r="Q109" s="5"/>
      <c r="R109" s="1"/>
      <c r="S109" s="5"/>
      <c r="T109" s="5">
        <f t="shared" si="18"/>
        <v>4328</v>
      </c>
      <c r="U109" s="5">
        <f t="shared" si="19"/>
        <v>0</v>
      </c>
      <c r="V109" s="5">
        <f>Table1[[#This Row],[Enrolment S.Y. 2025-2026 ]]*8</f>
        <v>4328</v>
      </c>
      <c r="W109" s="5"/>
      <c r="X109" s="1"/>
      <c r="Y109" s="5"/>
      <c r="Z109" s="5">
        <f t="shared" si="20"/>
        <v>4328</v>
      </c>
      <c r="AA109" s="5">
        <f t="shared" si="21"/>
        <v>0</v>
      </c>
    </row>
    <row r="110" spans="1:27" ht="38.25">
      <c r="A110" s="1" t="s">
        <v>23</v>
      </c>
      <c r="B110" s="9" t="s">
        <v>33</v>
      </c>
      <c r="C110" s="1">
        <v>541</v>
      </c>
      <c r="D110" s="5">
        <f>Table1[[#This Row],[Enrolment S.Y. 2025-2026 ]]*8</f>
        <v>4328</v>
      </c>
      <c r="E110" s="5"/>
      <c r="F110" s="1"/>
      <c r="G110" s="5"/>
      <c r="H110" s="5">
        <f t="shared" si="22"/>
        <v>4328</v>
      </c>
      <c r="I110" s="5">
        <f t="shared" si="23"/>
        <v>0</v>
      </c>
      <c r="J110" s="5">
        <f>Table1[[#This Row],[Enrolment S.Y. 2025-2026 ]]*8</f>
        <v>4328</v>
      </c>
      <c r="K110" s="5"/>
      <c r="L110" s="1"/>
      <c r="M110" s="5"/>
      <c r="N110" s="5">
        <f t="shared" si="16"/>
        <v>4328</v>
      </c>
      <c r="O110" s="5">
        <f t="shared" si="17"/>
        <v>0</v>
      </c>
      <c r="P110" s="5">
        <f>Table1[[#This Row],[Enrolment S.Y. 2025-2026 ]]*8</f>
        <v>4328</v>
      </c>
      <c r="Q110" s="5"/>
      <c r="R110" s="1"/>
      <c r="S110" s="5"/>
      <c r="T110" s="5">
        <f t="shared" si="18"/>
        <v>4328</v>
      </c>
      <c r="U110" s="5">
        <f t="shared" si="19"/>
        <v>0</v>
      </c>
      <c r="V110" s="5">
        <f>Table1[[#This Row],[Enrolment S.Y. 2025-2026 ]]*8</f>
        <v>4328</v>
      </c>
      <c r="W110" s="5"/>
      <c r="X110" s="1"/>
      <c r="Y110" s="5"/>
      <c r="Z110" s="5">
        <f t="shared" si="20"/>
        <v>4328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119" zoomScale="55" zoomScaleNormal="55" workbookViewId="0">
      <selection activeCell="J141" sqref="J141:J17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25">
      <c r="A115" s="1" t="s">
        <v>23</v>
      </c>
      <c r="B115" s="9" t="s">
        <v>24</v>
      </c>
      <c r="C115" s="1">
        <v>541</v>
      </c>
      <c r="D115" s="5">
        <f>Table14[[#This Row],[Enrolment S.Y. 2025-2026 ]]*8</f>
        <v>4328</v>
      </c>
      <c r="E115" s="5"/>
      <c r="F115" s="1"/>
      <c r="G115" s="5"/>
      <c r="H115" s="5">
        <f t="shared" si="22"/>
        <v>4328</v>
      </c>
      <c r="I115" s="5">
        <f t="shared" si="23"/>
        <v>0</v>
      </c>
      <c r="J115" s="5">
        <f>Table14[[#This Row],[Enrolment S.Y. 2025-2026 ]]*8</f>
        <v>4328</v>
      </c>
      <c r="K115" s="5"/>
      <c r="L115" s="1"/>
      <c r="M115" s="5"/>
      <c r="N115" s="5">
        <f t="shared" si="20"/>
        <v>4328</v>
      </c>
      <c r="O115" s="5">
        <f t="shared" si="21"/>
        <v>0</v>
      </c>
      <c r="P115" s="5">
        <f>Table14[[#This Row],[Enrolment S.Y. 2025-2026 ]]*8</f>
        <v>4328</v>
      </c>
      <c r="Q115" s="5"/>
      <c r="R115" s="1"/>
      <c r="S115" s="5"/>
      <c r="T115" s="5">
        <f t="shared" si="16"/>
        <v>4328</v>
      </c>
      <c r="U115" s="5">
        <f t="shared" si="17"/>
        <v>0</v>
      </c>
      <c r="V115" s="5">
        <f>Table14[[#This Row],[Enrolment S.Y. 2025-2026 ]]*8</f>
        <v>4328</v>
      </c>
      <c r="W115" s="5"/>
      <c r="X115" s="1"/>
      <c r="Y115" s="5"/>
      <c r="Z115" s="5">
        <f t="shared" si="18"/>
        <v>4328</v>
      </c>
      <c r="AA115" s="5">
        <f t="shared" si="19"/>
        <v>0</v>
      </c>
    </row>
    <row r="116" spans="1:28" ht="19.5">
      <c r="A116" s="1" t="s">
        <v>23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5">
      <c r="A117" s="1" t="s">
        <v>23</v>
      </c>
      <c r="B117" s="9" t="s">
        <v>27</v>
      </c>
      <c r="C117" s="1">
        <v>541</v>
      </c>
      <c r="D117" s="5">
        <f>Table14[[#This Row],[Enrolment S.Y. 2025-2026 ]]*8</f>
        <v>4328</v>
      </c>
      <c r="E117" s="5"/>
      <c r="F117" s="1"/>
      <c r="G117" s="5"/>
      <c r="H117" s="5">
        <f t="shared" si="22"/>
        <v>4328</v>
      </c>
      <c r="I117" s="5">
        <f t="shared" si="23"/>
        <v>0</v>
      </c>
      <c r="J117" s="5">
        <f>Table14[[#This Row],[Enrolment S.Y. 2025-2026 ]]*8</f>
        <v>4328</v>
      </c>
      <c r="K117" s="5"/>
      <c r="L117" s="1"/>
      <c r="M117" s="5"/>
      <c r="N117" s="5">
        <f t="shared" si="20"/>
        <v>4328</v>
      </c>
      <c r="O117" s="5">
        <f t="shared" si="21"/>
        <v>0</v>
      </c>
      <c r="P117" s="5">
        <f>Table14[[#This Row],[Enrolment S.Y. 2025-2026 ]]*8</f>
        <v>4328</v>
      </c>
      <c r="Q117" s="5"/>
      <c r="R117" s="1"/>
      <c r="S117" s="5"/>
      <c r="T117" s="5">
        <f t="shared" si="16"/>
        <v>4328</v>
      </c>
      <c r="U117" s="5">
        <f t="shared" si="17"/>
        <v>0</v>
      </c>
      <c r="V117" s="5">
        <f>Table14[[#This Row],[Enrolment S.Y. 2025-2026 ]]*8</f>
        <v>4328</v>
      </c>
      <c r="W117" s="5"/>
      <c r="X117" s="1"/>
      <c r="Y117" s="5"/>
      <c r="Z117" s="5">
        <f t="shared" si="18"/>
        <v>4328</v>
      </c>
      <c r="AA117" s="5">
        <f t="shared" si="19"/>
        <v>0</v>
      </c>
    </row>
    <row r="118" spans="1:28" ht="19.5">
      <c r="A118" s="1" t="s">
        <v>23</v>
      </c>
      <c r="B118" s="9" t="s">
        <v>28</v>
      </c>
      <c r="C118" s="1">
        <v>541</v>
      </c>
      <c r="D118" s="5">
        <f>Table14[[#This Row],[Enrolment S.Y. 2025-2026 ]]*8</f>
        <v>4328</v>
      </c>
      <c r="E118" s="5"/>
      <c r="F118" s="1"/>
      <c r="G118" s="5"/>
      <c r="H118" s="5">
        <f t="shared" si="22"/>
        <v>4328</v>
      </c>
      <c r="I118" s="5">
        <f t="shared" si="23"/>
        <v>0</v>
      </c>
      <c r="J118" s="5">
        <f>Table14[[#This Row],[Enrolment S.Y. 2025-2026 ]]*8</f>
        <v>4328</v>
      </c>
      <c r="K118" s="5"/>
      <c r="L118" s="1"/>
      <c r="M118" s="5"/>
      <c r="N118" s="5">
        <f t="shared" si="20"/>
        <v>4328</v>
      </c>
      <c r="O118" s="5">
        <f t="shared" si="21"/>
        <v>0</v>
      </c>
      <c r="P118" s="5">
        <f>Table14[[#This Row],[Enrolment S.Y. 2025-2026 ]]*8</f>
        <v>4328</v>
      </c>
      <c r="Q118" s="5"/>
      <c r="R118" s="1"/>
      <c r="S118" s="5"/>
      <c r="T118" s="5">
        <f t="shared" si="16"/>
        <v>4328</v>
      </c>
      <c r="U118" s="5">
        <f t="shared" si="17"/>
        <v>0</v>
      </c>
      <c r="V118" s="5">
        <f>Table14[[#This Row],[Enrolment S.Y. 2025-2026 ]]*8</f>
        <v>4328</v>
      </c>
      <c r="W118" s="5"/>
      <c r="X118" s="1"/>
      <c r="Y118" s="5"/>
      <c r="Z118" s="5">
        <f t="shared" si="18"/>
        <v>4328</v>
      </c>
      <c r="AA118" s="5">
        <f t="shared" si="19"/>
        <v>0</v>
      </c>
    </row>
    <row r="119" spans="1:28" ht="38.25">
      <c r="A119" s="1" t="s">
        <v>23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38.25">
      <c r="A120" s="1" t="s">
        <v>23</v>
      </c>
      <c r="B120" s="9" t="s">
        <v>30</v>
      </c>
      <c r="C120" s="1">
        <v>541</v>
      </c>
      <c r="D120" s="5">
        <f>Table14[[#This Row],[Enrolment S.Y. 2025-2026 ]]*8</f>
        <v>4328</v>
      </c>
      <c r="E120" s="5"/>
      <c r="F120" s="1"/>
      <c r="G120" s="5"/>
      <c r="H120" s="5">
        <f t="shared" si="22"/>
        <v>4328</v>
      </c>
      <c r="I120" s="5">
        <f t="shared" si="23"/>
        <v>0</v>
      </c>
      <c r="J120" s="5">
        <f>Table14[[#This Row],[Enrolment S.Y. 2025-2026 ]]*8</f>
        <v>4328</v>
      </c>
      <c r="K120" s="5"/>
      <c r="L120" s="1"/>
      <c r="M120" s="5"/>
      <c r="N120" s="5">
        <f t="shared" si="20"/>
        <v>4328</v>
      </c>
      <c r="O120" s="5">
        <f t="shared" si="21"/>
        <v>0</v>
      </c>
      <c r="P120" s="5">
        <f>Table14[[#This Row],[Enrolment S.Y. 2025-2026 ]]*8</f>
        <v>4328</v>
      </c>
      <c r="Q120" s="5"/>
      <c r="R120" s="1"/>
      <c r="S120" s="5"/>
      <c r="T120" s="5">
        <f t="shared" si="16"/>
        <v>4328</v>
      </c>
      <c r="U120" s="5">
        <f t="shared" si="17"/>
        <v>0</v>
      </c>
      <c r="V120" s="5">
        <f>Table14[[#This Row],[Enrolment S.Y. 2025-2026 ]]*8</f>
        <v>4328</v>
      </c>
      <c r="W120" s="5"/>
      <c r="X120" s="1"/>
      <c r="Y120" s="5"/>
      <c r="Z120" s="5">
        <f t="shared" si="18"/>
        <v>4328</v>
      </c>
      <c r="AA120" s="5">
        <f t="shared" si="19"/>
        <v>0</v>
      </c>
    </row>
    <row r="121" spans="1:28" ht="57.75">
      <c r="A121" s="1" t="s">
        <v>23</v>
      </c>
      <c r="B121" s="9" t="s">
        <v>31</v>
      </c>
      <c r="C121" s="1">
        <v>541</v>
      </c>
      <c r="D121" s="5">
        <f>Table14[[#This Row],[Enrolment S.Y. 2025-2026 ]]*8</f>
        <v>4328</v>
      </c>
      <c r="E121" s="5"/>
      <c r="F121" s="1"/>
      <c r="G121" s="5"/>
      <c r="H121" s="5">
        <f t="shared" si="22"/>
        <v>4328</v>
      </c>
      <c r="I121" s="5">
        <f t="shared" si="23"/>
        <v>0</v>
      </c>
      <c r="J121" s="5">
        <f>Table14[[#This Row],[Enrolment S.Y. 2025-2026 ]]*8</f>
        <v>4328</v>
      </c>
      <c r="K121" s="5"/>
      <c r="L121" s="1"/>
      <c r="M121" s="5"/>
      <c r="N121" s="5">
        <f t="shared" si="20"/>
        <v>4328</v>
      </c>
      <c r="O121" s="5">
        <f t="shared" si="21"/>
        <v>0</v>
      </c>
      <c r="P121" s="5">
        <f>Table14[[#This Row],[Enrolment S.Y. 2025-2026 ]]*8</f>
        <v>4328</v>
      </c>
      <c r="Q121" s="5"/>
      <c r="R121" s="1"/>
      <c r="S121" s="5"/>
      <c r="T121" s="5">
        <f t="shared" si="16"/>
        <v>4328</v>
      </c>
      <c r="U121" s="5">
        <f t="shared" si="17"/>
        <v>0</v>
      </c>
      <c r="V121" s="5">
        <f>Table14[[#This Row],[Enrolment S.Y. 2025-2026 ]]*8</f>
        <v>4328</v>
      </c>
      <c r="W121" s="5"/>
      <c r="X121" s="1"/>
      <c r="Y121" s="5"/>
      <c r="Z121" s="5">
        <f t="shared" si="18"/>
        <v>4328</v>
      </c>
      <c r="AA121" s="5">
        <f t="shared" si="19"/>
        <v>0</v>
      </c>
    </row>
    <row r="122" spans="1:28" ht="38.25">
      <c r="A122" s="1" t="s">
        <v>23</v>
      </c>
      <c r="B122" s="9" t="s">
        <v>33</v>
      </c>
      <c r="C122" s="1">
        <v>541</v>
      </c>
      <c r="D122" s="5">
        <f>Table14[[#This Row],[Enrolment S.Y. 2025-2026 ]]*8</f>
        <v>4328</v>
      </c>
      <c r="E122" s="5"/>
      <c r="F122" s="1"/>
      <c r="G122" s="5"/>
      <c r="H122" s="5">
        <f t="shared" si="22"/>
        <v>4328</v>
      </c>
      <c r="I122" s="5">
        <f t="shared" si="23"/>
        <v>0</v>
      </c>
      <c r="J122" s="5">
        <f>Table14[[#This Row],[Enrolment S.Y. 2025-2026 ]]*8</f>
        <v>4328</v>
      </c>
      <c r="K122" s="5"/>
      <c r="L122" s="1"/>
      <c r="M122" s="5"/>
      <c r="N122" s="5">
        <f t="shared" si="20"/>
        <v>4328</v>
      </c>
      <c r="O122" s="5">
        <f t="shared" si="21"/>
        <v>0</v>
      </c>
      <c r="P122" s="5">
        <f>Table14[[#This Row],[Enrolment S.Y. 2025-2026 ]]*8</f>
        <v>4328</v>
      </c>
      <c r="Q122" s="5"/>
      <c r="R122" s="1"/>
      <c r="S122" s="5"/>
      <c r="T122" s="5">
        <f t="shared" si="16"/>
        <v>4328</v>
      </c>
      <c r="U122" s="5">
        <f t="shared" si="17"/>
        <v>0</v>
      </c>
      <c r="V122" s="5">
        <f>Table14[[#This Row],[Enrolment S.Y. 2025-2026 ]]*8</f>
        <v>4328</v>
      </c>
      <c r="W122" s="5"/>
      <c r="X122" s="1"/>
      <c r="Y122" s="5"/>
      <c r="Z122" s="5">
        <f t="shared" si="18"/>
        <v>4328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 D115:F122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2026-03-10T03:15:52Z</dcterms:modified>
  <cp:category/>
  <cp:contentStatus/>
</cp:coreProperties>
</file>