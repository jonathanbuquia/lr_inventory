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1" documentId="13_ncr:1_{BFB59F67-F0DC-4675-A682-EB0734A8026A}" xr6:coauthVersionLast="47" xr6:coauthVersionMax="47" xr10:uidLastSave="{85E833B3-F028-4287-9A28-8DD82FC5D411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<sst xmlns="http://schemas.openxmlformats.org/spreadsheetml/2006/main" count="258" uniqueCount="85">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</sst>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C51" sqref="C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>
        <v>484</v>
      </c>
      <c r="E2" s="8">
        <v>2025</v>
      </c>
      <c r="F2" s="10" t="s">
        <v>9</v>
      </c>
      <c r="G2" s="2">
        <v>0</v>
      </c>
      <c r="H2" s="3">
        <f t="shared" ref="H2:H10" si="0">IF((D2-C2)&lt;0,0,D2-C2)</f>
        <v>484</v>
      </c>
    </row>
    <row r="3" spans="1:8" ht="29.25" customHeight="1">
      <c r="A3" s="8">
        <v>7</v>
      </c>
      <c r="B3" s="9" t="s">
        <v>10</v>
      </c>
      <c r="C3" s="8"/>
      <c r="D3" s="8">
        <v>484</v>
      </c>
      <c r="E3" s="8">
        <v>2025</v>
      </c>
      <c r="F3" s="10" t="s">
        <v>9</v>
      </c>
      <c r="G3" s="2">
        <f t="shared" ref="G2:G10" si="1">IF((C3-D3)&lt;0,0,C3-D3)</f>
        <v>0</v>
      </c>
      <c r="H3" s="3">
        <f t="shared" si="0"/>
        <v>484</v>
      </c>
    </row>
    <row r="4" spans="1:8" ht="21" customHeight="1">
      <c r="A4" s="8">
        <v>7</v>
      </c>
      <c r="B4" s="9" t="s">
        <v>11</v>
      </c>
      <c r="C4" s="8"/>
      <c r="D4" s="8"/>
      <c r="E4" s="8"/>
      <c r="F4" s="10"/>
      <c r="G4" s="2">
        <f t="shared" si="1"/>
        <v>0</v>
      </c>
      <c r="H4" s="3">
        <f t="shared" si="0"/>
        <v>0</v>
      </c>
    </row>
    <row r="5" spans="1:8" ht="25.5" customHeight="1">
      <c r="A5" s="8">
        <v>7</v>
      </c>
      <c r="B5" s="9" t="s">
        <v>12</v>
      </c>
      <c r="C5" s="8"/>
      <c r="D5" s="8">
        <v>484</v>
      </c>
      <c r="E5" s="8">
        <v>2025</v>
      </c>
      <c r="F5" s="10" t="s">
        <v>9</v>
      </c>
      <c r="G5" s="2">
        <f t="shared" si="1"/>
        <v>0</v>
      </c>
      <c r="H5" s="3">
        <f t="shared" si="0"/>
        <v>484</v>
      </c>
    </row>
    <row r="6" spans="1:8" ht="38.25">
      <c r="A6" s="8">
        <v>7</v>
      </c>
      <c r="B6" s="9" t="s">
        <v>13</v>
      </c>
      <c r="C6" s="8"/>
      <c r="D6" s="8"/>
      <c r="E6" s="8"/>
      <c r="F6" s="10"/>
      <c r="G6" s="2">
        <f t="shared" si="1"/>
        <v>0</v>
      </c>
      <c r="H6" s="3">
        <f t="shared" si="0"/>
        <v>0</v>
      </c>
    </row>
    <row r="7" spans="1:8" ht="19.5">
      <c r="A7" s="8">
        <v>7</v>
      </c>
      <c r="B7" s="9" t="s">
        <v>14</v>
      </c>
      <c r="C7" s="8"/>
      <c r="D7" s="8"/>
      <c r="E7" s="8"/>
      <c r="F7" s="10"/>
      <c r="G7" s="2">
        <f t="shared" si="1"/>
        <v>0</v>
      </c>
      <c r="H7" s="3">
        <f t="shared" si="0"/>
        <v>0</v>
      </c>
    </row>
    <row r="8" spans="1:8" ht="39.75" customHeight="1">
      <c r="A8" s="8">
        <v>7</v>
      </c>
      <c r="B8" s="9" t="s">
        <v>15</v>
      </c>
      <c r="C8" s="8"/>
      <c r="D8" s="8"/>
      <c r="E8" s="8"/>
      <c r="F8" s="10"/>
      <c r="G8" s="2">
        <f t="shared" si="1"/>
        <v>0</v>
      </c>
      <c r="H8" s="3">
        <f t="shared" si="0"/>
        <v>0</v>
      </c>
    </row>
    <row r="9" spans="1:8" ht="29.25" customHeight="1">
      <c r="A9" s="8">
        <v>7</v>
      </c>
      <c r="B9" s="9" t="s">
        <v>16</v>
      </c>
      <c r="C9" s="8"/>
      <c r="D9" s="8">
        <v>484</v>
      </c>
      <c r="E9" s="8">
        <v>2025</v>
      </c>
      <c r="F9" s="10" t="s">
        <v>9</v>
      </c>
      <c r="G9" s="2">
        <f t="shared" si="1"/>
        <v>0</v>
      </c>
      <c r="H9" s="3">
        <f t="shared" si="0"/>
        <v>484</v>
      </c>
    </row>
    <row r="10" spans="1:8" ht="28.5" customHeight="1">
      <c r="A10" s="8">
        <v>7</v>
      </c>
      <c r="B10" s="9" t="s">
        <v>17</v>
      </c>
      <c r="C10" s="8"/>
      <c r="D10" s="8">
        <v>484</v>
      </c>
      <c r="E10" s="8">
        <v>2025</v>
      </c>
      <c r="F10" s="10" t="s">
        <v>9</v>
      </c>
      <c r="G10" s="2">
        <f t="shared" si="1"/>
        <v>0</v>
      </c>
      <c r="H10" s="3">
        <f t="shared" si="0"/>
        <v>484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/>
      <c r="D14" s="8">
        <v>444</v>
      </c>
      <c r="E14" s="8">
        <v>2025</v>
      </c>
      <c r="F14" s="10" t="s">
        <v>9</v>
      </c>
      <c r="G14" s="2">
        <f t="shared" si="2"/>
        <v>0</v>
      </c>
      <c r="H14" s="3">
        <f t="shared" si="3"/>
        <v>444</v>
      </c>
    </row>
    <row r="15" spans="1:8" ht="29.25" customHeight="1">
      <c r="A15" s="8">
        <v>8</v>
      </c>
      <c r="B15" s="9" t="s">
        <v>12</v>
      </c>
      <c r="C15" s="8"/>
      <c r="D15" s="8">
        <v>444</v>
      </c>
      <c r="E15" s="8">
        <v>2025</v>
      </c>
      <c r="F15" s="10" t="s">
        <v>9</v>
      </c>
      <c r="G15" s="2">
        <f t="shared" si="2"/>
        <v>0</v>
      </c>
      <c r="H15" s="3">
        <f t="shared" si="3"/>
        <v>444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>
        <v>444</v>
      </c>
      <c r="E17" s="8">
        <v>2025</v>
      </c>
      <c r="F17" s="10" t="s">
        <v>9</v>
      </c>
      <c r="G17" s="2">
        <f t="shared" si="2"/>
        <v>0</v>
      </c>
      <c r="H17" s="3">
        <f t="shared" si="3"/>
        <v>444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>
        <v>444</v>
      </c>
      <c r="E19" s="8">
        <v>2025</v>
      </c>
      <c r="F19" s="10" t="s">
        <v>9</v>
      </c>
      <c r="G19" s="2">
        <f t="shared" si="2"/>
        <v>0</v>
      </c>
      <c r="H19" s="3">
        <f t="shared" si="3"/>
        <v>444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C63" sqref="AC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Y65" activePane="topRight" state="frozen"/>
      <selection pane="topRight" activeCell="A59" sqref="A59:AA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>
        <v>70</v>
      </c>
      <c r="F15" s="8">
        <v>2025</v>
      </c>
      <c r="G15" s="10" t="s">
        <v>84</v>
      </c>
      <c r="H15" s="10">
        <f t="shared" si="0"/>
        <v>0</v>
      </c>
      <c r="I15" s="10">
        <f t="shared" si="1"/>
        <v>70</v>
      </c>
      <c r="J15" s="10">
        <f>Table14[[#This Row],[Enrolment S.Y. 2025-2026 ]]*8</f>
        <v>0</v>
      </c>
      <c r="K15" s="10"/>
      <c r="L15" s="8"/>
      <c r="M15" s="10"/>
      <c r="N15" s="10">
        <f t="shared" ref="N15:N58" si="14">IF((J15-K15)&lt;0,0,(J15-K15))</f>
        <v>0</v>
      </c>
      <c r="O15" s="10">
        <f t="shared" ref="O15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>
        <v>70</v>
      </c>
      <c r="F16" s="8">
        <v>2025</v>
      </c>
      <c r="G16" s="10" t="s">
        <v>84</v>
      </c>
      <c r="H16" s="10">
        <f t="shared" si="0"/>
        <v>0</v>
      </c>
      <c r="I16" s="10">
        <f t="shared" si="1"/>
        <v>70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>
        <v>70</v>
      </c>
      <c r="F17" s="8">
        <v>2025</v>
      </c>
      <c r="G17" s="10" t="s">
        <v>84</v>
      </c>
      <c r="H17" s="10">
        <f t="shared" si="0"/>
        <v>0</v>
      </c>
      <c r="I17" s="10">
        <f t="shared" si="1"/>
        <v>70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>
        <v>70</v>
      </c>
      <c r="F18" s="8">
        <v>2025</v>
      </c>
      <c r="G18" s="10" t="s">
        <v>84</v>
      </c>
      <c r="H18" s="10">
        <f t="shared" si="0"/>
        <v>0</v>
      </c>
      <c r="I18" s="10">
        <f t="shared" si="1"/>
        <v>70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>
        <v>70</v>
      </c>
      <c r="F19" s="8">
        <v>2025</v>
      </c>
      <c r="G19" s="10" t="s">
        <v>84</v>
      </c>
      <c r="H19" s="10">
        <f t="shared" si="0"/>
        <v>0</v>
      </c>
      <c r="I19" s="10">
        <f t="shared" si="1"/>
        <v>70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>
        <v>70</v>
      </c>
      <c r="F20" s="8">
        <v>2025</v>
      </c>
      <c r="G20" s="10" t="s">
        <v>84</v>
      </c>
      <c r="H20" s="10">
        <f t="shared" ref="H20:H58" si="16">IF((D20-E20)&lt;0,0,(D20-E20))</f>
        <v>0</v>
      </c>
      <c r="I20" s="10">
        <f t="shared" ref="I20:I58" si="17">IF((E20-D20)&lt;0,0,(E20-D20))</f>
        <v>70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10"/>
      <c r="D21" s="10">
        <f>Table14[[#This Row],[Enrolment S.Y. 2025-2026 ]]*8</f>
        <v>0</v>
      </c>
      <c r="E21" s="10">
        <v>70</v>
      </c>
      <c r="F21" s="8">
        <v>2025</v>
      </c>
      <c r="G21" s="10" t="s">
        <v>84</v>
      </c>
      <c r="H21" s="10">
        <f>IF((D21-E21)&lt;0,0,(D21-E21))</f>
        <v>0</v>
      </c>
      <c r="I21" s="10">
        <f>IF((E21-D21)&lt;0,0,(E21-D21))</f>
        <v>70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>
        <v>70</v>
      </c>
      <c r="F22" s="8">
        <v>2025</v>
      </c>
      <c r="G22" s="10" t="s">
        <v>84</v>
      </c>
      <c r="H22" s="10">
        <f t="shared" si="16"/>
        <v>0</v>
      </c>
      <c r="I22" s="10">
        <f t="shared" si="17"/>
        <v>70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>
        <v>70</v>
      </c>
      <c r="F23" s="8">
        <v>2025</v>
      </c>
      <c r="G23" s="10" t="s">
        <v>84</v>
      </c>
      <c r="H23" s="10">
        <f t="shared" si="16"/>
        <v>0</v>
      </c>
      <c r="I23" s="10">
        <f t="shared" si="17"/>
        <v>70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10"/>
      <c r="D24" s="10">
        <f>Table14[[#This Row],[Enrolment S.Y. 2025-2026 ]]*8</f>
        <v>0</v>
      </c>
      <c r="E24" s="10">
        <v>70</v>
      </c>
      <c r="F24" s="8">
        <v>2025</v>
      </c>
      <c r="G24" s="10" t="s">
        <v>84</v>
      </c>
      <c r="H24" s="10">
        <f>IF((D24-E24)&lt;0,0,(D24-E24))</f>
        <v>0</v>
      </c>
      <c r="I24" s="10">
        <f>IF((E24-D24)&lt;0,0,(E24-D24))</f>
        <v>70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>
        <v>70</v>
      </c>
      <c r="F25" s="8">
        <v>2025</v>
      </c>
      <c r="G25" s="10" t="s">
        <v>84</v>
      </c>
      <c r="H25" s="10">
        <f t="shared" si="16"/>
        <v>0</v>
      </c>
      <c r="I25" s="10">
        <f t="shared" si="17"/>
        <v>70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>
        <v>100</v>
      </c>
      <c r="X27" s="8"/>
      <c r="Y27" s="10"/>
      <c r="Z27" s="10">
        <f t="shared" si="12"/>
        <v>0</v>
      </c>
      <c r="AA27" s="10">
        <f t="shared" si="13"/>
        <v>100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>
        <v>700</v>
      </c>
      <c r="L28" s="8">
        <v>2025</v>
      </c>
      <c r="M28" s="10" t="s">
        <v>84</v>
      </c>
      <c r="N28" s="10">
        <f t="shared" si="14"/>
        <v>0</v>
      </c>
      <c r="O28" s="10">
        <f t="shared" si="15"/>
        <v>700</v>
      </c>
      <c r="P28" s="10">
        <f>Table14[[#This Row],[Enrolment S.Y. 2025-2026 ]]*8</f>
        <v>0</v>
      </c>
      <c r="Q28" s="10">
        <v>100</v>
      </c>
      <c r="R28" s="8"/>
      <c r="S28" s="10"/>
      <c r="T28" s="10">
        <f t="shared" si="10"/>
        <v>0</v>
      </c>
      <c r="U28" s="10">
        <f t="shared" si="11"/>
        <v>100</v>
      </c>
      <c r="V28" s="10">
        <f>Table14[[#This Row],[Enrolment S.Y. 2025-2026 ]]*8</f>
        <v>0</v>
      </c>
      <c r="W28" s="10">
        <v>100</v>
      </c>
      <c r="X28" s="8"/>
      <c r="Y28" s="10"/>
      <c r="Z28" s="10">
        <f t="shared" si="12"/>
        <v>0</v>
      </c>
      <c r="AA28" s="10">
        <f t="shared" si="13"/>
        <v>100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>
        <v>1000</v>
      </c>
      <c r="L29" s="8">
        <v>2025</v>
      </c>
      <c r="M29" s="10" t="s">
        <v>84</v>
      </c>
      <c r="N29" s="10">
        <f t="shared" si="14"/>
        <v>0</v>
      </c>
      <c r="O29" s="10">
        <f t="shared" si="15"/>
        <v>1000</v>
      </c>
      <c r="P29" s="10">
        <f>Table14[[#This Row],[Enrolment S.Y. 2025-2026 ]]*8</f>
        <v>0</v>
      </c>
      <c r="Q29" s="10">
        <v>100</v>
      </c>
      <c r="R29" s="8"/>
      <c r="S29" s="10"/>
      <c r="T29" s="10">
        <f t="shared" si="10"/>
        <v>0</v>
      </c>
      <c r="U29" s="10">
        <f t="shared" si="11"/>
        <v>100</v>
      </c>
      <c r="V29" s="10">
        <f>Table14[[#This Row],[Enrolment S.Y. 2025-2026 ]]*8</f>
        <v>0</v>
      </c>
      <c r="W29" s="10">
        <v>100</v>
      </c>
      <c r="X29" s="8"/>
      <c r="Y29" s="10"/>
      <c r="Z29" s="10">
        <f t="shared" si="12"/>
        <v>0</v>
      </c>
      <c r="AA29" s="10">
        <f t="shared" si="13"/>
        <v>100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>
        <v>100</v>
      </c>
      <c r="R30" s="8"/>
      <c r="S30" s="10"/>
      <c r="T30" s="10">
        <f t="shared" si="10"/>
        <v>0</v>
      </c>
      <c r="U30" s="10">
        <f t="shared" si="11"/>
        <v>100</v>
      </c>
      <c r="V30" s="10">
        <f>Table14[[#This Row],[Enrolment S.Y. 2025-2026 ]]*8</f>
        <v>0</v>
      </c>
      <c r="W30" s="10">
        <v>100</v>
      </c>
      <c r="X30" s="8"/>
      <c r="Y30" s="10"/>
      <c r="Z30" s="10">
        <f t="shared" si="12"/>
        <v>0</v>
      </c>
      <c r="AA30" s="10">
        <f t="shared" si="13"/>
        <v>100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>
        <v>100</v>
      </c>
      <c r="X31" s="8"/>
      <c r="Y31" s="10"/>
      <c r="Z31" s="10">
        <f t="shared" si="12"/>
        <v>0</v>
      </c>
      <c r="AA31" s="10">
        <f t="shared" si="13"/>
        <v>100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>
        <v>100</v>
      </c>
      <c r="R32" s="8"/>
      <c r="S32" s="10"/>
      <c r="T32" s="10">
        <f t="shared" si="10"/>
        <v>0</v>
      </c>
      <c r="U32" s="10">
        <f t="shared" si="11"/>
        <v>100</v>
      </c>
      <c r="V32" s="10">
        <f>Table14[[#This Row],[Enrolment S.Y. 2025-2026 ]]*8</f>
        <v>0</v>
      </c>
      <c r="W32" s="10">
        <v>100</v>
      </c>
      <c r="X32" s="8"/>
      <c r="Y32" s="10"/>
      <c r="Z32" s="10">
        <f t="shared" si="12"/>
        <v>0</v>
      </c>
      <c r="AA32" s="10">
        <f t="shared" si="13"/>
        <v>100</v>
      </c>
    </row>
    <row r="33" spans="1:27" ht="19.5">
      <c r="A33" s="29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>
        <v>100</v>
      </c>
      <c r="X33" s="8"/>
      <c r="Y33" s="10"/>
      <c r="Z33" s="10">
        <f>IF((V33-W33)&lt;0,0,(V33-W33))</f>
        <v>0</v>
      </c>
      <c r="AA33" s="10">
        <f>IF((W33-V33)&lt;0,0,(W33-V33))</f>
        <v>100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>
        <v>100</v>
      </c>
      <c r="X34" s="8"/>
      <c r="Y34" s="10"/>
      <c r="Z34" s="10">
        <f t="shared" si="12"/>
        <v>0</v>
      </c>
      <c r="AA34" s="10">
        <f t="shared" si="13"/>
        <v>100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>
        <v>100</v>
      </c>
      <c r="R36" s="8"/>
      <c r="S36" s="10"/>
      <c r="T36" s="10">
        <f>IF((P36-Q36)&lt;0,0,(P36-Q36))</f>
        <v>0</v>
      </c>
      <c r="U36" s="10">
        <f>IF((Q36-P36)&lt;0,0,(Q36-P36))</f>
        <v>100</v>
      </c>
      <c r="V36" s="10">
        <f>Table14[[#This Row],[Enrolment S.Y. 2025-2026 ]]*8</f>
        <v>0</v>
      </c>
      <c r="W36" s="10">
        <v>100</v>
      </c>
      <c r="X36" s="8"/>
      <c r="Y36" s="10"/>
      <c r="Z36" s="10">
        <f>IF((V36-W36)&lt;0,0,(V36-W36))</f>
        <v>0</v>
      </c>
      <c r="AA36" s="10">
        <f>IF((W36-V36)&lt;0,0,(W36-V36))</f>
        <v>100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>
        <v>100</v>
      </c>
      <c r="R37" s="8"/>
      <c r="S37" s="10"/>
      <c r="T37" s="10">
        <f t="shared" si="10"/>
        <v>0</v>
      </c>
      <c r="U37" s="10">
        <f t="shared" si="11"/>
        <v>100</v>
      </c>
      <c r="V37" s="10">
        <f>Table14[[#This Row],[Enrolment S.Y. 2025-2026 ]]*8</f>
        <v>0</v>
      </c>
      <c r="W37" s="10">
        <v>100</v>
      </c>
      <c r="X37" s="8"/>
      <c r="Y37" s="10"/>
      <c r="Z37" s="10">
        <f t="shared" si="12"/>
        <v>0</v>
      </c>
      <c r="AA37" s="10">
        <f t="shared" si="13"/>
        <v>100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>
        <v>800</v>
      </c>
      <c r="L39" s="8">
        <v>2025</v>
      </c>
      <c r="M39" s="10" t="s">
        <v>84</v>
      </c>
      <c r="N39" s="10">
        <f t="shared" si="14"/>
        <v>0</v>
      </c>
      <c r="O39" s="10">
        <f t="shared" si="15"/>
        <v>800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>
        <v>100</v>
      </c>
      <c r="X39" s="8"/>
      <c r="Y39" s="10"/>
      <c r="Z39" s="10">
        <f t="shared" si="12"/>
        <v>0</v>
      </c>
      <c r="AA39" s="10">
        <f t="shared" si="13"/>
        <v>100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>
        <v>100</v>
      </c>
      <c r="R40" s="8"/>
      <c r="S40" s="10"/>
      <c r="T40" s="10">
        <f t="shared" si="10"/>
        <v>0</v>
      </c>
      <c r="U40" s="10">
        <f t="shared" si="11"/>
        <v>100</v>
      </c>
      <c r="V40" s="10">
        <f>Table14[[#This Row],[Enrolment S.Y. 2025-2026 ]]*8</f>
        <v>0</v>
      </c>
      <c r="W40" s="10">
        <v>100</v>
      </c>
      <c r="X40" s="8"/>
      <c r="Y40" s="10"/>
      <c r="Z40" s="10">
        <f t="shared" si="12"/>
        <v>0</v>
      </c>
      <c r="AA40" s="10">
        <f t="shared" si="13"/>
        <v>100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>
        <v>800</v>
      </c>
      <c r="L41" s="8">
        <v>2025</v>
      </c>
      <c r="M41" s="10" t="s">
        <v>84</v>
      </c>
      <c r="N41" s="10">
        <f t="shared" si="14"/>
        <v>0</v>
      </c>
      <c r="O41" s="10">
        <f t="shared" si="15"/>
        <v>800</v>
      </c>
      <c r="P41" s="10">
        <f>Table14[[#This Row],[Enrolment S.Y. 2025-2026 ]]*8</f>
        <v>0</v>
      </c>
      <c r="Q41" s="10">
        <v>100</v>
      </c>
      <c r="R41" s="8"/>
      <c r="S41" s="10"/>
      <c r="T41" s="10">
        <f t="shared" si="10"/>
        <v>0</v>
      </c>
      <c r="U41" s="10">
        <f t="shared" si="11"/>
        <v>100</v>
      </c>
      <c r="V41" s="10">
        <f>Table14[[#This Row],[Enrolment S.Y. 2025-2026 ]]*8</f>
        <v>0</v>
      </c>
      <c r="W41" s="10">
        <v>100</v>
      </c>
      <c r="X41" s="8"/>
      <c r="Y41" s="10"/>
      <c r="Z41" s="10">
        <f t="shared" si="12"/>
        <v>0</v>
      </c>
      <c r="AA41" s="10">
        <f t="shared" si="13"/>
        <v>100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>
        <v>100</v>
      </c>
      <c r="R42" s="8"/>
      <c r="S42" s="10"/>
      <c r="T42" s="10">
        <f t="shared" si="10"/>
        <v>0</v>
      </c>
      <c r="U42" s="10">
        <f t="shared" si="11"/>
        <v>100</v>
      </c>
      <c r="V42" s="10">
        <f>Table14[[#This Row],[Enrolment S.Y. 2025-2026 ]]*8</f>
        <v>0</v>
      </c>
      <c r="W42" s="10">
        <v>100</v>
      </c>
      <c r="X42" s="8"/>
      <c r="Y42" s="10"/>
      <c r="Z42" s="10">
        <f t="shared" si="12"/>
        <v>0</v>
      </c>
      <c r="AA42" s="10">
        <f t="shared" si="13"/>
        <v>100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>
        <v>100</v>
      </c>
      <c r="R43" s="8"/>
      <c r="S43" s="10"/>
      <c r="T43" s="10">
        <f t="shared" si="10"/>
        <v>0</v>
      </c>
      <c r="U43" s="10">
        <f t="shared" si="11"/>
        <v>100</v>
      </c>
      <c r="V43" s="10">
        <f>Table14[[#This Row],[Enrolment S.Y. 2025-2026 ]]*8</f>
        <v>0</v>
      </c>
      <c r="W43" s="10">
        <v>100</v>
      </c>
      <c r="X43" s="8"/>
      <c r="Y43" s="10"/>
      <c r="Z43" s="10">
        <f t="shared" si="12"/>
        <v>0</v>
      </c>
      <c r="AA43" s="10">
        <f t="shared" si="13"/>
        <v>100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>
        <v>100</v>
      </c>
      <c r="R44" s="8"/>
      <c r="S44" s="10"/>
      <c r="T44" s="10">
        <f t="shared" si="10"/>
        <v>0</v>
      </c>
      <c r="U44" s="10">
        <f t="shared" si="11"/>
        <v>100</v>
      </c>
      <c r="V44" s="10">
        <f>Table14[[#This Row],[Enrolment S.Y. 2025-2026 ]]*8</f>
        <v>0</v>
      </c>
      <c r="W44" s="10">
        <v>100</v>
      </c>
      <c r="X44" s="8"/>
      <c r="Y44" s="10"/>
      <c r="Z44" s="10">
        <f t="shared" si="12"/>
        <v>0</v>
      </c>
      <c r="AA44" s="10">
        <f t="shared" si="13"/>
        <v>100</v>
      </c>
    </row>
    <row r="45" spans="1:27" ht="19.5">
      <c r="A45" s="29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>
        <v>100</v>
      </c>
      <c r="R45" s="8"/>
      <c r="S45" s="10"/>
      <c r="T45" s="10">
        <f>IF((P45-Q45)&lt;0,0,(P45-Q45))</f>
        <v>0</v>
      </c>
      <c r="U45" s="10">
        <f>IF((Q45-P45)&lt;0,0,(Q45-P45))</f>
        <v>100</v>
      </c>
      <c r="V45" s="10">
        <f>Table14[[#This Row],[Enrolment S.Y. 2025-2026 ]]*8</f>
        <v>0</v>
      </c>
      <c r="W45" s="10">
        <v>100</v>
      </c>
      <c r="X45" s="8"/>
      <c r="Y45" s="10"/>
      <c r="Z45" s="10">
        <f>IF((V45-W45)&lt;0,0,(V45-W45))</f>
        <v>0</v>
      </c>
      <c r="AA45" s="10">
        <f>IF((W45-V45)&lt;0,0,(W45-V45))</f>
        <v>100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>
        <v>100</v>
      </c>
      <c r="X46" s="8"/>
      <c r="Y46" s="10"/>
      <c r="Z46" s="10">
        <f t="shared" si="12"/>
        <v>0</v>
      </c>
      <c r="AA46" s="10">
        <f t="shared" si="13"/>
        <v>100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>
        <v>100</v>
      </c>
      <c r="R48" s="8"/>
      <c r="S48" s="10"/>
      <c r="T48" s="10">
        <f>IF((P48-Q48)&lt;0,0,(P48-Q48))</f>
        <v>0</v>
      </c>
      <c r="U48" s="10">
        <f>IF((Q48-P48)&lt;0,0,(Q48-P48))</f>
        <v>100</v>
      </c>
      <c r="V48" s="10">
        <f>Table14[[#This Row],[Enrolment S.Y. 2025-2026 ]]*8</f>
        <v>0</v>
      </c>
      <c r="W48" s="10">
        <v>100</v>
      </c>
      <c r="X48" s="8"/>
      <c r="Y48" s="10"/>
      <c r="Z48" s="10">
        <f>IF((V48-W48)&lt;0,0,(V48-W48))</f>
        <v>0</v>
      </c>
      <c r="AA48" s="10">
        <f>IF((W48-V48)&lt;0,0,(W48-V48))</f>
        <v>100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>
        <v>100</v>
      </c>
      <c r="R49" s="8"/>
      <c r="S49" s="10"/>
      <c r="T49" s="10">
        <f t="shared" si="10"/>
        <v>0</v>
      </c>
      <c r="U49" s="10">
        <f t="shared" si="11"/>
        <v>100</v>
      </c>
      <c r="V49" s="10">
        <f>Table14[[#This Row],[Enrolment S.Y. 2025-2026 ]]*8</f>
        <v>0</v>
      </c>
      <c r="W49" s="10">
        <v>100</v>
      </c>
      <c r="X49" s="8"/>
      <c r="Y49" s="10"/>
      <c r="Z49" s="10">
        <f t="shared" si="12"/>
        <v>0</v>
      </c>
      <c r="AA49" s="10">
        <f t="shared" si="13"/>
        <v>100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D15:F25 N3:R13 N15:R25 N27:R37 N39:R49 P2:R2 D27:F37 D51:F58 T3:X13 V2:X2 Z3:AA13 H3:L13 T15:X25 Z15:AA25 H15:L25 T27:X37 Z27:AA37 T39:X49 Z39:AA49 N51:R58 T51:X58 Z51:AA58 H51:L58 D39:F49 H39:L49 H27:L37 D2:F13" name="LAS"/>
    <protectedRange sqref="G2:I2 M2:O2 S2:U2 Y2:AA2 S51:S58 M39:M49 M27:M37 G15:G25 Y3:Y13 G3:G13 M3:M13 S3:S13 Y15:Y25 M15:M25 S15:S25 Y27:Y37 G27:G37 S27:S37 Y39:Y49 G39:G49 S39:S49 Y51:Y58 G51:G58 M51:M58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M27:M37 Y15:Y25 Y27:Y37 S27:S37 M51:M58 G27:G37 G39:G49 Y39:Y49 S39:S49 M39:M49 G15:G25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2026-04-14T01:07:06Z</dcterms:modified>
  <cp:category/>
  <cp:contentStatus/>
</cp:coreProperties>
</file>