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4" documentId="13_ncr:1_{BFB59F67-F0DC-4675-A682-EB0734A8026A}" xr6:coauthVersionLast="47" xr6:coauthVersionMax="47" xr10:uidLastSave="{DD734D30-0B3D-4325-9072-6510EC5FD3D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<sst xmlns="http://schemas.openxmlformats.org/spreadsheetml/2006/main" count="397" uniqueCount="92">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</sst>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8" activePane="topRight" state="frozen"/>
      <selection pane="topRight" activeCell="E56" sqref="E5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484</v>
      </c>
      <c r="E51" s="10">
        <v>2025</v>
      </c>
      <c r="F51" s="12" t="s">
        <v>20</v>
      </c>
      <c r="G51" s="3">
        <v>0</v>
      </c>
      <c r="H51" s="4">
        <f t="shared" ref="H51:H59" si="10">IF((D51-C51)&lt;0,0,D51-C51)</f>
        <v>484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ref="G51:G59" si="11">IF((C52-D52)&lt;0,0,C52-D52)</f>
        <v>0</v>
      </c>
      <c r="H52" s="4">
        <f t="shared" si="10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1"/>
        <v>0</v>
      </c>
      <c r="H53" s="4">
        <f t="shared" si="10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1"/>
        <v>0</v>
      </c>
      <c r="H54" s="4">
        <f t="shared" si="10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1"/>
        <v>0</v>
      </c>
      <c r="H55" s="4">
        <f t="shared" si="10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1"/>
        <v>0</v>
      </c>
      <c r="H56" s="4">
        <f t="shared" si="10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1"/>
        <v>0</v>
      </c>
      <c r="H57" s="4">
        <f t="shared" si="10"/>
        <v>0</v>
      </c>
    </row>
    <row r="58" spans="1:8" ht="27.75" customHeight="1">
      <c r="A58" s="10">
        <v>7</v>
      </c>
      <c r="B58" s="11" t="s">
        <v>22</v>
      </c>
      <c r="C58" s="10"/>
      <c r="D58" s="10">
        <v>484</v>
      </c>
      <c r="E58" s="10">
        <v>2025</v>
      </c>
      <c r="F58" s="12" t="s">
        <v>20</v>
      </c>
      <c r="G58" s="3">
        <f t="shared" si="11"/>
        <v>0</v>
      </c>
      <c r="H58" s="4">
        <f t="shared" si="10"/>
        <v>484</v>
      </c>
    </row>
    <row r="59" spans="1:8" ht="27.75" customHeight="1">
      <c r="A59" s="10">
        <v>7</v>
      </c>
      <c r="B59" s="11" t="s">
        <v>19</v>
      </c>
      <c r="C59" s="10"/>
      <c r="D59" s="10">
        <v>484</v>
      </c>
      <c r="E59" s="10">
        <v>2025</v>
      </c>
      <c r="F59" s="12" t="s">
        <v>20</v>
      </c>
      <c r="G59" s="3">
        <f t="shared" si="11"/>
        <v>0</v>
      </c>
      <c r="H59" s="4">
        <f t="shared" si="10"/>
        <v>484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444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444</v>
      </c>
    </row>
    <row r="64" spans="1:8" ht="27.75" customHeight="1">
      <c r="A64" s="10">
        <v>8</v>
      </c>
      <c r="B64" s="11" t="s">
        <v>21</v>
      </c>
      <c r="C64" s="10"/>
      <c r="D64" s="10">
        <v>444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444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0" zoomScale="70" zoomScaleNormal="70" workbookViewId="0">
      <selection activeCell="C71" sqref="C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I81" activePane="topRight" state="frozen"/>
      <selection pane="topRight" activeCell="K95" sqref="K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100</v>
      </c>
      <c r="X91" s="10"/>
      <c r="Y91" s="12"/>
      <c r="Z91" s="12">
        <f t="shared" si="18"/>
        <v>0</v>
      </c>
      <c r="AA91" s="12">
        <f t="shared" si="19"/>
        <v>100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700</v>
      </c>
      <c r="L92" s="10">
        <v>2025</v>
      </c>
      <c r="M92" s="12" t="s">
        <v>91</v>
      </c>
      <c r="N92" s="12">
        <f t="shared" si="20"/>
        <v>0</v>
      </c>
      <c r="O92" s="12">
        <f t="shared" si="21"/>
        <v>700</v>
      </c>
      <c r="P92" s="12">
        <f>Table14[[#This Row],[Enrolment S.Y. 2025-2026 ]]*8</f>
        <v>0</v>
      </c>
      <c r="Q92" s="12">
        <v>100</v>
      </c>
      <c r="R92" s="10"/>
      <c r="S92" s="12"/>
      <c r="T92" s="12">
        <f t="shared" si="16"/>
        <v>0</v>
      </c>
      <c r="U92" s="12">
        <f t="shared" si="17"/>
        <v>100</v>
      </c>
      <c r="V92" s="12">
        <f>Table14[[#This Row],[Enrolment S.Y. 2025-2026 ]]*8</f>
        <v>0</v>
      </c>
      <c r="W92" s="12">
        <v>100</v>
      </c>
      <c r="X92" s="10"/>
      <c r="Y92" s="12"/>
      <c r="Z92" s="12">
        <f t="shared" si="18"/>
        <v>0</v>
      </c>
      <c r="AA92" s="12">
        <f t="shared" si="19"/>
        <v>100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1000</v>
      </c>
      <c r="L93" s="10">
        <v>2025</v>
      </c>
      <c r="M93" s="12" t="s">
        <v>91</v>
      </c>
      <c r="N93" s="12">
        <f t="shared" si="20"/>
        <v>0</v>
      </c>
      <c r="O93" s="12">
        <f t="shared" si="21"/>
        <v>1000</v>
      </c>
      <c r="P93" s="12">
        <f>Table14[[#This Row],[Enrolment S.Y. 2025-2026 ]]*8</f>
        <v>0</v>
      </c>
      <c r="Q93" s="12">
        <v>100</v>
      </c>
      <c r="R93" s="10"/>
      <c r="S93" s="12"/>
      <c r="T93" s="12">
        <f t="shared" si="16"/>
        <v>0</v>
      </c>
      <c r="U93" s="12">
        <f t="shared" si="17"/>
        <v>100</v>
      </c>
      <c r="V93" s="12">
        <f>Table14[[#This Row],[Enrolment S.Y. 2025-2026 ]]*8</f>
        <v>0</v>
      </c>
      <c r="W93" s="12">
        <v>100</v>
      </c>
      <c r="X93" s="10"/>
      <c r="Y93" s="12"/>
      <c r="Z93" s="12">
        <f t="shared" si="18"/>
        <v>0</v>
      </c>
      <c r="AA93" s="12">
        <f t="shared" si="19"/>
        <v>100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100</v>
      </c>
      <c r="R94" s="10"/>
      <c r="S94" s="12"/>
      <c r="T94" s="12">
        <f t="shared" si="16"/>
        <v>0</v>
      </c>
      <c r="U94" s="12">
        <f t="shared" si="17"/>
        <v>100</v>
      </c>
      <c r="V94" s="12">
        <f>Table14[[#This Row],[Enrolment S.Y. 2025-2026 ]]*8</f>
        <v>0</v>
      </c>
      <c r="W94" s="12">
        <v>100</v>
      </c>
      <c r="X94" s="10"/>
      <c r="Y94" s="12"/>
      <c r="Z94" s="12">
        <f t="shared" si="18"/>
        <v>0</v>
      </c>
      <c r="AA94" s="12">
        <f t="shared" si="19"/>
        <v>100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>
        <v>100</v>
      </c>
      <c r="X95" s="10"/>
      <c r="Y95" s="12"/>
      <c r="Z95" s="12">
        <f t="shared" si="18"/>
        <v>0</v>
      </c>
      <c r="AA95" s="12">
        <f t="shared" si="19"/>
        <v>100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100</v>
      </c>
      <c r="R96" s="10"/>
      <c r="S96" s="12"/>
      <c r="T96" s="12">
        <f t="shared" si="16"/>
        <v>0</v>
      </c>
      <c r="U96" s="12">
        <f t="shared" si="17"/>
        <v>100</v>
      </c>
      <c r="V96" s="12">
        <f>Table14[[#This Row],[Enrolment S.Y. 2025-2026 ]]*8</f>
        <v>0</v>
      </c>
      <c r="W96" s="12">
        <v>100</v>
      </c>
      <c r="X96" s="10"/>
      <c r="Y96" s="12"/>
      <c r="Z96" s="12">
        <f t="shared" si="18"/>
        <v>0</v>
      </c>
      <c r="AA96" s="12">
        <f t="shared" si="19"/>
        <v>100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100</v>
      </c>
      <c r="X97" s="10"/>
      <c r="Y97" s="12"/>
      <c r="Z97" s="12">
        <f>IF((V97-W97)&lt;0,0,(V97-W97))</f>
        <v>0</v>
      </c>
      <c r="AA97" s="12">
        <f>IF((W97-V97)&lt;0,0,(W97-V97))</f>
        <v>100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100</v>
      </c>
      <c r="X98" s="10"/>
      <c r="Y98" s="12"/>
      <c r="Z98" s="12">
        <f t="shared" si="18"/>
        <v>0</v>
      </c>
      <c r="AA98" s="12">
        <f t="shared" si="19"/>
        <v>100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100</v>
      </c>
      <c r="R100" s="10"/>
      <c r="S100" s="12"/>
      <c r="T100" s="12">
        <f>IF((P100-Q100)&lt;0,0,(P100-Q100))</f>
        <v>0</v>
      </c>
      <c r="U100" s="12">
        <f>IF((Q100-P100)&lt;0,0,(Q100-P100))</f>
        <v>100</v>
      </c>
      <c r="V100" s="12">
        <f>Table14[[#This Row],[Enrolment S.Y. 2025-2026 ]]*8</f>
        <v>0</v>
      </c>
      <c r="W100" s="12">
        <v>100</v>
      </c>
      <c r="X100" s="10"/>
      <c r="Y100" s="12"/>
      <c r="Z100" s="12">
        <f>IF((V100-W100)&lt;0,0,(V100-W100))</f>
        <v>0</v>
      </c>
      <c r="AA100" s="12">
        <f>IF((W100-V100)&lt;0,0,(W100-V100))</f>
        <v>100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100</v>
      </c>
      <c r="R101" s="10"/>
      <c r="S101" s="12"/>
      <c r="T101" s="12">
        <f t="shared" si="16"/>
        <v>0</v>
      </c>
      <c r="U101" s="12">
        <f t="shared" si="17"/>
        <v>100</v>
      </c>
      <c r="V101" s="12">
        <f>Table14[[#This Row],[Enrolment S.Y. 2025-2026 ]]*8</f>
        <v>0</v>
      </c>
      <c r="W101" s="12">
        <v>100</v>
      </c>
      <c r="X101" s="10"/>
      <c r="Y101" s="12"/>
      <c r="Z101" s="12">
        <f t="shared" si="18"/>
        <v>0</v>
      </c>
      <c r="AA101" s="12">
        <f t="shared" si="19"/>
        <v>100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800</v>
      </c>
      <c r="L103" s="10">
        <v>2025</v>
      </c>
      <c r="M103" s="12" t="s">
        <v>91</v>
      </c>
      <c r="N103" s="12">
        <f t="shared" si="20"/>
        <v>0</v>
      </c>
      <c r="O103" s="12">
        <f t="shared" si="21"/>
        <v>800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100</v>
      </c>
      <c r="X103" s="10"/>
      <c r="Y103" s="12"/>
      <c r="Z103" s="12">
        <f t="shared" si="18"/>
        <v>0</v>
      </c>
      <c r="AA103" s="12">
        <f t="shared" si="19"/>
        <v>100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100</v>
      </c>
      <c r="R104" s="10"/>
      <c r="S104" s="12"/>
      <c r="T104" s="12">
        <f t="shared" si="16"/>
        <v>0</v>
      </c>
      <c r="U104" s="12">
        <f t="shared" si="17"/>
        <v>100</v>
      </c>
      <c r="V104" s="12">
        <f>Table14[[#This Row],[Enrolment S.Y. 2025-2026 ]]*8</f>
        <v>0</v>
      </c>
      <c r="W104" s="12">
        <v>100</v>
      </c>
      <c r="X104" s="10"/>
      <c r="Y104" s="12"/>
      <c r="Z104" s="12">
        <f t="shared" si="18"/>
        <v>0</v>
      </c>
      <c r="AA104" s="12">
        <f t="shared" si="19"/>
        <v>100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800</v>
      </c>
      <c r="L105" s="10">
        <v>2025</v>
      </c>
      <c r="M105" s="12" t="s">
        <v>91</v>
      </c>
      <c r="N105" s="12">
        <f t="shared" si="20"/>
        <v>0</v>
      </c>
      <c r="O105" s="12">
        <f t="shared" si="21"/>
        <v>800</v>
      </c>
      <c r="P105" s="12">
        <f>Table14[[#This Row],[Enrolment S.Y. 2025-2026 ]]*8</f>
        <v>0</v>
      </c>
      <c r="Q105" s="12">
        <v>100</v>
      </c>
      <c r="R105" s="10"/>
      <c r="S105" s="12"/>
      <c r="T105" s="12">
        <f t="shared" si="16"/>
        <v>0</v>
      </c>
      <c r="U105" s="12">
        <f t="shared" si="17"/>
        <v>100</v>
      </c>
      <c r="V105" s="12">
        <f>Table14[[#This Row],[Enrolment S.Y. 2025-2026 ]]*8</f>
        <v>0</v>
      </c>
      <c r="W105" s="12">
        <v>100</v>
      </c>
      <c r="X105" s="10"/>
      <c r="Y105" s="12"/>
      <c r="Z105" s="12">
        <f t="shared" si="18"/>
        <v>0</v>
      </c>
      <c r="AA105" s="12">
        <f t="shared" si="19"/>
        <v>100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100</v>
      </c>
      <c r="R106" s="10"/>
      <c r="S106" s="12"/>
      <c r="T106" s="12">
        <f t="shared" si="16"/>
        <v>0</v>
      </c>
      <c r="U106" s="12">
        <f t="shared" si="17"/>
        <v>100</v>
      </c>
      <c r="V106" s="12">
        <f>Table14[[#This Row],[Enrolment S.Y. 2025-2026 ]]*8</f>
        <v>0</v>
      </c>
      <c r="W106" s="12">
        <v>100</v>
      </c>
      <c r="X106" s="10"/>
      <c r="Y106" s="12"/>
      <c r="Z106" s="12">
        <f t="shared" si="18"/>
        <v>0</v>
      </c>
      <c r="AA106" s="12">
        <f t="shared" si="19"/>
        <v>100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100</v>
      </c>
      <c r="R107" s="10"/>
      <c r="S107" s="12"/>
      <c r="T107" s="12">
        <f t="shared" si="16"/>
        <v>0</v>
      </c>
      <c r="U107" s="12">
        <f t="shared" si="17"/>
        <v>100</v>
      </c>
      <c r="V107" s="12">
        <f>Table14[[#This Row],[Enrolment S.Y. 2025-2026 ]]*8</f>
        <v>0</v>
      </c>
      <c r="W107" s="12">
        <v>100</v>
      </c>
      <c r="X107" s="10"/>
      <c r="Y107" s="12"/>
      <c r="Z107" s="12">
        <f t="shared" si="18"/>
        <v>0</v>
      </c>
      <c r="AA107" s="12">
        <f t="shared" si="19"/>
        <v>100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100</v>
      </c>
      <c r="R108" s="10"/>
      <c r="S108" s="12"/>
      <c r="T108" s="12">
        <f t="shared" si="16"/>
        <v>0</v>
      </c>
      <c r="U108" s="12">
        <f t="shared" si="17"/>
        <v>100</v>
      </c>
      <c r="V108" s="12">
        <f>Table14[[#This Row],[Enrolment S.Y. 2025-2026 ]]*8</f>
        <v>0</v>
      </c>
      <c r="W108" s="12">
        <v>100</v>
      </c>
      <c r="X108" s="10"/>
      <c r="Y108" s="12"/>
      <c r="Z108" s="12">
        <f t="shared" si="18"/>
        <v>0</v>
      </c>
      <c r="AA108" s="12">
        <f t="shared" si="19"/>
        <v>100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100</v>
      </c>
      <c r="R109" s="10"/>
      <c r="S109" s="12"/>
      <c r="T109" s="12">
        <f>IF((P109-Q109)&lt;0,0,(P109-Q109))</f>
        <v>0</v>
      </c>
      <c r="U109" s="12">
        <f>IF((Q109-P109)&lt;0,0,(Q109-P109))</f>
        <v>100</v>
      </c>
      <c r="V109" s="12">
        <f>Table14[[#This Row],[Enrolment S.Y. 2025-2026 ]]*8</f>
        <v>0</v>
      </c>
      <c r="W109" s="12">
        <v>100</v>
      </c>
      <c r="X109" s="10"/>
      <c r="Y109" s="12"/>
      <c r="Z109" s="12">
        <f>IF((V109-W109)&lt;0,0,(V109-W109))</f>
        <v>0</v>
      </c>
      <c r="AA109" s="12">
        <f>IF((W109-V109)&lt;0,0,(W109-V109))</f>
        <v>100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>
        <v>100</v>
      </c>
      <c r="X110" s="10"/>
      <c r="Y110" s="12"/>
      <c r="Z110" s="12">
        <f t="shared" si="18"/>
        <v>0</v>
      </c>
      <c r="AA110" s="12">
        <f t="shared" si="19"/>
        <v>100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100</v>
      </c>
      <c r="R112" s="10"/>
      <c r="S112" s="12"/>
      <c r="T112" s="12">
        <f>IF((P112-Q112)&lt;0,0,(P112-Q112))</f>
        <v>0</v>
      </c>
      <c r="U112" s="12">
        <f>IF((Q112-P112)&lt;0,0,(Q112-P112))</f>
        <v>100</v>
      </c>
      <c r="V112" s="12">
        <f>Table14[[#This Row],[Enrolment S.Y. 2025-2026 ]]*8</f>
        <v>0</v>
      </c>
      <c r="W112" s="12">
        <v>100</v>
      </c>
      <c r="X112" s="10"/>
      <c r="Y112" s="12"/>
      <c r="Z112" s="12">
        <f>IF((V112-W112)&lt;0,0,(V112-W112))</f>
        <v>0</v>
      </c>
      <c r="AA112" s="12">
        <f>IF((W112-V112)&lt;0,0,(W112-V112))</f>
        <v>100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100</v>
      </c>
      <c r="R113" s="10"/>
      <c r="S113" s="12"/>
      <c r="T113" s="12">
        <f t="shared" si="16"/>
        <v>0</v>
      </c>
      <c r="U113" s="12">
        <f t="shared" si="17"/>
        <v>100</v>
      </c>
      <c r="V113" s="12">
        <f>Table14[[#This Row],[Enrolment S.Y. 2025-2026 ]]*8</f>
        <v>0</v>
      </c>
      <c r="W113" s="12">
        <v>100</v>
      </c>
      <c r="X113" s="10"/>
      <c r="Y113" s="12"/>
      <c r="Z113" s="12">
        <f t="shared" si="18"/>
        <v>0</v>
      </c>
      <c r="AA113" s="12">
        <f t="shared" si="19"/>
        <v>100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T103:X113 Z103:AA113 N115:R122 T115:X122 Z115:AA122 H115:L122 D103:F113 N31:R41 N43:R53 N55:R65 N67:R77 N79:R89 N91:R101 N103:R113 H103:L113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S91:S101 Y103:Y113 G103:G113 S103:S113 Y115:Y122 G115:G122 M115:M122 S115:S122 M103:M113 M91:M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15:M122 G91:G101 G103:G113 Y103:Y113 S103:S113 M103:M113 M91:M101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F103:F113 L103:L113 L12:L19 L3:L10 R21:R29 R31:R41 R43:R53 R67:R77 R79:R89 R55:R65 R91:R101 R103:R113 R12:R19 R3:R10 F21:F29 F31:F41 F43:F53 F67:F77 F79:F89 F55:F65 F3:F10 F91:F101 X115:X122 F12:F19 F115:F122 R115:R122 L115:L122 L91:L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2026-02-04T06:30:27Z</dcterms:modified>
  <cp:category/>
  <cp:contentStatus/>
</cp:coreProperties>
</file>