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4" documentId="13_ncr:1_{BFB59F67-F0DC-4675-A682-EB0734A8026A}" xr6:coauthVersionLast="47" xr6:coauthVersionMax="47" xr10:uidLastSave="{C4884622-78A6-4A28-A188-5A4CF7B6124B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" i="1" l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<sst xmlns="http://schemas.openxmlformats.org/spreadsheetml/2006/main" count="240" uniqueCount="85">
  <si>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</si>
  <si>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</si>
  <si>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</si>
  <si>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</si>
  <si>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</si>
  <si>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</si>
  <si>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</si>
  <si>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</si>
  <si>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</si>
  <si>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</si>
  <si>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</si>
  <si>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</si>
  <si>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</si>
  <si>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</si>
  <si>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</si>
  <si>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</si>
  <si>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</si>
  <si>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</si>
  <si>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 (11)</t>
  </si>
  <si>
    <t>Personal Development</t>
  </si>
  <si>
    <t>CO</t>
  </si>
  <si>
    <t>HOPE 1 and 2</t>
  </si>
  <si>
    <t>SHS (12)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</si>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</sst>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B11" sqref="B11"/>
    </sheetView>
  </sheetViews>
  <sheetFormatPr defaultRowHeight="13.9"/>
  <cols>
    <col min="1" max="1" width="17.28515625" customWidth="1"/>
    <col min="2" max="2" width="56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19.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>
        <v>205</v>
      </c>
      <c r="D42" s="1">
        <v>330</v>
      </c>
      <c r="E42" s="1">
        <v>2024</v>
      </c>
      <c r="F42" s="4" t="s">
        <v>20</v>
      </c>
      <c r="G42" s="2">
        <f t="shared" ref="G42:G49" si="8">IF((C42-D42)&lt;0,0,C42-D42)</f>
        <v>0</v>
      </c>
      <c r="H42" s="3">
        <f t="shared" ref="H42:H49" si="9">IF((D42-C42)&lt;0,0,D42-C42)</f>
        <v>125</v>
      </c>
    </row>
    <row r="43" spans="1:8" ht="27.75" customHeight="1">
      <c r="A43" s="1" t="s">
        <v>18</v>
      </c>
      <c r="B43" s="7" t="s">
        <v>21</v>
      </c>
      <c r="C43" s="1">
        <v>205</v>
      </c>
      <c r="D43" s="1"/>
      <c r="E43" s="1"/>
      <c r="F43" s="4"/>
      <c r="G43" s="2">
        <f t="shared" si="8"/>
        <v>205</v>
      </c>
      <c r="H43" s="3">
        <f t="shared" si="9"/>
        <v>0</v>
      </c>
    </row>
    <row r="44" spans="1:8" ht="27.75" customHeight="1">
      <c r="A44" s="1" t="s">
        <v>22</v>
      </c>
      <c r="B44" s="7" t="s">
        <v>23</v>
      </c>
      <c r="C44" s="1">
        <v>227</v>
      </c>
      <c r="D44" s="1">
        <v>330</v>
      </c>
      <c r="E44" s="1">
        <v>2024</v>
      </c>
      <c r="F44" s="4" t="s">
        <v>20</v>
      </c>
      <c r="G44" s="2">
        <f t="shared" si="8"/>
        <v>0</v>
      </c>
      <c r="H44" s="3">
        <f t="shared" si="9"/>
        <v>103</v>
      </c>
    </row>
    <row r="45" spans="1:8" ht="36.75" customHeight="1">
      <c r="A45" s="1" t="s">
        <v>18</v>
      </c>
      <c r="B45" s="7" t="s">
        <v>24</v>
      </c>
      <c r="C45" s="1">
        <v>205</v>
      </c>
      <c r="D45" s="1">
        <v>330</v>
      </c>
      <c r="E45" s="1">
        <v>2025</v>
      </c>
      <c r="F45" s="4" t="s">
        <v>20</v>
      </c>
      <c r="G45" s="2">
        <f t="shared" si="8"/>
        <v>0</v>
      </c>
      <c r="H45" s="3">
        <f t="shared" si="9"/>
        <v>125</v>
      </c>
    </row>
    <row r="46" spans="1:8" ht="27.75" customHeight="1">
      <c r="A46" s="1" t="s">
        <v>22</v>
      </c>
      <c r="B46" s="7" t="s">
        <v>25</v>
      </c>
      <c r="C46" s="1">
        <v>227</v>
      </c>
      <c r="D46" s="1"/>
      <c r="E46" s="1"/>
      <c r="F46" s="4"/>
      <c r="G46" s="2">
        <f t="shared" si="8"/>
        <v>227</v>
      </c>
      <c r="H46" s="3">
        <f t="shared" si="9"/>
        <v>0</v>
      </c>
    </row>
    <row r="47" spans="1:8" ht="27.75" customHeight="1">
      <c r="A47" s="1" t="s">
        <v>18</v>
      </c>
      <c r="B47" s="7" t="s">
        <v>26</v>
      </c>
      <c r="C47" s="1">
        <v>205</v>
      </c>
      <c r="D47" s="1">
        <v>330</v>
      </c>
      <c r="E47" s="1">
        <v>2025</v>
      </c>
      <c r="F47" s="4" t="s">
        <v>20</v>
      </c>
      <c r="G47" s="2">
        <f t="shared" si="8"/>
        <v>0</v>
      </c>
      <c r="H47" s="3">
        <f t="shared" si="9"/>
        <v>125</v>
      </c>
    </row>
    <row r="48" spans="1:8" ht="27.75" customHeight="1">
      <c r="A48" s="1" t="s">
        <v>22</v>
      </c>
      <c r="B48" s="7" t="s">
        <v>27</v>
      </c>
      <c r="C48" s="1">
        <v>227</v>
      </c>
      <c r="D48" s="1">
        <v>330</v>
      </c>
      <c r="E48" s="1">
        <v>2025</v>
      </c>
      <c r="F48" s="4" t="s">
        <v>20</v>
      </c>
      <c r="G48" s="2">
        <f t="shared" si="8"/>
        <v>0</v>
      </c>
      <c r="H48" s="3">
        <f t="shared" si="9"/>
        <v>103</v>
      </c>
    </row>
    <row r="49" spans="1:8" ht="27.75" customHeight="1">
      <c r="A49" s="1" t="s">
        <v>18</v>
      </c>
      <c r="B49" s="7" t="s">
        <v>28</v>
      </c>
      <c r="C49" s="1">
        <v>205</v>
      </c>
      <c r="D49" s="1">
        <v>330</v>
      </c>
      <c r="E49" s="1">
        <v>2025</v>
      </c>
      <c r="F49" s="4" t="s">
        <v>20</v>
      </c>
      <c r="G49" s="2">
        <f t="shared" si="8"/>
        <v>0</v>
      </c>
      <c r="H49" s="3">
        <f t="shared" si="9"/>
        <v>125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27" customHeight="1"/>
    <row r="92" ht="27" customHeight="1"/>
    <row r="93" ht="27" customHeight="1"/>
    <row r="94" ht="27" customHeight="1"/>
    <row r="95" ht="27" customHeight="1"/>
    <row r="96" ht="27" customHeight="1"/>
    <row r="97" ht="27" customHeight="1"/>
    <row r="98" ht="27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ySplit="2" topLeftCell="A3" activePane="bottomLeft" state="frozen"/>
      <selection pane="bottomLeft" activeCell="AC68" sqref="AC68:AD74"/>
    </sheetView>
  </sheetViews>
  <sheetFormatPr defaultRowHeight="13.9"/>
  <cols>
    <col min="1" max="1" width="19.28515625" customWidth="1"/>
    <col min="2" max="2" width="49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29</v>
      </c>
      <c r="E1" s="32"/>
      <c r="F1" s="32"/>
      <c r="G1" s="32"/>
      <c r="H1" s="32"/>
      <c r="I1" s="32"/>
      <c r="J1" s="33" t="s">
        <v>30</v>
      </c>
      <c r="K1" s="33"/>
      <c r="L1" s="33"/>
      <c r="M1" s="33"/>
      <c r="N1" s="33"/>
      <c r="O1" s="33"/>
      <c r="P1" s="34" t="s">
        <v>31</v>
      </c>
      <c r="Q1" s="34"/>
      <c r="R1" s="34"/>
      <c r="S1" s="34"/>
      <c r="T1" s="34"/>
      <c r="U1" s="34"/>
      <c r="V1" s="35" t="s">
        <v>32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33</v>
      </c>
      <c r="E2" s="18" t="s">
        <v>34</v>
      </c>
      <c r="F2" s="19" t="s">
        <v>35</v>
      </c>
      <c r="G2" s="22" t="s">
        <v>36</v>
      </c>
      <c r="H2" s="15" t="s">
        <v>37</v>
      </c>
      <c r="I2" s="22" t="s">
        <v>38</v>
      </c>
      <c r="J2" s="20" t="s">
        <v>39</v>
      </c>
      <c r="K2" s="20" t="s">
        <v>40</v>
      </c>
      <c r="L2" s="21" t="s">
        <v>41</v>
      </c>
      <c r="M2" s="30" t="s">
        <v>42</v>
      </c>
      <c r="N2" s="30" t="s">
        <v>43</v>
      </c>
      <c r="O2" s="20" t="s">
        <v>44</v>
      </c>
      <c r="P2" s="22" t="s">
        <v>45</v>
      </c>
      <c r="Q2" s="22" t="s">
        <v>46</v>
      </c>
      <c r="R2" s="23" t="s">
        <v>47</v>
      </c>
      <c r="S2" s="15" t="s">
        <v>48</v>
      </c>
      <c r="T2" s="15" t="s">
        <v>49</v>
      </c>
      <c r="U2" s="22" t="s">
        <v>50</v>
      </c>
      <c r="V2" s="24" t="s">
        <v>51</v>
      </c>
      <c r="W2" s="24" t="s">
        <v>52</v>
      </c>
      <c r="X2" s="25" t="s">
        <v>53</v>
      </c>
      <c r="Y2" s="31" t="s">
        <v>54</v>
      </c>
      <c r="Z2" s="31" t="s">
        <v>55</v>
      </c>
      <c r="AA2" s="24" t="s">
        <v>56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19.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5"/>
      <c r="T12" s="5"/>
      <c r="U12" s="5"/>
      <c r="V12" s="5"/>
      <c r="W12" s="5"/>
      <c r="X12" s="5"/>
      <c r="Y12" s="5"/>
      <c r="Z12" s="5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U22" s="11"/>
      <c r="V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U32" s="11"/>
      <c r="V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AA42" s="11"/>
    </row>
    <row r="43" spans="1:27" ht="19.5">
      <c r="A43" s="1" t="s">
        <v>18</v>
      </c>
      <c r="B43" s="7" t="s">
        <v>19</v>
      </c>
      <c r="C43" s="1">
        <v>205</v>
      </c>
      <c r="D43" s="4">
        <f>Table1[[#This Row],[Enrolment S.Y. 2025-2026 ]]*8</f>
        <v>1640</v>
      </c>
      <c r="E43" s="4"/>
      <c r="F43" s="1"/>
      <c r="G43" s="4"/>
      <c r="H43" s="4">
        <f t="shared" si="14"/>
        <v>1640</v>
      </c>
      <c r="I43" s="4">
        <f t="shared" si="15"/>
        <v>0</v>
      </c>
      <c r="J43" s="4">
        <f>Table1[[#This Row],[Enrolment S.Y. 2025-2026 ]]*8</f>
        <v>1640</v>
      </c>
      <c r="K43" s="4"/>
      <c r="L43" s="1"/>
      <c r="M43" s="4"/>
      <c r="N43" s="4">
        <f t="shared" si="8"/>
        <v>1640</v>
      </c>
      <c r="O43" s="4">
        <f t="shared" si="9"/>
        <v>0</v>
      </c>
      <c r="P43" s="4">
        <f>Table1[[#This Row],[Enrolment S.Y. 2025-2026 ]]*8</f>
        <v>1640</v>
      </c>
      <c r="Q43" s="4"/>
      <c r="R43" s="1"/>
      <c r="S43" s="4"/>
      <c r="T43" s="4">
        <f t="shared" si="10"/>
        <v>1640</v>
      </c>
      <c r="U43" s="4">
        <f t="shared" si="11"/>
        <v>0</v>
      </c>
      <c r="V43" s="4">
        <f>Table1[[#This Row],[Enrolment S.Y. 2025-2026 ]]*8</f>
        <v>1640</v>
      </c>
      <c r="W43" s="4"/>
      <c r="X43" s="1"/>
      <c r="Y43" s="4"/>
      <c r="Z43" s="4">
        <f t="shared" si="12"/>
        <v>1640</v>
      </c>
      <c r="AA43" s="4">
        <f t="shared" si="13"/>
        <v>0</v>
      </c>
    </row>
    <row r="44" spans="1:27" ht="19.5">
      <c r="A44" s="1" t="s">
        <v>18</v>
      </c>
      <c r="B44" s="7" t="s">
        <v>21</v>
      </c>
      <c r="C44" s="1">
        <v>205</v>
      </c>
      <c r="D44" s="4">
        <f>Table1[[#This Row],[Enrolment S.Y. 2025-2026 ]]*8</f>
        <v>1640</v>
      </c>
      <c r="E44" s="4"/>
      <c r="F44" s="1"/>
      <c r="G44" s="4"/>
      <c r="H44" s="4">
        <f t="shared" si="14"/>
        <v>1640</v>
      </c>
      <c r="I44" s="4">
        <f t="shared" si="15"/>
        <v>0</v>
      </c>
      <c r="J44" s="4">
        <f>Table1[[#This Row],[Enrolment S.Y. 2025-2026 ]]*8</f>
        <v>1640</v>
      </c>
      <c r="K44" s="4"/>
      <c r="L44" s="1"/>
      <c r="M44" s="4"/>
      <c r="N44" s="4">
        <f t="shared" si="8"/>
        <v>1640</v>
      </c>
      <c r="O44" s="4">
        <f t="shared" si="9"/>
        <v>0</v>
      </c>
      <c r="P44" s="4">
        <f>Table1[[#This Row],[Enrolment S.Y. 2025-2026 ]]*8</f>
        <v>1640</v>
      </c>
      <c r="Q44" s="4"/>
      <c r="R44" s="1"/>
      <c r="S44" s="4"/>
      <c r="T44" s="4">
        <f t="shared" si="10"/>
        <v>1640</v>
      </c>
      <c r="U44" s="4">
        <f t="shared" si="11"/>
        <v>0</v>
      </c>
      <c r="V44" s="4">
        <f>Table1[[#This Row],[Enrolment S.Y. 2025-2026 ]]*8</f>
        <v>1640</v>
      </c>
      <c r="W44" s="4"/>
      <c r="X44" s="1"/>
      <c r="Y44" s="4"/>
      <c r="Z44" s="4">
        <f t="shared" si="12"/>
        <v>1640</v>
      </c>
      <c r="AA44" s="4">
        <f t="shared" si="13"/>
        <v>0</v>
      </c>
    </row>
    <row r="45" spans="1:27" ht="19.5">
      <c r="A45" s="1" t="s">
        <v>22</v>
      </c>
      <c r="B45" s="7" t="s">
        <v>23</v>
      </c>
      <c r="C45" s="1">
        <v>227</v>
      </c>
      <c r="D45" s="4">
        <f>Table1[[#This Row],[Enrolment S.Y. 2025-2026 ]]*8</f>
        <v>1816</v>
      </c>
      <c r="E45" s="4"/>
      <c r="F45" s="1"/>
      <c r="G45" s="4"/>
      <c r="H45" s="4">
        <f t="shared" si="14"/>
        <v>1816</v>
      </c>
      <c r="I45" s="4">
        <f t="shared" si="15"/>
        <v>0</v>
      </c>
      <c r="J45" s="4">
        <f>Table1[[#This Row],[Enrolment S.Y. 2025-2026 ]]*8</f>
        <v>1816</v>
      </c>
      <c r="K45" s="4"/>
      <c r="L45" s="1"/>
      <c r="M45" s="4"/>
      <c r="N45" s="4">
        <f t="shared" si="8"/>
        <v>1816</v>
      </c>
      <c r="O45" s="4">
        <f t="shared" si="9"/>
        <v>0</v>
      </c>
      <c r="P45" s="4">
        <f>Table1[[#This Row],[Enrolment S.Y. 2025-2026 ]]*8</f>
        <v>1816</v>
      </c>
      <c r="Q45" s="4"/>
      <c r="R45" s="1"/>
      <c r="S45" s="4"/>
      <c r="T45" s="4">
        <f t="shared" si="10"/>
        <v>1816</v>
      </c>
      <c r="U45" s="4">
        <f t="shared" si="11"/>
        <v>0</v>
      </c>
      <c r="V45" s="4">
        <f>Table1[[#This Row],[Enrolment S.Y. 2025-2026 ]]*8</f>
        <v>1816</v>
      </c>
      <c r="W45" s="4"/>
      <c r="X45" s="1"/>
      <c r="Y45" s="4"/>
      <c r="Z45" s="4">
        <f t="shared" si="12"/>
        <v>1816</v>
      </c>
      <c r="AA45" s="4">
        <f t="shared" si="13"/>
        <v>0</v>
      </c>
    </row>
    <row r="46" spans="1:27" ht="19.5">
      <c r="A46" s="1" t="s">
        <v>18</v>
      </c>
      <c r="B46" s="7" t="s">
        <v>24</v>
      </c>
      <c r="C46" s="1">
        <v>205</v>
      </c>
      <c r="D46" s="4">
        <f>Table1[[#This Row],[Enrolment S.Y. 2025-2026 ]]*8</f>
        <v>1640</v>
      </c>
      <c r="E46" s="4"/>
      <c r="F46" s="1"/>
      <c r="G46" s="4"/>
      <c r="H46" s="4">
        <f t="shared" si="14"/>
        <v>1640</v>
      </c>
      <c r="I46" s="4">
        <f t="shared" si="15"/>
        <v>0</v>
      </c>
      <c r="J46" s="4">
        <f>Table1[[#This Row],[Enrolment S.Y. 2025-2026 ]]*8</f>
        <v>1640</v>
      </c>
      <c r="K46" s="4"/>
      <c r="L46" s="1"/>
      <c r="M46" s="4"/>
      <c r="N46" s="4">
        <f t="shared" si="8"/>
        <v>1640</v>
      </c>
      <c r="O46" s="4">
        <f t="shared" si="9"/>
        <v>0</v>
      </c>
      <c r="P46" s="4">
        <f>Table1[[#This Row],[Enrolment S.Y. 2025-2026 ]]*8</f>
        <v>1640</v>
      </c>
      <c r="Q46" s="4"/>
      <c r="R46" s="1"/>
      <c r="S46" s="4"/>
      <c r="T46" s="4">
        <f t="shared" si="10"/>
        <v>1640</v>
      </c>
      <c r="U46" s="4">
        <f t="shared" si="11"/>
        <v>0</v>
      </c>
      <c r="V46" s="4">
        <f>Table1[[#This Row],[Enrolment S.Y. 2025-2026 ]]*8</f>
        <v>1640</v>
      </c>
      <c r="W46" s="4"/>
      <c r="X46" s="1"/>
      <c r="Y46" s="4"/>
      <c r="Z46" s="4">
        <f t="shared" si="12"/>
        <v>1640</v>
      </c>
      <c r="AA46" s="4">
        <f t="shared" si="13"/>
        <v>0</v>
      </c>
    </row>
    <row r="47" spans="1:27" ht="19.5">
      <c r="A47" s="1" t="s">
        <v>22</v>
      </c>
      <c r="B47" s="7" t="s">
        <v>25</v>
      </c>
      <c r="C47" s="1">
        <v>227</v>
      </c>
      <c r="D47" s="4">
        <f>Table1[[#This Row],[Enrolment S.Y. 2025-2026 ]]*8</f>
        <v>1816</v>
      </c>
      <c r="E47" s="4"/>
      <c r="F47" s="1"/>
      <c r="G47" s="4"/>
      <c r="H47" s="4">
        <f t="shared" si="14"/>
        <v>1816</v>
      </c>
      <c r="I47" s="4">
        <f t="shared" si="15"/>
        <v>0</v>
      </c>
      <c r="J47" s="4">
        <f>Table1[[#This Row],[Enrolment S.Y. 2025-2026 ]]*8</f>
        <v>1816</v>
      </c>
      <c r="K47" s="4"/>
      <c r="L47" s="1"/>
      <c r="M47" s="4"/>
      <c r="N47" s="4">
        <f t="shared" si="8"/>
        <v>1816</v>
      </c>
      <c r="O47" s="4">
        <f t="shared" si="9"/>
        <v>0</v>
      </c>
      <c r="P47" s="4">
        <f>Table1[[#This Row],[Enrolment S.Y. 2025-2026 ]]*8</f>
        <v>1816</v>
      </c>
      <c r="Q47" s="4"/>
      <c r="R47" s="1"/>
      <c r="S47" s="4"/>
      <c r="T47" s="4">
        <f t="shared" si="10"/>
        <v>1816</v>
      </c>
      <c r="U47" s="4">
        <f t="shared" si="11"/>
        <v>0</v>
      </c>
      <c r="V47" s="4">
        <f>Table1[[#This Row],[Enrolment S.Y. 2025-2026 ]]*8</f>
        <v>1816</v>
      </c>
      <c r="W47" s="4"/>
      <c r="X47" s="1"/>
      <c r="Y47" s="4"/>
      <c r="Z47" s="4">
        <f t="shared" si="12"/>
        <v>1816</v>
      </c>
      <c r="AA47" s="4">
        <f t="shared" si="13"/>
        <v>0</v>
      </c>
    </row>
    <row r="48" spans="1:27" ht="19.5">
      <c r="A48" s="1" t="s">
        <v>18</v>
      </c>
      <c r="B48" s="7" t="s">
        <v>26</v>
      </c>
      <c r="C48" s="1">
        <v>205</v>
      </c>
      <c r="D48" s="4">
        <f>Table1[[#This Row],[Enrolment S.Y. 2025-2026 ]]*8</f>
        <v>1640</v>
      </c>
      <c r="E48" s="4"/>
      <c r="F48" s="1"/>
      <c r="G48" s="4"/>
      <c r="H48" s="4">
        <f t="shared" si="14"/>
        <v>1640</v>
      </c>
      <c r="I48" s="4">
        <f t="shared" si="15"/>
        <v>0</v>
      </c>
      <c r="J48" s="4">
        <f>Table1[[#This Row],[Enrolment S.Y. 2025-2026 ]]*8</f>
        <v>1640</v>
      </c>
      <c r="K48" s="4"/>
      <c r="L48" s="1"/>
      <c r="M48" s="4"/>
      <c r="N48" s="4">
        <f t="shared" si="8"/>
        <v>1640</v>
      </c>
      <c r="O48" s="4">
        <f t="shared" si="9"/>
        <v>0</v>
      </c>
      <c r="P48" s="4">
        <f>Table1[[#This Row],[Enrolment S.Y. 2025-2026 ]]*8</f>
        <v>1640</v>
      </c>
      <c r="Q48" s="4"/>
      <c r="R48" s="1"/>
      <c r="S48" s="4"/>
      <c r="T48" s="4">
        <f t="shared" si="10"/>
        <v>1640</v>
      </c>
      <c r="U48" s="4">
        <f t="shared" si="11"/>
        <v>0</v>
      </c>
      <c r="V48" s="4">
        <f>Table1[[#This Row],[Enrolment S.Y. 2025-2026 ]]*8</f>
        <v>1640</v>
      </c>
      <c r="W48" s="4"/>
      <c r="X48" s="1"/>
      <c r="Y48" s="4"/>
      <c r="Z48" s="4">
        <f t="shared" si="12"/>
        <v>1640</v>
      </c>
      <c r="AA48" s="4">
        <f t="shared" si="13"/>
        <v>0</v>
      </c>
    </row>
    <row r="49" spans="1:27" ht="19.5">
      <c r="A49" s="1" t="s">
        <v>22</v>
      </c>
      <c r="B49" s="7" t="s">
        <v>27</v>
      </c>
      <c r="C49" s="1">
        <v>227</v>
      </c>
      <c r="D49" s="4">
        <f>Table1[[#This Row],[Enrolment S.Y. 2025-2026 ]]*8</f>
        <v>1816</v>
      </c>
      <c r="E49" s="4"/>
      <c r="F49" s="1"/>
      <c r="G49" s="4"/>
      <c r="H49" s="4">
        <f t="shared" si="14"/>
        <v>1816</v>
      </c>
      <c r="I49" s="4">
        <f t="shared" si="15"/>
        <v>0</v>
      </c>
      <c r="J49" s="4">
        <f>Table1[[#This Row],[Enrolment S.Y. 2025-2026 ]]*8</f>
        <v>1816</v>
      </c>
      <c r="K49" s="4"/>
      <c r="L49" s="1"/>
      <c r="M49" s="4"/>
      <c r="N49" s="4">
        <f t="shared" si="8"/>
        <v>1816</v>
      </c>
      <c r="O49" s="4">
        <f t="shared" si="9"/>
        <v>0</v>
      </c>
      <c r="P49" s="4">
        <f>Table1[[#This Row],[Enrolment S.Y. 2025-2026 ]]*8</f>
        <v>1816</v>
      </c>
      <c r="Q49" s="4"/>
      <c r="R49" s="1"/>
      <c r="S49" s="4"/>
      <c r="T49" s="4">
        <f t="shared" si="10"/>
        <v>1816</v>
      </c>
      <c r="U49" s="4">
        <f t="shared" si="11"/>
        <v>0</v>
      </c>
      <c r="V49" s="4">
        <f>Table1[[#This Row],[Enrolment S.Y. 2025-2026 ]]*8</f>
        <v>1816</v>
      </c>
      <c r="W49" s="4"/>
      <c r="X49" s="1"/>
      <c r="Y49" s="4"/>
      <c r="Z49" s="4">
        <f t="shared" si="12"/>
        <v>1816</v>
      </c>
      <c r="AA49" s="4">
        <f t="shared" si="13"/>
        <v>0</v>
      </c>
    </row>
    <row r="50" spans="1:27" ht="19.5">
      <c r="A50" s="1" t="s">
        <v>18</v>
      </c>
      <c r="B50" s="7" t="s">
        <v>28</v>
      </c>
      <c r="C50" s="1">
        <v>205</v>
      </c>
      <c r="D50" s="4">
        <f>Table1[[#This Row],[Enrolment S.Y. 2025-2026 ]]*8</f>
        <v>1640</v>
      </c>
      <c r="E50" s="4"/>
      <c r="F50" s="1"/>
      <c r="G50" s="4"/>
      <c r="H50" s="4">
        <f t="shared" si="14"/>
        <v>1640</v>
      </c>
      <c r="I50" s="4">
        <f t="shared" si="15"/>
        <v>0</v>
      </c>
      <c r="J50" s="4">
        <f>Table1[[#This Row],[Enrolment S.Y. 2025-2026 ]]*8</f>
        <v>1640</v>
      </c>
      <c r="K50" s="4"/>
      <c r="L50" s="1"/>
      <c r="M50" s="4"/>
      <c r="N50" s="4">
        <f t="shared" si="8"/>
        <v>1640</v>
      </c>
      <c r="O50" s="4">
        <f t="shared" si="9"/>
        <v>0</v>
      </c>
      <c r="P50" s="4">
        <f>Table1[[#This Row],[Enrolment S.Y. 2025-2026 ]]*8</f>
        <v>1640</v>
      </c>
      <c r="Q50" s="4"/>
      <c r="R50" s="1"/>
      <c r="S50" s="4"/>
      <c r="T50" s="4">
        <f t="shared" si="10"/>
        <v>1640</v>
      </c>
      <c r="U50" s="4">
        <f t="shared" si="11"/>
        <v>0</v>
      </c>
      <c r="V50" s="4">
        <f>Table1[[#This Row],[Enrolment S.Y. 2025-2026 ]]*8</f>
        <v>1640</v>
      </c>
      <c r="W50" s="4"/>
      <c r="X50" s="1"/>
      <c r="Y50" s="4"/>
      <c r="Z50" s="4">
        <f t="shared" si="12"/>
        <v>1640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27" customHeight="1"/>
    <row r="104" spans="1:27" ht="27" customHeight="1"/>
    <row r="105" spans="1:27" ht="27" customHeight="1"/>
    <row r="106" spans="1:27" ht="27" customHeight="1"/>
    <row r="107" spans="1:27" ht="27" customHeight="1"/>
    <row r="108" spans="1:27" ht="27" customHeight="1"/>
    <row r="109" spans="1:27" ht="27" customHeight="1"/>
    <row r="110" spans="1:27" ht="27" customHeight="1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K3:L11 K13:L21 K23:L31 K33:L41 AA32 T33:X41 V2:X2 N43:R50 P2:R2 U32:V32 N3:P41 T23:X31 J3:J41 U22:V22 Z23:AA31 D2:F11 H3:I11 Q3:R11 D13:F21 H13:I21 Q13:R21 D23:F31 H23:I31 Q23:R31 D33:F41 H33:I41 Q33:R41 D43:F50 AA22 T13:X21 Z13:AA21 AA12 T3:X11 T43:X50 H43:L50 Z43:AA50 Z3:AA11 AA42 Z33:AA41 J2:L2" name="LAS"/>
    <protectedRange sqref="S2:U2 M2:O2 Y2:AA2 G3:G11 G13:G21 G23:G31 G33:G41 G43:G50 S43:S50 M43:M50 Y43:Y50 Y33:Y41 S33:S41 M3:M41 S23:S31 Y23:Y31 S13:S21 Y13:Y21 S3:S11 Y3:Y11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Y43:Y50 S43:S50 G43:G50 G3:G11 G13:G21 G23:G31 G33:G41 Y33:Y41 M43:M50 S23:S31 S33:S41 Y13:Y21 Y23:Y31 S3:S11 S13:S21 Y3:Y11 M3:M41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ySplit="2" topLeftCell="A3" activePane="bottomLeft" state="frozen"/>
      <selection pane="bottomLeft" activeCell="AC68" sqref="AC68"/>
    </sheetView>
  </sheetViews>
  <sheetFormatPr defaultRowHeight="13.9"/>
  <cols>
    <col min="1" max="1" width="15.85546875" customWidth="1"/>
    <col min="2" max="2" width="47.570312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29</v>
      </c>
      <c r="E1" s="32"/>
      <c r="F1" s="32"/>
      <c r="G1" s="32"/>
      <c r="H1" s="32"/>
      <c r="I1" s="32"/>
      <c r="J1" s="33" t="s">
        <v>30</v>
      </c>
      <c r="K1" s="33"/>
      <c r="L1" s="33"/>
      <c r="M1" s="33"/>
      <c r="N1" s="33"/>
      <c r="O1" s="33"/>
      <c r="P1" s="34" t="s">
        <v>31</v>
      </c>
      <c r="Q1" s="34"/>
      <c r="R1" s="34"/>
      <c r="S1" s="34"/>
      <c r="T1" s="34"/>
      <c r="U1" s="34"/>
      <c r="V1" s="35" t="s">
        <v>32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0" t="s">
        <v>66</v>
      </c>
      <c r="N2" s="30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1" t="s">
        <v>78</v>
      </c>
      <c r="Z2" s="31" t="s">
        <v>79</v>
      </c>
      <c r="AA2" s="24" t="s">
        <v>80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19.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81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83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81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83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81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83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81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83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19.5">
      <c r="A51" s="1" t="s">
        <v>18</v>
      </c>
      <c r="B51" s="7" t="s">
        <v>19</v>
      </c>
      <c r="C51" s="1">
        <v>205</v>
      </c>
      <c r="D51" s="4">
        <f>Table14[[#This Row],[Enrolment S.Y. 2025-2026 ]]*8</f>
        <v>1640</v>
      </c>
      <c r="E51" s="4"/>
      <c r="F51" s="1"/>
      <c r="G51" s="4"/>
      <c r="H51" s="4">
        <f t="shared" si="16"/>
        <v>1640</v>
      </c>
      <c r="I51" s="4">
        <f t="shared" si="17"/>
        <v>0</v>
      </c>
      <c r="J51" s="4">
        <f>Table14[[#This Row],[Enrolment S.Y. 2025-2026 ]]*8</f>
        <v>1640</v>
      </c>
      <c r="K51" s="4"/>
      <c r="L51" s="1"/>
      <c r="M51" s="4"/>
      <c r="N51" s="4">
        <f t="shared" si="14"/>
        <v>1640</v>
      </c>
      <c r="O51" s="4">
        <f t="shared" si="15"/>
        <v>0</v>
      </c>
      <c r="P51" s="4">
        <f>Table14[[#This Row],[Enrolment S.Y. 2025-2026 ]]*8</f>
        <v>1640</v>
      </c>
      <c r="Q51" s="4"/>
      <c r="R51" s="1"/>
      <c r="S51" s="4"/>
      <c r="T51" s="4">
        <f t="shared" si="10"/>
        <v>1640</v>
      </c>
      <c r="U51" s="4">
        <f t="shared" si="11"/>
        <v>0</v>
      </c>
      <c r="V51" s="4">
        <f>Table14[[#This Row],[Enrolment S.Y. 2025-2026 ]]*8</f>
        <v>1640</v>
      </c>
      <c r="W51" s="4"/>
      <c r="X51" s="1"/>
      <c r="Y51" s="4"/>
      <c r="Z51" s="4">
        <f t="shared" si="12"/>
        <v>1640</v>
      </c>
      <c r="AA51" s="4">
        <f t="shared" si="13"/>
        <v>0</v>
      </c>
    </row>
    <row r="52" spans="1:27" ht="19.5">
      <c r="A52" s="1" t="s">
        <v>18</v>
      </c>
      <c r="B52" s="7" t="s">
        <v>21</v>
      </c>
      <c r="C52" s="1">
        <v>205</v>
      </c>
      <c r="D52" s="4">
        <f>Table14[[#This Row],[Enrolment S.Y. 2025-2026 ]]*8</f>
        <v>1640</v>
      </c>
      <c r="E52" s="4"/>
      <c r="F52" s="1"/>
      <c r="G52" s="4"/>
      <c r="H52" s="4">
        <f t="shared" si="16"/>
        <v>1640</v>
      </c>
      <c r="I52" s="4">
        <f t="shared" si="17"/>
        <v>0</v>
      </c>
      <c r="J52" s="4">
        <f>Table14[[#This Row],[Enrolment S.Y. 2025-2026 ]]*8</f>
        <v>1640</v>
      </c>
      <c r="K52" s="4"/>
      <c r="L52" s="1"/>
      <c r="M52" s="4"/>
      <c r="N52" s="4">
        <f t="shared" si="14"/>
        <v>1640</v>
      </c>
      <c r="O52" s="4">
        <f t="shared" si="15"/>
        <v>0</v>
      </c>
      <c r="P52" s="4">
        <f>Table14[[#This Row],[Enrolment S.Y. 2025-2026 ]]*8</f>
        <v>1640</v>
      </c>
      <c r="Q52" s="4"/>
      <c r="R52" s="1"/>
      <c r="S52" s="4"/>
      <c r="T52" s="4">
        <f t="shared" si="10"/>
        <v>1640</v>
      </c>
      <c r="U52" s="4">
        <f t="shared" si="11"/>
        <v>0</v>
      </c>
      <c r="V52" s="4">
        <f>Table14[[#This Row],[Enrolment S.Y. 2025-2026 ]]*8</f>
        <v>1640</v>
      </c>
      <c r="W52" s="4"/>
      <c r="X52" s="1"/>
      <c r="Y52" s="4"/>
      <c r="Z52" s="4">
        <f t="shared" si="12"/>
        <v>1640</v>
      </c>
      <c r="AA52" s="4">
        <f t="shared" si="13"/>
        <v>0</v>
      </c>
    </row>
    <row r="53" spans="1:27" ht="19.5">
      <c r="A53" s="1" t="s">
        <v>22</v>
      </c>
      <c r="B53" s="7" t="s">
        <v>23</v>
      </c>
      <c r="C53" s="1">
        <v>227</v>
      </c>
      <c r="D53" s="4">
        <f>Table14[[#This Row],[Enrolment S.Y. 2025-2026 ]]*8</f>
        <v>1816</v>
      </c>
      <c r="E53" s="4"/>
      <c r="F53" s="1"/>
      <c r="G53" s="4"/>
      <c r="H53" s="4">
        <f t="shared" si="16"/>
        <v>1816</v>
      </c>
      <c r="I53" s="4">
        <f t="shared" si="17"/>
        <v>0</v>
      </c>
      <c r="J53" s="4">
        <f>Table14[[#This Row],[Enrolment S.Y. 2025-2026 ]]*8</f>
        <v>1816</v>
      </c>
      <c r="K53" s="4"/>
      <c r="L53" s="1"/>
      <c r="M53" s="4"/>
      <c r="N53" s="4">
        <f t="shared" si="14"/>
        <v>1816</v>
      </c>
      <c r="O53" s="4">
        <f t="shared" si="15"/>
        <v>0</v>
      </c>
      <c r="P53" s="4">
        <f>Table14[[#This Row],[Enrolment S.Y. 2025-2026 ]]*8</f>
        <v>1816</v>
      </c>
      <c r="Q53" s="4"/>
      <c r="R53" s="1"/>
      <c r="S53" s="4"/>
      <c r="T53" s="4">
        <f t="shared" si="10"/>
        <v>1816</v>
      </c>
      <c r="U53" s="4">
        <f t="shared" si="11"/>
        <v>0</v>
      </c>
      <c r="V53" s="4">
        <f>Table14[[#This Row],[Enrolment S.Y. 2025-2026 ]]*8</f>
        <v>1816</v>
      </c>
      <c r="W53" s="4"/>
      <c r="X53" s="1"/>
      <c r="Y53" s="4"/>
      <c r="Z53" s="4">
        <f t="shared" si="12"/>
        <v>1816</v>
      </c>
      <c r="AA53" s="4">
        <f t="shared" si="13"/>
        <v>0</v>
      </c>
    </row>
    <row r="54" spans="1:27" s="5" customFormat="1" ht="19.5">
      <c r="A54" s="1" t="s">
        <v>18</v>
      </c>
      <c r="B54" s="7" t="s">
        <v>24</v>
      </c>
      <c r="C54" s="1">
        <v>205</v>
      </c>
      <c r="D54" s="4">
        <f>Table14[[#This Row],[Enrolment S.Y. 2025-2026 ]]*8</f>
        <v>1640</v>
      </c>
      <c r="E54" s="4"/>
      <c r="F54" s="1"/>
      <c r="G54" s="4"/>
      <c r="H54" s="4">
        <f t="shared" si="16"/>
        <v>1640</v>
      </c>
      <c r="I54" s="4">
        <f t="shared" si="17"/>
        <v>0</v>
      </c>
      <c r="J54" s="4">
        <f>Table14[[#This Row],[Enrolment S.Y. 2025-2026 ]]*8</f>
        <v>1640</v>
      </c>
      <c r="K54" s="4"/>
      <c r="L54" s="1"/>
      <c r="M54" s="4"/>
      <c r="N54" s="4">
        <f t="shared" si="14"/>
        <v>1640</v>
      </c>
      <c r="O54" s="4">
        <f t="shared" si="15"/>
        <v>0</v>
      </c>
      <c r="P54" s="4">
        <f>Table14[[#This Row],[Enrolment S.Y. 2025-2026 ]]*8</f>
        <v>1640</v>
      </c>
      <c r="Q54" s="4"/>
      <c r="R54" s="1"/>
      <c r="S54" s="4"/>
      <c r="T54" s="4">
        <f t="shared" si="10"/>
        <v>1640</v>
      </c>
      <c r="U54" s="4">
        <f t="shared" si="11"/>
        <v>0</v>
      </c>
      <c r="V54" s="4">
        <f>Table14[[#This Row],[Enrolment S.Y. 2025-2026 ]]*8</f>
        <v>1640</v>
      </c>
      <c r="W54" s="4"/>
      <c r="X54" s="1"/>
      <c r="Y54" s="4"/>
      <c r="Z54" s="4">
        <f t="shared" si="12"/>
        <v>1640</v>
      </c>
      <c r="AA54" s="4">
        <f t="shared" si="13"/>
        <v>0</v>
      </c>
    </row>
    <row r="55" spans="1:27" ht="19.5">
      <c r="A55" s="1" t="s">
        <v>22</v>
      </c>
      <c r="B55" s="7" t="s">
        <v>25</v>
      </c>
      <c r="C55" s="1">
        <v>227</v>
      </c>
      <c r="D55" s="4">
        <f>Table14[[#This Row],[Enrolment S.Y. 2025-2026 ]]*8</f>
        <v>1816</v>
      </c>
      <c r="E55" s="4"/>
      <c r="F55" s="1"/>
      <c r="G55" s="4"/>
      <c r="H55" s="4">
        <f t="shared" si="16"/>
        <v>1816</v>
      </c>
      <c r="I55" s="4">
        <f t="shared" si="17"/>
        <v>0</v>
      </c>
      <c r="J55" s="4">
        <f>Table14[[#This Row],[Enrolment S.Y. 2025-2026 ]]*8</f>
        <v>1816</v>
      </c>
      <c r="K55" s="4"/>
      <c r="L55" s="1"/>
      <c r="M55" s="4"/>
      <c r="N55" s="4">
        <f t="shared" si="14"/>
        <v>1816</v>
      </c>
      <c r="O55" s="4">
        <f t="shared" si="15"/>
        <v>0</v>
      </c>
      <c r="P55" s="4">
        <f>Table14[[#This Row],[Enrolment S.Y. 2025-2026 ]]*8</f>
        <v>1816</v>
      </c>
      <c r="Q55" s="4"/>
      <c r="R55" s="1"/>
      <c r="S55" s="4"/>
      <c r="T55" s="4">
        <f t="shared" si="10"/>
        <v>1816</v>
      </c>
      <c r="U55" s="4">
        <f t="shared" si="11"/>
        <v>0</v>
      </c>
      <c r="V55" s="4">
        <f>Table14[[#This Row],[Enrolment S.Y. 2025-2026 ]]*8</f>
        <v>1816</v>
      </c>
      <c r="W55" s="4"/>
      <c r="X55" s="1"/>
      <c r="Y55" s="4"/>
      <c r="Z55" s="4">
        <f t="shared" si="12"/>
        <v>1816</v>
      </c>
      <c r="AA55" s="4">
        <f t="shared" si="13"/>
        <v>0</v>
      </c>
    </row>
    <row r="56" spans="1:27" ht="19.5">
      <c r="A56" s="1" t="s">
        <v>18</v>
      </c>
      <c r="B56" s="7" t="s">
        <v>26</v>
      </c>
      <c r="C56" s="1">
        <v>205</v>
      </c>
      <c r="D56" s="4">
        <f>Table14[[#This Row],[Enrolment S.Y. 2025-2026 ]]*8</f>
        <v>1640</v>
      </c>
      <c r="E56" s="4"/>
      <c r="F56" s="1"/>
      <c r="G56" s="4"/>
      <c r="H56" s="4">
        <f t="shared" si="16"/>
        <v>1640</v>
      </c>
      <c r="I56" s="4">
        <f t="shared" si="17"/>
        <v>0</v>
      </c>
      <c r="J56" s="4">
        <f>Table14[[#This Row],[Enrolment S.Y. 2025-2026 ]]*8</f>
        <v>1640</v>
      </c>
      <c r="K56" s="4"/>
      <c r="L56" s="1"/>
      <c r="M56" s="4"/>
      <c r="N56" s="4">
        <f t="shared" si="14"/>
        <v>1640</v>
      </c>
      <c r="O56" s="4">
        <f t="shared" si="15"/>
        <v>0</v>
      </c>
      <c r="P56" s="4">
        <f>Table14[[#This Row],[Enrolment S.Y. 2025-2026 ]]*8</f>
        <v>1640</v>
      </c>
      <c r="Q56" s="4"/>
      <c r="R56" s="1"/>
      <c r="S56" s="4"/>
      <c r="T56" s="4">
        <f t="shared" si="10"/>
        <v>1640</v>
      </c>
      <c r="U56" s="4">
        <f t="shared" si="11"/>
        <v>0</v>
      </c>
      <c r="V56" s="4">
        <f>Table14[[#This Row],[Enrolment S.Y. 2025-2026 ]]*8</f>
        <v>1640</v>
      </c>
      <c r="W56" s="4"/>
      <c r="X56" s="1"/>
      <c r="Y56" s="4"/>
      <c r="Z56" s="4">
        <f t="shared" si="12"/>
        <v>1640</v>
      </c>
      <c r="AA56" s="4">
        <f t="shared" si="13"/>
        <v>0</v>
      </c>
    </row>
    <row r="57" spans="1:27" ht="19.5">
      <c r="A57" s="1" t="s">
        <v>22</v>
      </c>
      <c r="B57" s="7" t="s">
        <v>27</v>
      </c>
      <c r="C57" s="1">
        <v>227</v>
      </c>
      <c r="D57" s="4">
        <f>Table14[[#This Row],[Enrolment S.Y. 2025-2026 ]]*8</f>
        <v>1816</v>
      </c>
      <c r="E57" s="4"/>
      <c r="F57" s="1"/>
      <c r="G57" s="4"/>
      <c r="H57" s="4">
        <f t="shared" si="16"/>
        <v>1816</v>
      </c>
      <c r="I57" s="4">
        <f t="shared" si="17"/>
        <v>0</v>
      </c>
      <c r="J57" s="4">
        <f>Table14[[#This Row],[Enrolment S.Y. 2025-2026 ]]*8</f>
        <v>1816</v>
      </c>
      <c r="K57" s="4"/>
      <c r="L57" s="1"/>
      <c r="M57" s="4"/>
      <c r="N57" s="4">
        <f t="shared" si="14"/>
        <v>1816</v>
      </c>
      <c r="O57" s="4">
        <f t="shared" si="15"/>
        <v>0</v>
      </c>
      <c r="P57" s="4">
        <f>Table14[[#This Row],[Enrolment S.Y. 2025-2026 ]]*8</f>
        <v>1816</v>
      </c>
      <c r="Q57" s="4"/>
      <c r="R57" s="1"/>
      <c r="S57" s="4"/>
      <c r="T57" s="4">
        <f t="shared" si="10"/>
        <v>1816</v>
      </c>
      <c r="U57" s="4">
        <f t="shared" si="11"/>
        <v>0</v>
      </c>
      <c r="V57" s="4">
        <f>Table14[[#This Row],[Enrolment S.Y. 2025-2026 ]]*8</f>
        <v>1816</v>
      </c>
      <c r="W57" s="4"/>
      <c r="X57" s="1"/>
      <c r="Y57" s="4"/>
      <c r="Z57" s="4">
        <f t="shared" si="12"/>
        <v>1816</v>
      </c>
      <c r="AA57" s="4">
        <f t="shared" si="13"/>
        <v>0</v>
      </c>
    </row>
    <row r="58" spans="1:27" ht="19.5">
      <c r="A58" s="1" t="s">
        <v>18</v>
      </c>
      <c r="B58" s="7" t="s">
        <v>28</v>
      </c>
      <c r="C58" s="1">
        <v>205</v>
      </c>
      <c r="D58" s="4">
        <f>Table14[[#This Row],[Enrolment S.Y. 2025-2026 ]]*8</f>
        <v>1640</v>
      </c>
      <c r="E58" s="4"/>
      <c r="F58" s="1"/>
      <c r="G58" s="4"/>
      <c r="H58" s="4">
        <f t="shared" si="16"/>
        <v>1640</v>
      </c>
      <c r="I58" s="4">
        <f t="shared" si="17"/>
        <v>0</v>
      </c>
      <c r="J58" s="4">
        <f>Table14[[#This Row],[Enrolment S.Y. 2025-2026 ]]*8</f>
        <v>1640</v>
      </c>
      <c r="K58" s="4"/>
      <c r="L58" s="1"/>
      <c r="M58" s="4"/>
      <c r="N58" s="4">
        <f t="shared" si="14"/>
        <v>1640</v>
      </c>
      <c r="O58" s="4">
        <f t="shared" si="15"/>
        <v>0</v>
      </c>
      <c r="P58" s="4">
        <f>Table14[[#This Row],[Enrolment S.Y. 2025-2026 ]]*8</f>
        <v>1640</v>
      </c>
      <c r="Q58" s="4"/>
      <c r="R58" s="1"/>
      <c r="S58" s="4"/>
      <c r="T58" s="4">
        <f t="shared" si="10"/>
        <v>1640</v>
      </c>
      <c r="U58" s="4">
        <f t="shared" si="11"/>
        <v>0</v>
      </c>
      <c r="V58" s="4">
        <f>Table14[[#This Row],[Enrolment S.Y. 2025-2026 ]]*8</f>
        <v>1640</v>
      </c>
      <c r="W58" s="4"/>
      <c r="X58" s="1"/>
      <c r="Y58" s="4"/>
      <c r="Z58" s="4">
        <f t="shared" si="12"/>
        <v>1640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2026-04-14T01:32:35Z</dcterms:modified>
  <cp:category/>
  <cp:contentStatus/>
</cp:coreProperties>
</file>