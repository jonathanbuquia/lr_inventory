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9" documentId="13_ncr:1_{BFB59F67-F0DC-4675-A682-EB0734A8026A}" xr6:coauthVersionLast="47" xr6:coauthVersionMax="47" xr10:uidLastSave="{2F090F3D-20F7-494B-9DD5-5555832C49A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1" i="1" l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<sst xmlns="http://schemas.openxmlformats.org/spreadsheetml/2006/main" count="394" uniqueCount="92">
  <si>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</si>
  <si>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</si>
  <si>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</si>
  <si>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</si>
  <si>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</si>
  <si>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</si>
  <si>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</si>
  <si>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</si>
  <si>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</si>
  <si>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</si>
  <si>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</si>
  <si>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</si>
  <si>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</si>
  <si>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</si>
  <si>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</si>
  <si>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</si>
  <si>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</si>
  <si>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</si>
  <si>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</si>
  <si>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</si>
  <si>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</si>
  <si>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</si>
  <si>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</si>
  <si>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 (11)</t>
  </si>
  <si>
    <t>Personal Development</t>
  </si>
  <si>
    <t>CO</t>
  </si>
  <si>
    <t>HOPE 1 and 2</t>
  </si>
  <si>
    <t>SHS (12)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</si>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</sst>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7.28515625" customWidth="1"/>
    <col min="2" max="2" width="56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27" customHeight="1">
      <c r="A91" s="1" t="s">
        <v>23</v>
      </c>
      <c r="B91" s="9" t="s">
        <v>24</v>
      </c>
      <c r="C91" s="1">
        <v>260</v>
      </c>
      <c r="D91" s="1">
        <v>330</v>
      </c>
      <c r="E91" s="1">
        <v>2024</v>
      </c>
      <c r="F91" s="5" t="s">
        <v>25</v>
      </c>
      <c r="G91" s="3">
        <f t="shared" ref="G91:G98" si="18">IF((C91-D91)&lt;0,0,C91-D91)</f>
        <v>0</v>
      </c>
      <c r="H91" s="4">
        <f t="shared" ref="H91:H98" si="19">IF((D91-C91)&lt;0,0,D91-C91)</f>
        <v>70</v>
      </c>
    </row>
    <row r="92" spans="1:8" ht="27" customHeight="1">
      <c r="A92" s="1" t="s">
        <v>23</v>
      </c>
      <c r="B92" s="9" t="s">
        <v>26</v>
      </c>
      <c r="C92" s="1">
        <v>260</v>
      </c>
      <c r="D92" s="1"/>
      <c r="E92" s="1"/>
      <c r="F92" s="5"/>
      <c r="G92" s="3">
        <f t="shared" si="18"/>
        <v>260</v>
      </c>
      <c r="H92" s="4">
        <f t="shared" si="19"/>
        <v>0</v>
      </c>
    </row>
    <row r="93" spans="1:8" ht="27" customHeight="1">
      <c r="A93" s="1" t="s">
        <v>27</v>
      </c>
      <c r="B93" s="9" t="s">
        <v>28</v>
      </c>
      <c r="C93" s="1">
        <v>226</v>
      </c>
      <c r="D93" s="1">
        <v>330</v>
      </c>
      <c r="E93" s="1">
        <v>2024</v>
      </c>
      <c r="F93" s="5" t="s">
        <v>25</v>
      </c>
      <c r="G93" s="3">
        <f t="shared" si="18"/>
        <v>0</v>
      </c>
      <c r="H93" s="4">
        <f t="shared" si="19"/>
        <v>104</v>
      </c>
    </row>
    <row r="94" spans="1:8" ht="27" customHeight="1">
      <c r="A94" s="1" t="s">
        <v>23</v>
      </c>
      <c r="B94" s="9" t="s">
        <v>29</v>
      </c>
      <c r="C94" s="1">
        <v>260</v>
      </c>
      <c r="D94" s="1">
        <v>330</v>
      </c>
      <c r="E94" s="1">
        <v>2025</v>
      </c>
      <c r="F94" s="5" t="s">
        <v>25</v>
      </c>
      <c r="G94" s="3">
        <f t="shared" si="18"/>
        <v>0</v>
      </c>
      <c r="H94" s="4">
        <f t="shared" si="19"/>
        <v>70</v>
      </c>
    </row>
    <row r="95" spans="1:8" ht="27" customHeight="1">
      <c r="A95" s="1" t="s">
        <v>27</v>
      </c>
      <c r="B95" s="9" t="s">
        <v>30</v>
      </c>
      <c r="C95" s="1">
        <v>226</v>
      </c>
      <c r="D95" s="1"/>
      <c r="E95" s="1"/>
      <c r="F95" s="5"/>
      <c r="G95" s="3">
        <f t="shared" si="18"/>
        <v>226</v>
      </c>
      <c r="H95" s="4">
        <f t="shared" si="19"/>
        <v>0</v>
      </c>
    </row>
    <row r="96" spans="1:8" ht="27" customHeight="1">
      <c r="A96" s="1" t="s">
        <v>23</v>
      </c>
      <c r="B96" s="9" t="s">
        <v>31</v>
      </c>
      <c r="C96" s="1">
        <v>260</v>
      </c>
      <c r="D96" s="1">
        <v>330</v>
      </c>
      <c r="E96" s="1">
        <v>2025</v>
      </c>
      <c r="F96" s="5" t="s">
        <v>25</v>
      </c>
      <c r="G96" s="3">
        <f t="shared" si="18"/>
        <v>0</v>
      </c>
      <c r="H96" s="4">
        <f t="shared" si="19"/>
        <v>70</v>
      </c>
    </row>
    <row r="97" spans="1:8" ht="27" customHeight="1">
      <c r="A97" s="1" t="s">
        <v>27</v>
      </c>
      <c r="B97" s="9" t="s">
        <v>32</v>
      </c>
      <c r="C97" s="1">
        <v>226</v>
      </c>
      <c r="D97" s="1">
        <v>330</v>
      </c>
      <c r="E97" s="1">
        <v>2025</v>
      </c>
      <c r="F97" s="5" t="s">
        <v>25</v>
      </c>
      <c r="G97" s="3">
        <f t="shared" si="18"/>
        <v>0</v>
      </c>
      <c r="H97" s="4">
        <f t="shared" si="19"/>
        <v>104</v>
      </c>
    </row>
    <row r="98" spans="1:8" ht="27" customHeight="1">
      <c r="A98" s="1" t="s">
        <v>23</v>
      </c>
      <c r="B98" s="9" t="s">
        <v>33</v>
      </c>
      <c r="C98" s="1">
        <v>260</v>
      </c>
      <c r="D98" s="1">
        <v>330</v>
      </c>
      <c r="E98" s="1">
        <v>2025</v>
      </c>
      <c r="F98" s="5" t="s">
        <v>25</v>
      </c>
      <c r="G98" s="3">
        <f t="shared" si="18"/>
        <v>0</v>
      </c>
      <c r="H98" s="4">
        <f t="shared" si="19"/>
        <v>70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ySplit="2" topLeftCell="A104" activePane="bottomLeft" state="frozen"/>
      <selection pane="bottomLeft" activeCell="J128" sqref="J128:J157"/>
    </sheetView>
  </sheetViews>
  <sheetFormatPr defaultRowHeight="13.9"/>
  <cols>
    <col min="1" max="1" width="19.28515625" customWidth="1"/>
    <col min="2" max="2" width="49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U82" s="13"/>
      <c r="V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U92" s="13"/>
      <c r="V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5">
      <c r="AA102" s="13"/>
    </row>
    <row r="103" spans="1:27" ht="27" customHeight="1">
      <c r="A103" s="1" t="s">
        <v>23</v>
      </c>
      <c r="B103" s="9" t="s">
        <v>24</v>
      </c>
      <c r="C103" s="1">
        <v>260</v>
      </c>
      <c r="D103" s="5">
        <f>Table1[[#This Row],[Enrolment S.Y. 2025-2026 ]]*8</f>
        <v>2080</v>
      </c>
      <c r="E103" s="5"/>
      <c r="F103" s="1"/>
      <c r="G103" s="5"/>
      <c r="H103" s="5">
        <f t="shared" si="22"/>
        <v>2080</v>
      </c>
      <c r="I103" s="5">
        <f t="shared" si="23"/>
        <v>0</v>
      </c>
      <c r="J103" s="5">
        <f>Table1[[#This Row],[Enrolment S.Y. 2025-2026 ]]*8</f>
        <v>2080</v>
      </c>
      <c r="K103" s="5"/>
      <c r="L103" s="1"/>
      <c r="M103" s="5"/>
      <c r="N103" s="5">
        <f t="shared" si="16"/>
        <v>2080</v>
      </c>
      <c r="O103" s="5">
        <f t="shared" si="17"/>
        <v>0</v>
      </c>
      <c r="P103" s="5">
        <f>Table1[[#This Row],[Enrolment S.Y. 2025-2026 ]]*8</f>
        <v>2080</v>
      </c>
      <c r="Q103" s="5"/>
      <c r="R103" s="1"/>
      <c r="S103" s="5"/>
      <c r="T103" s="5">
        <f t="shared" si="18"/>
        <v>2080</v>
      </c>
      <c r="U103" s="5">
        <f t="shared" si="19"/>
        <v>0</v>
      </c>
      <c r="V103" s="5">
        <f>Table1[[#This Row],[Enrolment S.Y. 2025-2026 ]]*8</f>
        <v>2080</v>
      </c>
      <c r="W103" s="5"/>
      <c r="X103" s="1"/>
      <c r="Y103" s="5"/>
      <c r="Z103" s="5">
        <f t="shared" si="20"/>
        <v>2080</v>
      </c>
      <c r="AA103" s="5">
        <f t="shared" si="21"/>
        <v>0</v>
      </c>
    </row>
    <row r="104" spans="1:27" ht="27" customHeight="1">
      <c r="A104" s="1" t="s">
        <v>23</v>
      </c>
      <c r="B104" s="9" t="s">
        <v>26</v>
      </c>
      <c r="C104" s="1">
        <v>260</v>
      </c>
      <c r="D104" s="5">
        <f>Table1[[#This Row],[Enrolment S.Y. 2025-2026 ]]*8</f>
        <v>2080</v>
      </c>
      <c r="E104" s="5"/>
      <c r="F104" s="1"/>
      <c r="G104" s="5"/>
      <c r="H104" s="5">
        <f t="shared" si="22"/>
        <v>2080</v>
      </c>
      <c r="I104" s="5">
        <f t="shared" si="23"/>
        <v>0</v>
      </c>
      <c r="J104" s="5">
        <f>Table1[[#This Row],[Enrolment S.Y. 2025-2026 ]]*8</f>
        <v>2080</v>
      </c>
      <c r="K104" s="5"/>
      <c r="L104" s="1"/>
      <c r="M104" s="5"/>
      <c r="N104" s="5">
        <f t="shared" si="16"/>
        <v>2080</v>
      </c>
      <c r="O104" s="5">
        <f t="shared" si="17"/>
        <v>0</v>
      </c>
      <c r="P104" s="5">
        <f>Table1[[#This Row],[Enrolment S.Y. 2025-2026 ]]*8</f>
        <v>2080</v>
      </c>
      <c r="Q104" s="5"/>
      <c r="R104" s="1"/>
      <c r="S104" s="5"/>
      <c r="T104" s="5">
        <f t="shared" si="18"/>
        <v>2080</v>
      </c>
      <c r="U104" s="5">
        <f t="shared" si="19"/>
        <v>0</v>
      </c>
      <c r="V104" s="5">
        <f>Table1[[#This Row],[Enrolment S.Y. 2025-2026 ]]*8</f>
        <v>2080</v>
      </c>
      <c r="W104" s="5"/>
      <c r="X104" s="1"/>
      <c r="Y104" s="5"/>
      <c r="Z104" s="5">
        <f t="shared" si="20"/>
        <v>2080</v>
      </c>
      <c r="AA104" s="5">
        <f t="shared" si="21"/>
        <v>0</v>
      </c>
    </row>
    <row r="105" spans="1:27" ht="27" customHeight="1">
      <c r="A105" s="1" t="s">
        <v>27</v>
      </c>
      <c r="B105" s="9" t="s">
        <v>28</v>
      </c>
      <c r="C105" s="1">
        <v>226</v>
      </c>
      <c r="D105" s="5">
        <f>Table1[[#This Row],[Enrolment S.Y. 2025-2026 ]]*8</f>
        <v>1808</v>
      </c>
      <c r="E105" s="5"/>
      <c r="F105" s="1"/>
      <c r="G105" s="5"/>
      <c r="H105" s="5">
        <f t="shared" si="22"/>
        <v>1808</v>
      </c>
      <c r="I105" s="5">
        <f t="shared" si="23"/>
        <v>0</v>
      </c>
      <c r="J105" s="5">
        <f>Table1[[#This Row],[Enrolment S.Y. 2025-2026 ]]*8</f>
        <v>1808</v>
      </c>
      <c r="K105" s="5"/>
      <c r="L105" s="1"/>
      <c r="M105" s="5"/>
      <c r="N105" s="5">
        <f t="shared" si="16"/>
        <v>1808</v>
      </c>
      <c r="O105" s="5">
        <f t="shared" si="17"/>
        <v>0</v>
      </c>
      <c r="P105" s="5">
        <f>Table1[[#This Row],[Enrolment S.Y. 2025-2026 ]]*8</f>
        <v>1808</v>
      </c>
      <c r="Q105" s="5"/>
      <c r="R105" s="1"/>
      <c r="S105" s="5"/>
      <c r="T105" s="5">
        <f t="shared" si="18"/>
        <v>1808</v>
      </c>
      <c r="U105" s="5">
        <f t="shared" si="19"/>
        <v>0</v>
      </c>
      <c r="V105" s="5">
        <f>Table1[[#This Row],[Enrolment S.Y. 2025-2026 ]]*8</f>
        <v>1808</v>
      </c>
      <c r="W105" s="5"/>
      <c r="X105" s="1"/>
      <c r="Y105" s="5"/>
      <c r="Z105" s="5">
        <f t="shared" si="20"/>
        <v>1808</v>
      </c>
      <c r="AA105" s="5">
        <f t="shared" si="21"/>
        <v>0</v>
      </c>
    </row>
    <row r="106" spans="1:27" ht="27" customHeight="1">
      <c r="A106" s="1" t="s">
        <v>23</v>
      </c>
      <c r="B106" s="9" t="s">
        <v>29</v>
      </c>
      <c r="C106" s="1">
        <v>260</v>
      </c>
      <c r="D106" s="5">
        <f>Table1[[#This Row],[Enrolment S.Y. 2025-2026 ]]*8</f>
        <v>2080</v>
      </c>
      <c r="E106" s="5"/>
      <c r="F106" s="1"/>
      <c r="G106" s="5"/>
      <c r="H106" s="5">
        <f t="shared" si="22"/>
        <v>2080</v>
      </c>
      <c r="I106" s="5">
        <f t="shared" si="23"/>
        <v>0</v>
      </c>
      <c r="J106" s="5">
        <f>Table1[[#This Row],[Enrolment S.Y. 2025-2026 ]]*8</f>
        <v>2080</v>
      </c>
      <c r="K106" s="5"/>
      <c r="L106" s="1"/>
      <c r="M106" s="5"/>
      <c r="N106" s="5">
        <f t="shared" si="16"/>
        <v>2080</v>
      </c>
      <c r="O106" s="5">
        <f t="shared" si="17"/>
        <v>0</v>
      </c>
      <c r="P106" s="5">
        <f>Table1[[#This Row],[Enrolment S.Y. 2025-2026 ]]*8</f>
        <v>2080</v>
      </c>
      <c r="Q106" s="5"/>
      <c r="R106" s="1"/>
      <c r="S106" s="5"/>
      <c r="T106" s="5">
        <f t="shared" si="18"/>
        <v>2080</v>
      </c>
      <c r="U106" s="5">
        <f t="shared" si="19"/>
        <v>0</v>
      </c>
      <c r="V106" s="5">
        <f>Table1[[#This Row],[Enrolment S.Y. 2025-2026 ]]*8</f>
        <v>2080</v>
      </c>
      <c r="W106" s="5"/>
      <c r="X106" s="1"/>
      <c r="Y106" s="5"/>
      <c r="Z106" s="5">
        <f t="shared" si="20"/>
        <v>2080</v>
      </c>
      <c r="AA106" s="5">
        <f t="shared" si="21"/>
        <v>0</v>
      </c>
    </row>
    <row r="107" spans="1:27" ht="27" customHeight="1">
      <c r="A107" s="1" t="s">
        <v>27</v>
      </c>
      <c r="B107" s="9" t="s">
        <v>30</v>
      </c>
      <c r="C107" s="1">
        <v>226</v>
      </c>
      <c r="D107" s="5">
        <f>Table1[[#This Row],[Enrolment S.Y. 2025-2026 ]]*8</f>
        <v>1808</v>
      </c>
      <c r="E107" s="5"/>
      <c r="F107" s="1"/>
      <c r="G107" s="5"/>
      <c r="H107" s="5">
        <f t="shared" si="22"/>
        <v>1808</v>
      </c>
      <c r="I107" s="5">
        <f t="shared" si="23"/>
        <v>0</v>
      </c>
      <c r="J107" s="5">
        <f>Table1[[#This Row],[Enrolment S.Y. 2025-2026 ]]*8</f>
        <v>1808</v>
      </c>
      <c r="K107" s="5"/>
      <c r="L107" s="1"/>
      <c r="M107" s="5"/>
      <c r="N107" s="5">
        <f t="shared" si="16"/>
        <v>1808</v>
      </c>
      <c r="O107" s="5">
        <f t="shared" si="17"/>
        <v>0</v>
      </c>
      <c r="P107" s="5">
        <f>Table1[[#This Row],[Enrolment S.Y. 2025-2026 ]]*8</f>
        <v>1808</v>
      </c>
      <c r="Q107" s="5"/>
      <c r="R107" s="1"/>
      <c r="S107" s="5"/>
      <c r="T107" s="5">
        <f t="shared" si="18"/>
        <v>1808</v>
      </c>
      <c r="U107" s="5">
        <f t="shared" si="19"/>
        <v>0</v>
      </c>
      <c r="V107" s="5">
        <f>Table1[[#This Row],[Enrolment S.Y. 2025-2026 ]]*8</f>
        <v>1808</v>
      </c>
      <c r="W107" s="5"/>
      <c r="X107" s="1"/>
      <c r="Y107" s="5"/>
      <c r="Z107" s="5">
        <f t="shared" si="20"/>
        <v>1808</v>
      </c>
      <c r="AA107" s="5">
        <f t="shared" si="21"/>
        <v>0</v>
      </c>
    </row>
    <row r="108" spans="1:27" ht="27" customHeight="1">
      <c r="A108" s="1" t="s">
        <v>23</v>
      </c>
      <c r="B108" s="9" t="s">
        <v>31</v>
      </c>
      <c r="C108" s="1">
        <v>260</v>
      </c>
      <c r="D108" s="5">
        <f>Table1[[#This Row],[Enrolment S.Y. 2025-2026 ]]*8</f>
        <v>2080</v>
      </c>
      <c r="E108" s="5"/>
      <c r="F108" s="1"/>
      <c r="G108" s="5"/>
      <c r="H108" s="5">
        <f t="shared" si="22"/>
        <v>2080</v>
      </c>
      <c r="I108" s="5">
        <f t="shared" si="23"/>
        <v>0</v>
      </c>
      <c r="J108" s="5">
        <f>Table1[[#This Row],[Enrolment S.Y. 2025-2026 ]]*8</f>
        <v>2080</v>
      </c>
      <c r="K108" s="5"/>
      <c r="L108" s="1"/>
      <c r="M108" s="5"/>
      <c r="N108" s="5">
        <f t="shared" si="16"/>
        <v>2080</v>
      </c>
      <c r="O108" s="5">
        <f t="shared" si="17"/>
        <v>0</v>
      </c>
      <c r="P108" s="5">
        <f>Table1[[#This Row],[Enrolment S.Y. 2025-2026 ]]*8</f>
        <v>2080</v>
      </c>
      <c r="Q108" s="5"/>
      <c r="R108" s="1"/>
      <c r="S108" s="5"/>
      <c r="T108" s="5">
        <f t="shared" si="18"/>
        <v>2080</v>
      </c>
      <c r="U108" s="5">
        <f t="shared" si="19"/>
        <v>0</v>
      </c>
      <c r="V108" s="5">
        <f>Table1[[#This Row],[Enrolment S.Y. 2025-2026 ]]*8</f>
        <v>2080</v>
      </c>
      <c r="W108" s="5"/>
      <c r="X108" s="1"/>
      <c r="Y108" s="5"/>
      <c r="Z108" s="5">
        <f t="shared" si="20"/>
        <v>2080</v>
      </c>
      <c r="AA108" s="5">
        <f t="shared" si="21"/>
        <v>0</v>
      </c>
    </row>
    <row r="109" spans="1:27" ht="27" customHeight="1">
      <c r="A109" s="1" t="s">
        <v>27</v>
      </c>
      <c r="B109" s="9" t="s">
        <v>32</v>
      </c>
      <c r="C109" s="1">
        <v>226</v>
      </c>
      <c r="D109" s="5">
        <f>Table1[[#This Row],[Enrolment S.Y. 2025-2026 ]]*8</f>
        <v>1808</v>
      </c>
      <c r="E109" s="5"/>
      <c r="F109" s="1"/>
      <c r="G109" s="5"/>
      <c r="H109" s="5">
        <f t="shared" si="22"/>
        <v>1808</v>
      </c>
      <c r="I109" s="5">
        <f t="shared" si="23"/>
        <v>0</v>
      </c>
      <c r="J109" s="5">
        <f>Table1[[#This Row],[Enrolment S.Y. 2025-2026 ]]*8</f>
        <v>1808</v>
      </c>
      <c r="K109" s="5"/>
      <c r="L109" s="1"/>
      <c r="M109" s="5"/>
      <c r="N109" s="5">
        <f t="shared" si="16"/>
        <v>1808</v>
      </c>
      <c r="O109" s="5">
        <f t="shared" si="17"/>
        <v>0</v>
      </c>
      <c r="P109" s="5">
        <f>Table1[[#This Row],[Enrolment S.Y. 2025-2026 ]]*8</f>
        <v>1808</v>
      </c>
      <c r="Q109" s="5"/>
      <c r="R109" s="1"/>
      <c r="S109" s="5"/>
      <c r="T109" s="5">
        <f t="shared" si="18"/>
        <v>1808</v>
      </c>
      <c r="U109" s="5">
        <f t="shared" si="19"/>
        <v>0</v>
      </c>
      <c r="V109" s="5">
        <f>Table1[[#This Row],[Enrolment S.Y. 2025-2026 ]]*8</f>
        <v>1808</v>
      </c>
      <c r="W109" s="5"/>
      <c r="X109" s="1"/>
      <c r="Y109" s="5"/>
      <c r="Z109" s="5">
        <f t="shared" si="20"/>
        <v>1808</v>
      </c>
      <c r="AA109" s="5">
        <f t="shared" si="21"/>
        <v>0</v>
      </c>
    </row>
    <row r="110" spans="1:27" ht="27" customHeight="1">
      <c r="A110" s="1" t="s">
        <v>23</v>
      </c>
      <c r="B110" s="9" t="s">
        <v>33</v>
      </c>
      <c r="C110" s="1">
        <v>260</v>
      </c>
      <c r="D110" s="5">
        <f>Table1[[#This Row],[Enrolment S.Y. 2025-2026 ]]*8</f>
        <v>2080</v>
      </c>
      <c r="E110" s="5"/>
      <c r="F110" s="1"/>
      <c r="G110" s="5"/>
      <c r="H110" s="5">
        <f t="shared" si="22"/>
        <v>2080</v>
      </c>
      <c r="I110" s="5">
        <f t="shared" si="23"/>
        <v>0</v>
      </c>
      <c r="J110" s="5">
        <f>Table1[[#This Row],[Enrolment S.Y. 2025-2026 ]]*8</f>
        <v>2080</v>
      </c>
      <c r="K110" s="5"/>
      <c r="L110" s="1"/>
      <c r="M110" s="5"/>
      <c r="N110" s="5">
        <f t="shared" si="16"/>
        <v>2080</v>
      </c>
      <c r="O110" s="5">
        <f t="shared" si="17"/>
        <v>0</v>
      </c>
      <c r="P110" s="5">
        <f>Table1[[#This Row],[Enrolment S.Y. 2025-2026 ]]*8</f>
        <v>2080</v>
      </c>
      <c r="Q110" s="5"/>
      <c r="R110" s="1"/>
      <c r="S110" s="5"/>
      <c r="T110" s="5">
        <f t="shared" si="18"/>
        <v>2080</v>
      </c>
      <c r="U110" s="5">
        <f t="shared" si="19"/>
        <v>0</v>
      </c>
      <c r="V110" s="5">
        <f>Table1[[#This Row],[Enrolment S.Y. 2025-2026 ]]*8</f>
        <v>2080</v>
      </c>
      <c r="W110" s="5"/>
      <c r="X110" s="1"/>
      <c r="Y110" s="5"/>
      <c r="Z110" s="5">
        <f t="shared" si="20"/>
        <v>2080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D23:F31 Q23:R31 D33:F41 H33:I41 Q33:R41 D43:F51 H43:I51 Q43:R51 D53:F61 H53:I61 Q53:R61 D63:F71 H63:I71 Q63:R71 D73:F81 H73:I81 Q73:R81 D83:F91 H83:I91 Q83:R91 D93:F101 H93:I101 Q93:R101 D103:F110 H103:I110 Q103:R110 W103:X110 D112:F127 H112:I127 N127:R127 W112:X127 H14:I21 H23:I31 H6:I12 K6:L12 K33:L41 K43:L51 K53:L61 K63:L71 K73:L81 K83:L91 K93:L101 K103:L110 K112:L127 K14:L21 K23:L31 Q112:R126 P2:R2 V2:X3 N13:P101 T14:X21 J6:J101 D5:F12 N5:R12 T5:X12 N4:P4 J4 Z4:AA12 N3:R3 N103:P126 T103:V127 J103:J127 Z103:AA127 AA102 Z93:AA101 AA92 T93:X101 U92:V92 T83:X91 U82:V82 Z83:AA91 AA82 T73:X81 Z73:AA81 AA72 T63:X71 Z63:AA71 AA62 T53:X61 Z53:AA61 AA52 T43:X51 Z43:AA51 AA42 T33:X41 Z33:AA41 AA32 Z14:AA21 AA13 T23:X31 Z23:AA31 AA22" name="LAS"/>
    <protectedRange sqref="G2:I3 M2:O2 S2:U3 Y2:AA3 G112:G127 M112:M127 S112:S127 Y112:Y127 G5:G12 M5:M12 S5:S12 Y5:Y12 G14:G21 M14:M101 M3 Y14:Y21 G23:G31 G33:G41 G43:G51 G53:G61 G63:G71 G73:G81 G83:G91 G93:G101 G103:G110 S103:S110 M103:M110 Y103:Y110 Y93:Y101 S93:S101 S83:S91 Y83:Y91 S73:S81 Y73:Y81 S63:S71 Y63:Y71 S53:S61 Y53:Y61 S43:S51 Y43:Y51 S33:S41 Y33:Y41 S14:S21 Y23:Y31 S23:S3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Y103:Y110 S103:S110 G103:G110 G5:G12 M5:M12 Y5:Y12 G14:G21 G23:G31 G33:G41 G43:G51 G53:G61 G63:G71 G73:G81 G83:G91 G93:G101 Y93:Y101 M103:M110 M14:M101 S83:S91 S93:S101 Y73:Y81 Y83:Y91 S63:S71 S73:S81 Y53:Y61 Y63:Y71 S43:S51 S53:S61 Y33:Y41 Y43:Y51 S23:S31 S33:S41 S5:S12 S14:S21 Y14:Y21 Y23:Y3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ySplit="2" topLeftCell="A115" activePane="bottomLeft" state="frozen"/>
      <selection pane="bottomLeft" activeCell="J170" sqref="J170"/>
    </sheetView>
  </sheetViews>
  <sheetFormatPr defaultRowHeight="13.9"/>
  <cols>
    <col min="1" max="1" width="15.85546875" customWidth="1"/>
    <col min="2" max="2" width="47.57031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19.5">
      <c r="A115" s="1" t="s">
        <v>23</v>
      </c>
      <c r="B115" s="9" t="s">
        <v>24</v>
      </c>
      <c r="C115" s="1">
        <v>260</v>
      </c>
      <c r="D115" s="5">
        <f>Table14[[#This Row],[Enrolment S.Y. 2025-2026 ]]*8</f>
        <v>2080</v>
      </c>
      <c r="E115" s="5"/>
      <c r="F115" s="1"/>
      <c r="G115" s="5"/>
      <c r="H115" s="5">
        <f t="shared" si="22"/>
        <v>2080</v>
      </c>
      <c r="I115" s="5">
        <f t="shared" si="23"/>
        <v>0</v>
      </c>
      <c r="J115" s="5">
        <f>Table14[[#This Row],[Enrolment S.Y. 2025-2026 ]]*8</f>
        <v>2080</v>
      </c>
      <c r="K115" s="5"/>
      <c r="L115" s="1"/>
      <c r="M115" s="5"/>
      <c r="N115" s="5">
        <f t="shared" si="20"/>
        <v>2080</v>
      </c>
      <c r="O115" s="5">
        <f t="shared" si="21"/>
        <v>0</v>
      </c>
      <c r="P115" s="5">
        <f>Table14[[#This Row],[Enrolment S.Y. 2025-2026 ]]*8</f>
        <v>2080</v>
      </c>
      <c r="Q115" s="5"/>
      <c r="R115" s="1"/>
      <c r="S115" s="5"/>
      <c r="T115" s="5">
        <f t="shared" si="16"/>
        <v>2080</v>
      </c>
      <c r="U115" s="5">
        <f t="shared" si="17"/>
        <v>0</v>
      </c>
      <c r="V115" s="5">
        <f>Table14[[#This Row],[Enrolment S.Y. 2025-2026 ]]*8</f>
        <v>2080</v>
      </c>
      <c r="W115" s="5"/>
      <c r="X115" s="1"/>
      <c r="Y115" s="5"/>
      <c r="Z115" s="5">
        <f t="shared" si="18"/>
        <v>2080</v>
      </c>
      <c r="AA115" s="5">
        <f t="shared" si="19"/>
        <v>0</v>
      </c>
    </row>
    <row r="116" spans="1:28" ht="19.5">
      <c r="A116" s="1" t="s">
        <v>23</v>
      </c>
      <c r="B116" s="9" t="s">
        <v>26</v>
      </c>
      <c r="C116" s="1">
        <v>260</v>
      </c>
      <c r="D116" s="5">
        <f>Table14[[#This Row],[Enrolment S.Y. 2025-2026 ]]*8</f>
        <v>2080</v>
      </c>
      <c r="E116" s="5"/>
      <c r="F116" s="1"/>
      <c r="G116" s="5"/>
      <c r="H116" s="5">
        <f t="shared" si="22"/>
        <v>2080</v>
      </c>
      <c r="I116" s="5">
        <f t="shared" si="23"/>
        <v>0</v>
      </c>
      <c r="J116" s="5">
        <f>Table14[[#This Row],[Enrolment S.Y. 2025-2026 ]]*8</f>
        <v>2080</v>
      </c>
      <c r="K116" s="5"/>
      <c r="L116" s="1"/>
      <c r="M116" s="5"/>
      <c r="N116" s="5">
        <f t="shared" si="20"/>
        <v>2080</v>
      </c>
      <c r="O116" s="5">
        <f t="shared" si="21"/>
        <v>0</v>
      </c>
      <c r="P116" s="5">
        <f>Table14[[#This Row],[Enrolment S.Y. 2025-2026 ]]*8</f>
        <v>2080</v>
      </c>
      <c r="Q116" s="5"/>
      <c r="R116" s="1"/>
      <c r="S116" s="5"/>
      <c r="T116" s="5">
        <f t="shared" si="16"/>
        <v>2080</v>
      </c>
      <c r="U116" s="5">
        <f t="shared" si="17"/>
        <v>0</v>
      </c>
      <c r="V116" s="5">
        <f>Table14[[#This Row],[Enrolment S.Y. 2025-2026 ]]*8</f>
        <v>2080</v>
      </c>
      <c r="W116" s="5"/>
      <c r="X116" s="1"/>
      <c r="Y116" s="5"/>
      <c r="Z116" s="5">
        <f t="shared" si="18"/>
        <v>2080</v>
      </c>
      <c r="AA116" s="5">
        <f t="shared" si="19"/>
        <v>0</v>
      </c>
    </row>
    <row r="117" spans="1:28" ht="19.5">
      <c r="A117" s="1" t="s">
        <v>27</v>
      </c>
      <c r="B117" s="9" t="s">
        <v>28</v>
      </c>
      <c r="C117" s="1">
        <v>226</v>
      </c>
      <c r="D117" s="5">
        <f>Table14[[#This Row],[Enrolment S.Y. 2025-2026 ]]*8</f>
        <v>1808</v>
      </c>
      <c r="E117" s="5"/>
      <c r="F117" s="1"/>
      <c r="G117" s="5"/>
      <c r="H117" s="5">
        <f t="shared" si="22"/>
        <v>1808</v>
      </c>
      <c r="I117" s="5">
        <f t="shared" si="23"/>
        <v>0</v>
      </c>
      <c r="J117" s="5">
        <f>Table14[[#This Row],[Enrolment S.Y. 2025-2026 ]]*8</f>
        <v>1808</v>
      </c>
      <c r="K117" s="5"/>
      <c r="L117" s="1"/>
      <c r="M117" s="5"/>
      <c r="N117" s="5">
        <f t="shared" si="20"/>
        <v>1808</v>
      </c>
      <c r="O117" s="5">
        <f t="shared" si="21"/>
        <v>0</v>
      </c>
      <c r="P117" s="5">
        <f>Table14[[#This Row],[Enrolment S.Y. 2025-2026 ]]*8</f>
        <v>1808</v>
      </c>
      <c r="Q117" s="5"/>
      <c r="R117" s="1"/>
      <c r="S117" s="5"/>
      <c r="T117" s="5">
        <f t="shared" si="16"/>
        <v>1808</v>
      </c>
      <c r="U117" s="5">
        <f t="shared" si="17"/>
        <v>0</v>
      </c>
      <c r="V117" s="5">
        <f>Table14[[#This Row],[Enrolment S.Y. 2025-2026 ]]*8</f>
        <v>1808</v>
      </c>
      <c r="W117" s="5"/>
      <c r="X117" s="1"/>
      <c r="Y117" s="5"/>
      <c r="Z117" s="5">
        <f t="shared" si="18"/>
        <v>1808</v>
      </c>
      <c r="AA117" s="5">
        <f t="shared" si="19"/>
        <v>0</v>
      </c>
    </row>
    <row r="118" spans="1:28" ht="19.5">
      <c r="A118" s="1" t="s">
        <v>23</v>
      </c>
      <c r="B118" s="9" t="s">
        <v>29</v>
      </c>
      <c r="C118" s="1">
        <v>260</v>
      </c>
      <c r="D118" s="5">
        <f>Table14[[#This Row],[Enrolment S.Y. 2025-2026 ]]*8</f>
        <v>2080</v>
      </c>
      <c r="E118" s="5"/>
      <c r="F118" s="1"/>
      <c r="G118" s="5"/>
      <c r="H118" s="5">
        <f t="shared" si="22"/>
        <v>2080</v>
      </c>
      <c r="I118" s="5">
        <f t="shared" si="23"/>
        <v>0</v>
      </c>
      <c r="J118" s="5">
        <f>Table14[[#This Row],[Enrolment S.Y. 2025-2026 ]]*8</f>
        <v>2080</v>
      </c>
      <c r="K118" s="5"/>
      <c r="L118" s="1"/>
      <c r="M118" s="5"/>
      <c r="N118" s="5">
        <f t="shared" si="20"/>
        <v>2080</v>
      </c>
      <c r="O118" s="5">
        <f t="shared" si="21"/>
        <v>0</v>
      </c>
      <c r="P118" s="5">
        <f>Table14[[#This Row],[Enrolment S.Y. 2025-2026 ]]*8</f>
        <v>2080</v>
      </c>
      <c r="Q118" s="5"/>
      <c r="R118" s="1"/>
      <c r="S118" s="5"/>
      <c r="T118" s="5">
        <f t="shared" si="16"/>
        <v>2080</v>
      </c>
      <c r="U118" s="5">
        <f t="shared" si="17"/>
        <v>0</v>
      </c>
      <c r="V118" s="5">
        <f>Table14[[#This Row],[Enrolment S.Y. 2025-2026 ]]*8</f>
        <v>2080</v>
      </c>
      <c r="W118" s="5"/>
      <c r="X118" s="1"/>
      <c r="Y118" s="5"/>
      <c r="Z118" s="5">
        <f t="shared" si="18"/>
        <v>2080</v>
      </c>
      <c r="AA118" s="5">
        <f t="shared" si="19"/>
        <v>0</v>
      </c>
    </row>
    <row r="119" spans="1:28" ht="19.5">
      <c r="A119" s="1" t="s">
        <v>27</v>
      </c>
      <c r="B119" s="9" t="s">
        <v>30</v>
      </c>
      <c r="C119" s="1">
        <v>226</v>
      </c>
      <c r="D119" s="5">
        <f>Table14[[#This Row],[Enrolment S.Y. 2025-2026 ]]*8</f>
        <v>1808</v>
      </c>
      <c r="E119" s="5"/>
      <c r="F119" s="1"/>
      <c r="G119" s="5"/>
      <c r="H119" s="5">
        <f t="shared" si="22"/>
        <v>1808</v>
      </c>
      <c r="I119" s="5">
        <f t="shared" si="23"/>
        <v>0</v>
      </c>
      <c r="J119" s="5">
        <f>Table14[[#This Row],[Enrolment S.Y. 2025-2026 ]]*8</f>
        <v>1808</v>
      </c>
      <c r="K119" s="5"/>
      <c r="L119" s="1"/>
      <c r="M119" s="5"/>
      <c r="N119" s="5">
        <f t="shared" si="20"/>
        <v>1808</v>
      </c>
      <c r="O119" s="5">
        <f t="shared" si="21"/>
        <v>0</v>
      </c>
      <c r="P119" s="5">
        <f>Table14[[#This Row],[Enrolment S.Y. 2025-2026 ]]*8</f>
        <v>1808</v>
      </c>
      <c r="Q119" s="5"/>
      <c r="R119" s="1"/>
      <c r="S119" s="5"/>
      <c r="T119" s="5">
        <f t="shared" si="16"/>
        <v>1808</v>
      </c>
      <c r="U119" s="5">
        <f t="shared" si="17"/>
        <v>0</v>
      </c>
      <c r="V119" s="5">
        <f>Table14[[#This Row],[Enrolment S.Y. 2025-2026 ]]*8</f>
        <v>1808</v>
      </c>
      <c r="W119" s="5"/>
      <c r="X119" s="1"/>
      <c r="Y119" s="5"/>
      <c r="Z119" s="5">
        <f t="shared" si="18"/>
        <v>1808</v>
      </c>
      <c r="AA119" s="5">
        <f t="shared" si="19"/>
        <v>0</v>
      </c>
    </row>
    <row r="120" spans="1:28" ht="19.5">
      <c r="A120" s="1" t="s">
        <v>23</v>
      </c>
      <c r="B120" s="9" t="s">
        <v>31</v>
      </c>
      <c r="C120" s="1">
        <v>260</v>
      </c>
      <c r="D120" s="5">
        <f>Table14[[#This Row],[Enrolment S.Y. 2025-2026 ]]*8</f>
        <v>2080</v>
      </c>
      <c r="E120" s="5"/>
      <c r="F120" s="1"/>
      <c r="G120" s="5"/>
      <c r="H120" s="5">
        <f t="shared" si="22"/>
        <v>2080</v>
      </c>
      <c r="I120" s="5">
        <f t="shared" si="23"/>
        <v>0</v>
      </c>
      <c r="J120" s="5">
        <f>Table14[[#This Row],[Enrolment S.Y. 2025-2026 ]]*8</f>
        <v>2080</v>
      </c>
      <c r="K120" s="5"/>
      <c r="L120" s="1"/>
      <c r="M120" s="5"/>
      <c r="N120" s="5">
        <f t="shared" si="20"/>
        <v>2080</v>
      </c>
      <c r="O120" s="5">
        <f t="shared" si="21"/>
        <v>0</v>
      </c>
      <c r="P120" s="5">
        <f>Table14[[#This Row],[Enrolment S.Y. 2025-2026 ]]*8</f>
        <v>2080</v>
      </c>
      <c r="Q120" s="5"/>
      <c r="R120" s="1"/>
      <c r="S120" s="5"/>
      <c r="T120" s="5">
        <f t="shared" si="16"/>
        <v>2080</v>
      </c>
      <c r="U120" s="5">
        <f t="shared" si="17"/>
        <v>0</v>
      </c>
      <c r="V120" s="5">
        <f>Table14[[#This Row],[Enrolment S.Y. 2025-2026 ]]*8</f>
        <v>2080</v>
      </c>
      <c r="W120" s="5"/>
      <c r="X120" s="1"/>
      <c r="Y120" s="5"/>
      <c r="Z120" s="5">
        <f t="shared" si="18"/>
        <v>2080</v>
      </c>
      <c r="AA120" s="5">
        <f t="shared" si="19"/>
        <v>0</v>
      </c>
    </row>
    <row r="121" spans="1:28" ht="19.5">
      <c r="A121" s="1" t="s">
        <v>27</v>
      </c>
      <c r="B121" s="9" t="s">
        <v>32</v>
      </c>
      <c r="C121" s="1">
        <v>226</v>
      </c>
      <c r="D121" s="5">
        <f>Table14[[#This Row],[Enrolment S.Y. 2025-2026 ]]*8</f>
        <v>1808</v>
      </c>
      <c r="E121" s="5"/>
      <c r="F121" s="1"/>
      <c r="G121" s="5"/>
      <c r="H121" s="5">
        <f t="shared" si="22"/>
        <v>1808</v>
      </c>
      <c r="I121" s="5">
        <f t="shared" si="23"/>
        <v>0</v>
      </c>
      <c r="J121" s="5">
        <f>Table14[[#This Row],[Enrolment S.Y. 2025-2026 ]]*8</f>
        <v>1808</v>
      </c>
      <c r="K121" s="5"/>
      <c r="L121" s="1"/>
      <c r="M121" s="5"/>
      <c r="N121" s="5">
        <f t="shared" si="20"/>
        <v>1808</v>
      </c>
      <c r="O121" s="5">
        <f t="shared" si="21"/>
        <v>0</v>
      </c>
      <c r="P121" s="5">
        <f>Table14[[#This Row],[Enrolment S.Y. 2025-2026 ]]*8</f>
        <v>1808</v>
      </c>
      <c r="Q121" s="5"/>
      <c r="R121" s="1"/>
      <c r="S121" s="5"/>
      <c r="T121" s="5">
        <f t="shared" si="16"/>
        <v>1808</v>
      </c>
      <c r="U121" s="5">
        <f t="shared" si="17"/>
        <v>0</v>
      </c>
      <c r="V121" s="5">
        <f>Table14[[#This Row],[Enrolment S.Y. 2025-2026 ]]*8</f>
        <v>1808</v>
      </c>
      <c r="W121" s="5"/>
      <c r="X121" s="1"/>
      <c r="Y121" s="5"/>
      <c r="Z121" s="5">
        <f t="shared" si="18"/>
        <v>1808</v>
      </c>
      <c r="AA121" s="5">
        <f t="shared" si="19"/>
        <v>0</v>
      </c>
    </row>
    <row r="122" spans="1:28" ht="19.5">
      <c r="A122" s="1" t="s">
        <v>23</v>
      </c>
      <c r="B122" s="9" t="s">
        <v>33</v>
      </c>
      <c r="C122" s="1">
        <v>260</v>
      </c>
      <c r="D122" s="5">
        <f>Table14[[#This Row],[Enrolment S.Y. 2025-2026 ]]*8</f>
        <v>2080</v>
      </c>
      <c r="E122" s="5"/>
      <c r="F122" s="1"/>
      <c r="G122" s="5"/>
      <c r="H122" s="5">
        <f t="shared" si="22"/>
        <v>2080</v>
      </c>
      <c r="I122" s="5">
        <f t="shared" si="23"/>
        <v>0</v>
      </c>
      <c r="J122" s="5">
        <f>Table14[[#This Row],[Enrolment S.Y. 2025-2026 ]]*8</f>
        <v>2080</v>
      </c>
      <c r="K122" s="5"/>
      <c r="L122" s="1"/>
      <c r="M122" s="5"/>
      <c r="N122" s="5">
        <f t="shared" si="20"/>
        <v>2080</v>
      </c>
      <c r="O122" s="5">
        <f t="shared" si="21"/>
        <v>0</v>
      </c>
      <c r="P122" s="5">
        <f>Table14[[#This Row],[Enrolment S.Y. 2025-2026 ]]*8</f>
        <v>2080</v>
      </c>
      <c r="Q122" s="5"/>
      <c r="R122" s="1"/>
      <c r="S122" s="5"/>
      <c r="T122" s="5">
        <f t="shared" si="16"/>
        <v>2080</v>
      </c>
      <c r="U122" s="5">
        <f t="shared" si="17"/>
        <v>0</v>
      </c>
      <c r="V122" s="5">
        <f>Table14[[#This Row],[Enrolment S.Y. 2025-2026 ]]*8</f>
        <v>2080</v>
      </c>
      <c r="W122" s="5"/>
      <c r="X122" s="1"/>
      <c r="Y122" s="5"/>
      <c r="Z122" s="5">
        <f t="shared" si="18"/>
        <v>2080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2026-03-10T02:14:03Z</dcterms:modified>
  <cp:category/>
  <cp:contentStatus/>
</cp:coreProperties>
</file>