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3" documentId="13_ncr:1_{BFB59F67-F0DC-4675-A682-EB0734A8026A}" xr6:coauthVersionLast="47" xr6:coauthVersionMax="47" xr10:uidLastSave="{26006E76-860B-4A7A-B080-E0B392DF4AB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<sst xmlns="http://schemas.openxmlformats.org/spreadsheetml/2006/main" count="431" uniqueCount="92">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</sst>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3" fontId="1" fillId="9" borderId="3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78" activePane="topRight" state="frozen"/>
      <selection pane="topRight" activeCell="B87" sqref="B8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J53">
        <v>100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10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  <c r="J55">
        <v>134</v>
      </c>
    </row>
    <row r="56" spans="1:10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10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10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  <c r="J63">
        <v>100</v>
      </c>
    </row>
    <row r="64" spans="1:10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8" zoomScale="70" zoomScaleNormal="70" workbookViewId="0">
      <selection activeCell="E68" sqref="E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>
        <v>650</v>
      </c>
      <c r="F63" s="10">
        <v>2024</v>
      </c>
      <c r="G63" s="12" t="s">
        <v>62</v>
      </c>
      <c r="H63" s="12">
        <f t="shared" si="2"/>
        <v>0</v>
      </c>
      <c r="I63" s="12">
        <f t="shared" si="3"/>
        <v>650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>
        <v>400</v>
      </c>
      <c r="F64" s="10">
        <v>2024</v>
      </c>
      <c r="G64" s="12" t="s">
        <v>62</v>
      </c>
      <c r="H64" s="12">
        <f t="shared" si="2"/>
        <v>0</v>
      </c>
      <c r="I64" s="12">
        <f t="shared" si="3"/>
        <v>400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>
        <v>900</v>
      </c>
      <c r="F66" s="10">
        <v>2024</v>
      </c>
      <c r="G66" s="12" t="s">
        <v>62</v>
      </c>
      <c r="H66" s="12">
        <f t="shared" si="2"/>
        <v>0</v>
      </c>
      <c r="I66" s="12">
        <f t="shared" si="3"/>
        <v>900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1.5" customHeight="1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40">
        <v>1200</v>
      </c>
      <c r="F67" s="10">
        <v>2024</v>
      </c>
      <c r="G67" s="12" t="s">
        <v>62</v>
      </c>
      <c r="H67" s="12">
        <f t="shared" si="2"/>
        <v>0</v>
      </c>
      <c r="I67" s="12">
        <f t="shared" si="3"/>
        <v>1200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>
        <v>980</v>
      </c>
      <c r="F70" s="10">
        <v>2024</v>
      </c>
      <c r="G70" s="12" t="s">
        <v>62</v>
      </c>
      <c r="H70" s="12">
        <f t="shared" si="2"/>
        <v>0</v>
      </c>
      <c r="I70" s="12">
        <f t="shared" si="3"/>
        <v>980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>
        <v>475</v>
      </c>
      <c r="F71" s="10">
        <v>2024</v>
      </c>
      <c r="G71" s="12" t="s">
        <v>62</v>
      </c>
      <c r="H71" s="12">
        <f t="shared" si="2"/>
        <v>0</v>
      </c>
      <c r="I71" s="12">
        <f t="shared" si="3"/>
        <v>475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J87" activePane="topRight" state="frozen"/>
      <selection pane="topRight" activeCell="K96" sqref="K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700</v>
      </c>
      <c r="X91" s="10">
        <v>2024</v>
      </c>
      <c r="Y91" s="12" t="s">
        <v>62</v>
      </c>
      <c r="Z91" s="12">
        <f t="shared" si="18"/>
        <v>0</v>
      </c>
      <c r="AA91" s="12">
        <f t="shared" si="19"/>
        <v>700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v>420</v>
      </c>
      <c r="L92" s="10">
        <v>2024</v>
      </c>
      <c r="M92" s="12" t="s">
        <v>62</v>
      </c>
      <c r="N92" s="12">
        <f t="shared" si="20"/>
        <v>0</v>
      </c>
      <c r="O92" s="12">
        <v>0</v>
      </c>
      <c r="P92" s="12">
        <f>Table14[[#This Row],[Enrolment S.Y. 2025-2026 ]]*8</f>
        <v>0</v>
      </c>
      <c r="Q92" s="12">
        <v>250</v>
      </c>
      <c r="R92" s="10">
        <v>2024</v>
      </c>
      <c r="S92" s="12" t="s">
        <v>62</v>
      </c>
      <c r="T92" s="12">
        <f t="shared" si="16"/>
        <v>0</v>
      </c>
      <c r="U92" s="12">
        <f t="shared" si="17"/>
        <v>250</v>
      </c>
      <c r="V92" s="12">
        <f>Table14[[#This Row],[Enrolment S.Y. 2025-2026 ]]*8</f>
        <v>0</v>
      </c>
      <c r="W92" s="12">
        <v>350</v>
      </c>
      <c r="X92" s="10">
        <v>2024</v>
      </c>
      <c r="Y92" s="12" t="s">
        <v>62</v>
      </c>
      <c r="Z92" s="12">
        <f t="shared" si="18"/>
        <v>0</v>
      </c>
      <c r="AA92" s="12">
        <f t="shared" si="19"/>
        <v>350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v>600</v>
      </c>
      <c r="L93" s="10">
        <v>2024</v>
      </c>
      <c r="M93" s="12" t="s">
        <v>62</v>
      </c>
      <c r="N93" s="12">
        <f t="shared" si="20"/>
        <v>0</v>
      </c>
      <c r="O93" s="12">
        <f t="shared" si="21"/>
        <v>600</v>
      </c>
      <c r="P93" s="12">
        <f>Table14[[#This Row],[Enrolment S.Y. 2025-2026 ]]*8</f>
        <v>0</v>
      </c>
      <c r="Q93" s="12">
        <v>800</v>
      </c>
      <c r="R93" s="10">
        <v>2024</v>
      </c>
      <c r="S93" s="12" t="s">
        <v>62</v>
      </c>
      <c r="T93" s="12">
        <f t="shared" si="16"/>
        <v>0</v>
      </c>
      <c r="U93" s="12">
        <f t="shared" si="17"/>
        <v>800</v>
      </c>
      <c r="V93" s="12">
        <f>Table14[[#This Row],[Enrolment S.Y. 2025-2026 ]]*8</f>
        <v>0</v>
      </c>
      <c r="W93" s="12">
        <v>450</v>
      </c>
      <c r="X93" s="10">
        <v>2024</v>
      </c>
      <c r="Y93" s="12" t="s">
        <v>62</v>
      </c>
      <c r="Z93" s="12">
        <f t="shared" si="18"/>
        <v>0</v>
      </c>
      <c r="AA93" s="12">
        <f t="shared" si="19"/>
        <v>450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200</v>
      </c>
      <c r="R94" s="10">
        <v>2024</v>
      </c>
      <c r="S94" s="12" t="s">
        <v>62</v>
      </c>
      <c r="T94" s="12">
        <f t="shared" si="16"/>
        <v>0</v>
      </c>
      <c r="U94" s="12">
        <f t="shared" si="17"/>
        <v>200</v>
      </c>
      <c r="V94" s="12">
        <f>Table14[[#This Row],[Enrolment S.Y. 2025-2026 ]]*8</f>
        <v>0</v>
      </c>
      <c r="W94" s="12">
        <v>400</v>
      </c>
      <c r="X94" s="10">
        <v>2024</v>
      </c>
      <c r="Y94" s="12" t="s">
        <v>62</v>
      </c>
      <c r="Z94" s="12">
        <f t="shared" si="18"/>
        <v>0</v>
      </c>
      <c r="AA94" s="12">
        <f t="shared" si="19"/>
        <v>400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300</v>
      </c>
      <c r="R95" s="10">
        <v>2024</v>
      </c>
      <c r="S95" s="12" t="s">
        <v>62</v>
      </c>
      <c r="T95" s="12">
        <f t="shared" si="16"/>
        <v>0</v>
      </c>
      <c r="U95" s="12">
        <f t="shared" si="17"/>
        <v>300</v>
      </c>
      <c r="V95" s="12">
        <f>Table14[[#This Row],[Enrolment S.Y. 2025-2026 ]]*8</f>
        <v>0</v>
      </c>
      <c r="W95" s="12">
        <v>200</v>
      </c>
      <c r="X95" s="10">
        <v>2024</v>
      </c>
      <c r="Y95" s="12" t="s">
        <v>62</v>
      </c>
      <c r="Z95" s="12">
        <f t="shared" si="18"/>
        <v>0</v>
      </c>
      <c r="AA95" s="12">
        <f t="shared" si="19"/>
        <v>200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300</v>
      </c>
      <c r="R96" s="10">
        <v>2024</v>
      </c>
      <c r="S96" s="12" t="s">
        <v>62</v>
      </c>
      <c r="T96" s="12">
        <f t="shared" si="16"/>
        <v>0</v>
      </c>
      <c r="U96" s="12">
        <f t="shared" si="17"/>
        <v>300</v>
      </c>
      <c r="V96" s="12">
        <f>Table14[[#This Row],[Enrolment S.Y. 2025-2026 ]]*8</f>
        <v>0</v>
      </c>
      <c r="W96" s="12">
        <v>500</v>
      </c>
      <c r="X96" s="10">
        <v>2024</v>
      </c>
      <c r="Y96" s="12" t="s">
        <v>62</v>
      </c>
      <c r="Z96" s="12">
        <f t="shared" si="18"/>
        <v>0</v>
      </c>
      <c r="AA96" s="12">
        <f t="shared" si="19"/>
        <v>500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400</v>
      </c>
      <c r="X97" s="10">
        <v>2024</v>
      </c>
      <c r="Y97" s="12" t="s">
        <v>62</v>
      </c>
      <c r="Z97" s="12">
        <f>IF((V97-W97)&lt;0,0,(V97-W97))</f>
        <v>0</v>
      </c>
      <c r="AA97" s="12">
        <f>IF((W97-V97)&lt;0,0,(W97-V97))</f>
        <v>400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400</v>
      </c>
      <c r="X98" s="10">
        <v>2024</v>
      </c>
      <c r="Y98" s="12" t="s">
        <v>62</v>
      </c>
      <c r="Z98" s="12">
        <f t="shared" si="18"/>
        <v>0</v>
      </c>
      <c r="AA98" s="12">
        <f t="shared" si="19"/>
        <v>400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400</v>
      </c>
      <c r="R100" s="10">
        <v>2024</v>
      </c>
      <c r="S100" s="12" t="s">
        <v>62</v>
      </c>
      <c r="T100" s="12">
        <f>IF((P100-Q100)&lt;0,0,(P100-Q100))</f>
        <v>0</v>
      </c>
      <c r="U100" s="12">
        <f>IF((Q100-P100)&lt;0,0,(Q100-P100))</f>
        <v>400</v>
      </c>
      <c r="V100" s="12">
        <f>Table14[[#This Row],[Enrolment S.Y. 2025-2026 ]]*8</f>
        <v>0</v>
      </c>
      <c r="W100" s="12">
        <v>200</v>
      </c>
      <c r="X100" s="10">
        <v>2024</v>
      </c>
      <c r="Y100" s="12" t="s">
        <v>62</v>
      </c>
      <c r="Z100" s="12">
        <f>IF((V100-W100)&lt;0,0,(V100-W100))</f>
        <v>0</v>
      </c>
      <c r="AA100" s="12">
        <f>IF((W100-V100)&lt;0,0,(W100-V100))</f>
        <v>200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150</v>
      </c>
      <c r="R101" s="10">
        <v>2024</v>
      </c>
      <c r="S101" s="12" t="s">
        <v>62</v>
      </c>
      <c r="T101" s="12">
        <f t="shared" si="16"/>
        <v>0</v>
      </c>
      <c r="U101" s="12">
        <f t="shared" si="17"/>
        <v>150</v>
      </c>
      <c r="V101" s="12">
        <f>Table14[[#This Row],[Enrolment S.Y. 2025-2026 ]]*8</f>
        <v>0</v>
      </c>
      <c r="W101" s="12">
        <v>250</v>
      </c>
      <c r="X101" s="10">
        <v>2024</v>
      </c>
      <c r="Y101" s="12" t="s">
        <v>62</v>
      </c>
      <c r="Z101" s="12">
        <f t="shared" si="18"/>
        <v>0</v>
      </c>
      <c r="AA101" s="12">
        <f t="shared" si="19"/>
        <v>250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v>480</v>
      </c>
      <c r="L103" s="10">
        <v>2025</v>
      </c>
      <c r="M103" s="12" t="s">
        <v>91</v>
      </c>
      <c r="N103" s="12">
        <f t="shared" si="20"/>
        <v>0</v>
      </c>
      <c r="O103" s="12">
        <f t="shared" si="21"/>
        <v>480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150</v>
      </c>
      <c r="X103" s="10">
        <v>2024</v>
      </c>
      <c r="Y103" s="12" t="s">
        <v>62</v>
      </c>
      <c r="Z103" s="12">
        <f t="shared" si="18"/>
        <v>0</v>
      </c>
      <c r="AA103" s="12">
        <f t="shared" si="19"/>
        <v>150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>
        <v>350</v>
      </c>
      <c r="X104" s="10">
        <v>2024</v>
      </c>
      <c r="Y104" s="12" t="s">
        <v>62</v>
      </c>
      <c r="Z104" s="12">
        <f t="shared" si="18"/>
        <v>0</v>
      </c>
      <c r="AA104" s="12">
        <f t="shared" si="19"/>
        <v>350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v>480</v>
      </c>
      <c r="L105" s="10">
        <v>2025</v>
      </c>
      <c r="M105" s="12" t="s">
        <v>91</v>
      </c>
      <c r="N105" s="12">
        <f t="shared" si="20"/>
        <v>0</v>
      </c>
      <c r="O105" s="12">
        <f t="shared" si="21"/>
        <v>480</v>
      </c>
      <c r="P105" s="12">
        <f>Table14[[#This Row],[Enrolment S.Y. 2025-2026 ]]*8</f>
        <v>0</v>
      </c>
      <c r="Q105" s="12">
        <v>350</v>
      </c>
      <c r="R105" s="10">
        <v>2024</v>
      </c>
      <c r="S105" s="12" t="s">
        <v>62</v>
      </c>
      <c r="T105" s="12">
        <f t="shared" si="16"/>
        <v>0</v>
      </c>
      <c r="U105" s="12">
        <f t="shared" si="17"/>
        <v>350</v>
      </c>
      <c r="V105" s="12">
        <f>Table14[[#This Row],[Enrolment S.Y. 2025-2026 ]]*8</f>
        <v>0</v>
      </c>
      <c r="W105" s="12">
        <v>300</v>
      </c>
      <c r="X105" s="10">
        <v>2024</v>
      </c>
      <c r="Y105" s="12" t="s">
        <v>62</v>
      </c>
      <c r="Z105" s="12">
        <f t="shared" si="18"/>
        <v>0</v>
      </c>
      <c r="AA105" s="12">
        <f t="shared" si="19"/>
        <v>300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400</v>
      </c>
      <c r="R106" s="10">
        <v>2024</v>
      </c>
      <c r="S106" s="12" t="s">
        <v>62</v>
      </c>
      <c r="T106" s="12">
        <f t="shared" si="16"/>
        <v>0</v>
      </c>
      <c r="U106" s="12">
        <f t="shared" si="17"/>
        <v>400</v>
      </c>
      <c r="V106" s="12">
        <f>Table14[[#This Row],[Enrolment S.Y. 2025-2026 ]]*8</f>
        <v>0</v>
      </c>
      <c r="W106" s="12">
        <v>150</v>
      </c>
      <c r="X106" s="10">
        <v>2024</v>
      </c>
      <c r="Y106" s="12" t="s">
        <v>62</v>
      </c>
      <c r="Z106" s="12">
        <f t="shared" si="18"/>
        <v>0</v>
      </c>
      <c r="AA106" s="12">
        <f t="shared" si="19"/>
        <v>150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200</v>
      </c>
      <c r="R107" s="10">
        <v>2024</v>
      </c>
      <c r="S107" s="12" t="s">
        <v>62</v>
      </c>
      <c r="T107" s="12">
        <f t="shared" si="16"/>
        <v>0</v>
      </c>
      <c r="U107" s="12">
        <f t="shared" si="17"/>
        <v>200</v>
      </c>
      <c r="V107" s="12">
        <f>Table14[[#This Row],[Enrolment S.Y. 2025-2026 ]]*8</f>
        <v>0</v>
      </c>
      <c r="W107" s="12">
        <v>150</v>
      </c>
      <c r="X107" s="10">
        <v>2024</v>
      </c>
      <c r="Y107" s="12" t="s">
        <v>62</v>
      </c>
      <c r="Z107" s="12">
        <f t="shared" si="18"/>
        <v>0</v>
      </c>
      <c r="AA107" s="12">
        <f t="shared" si="19"/>
        <v>150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350</v>
      </c>
      <c r="R108" s="10">
        <v>2024</v>
      </c>
      <c r="S108" s="12" t="s">
        <v>62</v>
      </c>
      <c r="T108" s="12">
        <f t="shared" si="16"/>
        <v>0</v>
      </c>
      <c r="U108" s="12">
        <f t="shared" si="17"/>
        <v>350</v>
      </c>
      <c r="V108" s="12">
        <f>Table14[[#This Row],[Enrolment S.Y. 2025-2026 ]]*8</f>
        <v>0</v>
      </c>
      <c r="W108" s="12">
        <v>300</v>
      </c>
      <c r="X108" s="10">
        <v>2024</v>
      </c>
      <c r="Y108" s="12" t="s">
        <v>62</v>
      </c>
      <c r="Z108" s="12">
        <f t="shared" si="18"/>
        <v>0</v>
      </c>
      <c r="AA108" s="12">
        <f t="shared" si="19"/>
        <v>300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v>100</v>
      </c>
      <c r="R109" s="10">
        <v>2024</v>
      </c>
      <c r="S109" s="12" t="s">
        <v>62</v>
      </c>
      <c r="T109" s="12">
        <f>IF((P109-Q109)&lt;0,0,(P109-Q109))</f>
        <v>0</v>
      </c>
      <c r="U109" s="12">
        <f>IF((Q109-P109)&lt;0,0,(Q109-P109))</f>
        <v>100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>
        <v>200</v>
      </c>
      <c r="X110" s="10">
        <v>2024</v>
      </c>
      <c r="Y110" s="12" t="s">
        <v>62</v>
      </c>
      <c r="Z110" s="12">
        <f t="shared" si="18"/>
        <v>0</v>
      </c>
      <c r="AA110" s="12">
        <f t="shared" si="19"/>
        <v>200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100</v>
      </c>
      <c r="R112" s="10">
        <v>2024</v>
      </c>
      <c r="S112" s="12" t="s">
        <v>62</v>
      </c>
      <c r="T112" s="12">
        <f>IF((P112-Q112)&lt;0,0,(P112-Q112))</f>
        <v>0</v>
      </c>
      <c r="U112" s="12">
        <f>IF((Q112-P112)&lt;0,0,(Q112-P112))</f>
        <v>100</v>
      </c>
      <c r="V112" s="12">
        <f>Table14[[#This Row],[Enrolment S.Y. 2025-2026 ]]*8</f>
        <v>0</v>
      </c>
      <c r="W112" s="12">
        <v>50</v>
      </c>
      <c r="X112" s="10">
        <v>2024</v>
      </c>
      <c r="Y112" s="12" t="s">
        <v>62</v>
      </c>
      <c r="Z112" s="12">
        <f>IF((V112-W112)&lt;0,0,(V112-W112))</f>
        <v>0</v>
      </c>
      <c r="AA112" s="12">
        <f>IF((W112-V112)&lt;0,0,(W112-V112))</f>
        <v>50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100</v>
      </c>
      <c r="R113" s="10">
        <v>2024</v>
      </c>
      <c r="S113" s="12" t="s">
        <v>62</v>
      </c>
      <c r="T113" s="12">
        <f t="shared" si="16"/>
        <v>0</v>
      </c>
      <c r="U113" s="12">
        <f t="shared" si="17"/>
        <v>100</v>
      </c>
      <c r="V113" s="12">
        <f>Table14[[#This Row],[Enrolment S.Y. 2025-2026 ]]*8</f>
        <v>0</v>
      </c>
      <c r="W113" s="12">
        <v>150</v>
      </c>
      <c r="X113" s="10">
        <v>2024</v>
      </c>
      <c r="Y113" s="12" t="s">
        <v>62</v>
      </c>
      <c r="Z113" s="12">
        <f t="shared" si="18"/>
        <v>0</v>
      </c>
      <c r="AA113" s="12">
        <f t="shared" si="19"/>
        <v>150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T103:X113 Z103:AA113 N115:R122 T115:X122 Z115:AA122 H115:L122 D103:F113 N31:R41 N43:R53 N55:R65 N67:R77 N79:R89 N91:R101 N103:R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S103:S113 Y115:Y122 G115:G122 M115:M122 S115:S122 M103:M113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G91:G101 G103:G113 Y103:Y113 S103:S113 M115:M122 M91:M101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103:L113 F103:F113 L12:L19 L3:L10 R21:R29 R31:R41 R43:R53 R67:R77 R79:R89 R55:R65 R91:R101 R103:R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2026-02-04T06:30:13Z</dcterms:modified>
  <cp:category/>
  <cp:contentStatus/>
</cp:coreProperties>
</file>